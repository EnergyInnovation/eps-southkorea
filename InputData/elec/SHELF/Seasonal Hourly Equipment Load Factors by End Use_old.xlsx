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defaultThemeVersion="166925"/>
  <mc:AlternateContent xmlns:mc="http://schemas.openxmlformats.org/markup-compatibility/2006">
    <mc:Choice Requires="x15">
      <x15ac:absPath xmlns:x15ac="http://schemas.microsoft.com/office/spreadsheetml/2010/11/ac" url="C:\Users\Rachel Goldstein\Desktop\EPS Models\SouthKorea EPS\InputData\elec\SHELF\"/>
    </mc:Choice>
  </mc:AlternateContent>
  <xr:revisionPtr revIDLastSave="0" documentId="13_ncr:1_{9BC7E21C-C33C-4F1A-962E-31FDF128C1AB}" xr6:coauthVersionLast="47" xr6:coauthVersionMax="47" xr10:uidLastSave="{00000000-0000-0000-0000-000000000000}"/>
  <bookViews>
    <workbookView xWindow="780" yWindow="780" windowWidth="21600" windowHeight="11235" firstSheet="20" activeTab="25" xr2:uid="{EBD0EF52-E4BC-4E99-950E-1B8A93112F65}"/>
  </bookViews>
  <sheets>
    <sheet name="About" sheetId="2" r:id="rId1"/>
    <sheet name="Transport sector fuel used EPS" sheetId="49" r:id="rId2"/>
    <sheet name="Source Data" sheetId="45" r:id="rId3"/>
    <sheet name="Modified Source Data" sheetId="48" r:id="rId4"/>
    <sheet name="Summarized Modified Source Data" sheetId="44" r:id="rId5"/>
    <sheet name="Category Mapping" sheetId="43" r:id="rId6"/>
    <sheet name="Double Check" sheetId="46" r:id="rId7"/>
    <sheet name="SHELF-days-per-timeslice" sheetId="39" r:id="rId8"/>
    <sheet name="SHELF-residential-heating" sheetId="18" r:id="rId9"/>
    <sheet name="SHELF-residential-cooling" sheetId="17" r:id="rId10"/>
    <sheet name="SHELF-residential-envelope" sheetId="20" r:id="rId11"/>
    <sheet name="SHELF-residential-lighting" sheetId="19" r:id="rId12"/>
    <sheet name="SHELF-residential-appliances" sheetId="16" r:id="rId13"/>
    <sheet name="SHELF-residential-other" sheetId="8" r:id="rId14"/>
    <sheet name="SHELF-commercial-heating" sheetId="21" r:id="rId15"/>
    <sheet name="SHELF-commercial-cooling" sheetId="22" r:id="rId16"/>
    <sheet name="SHELF-commercial-envelope" sheetId="23" r:id="rId17"/>
    <sheet name="SHELF-commercial-lighting" sheetId="24" r:id="rId18"/>
    <sheet name="SHELF-commercial-appliances" sheetId="25" r:id="rId19"/>
    <sheet name="SHELF-commercial-other" sheetId="26" r:id="rId20"/>
    <sheet name="SHELF-LDVs" sheetId="11" r:id="rId21"/>
    <sheet name="SHELF-HDVs" sheetId="28" r:id="rId22"/>
    <sheet name="SHELF-aircraft" sheetId="29" r:id="rId23"/>
    <sheet name="SHELF-rail" sheetId="30" r:id="rId24"/>
    <sheet name="SHELF-ships" sheetId="31" r:id="rId25"/>
    <sheet name="SHELF-motorbikes" sheetId="32" r:id="rId26"/>
    <sheet name="SHELF-industry" sheetId="10" r:id="rId27"/>
    <sheet name="SHELF-district-heat-hydrogen" sheetId="33" r:id="rId28"/>
    <sheet name="SHELF-geoeng" sheetId="34" r:id="rId29"/>
  </sheets>
  <definedNames>
    <definedName name="_xlnm._FilterDatabase" localSheetId="3" hidden="1">'Modified Source Data'!$A$2:$AG$338</definedName>
    <definedName name="_xlnm._FilterDatabase" localSheetId="2" hidden="1">'Source Data'!$A$2:$AG$290</definedName>
    <definedName name="Aircraft">About!$C$35</definedName>
    <definedName name="DaysPerWeek">About!$B$26</definedName>
    <definedName name="FallWeekdays">'Category Mapping'!$E$49</definedName>
    <definedName name="FallWeekendDays">'Category Mapping'!$D$49</definedName>
    <definedName name="HDVs">About!$C$34</definedName>
    <definedName name="Hour">'Modified Source Data'!$F$2:$AC$2</definedName>
    <definedName name="LDVs">About!$C$33</definedName>
    <definedName name="Load">'Modified Source Data'!$F$3:$AC$338</definedName>
    <definedName name="LoadFactorHours">'Summarized Modified Source Data'!$C$600:$C$743</definedName>
    <definedName name="LoadFactorSeasons">'Summarized Modified Source Data'!$A$600:$A$743</definedName>
    <definedName name="Motorbikes">About!$C$38</definedName>
    <definedName name="Rail">About!$C$36</definedName>
    <definedName name="Season">'Modified Source Data'!$AD$3:$AD$338</definedName>
    <definedName name="Sector">'Modified Source Data'!$AF$3:$AF$338</definedName>
    <definedName name="Ships">About!$C$37</definedName>
    <definedName name="SpringWeekdays">'Category Mapping'!$E$47</definedName>
    <definedName name="SpringWeekendDays">'Category Mapping'!$D$47</definedName>
    <definedName name="Subsector">'Modified Source Data'!$AG$3:$AG$338</definedName>
    <definedName name="SummerWeekdays">'Category Mapping'!$E$48</definedName>
    <definedName name="SummerWeekendDays">'Category Mapping'!$D$48</definedName>
    <definedName name="TimeOfWeek">'Modified Source Data'!$AE$3:$AE$338</definedName>
    <definedName name="Weekdays">About!$B$25</definedName>
    <definedName name="WeekendDays">About!$B$24</definedName>
    <definedName name="WinterWeekdays">'Category Mapping'!$E$46</definedName>
    <definedName name="WinterWeekendDays">'Category Mapping'!$D$46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5" i="44" l="1"/>
  <c r="J6" i="44"/>
  <c r="J7" i="44"/>
  <c r="J8" i="44"/>
  <c r="J9" i="44"/>
  <c r="J10" i="44"/>
  <c r="J11" i="44"/>
  <c r="J12" i="44"/>
  <c r="J13" i="44"/>
  <c r="J14" i="44"/>
  <c r="J15" i="44"/>
  <c r="J16" i="44"/>
  <c r="J17" i="44"/>
  <c r="J18" i="44"/>
  <c r="J19" i="44"/>
  <c r="J20" i="44"/>
  <c r="J21" i="44"/>
  <c r="J22" i="44"/>
  <c r="J23" i="44"/>
  <c r="J24" i="44"/>
  <c r="J25" i="44"/>
  <c r="J26" i="44"/>
  <c r="J27" i="44"/>
  <c r="J28" i="44"/>
  <c r="J29" i="44"/>
  <c r="J30" i="44"/>
  <c r="J31" i="44"/>
  <c r="J32" i="44"/>
  <c r="J33" i="44"/>
  <c r="J34" i="44"/>
  <c r="J35" i="44"/>
  <c r="J36" i="44"/>
  <c r="J37" i="44"/>
  <c r="J38" i="44"/>
  <c r="J39" i="44"/>
  <c r="J40" i="44"/>
  <c r="J41" i="44"/>
  <c r="J42" i="44"/>
  <c r="J43" i="44"/>
  <c r="J44" i="44"/>
  <c r="J45" i="44"/>
  <c r="J46" i="44"/>
  <c r="J47" i="44"/>
  <c r="J48" i="44"/>
  <c r="J49" i="44"/>
  <c r="J50" i="44"/>
  <c r="J51" i="44"/>
  <c r="J52" i="44"/>
  <c r="J53" i="44"/>
  <c r="J54" i="44"/>
  <c r="J55" i="44"/>
  <c r="J56" i="44"/>
  <c r="J57" i="44"/>
  <c r="J58" i="44"/>
  <c r="J59" i="44"/>
  <c r="J60" i="44"/>
  <c r="J61" i="44"/>
  <c r="J62" i="44"/>
  <c r="J63" i="44"/>
  <c r="J64" i="44"/>
  <c r="J65" i="44"/>
  <c r="J66" i="44"/>
  <c r="J67" i="44"/>
  <c r="J68" i="44"/>
  <c r="J69" i="44"/>
  <c r="J70" i="44"/>
  <c r="J71" i="44"/>
  <c r="J72" i="44"/>
  <c r="J73" i="44"/>
  <c r="J74" i="44"/>
  <c r="J75" i="44"/>
  <c r="J76" i="44"/>
  <c r="J77" i="44"/>
  <c r="J78" i="44"/>
  <c r="J79" i="44"/>
  <c r="J80" i="44"/>
  <c r="J81" i="44"/>
  <c r="J82" i="44"/>
  <c r="J83" i="44"/>
  <c r="J84" i="44"/>
  <c r="J85" i="44"/>
  <c r="J86" i="44"/>
  <c r="J87" i="44"/>
  <c r="J88" i="44"/>
  <c r="J89" i="44"/>
  <c r="J90" i="44"/>
  <c r="J91" i="44"/>
  <c r="J92" i="44"/>
  <c r="J93" i="44"/>
  <c r="J94" i="44"/>
  <c r="J95" i="44"/>
  <c r="J96" i="44"/>
  <c r="J97" i="44"/>
  <c r="J98" i="44"/>
  <c r="J99" i="44"/>
  <c r="J100" i="44"/>
  <c r="J101" i="44"/>
  <c r="J102" i="44"/>
  <c r="J103" i="44"/>
  <c r="J104" i="44"/>
  <c r="J105" i="44"/>
  <c r="J106" i="44"/>
  <c r="J107" i="44"/>
  <c r="J108" i="44"/>
  <c r="J109" i="44"/>
  <c r="J110" i="44"/>
  <c r="J111" i="44"/>
  <c r="J112" i="44"/>
  <c r="J113" i="44"/>
  <c r="J114" i="44"/>
  <c r="J115" i="44"/>
  <c r="J116" i="44"/>
  <c r="J117" i="44"/>
  <c r="J118" i="44"/>
  <c r="J119" i="44"/>
  <c r="J120" i="44"/>
  <c r="J121" i="44"/>
  <c r="J122" i="44"/>
  <c r="J123" i="44"/>
  <c r="J124" i="44"/>
  <c r="J125" i="44"/>
  <c r="J126" i="44"/>
  <c r="J127" i="44"/>
  <c r="J128" i="44"/>
  <c r="J129" i="44"/>
  <c r="J130" i="44"/>
  <c r="J131" i="44"/>
  <c r="J132" i="44"/>
  <c r="J133" i="44"/>
  <c r="J134" i="44"/>
  <c r="J135" i="44"/>
  <c r="J136" i="44"/>
  <c r="J137" i="44"/>
  <c r="J138" i="44"/>
  <c r="J139" i="44"/>
  <c r="J140" i="44"/>
  <c r="J141" i="44"/>
  <c r="J142" i="44"/>
  <c r="J143" i="44"/>
  <c r="J144" i="44"/>
  <c r="J145" i="44"/>
  <c r="J146" i="44"/>
  <c r="J147" i="44"/>
  <c r="J148" i="44"/>
  <c r="J149" i="44"/>
  <c r="J150" i="44"/>
  <c r="J151" i="44"/>
  <c r="J152" i="44"/>
  <c r="J153" i="44"/>
  <c r="J154" i="44"/>
  <c r="J155" i="44"/>
  <c r="J156" i="44"/>
  <c r="J157" i="44"/>
  <c r="J158" i="44"/>
  <c r="J159" i="44"/>
  <c r="J160" i="44"/>
  <c r="J161" i="44"/>
  <c r="J162" i="44"/>
  <c r="J163" i="44"/>
  <c r="J164" i="44"/>
  <c r="J165" i="44"/>
  <c r="J166" i="44"/>
  <c r="J167" i="44"/>
  <c r="J168" i="44"/>
  <c r="J169" i="44"/>
  <c r="J170" i="44"/>
  <c r="J171" i="44"/>
  <c r="J172" i="44"/>
  <c r="J173" i="44"/>
  <c r="J174" i="44"/>
  <c r="J175" i="44"/>
  <c r="J176" i="44"/>
  <c r="J177" i="44"/>
  <c r="J178" i="44"/>
  <c r="J179" i="44"/>
  <c r="J180" i="44"/>
  <c r="J181" i="44"/>
  <c r="J182" i="44"/>
  <c r="J183" i="44"/>
  <c r="J184" i="44"/>
  <c r="J185" i="44"/>
  <c r="J186" i="44"/>
  <c r="J187" i="44"/>
  <c r="J188" i="44"/>
  <c r="J189" i="44"/>
  <c r="J190" i="44"/>
  <c r="J191" i="44"/>
  <c r="J192" i="44"/>
  <c r="J193" i="44"/>
  <c r="J194" i="44"/>
  <c r="J195" i="44"/>
  <c r="J4" i="44"/>
  <c r="I4" i="44"/>
  <c r="O5" i="44"/>
  <c r="O6" i="44"/>
  <c r="O7" i="44"/>
  <c r="O8" i="44"/>
  <c r="O9" i="44"/>
  <c r="O10" i="44"/>
  <c r="O11" i="44"/>
  <c r="O12" i="44"/>
  <c r="O13" i="44"/>
  <c r="O14" i="44"/>
  <c r="O15" i="44"/>
  <c r="O16" i="44"/>
  <c r="P16" i="44" s="1"/>
  <c r="O17" i="44"/>
  <c r="O18" i="44"/>
  <c r="O19" i="44"/>
  <c r="O20" i="44"/>
  <c r="O21" i="44"/>
  <c r="O22" i="44"/>
  <c r="O23" i="44"/>
  <c r="O24" i="44"/>
  <c r="O25" i="44"/>
  <c r="O26" i="44"/>
  <c r="O27" i="44"/>
  <c r="O28" i="44"/>
  <c r="P28" i="44" s="1"/>
  <c r="O29" i="44"/>
  <c r="O30" i="44"/>
  <c r="O31" i="44"/>
  <c r="O32" i="44"/>
  <c r="O33" i="44"/>
  <c r="O34" i="44"/>
  <c r="O35" i="44"/>
  <c r="O36" i="44"/>
  <c r="O37" i="44"/>
  <c r="O38" i="44"/>
  <c r="O39" i="44"/>
  <c r="O40" i="44"/>
  <c r="P40" i="44" s="1"/>
  <c r="O41" i="44"/>
  <c r="O42" i="44"/>
  <c r="O43" i="44"/>
  <c r="O44" i="44"/>
  <c r="O45" i="44"/>
  <c r="O46" i="44"/>
  <c r="O47" i="44"/>
  <c r="O48" i="44"/>
  <c r="O49" i="44"/>
  <c r="O50" i="44"/>
  <c r="O51" i="44"/>
  <c r="O52" i="44"/>
  <c r="P52" i="44" s="1"/>
  <c r="O53" i="44"/>
  <c r="O54" i="44"/>
  <c r="O55" i="44"/>
  <c r="O56" i="44"/>
  <c r="O57" i="44"/>
  <c r="O58" i="44"/>
  <c r="O59" i="44"/>
  <c r="O60" i="44"/>
  <c r="O61" i="44"/>
  <c r="O62" i="44"/>
  <c r="O63" i="44"/>
  <c r="O64" i="44"/>
  <c r="P64" i="44" s="1"/>
  <c r="O65" i="44"/>
  <c r="O66" i="44"/>
  <c r="O67" i="44"/>
  <c r="O68" i="44"/>
  <c r="O69" i="44"/>
  <c r="O70" i="44"/>
  <c r="O71" i="44"/>
  <c r="O72" i="44"/>
  <c r="O73" i="44"/>
  <c r="P73" i="44" s="1"/>
  <c r="O74" i="44"/>
  <c r="O75" i="44"/>
  <c r="O76" i="44"/>
  <c r="P76" i="44" s="1"/>
  <c r="O77" i="44"/>
  <c r="O78" i="44"/>
  <c r="O79" i="44"/>
  <c r="O80" i="44"/>
  <c r="O81" i="44"/>
  <c r="O82" i="44"/>
  <c r="O83" i="44"/>
  <c r="O84" i="44"/>
  <c r="O85" i="44"/>
  <c r="P85" i="44" s="1"/>
  <c r="O86" i="44"/>
  <c r="O87" i="44"/>
  <c r="O88" i="44"/>
  <c r="P88" i="44" s="1"/>
  <c r="O89" i="44"/>
  <c r="O90" i="44"/>
  <c r="O91" i="44"/>
  <c r="O92" i="44"/>
  <c r="O93" i="44"/>
  <c r="O94" i="44"/>
  <c r="O95" i="44"/>
  <c r="O96" i="44"/>
  <c r="O97" i="44"/>
  <c r="P97" i="44" s="1"/>
  <c r="O98" i="44"/>
  <c r="O99" i="44"/>
  <c r="O100" i="44"/>
  <c r="P100" i="44" s="1"/>
  <c r="O101" i="44"/>
  <c r="O102" i="44"/>
  <c r="O103" i="44"/>
  <c r="O104" i="44"/>
  <c r="O105" i="44"/>
  <c r="O106" i="44"/>
  <c r="O107" i="44"/>
  <c r="O108" i="44"/>
  <c r="O109" i="44"/>
  <c r="P109" i="44" s="1"/>
  <c r="O110" i="44"/>
  <c r="O111" i="44"/>
  <c r="O112" i="44"/>
  <c r="P112" i="44" s="1"/>
  <c r="O113" i="44"/>
  <c r="O114" i="44"/>
  <c r="O115" i="44"/>
  <c r="O116" i="44"/>
  <c r="O117" i="44"/>
  <c r="O118" i="44"/>
  <c r="O119" i="44"/>
  <c r="O120" i="44"/>
  <c r="O121" i="44"/>
  <c r="P121" i="44" s="1"/>
  <c r="O122" i="44"/>
  <c r="O123" i="44"/>
  <c r="O124" i="44"/>
  <c r="P124" i="44" s="1"/>
  <c r="O125" i="44"/>
  <c r="O126" i="44"/>
  <c r="O127" i="44"/>
  <c r="O128" i="44"/>
  <c r="O129" i="44"/>
  <c r="O130" i="44"/>
  <c r="O131" i="44"/>
  <c r="O132" i="44"/>
  <c r="O133" i="44"/>
  <c r="P133" i="44" s="1"/>
  <c r="O134" i="44"/>
  <c r="O135" i="44"/>
  <c r="O136" i="44"/>
  <c r="P136" i="44" s="1"/>
  <c r="O137" i="44"/>
  <c r="O138" i="44"/>
  <c r="O139" i="44"/>
  <c r="O140" i="44"/>
  <c r="P140" i="44" s="1"/>
  <c r="O141" i="44"/>
  <c r="O142" i="44"/>
  <c r="O143" i="44"/>
  <c r="O144" i="44"/>
  <c r="N144" i="44" s="1"/>
  <c r="O145" i="44"/>
  <c r="P145" i="44" s="1"/>
  <c r="O146" i="44"/>
  <c r="O147" i="44"/>
  <c r="O148" i="44"/>
  <c r="P148" i="44" s="1"/>
  <c r="O149" i="44"/>
  <c r="O150" i="44"/>
  <c r="O151" i="44"/>
  <c r="O152" i="44"/>
  <c r="P152" i="44" s="1"/>
  <c r="O153" i="44"/>
  <c r="O154" i="44"/>
  <c r="O155" i="44"/>
  <c r="O156" i="44"/>
  <c r="N156" i="44" s="1"/>
  <c r="O157" i="44"/>
  <c r="N157" i="44" s="1"/>
  <c r="O158" i="44"/>
  <c r="O159" i="44"/>
  <c r="O160" i="44"/>
  <c r="P160" i="44" s="1"/>
  <c r="O161" i="44"/>
  <c r="O162" i="44"/>
  <c r="O163" i="44"/>
  <c r="O164" i="44"/>
  <c r="P164" i="44" s="1"/>
  <c r="O165" i="44"/>
  <c r="O166" i="44"/>
  <c r="O167" i="44"/>
  <c r="N167" i="44" s="1"/>
  <c r="O168" i="44"/>
  <c r="N168" i="44" s="1"/>
  <c r="O169" i="44"/>
  <c r="N169" i="44" s="1"/>
  <c r="O170" i="44"/>
  <c r="O171" i="44"/>
  <c r="O172" i="44"/>
  <c r="P172" i="44" s="1"/>
  <c r="O173" i="44"/>
  <c r="O174" i="44"/>
  <c r="O175" i="44"/>
  <c r="O176" i="44"/>
  <c r="P176" i="44" s="1"/>
  <c r="O177" i="44"/>
  <c r="O178" i="44"/>
  <c r="O179" i="44"/>
  <c r="O180" i="44"/>
  <c r="N180" i="44" s="1"/>
  <c r="O181" i="44"/>
  <c r="N181" i="44" s="1"/>
  <c r="O182" i="44"/>
  <c r="O183" i="44"/>
  <c r="O184" i="44"/>
  <c r="P184" i="44" s="1"/>
  <c r="O185" i="44"/>
  <c r="O186" i="44"/>
  <c r="O187" i="44"/>
  <c r="O188" i="44"/>
  <c r="P188" i="44" s="1"/>
  <c r="O189" i="44"/>
  <c r="O190" i="44"/>
  <c r="O191" i="44"/>
  <c r="N191" i="44" s="1"/>
  <c r="O192" i="44"/>
  <c r="N192" i="44" s="1"/>
  <c r="O193" i="44"/>
  <c r="N193" i="44" s="1"/>
  <c r="O194" i="44"/>
  <c r="O195" i="44"/>
  <c r="N195" i="44" s="1"/>
  <c r="O4" i="44"/>
  <c r="P4" i="44" s="1"/>
  <c r="P5" i="44"/>
  <c r="P6" i="44"/>
  <c r="P7" i="44"/>
  <c r="P8" i="44"/>
  <c r="P9" i="44"/>
  <c r="P10" i="44"/>
  <c r="P11" i="44"/>
  <c r="P12" i="44"/>
  <c r="P13" i="44"/>
  <c r="P14" i="44"/>
  <c r="P15" i="44"/>
  <c r="P17" i="44"/>
  <c r="P18" i="44"/>
  <c r="P19" i="44"/>
  <c r="P20" i="44"/>
  <c r="P21" i="44"/>
  <c r="P22" i="44"/>
  <c r="P23" i="44"/>
  <c r="P24" i="44"/>
  <c r="P25" i="44"/>
  <c r="P26" i="44"/>
  <c r="P27" i="44"/>
  <c r="P29" i="44"/>
  <c r="P30" i="44"/>
  <c r="P31" i="44"/>
  <c r="P32" i="44"/>
  <c r="P33" i="44"/>
  <c r="P34" i="44"/>
  <c r="P35" i="44"/>
  <c r="P36" i="44"/>
  <c r="P37" i="44"/>
  <c r="P38" i="44"/>
  <c r="P39" i="44"/>
  <c r="P41" i="44"/>
  <c r="P42" i="44"/>
  <c r="P43" i="44"/>
  <c r="P44" i="44"/>
  <c r="P45" i="44"/>
  <c r="P46" i="44"/>
  <c r="P47" i="44"/>
  <c r="P48" i="44"/>
  <c r="P49" i="44"/>
  <c r="P50" i="44"/>
  <c r="P51" i="44"/>
  <c r="P53" i="44"/>
  <c r="P54" i="44"/>
  <c r="P55" i="44"/>
  <c r="P56" i="44"/>
  <c r="P57" i="44"/>
  <c r="P58" i="44"/>
  <c r="P59" i="44"/>
  <c r="P60" i="44"/>
  <c r="P61" i="44"/>
  <c r="P62" i="44"/>
  <c r="P63" i="44"/>
  <c r="P65" i="44"/>
  <c r="P66" i="44"/>
  <c r="P67" i="44"/>
  <c r="P68" i="44"/>
  <c r="P69" i="44"/>
  <c r="P70" i="44"/>
  <c r="P71" i="44"/>
  <c r="P72" i="44"/>
  <c r="P74" i="44"/>
  <c r="P75" i="44"/>
  <c r="P77" i="44"/>
  <c r="P78" i="44"/>
  <c r="P79" i="44"/>
  <c r="P80" i="44"/>
  <c r="P81" i="44"/>
  <c r="P82" i="44"/>
  <c r="P83" i="44"/>
  <c r="P84" i="44"/>
  <c r="P86" i="44"/>
  <c r="P87" i="44"/>
  <c r="P89" i="44"/>
  <c r="P90" i="44"/>
  <c r="P91" i="44"/>
  <c r="P92" i="44"/>
  <c r="P93" i="44"/>
  <c r="P94" i="44"/>
  <c r="P95" i="44"/>
  <c r="P96" i="44"/>
  <c r="P98" i="44"/>
  <c r="P99" i="44"/>
  <c r="P101" i="44"/>
  <c r="P102" i="44"/>
  <c r="P103" i="44"/>
  <c r="P104" i="44"/>
  <c r="P105" i="44"/>
  <c r="P106" i="44"/>
  <c r="P107" i="44"/>
  <c r="P108" i="44"/>
  <c r="P110" i="44"/>
  <c r="P111" i="44"/>
  <c r="P113" i="44"/>
  <c r="P114" i="44"/>
  <c r="P115" i="44"/>
  <c r="P116" i="44"/>
  <c r="P117" i="44"/>
  <c r="P118" i="44"/>
  <c r="P119" i="44"/>
  <c r="P120" i="44"/>
  <c r="P122" i="44"/>
  <c r="P123" i="44"/>
  <c r="P125" i="44"/>
  <c r="P126" i="44"/>
  <c r="P127" i="44"/>
  <c r="P128" i="44"/>
  <c r="P129" i="44"/>
  <c r="P130" i="44"/>
  <c r="P131" i="44"/>
  <c r="P132" i="44"/>
  <c r="P134" i="44"/>
  <c r="P135" i="44"/>
  <c r="P137" i="44"/>
  <c r="P138" i="44"/>
  <c r="P139" i="44"/>
  <c r="P141" i="44"/>
  <c r="P142" i="44"/>
  <c r="P143" i="44"/>
  <c r="P144" i="44"/>
  <c r="P146" i="44"/>
  <c r="P147" i="44"/>
  <c r="P149" i="44"/>
  <c r="P150" i="44"/>
  <c r="P151" i="44"/>
  <c r="P153" i="44"/>
  <c r="P154" i="44"/>
  <c r="P155" i="44"/>
  <c r="P156" i="44"/>
  <c r="P158" i="44"/>
  <c r="P159" i="44"/>
  <c r="P161" i="44"/>
  <c r="P162" i="44"/>
  <c r="P163" i="44"/>
  <c r="P165" i="44"/>
  <c r="P166" i="44"/>
  <c r="P167" i="44"/>
  <c r="P168" i="44"/>
  <c r="P170" i="44"/>
  <c r="P171" i="44"/>
  <c r="P173" i="44"/>
  <c r="P174" i="44"/>
  <c r="P175" i="44"/>
  <c r="P177" i="44"/>
  <c r="P178" i="44"/>
  <c r="P179" i="44"/>
  <c r="P180" i="44"/>
  <c r="P182" i="44"/>
  <c r="P183" i="44"/>
  <c r="P185" i="44"/>
  <c r="P186" i="44"/>
  <c r="P187" i="44"/>
  <c r="P189" i="44"/>
  <c r="P190" i="44"/>
  <c r="P191" i="44"/>
  <c r="P192" i="44"/>
  <c r="P194" i="44"/>
  <c r="P195" i="44"/>
  <c r="N5" i="44"/>
  <c r="N6" i="44"/>
  <c r="N7" i="44"/>
  <c r="N8" i="44"/>
  <c r="N9" i="44"/>
  <c r="N10" i="44"/>
  <c r="N11" i="44"/>
  <c r="N12" i="44"/>
  <c r="N13" i="44"/>
  <c r="N14" i="44"/>
  <c r="N15" i="44"/>
  <c r="N16" i="44"/>
  <c r="N17" i="44"/>
  <c r="N18" i="44"/>
  <c r="N19" i="44"/>
  <c r="N20" i="44"/>
  <c r="N21" i="44"/>
  <c r="N22" i="44"/>
  <c r="N23" i="44"/>
  <c r="N24" i="44"/>
  <c r="N25" i="44"/>
  <c r="N26" i="44"/>
  <c r="N27" i="44"/>
  <c r="N28" i="44"/>
  <c r="N29" i="44"/>
  <c r="N30" i="44"/>
  <c r="N31" i="44"/>
  <c r="N32" i="44"/>
  <c r="N33" i="44"/>
  <c r="N34" i="44"/>
  <c r="N35" i="44"/>
  <c r="N36" i="44"/>
  <c r="N37" i="44"/>
  <c r="N38" i="44"/>
  <c r="N39" i="44"/>
  <c r="N40" i="44"/>
  <c r="N41" i="44"/>
  <c r="N42" i="44"/>
  <c r="N43" i="44"/>
  <c r="N44" i="44"/>
  <c r="N45" i="44"/>
  <c r="N46" i="44"/>
  <c r="N47" i="44"/>
  <c r="N48" i="44"/>
  <c r="N49" i="44"/>
  <c r="N50" i="44"/>
  <c r="N51" i="44"/>
  <c r="N52" i="44"/>
  <c r="N53" i="44"/>
  <c r="N54" i="44"/>
  <c r="N55" i="44"/>
  <c r="N56" i="44"/>
  <c r="N57" i="44"/>
  <c r="N58" i="44"/>
  <c r="N59" i="44"/>
  <c r="N60" i="44"/>
  <c r="N61" i="44"/>
  <c r="N62" i="44"/>
  <c r="N63" i="44"/>
  <c r="N64" i="44"/>
  <c r="N65" i="44"/>
  <c r="N66" i="44"/>
  <c r="N67" i="44"/>
  <c r="N68" i="44"/>
  <c r="N69" i="44"/>
  <c r="N70" i="44"/>
  <c r="N71" i="44"/>
  <c r="N72" i="44"/>
  <c r="N73" i="44"/>
  <c r="N74" i="44"/>
  <c r="N75" i="44"/>
  <c r="N77" i="44"/>
  <c r="N78" i="44"/>
  <c r="N79" i="44"/>
  <c r="N80" i="44"/>
  <c r="N81" i="44"/>
  <c r="N82" i="44"/>
  <c r="N83" i="44"/>
  <c r="N84" i="44"/>
  <c r="N85" i="44"/>
  <c r="N86" i="44"/>
  <c r="N87" i="44"/>
  <c r="N88" i="44"/>
  <c r="N89" i="44"/>
  <c r="N90" i="44"/>
  <c r="N91" i="44"/>
  <c r="N92" i="44"/>
  <c r="N93" i="44"/>
  <c r="N94" i="44"/>
  <c r="N95" i="44"/>
  <c r="N96" i="44"/>
  <c r="N97" i="44"/>
  <c r="N98" i="44"/>
  <c r="N99" i="44"/>
  <c r="N100" i="44"/>
  <c r="N101" i="44"/>
  <c r="N102" i="44"/>
  <c r="N103" i="44"/>
  <c r="N104" i="44"/>
  <c r="N105" i="44"/>
  <c r="N106" i="44"/>
  <c r="N107" i="44"/>
  <c r="N108" i="44"/>
  <c r="N109" i="44"/>
  <c r="N110" i="44"/>
  <c r="N111" i="44"/>
  <c r="N113" i="44"/>
  <c r="N114" i="44"/>
  <c r="N115" i="44"/>
  <c r="N116" i="44"/>
  <c r="N117" i="44"/>
  <c r="N118" i="44"/>
  <c r="N119" i="44"/>
  <c r="N120" i="44"/>
  <c r="N121" i="44"/>
  <c r="N122" i="44"/>
  <c r="N123" i="44"/>
  <c r="N124" i="44"/>
  <c r="N125" i="44"/>
  <c r="N126" i="44"/>
  <c r="N127" i="44"/>
  <c r="N128" i="44"/>
  <c r="N129" i="44"/>
  <c r="N130" i="44"/>
  <c r="N131" i="44"/>
  <c r="N132" i="44"/>
  <c r="N133" i="44"/>
  <c r="N134" i="44"/>
  <c r="N135" i="44"/>
  <c r="N137" i="44"/>
  <c r="N138" i="44"/>
  <c r="N139" i="44"/>
  <c r="N140" i="44"/>
  <c r="N141" i="44"/>
  <c r="N142" i="44"/>
  <c r="N143" i="44"/>
  <c r="N145" i="44"/>
  <c r="N146" i="44"/>
  <c r="N147" i="44"/>
  <c r="N149" i="44"/>
  <c r="N150" i="44"/>
  <c r="N151" i="44"/>
  <c r="N152" i="44"/>
  <c r="N153" i="44"/>
  <c r="N154" i="44"/>
  <c r="N155" i="44"/>
  <c r="N158" i="44"/>
  <c r="N159" i="44"/>
  <c r="N160" i="44"/>
  <c r="N161" i="44"/>
  <c r="N162" i="44"/>
  <c r="N163" i="44"/>
  <c r="N164" i="44"/>
  <c r="N165" i="44"/>
  <c r="N166" i="44"/>
  <c r="N170" i="44"/>
  <c r="N171" i="44"/>
  <c r="N173" i="44"/>
  <c r="N174" i="44"/>
  <c r="N175" i="44"/>
  <c r="N176" i="44"/>
  <c r="N177" i="44"/>
  <c r="N178" i="44"/>
  <c r="N179" i="44"/>
  <c r="N182" i="44"/>
  <c r="N183" i="44"/>
  <c r="N185" i="44"/>
  <c r="N186" i="44"/>
  <c r="N187" i="44"/>
  <c r="N188" i="44"/>
  <c r="N189" i="44"/>
  <c r="N190" i="44"/>
  <c r="N194" i="44"/>
  <c r="N112" i="44" l="1"/>
  <c r="P193" i="44"/>
  <c r="P181" i="44"/>
  <c r="P169" i="44"/>
  <c r="P157" i="44"/>
  <c r="N172" i="44"/>
  <c r="N148" i="44"/>
  <c r="N184" i="44"/>
  <c r="N136" i="44"/>
  <c r="N76" i="44"/>
  <c r="N4" i="44"/>
  <c r="Y27" i="10" l="1"/>
  <c r="X27" i="10"/>
  <c r="W27" i="10"/>
  <c r="V27" i="10"/>
  <c r="U27" i="10"/>
  <c r="T27" i="10"/>
  <c r="S27" i="10"/>
  <c r="R27" i="10"/>
  <c r="Q27" i="10"/>
  <c r="P27" i="10"/>
  <c r="O27" i="10"/>
  <c r="N27" i="10"/>
  <c r="M27" i="10"/>
  <c r="L27" i="10"/>
  <c r="K27" i="10"/>
  <c r="J27" i="10"/>
  <c r="I27" i="10"/>
  <c r="H27" i="10"/>
  <c r="G27" i="10"/>
  <c r="F27" i="10"/>
  <c r="E27" i="10"/>
  <c r="D27" i="10"/>
  <c r="C27" i="10"/>
  <c r="B27" i="10"/>
  <c r="Y26" i="10"/>
  <c r="X26" i="10"/>
  <c r="W26" i="10"/>
  <c r="V26" i="10"/>
  <c r="U26" i="10"/>
  <c r="T26" i="10"/>
  <c r="S26" i="10"/>
  <c r="R26" i="10"/>
  <c r="Q26" i="10"/>
  <c r="P26" i="10"/>
  <c r="O26" i="10"/>
  <c r="N26" i="10"/>
  <c r="M26" i="10"/>
  <c r="L26" i="10"/>
  <c r="K26" i="10"/>
  <c r="J26" i="10"/>
  <c r="I26" i="10"/>
  <c r="H26" i="10"/>
  <c r="G26" i="10"/>
  <c r="F26" i="10"/>
  <c r="E26" i="10"/>
  <c r="D26" i="10"/>
  <c r="C26" i="10"/>
  <c r="B26" i="10"/>
  <c r="Y25" i="10"/>
  <c r="X25" i="10"/>
  <c r="W25" i="10"/>
  <c r="V25" i="10"/>
  <c r="U25" i="10"/>
  <c r="T25" i="10"/>
  <c r="S25" i="10"/>
  <c r="R25" i="10"/>
  <c r="Q25" i="10"/>
  <c r="P25" i="10"/>
  <c r="O25" i="10"/>
  <c r="N25" i="10"/>
  <c r="M25" i="10"/>
  <c r="L25" i="10"/>
  <c r="K25" i="10"/>
  <c r="J25" i="10"/>
  <c r="I25" i="10"/>
  <c r="H25" i="10"/>
  <c r="G25" i="10"/>
  <c r="F25" i="10"/>
  <c r="E25" i="10"/>
  <c r="D25" i="10"/>
  <c r="C25" i="10"/>
  <c r="B25" i="10"/>
  <c r="Y24" i="10"/>
  <c r="X24" i="10"/>
  <c r="W24" i="10"/>
  <c r="V24" i="10"/>
  <c r="U24" i="10"/>
  <c r="T24" i="10"/>
  <c r="S24" i="10"/>
  <c r="R24" i="10"/>
  <c r="Q24" i="10"/>
  <c r="P24" i="10"/>
  <c r="O24" i="10"/>
  <c r="N24" i="10"/>
  <c r="M24" i="10"/>
  <c r="L24" i="10"/>
  <c r="K24" i="10"/>
  <c r="J24" i="10"/>
  <c r="I24" i="10"/>
  <c r="H24" i="10"/>
  <c r="G24" i="10"/>
  <c r="F24" i="10"/>
  <c r="E24" i="10"/>
  <c r="D24" i="10"/>
  <c r="C24" i="10"/>
  <c r="B24" i="10"/>
  <c r="Y23" i="10"/>
  <c r="X23" i="10"/>
  <c r="W23" i="10"/>
  <c r="V23" i="10"/>
  <c r="U23" i="10"/>
  <c r="T23" i="10"/>
  <c r="S23" i="10"/>
  <c r="R23" i="10"/>
  <c r="Q23" i="10"/>
  <c r="P23" i="10"/>
  <c r="O23" i="10"/>
  <c r="N23" i="10"/>
  <c r="M23" i="10"/>
  <c r="L23" i="10"/>
  <c r="K23" i="10"/>
  <c r="J23" i="10"/>
  <c r="I23" i="10"/>
  <c r="H23" i="10"/>
  <c r="G23" i="10"/>
  <c r="F23" i="10"/>
  <c r="E23" i="10"/>
  <c r="D23" i="10"/>
  <c r="C23" i="10"/>
  <c r="B23" i="10"/>
  <c r="Y22" i="10"/>
  <c r="X22" i="10"/>
  <c r="W22" i="10"/>
  <c r="V22" i="10"/>
  <c r="U22" i="10"/>
  <c r="T22" i="10"/>
  <c r="S22" i="10"/>
  <c r="R22" i="10"/>
  <c r="Q22" i="10"/>
  <c r="P22" i="10"/>
  <c r="O22" i="10"/>
  <c r="N22" i="10"/>
  <c r="M22" i="10"/>
  <c r="L22" i="10"/>
  <c r="K22" i="10"/>
  <c r="J22" i="10"/>
  <c r="I22" i="10"/>
  <c r="H22" i="10"/>
  <c r="G22" i="10"/>
  <c r="F22" i="10"/>
  <c r="E22" i="10"/>
  <c r="D22" i="10"/>
  <c r="C22" i="10"/>
  <c r="B22" i="10"/>
  <c r="Y27" i="28"/>
  <c r="X27" i="28"/>
  <c r="W27" i="28"/>
  <c r="V27" i="28"/>
  <c r="U27" i="28"/>
  <c r="T27" i="28"/>
  <c r="S27" i="28"/>
  <c r="R27" i="28"/>
  <c r="Q27" i="28"/>
  <c r="P27" i="28"/>
  <c r="O27" i="28"/>
  <c r="N27" i="28"/>
  <c r="M27" i="28"/>
  <c r="L27" i="28"/>
  <c r="K27" i="28"/>
  <c r="J27" i="28"/>
  <c r="I27" i="28"/>
  <c r="H27" i="28"/>
  <c r="G27" i="28"/>
  <c r="F27" i="28"/>
  <c r="E27" i="28"/>
  <c r="D27" i="28"/>
  <c r="C27" i="28"/>
  <c r="B27" i="28"/>
  <c r="Y26" i="28"/>
  <c r="X26" i="28"/>
  <c r="W26" i="28"/>
  <c r="V26" i="28"/>
  <c r="U26" i="28"/>
  <c r="T26" i="28"/>
  <c r="S26" i="28"/>
  <c r="R26" i="28"/>
  <c r="Q26" i="28"/>
  <c r="P26" i="28"/>
  <c r="O26" i="28"/>
  <c r="N26" i="28"/>
  <c r="M26" i="28"/>
  <c r="L26" i="28"/>
  <c r="K26" i="28"/>
  <c r="J26" i="28"/>
  <c r="I26" i="28"/>
  <c r="H26" i="28"/>
  <c r="G26" i="28"/>
  <c r="F26" i="28"/>
  <c r="E26" i="28"/>
  <c r="D26" i="28"/>
  <c r="C26" i="28"/>
  <c r="B26" i="28"/>
  <c r="Y25" i="28"/>
  <c r="X25" i="28"/>
  <c r="W25" i="28"/>
  <c r="V25" i="28"/>
  <c r="U25" i="28"/>
  <c r="T25" i="28"/>
  <c r="S25" i="28"/>
  <c r="R25" i="28"/>
  <c r="Q25" i="28"/>
  <c r="P25" i="28"/>
  <c r="O25" i="28"/>
  <c r="N25" i="28"/>
  <c r="M25" i="28"/>
  <c r="L25" i="28"/>
  <c r="K25" i="28"/>
  <c r="J25" i="28"/>
  <c r="I25" i="28"/>
  <c r="H25" i="28"/>
  <c r="G25" i="28"/>
  <c r="F25" i="28"/>
  <c r="E25" i="28"/>
  <c r="D25" i="28"/>
  <c r="C25" i="28"/>
  <c r="B25" i="28"/>
  <c r="Y24" i="28"/>
  <c r="X24" i="28"/>
  <c r="W24" i="28"/>
  <c r="V24" i="28"/>
  <c r="U24" i="28"/>
  <c r="T24" i="28"/>
  <c r="S24" i="28"/>
  <c r="R24" i="28"/>
  <c r="Q24" i="28"/>
  <c r="P24" i="28"/>
  <c r="O24" i="28"/>
  <c r="N24" i="28"/>
  <c r="M24" i="28"/>
  <c r="L24" i="28"/>
  <c r="K24" i="28"/>
  <c r="J24" i="28"/>
  <c r="I24" i="28"/>
  <c r="H24" i="28"/>
  <c r="G24" i="28"/>
  <c r="F24" i="28"/>
  <c r="E24" i="28"/>
  <c r="D24" i="28"/>
  <c r="C24" i="28"/>
  <c r="B24" i="28"/>
  <c r="Y23" i="28"/>
  <c r="X23" i="28"/>
  <c r="W23" i="28"/>
  <c r="V23" i="28"/>
  <c r="U23" i="28"/>
  <c r="T23" i="28"/>
  <c r="S23" i="28"/>
  <c r="R23" i="28"/>
  <c r="Q23" i="28"/>
  <c r="P23" i="28"/>
  <c r="O23" i="28"/>
  <c r="N23" i="28"/>
  <c r="M23" i="28"/>
  <c r="L23" i="28"/>
  <c r="K23" i="28"/>
  <c r="J23" i="28"/>
  <c r="I23" i="28"/>
  <c r="H23" i="28"/>
  <c r="G23" i="28"/>
  <c r="F23" i="28"/>
  <c r="E23" i="28"/>
  <c r="D23" i="28"/>
  <c r="C23" i="28"/>
  <c r="B23" i="28"/>
  <c r="Y22" i="28"/>
  <c r="X22" i="28"/>
  <c r="W22" i="28"/>
  <c r="V22" i="28"/>
  <c r="U22" i="28"/>
  <c r="T22" i="28"/>
  <c r="S22" i="28"/>
  <c r="R22" i="28"/>
  <c r="Q22" i="28"/>
  <c r="P22" i="28"/>
  <c r="O22" i="28"/>
  <c r="N22" i="28"/>
  <c r="M22" i="28"/>
  <c r="L22" i="28"/>
  <c r="K22" i="28"/>
  <c r="J22" i="28"/>
  <c r="I22" i="28"/>
  <c r="H22" i="28"/>
  <c r="G22" i="28"/>
  <c r="F22" i="28"/>
  <c r="E22" i="28"/>
  <c r="D22" i="28"/>
  <c r="C22" i="28"/>
  <c r="B22" i="28"/>
  <c r="Y27" i="30"/>
  <c r="X27" i="30"/>
  <c r="W27" i="30"/>
  <c r="V27" i="30"/>
  <c r="U27" i="30"/>
  <c r="T27" i="30"/>
  <c r="S27" i="30"/>
  <c r="R27" i="30"/>
  <c r="Q27" i="30"/>
  <c r="P27" i="30"/>
  <c r="O27" i="30"/>
  <c r="N27" i="30"/>
  <c r="M27" i="30"/>
  <c r="L27" i="30"/>
  <c r="K27" i="30"/>
  <c r="J27" i="30"/>
  <c r="I27" i="30"/>
  <c r="H27" i="30"/>
  <c r="G27" i="30"/>
  <c r="F27" i="30"/>
  <c r="E27" i="30"/>
  <c r="D27" i="30"/>
  <c r="C27" i="30"/>
  <c r="B27" i="30"/>
  <c r="Y26" i="30"/>
  <c r="X26" i="30"/>
  <c r="W26" i="30"/>
  <c r="V26" i="30"/>
  <c r="U26" i="30"/>
  <c r="T26" i="30"/>
  <c r="S26" i="30"/>
  <c r="R26" i="30"/>
  <c r="Q26" i="30"/>
  <c r="P26" i="30"/>
  <c r="O26" i="30"/>
  <c r="N26" i="30"/>
  <c r="M26" i="30"/>
  <c r="L26" i="30"/>
  <c r="K26" i="30"/>
  <c r="J26" i="30"/>
  <c r="I26" i="30"/>
  <c r="H26" i="30"/>
  <c r="G26" i="30"/>
  <c r="F26" i="30"/>
  <c r="E26" i="30"/>
  <c r="D26" i="30"/>
  <c r="C26" i="30"/>
  <c r="B26" i="30"/>
  <c r="Y25" i="30"/>
  <c r="X25" i="30"/>
  <c r="W25" i="30"/>
  <c r="V25" i="30"/>
  <c r="U25" i="30"/>
  <c r="T25" i="30"/>
  <c r="S25" i="30"/>
  <c r="R25" i="30"/>
  <c r="Q25" i="30"/>
  <c r="P25" i="30"/>
  <c r="O25" i="30"/>
  <c r="N25" i="30"/>
  <c r="M25" i="30"/>
  <c r="L25" i="30"/>
  <c r="K25" i="30"/>
  <c r="J25" i="30"/>
  <c r="I25" i="30"/>
  <c r="H25" i="30"/>
  <c r="G25" i="30"/>
  <c r="F25" i="30"/>
  <c r="E25" i="30"/>
  <c r="D25" i="30"/>
  <c r="C25" i="30"/>
  <c r="B25" i="30"/>
  <c r="Y24" i="30"/>
  <c r="X24" i="30"/>
  <c r="W24" i="30"/>
  <c r="V24" i="30"/>
  <c r="U24" i="30"/>
  <c r="T24" i="30"/>
  <c r="S24" i="30"/>
  <c r="R24" i="30"/>
  <c r="Q24" i="30"/>
  <c r="P24" i="30"/>
  <c r="O24" i="30"/>
  <c r="N24" i="30"/>
  <c r="M24" i="30"/>
  <c r="L24" i="30"/>
  <c r="K24" i="30"/>
  <c r="J24" i="30"/>
  <c r="I24" i="30"/>
  <c r="H24" i="30"/>
  <c r="G24" i="30"/>
  <c r="F24" i="30"/>
  <c r="E24" i="30"/>
  <c r="D24" i="30"/>
  <c r="C24" i="30"/>
  <c r="B24" i="30"/>
  <c r="Y23" i="30"/>
  <c r="X23" i="30"/>
  <c r="W23" i="30"/>
  <c r="V23" i="30"/>
  <c r="U23" i="30"/>
  <c r="T23" i="30"/>
  <c r="S23" i="30"/>
  <c r="R23" i="30"/>
  <c r="Q23" i="30"/>
  <c r="P23" i="30"/>
  <c r="O23" i="30"/>
  <c r="N23" i="30"/>
  <c r="M23" i="30"/>
  <c r="L23" i="30"/>
  <c r="K23" i="30"/>
  <c r="J23" i="30"/>
  <c r="I23" i="30"/>
  <c r="H23" i="30"/>
  <c r="G23" i="30"/>
  <c r="F23" i="30"/>
  <c r="E23" i="30"/>
  <c r="D23" i="30"/>
  <c r="C23" i="30"/>
  <c r="B23" i="30"/>
  <c r="Y22" i="30"/>
  <c r="X22" i="30"/>
  <c r="W22" i="30"/>
  <c r="V22" i="30"/>
  <c r="U22" i="30"/>
  <c r="T22" i="30"/>
  <c r="S22" i="30"/>
  <c r="R22" i="30"/>
  <c r="Q22" i="30"/>
  <c r="P22" i="30"/>
  <c r="O22" i="30"/>
  <c r="N22" i="30"/>
  <c r="M22" i="30"/>
  <c r="L22" i="30"/>
  <c r="K22" i="30"/>
  <c r="J22" i="30"/>
  <c r="I22" i="30"/>
  <c r="H22" i="30"/>
  <c r="G22" i="30"/>
  <c r="F22" i="30"/>
  <c r="E22" i="30"/>
  <c r="D22" i="30"/>
  <c r="C22" i="30"/>
  <c r="B22" i="30"/>
  <c r="Y27" i="11"/>
  <c r="X27" i="11"/>
  <c r="W27" i="11"/>
  <c r="V27" i="11"/>
  <c r="U27" i="11"/>
  <c r="T27" i="11"/>
  <c r="S27" i="11"/>
  <c r="R27" i="11"/>
  <c r="Q27" i="11"/>
  <c r="P27" i="11"/>
  <c r="O27" i="11"/>
  <c r="N27" i="11"/>
  <c r="M27" i="11"/>
  <c r="L27" i="11"/>
  <c r="K27" i="11"/>
  <c r="J27" i="11"/>
  <c r="I27" i="11"/>
  <c r="H27" i="11"/>
  <c r="G27" i="11"/>
  <c r="F27" i="11"/>
  <c r="E27" i="11"/>
  <c r="D27" i="11"/>
  <c r="C27" i="11"/>
  <c r="B27" i="11"/>
  <c r="Y26" i="11"/>
  <c r="X26" i="11"/>
  <c r="W26" i="11"/>
  <c r="V26" i="11"/>
  <c r="U26" i="11"/>
  <c r="T26" i="11"/>
  <c r="S26" i="11"/>
  <c r="R26" i="11"/>
  <c r="Q26" i="11"/>
  <c r="P26" i="11"/>
  <c r="O26" i="11"/>
  <c r="N26" i="11"/>
  <c r="M26" i="11"/>
  <c r="L26" i="11"/>
  <c r="K26" i="11"/>
  <c r="J26" i="11"/>
  <c r="I26" i="11"/>
  <c r="H26" i="11"/>
  <c r="G26" i="11"/>
  <c r="F26" i="11"/>
  <c r="E26" i="11"/>
  <c r="D26" i="11"/>
  <c r="C26" i="11"/>
  <c r="B26" i="11"/>
  <c r="Y25" i="11"/>
  <c r="X25" i="11"/>
  <c r="W25" i="11"/>
  <c r="V25" i="11"/>
  <c r="U25" i="11"/>
  <c r="T25" i="11"/>
  <c r="S25" i="11"/>
  <c r="R25" i="11"/>
  <c r="Q25" i="11"/>
  <c r="P25" i="11"/>
  <c r="O25" i="11"/>
  <c r="N25" i="11"/>
  <c r="M25" i="11"/>
  <c r="L25" i="11"/>
  <c r="K25" i="11"/>
  <c r="J25" i="11"/>
  <c r="I25" i="11"/>
  <c r="H25" i="11"/>
  <c r="G25" i="11"/>
  <c r="F25" i="11"/>
  <c r="E25" i="11"/>
  <c r="D25" i="11"/>
  <c r="C25" i="11"/>
  <c r="B25" i="11"/>
  <c r="Y24" i="11"/>
  <c r="X24" i="11"/>
  <c r="W24" i="11"/>
  <c r="V24" i="11"/>
  <c r="U24" i="11"/>
  <c r="T24" i="11"/>
  <c r="S24" i="11"/>
  <c r="R24" i="11"/>
  <c r="Q24" i="11"/>
  <c r="P24" i="11"/>
  <c r="O24" i="11"/>
  <c r="N24" i="11"/>
  <c r="M24" i="11"/>
  <c r="L24" i="11"/>
  <c r="K24" i="11"/>
  <c r="J24" i="11"/>
  <c r="I24" i="11"/>
  <c r="H24" i="11"/>
  <c r="G24" i="11"/>
  <c r="F24" i="11"/>
  <c r="E24" i="11"/>
  <c r="D24" i="11"/>
  <c r="C24" i="11"/>
  <c r="B24" i="11"/>
  <c r="Y23" i="11"/>
  <c r="X23" i="11"/>
  <c r="W23" i="11"/>
  <c r="V23" i="11"/>
  <c r="U23" i="11"/>
  <c r="T23" i="11"/>
  <c r="S23" i="11"/>
  <c r="R23" i="11"/>
  <c r="Q23" i="11"/>
  <c r="P23" i="11"/>
  <c r="O23" i="11"/>
  <c r="N23" i="11"/>
  <c r="M23" i="11"/>
  <c r="L23" i="11"/>
  <c r="K23" i="11"/>
  <c r="J23" i="11"/>
  <c r="I23" i="11"/>
  <c r="H23" i="11"/>
  <c r="G23" i="11"/>
  <c r="F23" i="11"/>
  <c r="E23" i="11"/>
  <c r="D23" i="11"/>
  <c r="C23" i="11"/>
  <c r="B23" i="11"/>
  <c r="Y22" i="11"/>
  <c r="X22" i="11"/>
  <c r="W22" i="11"/>
  <c r="V22" i="11"/>
  <c r="U22" i="11"/>
  <c r="T22" i="11"/>
  <c r="S22" i="11"/>
  <c r="R22" i="11"/>
  <c r="Q22" i="11"/>
  <c r="P22" i="11"/>
  <c r="O22" i="11"/>
  <c r="N22" i="11"/>
  <c r="M22" i="11"/>
  <c r="L22" i="11"/>
  <c r="K22" i="11"/>
  <c r="J22" i="11"/>
  <c r="I22" i="11"/>
  <c r="H22" i="11"/>
  <c r="G22" i="11"/>
  <c r="F22" i="11"/>
  <c r="E22" i="11"/>
  <c r="D22" i="11"/>
  <c r="C22" i="11"/>
  <c r="B22" i="11"/>
  <c r="Y27" i="22"/>
  <c r="X27" i="22"/>
  <c r="W27" i="22"/>
  <c r="V27" i="22"/>
  <c r="U27" i="22"/>
  <c r="T27" i="22"/>
  <c r="S27" i="22"/>
  <c r="R27" i="22"/>
  <c r="Q27" i="22"/>
  <c r="P27" i="22"/>
  <c r="O27" i="22"/>
  <c r="N27" i="22"/>
  <c r="M27" i="22"/>
  <c r="L27" i="22"/>
  <c r="K27" i="22"/>
  <c r="J27" i="22"/>
  <c r="I27" i="22"/>
  <c r="H27" i="22"/>
  <c r="G27" i="22"/>
  <c r="F27" i="22"/>
  <c r="E27" i="22"/>
  <c r="D27" i="22"/>
  <c r="C27" i="22"/>
  <c r="B27" i="22"/>
  <c r="Y26" i="22"/>
  <c r="X26" i="22"/>
  <c r="W26" i="22"/>
  <c r="V26" i="22"/>
  <c r="U26" i="22"/>
  <c r="T26" i="22"/>
  <c r="S26" i="22"/>
  <c r="R26" i="22"/>
  <c r="Q26" i="22"/>
  <c r="P26" i="22"/>
  <c r="O26" i="22"/>
  <c r="N26" i="22"/>
  <c r="M26" i="22"/>
  <c r="L26" i="22"/>
  <c r="K26" i="22"/>
  <c r="J26" i="22"/>
  <c r="I26" i="22"/>
  <c r="H26" i="22"/>
  <c r="G26" i="22"/>
  <c r="F26" i="22"/>
  <c r="E26" i="22"/>
  <c r="D26" i="22"/>
  <c r="C26" i="22"/>
  <c r="B26" i="22"/>
  <c r="Y25" i="22"/>
  <c r="X25" i="22"/>
  <c r="W25" i="22"/>
  <c r="V25" i="22"/>
  <c r="U25" i="22"/>
  <c r="T25" i="22"/>
  <c r="S25" i="22"/>
  <c r="R25" i="22"/>
  <c r="Q25" i="22"/>
  <c r="P25" i="22"/>
  <c r="O25" i="22"/>
  <c r="N25" i="22"/>
  <c r="M25" i="22"/>
  <c r="L25" i="22"/>
  <c r="K25" i="22"/>
  <c r="J25" i="22"/>
  <c r="I25" i="22"/>
  <c r="H25" i="22"/>
  <c r="G25" i="22"/>
  <c r="F25" i="22"/>
  <c r="E25" i="22"/>
  <c r="D25" i="22"/>
  <c r="C25" i="22"/>
  <c r="B25" i="22"/>
  <c r="Y24" i="22"/>
  <c r="X24" i="22"/>
  <c r="W24" i="22"/>
  <c r="V24" i="22"/>
  <c r="U24" i="22"/>
  <c r="T24" i="22"/>
  <c r="S24" i="22"/>
  <c r="R24" i="22"/>
  <c r="Q24" i="22"/>
  <c r="P24" i="22"/>
  <c r="O24" i="22"/>
  <c r="N24" i="22"/>
  <c r="M24" i="22"/>
  <c r="L24" i="22"/>
  <c r="K24" i="22"/>
  <c r="J24" i="22"/>
  <c r="I24" i="22"/>
  <c r="H24" i="22"/>
  <c r="G24" i="22"/>
  <c r="F24" i="22"/>
  <c r="E24" i="22"/>
  <c r="D24" i="22"/>
  <c r="C24" i="22"/>
  <c r="B24" i="22"/>
  <c r="Y23" i="22"/>
  <c r="X23" i="22"/>
  <c r="W23" i="22"/>
  <c r="V23" i="22"/>
  <c r="U23" i="22"/>
  <c r="T23" i="22"/>
  <c r="S23" i="22"/>
  <c r="R23" i="22"/>
  <c r="Q23" i="22"/>
  <c r="P23" i="22"/>
  <c r="O23" i="22"/>
  <c r="N23" i="22"/>
  <c r="M23" i="22"/>
  <c r="L23" i="22"/>
  <c r="K23" i="22"/>
  <c r="J23" i="22"/>
  <c r="I23" i="22"/>
  <c r="H23" i="22"/>
  <c r="G23" i="22"/>
  <c r="F23" i="22"/>
  <c r="E23" i="22"/>
  <c r="D23" i="22"/>
  <c r="C23" i="22"/>
  <c r="B23" i="22"/>
  <c r="Y22" i="22"/>
  <c r="X22" i="22"/>
  <c r="W22" i="22"/>
  <c r="V22" i="22"/>
  <c r="U22" i="22"/>
  <c r="T22" i="22"/>
  <c r="S22" i="22"/>
  <c r="R22" i="22"/>
  <c r="Q22" i="22"/>
  <c r="P22" i="22"/>
  <c r="O22" i="22"/>
  <c r="N22" i="22"/>
  <c r="M22" i="22"/>
  <c r="L22" i="22"/>
  <c r="K22" i="22"/>
  <c r="J22" i="22"/>
  <c r="I22" i="22"/>
  <c r="H22" i="22"/>
  <c r="G22" i="22"/>
  <c r="F22" i="22"/>
  <c r="E22" i="22"/>
  <c r="D22" i="22"/>
  <c r="C22" i="22"/>
  <c r="B22" i="22"/>
  <c r="B22" i="21"/>
  <c r="Y27" i="21"/>
  <c r="X27" i="21"/>
  <c r="W27" i="21"/>
  <c r="V27" i="21"/>
  <c r="U27" i="21"/>
  <c r="T27" i="21"/>
  <c r="S27" i="21"/>
  <c r="R27" i="21"/>
  <c r="Q27" i="21"/>
  <c r="P27" i="21"/>
  <c r="O27" i="21"/>
  <c r="N27" i="21"/>
  <c r="M27" i="21"/>
  <c r="L27" i="21"/>
  <c r="K27" i="21"/>
  <c r="J27" i="21"/>
  <c r="I27" i="21"/>
  <c r="H27" i="21"/>
  <c r="G27" i="21"/>
  <c r="F27" i="21"/>
  <c r="E27" i="21"/>
  <c r="D27" i="21"/>
  <c r="C27" i="21"/>
  <c r="B27" i="21"/>
  <c r="Y26" i="21"/>
  <c r="X26" i="21"/>
  <c r="W26" i="21"/>
  <c r="V26" i="21"/>
  <c r="U26" i="21"/>
  <c r="T26" i="21"/>
  <c r="S26" i="21"/>
  <c r="R26" i="21"/>
  <c r="Q26" i="21"/>
  <c r="P26" i="21"/>
  <c r="O26" i="21"/>
  <c r="N26" i="21"/>
  <c r="M26" i="21"/>
  <c r="L26" i="21"/>
  <c r="K26" i="21"/>
  <c r="J26" i="21"/>
  <c r="I26" i="21"/>
  <c r="H26" i="21"/>
  <c r="G26" i="21"/>
  <c r="F26" i="21"/>
  <c r="E26" i="21"/>
  <c r="D26" i="21"/>
  <c r="C26" i="21"/>
  <c r="B26" i="21"/>
  <c r="Y25" i="21"/>
  <c r="X25" i="21"/>
  <c r="W25" i="21"/>
  <c r="V25" i="21"/>
  <c r="U25" i="21"/>
  <c r="T25" i="21"/>
  <c r="S25" i="21"/>
  <c r="R25" i="21"/>
  <c r="Q25" i="21"/>
  <c r="P25" i="21"/>
  <c r="O25" i="21"/>
  <c r="N25" i="21"/>
  <c r="M25" i="21"/>
  <c r="L25" i="21"/>
  <c r="K25" i="21"/>
  <c r="J25" i="21"/>
  <c r="I25" i="21"/>
  <c r="H25" i="21"/>
  <c r="G25" i="21"/>
  <c r="F25" i="21"/>
  <c r="E25" i="21"/>
  <c r="D25" i="21"/>
  <c r="C25" i="21"/>
  <c r="B25" i="21"/>
  <c r="Y24" i="21"/>
  <c r="X24" i="21"/>
  <c r="W24" i="21"/>
  <c r="V24" i="21"/>
  <c r="U24" i="21"/>
  <c r="T24" i="21"/>
  <c r="S24" i="21"/>
  <c r="R24" i="21"/>
  <c r="Q24" i="21"/>
  <c r="P24" i="21"/>
  <c r="O24" i="21"/>
  <c r="N24" i="21"/>
  <c r="M24" i="21"/>
  <c r="L24" i="21"/>
  <c r="K24" i="21"/>
  <c r="J24" i="21"/>
  <c r="I24" i="21"/>
  <c r="H24" i="21"/>
  <c r="G24" i="21"/>
  <c r="F24" i="21"/>
  <c r="E24" i="21"/>
  <c r="D24" i="21"/>
  <c r="C24" i="21"/>
  <c r="B24" i="21"/>
  <c r="Y23" i="21"/>
  <c r="X23" i="21"/>
  <c r="W23" i="21"/>
  <c r="V23" i="21"/>
  <c r="U23" i="21"/>
  <c r="T23" i="21"/>
  <c r="S23" i="21"/>
  <c r="R23" i="21"/>
  <c r="Q23" i="21"/>
  <c r="P23" i="21"/>
  <c r="O23" i="21"/>
  <c r="N23" i="21"/>
  <c r="M23" i="21"/>
  <c r="L23" i="21"/>
  <c r="K23" i="21"/>
  <c r="J23" i="21"/>
  <c r="I23" i="21"/>
  <c r="H23" i="21"/>
  <c r="G23" i="21"/>
  <c r="F23" i="21"/>
  <c r="E23" i="21"/>
  <c r="D23" i="21"/>
  <c r="C23" i="21"/>
  <c r="B23" i="21"/>
  <c r="Y22" i="21"/>
  <c r="X22" i="21"/>
  <c r="W22" i="21"/>
  <c r="V22" i="21"/>
  <c r="U22" i="21"/>
  <c r="T22" i="21"/>
  <c r="S22" i="21"/>
  <c r="R22" i="21"/>
  <c r="Q22" i="21"/>
  <c r="P22" i="21"/>
  <c r="O22" i="21"/>
  <c r="N22" i="21"/>
  <c r="M22" i="21"/>
  <c r="L22" i="21"/>
  <c r="K22" i="21"/>
  <c r="J22" i="21"/>
  <c r="I22" i="21"/>
  <c r="H22" i="21"/>
  <c r="G22" i="21"/>
  <c r="F22" i="21"/>
  <c r="E22" i="21"/>
  <c r="D22" i="21"/>
  <c r="C22" i="21"/>
  <c r="C21" i="19"/>
  <c r="D21" i="19"/>
  <c r="E21" i="19"/>
  <c r="F21" i="19"/>
  <c r="G21" i="19"/>
  <c r="H21" i="19"/>
  <c r="I21" i="19"/>
  <c r="J21" i="19"/>
  <c r="K21" i="19"/>
  <c r="L21" i="19"/>
  <c r="M21" i="19"/>
  <c r="N21" i="19"/>
  <c r="O21" i="19"/>
  <c r="P21" i="19"/>
  <c r="Q21" i="19"/>
  <c r="R21" i="19"/>
  <c r="S21" i="19"/>
  <c r="T21" i="19"/>
  <c r="U21" i="19"/>
  <c r="V21" i="19"/>
  <c r="W21" i="19"/>
  <c r="X21" i="19"/>
  <c r="Y21" i="19"/>
  <c r="C22" i="19"/>
  <c r="D22" i="19"/>
  <c r="E22" i="19"/>
  <c r="F22" i="19"/>
  <c r="G22" i="19"/>
  <c r="H22" i="19"/>
  <c r="I22" i="19"/>
  <c r="J22" i="19"/>
  <c r="K22" i="19"/>
  <c r="L22" i="19"/>
  <c r="M22" i="19"/>
  <c r="N22" i="19"/>
  <c r="O22" i="19"/>
  <c r="P22" i="19"/>
  <c r="Q22" i="19"/>
  <c r="R22" i="19"/>
  <c r="S22" i="19"/>
  <c r="T22" i="19"/>
  <c r="U22" i="19"/>
  <c r="V22" i="19"/>
  <c r="W22" i="19"/>
  <c r="X22" i="19"/>
  <c r="Y22" i="19"/>
  <c r="C23" i="19"/>
  <c r="D23" i="19"/>
  <c r="E23" i="19"/>
  <c r="F23" i="19"/>
  <c r="G23" i="19"/>
  <c r="H23" i="19"/>
  <c r="I23" i="19"/>
  <c r="J23" i="19"/>
  <c r="K23" i="19"/>
  <c r="L23" i="19"/>
  <c r="M23" i="19"/>
  <c r="N23" i="19"/>
  <c r="O23" i="19"/>
  <c r="P23" i="19"/>
  <c r="Q23" i="19"/>
  <c r="R23" i="19"/>
  <c r="S23" i="19"/>
  <c r="T23" i="19"/>
  <c r="U23" i="19"/>
  <c r="V23" i="19"/>
  <c r="W23" i="19"/>
  <c r="X23" i="19"/>
  <c r="Y23" i="19"/>
  <c r="C24" i="19"/>
  <c r="D24" i="19"/>
  <c r="E24" i="19"/>
  <c r="F24" i="19"/>
  <c r="G24" i="19"/>
  <c r="H24" i="19"/>
  <c r="I24" i="19"/>
  <c r="J24" i="19"/>
  <c r="K24" i="19"/>
  <c r="L24" i="19"/>
  <c r="M24" i="19"/>
  <c r="N24" i="19"/>
  <c r="O24" i="19"/>
  <c r="P24" i="19"/>
  <c r="Q24" i="19"/>
  <c r="R24" i="19"/>
  <c r="S24" i="19"/>
  <c r="T24" i="19"/>
  <c r="U24" i="19"/>
  <c r="V24" i="19"/>
  <c r="W24" i="19"/>
  <c r="X24" i="19"/>
  <c r="Y24" i="19"/>
  <c r="C25" i="19"/>
  <c r="D25" i="19"/>
  <c r="E25" i="19"/>
  <c r="F25" i="19"/>
  <c r="G25" i="19"/>
  <c r="H25" i="19"/>
  <c r="I25" i="19"/>
  <c r="J25" i="19"/>
  <c r="K25" i="19"/>
  <c r="L25" i="19"/>
  <c r="M25" i="19"/>
  <c r="N25" i="19"/>
  <c r="O25" i="19"/>
  <c r="P25" i="19"/>
  <c r="Q25" i="19"/>
  <c r="R25" i="19"/>
  <c r="S25" i="19"/>
  <c r="T25" i="19"/>
  <c r="U25" i="19"/>
  <c r="V25" i="19"/>
  <c r="W25" i="19"/>
  <c r="X25" i="19"/>
  <c r="Y25" i="19"/>
  <c r="C26" i="19"/>
  <c r="D26" i="19"/>
  <c r="E26" i="19"/>
  <c r="F26" i="19"/>
  <c r="G26" i="19"/>
  <c r="H26" i="19"/>
  <c r="I26" i="19"/>
  <c r="J26" i="19"/>
  <c r="K26" i="19"/>
  <c r="L26" i="19"/>
  <c r="M26" i="19"/>
  <c r="N26" i="19"/>
  <c r="O26" i="19"/>
  <c r="P26" i="19"/>
  <c r="Q26" i="19"/>
  <c r="R26" i="19"/>
  <c r="S26" i="19"/>
  <c r="T26" i="19"/>
  <c r="U26" i="19"/>
  <c r="V26" i="19"/>
  <c r="W26" i="19"/>
  <c r="X26" i="19"/>
  <c r="Y26" i="19"/>
  <c r="B21" i="19"/>
  <c r="B26" i="19"/>
  <c r="B25" i="19"/>
  <c r="B24" i="19"/>
  <c r="B23" i="19"/>
  <c r="B22" i="19"/>
  <c r="C21" i="17"/>
  <c r="D21" i="17"/>
  <c r="E21" i="17"/>
  <c r="F21" i="17"/>
  <c r="G21" i="17"/>
  <c r="H21" i="17"/>
  <c r="I21" i="17"/>
  <c r="J21" i="17"/>
  <c r="K21" i="17"/>
  <c r="L21" i="17"/>
  <c r="M21" i="17"/>
  <c r="N21" i="17"/>
  <c r="O21" i="17"/>
  <c r="P21" i="17"/>
  <c r="Q21" i="17"/>
  <c r="R21" i="17"/>
  <c r="S21" i="17"/>
  <c r="T21" i="17"/>
  <c r="U21" i="17"/>
  <c r="V21" i="17"/>
  <c r="W21" i="17"/>
  <c r="X21" i="17"/>
  <c r="Y21" i="17"/>
  <c r="C22" i="17"/>
  <c r="D22" i="17"/>
  <c r="E22" i="17"/>
  <c r="F22" i="17"/>
  <c r="G22" i="17"/>
  <c r="H22" i="17"/>
  <c r="I22" i="17"/>
  <c r="J22" i="17"/>
  <c r="K22" i="17"/>
  <c r="L22" i="17"/>
  <c r="M22" i="17"/>
  <c r="N22" i="17"/>
  <c r="O22" i="17"/>
  <c r="P22" i="17"/>
  <c r="Q22" i="17"/>
  <c r="R22" i="17"/>
  <c r="S22" i="17"/>
  <c r="T22" i="17"/>
  <c r="U22" i="17"/>
  <c r="V22" i="17"/>
  <c r="W22" i="17"/>
  <c r="X22" i="17"/>
  <c r="Y22" i="17"/>
  <c r="C23" i="17"/>
  <c r="D23" i="17"/>
  <c r="E23" i="17"/>
  <c r="F23" i="17"/>
  <c r="G23" i="17"/>
  <c r="H23" i="17"/>
  <c r="I23" i="17"/>
  <c r="J23" i="17"/>
  <c r="K23" i="17"/>
  <c r="L23" i="17"/>
  <c r="M23" i="17"/>
  <c r="N23" i="17"/>
  <c r="O23" i="17"/>
  <c r="P23" i="17"/>
  <c r="Q23" i="17"/>
  <c r="R23" i="17"/>
  <c r="S23" i="17"/>
  <c r="T23" i="17"/>
  <c r="U23" i="17"/>
  <c r="V23" i="17"/>
  <c r="W23" i="17"/>
  <c r="X23" i="17"/>
  <c r="Y23" i="17"/>
  <c r="C24" i="17"/>
  <c r="D24" i="17"/>
  <c r="E24" i="17"/>
  <c r="F24" i="17"/>
  <c r="G24" i="17"/>
  <c r="H24" i="17"/>
  <c r="I24" i="17"/>
  <c r="J24" i="17"/>
  <c r="K24" i="17"/>
  <c r="L24" i="17"/>
  <c r="M24" i="17"/>
  <c r="N24" i="17"/>
  <c r="O24" i="17"/>
  <c r="P24" i="17"/>
  <c r="Q24" i="17"/>
  <c r="R24" i="17"/>
  <c r="S24" i="17"/>
  <c r="T24" i="17"/>
  <c r="U24" i="17"/>
  <c r="V24" i="17"/>
  <c r="W24" i="17"/>
  <c r="X24" i="17"/>
  <c r="Y24" i="17"/>
  <c r="C25" i="17"/>
  <c r="D25" i="17"/>
  <c r="E25" i="17"/>
  <c r="F25" i="17"/>
  <c r="G25" i="17"/>
  <c r="H25" i="17"/>
  <c r="I25" i="17"/>
  <c r="J25" i="17"/>
  <c r="K25" i="17"/>
  <c r="L25" i="17"/>
  <c r="M25" i="17"/>
  <c r="N25" i="17"/>
  <c r="O25" i="17"/>
  <c r="P25" i="17"/>
  <c r="Q25" i="17"/>
  <c r="R25" i="17"/>
  <c r="S25" i="17"/>
  <c r="T25" i="17"/>
  <c r="U25" i="17"/>
  <c r="V25" i="17"/>
  <c r="W25" i="17"/>
  <c r="X25" i="17"/>
  <c r="Y25" i="17"/>
  <c r="C26" i="17"/>
  <c r="D26" i="17"/>
  <c r="E26" i="17"/>
  <c r="F26" i="17"/>
  <c r="G26" i="17"/>
  <c r="H26" i="17"/>
  <c r="I26" i="17"/>
  <c r="J26" i="17"/>
  <c r="K26" i="17"/>
  <c r="L26" i="17"/>
  <c r="M26" i="17"/>
  <c r="N26" i="17"/>
  <c r="O26" i="17"/>
  <c r="P26" i="17"/>
  <c r="Q26" i="17"/>
  <c r="R26" i="17"/>
  <c r="S26" i="17"/>
  <c r="T26" i="17"/>
  <c r="U26" i="17"/>
  <c r="V26" i="17"/>
  <c r="W26" i="17"/>
  <c r="X26" i="17"/>
  <c r="Y26" i="17"/>
  <c r="B22" i="17"/>
  <c r="B23" i="17"/>
  <c r="B24" i="17"/>
  <c r="B25" i="17"/>
  <c r="B26" i="17"/>
  <c r="B21" i="17"/>
  <c r="C20" i="18"/>
  <c r="D20" i="18"/>
  <c r="E20" i="18"/>
  <c r="F20" i="18"/>
  <c r="G20" i="18"/>
  <c r="H20" i="18"/>
  <c r="I20" i="18"/>
  <c r="J20" i="18"/>
  <c r="K20" i="18"/>
  <c r="L20" i="18"/>
  <c r="M20" i="18"/>
  <c r="N20" i="18"/>
  <c r="O20" i="18"/>
  <c r="P20" i="18"/>
  <c r="Q20" i="18"/>
  <c r="R20" i="18"/>
  <c r="S20" i="18"/>
  <c r="T20" i="18"/>
  <c r="U20" i="18"/>
  <c r="V20" i="18"/>
  <c r="W20" i="18"/>
  <c r="X20" i="18"/>
  <c r="Y20" i="18"/>
  <c r="C21" i="18"/>
  <c r="D21" i="18"/>
  <c r="E21" i="18"/>
  <c r="F21" i="18"/>
  <c r="G21" i="18"/>
  <c r="H21" i="18"/>
  <c r="I21" i="18"/>
  <c r="J21" i="18"/>
  <c r="K21" i="18"/>
  <c r="L21" i="18"/>
  <c r="M21" i="18"/>
  <c r="N21" i="18"/>
  <c r="O21" i="18"/>
  <c r="P21" i="18"/>
  <c r="Q21" i="18"/>
  <c r="R21" i="18"/>
  <c r="S21" i="18"/>
  <c r="T21" i="18"/>
  <c r="U21" i="18"/>
  <c r="V21" i="18"/>
  <c r="W21" i="18"/>
  <c r="X21" i="18"/>
  <c r="Y21" i="18"/>
  <c r="C22" i="18"/>
  <c r="D22" i="18"/>
  <c r="E22" i="18"/>
  <c r="F22" i="18"/>
  <c r="G22" i="18"/>
  <c r="H22" i="18"/>
  <c r="I22" i="18"/>
  <c r="J22" i="18"/>
  <c r="K22" i="18"/>
  <c r="L22" i="18"/>
  <c r="M22" i="18"/>
  <c r="N22" i="18"/>
  <c r="O22" i="18"/>
  <c r="P22" i="18"/>
  <c r="Q22" i="18"/>
  <c r="R22" i="18"/>
  <c r="S22" i="18"/>
  <c r="T22" i="18"/>
  <c r="U22" i="18"/>
  <c r="V22" i="18"/>
  <c r="W22" i="18"/>
  <c r="X22" i="18"/>
  <c r="Y22" i="18"/>
  <c r="C23" i="18"/>
  <c r="D23" i="18"/>
  <c r="E23" i="18"/>
  <c r="F23" i="18"/>
  <c r="G23" i="18"/>
  <c r="H23" i="18"/>
  <c r="I23" i="18"/>
  <c r="J23" i="18"/>
  <c r="K23" i="18"/>
  <c r="L23" i="18"/>
  <c r="M23" i="18"/>
  <c r="N23" i="18"/>
  <c r="O23" i="18"/>
  <c r="P23" i="18"/>
  <c r="Q23" i="18"/>
  <c r="R23" i="18"/>
  <c r="S23" i="18"/>
  <c r="T23" i="18"/>
  <c r="U23" i="18"/>
  <c r="V23" i="18"/>
  <c r="W23" i="18"/>
  <c r="X23" i="18"/>
  <c r="Y23" i="18"/>
  <c r="C24" i="18"/>
  <c r="D24" i="18"/>
  <c r="E24" i="18"/>
  <c r="F24" i="18"/>
  <c r="G24" i="18"/>
  <c r="H24" i="18"/>
  <c r="I24" i="18"/>
  <c r="J24" i="18"/>
  <c r="K24" i="18"/>
  <c r="L24" i="18"/>
  <c r="M24" i="18"/>
  <c r="N24" i="18"/>
  <c r="O24" i="18"/>
  <c r="P24" i="18"/>
  <c r="Q24" i="18"/>
  <c r="R24" i="18"/>
  <c r="S24" i="18"/>
  <c r="T24" i="18"/>
  <c r="U24" i="18"/>
  <c r="V24" i="18"/>
  <c r="W24" i="18"/>
  <c r="X24" i="18"/>
  <c r="Y24" i="18"/>
  <c r="C25" i="18"/>
  <c r="D25" i="18"/>
  <c r="E25" i="18"/>
  <c r="F25" i="18"/>
  <c r="G25" i="18"/>
  <c r="H25" i="18"/>
  <c r="I25" i="18"/>
  <c r="J25" i="18"/>
  <c r="K25" i="18"/>
  <c r="L25" i="18"/>
  <c r="M25" i="18"/>
  <c r="N25" i="18"/>
  <c r="O25" i="18"/>
  <c r="P25" i="18"/>
  <c r="Q25" i="18"/>
  <c r="R25" i="18"/>
  <c r="S25" i="18"/>
  <c r="T25" i="18"/>
  <c r="U25" i="18"/>
  <c r="V25" i="18"/>
  <c r="W25" i="18"/>
  <c r="X25" i="18"/>
  <c r="Y25" i="18"/>
  <c r="B21" i="18"/>
  <c r="B22" i="18"/>
  <c r="B23" i="18"/>
  <c r="B24" i="18"/>
  <c r="B25" i="18"/>
  <c r="B20" i="18"/>
  <c r="C36" i="2" l="1"/>
  <c r="C34" i="2"/>
  <c r="C33" i="2"/>
  <c r="B22" i="49"/>
  <c r="C22" i="49" s="1"/>
  <c r="D22" i="49" s="1"/>
  <c r="B21" i="49"/>
  <c r="C21" i="49" s="1"/>
  <c r="D21" i="49" s="1"/>
  <c r="B20" i="49"/>
  <c r="C20" i="49" s="1"/>
  <c r="D20" i="49" s="1"/>
  <c r="B19" i="49"/>
  <c r="C19" i="49" s="1"/>
  <c r="D19" i="49" s="1"/>
  <c r="B18" i="49"/>
  <c r="C18" i="49" s="1"/>
  <c r="D18" i="49" s="1"/>
  <c r="C25" i="49" s="1"/>
  <c r="B17" i="49"/>
  <c r="C17" i="49" s="1"/>
  <c r="D17" i="49" s="1"/>
  <c r="B16" i="49"/>
  <c r="C16" i="49" s="1"/>
  <c r="D16" i="49" s="1"/>
  <c r="B15" i="49"/>
  <c r="C15" i="49" s="1"/>
  <c r="D15" i="49" s="1"/>
  <c r="C24" i="49" s="1"/>
  <c r="C26" i="49" l="1"/>
  <c r="D24" i="49" s="1"/>
  <c r="AG290" i="48"/>
  <c r="AF290" i="48"/>
  <c r="AE290" i="48"/>
  <c r="AD290" i="48"/>
  <c r="AG289" i="48"/>
  <c r="AF289" i="48"/>
  <c r="AE289" i="48"/>
  <c r="AD289" i="48"/>
  <c r="AG288" i="48"/>
  <c r="AF288" i="48"/>
  <c r="AE288" i="48"/>
  <c r="AD288" i="48"/>
  <c r="AG287" i="48"/>
  <c r="AF287" i="48"/>
  <c r="AE287" i="48"/>
  <c r="AD287" i="48"/>
  <c r="AG286" i="48"/>
  <c r="AF286" i="48"/>
  <c r="AE286" i="48"/>
  <c r="AD286" i="48"/>
  <c r="AG285" i="48"/>
  <c r="AF285" i="48"/>
  <c r="AE285" i="48"/>
  <c r="AD285" i="48"/>
  <c r="AG284" i="48"/>
  <c r="AF284" i="48"/>
  <c r="AE284" i="48"/>
  <c r="AD284" i="48"/>
  <c r="AG283" i="48"/>
  <c r="AF283" i="48"/>
  <c r="AE283" i="48"/>
  <c r="AD283" i="48"/>
  <c r="AG282" i="48"/>
  <c r="AF282" i="48"/>
  <c r="AE282" i="48"/>
  <c r="AD282" i="48"/>
  <c r="AG281" i="48"/>
  <c r="AF281" i="48"/>
  <c r="AE281" i="48"/>
  <c r="AD281" i="48"/>
  <c r="AG280" i="48"/>
  <c r="AF280" i="48"/>
  <c r="AE280" i="48"/>
  <c r="AD280" i="48"/>
  <c r="AG279" i="48"/>
  <c r="AF279" i="48"/>
  <c r="AE279" i="48"/>
  <c r="AD279" i="48"/>
  <c r="AG278" i="48"/>
  <c r="AF278" i="48"/>
  <c r="AE278" i="48"/>
  <c r="AD278" i="48"/>
  <c r="AG277" i="48"/>
  <c r="AF277" i="48"/>
  <c r="AE277" i="48"/>
  <c r="AD277" i="48"/>
  <c r="AG276" i="48"/>
  <c r="AF276" i="48"/>
  <c r="AE276" i="48"/>
  <c r="AD276" i="48"/>
  <c r="AG275" i="48"/>
  <c r="AF275" i="48"/>
  <c r="AE275" i="48"/>
  <c r="AD275" i="48"/>
  <c r="AG274" i="48"/>
  <c r="AF274" i="48"/>
  <c r="AE274" i="48"/>
  <c r="AD274" i="48"/>
  <c r="AG273" i="48"/>
  <c r="AF273" i="48"/>
  <c r="AE273" i="48"/>
  <c r="AD273" i="48"/>
  <c r="AG272" i="48"/>
  <c r="AF272" i="48"/>
  <c r="AE272" i="48"/>
  <c r="AD272" i="48"/>
  <c r="AG271" i="48"/>
  <c r="AF271" i="48"/>
  <c r="AE271" i="48"/>
  <c r="AD271" i="48"/>
  <c r="AG270" i="48"/>
  <c r="AF270" i="48"/>
  <c r="AE270" i="48"/>
  <c r="AD270" i="48"/>
  <c r="AG269" i="48"/>
  <c r="AF269" i="48"/>
  <c r="AE269" i="48"/>
  <c r="AD269" i="48"/>
  <c r="AG268" i="48"/>
  <c r="AF268" i="48"/>
  <c r="AE268" i="48"/>
  <c r="AD268" i="48"/>
  <c r="AG267" i="48"/>
  <c r="AF267" i="48"/>
  <c r="AE267" i="48"/>
  <c r="AD267" i="48"/>
  <c r="AG266" i="48"/>
  <c r="AF266" i="48"/>
  <c r="AE266" i="48"/>
  <c r="AD266" i="48"/>
  <c r="AG265" i="48"/>
  <c r="AF265" i="48"/>
  <c r="AE265" i="48"/>
  <c r="AD265" i="48"/>
  <c r="AG264" i="48"/>
  <c r="AF264" i="48"/>
  <c r="AE264" i="48"/>
  <c r="AD264" i="48"/>
  <c r="AG263" i="48"/>
  <c r="AF263" i="48"/>
  <c r="AE263" i="48"/>
  <c r="AD263" i="48"/>
  <c r="AG262" i="48"/>
  <c r="AF262" i="48"/>
  <c r="AE262" i="48"/>
  <c r="AD262" i="48"/>
  <c r="AG261" i="48"/>
  <c r="AF261" i="48"/>
  <c r="AE261" i="48"/>
  <c r="AD261" i="48"/>
  <c r="AG260" i="48"/>
  <c r="AF260" i="48"/>
  <c r="AE260" i="48"/>
  <c r="AD260" i="48"/>
  <c r="AG259" i="48"/>
  <c r="AF259" i="48"/>
  <c r="AE259" i="48"/>
  <c r="AD259" i="48"/>
  <c r="AG258" i="48"/>
  <c r="AF258" i="48"/>
  <c r="AE258" i="48"/>
  <c r="AD258" i="48"/>
  <c r="AG257" i="48"/>
  <c r="AF257" i="48"/>
  <c r="AE257" i="48"/>
  <c r="AD257" i="48"/>
  <c r="AG256" i="48"/>
  <c r="AF256" i="48"/>
  <c r="AE256" i="48"/>
  <c r="AD256" i="48"/>
  <c r="AG255" i="48"/>
  <c r="AF255" i="48"/>
  <c r="AE255" i="48"/>
  <c r="AD255" i="48"/>
  <c r="AG254" i="48"/>
  <c r="AF254" i="48"/>
  <c r="AE254" i="48"/>
  <c r="AD254" i="48"/>
  <c r="AG253" i="48"/>
  <c r="AF253" i="48"/>
  <c r="AE253" i="48"/>
  <c r="AD253" i="48"/>
  <c r="AG252" i="48"/>
  <c r="AF252" i="48"/>
  <c r="AE252" i="48"/>
  <c r="AD252" i="48"/>
  <c r="AG251" i="48"/>
  <c r="AF251" i="48"/>
  <c r="AE251" i="48"/>
  <c r="AD251" i="48"/>
  <c r="AG250" i="48"/>
  <c r="AF250" i="48"/>
  <c r="AE250" i="48"/>
  <c r="AD250" i="48"/>
  <c r="AG249" i="48"/>
  <c r="AF249" i="48"/>
  <c r="AE249" i="48"/>
  <c r="AD249" i="48"/>
  <c r="AG248" i="48"/>
  <c r="AF248" i="48"/>
  <c r="AE248" i="48"/>
  <c r="AD248" i="48"/>
  <c r="AG247" i="48"/>
  <c r="AF247" i="48"/>
  <c r="AE247" i="48"/>
  <c r="AD247" i="48"/>
  <c r="AG246" i="48"/>
  <c r="AF246" i="48"/>
  <c r="AE246" i="48"/>
  <c r="AD246" i="48"/>
  <c r="AG245" i="48"/>
  <c r="AF245" i="48"/>
  <c r="AE245" i="48"/>
  <c r="AD245" i="48"/>
  <c r="AG244" i="48"/>
  <c r="AF244" i="48"/>
  <c r="AE244" i="48"/>
  <c r="AD244" i="48"/>
  <c r="AG243" i="48"/>
  <c r="AF243" i="48"/>
  <c r="AE243" i="48"/>
  <c r="AD243" i="48"/>
  <c r="AG242" i="48"/>
  <c r="AF242" i="48"/>
  <c r="AE242" i="48"/>
  <c r="AD242" i="48"/>
  <c r="AG241" i="48"/>
  <c r="AF241" i="48"/>
  <c r="AE241" i="48"/>
  <c r="AD241" i="48"/>
  <c r="AG240" i="48"/>
  <c r="AF240" i="48"/>
  <c r="AE240" i="48"/>
  <c r="AD240" i="48"/>
  <c r="AG239" i="48"/>
  <c r="AF239" i="48"/>
  <c r="AE239" i="48"/>
  <c r="AD239" i="48"/>
  <c r="AG238" i="48"/>
  <c r="AF238" i="48"/>
  <c r="AE238" i="48"/>
  <c r="AD238" i="48"/>
  <c r="AG237" i="48"/>
  <c r="AF237" i="48"/>
  <c r="AE237" i="48"/>
  <c r="AD237" i="48"/>
  <c r="AG236" i="48"/>
  <c r="AF236" i="48"/>
  <c r="AE236" i="48"/>
  <c r="AD236" i="48"/>
  <c r="AG235" i="48"/>
  <c r="AF235" i="48"/>
  <c r="AE235" i="48"/>
  <c r="AD235" i="48"/>
  <c r="AG234" i="48"/>
  <c r="AF234" i="48"/>
  <c r="AE234" i="48"/>
  <c r="AD234" i="48"/>
  <c r="AG233" i="48"/>
  <c r="AF233" i="48"/>
  <c r="AE233" i="48"/>
  <c r="AD233" i="48"/>
  <c r="AG232" i="48"/>
  <c r="AF232" i="48"/>
  <c r="AE232" i="48"/>
  <c r="AD232" i="48"/>
  <c r="AG231" i="48"/>
  <c r="AF231" i="48"/>
  <c r="AE231" i="48"/>
  <c r="AD231" i="48"/>
  <c r="AG230" i="48"/>
  <c r="AF230" i="48"/>
  <c r="AE230" i="48"/>
  <c r="AD230" i="48"/>
  <c r="AG229" i="48"/>
  <c r="AF229" i="48"/>
  <c r="AE229" i="48"/>
  <c r="AD229" i="48"/>
  <c r="AG228" i="48"/>
  <c r="AF228" i="48"/>
  <c r="AE228" i="48"/>
  <c r="AD228" i="48"/>
  <c r="AG227" i="48"/>
  <c r="AF227" i="48"/>
  <c r="AE227" i="48"/>
  <c r="AD227" i="48"/>
  <c r="AG226" i="48"/>
  <c r="AF226" i="48"/>
  <c r="AE226" i="48"/>
  <c r="AD226" i="48"/>
  <c r="AG225" i="48"/>
  <c r="AF225" i="48"/>
  <c r="AE225" i="48"/>
  <c r="AD225" i="48"/>
  <c r="AG224" i="48"/>
  <c r="AF224" i="48"/>
  <c r="AE224" i="48"/>
  <c r="AD224" i="48"/>
  <c r="AG223" i="48"/>
  <c r="AF223" i="48"/>
  <c r="AE223" i="48"/>
  <c r="AD223" i="48"/>
  <c r="AG222" i="48"/>
  <c r="AF222" i="48"/>
  <c r="AE222" i="48"/>
  <c r="AD222" i="48"/>
  <c r="AG221" i="48"/>
  <c r="AF221" i="48"/>
  <c r="AE221" i="48"/>
  <c r="AD221" i="48"/>
  <c r="AG220" i="48"/>
  <c r="AF220" i="48"/>
  <c r="AE220" i="48"/>
  <c r="AD220" i="48"/>
  <c r="AG219" i="48"/>
  <c r="AF219" i="48"/>
  <c r="AE219" i="48"/>
  <c r="AD219" i="48"/>
  <c r="AG218" i="48"/>
  <c r="AF218" i="48"/>
  <c r="AE218" i="48"/>
  <c r="AD218" i="48"/>
  <c r="AG217" i="48"/>
  <c r="AF217" i="48"/>
  <c r="AE217" i="48"/>
  <c r="AD217" i="48"/>
  <c r="AG216" i="48"/>
  <c r="AF216" i="48"/>
  <c r="AE216" i="48"/>
  <c r="AD216" i="48"/>
  <c r="AG215" i="48"/>
  <c r="AF215" i="48"/>
  <c r="AE215" i="48"/>
  <c r="AD215" i="48"/>
  <c r="AG214" i="48"/>
  <c r="AF214" i="48"/>
  <c r="AE214" i="48"/>
  <c r="AD214" i="48"/>
  <c r="AG213" i="48"/>
  <c r="AF213" i="48"/>
  <c r="AE213" i="48"/>
  <c r="AD213" i="48"/>
  <c r="AG212" i="48"/>
  <c r="AF212" i="48"/>
  <c r="AE212" i="48"/>
  <c r="AD212" i="48"/>
  <c r="AG211" i="48"/>
  <c r="AF211" i="48"/>
  <c r="AE211" i="48"/>
  <c r="AD211" i="48"/>
  <c r="AG210" i="48"/>
  <c r="AF210" i="48"/>
  <c r="AE210" i="48"/>
  <c r="AD210" i="48"/>
  <c r="AG209" i="48"/>
  <c r="AF209" i="48"/>
  <c r="AE209" i="48"/>
  <c r="AD209" i="48"/>
  <c r="AG208" i="48"/>
  <c r="AF208" i="48"/>
  <c r="AE208" i="48"/>
  <c r="AD208" i="48"/>
  <c r="AG207" i="48"/>
  <c r="AF207" i="48"/>
  <c r="AE207" i="48"/>
  <c r="AD207" i="48"/>
  <c r="AG206" i="48"/>
  <c r="AF206" i="48"/>
  <c r="AE206" i="48"/>
  <c r="AD206" i="48"/>
  <c r="AG205" i="48"/>
  <c r="AF205" i="48"/>
  <c r="AE205" i="48"/>
  <c r="AD205" i="48"/>
  <c r="AG204" i="48"/>
  <c r="AF204" i="48"/>
  <c r="AE204" i="48"/>
  <c r="AD204" i="48"/>
  <c r="AG203" i="48"/>
  <c r="AF203" i="48"/>
  <c r="AE203" i="48"/>
  <c r="AD203" i="48"/>
  <c r="AG202" i="48"/>
  <c r="AF202" i="48"/>
  <c r="AE202" i="48"/>
  <c r="AD202" i="48"/>
  <c r="AG201" i="48"/>
  <c r="AF201" i="48"/>
  <c r="AE201" i="48"/>
  <c r="AD201" i="48"/>
  <c r="AG200" i="48"/>
  <c r="AF200" i="48"/>
  <c r="AE200" i="48"/>
  <c r="AD200" i="48"/>
  <c r="AG199" i="48"/>
  <c r="AF199" i="48"/>
  <c r="AE199" i="48"/>
  <c r="AD199" i="48"/>
  <c r="AG198" i="48"/>
  <c r="AF198" i="48"/>
  <c r="AE198" i="48"/>
  <c r="AD198" i="48"/>
  <c r="AG197" i="48"/>
  <c r="AF197" i="48"/>
  <c r="AE197" i="48"/>
  <c r="AD197" i="48"/>
  <c r="AG196" i="48"/>
  <c r="AF196" i="48"/>
  <c r="AE196" i="48"/>
  <c r="AD196" i="48"/>
  <c r="AG195" i="48"/>
  <c r="AF195" i="48"/>
  <c r="AE195" i="48"/>
  <c r="AD195" i="48"/>
  <c r="AG194" i="48"/>
  <c r="AF194" i="48"/>
  <c r="AE194" i="48"/>
  <c r="AD194" i="48"/>
  <c r="AG193" i="48"/>
  <c r="AF193" i="48"/>
  <c r="AE193" i="48"/>
  <c r="AD193" i="48"/>
  <c r="AG192" i="48"/>
  <c r="AF192" i="48"/>
  <c r="AE192" i="48"/>
  <c r="AD192" i="48"/>
  <c r="AG191" i="48"/>
  <c r="AF191" i="48"/>
  <c r="AE191" i="48"/>
  <c r="AD191" i="48"/>
  <c r="AG190" i="48"/>
  <c r="AF190" i="48"/>
  <c r="AE190" i="48"/>
  <c r="AD190" i="48"/>
  <c r="AG189" i="48"/>
  <c r="AF189" i="48"/>
  <c r="AE189" i="48"/>
  <c r="AD189" i="48"/>
  <c r="AG188" i="48"/>
  <c r="AF188" i="48"/>
  <c r="AE188" i="48"/>
  <c r="AD188" i="48"/>
  <c r="AG187" i="48"/>
  <c r="AF187" i="48"/>
  <c r="AE187" i="48"/>
  <c r="AD187" i="48"/>
  <c r="AG186" i="48"/>
  <c r="AF186" i="48"/>
  <c r="AE186" i="48"/>
  <c r="AD186" i="48"/>
  <c r="AG185" i="48"/>
  <c r="AF185" i="48"/>
  <c r="AE185" i="48"/>
  <c r="AD185" i="48"/>
  <c r="AG184" i="48"/>
  <c r="AF184" i="48"/>
  <c r="AE184" i="48"/>
  <c r="AD184" i="48"/>
  <c r="AG183" i="48"/>
  <c r="AF183" i="48"/>
  <c r="AE183" i="48"/>
  <c r="AD183" i="48"/>
  <c r="AG182" i="48"/>
  <c r="AF182" i="48"/>
  <c r="AE182" i="48"/>
  <c r="AD182" i="48"/>
  <c r="AG181" i="48"/>
  <c r="AF181" i="48"/>
  <c r="AE181" i="48"/>
  <c r="AD181" i="48"/>
  <c r="AG180" i="48"/>
  <c r="AF180" i="48"/>
  <c r="AE180" i="48"/>
  <c r="AD180" i="48"/>
  <c r="AG179" i="48"/>
  <c r="AF179" i="48"/>
  <c r="AE179" i="48"/>
  <c r="AD179" i="48"/>
  <c r="AG178" i="48"/>
  <c r="AF178" i="48"/>
  <c r="AE178" i="48"/>
  <c r="AD178" i="48"/>
  <c r="AG177" i="48"/>
  <c r="AF177" i="48"/>
  <c r="AE177" i="48"/>
  <c r="AD177" i="48"/>
  <c r="AG176" i="48"/>
  <c r="AF176" i="48"/>
  <c r="AE176" i="48"/>
  <c r="AD176" i="48"/>
  <c r="AG175" i="48"/>
  <c r="AF175" i="48"/>
  <c r="AE175" i="48"/>
  <c r="AD175" i="48"/>
  <c r="AG174" i="48"/>
  <c r="AF174" i="48"/>
  <c r="AE174" i="48"/>
  <c r="AD174" i="48"/>
  <c r="AG173" i="48"/>
  <c r="AF173" i="48"/>
  <c r="AE173" i="48"/>
  <c r="AD173" i="48"/>
  <c r="AG172" i="48"/>
  <c r="AF172" i="48"/>
  <c r="AE172" i="48"/>
  <c r="AD172" i="48"/>
  <c r="AG171" i="48"/>
  <c r="AF171" i="48"/>
  <c r="AE171" i="48"/>
  <c r="AD171" i="48"/>
  <c r="AG170" i="48"/>
  <c r="AF170" i="48"/>
  <c r="AE170" i="48"/>
  <c r="AD170" i="48"/>
  <c r="AG169" i="48"/>
  <c r="AF169" i="48"/>
  <c r="AE169" i="48"/>
  <c r="AD169" i="48"/>
  <c r="AG168" i="48"/>
  <c r="AF168" i="48"/>
  <c r="AE168" i="48"/>
  <c r="AD168" i="48"/>
  <c r="AG167" i="48"/>
  <c r="AF167" i="48"/>
  <c r="AE167" i="48"/>
  <c r="AD167" i="48"/>
  <c r="AG166" i="48"/>
  <c r="AF166" i="48"/>
  <c r="AE166" i="48"/>
  <c r="AD166" i="48"/>
  <c r="AG165" i="48"/>
  <c r="AF165" i="48"/>
  <c r="AE165" i="48"/>
  <c r="AD165" i="48"/>
  <c r="AG164" i="48"/>
  <c r="AF164" i="48"/>
  <c r="AE164" i="48"/>
  <c r="AD164" i="48"/>
  <c r="AG163" i="48"/>
  <c r="AF163" i="48"/>
  <c r="AE163" i="48"/>
  <c r="AD163" i="48"/>
  <c r="AG162" i="48"/>
  <c r="AF162" i="48"/>
  <c r="AE162" i="48"/>
  <c r="AD162" i="48"/>
  <c r="AG161" i="48"/>
  <c r="AF161" i="48"/>
  <c r="AE161" i="48"/>
  <c r="AD161" i="48"/>
  <c r="AG160" i="48"/>
  <c r="AF160" i="48"/>
  <c r="AE160" i="48"/>
  <c r="AD160" i="48"/>
  <c r="AG159" i="48"/>
  <c r="AF159" i="48"/>
  <c r="AE159" i="48"/>
  <c r="AD159" i="48"/>
  <c r="AG158" i="48"/>
  <c r="AF158" i="48"/>
  <c r="AE158" i="48"/>
  <c r="AD158" i="48"/>
  <c r="AG157" i="48"/>
  <c r="AF157" i="48"/>
  <c r="AE157" i="48"/>
  <c r="AD157" i="48"/>
  <c r="AG156" i="48"/>
  <c r="AF156" i="48"/>
  <c r="AE156" i="48"/>
  <c r="AD156" i="48"/>
  <c r="AG155" i="48"/>
  <c r="AF155" i="48"/>
  <c r="AE155" i="48"/>
  <c r="AD155" i="48"/>
  <c r="AG154" i="48"/>
  <c r="AF154" i="48"/>
  <c r="AE154" i="48"/>
  <c r="AD154" i="48"/>
  <c r="AG153" i="48"/>
  <c r="AF153" i="48"/>
  <c r="AE153" i="48"/>
  <c r="AD153" i="48"/>
  <c r="AG152" i="48"/>
  <c r="AF152" i="48"/>
  <c r="AE152" i="48"/>
  <c r="AD152" i="48"/>
  <c r="AG151" i="48"/>
  <c r="AF151" i="48"/>
  <c r="AE151" i="48"/>
  <c r="AD151" i="48"/>
  <c r="AG150" i="48"/>
  <c r="AF150" i="48"/>
  <c r="AE150" i="48"/>
  <c r="AD150" i="48"/>
  <c r="AG149" i="48"/>
  <c r="AF149" i="48"/>
  <c r="AE149" i="48"/>
  <c r="AD149" i="48"/>
  <c r="AG148" i="48"/>
  <c r="AF148" i="48"/>
  <c r="AE148" i="48"/>
  <c r="AD148" i="48"/>
  <c r="AG147" i="48"/>
  <c r="AF147" i="48"/>
  <c r="AE147" i="48"/>
  <c r="AD147" i="48"/>
  <c r="AG146" i="48"/>
  <c r="AF146" i="48"/>
  <c r="AE146" i="48"/>
  <c r="AD146" i="48"/>
  <c r="AG145" i="48"/>
  <c r="AF145" i="48"/>
  <c r="AE145" i="48"/>
  <c r="AD145" i="48"/>
  <c r="AG144" i="48"/>
  <c r="AF144" i="48"/>
  <c r="AE144" i="48"/>
  <c r="AD144" i="48"/>
  <c r="AG143" i="48"/>
  <c r="AF143" i="48"/>
  <c r="AE143" i="48"/>
  <c r="AD143" i="48"/>
  <c r="AG142" i="48"/>
  <c r="AF142" i="48"/>
  <c r="AE142" i="48"/>
  <c r="AD142" i="48"/>
  <c r="AG141" i="48"/>
  <c r="AF141" i="48"/>
  <c r="AE141" i="48"/>
  <c r="AD141" i="48"/>
  <c r="AG140" i="48"/>
  <c r="AF140" i="48"/>
  <c r="AE140" i="48"/>
  <c r="AD140" i="48"/>
  <c r="AG139" i="48"/>
  <c r="AF139" i="48"/>
  <c r="AE139" i="48"/>
  <c r="AD139" i="48"/>
  <c r="AG138" i="48"/>
  <c r="AF138" i="48"/>
  <c r="AE138" i="48"/>
  <c r="AD138" i="48"/>
  <c r="AG137" i="48"/>
  <c r="AF137" i="48"/>
  <c r="AE137" i="48"/>
  <c r="AD137" i="48"/>
  <c r="AG136" i="48"/>
  <c r="AF136" i="48"/>
  <c r="AE136" i="48"/>
  <c r="AD136" i="48"/>
  <c r="AG135" i="48"/>
  <c r="AF135" i="48"/>
  <c r="AE135" i="48"/>
  <c r="AD135" i="48"/>
  <c r="AG134" i="48"/>
  <c r="AF134" i="48"/>
  <c r="AE134" i="48"/>
  <c r="AD134" i="48"/>
  <c r="AG133" i="48"/>
  <c r="AF133" i="48"/>
  <c r="AE133" i="48"/>
  <c r="AD133" i="48"/>
  <c r="AG132" i="48"/>
  <c r="AF132" i="48"/>
  <c r="AE132" i="48"/>
  <c r="AD132" i="48"/>
  <c r="AG131" i="48"/>
  <c r="AF131" i="48"/>
  <c r="AE131" i="48"/>
  <c r="AD131" i="48"/>
  <c r="AG130" i="48"/>
  <c r="AF130" i="48"/>
  <c r="AE130" i="48"/>
  <c r="AD130" i="48"/>
  <c r="AG129" i="48"/>
  <c r="AF129" i="48"/>
  <c r="AE129" i="48"/>
  <c r="AD129" i="48"/>
  <c r="AG128" i="48"/>
  <c r="AF128" i="48"/>
  <c r="AE128" i="48"/>
  <c r="AD128" i="48"/>
  <c r="AG127" i="48"/>
  <c r="AF127" i="48"/>
  <c r="AE127" i="48"/>
  <c r="AD127" i="48"/>
  <c r="AG126" i="48"/>
  <c r="AF126" i="48"/>
  <c r="AE126" i="48"/>
  <c r="AD126" i="48"/>
  <c r="AG125" i="48"/>
  <c r="AF125" i="48"/>
  <c r="AE125" i="48"/>
  <c r="AD125" i="48"/>
  <c r="AG124" i="48"/>
  <c r="AF124" i="48"/>
  <c r="AE124" i="48"/>
  <c r="AD124" i="48"/>
  <c r="AG123" i="48"/>
  <c r="AF123" i="48"/>
  <c r="AE123" i="48"/>
  <c r="AD123" i="48"/>
  <c r="AG122" i="48"/>
  <c r="AF122" i="48"/>
  <c r="AE122" i="48"/>
  <c r="AD122" i="48"/>
  <c r="AG121" i="48"/>
  <c r="AF121" i="48"/>
  <c r="AE121" i="48"/>
  <c r="AD121" i="48"/>
  <c r="AG120" i="48"/>
  <c r="AF120" i="48"/>
  <c r="AE120" i="48"/>
  <c r="AD120" i="48"/>
  <c r="AG119" i="48"/>
  <c r="AF119" i="48"/>
  <c r="AE119" i="48"/>
  <c r="AD119" i="48"/>
  <c r="AG118" i="48"/>
  <c r="AF118" i="48"/>
  <c r="AE118" i="48"/>
  <c r="AD118" i="48"/>
  <c r="AG117" i="48"/>
  <c r="AF117" i="48"/>
  <c r="AE117" i="48"/>
  <c r="AD117" i="48"/>
  <c r="AG116" i="48"/>
  <c r="AF116" i="48"/>
  <c r="AE116" i="48"/>
  <c r="AD116" i="48"/>
  <c r="AG115" i="48"/>
  <c r="AF115" i="48"/>
  <c r="AE115" i="48"/>
  <c r="AD115" i="48"/>
  <c r="AG114" i="48"/>
  <c r="AF114" i="48"/>
  <c r="AE114" i="48"/>
  <c r="AD114" i="48"/>
  <c r="AG113" i="48"/>
  <c r="AF113" i="48"/>
  <c r="AE113" i="48"/>
  <c r="AD113" i="48"/>
  <c r="AG112" i="48"/>
  <c r="AF112" i="48"/>
  <c r="AE112" i="48"/>
  <c r="AD112" i="48"/>
  <c r="AG111" i="48"/>
  <c r="AF111" i="48"/>
  <c r="AE111" i="48"/>
  <c r="AD111" i="48"/>
  <c r="AG110" i="48"/>
  <c r="AF110" i="48"/>
  <c r="AE110" i="48"/>
  <c r="AD110" i="48"/>
  <c r="AG109" i="48"/>
  <c r="AF109" i="48"/>
  <c r="AE109" i="48"/>
  <c r="AD109" i="48"/>
  <c r="AG108" i="48"/>
  <c r="AF108" i="48"/>
  <c r="AE108" i="48"/>
  <c r="AD108" i="48"/>
  <c r="AG107" i="48"/>
  <c r="AF107" i="48"/>
  <c r="AE107" i="48"/>
  <c r="AD107" i="48"/>
  <c r="AG106" i="48"/>
  <c r="AF106" i="48"/>
  <c r="AE106" i="48"/>
  <c r="AD106" i="48"/>
  <c r="AG105" i="48"/>
  <c r="AF105" i="48"/>
  <c r="AE105" i="48"/>
  <c r="AD105" i="48"/>
  <c r="AG104" i="48"/>
  <c r="AF104" i="48"/>
  <c r="AE104" i="48"/>
  <c r="AD104" i="48"/>
  <c r="AG103" i="48"/>
  <c r="AF103" i="48"/>
  <c r="AE103" i="48"/>
  <c r="AD103" i="48"/>
  <c r="AG102" i="48"/>
  <c r="AF102" i="48"/>
  <c r="AE102" i="48"/>
  <c r="AD102" i="48"/>
  <c r="AG101" i="48"/>
  <c r="AF101" i="48"/>
  <c r="AE101" i="48"/>
  <c r="AD101" i="48"/>
  <c r="AG100" i="48"/>
  <c r="AF100" i="48"/>
  <c r="AE100" i="48"/>
  <c r="AD100" i="48"/>
  <c r="AG99" i="48"/>
  <c r="AF99" i="48"/>
  <c r="AE99" i="48"/>
  <c r="AD99" i="48"/>
  <c r="AG98" i="48"/>
  <c r="AF98" i="48"/>
  <c r="AE98" i="48"/>
  <c r="AD98" i="48"/>
  <c r="AG97" i="48"/>
  <c r="AF97" i="48"/>
  <c r="AE97" i="48"/>
  <c r="AD97" i="48"/>
  <c r="AG96" i="48"/>
  <c r="AF96" i="48"/>
  <c r="AE96" i="48"/>
  <c r="AD96" i="48"/>
  <c r="AG95" i="48"/>
  <c r="AF95" i="48"/>
  <c r="AE95" i="48"/>
  <c r="AD95" i="48"/>
  <c r="AG94" i="48"/>
  <c r="AF94" i="48"/>
  <c r="AE94" i="48"/>
  <c r="AD94" i="48"/>
  <c r="AG93" i="48"/>
  <c r="AF93" i="48"/>
  <c r="AE93" i="48"/>
  <c r="AD93" i="48"/>
  <c r="AG92" i="48"/>
  <c r="AF92" i="48"/>
  <c r="AE92" i="48"/>
  <c r="AD92" i="48"/>
  <c r="AG91" i="48"/>
  <c r="AF91" i="48"/>
  <c r="AE91" i="48"/>
  <c r="AD91" i="48"/>
  <c r="AG90" i="48"/>
  <c r="AF90" i="48"/>
  <c r="AE90" i="48"/>
  <c r="AD90" i="48"/>
  <c r="AG89" i="48"/>
  <c r="AF89" i="48"/>
  <c r="AE89" i="48"/>
  <c r="AD89" i="48"/>
  <c r="AG88" i="48"/>
  <c r="AF88" i="48"/>
  <c r="AE88" i="48"/>
  <c r="AD88" i="48"/>
  <c r="AG87" i="48"/>
  <c r="AF87" i="48"/>
  <c r="AE87" i="48"/>
  <c r="AD87" i="48"/>
  <c r="AG86" i="48"/>
  <c r="AF86" i="48"/>
  <c r="AE86" i="48"/>
  <c r="AD86" i="48"/>
  <c r="AG85" i="48"/>
  <c r="AF85" i="48"/>
  <c r="AE85" i="48"/>
  <c r="AD85" i="48"/>
  <c r="AG84" i="48"/>
  <c r="AF84" i="48"/>
  <c r="AE84" i="48"/>
  <c r="AD84" i="48"/>
  <c r="AG83" i="48"/>
  <c r="AF83" i="48"/>
  <c r="AE83" i="48"/>
  <c r="AD83" i="48"/>
  <c r="AG82" i="48"/>
  <c r="AF82" i="48"/>
  <c r="AE82" i="48"/>
  <c r="AD82" i="48"/>
  <c r="AG81" i="48"/>
  <c r="AF81" i="48"/>
  <c r="AE81" i="48"/>
  <c r="AD81" i="48"/>
  <c r="AG80" i="48"/>
  <c r="AF80" i="48"/>
  <c r="AE80" i="48"/>
  <c r="AD80" i="48"/>
  <c r="AG79" i="48"/>
  <c r="AF79" i="48"/>
  <c r="AE79" i="48"/>
  <c r="AD79" i="48"/>
  <c r="AG78" i="48"/>
  <c r="AF78" i="48"/>
  <c r="AE78" i="48"/>
  <c r="AD78" i="48"/>
  <c r="AG77" i="48"/>
  <c r="AF77" i="48"/>
  <c r="AE77" i="48"/>
  <c r="AD77" i="48"/>
  <c r="AG76" i="48"/>
  <c r="AF76" i="48"/>
  <c r="AE76" i="48"/>
  <c r="AD76" i="48"/>
  <c r="AG75" i="48"/>
  <c r="AF75" i="48"/>
  <c r="AE75" i="48"/>
  <c r="AD75" i="48"/>
  <c r="AG74" i="48"/>
  <c r="AF74" i="48"/>
  <c r="AE74" i="48"/>
  <c r="AD74" i="48"/>
  <c r="AG73" i="48"/>
  <c r="AF73" i="48"/>
  <c r="AE73" i="48"/>
  <c r="AD73" i="48"/>
  <c r="AG72" i="48"/>
  <c r="AF72" i="48"/>
  <c r="AE72" i="48"/>
  <c r="AD72" i="48"/>
  <c r="AG71" i="48"/>
  <c r="AF71" i="48"/>
  <c r="AE71" i="48"/>
  <c r="AD71" i="48"/>
  <c r="AG70" i="48"/>
  <c r="AF70" i="48"/>
  <c r="AE70" i="48"/>
  <c r="AD70" i="48"/>
  <c r="AG69" i="48"/>
  <c r="AF69" i="48"/>
  <c r="AE69" i="48"/>
  <c r="AD69" i="48"/>
  <c r="AG68" i="48"/>
  <c r="AF68" i="48"/>
  <c r="AE68" i="48"/>
  <c r="AD68" i="48"/>
  <c r="AG67" i="48"/>
  <c r="AF67" i="48"/>
  <c r="AE67" i="48"/>
  <c r="AD67" i="48"/>
  <c r="AG66" i="48"/>
  <c r="AF66" i="48"/>
  <c r="AE66" i="48"/>
  <c r="AD66" i="48"/>
  <c r="AG65" i="48"/>
  <c r="AF65" i="48"/>
  <c r="AE65" i="48"/>
  <c r="AD65" i="48"/>
  <c r="AG64" i="48"/>
  <c r="AF64" i="48"/>
  <c r="AE64" i="48"/>
  <c r="AD64" i="48"/>
  <c r="AG63" i="48"/>
  <c r="AF63" i="48"/>
  <c r="AE63" i="48"/>
  <c r="AD63" i="48"/>
  <c r="AG62" i="48"/>
  <c r="AF62" i="48"/>
  <c r="AE62" i="48"/>
  <c r="AD62" i="48"/>
  <c r="AG61" i="48"/>
  <c r="AF61" i="48"/>
  <c r="AE61" i="48"/>
  <c r="AD61" i="48"/>
  <c r="AG60" i="48"/>
  <c r="AF60" i="48"/>
  <c r="AE60" i="48"/>
  <c r="AD60" i="48"/>
  <c r="AG59" i="48"/>
  <c r="AF59" i="48"/>
  <c r="AE59" i="48"/>
  <c r="AD59" i="48"/>
  <c r="AG58" i="48"/>
  <c r="AF58" i="48"/>
  <c r="AE58" i="48"/>
  <c r="AD58" i="48"/>
  <c r="AG57" i="48"/>
  <c r="AF57" i="48"/>
  <c r="AE57" i="48"/>
  <c r="AD57" i="48"/>
  <c r="AG56" i="48"/>
  <c r="AF56" i="48"/>
  <c r="AE56" i="48"/>
  <c r="AD56" i="48"/>
  <c r="AG55" i="48"/>
  <c r="AF55" i="48"/>
  <c r="AE55" i="48"/>
  <c r="AD55" i="48"/>
  <c r="AG54" i="48"/>
  <c r="AF54" i="48"/>
  <c r="AE54" i="48"/>
  <c r="AD54" i="48"/>
  <c r="AG53" i="48"/>
  <c r="AF53" i="48"/>
  <c r="AE53" i="48"/>
  <c r="AD53" i="48"/>
  <c r="AG52" i="48"/>
  <c r="AF52" i="48"/>
  <c r="AE52" i="48"/>
  <c r="AD52" i="48"/>
  <c r="AG51" i="48"/>
  <c r="AF51" i="48"/>
  <c r="AE51" i="48"/>
  <c r="AD51" i="48"/>
  <c r="AG50" i="48"/>
  <c r="AF50" i="48"/>
  <c r="AE50" i="48"/>
  <c r="AD50" i="48"/>
  <c r="AG49" i="48"/>
  <c r="AF49" i="48"/>
  <c r="AE49" i="48"/>
  <c r="AD49" i="48"/>
  <c r="AG48" i="48"/>
  <c r="AF48" i="48"/>
  <c r="AE48" i="48"/>
  <c r="AD48" i="48"/>
  <c r="AG47" i="48"/>
  <c r="AF47" i="48"/>
  <c r="AE47" i="48"/>
  <c r="AD47" i="48"/>
  <c r="AG46" i="48"/>
  <c r="AF46" i="48"/>
  <c r="AE46" i="48"/>
  <c r="AD46" i="48"/>
  <c r="AG45" i="48"/>
  <c r="AF45" i="48"/>
  <c r="AE45" i="48"/>
  <c r="AD45" i="48"/>
  <c r="AG44" i="48"/>
  <c r="AF44" i="48"/>
  <c r="AE44" i="48"/>
  <c r="AD44" i="48"/>
  <c r="AG43" i="48"/>
  <c r="AF43" i="48"/>
  <c r="AE43" i="48"/>
  <c r="AD43" i="48"/>
  <c r="AG42" i="48"/>
  <c r="AF42" i="48"/>
  <c r="AE42" i="48"/>
  <c r="AD42" i="48"/>
  <c r="AG41" i="48"/>
  <c r="AF41" i="48"/>
  <c r="AE41" i="48"/>
  <c r="AD41" i="48"/>
  <c r="AG40" i="48"/>
  <c r="AF40" i="48"/>
  <c r="AE40" i="48"/>
  <c r="AD40" i="48"/>
  <c r="AG39" i="48"/>
  <c r="AF39" i="48"/>
  <c r="AE39" i="48"/>
  <c r="AD39" i="48"/>
  <c r="AG38" i="48"/>
  <c r="AF38" i="48"/>
  <c r="AE38" i="48"/>
  <c r="AD38" i="48"/>
  <c r="AG37" i="48"/>
  <c r="AF37" i="48"/>
  <c r="AE37" i="48"/>
  <c r="AD37" i="48"/>
  <c r="AG36" i="48"/>
  <c r="AF36" i="48"/>
  <c r="AE36" i="48"/>
  <c r="AD36" i="48"/>
  <c r="AG35" i="48"/>
  <c r="AF35" i="48"/>
  <c r="AE35" i="48"/>
  <c r="AD35" i="48"/>
  <c r="AG34" i="48"/>
  <c r="AF34" i="48"/>
  <c r="AE34" i="48"/>
  <c r="AD34" i="48"/>
  <c r="AG33" i="48"/>
  <c r="AF33" i="48"/>
  <c r="AE33" i="48"/>
  <c r="AD33" i="48"/>
  <c r="AG32" i="48"/>
  <c r="AF32" i="48"/>
  <c r="AE32" i="48"/>
  <c r="AD32" i="48"/>
  <c r="AG31" i="48"/>
  <c r="AF31" i="48"/>
  <c r="AE31" i="48"/>
  <c r="AD31" i="48"/>
  <c r="AG30" i="48"/>
  <c r="AF30" i="48"/>
  <c r="AE30" i="48"/>
  <c r="AD30" i="48"/>
  <c r="AG29" i="48"/>
  <c r="AF29" i="48"/>
  <c r="AE29" i="48"/>
  <c r="AD29" i="48"/>
  <c r="AG28" i="48"/>
  <c r="AF28" i="48"/>
  <c r="AE28" i="48"/>
  <c r="AD28" i="48"/>
  <c r="AG27" i="48"/>
  <c r="AF27" i="48"/>
  <c r="AE27" i="48"/>
  <c r="AD27" i="48"/>
  <c r="AG26" i="48"/>
  <c r="AF26" i="48"/>
  <c r="AE26" i="48"/>
  <c r="AD26" i="48"/>
  <c r="AG25" i="48"/>
  <c r="AF25" i="48"/>
  <c r="AE25" i="48"/>
  <c r="AD25" i="48"/>
  <c r="AG24" i="48"/>
  <c r="AF24" i="48"/>
  <c r="AE24" i="48"/>
  <c r="AD24" i="48"/>
  <c r="AG23" i="48"/>
  <c r="AF23" i="48"/>
  <c r="AE23" i="48"/>
  <c r="AD23" i="48"/>
  <c r="AG22" i="48"/>
  <c r="AF22" i="48"/>
  <c r="AE22" i="48"/>
  <c r="AD22" i="48"/>
  <c r="AG21" i="48"/>
  <c r="AF21" i="48"/>
  <c r="AE21" i="48"/>
  <c r="AD21" i="48"/>
  <c r="AG20" i="48"/>
  <c r="AF20" i="48"/>
  <c r="AE20" i="48"/>
  <c r="AD20" i="48"/>
  <c r="AG19" i="48"/>
  <c r="AF19" i="48"/>
  <c r="AE19" i="48"/>
  <c r="AD19" i="48"/>
  <c r="AG18" i="48"/>
  <c r="AF18" i="48"/>
  <c r="AE18" i="48"/>
  <c r="AD18" i="48"/>
  <c r="AG17" i="48"/>
  <c r="AF17" i="48"/>
  <c r="AE17" i="48"/>
  <c r="AD17" i="48"/>
  <c r="AG16" i="48"/>
  <c r="AF16" i="48"/>
  <c r="AE16" i="48"/>
  <c r="AD16" i="48"/>
  <c r="AG15" i="48"/>
  <c r="AF15" i="48"/>
  <c r="AE15" i="48"/>
  <c r="AD15" i="48"/>
  <c r="AG14" i="48"/>
  <c r="AF14" i="48"/>
  <c r="AE14" i="48"/>
  <c r="AD14" i="48"/>
  <c r="AG13" i="48"/>
  <c r="AF13" i="48"/>
  <c r="AE13" i="48"/>
  <c r="AD13" i="48"/>
  <c r="AG12" i="48"/>
  <c r="AF12" i="48"/>
  <c r="AE12" i="48"/>
  <c r="AD12" i="48"/>
  <c r="AG11" i="48"/>
  <c r="AF11" i="48"/>
  <c r="AE11" i="48"/>
  <c r="AD11" i="48"/>
  <c r="AG10" i="48"/>
  <c r="AF10" i="48"/>
  <c r="AE10" i="48"/>
  <c r="AD10" i="48"/>
  <c r="AG9" i="48"/>
  <c r="AF9" i="48"/>
  <c r="AE9" i="48"/>
  <c r="AD9" i="48"/>
  <c r="AG8" i="48"/>
  <c r="AF8" i="48"/>
  <c r="AE8" i="48"/>
  <c r="AD8" i="48"/>
  <c r="AG7" i="48"/>
  <c r="AF7" i="48"/>
  <c r="AE7" i="48"/>
  <c r="AD7" i="48"/>
  <c r="AG6" i="48"/>
  <c r="AF6" i="48"/>
  <c r="AE6" i="48"/>
  <c r="AD6" i="48"/>
  <c r="AG5" i="48"/>
  <c r="AF5" i="48"/>
  <c r="AE5" i="48"/>
  <c r="AD5" i="48"/>
  <c r="AG4" i="48"/>
  <c r="AF4" i="48"/>
  <c r="AE4" i="48"/>
  <c r="AD4" i="48"/>
  <c r="AG3" i="48"/>
  <c r="AF3" i="48"/>
  <c r="AE3" i="48"/>
  <c r="AD3" i="48"/>
  <c r="D26" i="49" l="1"/>
  <c r="D25" i="49"/>
  <c r="AG338" i="48" l="1"/>
  <c r="AG337" i="48"/>
  <c r="AG336" i="48"/>
  <c r="AG335" i="48"/>
  <c r="AG334" i="48"/>
  <c r="AG333" i="48"/>
  <c r="AG332" i="48"/>
  <c r="AG331" i="48"/>
  <c r="AG330" i="48"/>
  <c r="AG329" i="48"/>
  <c r="AG328" i="48"/>
  <c r="AG327" i="48"/>
  <c r="AG326" i="48"/>
  <c r="AG325" i="48"/>
  <c r="AG324" i="48"/>
  <c r="AG323" i="48"/>
  <c r="AG322" i="48"/>
  <c r="AG321" i="48"/>
  <c r="AG320" i="48"/>
  <c r="AG319" i="48"/>
  <c r="AG318" i="48"/>
  <c r="AG317" i="48"/>
  <c r="AG316" i="48"/>
  <c r="AG315" i="48"/>
  <c r="AG314" i="48"/>
  <c r="AG313" i="48"/>
  <c r="AG312" i="48"/>
  <c r="AG311" i="48"/>
  <c r="AG310" i="48"/>
  <c r="AG309" i="48"/>
  <c r="AG308" i="48"/>
  <c r="AG307" i="48"/>
  <c r="AG306" i="48"/>
  <c r="AG305" i="48"/>
  <c r="AG304" i="48"/>
  <c r="AG303" i="48"/>
  <c r="AG302" i="48"/>
  <c r="AG301" i="48"/>
  <c r="AG300" i="48"/>
  <c r="AG299" i="48"/>
  <c r="AG298" i="48"/>
  <c r="AG297" i="48"/>
  <c r="AG296" i="48"/>
  <c r="AG295" i="48"/>
  <c r="AG294" i="48"/>
  <c r="AG293" i="48"/>
  <c r="AG292" i="48"/>
  <c r="AG291" i="48"/>
  <c r="AF338" i="48"/>
  <c r="AF337" i="48"/>
  <c r="AF336" i="48"/>
  <c r="AF335" i="48"/>
  <c r="AF334" i="48"/>
  <c r="AF333" i="48"/>
  <c r="AF332" i="48"/>
  <c r="AF331" i="48"/>
  <c r="AF330" i="48"/>
  <c r="AF329" i="48"/>
  <c r="AF328" i="48"/>
  <c r="AF327" i="48"/>
  <c r="AF326" i="48"/>
  <c r="AF325" i="48"/>
  <c r="AF324" i="48"/>
  <c r="AF323" i="48"/>
  <c r="AF322" i="48"/>
  <c r="AF321" i="48"/>
  <c r="AF320" i="48"/>
  <c r="AF319" i="48"/>
  <c r="AF318" i="48"/>
  <c r="AF317" i="48"/>
  <c r="AF316" i="48"/>
  <c r="AF315" i="48"/>
  <c r="AF314" i="48"/>
  <c r="AF313" i="48"/>
  <c r="AF312" i="48"/>
  <c r="AF311" i="48"/>
  <c r="AF310" i="48"/>
  <c r="AF309" i="48"/>
  <c r="AF308" i="48"/>
  <c r="AF307" i="48"/>
  <c r="AF306" i="48"/>
  <c r="AF305" i="48"/>
  <c r="AF304" i="48"/>
  <c r="AF303" i="48"/>
  <c r="AF302" i="48"/>
  <c r="AF301" i="48"/>
  <c r="AF300" i="48"/>
  <c r="AF299" i="48"/>
  <c r="AF298" i="48"/>
  <c r="AF297" i="48"/>
  <c r="AF296" i="48"/>
  <c r="AF295" i="48"/>
  <c r="AF294" i="48"/>
  <c r="AF293" i="48"/>
  <c r="AF292" i="48"/>
  <c r="AF291" i="48"/>
  <c r="AE338" i="48"/>
  <c r="AE337" i="48"/>
  <c r="AE336" i="48"/>
  <c r="AE335" i="48"/>
  <c r="AE334" i="48"/>
  <c r="AE333" i="48"/>
  <c r="AE332" i="48"/>
  <c r="AE331" i="48"/>
  <c r="AE330" i="48"/>
  <c r="AE329" i="48"/>
  <c r="AE328" i="48"/>
  <c r="AE327" i="48"/>
  <c r="AE326" i="48"/>
  <c r="AE325" i="48"/>
  <c r="AE324" i="48"/>
  <c r="AE323" i="48"/>
  <c r="AE322" i="48"/>
  <c r="AE321" i="48"/>
  <c r="AE320" i="48"/>
  <c r="AE319" i="48"/>
  <c r="AE318" i="48"/>
  <c r="AE317" i="48"/>
  <c r="AE316" i="48"/>
  <c r="AE315" i="48"/>
  <c r="AE314" i="48"/>
  <c r="AE313" i="48"/>
  <c r="AE312" i="48"/>
  <c r="AE311" i="48"/>
  <c r="AE310" i="48"/>
  <c r="AE309" i="48"/>
  <c r="AE308" i="48"/>
  <c r="AE307" i="48"/>
  <c r="AE306" i="48"/>
  <c r="AE305" i="48"/>
  <c r="AE304" i="48"/>
  <c r="AE303" i="48"/>
  <c r="AE302" i="48"/>
  <c r="AE301" i="48"/>
  <c r="AE300" i="48"/>
  <c r="AE299" i="48"/>
  <c r="AE298" i="48"/>
  <c r="AE297" i="48"/>
  <c r="AE296" i="48"/>
  <c r="AE295" i="48"/>
  <c r="AE294" i="48"/>
  <c r="AE293" i="48"/>
  <c r="AE292" i="48"/>
  <c r="AE291" i="48"/>
  <c r="AG290" i="45"/>
  <c r="AG289" i="45"/>
  <c r="AG288" i="45"/>
  <c r="AG287" i="45"/>
  <c r="AG286" i="45"/>
  <c r="AG285" i="45"/>
  <c r="AG284" i="45"/>
  <c r="AG283" i="45"/>
  <c r="AG282" i="45"/>
  <c r="AG281" i="45"/>
  <c r="AG280" i="45"/>
  <c r="AG279" i="45"/>
  <c r="AG278" i="45"/>
  <c r="AG277" i="45"/>
  <c r="AG276" i="45"/>
  <c r="AG275" i="45"/>
  <c r="AG274" i="45"/>
  <c r="AG273" i="45"/>
  <c r="AG272" i="45"/>
  <c r="AG271" i="45"/>
  <c r="AG270" i="45"/>
  <c r="AG269" i="45"/>
  <c r="AG268" i="45"/>
  <c r="AG267" i="45"/>
  <c r="AG266" i="45"/>
  <c r="AG265" i="45"/>
  <c r="AG264" i="45"/>
  <c r="AG263" i="45"/>
  <c r="AG262" i="45"/>
  <c r="AG261" i="45"/>
  <c r="AG260" i="45"/>
  <c r="AG259" i="45"/>
  <c r="AG258" i="45"/>
  <c r="AG257" i="45"/>
  <c r="AG256" i="45"/>
  <c r="AG255" i="45"/>
  <c r="AG254" i="45"/>
  <c r="AG253" i="45"/>
  <c r="AG252" i="45"/>
  <c r="AG251" i="45"/>
  <c r="AG250" i="45"/>
  <c r="AG249" i="45"/>
  <c r="AG248" i="45"/>
  <c r="AG247" i="45"/>
  <c r="AG246" i="45"/>
  <c r="AG245" i="45"/>
  <c r="AG244" i="45"/>
  <c r="AG243" i="45"/>
  <c r="AG242" i="45"/>
  <c r="AG241" i="45"/>
  <c r="AG240" i="45"/>
  <c r="AG239" i="45"/>
  <c r="AG238" i="45"/>
  <c r="AG237" i="45"/>
  <c r="AG236" i="45"/>
  <c r="AG235" i="45"/>
  <c r="AG234" i="45"/>
  <c r="AG233" i="45"/>
  <c r="AG232" i="45"/>
  <c r="AG231" i="45"/>
  <c r="AG230" i="45"/>
  <c r="AG229" i="45"/>
  <c r="AG228" i="45"/>
  <c r="AG227" i="45"/>
  <c r="AG226" i="45"/>
  <c r="AG225" i="45"/>
  <c r="AG224" i="45"/>
  <c r="AG223" i="45"/>
  <c r="AG222" i="45"/>
  <c r="AG221" i="45"/>
  <c r="AG220" i="45"/>
  <c r="AG219" i="45"/>
  <c r="AG218" i="45"/>
  <c r="AG217" i="45"/>
  <c r="AG216" i="45"/>
  <c r="AG215" i="45"/>
  <c r="AG214" i="45"/>
  <c r="AG213" i="45"/>
  <c r="AG212" i="45"/>
  <c r="AG211" i="45"/>
  <c r="AG210" i="45"/>
  <c r="AG209" i="45"/>
  <c r="AG208" i="45"/>
  <c r="AG207" i="45"/>
  <c r="AG206" i="45"/>
  <c r="AG205" i="45"/>
  <c r="AG204" i="45"/>
  <c r="AG203" i="45"/>
  <c r="AG202" i="45"/>
  <c r="AG201" i="45"/>
  <c r="AG200" i="45"/>
  <c r="AG199" i="45"/>
  <c r="AG198" i="45"/>
  <c r="AG197" i="45"/>
  <c r="AG196" i="45"/>
  <c r="AG195" i="45"/>
  <c r="AG194" i="45"/>
  <c r="AG193" i="45"/>
  <c r="AG192" i="45"/>
  <c r="AG191" i="45"/>
  <c r="AG190" i="45"/>
  <c r="AG189" i="45"/>
  <c r="AG188" i="45"/>
  <c r="AG187" i="45"/>
  <c r="AG186" i="45"/>
  <c r="AG185" i="45"/>
  <c r="AG184" i="45"/>
  <c r="AG183" i="45"/>
  <c r="AG182" i="45"/>
  <c r="AG181" i="45"/>
  <c r="AG180" i="45"/>
  <c r="AG179" i="45"/>
  <c r="AG178" i="45"/>
  <c r="AG177" i="45"/>
  <c r="AG176" i="45"/>
  <c r="AG175" i="45"/>
  <c r="AG174" i="45"/>
  <c r="AG173" i="45"/>
  <c r="AG172" i="45"/>
  <c r="AG171" i="45"/>
  <c r="AG170" i="45"/>
  <c r="AG169" i="45"/>
  <c r="AG168" i="45"/>
  <c r="AG167" i="45"/>
  <c r="AG166" i="45"/>
  <c r="AG165" i="45"/>
  <c r="AG164" i="45"/>
  <c r="AG163" i="45"/>
  <c r="AG162" i="45"/>
  <c r="AG161" i="45"/>
  <c r="AG160" i="45"/>
  <c r="AG159" i="45"/>
  <c r="AG158" i="45"/>
  <c r="AG157" i="45"/>
  <c r="AG156" i="45"/>
  <c r="AG155" i="45"/>
  <c r="AG154" i="45"/>
  <c r="AG153" i="45"/>
  <c r="AG152" i="45"/>
  <c r="AG151" i="45"/>
  <c r="AG150" i="45"/>
  <c r="AG149" i="45"/>
  <c r="AG148" i="45"/>
  <c r="AG147" i="45"/>
  <c r="AG146" i="45"/>
  <c r="AG145" i="45"/>
  <c r="AG144" i="45"/>
  <c r="AG143" i="45"/>
  <c r="AG142" i="45"/>
  <c r="AG141" i="45"/>
  <c r="AG140" i="45"/>
  <c r="AG139" i="45"/>
  <c r="AG138" i="45"/>
  <c r="AG137" i="45"/>
  <c r="AG136" i="45"/>
  <c r="AG135" i="45"/>
  <c r="AG134" i="45"/>
  <c r="AG133" i="45"/>
  <c r="AG132" i="45"/>
  <c r="AG131" i="45"/>
  <c r="AG130" i="45"/>
  <c r="AG129" i="45"/>
  <c r="AG128" i="45"/>
  <c r="AG127" i="45"/>
  <c r="AG126" i="45"/>
  <c r="AG125" i="45"/>
  <c r="AG124" i="45"/>
  <c r="AG123" i="45"/>
  <c r="AG122" i="45"/>
  <c r="AG121" i="45"/>
  <c r="AG120" i="45"/>
  <c r="AG119" i="45"/>
  <c r="AG118" i="45"/>
  <c r="AG117" i="45"/>
  <c r="AG116" i="45"/>
  <c r="AG115" i="45"/>
  <c r="AG114" i="45"/>
  <c r="AG113" i="45"/>
  <c r="AG112" i="45"/>
  <c r="AG111" i="45"/>
  <c r="AG110" i="45"/>
  <c r="AG109" i="45"/>
  <c r="AG108" i="45"/>
  <c r="AG107" i="45"/>
  <c r="AG106" i="45"/>
  <c r="AG105" i="45"/>
  <c r="AG104" i="45"/>
  <c r="AG103" i="45"/>
  <c r="AG102" i="45"/>
  <c r="AG101" i="45"/>
  <c r="AG100" i="45"/>
  <c r="AG99" i="45"/>
  <c r="AG98" i="45"/>
  <c r="AG97" i="45"/>
  <c r="AG96" i="45"/>
  <c r="AG95" i="45"/>
  <c r="AG94" i="45"/>
  <c r="AG93" i="45"/>
  <c r="AG92" i="45"/>
  <c r="AG91" i="45"/>
  <c r="AG90" i="45"/>
  <c r="AG89" i="45"/>
  <c r="AG88" i="45"/>
  <c r="AG87" i="45"/>
  <c r="AG86" i="45"/>
  <c r="AG85" i="45"/>
  <c r="AG84" i="45"/>
  <c r="AG83" i="45"/>
  <c r="AG82" i="45"/>
  <c r="AG81" i="45"/>
  <c r="AG80" i="45"/>
  <c r="AG79" i="45"/>
  <c r="AG78" i="45"/>
  <c r="AG77" i="45"/>
  <c r="AG76" i="45"/>
  <c r="AG75" i="45"/>
  <c r="AG74" i="45"/>
  <c r="AG73" i="45"/>
  <c r="AG72" i="45"/>
  <c r="AG71" i="45"/>
  <c r="AG70" i="45"/>
  <c r="AG69" i="45"/>
  <c r="AG68" i="45"/>
  <c r="AG67" i="45"/>
  <c r="AG66" i="45"/>
  <c r="AG65" i="45"/>
  <c r="AG64" i="45"/>
  <c r="AG63" i="45"/>
  <c r="AG62" i="45"/>
  <c r="AG61" i="45"/>
  <c r="AG60" i="45"/>
  <c r="AG59" i="45"/>
  <c r="AG58" i="45"/>
  <c r="AG57" i="45"/>
  <c r="AG56" i="45"/>
  <c r="AG55" i="45"/>
  <c r="AG54" i="45"/>
  <c r="AG53" i="45"/>
  <c r="AG52" i="45"/>
  <c r="AG51" i="45"/>
  <c r="AG50" i="45"/>
  <c r="AG49" i="45"/>
  <c r="AG48" i="45"/>
  <c r="AG47" i="45"/>
  <c r="AG46" i="45"/>
  <c r="AG45" i="45"/>
  <c r="AG44" i="45"/>
  <c r="AG43" i="45"/>
  <c r="AG42" i="45"/>
  <c r="AG41" i="45"/>
  <c r="AG40" i="45"/>
  <c r="AG39" i="45"/>
  <c r="AG38" i="45"/>
  <c r="AG37" i="45"/>
  <c r="AG36" i="45"/>
  <c r="AG35" i="45"/>
  <c r="AG34" i="45"/>
  <c r="AG33" i="45"/>
  <c r="AG32" i="45"/>
  <c r="AG31" i="45"/>
  <c r="AG30" i="45"/>
  <c r="AG29" i="45"/>
  <c r="AG28" i="45"/>
  <c r="AG27" i="45"/>
  <c r="AG26" i="45"/>
  <c r="AG25" i="45"/>
  <c r="AG24" i="45"/>
  <c r="AG23" i="45"/>
  <c r="AG22" i="45"/>
  <c r="AG21" i="45"/>
  <c r="AG20" i="45"/>
  <c r="AG19" i="45"/>
  <c r="AG18" i="45"/>
  <c r="AG17" i="45"/>
  <c r="AG16" i="45"/>
  <c r="AG15" i="45"/>
  <c r="AG14" i="45"/>
  <c r="AG13" i="45"/>
  <c r="AG12" i="45"/>
  <c r="AG11" i="45"/>
  <c r="AG10" i="45"/>
  <c r="AG9" i="45"/>
  <c r="AG8" i="45"/>
  <c r="AG7" i="45"/>
  <c r="AG6" i="45"/>
  <c r="AG5" i="45"/>
  <c r="AG4" i="45"/>
  <c r="AG3" i="45"/>
  <c r="AF290" i="45"/>
  <c r="AF289" i="45"/>
  <c r="AF288" i="45"/>
  <c r="AF287" i="45"/>
  <c r="AF286" i="45"/>
  <c r="AF285" i="45"/>
  <c r="AF284" i="45"/>
  <c r="AF283" i="45"/>
  <c r="AF282" i="45"/>
  <c r="AF281" i="45"/>
  <c r="AF280" i="45"/>
  <c r="AF279" i="45"/>
  <c r="AF278" i="45"/>
  <c r="AF277" i="45"/>
  <c r="AF276" i="45"/>
  <c r="AF275" i="45"/>
  <c r="AF274" i="45"/>
  <c r="AF273" i="45"/>
  <c r="AF272" i="45"/>
  <c r="AF271" i="45"/>
  <c r="AF270" i="45"/>
  <c r="AF269" i="45"/>
  <c r="AF268" i="45"/>
  <c r="AF267" i="45"/>
  <c r="AF266" i="45"/>
  <c r="AF265" i="45"/>
  <c r="AF264" i="45"/>
  <c r="AF263" i="45"/>
  <c r="AF262" i="45"/>
  <c r="AF261" i="45"/>
  <c r="AF260" i="45"/>
  <c r="AF259" i="45"/>
  <c r="AF258" i="45"/>
  <c r="AF257" i="45"/>
  <c r="AF256" i="45"/>
  <c r="AF255" i="45"/>
  <c r="AF254" i="45"/>
  <c r="AF253" i="45"/>
  <c r="AF252" i="45"/>
  <c r="AF251" i="45"/>
  <c r="AF250" i="45"/>
  <c r="AF249" i="45"/>
  <c r="AF248" i="45"/>
  <c r="AF247" i="45"/>
  <c r="AF246" i="45"/>
  <c r="AF245" i="45"/>
  <c r="AF244" i="45"/>
  <c r="AF243" i="45"/>
  <c r="AF242" i="45"/>
  <c r="AF241" i="45"/>
  <c r="AF240" i="45"/>
  <c r="AF239" i="45"/>
  <c r="AF238" i="45"/>
  <c r="AF237" i="45"/>
  <c r="AF236" i="45"/>
  <c r="AF235" i="45"/>
  <c r="AF234" i="45"/>
  <c r="AF233" i="45"/>
  <c r="AF232" i="45"/>
  <c r="AF231" i="45"/>
  <c r="AF230" i="45"/>
  <c r="AF229" i="45"/>
  <c r="AF228" i="45"/>
  <c r="AF227" i="45"/>
  <c r="AF226" i="45"/>
  <c r="AF225" i="45"/>
  <c r="AF224" i="45"/>
  <c r="AF223" i="45"/>
  <c r="AF222" i="45"/>
  <c r="AF221" i="45"/>
  <c r="AF220" i="45"/>
  <c r="AF219" i="45"/>
  <c r="AF218" i="45"/>
  <c r="AF217" i="45"/>
  <c r="AF216" i="45"/>
  <c r="AF215" i="45"/>
  <c r="AF214" i="45"/>
  <c r="AF213" i="45"/>
  <c r="AF212" i="45"/>
  <c r="AF211" i="45"/>
  <c r="AF210" i="45"/>
  <c r="AF209" i="45"/>
  <c r="AF208" i="45"/>
  <c r="AF207" i="45"/>
  <c r="AF206" i="45"/>
  <c r="AF205" i="45"/>
  <c r="AF204" i="45"/>
  <c r="AF203" i="45"/>
  <c r="AF202" i="45"/>
  <c r="AF201" i="45"/>
  <c r="AF200" i="45"/>
  <c r="AF199" i="45"/>
  <c r="AF198" i="45"/>
  <c r="AF197" i="45"/>
  <c r="AF196" i="45"/>
  <c r="AF195" i="45"/>
  <c r="AF194" i="45"/>
  <c r="AF193" i="45"/>
  <c r="AF192" i="45"/>
  <c r="AF191" i="45"/>
  <c r="AF190" i="45"/>
  <c r="AF189" i="45"/>
  <c r="AF188" i="45"/>
  <c r="AF187" i="45"/>
  <c r="AF186" i="45"/>
  <c r="AF185" i="45"/>
  <c r="AF184" i="45"/>
  <c r="AF183" i="45"/>
  <c r="AF182" i="45"/>
  <c r="AF181" i="45"/>
  <c r="AF180" i="45"/>
  <c r="AF179" i="45"/>
  <c r="AF178" i="45"/>
  <c r="AF177" i="45"/>
  <c r="AF176" i="45"/>
  <c r="AF175" i="45"/>
  <c r="AF174" i="45"/>
  <c r="AF173" i="45"/>
  <c r="AF172" i="45"/>
  <c r="AF171" i="45"/>
  <c r="AF170" i="45"/>
  <c r="AF169" i="45"/>
  <c r="AF168" i="45"/>
  <c r="AF167" i="45"/>
  <c r="AF166" i="45"/>
  <c r="AF165" i="45"/>
  <c r="AF164" i="45"/>
  <c r="AF163" i="45"/>
  <c r="AF162" i="45"/>
  <c r="AF161" i="45"/>
  <c r="AF160" i="45"/>
  <c r="AF159" i="45"/>
  <c r="AF158" i="45"/>
  <c r="AF157" i="45"/>
  <c r="AF156" i="45"/>
  <c r="AF155" i="45"/>
  <c r="AF154" i="45"/>
  <c r="AF153" i="45"/>
  <c r="AF152" i="45"/>
  <c r="AF151" i="45"/>
  <c r="AF150" i="45"/>
  <c r="AF149" i="45"/>
  <c r="AF148" i="45"/>
  <c r="AF147" i="45"/>
  <c r="AF146" i="45"/>
  <c r="AF145" i="45"/>
  <c r="AF144" i="45"/>
  <c r="AF143" i="45"/>
  <c r="AF142" i="45"/>
  <c r="AF141" i="45"/>
  <c r="AF140" i="45"/>
  <c r="AF139" i="45"/>
  <c r="AF138" i="45"/>
  <c r="AF137" i="45"/>
  <c r="AF136" i="45"/>
  <c r="AF135" i="45"/>
  <c r="AF134" i="45"/>
  <c r="AF133" i="45"/>
  <c r="AF132" i="45"/>
  <c r="AF131" i="45"/>
  <c r="AF130" i="45"/>
  <c r="AF129" i="45"/>
  <c r="AF128" i="45"/>
  <c r="AF127" i="45"/>
  <c r="AF126" i="45"/>
  <c r="AF125" i="45"/>
  <c r="AF124" i="45"/>
  <c r="AF123" i="45"/>
  <c r="AF122" i="45"/>
  <c r="AF121" i="45"/>
  <c r="AF120" i="45"/>
  <c r="AF119" i="45"/>
  <c r="AF118" i="45"/>
  <c r="AF117" i="45"/>
  <c r="AF116" i="45"/>
  <c r="AF115" i="45"/>
  <c r="AF114" i="45"/>
  <c r="AF113" i="45"/>
  <c r="AF112" i="45"/>
  <c r="AF111" i="45"/>
  <c r="AF110" i="45"/>
  <c r="AF109" i="45"/>
  <c r="AF108" i="45"/>
  <c r="AF107" i="45"/>
  <c r="AF106" i="45"/>
  <c r="AF105" i="45"/>
  <c r="AF104" i="45"/>
  <c r="AF103" i="45"/>
  <c r="AF102" i="45"/>
  <c r="AF101" i="45"/>
  <c r="AF100" i="45"/>
  <c r="AF99" i="45"/>
  <c r="AF98" i="45"/>
  <c r="AF97" i="45"/>
  <c r="AF96" i="45"/>
  <c r="AF95" i="45"/>
  <c r="AF94" i="45"/>
  <c r="AF93" i="45"/>
  <c r="AF92" i="45"/>
  <c r="AF91" i="45"/>
  <c r="AF90" i="45"/>
  <c r="AF89" i="45"/>
  <c r="AF88" i="45"/>
  <c r="AF87" i="45"/>
  <c r="AF86" i="45"/>
  <c r="AF85" i="45"/>
  <c r="AF84" i="45"/>
  <c r="AF83" i="45"/>
  <c r="AF82" i="45"/>
  <c r="AF81" i="45"/>
  <c r="AF80" i="45"/>
  <c r="AF79" i="45"/>
  <c r="AF78" i="45"/>
  <c r="AF77" i="45"/>
  <c r="AF76" i="45"/>
  <c r="AF75" i="45"/>
  <c r="AF74" i="45"/>
  <c r="AF73" i="45"/>
  <c r="AF72" i="45"/>
  <c r="AF71" i="45"/>
  <c r="AF70" i="45"/>
  <c r="AF69" i="45"/>
  <c r="AF68" i="45"/>
  <c r="AF67" i="45"/>
  <c r="AF66" i="45"/>
  <c r="AF65" i="45"/>
  <c r="AF64" i="45"/>
  <c r="AF63" i="45"/>
  <c r="AF62" i="45"/>
  <c r="AF61" i="45"/>
  <c r="AF60" i="45"/>
  <c r="AF59" i="45"/>
  <c r="AF58" i="45"/>
  <c r="AF57" i="45"/>
  <c r="AF56" i="45"/>
  <c r="AF55" i="45"/>
  <c r="AF54" i="45"/>
  <c r="AF53" i="45"/>
  <c r="AF52" i="45"/>
  <c r="AF51" i="45"/>
  <c r="AF50" i="45"/>
  <c r="AF49" i="45"/>
  <c r="AF48" i="45"/>
  <c r="AF47" i="45"/>
  <c r="AF46" i="45"/>
  <c r="AF45" i="45"/>
  <c r="AF44" i="45"/>
  <c r="AF43" i="45"/>
  <c r="AF42" i="45"/>
  <c r="AF41" i="45"/>
  <c r="AF40" i="45"/>
  <c r="AF39" i="45"/>
  <c r="AF38" i="45"/>
  <c r="AF37" i="45"/>
  <c r="AF36" i="45"/>
  <c r="AF35" i="45"/>
  <c r="AF34" i="45"/>
  <c r="AF33" i="45"/>
  <c r="AF32" i="45"/>
  <c r="AF31" i="45"/>
  <c r="AF30" i="45"/>
  <c r="AF29" i="45"/>
  <c r="AF28" i="45"/>
  <c r="AF27" i="45"/>
  <c r="AF26" i="45"/>
  <c r="AF25" i="45"/>
  <c r="AF24" i="45"/>
  <c r="AF23" i="45"/>
  <c r="AF22" i="45"/>
  <c r="AF21" i="45"/>
  <c r="AF20" i="45"/>
  <c r="AF19" i="45"/>
  <c r="AF18" i="45"/>
  <c r="AF17" i="45"/>
  <c r="AF16" i="45"/>
  <c r="AF15" i="45"/>
  <c r="AF14" i="45"/>
  <c r="AF13" i="45"/>
  <c r="AF12" i="45"/>
  <c r="AF11" i="45"/>
  <c r="AF10" i="45"/>
  <c r="AF9" i="45"/>
  <c r="AF8" i="45"/>
  <c r="AF7" i="45"/>
  <c r="AF6" i="45"/>
  <c r="AF5" i="45"/>
  <c r="AF4" i="45"/>
  <c r="AF3" i="45"/>
  <c r="AE290" i="45"/>
  <c r="AE289" i="45"/>
  <c r="AE288" i="45"/>
  <c r="AE287" i="45"/>
  <c r="AE286" i="45"/>
  <c r="AE285" i="45"/>
  <c r="AE284" i="45"/>
  <c r="AE283" i="45"/>
  <c r="AE282" i="45"/>
  <c r="AE281" i="45"/>
  <c r="AE280" i="45"/>
  <c r="AE279" i="45"/>
  <c r="AE278" i="45"/>
  <c r="AE277" i="45"/>
  <c r="AE276" i="45"/>
  <c r="AE275" i="45"/>
  <c r="AE274" i="45"/>
  <c r="AE273" i="45"/>
  <c r="AE272" i="45"/>
  <c r="AE271" i="45"/>
  <c r="AE270" i="45"/>
  <c r="AE269" i="45"/>
  <c r="AE268" i="45"/>
  <c r="AE267" i="45"/>
  <c r="AE266" i="45"/>
  <c r="AE265" i="45"/>
  <c r="AE264" i="45"/>
  <c r="AE263" i="45"/>
  <c r="AE262" i="45"/>
  <c r="AE261" i="45"/>
  <c r="AE260" i="45"/>
  <c r="AE259" i="45"/>
  <c r="AE258" i="45"/>
  <c r="AE257" i="45"/>
  <c r="AE256" i="45"/>
  <c r="AE255" i="45"/>
  <c r="AE254" i="45"/>
  <c r="AE253" i="45"/>
  <c r="AE252" i="45"/>
  <c r="AE251" i="45"/>
  <c r="AE250" i="45"/>
  <c r="AE249" i="45"/>
  <c r="AE248" i="45"/>
  <c r="AE247" i="45"/>
  <c r="AE246" i="45"/>
  <c r="AE245" i="45"/>
  <c r="AE244" i="45"/>
  <c r="AE243" i="45"/>
  <c r="AE242" i="45"/>
  <c r="AE241" i="45"/>
  <c r="AE240" i="45"/>
  <c r="AE239" i="45"/>
  <c r="AE238" i="45"/>
  <c r="AE237" i="45"/>
  <c r="AE236" i="45"/>
  <c r="AE235" i="45"/>
  <c r="AE234" i="45"/>
  <c r="AE233" i="45"/>
  <c r="AE232" i="45"/>
  <c r="AE231" i="45"/>
  <c r="AE230" i="45"/>
  <c r="AE229" i="45"/>
  <c r="AE228" i="45"/>
  <c r="AE227" i="45"/>
  <c r="AE226" i="45"/>
  <c r="AE225" i="45"/>
  <c r="AE224" i="45"/>
  <c r="AE223" i="45"/>
  <c r="AE222" i="45"/>
  <c r="AE221" i="45"/>
  <c r="AE220" i="45"/>
  <c r="AE219" i="45"/>
  <c r="AE218" i="45"/>
  <c r="AE217" i="45"/>
  <c r="AE216" i="45"/>
  <c r="AE215" i="45"/>
  <c r="AE214" i="45"/>
  <c r="AE213" i="45"/>
  <c r="AE212" i="45"/>
  <c r="AE211" i="45"/>
  <c r="AE210" i="45"/>
  <c r="AE209" i="45"/>
  <c r="AE208" i="45"/>
  <c r="AE207" i="45"/>
  <c r="AE206" i="45"/>
  <c r="AE205" i="45"/>
  <c r="AE204" i="45"/>
  <c r="AE203" i="45"/>
  <c r="AE202" i="45"/>
  <c r="AE201" i="45"/>
  <c r="AE200" i="45"/>
  <c r="AE199" i="45"/>
  <c r="AE198" i="45"/>
  <c r="AE197" i="45"/>
  <c r="AE196" i="45"/>
  <c r="AE195" i="45"/>
  <c r="AE194" i="45"/>
  <c r="AE193" i="45"/>
  <c r="AE192" i="45"/>
  <c r="AE191" i="45"/>
  <c r="AE190" i="45"/>
  <c r="AE189" i="45"/>
  <c r="AE188" i="45"/>
  <c r="AE187" i="45"/>
  <c r="AE186" i="45"/>
  <c r="AE185" i="45"/>
  <c r="AE184" i="45"/>
  <c r="AE183" i="45"/>
  <c r="AE182" i="45"/>
  <c r="AE181" i="45"/>
  <c r="AE180" i="45"/>
  <c r="AE179" i="45"/>
  <c r="AE178" i="45"/>
  <c r="AE177" i="45"/>
  <c r="AE176" i="45"/>
  <c r="AE175" i="45"/>
  <c r="AE174" i="45"/>
  <c r="AE173" i="45"/>
  <c r="AE172" i="45"/>
  <c r="AE171" i="45"/>
  <c r="AE170" i="45"/>
  <c r="AE169" i="45"/>
  <c r="AE168" i="45"/>
  <c r="AE167" i="45"/>
  <c r="AE166" i="45"/>
  <c r="AE165" i="45"/>
  <c r="AE164" i="45"/>
  <c r="AE163" i="45"/>
  <c r="AE162" i="45"/>
  <c r="AE161" i="45"/>
  <c r="AE160" i="45"/>
  <c r="AE159" i="45"/>
  <c r="AE158" i="45"/>
  <c r="AE157" i="45"/>
  <c r="AE156" i="45"/>
  <c r="AE155" i="45"/>
  <c r="AE154" i="45"/>
  <c r="AE153" i="45"/>
  <c r="AE152" i="45"/>
  <c r="AE151" i="45"/>
  <c r="AE150" i="45"/>
  <c r="AE149" i="45"/>
  <c r="AE148" i="45"/>
  <c r="AE147" i="45"/>
  <c r="AE146" i="45"/>
  <c r="AE145" i="45"/>
  <c r="AE144" i="45"/>
  <c r="AE143" i="45"/>
  <c r="AE142" i="45"/>
  <c r="AE141" i="45"/>
  <c r="AE140" i="45"/>
  <c r="AE139" i="45"/>
  <c r="AE138" i="45"/>
  <c r="AE137" i="45"/>
  <c r="AE136" i="45"/>
  <c r="AE135" i="45"/>
  <c r="AE134" i="45"/>
  <c r="AE133" i="45"/>
  <c r="AE132" i="45"/>
  <c r="AE131" i="45"/>
  <c r="AE130" i="45"/>
  <c r="AE129" i="45"/>
  <c r="AE128" i="45"/>
  <c r="AE127" i="45"/>
  <c r="AE126" i="45"/>
  <c r="AE125" i="45"/>
  <c r="AE124" i="45"/>
  <c r="AE123" i="45"/>
  <c r="AE122" i="45"/>
  <c r="AE121" i="45"/>
  <c r="AE120" i="45"/>
  <c r="AE119" i="45"/>
  <c r="AE118" i="45"/>
  <c r="AE117" i="45"/>
  <c r="AE116" i="45"/>
  <c r="AE115" i="45"/>
  <c r="AE114" i="45"/>
  <c r="AE113" i="45"/>
  <c r="AE112" i="45"/>
  <c r="AE111" i="45"/>
  <c r="AE110" i="45"/>
  <c r="AE109" i="45"/>
  <c r="AE108" i="45"/>
  <c r="AE107" i="45"/>
  <c r="AE106" i="45"/>
  <c r="AE105" i="45"/>
  <c r="AE104" i="45"/>
  <c r="AE103" i="45"/>
  <c r="AE102" i="45"/>
  <c r="AE101" i="45"/>
  <c r="AE100" i="45"/>
  <c r="AE99" i="45"/>
  <c r="AE98" i="45"/>
  <c r="AE97" i="45"/>
  <c r="AE96" i="45"/>
  <c r="AE95" i="45"/>
  <c r="AE94" i="45"/>
  <c r="AE93" i="45"/>
  <c r="AE92" i="45"/>
  <c r="AE91" i="45"/>
  <c r="AE90" i="45"/>
  <c r="AE89" i="45"/>
  <c r="AE88" i="45"/>
  <c r="AE87" i="45"/>
  <c r="AE86" i="45"/>
  <c r="AE85" i="45"/>
  <c r="AE84" i="45"/>
  <c r="AE83" i="45"/>
  <c r="AE82" i="45"/>
  <c r="AE81" i="45"/>
  <c r="AE80" i="45"/>
  <c r="AE79" i="45"/>
  <c r="AE78" i="45"/>
  <c r="AE77" i="45"/>
  <c r="AE76" i="45"/>
  <c r="AE75" i="45"/>
  <c r="AE74" i="45"/>
  <c r="AE73" i="45"/>
  <c r="AE72" i="45"/>
  <c r="AE71" i="45"/>
  <c r="AE70" i="45"/>
  <c r="AE69" i="45"/>
  <c r="AE68" i="45"/>
  <c r="AE67" i="45"/>
  <c r="AE66" i="45"/>
  <c r="AE65" i="45"/>
  <c r="AE64" i="45"/>
  <c r="AE63" i="45"/>
  <c r="AE62" i="45"/>
  <c r="AE61" i="45"/>
  <c r="AE60" i="45"/>
  <c r="AE59" i="45"/>
  <c r="AE58" i="45"/>
  <c r="AE57" i="45"/>
  <c r="AE56" i="45"/>
  <c r="AE55" i="45"/>
  <c r="AE54" i="45"/>
  <c r="AE53" i="45"/>
  <c r="AE52" i="45"/>
  <c r="AE51" i="45"/>
  <c r="AE50" i="45"/>
  <c r="AE49" i="45"/>
  <c r="AE48" i="45"/>
  <c r="AE47" i="45"/>
  <c r="AE46" i="45"/>
  <c r="AE45" i="45"/>
  <c r="AE44" i="45"/>
  <c r="AE43" i="45"/>
  <c r="AE42" i="45"/>
  <c r="AE41" i="45"/>
  <c r="AE40" i="45"/>
  <c r="AE39" i="45"/>
  <c r="AE38" i="45"/>
  <c r="AE37" i="45"/>
  <c r="AE36" i="45"/>
  <c r="AE35" i="45"/>
  <c r="AE34" i="45"/>
  <c r="AE33" i="45"/>
  <c r="AE32" i="45"/>
  <c r="AE31" i="45"/>
  <c r="AE30" i="45"/>
  <c r="AE29" i="45"/>
  <c r="AE28" i="45"/>
  <c r="AE27" i="45"/>
  <c r="AE26" i="45"/>
  <c r="AE25" i="45"/>
  <c r="AE24" i="45"/>
  <c r="AE23" i="45"/>
  <c r="AE22" i="45"/>
  <c r="AE21" i="45"/>
  <c r="AE20" i="45"/>
  <c r="AE19" i="45"/>
  <c r="AE18" i="45"/>
  <c r="AE17" i="45"/>
  <c r="AE16" i="45"/>
  <c r="AE15" i="45"/>
  <c r="AE14" i="45"/>
  <c r="AE13" i="45"/>
  <c r="AE12" i="45"/>
  <c r="AE11" i="45"/>
  <c r="AE10" i="45"/>
  <c r="AE9" i="45"/>
  <c r="AE8" i="45"/>
  <c r="AE7" i="45"/>
  <c r="AE6" i="45"/>
  <c r="AE5" i="45"/>
  <c r="AE4" i="45"/>
  <c r="AE3" i="45"/>
  <c r="AD291" i="48" l="1"/>
  <c r="AD292" i="48"/>
  <c r="AD293" i="48"/>
  <c r="AD294" i="48"/>
  <c r="AD295" i="48"/>
  <c r="AD296" i="48"/>
  <c r="AD297" i="48"/>
  <c r="AD298" i="48"/>
  <c r="AD299" i="48"/>
  <c r="AD300" i="48"/>
  <c r="AD301" i="48"/>
  <c r="AD302" i="48"/>
  <c r="AD303" i="48"/>
  <c r="AD304" i="48"/>
  <c r="AD305" i="48"/>
  <c r="AD306" i="48"/>
  <c r="AD307" i="48"/>
  <c r="AD308" i="48"/>
  <c r="AD309" i="48"/>
  <c r="AD310" i="48"/>
  <c r="AD311" i="48"/>
  <c r="AD312" i="48"/>
  <c r="AD313" i="48"/>
  <c r="AD314" i="48"/>
  <c r="AD315" i="48"/>
  <c r="AD316" i="48"/>
  <c r="AD317" i="48"/>
  <c r="AD318" i="48"/>
  <c r="AD319" i="48"/>
  <c r="AD320" i="48"/>
  <c r="AD321" i="48"/>
  <c r="AD322" i="48"/>
  <c r="AD323" i="48"/>
  <c r="AD324" i="48"/>
  <c r="AD325" i="48"/>
  <c r="AD326" i="48"/>
  <c r="AD327" i="48"/>
  <c r="AD328" i="48"/>
  <c r="AD329" i="48"/>
  <c r="AD330" i="48"/>
  <c r="AD331" i="48"/>
  <c r="AD332" i="48"/>
  <c r="AD333" i="48"/>
  <c r="AD334" i="48"/>
  <c r="AD335" i="48"/>
  <c r="AD336" i="48"/>
  <c r="AD337" i="48"/>
  <c r="AD338" i="48"/>
  <c r="Y162" i="44" l="1"/>
  <c r="Y151" i="44"/>
  <c r="Y74" i="44"/>
  <c r="Y63" i="44"/>
  <c r="Y52" i="44"/>
  <c r="Y70" i="44"/>
  <c r="X158" i="44"/>
  <c r="Y69" i="44"/>
  <c r="Y164" i="44"/>
  <c r="X54" i="44"/>
  <c r="X75" i="44"/>
  <c r="X162" i="44"/>
  <c r="X151" i="44"/>
  <c r="X74" i="44"/>
  <c r="X63" i="44"/>
  <c r="X52" i="44"/>
  <c r="X169" i="44"/>
  <c r="Y66" i="44"/>
  <c r="X65" i="44"/>
  <c r="Y161" i="44"/>
  <c r="Y150" i="44"/>
  <c r="Y73" i="44"/>
  <c r="Y62" i="44"/>
  <c r="X70" i="44"/>
  <c r="X166" i="44"/>
  <c r="Y53" i="44"/>
  <c r="X161" i="44"/>
  <c r="X150" i="44"/>
  <c r="X73" i="44"/>
  <c r="X62" i="44"/>
  <c r="Y59" i="44"/>
  <c r="Y157" i="44"/>
  <c r="X165" i="44"/>
  <c r="X55" i="44"/>
  <c r="Y153" i="44"/>
  <c r="Y54" i="44"/>
  <c r="X64" i="44"/>
  <c r="Y171" i="44"/>
  <c r="Y160" i="44"/>
  <c r="Y149" i="44"/>
  <c r="Y72" i="44"/>
  <c r="Y61" i="44"/>
  <c r="Y168" i="44"/>
  <c r="X155" i="44"/>
  <c r="Y154" i="44"/>
  <c r="X163" i="44"/>
  <c r="X53" i="44"/>
  <c r="X171" i="44"/>
  <c r="X160" i="44"/>
  <c r="X149" i="44"/>
  <c r="X72" i="44"/>
  <c r="X61" i="44"/>
  <c r="X59" i="44"/>
  <c r="Y58" i="44"/>
  <c r="Y67" i="44"/>
  <c r="X154" i="44"/>
  <c r="X164" i="44"/>
  <c r="X152" i="44"/>
  <c r="Y170" i="44"/>
  <c r="Y159" i="44"/>
  <c r="Y148" i="44"/>
  <c r="Y71" i="44"/>
  <c r="Y60" i="44"/>
  <c r="Y158" i="44"/>
  <c r="Y165" i="44"/>
  <c r="X170" i="44"/>
  <c r="X159" i="44"/>
  <c r="X148" i="44"/>
  <c r="X71" i="44"/>
  <c r="X60" i="44"/>
  <c r="Y169" i="44"/>
  <c r="Y56" i="44"/>
  <c r="X153" i="44"/>
  <c r="Y75" i="44"/>
  <c r="X168" i="44"/>
  <c r="X157" i="44"/>
  <c r="X69" i="44"/>
  <c r="X58" i="44"/>
  <c r="X68" i="44"/>
  <c r="Y55" i="44"/>
  <c r="Y163" i="44"/>
  <c r="Y167" i="44"/>
  <c r="Y156" i="44"/>
  <c r="Y68" i="44"/>
  <c r="Y57" i="44"/>
  <c r="X167" i="44"/>
  <c r="X156" i="44"/>
  <c r="X57" i="44"/>
  <c r="Y155" i="44"/>
  <c r="X56" i="44"/>
  <c r="Y166" i="44"/>
  <c r="X67" i="44"/>
  <c r="X66" i="44"/>
  <c r="Y65" i="44"/>
  <c r="Y152" i="44"/>
  <c r="Y64" i="44"/>
  <c r="Y140" i="44"/>
  <c r="Y129" i="44"/>
  <c r="Y41" i="44"/>
  <c r="Y30" i="44"/>
  <c r="Y45" i="44"/>
  <c r="X144" i="44"/>
  <c r="Y143" i="44"/>
  <c r="Y130" i="44"/>
  <c r="X140" i="44"/>
  <c r="X129" i="44"/>
  <c r="X41" i="44"/>
  <c r="X30" i="44"/>
  <c r="Y48" i="44"/>
  <c r="X37" i="44"/>
  <c r="Y135" i="44"/>
  <c r="Y36" i="44"/>
  <c r="X132" i="44"/>
  <c r="X42" i="44"/>
  <c r="Y139" i="44"/>
  <c r="Y128" i="44"/>
  <c r="Y51" i="44"/>
  <c r="Y40" i="44"/>
  <c r="Y29" i="44"/>
  <c r="Y147" i="44"/>
  <c r="X147" i="44"/>
  <c r="X45" i="44"/>
  <c r="Y132" i="44"/>
  <c r="Y32" i="44"/>
  <c r="X141" i="44"/>
  <c r="X139" i="44"/>
  <c r="X128" i="44"/>
  <c r="X51" i="44"/>
  <c r="X40" i="44"/>
  <c r="X29" i="44"/>
  <c r="Y28" i="44"/>
  <c r="Y125" i="44"/>
  <c r="X34" i="44"/>
  <c r="Y138" i="44"/>
  <c r="Y127" i="44"/>
  <c r="Y50" i="44"/>
  <c r="Y39" i="44"/>
  <c r="Y136" i="44"/>
  <c r="Y37" i="44"/>
  <c r="X136" i="44"/>
  <c r="Y34" i="44"/>
  <c r="Y44" i="44"/>
  <c r="X142" i="44"/>
  <c r="X32" i="44"/>
  <c r="X138" i="44"/>
  <c r="X127" i="44"/>
  <c r="X50" i="44"/>
  <c r="X39" i="44"/>
  <c r="X28" i="44"/>
  <c r="X125" i="44"/>
  <c r="Y146" i="44"/>
  <c r="X33" i="44"/>
  <c r="X43" i="44"/>
  <c r="Y137" i="44"/>
  <c r="Y126" i="44"/>
  <c r="Y49" i="44"/>
  <c r="Y38" i="44"/>
  <c r="Y33" i="44"/>
  <c r="Y131" i="44"/>
  <c r="X131" i="44"/>
  <c r="Y141" i="44"/>
  <c r="Y31" i="44"/>
  <c r="X137" i="44"/>
  <c r="X126" i="44"/>
  <c r="X49" i="44"/>
  <c r="X38" i="44"/>
  <c r="X48" i="44"/>
  <c r="Y124" i="44"/>
  <c r="Y47" i="44"/>
  <c r="X133" i="44"/>
  <c r="X143" i="44"/>
  <c r="X130" i="44"/>
  <c r="X146" i="44"/>
  <c r="X135" i="44"/>
  <c r="X124" i="44"/>
  <c r="X47" i="44"/>
  <c r="X36" i="44"/>
  <c r="X145" i="44"/>
  <c r="X35" i="44"/>
  <c r="Y144" i="44"/>
  <c r="Y145" i="44"/>
  <c r="Y134" i="44"/>
  <c r="Y46" i="44"/>
  <c r="Y35" i="44"/>
  <c r="X134" i="44"/>
  <c r="X44" i="44"/>
  <c r="Y142" i="44"/>
  <c r="Y43" i="44"/>
  <c r="Y42" i="44"/>
  <c r="X31" i="44"/>
  <c r="X46" i="44"/>
  <c r="Y133" i="44"/>
  <c r="Y195" i="44"/>
  <c r="Y184" i="44"/>
  <c r="Y173" i="44"/>
  <c r="Y96" i="44"/>
  <c r="Y85" i="44"/>
  <c r="X81" i="44"/>
  <c r="Y179" i="44"/>
  <c r="X88" i="44"/>
  <c r="X175" i="44"/>
  <c r="X195" i="44"/>
  <c r="X184" i="44"/>
  <c r="X173" i="44"/>
  <c r="X96" i="44"/>
  <c r="X85" i="44"/>
  <c r="Y78" i="44"/>
  <c r="Y176" i="44"/>
  <c r="X186" i="44"/>
  <c r="X174" i="44"/>
  <c r="Y194" i="44"/>
  <c r="Y183" i="44"/>
  <c r="Y172" i="44"/>
  <c r="Y95" i="44"/>
  <c r="Y84" i="44"/>
  <c r="Y190" i="44"/>
  <c r="Y91" i="44"/>
  <c r="X99" i="44"/>
  <c r="Y186" i="44"/>
  <c r="X87" i="44"/>
  <c r="Y174" i="44"/>
  <c r="X194" i="44"/>
  <c r="X183" i="44"/>
  <c r="X172" i="44"/>
  <c r="X95" i="44"/>
  <c r="X84" i="44"/>
  <c r="Y180" i="44"/>
  <c r="Y97" i="44"/>
  <c r="X185" i="44"/>
  <c r="Y193" i="44"/>
  <c r="Y182" i="44"/>
  <c r="Y94" i="44"/>
  <c r="Y83" i="44"/>
  <c r="X92" i="44"/>
  <c r="Y80" i="44"/>
  <c r="X77" i="44"/>
  <c r="Y76" i="44"/>
  <c r="X193" i="44"/>
  <c r="X182" i="44"/>
  <c r="X94" i="44"/>
  <c r="X83" i="44"/>
  <c r="Y191" i="44"/>
  <c r="X78" i="44"/>
  <c r="Y88" i="44"/>
  <c r="Y98" i="44"/>
  <c r="Y86" i="44"/>
  <c r="Y192" i="44"/>
  <c r="Y181" i="44"/>
  <c r="Y93" i="44"/>
  <c r="Y82" i="44"/>
  <c r="Y81" i="44"/>
  <c r="X180" i="44"/>
  <c r="X97" i="44"/>
  <c r="X192" i="44"/>
  <c r="X181" i="44"/>
  <c r="X93" i="44"/>
  <c r="X82" i="44"/>
  <c r="Y92" i="44"/>
  <c r="X191" i="44"/>
  <c r="Y77" i="44"/>
  <c r="Y87" i="44"/>
  <c r="X190" i="44"/>
  <c r="X179" i="44"/>
  <c r="X91" i="44"/>
  <c r="X80" i="44"/>
  <c r="Y188" i="44"/>
  <c r="Y89" i="44"/>
  <c r="X89" i="44"/>
  <c r="Y187" i="44"/>
  <c r="Y175" i="44"/>
  <c r="X76" i="44"/>
  <c r="X86" i="44"/>
  <c r="Y189" i="44"/>
  <c r="Y178" i="44"/>
  <c r="Y90" i="44"/>
  <c r="Y79" i="44"/>
  <c r="X178" i="44"/>
  <c r="X90" i="44"/>
  <c r="Y177" i="44"/>
  <c r="X188" i="44"/>
  <c r="X187" i="44"/>
  <c r="X98" i="44"/>
  <c r="Y185" i="44"/>
  <c r="X189" i="44"/>
  <c r="X79" i="44"/>
  <c r="X177" i="44"/>
  <c r="Y99" i="44"/>
  <c r="X176" i="44"/>
  <c r="Y118" i="44"/>
  <c r="Y107" i="44"/>
  <c r="Y19" i="44"/>
  <c r="Y8" i="44"/>
  <c r="Y11" i="44"/>
  <c r="Y9" i="44"/>
  <c r="X118" i="44"/>
  <c r="X107" i="44"/>
  <c r="X19" i="44"/>
  <c r="X8" i="44"/>
  <c r="X122" i="44"/>
  <c r="Y120" i="44"/>
  <c r="Y119" i="44"/>
  <c r="Y117" i="44"/>
  <c r="Y106" i="44"/>
  <c r="Y18" i="44"/>
  <c r="Y7" i="44"/>
  <c r="X7" i="44"/>
  <c r="Y17" i="44"/>
  <c r="X17" i="44"/>
  <c r="X5" i="44"/>
  <c r="Y103" i="44"/>
  <c r="Y26" i="44"/>
  <c r="Y111" i="44"/>
  <c r="Y22" i="44"/>
  <c r="X117" i="44"/>
  <c r="X106" i="44"/>
  <c r="X18" i="44"/>
  <c r="X6" i="44"/>
  <c r="X4" i="44"/>
  <c r="X114" i="44"/>
  <c r="X26" i="44"/>
  <c r="Y102" i="44"/>
  <c r="Y14" i="44"/>
  <c r="Y12" i="44"/>
  <c r="X100" i="44"/>
  <c r="Y110" i="44"/>
  <c r="X109" i="44"/>
  <c r="X10" i="44"/>
  <c r="Y116" i="44"/>
  <c r="Y105" i="44"/>
  <c r="Y6" i="44"/>
  <c r="X16" i="44"/>
  <c r="X22" i="44"/>
  <c r="Y108" i="44"/>
  <c r="X116" i="44"/>
  <c r="X105" i="44"/>
  <c r="Y114" i="44"/>
  <c r="Y15" i="44"/>
  <c r="X12" i="44"/>
  <c r="X20" i="44"/>
  <c r="Y115" i="44"/>
  <c r="Y104" i="44"/>
  <c r="Y27" i="44"/>
  <c r="Y16" i="44"/>
  <c r="Y5" i="44"/>
  <c r="X103" i="44"/>
  <c r="X15" i="44"/>
  <c r="Y113" i="44"/>
  <c r="Y25" i="44"/>
  <c r="Y23" i="44"/>
  <c r="X111" i="44"/>
  <c r="X121" i="44"/>
  <c r="Y10" i="44"/>
  <c r="X115" i="44"/>
  <c r="X104" i="44"/>
  <c r="X27" i="44"/>
  <c r="X23" i="44"/>
  <c r="X11" i="44"/>
  <c r="X21" i="44"/>
  <c r="X113" i="44"/>
  <c r="X102" i="44"/>
  <c r="X25" i="44"/>
  <c r="X14" i="44"/>
  <c r="X101" i="44"/>
  <c r="X110" i="44"/>
  <c r="Y21" i="44"/>
  <c r="Y20" i="44"/>
  <c r="Y123" i="44"/>
  <c r="Y112" i="44"/>
  <c r="Y101" i="44"/>
  <c r="Y24" i="44"/>
  <c r="Y13" i="44"/>
  <c r="X123" i="44"/>
  <c r="X24" i="44"/>
  <c r="Y122" i="44"/>
  <c r="Y121" i="44"/>
  <c r="X108" i="44"/>
  <c r="X112" i="44"/>
  <c r="X13" i="44"/>
  <c r="Y100" i="44"/>
  <c r="Y109" i="44"/>
  <c r="X120" i="44"/>
  <c r="X119" i="44"/>
  <c r="X9" i="44"/>
  <c r="Y4" i="44"/>
  <c r="V195" i="44"/>
  <c r="R192" i="44" a="1"/>
  <c r="R192" i="44" s="1"/>
  <c r="U188" i="44"/>
  <c r="Q185" i="44" a="1"/>
  <c r="Q185" i="44" s="1"/>
  <c r="S181" i="44"/>
  <c r="U177" i="44"/>
  <c r="R174" i="44" a="1"/>
  <c r="R174" i="44" s="1"/>
  <c r="T170" i="44"/>
  <c r="V166" i="44"/>
  <c r="R163" i="44" a="1"/>
  <c r="R163" i="44" s="1"/>
  <c r="T159" i="44"/>
  <c r="V155" i="44"/>
  <c r="S152" i="44"/>
  <c r="U148" i="44"/>
  <c r="T141" i="44"/>
  <c r="V137" i="44"/>
  <c r="R134" i="44" a="1"/>
  <c r="R134" i="44" s="1"/>
  <c r="U130" i="44"/>
  <c r="Q127" i="44" a="1"/>
  <c r="Q127" i="44" s="1"/>
  <c r="S123" i="44"/>
  <c r="V119" i="44"/>
  <c r="R116" i="44" a="1"/>
  <c r="R116" i="44" s="1"/>
  <c r="T112" i="44"/>
  <c r="V108" i="44"/>
  <c r="R105" i="44" a="1"/>
  <c r="R105" i="44" s="1"/>
  <c r="T101" i="44"/>
  <c r="V97" i="44"/>
  <c r="R94" i="44" a="1"/>
  <c r="R94" i="44" s="1"/>
  <c r="T90" i="44"/>
  <c r="V86" i="44"/>
  <c r="R83" i="44" a="1"/>
  <c r="R83" i="44" s="1"/>
  <c r="T79" i="44"/>
  <c r="V75" i="44"/>
  <c r="R72" i="44" a="1"/>
  <c r="R72" i="44" s="1"/>
  <c r="T68" i="44"/>
  <c r="V64" i="44"/>
  <c r="R61" i="44" a="1"/>
  <c r="R61" i="44" s="1"/>
  <c r="T57" i="44"/>
  <c r="Q54" i="44" a="1"/>
  <c r="Q54" i="44" s="1"/>
  <c r="S50" i="44"/>
  <c r="U46" i="44"/>
  <c r="Q43" i="44" a="1"/>
  <c r="Q43" i="44" s="1"/>
  <c r="S39" i="44"/>
  <c r="U35" i="44"/>
  <c r="R32" i="44" a="1"/>
  <c r="R32" i="44" s="1"/>
  <c r="T28" i="44"/>
  <c r="V24" i="44"/>
  <c r="S21" i="44"/>
  <c r="U17" i="44"/>
  <c r="Q14" i="44" a="1"/>
  <c r="Q14" i="44" s="1"/>
  <c r="S10" i="44"/>
  <c r="U6" i="44"/>
  <c r="T118" i="44"/>
  <c r="T74" i="44"/>
  <c r="S45" i="44"/>
  <c r="Q9" i="44" a="1"/>
  <c r="Q9" i="44" s="1"/>
  <c r="U172" i="44"/>
  <c r="U143" i="44"/>
  <c r="S107" i="44"/>
  <c r="U81" i="44"/>
  <c r="V48" i="44"/>
  <c r="Q187" i="44" a="1"/>
  <c r="Q187" i="44" s="1"/>
  <c r="U150" i="44"/>
  <c r="U121" i="44"/>
  <c r="R85" i="44" a="1"/>
  <c r="R85" i="44" s="1"/>
  <c r="U48" i="44"/>
  <c r="Q16" i="44" a="1"/>
  <c r="Q16" i="44" s="1"/>
  <c r="T15" i="44"/>
  <c r="U195" i="44"/>
  <c r="Q192" i="44" a="1"/>
  <c r="Q192" i="44" s="1"/>
  <c r="T188" i="44"/>
  <c r="V184" i="44"/>
  <c r="R181" i="44" a="1"/>
  <c r="R181" i="44" s="1"/>
  <c r="T177" i="44"/>
  <c r="Q174" i="44" a="1"/>
  <c r="Q174" i="44" s="1"/>
  <c r="S170" i="44"/>
  <c r="U166" i="44"/>
  <c r="Q163" i="44" a="1"/>
  <c r="Q163" i="44" s="1"/>
  <c r="S159" i="44"/>
  <c r="U155" i="44"/>
  <c r="R152" i="44" a="1"/>
  <c r="R152" i="44" s="1"/>
  <c r="T148" i="44"/>
  <c r="Q145" i="44" a="1"/>
  <c r="Q145" i="44" s="1"/>
  <c r="S141" i="44"/>
  <c r="U137" i="44"/>
  <c r="Q134" i="44" a="1"/>
  <c r="Q134" i="44" s="1"/>
  <c r="T130" i="44"/>
  <c r="V126" i="44"/>
  <c r="R123" i="44" a="1"/>
  <c r="R123" i="44" s="1"/>
  <c r="U119" i="44"/>
  <c r="Q116" i="44" a="1"/>
  <c r="Q116" i="44" s="1"/>
  <c r="S112" i="44"/>
  <c r="U108" i="44"/>
  <c r="Q105" i="44" a="1"/>
  <c r="Q105" i="44" s="1"/>
  <c r="S101" i="44"/>
  <c r="U97" i="44"/>
  <c r="Q94" i="44" a="1"/>
  <c r="Q94" i="44" s="1"/>
  <c r="S90" i="44"/>
  <c r="U86" i="44"/>
  <c r="Q83" i="44" a="1"/>
  <c r="Q83" i="44" s="1"/>
  <c r="S79" i="44"/>
  <c r="U75" i="44"/>
  <c r="Q72" i="44" a="1"/>
  <c r="Q72" i="44" s="1"/>
  <c r="S68" i="44"/>
  <c r="U64" i="44"/>
  <c r="Q61" i="44" a="1"/>
  <c r="Q61" i="44" s="1"/>
  <c r="S57" i="44"/>
  <c r="V53" i="44"/>
  <c r="R50" i="44" a="1"/>
  <c r="R50" i="44" s="1"/>
  <c r="T46" i="44"/>
  <c r="V42" i="44"/>
  <c r="R39" i="44" a="1"/>
  <c r="R39" i="44" s="1"/>
  <c r="T35" i="44"/>
  <c r="Q32" i="44" a="1"/>
  <c r="Q32" i="44" s="1"/>
  <c r="S28" i="44"/>
  <c r="U24" i="44"/>
  <c r="R21" i="44" a="1"/>
  <c r="R21" i="44" s="1"/>
  <c r="T17" i="44"/>
  <c r="V13" i="44"/>
  <c r="R10" i="44" a="1"/>
  <c r="R10" i="44" s="1"/>
  <c r="T6" i="44"/>
  <c r="V172" i="44"/>
  <c r="V132" i="44"/>
  <c r="T107" i="44"/>
  <c r="T85" i="44"/>
  <c r="Q49" i="44" a="1"/>
  <c r="Q49" i="44" s="1"/>
  <c r="Q20" i="44" a="1"/>
  <c r="Q20" i="44" s="1"/>
  <c r="V179" i="44"/>
  <c r="V150" i="44"/>
  <c r="V121" i="44"/>
  <c r="U92" i="44"/>
  <c r="S63" i="44"/>
  <c r="U30" i="44"/>
  <c r="T12" i="44"/>
  <c r="U179" i="44"/>
  <c r="T143" i="44"/>
  <c r="T114" i="44"/>
  <c r="T81" i="44"/>
  <c r="Q56" i="44" a="1"/>
  <c r="Q56" i="44" s="1"/>
  <c r="V26" i="44"/>
  <c r="R37" i="44" a="1"/>
  <c r="R37" i="44" s="1"/>
  <c r="Q4" i="44" a="1"/>
  <c r="Q4" i="44" s="1"/>
  <c r="T195" i="44"/>
  <c r="V191" i="44"/>
  <c r="S188" i="44"/>
  <c r="U184" i="44"/>
  <c r="Q181" i="44" a="1"/>
  <c r="Q181" i="44" s="1"/>
  <c r="S177" i="44"/>
  <c r="V173" i="44"/>
  <c r="R170" i="44" a="1"/>
  <c r="R170" i="44" s="1"/>
  <c r="T166" i="44"/>
  <c r="V162" i="44"/>
  <c r="R159" i="44" a="1"/>
  <c r="R159" i="44" s="1"/>
  <c r="T155" i="44"/>
  <c r="Q152" i="44" a="1"/>
  <c r="Q152" i="44" s="1"/>
  <c r="S148" i="44"/>
  <c r="V144" i="44"/>
  <c r="R141" i="44" a="1"/>
  <c r="R141" i="44" s="1"/>
  <c r="T137" i="44"/>
  <c r="V133" i="44"/>
  <c r="S130" i="44"/>
  <c r="U126" i="44"/>
  <c r="Q123" i="44" a="1"/>
  <c r="Q123" i="44" s="1"/>
  <c r="T119" i="44"/>
  <c r="V115" i="44"/>
  <c r="R112" i="44" a="1"/>
  <c r="R112" i="44" s="1"/>
  <c r="T108" i="44"/>
  <c r="V104" i="44"/>
  <c r="R101" i="44" a="1"/>
  <c r="R101" i="44" s="1"/>
  <c r="T97" i="44"/>
  <c r="V93" i="44"/>
  <c r="R90" i="44" a="1"/>
  <c r="R90" i="44" s="1"/>
  <c r="T86" i="44"/>
  <c r="V82" i="44"/>
  <c r="R79" i="44" a="1"/>
  <c r="R79" i="44" s="1"/>
  <c r="T75" i="44"/>
  <c r="V71" i="44"/>
  <c r="R68" i="44" a="1"/>
  <c r="R68" i="44" s="1"/>
  <c r="T64" i="44"/>
  <c r="V60" i="44"/>
  <c r="R57" i="44" a="1"/>
  <c r="R57" i="44" s="1"/>
  <c r="U53" i="44"/>
  <c r="Q50" i="44" a="1"/>
  <c r="Q50" i="44" s="1"/>
  <c r="S46" i="44"/>
  <c r="U42" i="44"/>
  <c r="Q39" i="44" a="1"/>
  <c r="Q39" i="44" s="1"/>
  <c r="S35" i="44"/>
  <c r="V31" i="44"/>
  <c r="R28" i="44" a="1"/>
  <c r="R28" i="44" s="1"/>
  <c r="T24" i="44"/>
  <c r="Q21" i="44" a="1"/>
  <c r="Q21" i="44" s="1"/>
  <c r="S17" i="44"/>
  <c r="U13" i="44"/>
  <c r="Q10" i="44" a="1"/>
  <c r="Q10" i="44" s="1"/>
  <c r="S6" i="44"/>
  <c r="V27" i="44"/>
  <c r="S13" i="44"/>
  <c r="V16" i="44"/>
  <c r="S187" i="44"/>
  <c r="R158" i="44" a="1"/>
  <c r="R158" i="44" s="1"/>
  <c r="V143" i="44"/>
  <c r="Q122" i="44" a="1"/>
  <c r="Q122" i="44" s="1"/>
  <c r="R100" i="44" a="1"/>
  <c r="R100" i="44" s="1"/>
  <c r="R78" i="44" a="1"/>
  <c r="R78" i="44" s="1"/>
  <c r="S56" i="44"/>
  <c r="V30" i="44"/>
  <c r="U12" i="44"/>
  <c r="R187" i="44" a="1"/>
  <c r="R187" i="44" s="1"/>
  <c r="U161" i="44"/>
  <c r="U132" i="44"/>
  <c r="U103" i="44"/>
  <c r="Q89" i="44" a="1"/>
  <c r="Q89" i="44" s="1"/>
  <c r="U59" i="44"/>
  <c r="V37" i="44"/>
  <c r="V19" i="44"/>
  <c r="R194" i="44" a="1"/>
  <c r="R194" i="44" s="1"/>
  <c r="T161" i="44"/>
  <c r="Q129" i="44" a="1"/>
  <c r="Q129" i="44" s="1"/>
  <c r="T103" i="44"/>
  <c r="V88" i="44"/>
  <c r="R63" i="44" a="1"/>
  <c r="R63" i="44" s="1"/>
  <c r="U37" i="44"/>
  <c r="U8" i="44"/>
  <c r="S26" i="44"/>
  <c r="S175" i="44"/>
  <c r="S195" i="44"/>
  <c r="U191" i="44"/>
  <c r="R188" i="44" a="1"/>
  <c r="R188" i="44" s="1"/>
  <c r="T184" i="44"/>
  <c r="V180" i="44"/>
  <c r="R177" i="44" a="1"/>
  <c r="R177" i="44" s="1"/>
  <c r="U173" i="44"/>
  <c r="Q170" i="44" a="1"/>
  <c r="Q170" i="44" s="1"/>
  <c r="S166" i="44"/>
  <c r="U162" i="44"/>
  <c r="Q159" i="44" a="1"/>
  <c r="Q159" i="44" s="1"/>
  <c r="S155" i="44"/>
  <c r="V151" i="44"/>
  <c r="R148" i="44" a="1"/>
  <c r="R148" i="44" s="1"/>
  <c r="U144" i="44"/>
  <c r="Q141" i="44" a="1"/>
  <c r="Q141" i="44" s="1"/>
  <c r="S137" i="44"/>
  <c r="U133" i="44"/>
  <c r="R130" i="44" a="1"/>
  <c r="R130" i="44" s="1"/>
  <c r="T126" i="44"/>
  <c r="V122" i="44"/>
  <c r="S119" i="44"/>
  <c r="U115" i="44"/>
  <c r="Q112" i="44" a="1"/>
  <c r="Q112" i="44" s="1"/>
  <c r="S108" i="44"/>
  <c r="U104" i="44"/>
  <c r="Q101" i="44" a="1"/>
  <c r="Q101" i="44" s="1"/>
  <c r="S97" i="44"/>
  <c r="U93" i="44"/>
  <c r="Q90" i="44" a="1"/>
  <c r="Q90" i="44" s="1"/>
  <c r="S86" i="44"/>
  <c r="U82" i="44"/>
  <c r="Q79" i="44" a="1"/>
  <c r="Q79" i="44" s="1"/>
  <c r="S75" i="44"/>
  <c r="U71" i="44"/>
  <c r="Q68" i="44" a="1"/>
  <c r="Q68" i="44" s="1"/>
  <c r="S64" i="44"/>
  <c r="U60" i="44"/>
  <c r="T53" i="44"/>
  <c r="V49" i="44"/>
  <c r="R46" i="44" a="1"/>
  <c r="R46" i="44" s="1"/>
  <c r="T42" i="44"/>
  <c r="V38" i="44"/>
  <c r="R35" i="44" a="1"/>
  <c r="R35" i="44" s="1"/>
  <c r="U31" i="44"/>
  <c r="Q28" i="44" a="1"/>
  <c r="Q28" i="44" s="1"/>
  <c r="S24" i="44"/>
  <c r="V20" i="44"/>
  <c r="R17" i="44" a="1"/>
  <c r="R17" i="44" s="1"/>
  <c r="T13" i="44"/>
  <c r="V9" i="44"/>
  <c r="R6" i="44" a="1"/>
  <c r="R6" i="44" s="1"/>
  <c r="U20" i="44"/>
  <c r="Q17" i="44" a="1"/>
  <c r="Q17" i="44" s="1"/>
  <c r="Q6" i="44" a="1"/>
  <c r="Q6" i="44" s="1"/>
  <c r="V5" i="44"/>
  <c r="U183" i="44"/>
  <c r="V161" i="44"/>
  <c r="Q151" i="44" a="1"/>
  <c r="Q151" i="44" s="1"/>
  <c r="S129" i="44"/>
  <c r="V92" i="44"/>
  <c r="V70" i="44"/>
  <c r="U41" i="44"/>
  <c r="S16" i="44"/>
  <c r="T183" i="44"/>
  <c r="S154" i="44"/>
  <c r="R129" i="44" a="1"/>
  <c r="R129" i="44" s="1"/>
  <c r="S96" i="44"/>
  <c r="Q67" i="44" a="1"/>
  <c r="Q67" i="44" s="1"/>
  <c r="T52" i="44"/>
  <c r="Q27" i="44" a="1"/>
  <c r="Q27" i="44" s="1"/>
  <c r="R5" i="44" a="1"/>
  <c r="R5" i="44" s="1"/>
  <c r="T172" i="44"/>
  <c r="V157" i="44"/>
  <c r="R136" i="44" a="1"/>
  <c r="R136" i="44" s="1"/>
  <c r="V110" i="44"/>
  <c r="T92" i="44"/>
  <c r="V66" i="44"/>
  <c r="Q34" i="44" a="1"/>
  <c r="Q34" i="44" s="1"/>
  <c r="Q5" i="44" a="1"/>
  <c r="Q5" i="44" s="1"/>
  <c r="R19" i="44" a="1"/>
  <c r="R19" i="44" s="1"/>
  <c r="V171" i="44"/>
  <c r="R195" i="44" a="1"/>
  <c r="R195" i="44" s="1"/>
  <c r="T191" i="44"/>
  <c r="Q188" i="44" a="1"/>
  <c r="Q188" i="44" s="1"/>
  <c r="S184" i="44"/>
  <c r="U180" i="44"/>
  <c r="Q177" i="44" a="1"/>
  <c r="Q177" i="44" s="1"/>
  <c r="T173" i="44"/>
  <c r="V169" i="44"/>
  <c r="R166" i="44" a="1"/>
  <c r="R166" i="44" s="1"/>
  <c r="T162" i="44"/>
  <c r="V158" i="44"/>
  <c r="R155" i="44" a="1"/>
  <c r="R155" i="44" s="1"/>
  <c r="U151" i="44"/>
  <c r="Q148" i="44" a="1"/>
  <c r="Q148" i="44" s="1"/>
  <c r="T144" i="44"/>
  <c r="V140" i="44"/>
  <c r="R137" i="44" a="1"/>
  <c r="R137" i="44" s="1"/>
  <c r="T133" i="44"/>
  <c r="Q130" i="44" a="1"/>
  <c r="Q130" i="44" s="1"/>
  <c r="S126" i="44"/>
  <c r="U122" i="44"/>
  <c r="R119" i="44" a="1"/>
  <c r="R119" i="44" s="1"/>
  <c r="T115" i="44"/>
  <c r="V111" i="44"/>
  <c r="R108" i="44" a="1"/>
  <c r="R108" i="44" s="1"/>
  <c r="T104" i="44"/>
  <c r="V100" i="44"/>
  <c r="R97" i="44" a="1"/>
  <c r="R97" i="44" s="1"/>
  <c r="T93" i="44"/>
  <c r="V89" i="44"/>
  <c r="R86" i="44" a="1"/>
  <c r="R86" i="44" s="1"/>
  <c r="T82" i="44"/>
  <c r="V78" i="44"/>
  <c r="R75" i="44" a="1"/>
  <c r="R75" i="44" s="1"/>
  <c r="T71" i="44"/>
  <c r="V67" i="44"/>
  <c r="R64" i="44" a="1"/>
  <c r="R64" i="44" s="1"/>
  <c r="T60" i="44"/>
  <c r="Q57" i="44" a="1"/>
  <c r="Q57" i="44" s="1"/>
  <c r="S53" i="44"/>
  <c r="U49" i="44"/>
  <c r="Q46" i="44" a="1"/>
  <c r="Q46" i="44" s="1"/>
  <c r="S42" i="44"/>
  <c r="U38" i="44"/>
  <c r="Q35" i="44" a="1"/>
  <c r="Q35" i="44" s="1"/>
  <c r="T31" i="44"/>
  <c r="R24" i="44" a="1"/>
  <c r="R24" i="44" s="1"/>
  <c r="U9" i="44"/>
  <c r="R13" i="44" a="1"/>
  <c r="R13" i="44" s="1"/>
  <c r="Q180" i="44" a="1"/>
  <c r="Q180" i="44" s="1"/>
  <c r="S147" i="44"/>
  <c r="V103" i="44"/>
  <c r="R67" i="44" a="1"/>
  <c r="R67" i="44" s="1"/>
  <c r="S34" i="44"/>
  <c r="S5" i="44"/>
  <c r="Q169" i="44" a="1"/>
  <c r="Q169" i="44" s="1"/>
  <c r="S136" i="44"/>
  <c r="Q111" i="44" a="1"/>
  <c r="Q111" i="44" s="1"/>
  <c r="Q78" i="44" a="1"/>
  <c r="Q78" i="44" s="1"/>
  <c r="R45" i="44" a="1"/>
  <c r="R45" i="44" s="1"/>
  <c r="S183" i="44"/>
  <c r="R154" i="44" a="1"/>
  <c r="R154" i="44" s="1"/>
  <c r="S125" i="44"/>
  <c r="R96" i="44" a="1"/>
  <c r="R96" i="44" s="1"/>
  <c r="T59" i="44"/>
  <c r="U19" i="44"/>
  <c r="V11" i="44"/>
  <c r="Q195" i="44" a="1"/>
  <c r="Q195" i="44" s="1"/>
  <c r="S191" i="44"/>
  <c r="V187" i="44"/>
  <c r="R184" i="44" a="1"/>
  <c r="R184" i="44" s="1"/>
  <c r="T180" i="44"/>
  <c r="V176" i="44"/>
  <c r="S173" i="44"/>
  <c r="U169" i="44"/>
  <c r="Q166" i="44" a="1"/>
  <c r="Q166" i="44" s="1"/>
  <c r="S162" i="44"/>
  <c r="U158" i="44"/>
  <c r="Q155" i="44" a="1"/>
  <c r="Q155" i="44" s="1"/>
  <c r="T151" i="44"/>
  <c r="V147" i="44"/>
  <c r="S144" i="44"/>
  <c r="U140" i="44"/>
  <c r="Q137" i="44" a="1"/>
  <c r="Q137" i="44" s="1"/>
  <c r="S133" i="44"/>
  <c r="V129" i="44"/>
  <c r="R126" i="44" a="1"/>
  <c r="R126" i="44" s="1"/>
  <c r="T122" i="44"/>
  <c r="Q119" i="44" a="1"/>
  <c r="Q119" i="44" s="1"/>
  <c r="S115" i="44"/>
  <c r="U111" i="44"/>
  <c r="Q108" i="44" a="1"/>
  <c r="Q108" i="44" s="1"/>
  <c r="S104" i="44"/>
  <c r="U100" i="44"/>
  <c r="Q97" i="44" a="1"/>
  <c r="Q97" i="44" s="1"/>
  <c r="S93" i="44"/>
  <c r="U89" i="44"/>
  <c r="Q86" i="44" a="1"/>
  <c r="Q86" i="44" s="1"/>
  <c r="S82" i="44"/>
  <c r="U78" i="44"/>
  <c r="Q75" i="44" a="1"/>
  <c r="Q75" i="44" s="1"/>
  <c r="S71" i="44"/>
  <c r="U67" i="44"/>
  <c r="Q64" i="44" a="1"/>
  <c r="Q64" i="44" s="1"/>
  <c r="S60" i="44"/>
  <c r="V56" i="44"/>
  <c r="R53" i="44" a="1"/>
  <c r="R53" i="44" s="1"/>
  <c r="T49" i="44"/>
  <c r="V45" i="44"/>
  <c r="R42" i="44" a="1"/>
  <c r="R42" i="44" s="1"/>
  <c r="T38" i="44"/>
  <c r="V34" i="44"/>
  <c r="S31" i="44"/>
  <c r="U27" i="44"/>
  <c r="T20" i="44"/>
  <c r="T9" i="44"/>
  <c r="S176" i="44"/>
  <c r="T154" i="44"/>
  <c r="U125" i="44"/>
  <c r="T96" i="44"/>
  <c r="V59" i="44"/>
  <c r="R27" i="44" a="1"/>
  <c r="R27" i="44" s="1"/>
  <c r="U190" i="44"/>
  <c r="R147" i="44" a="1"/>
  <c r="R147" i="44" s="1"/>
  <c r="U114" i="44"/>
  <c r="S74" i="44"/>
  <c r="R34" i="44" a="1"/>
  <c r="R34" i="44" s="1"/>
  <c r="V8" i="44"/>
  <c r="V168" i="44"/>
  <c r="V139" i="44"/>
  <c r="R107" i="44" a="1"/>
  <c r="R107" i="44" s="1"/>
  <c r="R74" i="44" a="1"/>
  <c r="R74" i="44" s="1"/>
  <c r="S41" i="44"/>
  <c r="S12" i="44"/>
  <c r="R8" i="44" a="1"/>
  <c r="R8" i="44" s="1"/>
  <c r="T164" i="44"/>
  <c r="V194" i="44"/>
  <c r="R191" i="44" a="1"/>
  <c r="R191" i="44" s="1"/>
  <c r="U187" i="44"/>
  <c r="Q184" i="44" a="1"/>
  <c r="Q184" i="44" s="1"/>
  <c r="S180" i="44"/>
  <c r="U176" i="44"/>
  <c r="R173" i="44" a="1"/>
  <c r="R173" i="44" s="1"/>
  <c r="T169" i="44"/>
  <c r="V165" i="44"/>
  <c r="R162" i="44" a="1"/>
  <c r="R162" i="44" s="1"/>
  <c r="T158" i="44"/>
  <c r="V154" i="44"/>
  <c r="S151" i="44"/>
  <c r="U147" i="44"/>
  <c r="R144" i="44" a="1"/>
  <c r="R144" i="44" s="1"/>
  <c r="T140" i="44"/>
  <c r="V136" i="44"/>
  <c r="R133" i="44" a="1"/>
  <c r="R133" i="44" s="1"/>
  <c r="U129" i="44"/>
  <c r="Q126" i="44" a="1"/>
  <c r="Q126" i="44" s="1"/>
  <c r="S122" i="44"/>
  <c r="V118" i="44"/>
  <c r="R115" i="44" a="1"/>
  <c r="R115" i="44" s="1"/>
  <c r="T111" i="44"/>
  <c r="V107" i="44"/>
  <c r="R104" i="44" a="1"/>
  <c r="R104" i="44" s="1"/>
  <c r="T100" i="44"/>
  <c r="V96" i="44"/>
  <c r="R93" i="44" a="1"/>
  <c r="R93" i="44" s="1"/>
  <c r="T89" i="44"/>
  <c r="V85" i="44"/>
  <c r="R82" i="44" a="1"/>
  <c r="R82" i="44" s="1"/>
  <c r="T78" i="44"/>
  <c r="V74" i="44"/>
  <c r="R71" i="44" a="1"/>
  <c r="R71" i="44" s="1"/>
  <c r="T67" i="44"/>
  <c r="V63" i="44"/>
  <c r="R60" i="44" a="1"/>
  <c r="R60" i="44" s="1"/>
  <c r="U56" i="44"/>
  <c r="Q53" i="44" a="1"/>
  <c r="Q53" i="44" s="1"/>
  <c r="S49" i="44"/>
  <c r="U45" i="44"/>
  <c r="Q42" i="44" a="1"/>
  <c r="Q42" i="44" s="1"/>
  <c r="S38" i="44"/>
  <c r="U34" i="44"/>
  <c r="R31" i="44" a="1"/>
  <c r="R31" i="44" s="1"/>
  <c r="T27" i="44"/>
  <c r="Q24" i="44" a="1"/>
  <c r="Q24" i="44" s="1"/>
  <c r="S20" i="44"/>
  <c r="U16" i="44"/>
  <c r="Q13" i="44" a="1"/>
  <c r="Q13" i="44" s="1"/>
  <c r="S9" i="44"/>
  <c r="U5" i="44"/>
  <c r="R20" i="44" a="1"/>
  <c r="R20" i="44" s="1"/>
  <c r="V12" i="44"/>
  <c r="T5" i="44"/>
  <c r="V190" i="44"/>
  <c r="T165" i="44"/>
  <c r="R140" i="44" a="1"/>
  <c r="R140" i="44" s="1"/>
  <c r="V114" i="44"/>
  <c r="R89" i="44" a="1"/>
  <c r="R89" i="44" s="1"/>
  <c r="T63" i="44"/>
  <c r="Q38" i="44" a="1"/>
  <c r="Q38" i="44" s="1"/>
  <c r="S194" i="44"/>
  <c r="S165" i="44"/>
  <c r="Q140" i="44" a="1"/>
  <c r="Q140" i="44" s="1"/>
  <c r="S118" i="44"/>
  <c r="S85" i="44"/>
  <c r="R56" i="44" a="1"/>
  <c r="R56" i="44" s="1"/>
  <c r="T23" i="44"/>
  <c r="T190" i="44"/>
  <c r="R165" i="44" a="1"/>
  <c r="R165" i="44" s="1"/>
  <c r="T132" i="44"/>
  <c r="V99" i="44"/>
  <c r="T70" i="44"/>
  <c r="Q45" i="44" a="1"/>
  <c r="Q45" i="44" s="1"/>
  <c r="S23" i="44"/>
  <c r="Q30" i="44" a="1"/>
  <c r="Q30" i="44" s="1"/>
  <c r="S186" i="44"/>
  <c r="U194" i="44"/>
  <c r="Q191" i="44" a="1"/>
  <c r="Q191" i="44" s="1"/>
  <c r="T187" i="44"/>
  <c r="V183" i="44"/>
  <c r="R180" i="44" a="1"/>
  <c r="R180" i="44" s="1"/>
  <c r="T176" i="44"/>
  <c r="Q173" i="44" a="1"/>
  <c r="Q173" i="44" s="1"/>
  <c r="S169" i="44"/>
  <c r="U165" i="44"/>
  <c r="Q162" i="44" a="1"/>
  <c r="Q162" i="44" s="1"/>
  <c r="S158" i="44"/>
  <c r="U154" i="44"/>
  <c r="R151" i="44" a="1"/>
  <c r="R151" i="44" s="1"/>
  <c r="T147" i="44"/>
  <c r="Q144" i="44" a="1"/>
  <c r="Q144" i="44" s="1"/>
  <c r="S140" i="44"/>
  <c r="U136" i="44"/>
  <c r="Q133" i="44" a="1"/>
  <c r="Q133" i="44" s="1"/>
  <c r="T129" i="44"/>
  <c r="V125" i="44"/>
  <c r="R122" i="44" a="1"/>
  <c r="R122" i="44" s="1"/>
  <c r="U118" i="44"/>
  <c r="Q115" i="44" a="1"/>
  <c r="Q115" i="44" s="1"/>
  <c r="S111" i="44"/>
  <c r="U107" i="44"/>
  <c r="Q104" i="44" a="1"/>
  <c r="Q104" i="44" s="1"/>
  <c r="S100" i="44"/>
  <c r="U96" i="44"/>
  <c r="Q93" i="44" a="1"/>
  <c r="Q93" i="44" s="1"/>
  <c r="S89" i="44"/>
  <c r="U85" i="44"/>
  <c r="Q82" i="44" a="1"/>
  <c r="Q82" i="44" s="1"/>
  <c r="S78" i="44"/>
  <c r="U74" i="44"/>
  <c r="Q71" i="44" a="1"/>
  <c r="Q71" i="44" s="1"/>
  <c r="S67" i="44"/>
  <c r="U63" i="44"/>
  <c r="Q60" i="44" a="1"/>
  <c r="Q60" i="44" s="1"/>
  <c r="T56" i="44"/>
  <c r="V52" i="44"/>
  <c r="R49" i="44" a="1"/>
  <c r="R49" i="44" s="1"/>
  <c r="T45" i="44"/>
  <c r="V41" i="44"/>
  <c r="R38" i="44" a="1"/>
  <c r="R38" i="44" s="1"/>
  <c r="T34" i="44"/>
  <c r="Q31" i="44" a="1"/>
  <c r="Q31" i="44" s="1"/>
  <c r="S27" i="44"/>
  <c r="V23" i="44"/>
  <c r="T16" i="44"/>
  <c r="R9" i="44" a="1"/>
  <c r="R9" i="44" s="1"/>
  <c r="T194" i="44"/>
  <c r="R169" i="44" a="1"/>
  <c r="R169" i="44" s="1"/>
  <c r="T136" i="44"/>
  <c r="R111" i="44" a="1"/>
  <c r="R111" i="44" s="1"/>
  <c r="V81" i="44"/>
  <c r="U52" i="44"/>
  <c r="U23" i="44"/>
  <c r="R176" i="44" a="1"/>
  <c r="R176" i="44" s="1"/>
  <c r="Q158" i="44" a="1"/>
  <c r="Q158" i="44" s="1"/>
  <c r="T125" i="44"/>
  <c r="Q100" i="44" a="1"/>
  <c r="Q100" i="44" s="1"/>
  <c r="U70" i="44"/>
  <c r="T41" i="44"/>
  <c r="R16" i="44" a="1"/>
  <c r="R16" i="44" s="1"/>
  <c r="Q176" i="44" a="1"/>
  <c r="Q176" i="44" s="1"/>
  <c r="Q147" i="44" a="1"/>
  <c r="Q147" i="44" s="1"/>
  <c r="R118" i="44" a="1"/>
  <c r="R118" i="44" s="1"/>
  <c r="V77" i="44"/>
  <c r="S52" i="44"/>
  <c r="T30" i="44"/>
  <c r="V40" i="44"/>
  <c r="V189" i="44"/>
  <c r="Q194" i="44" a="1"/>
  <c r="Q194" i="44" s="1"/>
  <c r="S190" i="44"/>
  <c r="V186" i="44"/>
  <c r="R183" i="44" a="1"/>
  <c r="R183" i="44" s="1"/>
  <c r="T179" i="44"/>
  <c r="V175" i="44"/>
  <c r="S172" i="44"/>
  <c r="U168" i="44"/>
  <c r="Q165" i="44" a="1"/>
  <c r="Q165" i="44" s="1"/>
  <c r="S161" i="44"/>
  <c r="U157" i="44"/>
  <c r="Q154" i="44" a="1"/>
  <c r="Q154" i="44" s="1"/>
  <c r="T150" i="44"/>
  <c r="V146" i="44"/>
  <c r="S143" i="44"/>
  <c r="U139" i="44"/>
  <c r="Q136" i="44" a="1"/>
  <c r="Q136" i="44" s="1"/>
  <c r="S132" i="44"/>
  <c r="V128" i="44"/>
  <c r="R125" i="44" a="1"/>
  <c r="R125" i="44" s="1"/>
  <c r="T121" i="44"/>
  <c r="Q118" i="44" a="1"/>
  <c r="Q118" i="44" s="1"/>
  <c r="S114" i="44"/>
  <c r="U110" i="44"/>
  <c r="Q107" i="44" a="1"/>
  <c r="Q107" i="44" s="1"/>
  <c r="S103" i="44"/>
  <c r="U99" i="44"/>
  <c r="Q96" i="44" a="1"/>
  <c r="Q96" i="44" s="1"/>
  <c r="S92" i="44"/>
  <c r="U88" i="44"/>
  <c r="Q85" i="44" a="1"/>
  <c r="Q85" i="44" s="1"/>
  <c r="S81" i="44"/>
  <c r="U77" i="44"/>
  <c r="Q74" i="44" a="1"/>
  <c r="Q74" i="44" s="1"/>
  <c r="S70" i="44"/>
  <c r="U66" i="44"/>
  <c r="Q63" i="44" a="1"/>
  <c r="Q63" i="44" s="1"/>
  <c r="S59" i="44"/>
  <c r="V55" i="44"/>
  <c r="R52" i="44" a="1"/>
  <c r="R52" i="44" s="1"/>
  <c r="T48" i="44"/>
  <c r="V44" i="44"/>
  <c r="R41" i="44" a="1"/>
  <c r="R41" i="44" s="1"/>
  <c r="T37" i="44"/>
  <c r="V33" i="44"/>
  <c r="S30" i="44"/>
  <c r="U26" i="44"/>
  <c r="R23" i="44" a="1"/>
  <c r="R23" i="44" s="1"/>
  <c r="T19" i="44"/>
  <c r="V15" i="44"/>
  <c r="R12" i="44" a="1"/>
  <c r="R12" i="44" s="1"/>
  <c r="T8" i="44"/>
  <c r="V4" i="44"/>
  <c r="U135" i="44"/>
  <c r="R121" i="44" a="1"/>
  <c r="R121" i="44" s="1"/>
  <c r="Q114" i="44" a="1"/>
  <c r="Q114" i="44" s="1"/>
  <c r="U106" i="44"/>
  <c r="S99" i="44"/>
  <c r="S88" i="44"/>
  <c r="Q81" i="44" a="1"/>
  <c r="Q81" i="44" s="1"/>
  <c r="U73" i="44"/>
  <c r="U62" i="44"/>
  <c r="T55" i="44"/>
  <c r="R48" i="44" a="1"/>
  <c r="R48" i="44" s="1"/>
  <c r="T33" i="44"/>
  <c r="T193" i="44"/>
  <c r="V193" i="44"/>
  <c r="R190" i="44" a="1"/>
  <c r="R190" i="44" s="1"/>
  <c r="U186" i="44"/>
  <c r="Q183" i="44" a="1"/>
  <c r="Q183" i="44" s="1"/>
  <c r="S179" i="44"/>
  <c r="U175" i="44"/>
  <c r="R172" i="44" a="1"/>
  <c r="R172" i="44" s="1"/>
  <c r="T168" i="44"/>
  <c r="V164" i="44"/>
  <c r="R161" i="44" a="1"/>
  <c r="R161" i="44" s="1"/>
  <c r="T157" i="44"/>
  <c r="V153" i="44"/>
  <c r="S150" i="44"/>
  <c r="U146" i="44"/>
  <c r="R143" i="44" a="1"/>
  <c r="R143" i="44" s="1"/>
  <c r="T139" i="44"/>
  <c r="V135" i="44"/>
  <c r="R132" i="44" a="1"/>
  <c r="R132" i="44" s="1"/>
  <c r="U128" i="44"/>
  <c r="Q125" i="44" a="1"/>
  <c r="Q125" i="44" s="1"/>
  <c r="S121" i="44"/>
  <c r="V117" i="44"/>
  <c r="R114" i="44" a="1"/>
  <c r="R114" i="44" s="1"/>
  <c r="T110" i="44"/>
  <c r="V106" i="44"/>
  <c r="R103" i="44" a="1"/>
  <c r="R103" i="44" s="1"/>
  <c r="T99" i="44"/>
  <c r="V95" i="44"/>
  <c r="R92" i="44" a="1"/>
  <c r="R92" i="44" s="1"/>
  <c r="T88" i="44"/>
  <c r="V84" i="44"/>
  <c r="R81" i="44" a="1"/>
  <c r="R81" i="44" s="1"/>
  <c r="T77" i="44"/>
  <c r="V73" i="44"/>
  <c r="R70" i="44" a="1"/>
  <c r="R70" i="44" s="1"/>
  <c r="T66" i="44"/>
  <c r="V62" i="44"/>
  <c r="R59" i="44" a="1"/>
  <c r="R59" i="44" s="1"/>
  <c r="U55" i="44"/>
  <c r="Q52" i="44" a="1"/>
  <c r="Q52" i="44" s="1"/>
  <c r="S48" i="44"/>
  <c r="U44" i="44"/>
  <c r="Q41" i="44" a="1"/>
  <c r="Q41" i="44" s="1"/>
  <c r="S37" i="44"/>
  <c r="U33" i="44"/>
  <c r="R30" i="44" a="1"/>
  <c r="R30" i="44" s="1"/>
  <c r="T26" i="44"/>
  <c r="Q23" i="44" a="1"/>
  <c r="Q23" i="44" s="1"/>
  <c r="S19" i="44"/>
  <c r="U15" i="44"/>
  <c r="Q12" i="44" a="1"/>
  <c r="Q12" i="44" s="1"/>
  <c r="S8" i="44"/>
  <c r="R4" i="44" a="1"/>
  <c r="R4" i="44" s="1"/>
  <c r="U193" i="44"/>
  <c r="Q190" i="44" a="1"/>
  <c r="Q190" i="44" s="1"/>
  <c r="T186" i="44"/>
  <c r="V182" i="44"/>
  <c r="R179" i="44" a="1"/>
  <c r="R179" i="44" s="1"/>
  <c r="T175" i="44"/>
  <c r="Q172" i="44" a="1"/>
  <c r="Q172" i="44" s="1"/>
  <c r="S168" i="44"/>
  <c r="U164" i="44"/>
  <c r="Q161" i="44" a="1"/>
  <c r="Q161" i="44" s="1"/>
  <c r="S157" i="44"/>
  <c r="U153" i="44"/>
  <c r="R150" i="44" a="1"/>
  <c r="R150" i="44" s="1"/>
  <c r="T146" i="44"/>
  <c r="Q143" i="44" a="1"/>
  <c r="Q143" i="44" s="1"/>
  <c r="S139" i="44"/>
  <c r="Q132" i="44" a="1"/>
  <c r="Q132" i="44" s="1"/>
  <c r="T128" i="44"/>
  <c r="V124" i="44"/>
  <c r="U117" i="44"/>
  <c r="S110" i="44"/>
  <c r="Q103" i="44" a="1"/>
  <c r="Q103" i="44" s="1"/>
  <c r="U95" i="44"/>
  <c r="Q92" i="44" a="1"/>
  <c r="Q92" i="44" s="1"/>
  <c r="U84" i="44"/>
  <c r="S77" i="44"/>
  <c r="Q70" i="44" a="1"/>
  <c r="Q70" i="44" s="1"/>
  <c r="S66" i="44"/>
  <c r="Q59" i="44" a="1"/>
  <c r="Q59" i="44" s="1"/>
  <c r="V51" i="44"/>
  <c r="T44" i="44"/>
  <c r="V22" i="44"/>
  <c r="S193" i="44"/>
  <c r="T182" i="44"/>
  <c r="U171" i="44"/>
  <c r="V160" i="44"/>
  <c r="U152" i="44"/>
  <c r="R142" i="44" a="1"/>
  <c r="R142" i="44" s="1"/>
  <c r="T131" i="44"/>
  <c r="Q121" i="44" a="1"/>
  <c r="Q121" i="44" s="1"/>
  <c r="V112" i="44"/>
  <c r="R102" i="44" a="1"/>
  <c r="R102" i="44" s="1"/>
  <c r="T91" i="44"/>
  <c r="V80" i="44"/>
  <c r="T72" i="44"/>
  <c r="V61" i="44"/>
  <c r="S51" i="44"/>
  <c r="U40" i="44"/>
  <c r="S32" i="44"/>
  <c r="Q22" i="44" a="1"/>
  <c r="Q22" i="44" s="1"/>
  <c r="S11" i="44"/>
  <c r="R157" i="44" a="1"/>
  <c r="R157" i="44" s="1"/>
  <c r="U47" i="44"/>
  <c r="V148" i="44"/>
  <c r="Q77" i="44" a="1"/>
  <c r="Q77" i="44" s="1"/>
  <c r="T7" i="44"/>
  <c r="R117" i="44" a="1"/>
  <c r="R117" i="44" s="1"/>
  <c r="U36" i="44"/>
  <c r="R167" i="44" a="1"/>
  <c r="R167" i="44" s="1"/>
  <c r="U65" i="44"/>
  <c r="V177" i="44"/>
  <c r="T65" i="44"/>
  <c r="T124" i="44"/>
  <c r="V54" i="44"/>
  <c r="R175" i="44" a="1"/>
  <c r="R175" i="44" s="1"/>
  <c r="T73" i="44"/>
  <c r="R145" i="44" a="1"/>
  <c r="R145" i="44" s="1"/>
  <c r="S73" i="44"/>
  <c r="V174" i="44"/>
  <c r="R73" i="44" a="1"/>
  <c r="R73" i="44" s="1"/>
  <c r="V123" i="44"/>
  <c r="R14" i="44" a="1"/>
  <c r="R14" i="44" s="1"/>
  <c r="V91" i="44"/>
  <c r="U11" i="44"/>
  <c r="T123" i="44"/>
  <c r="R193" i="44" a="1"/>
  <c r="R193" i="44" s="1"/>
  <c r="S182" i="44"/>
  <c r="T171" i="44"/>
  <c r="U160" i="44"/>
  <c r="T152" i="44"/>
  <c r="Q142" i="44" a="1"/>
  <c r="Q142" i="44" s="1"/>
  <c r="S131" i="44"/>
  <c r="V120" i="44"/>
  <c r="U112" i="44"/>
  <c r="Q102" i="44" a="1"/>
  <c r="Q102" i="44" s="1"/>
  <c r="S91" i="44"/>
  <c r="U80" i="44"/>
  <c r="S72" i="44"/>
  <c r="U61" i="44"/>
  <c r="R51" i="44" a="1"/>
  <c r="R51" i="44" s="1"/>
  <c r="T40" i="44"/>
  <c r="V21" i="44"/>
  <c r="R11" i="44" a="1"/>
  <c r="R11" i="44" s="1"/>
  <c r="U10" i="44"/>
  <c r="Q8" i="44" a="1"/>
  <c r="Q8" i="44" s="1"/>
  <c r="Q168" i="44" a="1"/>
  <c r="Q168" i="44" s="1"/>
  <c r="R109" i="44" a="1"/>
  <c r="R109" i="44" s="1"/>
  <c r="V28" i="44"/>
  <c r="S138" i="44"/>
  <c r="Q58" i="44" a="1"/>
  <c r="Q58" i="44" s="1"/>
  <c r="T178" i="44"/>
  <c r="T106" i="44"/>
  <c r="Q18" i="44" a="1"/>
  <c r="Q18" i="44" s="1"/>
  <c r="T94" i="44"/>
  <c r="R185" i="44" a="1"/>
  <c r="R185" i="44" s="1"/>
  <c r="T83" i="44"/>
  <c r="V152" i="44"/>
  <c r="T51" i="44"/>
  <c r="Q193" i="44" a="1"/>
  <c r="Q193" i="44" s="1"/>
  <c r="R182" i="44" a="1"/>
  <c r="R182" i="44" s="1"/>
  <c r="S171" i="44"/>
  <c r="T160" i="44"/>
  <c r="Q150" i="44" a="1"/>
  <c r="Q150" i="44" s="1"/>
  <c r="V141" i="44"/>
  <c r="U120" i="44"/>
  <c r="R110" i="44" a="1"/>
  <c r="R110" i="44" s="1"/>
  <c r="V101" i="44"/>
  <c r="R91" i="44" a="1"/>
  <c r="R91" i="44" s="1"/>
  <c r="T80" i="44"/>
  <c r="V69" i="44"/>
  <c r="T61" i="44"/>
  <c r="Q51" i="44" a="1"/>
  <c r="Q51" i="44" s="1"/>
  <c r="S40" i="44"/>
  <c r="V29" i="44"/>
  <c r="U21" i="44"/>
  <c r="Q11" i="44" a="1"/>
  <c r="Q11" i="44" s="1"/>
  <c r="V50" i="44"/>
  <c r="U29" i="44"/>
  <c r="V10" i="44"/>
  <c r="T29" i="44"/>
  <c r="T10" i="44"/>
  <c r="T18" i="44"/>
  <c r="Q128" i="44" a="1"/>
  <c r="Q128" i="44" s="1"/>
  <c r="T98" i="44"/>
  <c r="S18" i="44"/>
  <c r="V127" i="44"/>
  <c r="T47" i="44"/>
  <c r="V156" i="44"/>
  <c r="R98" i="44" a="1"/>
  <c r="R98" i="44" s="1"/>
  <c r="R26" i="44" a="1"/>
  <c r="R26" i="44" s="1"/>
  <c r="V145" i="44"/>
  <c r="R55" i="44" a="1"/>
  <c r="R55" i="44" s="1"/>
  <c r="R156" i="44" a="1"/>
  <c r="R156" i="44" s="1"/>
  <c r="V192" i="44"/>
  <c r="Q182" i="44" a="1"/>
  <c r="Q182" i="44" s="1"/>
  <c r="R171" i="44" a="1"/>
  <c r="R171" i="44" s="1"/>
  <c r="S160" i="44"/>
  <c r="V149" i="44"/>
  <c r="U141" i="44"/>
  <c r="R131" i="44" a="1"/>
  <c r="R131" i="44" s="1"/>
  <c r="T120" i="44"/>
  <c r="Q110" i="44" a="1"/>
  <c r="Q110" i="44" s="1"/>
  <c r="U101" i="44"/>
  <c r="Q91" i="44" a="1"/>
  <c r="Q91" i="44" s="1"/>
  <c r="S80" i="44"/>
  <c r="U69" i="44"/>
  <c r="S61" i="44"/>
  <c r="R40" i="44" a="1"/>
  <c r="R40" i="44" s="1"/>
  <c r="T21" i="44"/>
  <c r="Q19" i="44" a="1"/>
  <c r="Q19" i="44" s="1"/>
  <c r="Q29" i="44" a="1"/>
  <c r="Q29" i="44" s="1"/>
  <c r="V178" i="44"/>
  <c r="R58" i="44" a="1"/>
  <c r="R58" i="44" s="1"/>
  <c r="V167" i="44"/>
  <c r="S98" i="44"/>
  <c r="U28" i="44"/>
  <c r="S146" i="44"/>
  <c r="R66" i="44" a="1"/>
  <c r="R66" i="44" s="1"/>
  <c r="Q178" i="44" a="1"/>
  <c r="Q178" i="44" s="1"/>
  <c r="S95" i="44"/>
  <c r="V6" i="44"/>
  <c r="U124" i="44"/>
  <c r="S44" i="44"/>
  <c r="S164" i="44"/>
  <c r="Q76" i="44" a="1"/>
  <c r="Q76" i="44" s="1"/>
  <c r="R164" i="44" a="1"/>
  <c r="R164" i="44" s="1"/>
  <c r="R84" i="44" a="1"/>
  <c r="R84" i="44" s="1"/>
  <c r="S4" i="44"/>
  <c r="U113" i="44"/>
  <c r="R33" i="44" a="1"/>
  <c r="R33" i="44" s="1"/>
  <c r="V102" i="44"/>
  <c r="Q33" i="44" a="1"/>
  <c r="Q33" i="44" s="1"/>
  <c r="U163" i="44"/>
  <c r="R54" i="44" a="1"/>
  <c r="R54" i="44" s="1"/>
  <c r="R113" i="44" a="1"/>
  <c r="R113" i="44" s="1"/>
  <c r="U182" i="44"/>
  <c r="S83" i="44"/>
  <c r="U192" i="44"/>
  <c r="V181" i="44"/>
  <c r="Q171" i="44" a="1"/>
  <c r="Q171" i="44" s="1"/>
  <c r="R160" i="44" a="1"/>
  <c r="R160" i="44" s="1"/>
  <c r="U149" i="44"/>
  <c r="R139" i="44" a="1"/>
  <c r="R139" i="44" s="1"/>
  <c r="Q131" i="44" a="1"/>
  <c r="Q131" i="44" s="1"/>
  <c r="S120" i="44"/>
  <c r="V109" i="44"/>
  <c r="R99" i="44" a="1"/>
  <c r="R99" i="44" s="1"/>
  <c r="V90" i="44"/>
  <c r="R80" i="44" a="1"/>
  <c r="R80" i="44" s="1"/>
  <c r="T69" i="44"/>
  <c r="V58" i="44"/>
  <c r="U50" i="44"/>
  <c r="Q40" i="44" a="1"/>
  <c r="Q40" i="44" s="1"/>
  <c r="V18" i="44"/>
  <c r="V7" i="44"/>
  <c r="T117" i="44"/>
  <c r="Q37" i="44" a="1"/>
  <c r="Q37" i="44" s="1"/>
  <c r="Q157" i="44" a="1"/>
  <c r="Q157" i="44" s="1"/>
  <c r="U68" i="44"/>
  <c r="R189" i="44" a="1"/>
  <c r="R189" i="44" s="1"/>
  <c r="T87" i="44"/>
  <c r="V188" i="44"/>
  <c r="Q87" i="44" a="1"/>
  <c r="Q87" i="44" s="1"/>
  <c r="Q167" i="44" a="1"/>
  <c r="Q167" i="44" s="1"/>
  <c r="Q55" i="44" a="1"/>
  <c r="Q55" i="44" s="1"/>
  <c r="S116" i="44"/>
  <c r="R44" i="44" a="1"/>
  <c r="R44" i="44" s="1"/>
  <c r="V185" i="44"/>
  <c r="R65" i="44" a="1"/>
  <c r="R65" i="44" s="1"/>
  <c r="Q164" i="44" a="1"/>
  <c r="Q164" i="44" s="1"/>
  <c r="Q65" i="44" a="1"/>
  <c r="Q65" i="44" s="1"/>
  <c r="V163" i="44"/>
  <c r="T62" i="44"/>
  <c r="S134" i="44"/>
  <c r="T22" i="44"/>
  <c r="T102" i="44"/>
  <c r="S22" i="44"/>
  <c r="S102" i="44"/>
  <c r="T11" i="44"/>
  <c r="T192" i="44"/>
  <c r="U181" i="44"/>
  <c r="V170" i="44"/>
  <c r="Q160" i="44" a="1"/>
  <c r="Q160" i="44" s="1"/>
  <c r="T149" i="44"/>
  <c r="Q139" i="44" a="1"/>
  <c r="Q139" i="44" s="1"/>
  <c r="V130" i="44"/>
  <c r="U109" i="44"/>
  <c r="Q99" i="44" a="1"/>
  <c r="Q99" i="44" s="1"/>
  <c r="U90" i="44"/>
  <c r="Q80" i="44" a="1"/>
  <c r="Q80" i="44" s="1"/>
  <c r="S69" i="44"/>
  <c r="U58" i="44"/>
  <c r="T50" i="44"/>
  <c r="V39" i="44"/>
  <c r="S29" i="44"/>
  <c r="U18" i="44"/>
  <c r="T138" i="44"/>
  <c r="V87" i="44"/>
  <c r="U7" i="44"/>
  <c r="S117" i="44"/>
  <c r="V36" i="44"/>
  <c r="R138" i="44" a="1"/>
  <c r="R138" i="44" s="1"/>
  <c r="V57" i="44"/>
  <c r="Q7" i="44" a="1"/>
  <c r="Q7" i="44" s="1"/>
  <c r="R127" i="44" a="1"/>
  <c r="R127" i="44" s="1"/>
  <c r="U25" i="44"/>
  <c r="V105" i="44"/>
  <c r="Q36" i="44" a="1"/>
  <c r="Q36" i="44" s="1"/>
  <c r="Q156" i="44" a="1"/>
  <c r="Q156" i="44" s="1"/>
  <c r="V35" i="44"/>
  <c r="V134" i="44"/>
  <c r="Q44" i="44" a="1"/>
  <c r="Q44" i="44" s="1"/>
  <c r="U185" i="44"/>
  <c r="V43" i="44"/>
  <c r="Q124" i="44" a="1"/>
  <c r="Q124" i="44" s="1"/>
  <c r="U43" i="44"/>
  <c r="U142" i="44"/>
  <c r="S62" i="44"/>
  <c r="Q153" i="44" a="1"/>
  <c r="Q153" i="44" s="1"/>
  <c r="U51" i="44"/>
  <c r="Q113" i="44" a="1"/>
  <c r="Q113" i="44" s="1"/>
  <c r="T32" i="44"/>
  <c r="S192" i="44"/>
  <c r="T181" i="44"/>
  <c r="U170" i="44"/>
  <c r="V159" i="44"/>
  <c r="S149" i="44"/>
  <c r="V138" i="44"/>
  <c r="S128" i="44"/>
  <c r="R120" i="44" a="1"/>
  <c r="R120" i="44" s="1"/>
  <c r="T109" i="44"/>
  <c r="V98" i="44"/>
  <c r="R88" i="44" a="1"/>
  <c r="R88" i="44" s="1"/>
  <c r="V79" i="44"/>
  <c r="R69" i="44" a="1"/>
  <c r="R69" i="44" s="1"/>
  <c r="T58" i="44"/>
  <c r="Q48" i="44" a="1"/>
  <c r="Q48" i="44" s="1"/>
  <c r="U39" i="44"/>
  <c r="R29" i="44" a="1"/>
  <c r="R29" i="44" s="1"/>
  <c r="T189" i="44"/>
  <c r="R77" i="44" a="1"/>
  <c r="R77" i="44" s="1"/>
  <c r="U178" i="44"/>
  <c r="Q109" i="44" a="1"/>
  <c r="Q109" i="44" s="1"/>
  <c r="R18" i="44" a="1"/>
  <c r="R18" i="44" s="1"/>
  <c r="U127" i="44"/>
  <c r="S47" i="44"/>
  <c r="S156" i="44"/>
  <c r="S76" i="44"/>
  <c r="R186" i="44" a="1"/>
  <c r="R186" i="44" s="1"/>
  <c r="T84" i="44"/>
  <c r="Q186" i="44" a="1"/>
  <c r="Q186" i="44" s="1"/>
  <c r="Q95" i="44" a="1"/>
  <c r="Q95" i="44" s="1"/>
  <c r="V14" i="44"/>
  <c r="S145" i="44"/>
  <c r="S33" i="44"/>
  <c r="S153" i="44"/>
  <c r="U94" i="44"/>
  <c r="T14" i="44"/>
  <c r="T113" i="44"/>
  <c r="U22" i="44"/>
  <c r="R153" i="44" a="1"/>
  <c r="R153" i="44" s="1"/>
  <c r="Q73" i="44" a="1"/>
  <c r="Q73" i="44" s="1"/>
  <c r="T142" i="44"/>
  <c r="R62" i="44" a="1"/>
  <c r="R62" i="44" s="1"/>
  <c r="S142" i="44"/>
  <c r="R43" i="44" a="1"/>
  <c r="R43" i="44" s="1"/>
  <c r="U189" i="44"/>
  <c r="Q179" i="44" a="1"/>
  <c r="Q179" i="44" s="1"/>
  <c r="R168" i="44" a="1"/>
  <c r="R168" i="44" s="1"/>
  <c r="U159" i="44"/>
  <c r="R149" i="44" a="1"/>
  <c r="R149" i="44" s="1"/>
  <c r="U138" i="44"/>
  <c r="R128" i="44" a="1"/>
  <c r="R128" i="44" s="1"/>
  <c r="Q120" i="44" a="1"/>
  <c r="Q120" i="44" s="1"/>
  <c r="S109" i="44"/>
  <c r="U98" i="44"/>
  <c r="Q88" i="44" a="1"/>
  <c r="Q88" i="44" s="1"/>
  <c r="U79" i="44"/>
  <c r="Q69" i="44" a="1"/>
  <c r="Q69" i="44" s="1"/>
  <c r="S58" i="44"/>
  <c r="V47" i="44"/>
  <c r="T39" i="44"/>
  <c r="Q149" i="44" a="1"/>
  <c r="Q149" i="44" s="1"/>
  <c r="V68" i="44"/>
  <c r="S189" i="44"/>
  <c r="U87" i="44"/>
  <c r="U167" i="44"/>
  <c r="V76" i="44"/>
  <c r="S7" i="44"/>
  <c r="S135" i="44"/>
  <c r="R15" i="44" a="1"/>
  <c r="R15" i="44" s="1"/>
  <c r="T116" i="44"/>
  <c r="Q15" i="44" a="1"/>
  <c r="Q15" i="44" s="1"/>
  <c r="T145" i="44"/>
  <c r="S25" i="44"/>
  <c r="V113" i="44"/>
  <c r="U54" i="44"/>
  <c r="Q175" i="44" a="1"/>
  <c r="Q175" i="44" s="1"/>
  <c r="T54" i="44"/>
  <c r="V142" i="44"/>
  <c r="S14" i="44"/>
  <c r="S113" i="44"/>
  <c r="U83" i="44"/>
  <c r="T174" i="44"/>
  <c r="U32" i="44"/>
  <c r="U131" i="44"/>
  <c r="R22" i="44" a="1"/>
  <c r="R22" i="44" s="1"/>
  <c r="U123" i="44"/>
  <c r="Q62" i="44" a="1"/>
  <c r="Q62" i="44" s="1"/>
  <c r="S178" i="44"/>
  <c r="T167" i="44"/>
  <c r="U156" i="44"/>
  <c r="R146" i="44" a="1"/>
  <c r="R146" i="44" s="1"/>
  <c r="Q138" i="44" a="1"/>
  <c r="Q138" i="44" s="1"/>
  <c r="T127" i="44"/>
  <c r="Q117" i="44" a="1"/>
  <c r="Q117" i="44" s="1"/>
  <c r="S106" i="44"/>
  <c r="Q98" i="44" a="1"/>
  <c r="Q98" i="44" s="1"/>
  <c r="S87" i="44"/>
  <c r="U76" i="44"/>
  <c r="Q66" i="44" a="1"/>
  <c r="Q66" i="44" s="1"/>
  <c r="U57" i="44"/>
  <c r="R47" i="44" a="1"/>
  <c r="R47" i="44" s="1"/>
  <c r="T36" i="44"/>
  <c r="Q26" i="44" a="1"/>
  <c r="Q26" i="44" s="1"/>
  <c r="V17" i="44"/>
  <c r="R7" i="44" a="1"/>
  <c r="R7" i="44" s="1"/>
  <c r="R178" i="44" a="1"/>
  <c r="R178" i="44" s="1"/>
  <c r="S167" i="44"/>
  <c r="T156" i="44"/>
  <c r="T135" i="44"/>
  <c r="V116" i="44"/>
  <c r="T95" i="44"/>
  <c r="T76" i="44"/>
  <c r="S55" i="44"/>
  <c r="S36" i="44"/>
  <c r="V25" i="44"/>
  <c r="U116" i="44"/>
  <c r="V46" i="44"/>
  <c r="U145" i="44"/>
  <c r="R95" i="44" a="1"/>
  <c r="R95" i="44" s="1"/>
  <c r="T25" i="44"/>
  <c r="U105" i="44"/>
  <c r="S84" i="44"/>
  <c r="T4" i="44"/>
  <c r="S124" i="44"/>
  <c r="V94" i="44"/>
  <c r="U14" i="44"/>
  <c r="U134" i="44"/>
  <c r="S105" i="44"/>
  <c r="Q25" i="44" a="1"/>
  <c r="Q25" i="44" s="1"/>
  <c r="T134" i="44"/>
  <c r="S54" i="44"/>
  <c r="S185" i="44"/>
  <c r="S94" i="44"/>
  <c r="V32" i="44"/>
  <c r="T163" i="44"/>
  <c r="V72" i="44"/>
  <c r="S174" i="44"/>
  <c r="U91" i="44"/>
  <c r="Q189" i="44" a="1"/>
  <c r="Q189" i="44" s="1"/>
  <c r="Q146" i="44" a="1"/>
  <c r="Q146" i="44" s="1"/>
  <c r="S127" i="44"/>
  <c r="R106" i="44" a="1"/>
  <c r="R106" i="44" s="1"/>
  <c r="R87" i="44" a="1"/>
  <c r="R87" i="44" s="1"/>
  <c r="V65" i="44"/>
  <c r="Q47" i="44" a="1"/>
  <c r="Q47" i="44" s="1"/>
  <c r="S15" i="44"/>
  <c r="Q106" i="44" a="1"/>
  <c r="Q106" i="44" s="1"/>
  <c r="R36" i="44" a="1"/>
  <c r="R36" i="44" s="1"/>
  <c r="R135" i="44" a="1"/>
  <c r="R135" i="44" s="1"/>
  <c r="R76" i="44" a="1"/>
  <c r="R76" i="44" s="1"/>
  <c r="U4" i="44"/>
  <c r="Q135" i="44" a="1"/>
  <c r="Q135" i="44" s="1"/>
  <c r="S65" i="44"/>
  <c r="T153" i="44"/>
  <c r="T105" i="44"/>
  <c r="R25" i="44" a="1"/>
  <c r="R25" i="44" s="1"/>
  <c r="R124" i="44" a="1"/>
  <c r="R124" i="44" s="1"/>
  <c r="Q84" i="44" a="1"/>
  <c r="Q84" i="44" s="1"/>
  <c r="T185" i="44"/>
  <c r="V83" i="44"/>
  <c r="U174" i="44"/>
  <c r="U102" i="44"/>
  <c r="T43" i="44"/>
  <c r="V131" i="44"/>
  <c r="S43" i="44"/>
  <c r="S163" i="44"/>
  <c r="U72" i="44"/>
  <c r="E4" i="44" a="1"/>
  <c r="E4" i="44" s="1"/>
  <c r="G327" i="48"/>
  <c r="AC327" i="48"/>
  <c r="AB328" i="48"/>
  <c r="AA329" i="48"/>
  <c r="Z330" i="48"/>
  <c r="Y331" i="48"/>
  <c r="X332" i="48"/>
  <c r="W333" i="48"/>
  <c r="V334" i="48"/>
  <c r="U335" i="48"/>
  <c r="T336" i="48"/>
  <c r="S337" i="48"/>
  <c r="R338" i="48"/>
  <c r="F338" i="48"/>
  <c r="AA315" i="48"/>
  <c r="Z316" i="48"/>
  <c r="Y317" i="48"/>
  <c r="X318" i="48"/>
  <c r="W319" i="48"/>
  <c r="V320" i="48"/>
  <c r="U321" i="48"/>
  <c r="T322" i="48"/>
  <c r="S323" i="48"/>
  <c r="R324" i="48"/>
  <c r="Q325" i="48"/>
  <c r="P326" i="48"/>
  <c r="F324" i="48"/>
  <c r="Y303" i="48"/>
  <c r="X304" i="48"/>
  <c r="W305" i="48"/>
  <c r="V306" i="48"/>
  <c r="U307" i="48"/>
  <c r="T308" i="48"/>
  <c r="S309" i="48"/>
  <c r="R310" i="48"/>
  <c r="Q311" i="48"/>
  <c r="P312" i="48"/>
  <c r="O313" i="48"/>
  <c r="N314" i="48"/>
  <c r="F310" i="48"/>
  <c r="W291" i="48"/>
  <c r="V292" i="48"/>
  <c r="U293" i="48"/>
  <c r="T294" i="48"/>
  <c r="S295" i="48"/>
  <c r="R296" i="48"/>
  <c r="Q297" i="48"/>
  <c r="P298" i="48"/>
  <c r="O299" i="48"/>
  <c r="N300" i="48"/>
  <c r="M301" i="48"/>
  <c r="L302" i="48"/>
  <c r="F296" i="48"/>
  <c r="I335" i="48"/>
  <c r="AB324" i="48"/>
  <c r="AA311" i="48"/>
  <c r="AA297" i="48"/>
  <c r="N332" i="48"/>
  <c r="J322" i="48"/>
  <c r="J308" i="48"/>
  <c r="I295" i="48"/>
  <c r="Q330" i="48"/>
  <c r="P317" i="48"/>
  <c r="AC326" i="48"/>
  <c r="G312" i="48"/>
  <c r="G298" i="48"/>
  <c r="P332" i="48"/>
  <c r="M321" i="48"/>
  <c r="N306" i="48"/>
  <c r="M293" i="48"/>
  <c r="AA301" i="48"/>
  <c r="N335" i="48"/>
  <c r="O320" i="48"/>
  <c r="Q304" i="48"/>
  <c r="K310" i="48"/>
  <c r="I298" i="48"/>
  <c r="T330" i="48"/>
  <c r="P320" i="48"/>
  <c r="N308" i="48"/>
  <c r="O293" i="48"/>
  <c r="H327" i="48"/>
  <c r="G328" i="48"/>
  <c r="AC328" i="48"/>
  <c r="AB329" i="48"/>
  <c r="AA330" i="48"/>
  <c r="Z331" i="48"/>
  <c r="Y332" i="48"/>
  <c r="X333" i="48"/>
  <c r="W334" i="48"/>
  <c r="V335" i="48"/>
  <c r="U336" i="48"/>
  <c r="T337" i="48"/>
  <c r="S338" i="48"/>
  <c r="F327" i="48"/>
  <c r="AB315" i="48"/>
  <c r="AA316" i="48"/>
  <c r="Z317" i="48"/>
  <c r="Y318" i="48"/>
  <c r="X319" i="48"/>
  <c r="W320" i="48"/>
  <c r="V321" i="48"/>
  <c r="U322" i="48"/>
  <c r="T323" i="48"/>
  <c r="S324" i="48"/>
  <c r="R325" i="48"/>
  <c r="Q326" i="48"/>
  <c r="F325" i="48"/>
  <c r="Z303" i="48"/>
  <c r="Y304" i="48"/>
  <c r="X305" i="48"/>
  <c r="W306" i="48"/>
  <c r="V307" i="48"/>
  <c r="U308" i="48"/>
  <c r="T309" i="48"/>
  <c r="S310" i="48"/>
  <c r="R311" i="48"/>
  <c r="Q312" i="48"/>
  <c r="P313" i="48"/>
  <c r="O314" i="48"/>
  <c r="F311" i="48"/>
  <c r="X291" i="48"/>
  <c r="W292" i="48"/>
  <c r="V293" i="48"/>
  <c r="U294" i="48"/>
  <c r="T295" i="48"/>
  <c r="S296" i="48"/>
  <c r="R297" i="48"/>
  <c r="Q298" i="48"/>
  <c r="P299" i="48"/>
  <c r="O300" i="48"/>
  <c r="N301" i="48"/>
  <c r="M302" i="48"/>
  <c r="F297" i="48"/>
  <c r="P301" i="48"/>
  <c r="J334" i="48"/>
  <c r="L318" i="48"/>
  <c r="Z326" i="48"/>
  <c r="AB310" i="48"/>
  <c r="H294" i="48"/>
  <c r="L334" i="48"/>
  <c r="K321" i="48"/>
  <c r="L306" i="48"/>
  <c r="M291" i="48"/>
  <c r="Z300" i="48"/>
  <c r="K336" i="48"/>
  <c r="N319" i="48"/>
  <c r="N305" i="48"/>
  <c r="N291" i="48"/>
  <c r="Y302" i="48"/>
  <c r="M335" i="48"/>
  <c r="R316" i="48"/>
  <c r="F316" i="48"/>
  <c r="AC313" i="48"/>
  <c r="AC299" i="48"/>
  <c r="R331" i="48"/>
  <c r="Q318" i="48"/>
  <c r="P305" i="48"/>
  <c r="AC314" i="48"/>
  <c r="AC300" i="48"/>
  <c r="R332" i="48"/>
  <c r="S317" i="48"/>
  <c r="Q305" i="48"/>
  <c r="F304" i="48"/>
  <c r="I327" i="48"/>
  <c r="H328" i="48"/>
  <c r="G329" i="48"/>
  <c r="AC329" i="48"/>
  <c r="AB330" i="48"/>
  <c r="AA331" i="48"/>
  <c r="Z332" i="48"/>
  <c r="Y333" i="48"/>
  <c r="X334" i="48"/>
  <c r="W335" i="48"/>
  <c r="V336" i="48"/>
  <c r="U337" i="48"/>
  <c r="T338" i="48"/>
  <c r="G315" i="48"/>
  <c r="AC315" i="48"/>
  <c r="AB316" i="48"/>
  <c r="AA317" i="48"/>
  <c r="Z318" i="48"/>
  <c r="Y319" i="48"/>
  <c r="X320" i="48"/>
  <c r="W321" i="48"/>
  <c r="V322" i="48"/>
  <c r="U323" i="48"/>
  <c r="T324" i="48"/>
  <c r="S325" i="48"/>
  <c r="R326" i="48"/>
  <c r="F326" i="48"/>
  <c r="AA303" i="48"/>
  <c r="Z304" i="48"/>
  <c r="Y305" i="48"/>
  <c r="X306" i="48"/>
  <c r="W307" i="48"/>
  <c r="V308" i="48"/>
  <c r="U309" i="48"/>
  <c r="T310" i="48"/>
  <c r="S311" i="48"/>
  <c r="R312" i="48"/>
  <c r="Q313" i="48"/>
  <c r="P314" i="48"/>
  <c r="F312" i="48"/>
  <c r="Y291" i="48"/>
  <c r="X292" i="48"/>
  <c r="W293" i="48"/>
  <c r="V294" i="48"/>
  <c r="U295" i="48"/>
  <c r="T296" i="48"/>
  <c r="S297" i="48"/>
  <c r="R298" i="48"/>
  <c r="Q299" i="48"/>
  <c r="P300" i="48"/>
  <c r="O301" i="48"/>
  <c r="N302" i="48"/>
  <c r="F298" i="48"/>
  <c r="S298" i="48"/>
  <c r="Q300" i="48"/>
  <c r="F299" i="48"/>
  <c r="K333" i="48"/>
  <c r="K319" i="48"/>
  <c r="AA325" i="48"/>
  <c r="G309" i="48"/>
  <c r="I293" i="48"/>
  <c r="Y299" i="48"/>
  <c r="I337" i="48"/>
  <c r="O303" i="48"/>
  <c r="Z314" i="48"/>
  <c r="AA299" i="48"/>
  <c r="P331" i="48"/>
  <c r="I338" i="48"/>
  <c r="K322" i="48"/>
  <c r="K308" i="48"/>
  <c r="K294" i="48"/>
  <c r="Q331" i="48"/>
  <c r="J338" i="48"/>
  <c r="J324" i="48"/>
  <c r="I311" i="48"/>
  <c r="H298" i="48"/>
  <c r="Q332" i="48"/>
  <c r="S316" i="48"/>
  <c r="F317" i="48"/>
  <c r="G314" i="48"/>
  <c r="G300" i="48"/>
  <c r="Q333" i="48"/>
  <c r="F332" i="48"/>
  <c r="L324" i="48"/>
  <c r="L310" i="48"/>
  <c r="J327" i="48"/>
  <c r="I328" i="48"/>
  <c r="H329" i="48"/>
  <c r="G330" i="48"/>
  <c r="AC330" i="48"/>
  <c r="AB331" i="48"/>
  <c r="AA332" i="48"/>
  <c r="Z333" i="48"/>
  <c r="Y334" i="48"/>
  <c r="X335" i="48"/>
  <c r="W336" i="48"/>
  <c r="V337" i="48"/>
  <c r="U338" i="48"/>
  <c r="H315" i="48"/>
  <c r="G316" i="48"/>
  <c r="AC316" i="48"/>
  <c r="AB317" i="48"/>
  <c r="AA318" i="48"/>
  <c r="Z319" i="48"/>
  <c r="Y320" i="48"/>
  <c r="X321" i="48"/>
  <c r="W322" i="48"/>
  <c r="V323" i="48"/>
  <c r="U324" i="48"/>
  <c r="T325" i="48"/>
  <c r="S326" i="48"/>
  <c r="F315" i="48"/>
  <c r="AB303" i="48"/>
  <c r="AA304" i="48"/>
  <c r="Z305" i="48"/>
  <c r="Y306" i="48"/>
  <c r="X307" i="48"/>
  <c r="W308" i="48"/>
  <c r="V309" i="48"/>
  <c r="U310" i="48"/>
  <c r="T311" i="48"/>
  <c r="S312" i="48"/>
  <c r="R313" i="48"/>
  <c r="Q314" i="48"/>
  <c r="F313" i="48"/>
  <c r="Z291" i="48"/>
  <c r="Y292" i="48"/>
  <c r="X293" i="48"/>
  <c r="W294" i="48"/>
  <c r="V295" i="48"/>
  <c r="U296" i="48"/>
  <c r="T297" i="48"/>
  <c r="R299" i="48"/>
  <c r="O302" i="48"/>
  <c r="H336" i="48"/>
  <c r="I307" i="48"/>
  <c r="AB296" i="48"/>
  <c r="O317" i="48"/>
  <c r="G325" i="48"/>
  <c r="AA313" i="48"/>
  <c r="Y301" i="48"/>
  <c r="N333" i="48"/>
  <c r="H325" i="48"/>
  <c r="AB313" i="48"/>
  <c r="AA300" i="48"/>
  <c r="L336" i="48"/>
  <c r="K323" i="48"/>
  <c r="K309" i="48"/>
  <c r="K295" i="48"/>
  <c r="P333" i="48"/>
  <c r="N321" i="48"/>
  <c r="M308" i="48"/>
  <c r="M294" i="48"/>
  <c r="O335" i="48"/>
  <c r="N322" i="48"/>
  <c r="P306" i="48"/>
  <c r="K327" i="48"/>
  <c r="J328" i="48"/>
  <c r="I329" i="48"/>
  <c r="H330" i="48"/>
  <c r="G331" i="48"/>
  <c r="AC331" i="48"/>
  <c r="AB332" i="48"/>
  <c r="AA333" i="48"/>
  <c r="Z334" i="48"/>
  <c r="Y335" i="48"/>
  <c r="X336" i="48"/>
  <c r="W337" i="48"/>
  <c r="V338" i="48"/>
  <c r="I315" i="48"/>
  <c r="H316" i="48"/>
  <c r="G317" i="48"/>
  <c r="AC317" i="48"/>
  <c r="AB318" i="48"/>
  <c r="AA319" i="48"/>
  <c r="Z320" i="48"/>
  <c r="Y321" i="48"/>
  <c r="X322" i="48"/>
  <c r="W323" i="48"/>
  <c r="V324" i="48"/>
  <c r="U325" i="48"/>
  <c r="T326" i="48"/>
  <c r="G303" i="48"/>
  <c r="AC303" i="48"/>
  <c r="AB304" i="48"/>
  <c r="AA305" i="48"/>
  <c r="Z306" i="48"/>
  <c r="Y307" i="48"/>
  <c r="X308" i="48"/>
  <c r="W309" i="48"/>
  <c r="V310" i="48"/>
  <c r="U311" i="48"/>
  <c r="T312" i="48"/>
  <c r="S313" i="48"/>
  <c r="R314" i="48"/>
  <c r="F314" i="48"/>
  <c r="AA291" i="48"/>
  <c r="Z292" i="48"/>
  <c r="Y293" i="48"/>
  <c r="X294" i="48"/>
  <c r="W295" i="48"/>
  <c r="V296" i="48"/>
  <c r="U297" i="48"/>
  <c r="T298" i="48"/>
  <c r="S299" i="48"/>
  <c r="R300" i="48"/>
  <c r="Q301" i="48"/>
  <c r="P302" i="48"/>
  <c r="F300" i="48"/>
  <c r="T300" i="48"/>
  <c r="Y298" i="48"/>
  <c r="M331" i="48"/>
  <c r="G337" i="48"/>
  <c r="J320" i="48"/>
  <c r="L304" i="48"/>
  <c r="Y313" i="48"/>
  <c r="Z298" i="48"/>
  <c r="J336" i="48"/>
  <c r="AB326" i="48"/>
  <c r="AB312" i="48"/>
  <c r="AB298" i="48"/>
  <c r="R329" i="48"/>
  <c r="Q316" i="48"/>
  <c r="P303" i="48"/>
  <c r="AA314" i="48"/>
  <c r="AC298" i="48"/>
  <c r="R330" i="48"/>
  <c r="O319" i="48"/>
  <c r="M307" i="48"/>
  <c r="AB314" i="48"/>
  <c r="G299" i="48"/>
  <c r="V327" i="48"/>
  <c r="T315" i="48"/>
  <c r="I326" i="48"/>
  <c r="I312" i="48"/>
  <c r="K296" i="48"/>
  <c r="N336" i="48"/>
  <c r="O321" i="48"/>
  <c r="S303" i="48"/>
  <c r="Q291" i="48"/>
  <c r="L327" i="48"/>
  <c r="K328" i="48"/>
  <c r="J329" i="48"/>
  <c r="I330" i="48"/>
  <c r="H331" i="48"/>
  <c r="G332" i="48"/>
  <c r="AC332" i="48"/>
  <c r="AB333" i="48"/>
  <c r="AA334" i="48"/>
  <c r="Z335" i="48"/>
  <c r="Y336" i="48"/>
  <c r="X337" i="48"/>
  <c r="W338" i="48"/>
  <c r="J315" i="48"/>
  <c r="I316" i="48"/>
  <c r="H317" i="48"/>
  <c r="G318" i="48"/>
  <c r="AC318" i="48"/>
  <c r="AB319" i="48"/>
  <c r="AA320" i="48"/>
  <c r="Z321" i="48"/>
  <c r="Y322" i="48"/>
  <c r="X323" i="48"/>
  <c r="W324" i="48"/>
  <c r="V325" i="48"/>
  <c r="U326" i="48"/>
  <c r="H303" i="48"/>
  <c r="G304" i="48"/>
  <c r="AC304" i="48"/>
  <c r="AB305" i="48"/>
  <c r="AA306" i="48"/>
  <c r="Z307" i="48"/>
  <c r="Y308" i="48"/>
  <c r="X309" i="48"/>
  <c r="W310" i="48"/>
  <c r="V311" i="48"/>
  <c r="U312" i="48"/>
  <c r="T313" i="48"/>
  <c r="S314" i="48"/>
  <c r="F303" i="48"/>
  <c r="AB291" i="48"/>
  <c r="AA292" i="48"/>
  <c r="Z293" i="48"/>
  <c r="Y294" i="48"/>
  <c r="X295" i="48"/>
  <c r="W296" i="48"/>
  <c r="V297" i="48"/>
  <c r="U298" i="48"/>
  <c r="T299" i="48"/>
  <c r="S300" i="48"/>
  <c r="R301" i="48"/>
  <c r="Q302" i="48"/>
  <c r="F301" i="48"/>
  <c r="U299" i="48"/>
  <c r="R302" i="48"/>
  <c r="F291" i="48"/>
  <c r="W300" i="48"/>
  <c r="L332" i="48"/>
  <c r="M317" i="48"/>
  <c r="H322" i="48"/>
  <c r="K305" i="48"/>
  <c r="Z312" i="48"/>
  <c r="AC295" i="48"/>
  <c r="P316" i="48"/>
  <c r="H324" i="48"/>
  <c r="H310" i="48"/>
  <c r="J294" i="48"/>
  <c r="O332" i="48"/>
  <c r="R315" i="48"/>
  <c r="G326" i="48"/>
  <c r="I310" i="48"/>
  <c r="I296" i="48"/>
  <c r="T328" i="48"/>
  <c r="S315" i="48"/>
  <c r="I325" i="48"/>
  <c r="J310" i="48"/>
  <c r="L294" i="48"/>
  <c r="T329" i="48"/>
  <c r="K338" i="48"/>
  <c r="L323" i="48"/>
  <c r="N307" i="48"/>
  <c r="N293" i="48"/>
  <c r="W327" i="48"/>
  <c r="U315" i="48"/>
  <c r="J326" i="48"/>
  <c r="M327" i="48"/>
  <c r="L328" i="48"/>
  <c r="K329" i="48"/>
  <c r="J330" i="48"/>
  <c r="I331" i="48"/>
  <c r="H332" i="48"/>
  <c r="G333" i="48"/>
  <c r="AC333" i="48"/>
  <c r="AB334" i="48"/>
  <c r="AA335" i="48"/>
  <c r="Z336" i="48"/>
  <c r="Y337" i="48"/>
  <c r="X338" i="48"/>
  <c r="K315" i="48"/>
  <c r="J316" i="48"/>
  <c r="I317" i="48"/>
  <c r="H318" i="48"/>
  <c r="G319" i="48"/>
  <c r="AC319" i="48"/>
  <c r="AB320" i="48"/>
  <c r="AA321" i="48"/>
  <c r="Z322" i="48"/>
  <c r="Y323" i="48"/>
  <c r="X324" i="48"/>
  <c r="W325" i="48"/>
  <c r="V326" i="48"/>
  <c r="I303" i="48"/>
  <c r="H304" i="48"/>
  <c r="G305" i="48"/>
  <c r="AC305" i="48"/>
  <c r="AB306" i="48"/>
  <c r="AA307" i="48"/>
  <c r="Z308" i="48"/>
  <c r="Y309" i="48"/>
  <c r="X310" i="48"/>
  <c r="W311" i="48"/>
  <c r="V312" i="48"/>
  <c r="U313" i="48"/>
  <c r="T314" i="48"/>
  <c r="G291" i="48"/>
  <c r="AC291" i="48"/>
  <c r="AB292" i="48"/>
  <c r="AA293" i="48"/>
  <c r="Z294" i="48"/>
  <c r="Y295" i="48"/>
  <c r="X296" i="48"/>
  <c r="W297" i="48"/>
  <c r="V298" i="48"/>
  <c r="S301" i="48"/>
  <c r="F302" i="48"/>
  <c r="P328" i="48"/>
  <c r="AB338" i="48"/>
  <c r="AC323" i="48"/>
  <c r="AC309" i="48"/>
  <c r="G295" i="48"/>
  <c r="H338" i="48"/>
  <c r="I323" i="48"/>
  <c r="I309" i="48"/>
  <c r="G297" i="48"/>
  <c r="S328" i="48"/>
  <c r="O318" i="48"/>
  <c r="O304" i="48"/>
  <c r="AC312" i="48"/>
  <c r="H297" i="48"/>
  <c r="O333" i="48"/>
  <c r="N320" i="48"/>
  <c r="O305" i="48"/>
  <c r="N292" i="48"/>
  <c r="Z302" i="48"/>
  <c r="M336" i="48"/>
  <c r="P319" i="48"/>
  <c r="R303" i="48"/>
  <c r="J311" i="48"/>
  <c r="H299" i="48"/>
  <c r="U329" i="48"/>
  <c r="Q319" i="48"/>
  <c r="O307" i="48"/>
  <c r="P292" i="48"/>
  <c r="N327" i="48"/>
  <c r="M328" i="48"/>
  <c r="L329" i="48"/>
  <c r="K330" i="48"/>
  <c r="J331" i="48"/>
  <c r="I332" i="48"/>
  <c r="H333" i="48"/>
  <c r="G334" i="48"/>
  <c r="AC334" i="48"/>
  <c r="AB335" i="48"/>
  <c r="AA336" i="48"/>
  <c r="Z337" i="48"/>
  <c r="Y338" i="48"/>
  <c r="L315" i="48"/>
  <c r="K316" i="48"/>
  <c r="J317" i="48"/>
  <c r="I318" i="48"/>
  <c r="H319" i="48"/>
  <c r="G320" i="48"/>
  <c r="AC320" i="48"/>
  <c r="AB321" i="48"/>
  <c r="AA322" i="48"/>
  <c r="Z323" i="48"/>
  <c r="Y324" i="48"/>
  <c r="X325" i="48"/>
  <c r="W326" i="48"/>
  <c r="J303" i="48"/>
  <c r="I304" i="48"/>
  <c r="H305" i="48"/>
  <c r="G306" i="48"/>
  <c r="AC306" i="48"/>
  <c r="AB307" i="48"/>
  <c r="AA308" i="48"/>
  <c r="Z309" i="48"/>
  <c r="Y310" i="48"/>
  <c r="X311" i="48"/>
  <c r="W312" i="48"/>
  <c r="V313" i="48"/>
  <c r="U314" i="48"/>
  <c r="H291" i="48"/>
  <c r="G292" i="48"/>
  <c r="AC292" i="48"/>
  <c r="AB293" i="48"/>
  <c r="AA294" i="48"/>
  <c r="Z295" i="48"/>
  <c r="Y296" i="48"/>
  <c r="X297" i="48"/>
  <c r="W298" i="48"/>
  <c r="V299" i="48"/>
  <c r="U300" i="48"/>
  <c r="T301" i="48"/>
  <c r="S302" i="48"/>
  <c r="U302" i="48"/>
  <c r="N330" i="48"/>
  <c r="AC337" i="48"/>
  <c r="I321" i="48"/>
  <c r="J306" i="48"/>
  <c r="K291" i="48"/>
  <c r="W301" i="48"/>
  <c r="K335" i="48"/>
  <c r="L320" i="48"/>
  <c r="K307" i="48"/>
  <c r="K293" i="48"/>
  <c r="X302" i="48"/>
  <c r="L335" i="48"/>
  <c r="M320" i="48"/>
  <c r="L307" i="48"/>
  <c r="M292" i="48"/>
  <c r="S329" i="48"/>
  <c r="Q317" i="48"/>
  <c r="Q303" i="48"/>
  <c r="O291" i="48"/>
  <c r="AB300" i="48"/>
  <c r="S330" i="48"/>
  <c r="R317" i="48"/>
  <c r="O306" i="48"/>
  <c r="P291" i="48"/>
  <c r="AB301" i="48"/>
  <c r="S331" i="48"/>
  <c r="T316" i="48"/>
  <c r="R304" i="48"/>
  <c r="I313" i="48"/>
  <c r="O327" i="48"/>
  <c r="N328" i="48"/>
  <c r="M329" i="48"/>
  <c r="L330" i="48"/>
  <c r="K331" i="48"/>
  <c r="J332" i="48"/>
  <c r="I333" i="48"/>
  <c r="H334" i="48"/>
  <c r="G335" i="48"/>
  <c r="AC335" i="48"/>
  <c r="AB336" i="48"/>
  <c r="AA337" i="48"/>
  <c r="Z338" i="48"/>
  <c r="M315" i="48"/>
  <c r="L316" i="48"/>
  <c r="K317" i="48"/>
  <c r="J318" i="48"/>
  <c r="I319" i="48"/>
  <c r="H320" i="48"/>
  <c r="G321" i="48"/>
  <c r="AC321" i="48"/>
  <c r="AB322" i="48"/>
  <c r="AA323" i="48"/>
  <c r="Z324" i="48"/>
  <c r="Y325" i="48"/>
  <c r="X326" i="48"/>
  <c r="K303" i="48"/>
  <c r="J304" i="48"/>
  <c r="I305" i="48"/>
  <c r="H306" i="48"/>
  <c r="G307" i="48"/>
  <c r="AC307" i="48"/>
  <c r="AB308" i="48"/>
  <c r="AA309" i="48"/>
  <c r="Z310" i="48"/>
  <c r="Y311" i="48"/>
  <c r="X312" i="48"/>
  <c r="W313" i="48"/>
  <c r="V314" i="48"/>
  <c r="I291" i="48"/>
  <c r="H292" i="48"/>
  <c r="G293" i="48"/>
  <c r="AC293" i="48"/>
  <c r="AB294" i="48"/>
  <c r="AA295" i="48"/>
  <c r="Z296" i="48"/>
  <c r="Y297" i="48"/>
  <c r="X298" i="48"/>
  <c r="W299" i="48"/>
  <c r="V300" i="48"/>
  <c r="U301" i="48"/>
  <c r="T302" i="48"/>
  <c r="Z297" i="48"/>
  <c r="V301" i="48"/>
  <c r="Q327" i="48"/>
  <c r="O315" i="48"/>
  <c r="G323" i="48"/>
  <c r="H308" i="48"/>
  <c r="J292" i="48"/>
  <c r="X300" i="48"/>
  <c r="F328" i="48"/>
  <c r="AC325" i="48"/>
  <c r="G311" i="48"/>
  <c r="H296" i="48"/>
  <c r="T327" i="48"/>
  <c r="F329" i="48"/>
  <c r="J323" i="48"/>
  <c r="J309" i="48"/>
  <c r="J295" i="48"/>
  <c r="U327" i="48"/>
  <c r="F330" i="48"/>
  <c r="H326" i="48"/>
  <c r="H312" i="48"/>
  <c r="L337" i="48"/>
  <c r="K324" i="48"/>
  <c r="O292" i="48"/>
  <c r="AA302" i="48"/>
  <c r="P334" i="48"/>
  <c r="L338" i="48"/>
  <c r="K325" i="48"/>
  <c r="K311" i="48"/>
  <c r="P327" i="48"/>
  <c r="O328" i="48"/>
  <c r="N329" i="48"/>
  <c r="M330" i="48"/>
  <c r="L331" i="48"/>
  <c r="K332" i="48"/>
  <c r="J333" i="48"/>
  <c r="I334" i="48"/>
  <c r="H335" i="48"/>
  <c r="G336" i="48"/>
  <c r="AC336" i="48"/>
  <c r="AB337" i="48"/>
  <c r="AA338" i="48"/>
  <c r="N315" i="48"/>
  <c r="M316" i="48"/>
  <c r="L317" i="48"/>
  <c r="K318" i="48"/>
  <c r="J319" i="48"/>
  <c r="I320" i="48"/>
  <c r="H321" i="48"/>
  <c r="G322" i="48"/>
  <c r="AC322" i="48"/>
  <c r="AB323" i="48"/>
  <c r="AA324" i="48"/>
  <c r="Z325" i="48"/>
  <c r="Y326" i="48"/>
  <c r="L303" i="48"/>
  <c r="K304" i="48"/>
  <c r="J305" i="48"/>
  <c r="I306" i="48"/>
  <c r="H307" i="48"/>
  <c r="G308" i="48"/>
  <c r="AC308" i="48"/>
  <c r="AB309" i="48"/>
  <c r="AA310" i="48"/>
  <c r="Z311" i="48"/>
  <c r="Y312" i="48"/>
  <c r="X313" i="48"/>
  <c r="W314" i="48"/>
  <c r="J291" i="48"/>
  <c r="I292" i="48"/>
  <c r="H293" i="48"/>
  <c r="G294" i="48"/>
  <c r="AC294" i="48"/>
  <c r="AB295" i="48"/>
  <c r="AA296" i="48"/>
  <c r="X299" i="48"/>
  <c r="O329" i="48"/>
  <c r="N316" i="48"/>
  <c r="M303" i="48"/>
  <c r="X314" i="48"/>
  <c r="V302" i="48"/>
  <c r="Q315" i="48"/>
  <c r="N304" i="48"/>
  <c r="L292" i="48"/>
  <c r="J337" i="48"/>
  <c r="I324" i="48"/>
  <c r="H311" i="48"/>
  <c r="AB299" i="48"/>
  <c r="K337" i="48"/>
  <c r="L322" i="48"/>
  <c r="L308" i="48"/>
  <c r="J296" i="48"/>
  <c r="O334" i="48"/>
  <c r="M322" i="48"/>
  <c r="L309" i="48"/>
  <c r="L295" i="48"/>
  <c r="V328" i="48"/>
  <c r="M323" i="48"/>
  <c r="M309" i="48"/>
  <c r="R327" i="48"/>
  <c r="Q328" i="48"/>
  <c r="P329" i="48"/>
  <c r="O330" i="48"/>
  <c r="N331" i="48"/>
  <c r="M332" i="48"/>
  <c r="L333" i="48"/>
  <c r="K334" i="48"/>
  <c r="J335" i="48"/>
  <c r="I336" i="48"/>
  <c r="H337" i="48"/>
  <c r="G338" i="48"/>
  <c r="AC338" i="48"/>
  <c r="P315" i="48"/>
  <c r="O316" i="48"/>
  <c r="N317" i="48"/>
  <c r="M318" i="48"/>
  <c r="L319" i="48"/>
  <c r="K320" i="48"/>
  <c r="J321" i="48"/>
  <c r="I322" i="48"/>
  <c r="H323" i="48"/>
  <c r="G324" i="48"/>
  <c r="AC324" i="48"/>
  <c r="AB325" i="48"/>
  <c r="AA326" i="48"/>
  <c r="N303" i="48"/>
  <c r="M304" i="48"/>
  <c r="L305" i="48"/>
  <c r="K306" i="48"/>
  <c r="J307" i="48"/>
  <c r="I308" i="48"/>
  <c r="H309" i="48"/>
  <c r="G310" i="48"/>
  <c r="AC310" i="48"/>
  <c r="AB311" i="48"/>
  <c r="AA312" i="48"/>
  <c r="Z313" i="48"/>
  <c r="Y314" i="48"/>
  <c r="L291" i="48"/>
  <c r="K292" i="48"/>
  <c r="J293" i="48"/>
  <c r="I294" i="48"/>
  <c r="H295" i="48"/>
  <c r="G296" i="48"/>
  <c r="AC296" i="48"/>
  <c r="AB297" i="48"/>
  <c r="AA298" i="48"/>
  <c r="Z299" i="48"/>
  <c r="Y300" i="48"/>
  <c r="X301" i="48"/>
  <c r="W302" i="48"/>
  <c r="S327" i="48"/>
  <c r="R328" i="48"/>
  <c r="Q329" i="48"/>
  <c r="P330" i="48"/>
  <c r="O331" i="48"/>
  <c r="M333" i="48"/>
  <c r="N318" i="48"/>
  <c r="M319" i="48"/>
  <c r="M305" i="48"/>
  <c r="AC311" i="48"/>
  <c r="AC297" i="48"/>
  <c r="M334" i="48"/>
  <c r="L321" i="48"/>
  <c r="M306" i="48"/>
  <c r="L293" i="48"/>
  <c r="Z301" i="48"/>
  <c r="N334" i="48"/>
  <c r="P318" i="48"/>
  <c r="P304" i="48"/>
  <c r="G313" i="48"/>
  <c r="I297" i="48"/>
  <c r="U328" i="48"/>
  <c r="F331" i="48"/>
  <c r="J325" i="48"/>
  <c r="H313" i="48"/>
  <c r="J297" i="48"/>
  <c r="M337" i="48"/>
  <c r="R318" i="48"/>
  <c r="F318" i="48"/>
  <c r="H314" i="48"/>
  <c r="X327" i="48"/>
  <c r="V331" i="48"/>
  <c r="T335" i="48"/>
  <c r="W315" i="48"/>
  <c r="U319" i="48"/>
  <c r="M324" i="48"/>
  <c r="V303" i="48"/>
  <c r="T307" i="48"/>
  <c r="K312" i="48"/>
  <c r="T291" i="48"/>
  <c r="P295" i="48"/>
  <c r="J299" i="48"/>
  <c r="K302" i="48"/>
  <c r="T332" i="48"/>
  <c r="T304" i="48"/>
  <c r="M296" i="48"/>
  <c r="T321" i="48"/>
  <c r="M297" i="48"/>
  <c r="K314" i="48"/>
  <c r="N326" i="48"/>
  <c r="S318" i="48"/>
  <c r="R322" i="48"/>
  <c r="F306" i="48"/>
  <c r="F334" i="48"/>
  <c r="F335" i="48"/>
  <c r="M298" i="48"/>
  <c r="P323" i="48"/>
  <c r="Q323" i="48"/>
  <c r="S335" i="48"/>
  <c r="Y327" i="48"/>
  <c r="W331" i="48"/>
  <c r="O336" i="48"/>
  <c r="X315" i="48"/>
  <c r="V319" i="48"/>
  <c r="N324" i="48"/>
  <c r="W303" i="48"/>
  <c r="O308" i="48"/>
  <c r="L312" i="48"/>
  <c r="U291" i="48"/>
  <c r="Q295" i="48"/>
  <c r="K299" i="48"/>
  <c r="AB302" i="48"/>
  <c r="R336" i="48"/>
  <c r="Q324" i="48"/>
  <c r="R292" i="48"/>
  <c r="M300" i="48"/>
  <c r="S293" i="48"/>
  <c r="N310" i="48"/>
  <c r="Q306" i="48"/>
  <c r="Z329" i="48"/>
  <c r="S334" i="48"/>
  <c r="T334" i="48"/>
  <c r="Q294" i="48"/>
  <c r="V318" i="48"/>
  <c r="AC301" i="48"/>
  <c r="N311" i="48"/>
  <c r="Q335" i="48"/>
  <c r="H302" i="48"/>
  <c r="N295" i="48"/>
  <c r="U303" i="48"/>
  <c r="Z327" i="48"/>
  <c r="X331" i="48"/>
  <c r="P336" i="48"/>
  <c r="Y315" i="48"/>
  <c r="Q320" i="48"/>
  <c r="O324" i="48"/>
  <c r="X303" i="48"/>
  <c r="P308" i="48"/>
  <c r="M312" i="48"/>
  <c r="V291" i="48"/>
  <c r="R295" i="48"/>
  <c r="L299" i="48"/>
  <c r="AC302" i="48"/>
  <c r="U316" i="48"/>
  <c r="O312" i="48"/>
  <c r="F293" i="48"/>
  <c r="W329" i="48"/>
  <c r="O322" i="48"/>
  <c r="H301" i="48"/>
  <c r="L314" i="48"/>
  <c r="I301" i="48"/>
  <c r="M314" i="48"/>
  <c r="T318" i="48"/>
  <c r="F305" i="48"/>
  <c r="U318" i="48"/>
  <c r="X330" i="48"/>
  <c r="F308" i="48"/>
  <c r="F323" i="48"/>
  <c r="R335" i="48"/>
  <c r="R307" i="48"/>
  <c r="J312" i="48"/>
  <c r="AA327" i="48"/>
  <c r="S332" i="48"/>
  <c r="Q336" i="48"/>
  <c r="Z315" i="48"/>
  <c r="R320" i="48"/>
  <c r="P324" i="48"/>
  <c r="S304" i="48"/>
  <c r="Q308" i="48"/>
  <c r="N312" i="48"/>
  <c r="Q292" i="48"/>
  <c r="L296" i="48"/>
  <c r="M299" i="48"/>
  <c r="F292" i="48"/>
  <c r="S320" i="48"/>
  <c r="R308" i="48"/>
  <c r="N299" i="48"/>
  <c r="M338" i="48"/>
  <c r="X329" i="48"/>
  <c r="N297" i="48"/>
  <c r="O310" i="48"/>
  <c r="O297" i="48"/>
  <c r="P310" i="48"/>
  <c r="Q338" i="48"/>
  <c r="P294" i="48"/>
  <c r="F333" i="48"/>
  <c r="L301" i="48"/>
  <c r="U306" i="48"/>
  <c r="F307" i="48"/>
  <c r="P335" i="48"/>
  <c r="S294" i="48"/>
  <c r="Q307" i="48"/>
  <c r="T331" i="48"/>
  <c r="R291" i="48"/>
  <c r="U331" i="48"/>
  <c r="O295" i="48"/>
  <c r="AB327" i="48"/>
  <c r="W328" i="48"/>
  <c r="U332" i="48"/>
  <c r="S336" i="48"/>
  <c r="V316" i="48"/>
  <c r="T320" i="48"/>
  <c r="L325" i="48"/>
  <c r="U304" i="48"/>
  <c r="S308" i="48"/>
  <c r="J313" i="48"/>
  <c r="S292" i="48"/>
  <c r="N296" i="48"/>
  <c r="H300" i="48"/>
  <c r="F294" i="48"/>
  <c r="F295" i="48"/>
  <c r="Q293" i="48"/>
  <c r="U333" i="48"/>
  <c r="G301" i="48"/>
  <c r="T293" i="48"/>
  <c r="P322" i="48"/>
  <c r="P338" i="48"/>
  <c r="F319" i="48"/>
  <c r="T306" i="48"/>
  <c r="F321" i="48"/>
  <c r="R294" i="48"/>
  <c r="F322" i="48"/>
  <c r="F309" i="48"/>
  <c r="F337" i="48"/>
  <c r="I302" i="48"/>
  <c r="S307" i="48"/>
  <c r="X328" i="48"/>
  <c r="V332" i="48"/>
  <c r="N337" i="48"/>
  <c r="W316" i="48"/>
  <c r="U320" i="48"/>
  <c r="M325" i="48"/>
  <c r="V304" i="48"/>
  <c r="N309" i="48"/>
  <c r="K313" i="48"/>
  <c r="T292" i="48"/>
  <c r="O296" i="48"/>
  <c r="I300" i="48"/>
  <c r="J300" i="48"/>
  <c r="L300" i="48"/>
  <c r="U305" i="48"/>
  <c r="V333" i="48"/>
  <c r="X317" i="48"/>
  <c r="N294" i="48"/>
  <c r="R306" i="48"/>
  <c r="O294" i="48"/>
  <c r="S306" i="48"/>
  <c r="V330" i="48"/>
  <c r="L311" i="48"/>
  <c r="U334" i="48"/>
  <c r="M311" i="48"/>
  <c r="O323" i="48"/>
  <c r="G302" i="48"/>
  <c r="R319" i="48"/>
  <c r="M295" i="48"/>
  <c r="S319" i="48"/>
  <c r="S291" i="48"/>
  <c r="Y328" i="48"/>
  <c r="W332" i="48"/>
  <c r="O337" i="48"/>
  <c r="X316" i="48"/>
  <c r="P321" i="48"/>
  <c r="N325" i="48"/>
  <c r="W304" i="48"/>
  <c r="O309" i="48"/>
  <c r="L313" i="48"/>
  <c r="U292" i="48"/>
  <c r="P296" i="48"/>
  <c r="K297" i="48"/>
  <c r="L326" i="48"/>
  <c r="W317" i="48"/>
  <c r="O338" i="48"/>
  <c r="R334" i="48"/>
  <c r="P297" i="48"/>
  <c r="J298" i="48"/>
  <c r="S322" i="48"/>
  <c r="W318" i="48"/>
  <c r="F336" i="48"/>
  <c r="N298" i="48"/>
  <c r="O298" i="48"/>
  <c r="R323" i="48"/>
  <c r="Z328" i="48"/>
  <c r="R333" i="48"/>
  <c r="P337" i="48"/>
  <c r="Y316" i="48"/>
  <c r="Q321" i="48"/>
  <c r="O325" i="48"/>
  <c r="R305" i="48"/>
  <c r="P309" i="48"/>
  <c r="M313" i="48"/>
  <c r="P293" i="48"/>
  <c r="Q296" i="48"/>
  <c r="K300" i="48"/>
  <c r="R293" i="48"/>
  <c r="M310" i="48"/>
  <c r="V305" i="48"/>
  <c r="Q334" i="48"/>
  <c r="O326" i="48"/>
  <c r="J301" i="48"/>
  <c r="Q310" i="48"/>
  <c r="F320" i="48"/>
  <c r="W330" i="48"/>
  <c r="Y330" i="48"/>
  <c r="P311" i="48"/>
  <c r="V315" i="48"/>
  <c r="J302" i="48"/>
  <c r="AA328" i="48"/>
  <c r="S333" i="48"/>
  <c r="Q337" i="48"/>
  <c r="T317" i="48"/>
  <c r="R321" i="48"/>
  <c r="P325" i="48"/>
  <c r="S305" i="48"/>
  <c r="Q309" i="48"/>
  <c r="N313" i="48"/>
  <c r="V317" i="48"/>
  <c r="N338" i="48"/>
  <c r="Y329" i="48"/>
  <c r="Q322" i="48"/>
  <c r="U330" i="48"/>
  <c r="K301" i="48"/>
  <c r="K298" i="48"/>
  <c r="N323" i="48"/>
  <c r="L298" i="48"/>
  <c r="P307" i="48"/>
  <c r="O311" i="48"/>
  <c r="T303" i="48"/>
  <c r="T319" i="48"/>
  <c r="I299" i="48"/>
  <c r="V329" i="48"/>
  <c r="T333" i="48"/>
  <c r="R337" i="48"/>
  <c r="U317" i="48"/>
  <c r="S321" i="48"/>
  <c r="K326" i="48"/>
  <c r="T305" i="48"/>
  <c r="R309" i="48"/>
  <c r="I314" i="48"/>
  <c r="L297" i="48"/>
  <c r="J314" i="48"/>
  <c r="M326" i="48"/>
  <c r="L743" i="44"/>
  <c r="F743" i="44"/>
  <c r="L742" i="44"/>
  <c r="F742" i="44"/>
  <c r="L741" i="44"/>
  <c r="F741" i="44"/>
  <c r="L740" i="44"/>
  <c r="F740" i="44"/>
  <c r="L739" i="44"/>
  <c r="F739" i="44"/>
  <c r="L738" i="44"/>
  <c r="F738" i="44"/>
  <c r="L737" i="44"/>
  <c r="F737" i="44"/>
  <c r="L736" i="44"/>
  <c r="F736" i="44"/>
  <c r="L735" i="44"/>
  <c r="F735" i="44"/>
  <c r="L734" i="44"/>
  <c r="F734" i="44"/>
  <c r="L733" i="44"/>
  <c r="F733" i="44"/>
  <c r="L732" i="44"/>
  <c r="F732" i="44"/>
  <c r="L731" i="44"/>
  <c r="F731" i="44"/>
  <c r="L730" i="44"/>
  <c r="F730" i="44"/>
  <c r="L729" i="44"/>
  <c r="F729" i="44"/>
  <c r="L728" i="44"/>
  <c r="F728" i="44"/>
  <c r="L727" i="44"/>
  <c r="F727" i="44"/>
  <c r="L726" i="44"/>
  <c r="F726" i="44"/>
  <c r="L725" i="44"/>
  <c r="F725" i="44"/>
  <c r="L724" i="44"/>
  <c r="F724" i="44"/>
  <c r="L723" i="44"/>
  <c r="F723" i="44"/>
  <c r="L722" i="44"/>
  <c r="F722" i="44"/>
  <c r="L721" i="44"/>
  <c r="F721" i="44"/>
  <c r="L720" i="44"/>
  <c r="F720" i="44"/>
  <c r="B26" i="2" l="1"/>
  <c r="F668" i="44" s="1" a="1"/>
  <c r="F668" i="44" s="1"/>
  <c r="G33" i="43"/>
  <c r="G34" i="43"/>
  <c r="G35" i="43"/>
  <c r="G36" i="43"/>
  <c r="G37" i="43"/>
  <c r="G38" i="43"/>
  <c r="G39" i="43"/>
  <c r="G40" i="43"/>
  <c r="G41" i="43"/>
  <c r="G42" i="43"/>
  <c r="G43" i="43"/>
  <c r="G32" i="43"/>
  <c r="AD254" i="45"/>
  <c r="E33" i="43"/>
  <c r="F33" i="43"/>
  <c r="E34" i="43"/>
  <c r="F34" i="43"/>
  <c r="E35" i="43"/>
  <c r="F35" i="43"/>
  <c r="E36" i="43"/>
  <c r="F36" i="43"/>
  <c r="E37" i="43"/>
  <c r="F37" i="43"/>
  <c r="E38" i="43"/>
  <c r="F38" i="43"/>
  <c r="E39" i="43"/>
  <c r="F39" i="43"/>
  <c r="E40" i="43"/>
  <c r="F40" i="43"/>
  <c r="E41" i="43"/>
  <c r="F41" i="43"/>
  <c r="E42" i="43"/>
  <c r="F42" i="43"/>
  <c r="E43" i="43"/>
  <c r="F43" i="43"/>
  <c r="F32" i="43"/>
  <c r="E32" i="43"/>
  <c r="AD290" i="45"/>
  <c r="AD289" i="45"/>
  <c r="AD288" i="45"/>
  <c r="AD287" i="45"/>
  <c r="AD286" i="45"/>
  <c r="AD285" i="45"/>
  <c r="AD284" i="45"/>
  <c r="AD283" i="45"/>
  <c r="AD282" i="45"/>
  <c r="AD281" i="45"/>
  <c r="AD280" i="45"/>
  <c r="AD279" i="45"/>
  <c r="AD278" i="45"/>
  <c r="AD277" i="45"/>
  <c r="AD276" i="45"/>
  <c r="AD275" i="45"/>
  <c r="AD274" i="45"/>
  <c r="AD273" i="45"/>
  <c r="AD272" i="45"/>
  <c r="AD271" i="45"/>
  <c r="AD270" i="45"/>
  <c r="AD269" i="45"/>
  <c r="AD268" i="45"/>
  <c r="AD267" i="45"/>
  <c r="AD266" i="45"/>
  <c r="AD265" i="45"/>
  <c r="AD264" i="45"/>
  <c r="AD263" i="45"/>
  <c r="AD262" i="45"/>
  <c r="AD261" i="45"/>
  <c r="AD260" i="45"/>
  <c r="AD259" i="45"/>
  <c r="AD258" i="45"/>
  <c r="AD257" i="45"/>
  <c r="AD256" i="45"/>
  <c r="AD255" i="45"/>
  <c r="AD253" i="45"/>
  <c r="AD252" i="45"/>
  <c r="AD251" i="45"/>
  <c r="AD250" i="45"/>
  <c r="AD249" i="45"/>
  <c r="AD248" i="45"/>
  <c r="AD247" i="45"/>
  <c r="AD246" i="45"/>
  <c r="AD245" i="45"/>
  <c r="AD244" i="45"/>
  <c r="AD243" i="45"/>
  <c r="AD242" i="45"/>
  <c r="AD241" i="45"/>
  <c r="AD240" i="45"/>
  <c r="AD239" i="45"/>
  <c r="AD238" i="45"/>
  <c r="AD237" i="45"/>
  <c r="AD236" i="45"/>
  <c r="AD235" i="45"/>
  <c r="AD234" i="45"/>
  <c r="AD233" i="45"/>
  <c r="AD232" i="45"/>
  <c r="AD231" i="45"/>
  <c r="AD230" i="45"/>
  <c r="AD229" i="45"/>
  <c r="AD228" i="45"/>
  <c r="AD227" i="45"/>
  <c r="AD226" i="45"/>
  <c r="AD225" i="45"/>
  <c r="AD224" i="45"/>
  <c r="AD223" i="45"/>
  <c r="AD222" i="45"/>
  <c r="AD221" i="45"/>
  <c r="AD220" i="45"/>
  <c r="AD219" i="45"/>
  <c r="AD218" i="45"/>
  <c r="AD217" i="45"/>
  <c r="AD216" i="45"/>
  <c r="AD215" i="45"/>
  <c r="AD214" i="45"/>
  <c r="AD213" i="45"/>
  <c r="AD212" i="45"/>
  <c r="AD211" i="45"/>
  <c r="AD210" i="45"/>
  <c r="AD209" i="45"/>
  <c r="AD208" i="45"/>
  <c r="AD207" i="45"/>
  <c r="AD206" i="45"/>
  <c r="AD205" i="45"/>
  <c r="AD204" i="45"/>
  <c r="AD203" i="45"/>
  <c r="AD202" i="45"/>
  <c r="AD201" i="45"/>
  <c r="AD200" i="45"/>
  <c r="AD199" i="45"/>
  <c r="AD198" i="45"/>
  <c r="AD197" i="45"/>
  <c r="AD196" i="45"/>
  <c r="AD195" i="45"/>
  <c r="AD194" i="45"/>
  <c r="AD193" i="45"/>
  <c r="AD192" i="45"/>
  <c r="AD191" i="45"/>
  <c r="AD190" i="45"/>
  <c r="AD189" i="45"/>
  <c r="AD188" i="45"/>
  <c r="AD187" i="45"/>
  <c r="AD186" i="45"/>
  <c r="AD185" i="45"/>
  <c r="AD184" i="45"/>
  <c r="AD183" i="45"/>
  <c r="AD182" i="45"/>
  <c r="AD181" i="45"/>
  <c r="AD180" i="45"/>
  <c r="AD179" i="45"/>
  <c r="AD178" i="45"/>
  <c r="AD177" i="45"/>
  <c r="AD176" i="45"/>
  <c r="AD175" i="45"/>
  <c r="AD174" i="45"/>
  <c r="AD173" i="45"/>
  <c r="AD172" i="45"/>
  <c r="AD171" i="45"/>
  <c r="AD170" i="45"/>
  <c r="AD169" i="45"/>
  <c r="AD168" i="45"/>
  <c r="AD167" i="45"/>
  <c r="AD166" i="45"/>
  <c r="AD165" i="45"/>
  <c r="AD164" i="45"/>
  <c r="AD163" i="45"/>
  <c r="AD162" i="45"/>
  <c r="AD161" i="45"/>
  <c r="AD160" i="45"/>
  <c r="AD159" i="45"/>
  <c r="AD158" i="45"/>
  <c r="AD157" i="45"/>
  <c r="AD156" i="45"/>
  <c r="AD155" i="45"/>
  <c r="AD154" i="45"/>
  <c r="AD153" i="45"/>
  <c r="AD152" i="45"/>
  <c r="AD151" i="45"/>
  <c r="AD150" i="45"/>
  <c r="AD149" i="45"/>
  <c r="AD148" i="45"/>
  <c r="AD147" i="45"/>
  <c r="AD146" i="45"/>
  <c r="AD145" i="45"/>
  <c r="AD144" i="45"/>
  <c r="AD143" i="45"/>
  <c r="AD142" i="45"/>
  <c r="AD141" i="45"/>
  <c r="AD140" i="45"/>
  <c r="AD139" i="45"/>
  <c r="AD138" i="45"/>
  <c r="AD137" i="45"/>
  <c r="AD136" i="45"/>
  <c r="AD135" i="45"/>
  <c r="AD134" i="45"/>
  <c r="AD133" i="45"/>
  <c r="AD132" i="45"/>
  <c r="AD131" i="45"/>
  <c r="AD130" i="45"/>
  <c r="AD129" i="45"/>
  <c r="AD128" i="45"/>
  <c r="AD127" i="45"/>
  <c r="AD126" i="45"/>
  <c r="AD125" i="45"/>
  <c r="AD124" i="45"/>
  <c r="AD123" i="45"/>
  <c r="AD122" i="45"/>
  <c r="AD121" i="45"/>
  <c r="AD120" i="45"/>
  <c r="AD119" i="45"/>
  <c r="AD118" i="45"/>
  <c r="AD117" i="45"/>
  <c r="AD116" i="45"/>
  <c r="AD115" i="45"/>
  <c r="AD114" i="45"/>
  <c r="AD113" i="45"/>
  <c r="AD112" i="45"/>
  <c r="AD111" i="45"/>
  <c r="AD110" i="45"/>
  <c r="AD109" i="45"/>
  <c r="AD108" i="45"/>
  <c r="AD107" i="45"/>
  <c r="AD106" i="45"/>
  <c r="AD105" i="45"/>
  <c r="AD104" i="45"/>
  <c r="AD103" i="45"/>
  <c r="AD102" i="45"/>
  <c r="AD101" i="45"/>
  <c r="AD100" i="45"/>
  <c r="AD99" i="45"/>
  <c r="AD98" i="45"/>
  <c r="AD97" i="45"/>
  <c r="AD96" i="45"/>
  <c r="AD95" i="45"/>
  <c r="AD94" i="45"/>
  <c r="AD93" i="45"/>
  <c r="AD92" i="45"/>
  <c r="AD91" i="45"/>
  <c r="AD90" i="45"/>
  <c r="AD89" i="45"/>
  <c r="AD88" i="45"/>
  <c r="AD87" i="45"/>
  <c r="AD86" i="45"/>
  <c r="AD85" i="45"/>
  <c r="AD84" i="45"/>
  <c r="AD83" i="45"/>
  <c r="AD82" i="45"/>
  <c r="AD81" i="45"/>
  <c r="AD80" i="45"/>
  <c r="AD79" i="45"/>
  <c r="AD78" i="45"/>
  <c r="AD77" i="45"/>
  <c r="AD76" i="45"/>
  <c r="AD75" i="45"/>
  <c r="AD74" i="45"/>
  <c r="AD73" i="45"/>
  <c r="AD72" i="45"/>
  <c r="AD71" i="45"/>
  <c r="AD70" i="45"/>
  <c r="AD69" i="45"/>
  <c r="AD68" i="45"/>
  <c r="AD67" i="45"/>
  <c r="AD66" i="45"/>
  <c r="AD65" i="45"/>
  <c r="AD64" i="45"/>
  <c r="AD63" i="45"/>
  <c r="AD62" i="45"/>
  <c r="AD61" i="45"/>
  <c r="AD60" i="45"/>
  <c r="AD59" i="45"/>
  <c r="AD58" i="45"/>
  <c r="AD57" i="45"/>
  <c r="AD56" i="45"/>
  <c r="AD55" i="45"/>
  <c r="AD54" i="45"/>
  <c r="AD53" i="45"/>
  <c r="AD52" i="45"/>
  <c r="AD51" i="45"/>
  <c r="AD50" i="45"/>
  <c r="AD49" i="45"/>
  <c r="AD48" i="45"/>
  <c r="AD47" i="45"/>
  <c r="AD46" i="45"/>
  <c r="AD45" i="45"/>
  <c r="AD44" i="45"/>
  <c r="AD43" i="45"/>
  <c r="AD42" i="45"/>
  <c r="AD41" i="45"/>
  <c r="AD40" i="45"/>
  <c r="AD39" i="45"/>
  <c r="AD38" i="45"/>
  <c r="AD37" i="45"/>
  <c r="AD36" i="45"/>
  <c r="AD35" i="45"/>
  <c r="AD34" i="45"/>
  <c r="AD33" i="45"/>
  <c r="AD32" i="45"/>
  <c r="AD31" i="45"/>
  <c r="AD30" i="45"/>
  <c r="AD29" i="45"/>
  <c r="AD28" i="45"/>
  <c r="AD27" i="45"/>
  <c r="AD26" i="45"/>
  <c r="AD25" i="45"/>
  <c r="AD24" i="45"/>
  <c r="AD23" i="45"/>
  <c r="AD22" i="45"/>
  <c r="AD21" i="45"/>
  <c r="AD20" i="45"/>
  <c r="AD19" i="45"/>
  <c r="AD18" i="45"/>
  <c r="AD17" i="45"/>
  <c r="AD16" i="45"/>
  <c r="AD15" i="45"/>
  <c r="AD14" i="45"/>
  <c r="AD13" i="45"/>
  <c r="AD12" i="45"/>
  <c r="AD11" i="45"/>
  <c r="AD10" i="45"/>
  <c r="AD9" i="45"/>
  <c r="AD8" i="45"/>
  <c r="AD7" i="45"/>
  <c r="AD6" i="45"/>
  <c r="AD5" i="45"/>
  <c r="AD4" i="45"/>
  <c r="AD3" i="45"/>
  <c r="F649" i="44" a="1"/>
  <c r="F649" i="44" s="1"/>
  <c r="F625" i="44" a="1"/>
  <c r="F625" i="44" s="1"/>
  <c r="F689" i="44" a="1"/>
  <c r="F689" i="44" s="1"/>
  <c r="F669" i="44" a="1"/>
  <c r="F669" i="44" s="1"/>
  <c r="F700" i="44"/>
  <c r="F696" i="44"/>
  <c r="F716" i="44"/>
  <c r="F713" i="44"/>
  <c r="F699" i="44"/>
  <c r="F706" i="44"/>
  <c r="F711" i="44"/>
  <c r="F719" i="44"/>
  <c r="F697" i="44"/>
  <c r="F709" i="44"/>
  <c r="F654" i="44" a="1"/>
  <c r="F654" i="44" s="1"/>
  <c r="F674" i="44" a="1"/>
  <c r="F674" i="44" s="1"/>
  <c r="F643" i="44" a="1"/>
  <c r="F643" i="44" s="1"/>
  <c r="F662" i="44" a="1"/>
  <c r="F662" i="44" s="1"/>
  <c r="F701" i="44"/>
  <c r="F702" i="44"/>
  <c r="F704" i="44"/>
  <c r="F712" i="44"/>
  <c r="F705" i="44"/>
  <c r="F707" i="44"/>
  <c r="F708" i="44"/>
  <c r="F715" i="44"/>
  <c r="F717" i="44"/>
  <c r="F698" i="44"/>
  <c r="F703" i="44"/>
  <c r="F710" i="44"/>
  <c r="F665" i="44" a="1"/>
  <c r="F665" i="44" s="1"/>
  <c r="F670" i="44" a="1"/>
  <c r="F670" i="44" s="1"/>
  <c r="F688" i="44" a="1"/>
  <c r="F688" i="44" s="1"/>
  <c r="F718" i="44"/>
  <c r="F714" i="44"/>
  <c r="L716" i="44"/>
  <c r="L641" i="44" a="1"/>
  <c r="L641" i="44" s="1"/>
  <c r="L630" i="44" a="1"/>
  <c r="L630" i="44" s="1"/>
  <c r="L705" i="44"/>
  <c r="L719" i="44"/>
  <c r="L714" i="44"/>
  <c r="L699" i="44"/>
  <c r="L702" i="44"/>
  <c r="L712" i="44"/>
  <c r="L710" i="44"/>
  <c r="L709" i="44"/>
  <c r="L703" i="44"/>
  <c r="L633" i="44" a="1"/>
  <c r="L633" i="44" s="1"/>
  <c r="L684" i="44" a="1"/>
  <c r="L684" i="44" s="1"/>
  <c r="L646" i="44" a="1"/>
  <c r="L646" i="44" s="1"/>
  <c r="L698" i="44"/>
  <c r="L602" i="44" a="1"/>
  <c r="L602" i="44" s="1"/>
  <c r="L697" i="44"/>
  <c r="L706" i="44"/>
  <c r="L718" i="44"/>
  <c r="L715" i="44"/>
  <c r="L708" i="44"/>
  <c r="L696" i="44"/>
  <c r="L701" i="44"/>
  <c r="L700" i="44"/>
  <c r="L713" i="44"/>
  <c r="L707" i="44"/>
  <c r="L711" i="44"/>
  <c r="L704" i="44"/>
  <c r="L717" i="44"/>
  <c r="E2" i="46"/>
  <c r="K3" i="46"/>
  <c r="K4" i="46"/>
  <c r="E5" i="46"/>
  <c r="E4" i="46"/>
  <c r="K2" i="46"/>
  <c r="K5" i="46"/>
  <c r="E3" i="46"/>
  <c r="B47" i="43" l="1"/>
  <c r="D47" i="43" s="1"/>
  <c r="B46" i="43"/>
  <c r="B49" i="43"/>
  <c r="B48" i="43"/>
  <c r="F614" i="44" a="1"/>
  <c r="F614" i="44" s="1"/>
  <c r="L603" i="44" a="1"/>
  <c r="L603" i="44" s="1"/>
  <c r="F603" i="44" a="1"/>
  <c r="F603" i="44" s="1"/>
  <c r="L605" i="44" a="1"/>
  <c r="L605" i="44" s="1"/>
  <c r="L618" i="44" a="1"/>
  <c r="L618" i="44" s="1"/>
  <c r="F617" i="44" a="1"/>
  <c r="F617" i="44" s="1"/>
  <c r="F659" i="44" a="1"/>
  <c r="F659" i="44" s="1"/>
  <c r="L600" i="44" a="1"/>
  <c r="L600" i="44" s="1"/>
  <c r="F612" i="44" a="1"/>
  <c r="F612" i="44" s="1"/>
  <c r="L654" i="44" a="1"/>
  <c r="L654" i="44" s="1"/>
  <c r="L665" i="44" a="1"/>
  <c r="L665" i="44" s="1"/>
  <c r="F611" i="44" a="1"/>
  <c r="F611" i="44" s="1"/>
  <c r="F632" i="44" a="1"/>
  <c r="F632" i="44" s="1"/>
  <c r="L674" i="44" a="1"/>
  <c r="L674" i="44" s="1"/>
  <c r="F656" i="44" a="1"/>
  <c r="F656" i="44" s="1"/>
  <c r="L660" i="44" a="1"/>
  <c r="L660" i="44" s="1"/>
  <c r="F638" i="44" a="1"/>
  <c r="F638" i="44" s="1"/>
  <c r="L667" i="44" a="1"/>
  <c r="L667" i="44" s="1"/>
  <c r="F651" i="44" a="1"/>
  <c r="F651" i="44" s="1"/>
  <c r="L669" i="44" a="1"/>
  <c r="L669" i="44" s="1"/>
  <c r="L666" i="44" a="1"/>
  <c r="L666" i="44" s="1"/>
  <c r="F650" i="44" a="1"/>
  <c r="F650" i="44" s="1"/>
  <c r="L677" i="44" a="1"/>
  <c r="L677" i="44" s="1"/>
  <c r="F655" i="44" a="1"/>
  <c r="F655" i="44" s="1"/>
  <c r="F631" i="44" a="1"/>
  <c r="F631" i="44" s="1"/>
  <c r="F627" i="44" a="1"/>
  <c r="F627" i="44" s="1"/>
  <c r="F685" i="44" a="1"/>
  <c r="F685" i="44" s="1"/>
  <c r="L614" i="44" a="1"/>
  <c r="L614" i="44" s="1"/>
  <c r="L628" i="44" a="1"/>
  <c r="L628" i="44" s="1"/>
  <c r="L653" i="44" a="1"/>
  <c r="L653" i="44" s="1"/>
  <c r="L620" i="44" a="1"/>
  <c r="L620" i="44" s="1"/>
  <c r="F637" i="44" a="1"/>
  <c r="F637" i="44" s="1"/>
  <c r="F684" i="44" a="1"/>
  <c r="F684" i="44" s="1"/>
  <c r="F660" i="44" a="1"/>
  <c r="F660" i="44" s="1"/>
  <c r="F679" i="44" a="1"/>
  <c r="F679" i="44" s="1"/>
  <c r="L649" i="44" a="1"/>
  <c r="L649" i="44" s="1"/>
  <c r="F630" i="44" a="1"/>
  <c r="F630" i="44" s="1"/>
  <c r="L635" i="44" a="1"/>
  <c r="L635" i="44" s="1"/>
  <c r="F616" i="44" a="1"/>
  <c r="F616" i="44" s="1"/>
  <c r="L655" i="44" a="1"/>
  <c r="L655" i="44" s="1"/>
  <c r="L609" i="44" a="1"/>
  <c r="L609" i="44" s="1"/>
  <c r="L693" i="44" a="1"/>
  <c r="L693" i="44" s="1"/>
  <c r="L659" i="44" a="1"/>
  <c r="L659" i="44" s="1"/>
  <c r="F676" i="44" a="1"/>
  <c r="F676" i="44" s="1"/>
  <c r="F608" i="44" a="1"/>
  <c r="F608" i="44" s="1"/>
  <c r="F629" i="44" a="1"/>
  <c r="F629" i="44" s="1"/>
  <c r="F645" i="44" a="1"/>
  <c r="F645" i="44" s="1"/>
  <c r="F604" i="44" a="1"/>
  <c r="F604" i="44" s="1"/>
  <c r="L658" i="44" a="1"/>
  <c r="L658" i="44" s="1"/>
  <c r="F609" i="44" a="1"/>
  <c r="F609" i="44" s="1"/>
  <c r="L688" i="44" a="1"/>
  <c r="L688" i="44" s="1"/>
  <c r="L657" i="44" a="1"/>
  <c r="L657" i="44" s="1"/>
  <c r="L615" i="44" a="1"/>
  <c r="L615" i="44" s="1"/>
  <c r="L683" i="44" a="1"/>
  <c r="L683" i="44" s="1"/>
  <c r="L695" i="44" a="1"/>
  <c r="L695" i="44" s="1"/>
  <c r="L675" i="44" a="1"/>
  <c r="L675" i="44" s="1"/>
  <c r="F644" i="44" a="1"/>
  <c r="F644" i="44" s="1"/>
  <c r="F601" i="44" a="1"/>
  <c r="F601" i="44" s="1"/>
  <c r="F677" i="44" a="1"/>
  <c r="F677" i="44" s="1"/>
  <c r="F663" i="44" a="1"/>
  <c r="F663" i="44" s="1"/>
  <c r="L612" i="44" a="1"/>
  <c r="L612" i="44" s="1"/>
  <c r="F635" i="44" a="1"/>
  <c r="F635" i="44" s="1"/>
  <c r="L639" i="44" a="1"/>
  <c r="L639" i="44" s="1"/>
  <c r="L691" i="44" a="1"/>
  <c r="L691" i="44" s="1"/>
  <c r="L610" i="44" a="1"/>
  <c r="L610" i="44" s="1"/>
  <c r="L670" i="44" a="1"/>
  <c r="L670" i="44" s="1"/>
  <c r="L631" i="44" a="1"/>
  <c r="L631" i="44" s="1"/>
  <c r="L682" i="44" a="1"/>
  <c r="L682" i="44" s="1"/>
  <c r="F602" i="44" a="1"/>
  <c r="F602" i="44" s="1"/>
  <c r="F606" i="44" a="1"/>
  <c r="F606" i="44" s="1"/>
  <c r="F648" i="44" a="1"/>
  <c r="F648" i="44" s="1"/>
  <c r="F692" i="44" a="1"/>
  <c r="F692" i="44" s="1"/>
  <c r="L686" i="44" a="1"/>
  <c r="L686" i="44" s="1"/>
  <c r="F664" i="44" a="1"/>
  <c r="F664" i="44" s="1"/>
  <c r="L690" i="44" a="1"/>
  <c r="L690" i="44" s="1"/>
  <c r="L651" i="44" a="1"/>
  <c r="L651" i="44" s="1"/>
  <c r="L616" i="44" a="1"/>
  <c r="L616" i="44" s="1"/>
  <c r="L611" i="44" a="1"/>
  <c r="L611" i="44" s="1"/>
  <c r="L692" i="44" a="1"/>
  <c r="L692" i="44" s="1"/>
  <c r="L624" i="44" a="1"/>
  <c r="L624" i="44" s="1"/>
  <c r="L673" i="44" a="1"/>
  <c r="L673" i="44" s="1"/>
  <c r="F623" i="44" a="1"/>
  <c r="F623" i="44" s="1"/>
  <c r="F671" i="44" a="1"/>
  <c r="F671" i="44" s="1"/>
  <c r="F673" i="44" a="1"/>
  <c r="F673" i="44" s="1"/>
  <c r="L664" i="44" a="1"/>
  <c r="L664" i="44" s="1"/>
  <c r="F694" i="44" a="1"/>
  <c r="F694" i="44" s="1"/>
  <c r="L680" i="44" a="1"/>
  <c r="L680" i="44" s="1"/>
  <c r="L645" i="44" a="1"/>
  <c r="L645" i="44" s="1"/>
  <c r="F678" i="44" a="1"/>
  <c r="F678" i="44" s="1"/>
  <c r="L647" i="44" a="1"/>
  <c r="L647" i="44" s="1"/>
  <c r="L634" i="44" a="1"/>
  <c r="L634" i="44" s="1"/>
  <c r="L638" i="44" a="1"/>
  <c r="L638" i="44" s="1"/>
  <c r="L650" i="44" a="1"/>
  <c r="L650" i="44" s="1"/>
  <c r="F658" i="44" a="1"/>
  <c r="F658" i="44" s="1"/>
  <c r="F683" i="44" a="1"/>
  <c r="F683" i="44" s="1"/>
  <c r="F624" i="44" a="1"/>
  <c r="F624" i="44" s="1"/>
  <c r="F634" i="44" a="1"/>
  <c r="F634" i="44" s="1"/>
  <c r="F646" i="44" a="1"/>
  <c r="F646" i="44" s="1"/>
  <c r="L676" i="44" a="1"/>
  <c r="L676" i="44" s="1"/>
  <c r="F666" i="44" a="1"/>
  <c r="F666" i="44" s="1"/>
  <c r="L622" i="44" a="1"/>
  <c r="L622" i="44" s="1"/>
  <c r="L606" i="44" a="1"/>
  <c r="L606" i="44" s="1"/>
  <c r="L636" i="44" a="1"/>
  <c r="L636" i="44" s="1"/>
  <c r="F618" i="44" a="1"/>
  <c r="F618" i="44" s="1"/>
  <c r="F621" i="44" a="1"/>
  <c r="F621" i="44" s="1"/>
  <c r="F639" i="44" a="1"/>
  <c r="F639" i="44" s="1"/>
  <c r="F626" i="44" a="1"/>
  <c r="F626" i="44" s="1"/>
  <c r="F695" i="44" a="1"/>
  <c r="F695" i="44" s="1"/>
  <c r="F686" i="44" a="1"/>
  <c r="F686" i="44" s="1"/>
  <c r="L652" i="44" a="1"/>
  <c r="L652" i="44" s="1"/>
  <c r="L621" i="44" a="1"/>
  <c r="L621" i="44" s="1"/>
  <c r="L625" i="44" a="1"/>
  <c r="L625" i="44" s="1"/>
  <c r="L663" i="44" a="1"/>
  <c r="L663" i="44" s="1"/>
  <c r="F642" i="44" a="1"/>
  <c r="F642" i="44" s="1"/>
  <c r="L626" i="44" a="1"/>
  <c r="L626" i="44" s="1"/>
  <c r="L689" i="44" a="1"/>
  <c r="L689" i="44" s="1"/>
  <c r="L694" i="44" a="1"/>
  <c r="L694" i="44" s="1"/>
  <c r="L643" i="44" a="1"/>
  <c r="L643" i="44" s="1"/>
  <c r="L685" i="44" a="1"/>
  <c r="L685" i="44" s="1"/>
  <c r="F633" i="44" a="1"/>
  <c r="F633" i="44" s="1"/>
  <c r="F615" i="44" a="1"/>
  <c r="F615" i="44" s="1"/>
  <c r="F681" i="44" a="1"/>
  <c r="F681" i="44" s="1"/>
  <c r="F653" i="44" a="1"/>
  <c r="F653" i="44" s="1"/>
  <c r="F620" i="44" a="1"/>
  <c r="F620" i="44" s="1"/>
  <c r="L607" i="44" a="1"/>
  <c r="L607" i="44" s="1"/>
  <c r="F607" i="44" a="1"/>
  <c r="F607" i="44" s="1"/>
  <c r="F687" i="44" a="1"/>
  <c r="F687" i="44" s="1"/>
  <c r="L617" i="44" a="1"/>
  <c r="L617" i="44" s="1"/>
  <c r="L662" i="44" a="1"/>
  <c r="L662" i="44" s="1"/>
  <c r="L601" i="44" a="1"/>
  <c r="L601" i="44" s="1"/>
  <c r="L640" i="44" a="1"/>
  <c r="L640" i="44" s="1"/>
  <c r="L632" i="44" a="1"/>
  <c r="L632" i="44" s="1"/>
  <c r="L661" i="44" a="1"/>
  <c r="L661" i="44" s="1"/>
  <c r="F682" i="44" a="1"/>
  <c r="F682" i="44" s="1"/>
  <c r="F619" i="44" a="1"/>
  <c r="F619" i="44" s="1"/>
  <c r="F693" i="44" a="1"/>
  <c r="F693" i="44" s="1"/>
  <c r="F636" i="44" a="1"/>
  <c r="F636" i="44" s="1"/>
  <c r="L623" i="44" a="1"/>
  <c r="L623" i="44" s="1"/>
  <c r="F641" i="44" a="1"/>
  <c r="F641" i="44" s="1"/>
  <c r="L613" i="44" a="1"/>
  <c r="L613" i="44" s="1"/>
  <c r="L656" i="44" a="1"/>
  <c r="L656" i="44" s="1"/>
  <c r="L672" i="44" a="1"/>
  <c r="L672" i="44" s="1"/>
  <c r="L687" i="44" a="1"/>
  <c r="L687" i="44" s="1"/>
  <c r="L629" i="44" a="1"/>
  <c r="L629" i="44" s="1"/>
  <c r="F622" i="44" a="1"/>
  <c r="F622" i="44" s="1"/>
  <c r="F691" i="44" a="1"/>
  <c r="F691" i="44" s="1"/>
  <c r="F647" i="44" a="1"/>
  <c r="F647" i="44" s="1"/>
  <c r="F600" i="44" a="1"/>
  <c r="F600" i="44" s="1"/>
  <c r="F680" i="44" a="1"/>
  <c r="F680" i="44" s="1"/>
  <c r="F613" i="44" a="1"/>
  <c r="F613" i="44" s="1"/>
  <c r="L671" i="44" a="1"/>
  <c r="L671" i="44" s="1"/>
  <c r="F640" i="44" a="1"/>
  <c r="F640" i="44" s="1"/>
  <c r="L619" i="44" a="1"/>
  <c r="L619" i="44" s="1"/>
  <c r="L681" i="44" a="1"/>
  <c r="L681" i="44" s="1"/>
  <c r="L644" i="44" a="1"/>
  <c r="L644" i="44" s="1"/>
  <c r="L679" i="44" a="1"/>
  <c r="L679" i="44" s="1"/>
  <c r="F661" i="44" a="1"/>
  <c r="F661" i="44" s="1"/>
  <c r="F605" i="44" a="1"/>
  <c r="F605" i="44" s="1"/>
  <c r="F610" i="44" a="1"/>
  <c r="F610" i="44" s="1"/>
  <c r="F675" i="44" a="1"/>
  <c r="F675" i="44" s="1"/>
  <c r="F667" i="44" a="1"/>
  <c r="F667" i="44" s="1"/>
  <c r="L648" i="44" a="1"/>
  <c r="L648" i="44" s="1"/>
  <c r="F628" i="44" a="1"/>
  <c r="F628" i="44" s="1"/>
  <c r="F657" i="44" a="1"/>
  <c r="F657" i="44" s="1"/>
  <c r="L608" i="44" a="1"/>
  <c r="L608" i="44" s="1"/>
  <c r="L604" i="44" a="1"/>
  <c r="L604" i="44" s="1"/>
  <c r="L637" i="44" a="1"/>
  <c r="L637" i="44" s="1"/>
  <c r="L642" i="44" a="1"/>
  <c r="L642" i="44" s="1"/>
  <c r="L678" i="44" a="1"/>
  <c r="L678" i="44" s="1"/>
  <c r="L668" i="44" a="1"/>
  <c r="L668" i="44" s="1"/>
  <c r="L627" i="44" a="1"/>
  <c r="L627" i="44" s="1"/>
  <c r="F690" i="44" a="1"/>
  <c r="F690" i="44" s="1"/>
  <c r="F672" i="44" a="1"/>
  <c r="F672" i="44" s="1"/>
  <c r="F652" i="44" a="1"/>
  <c r="F652" i="44" s="1"/>
  <c r="G68" i="44"/>
  <c r="G8" i="44"/>
  <c r="M5" i="44"/>
  <c r="M13" i="44"/>
  <c r="G23" i="44"/>
  <c r="G32" i="44"/>
  <c r="M43" i="44"/>
  <c r="G55" i="44"/>
  <c r="G64" i="44"/>
  <c r="M75" i="44"/>
  <c r="G87" i="44"/>
  <c r="G96" i="44"/>
  <c r="M107" i="44"/>
  <c r="G119" i="44"/>
  <c r="G128" i="44"/>
  <c r="M139" i="44"/>
  <c r="G151" i="44"/>
  <c r="G160" i="44"/>
  <c r="M171" i="44"/>
  <c r="G183" i="44"/>
  <c r="G192" i="44"/>
  <c r="K108" i="44"/>
  <c r="W8" i="44"/>
  <c r="W9" i="44"/>
  <c r="W17" i="44"/>
  <c r="W25" i="44"/>
  <c r="W33" i="44"/>
  <c r="W41" i="44"/>
  <c r="W49" i="44"/>
  <c r="W57" i="44"/>
  <c r="W65" i="44"/>
  <c r="W73" i="44"/>
  <c r="W81" i="44"/>
  <c r="W89" i="44"/>
  <c r="W97" i="44"/>
  <c r="W105" i="44"/>
  <c r="W113" i="44"/>
  <c r="W121" i="44"/>
  <c r="W129" i="44"/>
  <c r="W137" i="44"/>
  <c r="W145" i="44"/>
  <c r="W153" i="44"/>
  <c r="W161" i="44"/>
  <c r="W169" i="44"/>
  <c r="W177" i="44"/>
  <c r="W185" i="44"/>
  <c r="W193" i="44"/>
  <c r="W10" i="44"/>
  <c r="W18" i="44"/>
  <c r="W26" i="44"/>
  <c r="W34" i="44"/>
  <c r="W42" i="44"/>
  <c r="W50" i="44"/>
  <c r="W58" i="44"/>
  <c r="W66" i="44"/>
  <c r="W74" i="44"/>
  <c r="W82" i="44"/>
  <c r="W90" i="44"/>
  <c r="W98" i="44"/>
  <c r="W106" i="44"/>
  <c r="W114" i="44"/>
  <c r="W122" i="44"/>
  <c r="W130" i="44"/>
  <c r="W138" i="44"/>
  <c r="W146" i="44"/>
  <c r="W154" i="44"/>
  <c r="W162" i="44"/>
  <c r="W170" i="44"/>
  <c r="W178" i="44"/>
  <c r="W186" i="44"/>
  <c r="W194" i="44"/>
  <c r="W11" i="44"/>
  <c r="W6" i="44"/>
  <c r="W14" i="44"/>
  <c r="W22" i="44"/>
  <c r="W30" i="44"/>
  <c r="W38" i="44"/>
  <c r="W46" i="44"/>
  <c r="W54" i="44"/>
  <c r="W62" i="44"/>
  <c r="W70" i="44"/>
  <c r="W78" i="44"/>
  <c r="W86" i="44"/>
  <c r="W94" i="44"/>
  <c r="W102" i="44"/>
  <c r="W110" i="44"/>
  <c r="W118" i="44"/>
  <c r="W126" i="44"/>
  <c r="W134" i="44"/>
  <c r="W142" i="44"/>
  <c r="W150" i="44"/>
  <c r="W158" i="44"/>
  <c r="W166" i="44"/>
  <c r="W174" i="44"/>
  <c r="W182" i="44"/>
  <c r="W190" i="44"/>
  <c r="W7" i="44"/>
  <c r="W15" i="44"/>
  <c r="W23" i="44"/>
  <c r="W31" i="44"/>
  <c r="W39" i="44"/>
  <c r="W47" i="44"/>
  <c r="W55" i="44"/>
  <c r="W63" i="44"/>
  <c r="W71" i="44"/>
  <c r="W79" i="44"/>
  <c r="W87" i="44"/>
  <c r="W95" i="44"/>
  <c r="W103" i="44"/>
  <c r="W111" i="44"/>
  <c r="W119" i="44"/>
  <c r="W127" i="44"/>
  <c r="W135" i="44"/>
  <c r="W143" i="44"/>
  <c r="W151" i="44"/>
  <c r="W159" i="44"/>
  <c r="W167" i="44"/>
  <c r="W175" i="44"/>
  <c r="W183" i="44"/>
  <c r="W191" i="44"/>
  <c r="W16" i="44"/>
  <c r="W32" i="44"/>
  <c r="W48" i="44"/>
  <c r="W64" i="44"/>
  <c r="W80" i="44"/>
  <c r="W96" i="44"/>
  <c r="W112" i="44"/>
  <c r="W128" i="44"/>
  <c r="W144" i="44"/>
  <c r="W160" i="44"/>
  <c r="W176" i="44"/>
  <c r="W192" i="44"/>
  <c r="W19" i="44"/>
  <c r="W35" i="44"/>
  <c r="W51" i="44"/>
  <c r="W67" i="44"/>
  <c r="W83" i="44"/>
  <c r="W99" i="44"/>
  <c r="W115" i="44"/>
  <c r="W131" i="44"/>
  <c r="W147" i="44"/>
  <c r="W163" i="44"/>
  <c r="W179" i="44"/>
  <c r="W195" i="44"/>
  <c r="W20" i="44"/>
  <c r="W36" i="44"/>
  <c r="W52" i="44"/>
  <c r="W68" i="44"/>
  <c r="W84" i="44"/>
  <c r="W100" i="44"/>
  <c r="W116" i="44"/>
  <c r="W132" i="44"/>
  <c r="W148" i="44"/>
  <c r="W164" i="44"/>
  <c r="W180" i="44"/>
  <c r="W21" i="44"/>
  <c r="W37" i="44"/>
  <c r="W53" i="44"/>
  <c r="W69" i="44"/>
  <c r="W85" i="44"/>
  <c r="W101" i="44"/>
  <c r="W117" i="44"/>
  <c r="W133" i="44"/>
  <c r="W149" i="44"/>
  <c r="W165" i="44"/>
  <c r="W181" i="44"/>
  <c r="W4" i="44"/>
  <c r="W24" i="44"/>
  <c r="W40" i="44"/>
  <c r="W56" i="44"/>
  <c r="W72" i="44"/>
  <c r="W88" i="44"/>
  <c r="W104" i="44"/>
  <c r="W120" i="44"/>
  <c r="W136" i="44"/>
  <c r="W152" i="44"/>
  <c r="W168" i="44"/>
  <c r="W184" i="44"/>
  <c r="W28" i="44"/>
  <c r="W75" i="44"/>
  <c r="W109" i="44"/>
  <c r="W156" i="44"/>
  <c r="W29" i="44"/>
  <c r="W76" i="44"/>
  <c r="W123" i="44"/>
  <c r="W157" i="44"/>
  <c r="W43" i="44"/>
  <c r="W77" i="44"/>
  <c r="W124" i="44"/>
  <c r="W171" i="44"/>
  <c r="W44" i="44"/>
  <c r="W91" i="44"/>
  <c r="W125" i="44"/>
  <c r="W172" i="44"/>
  <c r="W5" i="44"/>
  <c r="W45" i="44"/>
  <c r="W92" i="44"/>
  <c r="W60" i="44"/>
  <c r="W155" i="44"/>
  <c r="W61" i="44"/>
  <c r="W173" i="44"/>
  <c r="W93" i="44"/>
  <c r="W187" i="44"/>
  <c r="W107" i="44"/>
  <c r="W188" i="44"/>
  <c r="W12" i="44"/>
  <c r="W108" i="44"/>
  <c r="W189" i="44"/>
  <c r="W140" i="44"/>
  <c r="W141" i="44"/>
  <c r="I8" i="44"/>
  <c r="I15" i="44"/>
  <c r="W13" i="44"/>
  <c r="I11" i="44"/>
  <c r="I18" i="44"/>
  <c r="I13" i="44"/>
  <c r="I22" i="44"/>
  <c r="I30" i="44"/>
  <c r="I37" i="44"/>
  <c r="I44" i="44"/>
  <c r="I51" i="44"/>
  <c r="I59" i="44"/>
  <c r="I67" i="44"/>
  <c r="I75" i="44"/>
  <c r="I82" i="44"/>
  <c r="I90" i="44"/>
  <c r="I98" i="44"/>
  <c r="I105" i="44"/>
  <c r="I113" i="44"/>
  <c r="I119" i="44"/>
  <c r="I124" i="44"/>
  <c r="I132" i="44"/>
  <c r="I140" i="44"/>
  <c r="I147" i="44"/>
  <c r="I155" i="44"/>
  <c r="I162" i="44"/>
  <c r="I169" i="44"/>
  <c r="I176" i="44"/>
  <c r="I183" i="44"/>
  <c r="I191" i="44"/>
  <c r="L4" i="44"/>
  <c r="L12" i="44"/>
  <c r="L20" i="44"/>
  <c r="L28" i="44"/>
  <c r="L36" i="44"/>
  <c r="L44" i="44"/>
  <c r="L52" i="44"/>
  <c r="L60" i="44"/>
  <c r="L68" i="44"/>
  <c r="L76" i="44"/>
  <c r="L84" i="44"/>
  <c r="L92" i="44"/>
  <c r="L100" i="44"/>
  <c r="L108" i="44"/>
  <c r="L116" i="44"/>
  <c r="L124" i="44"/>
  <c r="L132" i="44"/>
  <c r="L140" i="44"/>
  <c r="L148" i="44"/>
  <c r="L156" i="44"/>
  <c r="L164" i="44"/>
  <c r="L172" i="44"/>
  <c r="L180" i="44"/>
  <c r="L188" i="44"/>
  <c r="K6" i="44"/>
  <c r="K14" i="44"/>
  <c r="K22" i="44"/>
  <c r="K30" i="44"/>
  <c r="K38" i="44"/>
  <c r="K46" i="44"/>
  <c r="K54" i="44"/>
  <c r="K62" i="44"/>
  <c r="K70" i="44"/>
  <c r="K78" i="44"/>
  <c r="K86" i="44"/>
  <c r="K94" i="44"/>
  <c r="K102" i="44"/>
  <c r="K110" i="44"/>
  <c r="K118" i="44"/>
  <c r="K126" i="44"/>
  <c r="K134" i="44"/>
  <c r="K142" i="44"/>
  <c r="K150" i="44"/>
  <c r="K158" i="44"/>
  <c r="K166" i="44"/>
  <c r="K174" i="44"/>
  <c r="K182" i="44"/>
  <c r="K190" i="44"/>
  <c r="H10" i="44"/>
  <c r="H18" i="44"/>
  <c r="H26" i="44"/>
  <c r="H34" i="44"/>
  <c r="H42" i="44"/>
  <c r="H50" i="44"/>
  <c r="H58" i="44"/>
  <c r="H66" i="44"/>
  <c r="H74" i="44"/>
  <c r="H82" i="44"/>
  <c r="H90" i="44"/>
  <c r="H98" i="44"/>
  <c r="H106" i="44"/>
  <c r="H114" i="44"/>
  <c r="H122" i="44"/>
  <c r="H130" i="44"/>
  <c r="H138" i="44"/>
  <c r="H146" i="44"/>
  <c r="H154" i="44"/>
  <c r="I14" i="44"/>
  <c r="I23" i="44"/>
  <c r="I31" i="44"/>
  <c r="I38" i="44"/>
  <c r="I45" i="44"/>
  <c r="I52" i="44"/>
  <c r="I60" i="44"/>
  <c r="I68" i="44"/>
  <c r="I76" i="44"/>
  <c r="I83" i="44"/>
  <c r="I91" i="44"/>
  <c r="I99" i="44"/>
  <c r="I106" i="44"/>
  <c r="I125" i="44"/>
  <c r="I133" i="44"/>
  <c r="I141" i="44"/>
  <c r="I148" i="44"/>
  <c r="I170" i="44"/>
  <c r="I177" i="44"/>
  <c r="I184" i="44"/>
  <c r="I192" i="44"/>
  <c r="L5" i="44"/>
  <c r="L13" i="44"/>
  <c r="L21" i="44"/>
  <c r="L29" i="44"/>
  <c r="L37" i="44"/>
  <c r="L45" i="44"/>
  <c r="L53" i="44"/>
  <c r="L61" i="44"/>
  <c r="L69" i="44"/>
  <c r="L77" i="44"/>
  <c r="L85" i="44"/>
  <c r="L93" i="44"/>
  <c r="L101" i="44"/>
  <c r="L109" i="44"/>
  <c r="L117" i="44"/>
  <c r="L125" i="44"/>
  <c r="L133" i="44"/>
  <c r="L141" i="44"/>
  <c r="L149" i="44"/>
  <c r="L157" i="44"/>
  <c r="L165" i="44"/>
  <c r="L173" i="44"/>
  <c r="L181" i="44"/>
  <c r="L189" i="44"/>
  <c r="K7" i="44"/>
  <c r="K15" i="44"/>
  <c r="K23" i="44"/>
  <c r="K31" i="44"/>
  <c r="K39" i="44"/>
  <c r="K47" i="44"/>
  <c r="K55" i="44"/>
  <c r="K63" i="44"/>
  <c r="K71" i="44"/>
  <c r="K79" i="44"/>
  <c r="K87" i="44"/>
  <c r="K95" i="44"/>
  <c r="K103" i="44"/>
  <c r="K111" i="44"/>
  <c r="K119" i="44"/>
  <c r="K127" i="44"/>
  <c r="K135" i="44"/>
  <c r="K143" i="44"/>
  <c r="K151" i="44"/>
  <c r="K159" i="44"/>
  <c r="K167" i="44"/>
  <c r="K175" i="44"/>
  <c r="K183" i="44"/>
  <c r="K191" i="44"/>
  <c r="H11" i="44"/>
  <c r="H19" i="44"/>
  <c r="H27" i="44"/>
  <c r="H35" i="44"/>
  <c r="H43" i="44"/>
  <c r="H51" i="44"/>
  <c r="H59" i="44"/>
  <c r="H67" i="44"/>
  <c r="H75" i="44"/>
  <c r="H83" i="44"/>
  <c r="H91" i="44"/>
  <c r="H99" i="44"/>
  <c r="H107" i="44"/>
  <c r="H115" i="44"/>
  <c r="I5" i="44"/>
  <c r="I24" i="44"/>
  <c r="I32" i="44"/>
  <c r="I39" i="44"/>
  <c r="I46" i="44"/>
  <c r="I53" i="44"/>
  <c r="I61" i="44"/>
  <c r="I69" i="44"/>
  <c r="I77" i="44"/>
  <c r="I84" i="44"/>
  <c r="I92" i="44"/>
  <c r="I107" i="44"/>
  <c r="I114" i="44"/>
  <c r="I120" i="44"/>
  <c r="I126" i="44"/>
  <c r="I134" i="44"/>
  <c r="I142" i="44"/>
  <c r="I149" i="44"/>
  <c r="I156" i="44"/>
  <c r="I163" i="44"/>
  <c r="I171" i="44"/>
  <c r="I178" i="44"/>
  <c r="I185" i="44"/>
  <c r="I193" i="44"/>
  <c r="L6" i="44"/>
  <c r="L14" i="44"/>
  <c r="L22" i="44"/>
  <c r="L30" i="44"/>
  <c r="L38" i="44"/>
  <c r="L46" i="44"/>
  <c r="L54" i="44"/>
  <c r="L62" i="44"/>
  <c r="L70" i="44"/>
  <c r="L78" i="44"/>
  <c r="L86" i="44"/>
  <c r="L94" i="44"/>
  <c r="L102" i="44"/>
  <c r="L110" i="44"/>
  <c r="L118" i="44"/>
  <c r="L126" i="44"/>
  <c r="L134" i="44"/>
  <c r="L142" i="44"/>
  <c r="L150" i="44"/>
  <c r="L158" i="44"/>
  <c r="L166" i="44"/>
  <c r="L174" i="44"/>
  <c r="L182" i="44"/>
  <c r="L190" i="44"/>
  <c r="K8" i="44"/>
  <c r="K16" i="44"/>
  <c r="K24" i="44"/>
  <c r="K32" i="44"/>
  <c r="K40" i="44"/>
  <c r="K48" i="44"/>
  <c r="K56" i="44"/>
  <c r="K64" i="44"/>
  <c r="K72" i="44"/>
  <c r="K80" i="44"/>
  <c r="K88" i="44"/>
  <c r="K96" i="44"/>
  <c r="K104" i="44"/>
  <c r="K112" i="44"/>
  <c r="K120" i="44"/>
  <c r="K128" i="44"/>
  <c r="K136" i="44"/>
  <c r="K144" i="44"/>
  <c r="K152" i="44"/>
  <c r="K160" i="44"/>
  <c r="K168" i="44"/>
  <c r="K176" i="44"/>
  <c r="K184" i="44"/>
  <c r="K192" i="44"/>
  <c r="H4" i="44"/>
  <c r="H12" i="44"/>
  <c r="H20" i="44"/>
  <c r="H28" i="44"/>
  <c r="H36" i="44"/>
  <c r="H44" i="44"/>
  <c r="H52" i="44"/>
  <c r="H60" i="44"/>
  <c r="H68" i="44"/>
  <c r="H76" i="44"/>
  <c r="H84" i="44"/>
  <c r="H92" i="44"/>
  <c r="H100" i="44"/>
  <c r="H108" i="44"/>
  <c r="H116" i="44"/>
  <c r="H124" i="44"/>
  <c r="H132" i="44"/>
  <c r="H140" i="44"/>
  <c r="H148" i="44"/>
  <c r="H156" i="44"/>
  <c r="H164" i="44"/>
  <c r="H172" i="44"/>
  <c r="H180" i="44"/>
  <c r="H188" i="44"/>
  <c r="I6" i="44"/>
  <c r="I16" i="44"/>
  <c r="I25" i="44"/>
  <c r="I33" i="44"/>
  <c r="I40" i="44"/>
  <c r="I47" i="44"/>
  <c r="I54" i="44"/>
  <c r="I62" i="44"/>
  <c r="I70" i="44"/>
  <c r="I78" i="44"/>
  <c r="I85" i="44"/>
  <c r="I93" i="44"/>
  <c r="I100" i="44"/>
  <c r="I108" i="44"/>
  <c r="I121" i="44"/>
  <c r="I127" i="44"/>
  <c r="I135" i="44"/>
  <c r="I150" i="44"/>
  <c r="I157" i="44"/>
  <c r="I164" i="44"/>
  <c r="I186" i="44"/>
  <c r="I194" i="44"/>
  <c r="L7" i="44"/>
  <c r="L15" i="44"/>
  <c r="L23" i="44"/>
  <c r="L31" i="44"/>
  <c r="L39" i="44"/>
  <c r="L47" i="44"/>
  <c r="L55" i="44"/>
  <c r="L63" i="44"/>
  <c r="L71" i="44"/>
  <c r="L79" i="44"/>
  <c r="L87" i="44"/>
  <c r="L95" i="44"/>
  <c r="L103" i="44"/>
  <c r="L111" i="44"/>
  <c r="L119" i="44"/>
  <c r="L127" i="44"/>
  <c r="L135" i="44"/>
  <c r="L143" i="44"/>
  <c r="L151" i="44"/>
  <c r="L159" i="44"/>
  <c r="L167" i="44"/>
  <c r="L175" i="44"/>
  <c r="L183" i="44"/>
  <c r="L191" i="44"/>
  <c r="K9" i="44"/>
  <c r="K17" i="44"/>
  <c r="K25" i="44"/>
  <c r="K33" i="44"/>
  <c r="K41" i="44"/>
  <c r="K49" i="44"/>
  <c r="K57" i="44"/>
  <c r="K65" i="44"/>
  <c r="K73" i="44"/>
  <c r="K81" i="44"/>
  <c r="K89" i="44"/>
  <c r="K97" i="44"/>
  <c r="K105" i="44"/>
  <c r="K113" i="44"/>
  <c r="K121" i="44"/>
  <c r="K129" i="44"/>
  <c r="K137" i="44"/>
  <c r="K145" i="44"/>
  <c r="K153" i="44"/>
  <c r="K161" i="44"/>
  <c r="K169" i="44"/>
  <c r="K177" i="44"/>
  <c r="K185" i="44"/>
  <c r="K193" i="44"/>
  <c r="H5" i="44"/>
  <c r="H13" i="44"/>
  <c r="W27" i="44"/>
  <c r="I7" i="44"/>
  <c r="I17" i="44"/>
  <c r="I26" i="44"/>
  <c r="I34" i="44"/>
  <c r="I41" i="44"/>
  <c r="I48" i="44"/>
  <c r="I55" i="44"/>
  <c r="I63" i="44"/>
  <c r="I71" i="44"/>
  <c r="I86" i="44"/>
  <c r="I94" i="44"/>
  <c r="I101" i="44"/>
  <c r="I109" i="44"/>
  <c r="I115" i="44"/>
  <c r="I20" i="44"/>
  <c r="I42" i="44"/>
  <c r="I58" i="44"/>
  <c r="I80" i="44"/>
  <c r="I102" i="44"/>
  <c r="I118" i="44"/>
  <c r="I131" i="44"/>
  <c r="I146" i="44"/>
  <c r="I161" i="44"/>
  <c r="I175" i="44"/>
  <c r="I190" i="44"/>
  <c r="L19" i="44"/>
  <c r="L35" i="44"/>
  <c r="L51" i="44"/>
  <c r="L67" i="44"/>
  <c r="L83" i="44"/>
  <c r="L99" i="44"/>
  <c r="L115" i="44"/>
  <c r="L131" i="44"/>
  <c r="L147" i="44"/>
  <c r="L163" i="44"/>
  <c r="L179" i="44"/>
  <c r="L195" i="44"/>
  <c r="K13" i="44"/>
  <c r="K29" i="44"/>
  <c r="K45" i="44"/>
  <c r="K61" i="44"/>
  <c r="K77" i="44"/>
  <c r="K93" i="44"/>
  <c r="K109" i="44"/>
  <c r="K125" i="44"/>
  <c r="K141" i="44"/>
  <c r="K157" i="44"/>
  <c r="K173" i="44"/>
  <c r="K189" i="44"/>
  <c r="H17" i="44"/>
  <c r="H31" i="44"/>
  <c r="H45" i="44"/>
  <c r="H56" i="44"/>
  <c r="H70" i="44"/>
  <c r="H81" i="44"/>
  <c r="H95" i="44"/>
  <c r="H109" i="44"/>
  <c r="H120" i="44"/>
  <c r="H131" i="44"/>
  <c r="H142" i="44"/>
  <c r="H152" i="44"/>
  <c r="H162" i="44"/>
  <c r="H171" i="44"/>
  <c r="H181" i="44"/>
  <c r="H190" i="44"/>
  <c r="F9" i="44"/>
  <c r="F17" i="44"/>
  <c r="F25" i="44"/>
  <c r="F33" i="44"/>
  <c r="F41" i="44"/>
  <c r="F49" i="44"/>
  <c r="F57" i="44"/>
  <c r="F65" i="44"/>
  <c r="F73" i="44"/>
  <c r="F81" i="44"/>
  <c r="F89" i="44"/>
  <c r="F97" i="44"/>
  <c r="F105" i="44"/>
  <c r="F113" i="44"/>
  <c r="F121" i="44"/>
  <c r="F129" i="44"/>
  <c r="F137" i="44"/>
  <c r="F145" i="44"/>
  <c r="F153" i="44"/>
  <c r="F161" i="44"/>
  <c r="F169" i="44"/>
  <c r="F177" i="44"/>
  <c r="F185" i="44"/>
  <c r="F193" i="44"/>
  <c r="E9" i="44"/>
  <c r="E17" i="44"/>
  <c r="E25" i="44"/>
  <c r="E33" i="44"/>
  <c r="E41" i="44"/>
  <c r="E49" i="44"/>
  <c r="E57" i="44"/>
  <c r="E65" i="44"/>
  <c r="E73" i="44"/>
  <c r="E81" i="44"/>
  <c r="E89" i="44"/>
  <c r="E97" i="44"/>
  <c r="E105" i="44"/>
  <c r="E113" i="44"/>
  <c r="E121" i="44"/>
  <c r="E129" i="44"/>
  <c r="E137" i="44"/>
  <c r="E145" i="44"/>
  <c r="E153" i="44"/>
  <c r="E161" i="44"/>
  <c r="I21" i="44"/>
  <c r="I43" i="44"/>
  <c r="I64" i="44"/>
  <c r="I81" i="44"/>
  <c r="I103" i="44"/>
  <c r="I136" i="44"/>
  <c r="I151" i="44"/>
  <c r="I165" i="44"/>
  <c r="I179" i="44"/>
  <c r="I195" i="44"/>
  <c r="L8" i="44"/>
  <c r="L24" i="44"/>
  <c r="L40" i="44"/>
  <c r="L56" i="44"/>
  <c r="L72" i="44"/>
  <c r="L88" i="44"/>
  <c r="L104" i="44"/>
  <c r="L120" i="44"/>
  <c r="L136" i="44"/>
  <c r="L152" i="44"/>
  <c r="L168" i="44"/>
  <c r="L184" i="44"/>
  <c r="K18" i="44"/>
  <c r="K34" i="44"/>
  <c r="K50" i="44"/>
  <c r="K66" i="44"/>
  <c r="K82" i="44"/>
  <c r="K98" i="44"/>
  <c r="K114" i="44"/>
  <c r="K130" i="44"/>
  <c r="K146" i="44"/>
  <c r="K162" i="44"/>
  <c r="K178" i="44"/>
  <c r="K194" i="44"/>
  <c r="H6" i="44"/>
  <c r="H21" i="44"/>
  <c r="H32" i="44"/>
  <c r="H46" i="44"/>
  <c r="H57" i="44"/>
  <c r="H71" i="44"/>
  <c r="H85" i="44"/>
  <c r="H96" i="44"/>
  <c r="H110" i="44"/>
  <c r="H121" i="44"/>
  <c r="H133" i="44"/>
  <c r="H143" i="44"/>
  <c r="H153" i="44"/>
  <c r="H163" i="44"/>
  <c r="H173" i="44"/>
  <c r="H182" i="44"/>
  <c r="H191" i="44"/>
  <c r="F10" i="44"/>
  <c r="F18" i="44"/>
  <c r="F26" i="44"/>
  <c r="F34" i="44"/>
  <c r="F42" i="44"/>
  <c r="F50" i="44"/>
  <c r="F58" i="44"/>
  <c r="F66" i="44"/>
  <c r="F74" i="44"/>
  <c r="F82" i="44"/>
  <c r="F90" i="44"/>
  <c r="F98" i="44"/>
  <c r="F106" i="44"/>
  <c r="F114" i="44"/>
  <c r="F122" i="44"/>
  <c r="F130" i="44"/>
  <c r="F138" i="44"/>
  <c r="F146" i="44"/>
  <c r="F154" i="44"/>
  <c r="F162" i="44"/>
  <c r="F170" i="44"/>
  <c r="F178" i="44"/>
  <c r="F186" i="44"/>
  <c r="F194" i="44"/>
  <c r="E10" i="44"/>
  <c r="E18" i="44"/>
  <c r="E26" i="44"/>
  <c r="E34" i="44"/>
  <c r="E42" i="44"/>
  <c r="E50" i="44"/>
  <c r="E58" i="44"/>
  <c r="E66" i="44"/>
  <c r="E74" i="44"/>
  <c r="E82" i="44"/>
  <c r="E90" i="44"/>
  <c r="E98" i="44"/>
  <c r="E106" i="44"/>
  <c r="E114" i="44"/>
  <c r="E122" i="44"/>
  <c r="E130" i="44"/>
  <c r="E138" i="44"/>
  <c r="E146" i="44"/>
  <c r="E154" i="44"/>
  <c r="E162" i="44"/>
  <c r="E170" i="44"/>
  <c r="E178" i="44"/>
  <c r="E186" i="44"/>
  <c r="E194" i="44"/>
  <c r="I27" i="44"/>
  <c r="I65" i="44"/>
  <c r="I87" i="44"/>
  <c r="I104" i="44"/>
  <c r="I122" i="44"/>
  <c r="I137" i="44"/>
  <c r="I152" i="44"/>
  <c r="I166" i="44"/>
  <c r="I180" i="44"/>
  <c r="L9" i="44"/>
  <c r="L25" i="44"/>
  <c r="L41" i="44"/>
  <c r="L57" i="44"/>
  <c r="L73" i="44"/>
  <c r="L89" i="44"/>
  <c r="L105" i="44"/>
  <c r="L121" i="44"/>
  <c r="L137" i="44"/>
  <c r="L153" i="44"/>
  <c r="L169" i="44"/>
  <c r="L185" i="44"/>
  <c r="K19" i="44"/>
  <c r="K35" i="44"/>
  <c r="K51" i="44"/>
  <c r="K67" i="44"/>
  <c r="K83" i="44"/>
  <c r="K99" i="44"/>
  <c r="K115" i="44"/>
  <c r="K131" i="44"/>
  <c r="K147" i="44"/>
  <c r="K163" i="44"/>
  <c r="K179" i="44"/>
  <c r="K195" i="44"/>
  <c r="H7" i="44"/>
  <c r="H22" i="44"/>
  <c r="H33" i="44"/>
  <c r="H47" i="44"/>
  <c r="H61" i="44"/>
  <c r="H72" i="44"/>
  <c r="H86" i="44"/>
  <c r="H97" i="44"/>
  <c r="H111" i="44"/>
  <c r="H123" i="44"/>
  <c r="H134" i="44"/>
  <c r="H144" i="44"/>
  <c r="H155" i="44"/>
  <c r="H165" i="44"/>
  <c r="H174" i="44"/>
  <c r="H183" i="44"/>
  <c r="H192" i="44"/>
  <c r="F11" i="44"/>
  <c r="F19" i="44"/>
  <c r="F27" i="44"/>
  <c r="F35" i="44"/>
  <c r="F43" i="44"/>
  <c r="F51" i="44"/>
  <c r="F59" i="44"/>
  <c r="F67" i="44"/>
  <c r="F75" i="44"/>
  <c r="F83" i="44"/>
  <c r="F91" i="44"/>
  <c r="F99" i="44"/>
  <c r="F107" i="44"/>
  <c r="F115" i="44"/>
  <c r="F123" i="44"/>
  <c r="F131" i="44"/>
  <c r="F139" i="44"/>
  <c r="F147" i="44"/>
  <c r="F155" i="44"/>
  <c r="F163" i="44"/>
  <c r="F171" i="44"/>
  <c r="F179" i="44"/>
  <c r="F187" i="44"/>
  <c r="F195" i="44"/>
  <c r="E11" i="44"/>
  <c r="E19" i="44"/>
  <c r="E27" i="44"/>
  <c r="E35" i="44"/>
  <c r="E43" i="44"/>
  <c r="E51" i="44"/>
  <c r="E59" i="44"/>
  <c r="E67" i="44"/>
  <c r="I28" i="44"/>
  <c r="I49" i="44"/>
  <c r="I66" i="44"/>
  <c r="I88" i="44"/>
  <c r="I110" i="44"/>
  <c r="I138" i="44"/>
  <c r="I153" i="44"/>
  <c r="I167" i="44"/>
  <c r="I181" i="44"/>
  <c r="L10" i="44"/>
  <c r="L26" i="44"/>
  <c r="L42" i="44"/>
  <c r="L58" i="44"/>
  <c r="L74" i="44"/>
  <c r="L90" i="44"/>
  <c r="L106" i="44"/>
  <c r="L122" i="44"/>
  <c r="L138" i="44"/>
  <c r="L154" i="44"/>
  <c r="L170" i="44"/>
  <c r="L186" i="44"/>
  <c r="K4" i="44"/>
  <c r="K20" i="44"/>
  <c r="K36" i="44"/>
  <c r="K52" i="44"/>
  <c r="K68" i="44"/>
  <c r="K84" i="44"/>
  <c r="K100" i="44"/>
  <c r="K116" i="44"/>
  <c r="K132" i="44"/>
  <c r="K148" i="44"/>
  <c r="K164" i="44"/>
  <c r="K180" i="44"/>
  <c r="H8" i="44"/>
  <c r="H23" i="44"/>
  <c r="H37" i="44"/>
  <c r="H48" i="44"/>
  <c r="H62" i="44"/>
  <c r="H73" i="44"/>
  <c r="H87" i="44"/>
  <c r="H101" i="44"/>
  <c r="H112" i="44"/>
  <c r="H125" i="44"/>
  <c r="H135" i="44"/>
  <c r="H145" i="44"/>
  <c r="H157" i="44"/>
  <c r="H166" i="44"/>
  <c r="H175" i="44"/>
  <c r="H184" i="44"/>
  <c r="H193" i="44"/>
  <c r="F4" i="44"/>
  <c r="F12" i="44"/>
  <c r="F20" i="44"/>
  <c r="F28" i="44"/>
  <c r="F36" i="44"/>
  <c r="F44" i="44"/>
  <c r="F52" i="44"/>
  <c r="F60" i="44"/>
  <c r="F68" i="44"/>
  <c r="F76" i="44"/>
  <c r="F84" i="44"/>
  <c r="F92" i="44"/>
  <c r="F100" i="44"/>
  <c r="F108" i="44"/>
  <c r="F116" i="44"/>
  <c r="F124" i="44"/>
  <c r="F132" i="44"/>
  <c r="F140" i="44"/>
  <c r="F148" i="44"/>
  <c r="F156" i="44"/>
  <c r="F164" i="44"/>
  <c r="F172" i="44"/>
  <c r="F180" i="44"/>
  <c r="F188" i="44"/>
  <c r="E12" i="44"/>
  <c r="E20" i="44"/>
  <c r="E28" i="44"/>
  <c r="E36" i="44"/>
  <c r="E44" i="44"/>
  <c r="E52" i="44"/>
  <c r="E60" i="44"/>
  <c r="E68" i="44"/>
  <c r="E76" i="44"/>
  <c r="E84" i="44"/>
  <c r="E92" i="44"/>
  <c r="E100" i="44"/>
  <c r="E108" i="44"/>
  <c r="E116" i="44"/>
  <c r="E124" i="44"/>
  <c r="E132" i="44"/>
  <c r="E140" i="44"/>
  <c r="E148" i="44"/>
  <c r="E156" i="44"/>
  <c r="E164" i="44"/>
  <c r="E172" i="44"/>
  <c r="E180" i="44"/>
  <c r="E188" i="44"/>
  <c r="W59" i="44"/>
  <c r="I9" i="44"/>
  <c r="I29" i="44"/>
  <c r="I50" i="44"/>
  <c r="I72" i="44"/>
  <c r="I89" i="44"/>
  <c r="I111" i="44"/>
  <c r="I123" i="44"/>
  <c r="I139" i="44"/>
  <c r="I154" i="44"/>
  <c r="I168" i="44"/>
  <c r="I182" i="44"/>
  <c r="L11" i="44"/>
  <c r="L27" i="44"/>
  <c r="L43" i="44"/>
  <c r="L59" i="44"/>
  <c r="L75" i="44"/>
  <c r="L91" i="44"/>
  <c r="L107" i="44"/>
  <c r="L123" i="44"/>
  <c r="L139" i="44"/>
  <c r="L155" i="44"/>
  <c r="L171" i="44"/>
  <c r="L187" i="44"/>
  <c r="K5" i="44"/>
  <c r="K21" i="44"/>
  <c r="K37" i="44"/>
  <c r="K53" i="44"/>
  <c r="K69" i="44"/>
  <c r="K85" i="44"/>
  <c r="K101" i="44"/>
  <c r="K117" i="44"/>
  <c r="K133" i="44"/>
  <c r="K149" i="44"/>
  <c r="K165" i="44"/>
  <c r="K181" i="44"/>
  <c r="H9" i="44"/>
  <c r="H24" i="44"/>
  <c r="H38" i="44"/>
  <c r="H49" i="44"/>
  <c r="H63" i="44"/>
  <c r="H77" i="44"/>
  <c r="H88" i="44"/>
  <c r="H102" i="44"/>
  <c r="H113" i="44"/>
  <c r="H126" i="44"/>
  <c r="H136" i="44"/>
  <c r="H147" i="44"/>
  <c r="H158" i="44"/>
  <c r="H167" i="44"/>
  <c r="H176" i="44"/>
  <c r="H185" i="44"/>
  <c r="H194" i="44"/>
  <c r="F5" i="44"/>
  <c r="F13" i="44"/>
  <c r="F21" i="44"/>
  <c r="F29" i="44"/>
  <c r="F37" i="44"/>
  <c r="F45" i="44"/>
  <c r="F53" i="44"/>
  <c r="F61" i="44"/>
  <c r="F69" i="44"/>
  <c r="F77" i="44"/>
  <c r="F85" i="44"/>
  <c r="F93" i="44"/>
  <c r="F101" i="44"/>
  <c r="F109" i="44"/>
  <c r="F117" i="44"/>
  <c r="F125" i="44"/>
  <c r="F133" i="44"/>
  <c r="F141" i="44"/>
  <c r="F149" i="44"/>
  <c r="F157" i="44"/>
  <c r="F165" i="44"/>
  <c r="F173" i="44"/>
  <c r="F181" i="44"/>
  <c r="F189" i="44"/>
  <c r="E5" i="44"/>
  <c r="E13" i="44"/>
  <c r="E21" i="44"/>
  <c r="E29" i="44"/>
  <c r="E37" i="44"/>
  <c r="E45" i="44"/>
  <c r="E53" i="44"/>
  <c r="E61" i="44"/>
  <c r="E69" i="44"/>
  <c r="E77" i="44"/>
  <c r="E85" i="44"/>
  <c r="E93" i="44"/>
  <c r="E101" i="44"/>
  <c r="E109" i="44"/>
  <c r="E117" i="44"/>
  <c r="E125" i="44"/>
  <c r="E133" i="44"/>
  <c r="E141" i="44"/>
  <c r="E149" i="44"/>
  <c r="I12" i="44"/>
  <c r="I56" i="44"/>
  <c r="I74" i="44"/>
  <c r="I96" i="44"/>
  <c r="I116" i="44"/>
  <c r="I129" i="44"/>
  <c r="I144" i="44"/>
  <c r="I159" i="44"/>
  <c r="I173" i="44"/>
  <c r="I188" i="44"/>
  <c r="L17" i="44"/>
  <c r="L33" i="44"/>
  <c r="L49" i="44"/>
  <c r="L65" i="44"/>
  <c r="L81" i="44"/>
  <c r="L97" i="44"/>
  <c r="L113" i="44"/>
  <c r="L129" i="44"/>
  <c r="L145" i="44"/>
  <c r="L161" i="44"/>
  <c r="L177" i="44"/>
  <c r="L193" i="44"/>
  <c r="K11" i="44"/>
  <c r="K27" i="44"/>
  <c r="I57" i="44"/>
  <c r="I130" i="44"/>
  <c r="I189" i="44"/>
  <c r="L50" i="44"/>
  <c r="L114" i="44"/>
  <c r="L178" i="44"/>
  <c r="K28" i="44"/>
  <c r="K75" i="44"/>
  <c r="K122" i="44"/>
  <c r="K156" i="44"/>
  <c r="H29" i="44"/>
  <c r="H64" i="44"/>
  <c r="H94" i="44"/>
  <c r="H128" i="44"/>
  <c r="H159" i="44"/>
  <c r="H179" i="44"/>
  <c r="F14" i="44"/>
  <c r="F32" i="44"/>
  <c r="F55" i="44"/>
  <c r="F78" i="44"/>
  <c r="F96" i="44"/>
  <c r="F119" i="44"/>
  <c r="F142" i="44"/>
  <c r="F160" i="44"/>
  <c r="F183" i="44"/>
  <c r="E16" i="44"/>
  <c r="E39" i="44"/>
  <c r="E62" i="44"/>
  <c r="E79" i="44"/>
  <c r="E95" i="44"/>
  <c r="E111" i="44"/>
  <c r="E127" i="44"/>
  <c r="E143" i="44"/>
  <c r="E158" i="44"/>
  <c r="I73" i="44"/>
  <c r="I143" i="44"/>
  <c r="L64" i="44"/>
  <c r="L128" i="44"/>
  <c r="L192" i="44"/>
  <c r="K42" i="44"/>
  <c r="K76" i="44"/>
  <c r="K123" i="44"/>
  <c r="K170" i="44"/>
  <c r="H30" i="44"/>
  <c r="H65" i="44"/>
  <c r="H103" i="44"/>
  <c r="H129" i="44"/>
  <c r="H160" i="44"/>
  <c r="H186" i="44"/>
  <c r="F15" i="44"/>
  <c r="F38" i="44"/>
  <c r="F56" i="44"/>
  <c r="F79" i="44"/>
  <c r="F102" i="44"/>
  <c r="F120" i="44"/>
  <c r="F143" i="44"/>
  <c r="F166" i="44"/>
  <c r="F184" i="44"/>
  <c r="E22" i="44"/>
  <c r="E40" i="44"/>
  <c r="E63" i="44"/>
  <c r="E80" i="44"/>
  <c r="E96" i="44"/>
  <c r="E112" i="44"/>
  <c r="E128" i="44"/>
  <c r="E144" i="44"/>
  <c r="E159" i="44"/>
  <c r="E171" i="44"/>
  <c r="E182" i="44"/>
  <c r="E192" i="44"/>
  <c r="I79" i="44"/>
  <c r="I145" i="44"/>
  <c r="L66" i="44"/>
  <c r="L130" i="44"/>
  <c r="L194" i="44"/>
  <c r="K43" i="44"/>
  <c r="K90" i="44"/>
  <c r="K124" i="44"/>
  <c r="K171" i="44"/>
  <c r="H39" i="44"/>
  <c r="H69" i="44"/>
  <c r="H104" i="44"/>
  <c r="H137" i="44"/>
  <c r="H161" i="44"/>
  <c r="H187" i="44"/>
  <c r="F16" i="44"/>
  <c r="F39" i="44"/>
  <c r="F62" i="44"/>
  <c r="F80" i="44"/>
  <c r="F103" i="44"/>
  <c r="F126" i="44"/>
  <c r="F144" i="44"/>
  <c r="F167" i="44"/>
  <c r="F190" i="44"/>
  <c r="E23" i="44"/>
  <c r="E46" i="44"/>
  <c r="E64" i="44"/>
  <c r="E83" i="44"/>
  <c r="E99" i="44"/>
  <c r="E115" i="44"/>
  <c r="E131" i="44"/>
  <c r="E147" i="44"/>
  <c r="E160" i="44"/>
  <c r="E173" i="44"/>
  <c r="E183" i="44"/>
  <c r="E193" i="44"/>
  <c r="I10" i="44"/>
  <c r="I95" i="44"/>
  <c r="I158" i="44"/>
  <c r="L16" i="44"/>
  <c r="L80" i="44"/>
  <c r="L144" i="44"/>
  <c r="K44" i="44"/>
  <c r="K91" i="44"/>
  <c r="K138" i="44"/>
  <c r="K172" i="44"/>
  <c r="H40" i="44"/>
  <c r="H78" i="44"/>
  <c r="H105" i="44"/>
  <c r="H139" i="44"/>
  <c r="H168" i="44"/>
  <c r="H189" i="44"/>
  <c r="F22" i="44"/>
  <c r="F40" i="44"/>
  <c r="F63" i="44"/>
  <c r="F86" i="44"/>
  <c r="F104" i="44"/>
  <c r="F127" i="44"/>
  <c r="F150" i="44"/>
  <c r="F168" i="44"/>
  <c r="F191" i="44"/>
  <c r="E6" i="44"/>
  <c r="E24" i="44"/>
  <c r="E47" i="44"/>
  <c r="E70" i="44"/>
  <c r="E86" i="44"/>
  <c r="E102" i="44"/>
  <c r="E118" i="44"/>
  <c r="E134" i="44"/>
  <c r="E150" i="44"/>
  <c r="E163" i="44"/>
  <c r="E174" i="44"/>
  <c r="E184" i="44"/>
  <c r="E195" i="44"/>
  <c r="W139" i="44"/>
  <c r="I19" i="44"/>
  <c r="I97" i="44"/>
  <c r="I160" i="44"/>
  <c r="L18" i="44"/>
  <c r="L82" i="44"/>
  <c r="L146" i="44"/>
  <c r="K58" i="44"/>
  <c r="K92" i="44"/>
  <c r="K139" i="44"/>
  <c r="K186" i="44"/>
  <c r="H14" i="44"/>
  <c r="H41" i="44"/>
  <c r="H79" i="44"/>
  <c r="H117" i="44"/>
  <c r="H141" i="44"/>
  <c r="H169" i="44"/>
  <c r="H195" i="44"/>
  <c r="F23" i="44"/>
  <c r="F46" i="44"/>
  <c r="F64" i="44"/>
  <c r="F87" i="44"/>
  <c r="F110" i="44"/>
  <c r="F128" i="44"/>
  <c r="F151" i="44"/>
  <c r="F174" i="44"/>
  <c r="F192" i="44"/>
  <c r="E7" i="44"/>
  <c r="E30" i="44"/>
  <c r="E48" i="44"/>
  <c r="E71" i="44"/>
  <c r="E87" i="44"/>
  <c r="E103" i="44"/>
  <c r="E119" i="44"/>
  <c r="E135" i="44"/>
  <c r="E151" i="44"/>
  <c r="E165" i="44"/>
  <c r="E175" i="44"/>
  <c r="E185" i="44"/>
  <c r="I36" i="44"/>
  <c r="I117" i="44"/>
  <c r="I174" i="44"/>
  <c r="L34" i="44"/>
  <c r="L98" i="44"/>
  <c r="L162" i="44"/>
  <c r="K12" i="44"/>
  <c r="K60" i="44"/>
  <c r="K107" i="44"/>
  <c r="K154" i="44"/>
  <c r="K188" i="44"/>
  <c r="H16" i="44"/>
  <c r="H54" i="44"/>
  <c r="H89" i="44"/>
  <c r="H119" i="44"/>
  <c r="H150" i="44"/>
  <c r="H177" i="44"/>
  <c r="F7" i="44"/>
  <c r="F30" i="44"/>
  <c r="F48" i="44"/>
  <c r="F71" i="44"/>
  <c r="F94" i="44"/>
  <c r="F112" i="44"/>
  <c r="F135" i="44"/>
  <c r="F158" i="44"/>
  <c r="F176" i="44"/>
  <c r="E14" i="44"/>
  <c r="E32" i="44"/>
  <c r="E55" i="44"/>
  <c r="E75" i="44"/>
  <c r="E91" i="44"/>
  <c r="E107" i="44"/>
  <c r="E123" i="44"/>
  <c r="E139" i="44"/>
  <c r="E155" i="44"/>
  <c r="E167" i="44"/>
  <c r="E177" i="44"/>
  <c r="I172" i="44"/>
  <c r="K10" i="44"/>
  <c r="K187" i="44"/>
  <c r="H80" i="44"/>
  <c r="F70" i="44"/>
  <c r="F152" i="44"/>
  <c r="E31" i="44"/>
  <c r="E104" i="44"/>
  <c r="E166" i="44"/>
  <c r="E190" i="44"/>
  <c r="I187" i="44"/>
  <c r="K26" i="44"/>
  <c r="H93" i="44"/>
  <c r="F72" i="44"/>
  <c r="F159" i="44"/>
  <c r="E38" i="44"/>
  <c r="E110" i="44"/>
  <c r="E168" i="44"/>
  <c r="E191" i="44"/>
  <c r="L32" i="44"/>
  <c r="K59" i="44"/>
  <c r="H118" i="44"/>
  <c r="F6" i="44"/>
  <c r="F88" i="44"/>
  <c r="F175" i="44"/>
  <c r="E54" i="44"/>
  <c r="E120" i="44"/>
  <c r="E169" i="44"/>
  <c r="L48" i="44"/>
  <c r="K74" i="44"/>
  <c r="H127" i="44"/>
  <c r="F8" i="44"/>
  <c r="F95" i="44"/>
  <c r="F182" i="44"/>
  <c r="E56" i="44"/>
  <c r="E126" i="44"/>
  <c r="E176" i="44"/>
  <c r="I112" i="44"/>
  <c r="L160" i="44"/>
  <c r="K140" i="44"/>
  <c r="H53" i="44"/>
  <c r="H170" i="44"/>
  <c r="F47" i="44"/>
  <c r="F134" i="44"/>
  <c r="E8" i="44"/>
  <c r="E88" i="44"/>
  <c r="E152" i="44"/>
  <c r="E187" i="44"/>
  <c r="H178" i="44"/>
  <c r="E179" i="44"/>
  <c r="M194" i="44"/>
  <c r="M190" i="44"/>
  <c r="M186" i="44"/>
  <c r="M182" i="44"/>
  <c r="M178" i="44"/>
  <c r="M174" i="44"/>
  <c r="M170" i="44"/>
  <c r="M166" i="44"/>
  <c r="M162" i="44"/>
  <c r="M158" i="44"/>
  <c r="M154" i="44"/>
  <c r="M150" i="44"/>
  <c r="M146" i="44"/>
  <c r="M142" i="44"/>
  <c r="M138" i="44"/>
  <c r="M134" i="44"/>
  <c r="M130" i="44"/>
  <c r="M126" i="44"/>
  <c r="M122" i="44"/>
  <c r="M118" i="44"/>
  <c r="M114" i="44"/>
  <c r="M110" i="44"/>
  <c r="M106" i="44"/>
  <c r="M102" i="44"/>
  <c r="M98" i="44"/>
  <c r="M94" i="44"/>
  <c r="M90" i="44"/>
  <c r="M86" i="44"/>
  <c r="M82" i="44"/>
  <c r="M78" i="44"/>
  <c r="M74" i="44"/>
  <c r="M70" i="44"/>
  <c r="M66" i="44"/>
  <c r="M62" i="44"/>
  <c r="M58" i="44"/>
  <c r="M54" i="44"/>
  <c r="M50" i="44"/>
  <c r="M46" i="44"/>
  <c r="M42" i="44"/>
  <c r="M38" i="44"/>
  <c r="M34" i="44"/>
  <c r="M30" i="44"/>
  <c r="M26" i="44"/>
  <c r="M22" i="44"/>
  <c r="M18" i="44"/>
  <c r="M14" i="44"/>
  <c r="M10" i="44"/>
  <c r="M6" i="44"/>
  <c r="I128" i="44"/>
  <c r="F24" i="44"/>
  <c r="E15" i="44"/>
  <c r="E181" i="44"/>
  <c r="G194" i="44"/>
  <c r="G190" i="44"/>
  <c r="G186" i="44"/>
  <c r="G182" i="44"/>
  <c r="G178" i="44"/>
  <c r="G174" i="44"/>
  <c r="G170" i="44"/>
  <c r="G166" i="44"/>
  <c r="G162" i="44"/>
  <c r="G158" i="44"/>
  <c r="G154" i="44"/>
  <c r="G150" i="44"/>
  <c r="G146" i="44"/>
  <c r="G142" i="44"/>
  <c r="G138" i="44"/>
  <c r="G134" i="44"/>
  <c r="G130" i="44"/>
  <c r="G126" i="44"/>
  <c r="G122" i="44"/>
  <c r="G118" i="44"/>
  <c r="G114" i="44"/>
  <c r="G110" i="44"/>
  <c r="G106" i="44"/>
  <c r="G102" i="44"/>
  <c r="G98" i="44"/>
  <c r="G94" i="44"/>
  <c r="G90" i="44"/>
  <c r="G86" i="44"/>
  <c r="G82" i="44"/>
  <c r="G78" i="44"/>
  <c r="G74" i="44"/>
  <c r="G70" i="44"/>
  <c r="G66" i="44"/>
  <c r="G62" i="44"/>
  <c r="G58" i="44"/>
  <c r="G54" i="44"/>
  <c r="G50" i="44"/>
  <c r="G46" i="44"/>
  <c r="G42" i="44"/>
  <c r="G38" i="44"/>
  <c r="G34" i="44"/>
  <c r="G30" i="44"/>
  <c r="G26" i="44"/>
  <c r="G22" i="44"/>
  <c r="G18" i="44"/>
  <c r="G14" i="44"/>
  <c r="G10" i="44"/>
  <c r="G6" i="44"/>
  <c r="L96" i="44"/>
  <c r="F31" i="44"/>
  <c r="E72" i="44"/>
  <c r="E189" i="44"/>
  <c r="M193" i="44"/>
  <c r="M189" i="44"/>
  <c r="M185" i="44"/>
  <c r="M181" i="44"/>
  <c r="M177" i="44"/>
  <c r="M173" i="44"/>
  <c r="M169" i="44"/>
  <c r="M165" i="44"/>
  <c r="M161" i="44"/>
  <c r="M157" i="44"/>
  <c r="M153" i="44"/>
  <c r="M149" i="44"/>
  <c r="M145" i="44"/>
  <c r="M141" i="44"/>
  <c r="M137" i="44"/>
  <c r="M133" i="44"/>
  <c r="M129" i="44"/>
  <c r="M125" i="44"/>
  <c r="M121" i="44"/>
  <c r="M117" i="44"/>
  <c r="M113" i="44"/>
  <c r="M109" i="44"/>
  <c r="M105" i="44"/>
  <c r="M101" i="44"/>
  <c r="M97" i="44"/>
  <c r="M93" i="44"/>
  <c r="M89" i="44"/>
  <c r="M85" i="44"/>
  <c r="M81" i="44"/>
  <c r="M77" i="44"/>
  <c r="M73" i="44"/>
  <c r="M69" i="44"/>
  <c r="M65" i="44"/>
  <c r="M61" i="44"/>
  <c r="M57" i="44"/>
  <c r="M53" i="44"/>
  <c r="M49" i="44"/>
  <c r="M45" i="44"/>
  <c r="M41" i="44"/>
  <c r="M37" i="44"/>
  <c r="M33" i="44"/>
  <c r="M29" i="44"/>
  <c r="M25" i="44"/>
  <c r="M21" i="44"/>
  <c r="L112" i="44"/>
  <c r="H15" i="44"/>
  <c r="F54" i="44"/>
  <c r="E78" i="44"/>
  <c r="G193" i="44"/>
  <c r="G189" i="44"/>
  <c r="G185" i="44"/>
  <c r="G181" i="44"/>
  <c r="G177" i="44"/>
  <c r="G173" i="44"/>
  <c r="G169" i="44"/>
  <c r="G165" i="44"/>
  <c r="G161" i="44"/>
  <c r="G157" i="44"/>
  <c r="G153" i="44"/>
  <c r="G149" i="44"/>
  <c r="G145" i="44"/>
  <c r="G141" i="44"/>
  <c r="G137" i="44"/>
  <c r="G133" i="44"/>
  <c r="G129" i="44"/>
  <c r="G125" i="44"/>
  <c r="G121" i="44"/>
  <c r="G117" i="44"/>
  <c r="G113" i="44"/>
  <c r="G109" i="44"/>
  <c r="G105" i="44"/>
  <c r="G101" i="44"/>
  <c r="G97" i="44"/>
  <c r="G93" i="44"/>
  <c r="G89" i="44"/>
  <c r="G85" i="44"/>
  <c r="G81" i="44"/>
  <c r="G77" i="44"/>
  <c r="G73" i="44"/>
  <c r="G69" i="44"/>
  <c r="G65" i="44"/>
  <c r="G61" i="44"/>
  <c r="G57" i="44"/>
  <c r="G53" i="44"/>
  <c r="G49" i="44"/>
  <c r="G45" i="44"/>
  <c r="G41" i="44"/>
  <c r="G37" i="44"/>
  <c r="G33" i="44"/>
  <c r="G29" i="44"/>
  <c r="G25" i="44"/>
  <c r="G21" i="44"/>
  <c r="G17" i="44"/>
  <c r="G13" i="44"/>
  <c r="G9" i="44"/>
  <c r="L176" i="44"/>
  <c r="H25" i="44"/>
  <c r="F111" i="44"/>
  <c r="E94" i="44"/>
  <c r="M192" i="44"/>
  <c r="M188" i="44"/>
  <c r="M184" i="44"/>
  <c r="M180" i="44"/>
  <c r="M176" i="44"/>
  <c r="M172" i="44"/>
  <c r="M168" i="44"/>
  <c r="M164" i="44"/>
  <c r="M160" i="44"/>
  <c r="M156" i="44"/>
  <c r="M152" i="44"/>
  <c r="M148" i="44"/>
  <c r="M144" i="44"/>
  <c r="M140" i="44"/>
  <c r="M136" i="44"/>
  <c r="M132" i="44"/>
  <c r="M128" i="44"/>
  <c r="M124" i="44"/>
  <c r="M120" i="44"/>
  <c r="M116" i="44"/>
  <c r="M112" i="44"/>
  <c r="M108" i="44"/>
  <c r="M104" i="44"/>
  <c r="M100" i="44"/>
  <c r="M96" i="44"/>
  <c r="M92" i="44"/>
  <c r="M88" i="44"/>
  <c r="M84" i="44"/>
  <c r="M80" i="44"/>
  <c r="M76" i="44"/>
  <c r="M72" i="44"/>
  <c r="M68" i="44"/>
  <c r="M64" i="44"/>
  <c r="M60" i="44"/>
  <c r="M56" i="44"/>
  <c r="M52" i="44"/>
  <c r="M48" i="44"/>
  <c r="M44" i="44"/>
  <c r="M40" i="44"/>
  <c r="M36" i="44"/>
  <c r="M32" i="44"/>
  <c r="M28" i="44"/>
  <c r="M24" i="44"/>
  <c r="M20" i="44"/>
  <c r="M16" i="44"/>
  <c r="M12" i="44"/>
  <c r="M8" i="44"/>
  <c r="M4" i="44"/>
  <c r="K106" i="44"/>
  <c r="H55" i="44"/>
  <c r="F118" i="44"/>
  <c r="E136" i="44"/>
  <c r="G7" i="44"/>
  <c r="G15" i="44"/>
  <c r="M23" i="44"/>
  <c r="G35" i="44"/>
  <c r="G44" i="44"/>
  <c r="M55" i="44"/>
  <c r="G67" i="44"/>
  <c r="G76" i="44"/>
  <c r="M87" i="44"/>
  <c r="G99" i="44"/>
  <c r="G108" i="44"/>
  <c r="M119" i="44"/>
  <c r="G131" i="44"/>
  <c r="G140" i="44"/>
  <c r="M151" i="44"/>
  <c r="G163" i="44"/>
  <c r="G172" i="44"/>
  <c r="M183" i="44"/>
  <c r="G195" i="44"/>
  <c r="E157" i="44"/>
  <c r="I35" i="44"/>
  <c r="G47" i="44"/>
  <c r="G88" i="44"/>
  <c r="M131" i="44"/>
  <c r="G184" i="44"/>
  <c r="G27" i="44"/>
  <c r="G36" i="44"/>
  <c r="G91" i="44"/>
  <c r="G123" i="44"/>
  <c r="G164" i="44"/>
  <c r="M9" i="44"/>
  <c r="M17" i="44"/>
  <c r="M27" i="44"/>
  <c r="G39" i="44"/>
  <c r="G48" i="44"/>
  <c r="M59" i="44"/>
  <c r="G71" i="44"/>
  <c r="G80" i="44"/>
  <c r="M91" i="44"/>
  <c r="G103" i="44"/>
  <c r="G112" i="44"/>
  <c r="M123" i="44"/>
  <c r="G135" i="44"/>
  <c r="G144" i="44"/>
  <c r="M155" i="44"/>
  <c r="G167" i="44"/>
  <c r="G176" i="44"/>
  <c r="M187" i="44"/>
  <c r="F136" i="44"/>
  <c r="M15" i="44"/>
  <c r="M67" i="44"/>
  <c r="G111" i="44"/>
  <c r="G152" i="44"/>
  <c r="G175" i="44"/>
  <c r="E142" i="44"/>
  <c r="G59" i="44"/>
  <c r="G100" i="44"/>
  <c r="G132" i="44"/>
  <c r="M175" i="44"/>
  <c r="G11" i="44"/>
  <c r="G19" i="44"/>
  <c r="G28" i="44"/>
  <c r="M39" i="44"/>
  <c r="G51" i="44"/>
  <c r="G60" i="44"/>
  <c r="M71" i="44"/>
  <c r="G83" i="44"/>
  <c r="G92" i="44"/>
  <c r="M103" i="44"/>
  <c r="G115" i="44"/>
  <c r="G124" i="44"/>
  <c r="M135" i="44"/>
  <c r="G147" i="44"/>
  <c r="G156" i="44"/>
  <c r="M167" i="44"/>
  <c r="G179" i="44"/>
  <c r="G188" i="44"/>
  <c r="H151" i="44"/>
  <c r="M7" i="44"/>
  <c r="M35" i="44"/>
  <c r="G79" i="44"/>
  <c r="G120" i="44"/>
  <c r="M195" i="44"/>
  <c r="G16" i="44"/>
  <c r="M47" i="44"/>
  <c r="M79" i="44"/>
  <c r="M111" i="44"/>
  <c r="M143" i="44"/>
  <c r="G187" i="44"/>
  <c r="G4" i="44"/>
  <c r="M11" i="44"/>
  <c r="M19" i="44"/>
  <c r="G31" i="44"/>
  <c r="G40" i="44"/>
  <c r="M51" i="44"/>
  <c r="G63" i="44"/>
  <c r="G72" i="44"/>
  <c r="M83" i="44"/>
  <c r="G95" i="44"/>
  <c r="G104" i="44"/>
  <c r="M115" i="44"/>
  <c r="G127" i="44"/>
  <c r="G136" i="44"/>
  <c r="M147" i="44"/>
  <c r="G159" i="44"/>
  <c r="G168" i="44"/>
  <c r="M179" i="44"/>
  <c r="G191" i="44"/>
  <c r="H149" i="44"/>
  <c r="G24" i="44"/>
  <c r="G56" i="44"/>
  <c r="M99" i="44"/>
  <c r="G143" i="44"/>
  <c r="M163" i="44"/>
  <c r="G155" i="44"/>
  <c r="G5" i="44"/>
  <c r="G12" i="44"/>
  <c r="G20" i="44"/>
  <c r="M31" i="44"/>
  <c r="G43" i="44"/>
  <c r="G52" i="44"/>
  <c r="M63" i="44"/>
  <c r="G75" i="44"/>
  <c r="G84" i="44"/>
  <c r="M95" i="44"/>
  <c r="G107" i="44"/>
  <c r="G116" i="44"/>
  <c r="M127" i="44"/>
  <c r="G139" i="44"/>
  <c r="G148" i="44"/>
  <c r="M159" i="44"/>
  <c r="G171" i="44"/>
  <c r="G180" i="44"/>
  <c r="M191" i="44"/>
  <c r="K155" i="44"/>
  <c r="V322" i="44" l="1"/>
  <c r="U322" i="44"/>
  <c r="T324" i="44"/>
  <c r="S323" i="44"/>
  <c r="Q331" i="44"/>
  <c r="Q343" i="44"/>
  <c r="R326" i="44"/>
  <c r="U327" i="44"/>
  <c r="S344" i="44"/>
  <c r="T339" i="44"/>
  <c r="V327" i="44"/>
  <c r="V344" i="44"/>
  <c r="U340" i="44"/>
  <c r="T335" i="44"/>
  <c r="S322" i="44"/>
  <c r="S333" i="44"/>
  <c r="R341" i="44"/>
  <c r="Q339" i="44"/>
  <c r="Q324" i="44"/>
  <c r="S334" i="44"/>
  <c r="X343" i="44"/>
  <c r="T325" i="44"/>
  <c r="V340" i="44"/>
  <c r="V341" i="44"/>
  <c r="V337" i="44"/>
  <c r="U321" i="44"/>
  <c r="S332" i="44"/>
  <c r="S343" i="44"/>
  <c r="Q332" i="44"/>
  <c r="Y337" i="44"/>
  <c r="X337" i="44"/>
  <c r="S325" i="44"/>
  <c r="Q323" i="44"/>
  <c r="T328" i="44"/>
  <c r="V336" i="44"/>
  <c r="U325" i="44"/>
  <c r="U339" i="44"/>
  <c r="T323" i="44"/>
  <c r="S342" i="44"/>
  <c r="T331" i="44"/>
  <c r="Q340" i="44"/>
  <c r="T343" i="44"/>
  <c r="S335" i="44"/>
  <c r="V334" i="44"/>
  <c r="T341" i="44"/>
  <c r="S338" i="44"/>
  <c r="T336" i="44"/>
  <c r="U334" i="44"/>
  <c r="T334" i="44"/>
  <c r="S331" i="44"/>
  <c r="Q322" i="44"/>
  <c r="Q333" i="44"/>
  <c r="U337" i="44"/>
  <c r="V342" i="44"/>
  <c r="V343" i="44"/>
  <c r="U336" i="44"/>
  <c r="R336" i="44"/>
  <c r="U329" i="44"/>
  <c r="R334" i="44"/>
  <c r="S321" i="44"/>
  <c r="R344" i="44"/>
  <c r="S329" i="44"/>
  <c r="Q328" i="44"/>
  <c r="T332" i="44"/>
  <c r="R343" i="44"/>
  <c r="V332" i="44"/>
  <c r="V328" i="44"/>
  <c r="T344" i="44"/>
  <c r="U324" i="44"/>
  <c r="U344" i="44"/>
  <c r="T322" i="44"/>
  <c r="S341" i="44"/>
  <c r="S324" i="44"/>
  <c r="Q330" i="44"/>
  <c r="Q326" i="44"/>
  <c r="T338" i="44"/>
  <c r="Q337" i="44"/>
  <c r="R329" i="44"/>
  <c r="T342" i="44"/>
  <c r="U335" i="44"/>
  <c r="V333" i="44"/>
  <c r="Q344" i="44"/>
  <c r="Q325" i="44"/>
  <c r="V330" i="44"/>
  <c r="U323" i="44"/>
  <c r="U333" i="44"/>
  <c r="T333" i="44"/>
  <c r="R324" i="44"/>
  <c r="Q338" i="44"/>
  <c r="R321" i="44"/>
  <c r="T337" i="44"/>
  <c r="Q334" i="44"/>
  <c r="V338" i="44"/>
  <c r="Q342" i="44"/>
  <c r="T326" i="44"/>
  <c r="R342" i="44"/>
  <c r="R325" i="44"/>
  <c r="U332" i="44"/>
  <c r="U342" i="44"/>
  <c r="S330" i="44"/>
  <c r="R323" i="44"/>
  <c r="R332" i="44"/>
  <c r="R335" i="44"/>
  <c r="V325" i="44"/>
  <c r="V329" i="44"/>
  <c r="R328" i="44"/>
  <c r="R337" i="44"/>
  <c r="S326" i="44"/>
  <c r="V324" i="44"/>
  <c r="V323" i="44"/>
  <c r="U341" i="44"/>
  <c r="S340" i="44"/>
  <c r="R331" i="44"/>
  <c r="R340" i="44"/>
  <c r="Q341" i="44"/>
  <c r="Q335" i="44"/>
  <c r="V331" i="44"/>
  <c r="S327" i="44"/>
  <c r="R322" i="44"/>
  <c r="R339" i="44"/>
  <c r="T321" i="44"/>
  <c r="U326" i="44"/>
  <c r="U330" i="44"/>
  <c r="S328" i="44"/>
  <c r="S336" i="44"/>
  <c r="T340" i="44"/>
  <c r="R327" i="44"/>
  <c r="V335" i="44"/>
  <c r="U328" i="44"/>
  <c r="Q336" i="44"/>
  <c r="V339" i="44"/>
  <c r="S339" i="44"/>
  <c r="R330" i="44"/>
  <c r="Q321" i="44"/>
  <c r="R333" i="44"/>
  <c r="Q327" i="44"/>
  <c r="X331" i="44"/>
  <c r="S337" i="44"/>
  <c r="T329" i="44"/>
  <c r="R338" i="44"/>
  <c r="T330" i="44"/>
  <c r="Q329" i="44"/>
  <c r="U331" i="44"/>
  <c r="V321" i="44"/>
  <c r="V326" i="44"/>
  <c r="T327" i="44"/>
  <c r="U338" i="44"/>
  <c r="U343" i="44"/>
  <c r="L331" i="44"/>
  <c r="G325" i="44"/>
  <c r="H324" i="44"/>
  <c r="K243" i="44"/>
  <c r="M229" i="44"/>
  <c r="E344" i="44"/>
  <c r="M329" i="44"/>
  <c r="X333" i="44"/>
  <c r="I340" i="44"/>
  <c r="H336" i="44"/>
  <c r="L326" i="44"/>
  <c r="G340" i="44"/>
  <c r="M327" i="44"/>
  <c r="F327" i="44"/>
  <c r="H330" i="44"/>
  <c r="H343" i="44"/>
  <c r="E326" i="44"/>
  <c r="K227" i="44"/>
  <c r="E328" i="44"/>
  <c r="F232" i="44"/>
  <c r="E335" i="44"/>
  <c r="K330" i="44"/>
  <c r="M328" i="44"/>
  <c r="G322" i="44"/>
  <c r="M331" i="44"/>
  <c r="F331" i="44"/>
  <c r="H338" i="44"/>
  <c r="E331" i="44"/>
  <c r="L327" i="44"/>
  <c r="E337" i="44"/>
  <c r="H335" i="44"/>
  <c r="F339" i="44"/>
  <c r="W321" i="44"/>
  <c r="M325" i="44"/>
  <c r="G344" i="44"/>
  <c r="G321" i="44"/>
  <c r="E327" i="44"/>
  <c r="G326" i="44"/>
  <c r="M335" i="44"/>
  <c r="E340" i="44"/>
  <c r="E338" i="44"/>
  <c r="E329" i="44"/>
  <c r="F337" i="44"/>
  <c r="H327" i="44"/>
  <c r="K339" i="44"/>
  <c r="W337" i="44"/>
  <c r="W329" i="44"/>
  <c r="Y340" i="44"/>
  <c r="F325" i="44"/>
  <c r="F332" i="44"/>
  <c r="L242" i="44"/>
  <c r="M332" i="44"/>
  <c r="H241" i="44"/>
  <c r="G233" i="44"/>
  <c r="F343" i="44"/>
  <c r="G330" i="44"/>
  <c r="M339" i="44"/>
  <c r="K335" i="44"/>
  <c r="E324" i="44"/>
  <c r="E330" i="44"/>
  <c r="E321" i="44"/>
  <c r="F329" i="44"/>
  <c r="H342" i="44"/>
  <c r="K331" i="44"/>
  <c r="X341" i="44"/>
  <c r="Y332" i="44"/>
  <c r="G335" i="44"/>
  <c r="G339" i="44"/>
  <c r="L325" i="44"/>
  <c r="M333" i="44"/>
  <c r="L236" i="44"/>
  <c r="M337" i="44"/>
  <c r="F335" i="44"/>
  <c r="M343" i="44"/>
  <c r="E332" i="44"/>
  <c r="E322" i="44"/>
  <c r="F338" i="44"/>
  <c r="F321" i="44"/>
  <c r="H332" i="44"/>
  <c r="F344" i="44"/>
  <c r="L333" i="44"/>
  <c r="L232" i="44"/>
  <c r="K342" i="44"/>
  <c r="K340" i="44"/>
  <c r="K323" i="44"/>
  <c r="L337" i="44"/>
  <c r="X325" i="44"/>
  <c r="W324" i="44"/>
  <c r="M336" i="44"/>
  <c r="E334" i="44"/>
  <c r="E339" i="44"/>
  <c r="G331" i="44"/>
  <c r="F334" i="44"/>
  <c r="K329" i="44"/>
  <c r="F333" i="44"/>
  <c r="K344" i="44"/>
  <c r="L328" i="44"/>
  <c r="K328" i="44"/>
  <c r="M340" i="44"/>
  <c r="E333" i="44"/>
  <c r="G336" i="44"/>
  <c r="G248" i="44"/>
  <c r="G338" i="44"/>
  <c r="M322" i="44"/>
  <c r="K337" i="44"/>
  <c r="F341" i="44"/>
  <c r="F330" i="44"/>
  <c r="H344" i="44"/>
  <c r="H322" i="44"/>
  <c r="F336" i="44"/>
  <c r="H341" i="44"/>
  <c r="K334" i="44"/>
  <c r="K332" i="44"/>
  <c r="L329" i="44"/>
  <c r="G328" i="44"/>
  <c r="E325" i="44"/>
  <c r="L323" i="44"/>
  <c r="G327" i="44"/>
  <c r="H334" i="44"/>
  <c r="H235" i="44"/>
  <c r="H340" i="44"/>
  <c r="G341" i="44"/>
  <c r="G332" i="44"/>
  <c r="G334" i="44"/>
  <c r="M324" i="44"/>
  <c r="G342" i="44"/>
  <c r="M326" i="44"/>
  <c r="L341" i="44"/>
  <c r="F323" i="44"/>
  <c r="F322" i="44"/>
  <c r="H333" i="44"/>
  <c r="F328" i="44"/>
  <c r="H331" i="44"/>
  <c r="F230" i="44"/>
  <c r="K326" i="44"/>
  <c r="L340" i="44"/>
  <c r="K324" i="44"/>
  <c r="L338" i="44"/>
  <c r="L321" i="44"/>
  <c r="I325" i="44"/>
  <c r="G343" i="44"/>
  <c r="L344" i="44"/>
  <c r="L342" i="44"/>
  <c r="M323" i="44"/>
  <c r="M330" i="44"/>
  <c r="K336" i="44"/>
  <c r="H323" i="44"/>
  <c r="K338" i="44"/>
  <c r="L332" i="44"/>
  <c r="H337" i="44"/>
  <c r="L330" i="44"/>
  <c r="C47" i="43"/>
  <c r="F324" i="44"/>
  <c r="G323" i="44"/>
  <c r="F342" i="44"/>
  <c r="H328" i="44"/>
  <c r="M341" i="44"/>
  <c r="F340" i="44"/>
  <c r="M334" i="44"/>
  <c r="E336" i="44"/>
  <c r="H326" i="44"/>
  <c r="L335" i="44"/>
  <c r="K322" i="44"/>
  <c r="L324" i="44"/>
  <c r="H329" i="44"/>
  <c r="L322" i="44"/>
  <c r="E47" i="43"/>
  <c r="M237" i="44" s="1"/>
  <c r="K327" i="44"/>
  <c r="X323" i="44"/>
  <c r="L241" i="44"/>
  <c r="F240" i="44"/>
  <c r="E343" i="44"/>
  <c r="K321" i="44"/>
  <c r="H325" i="44"/>
  <c r="M344" i="44"/>
  <c r="M338" i="44"/>
  <c r="E323" i="44"/>
  <c r="H321" i="44"/>
  <c r="K341" i="44"/>
  <c r="B3" i="39"/>
  <c r="B3" i="46" s="1"/>
  <c r="E342" i="44"/>
  <c r="K343" i="44"/>
  <c r="H339" i="44"/>
  <c r="M321" i="44"/>
  <c r="E232" i="44"/>
  <c r="F326" i="44"/>
  <c r="M248" i="44"/>
  <c r="L336" i="44"/>
  <c r="L334" i="44"/>
  <c r="K333" i="44"/>
  <c r="X330" i="44"/>
  <c r="I333" i="44"/>
  <c r="G333" i="44"/>
  <c r="M342" i="44"/>
  <c r="L343" i="44"/>
  <c r="G324" i="44"/>
  <c r="G329" i="44"/>
  <c r="G337" i="44"/>
  <c r="E341" i="44"/>
  <c r="F239" i="44"/>
  <c r="K325" i="44"/>
  <c r="L339" i="44"/>
  <c r="K257" i="44"/>
  <c r="E317" i="44"/>
  <c r="D48" i="43"/>
  <c r="E355" i="44" s="1"/>
  <c r="E48" i="43"/>
  <c r="N255" i="44" s="1"/>
  <c r="C48" i="43"/>
  <c r="B4" i="39"/>
  <c r="B4" i="46" s="1"/>
  <c r="C49" i="43"/>
  <c r="E49" i="43"/>
  <c r="I282" i="44" s="1"/>
  <c r="B5" i="39"/>
  <c r="B5" i="46" s="1"/>
  <c r="D49" i="43"/>
  <c r="H371" i="44" s="1"/>
  <c r="C46" i="43"/>
  <c r="B2" i="39"/>
  <c r="B2" i="46" s="1"/>
  <c r="D46" i="43"/>
  <c r="M320" i="44" s="1"/>
  <c r="E46" i="43"/>
  <c r="L212" i="44" s="1"/>
  <c r="Y329" i="44"/>
  <c r="X329" i="44"/>
  <c r="J333" i="44"/>
  <c r="N333" i="44"/>
  <c r="X332" i="44"/>
  <c r="X324" i="44"/>
  <c r="J340" i="44"/>
  <c r="N340" i="44"/>
  <c r="Y324" i="44"/>
  <c r="I398" i="44"/>
  <c r="W332" i="44"/>
  <c r="X340" i="44"/>
  <c r="W299" i="44"/>
  <c r="J325" i="44"/>
  <c r="W340" i="44"/>
  <c r="T398" i="44"/>
  <c r="N325" i="44"/>
  <c r="J226" i="44"/>
  <c r="W398" i="44"/>
  <c r="P322" i="44"/>
  <c r="O322" i="44"/>
  <c r="X321" i="44"/>
  <c r="L398" i="44"/>
  <c r="O335" i="44"/>
  <c r="P335" i="44"/>
  <c r="N343" i="44"/>
  <c r="J343" i="44"/>
  <c r="I343" i="44"/>
  <c r="O344" i="44"/>
  <c r="P344" i="44"/>
  <c r="N330" i="44"/>
  <c r="J330" i="44"/>
  <c r="I330" i="44"/>
  <c r="N257" i="44"/>
  <c r="Y333" i="44"/>
  <c r="W333" i="44"/>
  <c r="Y344" i="44"/>
  <c r="X344" i="44"/>
  <c r="W344" i="44"/>
  <c r="X227" i="44"/>
  <c r="W227" i="44"/>
  <c r="Y239" i="44"/>
  <c r="X239" i="44"/>
  <c r="N344" i="44"/>
  <c r="J344" i="44"/>
  <c r="I344" i="44"/>
  <c r="Y321" i="44"/>
  <c r="K398" i="44"/>
  <c r="N240" i="44"/>
  <c r="I240" i="44"/>
  <c r="N328" i="44"/>
  <c r="J328" i="44"/>
  <c r="I328" i="44"/>
  <c r="I223" i="44"/>
  <c r="P333" i="44"/>
  <c r="O333" i="44"/>
  <c r="N339" i="44"/>
  <c r="J339" i="44"/>
  <c r="I339" i="44"/>
  <c r="N322" i="44"/>
  <c r="J322" i="44"/>
  <c r="I322" i="44"/>
  <c r="O222" i="44"/>
  <c r="P227" i="44"/>
  <c r="O227" i="44"/>
  <c r="Y322" i="44"/>
  <c r="X322" i="44"/>
  <c r="W322" i="44"/>
  <c r="Y328" i="44"/>
  <c r="X328" i="44"/>
  <c r="W328" i="44"/>
  <c r="Y342" i="44"/>
  <c r="X342" i="44"/>
  <c r="W342" i="44"/>
  <c r="P342" i="44"/>
  <c r="O342" i="44"/>
  <c r="P245" i="44"/>
  <c r="O245" i="44"/>
  <c r="Y236" i="44"/>
  <c r="W236" i="44"/>
  <c r="Y339" i="44"/>
  <c r="X339" i="44"/>
  <c r="W339" i="44"/>
  <c r="O336" i="44"/>
  <c r="P336" i="44"/>
  <c r="Y336" i="44"/>
  <c r="X336" i="44"/>
  <c r="W336" i="44"/>
  <c r="N341" i="44"/>
  <c r="J341" i="44"/>
  <c r="I341" i="44"/>
  <c r="O337" i="44"/>
  <c r="P337" i="44"/>
  <c r="N225" i="44"/>
  <c r="J225" i="44"/>
  <c r="I225" i="44"/>
  <c r="N268" i="44"/>
  <c r="O343" i="44"/>
  <c r="P343" i="44"/>
  <c r="N323" i="44"/>
  <c r="J323" i="44"/>
  <c r="I323" i="44"/>
  <c r="N337" i="44"/>
  <c r="J337" i="44"/>
  <c r="I337" i="44"/>
  <c r="O328" i="44"/>
  <c r="P328" i="44"/>
  <c r="P334" i="44"/>
  <c r="O334" i="44"/>
  <c r="P237" i="44"/>
  <c r="O237" i="44"/>
  <c r="I212" i="44"/>
  <c r="O339" i="44"/>
  <c r="P339" i="44"/>
  <c r="Y331" i="44"/>
  <c r="W331" i="44"/>
  <c r="Y343" i="44"/>
  <c r="W343" i="44"/>
  <c r="X215" i="44"/>
  <c r="Y326" i="44"/>
  <c r="X326" i="44"/>
  <c r="W326" i="44"/>
  <c r="Y334" i="44"/>
  <c r="W334" i="44"/>
  <c r="V398" i="44"/>
  <c r="S398" i="44"/>
  <c r="H398" i="44"/>
  <c r="U398" i="44"/>
  <c r="R398" i="44"/>
  <c r="F398" i="44"/>
  <c r="E398" i="44"/>
  <c r="X334" i="44"/>
  <c r="N327" i="44"/>
  <c r="J327" i="44"/>
  <c r="I327" i="44"/>
  <c r="N326" i="44"/>
  <c r="J326" i="44"/>
  <c r="I326" i="44"/>
  <c r="N334" i="44"/>
  <c r="J334" i="44"/>
  <c r="I334" i="44"/>
  <c r="P325" i="44"/>
  <c r="O325" i="44"/>
  <c r="N354" i="44"/>
  <c r="J222" i="44"/>
  <c r="P332" i="44"/>
  <c r="O332" i="44"/>
  <c r="P340" i="44"/>
  <c r="O340" i="44"/>
  <c r="N329" i="44"/>
  <c r="J329" i="44"/>
  <c r="I329" i="44"/>
  <c r="O326" i="44"/>
  <c r="P326" i="44"/>
  <c r="O331" i="44"/>
  <c r="P331" i="44"/>
  <c r="Y338" i="44"/>
  <c r="X338" i="44"/>
  <c r="W338" i="44"/>
  <c r="Y240" i="44"/>
  <c r="Y220" i="44"/>
  <c r="Y323" i="44"/>
  <c r="W323" i="44"/>
  <c r="Y335" i="44"/>
  <c r="X335" i="44"/>
  <c r="W335" i="44"/>
  <c r="X312" i="44"/>
  <c r="X300" i="44"/>
  <c r="I350" i="44"/>
  <c r="P324" i="44"/>
  <c r="O324" i="44"/>
  <c r="O321" i="44"/>
  <c r="P321" i="44"/>
  <c r="I220" i="44"/>
  <c r="O329" i="44"/>
  <c r="P329" i="44"/>
  <c r="N321" i="44"/>
  <c r="J321" i="44"/>
  <c r="I321" i="44"/>
  <c r="P254" i="44"/>
  <c r="P323" i="44"/>
  <c r="O323" i="44"/>
  <c r="W253" i="44"/>
  <c r="Y330" i="44"/>
  <c r="W330" i="44"/>
  <c r="Y327" i="44"/>
  <c r="X327" i="44"/>
  <c r="W327" i="44"/>
  <c r="N331" i="44"/>
  <c r="J331" i="44"/>
  <c r="I331" i="44"/>
  <c r="P338" i="44"/>
  <c r="O338" i="44"/>
  <c r="Q398" i="44"/>
  <c r="O244" i="44"/>
  <c r="P244" i="44"/>
  <c r="N233" i="44"/>
  <c r="J233" i="44"/>
  <c r="O398" i="44"/>
  <c r="M398" i="44"/>
  <c r="N336" i="44"/>
  <c r="J336" i="44"/>
  <c r="I336" i="44"/>
  <c r="N335" i="44"/>
  <c r="J335" i="44"/>
  <c r="I335" i="44"/>
  <c r="O327" i="44"/>
  <c r="P327" i="44"/>
  <c r="N245" i="44"/>
  <c r="J245" i="44"/>
  <c r="I245" i="44"/>
  <c r="N332" i="44"/>
  <c r="J332" i="44"/>
  <c r="I332" i="44"/>
  <c r="N203" i="44"/>
  <c r="P341" i="44"/>
  <c r="O341" i="44"/>
  <c r="P213" i="44"/>
  <c r="W248" i="44"/>
  <c r="Y341" i="44"/>
  <c r="W341" i="44"/>
  <c r="Y243" i="44"/>
  <c r="G398" i="44"/>
  <c r="J216" i="44"/>
  <c r="N342" i="44"/>
  <c r="J342" i="44"/>
  <c r="I342" i="44"/>
  <c r="P258" i="44"/>
  <c r="J238" i="44"/>
  <c r="I238" i="44"/>
  <c r="N324" i="44"/>
  <c r="J324" i="44"/>
  <c r="I324" i="44"/>
  <c r="P330" i="44"/>
  <c r="O330" i="44"/>
  <c r="N338" i="44"/>
  <c r="J338" i="44"/>
  <c r="I338" i="44"/>
  <c r="Y232" i="44"/>
  <c r="X232" i="44"/>
  <c r="W232" i="44"/>
  <c r="Y325" i="44"/>
  <c r="W325" i="44"/>
  <c r="N238" i="44" l="1"/>
  <c r="P234" i="44"/>
  <c r="H227" i="44"/>
  <c r="W237" i="44"/>
  <c r="I247" i="44"/>
  <c r="M225" i="44"/>
  <c r="N227" i="44"/>
  <c r="G245" i="44"/>
  <c r="J248" i="44"/>
  <c r="Y226" i="44"/>
  <c r="W246" i="44"/>
  <c r="W448" i="44" s="1"/>
  <c r="I272" i="44"/>
  <c r="W242" i="44"/>
  <c r="W444" i="44" s="1"/>
  <c r="X246" i="44"/>
  <c r="W228" i="44"/>
  <c r="W430" i="44" s="1"/>
  <c r="I235" i="44"/>
  <c r="I437" i="44" s="1"/>
  <c r="N232" i="44"/>
  <c r="X242" i="44"/>
  <c r="L272" i="44"/>
  <c r="L474" i="44" s="1"/>
  <c r="E236" i="44"/>
  <c r="E438" i="44" s="1"/>
  <c r="M242" i="44"/>
  <c r="F238" i="44"/>
  <c r="F440" i="44" s="1"/>
  <c r="L235" i="44"/>
  <c r="L243" i="44"/>
  <c r="L445" i="44" s="1"/>
  <c r="I227" i="44"/>
  <c r="G227" i="44"/>
  <c r="W226" i="44"/>
  <c r="W267" i="44"/>
  <c r="I270" i="44"/>
  <c r="I472" i="44" s="1"/>
  <c r="N283" i="44"/>
  <c r="I232" i="44"/>
  <c r="H352" i="44"/>
  <c r="H554" i="44" s="1"/>
  <c r="L244" i="44"/>
  <c r="L446" i="44" s="1"/>
  <c r="Y228" i="44"/>
  <c r="J235" i="44"/>
  <c r="W231" i="44"/>
  <c r="W433" i="44" s="1"/>
  <c r="J232" i="44"/>
  <c r="Y242" i="44"/>
  <c r="P231" i="44"/>
  <c r="E227" i="44"/>
  <c r="E429" i="44" s="1"/>
  <c r="G225" i="44"/>
  <c r="E244" i="44"/>
  <c r="E446" i="44" s="1"/>
  <c r="K232" i="44"/>
  <c r="K434" i="44" s="1"/>
  <c r="H228" i="44"/>
  <c r="H430" i="44" s="1"/>
  <c r="E539" i="44"/>
  <c r="M239" i="44"/>
  <c r="X248" i="44"/>
  <c r="I234" i="44"/>
  <c r="H245" i="44"/>
  <c r="F246" i="44"/>
  <c r="H244" i="44"/>
  <c r="G239" i="44"/>
  <c r="O243" i="44"/>
  <c r="O445" i="44" s="1"/>
  <c r="P232" i="44"/>
  <c r="I237" i="44"/>
  <c r="J227" i="44"/>
  <c r="H243" i="44"/>
  <c r="H445" i="44" s="1"/>
  <c r="F245" i="44"/>
  <c r="F447" i="44" s="1"/>
  <c r="N248" i="44"/>
  <c r="O246" i="44"/>
  <c r="O448" i="44" s="1"/>
  <c r="Y246" i="44"/>
  <c r="W230" i="44"/>
  <c r="W432" i="44" s="1"/>
  <c r="P246" i="44"/>
  <c r="O264" i="44"/>
  <c r="O466" i="44" s="1"/>
  <c r="W234" i="44"/>
  <c r="W436" i="44" s="1"/>
  <c r="N235" i="44"/>
  <c r="X231" i="44"/>
  <c r="I244" i="44"/>
  <c r="I446" i="44" s="1"/>
  <c r="P235" i="44"/>
  <c r="O231" i="44"/>
  <c r="O433" i="44" s="1"/>
  <c r="H309" i="44"/>
  <c r="E245" i="44"/>
  <c r="E246" i="44"/>
  <c r="E448" i="44" s="1"/>
  <c r="G230" i="44"/>
  <c r="Y248" i="44"/>
  <c r="P248" i="44"/>
  <c r="X243" i="44"/>
  <c r="O229" i="44"/>
  <c r="O431" i="44" s="1"/>
  <c r="N237" i="44"/>
  <c r="E247" i="44"/>
  <c r="E449" i="44" s="1"/>
  <c r="X234" i="44"/>
  <c r="O235" i="44"/>
  <c r="O437" i="44" s="1"/>
  <c r="H233" i="44"/>
  <c r="H435" i="44" s="1"/>
  <c r="I246" i="44"/>
  <c r="I448" i="44" s="1"/>
  <c r="P247" i="44"/>
  <c r="Y234" i="44"/>
  <c r="W244" i="44"/>
  <c r="W446" i="44" s="1"/>
  <c r="N244" i="44"/>
  <c r="P228" i="44"/>
  <c r="G264" i="44"/>
  <c r="M246" i="44"/>
  <c r="K233" i="44"/>
  <c r="M240" i="44"/>
  <c r="K237" i="44"/>
  <c r="P236" i="44"/>
  <c r="X230" i="44"/>
  <c r="I243" i="44"/>
  <c r="I445" i="44" s="1"/>
  <c r="J244" i="44"/>
  <c r="L229" i="44"/>
  <c r="L431" i="44" s="1"/>
  <c r="X225" i="44"/>
  <c r="Y244" i="44"/>
  <c r="P241" i="44"/>
  <c r="I242" i="44"/>
  <c r="I444" i="44" s="1"/>
  <c r="O228" i="44"/>
  <c r="O430" i="44" s="1"/>
  <c r="J246" i="44"/>
  <c r="G361" i="44"/>
  <c r="K235" i="44"/>
  <c r="K437" i="44" s="1"/>
  <c r="F228" i="44"/>
  <c r="F430" i="44" s="1"/>
  <c r="I239" i="44"/>
  <c r="I441" i="44" s="1"/>
  <c r="Y227" i="44"/>
  <c r="K242" i="44"/>
  <c r="K444" i="44" s="1"/>
  <c r="P233" i="44"/>
  <c r="N246" i="44"/>
  <c r="K225" i="44"/>
  <c r="M253" i="44"/>
  <c r="P239" i="44"/>
  <c r="W229" i="44"/>
  <c r="W431" i="44" s="1"/>
  <c r="X247" i="44"/>
  <c r="Y225" i="44"/>
  <c r="J236" i="44"/>
  <c r="X236" i="44"/>
  <c r="Y229" i="44"/>
  <c r="O225" i="44"/>
  <c r="O427" i="44" s="1"/>
  <c r="W245" i="44"/>
  <c r="W447" i="44" s="1"/>
  <c r="J228" i="44"/>
  <c r="R525" i="44"/>
  <c r="X241" i="44"/>
  <c r="O241" i="44"/>
  <c r="O443" i="44" s="1"/>
  <c r="J242" i="44"/>
  <c r="O230" i="44"/>
  <c r="O432" i="44" s="1"/>
  <c r="M317" i="44"/>
  <c r="G235" i="44"/>
  <c r="K230" i="44"/>
  <c r="K432" i="44" s="1"/>
  <c r="G231" i="44"/>
  <c r="G232" i="44"/>
  <c r="M226" i="44"/>
  <c r="O242" i="44"/>
  <c r="J239" i="44"/>
  <c r="P242" i="44"/>
  <c r="I231" i="44"/>
  <c r="I433" i="44" s="1"/>
  <c r="E241" i="44"/>
  <c r="I248" i="44"/>
  <c r="I450" i="44" s="1"/>
  <c r="Y231" i="44"/>
  <c r="Y247" i="44"/>
  <c r="W238" i="44"/>
  <c r="W440" i="44" s="1"/>
  <c r="N236" i="44"/>
  <c r="W233" i="44"/>
  <c r="W435" i="44" s="1"/>
  <c r="P225" i="44"/>
  <c r="Y245" i="44"/>
  <c r="N228" i="44"/>
  <c r="Y241" i="44"/>
  <c r="N242" i="44"/>
  <c r="P230" i="44"/>
  <c r="K251" i="44"/>
  <c r="K453" i="44" s="1"/>
  <c r="F229" i="44"/>
  <c r="X235" i="44"/>
  <c r="L228" i="44"/>
  <c r="M243" i="44"/>
  <c r="G247" i="44"/>
  <c r="J234" i="44"/>
  <c r="N239" i="44"/>
  <c r="N234" i="44"/>
  <c r="O232" i="44"/>
  <c r="O434" i="44" s="1"/>
  <c r="N231" i="44"/>
  <c r="E235" i="44"/>
  <c r="E437" i="44" s="1"/>
  <c r="Y230" i="44"/>
  <c r="O247" i="44"/>
  <c r="O449" i="44" s="1"/>
  <c r="W241" i="44"/>
  <c r="W443" i="44" s="1"/>
  <c r="W235" i="44"/>
  <c r="W437" i="44" s="1"/>
  <c r="I229" i="44"/>
  <c r="I431" i="44" s="1"/>
  <c r="X238" i="44"/>
  <c r="X233" i="44"/>
  <c r="W249" i="44"/>
  <c r="W451" i="44" s="1"/>
  <c r="P240" i="44"/>
  <c r="I230" i="44"/>
  <c r="I432" i="44" s="1"/>
  <c r="P226" i="44"/>
  <c r="I241" i="44"/>
  <c r="I443" i="44" s="1"/>
  <c r="E270" i="44"/>
  <c r="E472" i="44" s="1"/>
  <c r="F354" i="44"/>
  <c r="H232" i="44"/>
  <c r="H434" i="44" s="1"/>
  <c r="K241" i="44"/>
  <c r="K247" i="44"/>
  <c r="G242" i="44"/>
  <c r="J240" i="44"/>
  <c r="H246" i="44"/>
  <c r="E230" i="44"/>
  <c r="E432" i="44" s="1"/>
  <c r="I226" i="44"/>
  <c r="I428" i="44" s="1"/>
  <c r="Y237" i="44"/>
  <c r="N247" i="44"/>
  <c r="J231" i="44"/>
  <c r="J237" i="44"/>
  <c r="O236" i="44"/>
  <c r="O438" i="44" s="1"/>
  <c r="M245" i="44"/>
  <c r="O239" i="44"/>
  <c r="O441" i="44" s="1"/>
  <c r="N243" i="44"/>
  <c r="Y235" i="44"/>
  <c r="Y238" i="44"/>
  <c r="I254" i="44"/>
  <c r="I456" i="44" s="1"/>
  <c r="Y233" i="44"/>
  <c r="W240" i="44"/>
  <c r="W442" i="44" s="1"/>
  <c r="O240" i="44"/>
  <c r="J230" i="44"/>
  <c r="O226" i="44"/>
  <c r="J241" i="44"/>
  <c r="G297" i="44"/>
  <c r="E231" i="44"/>
  <c r="E433" i="44" s="1"/>
  <c r="H236" i="44"/>
  <c r="F244" i="44"/>
  <c r="F446" i="44" s="1"/>
  <c r="O234" i="44"/>
  <c r="O436" i="44" s="1"/>
  <c r="P243" i="44"/>
  <c r="O248" i="44"/>
  <c r="O450" i="44" s="1"/>
  <c r="O233" i="44"/>
  <c r="O435" i="44" s="1"/>
  <c r="O238" i="44"/>
  <c r="O440" i="44" s="1"/>
  <c r="P229" i="44"/>
  <c r="K248" i="44"/>
  <c r="K450" i="44" s="1"/>
  <c r="H234" i="44"/>
  <c r="H436" i="44" s="1"/>
  <c r="P238" i="44"/>
  <c r="J247" i="44"/>
  <c r="X226" i="44"/>
  <c r="W225" i="44"/>
  <c r="W427" i="44" s="1"/>
  <c r="J243" i="44"/>
  <c r="W247" i="44"/>
  <c r="W449" i="44" s="1"/>
  <c r="I236" i="44"/>
  <c r="I228" i="44"/>
  <c r="J229" i="44"/>
  <c r="W260" i="44"/>
  <c r="N229" i="44"/>
  <c r="W243" i="44"/>
  <c r="W445" i="44" s="1"/>
  <c r="I233" i="44"/>
  <c r="X240" i="44"/>
  <c r="N230" i="44"/>
  <c r="W239" i="44"/>
  <c r="W441" i="44" s="1"/>
  <c r="N241" i="44"/>
  <c r="N226" i="44"/>
  <c r="M289" i="44"/>
  <c r="K238" i="44"/>
  <c r="K440" i="44" s="1"/>
  <c r="F225" i="44"/>
  <c r="F427" i="44" s="1"/>
  <c r="L234" i="44"/>
  <c r="L436" i="44" s="1"/>
  <c r="M231" i="44"/>
  <c r="I216" i="44"/>
  <c r="I418" i="44" s="1"/>
  <c r="W215" i="44"/>
  <c r="W417" i="44" s="1"/>
  <c r="W213" i="44"/>
  <c r="W415" i="44" s="1"/>
  <c r="N212" i="44"/>
  <c r="N223" i="44"/>
  <c r="E299" i="44"/>
  <c r="O310" i="44"/>
  <c r="O218" i="44"/>
  <c r="O420" i="44" s="1"/>
  <c r="E302" i="44"/>
  <c r="G302" i="44"/>
  <c r="I218" i="44"/>
  <c r="I420" i="44" s="1"/>
  <c r="F212" i="44"/>
  <c r="F414" i="44" s="1"/>
  <c r="N210" i="44"/>
  <c r="P320" i="44"/>
  <c r="E203" i="44"/>
  <c r="E405" i="44" s="1"/>
  <c r="X217" i="44"/>
  <c r="W310" i="44"/>
  <c r="W512" i="44" s="1"/>
  <c r="Y206" i="44"/>
  <c r="P298" i="44"/>
  <c r="W297" i="44"/>
  <c r="W499" i="44" s="1"/>
  <c r="I202" i="44"/>
  <c r="I404" i="44" s="1"/>
  <c r="J224" i="44"/>
  <c r="X201" i="44"/>
  <c r="O320" i="44"/>
  <c r="O522" i="44" s="1"/>
  <c r="J218" i="44"/>
  <c r="H278" i="44"/>
  <c r="H480" i="44" s="1"/>
  <c r="L320" i="44"/>
  <c r="L522" i="44" s="1"/>
  <c r="N306" i="44"/>
  <c r="P216" i="44"/>
  <c r="O301" i="44"/>
  <c r="L304" i="44"/>
  <c r="P223" i="44"/>
  <c r="W203" i="44"/>
  <c r="W405" i="44" s="1"/>
  <c r="Y317" i="44"/>
  <c r="W201" i="44"/>
  <c r="W403" i="44" s="1"/>
  <c r="M219" i="44"/>
  <c r="J299" i="44"/>
  <c r="G319" i="44"/>
  <c r="J201" i="44"/>
  <c r="P212" i="44"/>
  <c r="N211" i="44"/>
  <c r="I206" i="44"/>
  <c r="I408" i="44" s="1"/>
  <c r="P318" i="44"/>
  <c r="Y318" i="44"/>
  <c r="O212" i="44"/>
  <c r="O414" i="44" s="1"/>
  <c r="W217" i="44"/>
  <c r="W419" i="44" s="1"/>
  <c r="I211" i="44"/>
  <c r="I413" i="44" s="1"/>
  <c r="N206" i="44"/>
  <c r="X310" i="44"/>
  <c r="P202" i="44"/>
  <c r="X207" i="44"/>
  <c r="P210" i="44"/>
  <c r="O298" i="44"/>
  <c r="Y297" i="44"/>
  <c r="J202" i="44"/>
  <c r="I224" i="44"/>
  <c r="I426" i="44" s="1"/>
  <c r="I221" i="44"/>
  <c r="I423" i="44" s="1"/>
  <c r="J215" i="44"/>
  <c r="N219" i="44"/>
  <c r="F303" i="44"/>
  <c r="F505" i="44" s="1"/>
  <c r="H215" i="44"/>
  <c r="H417" i="44" s="1"/>
  <c r="Y308" i="44"/>
  <c r="F214" i="44"/>
  <c r="F416" i="44" s="1"/>
  <c r="W219" i="44"/>
  <c r="W421" i="44" s="1"/>
  <c r="O216" i="44"/>
  <c r="O418" i="44" s="1"/>
  <c r="O201" i="44"/>
  <c r="O403" i="44" s="1"/>
  <c r="X218" i="44"/>
  <c r="Y203" i="44"/>
  <c r="X299" i="44"/>
  <c r="I201" i="44"/>
  <c r="I403" i="44" s="1"/>
  <c r="W207" i="44"/>
  <c r="W409" i="44" s="1"/>
  <c r="X298" i="44"/>
  <c r="W221" i="44"/>
  <c r="I313" i="44"/>
  <c r="I515" i="44" s="1"/>
  <c r="J303" i="44"/>
  <c r="J315" i="44"/>
  <c r="W222" i="44"/>
  <c r="W424" i="44" s="1"/>
  <c r="N221" i="44"/>
  <c r="M214" i="44"/>
  <c r="N309" i="44"/>
  <c r="P301" i="44"/>
  <c r="Y219" i="44"/>
  <c r="H216" i="44"/>
  <c r="H418" i="44" s="1"/>
  <c r="M216" i="44"/>
  <c r="I310" i="44"/>
  <c r="I512" i="44" s="1"/>
  <c r="X210" i="44"/>
  <c r="E311" i="44"/>
  <c r="E513" i="44" s="1"/>
  <c r="P224" i="44"/>
  <c r="X320" i="44"/>
  <c r="J313" i="44"/>
  <c r="I315" i="44"/>
  <c r="I517" i="44" s="1"/>
  <c r="J221" i="44"/>
  <c r="L205" i="44"/>
  <c r="Y221" i="44"/>
  <c r="O303" i="44"/>
  <c r="O505" i="44" s="1"/>
  <c r="P274" i="44"/>
  <c r="I301" i="44"/>
  <c r="O306" i="44"/>
  <c r="J213" i="44"/>
  <c r="I303" i="44"/>
  <c r="I505" i="44" s="1"/>
  <c r="N208" i="44"/>
  <c r="O312" i="44"/>
  <c r="O514" i="44" s="1"/>
  <c r="W223" i="44"/>
  <c r="N315" i="44"/>
  <c r="X222" i="44"/>
  <c r="X308" i="44"/>
  <c r="M303" i="44"/>
  <c r="X205" i="44"/>
  <c r="F211" i="44"/>
  <c r="F413" i="44" s="1"/>
  <c r="G308" i="44"/>
  <c r="K298" i="44"/>
  <c r="K500" i="44" s="1"/>
  <c r="N220" i="44"/>
  <c r="J223" i="44"/>
  <c r="N310" i="44"/>
  <c r="W218" i="44"/>
  <c r="W420" i="44" s="1"/>
  <c r="J210" i="44"/>
  <c r="I217" i="44"/>
  <c r="I419" i="44" s="1"/>
  <c r="P206" i="44"/>
  <c r="H201" i="44"/>
  <c r="J208" i="44"/>
  <c r="L318" i="44"/>
  <c r="L520" i="44" s="1"/>
  <c r="P303" i="44"/>
  <c r="I307" i="44"/>
  <c r="I509" i="44" s="1"/>
  <c r="J297" i="44"/>
  <c r="N301" i="44"/>
  <c r="N213" i="44"/>
  <c r="P203" i="44"/>
  <c r="I214" i="44"/>
  <c r="I416" i="44" s="1"/>
  <c r="X223" i="44"/>
  <c r="W214" i="44"/>
  <c r="W416" i="44" s="1"/>
  <c r="W202" i="44"/>
  <c r="W404" i="44" s="1"/>
  <c r="I209" i="44"/>
  <c r="I411" i="44" s="1"/>
  <c r="Y222" i="44"/>
  <c r="L208" i="44"/>
  <c r="L410" i="44" s="1"/>
  <c r="K214" i="44"/>
  <c r="K416" i="44" s="1"/>
  <c r="E219" i="44"/>
  <c r="G209" i="44"/>
  <c r="G216" i="44"/>
  <c r="N222" i="44"/>
  <c r="X216" i="44"/>
  <c r="P218" i="44"/>
  <c r="O221" i="44"/>
  <c r="O423" i="44" s="1"/>
  <c r="O316" i="44"/>
  <c r="O518" i="44" s="1"/>
  <c r="O223" i="44"/>
  <c r="F201" i="44"/>
  <c r="P319" i="44"/>
  <c r="K320" i="44"/>
  <c r="K522" i="44" s="1"/>
  <c r="X206" i="44"/>
  <c r="J211" i="44"/>
  <c r="O210" i="44"/>
  <c r="O412" i="44" s="1"/>
  <c r="K316" i="44"/>
  <c r="K518" i="44" s="1"/>
  <c r="N320" i="44"/>
  <c r="I297" i="44"/>
  <c r="I499" i="44" s="1"/>
  <c r="P217" i="44"/>
  <c r="O203" i="44"/>
  <c r="O405" i="44" s="1"/>
  <c r="J214" i="44"/>
  <c r="I299" i="44"/>
  <c r="I501" i="44" s="1"/>
  <c r="Y223" i="44"/>
  <c r="X214" i="44"/>
  <c r="X202" i="44"/>
  <c r="J209" i="44"/>
  <c r="W314" i="44"/>
  <c r="E210" i="44"/>
  <c r="F204" i="44"/>
  <c r="F406" i="44" s="1"/>
  <c r="G217" i="44"/>
  <c r="F308" i="44"/>
  <c r="M241" i="44"/>
  <c r="G234" i="44"/>
  <c r="K231" i="44"/>
  <c r="K433" i="44" s="1"/>
  <c r="M202" i="44"/>
  <c r="O213" i="44"/>
  <c r="O415" i="44" s="1"/>
  <c r="J212" i="44"/>
  <c r="L217" i="44"/>
  <c r="L419" i="44" s="1"/>
  <c r="Y215" i="44"/>
  <c r="G202" i="44"/>
  <c r="J310" i="44"/>
  <c r="O204" i="44"/>
  <c r="O406" i="44" s="1"/>
  <c r="W224" i="44"/>
  <c r="W426" i="44" s="1"/>
  <c r="J217" i="44"/>
  <c r="Y218" i="44"/>
  <c r="K221" i="44"/>
  <c r="W206" i="44"/>
  <c r="E209" i="44"/>
  <c r="O319" i="44"/>
  <c r="E309" i="44"/>
  <c r="O214" i="44"/>
  <c r="O416" i="44" s="1"/>
  <c r="P306" i="44"/>
  <c r="P312" i="44"/>
  <c r="E211" i="44"/>
  <c r="N297" i="44"/>
  <c r="O217" i="44"/>
  <c r="O419" i="44" s="1"/>
  <c r="W208" i="44"/>
  <c r="W410" i="44" s="1"/>
  <c r="I314" i="44"/>
  <c r="I516" i="44" s="1"/>
  <c r="N214" i="44"/>
  <c r="N299" i="44"/>
  <c r="W211" i="44"/>
  <c r="W413" i="44" s="1"/>
  <c r="Y214" i="44"/>
  <c r="Y202" i="44"/>
  <c r="N209" i="44"/>
  <c r="X309" i="44"/>
  <c r="H306" i="44"/>
  <c r="H508" i="44" s="1"/>
  <c r="K310" i="44"/>
  <c r="F205" i="44"/>
  <c r="M312" i="44"/>
  <c r="E240" i="44"/>
  <c r="E442" i="44" s="1"/>
  <c r="L231" i="44"/>
  <c r="L245" i="44"/>
  <c r="L240" i="44"/>
  <c r="L442" i="44" s="1"/>
  <c r="E212" i="44"/>
  <c r="E414" i="44" s="1"/>
  <c r="P221" i="44"/>
  <c r="X224" i="44"/>
  <c r="H302" i="44"/>
  <c r="H504" i="44" s="1"/>
  <c r="N311" i="44"/>
  <c r="X301" i="44"/>
  <c r="L213" i="44"/>
  <c r="L415" i="44" s="1"/>
  <c r="Y217" i="44"/>
  <c r="I213" i="44"/>
  <c r="I415" i="44" s="1"/>
  <c r="K208" i="44"/>
  <c r="K410" i="44" s="1"/>
  <c r="O205" i="44"/>
  <c r="O407" i="44" s="1"/>
  <c r="O215" i="44"/>
  <c r="O417" i="44" s="1"/>
  <c r="O305" i="44"/>
  <c r="O507" i="44" s="1"/>
  <c r="X209" i="44"/>
  <c r="I304" i="44"/>
  <c r="I506" i="44" s="1"/>
  <c r="X208" i="44"/>
  <c r="J314" i="44"/>
  <c r="W205" i="44"/>
  <c r="X211" i="44"/>
  <c r="J207" i="44"/>
  <c r="I306" i="44"/>
  <c r="F310" i="44"/>
  <c r="F512" i="44" s="1"/>
  <c r="I204" i="44"/>
  <c r="M206" i="44"/>
  <c r="H316" i="44"/>
  <c r="H518" i="44" s="1"/>
  <c r="K239" i="44"/>
  <c r="K441" i="44" s="1"/>
  <c r="L239" i="44"/>
  <c r="L441" i="44" s="1"/>
  <c r="L226" i="44"/>
  <c r="L428" i="44" s="1"/>
  <c r="F237" i="44"/>
  <c r="F439" i="44" s="1"/>
  <c r="G237" i="44"/>
  <c r="K245" i="44"/>
  <c r="K447" i="44" s="1"/>
  <c r="W216" i="44"/>
  <c r="W418" i="44" s="1"/>
  <c r="G208" i="44"/>
  <c r="H305" i="44"/>
  <c r="H507" i="44" s="1"/>
  <c r="Y301" i="44"/>
  <c r="P207" i="44"/>
  <c r="I311" i="44"/>
  <c r="I513" i="44" s="1"/>
  <c r="P208" i="44"/>
  <c r="Y310" i="44"/>
  <c r="N202" i="44"/>
  <c r="P205" i="44"/>
  <c r="P215" i="44"/>
  <c r="N201" i="44"/>
  <c r="W209" i="44"/>
  <c r="W411" i="44" s="1"/>
  <c r="P209" i="44"/>
  <c r="Y208" i="44"/>
  <c r="I205" i="44"/>
  <c r="I407" i="44" s="1"/>
  <c r="N314" i="44"/>
  <c r="Y205" i="44"/>
  <c r="P211" i="44"/>
  <c r="Y211" i="44"/>
  <c r="I207" i="44"/>
  <c r="I409" i="44" s="1"/>
  <c r="W303" i="44"/>
  <c r="W505" i="44" s="1"/>
  <c r="I298" i="44"/>
  <c r="I500" i="44" s="1"/>
  <c r="J306" i="44"/>
  <c r="H318" i="44"/>
  <c r="H520" i="44" s="1"/>
  <c r="K224" i="44"/>
  <c r="K426" i="44" s="1"/>
  <c r="M207" i="44"/>
  <c r="M308" i="44"/>
  <c r="M232" i="44"/>
  <c r="H231" i="44"/>
  <c r="H433" i="44" s="1"/>
  <c r="E229" i="44"/>
  <c r="G241" i="44"/>
  <c r="K234" i="44"/>
  <c r="L227" i="44"/>
  <c r="N216" i="44"/>
  <c r="K203" i="44"/>
  <c r="Y213" i="44"/>
  <c r="H223" i="44"/>
  <c r="H425" i="44" s="1"/>
  <c r="L314" i="44"/>
  <c r="L516" i="44" s="1"/>
  <c r="F316" i="44"/>
  <c r="F518" i="44" s="1"/>
  <c r="E224" i="44"/>
  <c r="E426" i="44" s="1"/>
  <c r="N217" i="44"/>
  <c r="W318" i="44"/>
  <c r="W520" i="44" s="1"/>
  <c r="O202" i="44"/>
  <c r="O404" i="44" s="1"/>
  <c r="I215" i="44"/>
  <c r="I417" i="44" s="1"/>
  <c r="Y207" i="44"/>
  <c r="Y209" i="44"/>
  <c r="O209" i="44"/>
  <c r="O411" i="44" s="1"/>
  <c r="J205" i="44"/>
  <c r="W300" i="44"/>
  <c r="W502" i="44" s="1"/>
  <c r="O211" i="44"/>
  <c r="O413" i="44" s="1"/>
  <c r="P220" i="44"/>
  <c r="N207" i="44"/>
  <c r="X303" i="44"/>
  <c r="L224" i="44"/>
  <c r="G205" i="44"/>
  <c r="M306" i="44"/>
  <c r="K309" i="44"/>
  <c r="K511" i="44" s="1"/>
  <c r="E220" i="44"/>
  <c r="E225" i="44"/>
  <c r="E427" i="44" s="1"/>
  <c r="M227" i="44"/>
  <c r="H230" i="44"/>
  <c r="H432" i="44" s="1"/>
  <c r="L248" i="44"/>
  <c r="L450" i="44" s="1"/>
  <c r="G228" i="44"/>
  <c r="M213" i="44"/>
  <c r="X219" i="44"/>
  <c r="H311" i="44"/>
  <c r="H513" i="44" s="1"/>
  <c r="Y216" i="44"/>
  <c r="F207" i="44"/>
  <c r="F409" i="44" s="1"/>
  <c r="I219" i="44"/>
  <c r="I421" i="44" s="1"/>
  <c r="Y224" i="44"/>
  <c r="I210" i="44"/>
  <c r="I412" i="44" s="1"/>
  <c r="L302" i="44"/>
  <c r="O207" i="44"/>
  <c r="O409" i="44" s="1"/>
  <c r="O224" i="44"/>
  <c r="J206" i="44"/>
  <c r="O208" i="44"/>
  <c r="I208" i="44"/>
  <c r="W317" i="44"/>
  <c r="W519" i="44" s="1"/>
  <c r="P302" i="44"/>
  <c r="P300" i="44"/>
  <c r="P315" i="44"/>
  <c r="I203" i="44"/>
  <c r="I405" i="44" s="1"/>
  <c r="P219" i="44"/>
  <c r="I319" i="44"/>
  <c r="I521" i="44" s="1"/>
  <c r="N205" i="44"/>
  <c r="W301" i="44"/>
  <c r="W503" i="44" s="1"/>
  <c r="O220" i="44"/>
  <c r="O422" i="44" s="1"/>
  <c r="Y303" i="44"/>
  <c r="E218" i="44"/>
  <c r="E420" i="44" s="1"/>
  <c r="L209" i="44"/>
  <c r="L411" i="44" s="1"/>
  <c r="M218" i="44"/>
  <c r="K217" i="44"/>
  <c r="K419" i="44" s="1"/>
  <c r="M309" i="44"/>
  <c r="F236" i="44"/>
  <c r="F438" i="44" s="1"/>
  <c r="F241" i="44"/>
  <c r="F443" i="44" s="1"/>
  <c r="K226" i="44"/>
  <c r="F226" i="44"/>
  <c r="F428" i="44" s="1"/>
  <c r="L230" i="44"/>
  <c r="F242" i="44"/>
  <c r="P204" i="44"/>
  <c r="W210" i="44"/>
  <c r="W412" i="44" s="1"/>
  <c r="Y210" i="44"/>
  <c r="O206" i="44"/>
  <c r="O408" i="44" s="1"/>
  <c r="P214" i="44"/>
  <c r="N224" i="44"/>
  <c r="N215" i="44"/>
  <c r="Y201" i="44"/>
  <c r="O302" i="44"/>
  <c r="O504" i="44" s="1"/>
  <c r="O300" i="44"/>
  <c r="O502" i="44" s="1"/>
  <c r="X302" i="44"/>
  <c r="O315" i="44"/>
  <c r="O517" i="44" s="1"/>
  <c r="J203" i="44"/>
  <c r="O219" i="44"/>
  <c r="O421" i="44" s="1"/>
  <c r="J220" i="44"/>
  <c r="X220" i="44"/>
  <c r="I222" i="44"/>
  <c r="P222" i="44"/>
  <c r="W204" i="44"/>
  <c r="K319" i="44"/>
  <c r="K521" i="44" s="1"/>
  <c r="L211" i="44"/>
  <c r="G212" i="44"/>
  <c r="E313" i="44"/>
  <c r="E515" i="44" s="1"/>
  <c r="E208" i="44"/>
  <c r="L233" i="44"/>
  <c r="L435" i="44" s="1"/>
  <c r="H239" i="44"/>
  <c r="H441" i="44" s="1"/>
  <c r="L246" i="44"/>
  <c r="L448" i="44" s="1"/>
  <c r="X237" i="44"/>
  <c r="E234" i="44"/>
  <c r="E436" i="44" s="1"/>
  <c r="L225" i="44"/>
  <c r="L427" i="44" s="1"/>
  <c r="F254" i="44"/>
  <c r="F456" i="44" s="1"/>
  <c r="X269" i="44"/>
  <c r="M266" i="44"/>
  <c r="L265" i="44"/>
  <c r="L467" i="44" s="1"/>
  <c r="H261" i="44"/>
  <c r="H463" i="44" s="1"/>
  <c r="X260" i="44"/>
  <c r="E256" i="44"/>
  <c r="E458" i="44" s="1"/>
  <c r="J257" i="44"/>
  <c r="J255" i="44"/>
  <c r="P264" i="44"/>
  <c r="Y264" i="44"/>
  <c r="Y257" i="44"/>
  <c r="O256" i="44"/>
  <c r="O458" i="44" s="1"/>
  <c r="P269" i="44"/>
  <c r="W251" i="44"/>
  <c r="W453" i="44" s="1"/>
  <c r="I256" i="44"/>
  <c r="I458" i="44" s="1"/>
  <c r="O266" i="44"/>
  <c r="O468" i="44" s="1"/>
  <c r="X256" i="44"/>
  <c r="M262" i="44"/>
  <c r="K258" i="44"/>
  <c r="K460" i="44" s="1"/>
  <c r="W252" i="44"/>
  <c r="W454" i="44" s="1"/>
  <c r="W265" i="44"/>
  <c r="W467" i="44" s="1"/>
  <c r="I264" i="44"/>
  <c r="I466" i="44" s="1"/>
  <c r="Y249" i="44"/>
  <c r="F249" i="44"/>
  <c r="F451" i="44" s="1"/>
  <c r="G266" i="44"/>
  <c r="F271" i="44"/>
  <c r="F473" i="44" s="1"/>
  <c r="K261" i="44"/>
  <c r="K463" i="44" s="1"/>
  <c r="I257" i="44"/>
  <c r="I459" i="44" s="1"/>
  <c r="Y259" i="44"/>
  <c r="I255" i="44"/>
  <c r="X264" i="44"/>
  <c r="O268" i="44"/>
  <c r="X257" i="44"/>
  <c r="P256" i="44"/>
  <c r="O269" i="44"/>
  <c r="Y256" i="44"/>
  <c r="O252" i="44"/>
  <c r="O454" i="44" s="1"/>
  <c r="J250" i="44"/>
  <c r="I252" i="44"/>
  <c r="I454" i="44" s="1"/>
  <c r="J269" i="44"/>
  <c r="G261" i="44"/>
  <c r="I250" i="44"/>
  <c r="I452" i="44" s="1"/>
  <c r="Y250" i="44"/>
  <c r="Y255" i="44"/>
  <c r="W266" i="44"/>
  <c r="W468" i="44" s="1"/>
  <c r="E272" i="44"/>
  <c r="E474" i="44" s="1"/>
  <c r="P250" i="44"/>
  <c r="G250" i="44"/>
  <c r="X253" i="44"/>
  <c r="E255" i="44"/>
  <c r="E457" i="44" s="1"/>
  <c r="G259" i="44"/>
  <c r="G253" i="44"/>
  <c r="L252" i="44"/>
  <c r="F265" i="44"/>
  <c r="K252" i="44"/>
  <c r="K454" i="44" s="1"/>
  <c r="W259" i="44"/>
  <c r="W264" i="44"/>
  <c r="W466" i="44" s="1"/>
  <c r="P268" i="44"/>
  <c r="W257" i="44"/>
  <c r="W459" i="44" s="1"/>
  <c r="N271" i="44"/>
  <c r="O271" i="44"/>
  <c r="O473" i="44" s="1"/>
  <c r="P252" i="44"/>
  <c r="J264" i="44"/>
  <c r="X261" i="44"/>
  <c r="M255" i="44"/>
  <c r="Y253" i="44"/>
  <c r="M263" i="44"/>
  <c r="L264" i="44"/>
  <c r="L466" i="44" s="1"/>
  <c r="F263" i="44"/>
  <c r="F465" i="44" s="1"/>
  <c r="L266" i="44"/>
  <c r="L468" i="44" s="1"/>
  <c r="L250" i="44"/>
  <c r="L452" i="44" s="1"/>
  <c r="O255" i="44"/>
  <c r="O457" i="44" s="1"/>
  <c r="J271" i="44"/>
  <c r="N265" i="44"/>
  <c r="G251" i="44"/>
  <c r="I269" i="44"/>
  <c r="W258" i="44"/>
  <c r="H259" i="44"/>
  <c r="W261" i="44"/>
  <c r="L269" i="44"/>
  <c r="L471" i="44" s="1"/>
  <c r="F264" i="44"/>
  <c r="F466" i="44" s="1"/>
  <c r="E268" i="44"/>
  <c r="E470" i="44" s="1"/>
  <c r="M265" i="44"/>
  <c r="X259" i="44"/>
  <c r="E267" i="44"/>
  <c r="E469" i="44" s="1"/>
  <c r="K260" i="44"/>
  <c r="K462" i="44" s="1"/>
  <c r="P255" i="44"/>
  <c r="N252" i="44"/>
  <c r="N256" i="44"/>
  <c r="I271" i="44"/>
  <c r="I473" i="44" s="1"/>
  <c r="J265" i="44"/>
  <c r="L262" i="44"/>
  <c r="L464" i="44" s="1"/>
  <c r="I253" i="44"/>
  <c r="I455" i="44" s="1"/>
  <c r="N249" i="44"/>
  <c r="O259" i="44"/>
  <c r="O461" i="44" s="1"/>
  <c r="K265" i="44"/>
  <c r="K271" i="44"/>
  <c r="K473" i="44" s="1"/>
  <c r="P260" i="44"/>
  <c r="G270" i="44"/>
  <c r="H271" i="44"/>
  <c r="K266" i="44"/>
  <c r="K468" i="44" s="1"/>
  <c r="E250" i="44"/>
  <c r="E452" i="44" s="1"/>
  <c r="K272" i="44"/>
  <c r="K474" i="44" s="1"/>
  <c r="N250" i="44"/>
  <c r="J252" i="44"/>
  <c r="Y251" i="44"/>
  <c r="J256" i="44"/>
  <c r="P266" i="44"/>
  <c r="I265" i="44"/>
  <c r="I467" i="44" s="1"/>
  <c r="F266" i="44"/>
  <c r="F468" i="44" s="1"/>
  <c r="E265" i="44"/>
  <c r="E467" i="44" s="1"/>
  <c r="Y270" i="44"/>
  <c r="G254" i="44"/>
  <c r="H258" i="44"/>
  <c r="H460" i="44" s="1"/>
  <c r="P261" i="44"/>
  <c r="Y261" i="44"/>
  <c r="O250" i="44"/>
  <c r="O452" i="44" s="1"/>
  <c r="F251" i="44"/>
  <c r="W270" i="44"/>
  <c r="P249" i="44"/>
  <c r="J254" i="44"/>
  <c r="G262" i="44"/>
  <c r="E271" i="44"/>
  <c r="K268" i="44"/>
  <c r="K470" i="44" s="1"/>
  <c r="O265" i="44"/>
  <c r="O467" i="44" s="1"/>
  <c r="P271" i="44"/>
  <c r="N251" i="44"/>
  <c r="W256" i="44"/>
  <c r="W458" i="44" s="1"/>
  <c r="J249" i="44"/>
  <c r="X250" i="44"/>
  <c r="P259" i="44"/>
  <c r="X255" i="44"/>
  <c r="M260" i="44"/>
  <c r="G265" i="44"/>
  <c r="J266" i="44"/>
  <c r="N258" i="44"/>
  <c r="X262" i="44"/>
  <c r="N260" i="44"/>
  <c r="J259" i="44"/>
  <c r="M250" i="44"/>
  <c r="G257" i="44"/>
  <c r="E264" i="44"/>
  <c r="I266" i="44"/>
  <c r="Y266" i="44"/>
  <c r="Y265" i="44"/>
  <c r="J260" i="44"/>
  <c r="Y258" i="44"/>
  <c r="M251" i="44"/>
  <c r="O261" i="44"/>
  <c r="O463" i="44" s="1"/>
  <c r="I260" i="44"/>
  <c r="I462" i="44" s="1"/>
  <c r="X258" i="44"/>
  <c r="J261" i="44"/>
  <c r="G271" i="44"/>
  <c r="H268" i="44"/>
  <c r="H470" i="44" s="1"/>
  <c r="E266" i="44"/>
  <c r="E468" i="44" s="1"/>
  <c r="H272" i="44"/>
  <c r="H474" i="44" s="1"/>
  <c r="P265" i="44"/>
  <c r="N262" i="44"/>
  <c r="J251" i="44"/>
  <c r="N263" i="44"/>
  <c r="I249" i="44"/>
  <c r="I451" i="44" s="1"/>
  <c r="Y272" i="44"/>
  <c r="O257" i="44"/>
  <c r="O262" i="44"/>
  <c r="Y269" i="44"/>
  <c r="Y271" i="44"/>
  <c r="W250" i="44"/>
  <c r="W255" i="44"/>
  <c r="W457" i="44" s="1"/>
  <c r="N259" i="44"/>
  <c r="X268" i="44"/>
  <c r="I262" i="44"/>
  <c r="I464" i="44" s="1"/>
  <c r="W271" i="44"/>
  <c r="W473" i="44" s="1"/>
  <c r="N264" i="44"/>
  <c r="X263" i="44"/>
  <c r="N269" i="44"/>
  <c r="F260" i="44"/>
  <c r="F462" i="44" s="1"/>
  <c r="H253" i="44"/>
  <c r="H455" i="44" s="1"/>
  <c r="Y252" i="44"/>
  <c r="J258" i="44"/>
  <c r="W262" i="44"/>
  <c r="W464" i="44" s="1"/>
  <c r="W263" i="44"/>
  <c r="W465" i="44" s="1"/>
  <c r="I259" i="44"/>
  <c r="I461" i="44" s="1"/>
  <c r="G260" i="44"/>
  <c r="X266" i="44"/>
  <c r="E257" i="44"/>
  <c r="X270" i="44"/>
  <c r="N254" i="44"/>
  <c r="L260" i="44"/>
  <c r="X251" i="44"/>
  <c r="M258" i="44"/>
  <c r="K259" i="44"/>
  <c r="K461" i="44" s="1"/>
  <c r="K250" i="44"/>
  <c r="K452" i="44" s="1"/>
  <c r="E259" i="44"/>
  <c r="E461" i="44" s="1"/>
  <c r="J253" i="44"/>
  <c r="N266" i="44"/>
  <c r="J262" i="44"/>
  <c r="I251" i="44"/>
  <c r="I453" i="44" s="1"/>
  <c r="J263" i="44"/>
  <c r="X272" i="44"/>
  <c r="Y262" i="44"/>
  <c r="P257" i="44"/>
  <c r="P262" i="44"/>
  <c r="W269" i="44"/>
  <c r="W471" i="44" s="1"/>
  <c r="X271" i="44"/>
  <c r="Y263" i="44"/>
  <c r="E262" i="44"/>
  <c r="N253" i="44"/>
  <c r="I263" i="44"/>
  <c r="W272" i="44"/>
  <c r="P270" i="44"/>
  <c r="L258" i="44"/>
  <c r="L460" i="44" s="1"/>
  <c r="O270" i="44"/>
  <c r="O472" i="44" s="1"/>
  <c r="G255" i="44"/>
  <c r="I258" i="44"/>
  <c r="I460" i="44" s="1"/>
  <c r="O249" i="44"/>
  <c r="O451" i="44" s="1"/>
  <c r="X249" i="44"/>
  <c r="M268" i="44"/>
  <c r="H265" i="44"/>
  <c r="H467" i="44" s="1"/>
  <c r="L261" i="44"/>
  <c r="L463" i="44" s="1"/>
  <c r="H264" i="44"/>
  <c r="H466" i="44" s="1"/>
  <c r="F259" i="44"/>
  <c r="F461" i="44" s="1"/>
  <c r="H267" i="44"/>
  <c r="H469" i="44" s="1"/>
  <c r="J268" i="44"/>
  <c r="O263" i="44"/>
  <c r="O465" i="44" s="1"/>
  <c r="O251" i="44"/>
  <c r="O453" i="44" s="1"/>
  <c r="F253" i="44"/>
  <c r="F455" i="44" s="1"/>
  <c r="H269" i="44"/>
  <c r="H471" i="44" s="1"/>
  <c r="I268" i="44"/>
  <c r="I470" i="44" s="1"/>
  <c r="P263" i="44"/>
  <c r="O267" i="44"/>
  <c r="Y254" i="44"/>
  <c r="N267" i="44"/>
  <c r="P251" i="44"/>
  <c r="K249" i="44"/>
  <c r="M270" i="44"/>
  <c r="G263" i="44"/>
  <c r="M261" i="44"/>
  <c r="F257" i="44"/>
  <c r="F459" i="44" s="1"/>
  <c r="N261" i="44"/>
  <c r="O253" i="44"/>
  <c r="O455" i="44" s="1"/>
  <c r="N272" i="44"/>
  <c r="P267" i="44"/>
  <c r="X254" i="44"/>
  <c r="O272" i="44"/>
  <c r="O474" i="44" s="1"/>
  <c r="J267" i="44"/>
  <c r="O258" i="44"/>
  <c r="O460" i="44" s="1"/>
  <c r="Y260" i="44"/>
  <c r="H252" i="44"/>
  <c r="H454" i="44" s="1"/>
  <c r="G256" i="44"/>
  <c r="L249" i="44"/>
  <c r="L451" i="44" s="1"/>
  <c r="F258" i="44"/>
  <c r="F460" i="44" s="1"/>
  <c r="P253" i="44"/>
  <c r="Y267" i="44"/>
  <c r="J272" i="44"/>
  <c r="W254" i="44"/>
  <c r="O254" i="44"/>
  <c r="O456" i="44" s="1"/>
  <c r="P272" i="44"/>
  <c r="I267" i="44"/>
  <c r="I469" i="44" s="1"/>
  <c r="Y268" i="44"/>
  <c r="N270" i="44"/>
  <c r="L255" i="44"/>
  <c r="L457" i="44" s="1"/>
  <c r="W268" i="44"/>
  <c r="W470" i="44" s="1"/>
  <c r="O260" i="44"/>
  <c r="O462" i="44" s="1"/>
  <c r="M259" i="44"/>
  <c r="G346" i="44"/>
  <c r="I424" i="44"/>
  <c r="G365" i="44"/>
  <c r="J278" i="44"/>
  <c r="O318" i="44"/>
  <c r="O520" i="44" s="1"/>
  <c r="N319" i="44"/>
  <c r="N303" i="44"/>
  <c r="I371" i="44"/>
  <c r="I274" i="44"/>
  <c r="I476" i="44" s="1"/>
  <c r="X367" i="44"/>
  <c r="P299" i="44"/>
  <c r="J298" i="44"/>
  <c r="W316" i="44"/>
  <c r="W518" i="44" s="1"/>
  <c r="L312" i="44"/>
  <c r="L514" i="44" s="1"/>
  <c r="F319" i="44"/>
  <c r="F521" i="44" s="1"/>
  <c r="K300" i="44"/>
  <c r="K502" i="44" s="1"/>
  <c r="G310" i="44"/>
  <c r="H304" i="44"/>
  <c r="H506" i="44" s="1"/>
  <c r="M313" i="44"/>
  <c r="E358" i="44"/>
  <c r="E560" i="44" s="1"/>
  <c r="G315" i="44"/>
  <c r="N278" i="44"/>
  <c r="P305" i="44"/>
  <c r="I534" i="44"/>
  <c r="N313" i="44"/>
  <c r="J311" i="44"/>
  <c r="J319" i="44"/>
  <c r="X318" i="44"/>
  <c r="J274" i="44"/>
  <c r="Y367" i="44"/>
  <c r="O299" i="44"/>
  <c r="N298" i="44"/>
  <c r="F304" i="44"/>
  <c r="F506" i="44" s="1"/>
  <c r="G364" i="44"/>
  <c r="L307" i="44"/>
  <c r="L509" i="44" s="1"/>
  <c r="G305" i="44"/>
  <c r="F215" i="44"/>
  <c r="F417" i="44" s="1"/>
  <c r="G203" i="44"/>
  <c r="M301" i="44"/>
  <c r="X213" i="44"/>
  <c r="H348" i="44"/>
  <c r="H550" i="44" s="1"/>
  <c r="Y289" i="44"/>
  <c r="J307" i="44"/>
  <c r="O277" i="44"/>
  <c r="O479" i="44" s="1"/>
  <c r="E308" i="44"/>
  <c r="E510" i="44" s="1"/>
  <c r="G350" i="44"/>
  <c r="N307" i="44"/>
  <c r="Y302" i="44"/>
  <c r="W305" i="44"/>
  <c r="W507" i="44" s="1"/>
  <c r="Y312" i="44"/>
  <c r="E534" i="44"/>
  <c r="I305" i="44"/>
  <c r="O360" i="44"/>
  <c r="O562" i="44" s="1"/>
  <c r="J312" i="44"/>
  <c r="F311" i="44"/>
  <c r="F300" i="44"/>
  <c r="L298" i="44"/>
  <c r="F282" i="44"/>
  <c r="F484" i="44" s="1"/>
  <c r="L317" i="44"/>
  <c r="L519" i="44" s="1"/>
  <c r="E205" i="44"/>
  <c r="M319" i="44"/>
  <c r="K317" i="44"/>
  <c r="K519" i="44" s="1"/>
  <c r="F202" i="44"/>
  <c r="F404" i="44" s="1"/>
  <c r="G304" i="44"/>
  <c r="G307" i="44"/>
  <c r="H307" i="44"/>
  <c r="H509" i="44" s="1"/>
  <c r="K313" i="44"/>
  <c r="K515" i="44" s="1"/>
  <c r="W304" i="44"/>
  <c r="W506" i="44" s="1"/>
  <c r="X304" i="44"/>
  <c r="P308" i="44"/>
  <c r="J320" i="44"/>
  <c r="I309" i="44"/>
  <c r="I511" i="44" s="1"/>
  <c r="Y305" i="44"/>
  <c r="J305" i="44"/>
  <c r="W315" i="44"/>
  <c r="H300" i="44"/>
  <c r="H205" i="44"/>
  <c r="L279" i="44"/>
  <c r="L481" i="44" s="1"/>
  <c r="Y315" i="44"/>
  <c r="G222" i="44"/>
  <c r="E204" i="44"/>
  <c r="E406" i="44" s="1"/>
  <c r="K223" i="44"/>
  <c r="K425" i="44" s="1"/>
  <c r="E207" i="44"/>
  <c r="E409" i="44" s="1"/>
  <c r="N312" i="44"/>
  <c r="M205" i="44"/>
  <c r="M201" i="44"/>
  <c r="E221" i="44"/>
  <c r="E423" i="44" s="1"/>
  <c r="H248" i="44"/>
  <c r="H450" i="44" s="1"/>
  <c r="F243" i="44"/>
  <c r="F445" i="44" s="1"/>
  <c r="M234" i="44"/>
  <c r="F235" i="44"/>
  <c r="F437" i="44" s="1"/>
  <c r="H226" i="44"/>
  <c r="H428" i="44" s="1"/>
  <c r="K229" i="44"/>
  <c r="K431" i="44" s="1"/>
  <c r="K236" i="44"/>
  <c r="K438" i="44" s="1"/>
  <c r="G226" i="44"/>
  <c r="O349" i="44"/>
  <c r="W302" i="44"/>
  <c r="W504" i="44" s="1"/>
  <c r="X305" i="44"/>
  <c r="W312" i="44"/>
  <c r="W514" i="44" s="1"/>
  <c r="H274" i="44"/>
  <c r="H476" i="44" s="1"/>
  <c r="F309" i="44"/>
  <c r="G316" i="44"/>
  <c r="Y304" i="44"/>
  <c r="O308" i="44"/>
  <c r="O510" i="44" s="1"/>
  <c r="I320" i="44"/>
  <c r="I522" i="44" s="1"/>
  <c r="P310" i="44"/>
  <c r="J304" i="44"/>
  <c r="J309" i="44"/>
  <c r="W320" i="44"/>
  <c r="W522" i="44" s="1"/>
  <c r="P276" i="44"/>
  <c r="N305" i="44"/>
  <c r="X315" i="44"/>
  <c r="M307" i="44"/>
  <c r="L219" i="44"/>
  <c r="L421" i="44" s="1"/>
  <c r="W220" i="44"/>
  <c r="W422" i="44" s="1"/>
  <c r="M302" i="44"/>
  <c r="F305" i="44"/>
  <c r="F507" i="44" s="1"/>
  <c r="K209" i="44"/>
  <c r="K411" i="44" s="1"/>
  <c r="G374" i="44"/>
  <c r="L222" i="44"/>
  <c r="G219" i="44"/>
  <c r="L202" i="44"/>
  <c r="G313" i="44"/>
  <c r="K228" i="44"/>
  <c r="K430" i="44" s="1"/>
  <c r="H238" i="44"/>
  <c r="H440" i="44" s="1"/>
  <c r="F234" i="44"/>
  <c r="F436" i="44" s="1"/>
  <c r="H242" i="44"/>
  <c r="H444" i="44" s="1"/>
  <c r="N368" i="44"/>
  <c r="P349" i="44"/>
  <c r="N304" i="44"/>
  <c r="Y320" i="44"/>
  <c r="M304" i="44"/>
  <c r="P307" i="44"/>
  <c r="W319" i="44"/>
  <c r="W521" i="44" s="1"/>
  <c r="I300" i="44"/>
  <c r="I502" i="44" s="1"/>
  <c r="W364" i="44"/>
  <c r="W566" i="44" s="1"/>
  <c r="P304" i="44"/>
  <c r="I302" i="44"/>
  <c r="I504" i="44" s="1"/>
  <c r="J318" i="44"/>
  <c r="I312" i="44"/>
  <c r="G298" i="44"/>
  <c r="E319" i="44"/>
  <c r="K311" i="44"/>
  <c r="K513" i="44" s="1"/>
  <c r="M353" i="44"/>
  <c r="M345" i="44"/>
  <c r="F307" i="44"/>
  <c r="K218" i="44"/>
  <c r="K420" i="44" s="1"/>
  <c r="L221" i="44"/>
  <c r="L423" i="44" s="1"/>
  <c r="F363" i="44"/>
  <c r="F565" i="44" s="1"/>
  <c r="L313" i="44"/>
  <c r="L515" i="44" s="1"/>
  <c r="V247" i="44"/>
  <c r="V449" i="44" s="1"/>
  <c r="T232" i="44"/>
  <c r="T434" i="44" s="1"/>
  <c r="U227" i="44"/>
  <c r="S246" i="44"/>
  <c r="R231" i="44"/>
  <c r="R433" i="44" s="1"/>
  <c r="Q244" i="44"/>
  <c r="Q446" i="44" s="1"/>
  <c r="U248" i="44"/>
  <c r="V242" i="44"/>
  <c r="V444" i="44" s="1"/>
  <c r="U240" i="44"/>
  <c r="T240" i="44"/>
  <c r="T442" i="44" s="1"/>
  <c r="U238" i="44"/>
  <c r="U229" i="44"/>
  <c r="V226" i="44"/>
  <c r="V428" i="44" s="1"/>
  <c r="Q239" i="44"/>
  <c r="V228" i="44"/>
  <c r="V430" i="44" s="1"/>
  <c r="T242" i="44"/>
  <c r="T444" i="44" s="1"/>
  <c r="R237" i="44"/>
  <c r="R439" i="44" s="1"/>
  <c r="Q248" i="44"/>
  <c r="Q450" i="44" s="1"/>
  <c r="V248" i="44"/>
  <c r="V450" i="44" s="1"/>
  <c r="Q243" i="44"/>
  <c r="Q445" i="44" s="1"/>
  <c r="T248" i="44"/>
  <c r="T450" i="44" s="1"/>
  <c r="U234" i="44"/>
  <c r="T235" i="44"/>
  <c r="T437" i="44" s="1"/>
  <c r="S235" i="44"/>
  <c r="T231" i="44"/>
  <c r="T433" i="44" s="1"/>
  <c r="Q233" i="44"/>
  <c r="Q435" i="44" s="1"/>
  <c r="U225" i="44"/>
  <c r="Q236" i="44"/>
  <c r="Q438" i="44" s="1"/>
  <c r="R246" i="44"/>
  <c r="R448" i="44" s="1"/>
  <c r="V241" i="44"/>
  <c r="V443" i="44" s="1"/>
  <c r="Q235" i="44"/>
  <c r="Q437" i="44" s="1"/>
  <c r="U233" i="44"/>
  <c r="S245" i="44"/>
  <c r="R228" i="44"/>
  <c r="R430" i="44" s="1"/>
  <c r="Q242" i="44"/>
  <c r="Q444" i="44" s="1"/>
  <c r="Q246" i="44"/>
  <c r="Q448" i="44" s="1"/>
  <c r="X228" i="44"/>
  <c r="S242" i="44"/>
  <c r="U247" i="44"/>
  <c r="V244" i="44"/>
  <c r="V446" i="44" s="1"/>
  <c r="U232" i="44"/>
  <c r="U246" i="44"/>
  <c r="T234" i="44"/>
  <c r="T436" i="44" s="1"/>
  <c r="R227" i="44"/>
  <c r="R429" i="44" s="1"/>
  <c r="R236" i="44"/>
  <c r="R438" i="44" s="1"/>
  <c r="S238" i="44"/>
  <c r="T247" i="44"/>
  <c r="T449" i="44" s="1"/>
  <c r="Q247" i="44"/>
  <c r="Q449" i="44" s="1"/>
  <c r="S240" i="44"/>
  <c r="S241" i="44"/>
  <c r="Q230" i="44"/>
  <c r="Q432" i="44" s="1"/>
  <c r="T226" i="44"/>
  <c r="T428" i="44" s="1"/>
  <c r="U239" i="44"/>
  <c r="Q238" i="44"/>
  <c r="Q440" i="44" s="1"/>
  <c r="T225" i="44"/>
  <c r="T427" i="44" s="1"/>
  <c r="Q231" i="44"/>
  <c r="Q433" i="44" s="1"/>
  <c r="Q225" i="44"/>
  <c r="Q427" i="44" s="1"/>
  <c r="Q234" i="44"/>
  <c r="V227" i="44"/>
  <c r="V429" i="44" s="1"/>
  <c r="V234" i="44"/>
  <c r="V436" i="44" s="1"/>
  <c r="U245" i="44"/>
  <c r="S234" i="44"/>
  <c r="R235" i="44"/>
  <c r="R437" i="44" s="1"/>
  <c r="R244" i="44"/>
  <c r="R446" i="44" s="1"/>
  <c r="T243" i="44"/>
  <c r="T445" i="44" s="1"/>
  <c r="V233" i="44"/>
  <c r="V435" i="44" s="1"/>
  <c r="S225" i="44"/>
  <c r="U242" i="44"/>
  <c r="R229" i="44"/>
  <c r="R431" i="44" s="1"/>
  <c r="S229" i="44"/>
  <c r="T244" i="44"/>
  <c r="T446" i="44" s="1"/>
  <c r="X244" i="44"/>
  <c r="V232" i="44"/>
  <c r="V434" i="44" s="1"/>
  <c r="V239" i="44"/>
  <c r="V441" i="44" s="1"/>
  <c r="U230" i="44"/>
  <c r="T239" i="44"/>
  <c r="T441" i="44" s="1"/>
  <c r="S236" i="44"/>
  <c r="S247" i="44"/>
  <c r="V235" i="44"/>
  <c r="V437" i="44" s="1"/>
  <c r="T229" i="44"/>
  <c r="T431" i="44" s="1"/>
  <c r="S244" i="44"/>
  <c r="R226" i="44"/>
  <c r="R428" i="44" s="1"/>
  <c r="R243" i="44"/>
  <c r="R445" i="44" s="1"/>
  <c r="R230" i="44"/>
  <c r="R432" i="44" s="1"/>
  <c r="R239" i="44"/>
  <c r="R441" i="44" s="1"/>
  <c r="S230" i="44"/>
  <c r="U235" i="44"/>
  <c r="V236" i="44"/>
  <c r="V438" i="44" s="1"/>
  <c r="T241" i="44"/>
  <c r="T443" i="44" s="1"/>
  <c r="Q240" i="44"/>
  <c r="Q442" i="44" s="1"/>
  <c r="V240" i="44"/>
  <c r="V442" i="44" s="1"/>
  <c r="R238" i="44"/>
  <c r="R440" i="44" s="1"/>
  <c r="V243" i="44"/>
  <c r="V445" i="44" s="1"/>
  <c r="T238" i="44"/>
  <c r="T440" i="44" s="1"/>
  <c r="S231" i="44"/>
  <c r="R234" i="44"/>
  <c r="R436" i="44" s="1"/>
  <c r="Q229" i="44"/>
  <c r="Q431" i="44" s="1"/>
  <c r="U244" i="44"/>
  <c r="R245" i="44"/>
  <c r="R447" i="44" s="1"/>
  <c r="S232" i="44"/>
  <c r="S233" i="44"/>
  <c r="U241" i="44"/>
  <c r="R247" i="44"/>
  <c r="R449" i="44" s="1"/>
  <c r="U231" i="44"/>
  <c r="V237" i="44"/>
  <c r="V439" i="44" s="1"/>
  <c r="Q245" i="44"/>
  <c r="Q447" i="44" s="1"/>
  <c r="T228" i="44"/>
  <c r="T430" i="44" s="1"/>
  <c r="S243" i="44"/>
  <c r="R242" i="44"/>
  <c r="R444" i="44" s="1"/>
  <c r="Q232" i="44"/>
  <c r="Q434" i="44" s="1"/>
  <c r="U243" i="44"/>
  <c r="V229" i="44"/>
  <c r="V431" i="44" s="1"/>
  <c r="V245" i="44"/>
  <c r="V447" i="44" s="1"/>
  <c r="R248" i="44"/>
  <c r="R450" i="44" s="1"/>
  <c r="V230" i="44"/>
  <c r="V432" i="44" s="1"/>
  <c r="T227" i="44"/>
  <c r="T429" i="44" s="1"/>
  <c r="T237" i="44"/>
  <c r="T439" i="44" s="1"/>
  <c r="R225" i="44"/>
  <c r="R427" i="44" s="1"/>
  <c r="Q241" i="44"/>
  <c r="Q443" i="44" s="1"/>
  <c r="S228" i="44"/>
  <c r="S248" i="44"/>
  <c r="U237" i="44"/>
  <c r="T233" i="44"/>
  <c r="T435" i="44" s="1"/>
  <c r="V231" i="44"/>
  <c r="S226" i="44"/>
  <c r="S237" i="44"/>
  <c r="V238" i="44"/>
  <c r="V440" i="44" s="1"/>
  <c r="T236" i="44"/>
  <c r="T438" i="44" s="1"/>
  <c r="T246" i="44"/>
  <c r="T448" i="44" s="1"/>
  <c r="R233" i="44"/>
  <c r="R435" i="44" s="1"/>
  <c r="T230" i="44"/>
  <c r="T432" i="44" s="1"/>
  <c r="S227" i="44"/>
  <c r="V246" i="44"/>
  <c r="V448" i="44" s="1"/>
  <c r="U228" i="44"/>
  <c r="T245" i="44"/>
  <c r="T447" i="44" s="1"/>
  <c r="R232" i="44"/>
  <c r="R434" i="44" s="1"/>
  <c r="R241" i="44"/>
  <c r="R443" i="44" s="1"/>
  <c r="Q227" i="44"/>
  <c r="Q429" i="44" s="1"/>
  <c r="U236" i="44"/>
  <c r="V225" i="44"/>
  <c r="V427" i="44" s="1"/>
  <c r="R240" i="44"/>
  <c r="R442" i="44" s="1"/>
  <c r="Q228" i="44"/>
  <c r="Q430" i="44" s="1"/>
  <c r="U226" i="44"/>
  <c r="S239" i="44"/>
  <c r="Q226" i="44"/>
  <c r="Q237" i="44"/>
  <c r="Q439" i="44" s="1"/>
  <c r="G240" i="44"/>
  <c r="E237" i="44"/>
  <c r="E439" i="44" s="1"/>
  <c r="M238" i="44"/>
  <c r="G236" i="44"/>
  <c r="M230" i="44"/>
  <c r="E238" i="44"/>
  <c r="E440" i="44" s="1"/>
  <c r="M247" i="44"/>
  <c r="E243" i="44"/>
  <c r="E445" i="44" s="1"/>
  <c r="F233" i="44"/>
  <c r="F435" i="44" s="1"/>
  <c r="P277" i="44"/>
  <c r="G286" i="44"/>
  <c r="K345" i="44"/>
  <c r="K547" i="44" s="1"/>
  <c r="Y319" i="44"/>
  <c r="J300" i="44"/>
  <c r="I439" i="44"/>
  <c r="P317" i="44"/>
  <c r="I317" i="44"/>
  <c r="I519" i="44" s="1"/>
  <c r="O304" i="44"/>
  <c r="O506" i="44" s="1"/>
  <c r="N302" i="44"/>
  <c r="I308" i="44"/>
  <c r="X316" i="44"/>
  <c r="Y353" i="44"/>
  <c r="H319" i="44"/>
  <c r="H521" i="44" s="1"/>
  <c r="Y299" i="44"/>
  <c r="H320" i="44"/>
  <c r="H522" i="44" s="1"/>
  <c r="M300" i="44"/>
  <c r="E301" i="44"/>
  <c r="E503" i="44" s="1"/>
  <c r="E314" i="44"/>
  <c r="E516" i="44" s="1"/>
  <c r="E223" i="44"/>
  <c r="E425" i="44" s="1"/>
  <c r="K299" i="44"/>
  <c r="K501" i="44" s="1"/>
  <c r="G299" i="44"/>
  <c r="X229" i="44"/>
  <c r="X245" i="44"/>
  <c r="K246" i="44"/>
  <c r="K448" i="44" s="1"/>
  <c r="G246" i="44"/>
  <c r="E242" i="44"/>
  <c r="E444" i="44" s="1"/>
  <c r="H237" i="44"/>
  <c r="H439" i="44" s="1"/>
  <c r="G243" i="44"/>
  <c r="L353" i="44"/>
  <c r="L555" i="44" s="1"/>
  <c r="W365" i="44"/>
  <c r="W567" i="44" s="1"/>
  <c r="H384" i="44"/>
  <c r="H586" i="44" s="1"/>
  <c r="X319" i="44"/>
  <c r="N318" i="44"/>
  <c r="E305" i="44"/>
  <c r="E507" i="44" s="1"/>
  <c r="I316" i="44"/>
  <c r="I518" i="44" s="1"/>
  <c r="P311" i="44"/>
  <c r="N300" i="44"/>
  <c r="O317" i="44"/>
  <c r="O519" i="44" s="1"/>
  <c r="J317" i="44"/>
  <c r="N365" i="44"/>
  <c r="P275" i="44"/>
  <c r="P297" i="44"/>
  <c r="J308" i="44"/>
  <c r="W308" i="44"/>
  <c r="W510" i="44" s="1"/>
  <c r="Y313" i="44"/>
  <c r="L220" i="44"/>
  <c r="L422" i="44" s="1"/>
  <c r="F320" i="44"/>
  <c r="F522" i="44" s="1"/>
  <c r="E320" i="44"/>
  <c r="E522" i="44" s="1"/>
  <c r="Y298" i="44"/>
  <c r="G204" i="44"/>
  <c r="G224" i="44"/>
  <c r="M315" i="44"/>
  <c r="E213" i="44"/>
  <c r="E415" i="44" s="1"/>
  <c r="L206" i="44"/>
  <c r="K314" i="44"/>
  <c r="K516" i="44" s="1"/>
  <c r="E222" i="44"/>
  <c r="E424" i="44" s="1"/>
  <c r="L238" i="44"/>
  <c r="L440" i="44" s="1"/>
  <c r="M236" i="44"/>
  <c r="G244" i="44"/>
  <c r="H247" i="44"/>
  <c r="H449" i="44" s="1"/>
  <c r="G238" i="44"/>
  <c r="M228" i="44"/>
  <c r="K244" i="44"/>
  <c r="K446" i="44" s="1"/>
  <c r="J350" i="44"/>
  <c r="F280" i="44"/>
  <c r="F482" i="44" s="1"/>
  <c r="L309" i="44"/>
  <c r="L511" i="44" s="1"/>
  <c r="E300" i="44"/>
  <c r="E502" i="44" s="1"/>
  <c r="X365" i="44"/>
  <c r="W311" i="44"/>
  <c r="W513" i="44" s="1"/>
  <c r="X311" i="44"/>
  <c r="I287" i="44"/>
  <c r="I489" i="44" s="1"/>
  <c r="J316" i="44"/>
  <c r="O311" i="44"/>
  <c r="O513" i="44" s="1"/>
  <c r="N317" i="44"/>
  <c r="P313" i="44"/>
  <c r="O275" i="44"/>
  <c r="O477" i="44" s="1"/>
  <c r="I543" i="44"/>
  <c r="O297" i="44"/>
  <c r="O499" i="44" s="1"/>
  <c r="N308" i="44"/>
  <c r="W298" i="44"/>
  <c r="W500" i="44" s="1"/>
  <c r="H313" i="44"/>
  <c r="H515" i="44" s="1"/>
  <c r="K206" i="44"/>
  <c r="K408" i="44" s="1"/>
  <c r="K307" i="44"/>
  <c r="K509" i="44" s="1"/>
  <c r="G312" i="44"/>
  <c r="M215" i="44"/>
  <c r="E216" i="44"/>
  <c r="E418" i="44" s="1"/>
  <c r="K204" i="44"/>
  <c r="K406" i="44" s="1"/>
  <c r="H218" i="44"/>
  <c r="H420" i="44" s="1"/>
  <c r="E226" i="44"/>
  <c r="E428" i="44" s="1"/>
  <c r="M244" i="44"/>
  <c r="H225" i="44"/>
  <c r="H427" i="44" s="1"/>
  <c r="F231" i="44"/>
  <c r="F433" i="44" s="1"/>
  <c r="F248" i="44"/>
  <c r="F450" i="44" s="1"/>
  <c r="N349" i="44"/>
  <c r="Y306" i="44"/>
  <c r="F283" i="44"/>
  <c r="F485" i="44" s="1"/>
  <c r="K312" i="44"/>
  <c r="K514" i="44" s="1"/>
  <c r="O307" i="44"/>
  <c r="Y311" i="44"/>
  <c r="J287" i="44"/>
  <c r="W307" i="44"/>
  <c r="W509" i="44" s="1"/>
  <c r="N316" i="44"/>
  <c r="I283" i="44"/>
  <c r="I485" i="44" s="1"/>
  <c r="O313" i="44"/>
  <c r="O515" i="44" s="1"/>
  <c r="I279" i="44"/>
  <c r="I481" i="44" s="1"/>
  <c r="P309" i="44"/>
  <c r="P314" i="44"/>
  <c r="W309" i="44"/>
  <c r="W511" i="44" s="1"/>
  <c r="X314" i="44"/>
  <c r="L372" i="44"/>
  <c r="L574" i="44" s="1"/>
  <c r="K349" i="44"/>
  <c r="K551" i="44" s="1"/>
  <c r="H317" i="44"/>
  <c r="H519" i="44" s="1"/>
  <c r="K279" i="44"/>
  <c r="K481" i="44" s="1"/>
  <c r="L316" i="44"/>
  <c r="L518" i="44" s="1"/>
  <c r="G320" i="44"/>
  <c r="F213" i="44"/>
  <c r="F415" i="44" s="1"/>
  <c r="G206" i="44"/>
  <c r="F209" i="44"/>
  <c r="F411" i="44" s="1"/>
  <c r="F224" i="44"/>
  <c r="F426" i="44" s="1"/>
  <c r="M316" i="44"/>
  <c r="L237" i="44"/>
  <c r="L439" i="44" s="1"/>
  <c r="E239" i="44"/>
  <c r="E441" i="44" s="1"/>
  <c r="E248" i="44"/>
  <c r="E450" i="44" s="1"/>
  <c r="K240" i="44"/>
  <c r="K442" i="44" s="1"/>
  <c r="F227" i="44"/>
  <c r="F429" i="44" s="1"/>
  <c r="E233" i="44"/>
  <c r="E435" i="44" s="1"/>
  <c r="M233" i="44"/>
  <c r="G353" i="44"/>
  <c r="I318" i="44"/>
  <c r="I520" i="44" s="1"/>
  <c r="H314" i="44"/>
  <c r="H516" i="44" s="1"/>
  <c r="J302" i="44"/>
  <c r="X356" i="44"/>
  <c r="E310" i="44"/>
  <c r="E512" i="44" s="1"/>
  <c r="G318" i="44"/>
  <c r="L297" i="44"/>
  <c r="L499" i="44" s="1"/>
  <c r="N287" i="44"/>
  <c r="Y307" i="44"/>
  <c r="J301" i="44"/>
  <c r="P316" i="44"/>
  <c r="J283" i="44"/>
  <c r="J279" i="44"/>
  <c r="O309" i="44"/>
  <c r="O511" i="44" s="1"/>
  <c r="I530" i="44"/>
  <c r="O314" i="44"/>
  <c r="O516" i="44" s="1"/>
  <c r="X317" i="44"/>
  <c r="Y316" i="44"/>
  <c r="K358" i="44"/>
  <c r="K560" i="44" s="1"/>
  <c r="F318" i="44"/>
  <c r="F520" i="44" s="1"/>
  <c r="F359" i="44"/>
  <c r="F561" i="44" s="1"/>
  <c r="G314" i="44"/>
  <c r="M311" i="44"/>
  <c r="M284" i="44"/>
  <c r="G309" i="44"/>
  <c r="F247" i="44"/>
  <c r="F449" i="44" s="1"/>
  <c r="L247" i="44"/>
  <c r="L449" i="44" s="1"/>
  <c r="H229" i="44"/>
  <c r="H431" i="44" s="1"/>
  <c r="M235" i="44"/>
  <c r="E228" i="44"/>
  <c r="E430" i="44" s="1"/>
  <c r="G229" i="44"/>
  <c r="H240" i="44"/>
  <c r="H442" i="44" s="1"/>
  <c r="G381" i="44"/>
  <c r="F391" i="44"/>
  <c r="F593" i="44" s="1"/>
  <c r="X375" i="44"/>
  <c r="N279" i="44"/>
  <c r="L360" i="44"/>
  <c r="L562" i="44" s="1"/>
  <c r="E296" i="44"/>
  <c r="E498" i="44" s="1"/>
  <c r="P362" i="44"/>
  <c r="K355" i="44"/>
  <c r="K557" i="44" s="1"/>
  <c r="Y291" i="44"/>
  <c r="H293" i="44"/>
  <c r="H495" i="44" s="1"/>
  <c r="F356" i="44"/>
  <c r="F558" i="44" s="1"/>
  <c r="W390" i="44"/>
  <c r="W592" i="44" s="1"/>
  <c r="E368" i="44"/>
  <c r="E570" i="44" s="1"/>
  <c r="K368" i="44"/>
  <c r="K570" i="44" s="1"/>
  <c r="N351" i="44"/>
  <c r="P384" i="44"/>
  <c r="L275" i="44"/>
  <c r="L477" i="44" s="1"/>
  <c r="K362" i="44"/>
  <c r="K564" i="44" s="1"/>
  <c r="F362" i="44"/>
  <c r="F564" i="44" s="1"/>
  <c r="J290" i="44"/>
  <c r="N370" i="44"/>
  <c r="M372" i="44"/>
  <c r="G281" i="44"/>
  <c r="N369" i="44"/>
  <c r="J360" i="44"/>
  <c r="X352" i="44"/>
  <c r="P382" i="44"/>
  <c r="N384" i="44"/>
  <c r="W279" i="44"/>
  <c r="W481" i="44" s="1"/>
  <c r="I361" i="44"/>
  <c r="I563" i="44" s="1"/>
  <c r="P355" i="44"/>
  <c r="P281" i="44"/>
  <c r="J362" i="44"/>
  <c r="F347" i="44"/>
  <c r="F549" i="44" s="1"/>
  <c r="K382" i="44"/>
  <c r="K584" i="44" s="1"/>
  <c r="H345" i="44"/>
  <c r="H547" i="44" s="1"/>
  <c r="K276" i="44"/>
  <c r="K478" i="44" s="1"/>
  <c r="F276" i="44"/>
  <c r="F478" i="44" s="1"/>
  <c r="F375" i="44"/>
  <c r="F577" i="44" s="1"/>
  <c r="X359" i="44"/>
  <c r="F290" i="44"/>
  <c r="F492" i="44" s="1"/>
  <c r="E390" i="44"/>
  <c r="E592" i="44" s="1"/>
  <c r="F355" i="44"/>
  <c r="F557" i="44" s="1"/>
  <c r="E369" i="44"/>
  <c r="E571" i="44" s="1"/>
  <c r="M293" i="44"/>
  <c r="E388" i="44"/>
  <c r="E590" i="44" s="1"/>
  <c r="K286" i="44"/>
  <c r="K488" i="44" s="1"/>
  <c r="G287" i="44"/>
  <c r="H290" i="44"/>
  <c r="H492" i="44" s="1"/>
  <c r="M363" i="44"/>
  <c r="N274" i="44"/>
  <c r="O274" i="44"/>
  <c r="O476" i="44" s="1"/>
  <c r="N380" i="44"/>
  <c r="X361" i="44"/>
  <c r="G285" i="44"/>
  <c r="F392" i="44"/>
  <c r="F594" i="44" s="1"/>
  <c r="I351" i="44"/>
  <c r="I553" i="44" s="1"/>
  <c r="F296" i="44"/>
  <c r="F498" i="44" s="1"/>
  <c r="G385" i="44"/>
  <c r="W381" i="44"/>
  <c r="W583" i="44" s="1"/>
  <c r="G345" i="44"/>
  <c r="W391" i="44"/>
  <c r="W593" i="44" s="1"/>
  <c r="X387" i="44"/>
  <c r="I346" i="44"/>
  <c r="I548" i="44" s="1"/>
  <c r="K376" i="44"/>
  <c r="K578" i="44" s="1"/>
  <c r="O290" i="44"/>
  <c r="O492" i="44" s="1"/>
  <c r="Y281" i="44"/>
  <c r="J370" i="44"/>
  <c r="K357" i="44"/>
  <c r="K559" i="44" s="1"/>
  <c r="K372" i="44"/>
  <c r="K574" i="44" s="1"/>
  <c r="P376" i="44"/>
  <c r="E387" i="44"/>
  <c r="E589" i="44" s="1"/>
  <c r="L367" i="44"/>
  <c r="L569" i="44" s="1"/>
  <c r="E376" i="44"/>
  <c r="E578" i="44" s="1"/>
  <c r="P354" i="44"/>
  <c r="I373" i="44"/>
  <c r="I575" i="44" s="1"/>
  <c r="N360" i="44"/>
  <c r="I363" i="44"/>
  <c r="I565" i="44" s="1"/>
  <c r="W379" i="44"/>
  <c r="W581" i="44" s="1"/>
  <c r="Y352" i="44"/>
  <c r="O382" i="44"/>
  <c r="O584" i="44" s="1"/>
  <c r="I375" i="44"/>
  <c r="I577" i="44" s="1"/>
  <c r="I390" i="44"/>
  <c r="I592" i="44" s="1"/>
  <c r="X279" i="44"/>
  <c r="N381" i="44"/>
  <c r="J361" i="44"/>
  <c r="O355" i="44"/>
  <c r="O557" i="44" s="1"/>
  <c r="I391" i="44"/>
  <c r="I593" i="44" s="1"/>
  <c r="I377" i="44"/>
  <c r="I579" i="44" s="1"/>
  <c r="O284" i="44"/>
  <c r="O486" i="44" s="1"/>
  <c r="N355" i="44"/>
  <c r="L364" i="44"/>
  <c r="F371" i="44"/>
  <c r="F573" i="44" s="1"/>
  <c r="E292" i="44"/>
  <c r="E494" i="44" s="1"/>
  <c r="K378" i="44"/>
  <c r="K580" i="44" s="1"/>
  <c r="L376" i="44"/>
  <c r="L578" i="44" s="1"/>
  <c r="F387" i="44"/>
  <c r="F589" i="44" s="1"/>
  <c r="H377" i="44"/>
  <c r="H579" i="44" s="1"/>
  <c r="E359" i="44"/>
  <c r="E561" i="44" s="1"/>
  <c r="E274" i="44"/>
  <c r="E476" i="44" s="1"/>
  <c r="G283" i="44"/>
  <c r="L357" i="44"/>
  <c r="L559" i="44" s="1"/>
  <c r="X349" i="44"/>
  <c r="E361" i="44"/>
  <c r="E563" i="44" s="1"/>
  <c r="F292" i="44"/>
  <c r="F494" i="44" s="1"/>
  <c r="M381" i="44"/>
  <c r="L390" i="44"/>
  <c r="L592" i="44" s="1"/>
  <c r="G370" i="44"/>
  <c r="E375" i="44"/>
  <c r="E577" i="44" s="1"/>
  <c r="G284" i="44"/>
  <c r="I295" i="44"/>
  <c r="I497" i="44" s="1"/>
  <c r="I285" i="44"/>
  <c r="I487" i="44" s="1"/>
  <c r="L349" i="44"/>
  <c r="L551" i="44" s="1"/>
  <c r="K391" i="44"/>
  <c r="K593" i="44" s="1"/>
  <c r="N376" i="44"/>
  <c r="I378" i="44"/>
  <c r="I580" i="44" s="1"/>
  <c r="G295" i="44"/>
  <c r="J355" i="44"/>
  <c r="X374" i="44"/>
  <c r="X273" i="44"/>
  <c r="F361" i="44"/>
  <c r="F563" i="44" s="1"/>
  <c r="P365" i="44"/>
  <c r="K371" i="44"/>
  <c r="K573" i="44" s="1"/>
  <c r="E353" i="44"/>
  <c r="E555" i="44" s="1"/>
  <c r="H358" i="44"/>
  <c r="H560" i="44" s="1"/>
  <c r="O354" i="44"/>
  <c r="O556" i="44" s="1"/>
  <c r="J373" i="44"/>
  <c r="J363" i="44"/>
  <c r="Y379" i="44"/>
  <c r="J390" i="44"/>
  <c r="Y279" i="44"/>
  <c r="W362" i="44"/>
  <c r="W564" i="44" s="1"/>
  <c r="P288" i="44"/>
  <c r="N361" i="44"/>
  <c r="J391" i="44"/>
  <c r="J377" i="44"/>
  <c r="P284" i="44"/>
  <c r="J388" i="44"/>
  <c r="J282" i="44"/>
  <c r="K350" i="44"/>
  <c r="K552" i="44" s="1"/>
  <c r="L295" i="44"/>
  <c r="L497" i="44" s="1"/>
  <c r="H357" i="44"/>
  <c r="H559" i="44" s="1"/>
  <c r="K390" i="44"/>
  <c r="K592" i="44" s="1"/>
  <c r="K280" i="44"/>
  <c r="K482" i="44" s="1"/>
  <c r="L296" i="44"/>
  <c r="L498" i="44" s="1"/>
  <c r="H277" i="44"/>
  <c r="H479" i="44" s="1"/>
  <c r="X346" i="44"/>
  <c r="F293" i="44"/>
  <c r="F495" i="44" s="1"/>
  <c r="F284" i="44"/>
  <c r="F486" i="44" s="1"/>
  <c r="M286" i="44"/>
  <c r="L373" i="44"/>
  <c r="L575" i="44" s="1"/>
  <c r="L378" i="44"/>
  <c r="L580" i="44" s="1"/>
  <c r="K289" i="44"/>
  <c r="K491" i="44" s="1"/>
  <c r="M276" i="44"/>
  <c r="E372" i="44"/>
  <c r="E574" i="44" s="1"/>
  <c r="M375" i="44"/>
  <c r="M292" i="44"/>
  <c r="L386" i="44"/>
  <c r="L588" i="44" s="1"/>
  <c r="K374" i="44"/>
  <c r="K576" i="44" s="1"/>
  <c r="X293" i="44"/>
  <c r="Y375" i="44"/>
  <c r="R361" i="44"/>
  <c r="R563" i="44" s="1"/>
  <c r="S357" i="44"/>
  <c r="Q356" i="44"/>
  <c r="Q558" i="44" s="1"/>
  <c r="T348" i="44"/>
  <c r="T550" i="44" s="1"/>
  <c r="S355" i="44"/>
  <c r="T366" i="44"/>
  <c r="T568" i="44" s="1"/>
  <c r="R359" i="44"/>
  <c r="R561" i="44" s="1"/>
  <c r="Q364" i="44"/>
  <c r="Q566" i="44" s="1"/>
  <c r="U355" i="44"/>
  <c r="T359" i="44"/>
  <c r="T561" i="44" s="1"/>
  <c r="S365" i="44"/>
  <c r="R348" i="44"/>
  <c r="R550" i="44" s="1"/>
  <c r="S367" i="44"/>
  <c r="U357" i="44"/>
  <c r="R356" i="44"/>
  <c r="R558" i="44" s="1"/>
  <c r="R366" i="44"/>
  <c r="R568" i="44" s="1"/>
  <c r="Q366" i="44"/>
  <c r="Q568" i="44" s="1"/>
  <c r="V350" i="44"/>
  <c r="V552" i="44" s="1"/>
  <c r="V362" i="44"/>
  <c r="V564" i="44" s="1"/>
  <c r="R364" i="44"/>
  <c r="R566" i="44" s="1"/>
  <c r="S347" i="44"/>
  <c r="Q357" i="44"/>
  <c r="Q559" i="44" s="1"/>
  <c r="V358" i="44"/>
  <c r="V560" i="44" s="1"/>
  <c r="V354" i="44"/>
  <c r="V556" i="44" s="1"/>
  <c r="U347" i="44"/>
  <c r="T351" i="44"/>
  <c r="T553" i="44" s="1"/>
  <c r="Q347" i="44"/>
  <c r="Q549" i="44" s="1"/>
  <c r="V366" i="44"/>
  <c r="V568" i="44" s="1"/>
  <c r="V348" i="44"/>
  <c r="V550" i="44" s="1"/>
  <c r="V368" i="44"/>
  <c r="V570" i="44" s="1"/>
  <c r="T346" i="44"/>
  <c r="T548" i="44" s="1"/>
  <c r="U365" i="44"/>
  <c r="V357" i="44"/>
  <c r="V559" i="44" s="1"/>
  <c r="T363" i="44"/>
  <c r="T565" i="44" s="1"/>
  <c r="Q355" i="44"/>
  <c r="Q557" i="44" s="1"/>
  <c r="Q365" i="44"/>
  <c r="Q567" i="44" s="1"/>
  <c r="Q350" i="44"/>
  <c r="Q552" i="44" s="1"/>
  <c r="Q351" i="44"/>
  <c r="Q553" i="44" s="1"/>
  <c r="V356" i="44"/>
  <c r="V558" i="44" s="1"/>
  <c r="V345" i="44"/>
  <c r="V547" i="44" s="1"/>
  <c r="T355" i="44"/>
  <c r="T557" i="44" s="1"/>
  <c r="U345" i="44"/>
  <c r="S348" i="44"/>
  <c r="Q363" i="44"/>
  <c r="Q565" i="44" s="1"/>
  <c r="Q359" i="44"/>
  <c r="Q561" i="44" s="1"/>
  <c r="V364" i="44"/>
  <c r="V566" i="44" s="1"/>
  <c r="U350" i="44"/>
  <c r="T364" i="44"/>
  <c r="T566" i="44" s="1"/>
  <c r="S352" i="44"/>
  <c r="U354" i="44"/>
  <c r="S351" i="44"/>
  <c r="T367" i="44"/>
  <c r="T569" i="44" s="1"/>
  <c r="U351" i="44"/>
  <c r="U360" i="44"/>
  <c r="S360" i="44"/>
  <c r="U363" i="44"/>
  <c r="S363" i="44"/>
  <c r="R346" i="44"/>
  <c r="R548" i="44" s="1"/>
  <c r="R365" i="44"/>
  <c r="R567" i="44" s="1"/>
  <c r="V359" i="44"/>
  <c r="V561" i="44" s="1"/>
  <c r="U359" i="44"/>
  <c r="T347" i="44"/>
  <c r="T549" i="44" s="1"/>
  <c r="U358" i="44"/>
  <c r="R354" i="44"/>
  <c r="R556" i="44" s="1"/>
  <c r="Q352" i="44"/>
  <c r="Q554" i="44" s="1"/>
  <c r="T358" i="44"/>
  <c r="T560" i="44" s="1"/>
  <c r="R352" i="44"/>
  <c r="R554" i="44" s="1"/>
  <c r="S364" i="44"/>
  <c r="R367" i="44"/>
  <c r="R569" i="44" s="1"/>
  <c r="U353" i="44"/>
  <c r="R360" i="44"/>
  <c r="R562" i="44" s="1"/>
  <c r="U346" i="44"/>
  <c r="S368" i="44"/>
  <c r="Q349" i="44"/>
  <c r="Q551" i="44" s="1"/>
  <c r="U362" i="44"/>
  <c r="R368" i="44"/>
  <c r="R570" i="44" s="1"/>
  <c r="U364" i="44"/>
  <c r="U356" i="44"/>
  <c r="X354" i="44"/>
  <c r="S345" i="44"/>
  <c r="R358" i="44"/>
  <c r="R560" i="44" s="1"/>
  <c r="Q367" i="44"/>
  <c r="Q569" i="44" s="1"/>
  <c r="S353" i="44"/>
  <c r="U348" i="44"/>
  <c r="Q346" i="44"/>
  <c r="Q548" i="44" s="1"/>
  <c r="T352" i="44"/>
  <c r="T554" i="44" s="1"/>
  <c r="V347" i="44"/>
  <c r="V549" i="44" s="1"/>
  <c r="S361" i="44"/>
  <c r="U366" i="44"/>
  <c r="Q360" i="44"/>
  <c r="Q562" i="44" s="1"/>
  <c r="Q354" i="44"/>
  <c r="Q556" i="44" s="1"/>
  <c r="T362" i="44"/>
  <c r="T564" i="44" s="1"/>
  <c r="V355" i="44"/>
  <c r="V557" i="44" s="1"/>
  <c r="V352" i="44"/>
  <c r="V554" i="44" s="1"/>
  <c r="T349" i="44"/>
  <c r="T551" i="44" s="1"/>
  <c r="Q368" i="44"/>
  <c r="Q570" i="44" s="1"/>
  <c r="Q362" i="44"/>
  <c r="Q564" i="44" s="1"/>
  <c r="V363" i="44"/>
  <c r="V565" i="44" s="1"/>
  <c r="V365" i="44"/>
  <c r="V567" i="44" s="1"/>
  <c r="T361" i="44"/>
  <c r="T563" i="44" s="1"/>
  <c r="T357" i="44"/>
  <c r="T559" i="44" s="1"/>
  <c r="S356" i="44"/>
  <c r="S349" i="44"/>
  <c r="R345" i="44"/>
  <c r="R547" i="44" s="1"/>
  <c r="S359" i="44"/>
  <c r="R353" i="44"/>
  <c r="R555" i="44" s="1"/>
  <c r="V360" i="44"/>
  <c r="V562" i="44" s="1"/>
  <c r="V361" i="44"/>
  <c r="V563" i="44" s="1"/>
  <c r="T356" i="44"/>
  <c r="T558" i="44" s="1"/>
  <c r="T350" i="44"/>
  <c r="T552" i="44" s="1"/>
  <c r="T365" i="44"/>
  <c r="T567" i="44" s="1"/>
  <c r="Q345" i="44"/>
  <c r="Q547" i="44" s="1"/>
  <c r="R362" i="44"/>
  <c r="R564" i="44" s="1"/>
  <c r="R351" i="44"/>
  <c r="R553" i="44" s="1"/>
  <c r="U349" i="44"/>
  <c r="U352" i="44"/>
  <c r="V349" i="44"/>
  <c r="V551" i="44" s="1"/>
  <c r="U361" i="44"/>
  <c r="Q358" i="44"/>
  <c r="Q560" i="44" s="1"/>
  <c r="U368" i="44"/>
  <c r="S354" i="44"/>
  <c r="S346" i="44"/>
  <c r="T353" i="44"/>
  <c r="T555" i="44" s="1"/>
  <c r="U367" i="44"/>
  <c r="R355" i="44"/>
  <c r="R557" i="44" s="1"/>
  <c r="T360" i="44"/>
  <c r="T562" i="44" s="1"/>
  <c r="T345" i="44"/>
  <c r="T547" i="44" s="1"/>
  <c r="S366" i="44"/>
  <c r="X347" i="44"/>
  <c r="S358" i="44"/>
  <c r="Q348" i="44"/>
  <c r="Q550" i="44" s="1"/>
  <c r="V346" i="44"/>
  <c r="V548" i="44" s="1"/>
  <c r="Q353" i="44"/>
  <c r="Q555" i="44" s="1"/>
  <c r="R363" i="44"/>
  <c r="R565" i="44" s="1"/>
  <c r="T354" i="44"/>
  <c r="T556" i="44" s="1"/>
  <c r="V367" i="44"/>
  <c r="V569" i="44" s="1"/>
  <c r="R349" i="44"/>
  <c r="R551" i="44" s="1"/>
  <c r="S350" i="44"/>
  <c r="R357" i="44"/>
  <c r="R559" i="44" s="1"/>
  <c r="V353" i="44"/>
  <c r="V555" i="44" s="1"/>
  <c r="R350" i="44"/>
  <c r="R552" i="44" s="1"/>
  <c r="S362" i="44"/>
  <c r="V351" i="44"/>
  <c r="V553" i="44" s="1"/>
  <c r="R347" i="44"/>
  <c r="R549" i="44" s="1"/>
  <c r="Q361" i="44"/>
  <c r="Q563" i="44" s="1"/>
  <c r="T368" i="44"/>
  <c r="T570" i="44" s="1"/>
  <c r="I362" i="44"/>
  <c r="I564" i="44" s="1"/>
  <c r="E346" i="44"/>
  <c r="E548" i="44" s="1"/>
  <c r="W345" i="44"/>
  <c r="W547" i="44" s="1"/>
  <c r="M360" i="44"/>
  <c r="E350" i="44"/>
  <c r="L347" i="44"/>
  <c r="L549" i="44" s="1"/>
  <c r="O350" i="44"/>
  <c r="O552" i="44" s="1"/>
  <c r="O368" i="44"/>
  <c r="O570" i="44" s="1"/>
  <c r="J349" i="44"/>
  <c r="I354" i="44"/>
  <c r="I556" i="44" s="1"/>
  <c r="N347" i="44"/>
  <c r="O352" i="44"/>
  <c r="O554" i="44" s="1"/>
  <c r="X366" i="44"/>
  <c r="K364" i="44"/>
  <c r="K359" i="44"/>
  <c r="K561" i="44" s="1"/>
  <c r="K354" i="44"/>
  <c r="K556" i="44" s="1"/>
  <c r="E356" i="44"/>
  <c r="E558" i="44" s="1"/>
  <c r="F366" i="44"/>
  <c r="F568" i="44" s="1"/>
  <c r="X348" i="44"/>
  <c r="P350" i="44"/>
  <c r="P368" i="44"/>
  <c r="I349" i="44"/>
  <c r="I551" i="44" s="1"/>
  <c r="J347" i="44"/>
  <c r="P352" i="44"/>
  <c r="W366" i="44"/>
  <c r="W568" i="44" s="1"/>
  <c r="Y360" i="44"/>
  <c r="M361" i="44"/>
  <c r="G354" i="44"/>
  <c r="E348" i="44"/>
  <c r="E550" i="44" s="1"/>
  <c r="F346" i="44"/>
  <c r="F548" i="44" s="1"/>
  <c r="G352" i="44"/>
  <c r="L368" i="44"/>
  <c r="L570" i="44" s="1"/>
  <c r="E363" i="44"/>
  <c r="E565" i="44" s="1"/>
  <c r="L351" i="44"/>
  <c r="L553" i="44" s="1"/>
  <c r="F351" i="44"/>
  <c r="F553" i="44" s="1"/>
  <c r="H350" i="44"/>
  <c r="H552" i="44" s="1"/>
  <c r="X358" i="44"/>
  <c r="L365" i="44"/>
  <c r="L567" i="44" s="1"/>
  <c r="Y345" i="44"/>
  <c r="Y361" i="44"/>
  <c r="Y350" i="44"/>
  <c r="Y368" i="44"/>
  <c r="P356" i="44"/>
  <c r="I347" i="44"/>
  <c r="I549" i="44" s="1"/>
  <c r="E367" i="44"/>
  <c r="E569" i="44" s="1"/>
  <c r="M346" i="44"/>
  <c r="M362" i="44"/>
  <c r="H354" i="44"/>
  <c r="H556" i="44" s="1"/>
  <c r="L352" i="44"/>
  <c r="L554" i="44" s="1"/>
  <c r="E357" i="44"/>
  <c r="E559" i="44" s="1"/>
  <c r="F352" i="44"/>
  <c r="F554" i="44" s="1"/>
  <c r="H360" i="44"/>
  <c r="H562" i="44" s="1"/>
  <c r="Y348" i="44"/>
  <c r="J346" i="44"/>
  <c r="N356" i="44"/>
  <c r="N359" i="44"/>
  <c r="W350" i="44"/>
  <c r="W552" i="44" s="1"/>
  <c r="X368" i="44"/>
  <c r="O356" i="44"/>
  <c r="O558" i="44" s="1"/>
  <c r="N348" i="44"/>
  <c r="N345" i="44"/>
  <c r="N358" i="44"/>
  <c r="W360" i="44"/>
  <c r="W562" i="44" s="1"/>
  <c r="W358" i="44"/>
  <c r="W560" i="44" s="1"/>
  <c r="M356" i="44"/>
  <c r="K356" i="44"/>
  <c r="K558" i="44" s="1"/>
  <c r="X357" i="44"/>
  <c r="M359" i="44"/>
  <c r="L356" i="44"/>
  <c r="L558" i="44" s="1"/>
  <c r="G355" i="44"/>
  <c r="G367" i="44"/>
  <c r="H362" i="44"/>
  <c r="H564" i="44" s="1"/>
  <c r="H351" i="44"/>
  <c r="H553" i="44" s="1"/>
  <c r="L350" i="44"/>
  <c r="L552" i="44" s="1"/>
  <c r="L359" i="44"/>
  <c r="L561" i="44" s="1"/>
  <c r="L345" i="44"/>
  <c r="L547" i="44" s="1"/>
  <c r="J365" i="44"/>
  <c r="X345" i="44"/>
  <c r="J356" i="44"/>
  <c r="J359" i="44"/>
  <c r="O363" i="44"/>
  <c r="O565" i="44" s="1"/>
  <c r="P364" i="44"/>
  <c r="W368" i="44"/>
  <c r="W570" i="44" s="1"/>
  <c r="Y351" i="44"/>
  <c r="J348" i="44"/>
  <c r="N367" i="44"/>
  <c r="J345" i="44"/>
  <c r="J358" i="44"/>
  <c r="N353" i="44"/>
  <c r="F353" i="44"/>
  <c r="F555" i="44" s="1"/>
  <c r="M354" i="44"/>
  <c r="H346" i="44"/>
  <c r="G360" i="44"/>
  <c r="H347" i="44"/>
  <c r="H549" i="44" s="1"/>
  <c r="E365" i="44"/>
  <c r="E567" i="44" s="1"/>
  <c r="L354" i="44"/>
  <c r="L556" i="44" s="1"/>
  <c r="H349" i="44"/>
  <c r="H551" i="44" s="1"/>
  <c r="K363" i="44"/>
  <c r="K565" i="44" s="1"/>
  <c r="K346" i="44"/>
  <c r="K548" i="44" s="1"/>
  <c r="I356" i="44"/>
  <c r="I558" i="44" s="1"/>
  <c r="I359" i="44"/>
  <c r="I561" i="44" s="1"/>
  <c r="P363" i="44"/>
  <c r="O346" i="44"/>
  <c r="O548" i="44" s="1"/>
  <c r="O364" i="44"/>
  <c r="O566" i="44" s="1"/>
  <c r="Y359" i="44"/>
  <c r="X351" i="44"/>
  <c r="I348" i="44"/>
  <c r="I550" i="44" s="1"/>
  <c r="J367" i="44"/>
  <c r="I345" i="44"/>
  <c r="I547" i="44" s="1"/>
  <c r="I358" i="44"/>
  <c r="I560" i="44" s="1"/>
  <c r="J353" i="44"/>
  <c r="I353" i="44"/>
  <c r="I555" i="44" s="1"/>
  <c r="E347" i="44"/>
  <c r="E549" i="44" s="1"/>
  <c r="M367" i="44"/>
  <c r="F345" i="44"/>
  <c r="E352" i="44"/>
  <c r="W353" i="44"/>
  <c r="W555" i="44" s="1"/>
  <c r="L358" i="44"/>
  <c r="L560" i="44" s="1"/>
  <c r="L366" i="44"/>
  <c r="L568" i="44" s="1"/>
  <c r="K366" i="44"/>
  <c r="K568" i="44" s="1"/>
  <c r="W348" i="44"/>
  <c r="W550" i="44" s="1"/>
  <c r="O367" i="44"/>
  <c r="O569" i="44" s="1"/>
  <c r="P346" i="44"/>
  <c r="W359" i="44"/>
  <c r="W561" i="44" s="1"/>
  <c r="W351" i="44"/>
  <c r="W553" i="44" s="1"/>
  <c r="Y354" i="44"/>
  <c r="O348" i="44"/>
  <c r="O550" i="44" s="1"/>
  <c r="I367" i="44"/>
  <c r="I569" i="44" s="1"/>
  <c r="O357" i="44"/>
  <c r="O559" i="44" s="1"/>
  <c r="E364" i="44"/>
  <c r="E566" i="44" s="1"/>
  <c r="G362" i="44"/>
  <c r="X363" i="44"/>
  <c r="F349" i="44"/>
  <c r="F551" i="44" s="1"/>
  <c r="H367" i="44"/>
  <c r="H569" i="44" s="1"/>
  <c r="E351" i="44"/>
  <c r="E553" i="44" s="1"/>
  <c r="H361" i="44"/>
  <c r="H563" i="44" s="1"/>
  <c r="F365" i="44"/>
  <c r="F567" i="44" s="1"/>
  <c r="M368" i="44"/>
  <c r="K361" i="44"/>
  <c r="K563" i="44" s="1"/>
  <c r="N346" i="44"/>
  <c r="P367" i="44"/>
  <c r="O361" i="44"/>
  <c r="O563" i="44" s="1"/>
  <c r="W354" i="44"/>
  <c r="W556" i="44" s="1"/>
  <c r="P348" i="44"/>
  <c r="P357" i="44"/>
  <c r="N366" i="44"/>
  <c r="F368" i="44"/>
  <c r="F570" i="44" s="1"/>
  <c r="H363" i="44"/>
  <c r="H565" i="44" s="1"/>
  <c r="M364" i="44"/>
  <c r="F367" i="44"/>
  <c r="F569" i="44" s="1"/>
  <c r="H353" i="44"/>
  <c r="H555" i="44" s="1"/>
  <c r="G357" i="44"/>
  <c r="Y355" i="44"/>
  <c r="P361" i="44"/>
  <c r="O351" i="44"/>
  <c r="O553" i="44" s="1"/>
  <c r="Y357" i="44"/>
  <c r="J366" i="44"/>
  <c r="I366" i="44"/>
  <c r="I568" i="44" s="1"/>
  <c r="M365" i="44"/>
  <c r="M351" i="44"/>
  <c r="K360" i="44"/>
  <c r="K562" i="44" s="1"/>
  <c r="E360" i="44"/>
  <c r="E562" i="44" s="1"/>
  <c r="H355" i="44"/>
  <c r="H557" i="44" s="1"/>
  <c r="G349" i="44"/>
  <c r="M358" i="44"/>
  <c r="K352" i="44"/>
  <c r="K554" i="44" s="1"/>
  <c r="H365" i="44"/>
  <c r="H567" i="44" s="1"/>
  <c r="Y356" i="44"/>
  <c r="L355" i="44"/>
  <c r="L557" i="44" s="1"/>
  <c r="W355" i="44"/>
  <c r="W557" i="44" s="1"/>
  <c r="N352" i="44"/>
  <c r="P351" i="44"/>
  <c r="W357" i="44"/>
  <c r="W559" i="44" s="1"/>
  <c r="Y389" i="44"/>
  <c r="F289" i="44"/>
  <c r="F491" i="44" s="1"/>
  <c r="M374" i="44"/>
  <c r="X382" i="44"/>
  <c r="G371" i="44"/>
  <c r="G347" i="44"/>
  <c r="K294" i="44"/>
  <c r="K496" i="44" s="1"/>
  <c r="E371" i="44"/>
  <c r="E573" i="44" s="1"/>
  <c r="O380" i="44"/>
  <c r="W273" i="44"/>
  <c r="W475" i="44" s="1"/>
  <c r="W293" i="44"/>
  <c r="W495" i="44" s="1"/>
  <c r="N388" i="44"/>
  <c r="H388" i="44"/>
  <c r="H590" i="44" s="1"/>
  <c r="F385" i="44"/>
  <c r="F587" i="44" s="1"/>
  <c r="N373" i="44"/>
  <c r="N363" i="44"/>
  <c r="W276" i="44"/>
  <c r="W478" i="44" s="1"/>
  <c r="N390" i="44"/>
  <c r="X362" i="44"/>
  <c r="O288" i="44"/>
  <c r="O490" i="44" s="1"/>
  <c r="W278" i="44"/>
  <c r="W480" i="44" s="1"/>
  <c r="N391" i="44"/>
  <c r="N377" i="44"/>
  <c r="W282" i="44"/>
  <c r="W484" i="44" s="1"/>
  <c r="P294" i="44"/>
  <c r="M370" i="44"/>
  <c r="E389" i="44"/>
  <c r="E591" i="44" s="1"/>
  <c r="L278" i="44"/>
  <c r="L480" i="44" s="1"/>
  <c r="L392" i="44"/>
  <c r="L594" i="44" s="1"/>
  <c r="L387" i="44"/>
  <c r="L589" i="44" s="1"/>
  <c r="E284" i="44"/>
  <c r="F285" i="44"/>
  <c r="F487" i="44" s="1"/>
  <c r="X289" i="44"/>
  <c r="K273" i="44"/>
  <c r="K475" i="44" s="1"/>
  <c r="E345" i="44"/>
  <c r="E547" i="44" s="1"/>
  <c r="K348" i="44"/>
  <c r="K550" i="44" s="1"/>
  <c r="M287" i="44"/>
  <c r="L292" i="44"/>
  <c r="L494" i="44" s="1"/>
  <c r="U380" i="44"/>
  <c r="S380" i="44"/>
  <c r="U381" i="44"/>
  <c r="T387" i="44"/>
  <c r="T589" i="44" s="1"/>
  <c r="Q370" i="44"/>
  <c r="Q572" i="44" s="1"/>
  <c r="Q381" i="44"/>
  <c r="Q583" i="44" s="1"/>
  <c r="Q391" i="44"/>
  <c r="Q593" i="44" s="1"/>
  <c r="U389" i="44"/>
  <c r="S389" i="44"/>
  <c r="R369" i="44"/>
  <c r="R571" i="44" s="1"/>
  <c r="Q378" i="44"/>
  <c r="Q580" i="44" s="1"/>
  <c r="S384" i="44"/>
  <c r="R374" i="44"/>
  <c r="R576" i="44" s="1"/>
  <c r="R377" i="44"/>
  <c r="R579" i="44" s="1"/>
  <c r="R382" i="44"/>
  <c r="R584" i="44" s="1"/>
  <c r="Q386" i="44"/>
  <c r="Q372" i="44"/>
  <c r="Q574" i="44" s="1"/>
  <c r="U386" i="44"/>
  <c r="V376" i="44"/>
  <c r="V578" i="44" s="1"/>
  <c r="T371" i="44"/>
  <c r="T573" i="44" s="1"/>
  <c r="R385" i="44"/>
  <c r="R587" i="44" s="1"/>
  <c r="S374" i="44"/>
  <c r="U373" i="44"/>
  <c r="Q380" i="44"/>
  <c r="Q582" i="44" s="1"/>
  <c r="U376" i="44"/>
  <c r="T385" i="44"/>
  <c r="T587" i="44" s="1"/>
  <c r="S383" i="44"/>
  <c r="U385" i="44"/>
  <c r="R389" i="44"/>
  <c r="R591" i="44" s="1"/>
  <c r="Q388" i="44"/>
  <c r="Q590" i="44" s="1"/>
  <c r="Q384" i="44"/>
  <c r="Q586" i="44" s="1"/>
  <c r="Q373" i="44"/>
  <c r="Q575" i="44" s="1"/>
  <c r="V385" i="44"/>
  <c r="V587" i="44" s="1"/>
  <c r="U392" i="44"/>
  <c r="S392" i="44"/>
  <c r="R372" i="44"/>
  <c r="R574" i="44" s="1"/>
  <c r="S375" i="44"/>
  <c r="Q375" i="44"/>
  <c r="Q577" i="44" s="1"/>
  <c r="R380" i="44"/>
  <c r="R582" i="44" s="1"/>
  <c r="Q392" i="44"/>
  <c r="Q594" i="44" s="1"/>
  <c r="V374" i="44"/>
  <c r="V576" i="44" s="1"/>
  <c r="V381" i="44"/>
  <c r="V583" i="44" s="1"/>
  <c r="U382" i="44"/>
  <c r="T377" i="44"/>
  <c r="T579" i="44" s="1"/>
  <c r="R388" i="44"/>
  <c r="R590" i="44" s="1"/>
  <c r="Q383" i="44"/>
  <c r="Q585" i="44" s="1"/>
  <c r="V382" i="44"/>
  <c r="V584" i="44" s="1"/>
  <c r="T388" i="44"/>
  <c r="T590" i="44" s="1"/>
  <c r="S376" i="44"/>
  <c r="Q371" i="44"/>
  <c r="Q573" i="44" s="1"/>
  <c r="T379" i="44"/>
  <c r="T581" i="44" s="1"/>
  <c r="Q382" i="44"/>
  <c r="Q584" i="44" s="1"/>
  <c r="V390" i="44"/>
  <c r="V592" i="44" s="1"/>
  <c r="V372" i="44"/>
  <c r="V574" i="44" s="1"/>
  <c r="T373" i="44"/>
  <c r="T575" i="44" s="1"/>
  <c r="Q379" i="44"/>
  <c r="Q581" i="44" s="1"/>
  <c r="V380" i="44"/>
  <c r="V582" i="44" s="1"/>
  <c r="U369" i="44"/>
  <c r="T382" i="44"/>
  <c r="T584" i="44" s="1"/>
  <c r="U372" i="44"/>
  <c r="S372" i="44"/>
  <c r="U374" i="44"/>
  <c r="R383" i="44"/>
  <c r="R585" i="44" s="1"/>
  <c r="Q387" i="44"/>
  <c r="Q589" i="44" s="1"/>
  <c r="T378" i="44"/>
  <c r="T580" i="44" s="1"/>
  <c r="U390" i="44"/>
  <c r="U383" i="44"/>
  <c r="U370" i="44"/>
  <c r="Q389" i="44"/>
  <c r="Q591" i="44" s="1"/>
  <c r="U391" i="44"/>
  <c r="U379" i="44"/>
  <c r="T370" i="44"/>
  <c r="T572" i="44" s="1"/>
  <c r="S373" i="44"/>
  <c r="V370" i="44"/>
  <c r="V572" i="44" s="1"/>
  <c r="U388" i="44"/>
  <c r="T381" i="44"/>
  <c r="T583" i="44" s="1"/>
  <c r="S382" i="44"/>
  <c r="R390" i="44"/>
  <c r="R592" i="44" s="1"/>
  <c r="U371" i="44"/>
  <c r="R376" i="44"/>
  <c r="R578" i="44" s="1"/>
  <c r="S391" i="44"/>
  <c r="X379" i="44"/>
  <c r="R384" i="44"/>
  <c r="R586" i="44" s="1"/>
  <c r="R381" i="44"/>
  <c r="R583" i="44" s="1"/>
  <c r="R392" i="44"/>
  <c r="R594" i="44" s="1"/>
  <c r="R391" i="44"/>
  <c r="R593" i="44" s="1"/>
  <c r="T389" i="44"/>
  <c r="T591" i="44" s="1"/>
  <c r="Q374" i="44"/>
  <c r="Q576" i="44" s="1"/>
  <c r="S369" i="44"/>
  <c r="U384" i="44"/>
  <c r="X390" i="44"/>
  <c r="S377" i="44"/>
  <c r="Q376" i="44"/>
  <c r="Q578" i="44" s="1"/>
  <c r="W388" i="44"/>
  <c r="W590" i="44" s="1"/>
  <c r="V371" i="44"/>
  <c r="V573" i="44" s="1"/>
  <c r="V377" i="44"/>
  <c r="V579" i="44" s="1"/>
  <c r="S385" i="44"/>
  <c r="V375" i="44"/>
  <c r="V577" i="44" s="1"/>
  <c r="T372" i="44"/>
  <c r="T574" i="44" s="1"/>
  <c r="T390" i="44"/>
  <c r="T592" i="44" s="1"/>
  <c r="S378" i="44"/>
  <c r="X388" i="44"/>
  <c r="T391" i="44"/>
  <c r="T593" i="44" s="1"/>
  <c r="V379" i="44"/>
  <c r="V391" i="44"/>
  <c r="V593" i="44" s="1"/>
  <c r="T386" i="44"/>
  <c r="T588" i="44" s="1"/>
  <c r="S387" i="44"/>
  <c r="V388" i="44"/>
  <c r="V590" i="44" s="1"/>
  <c r="S379" i="44"/>
  <c r="R370" i="44"/>
  <c r="R572" i="44" s="1"/>
  <c r="V383" i="44"/>
  <c r="V585" i="44" s="1"/>
  <c r="V384" i="44"/>
  <c r="V586" i="44" s="1"/>
  <c r="S388" i="44"/>
  <c r="R378" i="44"/>
  <c r="R580" i="44" s="1"/>
  <c r="V387" i="44"/>
  <c r="V589" i="44" s="1"/>
  <c r="S370" i="44"/>
  <c r="S371" i="44"/>
  <c r="R371" i="44"/>
  <c r="R573" i="44" s="1"/>
  <c r="Q385" i="44"/>
  <c r="Q587" i="44" s="1"/>
  <c r="T369" i="44"/>
  <c r="T571" i="44" s="1"/>
  <c r="R373" i="44"/>
  <c r="R575" i="44" s="1"/>
  <c r="T384" i="44"/>
  <c r="T586" i="44" s="1"/>
  <c r="S390" i="44"/>
  <c r="V373" i="44"/>
  <c r="V575" i="44" s="1"/>
  <c r="W372" i="44"/>
  <c r="W574" i="44" s="1"/>
  <c r="V386" i="44"/>
  <c r="V588" i="44" s="1"/>
  <c r="U377" i="44"/>
  <c r="V389" i="44"/>
  <c r="V591" i="44" s="1"/>
  <c r="U387" i="44"/>
  <c r="S381" i="44"/>
  <c r="V392" i="44"/>
  <c r="V594" i="44" s="1"/>
  <c r="V369" i="44"/>
  <c r="V571" i="44" s="1"/>
  <c r="V378" i="44"/>
  <c r="V580" i="44" s="1"/>
  <c r="R386" i="44"/>
  <c r="R588" i="44" s="1"/>
  <c r="Q377" i="44"/>
  <c r="Q579" i="44" s="1"/>
  <c r="R379" i="44"/>
  <c r="R581" i="44" s="1"/>
  <c r="U378" i="44"/>
  <c r="Q390" i="44"/>
  <c r="Q592" i="44" s="1"/>
  <c r="R387" i="44"/>
  <c r="R589" i="44" s="1"/>
  <c r="S386" i="44"/>
  <c r="T374" i="44"/>
  <c r="T576" i="44" s="1"/>
  <c r="U375" i="44"/>
  <c r="T375" i="44"/>
  <c r="T577" i="44" s="1"/>
  <c r="T383" i="44"/>
  <c r="T585" i="44" s="1"/>
  <c r="T392" i="44"/>
  <c r="T594" i="44" s="1"/>
  <c r="R375" i="44"/>
  <c r="R577" i="44" s="1"/>
  <c r="Q369" i="44"/>
  <c r="Q571" i="44" s="1"/>
  <c r="T380" i="44"/>
  <c r="T582" i="44" s="1"/>
  <c r="T376" i="44"/>
  <c r="T578" i="44" s="1"/>
  <c r="E373" i="44"/>
  <c r="E575" i="44" s="1"/>
  <c r="X381" i="44"/>
  <c r="H381" i="44"/>
  <c r="H583" i="44" s="1"/>
  <c r="M383" i="44"/>
  <c r="F372" i="44"/>
  <c r="F574" i="44" s="1"/>
  <c r="K389" i="44"/>
  <c r="K591" i="44" s="1"/>
  <c r="L369" i="44"/>
  <c r="L571" i="44" s="1"/>
  <c r="I383" i="44"/>
  <c r="I585" i="44" s="1"/>
  <c r="P383" i="44"/>
  <c r="J386" i="44"/>
  <c r="J381" i="44"/>
  <c r="W389" i="44"/>
  <c r="W591" i="44" s="1"/>
  <c r="J384" i="44"/>
  <c r="J374" i="44"/>
  <c r="P387" i="44"/>
  <c r="O369" i="44"/>
  <c r="O571" i="44" s="1"/>
  <c r="O385" i="44"/>
  <c r="O587" i="44" s="1"/>
  <c r="F383" i="44"/>
  <c r="F585" i="44" s="1"/>
  <c r="M385" i="44"/>
  <c r="H390" i="44"/>
  <c r="H592" i="44" s="1"/>
  <c r="H372" i="44"/>
  <c r="H574" i="44" s="1"/>
  <c r="G383" i="44"/>
  <c r="G378" i="44"/>
  <c r="M384" i="44"/>
  <c r="E392" i="44"/>
  <c r="E594" i="44" s="1"/>
  <c r="I388" i="44"/>
  <c r="I590" i="44" s="1"/>
  <c r="E379" i="44"/>
  <c r="E581" i="44" s="1"/>
  <c r="L375" i="44"/>
  <c r="L577" i="44" s="1"/>
  <c r="N383" i="44"/>
  <c r="O375" i="44"/>
  <c r="O577" i="44" s="1"/>
  <c r="I386" i="44"/>
  <c r="I588" i="44" s="1"/>
  <c r="I381" i="44"/>
  <c r="I583" i="44" s="1"/>
  <c r="I384" i="44"/>
  <c r="I586" i="44" s="1"/>
  <c r="I374" i="44"/>
  <c r="I576" i="44" s="1"/>
  <c r="Y386" i="44"/>
  <c r="P369" i="44"/>
  <c r="P385" i="44"/>
  <c r="M371" i="44"/>
  <c r="F370" i="44"/>
  <c r="F572" i="44" s="1"/>
  <c r="K370" i="44"/>
  <c r="K572" i="44" s="1"/>
  <c r="L391" i="44"/>
  <c r="L593" i="44" s="1"/>
  <c r="F382" i="44"/>
  <c r="F584" i="44" s="1"/>
  <c r="M392" i="44"/>
  <c r="G391" i="44"/>
  <c r="M386" i="44"/>
  <c r="M388" i="44"/>
  <c r="H386" i="44"/>
  <c r="H588" i="44" s="1"/>
  <c r="H378" i="44"/>
  <c r="H580" i="44" s="1"/>
  <c r="Y388" i="44"/>
  <c r="X376" i="44"/>
  <c r="F386" i="44"/>
  <c r="F588" i="44" s="1"/>
  <c r="X377" i="44"/>
  <c r="P375" i="44"/>
  <c r="X386" i="44"/>
  <c r="H391" i="44"/>
  <c r="H593" i="44" s="1"/>
  <c r="F384" i="44"/>
  <c r="F586" i="44" s="1"/>
  <c r="G369" i="44"/>
  <c r="F380" i="44"/>
  <c r="F582" i="44" s="1"/>
  <c r="G389" i="44"/>
  <c r="X369" i="44"/>
  <c r="J389" i="44"/>
  <c r="O390" i="44"/>
  <c r="O592" i="44" s="1"/>
  <c r="W386" i="44"/>
  <c r="Y373" i="44"/>
  <c r="Y392" i="44"/>
  <c r="O381" i="44"/>
  <c r="O583" i="44" s="1"/>
  <c r="M389" i="44"/>
  <c r="H374" i="44"/>
  <c r="H576" i="44" s="1"/>
  <c r="G379" i="44"/>
  <c r="K388" i="44"/>
  <c r="K590" i="44" s="1"/>
  <c r="E370" i="44"/>
  <c r="E572" i="44" s="1"/>
  <c r="G373" i="44"/>
  <c r="X370" i="44"/>
  <c r="J383" i="44"/>
  <c r="O378" i="44"/>
  <c r="O580" i="44" s="1"/>
  <c r="P390" i="44"/>
  <c r="Y370" i="44"/>
  <c r="W373" i="44"/>
  <c r="W575" i="44" s="1"/>
  <c r="O392" i="44"/>
  <c r="O594" i="44" s="1"/>
  <c r="W392" i="44"/>
  <c r="W594" i="44" s="1"/>
  <c r="P381" i="44"/>
  <c r="M376" i="44"/>
  <c r="K369" i="44"/>
  <c r="K571" i="44" s="1"/>
  <c r="F381" i="44"/>
  <c r="F583" i="44" s="1"/>
  <c r="W377" i="44"/>
  <c r="W579" i="44" s="1"/>
  <c r="K387" i="44"/>
  <c r="F389" i="44"/>
  <c r="F591" i="44" s="1"/>
  <c r="X389" i="44"/>
  <c r="E385" i="44"/>
  <c r="E587" i="44" s="1"/>
  <c r="X373" i="44"/>
  <c r="Y369" i="44"/>
  <c r="X385" i="44"/>
  <c r="O391" i="44"/>
  <c r="O593" i="44" s="1"/>
  <c r="O377" i="44"/>
  <c r="O579" i="44" s="1"/>
  <c r="O372" i="44"/>
  <c r="O574" i="44" s="1"/>
  <c r="P378" i="44"/>
  <c r="W370" i="44"/>
  <c r="W572" i="44" s="1"/>
  <c r="P392" i="44"/>
  <c r="Y374" i="44"/>
  <c r="N372" i="44"/>
  <c r="M387" i="44"/>
  <c r="G372" i="44"/>
  <c r="L389" i="44"/>
  <c r="L591" i="44" s="1"/>
  <c r="K384" i="44"/>
  <c r="K586" i="44" s="1"/>
  <c r="H385" i="44"/>
  <c r="H587" i="44" s="1"/>
  <c r="L377" i="44"/>
  <c r="L579" i="44" s="1"/>
  <c r="P391" i="44"/>
  <c r="P377" i="44"/>
  <c r="P372" i="44"/>
  <c r="W374" i="44"/>
  <c r="W576" i="44" s="1"/>
  <c r="J372" i="44"/>
  <c r="F378" i="44"/>
  <c r="F580" i="44" s="1"/>
  <c r="H373" i="44"/>
  <c r="H575" i="44" s="1"/>
  <c r="F377" i="44"/>
  <c r="F579" i="44" s="1"/>
  <c r="H376" i="44"/>
  <c r="H578" i="44" s="1"/>
  <c r="G377" i="44"/>
  <c r="H392" i="44"/>
  <c r="H594" i="44" s="1"/>
  <c r="Y380" i="44"/>
  <c r="L380" i="44"/>
  <c r="L582" i="44" s="1"/>
  <c r="K377" i="44"/>
  <c r="K579" i="44" s="1"/>
  <c r="Y385" i="44"/>
  <c r="N385" i="44"/>
  <c r="N379" i="44"/>
  <c r="N387" i="44"/>
  <c r="Y378" i="44"/>
  <c r="I372" i="44"/>
  <c r="I574" i="44" s="1"/>
  <c r="O374" i="44"/>
  <c r="O576" i="44" s="1"/>
  <c r="Y371" i="44"/>
  <c r="M379" i="44"/>
  <c r="F379" i="44"/>
  <c r="F581" i="44" s="1"/>
  <c r="L383" i="44"/>
  <c r="L585" i="44" s="1"/>
  <c r="E381" i="44"/>
  <c r="E583" i="44" s="1"/>
  <c r="K381" i="44"/>
  <c r="K583" i="44" s="1"/>
  <c r="X392" i="44"/>
  <c r="L381" i="44"/>
  <c r="L583" i="44" s="1"/>
  <c r="J385" i="44"/>
  <c r="J379" i="44"/>
  <c r="N382" i="44"/>
  <c r="N375" i="44"/>
  <c r="Y382" i="44"/>
  <c r="J387" i="44"/>
  <c r="X378" i="44"/>
  <c r="P374" i="44"/>
  <c r="W371" i="44"/>
  <c r="W573" i="44" s="1"/>
  <c r="P371" i="44"/>
  <c r="G388" i="44"/>
  <c r="F369" i="44"/>
  <c r="F571" i="44" s="1"/>
  <c r="H389" i="44"/>
  <c r="H591" i="44" s="1"/>
  <c r="W385" i="44"/>
  <c r="W587" i="44" s="1"/>
  <c r="H379" i="44"/>
  <c r="H581" i="44" s="1"/>
  <c r="K373" i="44"/>
  <c r="K575" i="44" s="1"/>
  <c r="I385" i="44"/>
  <c r="I379" i="44"/>
  <c r="I581" i="44" s="1"/>
  <c r="J382" i="44"/>
  <c r="J375" i="44"/>
  <c r="W382" i="44"/>
  <c r="W584" i="44" s="1"/>
  <c r="I387" i="44"/>
  <c r="I589" i="44" s="1"/>
  <c r="W378" i="44"/>
  <c r="W580" i="44" s="1"/>
  <c r="O371" i="44"/>
  <c r="O573" i="44" s="1"/>
  <c r="I380" i="44"/>
  <c r="I582" i="44" s="1"/>
  <c r="W384" i="44"/>
  <c r="W586" i="44" s="1"/>
  <c r="N371" i="44"/>
  <c r="L374" i="44"/>
  <c r="L576" i="44" s="1"/>
  <c r="K278" i="44"/>
  <c r="K480" i="44" s="1"/>
  <c r="Y383" i="44"/>
  <c r="O276" i="44"/>
  <c r="O478" i="44" s="1"/>
  <c r="N286" i="44"/>
  <c r="H284" i="44"/>
  <c r="H486" i="44" s="1"/>
  <c r="E280" i="44"/>
  <c r="E482" i="44" s="1"/>
  <c r="W291" i="44"/>
  <c r="W493" i="44" s="1"/>
  <c r="K383" i="44"/>
  <c r="K585" i="44" s="1"/>
  <c r="J292" i="44"/>
  <c r="G376" i="44"/>
  <c r="W387" i="44"/>
  <c r="K285" i="44"/>
  <c r="K487" i="44" s="1"/>
  <c r="L273" i="44"/>
  <c r="L475" i="44" s="1"/>
  <c r="Y381" i="44"/>
  <c r="Y390" i="44"/>
  <c r="J392" i="44"/>
  <c r="F348" i="44"/>
  <c r="F550" i="44" s="1"/>
  <c r="G384" i="44"/>
  <c r="G276" i="44"/>
  <c r="O384" i="44"/>
  <c r="O586" i="44" s="1"/>
  <c r="O389" i="44"/>
  <c r="O591" i="44" s="1"/>
  <c r="O282" i="44"/>
  <c r="O484" i="44" s="1"/>
  <c r="P291" i="44"/>
  <c r="E382" i="44"/>
  <c r="E584" i="44" s="1"/>
  <c r="H291" i="44"/>
  <c r="H493" i="44" s="1"/>
  <c r="G356" i="44"/>
  <c r="W294" i="44"/>
  <c r="W496" i="44" s="1"/>
  <c r="Y294" i="44"/>
  <c r="X360" i="44"/>
  <c r="P366" i="44"/>
  <c r="I294" i="44"/>
  <c r="I496" i="44" s="1"/>
  <c r="Y276" i="44"/>
  <c r="P388" i="44"/>
  <c r="P353" i="44"/>
  <c r="Y362" i="44"/>
  <c r="P373" i="44"/>
  <c r="X278" i="44"/>
  <c r="Y282" i="44"/>
  <c r="O294" i="44"/>
  <c r="O496" i="44" s="1"/>
  <c r="M282" i="44"/>
  <c r="K385" i="44"/>
  <c r="K587" i="44" s="1"/>
  <c r="F360" i="44"/>
  <c r="F562" i="44" s="1"/>
  <c r="F278" i="44"/>
  <c r="F480" i="44" s="1"/>
  <c r="G363" i="44"/>
  <c r="E293" i="44"/>
  <c r="E495" i="44" s="1"/>
  <c r="G296" i="44"/>
  <c r="X282" i="44"/>
  <c r="M355" i="44"/>
  <c r="L293" i="44"/>
  <c r="L495" i="44" s="1"/>
  <c r="X371" i="44"/>
  <c r="G282" i="44"/>
  <c r="H287" i="44"/>
  <c r="H489" i="44" s="1"/>
  <c r="M377" i="44"/>
  <c r="X384" i="44"/>
  <c r="L384" i="44"/>
  <c r="X353" i="44"/>
  <c r="E366" i="44"/>
  <c r="E568" i="44" s="1"/>
  <c r="W347" i="44"/>
  <c r="W549" i="44" s="1"/>
  <c r="X355" i="44"/>
  <c r="E391" i="44"/>
  <c r="E593" i="44" s="1"/>
  <c r="W296" i="44"/>
  <c r="W498" i="44" s="1"/>
  <c r="L274" i="44"/>
  <c r="L476" i="44" s="1"/>
  <c r="J378" i="44"/>
  <c r="P290" i="44"/>
  <c r="Y296" i="44"/>
  <c r="I352" i="44"/>
  <c r="I554" i="44" s="1"/>
  <c r="L371" i="44"/>
  <c r="L573" i="44" s="1"/>
  <c r="E362" i="44"/>
  <c r="E564" i="44" s="1"/>
  <c r="P389" i="44"/>
  <c r="Y387" i="44"/>
  <c r="I369" i="44"/>
  <c r="I571" i="44" s="1"/>
  <c r="G368" i="44"/>
  <c r="O281" i="44"/>
  <c r="O483" i="44" s="1"/>
  <c r="G348" i="44"/>
  <c r="O366" i="44"/>
  <c r="O568" i="44" s="1"/>
  <c r="J294" i="44"/>
  <c r="I357" i="44"/>
  <c r="I559" i="44" s="1"/>
  <c r="O388" i="44"/>
  <c r="O590" i="44" s="1"/>
  <c r="O353" i="44"/>
  <c r="O555" i="44" s="1"/>
  <c r="O373" i="44"/>
  <c r="O575" i="44" s="1"/>
  <c r="Y278" i="44"/>
  <c r="P358" i="44"/>
  <c r="Y377" i="44"/>
  <c r="F286" i="44"/>
  <c r="F488" i="44" s="1"/>
  <c r="G386" i="44"/>
  <c r="M391" i="44"/>
  <c r="L361" i="44"/>
  <c r="L563" i="44" s="1"/>
  <c r="F273" i="44"/>
  <c r="F475" i="44" s="1"/>
  <c r="H368" i="44"/>
  <c r="H570" i="44" s="1"/>
  <c r="G275" i="44"/>
  <c r="G359" i="44"/>
  <c r="E380" i="44"/>
  <c r="E582" i="44" s="1"/>
  <c r="M382" i="44"/>
  <c r="W361" i="44"/>
  <c r="W563" i="44" s="1"/>
  <c r="M366" i="44"/>
  <c r="K380" i="44"/>
  <c r="K582" i="44" s="1"/>
  <c r="F390" i="44"/>
  <c r="F592" i="44" s="1"/>
  <c r="H286" i="44"/>
  <c r="H488" i="44" s="1"/>
  <c r="M350" i="44"/>
  <c r="I382" i="44"/>
  <c r="I584" i="44" s="1"/>
  <c r="W383" i="44"/>
  <c r="W585" i="44" s="1"/>
  <c r="J380" i="44"/>
  <c r="F294" i="44"/>
  <c r="F496" i="44" s="1"/>
  <c r="G289" i="44"/>
  <c r="H356" i="44"/>
  <c r="H558" i="44" s="1"/>
  <c r="Y365" i="44"/>
  <c r="J376" i="44"/>
  <c r="G351" i="44"/>
  <c r="F281" i="44"/>
  <c r="F483" i="44" s="1"/>
  <c r="Y290" i="44"/>
  <c r="G291" i="44"/>
  <c r="Y363" i="44"/>
  <c r="P380" i="44"/>
  <c r="P280" i="44"/>
  <c r="I370" i="44"/>
  <c r="I572" i="44" s="1"/>
  <c r="O280" i="44"/>
  <c r="O482" i="44" s="1"/>
  <c r="P282" i="44"/>
  <c r="O383" i="44"/>
  <c r="O585" i="44" s="1"/>
  <c r="F364" i="44"/>
  <c r="F566" i="44" s="1"/>
  <c r="H288" i="44"/>
  <c r="O359" i="44"/>
  <c r="O561" i="44" s="1"/>
  <c r="O376" i="44"/>
  <c r="O578" i="44" s="1"/>
  <c r="L290" i="44"/>
  <c r="L492" i="44" s="1"/>
  <c r="K351" i="44"/>
  <c r="K553" i="44" s="1"/>
  <c r="Y358" i="44"/>
  <c r="P285" i="44"/>
  <c r="Y366" i="44"/>
  <c r="W376" i="44"/>
  <c r="W578" i="44" s="1"/>
  <c r="N294" i="44"/>
  <c r="J357" i="44"/>
  <c r="I364" i="44"/>
  <c r="I566" i="44" s="1"/>
  <c r="O358" i="44"/>
  <c r="O560" i="44" s="1"/>
  <c r="K347" i="44"/>
  <c r="K549" i="44" s="1"/>
  <c r="H383" i="44"/>
  <c r="H585" i="44" s="1"/>
  <c r="L382" i="44"/>
  <c r="L584" i="44" s="1"/>
  <c r="H369" i="44"/>
  <c r="H571" i="44" s="1"/>
  <c r="F358" i="44"/>
  <c r="F560" i="44" s="1"/>
  <c r="E386" i="44"/>
  <c r="E588" i="44" s="1"/>
  <c r="M278" i="44"/>
  <c r="M280" i="44"/>
  <c r="M347" i="44"/>
  <c r="L370" i="44"/>
  <c r="L572" i="44" s="1"/>
  <c r="K283" i="44"/>
  <c r="K485" i="44" s="1"/>
  <c r="H370" i="44"/>
  <c r="H572" i="44" s="1"/>
  <c r="N374" i="44"/>
  <c r="J371" i="44"/>
  <c r="P386" i="44"/>
  <c r="N389" i="44"/>
  <c r="O386" i="44"/>
  <c r="O588" i="44" s="1"/>
  <c r="E295" i="44"/>
  <c r="E497" i="44" s="1"/>
  <c r="F357" i="44"/>
  <c r="F559" i="44" s="1"/>
  <c r="H283" i="44"/>
  <c r="H485" i="44" s="1"/>
  <c r="G387" i="44"/>
  <c r="Y277" i="44"/>
  <c r="J295" i="44"/>
  <c r="N285" i="44"/>
  <c r="X276" i="44"/>
  <c r="Y364" i="44"/>
  <c r="X281" i="44"/>
  <c r="E287" i="44"/>
  <c r="E489" i="44" s="1"/>
  <c r="W369" i="44"/>
  <c r="W571" i="44" s="1"/>
  <c r="H364" i="44"/>
  <c r="H566" i="44" s="1"/>
  <c r="L385" i="44"/>
  <c r="L587" i="44" s="1"/>
  <c r="L348" i="44"/>
  <c r="L550" i="44" s="1"/>
  <c r="G375" i="44"/>
  <c r="K288" i="44"/>
  <c r="K490" i="44" s="1"/>
  <c r="W349" i="44"/>
  <c r="W551" i="44" s="1"/>
  <c r="O285" i="44"/>
  <c r="O487" i="44" s="1"/>
  <c r="Y376" i="44"/>
  <c r="P379" i="44"/>
  <c r="P345" i="44"/>
  <c r="N357" i="44"/>
  <c r="J364" i="44"/>
  <c r="N386" i="44"/>
  <c r="P273" i="44"/>
  <c r="X380" i="44"/>
  <c r="H282" i="44"/>
  <c r="H484" i="44" s="1"/>
  <c r="G380" i="44"/>
  <c r="K353" i="44"/>
  <c r="K555" i="44" s="1"/>
  <c r="K295" i="44"/>
  <c r="K497" i="44" s="1"/>
  <c r="M390" i="44"/>
  <c r="G382" i="44"/>
  <c r="K290" i="44"/>
  <c r="K492" i="44" s="1"/>
  <c r="E383" i="44"/>
  <c r="E585" i="44" s="1"/>
  <c r="K375" i="44"/>
  <c r="K577" i="44" s="1"/>
  <c r="E354" i="44"/>
  <c r="E556" i="44" s="1"/>
  <c r="F376" i="44"/>
  <c r="G366" i="44"/>
  <c r="G392" i="44"/>
  <c r="K379" i="44"/>
  <c r="K581" i="44" s="1"/>
  <c r="I389" i="44"/>
  <c r="I591" i="44" s="1"/>
  <c r="X372" i="44"/>
  <c r="L388" i="44"/>
  <c r="L590" i="44" s="1"/>
  <c r="E377" i="44"/>
  <c r="E579" i="44" s="1"/>
  <c r="U275" i="44"/>
  <c r="V281" i="44"/>
  <c r="V483" i="44" s="1"/>
  <c r="T291" i="44"/>
  <c r="T493" i="44" s="1"/>
  <c r="S288" i="44"/>
  <c r="U274" i="44"/>
  <c r="R274" i="44"/>
  <c r="R476" i="44" s="1"/>
  <c r="T290" i="44"/>
  <c r="T492" i="44" s="1"/>
  <c r="U285" i="44"/>
  <c r="U282" i="44"/>
  <c r="S296" i="44"/>
  <c r="U288" i="44"/>
  <c r="S277" i="44"/>
  <c r="R282" i="44"/>
  <c r="R484" i="44" s="1"/>
  <c r="Q280" i="44"/>
  <c r="Q482" i="44" s="1"/>
  <c r="Q293" i="44"/>
  <c r="Q495" i="44" s="1"/>
  <c r="V275" i="44"/>
  <c r="V477" i="44" s="1"/>
  <c r="U294" i="44"/>
  <c r="T280" i="44"/>
  <c r="T482" i="44" s="1"/>
  <c r="U295" i="44"/>
  <c r="T274" i="44"/>
  <c r="T476" i="44" s="1"/>
  <c r="S287" i="44"/>
  <c r="R290" i="44"/>
  <c r="R492" i="44" s="1"/>
  <c r="U290" i="44"/>
  <c r="S292" i="44"/>
  <c r="Q288" i="44"/>
  <c r="Q490" i="44" s="1"/>
  <c r="U279" i="44"/>
  <c r="Q278" i="44"/>
  <c r="Q480" i="44" s="1"/>
  <c r="V283" i="44"/>
  <c r="V485" i="44" s="1"/>
  <c r="T288" i="44"/>
  <c r="T490" i="44" s="1"/>
  <c r="V285" i="44"/>
  <c r="V487" i="44" s="1"/>
  <c r="T283" i="44"/>
  <c r="T485" i="44" s="1"/>
  <c r="S273" i="44"/>
  <c r="Q296" i="44"/>
  <c r="Q498" i="44" s="1"/>
  <c r="Q273" i="44"/>
  <c r="Q475" i="44" s="1"/>
  <c r="Q277" i="44"/>
  <c r="Q479" i="44" s="1"/>
  <c r="S283" i="44"/>
  <c r="V291" i="44"/>
  <c r="V493" i="44" s="1"/>
  <c r="U276" i="44"/>
  <c r="T296" i="44"/>
  <c r="T498" i="44" s="1"/>
  <c r="U277" i="44"/>
  <c r="V282" i="44"/>
  <c r="V484" i="44" s="1"/>
  <c r="U283" i="44"/>
  <c r="T292" i="44"/>
  <c r="T494" i="44" s="1"/>
  <c r="S281" i="44"/>
  <c r="R280" i="44"/>
  <c r="R482" i="44" s="1"/>
  <c r="Q281" i="44"/>
  <c r="Q483" i="44" s="1"/>
  <c r="Q295" i="44"/>
  <c r="Q497" i="44" s="1"/>
  <c r="V279" i="44"/>
  <c r="V481" i="44" s="1"/>
  <c r="U284" i="44"/>
  <c r="U286" i="44"/>
  <c r="U296" i="44"/>
  <c r="S289" i="44"/>
  <c r="S275" i="44"/>
  <c r="R288" i="44"/>
  <c r="R490" i="44" s="1"/>
  <c r="V288" i="44"/>
  <c r="V490" i="44" s="1"/>
  <c r="S293" i="44"/>
  <c r="Q289" i="44"/>
  <c r="Q491" i="44" s="1"/>
  <c r="R278" i="44"/>
  <c r="R480" i="44" s="1"/>
  <c r="Q287" i="44"/>
  <c r="Q489" i="44" s="1"/>
  <c r="V287" i="44"/>
  <c r="V489" i="44" s="1"/>
  <c r="U292" i="44"/>
  <c r="V277" i="44"/>
  <c r="V479" i="44" s="1"/>
  <c r="S285" i="44"/>
  <c r="R296" i="44"/>
  <c r="R498" i="44" s="1"/>
  <c r="U281" i="44"/>
  <c r="T276" i="44"/>
  <c r="T478" i="44" s="1"/>
  <c r="U293" i="44"/>
  <c r="V295" i="44"/>
  <c r="V497" i="44" s="1"/>
  <c r="V293" i="44"/>
  <c r="V495" i="44" s="1"/>
  <c r="S295" i="44"/>
  <c r="T287" i="44"/>
  <c r="T489" i="44" s="1"/>
  <c r="R275" i="44"/>
  <c r="R477" i="44" s="1"/>
  <c r="V289" i="44"/>
  <c r="V491" i="44" s="1"/>
  <c r="T279" i="44"/>
  <c r="T481" i="44" s="1"/>
  <c r="T284" i="44"/>
  <c r="T486" i="44" s="1"/>
  <c r="S278" i="44"/>
  <c r="R283" i="44"/>
  <c r="R485" i="44" s="1"/>
  <c r="U278" i="44"/>
  <c r="S290" i="44"/>
  <c r="R291" i="44"/>
  <c r="R493" i="44" s="1"/>
  <c r="V280" i="44"/>
  <c r="V482" i="44" s="1"/>
  <c r="U291" i="44"/>
  <c r="R293" i="44"/>
  <c r="R495" i="44" s="1"/>
  <c r="Q274" i="44"/>
  <c r="Q476" i="44" s="1"/>
  <c r="T286" i="44"/>
  <c r="T488" i="44" s="1"/>
  <c r="R281" i="44"/>
  <c r="R483" i="44" s="1"/>
  <c r="R294" i="44"/>
  <c r="R496" i="44" s="1"/>
  <c r="Q286" i="44"/>
  <c r="Q488" i="44" s="1"/>
  <c r="R289" i="44"/>
  <c r="R491" i="44" s="1"/>
  <c r="X290" i="44"/>
  <c r="Y292" i="44"/>
  <c r="R285" i="44"/>
  <c r="R487" i="44" s="1"/>
  <c r="Q276" i="44"/>
  <c r="Q478" i="44" s="1"/>
  <c r="Q279" i="44"/>
  <c r="Q481" i="44" s="1"/>
  <c r="V276" i="44"/>
  <c r="V478" i="44" s="1"/>
  <c r="T277" i="44"/>
  <c r="T479" i="44" s="1"/>
  <c r="T294" i="44"/>
  <c r="T496" i="44" s="1"/>
  <c r="S294" i="44"/>
  <c r="Q284" i="44"/>
  <c r="Q486" i="44" s="1"/>
  <c r="R284" i="44"/>
  <c r="R486" i="44" s="1"/>
  <c r="V284" i="44"/>
  <c r="V486" i="44" s="1"/>
  <c r="T289" i="44"/>
  <c r="T491" i="44" s="1"/>
  <c r="Q292" i="44"/>
  <c r="Q494" i="44" s="1"/>
  <c r="X292" i="44"/>
  <c r="V292" i="44"/>
  <c r="V494" i="44" s="1"/>
  <c r="T273" i="44"/>
  <c r="T475" i="44" s="1"/>
  <c r="T282" i="44"/>
  <c r="T484" i="44" s="1"/>
  <c r="S276" i="44"/>
  <c r="J284" i="44"/>
  <c r="V296" i="44"/>
  <c r="V498" i="44" s="1"/>
  <c r="V290" i="44"/>
  <c r="V492" i="44" s="1"/>
  <c r="S286" i="44"/>
  <c r="N284" i="44"/>
  <c r="U280" i="44"/>
  <c r="R276" i="44"/>
  <c r="R478" i="44" s="1"/>
  <c r="T278" i="44"/>
  <c r="T480" i="44" s="1"/>
  <c r="R277" i="44"/>
  <c r="R479" i="44" s="1"/>
  <c r="Q291" i="44"/>
  <c r="Q493" i="44" s="1"/>
  <c r="Q275" i="44"/>
  <c r="Q477" i="44" s="1"/>
  <c r="Q283" i="44"/>
  <c r="Q485" i="44" s="1"/>
  <c r="S274" i="44"/>
  <c r="R286" i="44"/>
  <c r="R488" i="44" s="1"/>
  <c r="R287" i="44"/>
  <c r="R489" i="44" s="1"/>
  <c r="S284" i="44"/>
  <c r="V273" i="44"/>
  <c r="V475" i="44" s="1"/>
  <c r="Q294" i="44"/>
  <c r="Q496" i="44" s="1"/>
  <c r="T295" i="44"/>
  <c r="T497" i="44" s="1"/>
  <c r="T293" i="44"/>
  <c r="T495" i="44" s="1"/>
  <c r="T275" i="44"/>
  <c r="T477" i="44" s="1"/>
  <c r="U273" i="44"/>
  <c r="T281" i="44"/>
  <c r="T483" i="44" s="1"/>
  <c r="U287" i="44"/>
  <c r="Q282" i="44"/>
  <c r="Q484" i="44" s="1"/>
  <c r="V278" i="44"/>
  <c r="V480" i="44" s="1"/>
  <c r="V294" i="44"/>
  <c r="V496" i="44" s="1"/>
  <c r="R292" i="44"/>
  <c r="R494" i="44" s="1"/>
  <c r="S282" i="44"/>
  <c r="U289" i="44"/>
  <c r="Q285" i="44"/>
  <c r="Q487" i="44" s="1"/>
  <c r="R295" i="44"/>
  <c r="R497" i="44" s="1"/>
  <c r="R273" i="44"/>
  <c r="R475" i="44" s="1"/>
  <c r="S280" i="44"/>
  <c r="S279" i="44"/>
  <c r="S291" i="44"/>
  <c r="Q290" i="44"/>
  <c r="Q492" i="44" s="1"/>
  <c r="R279" i="44"/>
  <c r="V274" i="44"/>
  <c r="V476" i="44" s="1"/>
  <c r="V286" i="44"/>
  <c r="V488" i="44" s="1"/>
  <c r="T285" i="44"/>
  <c r="T487" i="44" s="1"/>
  <c r="L285" i="44"/>
  <c r="L487" i="44" s="1"/>
  <c r="M281" i="44"/>
  <c r="G290" i="44"/>
  <c r="G273" i="44"/>
  <c r="E282" i="44"/>
  <c r="E484" i="44" s="1"/>
  <c r="L294" i="44"/>
  <c r="L496" i="44" s="1"/>
  <c r="N282" i="44"/>
  <c r="J286" i="44"/>
  <c r="Y283" i="44"/>
  <c r="I290" i="44"/>
  <c r="I492" i="44" s="1"/>
  <c r="W277" i="44"/>
  <c r="W479" i="44" s="1"/>
  <c r="Y280" i="44"/>
  <c r="I278" i="44"/>
  <c r="I480" i="44" s="1"/>
  <c r="G274" i="44"/>
  <c r="M279" i="44"/>
  <c r="H281" i="44"/>
  <c r="H483" i="44" s="1"/>
  <c r="L286" i="44"/>
  <c r="L488" i="44" s="1"/>
  <c r="I286" i="44"/>
  <c r="W283" i="44"/>
  <c r="W485" i="44" s="1"/>
  <c r="Y275" i="44"/>
  <c r="X280" i="44"/>
  <c r="X285" i="44"/>
  <c r="M274" i="44"/>
  <c r="H280" i="44"/>
  <c r="H482" i="44" s="1"/>
  <c r="E276" i="44"/>
  <c r="E478" i="44" s="1"/>
  <c r="O286" i="44"/>
  <c r="O488" i="44" s="1"/>
  <c r="J296" i="44"/>
  <c r="W275" i="44"/>
  <c r="W477" i="44" s="1"/>
  <c r="N288" i="44"/>
  <c r="W280" i="44"/>
  <c r="W482" i="44" s="1"/>
  <c r="N293" i="44"/>
  <c r="Y288" i="44"/>
  <c r="H279" i="44"/>
  <c r="H481" i="44" s="1"/>
  <c r="M275" i="44"/>
  <c r="K282" i="44"/>
  <c r="K484" i="44" s="1"/>
  <c r="J285" i="44"/>
  <c r="L276" i="44"/>
  <c r="L478" i="44" s="1"/>
  <c r="G279" i="44"/>
  <c r="F279" i="44"/>
  <c r="F481" i="44" s="1"/>
  <c r="K274" i="44"/>
  <c r="K476" i="44" s="1"/>
  <c r="K292" i="44"/>
  <c r="L277" i="44"/>
  <c r="L479" i="44" s="1"/>
  <c r="L282" i="44"/>
  <c r="L484" i="44" s="1"/>
  <c r="H294" i="44"/>
  <c r="H496" i="44" s="1"/>
  <c r="E286" i="44"/>
  <c r="E488" i="44" s="1"/>
  <c r="O289" i="44"/>
  <c r="O491" i="44" s="1"/>
  <c r="P286" i="44"/>
  <c r="N296" i="44"/>
  <c r="Y274" i="44"/>
  <c r="Y287" i="44"/>
  <c r="J288" i="44"/>
  <c r="O295" i="44"/>
  <c r="O497" i="44" s="1"/>
  <c r="J275" i="44"/>
  <c r="O278" i="44"/>
  <c r="O480" i="44" s="1"/>
  <c r="J293" i="44"/>
  <c r="O293" i="44"/>
  <c r="O495" i="44" s="1"/>
  <c r="X288" i="44"/>
  <c r="E288" i="44"/>
  <c r="E490" i="44" s="1"/>
  <c r="K291" i="44"/>
  <c r="K493" i="44" s="1"/>
  <c r="L284" i="44"/>
  <c r="L486" i="44" s="1"/>
  <c r="G288" i="44"/>
  <c r="K277" i="44"/>
  <c r="K479" i="44" s="1"/>
  <c r="J276" i="44"/>
  <c r="P289" i="44"/>
  <c r="Y286" i="44"/>
  <c r="I296" i="44"/>
  <c r="I498" i="44" s="1"/>
  <c r="X274" i="44"/>
  <c r="X287" i="44"/>
  <c r="I288" i="44"/>
  <c r="I490" i="44" s="1"/>
  <c r="P295" i="44"/>
  <c r="N275" i="44"/>
  <c r="P278" i="44"/>
  <c r="I293" i="44"/>
  <c r="I495" i="44" s="1"/>
  <c r="P293" i="44"/>
  <c r="W288" i="44"/>
  <c r="W490" i="44" s="1"/>
  <c r="M283" i="44"/>
  <c r="K275" i="44"/>
  <c r="K477" i="44" s="1"/>
  <c r="L291" i="44"/>
  <c r="L493" i="44" s="1"/>
  <c r="E285" i="44"/>
  <c r="E487" i="44" s="1"/>
  <c r="E289" i="44"/>
  <c r="E491" i="44" s="1"/>
  <c r="H292" i="44"/>
  <c r="H494" i="44" s="1"/>
  <c r="I292" i="44"/>
  <c r="I494" i="44" s="1"/>
  <c r="N281" i="44"/>
  <c r="X286" i="44"/>
  <c r="W274" i="44"/>
  <c r="W476" i="44" s="1"/>
  <c r="W287" i="44"/>
  <c r="W489" i="44" s="1"/>
  <c r="O283" i="44"/>
  <c r="O485" i="44" s="1"/>
  <c r="I275" i="44"/>
  <c r="I477" i="44" s="1"/>
  <c r="O296" i="44"/>
  <c r="O498" i="44" s="1"/>
  <c r="X294" i="44"/>
  <c r="P296" i="44"/>
  <c r="M273" i="44"/>
  <c r="L289" i="44"/>
  <c r="L491" i="44" s="1"/>
  <c r="X277" i="44"/>
  <c r="K287" i="44"/>
  <c r="K489" i="44" s="1"/>
  <c r="G292" i="44"/>
  <c r="E277" i="44"/>
  <c r="E479" i="44" s="1"/>
  <c r="I284" i="44"/>
  <c r="I486" i="44" s="1"/>
  <c r="X283" i="44"/>
  <c r="N276" i="44"/>
  <c r="J281" i="44"/>
  <c r="W286" i="44"/>
  <c r="W488" i="44" s="1"/>
  <c r="O279" i="44"/>
  <c r="O481" i="44" s="1"/>
  <c r="P283" i="44"/>
  <c r="N273" i="44"/>
  <c r="I276" i="44"/>
  <c r="I478" i="44" s="1"/>
  <c r="M291" i="44"/>
  <c r="E283" i="44"/>
  <c r="E485" i="44" s="1"/>
  <c r="G293" i="44"/>
  <c r="W292" i="44"/>
  <c r="W494" i="44" s="1"/>
  <c r="L283" i="44"/>
  <c r="L485" i="44" s="1"/>
  <c r="F275" i="44"/>
  <c r="F477" i="44" s="1"/>
  <c r="X275" i="44"/>
  <c r="I281" i="44"/>
  <c r="I483" i="44" s="1"/>
  <c r="N291" i="44"/>
  <c r="P279" i="44"/>
  <c r="O287" i="44"/>
  <c r="O489" i="44" s="1"/>
  <c r="Y295" i="44"/>
  <c r="Y284" i="44"/>
  <c r="N280" i="44"/>
  <c r="J273" i="44"/>
  <c r="N289" i="44"/>
  <c r="K281" i="44"/>
  <c r="K483" i="44" s="1"/>
  <c r="E291" i="44"/>
  <c r="E493" i="44" s="1"/>
  <c r="K296" i="44"/>
  <c r="K498" i="44" s="1"/>
  <c r="H276" i="44"/>
  <c r="H478" i="44" s="1"/>
  <c r="H275" i="44"/>
  <c r="H477" i="44" s="1"/>
  <c r="L281" i="44"/>
  <c r="L483" i="44" s="1"/>
  <c r="E275" i="44"/>
  <c r="E477" i="44" s="1"/>
  <c r="F291" i="44"/>
  <c r="F493" i="44" s="1"/>
  <c r="M294" i="44"/>
  <c r="M296" i="44"/>
  <c r="L280" i="44"/>
  <c r="L482" i="44" s="1"/>
  <c r="H296" i="44"/>
  <c r="H498" i="44" s="1"/>
  <c r="F274" i="44"/>
  <c r="F476" i="44" s="1"/>
  <c r="N292" i="44"/>
  <c r="J291" i="44"/>
  <c r="P287" i="44"/>
  <c r="X295" i="44"/>
  <c r="O292" i="44"/>
  <c r="O494" i="44" s="1"/>
  <c r="Y285" i="44"/>
  <c r="N277" i="44"/>
  <c r="W284" i="44"/>
  <c r="W486" i="44" s="1"/>
  <c r="J280" i="44"/>
  <c r="I273" i="44"/>
  <c r="I475" i="44" s="1"/>
  <c r="J289" i="44"/>
  <c r="G278" i="44"/>
  <c r="M285" i="44"/>
  <c r="H273" i="44"/>
  <c r="H475" i="44" s="1"/>
  <c r="M290" i="44"/>
  <c r="X284" i="44"/>
  <c r="E294" i="44"/>
  <c r="E496" i="44" s="1"/>
  <c r="F277" i="44"/>
  <c r="F479" i="44" s="1"/>
  <c r="F288" i="44"/>
  <c r="F490" i="44" s="1"/>
  <c r="I291" i="44"/>
  <c r="I493" i="44" s="1"/>
  <c r="W295" i="44"/>
  <c r="W497" i="44" s="1"/>
  <c r="P292" i="44"/>
  <c r="W285" i="44"/>
  <c r="W487" i="44" s="1"/>
  <c r="J277" i="44"/>
  <c r="I280" i="44"/>
  <c r="I482" i="44" s="1"/>
  <c r="I289" i="44"/>
  <c r="I491" i="44" s="1"/>
  <c r="Y384" i="44"/>
  <c r="E278" i="44"/>
  <c r="E480" i="44" s="1"/>
  <c r="E384" i="44"/>
  <c r="E586" i="44" s="1"/>
  <c r="W290" i="44"/>
  <c r="W492" i="44" s="1"/>
  <c r="W356" i="44"/>
  <c r="W558" i="44" s="1"/>
  <c r="M352" i="44"/>
  <c r="M369" i="44"/>
  <c r="W363" i="44"/>
  <c r="W565" i="44" s="1"/>
  <c r="X296" i="44"/>
  <c r="N295" i="44"/>
  <c r="X383" i="44"/>
  <c r="L346" i="44"/>
  <c r="L548" i="44" s="1"/>
  <c r="N392" i="44"/>
  <c r="H366" i="44"/>
  <c r="H568" i="44" s="1"/>
  <c r="M378" i="44"/>
  <c r="P359" i="44"/>
  <c r="Y273" i="44"/>
  <c r="I277" i="44"/>
  <c r="I479" i="44" s="1"/>
  <c r="J369" i="44"/>
  <c r="I360" i="44"/>
  <c r="I562" i="44" s="1"/>
  <c r="N290" i="44"/>
  <c r="O291" i="44"/>
  <c r="O493" i="44" s="1"/>
  <c r="N362" i="44"/>
  <c r="H285" i="44"/>
  <c r="H487" i="44" s="1"/>
  <c r="Y349" i="44"/>
  <c r="P370" i="44"/>
  <c r="O379" i="44"/>
  <c r="O581" i="44" s="1"/>
  <c r="O345" i="44"/>
  <c r="O547" i="44" s="1"/>
  <c r="J368" i="44"/>
  <c r="W346" i="44"/>
  <c r="W548" i="44" s="1"/>
  <c r="N364" i="44"/>
  <c r="P347" i="44"/>
  <c r="O273" i="44"/>
  <c r="O475" i="44" s="1"/>
  <c r="X364" i="44"/>
  <c r="F295" i="44"/>
  <c r="F497" i="44" s="1"/>
  <c r="X350" i="44"/>
  <c r="I355" i="44"/>
  <c r="I557" i="44" s="1"/>
  <c r="Y372" i="44"/>
  <c r="H359" i="44"/>
  <c r="H561" i="44" s="1"/>
  <c r="E281" i="44"/>
  <c r="E483" i="44" s="1"/>
  <c r="H295" i="44"/>
  <c r="H497" i="44" s="1"/>
  <c r="F287" i="44"/>
  <c r="F489" i="44" s="1"/>
  <c r="E290" i="44"/>
  <c r="E492" i="44" s="1"/>
  <c r="G294" i="44"/>
  <c r="H387" i="44"/>
  <c r="H589" i="44" s="1"/>
  <c r="L362" i="44"/>
  <c r="L564" i="44" s="1"/>
  <c r="H382" i="44"/>
  <c r="H584" i="44" s="1"/>
  <c r="K386" i="44"/>
  <c r="K588" i="44" s="1"/>
  <c r="M348" i="44"/>
  <c r="E378" i="44"/>
  <c r="E580" i="44" s="1"/>
  <c r="E374" i="44"/>
  <c r="E576" i="44" s="1"/>
  <c r="W375" i="44"/>
  <c r="W577" i="44" s="1"/>
  <c r="O387" i="44"/>
  <c r="O589" i="44" s="1"/>
  <c r="K284" i="44"/>
  <c r="K486" i="44" s="1"/>
  <c r="M373" i="44"/>
  <c r="I376" i="44"/>
  <c r="I578" i="44" s="1"/>
  <c r="M288" i="44"/>
  <c r="N350" i="44"/>
  <c r="M380" i="44"/>
  <c r="O362" i="44"/>
  <c r="O564" i="44" s="1"/>
  <c r="Y347" i="44"/>
  <c r="E273" i="44"/>
  <c r="E475" i="44" s="1"/>
  <c r="M277" i="44"/>
  <c r="J351" i="44"/>
  <c r="W281" i="44"/>
  <c r="W483" i="44" s="1"/>
  <c r="I392" i="44"/>
  <c r="I594" i="44" s="1"/>
  <c r="G280" i="44"/>
  <c r="G358" i="44"/>
  <c r="N378" i="44"/>
  <c r="L288" i="44"/>
  <c r="L490" i="44" s="1"/>
  <c r="X391" i="44"/>
  <c r="J352" i="44"/>
  <c r="F373" i="44"/>
  <c r="F575" i="44" s="1"/>
  <c r="H375" i="44"/>
  <c r="H577" i="44" s="1"/>
  <c r="Y391" i="44"/>
  <c r="Y293" i="44"/>
  <c r="L379" i="44"/>
  <c r="H289" i="44"/>
  <c r="H491" i="44" s="1"/>
  <c r="O365" i="44"/>
  <c r="O567" i="44" s="1"/>
  <c r="W352" i="44"/>
  <c r="W554" i="44" s="1"/>
  <c r="K365" i="44"/>
  <c r="K567" i="44" s="1"/>
  <c r="G390" i="44"/>
  <c r="W289" i="44"/>
  <c r="W491" i="44" s="1"/>
  <c r="O370" i="44"/>
  <c r="I368" i="44"/>
  <c r="I570" i="44" s="1"/>
  <c r="Y346" i="44"/>
  <c r="J354" i="44"/>
  <c r="I365" i="44"/>
  <c r="I567" i="44" s="1"/>
  <c r="O347" i="44"/>
  <c r="O549" i="44" s="1"/>
  <c r="W367" i="44"/>
  <c r="W569" i="44" s="1"/>
  <c r="P360" i="44"/>
  <c r="W380" i="44"/>
  <c r="W582" i="44" s="1"/>
  <c r="E279" i="44"/>
  <c r="E481" i="44" s="1"/>
  <c r="X291" i="44"/>
  <c r="L363" i="44"/>
  <c r="L565" i="44" s="1"/>
  <c r="F388" i="44"/>
  <c r="F590" i="44" s="1"/>
  <c r="L287" i="44"/>
  <c r="L489" i="44" s="1"/>
  <c r="F350" i="44"/>
  <c r="F552" i="44" s="1"/>
  <c r="M349" i="44"/>
  <c r="E349" i="44"/>
  <c r="E551" i="44" s="1"/>
  <c r="K367" i="44"/>
  <c r="K569" i="44" s="1"/>
  <c r="K293" i="44"/>
  <c r="K495" i="44" s="1"/>
  <c r="M295" i="44"/>
  <c r="F374" i="44"/>
  <c r="F576" i="44" s="1"/>
  <c r="K392" i="44"/>
  <c r="K594" i="44" s="1"/>
  <c r="H380" i="44"/>
  <c r="H582" i="44" s="1"/>
  <c r="M357" i="44"/>
  <c r="G277" i="44"/>
  <c r="V218" i="44"/>
  <c r="V420" i="44" s="1"/>
  <c r="V224" i="44"/>
  <c r="V426" i="44" s="1"/>
  <c r="S221" i="44"/>
  <c r="R219" i="44"/>
  <c r="R421" i="44" s="1"/>
  <c r="Q208" i="44"/>
  <c r="Q410" i="44" s="1"/>
  <c r="Q202" i="44"/>
  <c r="Q404" i="44" s="1"/>
  <c r="R221" i="44"/>
  <c r="R423" i="44" s="1"/>
  <c r="T207" i="44"/>
  <c r="T409" i="44" s="1"/>
  <c r="S204" i="44"/>
  <c r="Q216" i="44"/>
  <c r="Q418" i="44" s="1"/>
  <c r="U213" i="44"/>
  <c r="V213" i="44"/>
  <c r="V415" i="44" s="1"/>
  <c r="T202" i="44"/>
  <c r="T404" i="44" s="1"/>
  <c r="R201" i="44"/>
  <c r="R403" i="44" s="1"/>
  <c r="T223" i="44"/>
  <c r="T425" i="44" s="1"/>
  <c r="S214" i="44"/>
  <c r="S207" i="44"/>
  <c r="R214" i="44"/>
  <c r="R416" i="44" s="1"/>
  <c r="T211" i="44"/>
  <c r="T413" i="44" s="1"/>
  <c r="R209" i="44"/>
  <c r="R411" i="44" s="1"/>
  <c r="Q211" i="44"/>
  <c r="Q413" i="44" s="1"/>
  <c r="T220" i="44"/>
  <c r="T422" i="44" s="1"/>
  <c r="R217" i="44"/>
  <c r="R419" i="44" s="1"/>
  <c r="Q206" i="44"/>
  <c r="Q408" i="44" s="1"/>
  <c r="Q224" i="44"/>
  <c r="Q426" i="44" s="1"/>
  <c r="S202" i="44"/>
  <c r="Q214" i="44"/>
  <c r="Q416" i="44" s="1"/>
  <c r="T204" i="44"/>
  <c r="T406" i="44" s="1"/>
  <c r="Q217" i="44"/>
  <c r="Q419" i="44" s="1"/>
  <c r="V216" i="44"/>
  <c r="V418" i="44" s="1"/>
  <c r="U202" i="44"/>
  <c r="T205" i="44"/>
  <c r="T407" i="44" s="1"/>
  <c r="S212" i="44"/>
  <c r="Q222" i="44"/>
  <c r="Q424" i="44" s="1"/>
  <c r="R204" i="44"/>
  <c r="R406" i="44" s="1"/>
  <c r="R206" i="44"/>
  <c r="R408" i="44" s="1"/>
  <c r="U221" i="44"/>
  <c r="T221" i="44"/>
  <c r="T423" i="44" s="1"/>
  <c r="S222" i="44"/>
  <c r="U211" i="44"/>
  <c r="R212" i="44"/>
  <c r="R414" i="44" s="1"/>
  <c r="S220" i="44"/>
  <c r="V206" i="44"/>
  <c r="V408" i="44" s="1"/>
  <c r="U208" i="44"/>
  <c r="T212" i="44"/>
  <c r="T414" i="44" s="1"/>
  <c r="R220" i="44"/>
  <c r="R422" i="44" s="1"/>
  <c r="Q201" i="44"/>
  <c r="Q403" i="44" s="1"/>
  <c r="V214" i="44"/>
  <c r="V416" i="44" s="1"/>
  <c r="U218" i="44"/>
  <c r="S205" i="44"/>
  <c r="R207" i="44"/>
  <c r="R409" i="44" s="1"/>
  <c r="S210" i="44"/>
  <c r="V222" i="44"/>
  <c r="V424" i="44" s="1"/>
  <c r="U207" i="44"/>
  <c r="V204" i="44"/>
  <c r="V406" i="44" s="1"/>
  <c r="S215" i="44"/>
  <c r="V208" i="44"/>
  <c r="V410" i="44" s="1"/>
  <c r="U215" i="44"/>
  <c r="V221" i="44"/>
  <c r="V423" i="44" s="1"/>
  <c r="T209" i="44"/>
  <c r="T411" i="44" s="1"/>
  <c r="R218" i="44"/>
  <c r="R420" i="44" s="1"/>
  <c r="U223" i="44"/>
  <c r="T218" i="44"/>
  <c r="T420" i="44" s="1"/>
  <c r="Q204" i="44"/>
  <c r="Q406" i="44" s="1"/>
  <c r="T208" i="44"/>
  <c r="T410" i="44" s="1"/>
  <c r="R222" i="44"/>
  <c r="R424" i="44" s="1"/>
  <c r="T216" i="44"/>
  <c r="T418" i="44" s="1"/>
  <c r="T201" i="44"/>
  <c r="T403" i="44" s="1"/>
  <c r="S211" i="44"/>
  <c r="Q212" i="44"/>
  <c r="Q414" i="44" s="1"/>
  <c r="T215" i="44"/>
  <c r="T417" i="44" s="1"/>
  <c r="T224" i="44"/>
  <c r="T426" i="44" s="1"/>
  <c r="T210" i="44"/>
  <c r="T412" i="44" s="1"/>
  <c r="R203" i="44"/>
  <c r="R405" i="44" s="1"/>
  <c r="T219" i="44"/>
  <c r="T421" i="44" s="1"/>
  <c r="R211" i="44"/>
  <c r="R413" i="44" s="1"/>
  <c r="Q210" i="44"/>
  <c r="Q412" i="44" s="1"/>
  <c r="S208" i="44"/>
  <c r="V202" i="44"/>
  <c r="V404" i="44" s="1"/>
  <c r="Q205" i="44"/>
  <c r="Q407" i="44" s="1"/>
  <c r="Q223" i="44"/>
  <c r="Q425" i="44" s="1"/>
  <c r="R205" i="44"/>
  <c r="R407" i="44" s="1"/>
  <c r="V207" i="44"/>
  <c r="V409" i="44" s="1"/>
  <c r="V209" i="44"/>
  <c r="V411" i="44" s="1"/>
  <c r="V210" i="44"/>
  <c r="V412" i="44" s="1"/>
  <c r="Q213" i="44"/>
  <c r="Q415" i="44" s="1"/>
  <c r="T213" i="44"/>
  <c r="T415" i="44" s="1"/>
  <c r="N204" i="44"/>
  <c r="V215" i="44"/>
  <c r="V417" i="44" s="1"/>
  <c r="J204" i="44"/>
  <c r="V217" i="44"/>
  <c r="V419" i="44" s="1"/>
  <c r="T214" i="44"/>
  <c r="T416" i="44" s="1"/>
  <c r="V223" i="44"/>
  <c r="V425" i="44" s="1"/>
  <c r="S206" i="44"/>
  <c r="R213" i="44"/>
  <c r="R415" i="44" s="1"/>
  <c r="S219" i="44"/>
  <c r="U204" i="44"/>
  <c r="U216" i="44"/>
  <c r="S213" i="44"/>
  <c r="U212" i="44"/>
  <c r="S223" i="44"/>
  <c r="T203" i="44"/>
  <c r="T405" i="44" s="1"/>
  <c r="U205" i="44"/>
  <c r="V201" i="44"/>
  <c r="V403" i="44" s="1"/>
  <c r="S203" i="44"/>
  <c r="R223" i="44"/>
  <c r="R425" i="44" s="1"/>
  <c r="Q203" i="44"/>
  <c r="Q405" i="44" s="1"/>
  <c r="V203" i="44"/>
  <c r="V405" i="44" s="1"/>
  <c r="U206" i="44"/>
  <c r="S209" i="44"/>
  <c r="U222" i="44"/>
  <c r="T222" i="44"/>
  <c r="T424" i="44" s="1"/>
  <c r="U209" i="44"/>
  <c r="Q209" i="44"/>
  <c r="Q411" i="44" s="1"/>
  <c r="S224" i="44"/>
  <c r="S216" i="44"/>
  <c r="V212" i="44"/>
  <c r="V414" i="44" s="1"/>
  <c r="E201" i="44"/>
  <c r="E403" i="44" s="1"/>
  <c r="V220" i="44"/>
  <c r="V422" i="44" s="1"/>
  <c r="R215" i="44"/>
  <c r="R417" i="44" s="1"/>
  <c r="U203" i="44"/>
  <c r="R208" i="44"/>
  <c r="R410" i="44" s="1"/>
  <c r="S201" i="44"/>
  <c r="Q221" i="44"/>
  <c r="Q423" i="44" s="1"/>
  <c r="R202" i="44"/>
  <c r="R404" i="44" s="1"/>
  <c r="U217" i="44"/>
  <c r="V205" i="44"/>
  <c r="V407" i="44" s="1"/>
  <c r="R216" i="44"/>
  <c r="R418" i="44" s="1"/>
  <c r="U224" i="44"/>
  <c r="Q219" i="44"/>
  <c r="U210" i="44"/>
  <c r="R224" i="44"/>
  <c r="R426" i="44" s="1"/>
  <c r="Q207" i="44"/>
  <c r="Q409" i="44" s="1"/>
  <c r="S218" i="44"/>
  <c r="W212" i="44"/>
  <c r="W414" i="44" s="1"/>
  <c r="Q215" i="44"/>
  <c r="Q417" i="44" s="1"/>
  <c r="Q220" i="44"/>
  <c r="Q422" i="44" s="1"/>
  <c r="X221" i="44"/>
  <c r="U220" i="44"/>
  <c r="U214" i="44"/>
  <c r="Q218" i="44"/>
  <c r="Q420" i="44" s="1"/>
  <c r="X212" i="44"/>
  <c r="R210" i="44"/>
  <c r="R412" i="44" s="1"/>
  <c r="S217" i="44"/>
  <c r="T206" i="44"/>
  <c r="T408" i="44" s="1"/>
  <c r="V211" i="44"/>
  <c r="V413" i="44" s="1"/>
  <c r="U219" i="44"/>
  <c r="V219" i="44"/>
  <c r="V421" i="44" s="1"/>
  <c r="T217" i="44"/>
  <c r="T419" i="44" s="1"/>
  <c r="U201" i="44"/>
  <c r="N218" i="44"/>
  <c r="K205" i="44"/>
  <c r="K407" i="44" s="1"/>
  <c r="M210" i="44"/>
  <c r="H260" i="44"/>
  <c r="H462" i="44" s="1"/>
  <c r="K308" i="44"/>
  <c r="K510" i="44" s="1"/>
  <c r="K302" i="44"/>
  <c r="K504" i="44" s="1"/>
  <c r="K207" i="44"/>
  <c r="K409" i="44" s="1"/>
  <c r="L259" i="44"/>
  <c r="L461" i="44" s="1"/>
  <c r="G201" i="44"/>
  <c r="L267" i="44"/>
  <c r="L469" i="44" s="1"/>
  <c r="F261" i="44"/>
  <c r="F463" i="44" s="1"/>
  <c r="F314" i="44"/>
  <c r="F516" i="44" s="1"/>
  <c r="H211" i="44"/>
  <c r="H413" i="44" s="1"/>
  <c r="E215" i="44"/>
  <c r="E417" i="44" s="1"/>
  <c r="F222" i="44"/>
  <c r="F424" i="44" s="1"/>
  <c r="G223" i="44"/>
  <c r="G249" i="44"/>
  <c r="E315" i="44"/>
  <c r="E517" i="44" s="1"/>
  <c r="F262" i="44"/>
  <c r="F464" i="44" s="1"/>
  <c r="G221" i="44"/>
  <c r="L207" i="44"/>
  <c r="L409" i="44" s="1"/>
  <c r="G210" i="44"/>
  <c r="L223" i="44"/>
  <c r="L425" i="44" s="1"/>
  <c r="L204" i="44"/>
  <c r="L406" i="44" s="1"/>
  <c r="V318" i="44"/>
  <c r="V520" i="44" s="1"/>
  <c r="V300" i="44"/>
  <c r="V502" i="44" s="1"/>
  <c r="U302" i="44"/>
  <c r="Q307" i="44"/>
  <c r="Q509" i="44" s="1"/>
  <c r="V320" i="44"/>
  <c r="V522" i="44" s="1"/>
  <c r="R302" i="44"/>
  <c r="R504" i="44" s="1"/>
  <c r="Q302" i="44"/>
  <c r="Q504" i="44" s="1"/>
  <c r="V308" i="44"/>
  <c r="V510" i="44" s="1"/>
  <c r="V297" i="44"/>
  <c r="V499" i="44" s="1"/>
  <c r="T300" i="44"/>
  <c r="T502" i="44" s="1"/>
  <c r="T303" i="44"/>
  <c r="T505" i="44" s="1"/>
  <c r="Q315" i="44"/>
  <c r="Q517" i="44" s="1"/>
  <c r="V316" i="44"/>
  <c r="V518" i="44" s="1"/>
  <c r="V313" i="44"/>
  <c r="V515" i="44" s="1"/>
  <c r="T309" i="44"/>
  <c r="T511" i="44" s="1"/>
  <c r="S304" i="44"/>
  <c r="V305" i="44"/>
  <c r="V507" i="44" s="1"/>
  <c r="U298" i="44"/>
  <c r="T315" i="44"/>
  <c r="T517" i="44" s="1"/>
  <c r="U320" i="44"/>
  <c r="Q311" i="44"/>
  <c r="Q513" i="44" s="1"/>
  <c r="U303" i="44"/>
  <c r="U305" i="44"/>
  <c r="T318" i="44"/>
  <c r="T520" i="44" s="1"/>
  <c r="S312" i="44"/>
  <c r="U308" i="44"/>
  <c r="S299" i="44"/>
  <c r="R298" i="44"/>
  <c r="R500" i="44" s="1"/>
  <c r="U310" i="44"/>
  <c r="S316" i="44"/>
  <c r="Q301" i="44"/>
  <c r="Q503" i="44" s="1"/>
  <c r="Q310" i="44"/>
  <c r="Q512" i="44" s="1"/>
  <c r="U311" i="44"/>
  <c r="V301" i="44"/>
  <c r="V503" i="44" s="1"/>
  <c r="U314" i="44"/>
  <c r="S320" i="44"/>
  <c r="U317" i="44"/>
  <c r="S309" i="44"/>
  <c r="R306" i="44"/>
  <c r="R508" i="44" s="1"/>
  <c r="Q304" i="44"/>
  <c r="Q506" i="44" s="1"/>
  <c r="Q319" i="44"/>
  <c r="Q521" i="44" s="1"/>
  <c r="V299" i="44"/>
  <c r="V501" i="44" s="1"/>
  <c r="U319" i="44"/>
  <c r="T304" i="44"/>
  <c r="T506" i="44" s="1"/>
  <c r="V298" i="44"/>
  <c r="V500" i="44" s="1"/>
  <c r="V317" i="44"/>
  <c r="V519" i="44" s="1"/>
  <c r="T301" i="44"/>
  <c r="T503" i="44" s="1"/>
  <c r="S319" i="44"/>
  <c r="R314" i="44"/>
  <c r="R516" i="44" s="1"/>
  <c r="Q312" i="44"/>
  <c r="Q514" i="44" s="1"/>
  <c r="Q318" i="44"/>
  <c r="Q520" i="44" s="1"/>
  <c r="Q303" i="44"/>
  <c r="Q505" i="44" s="1"/>
  <c r="V307" i="44"/>
  <c r="V509" i="44" s="1"/>
  <c r="T312" i="44"/>
  <c r="T514" i="44" s="1"/>
  <c r="V314" i="44"/>
  <c r="V516" i="44" s="1"/>
  <c r="U306" i="44"/>
  <c r="T310" i="44"/>
  <c r="T512" i="44" s="1"/>
  <c r="S297" i="44"/>
  <c r="Q320" i="44"/>
  <c r="Q522" i="44" s="1"/>
  <c r="Q297" i="44"/>
  <c r="Q499" i="44" s="1"/>
  <c r="T305" i="44"/>
  <c r="T507" i="44" s="1"/>
  <c r="R301" i="44"/>
  <c r="R503" i="44" s="1"/>
  <c r="V315" i="44"/>
  <c r="V517" i="44" s="1"/>
  <c r="U300" i="44"/>
  <c r="T320" i="44"/>
  <c r="T522" i="44" s="1"/>
  <c r="U315" i="44"/>
  <c r="T319" i="44"/>
  <c r="T521" i="44" s="1"/>
  <c r="S305" i="44"/>
  <c r="R304" i="44"/>
  <c r="R506" i="44" s="1"/>
  <c r="U304" i="44"/>
  <c r="Q305" i="44"/>
  <c r="Q507" i="44" s="1"/>
  <c r="R319" i="44"/>
  <c r="R521" i="44" s="1"/>
  <c r="V303" i="44"/>
  <c r="V505" i="44" s="1"/>
  <c r="V309" i="44"/>
  <c r="V511" i="44" s="1"/>
  <c r="S313" i="44"/>
  <c r="S307" i="44"/>
  <c r="R312" i="44"/>
  <c r="R514" i="44" s="1"/>
  <c r="T299" i="44"/>
  <c r="T501" i="44" s="1"/>
  <c r="Q313" i="44"/>
  <c r="Q515" i="44" s="1"/>
  <c r="T307" i="44"/>
  <c r="T509" i="44" s="1"/>
  <c r="Q309" i="44"/>
  <c r="Q511" i="44" s="1"/>
  <c r="V311" i="44"/>
  <c r="S317" i="44"/>
  <c r="R320" i="44"/>
  <c r="R522" i="44" s="1"/>
  <c r="T313" i="44"/>
  <c r="T515" i="44" s="1"/>
  <c r="V319" i="44"/>
  <c r="V521" i="44" s="1"/>
  <c r="S300" i="44"/>
  <c r="R299" i="44"/>
  <c r="R501" i="44" s="1"/>
  <c r="S314" i="44"/>
  <c r="S301" i="44"/>
  <c r="Q314" i="44"/>
  <c r="Q516" i="44" s="1"/>
  <c r="S306" i="44"/>
  <c r="T298" i="44"/>
  <c r="T500" i="44" s="1"/>
  <c r="S311" i="44"/>
  <c r="U313" i="44"/>
  <c r="R317" i="44"/>
  <c r="R519" i="44" s="1"/>
  <c r="X306" i="44"/>
  <c r="T311" i="44"/>
  <c r="T513" i="44" s="1"/>
  <c r="R297" i="44"/>
  <c r="R499" i="44" s="1"/>
  <c r="U312" i="44"/>
  <c r="U301" i="44"/>
  <c r="R305" i="44"/>
  <c r="R507" i="44" s="1"/>
  <c r="R313" i="44"/>
  <c r="R515" i="44" s="1"/>
  <c r="T316" i="44"/>
  <c r="T518" i="44" s="1"/>
  <c r="T302" i="44"/>
  <c r="T504" i="44" s="1"/>
  <c r="Q300" i="44"/>
  <c r="Q502" i="44" s="1"/>
  <c r="T314" i="44"/>
  <c r="T516" i="44" s="1"/>
  <c r="Q308" i="44"/>
  <c r="Q510" i="44" s="1"/>
  <c r="V304" i="44"/>
  <c r="V506" i="44" s="1"/>
  <c r="R307" i="44"/>
  <c r="R509" i="44" s="1"/>
  <c r="Q316" i="44"/>
  <c r="Q518" i="44" s="1"/>
  <c r="R303" i="44"/>
  <c r="R505" i="44" s="1"/>
  <c r="X313" i="44"/>
  <c r="S308" i="44"/>
  <c r="U318" i="44"/>
  <c r="V306" i="44"/>
  <c r="V508" i="44" s="1"/>
  <c r="S318" i="44"/>
  <c r="V312" i="44"/>
  <c r="V514" i="44" s="1"/>
  <c r="S298" i="44"/>
  <c r="R315" i="44"/>
  <c r="R517" i="44" s="1"/>
  <c r="U299" i="44"/>
  <c r="V302" i="44"/>
  <c r="V504" i="44" s="1"/>
  <c r="U297" i="44"/>
  <c r="T297" i="44"/>
  <c r="T499" i="44" s="1"/>
  <c r="S310" i="44"/>
  <c r="Q317" i="44"/>
  <c r="Q519" i="44" s="1"/>
  <c r="T317" i="44"/>
  <c r="R300" i="44"/>
  <c r="R502" i="44" s="1"/>
  <c r="T308" i="44"/>
  <c r="T510" i="44" s="1"/>
  <c r="T306" i="44"/>
  <c r="T508" i="44" s="1"/>
  <c r="S303" i="44"/>
  <c r="R309" i="44"/>
  <c r="R511" i="44" s="1"/>
  <c r="R308" i="44"/>
  <c r="R510" i="44" s="1"/>
  <c r="W306" i="44"/>
  <c r="W508" i="44" s="1"/>
  <c r="U307" i="44"/>
  <c r="R310" i="44"/>
  <c r="R512" i="44" s="1"/>
  <c r="U316" i="44"/>
  <c r="U309" i="44"/>
  <c r="Q298" i="44"/>
  <c r="Q500" i="44" s="1"/>
  <c r="R311" i="44"/>
  <c r="R513" i="44" s="1"/>
  <c r="R318" i="44"/>
  <c r="R520" i="44" s="1"/>
  <c r="X297" i="44"/>
  <c r="Q306" i="44"/>
  <c r="Q508" i="44" s="1"/>
  <c r="V310" i="44"/>
  <c r="V512" i="44" s="1"/>
  <c r="S302" i="44"/>
  <c r="R316" i="44"/>
  <c r="R518" i="44" s="1"/>
  <c r="Q299" i="44"/>
  <c r="Q501" i="44" s="1"/>
  <c r="S315" i="44"/>
  <c r="K215" i="44"/>
  <c r="K417" i="44" s="1"/>
  <c r="E249" i="44"/>
  <c r="E451" i="44" s="1"/>
  <c r="Y204" i="44"/>
  <c r="H315" i="44"/>
  <c r="H517" i="44" s="1"/>
  <c r="K318" i="44"/>
  <c r="K520" i="44" s="1"/>
  <c r="K253" i="44"/>
  <c r="K455" i="44" s="1"/>
  <c r="W313" i="44"/>
  <c r="W515" i="44" s="1"/>
  <c r="M264" i="44"/>
  <c r="H222" i="44"/>
  <c r="H424" i="44" s="1"/>
  <c r="L214" i="44"/>
  <c r="L416" i="44" s="1"/>
  <c r="E316" i="44"/>
  <c r="E518" i="44" s="1"/>
  <c r="F217" i="44"/>
  <c r="F419" i="44" s="1"/>
  <c r="K303" i="44"/>
  <c r="K505" i="44" s="1"/>
  <c r="H204" i="44"/>
  <c r="H406" i="44" s="1"/>
  <c r="E206" i="44"/>
  <c r="E408" i="44" s="1"/>
  <c r="M209" i="44"/>
  <c r="E261" i="44"/>
  <c r="E463" i="44" s="1"/>
  <c r="L210" i="44"/>
  <c r="L412" i="44" s="1"/>
  <c r="Y309" i="44"/>
  <c r="E7" i="46"/>
  <c r="K7" i="46"/>
  <c r="L201" i="44"/>
  <c r="L403" i="44" s="1"/>
  <c r="L256" i="44"/>
  <c r="L458" i="44" s="1"/>
  <c r="K222" i="44"/>
  <c r="K424" i="44" s="1"/>
  <c r="E258" i="44"/>
  <c r="E460" i="44" s="1"/>
  <c r="H209" i="44"/>
  <c r="H411" i="44" s="1"/>
  <c r="F270" i="44"/>
  <c r="F472" i="44" s="1"/>
  <c r="F252" i="44"/>
  <c r="F454" i="44" s="1"/>
  <c r="M249" i="44"/>
  <c r="G306" i="44"/>
  <c r="F313" i="44"/>
  <c r="F515" i="44" s="1"/>
  <c r="M224" i="44"/>
  <c r="G269" i="44"/>
  <c r="L311" i="44"/>
  <c r="L513" i="44" s="1"/>
  <c r="K267" i="44"/>
  <c r="K469" i="44" s="1"/>
  <c r="H251" i="44"/>
  <c r="H453" i="44" s="1"/>
  <c r="J270" i="44"/>
  <c r="L257" i="44"/>
  <c r="L459" i="44" s="1"/>
  <c r="L254" i="44"/>
  <c r="L456" i="44" s="1"/>
  <c r="F208" i="44"/>
  <c r="F410" i="44" s="1"/>
  <c r="G252" i="44"/>
  <c r="M305" i="44"/>
  <c r="E217" i="44"/>
  <c r="E419" i="44" s="1"/>
  <c r="L215" i="44"/>
  <c r="L417" i="44" s="1"/>
  <c r="H221" i="44"/>
  <c r="H423" i="44" s="1"/>
  <c r="H202" i="44"/>
  <c r="H404" i="44" s="1"/>
  <c r="H210" i="44"/>
  <c r="H412" i="44" s="1"/>
  <c r="K211" i="44"/>
  <c r="K413" i="44" s="1"/>
  <c r="E254" i="44"/>
  <c r="E456" i="44" s="1"/>
  <c r="X267" i="44"/>
  <c r="M257" i="44"/>
  <c r="L299" i="44"/>
  <c r="L501" i="44" s="1"/>
  <c r="E251" i="44"/>
  <c r="E453" i="44" s="1"/>
  <c r="K269" i="44"/>
  <c r="K471" i="44" s="1"/>
  <c r="G218" i="44"/>
  <c r="E297" i="44"/>
  <c r="E499" i="44" s="1"/>
  <c r="H255" i="44"/>
  <c r="H457" i="44" s="1"/>
  <c r="K220" i="44"/>
  <c r="K422" i="44" s="1"/>
  <c r="H219" i="44"/>
  <c r="H421" i="44" s="1"/>
  <c r="L263" i="44"/>
  <c r="L465" i="44" s="1"/>
  <c r="K255" i="44"/>
  <c r="K457" i="44" s="1"/>
  <c r="M318" i="44"/>
  <c r="G207" i="44"/>
  <c r="M203" i="44"/>
  <c r="M217" i="44"/>
  <c r="L218" i="44"/>
  <c r="L420" i="44" s="1"/>
  <c r="F315" i="44"/>
  <c r="F517" i="44" s="1"/>
  <c r="E303" i="44"/>
  <c r="E505" i="44" s="1"/>
  <c r="K305" i="44"/>
  <c r="K507" i="44" s="1"/>
  <c r="H308" i="44"/>
  <c r="H510" i="44" s="1"/>
  <c r="F250" i="44"/>
  <c r="F452" i="44" s="1"/>
  <c r="K210" i="44"/>
  <c r="K412" i="44" s="1"/>
  <c r="F299" i="44"/>
  <c r="F501" i="44" s="1"/>
  <c r="K264" i="44"/>
  <c r="K466" i="44" s="1"/>
  <c r="L268" i="44"/>
  <c r="L470" i="44" s="1"/>
  <c r="L301" i="44"/>
  <c r="L503" i="44" s="1"/>
  <c r="X252" i="44"/>
  <c r="F203" i="44"/>
  <c r="F405" i="44" s="1"/>
  <c r="E260" i="44"/>
  <c r="E462" i="44" s="1"/>
  <c r="M220" i="44"/>
  <c r="H301" i="44"/>
  <c r="H503" i="44" s="1"/>
  <c r="H249" i="44"/>
  <c r="H451" i="44" s="1"/>
  <c r="M252" i="44"/>
  <c r="K202" i="44"/>
  <c r="K404" i="44" s="1"/>
  <c r="M299" i="44"/>
  <c r="K212" i="44"/>
  <c r="K414" i="44" s="1"/>
  <c r="H208" i="44"/>
  <c r="H410" i="44" s="1"/>
  <c r="M272" i="44"/>
  <c r="F256" i="44"/>
  <c r="G268" i="44"/>
  <c r="L305" i="44"/>
  <c r="L507" i="44" s="1"/>
  <c r="K304" i="44"/>
  <c r="K506" i="44" s="1"/>
  <c r="M314" i="44"/>
  <c r="I545" i="44"/>
  <c r="F218" i="44"/>
  <c r="F420" i="44" s="1"/>
  <c r="F302" i="44"/>
  <c r="F504" i="44" s="1"/>
  <c r="X307" i="44"/>
  <c r="F312" i="44"/>
  <c r="F514" i="44" s="1"/>
  <c r="L310" i="44"/>
  <c r="L512" i="44" s="1"/>
  <c r="E318" i="44"/>
  <c r="E520" i="44" s="1"/>
  <c r="K263" i="44"/>
  <c r="K465" i="44" s="1"/>
  <c r="L306" i="44"/>
  <c r="L508" i="44" s="1"/>
  <c r="G220" i="44"/>
  <c r="K254" i="44"/>
  <c r="K456" i="44" s="1"/>
  <c r="H254" i="44"/>
  <c r="H456" i="44" s="1"/>
  <c r="Y314" i="44"/>
  <c r="H266" i="44"/>
  <c r="H468" i="44" s="1"/>
  <c r="E298" i="44"/>
  <c r="E500" i="44" s="1"/>
  <c r="E306" i="44"/>
  <c r="E508" i="44" s="1"/>
  <c r="H312" i="44"/>
  <c r="H514" i="44" s="1"/>
  <c r="H297" i="44"/>
  <c r="H499" i="44" s="1"/>
  <c r="M211" i="44"/>
  <c r="E312" i="44"/>
  <c r="E514" i="44" s="1"/>
  <c r="K306" i="44"/>
  <c r="K508" i="44" s="1"/>
  <c r="G211" i="44"/>
  <c r="M204" i="44"/>
  <c r="K297" i="44"/>
  <c r="K499" i="44" s="1"/>
  <c r="H213" i="44"/>
  <c r="H415" i="44" s="1"/>
  <c r="H263" i="44"/>
  <c r="H465" i="44" s="1"/>
  <c r="M221" i="44"/>
  <c r="F210" i="44"/>
  <c r="F412" i="44" s="1"/>
  <c r="E202" i="44"/>
  <c r="E404" i="44" s="1"/>
  <c r="L271" i="44"/>
  <c r="L473" i="44" s="1"/>
  <c r="I261" i="44"/>
  <c r="I463" i="44" s="1"/>
  <c r="Y212" i="44"/>
  <c r="K315" i="44"/>
  <c r="K517" i="44" s="1"/>
  <c r="M208" i="44"/>
  <c r="F219" i="44"/>
  <c r="F421" i="44" s="1"/>
  <c r="F301" i="44"/>
  <c r="F503" i="44" s="1"/>
  <c r="G267" i="44"/>
  <c r="H257" i="44"/>
  <c r="M212" i="44"/>
  <c r="L315" i="44"/>
  <c r="L517" i="44" s="1"/>
  <c r="M271" i="44"/>
  <c r="E307" i="44"/>
  <c r="E509" i="44" s="1"/>
  <c r="F206" i="44"/>
  <c r="F408" i="44" s="1"/>
  <c r="G300" i="44"/>
  <c r="L216" i="44"/>
  <c r="L418" i="44" s="1"/>
  <c r="H250" i="44"/>
  <c r="H452" i="44" s="1"/>
  <c r="G301" i="44"/>
  <c r="G272" i="44"/>
  <c r="F269" i="44"/>
  <c r="F471" i="44" s="1"/>
  <c r="I406" i="44"/>
  <c r="E263" i="44"/>
  <c r="E465" i="44" s="1"/>
  <c r="H303" i="44"/>
  <c r="H505" i="44" s="1"/>
  <c r="E269" i="44"/>
  <c r="E471" i="44" s="1"/>
  <c r="F268" i="44"/>
  <c r="F470" i="44" s="1"/>
  <c r="H299" i="44"/>
  <c r="H501" i="44" s="1"/>
  <c r="H262" i="44"/>
  <c r="H464" i="44" s="1"/>
  <c r="K301" i="44"/>
  <c r="K503" i="44" s="1"/>
  <c r="K262" i="44"/>
  <c r="K464" i="44" s="1"/>
  <c r="L308" i="44"/>
  <c r="L510" i="44" s="1"/>
  <c r="M256" i="44"/>
  <c r="K256" i="44"/>
  <c r="K458" i="44" s="1"/>
  <c r="H214" i="44"/>
  <c r="F221" i="44"/>
  <c r="F423" i="44" s="1"/>
  <c r="G311" i="44"/>
  <c r="F216" i="44"/>
  <c r="F418" i="44" s="1"/>
  <c r="X204" i="44"/>
  <c r="H224" i="44"/>
  <c r="H426" i="44" s="1"/>
  <c r="H206" i="44"/>
  <c r="H408" i="44" s="1"/>
  <c r="H256" i="44"/>
  <c r="H458" i="44" s="1"/>
  <c r="K216" i="44"/>
  <c r="K418" i="44" s="1"/>
  <c r="L319" i="44"/>
  <c r="L521" i="44" s="1"/>
  <c r="K213" i="44"/>
  <c r="K415" i="44" s="1"/>
  <c r="K219" i="44"/>
  <c r="K421" i="44" s="1"/>
  <c r="H298" i="44"/>
  <c r="H500" i="44" s="1"/>
  <c r="L251" i="44"/>
  <c r="L453" i="44" s="1"/>
  <c r="M310" i="44"/>
  <c r="F267" i="44"/>
  <c r="F469" i="44" s="1"/>
  <c r="M223" i="44"/>
  <c r="M298" i="44"/>
  <c r="F298" i="44"/>
  <c r="F500" i="44" s="1"/>
  <c r="H310" i="44"/>
  <c r="H512" i="44" s="1"/>
  <c r="Y300" i="44"/>
  <c r="E252" i="44"/>
  <c r="E454" i="44" s="1"/>
  <c r="G303" i="44"/>
  <c r="L300" i="44"/>
  <c r="L502" i="44" s="1"/>
  <c r="M269" i="44"/>
  <c r="E304" i="44"/>
  <c r="E506" i="44" s="1"/>
  <c r="H203" i="44"/>
  <c r="M267" i="44"/>
  <c r="L253" i="44"/>
  <c r="L455" i="44" s="1"/>
  <c r="G317" i="44"/>
  <c r="J219" i="44"/>
  <c r="H220" i="44"/>
  <c r="H422" i="44" s="1"/>
  <c r="L203" i="44"/>
  <c r="L405" i="44" s="1"/>
  <c r="V259" i="44"/>
  <c r="V461" i="44" s="1"/>
  <c r="T264" i="44"/>
  <c r="T466" i="44" s="1"/>
  <c r="U271" i="44"/>
  <c r="T255" i="44"/>
  <c r="T457" i="44" s="1"/>
  <c r="S249" i="44"/>
  <c r="S267" i="44"/>
  <c r="Q272" i="44"/>
  <c r="Q474" i="44" s="1"/>
  <c r="Q249" i="44"/>
  <c r="Q451" i="44" s="1"/>
  <c r="Q270" i="44"/>
  <c r="Q472" i="44" s="1"/>
  <c r="V267" i="44"/>
  <c r="V469" i="44" s="1"/>
  <c r="U252" i="44"/>
  <c r="T272" i="44"/>
  <c r="T474" i="44" s="1"/>
  <c r="U249" i="44"/>
  <c r="V253" i="44"/>
  <c r="V455" i="44" s="1"/>
  <c r="T265" i="44"/>
  <c r="T467" i="44" s="1"/>
  <c r="S257" i="44"/>
  <c r="V258" i="44"/>
  <c r="V460" i="44" s="1"/>
  <c r="R256" i="44"/>
  <c r="R458" i="44" s="1"/>
  <c r="U265" i="44"/>
  <c r="S261" i="44"/>
  <c r="Q257" i="44"/>
  <c r="Q459" i="44" s="1"/>
  <c r="U270" i="44"/>
  <c r="Q255" i="44"/>
  <c r="Q457" i="44" s="1"/>
  <c r="V255" i="44"/>
  <c r="V457" i="44" s="1"/>
  <c r="U260" i="44"/>
  <c r="U258" i="44"/>
  <c r="V250" i="44"/>
  <c r="V452" i="44" s="1"/>
  <c r="V269" i="44"/>
  <c r="V471" i="44" s="1"/>
  <c r="U261" i="44"/>
  <c r="S265" i="44"/>
  <c r="R264" i="44"/>
  <c r="R466" i="44" s="1"/>
  <c r="Q265" i="44"/>
  <c r="Q467" i="44" s="1"/>
  <c r="Q254" i="44"/>
  <c r="Q456" i="44" s="1"/>
  <c r="Q262" i="44"/>
  <c r="Q464" i="44" s="1"/>
  <c r="V263" i="44"/>
  <c r="V465" i="44" s="1"/>
  <c r="U268" i="44"/>
  <c r="U267" i="44"/>
  <c r="V266" i="44"/>
  <c r="V468" i="44" s="1"/>
  <c r="U272" i="44"/>
  <c r="S253" i="44"/>
  <c r="R272" i="44"/>
  <c r="R474" i="44" s="1"/>
  <c r="V271" i="44"/>
  <c r="V473" i="44" s="1"/>
  <c r="S263" i="44"/>
  <c r="T251" i="44"/>
  <c r="T453" i="44" s="1"/>
  <c r="R251" i="44"/>
  <c r="R453" i="44" s="1"/>
  <c r="S262" i="44"/>
  <c r="R255" i="44"/>
  <c r="R457" i="44" s="1"/>
  <c r="V261" i="44"/>
  <c r="V463" i="44" s="1"/>
  <c r="U256" i="44"/>
  <c r="T262" i="44"/>
  <c r="T464" i="44" s="1"/>
  <c r="R259" i="44"/>
  <c r="R461" i="44" s="1"/>
  <c r="T269" i="44"/>
  <c r="T471" i="44" s="1"/>
  <c r="S258" i="44"/>
  <c r="R267" i="44"/>
  <c r="R469" i="44" s="1"/>
  <c r="S268" i="44"/>
  <c r="Q250" i="44"/>
  <c r="Q452" i="44" s="1"/>
  <c r="R249" i="44"/>
  <c r="R451" i="44" s="1"/>
  <c r="Q258" i="44"/>
  <c r="Q460" i="44" s="1"/>
  <c r="V264" i="44"/>
  <c r="V466" i="44" s="1"/>
  <c r="U250" i="44"/>
  <c r="T249" i="44"/>
  <c r="T451" i="44" s="1"/>
  <c r="R257" i="44"/>
  <c r="R459" i="44" s="1"/>
  <c r="U269" i="44"/>
  <c r="R270" i="44"/>
  <c r="R472" i="44" s="1"/>
  <c r="Q266" i="44"/>
  <c r="Q468" i="44" s="1"/>
  <c r="Q252" i="44"/>
  <c r="Q454" i="44" s="1"/>
  <c r="U262" i="44"/>
  <c r="T260" i="44"/>
  <c r="T462" i="44" s="1"/>
  <c r="S254" i="44"/>
  <c r="R265" i="44"/>
  <c r="R467" i="44" s="1"/>
  <c r="Q260" i="44"/>
  <c r="Q462" i="44" s="1"/>
  <c r="U253" i="44"/>
  <c r="Q256" i="44"/>
  <c r="Q458" i="44" s="1"/>
  <c r="V251" i="44"/>
  <c r="V453" i="44" s="1"/>
  <c r="Q264" i="44"/>
  <c r="Q466" i="44" s="1"/>
  <c r="V252" i="44"/>
  <c r="V454" i="44" s="1"/>
  <c r="T258" i="44"/>
  <c r="T460" i="44" s="1"/>
  <c r="V260" i="44"/>
  <c r="V462" i="44" s="1"/>
  <c r="T252" i="44"/>
  <c r="T454" i="44" s="1"/>
  <c r="Q268" i="44"/>
  <c r="Q470" i="44" s="1"/>
  <c r="Q261" i="44"/>
  <c r="Q463" i="44" s="1"/>
  <c r="Q263" i="44"/>
  <c r="Q465" i="44" s="1"/>
  <c r="V268" i="44"/>
  <c r="V470" i="44" s="1"/>
  <c r="R250" i="44"/>
  <c r="R452" i="44" s="1"/>
  <c r="T266" i="44"/>
  <c r="T468" i="44" s="1"/>
  <c r="T259" i="44"/>
  <c r="T461" i="44" s="1"/>
  <c r="S270" i="44"/>
  <c r="R262" i="44"/>
  <c r="R464" i="44" s="1"/>
  <c r="V262" i="44"/>
  <c r="V464" i="44" s="1"/>
  <c r="T254" i="44"/>
  <c r="T456" i="44" s="1"/>
  <c r="R258" i="44"/>
  <c r="R460" i="44" s="1"/>
  <c r="T263" i="44"/>
  <c r="T465" i="44" s="1"/>
  <c r="R266" i="44"/>
  <c r="R468" i="44" s="1"/>
  <c r="S252" i="44"/>
  <c r="S266" i="44"/>
  <c r="Q251" i="44"/>
  <c r="Q453" i="44" s="1"/>
  <c r="T256" i="44"/>
  <c r="T458" i="44" s="1"/>
  <c r="V256" i="44"/>
  <c r="V458" i="44" s="1"/>
  <c r="V257" i="44"/>
  <c r="V459" i="44" s="1"/>
  <c r="R252" i="44"/>
  <c r="R454" i="44" s="1"/>
  <c r="Q259" i="44"/>
  <c r="Q461" i="44" s="1"/>
  <c r="R260" i="44"/>
  <c r="R462" i="44" s="1"/>
  <c r="Q267" i="44"/>
  <c r="Q469" i="44" s="1"/>
  <c r="V254" i="44"/>
  <c r="V456" i="44" s="1"/>
  <c r="V272" i="44"/>
  <c r="V474" i="44" s="1"/>
  <c r="T267" i="44"/>
  <c r="T469" i="44" s="1"/>
  <c r="U255" i="44"/>
  <c r="T253" i="44"/>
  <c r="T455" i="44" s="1"/>
  <c r="R268" i="44"/>
  <c r="R470" i="44" s="1"/>
  <c r="U254" i="44"/>
  <c r="S250" i="44"/>
  <c r="R254" i="44"/>
  <c r="R456" i="44" s="1"/>
  <c r="R269" i="44"/>
  <c r="R471" i="44" s="1"/>
  <c r="U251" i="44"/>
  <c r="T250" i="44"/>
  <c r="T452" i="44" s="1"/>
  <c r="T268" i="44"/>
  <c r="T470" i="44" s="1"/>
  <c r="V265" i="44"/>
  <c r="V467" i="44" s="1"/>
  <c r="U263" i="44"/>
  <c r="T261" i="44"/>
  <c r="T463" i="44" s="1"/>
  <c r="Q271" i="44"/>
  <c r="Q473" i="44" s="1"/>
  <c r="T270" i="44"/>
  <c r="T472" i="44" s="1"/>
  <c r="X265" i="44"/>
  <c r="S256" i="44"/>
  <c r="U264" i="44"/>
  <c r="S260" i="44"/>
  <c r="V249" i="44"/>
  <c r="V451" i="44" s="1"/>
  <c r="T257" i="44"/>
  <c r="T459" i="44" s="1"/>
  <c r="Q253" i="44"/>
  <c r="Q455" i="44" s="1"/>
  <c r="S264" i="44"/>
  <c r="S259" i="44"/>
  <c r="R261" i="44"/>
  <c r="R463" i="44" s="1"/>
  <c r="U257" i="44"/>
  <c r="S272" i="44"/>
  <c r="S269" i="44"/>
  <c r="R253" i="44"/>
  <c r="R455" i="44" s="1"/>
  <c r="R263" i="44"/>
  <c r="R465" i="44" s="1"/>
  <c r="S255" i="44"/>
  <c r="U266" i="44"/>
  <c r="R271" i="44"/>
  <c r="R473" i="44" s="1"/>
  <c r="S271" i="44"/>
  <c r="V270" i="44"/>
  <c r="V472" i="44" s="1"/>
  <c r="S251" i="44"/>
  <c r="Q269" i="44"/>
  <c r="Q471" i="44" s="1"/>
  <c r="U259" i="44"/>
  <c r="T271" i="44"/>
  <c r="T473" i="44" s="1"/>
  <c r="L303" i="44"/>
  <c r="L505" i="44" s="1"/>
  <c r="H270" i="44"/>
  <c r="H472" i="44" s="1"/>
  <c r="H207" i="44"/>
  <c r="H409" i="44" s="1"/>
  <c r="F297" i="44"/>
  <c r="F499" i="44" s="1"/>
  <c r="F272" i="44"/>
  <c r="F474" i="44" s="1"/>
  <c r="H217" i="44"/>
  <c r="H419" i="44" s="1"/>
  <c r="M222" i="44"/>
  <c r="F220" i="44"/>
  <c r="F422" i="44" s="1"/>
  <c r="G214" i="44"/>
  <c r="H212" i="44"/>
  <c r="H414" i="44" s="1"/>
  <c r="F306" i="44"/>
  <c r="F508" i="44" s="1"/>
  <c r="K201" i="44"/>
  <c r="K403" i="44" s="1"/>
  <c r="E214" i="44"/>
  <c r="E416" i="44" s="1"/>
  <c r="G215" i="44"/>
  <c r="G258" i="44"/>
  <c r="F223" i="44"/>
  <c r="F425" i="44" s="1"/>
  <c r="M254" i="44"/>
  <c r="L270" i="44"/>
  <c r="L472" i="44" s="1"/>
  <c r="G213" i="44"/>
  <c r="F255" i="44"/>
  <c r="F457" i="44" s="1"/>
  <c r="M297" i="44"/>
  <c r="K270" i="44"/>
  <c r="K472" i="44" s="1"/>
  <c r="E253" i="44"/>
  <c r="E455" i="44" s="1"/>
  <c r="F317" i="44"/>
  <c r="F519" i="44" s="1"/>
  <c r="T542" i="44"/>
  <c r="T534" i="44"/>
  <c r="T526" i="44"/>
  <c r="E486" i="44"/>
  <c r="H529" i="44"/>
  <c r="W423" i="44"/>
  <c r="W450" i="44"/>
  <c r="W527" i="44"/>
  <c r="W407" i="44"/>
  <c r="I514" i="44"/>
  <c r="E501" i="44"/>
  <c r="E411" i="44"/>
  <c r="I523" i="44"/>
  <c r="L545" i="44"/>
  <c r="I533" i="44"/>
  <c r="I536" i="44"/>
  <c r="W452" i="44"/>
  <c r="E544" i="44"/>
  <c r="E538" i="44"/>
  <c r="T528" i="44"/>
  <c r="R630" i="44" a="1"/>
  <c r="R630" i="44" s="1"/>
  <c r="H3" i="29" s="1" a="1"/>
  <c r="H3" i="29" s="1"/>
  <c r="T539" i="44"/>
  <c r="T537" i="44"/>
  <c r="R538" i="44"/>
  <c r="R527" i="44"/>
  <c r="R545" i="44"/>
  <c r="O512" i="44"/>
  <c r="I538" i="44"/>
  <c r="O523" i="44"/>
  <c r="O542" i="44"/>
  <c r="O439" i="44"/>
  <c r="I541" i="44"/>
  <c r="O428" i="44"/>
  <c r="E536" i="44"/>
  <c r="E431" i="44"/>
  <c r="E545" i="44"/>
  <c r="E528" i="44"/>
  <c r="E521" i="44"/>
  <c r="E537" i="44"/>
  <c r="E523" i="44"/>
  <c r="W438" i="44"/>
  <c r="E554" i="44"/>
  <c r="E511" i="44"/>
  <c r="F537" i="44"/>
  <c r="E525" i="44"/>
  <c r="E524" i="44"/>
  <c r="E412" i="44"/>
  <c r="I526" i="44"/>
  <c r="E407" i="44"/>
  <c r="E466" i="44"/>
  <c r="F529" i="44"/>
  <c r="E413" i="44"/>
  <c r="F441" i="44"/>
  <c r="E535" i="44"/>
  <c r="F532" i="44"/>
  <c r="F431" i="44"/>
  <c r="E527" i="44"/>
  <c r="I542" i="44"/>
  <c r="I410" i="44"/>
  <c r="E526" i="44"/>
  <c r="E434" i="44"/>
  <c r="I527" i="44"/>
  <c r="I535" i="44"/>
  <c r="I434" i="44"/>
  <c r="E532" i="44"/>
  <c r="I474" i="44"/>
  <c r="E546" i="44"/>
  <c r="E422" i="44"/>
  <c r="I457" i="44"/>
  <c r="E552" i="44"/>
  <c r="E504" i="44"/>
  <c r="E519" i="44"/>
  <c r="E464" i="44"/>
  <c r="E410" i="44"/>
  <c r="E421" i="44"/>
  <c r="K540" i="44"/>
  <c r="E473" i="44"/>
  <c r="K541" i="44"/>
  <c r="I552" i="44"/>
  <c r="E530" i="44"/>
  <c r="K525" i="44"/>
  <c r="E531" i="44"/>
  <c r="K524" i="44"/>
  <c r="W439" i="44"/>
  <c r="E542" i="44"/>
  <c r="E541" i="44"/>
  <c r="E557" i="44"/>
  <c r="E447" i="44"/>
  <c r="E529" i="44"/>
  <c r="E443" i="44"/>
  <c r="D640" i="44" s="1" a="1"/>
  <c r="D640" i="44" s="1"/>
  <c r="R3" i="18" s="1" a="1"/>
  <c r="R3" i="18" s="1"/>
  <c r="E459" i="44"/>
  <c r="E543" i="44"/>
  <c r="E533" i="44"/>
  <c r="E540" i="44"/>
  <c r="O446" i="44"/>
  <c r="O528" i="44"/>
  <c r="O509" i="44"/>
  <c r="O582" i="44"/>
  <c r="W460" i="44"/>
  <c r="I528" i="44"/>
  <c r="I429" i="44"/>
  <c r="I468" i="44"/>
  <c r="O508" i="44"/>
  <c r="I524" i="44"/>
  <c r="I442" i="44"/>
  <c r="I488" i="44"/>
  <c r="K523" i="44"/>
  <c r="K427" i="44"/>
  <c r="K537" i="44"/>
  <c r="O536" i="44"/>
  <c r="O424" i="44"/>
  <c r="O526" i="44"/>
  <c r="I573" i="44"/>
  <c r="I436" i="44"/>
  <c r="O442" i="44"/>
  <c r="K512" i="44"/>
  <c r="I503" i="44"/>
  <c r="O529" i="44"/>
  <c r="O532" i="44"/>
  <c r="I447" i="44"/>
  <c r="O531" i="44"/>
  <c r="I539" i="44"/>
  <c r="O444" i="44"/>
  <c r="O535" i="44"/>
  <c r="V537" i="44"/>
  <c r="K443" i="44"/>
  <c r="I438" i="44"/>
  <c r="K543" i="44"/>
  <c r="K459" i="44"/>
  <c r="I546" i="44"/>
  <c r="I508" i="44"/>
  <c r="K566" i="44"/>
  <c r="K534" i="44"/>
  <c r="F434" i="44"/>
  <c r="I427" i="44"/>
  <c r="I540" i="44"/>
  <c r="K405" i="44"/>
  <c r="K445" i="44"/>
  <c r="K449" i="44"/>
  <c r="I537" i="44"/>
  <c r="I484" i="44"/>
  <c r="K545" i="44"/>
  <c r="K544" i="44"/>
  <c r="I532" i="44"/>
  <c r="F458" i="44"/>
  <c r="K535" i="44"/>
  <c r="I435" i="44"/>
  <c r="O541" i="44"/>
  <c r="F509" i="44"/>
  <c r="K542" i="44"/>
  <c r="K451" i="44"/>
  <c r="O425" i="44"/>
  <c r="O533" i="44"/>
  <c r="I531" i="44"/>
  <c r="I414" i="44"/>
  <c r="O447" i="44"/>
  <c r="O429" i="44"/>
  <c r="K530" i="44"/>
  <c r="O521" i="44"/>
  <c r="I525" i="44"/>
  <c r="O538" i="44"/>
  <c r="O544" i="44"/>
  <c r="O537" i="44"/>
  <c r="K428" i="44"/>
  <c r="I471" i="44"/>
  <c r="I440" i="44"/>
  <c r="I422" i="44"/>
  <c r="I449" i="44"/>
  <c r="I425" i="44"/>
  <c r="I510" i="44"/>
  <c r="K526" i="44"/>
  <c r="I507" i="44"/>
  <c r="K539" i="44"/>
  <c r="K532" i="44"/>
  <c r="I465" i="44"/>
  <c r="I587" i="44"/>
  <c r="F545" i="44"/>
  <c r="O464" i="44"/>
  <c r="I430" i="44"/>
  <c r="I529" i="44"/>
  <c r="R523" i="44"/>
  <c r="R542" i="44"/>
  <c r="R543" i="44"/>
  <c r="R531" i="44"/>
  <c r="R526" i="44"/>
  <c r="R524" i="44"/>
  <c r="R528" i="44"/>
  <c r="R481" i="44"/>
  <c r="R535" i="44"/>
  <c r="R533" i="44"/>
  <c r="R534" i="44"/>
  <c r="R532" i="44"/>
  <c r="R544" i="44"/>
  <c r="R529" i="44"/>
  <c r="R537" i="44"/>
  <c r="R536" i="44"/>
  <c r="R541" i="44"/>
  <c r="R530" i="44"/>
  <c r="R540" i="44"/>
  <c r="R682" i="44" a="1"/>
  <c r="R682" i="44" s="1"/>
  <c r="L5" i="29" s="1" a="1"/>
  <c r="L5" i="29" s="1"/>
  <c r="O426" i="44"/>
  <c r="O546" i="44"/>
  <c r="T533" i="44"/>
  <c r="T532" i="44"/>
  <c r="T545" i="44"/>
  <c r="T540" i="44"/>
  <c r="T530" i="44"/>
  <c r="T544" i="44"/>
  <c r="T527" i="44"/>
  <c r="T529" i="44"/>
  <c r="T525" i="44"/>
  <c r="T535" i="44"/>
  <c r="T543" i="44"/>
  <c r="T538" i="44"/>
  <c r="T546" i="44"/>
  <c r="T531" i="44"/>
  <c r="T523" i="44"/>
  <c r="T524" i="44"/>
  <c r="T536" i="44"/>
  <c r="V528" i="44"/>
  <c r="O530" i="44"/>
  <c r="O551" i="44"/>
  <c r="O410" i="44"/>
  <c r="O572" i="44"/>
  <c r="Q523" i="44"/>
  <c r="Q543" i="44"/>
  <c r="Q539" i="44"/>
  <c r="Q537" i="44"/>
  <c r="Q546" i="44"/>
  <c r="Q544" i="44"/>
  <c r="Q428" i="44"/>
  <c r="Q528" i="44"/>
  <c r="Q535" i="44"/>
  <c r="V539" i="44"/>
  <c r="V533" i="44"/>
  <c r="V535" i="44"/>
  <c r="V545" i="44"/>
  <c r="V523" i="44"/>
  <c r="V529" i="44"/>
  <c r="V526" i="44"/>
  <c r="V433" i="44"/>
  <c r="V544" i="44"/>
  <c r="V541" i="44"/>
  <c r="V534" i="44"/>
  <c r="V513" i="44"/>
  <c r="V542" i="44"/>
  <c r="V525" i="44"/>
  <c r="V532" i="44"/>
  <c r="V546" i="44"/>
  <c r="V543" i="44"/>
  <c r="V540" i="44"/>
  <c r="V531" i="44"/>
  <c r="V530" i="44"/>
  <c r="V524" i="44"/>
  <c r="V538" i="44"/>
  <c r="V536" i="44"/>
  <c r="V527" i="44"/>
  <c r="O524" i="44"/>
  <c r="H539" i="44"/>
  <c r="H525" i="44"/>
  <c r="H573" i="44"/>
  <c r="H459" i="44"/>
  <c r="H532" i="44"/>
  <c r="H443" i="44"/>
  <c r="H541" i="44"/>
  <c r="H543" i="44"/>
  <c r="H548" i="44"/>
  <c r="H403" i="44"/>
  <c r="H490" i="44"/>
  <c r="H405" i="44"/>
  <c r="H502" i="44"/>
  <c r="H530" i="44"/>
  <c r="H523" i="44"/>
  <c r="H531" i="44"/>
  <c r="H524" i="44"/>
  <c r="H533" i="44"/>
  <c r="H534" i="44"/>
  <c r="H542" i="44"/>
  <c r="H545" i="44"/>
  <c r="H416" i="44"/>
  <c r="H438" i="44"/>
  <c r="H446" i="44"/>
  <c r="H540" i="44"/>
  <c r="H407" i="44"/>
  <c r="H538" i="44"/>
  <c r="H448" i="44"/>
  <c r="H546" i="44"/>
  <c r="H461" i="44"/>
  <c r="H528" i="44"/>
  <c r="H536" i="44"/>
  <c r="H537" i="44"/>
  <c r="T519" i="44"/>
  <c r="H535" i="44"/>
  <c r="T541" i="44"/>
  <c r="H437" i="44"/>
  <c r="H527" i="44"/>
  <c r="V581" i="44"/>
  <c r="H544" i="44"/>
  <c r="H526" i="44"/>
  <c r="Q421" i="44"/>
  <c r="H511" i="44"/>
  <c r="O545" i="44"/>
  <c r="R539" i="44"/>
  <c r="H473" i="44"/>
  <c r="H429" i="44"/>
  <c r="Q532" i="44"/>
  <c r="H447" i="44"/>
  <c r="O501" i="44"/>
  <c r="O539" i="44"/>
  <c r="O500" i="44"/>
  <c r="L532" i="44"/>
  <c r="L430" i="44"/>
  <c r="O471" i="44"/>
  <c r="O534" i="44"/>
  <c r="O540" i="44"/>
  <c r="K529" i="44"/>
  <c r="O543" i="44"/>
  <c r="O525" i="44"/>
  <c r="O527" i="44"/>
  <c r="K435" i="44"/>
  <c r="K423" i="44"/>
  <c r="K429" i="44"/>
  <c r="K533" i="44"/>
  <c r="K538" i="44"/>
  <c r="K467" i="44"/>
  <c r="K528" i="44"/>
  <c r="K436" i="44"/>
  <c r="K439" i="44"/>
  <c r="K536" i="44"/>
  <c r="K589" i="44"/>
  <c r="K494" i="44"/>
  <c r="K527" i="44"/>
  <c r="K531" i="44"/>
  <c r="K546" i="44"/>
  <c r="O503" i="44"/>
  <c r="I544" i="44"/>
  <c r="O470" i="44"/>
  <c r="O469" i="44"/>
  <c r="L544" i="44"/>
  <c r="L443" i="44"/>
  <c r="W533" i="44"/>
  <c r="L438" i="44"/>
  <c r="L525" i="44"/>
  <c r="L529" i="44"/>
  <c r="W524" i="44"/>
  <c r="L528" i="44"/>
  <c r="L540" i="44"/>
  <c r="L523" i="44"/>
  <c r="L586" i="44"/>
  <c r="L537" i="44"/>
  <c r="W529" i="44"/>
  <c r="W516" i="44"/>
  <c r="W540" i="44"/>
  <c r="T632" i="44" a="1"/>
  <c r="T632" i="44" s="1"/>
  <c r="J3" i="31" s="1" a="1"/>
  <c r="J3" i="31" s="1"/>
  <c r="X203" i="44"/>
  <c r="X398" i="44"/>
  <c r="L538" i="44"/>
  <c r="L541" i="44"/>
  <c r="L506" i="44"/>
  <c r="W542" i="44"/>
  <c r="L542" i="44"/>
  <c r="W429" i="44"/>
  <c r="L447" i="44"/>
  <c r="L424" i="44"/>
  <c r="L437" i="44"/>
  <c r="L539" i="44"/>
  <c r="L444" i="44"/>
  <c r="L408" i="44"/>
  <c r="L527" i="44"/>
  <c r="L433" i="44"/>
  <c r="L534" i="44"/>
  <c r="L566" i="44"/>
  <c r="L531" i="44"/>
  <c r="L404" i="44"/>
  <c r="L535" i="44"/>
  <c r="L429" i="44"/>
  <c r="L504" i="44"/>
  <c r="L526" i="44"/>
  <c r="L524" i="44"/>
  <c r="L546" i="44"/>
  <c r="W425" i="44"/>
  <c r="W538" i="44"/>
  <c r="W463" i="44"/>
  <c r="W455" i="44"/>
  <c r="W523" i="44"/>
  <c r="W536" i="44"/>
  <c r="W428" i="44"/>
  <c r="W539" i="44"/>
  <c r="W588" i="44"/>
  <c r="W456" i="44"/>
  <c r="W462" i="44"/>
  <c r="W535" i="44"/>
  <c r="W501" i="44"/>
  <c r="W517" i="44"/>
  <c r="W469" i="44"/>
  <c r="W541" i="44"/>
  <c r="W537" i="44"/>
  <c r="W406" i="44"/>
  <c r="W408" i="44"/>
  <c r="W525" i="44"/>
  <c r="W589" i="44"/>
  <c r="W472" i="44"/>
  <c r="W461" i="44"/>
  <c r="W474" i="44"/>
  <c r="W532" i="44"/>
  <c r="W530" i="44"/>
  <c r="W528" i="44"/>
  <c r="W531" i="44"/>
  <c r="W526" i="44"/>
  <c r="W546" i="44"/>
  <c r="L426" i="44"/>
  <c r="L414" i="44"/>
  <c r="L530" i="44"/>
  <c r="L462" i="44"/>
  <c r="W534" i="44"/>
  <c r="L434" i="44"/>
  <c r="L413" i="44"/>
  <c r="L533" i="44"/>
  <c r="L581" i="44"/>
  <c r="L500" i="44"/>
  <c r="L536" i="44"/>
  <c r="L432" i="44"/>
  <c r="L454" i="44"/>
  <c r="L543" i="44"/>
  <c r="L407" i="44"/>
  <c r="W434" i="44"/>
  <c r="W543" i="44"/>
  <c r="W545" i="44"/>
  <c r="O459" i="44"/>
  <c r="F542" i="44"/>
  <c r="F513" i="44"/>
  <c r="Q545" i="44"/>
  <c r="Q527" i="44"/>
  <c r="W544" i="44"/>
  <c r="F502" i="44"/>
  <c r="Q540" i="44"/>
  <c r="Q542" i="44"/>
  <c r="F539" i="44"/>
  <c r="F526" i="44"/>
  <c r="F524" i="44"/>
  <c r="N398" i="44"/>
  <c r="N540" i="44" s="1"/>
  <c r="Q536" i="44"/>
  <c r="Q529" i="44"/>
  <c r="Q436" i="44"/>
  <c r="Q588" i="44"/>
  <c r="Q538" i="44"/>
  <c r="Q441" i="44"/>
  <c r="Q534" i="44"/>
  <c r="Q541" i="44"/>
  <c r="Q524" i="44"/>
  <c r="Q531" i="44"/>
  <c r="Q533" i="44"/>
  <c r="F531" i="44"/>
  <c r="F540" i="44"/>
  <c r="F578" i="44"/>
  <c r="F533" i="44"/>
  <c r="F546" i="44"/>
  <c r="F510" i="44"/>
  <c r="F547" i="44"/>
  <c r="F556" i="44"/>
  <c r="F541" i="44"/>
  <c r="F528" i="44"/>
  <c r="F527" i="44"/>
  <c r="F432" i="44"/>
  <c r="F511" i="44"/>
  <c r="F453" i="44"/>
  <c r="F523" i="44"/>
  <c r="F530" i="44"/>
  <c r="F536" i="44"/>
  <c r="F535" i="44"/>
  <c r="F403" i="44"/>
  <c r="F525" i="44"/>
  <c r="F538" i="44"/>
  <c r="F544" i="44"/>
  <c r="F543" i="44"/>
  <c r="F444" i="44"/>
  <c r="F407" i="44"/>
  <c r="F467" i="44"/>
  <c r="F448" i="44"/>
  <c r="Q530" i="44"/>
  <c r="F534" i="44"/>
  <c r="F442" i="44"/>
  <c r="Q525" i="44"/>
  <c r="Q526" i="44"/>
  <c r="J398" i="44"/>
  <c r="P201" i="44"/>
  <c r="P398" i="44"/>
  <c r="R546" i="44"/>
  <c r="Y398" i="44"/>
  <c r="H677" i="44" l="1" a="1"/>
  <c r="H677" i="44" s="1"/>
  <c r="G5" i="16" s="1" a="1"/>
  <c r="G5" i="16" s="1"/>
  <c r="G25" i="16" s="1"/>
  <c r="H655" i="44" a="1"/>
  <c r="H655" i="44" s="1"/>
  <c r="I4" i="16" s="1" a="1"/>
  <c r="I4" i="16" s="1"/>
  <c r="I24" i="16" s="1"/>
  <c r="N483" i="44"/>
  <c r="N477" i="44"/>
  <c r="N588" i="44"/>
  <c r="N479" i="44"/>
  <c r="N550" i="44"/>
  <c r="N557" i="44"/>
  <c r="N521" i="44"/>
  <c r="N462" i="44"/>
  <c r="N409" i="44"/>
  <c r="N516" i="44"/>
  <c r="N422" i="44"/>
  <c r="N508" i="44"/>
  <c r="N414" i="44"/>
  <c r="N432" i="44"/>
  <c r="N445" i="44"/>
  <c r="N531" i="44"/>
  <c r="N528" i="44"/>
  <c r="N578" i="44"/>
  <c r="N406" i="44"/>
  <c r="N475" i="44"/>
  <c r="N559" i="44"/>
  <c r="N591" i="44"/>
  <c r="J594" i="44"/>
  <c r="N488" i="44"/>
  <c r="N592" i="44"/>
  <c r="N549" i="44"/>
  <c r="N466" i="44"/>
  <c r="N458" i="44"/>
  <c r="N501" i="44"/>
  <c r="N438" i="44"/>
  <c r="N459" i="44"/>
  <c r="N527" i="44"/>
  <c r="N562" i="44"/>
  <c r="N582" i="44"/>
  <c r="N551" i="44"/>
  <c r="N469" i="44"/>
  <c r="N465" i="44"/>
  <c r="N460" i="44"/>
  <c r="N454" i="44"/>
  <c r="N416" i="44"/>
  <c r="N440" i="44"/>
  <c r="N524" i="44"/>
  <c r="N543" i="44"/>
  <c r="N493" i="44"/>
  <c r="N495" i="44"/>
  <c r="N484" i="44"/>
  <c r="N565" i="44"/>
  <c r="N586" i="44"/>
  <c r="N481" i="44"/>
  <c r="N520" i="44"/>
  <c r="N504" i="44"/>
  <c r="N507" i="44"/>
  <c r="N455" i="44"/>
  <c r="N468" i="44"/>
  <c r="N407" i="44"/>
  <c r="N412" i="44"/>
  <c r="N541" i="44"/>
  <c r="N556" i="44"/>
  <c r="N435" i="44"/>
  <c r="N594" i="44"/>
  <c r="N576" i="44"/>
  <c r="N575" i="44"/>
  <c r="N548" i="44"/>
  <c r="N561" i="44"/>
  <c r="N476" i="44"/>
  <c r="N553" i="44"/>
  <c r="N464" i="44"/>
  <c r="N467" i="44"/>
  <c r="N408" i="44"/>
  <c r="N431" i="44"/>
  <c r="N450" i="44"/>
  <c r="N523" i="44"/>
  <c r="N537" i="44"/>
  <c r="N447" i="44"/>
  <c r="N490" i="44"/>
  <c r="N487" i="44"/>
  <c r="N577" i="44"/>
  <c r="N558" i="44"/>
  <c r="N563" i="44"/>
  <c r="N518" i="44"/>
  <c r="N510" i="44"/>
  <c r="N515" i="44"/>
  <c r="N474" i="44"/>
  <c r="N461" i="44"/>
  <c r="N403" i="44"/>
  <c r="N421" i="44"/>
  <c r="N533" i="44"/>
  <c r="N442" i="44"/>
  <c r="N532" i="44"/>
  <c r="N564" i="44"/>
  <c r="N494" i="44"/>
  <c r="N478" i="44"/>
  <c r="N573" i="44"/>
  <c r="N584" i="44"/>
  <c r="N583" i="44"/>
  <c r="N514" i="44"/>
  <c r="N473" i="44"/>
  <c r="N417" i="44"/>
  <c r="N418" i="44"/>
  <c r="N499" i="44"/>
  <c r="N449" i="44"/>
  <c r="N538" i="44"/>
  <c r="N529" i="44"/>
  <c r="N539" i="44"/>
  <c r="N552" i="44"/>
  <c r="N497" i="44"/>
  <c r="N585" i="44"/>
  <c r="N590" i="44"/>
  <c r="N555" i="44"/>
  <c r="N571" i="44"/>
  <c r="N489" i="44"/>
  <c r="N509" i="44"/>
  <c r="N463" i="44"/>
  <c r="N426" i="44"/>
  <c r="N513" i="44"/>
  <c r="N433" i="44"/>
  <c r="N444" i="44"/>
  <c r="N544" i="44"/>
  <c r="N457" i="44"/>
  <c r="N536" i="44"/>
  <c r="H646" i="44" a="1"/>
  <c r="H646" i="44" s="1"/>
  <c r="X3" i="16" s="1" a="1"/>
  <c r="X3" i="16" s="1"/>
  <c r="X23" i="16" s="1"/>
  <c r="G737" i="44"/>
  <c r="S6" i="19" s="1" a="1"/>
  <c r="S6" i="19" s="1"/>
  <c r="N580" i="44"/>
  <c r="N492" i="44"/>
  <c r="N491" i="44"/>
  <c r="N496" i="44"/>
  <c r="N589" i="44"/>
  <c r="N574" i="44"/>
  <c r="N579" i="44"/>
  <c r="N567" i="44"/>
  <c r="N506" i="44"/>
  <c r="N480" i="44"/>
  <c r="N451" i="44"/>
  <c r="N404" i="44"/>
  <c r="N522" i="44"/>
  <c r="N517" i="44"/>
  <c r="N511" i="44"/>
  <c r="N439" i="44"/>
  <c r="N429" i="44"/>
  <c r="N427" i="44"/>
  <c r="N470" i="44"/>
  <c r="N542" i="44"/>
  <c r="N581" i="44"/>
  <c r="N593" i="44"/>
  <c r="N554" i="44"/>
  <c r="N411" i="44"/>
  <c r="N424" i="44"/>
  <c r="N428" i="44"/>
  <c r="N436" i="44"/>
  <c r="N430" i="44"/>
  <c r="N437" i="44"/>
  <c r="N485" i="44"/>
  <c r="N405" i="44"/>
  <c r="N545" i="44"/>
  <c r="N546" i="44"/>
  <c r="N420" i="44"/>
  <c r="N566" i="44"/>
  <c r="N482" i="44"/>
  <c r="N498" i="44"/>
  <c r="N486" i="44"/>
  <c r="N587" i="44"/>
  <c r="N568" i="44"/>
  <c r="N569" i="44"/>
  <c r="N560" i="44"/>
  <c r="N572" i="44"/>
  <c r="N519" i="44"/>
  <c r="N570" i="44"/>
  <c r="N500" i="44"/>
  <c r="N472" i="44"/>
  <c r="N452" i="44"/>
  <c r="N415" i="44"/>
  <c r="N512" i="44"/>
  <c r="N423" i="44"/>
  <c r="N443" i="44"/>
  <c r="N441" i="44"/>
  <c r="N448" i="44"/>
  <c r="N434" i="44"/>
  <c r="N530" i="44"/>
  <c r="N535" i="44"/>
  <c r="N534" i="44"/>
  <c r="N547" i="44"/>
  <c r="N502" i="44"/>
  <c r="N505" i="44"/>
  <c r="N456" i="44"/>
  <c r="N471" i="44"/>
  <c r="N453" i="44"/>
  <c r="N419" i="44"/>
  <c r="N503" i="44"/>
  <c r="N410" i="44"/>
  <c r="N413" i="44"/>
  <c r="N425" i="44"/>
  <c r="N446" i="44"/>
  <c r="N526" i="44"/>
  <c r="N525" i="44"/>
  <c r="E630" i="44" a="1"/>
  <c r="E630" i="44" s="1"/>
  <c r="H3" i="17" s="1" a="1"/>
  <c r="H3" i="17" s="1"/>
  <c r="S717" i="44"/>
  <c r="W7" i="30" s="1" a="1"/>
  <c r="W7" i="30" s="1"/>
  <c r="E697" i="44"/>
  <c r="C7" i="17" s="1" a="1"/>
  <c r="C7" i="17" s="1"/>
  <c r="S680" i="44" a="1"/>
  <c r="S680" i="44" s="1"/>
  <c r="J5" i="30" s="1" a="1"/>
  <c r="J5" i="30" s="1"/>
  <c r="G675" i="44" a="1"/>
  <c r="G675" i="44" s="1"/>
  <c r="E5" i="19" s="1" a="1"/>
  <c r="E5" i="19" s="1"/>
  <c r="H696" i="44"/>
  <c r="B7" i="16" s="1" a="1"/>
  <c r="B7" i="16" s="1"/>
  <c r="B27" i="16" s="1"/>
  <c r="D635" i="44" a="1"/>
  <c r="D635" i="44" s="1"/>
  <c r="M3" i="18" s="1" a="1"/>
  <c r="M3" i="18" s="1"/>
  <c r="H722" i="44"/>
  <c r="D6" i="16" s="1" a="1"/>
  <c r="D6" i="16" s="1"/>
  <c r="D26" i="16" s="1"/>
  <c r="Q626" i="44" a="1"/>
  <c r="Q626" i="44" s="1"/>
  <c r="D3" i="28" s="1" a="1"/>
  <c r="D3" i="28" s="1"/>
  <c r="K694" i="44" a="1"/>
  <c r="K694" i="44" s="1"/>
  <c r="X5" i="22" s="1" a="1"/>
  <c r="X5" i="22" s="1"/>
  <c r="H717" i="44"/>
  <c r="W7" i="16" s="1" a="1"/>
  <c r="W7" i="16" s="1"/>
  <c r="W27" i="16" s="1"/>
  <c r="J476" i="44"/>
  <c r="H618" i="44" a="1"/>
  <c r="H618" i="44" s="1"/>
  <c r="T2" i="16" s="1" a="1"/>
  <c r="T2" i="16" s="1"/>
  <c r="T22" i="16" s="1"/>
  <c r="H735" i="44"/>
  <c r="Q6" i="16" s="1" a="1"/>
  <c r="Q6" i="16" s="1"/>
  <c r="Q26" i="16" s="1"/>
  <c r="H636" i="44" a="1"/>
  <c r="H636" i="44" s="1"/>
  <c r="N3" i="16" s="1" a="1"/>
  <c r="N3" i="16" s="1"/>
  <c r="N23" i="16" s="1"/>
  <c r="J699" i="44"/>
  <c r="E7" i="21" s="1" a="1"/>
  <c r="E7" i="21" s="1"/>
  <c r="H629" i="44" a="1"/>
  <c r="H629" i="44" s="1"/>
  <c r="G3" i="16" s="1" a="1"/>
  <c r="G3" i="16" s="1"/>
  <c r="G23" i="16" s="1"/>
  <c r="G735" i="44"/>
  <c r="Q6" i="19" s="1" a="1"/>
  <c r="Q6" i="19" s="1"/>
  <c r="S683" i="44" a="1"/>
  <c r="S683" i="44" s="1"/>
  <c r="M5" i="30" s="1" a="1"/>
  <c r="M5" i="30" s="1"/>
  <c r="H635" i="44" a="1"/>
  <c r="H635" i="44" s="1"/>
  <c r="M3" i="16" s="1" a="1"/>
  <c r="M3" i="16" s="1"/>
  <c r="M23" i="16" s="1"/>
  <c r="V680" i="44" a="1"/>
  <c r="V680" i="44" s="1"/>
  <c r="J5" i="10" s="1" a="1"/>
  <c r="J5" i="10" s="1"/>
  <c r="H669" i="44" a="1"/>
  <c r="H669" i="44" s="1"/>
  <c r="W4" i="16" s="1" a="1"/>
  <c r="W4" i="16" s="1"/>
  <c r="W24" i="16" s="1"/>
  <c r="H603" i="44" a="1"/>
  <c r="H603" i="44" s="1"/>
  <c r="E2" i="16" s="1" a="1"/>
  <c r="E2" i="16" s="1"/>
  <c r="E22" i="16" s="1"/>
  <c r="K695" i="44" a="1"/>
  <c r="K695" i="44" s="1"/>
  <c r="Y5" i="22" s="1" a="1"/>
  <c r="Y5" i="22" s="1"/>
  <c r="V712" i="44"/>
  <c r="R7" i="10" s="1" a="1"/>
  <c r="R7" i="10" s="1"/>
  <c r="H643" i="44" a="1"/>
  <c r="H643" i="44" s="1"/>
  <c r="U3" i="16" s="1" a="1"/>
  <c r="U3" i="16" s="1"/>
  <c r="U23" i="16" s="1"/>
  <c r="H728" i="44"/>
  <c r="J6" i="16" s="1" a="1"/>
  <c r="J6" i="16" s="1"/>
  <c r="J26" i="16" s="1"/>
  <c r="N612" i="44" a="1"/>
  <c r="N612" i="44" s="1"/>
  <c r="N2" i="25" s="1" a="1"/>
  <c r="N2" i="25" s="1"/>
  <c r="N22" i="25" s="1"/>
  <c r="N710" i="44"/>
  <c r="P7" i="25" s="1" a="1"/>
  <c r="P7" i="25" s="1"/>
  <c r="P27" i="25" s="1"/>
  <c r="Q672" i="44" a="1"/>
  <c r="Q672" i="44" s="1"/>
  <c r="B5" i="28" s="1" a="1"/>
  <c r="B5" i="28" s="1"/>
  <c r="S695" i="44" a="1"/>
  <c r="S695" i="44" s="1"/>
  <c r="Y5" i="30" s="1" a="1"/>
  <c r="Y5" i="30" s="1"/>
  <c r="K743" i="44"/>
  <c r="P631" i="44" a="1"/>
  <c r="P631" i="44" s="1"/>
  <c r="I3" i="11" s="1" a="1"/>
  <c r="I3" i="11" s="1"/>
  <c r="D683" i="44" a="1"/>
  <c r="D683" i="44" s="1"/>
  <c r="M5" i="18" s="1" a="1"/>
  <c r="M5" i="18" s="1"/>
  <c r="H648" i="44" a="1"/>
  <c r="H648" i="44" s="1"/>
  <c r="B4" i="16" s="1" a="1"/>
  <c r="B4" i="16" s="1"/>
  <c r="B24" i="16" s="1"/>
  <c r="H624" i="44" a="1"/>
  <c r="H624" i="44" s="1"/>
  <c r="B3" i="16" s="1" a="1"/>
  <c r="B3" i="16" s="1"/>
  <c r="B23" i="16" s="1"/>
  <c r="H660" i="44" a="1"/>
  <c r="H660" i="44" s="1"/>
  <c r="N4" i="16" s="1" a="1"/>
  <c r="N4" i="16" s="1"/>
  <c r="N24" i="16" s="1"/>
  <c r="S719" i="44"/>
  <c r="Y7" i="30" s="1" a="1"/>
  <c r="Y7" i="30" s="1"/>
  <c r="H644" i="44" a="1"/>
  <c r="H644" i="44" s="1"/>
  <c r="V3" i="16" s="1" a="1"/>
  <c r="V3" i="16" s="1"/>
  <c r="V23" i="16" s="1"/>
  <c r="S647" i="44" a="1"/>
  <c r="S647" i="44" s="1"/>
  <c r="Y3" i="30" s="1" a="1"/>
  <c r="Y3" i="30" s="1"/>
  <c r="H647" i="44" a="1"/>
  <c r="H647" i="44" s="1"/>
  <c r="Y3" i="16" s="1" a="1"/>
  <c r="Y3" i="16" s="1"/>
  <c r="Y23" i="16" s="1"/>
  <c r="S688" i="44" a="1"/>
  <c r="S688" i="44" s="1"/>
  <c r="R5" i="30" s="1" a="1"/>
  <c r="R5" i="30" s="1"/>
  <c r="U717" i="44"/>
  <c r="H695" i="44" a="1"/>
  <c r="H695" i="44" s="1"/>
  <c r="Y5" i="16" s="1" a="1"/>
  <c r="Y5" i="16" s="1"/>
  <c r="Y25" i="16" s="1"/>
  <c r="U614" i="44" a="1"/>
  <c r="U614" i="44" s="1"/>
  <c r="H631" i="44" a="1"/>
  <c r="H631" i="44" s="1"/>
  <c r="I3" i="16" s="1" a="1"/>
  <c r="I3" i="16" s="1"/>
  <c r="I23" i="16" s="1"/>
  <c r="U632" i="44" a="1"/>
  <c r="U632" i="44" s="1"/>
  <c r="H691" i="44" a="1"/>
  <c r="H691" i="44" s="1"/>
  <c r="U5" i="16" s="1" a="1"/>
  <c r="U5" i="16" s="1"/>
  <c r="U25" i="16" s="1"/>
  <c r="S737" i="44"/>
  <c r="S6" i="30" s="1" a="1"/>
  <c r="S6" i="30" s="1"/>
  <c r="S721" i="44"/>
  <c r="C6" i="30" s="1" a="1"/>
  <c r="C6" i="30" s="1"/>
  <c r="K727" i="44"/>
  <c r="I6" i="22" s="1" a="1"/>
  <c r="I6" i="22" s="1"/>
  <c r="S627" i="44" a="1"/>
  <c r="S627" i="44" s="1"/>
  <c r="E3" i="30" s="1" a="1"/>
  <c r="E3" i="30" s="1"/>
  <c r="Q601" i="44" a="1"/>
  <c r="Q601" i="44" s="1"/>
  <c r="C2" i="28" s="1" a="1"/>
  <c r="C2" i="28" s="1"/>
  <c r="H687" i="44" a="1"/>
  <c r="H687" i="44" s="1"/>
  <c r="Q5" i="16" s="1" a="1"/>
  <c r="Q5" i="16" s="1"/>
  <c r="Q25" i="16" s="1"/>
  <c r="H699" i="44"/>
  <c r="E7" i="16" s="1" a="1"/>
  <c r="E7" i="16" s="1"/>
  <c r="E27" i="16" s="1"/>
  <c r="K699" i="44"/>
  <c r="E7" i="22" s="1" a="1"/>
  <c r="E7" i="22" s="1"/>
  <c r="H731" i="44"/>
  <c r="M6" i="16" s="1" a="1"/>
  <c r="M6" i="16" s="1"/>
  <c r="M26" i="16" s="1"/>
  <c r="H651" i="44" a="1"/>
  <c r="H651" i="44" s="1"/>
  <c r="E4" i="16" s="1" a="1"/>
  <c r="E4" i="16" s="1"/>
  <c r="E24" i="16" s="1"/>
  <c r="S653" i="44" a="1"/>
  <c r="S653" i="44" s="1"/>
  <c r="G4" i="30" s="1" a="1"/>
  <c r="G4" i="30" s="1"/>
  <c r="S641" i="44" a="1"/>
  <c r="S641" i="44" s="1"/>
  <c r="S3" i="30" s="1" a="1"/>
  <c r="S3" i="30" s="1"/>
  <c r="S678" i="44" a="1"/>
  <c r="S678" i="44" s="1"/>
  <c r="H5" i="30" s="1" a="1"/>
  <c r="H5" i="30" s="1"/>
  <c r="S684" i="44" a="1"/>
  <c r="S684" i="44" s="1"/>
  <c r="N5" i="30" s="1" a="1"/>
  <c r="N5" i="30" s="1"/>
  <c r="Q657" i="44" a="1"/>
  <c r="Q657" i="44" s="1"/>
  <c r="K4" i="28" s="1" a="1"/>
  <c r="K4" i="28" s="1"/>
  <c r="S643" i="44" a="1"/>
  <c r="S643" i="44" s="1"/>
  <c r="U3" i="30" s="1" a="1"/>
  <c r="U3" i="30" s="1"/>
  <c r="S635" i="44" a="1"/>
  <c r="S635" i="44" s="1"/>
  <c r="M3" i="30" s="1" a="1"/>
  <c r="M3" i="30" s="1"/>
  <c r="P685" i="44" a="1"/>
  <c r="P685" i="44" s="1"/>
  <c r="O5" i="11" s="1" a="1"/>
  <c r="O5" i="11" s="1"/>
  <c r="H739" i="44"/>
  <c r="U6" i="16" s="1" a="1"/>
  <c r="U6" i="16" s="1"/>
  <c r="U26" i="16" s="1"/>
  <c r="D669" i="44" a="1"/>
  <c r="D669" i="44" s="1"/>
  <c r="W4" i="18" s="1" a="1"/>
  <c r="W4" i="18" s="1"/>
  <c r="E672" i="44" a="1"/>
  <c r="E672" i="44" s="1"/>
  <c r="B5" i="17" s="1" a="1"/>
  <c r="B5" i="17" s="1"/>
  <c r="N674" i="44" a="1"/>
  <c r="N674" i="44" s="1"/>
  <c r="D5" i="25" s="1" a="1"/>
  <c r="D5" i="25" s="1"/>
  <c r="D25" i="25" s="1"/>
  <c r="D664" i="44" a="1"/>
  <c r="D664" i="44" s="1"/>
  <c r="R4" i="18" s="1" a="1"/>
  <c r="R4" i="18" s="1"/>
  <c r="J704" i="44"/>
  <c r="J7" i="21" s="1" a="1"/>
  <c r="J7" i="21" s="1"/>
  <c r="H664" i="44" a="1"/>
  <c r="H664" i="44" s="1"/>
  <c r="R4" i="16" s="1" a="1"/>
  <c r="R4" i="16" s="1"/>
  <c r="R24" i="16" s="1"/>
  <c r="H742" i="44"/>
  <c r="X6" i="16" s="1" a="1"/>
  <c r="X6" i="16" s="1"/>
  <c r="X26" i="16" s="1"/>
  <c r="D688" i="44" a="1"/>
  <c r="D688" i="44" s="1"/>
  <c r="R5" i="18" s="1" a="1"/>
  <c r="R5" i="18" s="1"/>
  <c r="K684" i="44" a="1"/>
  <c r="K684" i="44" s="1"/>
  <c r="N5" i="22" s="1" a="1"/>
  <c r="N5" i="22" s="1"/>
  <c r="D681" i="44" a="1"/>
  <c r="D681" i="44" s="1"/>
  <c r="K5" i="18" s="1" a="1"/>
  <c r="K5" i="18" s="1"/>
  <c r="S682" i="44" a="1"/>
  <c r="S682" i="44" s="1"/>
  <c r="L5" i="30" s="1" a="1"/>
  <c r="L5" i="30" s="1"/>
  <c r="R698" i="44"/>
  <c r="D7" i="29" s="1" a="1"/>
  <c r="D7" i="29" s="1"/>
  <c r="D684" i="44" a="1"/>
  <c r="D684" i="44" s="1"/>
  <c r="N5" i="18" s="1" a="1"/>
  <c r="N5" i="18" s="1"/>
  <c r="H605" i="44" a="1"/>
  <c r="H605" i="44" s="1"/>
  <c r="G2" i="16" s="1" a="1"/>
  <c r="G2" i="16" s="1"/>
  <c r="G22" i="16" s="1"/>
  <c r="D690" i="44" a="1"/>
  <c r="D690" i="44" s="1"/>
  <c r="T5" i="18" s="1" a="1"/>
  <c r="T5" i="18" s="1"/>
  <c r="V647" i="44" a="1"/>
  <c r="V647" i="44" s="1"/>
  <c r="Y3" i="10" s="1" a="1"/>
  <c r="Y3" i="10" s="1"/>
  <c r="N705" i="44"/>
  <c r="K7" i="25" s="1" a="1"/>
  <c r="K7" i="25" s="1"/>
  <c r="K27" i="25" s="1"/>
  <c r="E740" i="44"/>
  <c r="V6" i="17" s="1" a="1"/>
  <c r="V6" i="17" s="1"/>
  <c r="V692" i="44" a="1"/>
  <c r="V692" i="44" s="1"/>
  <c r="V5" i="10" s="1" a="1"/>
  <c r="V5" i="10" s="1"/>
  <c r="D693" i="44" a="1"/>
  <c r="D693" i="44" s="1"/>
  <c r="W5" i="18" s="1" a="1"/>
  <c r="W5" i="18" s="1"/>
  <c r="V716" i="44"/>
  <c r="V7" i="10" s="1" a="1"/>
  <c r="V7" i="10" s="1"/>
  <c r="R703" i="44"/>
  <c r="I7" i="29" s="1" a="1"/>
  <c r="I7" i="29" s="1"/>
  <c r="D625" i="44" a="1"/>
  <c r="D625" i="44" s="1"/>
  <c r="C3" i="18" s="1" a="1"/>
  <c r="C3" i="18" s="1"/>
  <c r="R600" i="44" a="1"/>
  <c r="R600" i="44" s="1"/>
  <c r="B2" i="29" s="1" a="1"/>
  <c r="B2" i="29" s="1"/>
  <c r="D721" i="44"/>
  <c r="R680" i="44" a="1"/>
  <c r="R680" i="44" s="1"/>
  <c r="J5" i="29" s="1" a="1"/>
  <c r="J5" i="29" s="1"/>
  <c r="R699" i="44"/>
  <c r="E7" i="29" s="1" a="1"/>
  <c r="E7" i="29" s="1"/>
  <c r="D632" i="44" a="1"/>
  <c r="D632" i="44" s="1"/>
  <c r="J3" i="18" s="1" a="1"/>
  <c r="J3" i="18" s="1"/>
  <c r="D692" i="44" a="1"/>
  <c r="D692" i="44" s="1"/>
  <c r="V5" i="18" s="1" a="1"/>
  <c r="V5" i="18" s="1"/>
  <c r="Q646" i="44" a="1"/>
  <c r="Q646" i="44" s="1"/>
  <c r="X3" i="28" s="1" a="1"/>
  <c r="X3" i="28" s="1"/>
  <c r="H634" i="44" a="1"/>
  <c r="H634" i="44" s="1"/>
  <c r="L3" i="16" s="1" a="1"/>
  <c r="L3" i="16" s="1"/>
  <c r="L23" i="16" s="1"/>
  <c r="H662" i="44" a="1"/>
  <c r="H662" i="44" s="1"/>
  <c r="P4" i="16" s="1" a="1"/>
  <c r="P4" i="16" s="1"/>
  <c r="P24" i="16" s="1"/>
  <c r="Q686" i="44" a="1"/>
  <c r="Q686" i="44" s="1"/>
  <c r="P5" i="28" s="1" a="1"/>
  <c r="P5" i="28" s="1"/>
  <c r="D651" i="44" a="1"/>
  <c r="D651" i="44" s="1"/>
  <c r="E4" i="18" s="1" a="1"/>
  <c r="E4" i="18" s="1"/>
  <c r="Q683" i="44" a="1"/>
  <c r="Q683" i="44" s="1"/>
  <c r="M5" i="28" s="1" a="1"/>
  <c r="M5" i="28" s="1"/>
  <c r="S697" i="44"/>
  <c r="C7" i="30" s="1" a="1"/>
  <c r="C7" i="30" s="1"/>
  <c r="D602" i="44" a="1"/>
  <c r="D602" i="44" s="1"/>
  <c r="D2" i="18" s="1" a="1"/>
  <c r="D2" i="18" s="1"/>
  <c r="H680" i="44" a="1"/>
  <c r="H680" i="44" s="1"/>
  <c r="J5" i="16" s="1" a="1"/>
  <c r="J5" i="16" s="1"/>
  <c r="J25" i="16" s="1"/>
  <c r="D663" i="44" a="1"/>
  <c r="D663" i="44" s="1"/>
  <c r="Q4" i="18" s="1" a="1"/>
  <c r="Q4" i="18" s="1"/>
  <c r="S677" i="44" a="1"/>
  <c r="S677" i="44" s="1"/>
  <c r="G5" i="30" s="1" a="1"/>
  <c r="G5" i="30" s="1"/>
  <c r="Q673" i="44" a="1"/>
  <c r="Q673" i="44" s="1"/>
  <c r="C5" i="28" s="1" a="1"/>
  <c r="C5" i="28" s="1"/>
  <c r="D712" i="44"/>
  <c r="R7" i="18" s="1" a="1"/>
  <c r="R7" i="18" s="1"/>
  <c r="D622" i="44" a="1"/>
  <c r="D622" i="44" s="1"/>
  <c r="X2" i="18" s="1" a="1"/>
  <c r="X2" i="18" s="1"/>
  <c r="S681" i="44" a="1"/>
  <c r="S681" i="44" s="1"/>
  <c r="K5" i="30" s="1" a="1"/>
  <c r="K5" i="30" s="1"/>
  <c r="H675" i="44" a="1"/>
  <c r="H675" i="44" s="1"/>
  <c r="E5" i="16" s="1" a="1"/>
  <c r="E5" i="16" s="1"/>
  <c r="E25" i="16" s="1"/>
  <c r="R717" i="44"/>
  <c r="W7" i="29" s="1" a="1"/>
  <c r="W7" i="29" s="1"/>
  <c r="H698" i="44"/>
  <c r="D7" i="16" s="1" a="1"/>
  <c r="D7" i="16" s="1"/>
  <c r="D27" i="16" s="1"/>
  <c r="K646" i="44" a="1"/>
  <c r="K646" i="44" s="1"/>
  <c r="X3" i="22" s="1" a="1"/>
  <c r="X3" i="22" s="1"/>
  <c r="Q628" i="44" a="1"/>
  <c r="Q628" i="44" s="1"/>
  <c r="F3" i="28" s="1" a="1"/>
  <c r="F3" i="28" s="1"/>
  <c r="E675" i="44" a="1"/>
  <c r="E675" i="44" s="1"/>
  <c r="E5" i="17" s="1" a="1"/>
  <c r="E5" i="17" s="1"/>
  <c r="D691" i="44" a="1"/>
  <c r="D691" i="44" s="1"/>
  <c r="U5" i="18" s="1" a="1"/>
  <c r="U5" i="18" s="1"/>
  <c r="V685" i="44" a="1"/>
  <c r="V685" i="44" s="1"/>
  <c r="O5" i="10" s="1" a="1"/>
  <c r="O5" i="10" s="1"/>
  <c r="D705" i="44"/>
  <c r="K7" i="18" s="1" a="1"/>
  <c r="K7" i="18" s="1"/>
  <c r="D677" i="44" a="1"/>
  <c r="D677" i="44" s="1"/>
  <c r="G5" i="18" s="1" a="1"/>
  <c r="G5" i="18" s="1"/>
  <c r="D704" i="44"/>
  <c r="J7" i="18" s="1" a="1"/>
  <c r="J7" i="18" s="1"/>
  <c r="E718" i="44"/>
  <c r="X7" i="17" s="1" a="1"/>
  <c r="X7" i="17" s="1"/>
  <c r="D702" i="44"/>
  <c r="H7" i="18" s="1" a="1"/>
  <c r="H7" i="18" s="1"/>
  <c r="E684" i="44" a="1"/>
  <c r="E684" i="44" s="1"/>
  <c r="N5" i="17" s="1" a="1"/>
  <c r="N5" i="17" s="1"/>
  <c r="R631" i="44" a="1"/>
  <c r="R631" i="44" s="1"/>
  <c r="I3" i="29" s="1" a="1"/>
  <c r="I3" i="29" s="1"/>
  <c r="H642" i="44" a="1"/>
  <c r="H642" i="44" s="1"/>
  <c r="T3" i="16" s="1" a="1"/>
  <c r="T3" i="16" s="1"/>
  <c r="T23" i="16" s="1"/>
  <c r="D667" i="44" a="1"/>
  <c r="D667" i="44" s="1"/>
  <c r="U4" i="18" s="1" a="1"/>
  <c r="U4" i="18" s="1"/>
  <c r="S740" i="44"/>
  <c r="V6" i="30" s="1" a="1"/>
  <c r="V6" i="30" s="1"/>
  <c r="E741" i="44"/>
  <c r="W6" i="17" s="1" a="1"/>
  <c r="W6" i="17" s="1"/>
  <c r="H678" i="44" a="1"/>
  <c r="H678" i="44" s="1"/>
  <c r="H5" i="16" s="1" a="1"/>
  <c r="H5" i="16" s="1"/>
  <c r="H25" i="16" s="1"/>
  <c r="E712" i="44"/>
  <c r="R7" i="17" s="1" a="1"/>
  <c r="R7" i="17" s="1"/>
  <c r="D718" i="44"/>
  <c r="X7" i="18" s="1" a="1"/>
  <c r="X7" i="18" s="1"/>
  <c r="H711" i="44"/>
  <c r="Q7" i="16" s="1" a="1"/>
  <c r="Q7" i="16" s="1"/>
  <c r="Q27" i="16" s="1"/>
  <c r="H720" i="44"/>
  <c r="B6" i="16" s="1" a="1"/>
  <c r="B6" i="16" s="1"/>
  <c r="B26" i="16" s="1"/>
  <c r="D698" i="44"/>
  <c r="D7" i="18" s="1" a="1"/>
  <c r="D7" i="18" s="1"/>
  <c r="K721" i="44"/>
  <c r="C6" i="22" s="1" a="1"/>
  <c r="C6" i="22" s="1"/>
  <c r="V628" i="44" a="1"/>
  <c r="V628" i="44" s="1"/>
  <c r="F3" i="10" s="1" a="1"/>
  <c r="F3" i="10" s="1"/>
  <c r="D617" i="44" a="1"/>
  <c r="D617" i="44" s="1"/>
  <c r="S2" i="18" s="1" a="1"/>
  <c r="S2" i="18" s="1"/>
  <c r="E701" i="44"/>
  <c r="G7" i="17" s="1" a="1"/>
  <c r="G7" i="17" s="1"/>
  <c r="D682" i="44" a="1"/>
  <c r="D682" i="44" s="1"/>
  <c r="L5" i="18" s="1" a="1"/>
  <c r="L5" i="18" s="1"/>
  <c r="H674" i="44" a="1"/>
  <c r="H674" i="44" s="1"/>
  <c r="D5" i="16" s="1" a="1"/>
  <c r="D5" i="16" s="1"/>
  <c r="D25" i="16" s="1"/>
  <c r="V727" i="44"/>
  <c r="I6" i="10" s="1" a="1"/>
  <c r="I6" i="10" s="1"/>
  <c r="Q614" i="44" a="1"/>
  <c r="Q614" i="44" s="1"/>
  <c r="P2" i="28" s="1" a="1"/>
  <c r="P2" i="28" s="1"/>
  <c r="N681" i="44" a="1"/>
  <c r="N681" i="44" s="1"/>
  <c r="K5" i="25" s="1" a="1"/>
  <c r="K5" i="25" s="1"/>
  <c r="K25" i="25" s="1"/>
  <c r="S603" i="44" a="1"/>
  <c r="S603" i="44" s="1"/>
  <c r="E2" i="30" s="1" a="1"/>
  <c r="E2" i="30" s="1"/>
  <c r="K656" i="44" a="1"/>
  <c r="K656" i="44" s="1"/>
  <c r="J4" i="22" s="1" a="1"/>
  <c r="J4" i="22" s="1"/>
  <c r="Q691" i="44" a="1"/>
  <c r="Q691" i="44" s="1"/>
  <c r="U5" i="28" s="1" a="1"/>
  <c r="U5" i="28" s="1"/>
  <c r="S690" i="44" a="1"/>
  <c r="S690" i="44" s="1"/>
  <c r="T5" i="30" s="1" a="1"/>
  <c r="T5" i="30" s="1"/>
  <c r="D630" i="44" a="1"/>
  <c r="D630" i="44" s="1"/>
  <c r="H3" i="18" s="1" a="1"/>
  <c r="H3" i="18" s="1"/>
  <c r="D726" i="44"/>
  <c r="H6" i="18" s="1" a="1"/>
  <c r="H6" i="18" s="1"/>
  <c r="R677" i="44" a="1"/>
  <c r="R677" i="44" s="1"/>
  <c r="G5" i="29" s="1" a="1"/>
  <c r="G5" i="29" s="1"/>
  <c r="V674" i="44" a="1"/>
  <c r="V674" i="44" s="1"/>
  <c r="D5" i="10" s="1" a="1"/>
  <c r="D5" i="10" s="1"/>
  <c r="E622" i="44" a="1"/>
  <c r="E622" i="44" s="1"/>
  <c r="X2" i="17" s="1" a="1"/>
  <c r="X2" i="17" s="1"/>
  <c r="D643" i="44" a="1"/>
  <c r="D643" i="44" s="1"/>
  <c r="U3" i="18" s="1" a="1"/>
  <c r="U3" i="18" s="1"/>
  <c r="E634" i="44" a="1"/>
  <c r="E634" i="44" s="1"/>
  <c r="L3" i="17" s="1" a="1"/>
  <c r="L3" i="17" s="1"/>
  <c r="P632" i="44" a="1"/>
  <c r="P632" i="44" s="1"/>
  <c r="J3" i="11" s="1" a="1"/>
  <c r="J3" i="11" s="1"/>
  <c r="P659" i="44" a="1"/>
  <c r="P659" i="44" s="1"/>
  <c r="M4" i="11" s="1" a="1"/>
  <c r="M4" i="11" s="1"/>
  <c r="P630" i="44" a="1"/>
  <c r="P630" i="44" s="1"/>
  <c r="H3" i="11" s="1" a="1"/>
  <c r="H3" i="11" s="1"/>
  <c r="G705" i="44"/>
  <c r="K7" i="19" s="1" a="1"/>
  <c r="K7" i="19" s="1"/>
  <c r="D724" i="44"/>
  <c r="F6" i="18" s="1" a="1"/>
  <c r="F6" i="18" s="1"/>
  <c r="R707" i="44"/>
  <c r="M7" i="29" s="1" a="1"/>
  <c r="M7" i="29" s="1"/>
  <c r="V721" i="44"/>
  <c r="C6" i="10" s="1" a="1"/>
  <c r="C6" i="10" s="1"/>
  <c r="G630" i="44" a="1"/>
  <c r="G630" i="44" s="1"/>
  <c r="H3" i="19" s="1" a="1"/>
  <c r="H3" i="19" s="1"/>
  <c r="D731" i="44"/>
  <c r="M6" i="18" s="1" a="1"/>
  <c r="M6" i="18" s="1"/>
  <c r="R674" i="44" a="1"/>
  <c r="R674" i="44" s="1"/>
  <c r="D5" i="29" s="1" a="1"/>
  <c r="D5" i="29" s="1"/>
  <c r="D713" i="44"/>
  <c r="S7" i="18" s="1" a="1"/>
  <c r="S7" i="18" s="1"/>
  <c r="D614" i="44" a="1"/>
  <c r="D614" i="44" s="1"/>
  <c r="P2" i="18" s="1" a="1"/>
  <c r="P2" i="18" s="1"/>
  <c r="H622" i="44" a="1"/>
  <c r="H622" i="44" s="1"/>
  <c r="X2" i="16" s="1" a="1"/>
  <c r="X2" i="16" s="1"/>
  <c r="X22" i="16" s="1"/>
  <c r="D636" i="44" a="1"/>
  <c r="D636" i="44" s="1"/>
  <c r="N3" i="18" s="1" a="1"/>
  <c r="N3" i="18" s="1"/>
  <c r="D608" i="44" a="1"/>
  <c r="D608" i="44" s="1"/>
  <c r="J2" i="18" s="1" a="1"/>
  <c r="J2" i="18" s="1"/>
  <c r="H733" i="44"/>
  <c r="O6" i="16" s="1" a="1"/>
  <c r="O6" i="16" s="1"/>
  <c r="O26" i="16" s="1"/>
  <c r="H685" i="44" a="1"/>
  <c r="H685" i="44" s="1"/>
  <c r="O5" i="16" s="1" a="1"/>
  <c r="O5" i="16" s="1"/>
  <c r="O25" i="16" s="1"/>
  <c r="D736" i="44"/>
  <c r="R6" i="18" s="1" a="1"/>
  <c r="R6" i="18" s="1"/>
  <c r="D647" i="44" a="1"/>
  <c r="D647" i="44" s="1"/>
  <c r="Y3" i="18" s="1" a="1"/>
  <c r="Y3" i="18" s="1"/>
  <c r="H670" i="44" a="1"/>
  <c r="H670" i="44" s="1"/>
  <c r="X4" i="16" s="1" a="1"/>
  <c r="X4" i="16" s="1"/>
  <c r="X24" i="16" s="1"/>
  <c r="R739" i="44"/>
  <c r="U6" i="29" s="1" a="1"/>
  <c r="U6" i="29" s="1"/>
  <c r="D659" i="44" a="1"/>
  <c r="D659" i="44" s="1"/>
  <c r="M4" i="18" s="1" a="1"/>
  <c r="M4" i="18" s="1"/>
  <c r="E646" i="44" a="1"/>
  <c r="E646" i="44" s="1"/>
  <c r="X3" i="17" s="1" a="1"/>
  <c r="X3" i="17" s="1"/>
  <c r="P692" i="44" a="1"/>
  <c r="P692" i="44" s="1"/>
  <c r="V5" i="11" s="1" a="1"/>
  <c r="V5" i="11" s="1"/>
  <c r="K679" i="44" a="1"/>
  <c r="K679" i="44" s="1"/>
  <c r="I5" i="22" s="1" a="1"/>
  <c r="I5" i="22" s="1"/>
  <c r="N730" i="44"/>
  <c r="L6" i="25" s="1" a="1"/>
  <c r="L6" i="25" s="1"/>
  <c r="L26" i="25" s="1"/>
  <c r="D633" i="44" a="1"/>
  <c r="D633" i="44" s="1"/>
  <c r="K3" i="18" s="1" a="1"/>
  <c r="K3" i="18" s="1"/>
  <c r="D722" i="44"/>
  <c r="H701" i="44"/>
  <c r="G7" i="16" s="1" a="1"/>
  <c r="G7" i="16" s="1"/>
  <c r="G27" i="16" s="1"/>
  <c r="D628" i="44" a="1"/>
  <c r="D628" i="44" s="1"/>
  <c r="F3" i="18" s="1" a="1"/>
  <c r="F3" i="18" s="1"/>
  <c r="E676" i="44" a="1"/>
  <c r="E676" i="44" s="1"/>
  <c r="F5" i="17" s="1" a="1"/>
  <c r="F5" i="17" s="1"/>
  <c r="V687" i="44" a="1"/>
  <c r="V687" i="44" s="1"/>
  <c r="Q5" i="10" s="1" a="1"/>
  <c r="Q5" i="10" s="1"/>
  <c r="E689" i="44" a="1"/>
  <c r="E689" i="44" s="1"/>
  <c r="S5" i="17" s="1" a="1"/>
  <c r="S5" i="17" s="1"/>
  <c r="H637" i="44" a="1"/>
  <c r="H637" i="44" s="1"/>
  <c r="O3" i="16" s="1" a="1"/>
  <c r="O3" i="16" s="1"/>
  <c r="O23" i="16" s="1"/>
  <c r="D648" i="44" a="1"/>
  <c r="D648" i="44" s="1"/>
  <c r="B4" i="18" s="1" a="1"/>
  <c r="B4" i="18" s="1"/>
  <c r="D655" i="44" a="1"/>
  <c r="D655" i="44" s="1"/>
  <c r="I4" i="18" s="1" a="1"/>
  <c r="I4" i="18" s="1"/>
  <c r="J642" i="44" a="1"/>
  <c r="J642" i="44" s="1"/>
  <c r="T3" i="21" s="1" a="1"/>
  <c r="T3" i="21" s="1"/>
  <c r="N692" i="44" a="1"/>
  <c r="N692" i="44" s="1"/>
  <c r="V5" i="25" s="1" a="1"/>
  <c r="V5" i="25" s="1"/>
  <c r="V25" i="25" s="1"/>
  <c r="N693" i="44" a="1"/>
  <c r="N693" i="44" s="1"/>
  <c r="W5" i="25" s="1" a="1"/>
  <c r="W5" i="25" s="1"/>
  <c r="W25" i="25" s="1"/>
  <c r="H682" i="44" a="1"/>
  <c r="H682" i="44" s="1"/>
  <c r="L5" i="16" s="1" a="1"/>
  <c r="L5" i="16" s="1"/>
  <c r="L25" i="16" s="1"/>
  <c r="H666" i="44" a="1"/>
  <c r="H666" i="44" s="1"/>
  <c r="T4" i="16" s="1" a="1"/>
  <c r="T4" i="16" s="1"/>
  <c r="T24" i="16" s="1"/>
  <c r="D710" i="44"/>
  <c r="P7" i="18" s="1" a="1"/>
  <c r="P7" i="18" s="1"/>
  <c r="H703" i="44"/>
  <c r="I7" i="16" s="1" a="1"/>
  <c r="I7" i="16" s="1"/>
  <c r="I27" i="16" s="1"/>
  <c r="D637" i="44" a="1"/>
  <c r="D637" i="44" s="1"/>
  <c r="O3" i="18" s="1" a="1"/>
  <c r="O3" i="18" s="1"/>
  <c r="D714" i="44"/>
  <c r="T7" i="18" s="1" a="1"/>
  <c r="T7" i="18" s="1"/>
  <c r="V733" i="44"/>
  <c r="O6" i="10" s="1" a="1"/>
  <c r="O6" i="10" s="1"/>
  <c r="J718" i="44"/>
  <c r="X7" i="21" s="1" a="1"/>
  <c r="X7" i="21" s="1"/>
  <c r="D670" i="44" a="1"/>
  <c r="D670" i="44" s="1"/>
  <c r="X4" i="18" s="1" a="1"/>
  <c r="X4" i="18" s="1"/>
  <c r="V718" i="44"/>
  <c r="X7" i="10" s="1" a="1"/>
  <c r="X7" i="10" s="1"/>
  <c r="Q639" i="44" a="1"/>
  <c r="Q639" i="44" s="1"/>
  <c r="Q3" i="28" s="1" a="1"/>
  <c r="Q3" i="28" s="1"/>
  <c r="N630" i="44" a="1"/>
  <c r="N630" i="44" s="1"/>
  <c r="H3" i="25" s="1" a="1"/>
  <c r="H3" i="25" s="1"/>
  <c r="H23" i="25" s="1"/>
  <c r="H743" i="44"/>
  <c r="Y6" i="16" s="1" a="1"/>
  <c r="Y6" i="16" s="1"/>
  <c r="Y26" i="16" s="1"/>
  <c r="V704" i="44"/>
  <c r="J7" i="10" s="1" a="1"/>
  <c r="J7" i="10" s="1"/>
  <c r="D612" i="44" a="1"/>
  <c r="D612" i="44" s="1"/>
  <c r="N2" i="18" s="1" a="1"/>
  <c r="N2" i="18" s="1"/>
  <c r="D695" i="44" a="1"/>
  <c r="D695" i="44" s="1"/>
  <c r="Y5" i="18" s="1" a="1"/>
  <c r="Y5" i="18" s="1"/>
  <c r="V684" i="44" a="1"/>
  <c r="V684" i="44" s="1"/>
  <c r="N5" i="10" s="1" a="1"/>
  <c r="N5" i="10" s="1"/>
  <c r="V695" i="44" a="1"/>
  <c r="V695" i="44" s="1"/>
  <c r="Y5" i="10" s="1" a="1"/>
  <c r="Y5" i="10" s="1"/>
  <c r="Q740" i="44"/>
  <c r="V6" i="28" s="1" a="1"/>
  <c r="V6" i="28" s="1"/>
  <c r="D653" i="44" a="1"/>
  <c r="D653" i="44" s="1"/>
  <c r="G4" i="18" s="1" a="1"/>
  <c r="G4" i="18" s="1"/>
  <c r="H692" i="44" a="1"/>
  <c r="H692" i="44" s="1"/>
  <c r="V5" i="16" s="1" a="1"/>
  <c r="V5" i="16" s="1"/>
  <c r="V25" i="16" s="1"/>
  <c r="D629" i="44" a="1"/>
  <c r="D629" i="44" s="1"/>
  <c r="G3" i="18" s="1" a="1"/>
  <c r="G3" i="18" s="1"/>
  <c r="H709" i="44"/>
  <c r="O7" i="16" s="1" a="1"/>
  <c r="O7" i="16" s="1"/>
  <c r="O27" i="16" s="1"/>
  <c r="V668" i="44" a="1"/>
  <c r="V668" i="44" s="1"/>
  <c r="V4" i="10" s="1" a="1"/>
  <c r="V4" i="10" s="1"/>
  <c r="V700" i="44"/>
  <c r="F7" i="10" s="1" a="1"/>
  <c r="F7" i="10" s="1"/>
  <c r="N717" i="44"/>
  <c r="W7" i="25" s="1" a="1"/>
  <c r="W7" i="25" s="1"/>
  <c r="W27" i="25" s="1"/>
  <c r="V677" i="44" a="1"/>
  <c r="V677" i="44" s="1"/>
  <c r="G5" i="10" s="1" a="1"/>
  <c r="G5" i="10" s="1"/>
  <c r="D673" i="44" a="1"/>
  <c r="D673" i="44" s="1"/>
  <c r="C5" i="18" s="1" a="1"/>
  <c r="C5" i="18" s="1"/>
  <c r="D605" i="44" a="1"/>
  <c r="D605" i="44" s="1"/>
  <c r="G2" i="18" s="1" a="1"/>
  <c r="G2" i="18" s="1"/>
  <c r="V676" i="44" a="1"/>
  <c r="V676" i="44" s="1"/>
  <c r="F5" i="10" s="1" a="1"/>
  <c r="F5" i="10" s="1"/>
  <c r="V728" i="44"/>
  <c r="J6" i="10" s="1" a="1"/>
  <c r="J6" i="10" s="1"/>
  <c r="R664" i="44" a="1"/>
  <c r="R664" i="44" s="1"/>
  <c r="R4" i="29" s="1" a="1"/>
  <c r="R4" i="29" s="1"/>
  <c r="R661" i="44" a="1"/>
  <c r="R661" i="44" s="1"/>
  <c r="O4" i="29" s="1" a="1"/>
  <c r="O4" i="29" s="1"/>
  <c r="H713" i="44"/>
  <c r="S7" i="16" s="1" a="1"/>
  <c r="S7" i="16" s="1"/>
  <c r="S27" i="16" s="1"/>
  <c r="H690" i="44" a="1"/>
  <c r="H690" i="44" s="1"/>
  <c r="T5" i="16" s="1" a="1"/>
  <c r="T5" i="16" s="1"/>
  <c r="T25" i="16" s="1"/>
  <c r="J624" i="44" a="1"/>
  <c r="J624" i="44" s="1"/>
  <c r="B3" i="21" s="1" a="1"/>
  <c r="B3" i="21" s="1"/>
  <c r="E678" i="44" a="1"/>
  <c r="E678" i="44" s="1"/>
  <c r="H5" i="17" s="1" a="1"/>
  <c r="H5" i="17" s="1"/>
  <c r="J603" i="44" a="1"/>
  <c r="J603" i="44" s="1"/>
  <c r="E2" i="21" s="1" a="1"/>
  <c r="E2" i="21" s="1"/>
  <c r="V702" i="44"/>
  <c r="H7" i="10" s="1" a="1"/>
  <c r="H7" i="10" s="1"/>
  <c r="R638" i="44" a="1"/>
  <c r="R638" i="44" s="1"/>
  <c r="P3" i="29" s="1" a="1"/>
  <c r="P3" i="29" s="1"/>
  <c r="E601" i="44" a="1"/>
  <c r="E601" i="44" s="1"/>
  <c r="C2" i="17" s="1" a="1"/>
  <c r="C2" i="17" s="1"/>
  <c r="E670" i="44" a="1"/>
  <c r="E670" i="44" s="1"/>
  <c r="X4" i="17" s="1" a="1"/>
  <c r="X4" i="17" s="1"/>
  <c r="K730" i="44"/>
  <c r="L6" i="22" s="1" a="1"/>
  <c r="L6" i="22" s="1"/>
  <c r="N711" i="44"/>
  <c r="Q7" i="25" s="1" a="1"/>
  <c r="Q7" i="25" s="1"/>
  <c r="Q27" i="25" s="1"/>
  <c r="H638" i="44" a="1"/>
  <c r="H638" i="44" s="1"/>
  <c r="P3" i="16" s="1" a="1"/>
  <c r="P3" i="16" s="1"/>
  <c r="P23" i="16" s="1"/>
  <c r="N643" i="44" a="1"/>
  <c r="N643" i="44" s="1"/>
  <c r="U3" i="25" s="1" a="1"/>
  <c r="U3" i="25" s="1"/>
  <c r="U23" i="25" s="1"/>
  <c r="E638" i="44" a="1"/>
  <c r="E638" i="44" s="1"/>
  <c r="P3" i="17" s="1" a="1"/>
  <c r="P3" i="17" s="1"/>
  <c r="T685" i="44" a="1"/>
  <c r="T685" i="44" s="1"/>
  <c r="O5" i="31" s="1" a="1"/>
  <c r="O5" i="31" s="1"/>
  <c r="Q690" i="44" a="1"/>
  <c r="Q690" i="44" s="1"/>
  <c r="T5" i="28" s="1" a="1"/>
  <c r="T5" i="28" s="1"/>
  <c r="G707" i="44"/>
  <c r="M7" i="19" s="1" a="1"/>
  <c r="M7" i="19" s="1"/>
  <c r="J682" i="44" a="1"/>
  <c r="J682" i="44" s="1"/>
  <c r="L5" i="21" s="1" a="1"/>
  <c r="L5" i="21" s="1"/>
  <c r="P639" i="44" a="1"/>
  <c r="P639" i="44" s="1"/>
  <c r="Q3" i="11" s="1" a="1"/>
  <c r="Q3" i="11" s="1"/>
  <c r="H617" i="44" a="1"/>
  <c r="H617" i="44" s="1"/>
  <c r="S2" i="16" s="1" a="1"/>
  <c r="S2" i="16" s="1"/>
  <c r="S22" i="16" s="1"/>
  <c r="J647" i="44" a="1"/>
  <c r="J647" i="44" s="1"/>
  <c r="Y3" i="21" s="1" a="1"/>
  <c r="Y3" i="21" s="1"/>
  <c r="H719" i="44"/>
  <c r="Y7" i="16" s="1" a="1"/>
  <c r="Y7" i="16" s="1"/>
  <c r="Y27" i="16" s="1"/>
  <c r="D694" i="44" a="1"/>
  <c r="D694" i="44" s="1"/>
  <c r="X5" i="18" s="1" a="1"/>
  <c r="X5" i="18" s="1"/>
  <c r="D624" i="44" a="1"/>
  <c r="D624" i="44" s="1"/>
  <c r="B3" i="18" s="1" a="1"/>
  <c r="B3" i="18" s="1"/>
  <c r="J675" i="44" a="1"/>
  <c r="J675" i="44" s="1"/>
  <c r="E5" i="21" s="1" a="1"/>
  <c r="E5" i="21" s="1"/>
  <c r="S674" i="44" a="1"/>
  <c r="S674" i="44" s="1"/>
  <c r="D5" i="30" s="1" a="1"/>
  <c r="D5" i="30" s="1"/>
  <c r="S665" i="44" a="1"/>
  <c r="S665" i="44" s="1"/>
  <c r="S4" i="30" s="1" a="1"/>
  <c r="S4" i="30" s="1"/>
  <c r="S670" i="44" a="1"/>
  <c r="S670" i="44" s="1"/>
  <c r="X4" i="30" s="1" a="1"/>
  <c r="X4" i="30" s="1"/>
  <c r="G712" i="44"/>
  <c r="R7" i="19" s="1" a="1"/>
  <c r="R7" i="19" s="1"/>
  <c r="S651" i="44" a="1"/>
  <c r="S651" i="44" s="1"/>
  <c r="E4" i="30" s="1" a="1"/>
  <c r="E4" i="30" s="1"/>
  <c r="N626" i="44" a="1"/>
  <c r="N626" i="44" s="1"/>
  <c r="D3" i="25" s="1" a="1"/>
  <c r="D3" i="25" s="1"/>
  <c r="D23" i="25" s="1"/>
  <c r="D665" i="44" a="1"/>
  <c r="D665" i="44" s="1"/>
  <c r="S4" i="18" s="1" a="1"/>
  <c r="S4" i="18" s="1"/>
  <c r="N673" i="44" a="1"/>
  <c r="N673" i="44" s="1"/>
  <c r="C5" i="25" s="1" a="1"/>
  <c r="C5" i="25" s="1"/>
  <c r="C25" i="25" s="1"/>
  <c r="Q685" i="44" a="1"/>
  <c r="Q685" i="44" s="1"/>
  <c r="O5" i="28" s="1" a="1"/>
  <c r="O5" i="28" s="1"/>
  <c r="H672" i="44" a="1"/>
  <c r="H672" i="44" s="1"/>
  <c r="B5" i="16" s="1" a="1"/>
  <c r="B5" i="16" s="1"/>
  <c r="B25" i="16" s="1"/>
  <c r="R685" i="44" a="1"/>
  <c r="R685" i="44" s="1"/>
  <c r="O5" i="29" s="1" a="1"/>
  <c r="O5" i="29" s="1"/>
  <c r="V713" i="44"/>
  <c r="S7" i="10" s="1" a="1"/>
  <c r="S7" i="10" s="1"/>
  <c r="J697" i="44"/>
  <c r="C7" i="21" s="1" a="1"/>
  <c r="C7" i="21" s="1"/>
  <c r="R687" i="44" a="1"/>
  <c r="R687" i="44" s="1"/>
  <c r="Q5" i="29" s="1" a="1"/>
  <c r="Q5" i="29" s="1"/>
  <c r="N636" i="44" a="1"/>
  <c r="N636" i="44" s="1"/>
  <c r="N3" i="25" s="1" a="1"/>
  <c r="N3" i="25" s="1"/>
  <c r="N23" i="25" s="1"/>
  <c r="N682" i="44" a="1"/>
  <c r="N682" i="44" s="1"/>
  <c r="L5" i="25" s="1" a="1"/>
  <c r="L5" i="25" s="1"/>
  <c r="L25" i="25" s="1"/>
  <c r="R621" i="44" a="1"/>
  <c r="R621" i="44" s="1"/>
  <c r="W2" i="29" s="1" a="1"/>
  <c r="W2" i="29" s="1"/>
  <c r="V691" i="44" a="1"/>
  <c r="V691" i="44" s="1"/>
  <c r="U5" i="10" s="1" a="1"/>
  <c r="U5" i="10" s="1"/>
  <c r="K683" i="44" a="1"/>
  <c r="K683" i="44" s="1"/>
  <c r="M5" i="22" s="1" a="1"/>
  <c r="M5" i="22" s="1"/>
  <c r="J666" i="44" a="1"/>
  <c r="J666" i="44" s="1"/>
  <c r="T4" i="21" s="1" a="1"/>
  <c r="T4" i="21" s="1"/>
  <c r="D639" i="44" a="1"/>
  <c r="D639" i="44" s="1"/>
  <c r="Q3" i="18" s="1" a="1"/>
  <c r="Q3" i="18" s="1"/>
  <c r="D601" i="44" a="1"/>
  <c r="D601" i="44" s="1"/>
  <c r="C2" i="18" s="1" a="1"/>
  <c r="C2" i="18" s="1"/>
  <c r="S673" i="44" a="1"/>
  <c r="S673" i="44" s="1"/>
  <c r="C5" i="30" s="1" a="1"/>
  <c r="C5" i="30" s="1"/>
  <c r="H667" i="44" a="1"/>
  <c r="H667" i="44" s="1"/>
  <c r="U4" i="16" s="1" a="1"/>
  <c r="U4" i="16" s="1"/>
  <c r="U24" i="16" s="1"/>
  <c r="V622" i="44" a="1"/>
  <c r="V622" i="44" s="1"/>
  <c r="X2" i="10" s="1" a="1"/>
  <c r="X2" i="10" s="1"/>
  <c r="S675" i="44" a="1"/>
  <c r="S675" i="44" s="1"/>
  <c r="E5" i="30" s="1" a="1"/>
  <c r="E5" i="30" s="1"/>
  <c r="D706" i="44"/>
  <c r="L7" i="18" s="1" a="1"/>
  <c r="L7" i="18" s="1"/>
  <c r="R633" i="44" a="1"/>
  <c r="R633" i="44" s="1"/>
  <c r="K3" i="29" s="1" a="1"/>
  <c r="K3" i="29" s="1"/>
  <c r="J693" i="44" a="1"/>
  <c r="J693" i="44" s="1"/>
  <c r="W5" i="21" s="1" a="1"/>
  <c r="W5" i="21" s="1"/>
  <c r="D645" i="44" a="1"/>
  <c r="D645" i="44" s="1"/>
  <c r="W3" i="18" s="1" a="1"/>
  <c r="W3" i="18" s="1"/>
  <c r="D717" i="44"/>
  <c r="W7" i="18" s="1" a="1"/>
  <c r="W7" i="18" s="1"/>
  <c r="V650" i="44" a="1"/>
  <c r="V650" i="44" s="1"/>
  <c r="D4" i="10" s="1" a="1"/>
  <c r="D4" i="10" s="1"/>
  <c r="R686" i="44" a="1"/>
  <c r="R686" i="44" s="1"/>
  <c r="P5" i="29" s="1" a="1"/>
  <c r="P5" i="29" s="1"/>
  <c r="Q634" i="44" a="1"/>
  <c r="Q634" i="44" s="1"/>
  <c r="L3" i="28" s="1" a="1"/>
  <c r="L3" i="28" s="1"/>
  <c r="J643" i="44" a="1"/>
  <c r="J643" i="44" s="1"/>
  <c r="U3" i="21" s="1" a="1"/>
  <c r="U3" i="21" s="1"/>
  <c r="H686" i="44" a="1"/>
  <c r="H686" i="44" s="1"/>
  <c r="P5" i="16" s="1" a="1"/>
  <c r="P5" i="16" s="1"/>
  <c r="P25" i="16" s="1"/>
  <c r="N616" i="44" a="1"/>
  <c r="N616" i="44" s="1"/>
  <c r="R2" i="25" s="1" a="1"/>
  <c r="R2" i="25" s="1"/>
  <c r="R22" i="25" s="1"/>
  <c r="V617" i="44" a="1"/>
  <c r="V617" i="44" s="1"/>
  <c r="S2" i="10" s="1" a="1"/>
  <c r="S2" i="10" s="1"/>
  <c r="J710" i="44"/>
  <c r="P7" i="21" s="1" a="1"/>
  <c r="P7" i="21" s="1"/>
  <c r="R693" i="44" a="1"/>
  <c r="R693" i="44" s="1"/>
  <c r="W5" i="29" s="1" a="1"/>
  <c r="W5" i="29" s="1"/>
  <c r="N709" i="44"/>
  <c r="O7" i="25" s="1" a="1"/>
  <c r="O7" i="25" s="1"/>
  <c r="O27" i="25" s="1"/>
  <c r="D606" i="44" a="1"/>
  <c r="D606" i="44" s="1"/>
  <c r="H2" i="18" s="1" a="1"/>
  <c r="H2" i="18" s="1"/>
  <c r="G631" i="44" a="1"/>
  <c r="G631" i="44" s="1"/>
  <c r="I3" i="19" s="1" a="1"/>
  <c r="I3" i="19" s="1"/>
  <c r="N632" i="44" a="1"/>
  <c r="N632" i="44" s="1"/>
  <c r="J3" i="25" s="1" a="1"/>
  <c r="J3" i="25" s="1"/>
  <c r="J23" i="25" s="1"/>
  <c r="J663" i="44" a="1"/>
  <c r="J663" i="44" s="1"/>
  <c r="Q4" i="21" s="1" a="1"/>
  <c r="Q4" i="21" s="1"/>
  <c r="D626" i="44" a="1"/>
  <c r="D626" i="44" s="1"/>
  <c r="D3" i="18" s="1" a="1"/>
  <c r="D3" i="18" s="1"/>
  <c r="E725" i="44"/>
  <c r="G6" i="17" s="1" a="1"/>
  <c r="G6" i="17" s="1"/>
  <c r="J654" i="44" a="1"/>
  <c r="J654" i="44" s="1"/>
  <c r="H4" i="21" s="1" a="1"/>
  <c r="H4" i="21" s="1"/>
  <c r="J728" i="44"/>
  <c r="J6" i="21" s="1" a="1"/>
  <c r="J6" i="21" s="1"/>
  <c r="T617" i="44" a="1"/>
  <c r="T617" i="44" s="1"/>
  <c r="S2" i="31" s="1" a="1"/>
  <c r="S2" i="31" s="1"/>
  <c r="P680" i="44" a="1"/>
  <c r="P680" i="44" s="1"/>
  <c r="J5" i="11" s="1" a="1"/>
  <c r="J5" i="11" s="1"/>
  <c r="H620" i="44" a="1"/>
  <c r="H620" i="44" s="1"/>
  <c r="V2" i="16" s="1" a="1"/>
  <c r="V2" i="16" s="1"/>
  <c r="V22" i="16" s="1"/>
  <c r="R696" i="44"/>
  <c r="B7" i="29" s="1" a="1"/>
  <c r="B7" i="29" s="1"/>
  <c r="D660" i="44" a="1"/>
  <c r="D660" i="44" s="1"/>
  <c r="N4" i="18" s="1" a="1"/>
  <c r="N4" i="18" s="1"/>
  <c r="S640" i="44" a="1"/>
  <c r="S640" i="44" s="1"/>
  <c r="R3" i="30" s="1" a="1"/>
  <c r="R3" i="30" s="1"/>
  <c r="N662" i="44" a="1"/>
  <c r="N662" i="44" s="1"/>
  <c r="P4" i="25" s="1" a="1"/>
  <c r="P4" i="25" s="1"/>
  <c r="P24" i="25" s="1"/>
  <c r="S659" i="44" a="1"/>
  <c r="S659" i="44" s="1"/>
  <c r="M4" i="30" s="1" a="1"/>
  <c r="M4" i="30" s="1"/>
  <c r="S630" i="44" a="1"/>
  <c r="S630" i="44" s="1"/>
  <c r="H3" i="30" s="1" a="1"/>
  <c r="H3" i="30" s="1"/>
  <c r="G649" i="44" a="1"/>
  <c r="G649" i="44" s="1"/>
  <c r="C4" i="19" s="1" a="1"/>
  <c r="C4" i="19" s="1"/>
  <c r="S638" i="44" a="1"/>
  <c r="S638" i="44" s="1"/>
  <c r="P3" i="30" s="1" a="1"/>
  <c r="P3" i="30" s="1"/>
  <c r="Q604" i="44" a="1"/>
  <c r="Q604" i="44" s="1"/>
  <c r="F2" i="28" s="1" a="1"/>
  <c r="F2" i="28" s="1"/>
  <c r="K672" i="44" a="1"/>
  <c r="K672" i="44" s="1"/>
  <c r="B5" i="22" s="1" a="1"/>
  <c r="B5" i="22" s="1"/>
  <c r="H653" i="44" a="1"/>
  <c r="H653" i="44" s="1"/>
  <c r="G4" i="16" s="1" a="1"/>
  <c r="G4" i="16" s="1"/>
  <c r="G24" i="16" s="1"/>
  <c r="D621" i="44" a="1"/>
  <c r="D621" i="44" s="1"/>
  <c r="W2" i="18" s="1" a="1"/>
  <c r="W2" i="18" s="1"/>
  <c r="J705" i="44"/>
  <c r="K7" i="21" s="1" a="1"/>
  <c r="K7" i="21" s="1"/>
  <c r="G609" i="44" a="1"/>
  <c r="G609" i="44" s="1"/>
  <c r="K2" i="19" s="1" a="1"/>
  <c r="K2" i="19" s="1"/>
  <c r="S629" i="44" a="1"/>
  <c r="S629" i="44" s="1"/>
  <c r="G3" i="30" s="1" a="1"/>
  <c r="G3" i="30" s="1"/>
  <c r="H639" i="44" a="1"/>
  <c r="H639" i="44" s="1"/>
  <c r="Q3" i="16" s="1" a="1"/>
  <c r="Q3" i="16" s="1"/>
  <c r="Q23" i="16" s="1"/>
  <c r="D644" i="44" a="1"/>
  <c r="D644" i="44" s="1"/>
  <c r="V3" i="18" s="1" a="1"/>
  <c r="V3" i="18" s="1"/>
  <c r="D700" i="44"/>
  <c r="F7" i="18" s="1" a="1"/>
  <c r="F7" i="18" s="1"/>
  <c r="H625" i="44" a="1"/>
  <c r="H625" i="44" s="1"/>
  <c r="C3" i="16" s="1" a="1"/>
  <c r="C3" i="16" s="1"/>
  <c r="C23" i="16" s="1"/>
  <c r="D662" i="44" a="1"/>
  <c r="D662" i="44" s="1"/>
  <c r="P4" i="18" s="1" a="1"/>
  <c r="P4" i="18" s="1"/>
  <c r="G616" i="44" a="1"/>
  <c r="G616" i="44" s="1"/>
  <c r="R2" i="19" s="1" a="1"/>
  <c r="R2" i="19" s="1"/>
  <c r="K703" i="44"/>
  <c r="I7" i="22" s="1" a="1"/>
  <c r="I7" i="22" s="1"/>
  <c r="K707" i="44"/>
  <c r="M7" i="22" s="1" a="1"/>
  <c r="M7" i="22" s="1"/>
  <c r="D720" i="44"/>
  <c r="B6" i="18" s="1" a="1"/>
  <c r="B6" i="18" s="1"/>
  <c r="S696" i="44"/>
  <c r="B7" i="30" s="1" a="1"/>
  <c r="B7" i="30" s="1"/>
  <c r="N713" i="44"/>
  <c r="S7" i="25" s="1" a="1"/>
  <c r="S7" i="25" s="1"/>
  <c r="S27" i="25" s="1"/>
  <c r="D674" i="44" a="1"/>
  <c r="D674" i="44" s="1"/>
  <c r="D5" i="18" s="1" a="1"/>
  <c r="D5" i="18" s="1"/>
  <c r="R718" i="44"/>
  <c r="X7" i="29" s="1" a="1"/>
  <c r="X7" i="29" s="1"/>
  <c r="Q669" i="44" a="1"/>
  <c r="Q669" i="44" s="1"/>
  <c r="W4" i="28" s="1" a="1"/>
  <c r="W4" i="28" s="1"/>
  <c r="D658" i="44" a="1"/>
  <c r="D658" i="44" s="1"/>
  <c r="L4" i="18" s="1" a="1"/>
  <c r="L4" i="18" s="1"/>
  <c r="R604" i="44" a="1"/>
  <c r="R604" i="44" s="1"/>
  <c r="F2" i="29" s="1" a="1"/>
  <c r="F2" i="29" s="1"/>
  <c r="D638" i="44" a="1"/>
  <c r="D638" i="44" s="1"/>
  <c r="P3" i="18" s="1" a="1"/>
  <c r="P3" i="18" s="1"/>
  <c r="D600" i="44" a="1"/>
  <c r="D600" i="44" s="1"/>
  <c r="B2" i="18" s="1" a="1"/>
  <c r="B2" i="18" s="1"/>
  <c r="D607" i="44" a="1"/>
  <c r="D607" i="44" s="1"/>
  <c r="I2" i="18" s="1" a="1"/>
  <c r="I2" i="18" s="1"/>
  <c r="D676" i="44" a="1"/>
  <c r="D676" i="44" s="1"/>
  <c r="F5" i="18" s="1" a="1"/>
  <c r="F5" i="18" s="1"/>
  <c r="S637" i="44" a="1"/>
  <c r="S637" i="44" s="1"/>
  <c r="O3" i="30" s="1" a="1"/>
  <c r="O3" i="30" s="1"/>
  <c r="N627" i="44" a="1"/>
  <c r="N627" i="44" s="1"/>
  <c r="E3" i="25" s="1" a="1"/>
  <c r="E3" i="25" s="1"/>
  <c r="E23" i="25" s="1"/>
  <c r="D675" i="44" a="1"/>
  <c r="D675" i="44" s="1"/>
  <c r="E5" i="18" s="1" a="1"/>
  <c r="E5" i="18" s="1"/>
  <c r="D654" i="44" a="1"/>
  <c r="D654" i="44" s="1"/>
  <c r="H4" i="18" s="1" a="1"/>
  <c r="H4" i="18" s="1"/>
  <c r="P606" i="44" a="1"/>
  <c r="P606" i="44" s="1"/>
  <c r="H2" i="11" s="1" a="1"/>
  <c r="H2" i="11" s="1"/>
  <c r="D734" i="44"/>
  <c r="P6" i="18" s="1" a="1"/>
  <c r="P6" i="18" s="1"/>
  <c r="R634" i="44" a="1"/>
  <c r="R634" i="44" s="1"/>
  <c r="L3" i="29" s="1" a="1"/>
  <c r="L3" i="29" s="1"/>
  <c r="D604" i="44" a="1"/>
  <c r="D604" i="44" s="1"/>
  <c r="F2" i="18" s="1" a="1"/>
  <c r="F2" i="18" s="1"/>
  <c r="E704" i="44"/>
  <c r="J7" i="17" s="1" a="1"/>
  <c r="J7" i="17" s="1"/>
  <c r="V663" i="44" a="1"/>
  <c r="V663" i="44" s="1"/>
  <c r="Q4" i="10" s="1" a="1"/>
  <c r="Q4" i="10" s="1"/>
  <c r="V673" i="44" a="1"/>
  <c r="V673" i="44" s="1"/>
  <c r="C5" i="10" s="1" a="1"/>
  <c r="C5" i="10" s="1"/>
  <c r="T645" i="44" a="1"/>
  <c r="T645" i="44" s="1"/>
  <c r="W3" i="31" s="1" a="1"/>
  <c r="W3" i="31" s="1"/>
  <c r="K664" i="44" a="1"/>
  <c r="K664" i="44" s="1"/>
  <c r="R4" i="22" s="1" a="1"/>
  <c r="R4" i="22" s="1"/>
  <c r="H633" i="44" a="1"/>
  <c r="H633" i="44" s="1"/>
  <c r="K3" i="16" s="1" a="1"/>
  <c r="K3" i="16" s="1"/>
  <c r="K23" i="16" s="1"/>
  <c r="D680" i="44" a="1"/>
  <c r="D680" i="44" s="1"/>
  <c r="J5" i="18" s="1" a="1"/>
  <c r="J5" i="18" s="1"/>
  <c r="D699" i="44"/>
  <c r="E7" i="18" s="1" a="1"/>
  <c r="E7" i="18" s="1"/>
  <c r="U695" i="44" a="1"/>
  <c r="U695" i="44" s="1"/>
  <c r="G682" i="44" a="1"/>
  <c r="G682" i="44" s="1"/>
  <c r="L5" i="19" s="1" a="1"/>
  <c r="L5" i="19" s="1"/>
  <c r="D715" i="44"/>
  <c r="U7" i="18" s="1" a="1"/>
  <c r="U7" i="18" s="1"/>
  <c r="H679" i="44" a="1"/>
  <c r="H679" i="44" s="1"/>
  <c r="I5" i="16" s="1" a="1"/>
  <c r="I5" i="16" s="1"/>
  <c r="I25" i="16" s="1"/>
  <c r="E686" i="44" a="1"/>
  <c r="E686" i="44" s="1"/>
  <c r="P5" i="17" s="1" a="1"/>
  <c r="P5" i="17" s="1"/>
  <c r="Q714" i="44"/>
  <c r="T7" i="28" s="1" a="1"/>
  <c r="T7" i="28" s="1"/>
  <c r="E715" i="44"/>
  <c r="U7" i="17" s="1" a="1"/>
  <c r="U7" i="17" s="1"/>
  <c r="S600" i="44" a="1"/>
  <c r="S600" i="44" s="1"/>
  <c r="B2" i="30" s="1" a="1"/>
  <c r="B2" i="30" s="1"/>
  <c r="J600" i="44" a="1"/>
  <c r="J600" i="44" s="1"/>
  <c r="B2" i="21" s="1" a="1"/>
  <c r="B2" i="21" s="1"/>
  <c r="P703" i="44"/>
  <c r="I7" i="11" s="1" a="1"/>
  <c r="I7" i="11" s="1"/>
  <c r="Q654" i="44" a="1"/>
  <c r="Q654" i="44" s="1"/>
  <c r="H4" i="28" s="1" a="1"/>
  <c r="H4" i="28" s="1"/>
  <c r="S671" i="44" a="1"/>
  <c r="S671" i="44" s="1"/>
  <c r="Y4" i="30" s="1" a="1"/>
  <c r="Y4" i="30" s="1"/>
  <c r="R708" i="44"/>
  <c r="N7" i="29" s="1" a="1"/>
  <c r="N7" i="29" s="1"/>
  <c r="R653" i="44" a="1"/>
  <c r="R653" i="44" s="1"/>
  <c r="G4" i="29" s="1" a="1"/>
  <c r="G4" i="29" s="1"/>
  <c r="Q694" i="44" a="1"/>
  <c r="Q694" i="44" s="1"/>
  <c r="X5" i="28" s="1" a="1"/>
  <c r="X5" i="28" s="1"/>
  <c r="H684" i="44" a="1"/>
  <c r="H684" i="44" s="1"/>
  <c r="N5" i="16" s="1" a="1"/>
  <c r="N5" i="16" s="1"/>
  <c r="N25" i="16" s="1"/>
  <c r="D716" i="44"/>
  <c r="V7" i="18" s="1" a="1"/>
  <c r="V7" i="18" s="1"/>
  <c r="H689" i="44" a="1"/>
  <c r="H689" i="44" s="1"/>
  <c r="S5" i="16" s="1" a="1"/>
  <c r="S5" i="16" s="1"/>
  <c r="S25" i="16" s="1"/>
  <c r="J683" i="44" a="1"/>
  <c r="J683" i="44" s="1"/>
  <c r="M5" i="21" s="1" a="1"/>
  <c r="M5" i="21" s="1"/>
  <c r="U628" i="44" a="1"/>
  <c r="U628" i="44" s="1"/>
  <c r="G603" i="44" a="1"/>
  <c r="G603" i="44" s="1"/>
  <c r="E2" i="19" s="1" a="1"/>
  <c r="E2" i="19" s="1"/>
  <c r="U689" i="44" a="1"/>
  <c r="U689" i="44" s="1"/>
  <c r="R619" i="44" a="1"/>
  <c r="R619" i="44" s="1"/>
  <c r="U2" i="29" s="1" a="1"/>
  <c r="U2" i="29" s="1"/>
  <c r="H707" i="44"/>
  <c r="M7" i="16" s="1" a="1"/>
  <c r="M7" i="16" s="1"/>
  <c r="M27" i="16" s="1"/>
  <c r="H708" i="44"/>
  <c r="N7" i="16" s="1" a="1"/>
  <c r="N7" i="16" s="1"/>
  <c r="N27" i="16" s="1"/>
  <c r="D727" i="44"/>
  <c r="I6" i="18" s="1" a="1"/>
  <c r="I6" i="18" s="1"/>
  <c r="R632" i="44" a="1"/>
  <c r="R632" i="44" s="1"/>
  <c r="J3" i="29" s="1" a="1"/>
  <c r="J3" i="29" s="1"/>
  <c r="J671" i="44" a="1"/>
  <c r="J671" i="44" s="1"/>
  <c r="Y4" i="21" s="1" a="1"/>
  <c r="Y4" i="21" s="1"/>
  <c r="D634" i="44" a="1"/>
  <c r="D634" i="44" s="1"/>
  <c r="L3" i="18" s="1" a="1"/>
  <c r="L3" i="18" s="1"/>
  <c r="K686" i="44" a="1"/>
  <c r="K686" i="44" s="1"/>
  <c r="P5" i="22" s="1" a="1"/>
  <c r="P5" i="22" s="1"/>
  <c r="J676" i="44" a="1"/>
  <c r="J676" i="44" s="1"/>
  <c r="F5" i="21" s="1" a="1"/>
  <c r="F5" i="21" s="1"/>
  <c r="U630" i="44" a="1"/>
  <c r="U630" i="44" s="1"/>
  <c r="N731" i="44"/>
  <c r="M6" i="25" s="1" a="1"/>
  <c r="M6" i="25" s="1"/>
  <c r="M26" i="25" s="1"/>
  <c r="Q636" i="44" a="1"/>
  <c r="Q636" i="44" s="1"/>
  <c r="N3" i="28" s="1" a="1"/>
  <c r="N3" i="28" s="1"/>
  <c r="Q642" i="44" a="1"/>
  <c r="Q642" i="44" s="1"/>
  <c r="T3" i="28" s="1" a="1"/>
  <c r="T3" i="28" s="1"/>
  <c r="H665" i="44" a="1"/>
  <c r="H665" i="44" s="1"/>
  <c r="S4" i="16" s="1" a="1"/>
  <c r="S4" i="16" s="1"/>
  <c r="S24" i="16" s="1"/>
  <c r="H741" i="44"/>
  <c r="W6" i="16" s="1" a="1"/>
  <c r="W6" i="16" s="1"/>
  <c r="W26" i="16" s="1"/>
  <c r="D737" i="44"/>
  <c r="S6" i="18" s="1" a="1"/>
  <c r="S6" i="18" s="1"/>
  <c r="Q633" i="44" a="1"/>
  <c r="Q633" i="44" s="1"/>
  <c r="K3" i="28" s="1" a="1"/>
  <c r="K3" i="28" s="1"/>
  <c r="K692" i="44" a="1"/>
  <c r="K692" i="44" s="1"/>
  <c r="V5" i="22" s="1" a="1"/>
  <c r="V5" i="22" s="1"/>
  <c r="N647" i="44" a="1"/>
  <c r="N647" i="44" s="1"/>
  <c r="Y3" i="25" s="1" a="1"/>
  <c r="Y3" i="25" s="1"/>
  <c r="Y23" i="25" s="1"/>
  <c r="S636" i="44" a="1"/>
  <c r="S636" i="44" s="1"/>
  <c r="N3" i="30" s="1" a="1"/>
  <c r="N3" i="30" s="1"/>
  <c r="S667" i="44" a="1"/>
  <c r="S667" i="44" s="1"/>
  <c r="U4" i="30" s="1" a="1"/>
  <c r="U4" i="30" s="1"/>
  <c r="Q656" i="44" a="1"/>
  <c r="Q656" i="44" s="1"/>
  <c r="J4" i="28" s="1" a="1"/>
  <c r="J4" i="28" s="1"/>
  <c r="N624" i="44" a="1"/>
  <c r="N624" i="44" s="1"/>
  <c r="B3" i="25" s="1" a="1"/>
  <c r="B3" i="25" s="1"/>
  <c r="B23" i="25" s="1"/>
  <c r="V635" i="44" a="1"/>
  <c r="V635" i="44" s="1"/>
  <c r="M3" i="10" s="1" a="1"/>
  <c r="M3" i="10" s="1"/>
  <c r="D708" i="44"/>
  <c r="N7" i="18" s="1" a="1"/>
  <c r="N7" i="18" s="1"/>
  <c r="J664" i="44" a="1"/>
  <c r="J664" i="44" s="1"/>
  <c r="R4" i="21" s="1" a="1"/>
  <c r="R4" i="21" s="1"/>
  <c r="N661" i="44" a="1"/>
  <c r="N661" i="44" s="1"/>
  <c r="O4" i="25" s="1" a="1"/>
  <c r="O4" i="25" s="1"/>
  <c r="O24" i="25" s="1"/>
  <c r="E631" i="44" a="1"/>
  <c r="E631" i="44" s="1"/>
  <c r="I3" i="17" s="1" a="1"/>
  <c r="I3" i="17" s="1"/>
  <c r="N706" i="44"/>
  <c r="L7" i="25" s="1" a="1"/>
  <c r="L7" i="25" s="1"/>
  <c r="L27" i="25" s="1"/>
  <c r="G684" i="44" a="1"/>
  <c r="G684" i="44" s="1"/>
  <c r="N5" i="19" s="1" a="1"/>
  <c r="N5" i="19" s="1"/>
  <c r="S735" i="44"/>
  <c r="Q6" i="30" s="1" a="1"/>
  <c r="Q6" i="30" s="1"/>
  <c r="R610" i="44" a="1"/>
  <c r="R610" i="44" s="1"/>
  <c r="L2" i="29" s="1" a="1"/>
  <c r="L2" i="29" s="1"/>
  <c r="R676" i="44" a="1"/>
  <c r="R676" i="44" s="1"/>
  <c r="F5" i="29" s="1" a="1"/>
  <c r="F5" i="29" s="1"/>
  <c r="R620" i="44" a="1"/>
  <c r="R620" i="44" s="1"/>
  <c r="V2" i="29" s="1" a="1"/>
  <c r="V2" i="29" s="1"/>
  <c r="Q620" i="44" a="1"/>
  <c r="Q620" i="44" s="1"/>
  <c r="V2" i="28" s="1" a="1"/>
  <c r="V2" i="28" s="1"/>
  <c r="D678" i="44" a="1"/>
  <c r="D678" i="44" s="1"/>
  <c r="H5" i="18" s="1" a="1"/>
  <c r="H5" i="18" s="1"/>
  <c r="N670" i="44" a="1"/>
  <c r="N670" i="44" s="1"/>
  <c r="X4" i="25" s="1" a="1"/>
  <c r="X4" i="25" s="1"/>
  <c r="X24" i="25" s="1"/>
  <c r="J604" i="44" a="1"/>
  <c r="J604" i="44" s="1"/>
  <c r="F2" i="21" s="1" a="1"/>
  <c r="F2" i="21" s="1"/>
  <c r="H627" i="44" a="1"/>
  <c r="H627" i="44" s="1"/>
  <c r="E3" i="16" s="1" a="1"/>
  <c r="E3" i="16" s="1"/>
  <c r="E23" i="16" s="1"/>
  <c r="J703" i="44"/>
  <c r="I7" i="21" s="1" a="1"/>
  <c r="I7" i="21" s="1"/>
  <c r="J635" i="44" a="1"/>
  <c r="J635" i="44" s="1"/>
  <c r="M3" i="21" s="1" a="1"/>
  <c r="M3" i="21" s="1"/>
  <c r="V654" i="44" a="1"/>
  <c r="V654" i="44" s="1"/>
  <c r="H4" i="10" s="1" a="1"/>
  <c r="H4" i="10" s="1"/>
  <c r="T712" i="44"/>
  <c r="R7" i="31" s="1" a="1"/>
  <c r="R7" i="31" s="1"/>
  <c r="H723" i="44"/>
  <c r="E6" i="16" s="1" a="1"/>
  <c r="E6" i="16" s="1"/>
  <c r="E26" i="16" s="1"/>
  <c r="H727" i="44"/>
  <c r="I6" i="16" s="1" a="1"/>
  <c r="I6" i="16" s="1"/>
  <c r="I26" i="16" s="1"/>
  <c r="U673" i="44" a="1"/>
  <c r="U673" i="44" s="1"/>
  <c r="U698" i="44"/>
  <c r="Q670" i="44" a="1"/>
  <c r="Q670" i="44" s="1"/>
  <c r="X4" i="28" s="1" a="1"/>
  <c r="X4" i="28" s="1"/>
  <c r="S639" i="44" a="1"/>
  <c r="S639" i="44" s="1"/>
  <c r="Q3" i="30" s="1" a="1"/>
  <c r="Q3" i="30" s="1"/>
  <c r="H657" i="44" a="1"/>
  <c r="H657" i="44" s="1"/>
  <c r="K4" i="16" s="1" a="1"/>
  <c r="K4" i="16" s="1"/>
  <c r="K24" i="16" s="1"/>
  <c r="N609" i="44" a="1"/>
  <c r="N609" i="44" s="1"/>
  <c r="K2" i="25" s="1" a="1"/>
  <c r="K2" i="25" s="1"/>
  <c r="K22" i="25" s="1"/>
  <c r="E665" i="44" a="1"/>
  <c r="E665" i="44" s="1"/>
  <c r="S4" i="17" s="1" a="1"/>
  <c r="S4" i="17" s="1"/>
  <c r="G678" i="44" a="1"/>
  <c r="G678" i="44" s="1"/>
  <c r="H5" i="19" s="1" a="1"/>
  <c r="H5" i="19" s="1"/>
  <c r="G687" i="44" a="1"/>
  <c r="G687" i="44" s="1"/>
  <c r="Q5" i="19" s="1" a="1"/>
  <c r="Q5" i="19" s="1"/>
  <c r="N625" i="44" a="1"/>
  <c r="N625" i="44" s="1"/>
  <c r="C3" i="25" s="1" a="1"/>
  <c r="C3" i="25" s="1"/>
  <c r="C23" i="25" s="1"/>
  <c r="U609" i="44" a="1"/>
  <c r="U609" i="44" s="1"/>
  <c r="U657" i="44" a="1"/>
  <c r="U657" i="44" s="1"/>
  <c r="S664" i="44" a="1"/>
  <c r="S664" i="44" s="1"/>
  <c r="R4" i="30" s="1" a="1"/>
  <c r="R4" i="30" s="1"/>
  <c r="Q733" i="44"/>
  <c r="O6" i="28" s="1" a="1"/>
  <c r="O6" i="28" s="1"/>
  <c r="U631" i="44" a="1"/>
  <c r="U631" i="44" s="1"/>
  <c r="D646" i="44" a="1"/>
  <c r="D646" i="44" s="1"/>
  <c r="X3" i="18" s="1" a="1"/>
  <c r="X3" i="18" s="1"/>
  <c r="H740" i="44"/>
  <c r="V6" i="16" s="1" a="1"/>
  <c r="V6" i="16" s="1"/>
  <c r="V26" i="16" s="1"/>
  <c r="D657" i="44" a="1"/>
  <c r="D657" i="44" s="1"/>
  <c r="K4" i="18" s="1" a="1"/>
  <c r="K4" i="18" s="1"/>
  <c r="E650" i="44" a="1"/>
  <c r="E650" i="44" s="1"/>
  <c r="D4" i="17" s="1" a="1"/>
  <c r="D4" i="17" s="1"/>
  <c r="P716" i="44"/>
  <c r="V7" i="11" s="1" a="1"/>
  <c r="V7" i="11" s="1"/>
  <c r="H688" i="44" a="1"/>
  <c r="H688" i="44" s="1"/>
  <c r="R5" i="16" s="1" a="1"/>
  <c r="R5" i="16" s="1"/>
  <c r="R25" i="16" s="1"/>
  <c r="D661" i="44" a="1"/>
  <c r="D661" i="44" s="1"/>
  <c r="O4" i="18" s="1" a="1"/>
  <c r="O4" i="18" s="1"/>
  <c r="H736" i="44"/>
  <c r="R6" i="16" s="1" a="1"/>
  <c r="R6" i="16" s="1"/>
  <c r="R26" i="16" s="1"/>
  <c r="P694" i="44" a="1"/>
  <c r="P694" i="44" s="1"/>
  <c r="X5" i="11" s="1" a="1"/>
  <c r="X5" i="11" s="1"/>
  <c r="H607" i="44" a="1"/>
  <c r="H607" i="44" s="1"/>
  <c r="I2" i="16" s="1" a="1"/>
  <c r="I2" i="16" s="1"/>
  <c r="I22" i="16" s="1"/>
  <c r="N720" i="44"/>
  <c r="B6" i="25" s="1" a="1"/>
  <c r="B6" i="25" s="1"/>
  <c r="B26" i="25" s="1"/>
  <c r="E743" i="44"/>
  <c r="Y6" i="17" s="1" a="1"/>
  <c r="Y6" i="17" s="1"/>
  <c r="V607" i="44" a="1"/>
  <c r="V607" i="44" s="1"/>
  <c r="I2" i="10" s="1" a="1"/>
  <c r="I2" i="10" s="1"/>
  <c r="T699" i="44"/>
  <c r="E7" i="31" s="1" a="1"/>
  <c r="E7" i="31" s="1"/>
  <c r="D732" i="44"/>
  <c r="N6" i="18" s="1" a="1"/>
  <c r="N6" i="18" s="1"/>
  <c r="T715" i="44"/>
  <c r="U7" i="31" s="1" a="1"/>
  <c r="U7" i="31" s="1"/>
  <c r="E669" i="44" a="1"/>
  <c r="E669" i="44" s="1"/>
  <c r="W4" i="17" s="1" a="1"/>
  <c r="W4" i="17" s="1"/>
  <c r="E685" i="44" a="1"/>
  <c r="E685" i="44" s="1"/>
  <c r="O5" i="17" s="1" a="1"/>
  <c r="O5" i="17" s="1"/>
  <c r="E666" i="44" a="1"/>
  <c r="E666" i="44" s="1"/>
  <c r="T4" i="17" s="1" a="1"/>
  <c r="T4" i="17" s="1"/>
  <c r="T708" i="44"/>
  <c r="N7" i="31" s="1" a="1"/>
  <c r="N7" i="31" s="1"/>
  <c r="V671" i="44" a="1"/>
  <c r="V671" i="44" s="1"/>
  <c r="Y4" i="10" s="1" a="1"/>
  <c r="Y4" i="10" s="1"/>
  <c r="V717" i="44"/>
  <c r="W7" i="10" s="1" a="1"/>
  <c r="W7" i="10" s="1"/>
  <c r="V729" i="44"/>
  <c r="K6" i="10" s="1" a="1"/>
  <c r="K6" i="10" s="1"/>
  <c r="T683" i="44" a="1"/>
  <c r="T683" i="44" s="1"/>
  <c r="M5" i="31" s="1" a="1"/>
  <c r="M5" i="31" s="1"/>
  <c r="J691" i="44" a="1"/>
  <c r="J691" i="44" s="1"/>
  <c r="U5" i="21" s="1" a="1"/>
  <c r="U5" i="21" s="1"/>
  <c r="N707" i="44"/>
  <c r="M7" i="25" s="1" a="1"/>
  <c r="M7" i="25" s="1"/>
  <c r="M27" i="25" s="1"/>
  <c r="R637" i="44" a="1"/>
  <c r="R637" i="44" s="1"/>
  <c r="O3" i="29" s="1" a="1"/>
  <c r="O3" i="29" s="1"/>
  <c r="D631" i="44" a="1"/>
  <c r="D631" i="44" s="1"/>
  <c r="I3" i="18" s="1" a="1"/>
  <c r="I3" i="18" s="1"/>
  <c r="D728" i="44"/>
  <c r="J6" i="18" s="1" a="1"/>
  <c r="J6" i="18" s="1"/>
  <c r="E651" i="44" a="1"/>
  <c r="E651" i="44" s="1"/>
  <c r="E4" i="17" s="1" a="1"/>
  <c r="E4" i="17" s="1"/>
  <c r="V658" i="44" a="1"/>
  <c r="V658" i="44" s="1"/>
  <c r="L4" i="10" s="1" a="1"/>
  <c r="L4" i="10" s="1"/>
  <c r="V665" i="44" a="1"/>
  <c r="V665" i="44" s="1"/>
  <c r="S4" i="10" s="1" a="1"/>
  <c r="S4" i="10" s="1"/>
  <c r="K625" i="44" a="1"/>
  <c r="K625" i="44" s="1"/>
  <c r="C3" i="22" s="1" a="1"/>
  <c r="C3" i="22" s="1"/>
  <c r="T626" i="44" a="1"/>
  <c r="T626" i="44" s="1"/>
  <c r="D3" i="31" s="1" a="1"/>
  <c r="D3" i="31" s="1"/>
  <c r="N679" i="44" a="1"/>
  <c r="N679" i="44" s="1"/>
  <c r="I5" i="25" s="1" a="1"/>
  <c r="I5" i="25" s="1"/>
  <c r="I25" i="25" s="1"/>
  <c r="G624" i="44" a="1"/>
  <c r="G624" i="44" s="1"/>
  <c r="B3" i="19" s="1" a="1"/>
  <c r="B3" i="19" s="1"/>
  <c r="Q702" i="44"/>
  <c r="H7" i="28" s="1" a="1"/>
  <c r="H7" i="28" s="1"/>
  <c r="H715" i="44"/>
  <c r="U7" i="16" s="1" a="1"/>
  <c r="U7" i="16" s="1"/>
  <c r="U27" i="16" s="1"/>
  <c r="V646" i="44" a="1"/>
  <c r="V646" i="44" s="1"/>
  <c r="X3" i="10" s="1" a="1"/>
  <c r="X3" i="10" s="1"/>
  <c r="V698" i="44"/>
  <c r="D7" i="10" s="1" a="1"/>
  <c r="D7" i="10" s="1"/>
  <c r="D697" i="44"/>
  <c r="C7" i="18" s="1" a="1"/>
  <c r="C7" i="18" s="1"/>
  <c r="T716" i="44"/>
  <c r="V7" i="31" s="1" a="1"/>
  <c r="V7" i="31" s="1"/>
  <c r="T694" i="44" a="1"/>
  <c r="T694" i="44" s="1"/>
  <c r="X5" i="31" s="1" a="1"/>
  <c r="X5" i="31" s="1"/>
  <c r="T646" i="44" a="1"/>
  <c r="T646" i="44" s="1"/>
  <c r="X3" i="31" s="1" a="1"/>
  <c r="X3" i="31" s="1"/>
  <c r="N646" i="44" a="1"/>
  <c r="N646" i="44" s="1"/>
  <c r="X3" i="25" s="1" a="1"/>
  <c r="X3" i="25" s="1"/>
  <c r="X23" i="25" s="1"/>
  <c r="U627" i="44" a="1"/>
  <c r="U627" i="44" s="1"/>
  <c r="N734" i="44"/>
  <c r="P6" i="25" s="1" a="1"/>
  <c r="P6" i="25" s="1"/>
  <c r="P26" i="25" s="1"/>
  <c r="J695" i="44" a="1"/>
  <c r="J695" i="44" s="1"/>
  <c r="Y5" i="21" s="1" a="1"/>
  <c r="Y5" i="21" s="1"/>
  <c r="K742" i="44"/>
  <c r="X6" i="22" s="1" a="1"/>
  <c r="X6" i="22" s="1"/>
  <c r="H600" i="44" a="1"/>
  <c r="H600" i="44" s="1"/>
  <c r="B2" i="16" s="1" a="1"/>
  <c r="B2" i="16" s="1"/>
  <c r="B22" i="16" s="1"/>
  <c r="D701" i="44"/>
  <c r="G7" i="18" s="1" a="1"/>
  <c r="G7" i="18" s="1"/>
  <c r="D703" i="44"/>
  <c r="I7" i="18" s="1" a="1"/>
  <c r="I7" i="18" s="1"/>
  <c r="D741" i="44"/>
  <c r="W6" i="18" s="1" a="1"/>
  <c r="W6" i="18" s="1"/>
  <c r="N685" i="44" a="1"/>
  <c r="N685" i="44" s="1"/>
  <c r="O5" i="25" s="1" a="1"/>
  <c r="O5" i="25" s="1"/>
  <c r="O25" i="25" s="1"/>
  <c r="S702" i="44"/>
  <c r="H7" i="30" s="1" a="1"/>
  <c r="H7" i="30" s="1"/>
  <c r="K719" i="44"/>
  <c r="Y7" i="22" s="1" a="1"/>
  <c r="Y7" i="22" s="1"/>
  <c r="E727" i="44"/>
  <c r="I6" i="17" s="1" a="1"/>
  <c r="I6" i="17" s="1"/>
  <c r="J657" i="44" a="1"/>
  <c r="J657" i="44" s="1"/>
  <c r="K4" i="21" s="1" a="1"/>
  <c r="K4" i="21" s="1"/>
  <c r="E652" i="44" a="1"/>
  <c r="E652" i="44" s="1"/>
  <c r="F4" i="17" s="1" a="1"/>
  <c r="F4" i="17" s="1"/>
  <c r="K660" i="44" a="1"/>
  <c r="K660" i="44" s="1"/>
  <c r="N4" i="22" s="1" a="1"/>
  <c r="N4" i="22" s="1"/>
  <c r="T677" i="44" a="1"/>
  <c r="T677" i="44" s="1"/>
  <c r="G5" i="31" s="1" a="1"/>
  <c r="G5" i="31" s="1"/>
  <c r="T656" i="44" a="1"/>
  <c r="T656" i="44" s="1"/>
  <c r="J4" i="31" s="1" a="1"/>
  <c r="J4" i="31" s="1"/>
  <c r="S612" i="44" a="1"/>
  <c r="S612" i="44" s="1"/>
  <c r="N2" i="30" s="1" a="1"/>
  <c r="N2" i="30" s="1"/>
  <c r="S601" i="44" a="1"/>
  <c r="S601" i="44" s="1"/>
  <c r="C2" i="30" s="1" a="1"/>
  <c r="C2" i="30" s="1"/>
  <c r="N657" i="44" a="1"/>
  <c r="N657" i="44" s="1"/>
  <c r="K4" i="25" s="1" a="1"/>
  <c r="K4" i="25" s="1"/>
  <c r="K24" i="25" s="1"/>
  <c r="E643" i="44" a="1"/>
  <c r="E643" i="44" s="1"/>
  <c r="U3" i="17" s="1" a="1"/>
  <c r="U3" i="17" s="1"/>
  <c r="V625" i="44" a="1"/>
  <c r="V625" i="44" s="1"/>
  <c r="C3" i="10" s="1" a="1"/>
  <c r="C3" i="10" s="1"/>
  <c r="P620" i="44" a="1"/>
  <c r="P620" i="44" s="1"/>
  <c r="V2" i="11" s="1" a="1"/>
  <c r="V2" i="11" s="1"/>
  <c r="K655" i="44" a="1"/>
  <c r="K655" i="44" s="1"/>
  <c r="I4" i="22" s="1" a="1"/>
  <c r="I4" i="22" s="1"/>
  <c r="Q716" i="44"/>
  <c r="V7" i="28" s="1" a="1"/>
  <c r="V7" i="28" s="1"/>
  <c r="T616" i="44" a="1"/>
  <c r="T616" i="44" s="1"/>
  <c r="R2" i="31" s="1" a="1"/>
  <c r="R2" i="31" s="1"/>
  <c r="H615" i="44" a="1"/>
  <c r="H615" i="44" s="1"/>
  <c r="Q2" i="16" s="1" a="1"/>
  <c r="Q2" i="16" s="1"/>
  <c r="Q22" i="16" s="1"/>
  <c r="D603" i="44" a="1"/>
  <c r="D603" i="44" s="1"/>
  <c r="E2" i="18" s="1" a="1"/>
  <c r="E2" i="18" s="1"/>
  <c r="T650" i="44" a="1"/>
  <c r="T650" i="44" s="1"/>
  <c r="D4" i="31" s="1" a="1"/>
  <c r="D4" i="31" s="1"/>
  <c r="K705" i="44"/>
  <c r="K7" i="22" s="1" a="1"/>
  <c r="K7" i="22" s="1"/>
  <c r="H732" i="44"/>
  <c r="N6" i="16" s="1" a="1"/>
  <c r="N6" i="16" s="1"/>
  <c r="N26" i="16" s="1"/>
  <c r="T682" i="44" a="1"/>
  <c r="T682" i="44" s="1"/>
  <c r="L5" i="31" s="1" a="1"/>
  <c r="L5" i="31" s="1"/>
  <c r="V655" i="44" a="1"/>
  <c r="V655" i="44" s="1"/>
  <c r="I4" i="10" s="1" a="1"/>
  <c r="I4" i="10" s="1"/>
  <c r="P626" i="44" a="1"/>
  <c r="P626" i="44" s="1"/>
  <c r="D3" i="11" s="1" a="1"/>
  <c r="D3" i="11" s="1"/>
  <c r="J677" i="44" a="1"/>
  <c r="J677" i="44" s="1"/>
  <c r="G5" i="21" s="1" a="1"/>
  <c r="G5" i="21" s="1"/>
  <c r="J709" i="44"/>
  <c r="O7" i="21" s="1" a="1"/>
  <c r="O7" i="21" s="1"/>
  <c r="H628" i="44" a="1"/>
  <c r="H628" i="44" s="1"/>
  <c r="F3" i="16" s="1" a="1"/>
  <c r="F3" i="16" s="1"/>
  <c r="F23" i="16" s="1"/>
  <c r="E633" i="44" a="1"/>
  <c r="E633" i="44" s="1"/>
  <c r="K3" i="17" s="1" a="1"/>
  <c r="K3" i="17" s="1"/>
  <c r="K611" i="44" a="1"/>
  <c r="K611" i="44" s="1"/>
  <c r="M2" i="22" s="1" a="1"/>
  <c r="M2" i="22" s="1"/>
  <c r="T669" i="44" a="1"/>
  <c r="T669" i="44" s="1"/>
  <c r="W4" i="31" s="1" a="1"/>
  <c r="W4" i="31" s="1"/>
  <c r="J694" i="44" a="1"/>
  <c r="J694" i="44" s="1"/>
  <c r="X5" i="21" s="1" a="1"/>
  <c r="X5" i="21" s="1"/>
  <c r="N719" i="44"/>
  <c r="Y7" i="25" s="1" a="1"/>
  <c r="Y7" i="25" s="1"/>
  <c r="Y27" i="25" s="1"/>
  <c r="D619" i="44" a="1"/>
  <c r="D619" i="44" s="1"/>
  <c r="U2" i="18" s="1" a="1"/>
  <c r="U2" i="18" s="1"/>
  <c r="E636" i="44" a="1"/>
  <c r="E636" i="44" s="1"/>
  <c r="N3" i="17" s="1" a="1"/>
  <c r="N3" i="17" s="1"/>
  <c r="V624" i="44" a="1"/>
  <c r="V624" i="44" s="1"/>
  <c r="B3" i="10" s="1" a="1"/>
  <c r="B3" i="10" s="1"/>
  <c r="G622" i="44" a="1"/>
  <c r="G622" i="44" s="1"/>
  <c r="X2" i="19" s="1" a="1"/>
  <c r="X2" i="19" s="1"/>
  <c r="S707" i="44"/>
  <c r="M7" i="30" s="1" a="1"/>
  <c r="M7" i="30" s="1"/>
  <c r="R719" i="44"/>
  <c r="Y7" i="29" s="1" a="1"/>
  <c r="Y7" i="29" s="1"/>
  <c r="H609" i="44" a="1"/>
  <c r="H609" i="44" s="1"/>
  <c r="K2" i="16" s="1" a="1"/>
  <c r="K2" i="16" s="1"/>
  <c r="K22" i="16" s="1"/>
  <c r="H640" i="44" a="1"/>
  <c r="H640" i="44" s="1"/>
  <c r="R3" i="16" s="1" a="1"/>
  <c r="R3" i="16" s="1"/>
  <c r="R23" i="16" s="1"/>
  <c r="D613" i="44" a="1"/>
  <c r="D613" i="44" s="1"/>
  <c r="O2" i="18" s="1" a="1"/>
  <c r="O2" i="18" s="1"/>
  <c r="G608" i="44" a="1"/>
  <c r="G608" i="44" s="1"/>
  <c r="J2" i="19" s="1" a="1"/>
  <c r="J2" i="19" s="1"/>
  <c r="N697" i="44"/>
  <c r="C7" i="25" s="1" a="1"/>
  <c r="C7" i="25" s="1"/>
  <c r="C27" i="25" s="1"/>
  <c r="S617" i="44" a="1"/>
  <c r="S617" i="44" s="1"/>
  <c r="S2" i="30" s="1" a="1"/>
  <c r="S2" i="30" s="1"/>
  <c r="D707" i="44"/>
  <c r="M7" i="18" s="1" a="1"/>
  <c r="M7" i="18" s="1"/>
  <c r="H683" i="44" a="1"/>
  <c r="H683" i="44" s="1"/>
  <c r="M5" i="16" s="1" a="1"/>
  <c r="M5" i="16" s="1"/>
  <c r="M25" i="16" s="1"/>
  <c r="D671" i="44" a="1"/>
  <c r="D671" i="44" s="1"/>
  <c r="Y4" i="18" s="1" a="1"/>
  <c r="Y4" i="18" s="1"/>
  <c r="D615" i="44" a="1"/>
  <c r="D615" i="44" s="1"/>
  <c r="Q2" i="18" s="1" a="1"/>
  <c r="Q2" i="18" s="1"/>
  <c r="D668" i="44" a="1"/>
  <c r="D668" i="44" s="1"/>
  <c r="V4" i="18" s="1" a="1"/>
  <c r="V4" i="18" s="1"/>
  <c r="S699" i="44"/>
  <c r="E7" i="30" s="1" a="1"/>
  <c r="E7" i="30" s="1"/>
  <c r="K690" i="44" a="1"/>
  <c r="K690" i="44" s="1"/>
  <c r="T5" i="22" s="1" a="1"/>
  <c r="T5" i="22" s="1"/>
  <c r="T653" i="44" a="1"/>
  <c r="T653" i="44" s="1"/>
  <c r="G4" i="31" s="1" a="1"/>
  <c r="G4" i="31" s="1"/>
  <c r="R690" i="44" a="1"/>
  <c r="R690" i="44" s="1"/>
  <c r="T5" i="29" s="1" a="1"/>
  <c r="T5" i="29" s="1"/>
  <c r="R626" i="44" a="1"/>
  <c r="R626" i="44" s="1"/>
  <c r="D3" i="29" s="1" a="1"/>
  <c r="D3" i="29" s="1"/>
  <c r="R659" i="44" a="1"/>
  <c r="R659" i="44" s="1"/>
  <c r="M4" i="29" s="1" a="1"/>
  <c r="M4" i="29" s="1"/>
  <c r="J631" i="44" a="1"/>
  <c r="J631" i="44" s="1"/>
  <c r="I3" i="21" s="1" a="1"/>
  <c r="I3" i="21" s="1"/>
  <c r="J616" i="44" a="1"/>
  <c r="J616" i="44" s="1"/>
  <c r="R2" i="21" s="1" a="1"/>
  <c r="R2" i="21" s="1"/>
  <c r="S668" i="44" a="1"/>
  <c r="S668" i="44" s="1"/>
  <c r="V4" i="30" s="1" a="1"/>
  <c r="V4" i="30" s="1"/>
  <c r="U699" i="44"/>
  <c r="S711" i="44"/>
  <c r="Q7" i="30" s="1" a="1"/>
  <c r="Q7" i="30" s="1"/>
  <c r="N678" i="44" a="1"/>
  <c r="N678" i="44" s="1"/>
  <c r="H5" i="25" s="1" a="1"/>
  <c r="H5" i="25" s="1"/>
  <c r="H25" i="25" s="1"/>
  <c r="U712" i="44"/>
  <c r="P657" i="44" a="1"/>
  <c r="P657" i="44" s="1"/>
  <c r="K4" i="11" s="1" a="1"/>
  <c r="K4" i="11" s="1"/>
  <c r="Q641" i="44" a="1"/>
  <c r="Q641" i="44" s="1"/>
  <c r="S3" i="28" s="1" a="1"/>
  <c r="S3" i="28" s="1"/>
  <c r="Q637" i="44" a="1"/>
  <c r="Q637" i="44" s="1"/>
  <c r="O3" i="28" s="1" a="1"/>
  <c r="O3" i="28" s="1"/>
  <c r="H710" i="44"/>
  <c r="P7" i="16" s="1" a="1"/>
  <c r="P7" i="16" s="1"/>
  <c r="P27" i="16" s="1"/>
  <c r="S660" i="44" a="1"/>
  <c r="S660" i="44" s="1"/>
  <c r="N4" i="30" s="1" a="1"/>
  <c r="N4" i="30" s="1"/>
  <c r="E681" i="44" a="1"/>
  <c r="E681" i="44" s="1"/>
  <c r="K5" i="17" s="1" a="1"/>
  <c r="K5" i="17" s="1"/>
  <c r="H681" i="44" a="1"/>
  <c r="H681" i="44" s="1"/>
  <c r="K5" i="16" s="1" a="1"/>
  <c r="K5" i="16" s="1"/>
  <c r="K25" i="16" s="1"/>
  <c r="P690" i="44" a="1"/>
  <c r="P690" i="44" s="1"/>
  <c r="T5" i="11" s="1" a="1"/>
  <c r="T5" i="11" s="1"/>
  <c r="U655" i="44" a="1"/>
  <c r="U655" i="44" s="1"/>
  <c r="R704" i="44"/>
  <c r="J7" i="29" s="1" a="1"/>
  <c r="J7" i="29" s="1"/>
  <c r="G727" i="44"/>
  <c r="I6" i="19" s="1" a="1"/>
  <c r="I6" i="19" s="1"/>
  <c r="D649" i="44" a="1"/>
  <c r="D649" i="44" s="1"/>
  <c r="C4" i="18" s="1" a="1"/>
  <c r="C4" i="18" s="1"/>
  <c r="R662" i="44" a="1"/>
  <c r="R662" i="44" s="1"/>
  <c r="P4" i="29" s="1" a="1"/>
  <c r="P4" i="29" s="1"/>
  <c r="G689" i="44" a="1"/>
  <c r="G689" i="44" s="1"/>
  <c r="S5" i="19" s="1" a="1"/>
  <c r="S5" i="19" s="1"/>
  <c r="P697" i="44"/>
  <c r="C7" i="11" s="1" a="1"/>
  <c r="C7" i="11" s="1"/>
  <c r="S685" i="44" a="1"/>
  <c r="S685" i="44" s="1"/>
  <c r="O5" i="30" s="1" a="1"/>
  <c r="O5" i="30" s="1"/>
  <c r="R629" i="44" a="1"/>
  <c r="R629" i="44" s="1"/>
  <c r="G3" i="29" s="1" a="1"/>
  <c r="G3" i="29" s="1"/>
  <c r="R741" i="44"/>
  <c r="W6" i="29" s="1" a="1"/>
  <c r="W6" i="29" s="1"/>
  <c r="R679" i="44" a="1"/>
  <c r="R679" i="44" s="1"/>
  <c r="I5" i="29" s="1" a="1"/>
  <c r="I5" i="29" s="1"/>
  <c r="Q653" i="44" a="1"/>
  <c r="Q653" i="44" s="1"/>
  <c r="G4" i="28" s="1" a="1"/>
  <c r="G4" i="28" s="1"/>
  <c r="E706" i="44"/>
  <c r="L7" i="17" s="1" a="1"/>
  <c r="L7" i="17" s="1"/>
  <c r="N704" i="44"/>
  <c r="J7" i="25" s="1" a="1"/>
  <c r="J7" i="25" s="1"/>
  <c r="J27" i="25" s="1"/>
  <c r="R714" i="44"/>
  <c r="T7" i="29" s="1" a="1"/>
  <c r="T7" i="29" s="1"/>
  <c r="U660" i="44" a="1"/>
  <c r="U660" i="44" s="1"/>
  <c r="D611" i="44" a="1"/>
  <c r="D611" i="44" s="1"/>
  <c r="M2" i="18" s="1" a="1"/>
  <c r="M2" i="18" s="1"/>
  <c r="P677" i="44" a="1"/>
  <c r="P677" i="44" s="1"/>
  <c r="G5" i="11" s="1" a="1"/>
  <c r="G5" i="11" s="1"/>
  <c r="H671" i="44" a="1"/>
  <c r="H671" i="44" s="1"/>
  <c r="Y4" i="16" s="1" a="1"/>
  <c r="Y4" i="16" s="1"/>
  <c r="Y24" i="16" s="1"/>
  <c r="T739" i="44"/>
  <c r="U6" i="31" s="1" a="1"/>
  <c r="U6" i="31" s="1"/>
  <c r="U665" i="44" a="1"/>
  <c r="U665" i="44" s="1"/>
  <c r="U648" i="44" a="1"/>
  <c r="U648" i="44" s="1"/>
  <c r="G632" i="44" a="1"/>
  <c r="G632" i="44" s="1"/>
  <c r="J3" i="19" s="1" a="1"/>
  <c r="J3" i="19" s="1"/>
  <c r="U644" i="44" a="1"/>
  <c r="U644" i="44" s="1"/>
  <c r="P702" i="44"/>
  <c r="H7" i="11" s="1" a="1"/>
  <c r="H7" i="11" s="1"/>
  <c r="Q704" i="44"/>
  <c r="J7" i="28" s="1" a="1"/>
  <c r="J7" i="28" s="1"/>
  <c r="N718" i="44"/>
  <c r="X7" i="25" s="1" a="1"/>
  <c r="X7" i="25" s="1"/>
  <c r="X27" i="25" s="1"/>
  <c r="R724" i="44"/>
  <c r="F6" i="29" s="1" a="1"/>
  <c r="F6" i="29" s="1"/>
  <c r="H601" i="44" a="1"/>
  <c r="H601" i="44" s="1"/>
  <c r="C2" i="16" s="1" a="1"/>
  <c r="C2" i="16" s="1"/>
  <c r="C22" i="16" s="1"/>
  <c r="V657" i="44" a="1"/>
  <c r="V657" i="44" s="1"/>
  <c r="K4" i="10" s="1" a="1"/>
  <c r="K4" i="10" s="1"/>
  <c r="D738" i="44"/>
  <c r="T6" i="18" s="1" a="1"/>
  <c r="T6" i="18" s="1"/>
  <c r="R603" i="44" a="1"/>
  <c r="R603" i="44" s="1"/>
  <c r="E2" i="29" s="1" a="1"/>
  <c r="E2" i="29" s="1"/>
  <c r="N680" i="44" a="1"/>
  <c r="N680" i="44" s="1"/>
  <c r="J5" i="25" s="1" a="1"/>
  <c r="J5" i="25" s="1"/>
  <c r="J25" i="25" s="1"/>
  <c r="P662" i="44" a="1"/>
  <c r="P662" i="44" s="1"/>
  <c r="P4" i="11" s="1" a="1"/>
  <c r="P4" i="11" s="1"/>
  <c r="J708" i="44"/>
  <c r="N7" i="21" s="1" a="1"/>
  <c r="N7" i="21" s="1"/>
  <c r="D743" i="44"/>
  <c r="Y6" i="18" s="1" a="1"/>
  <c r="Y6" i="18" s="1"/>
  <c r="U625" i="44" a="1"/>
  <c r="U625" i="44" s="1"/>
  <c r="R654" i="44" a="1"/>
  <c r="R654" i="44" s="1"/>
  <c r="H4" i="29" s="1" a="1"/>
  <c r="H4" i="29" s="1"/>
  <c r="R649" i="44" a="1"/>
  <c r="R649" i="44" s="1"/>
  <c r="C4" i="29" s="1" a="1"/>
  <c r="C4" i="29" s="1"/>
  <c r="Q665" i="44" a="1"/>
  <c r="Q665" i="44" s="1"/>
  <c r="S4" i="28" s="1" a="1"/>
  <c r="S4" i="28" s="1"/>
  <c r="N645" i="44" a="1"/>
  <c r="N645" i="44" s="1"/>
  <c r="W3" i="25" s="1" a="1"/>
  <c r="W3" i="25" s="1"/>
  <c r="W23" i="25" s="1"/>
  <c r="N708" i="44"/>
  <c r="N7" i="25" s="1" a="1"/>
  <c r="N7" i="25" s="1"/>
  <c r="N27" i="25" s="1"/>
  <c r="E628" i="44" a="1"/>
  <c r="E628" i="44" s="1"/>
  <c r="F3" i="17" s="1" a="1"/>
  <c r="F3" i="17" s="1"/>
  <c r="Q697" i="44"/>
  <c r="C7" i="28" s="1" a="1"/>
  <c r="C7" i="28" s="1"/>
  <c r="D709" i="44"/>
  <c r="O7" i="18" s="1" a="1"/>
  <c r="O7" i="18" s="1"/>
  <c r="N602" i="44" a="1"/>
  <c r="N602" i="44" s="1"/>
  <c r="D2" i="25" s="1" a="1"/>
  <c r="D2" i="25" s="1"/>
  <c r="D22" i="25" s="1"/>
  <c r="P607" i="44" a="1"/>
  <c r="P607" i="44" s="1"/>
  <c r="I2" i="11" s="1" a="1"/>
  <c r="I2" i="11" s="1"/>
  <c r="S713" i="44"/>
  <c r="S7" i="30" s="1" a="1"/>
  <c r="S7" i="30" s="1"/>
  <c r="P674" i="44" a="1"/>
  <c r="P674" i="44" s="1"/>
  <c r="D5" i="11" s="1" a="1"/>
  <c r="D5" i="11" s="1"/>
  <c r="G733" i="44"/>
  <c r="O6" i="19" s="1" a="1"/>
  <c r="O6" i="19" s="1"/>
  <c r="G717" i="44"/>
  <c r="W7" i="19" s="1" a="1"/>
  <c r="W7" i="19" s="1"/>
  <c r="U678" i="44" a="1"/>
  <c r="U678" i="44" s="1"/>
  <c r="S703" i="44"/>
  <c r="I7" i="30" s="1" a="1"/>
  <c r="I7" i="30" s="1"/>
  <c r="S610" i="44" a="1"/>
  <c r="S610" i="44" s="1"/>
  <c r="L2" i="30" s="1" a="1"/>
  <c r="L2" i="30" s="1"/>
  <c r="R688" i="44" a="1"/>
  <c r="R688" i="44" s="1"/>
  <c r="R5" i="29" s="1" a="1"/>
  <c r="R5" i="29" s="1"/>
  <c r="J685" i="44" a="1"/>
  <c r="J685" i="44" s="1"/>
  <c r="O5" i="21" s="1" a="1"/>
  <c r="O5" i="21" s="1"/>
  <c r="N623" i="44" a="1"/>
  <c r="N623" i="44" s="1"/>
  <c r="Y2" i="25" s="1" a="1"/>
  <c r="Y2" i="25" s="1"/>
  <c r="Y22" i="25" s="1"/>
  <c r="K639" i="44" a="1"/>
  <c r="K639" i="44" s="1"/>
  <c r="Q3" i="22" s="1" a="1"/>
  <c r="Q3" i="22" s="1"/>
  <c r="Q652" i="44" a="1"/>
  <c r="Q652" i="44" s="1"/>
  <c r="F4" i="28" s="1" a="1"/>
  <c r="F4" i="28" s="1"/>
  <c r="J639" i="44" a="1"/>
  <c r="J639" i="44" s="1"/>
  <c r="Q3" i="21" s="1" a="1"/>
  <c r="Q3" i="21" s="1"/>
  <c r="R683" i="44" a="1"/>
  <c r="R683" i="44" s="1"/>
  <c r="M5" i="29" s="1" a="1"/>
  <c r="M5" i="29" s="1"/>
  <c r="U710" i="44"/>
  <c r="N615" i="44" a="1"/>
  <c r="N615" i="44" s="1"/>
  <c r="Q2" i="25" s="1" a="1"/>
  <c r="Q2" i="25" s="1"/>
  <c r="Q22" i="25" s="1"/>
  <c r="V602" i="44" a="1"/>
  <c r="V602" i="44" s="1"/>
  <c r="D2" i="10" s="1" a="1"/>
  <c r="D2" i="10" s="1"/>
  <c r="G669" i="44" a="1"/>
  <c r="G669" i="44" s="1"/>
  <c r="W4" i="19" s="1" a="1"/>
  <c r="W4" i="19" s="1"/>
  <c r="G647" i="44" a="1"/>
  <c r="G647" i="44" s="1"/>
  <c r="Y3" i="19" s="1" a="1"/>
  <c r="Y3" i="19" s="1"/>
  <c r="S632" i="44" a="1"/>
  <c r="S632" i="44" s="1"/>
  <c r="J3" i="30" s="1" a="1"/>
  <c r="J3" i="30" s="1"/>
  <c r="S715" i="44"/>
  <c r="U7" i="30" s="1" a="1"/>
  <c r="U7" i="30" s="1"/>
  <c r="Q627" i="44" a="1"/>
  <c r="Q627" i="44" s="1"/>
  <c r="E3" i="28" s="1" a="1"/>
  <c r="E3" i="28" s="1"/>
  <c r="H738" i="44"/>
  <c r="T6" i="16" s="1" a="1"/>
  <c r="T6" i="16" s="1"/>
  <c r="T26" i="16" s="1"/>
  <c r="U613" i="44" a="1"/>
  <c r="U613" i="44" s="1"/>
  <c r="E616" i="44" a="1"/>
  <c r="E616" i="44" s="1"/>
  <c r="R2" i="17" s="1" a="1"/>
  <c r="R2" i="17" s="1"/>
  <c r="R611" i="44" a="1"/>
  <c r="R611" i="44" s="1"/>
  <c r="M2" i="29" s="1" a="1"/>
  <c r="M2" i="29" s="1"/>
  <c r="H673" i="44" a="1"/>
  <c r="H673" i="44" s="1"/>
  <c r="C5" i="16" s="1" a="1"/>
  <c r="C5" i="16" s="1"/>
  <c r="C25" i="16" s="1"/>
  <c r="J665" i="44" a="1"/>
  <c r="J665" i="44" s="1"/>
  <c r="S4" i="21" s="1" a="1"/>
  <c r="S4" i="21" s="1"/>
  <c r="E698" i="44"/>
  <c r="D7" i="17" s="1" a="1"/>
  <c r="D7" i="17" s="1"/>
  <c r="J617" i="44" a="1"/>
  <c r="J617" i="44" s="1"/>
  <c r="S2" i="21" s="1" a="1"/>
  <c r="S2" i="21" s="1"/>
  <c r="H659" i="44" a="1"/>
  <c r="H659" i="44" s="1"/>
  <c r="M4" i="16" s="1" a="1"/>
  <c r="M4" i="16" s="1"/>
  <c r="M24" i="16" s="1"/>
  <c r="P707" i="44"/>
  <c r="M7" i="11" s="1" a="1"/>
  <c r="M7" i="11" s="1"/>
  <c r="U677" i="44" a="1"/>
  <c r="U677" i="44" s="1"/>
  <c r="R700" i="44"/>
  <c r="F7" i="29" s="1" a="1"/>
  <c r="F7" i="29" s="1"/>
  <c r="R642" i="44" a="1"/>
  <c r="R642" i="44" s="1"/>
  <c r="T3" i="29" s="1" a="1"/>
  <c r="T3" i="29" s="1"/>
  <c r="N642" i="44" a="1"/>
  <c r="N642" i="44" s="1"/>
  <c r="T3" i="25" s="1" a="1"/>
  <c r="T3" i="25" s="1"/>
  <c r="T23" i="25" s="1"/>
  <c r="J658" i="44" a="1"/>
  <c r="J658" i="44" s="1"/>
  <c r="L4" i="21" s="1" a="1"/>
  <c r="L4" i="21" s="1"/>
  <c r="J640" i="44" a="1"/>
  <c r="J640" i="44" s="1"/>
  <c r="R3" i="21" s="1" a="1"/>
  <c r="R3" i="21" s="1"/>
  <c r="N617" i="44" a="1"/>
  <c r="N617" i="44" s="1"/>
  <c r="S2" i="25" s="1" a="1"/>
  <c r="S2" i="25" s="1"/>
  <c r="S22" i="25" s="1"/>
  <c r="R678" i="44" a="1"/>
  <c r="R678" i="44" s="1"/>
  <c r="H5" i="29" s="1" a="1"/>
  <c r="H5" i="29" s="1"/>
  <c r="D696" i="44"/>
  <c r="B7" i="18" s="1" a="1"/>
  <c r="B7" i="18" s="1"/>
  <c r="D623" i="44" a="1"/>
  <c r="D623" i="44" s="1"/>
  <c r="Y2" i="18" s="1" a="1"/>
  <c r="Y2" i="18" s="1"/>
  <c r="N696" i="44"/>
  <c r="B7" i="25" s="1" a="1"/>
  <c r="B7" i="25" s="1"/>
  <c r="B27" i="25" s="1"/>
  <c r="D742" i="44"/>
  <c r="X6" i="18" s="1" a="1"/>
  <c r="X6" i="18" s="1"/>
  <c r="N652" i="44" a="1"/>
  <c r="N652" i="44" s="1"/>
  <c r="F4" i="25" s="1" a="1"/>
  <c r="F4" i="25" s="1"/>
  <c r="F24" i="25" s="1"/>
  <c r="J649" i="44" a="1"/>
  <c r="J649" i="44" s="1"/>
  <c r="C4" i="21" s="1" a="1"/>
  <c r="C4" i="21" s="1"/>
  <c r="H716" i="44"/>
  <c r="V7" i="16" s="1" a="1"/>
  <c r="V7" i="16" s="1"/>
  <c r="V27" i="16" s="1"/>
  <c r="E703" i="44"/>
  <c r="I7" i="17" s="1" a="1"/>
  <c r="I7" i="17" s="1"/>
  <c r="D735" i="44"/>
  <c r="Q6" i="18" s="1" a="1"/>
  <c r="Q6" i="18" s="1"/>
  <c r="D739" i="44"/>
  <c r="U6" i="18" s="1" a="1"/>
  <c r="U6" i="18" s="1"/>
  <c r="J700" i="44"/>
  <c r="F7" i="21" s="1" a="1"/>
  <c r="F7" i="21" s="1"/>
  <c r="E707" i="44"/>
  <c r="M7" i="17" s="1" a="1"/>
  <c r="M7" i="17" s="1"/>
  <c r="N688" i="44" a="1"/>
  <c r="N688" i="44" s="1"/>
  <c r="R5" i="25" s="1" a="1"/>
  <c r="R5" i="25" s="1"/>
  <c r="R25" i="25" s="1"/>
  <c r="T713" i="44"/>
  <c r="S7" i="31" s="1" a="1"/>
  <c r="S7" i="31" s="1"/>
  <c r="U676" i="44" a="1"/>
  <c r="U676" i="44" s="1"/>
  <c r="U643" i="44" a="1"/>
  <c r="U643" i="44" s="1"/>
  <c r="D730" i="44"/>
  <c r="L6" i="18" s="1" a="1"/>
  <c r="L6" i="18" s="1"/>
  <c r="D672" i="44" a="1"/>
  <c r="D672" i="44" s="1"/>
  <c r="B5" i="18" s="1" a="1"/>
  <c r="B5" i="18" s="1"/>
  <c r="P681" i="44" a="1"/>
  <c r="P681" i="44" s="1"/>
  <c r="K5" i="11" s="1" a="1"/>
  <c r="K5" i="11" s="1"/>
  <c r="T620" i="44" a="1"/>
  <c r="T620" i="44" s="1"/>
  <c r="V2" i="31" s="1" a="1"/>
  <c r="V2" i="31" s="1"/>
  <c r="U602" i="44" a="1"/>
  <c r="U602" i="44" s="1"/>
  <c r="P706" i="44"/>
  <c r="L7" i="11" s="1" a="1"/>
  <c r="L7" i="11" s="1"/>
  <c r="K715" i="44"/>
  <c r="U7" i="22" s="1" a="1"/>
  <c r="U7" i="22" s="1"/>
  <c r="T700" i="44"/>
  <c r="F7" i="31" s="1" a="1"/>
  <c r="F7" i="31" s="1"/>
  <c r="K622" i="44" a="1"/>
  <c r="K622" i="44" s="1"/>
  <c r="X2" i="22" s="1" a="1"/>
  <c r="X2" i="22" s="1"/>
  <c r="K606" i="44" a="1"/>
  <c r="K606" i="44" s="1"/>
  <c r="H2" i="22" s="1" a="1"/>
  <c r="H2" i="22" s="1"/>
  <c r="J696" i="44"/>
  <c r="B7" i="21" s="1" a="1"/>
  <c r="B7" i="21" s="1"/>
  <c r="K616" i="44" a="1"/>
  <c r="K616" i="44" s="1"/>
  <c r="R2" i="22" s="1" a="1"/>
  <c r="R2" i="22" s="1"/>
  <c r="U702" i="44"/>
  <c r="J661" i="44" a="1"/>
  <c r="J661" i="44" s="1"/>
  <c r="O4" i="21" s="1" a="1"/>
  <c r="O4" i="21" s="1"/>
  <c r="J706" i="44"/>
  <c r="L7" i="21" s="1" a="1"/>
  <c r="L7" i="21" s="1"/>
  <c r="D679" i="44" a="1"/>
  <c r="D679" i="44" s="1"/>
  <c r="I5" i="18" s="1" a="1"/>
  <c r="I5" i="18" s="1"/>
  <c r="D627" i="44" a="1"/>
  <c r="D627" i="44" s="1"/>
  <c r="E3" i="18" s="1" a="1"/>
  <c r="E3" i="18" s="1"/>
  <c r="Q710" i="44"/>
  <c r="P7" i="28" s="1" a="1"/>
  <c r="P7" i="28" s="1"/>
  <c r="E679" i="44" a="1"/>
  <c r="E679" i="44" s="1"/>
  <c r="I5" i="17" s="1" a="1"/>
  <c r="I5" i="17" s="1"/>
  <c r="T601" i="44" a="1"/>
  <c r="T601" i="44" s="1"/>
  <c r="C2" i="31" s="1" a="1"/>
  <c r="C2" i="31" s="1"/>
  <c r="V689" i="44" a="1"/>
  <c r="V689" i="44" s="1"/>
  <c r="S5" i="10" s="1" a="1"/>
  <c r="S5" i="10" s="1"/>
  <c r="V660" i="44" a="1"/>
  <c r="V660" i="44" s="1"/>
  <c r="N4" i="10" s="1" a="1"/>
  <c r="N4" i="10" s="1"/>
  <c r="K621" i="44" a="1"/>
  <c r="K621" i="44" s="1"/>
  <c r="W2" i="22" s="1" a="1"/>
  <c r="W2" i="22" s="1"/>
  <c r="T707" i="44"/>
  <c r="M7" i="31" s="1" a="1"/>
  <c r="M7" i="31" s="1"/>
  <c r="U705" i="44"/>
  <c r="S701" i="44"/>
  <c r="G7" i="30" s="1" a="1"/>
  <c r="G7" i="30" s="1"/>
  <c r="S669" i="44" a="1"/>
  <c r="S669" i="44" s="1"/>
  <c r="W4" i="30" s="1" a="1"/>
  <c r="W4" i="30" s="1"/>
  <c r="Q717" i="44"/>
  <c r="W7" i="28" s="1" a="1"/>
  <c r="W7" i="28" s="1"/>
  <c r="Q607" i="44" a="1"/>
  <c r="Q607" i="44" s="1"/>
  <c r="I2" i="28" s="1" a="1"/>
  <c r="I2" i="28" s="1"/>
  <c r="T619" i="44" a="1"/>
  <c r="T619" i="44" s="1"/>
  <c r="U2" i="31" s="1" a="1"/>
  <c r="U2" i="31" s="1"/>
  <c r="N714" i="44"/>
  <c r="T7" i="25" s="1" a="1"/>
  <c r="T7" i="25" s="1"/>
  <c r="T27" i="25" s="1"/>
  <c r="V633" i="44" a="1"/>
  <c r="V633" i="44" s="1"/>
  <c r="K3" i="10" s="1" a="1"/>
  <c r="K3" i="10" s="1"/>
  <c r="D711" i="44"/>
  <c r="Q7" i="18" s="1" a="1"/>
  <c r="Q7" i="18" s="1"/>
  <c r="N613" i="44" a="1"/>
  <c r="N613" i="44" s="1"/>
  <c r="O2" i="25" s="1" a="1"/>
  <c r="O2" i="25" s="1"/>
  <c r="O22" i="25" s="1"/>
  <c r="T697" i="44"/>
  <c r="C7" i="31" s="1" a="1"/>
  <c r="C7" i="31" s="1"/>
  <c r="N694" i="44" a="1"/>
  <c r="N694" i="44" s="1"/>
  <c r="X5" i="25" s="1" a="1"/>
  <c r="X5" i="25" s="1"/>
  <c r="X25" i="25" s="1"/>
  <c r="U691" i="44" a="1"/>
  <c r="U691" i="44" s="1"/>
  <c r="S689" i="44" a="1"/>
  <c r="S689" i="44" s="1"/>
  <c r="S5" i="30" s="1" a="1"/>
  <c r="S5" i="30" s="1"/>
  <c r="V638" i="44" a="1"/>
  <c r="V638" i="44" s="1"/>
  <c r="P3" i="10" s="1" a="1"/>
  <c r="P3" i="10" s="1"/>
  <c r="K638" i="44" a="1"/>
  <c r="K638" i="44" s="1"/>
  <c r="P3" i="22" s="1" a="1"/>
  <c r="P3" i="22" s="1"/>
  <c r="V710" i="44"/>
  <c r="P7" i="10" s="1" a="1"/>
  <c r="P7" i="10" s="1"/>
  <c r="V641" i="44" a="1"/>
  <c r="V641" i="44" s="1"/>
  <c r="S3" i="10" s="1" a="1"/>
  <c r="S3" i="10" s="1"/>
  <c r="J672" i="44" a="1"/>
  <c r="J672" i="44" s="1"/>
  <c r="B5" i="21" s="1" a="1"/>
  <c r="B5" i="21" s="1"/>
  <c r="D740" i="44"/>
  <c r="V6" i="18" s="1" a="1"/>
  <c r="V6" i="18" s="1"/>
  <c r="U694" i="44" a="1"/>
  <c r="U694" i="44" s="1"/>
  <c r="P642" i="44" a="1"/>
  <c r="P642" i="44" s="1"/>
  <c r="T3" i="11" s="1" a="1"/>
  <c r="T3" i="11" s="1"/>
  <c r="R689" i="44" a="1"/>
  <c r="R689" i="44" s="1"/>
  <c r="S5" i="29" s="1" a="1"/>
  <c r="S5" i="29" s="1"/>
  <c r="N701" i="44"/>
  <c r="G7" i="25" s="1" a="1"/>
  <c r="G7" i="25" s="1"/>
  <c r="G27" i="25" s="1"/>
  <c r="N629" i="44" a="1"/>
  <c r="N629" i="44" s="1"/>
  <c r="G3" i="25" s="1" a="1"/>
  <c r="G3" i="25" s="1"/>
  <c r="G23" i="25" s="1"/>
  <c r="J712" i="44"/>
  <c r="R7" i="21" s="1" a="1"/>
  <c r="R7" i="21" s="1"/>
  <c r="N621" i="44" a="1"/>
  <c r="N621" i="44" s="1"/>
  <c r="W2" i="25" s="1" a="1"/>
  <c r="W2" i="25" s="1"/>
  <c r="W22" i="25" s="1"/>
  <c r="D616" i="44" a="1"/>
  <c r="D616" i="44" s="1"/>
  <c r="R2" i="18" s="1" a="1"/>
  <c r="R2" i="18" s="1"/>
  <c r="P633" i="44" a="1"/>
  <c r="P633" i="44" s="1"/>
  <c r="K3" i="11" s="1" a="1"/>
  <c r="K3" i="11" s="1"/>
  <c r="T629" i="44" a="1"/>
  <c r="T629" i="44" s="1"/>
  <c r="G3" i="31" s="1" a="1"/>
  <c r="G3" i="31" s="1"/>
  <c r="V636" i="44" a="1"/>
  <c r="V636" i="44" s="1"/>
  <c r="N3" i="10" s="1" a="1"/>
  <c r="N3" i="10" s="1"/>
  <c r="T624" i="44" a="1"/>
  <c r="T624" i="44" s="1"/>
  <c r="B3" i="31" s="1" a="1"/>
  <c r="B3" i="31" s="1"/>
  <c r="T690" i="44" a="1"/>
  <c r="T690" i="44" s="1"/>
  <c r="T5" i="31" s="1" a="1"/>
  <c r="T5" i="31" s="1"/>
  <c r="T637" i="44" a="1"/>
  <c r="T637" i="44" s="1"/>
  <c r="O3" i="31" s="1" a="1"/>
  <c r="O3" i="31" s="1"/>
  <c r="K645" i="44" a="1"/>
  <c r="K645" i="44" s="1"/>
  <c r="W3" i="22" s="1" a="1"/>
  <c r="W3" i="22" s="1"/>
  <c r="J632" i="44" a="1"/>
  <c r="J632" i="44" s="1"/>
  <c r="J3" i="21" s="1" a="1"/>
  <c r="J3" i="21" s="1"/>
  <c r="D733" i="44"/>
  <c r="O6" i="18" s="1" a="1"/>
  <c r="O6" i="18" s="1"/>
  <c r="G633" i="44" a="1"/>
  <c r="G633" i="44" s="1"/>
  <c r="K3" i="19" s="1" a="1"/>
  <c r="K3" i="19" s="1"/>
  <c r="U619" i="44" a="1"/>
  <c r="U619" i="44" s="1"/>
  <c r="D620" i="44" a="1"/>
  <c r="D620" i="44" s="1"/>
  <c r="V2" i="18" s="1" a="1"/>
  <c r="V2" i="18" s="1"/>
  <c r="V681" i="44" a="1"/>
  <c r="V681" i="44" s="1"/>
  <c r="K5" i="10" s="1" a="1"/>
  <c r="K5" i="10" s="1"/>
  <c r="H693" i="44" a="1"/>
  <c r="H693" i="44" s="1"/>
  <c r="W5" i="16" s="1" a="1"/>
  <c r="W5" i="16" s="1"/>
  <c r="W25" i="16" s="1"/>
  <c r="H734" i="44"/>
  <c r="P6" i="16" s="1" a="1"/>
  <c r="P6" i="16" s="1"/>
  <c r="P26" i="16" s="1"/>
  <c r="D686" i="44" a="1"/>
  <c r="D686" i="44" s="1"/>
  <c r="P5" i="18" s="1" a="1"/>
  <c r="P5" i="18" s="1"/>
  <c r="J659" i="44" a="1"/>
  <c r="J659" i="44" s="1"/>
  <c r="M4" i="21" s="1" a="1"/>
  <c r="M4" i="21" s="1"/>
  <c r="K717" i="44"/>
  <c r="W7" i="22" s="1" a="1"/>
  <c r="W7" i="22" s="1"/>
  <c r="N611" i="44" a="1"/>
  <c r="N611" i="44" s="1"/>
  <c r="M2" i="25" s="1" a="1"/>
  <c r="M2" i="25" s="1"/>
  <c r="M22" i="25" s="1"/>
  <c r="H619" i="44" a="1"/>
  <c r="H619" i="44" s="1"/>
  <c r="U2" i="16" s="1" a="1"/>
  <c r="U2" i="16" s="1"/>
  <c r="U22" i="16" s="1"/>
  <c r="S605" i="44" a="1"/>
  <c r="S605" i="44" s="1"/>
  <c r="G2" i="30" s="1" a="1"/>
  <c r="G2" i="30" s="1"/>
  <c r="R652" i="44" a="1"/>
  <c r="R652" i="44" s="1"/>
  <c r="F4" i="29" s="1" a="1"/>
  <c r="F4" i="29" s="1"/>
  <c r="E648" i="44" a="1"/>
  <c r="E648" i="44" s="1"/>
  <c r="B4" i="17" s="1" a="1"/>
  <c r="B4" i="17" s="1"/>
  <c r="P643" i="44" a="1"/>
  <c r="P643" i="44" s="1"/>
  <c r="U3" i="11" s="1" a="1"/>
  <c r="U3" i="11" s="1"/>
  <c r="V615" i="44" a="1"/>
  <c r="V615" i="44" s="1"/>
  <c r="Q2" i="10" s="1" a="1"/>
  <c r="Q2" i="10" s="1"/>
  <c r="T730" i="44"/>
  <c r="L6" i="31" s="1" a="1"/>
  <c r="L6" i="31" s="1"/>
  <c r="K712" i="44"/>
  <c r="R7" i="22" s="1" a="1"/>
  <c r="R7" i="22" s="1"/>
  <c r="D729" i="44"/>
  <c r="K6" i="18" s="1" a="1"/>
  <c r="K6" i="18" s="1"/>
  <c r="J673" i="44" a="1"/>
  <c r="J673" i="44" s="1"/>
  <c r="C5" i="21" s="1" a="1"/>
  <c r="C5" i="21" s="1"/>
  <c r="N637" i="44" a="1"/>
  <c r="N637" i="44" s="1"/>
  <c r="O3" i="25" s="1" a="1"/>
  <c r="O3" i="25" s="1"/>
  <c r="O23" i="25" s="1"/>
  <c r="N635" i="44" a="1"/>
  <c r="N635" i="44" s="1"/>
  <c r="M3" i="25" s="1" a="1"/>
  <c r="M3" i="25" s="1"/>
  <c r="M23" i="25" s="1"/>
  <c r="N667" i="44" a="1"/>
  <c r="N667" i="44" s="1"/>
  <c r="U4" i="25" s="1" a="1"/>
  <c r="U4" i="25" s="1"/>
  <c r="U24" i="25" s="1"/>
  <c r="Q659" i="44" a="1"/>
  <c r="Q659" i="44" s="1"/>
  <c r="M4" i="28" s="1" a="1"/>
  <c r="M4" i="28" s="1"/>
  <c r="E710" i="44"/>
  <c r="P7" i="17" s="1" a="1"/>
  <c r="P7" i="17" s="1"/>
  <c r="J629" i="44" a="1"/>
  <c r="J629" i="44" s="1"/>
  <c r="G3" i="21" s="1" a="1"/>
  <c r="G3" i="21" s="1"/>
  <c r="J630" i="44" a="1"/>
  <c r="J630" i="44" s="1"/>
  <c r="H3" i="21" s="1" a="1"/>
  <c r="H3" i="21" s="1"/>
  <c r="J606" i="44" a="1"/>
  <c r="J606" i="44" s="1"/>
  <c r="H2" i="21" s="1" a="1"/>
  <c r="H2" i="21" s="1"/>
  <c r="J623" i="44" a="1"/>
  <c r="J623" i="44" s="1"/>
  <c r="Y2" i="21" s="1" a="1"/>
  <c r="Y2" i="21" s="1"/>
  <c r="D689" i="44" a="1"/>
  <c r="D689" i="44" s="1"/>
  <c r="S5" i="18" s="1" a="1"/>
  <c r="S5" i="18" s="1"/>
  <c r="U697" i="44"/>
  <c r="H661" i="44" a="1"/>
  <c r="H661" i="44" s="1"/>
  <c r="O4" i="16" s="1" a="1"/>
  <c r="O4" i="16" s="1"/>
  <c r="O24" i="16" s="1"/>
  <c r="V742" i="44"/>
  <c r="X6" i="10" s="1" a="1"/>
  <c r="X6" i="10" s="1"/>
  <c r="S623" i="44" a="1"/>
  <c r="S623" i="44" s="1"/>
  <c r="Y2" i="30" s="1" a="1"/>
  <c r="Y2" i="30" s="1"/>
  <c r="E602" i="44" a="1"/>
  <c r="E602" i="44" s="1"/>
  <c r="D2" i="17" s="1" a="1"/>
  <c r="D2" i="17" s="1"/>
  <c r="T603" i="44" a="1"/>
  <c r="T603" i="44" s="1"/>
  <c r="E2" i="31" s="1" a="1"/>
  <c r="E2" i="31" s="1"/>
  <c r="K634" i="44" a="1"/>
  <c r="K634" i="44" s="1"/>
  <c r="L3" i="22" s="1" a="1"/>
  <c r="L3" i="22" s="1"/>
  <c r="T651" i="44" a="1"/>
  <c r="T651" i="44" s="1"/>
  <c r="E4" i="31" s="1" a="1"/>
  <c r="E4" i="31" s="1"/>
  <c r="V609" i="44" a="1"/>
  <c r="V609" i="44" s="1"/>
  <c r="K2" i="10" s="1" a="1"/>
  <c r="K2" i="10" s="1"/>
  <c r="K665" i="44" a="1"/>
  <c r="K665" i="44" s="1"/>
  <c r="S4" i="22" s="1" a="1"/>
  <c r="S4" i="22" s="1"/>
  <c r="K701" i="44"/>
  <c r="G7" i="22" s="1" a="1"/>
  <c r="G7" i="22" s="1"/>
  <c r="T686" i="44" a="1"/>
  <c r="T686" i="44" s="1"/>
  <c r="P5" i="31" s="1" a="1"/>
  <c r="P5" i="31" s="1"/>
  <c r="V694" i="44" a="1"/>
  <c r="V694" i="44" s="1"/>
  <c r="X5" i="10" s="1" a="1"/>
  <c r="X5" i="10" s="1"/>
  <c r="Q616" i="44" a="1"/>
  <c r="Q616" i="44" s="1"/>
  <c r="R2" i="28" s="1" a="1"/>
  <c r="R2" i="28" s="1"/>
  <c r="Q688" i="44" a="1"/>
  <c r="Q688" i="44" s="1"/>
  <c r="R5" i="28" s="1" a="1"/>
  <c r="R5" i="28" s="1"/>
  <c r="Q635" i="44" a="1"/>
  <c r="Q635" i="44" s="1"/>
  <c r="M3" i="28" s="1" a="1"/>
  <c r="M3" i="28" s="1"/>
  <c r="H697" i="44"/>
  <c r="C7" i="16" s="1" a="1"/>
  <c r="C7" i="16" s="1"/>
  <c r="C27" i="16" s="1"/>
  <c r="N659" i="44" a="1"/>
  <c r="N659" i="44" s="1"/>
  <c r="M4" i="25" s="1" a="1"/>
  <c r="M4" i="25" s="1"/>
  <c r="M24" i="25" s="1"/>
  <c r="N663" i="44" a="1"/>
  <c r="N663" i="44" s="1"/>
  <c r="Q4" i="25" s="1" a="1"/>
  <c r="Q4" i="25" s="1"/>
  <c r="Q24" i="25" s="1"/>
  <c r="R635" i="44" a="1"/>
  <c r="R635" i="44" s="1"/>
  <c r="M3" i="29" s="1" a="1"/>
  <c r="M3" i="29" s="1"/>
  <c r="K702" i="44"/>
  <c r="H7" i="22" s="1" a="1"/>
  <c r="H7" i="22" s="1"/>
  <c r="G643" i="44" a="1"/>
  <c r="G643" i="44" s="1"/>
  <c r="U3" i="19" s="1" a="1"/>
  <c r="U3" i="19" s="1"/>
  <c r="N677" i="44" a="1"/>
  <c r="N677" i="44" s="1"/>
  <c r="G5" i="25" s="1" a="1"/>
  <c r="G5" i="25" s="1"/>
  <c r="G25" i="25" s="1"/>
  <c r="T687" i="44" a="1"/>
  <c r="T687" i="44" s="1"/>
  <c r="Q5" i="31" s="1" a="1"/>
  <c r="Q5" i="31" s="1"/>
  <c r="Q658" i="44" a="1"/>
  <c r="Q658" i="44" s="1"/>
  <c r="L4" i="28" s="1" a="1"/>
  <c r="L4" i="28" s="1"/>
  <c r="E711" i="44"/>
  <c r="Q7" i="17" s="1" a="1"/>
  <c r="Q7" i="17" s="1"/>
  <c r="E713" i="44"/>
  <c r="S7" i="17" s="1" a="1"/>
  <c r="S7" i="17" s="1"/>
  <c r="P628" i="44" a="1"/>
  <c r="P628" i="44" s="1"/>
  <c r="F3" i="11" s="1" a="1"/>
  <c r="F3" i="11" s="1"/>
  <c r="V618" i="44" a="1"/>
  <c r="V618" i="44" s="1"/>
  <c r="T2" i="10" s="1" a="1"/>
  <c r="T2" i="10" s="1"/>
  <c r="V709" i="44"/>
  <c r="O7" i="10" s="1" a="1"/>
  <c r="O7" i="10" s="1"/>
  <c r="V688" i="44" a="1"/>
  <c r="V688" i="44" s="1"/>
  <c r="R5" i="10" s="1" a="1"/>
  <c r="R5" i="10" s="1"/>
  <c r="J644" i="44" a="1"/>
  <c r="J644" i="44" s="1"/>
  <c r="V3" i="21" s="1" a="1"/>
  <c r="V3" i="21" s="1"/>
  <c r="N644" i="44" a="1"/>
  <c r="N644" i="44" s="1"/>
  <c r="V3" i="25" s="1" a="1"/>
  <c r="V3" i="25" s="1"/>
  <c r="V23" i="25" s="1"/>
  <c r="N640" i="44" a="1"/>
  <c r="N640" i="44" s="1"/>
  <c r="R3" i="25" s="1" a="1"/>
  <c r="R3" i="25" s="1"/>
  <c r="R23" i="25" s="1"/>
  <c r="S628" i="44" a="1"/>
  <c r="S628" i="44" s="1"/>
  <c r="F3" i="30" s="1" a="1"/>
  <c r="F3" i="30" s="1"/>
  <c r="S626" i="44" a="1"/>
  <c r="S626" i="44" s="1"/>
  <c r="D3" i="30" s="1" a="1"/>
  <c r="D3" i="30" s="1"/>
  <c r="J625" i="44" a="1"/>
  <c r="J625" i="44" s="1"/>
  <c r="C3" i="21" s="1" a="1"/>
  <c r="C3" i="21" s="1"/>
  <c r="J620" i="44" a="1"/>
  <c r="J620" i="44" s="1"/>
  <c r="V2" i="21" s="1" a="1"/>
  <c r="V2" i="21" s="1"/>
  <c r="H676" i="44" a="1"/>
  <c r="H676" i="44" s="1"/>
  <c r="F5" i="16" s="1" a="1"/>
  <c r="F5" i="16" s="1"/>
  <c r="F25" i="16" s="1"/>
  <c r="H726" i="44"/>
  <c r="H6" i="16" s="1" a="1"/>
  <c r="H6" i="16" s="1"/>
  <c r="H26" i="16" s="1"/>
  <c r="K642" i="44" a="1"/>
  <c r="K642" i="44" s="1"/>
  <c r="T3" i="22" s="1" a="1"/>
  <c r="T3" i="22" s="1"/>
  <c r="K677" i="44" a="1"/>
  <c r="K677" i="44" s="1"/>
  <c r="G5" i="22" s="1" a="1"/>
  <c r="G5" i="22" s="1"/>
  <c r="K700" i="44"/>
  <c r="F7" i="22" s="1" a="1"/>
  <c r="F7" i="22" s="1"/>
  <c r="V708" i="44"/>
  <c r="N7" i="10" s="1" a="1"/>
  <c r="N7" i="10" s="1"/>
  <c r="K652" i="44" a="1"/>
  <c r="K652" i="44" s="1"/>
  <c r="F4" i="22" s="1" a="1"/>
  <c r="F4" i="22" s="1"/>
  <c r="T693" i="44" a="1"/>
  <c r="T693" i="44" s="1"/>
  <c r="W5" i="31" s="1" a="1"/>
  <c r="W5" i="31" s="1"/>
  <c r="V629" i="44" a="1"/>
  <c r="V629" i="44" s="1"/>
  <c r="G3" i="10" s="1" a="1"/>
  <c r="G3" i="10" s="1"/>
  <c r="J688" i="44" a="1"/>
  <c r="J688" i="44" s="1"/>
  <c r="R5" i="21" s="1" a="1"/>
  <c r="R5" i="21" s="1"/>
  <c r="U661" i="44" a="1"/>
  <c r="U661" i="44" s="1"/>
  <c r="S666" i="44" a="1"/>
  <c r="S666" i="44" s="1"/>
  <c r="T4" i="30" s="1" a="1"/>
  <c r="T4" i="30" s="1"/>
  <c r="R710" i="44"/>
  <c r="P7" i="29" s="1" a="1"/>
  <c r="P7" i="29" s="1"/>
  <c r="R656" i="44" a="1"/>
  <c r="R656" i="44" s="1"/>
  <c r="J4" i="29" s="1" a="1"/>
  <c r="J4" i="29" s="1"/>
  <c r="R641" i="44" a="1"/>
  <c r="R641" i="44" s="1"/>
  <c r="S3" i="29" s="1" a="1"/>
  <c r="S3" i="29" s="1"/>
  <c r="Q638" i="44" a="1"/>
  <c r="Q638" i="44" s="1"/>
  <c r="P3" i="28" s="1" a="1"/>
  <c r="P3" i="28" s="1"/>
  <c r="H730" i="44"/>
  <c r="L6" i="16" s="1" a="1"/>
  <c r="L6" i="16" s="1"/>
  <c r="L26" i="16" s="1"/>
  <c r="E696" i="44"/>
  <c r="B7" i="17" s="1" a="1"/>
  <c r="B7" i="17" s="1"/>
  <c r="J668" i="44" a="1"/>
  <c r="J668" i="44" s="1"/>
  <c r="V4" i="21" s="1" a="1"/>
  <c r="V4" i="21" s="1"/>
  <c r="J650" i="44" a="1"/>
  <c r="J650" i="44" s="1"/>
  <c r="D4" i="21" s="1" a="1"/>
  <c r="D4" i="21" s="1"/>
  <c r="N686" i="44" a="1"/>
  <c r="N686" i="44" s="1"/>
  <c r="P5" i="25" s="1" a="1"/>
  <c r="P5" i="25" s="1"/>
  <c r="P25" i="25" s="1"/>
  <c r="J679" i="44" a="1"/>
  <c r="J679" i="44" s="1"/>
  <c r="I5" i="21" s="1" a="1"/>
  <c r="I5" i="21" s="1"/>
  <c r="D641" i="44" a="1"/>
  <c r="D641" i="44" s="1"/>
  <c r="S3" i="18" s="1" a="1"/>
  <c r="S3" i="18" s="1"/>
  <c r="N728" i="44"/>
  <c r="J6" i="25" s="1" a="1"/>
  <c r="J6" i="25" s="1"/>
  <c r="J26" i="25" s="1"/>
  <c r="H725" i="44"/>
  <c r="G6" i="16" s="1" a="1"/>
  <c r="G6" i="16" s="1"/>
  <c r="G26" i="16" s="1"/>
  <c r="J602" i="44" a="1"/>
  <c r="J602" i="44" s="1"/>
  <c r="D2" i="21" s="1" a="1"/>
  <c r="D2" i="21" s="1"/>
  <c r="T612" i="44" a="1"/>
  <c r="T612" i="44" s="1"/>
  <c r="N2" i="31" s="1" a="1"/>
  <c r="N2" i="31" s="1"/>
  <c r="Q671" i="44" a="1"/>
  <c r="Q671" i="44" s="1"/>
  <c r="Y4" i="28" s="1" a="1"/>
  <c r="Y4" i="28" s="1"/>
  <c r="V604" i="44" a="1"/>
  <c r="V604" i="44" s="1"/>
  <c r="F2" i="10" s="1" a="1"/>
  <c r="F2" i="10" s="1"/>
  <c r="K644" i="44" a="1"/>
  <c r="K644" i="44" s="1"/>
  <c r="V3" i="22" s="1" a="1"/>
  <c r="V3" i="22" s="1"/>
  <c r="V736" i="44"/>
  <c r="R6" i="10" s="1" a="1"/>
  <c r="R6" i="10" s="1"/>
  <c r="K708" i="44"/>
  <c r="N7" i="22" s="1" a="1"/>
  <c r="N7" i="22" s="1"/>
  <c r="T702" i="44"/>
  <c r="H7" i="31" s="1" a="1"/>
  <c r="H7" i="31" s="1"/>
  <c r="U656" i="44" a="1"/>
  <c r="U656" i="44" s="1"/>
  <c r="N690" i="44" a="1"/>
  <c r="N690" i="44" s="1"/>
  <c r="T5" i="25" s="1" a="1"/>
  <c r="T5" i="25" s="1"/>
  <c r="T25" i="25" s="1"/>
  <c r="S611" i="44" a="1"/>
  <c r="S611" i="44" s="1"/>
  <c r="M2" i="30" s="1" a="1"/>
  <c r="M2" i="30" s="1"/>
  <c r="N653" i="44" a="1"/>
  <c r="N653" i="44" s="1"/>
  <c r="G4" i="25" s="1" a="1"/>
  <c r="G4" i="25" s="1"/>
  <c r="G24" i="25" s="1"/>
  <c r="J717" i="44"/>
  <c r="W7" i="21" s="1" a="1"/>
  <c r="W7" i="21" s="1"/>
  <c r="N695" i="44" a="1"/>
  <c r="N695" i="44" s="1"/>
  <c r="Y5" i="25" s="1" a="1"/>
  <c r="Y5" i="25" s="1"/>
  <c r="Y25" i="25" s="1"/>
  <c r="U684" i="44" a="1"/>
  <c r="U684" i="44" s="1"/>
  <c r="D687" i="44" a="1"/>
  <c r="D687" i="44" s="1"/>
  <c r="Q5" i="18" s="1" a="1"/>
  <c r="Q5" i="18" s="1"/>
  <c r="P700" i="44"/>
  <c r="F7" i="11" s="1" a="1"/>
  <c r="F7" i="11" s="1"/>
  <c r="N676" i="44" a="1"/>
  <c r="N676" i="44" s="1"/>
  <c r="F5" i="25" s="1" a="1"/>
  <c r="F5" i="25" s="1"/>
  <c r="F25" i="25" s="1"/>
  <c r="D685" i="44" a="1"/>
  <c r="D685" i="44" s="1"/>
  <c r="O5" i="18" s="1" a="1"/>
  <c r="O5" i="18" s="1"/>
  <c r="N608" i="44" a="1"/>
  <c r="N608" i="44" s="1"/>
  <c r="J2" i="25" s="1" a="1"/>
  <c r="J2" i="25" s="1"/>
  <c r="J22" i="25" s="1"/>
  <c r="X688" i="44" a="1"/>
  <c r="X688" i="44" s="1"/>
  <c r="R5" i="34" s="1" a="1"/>
  <c r="R5" i="34" s="1"/>
  <c r="N622" i="44" a="1"/>
  <c r="N622" i="44" s="1"/>
  <c r="X2" i="25" s="1" a="1"/>
  <c r="X2" i="25" s="1"/>
  <c r="X22" i="25" s="1"/>
  <c r="E639" i="44" a="1"/>
  <c r="E639" i="44" s="1"/>
  <c r="Q3" i="17" s="1" a="1"/>
  <c r="Q3" i="17" s="1"/>
  <c r="E716" i="44"/>
  <c r="V7" i="17" s="1" a="1"/>
  <c r="V7" i="17" s="1"/>
  <c r="P699" i="44"/>
  <c r="E7" i="11" s="1" a="1"/>
  <c r="E7" i="11" s="1"/>
  <c r="V645" i="44" a="1"/>
  <c r="V645" i="44" s="1"/>
  <c r="W3" i="10" s="1" a="1"/>
  <c r="W3" i="10" s="1"/>
  <c r="J638" i="44" a="1"/>
  <c r="J638" i="44" s="1"/>
  <c r="P3" i="21" s="1" a="1"/>
  <c r="P3" i="21" s="1"/>
  <c r="G651" i="44" a="1"/>
  <c r="G651" i="44" s="1"/>
  <c r="E4" i="19" s="1" a="1"/>
  <c r="E4" i="19" s="1"/>
  <c r="U634" i="44" a="1"/>
  <c r="U634" i="44" s="1"/>
  <c r="S718" i="44"/>
  <c r="X7" i="30" s="1" a="1"/>
  <c r="X7" i="30" s="1"/>
  <c r="S672" i="44" a="1"/>
  <c r="S672" i="44" s="1"/>
  <c r="B5" i="30" s="1" a="1"/>
  <c r="B5" i="30" s="1"/>
  <c r="R657" i="44" a="1"/>
  <c r="R657" i="44" s="1"/>
  <c r="K4" i="29" s="1" a="1"/>
  <c r="K4" i="29" s="1"/>
  <c r="R711" i="44"/>
  <c r="Q7" i="29" s="1" a="1"/>
  <c r="Q7" i="29" s="1"/>
  <c r="R651" i="44" a="1"/>
  <c r="R651" i="44" s="1"/>
  <c r="E4" i="29" s="1" a="1"/>
  <c r="E4" i="29" s="1"/>
  <c r="N668" i="44" a="1"/>
  <c r="N668" i="44" s="1"/>
  <c r="V4" i="25" s="1" a="1"/>
  <c r="V4" i="25" s="1"/>
  <c r="V24" i="25" s="1"/>
  <c r="H724" i="44"/>
  <c r="F6" i="16" s="1" a="1"/>
  <c r="F6" i="16" s="1"/>
  <c r="F26" i="16" s="1"/>
  <c r="H694" i="44" a="1"/>
  <c r="H694" i="44" s="1"/>
  <c r="X5" i="16" s="1" a="1"/>
  <c r="X5" i="16" s="1"/>
  <c r="X25" i="16" s="1"/>
  <c r="N675" i="44" a="1"/>
  <c r="N675" i="44" s="1"/>
  <c r="E5" i="25" s="1" a="1"/>
  <c r="E5" i="25" s="1"/>
  <c r="E25" i="25" s="1"/>
  <c r="D642" i="44" a="1"/>
  <c r="D642" i="44" s="1"/>
  <c r="T3" i="18" s="1" a="1"/>
  <c r="T3" i="18" s="1"/>
  <c r="H649" i="44" a="1"/>
  <c r="H649" i="44" s="1"/>
  <c r="C4" i="16" s="1" a="1"/>
  <c r="C4" i="16" s="1"/>
  <c r="C24" i="16" s="1"/>
  <c r="N628" i="44" a="1"/>
  <c r="N628" i="44" s="1"/>
  <c r="F3" i="25" s="1" a="1"/>
  <c r="F3" i="25" s="1"/>
  <c r="F23" i="25" s="1"/>
  <c r="S708" i="44"/>
  <c r="N7" i="30" s="1" a="1"/>
  <c r="N7" i="30" s="1"/>
  <c r="G621" i="44" a="1"/>
  <c r="G621" i="44" s="1"/>
  <c r="W2" i="19" s="1" a="1"/>
  <c r="W2" i="19" s="1"/>
  <c r="V649" i="44" a="1"/>
  <c r="V649" i="44" s="1"/>
  <c r="C4" i="10" s="1" a="1"/>
  <c r="C4" i="10" s="1"/>
  <c r="E692" i="44" a="1"/>
  <c r="E692" i="44" s="1"/>
  <c r="V5" i="17" s="1" a="1"/>
  <c r="V5" i="17" s="1"/>
  <c r="P705" i="44"/>
  <c r="K7" i="11" s="1" a="1"/>
  <c r="K7" i="11" s="1"/>
  <c r="K663" i="44" a="1"/>
  <c r="K663" i="44" s="1"/>
  <c r="Q4" i="22" s="1" a="1"/>
  <c r="Q4" i="22" s="1"/>
  <c r="K687" i="44" a="1"/>
  <c r="K687" i="44" s="1"/>
  <c r="Q5" i="22" s="1" a="1"/>
  <c r="Q5" i="22" s="1"/>
  <c r="U718" i="44"/>
  <c r="G716" i="44"/>
  <c r="V7" i="19" s="1" a="1"/>
  <c r="V7" i="19" s="1"/>
  <c r="G602" i="44" a="1"/>
  <c r="G602" i="44" s="1"/>
  <c r="D2" i="19" s="1" a="1"/>
  <c r="D2" i="19" s="1"/>
  <c r="G690" i="44" a="1"/>
  <c r="G690" i="44" s="1"/>
  <c r="T5" i="19" s="1" a="1"/>
  <c r="T5" i="19" s="1"/>
  <c r="U653" i="44" a="1"/>
  <c r="U653" i="44" s="1"/>
  <c r="R672" i="44" a="1"/>
  <c r="R672" i="44" s="1"/>
  <c r="B5" i="29" s="1" a="1"/>
  <c r="B5" i="29" s="1"/>
  <c r="Q631" i="44" a="1"/>
  <c r="Q631" i="44" s="1"/>
  <c r="I3" i="28" s="1" a="1"/>
  <c r="I3" i="28" s="1"/>
  <c r="Q703" i="44"/>
  <c r="I7" i="28" s="1" a="1"/>
  <c r="I7" i="28" s="1"/>
  <c r="J646" i="44" a="1"/>
  <c r="J646" i="44" s="1"/>
  <c r="X3" i="21" s="1" a="1"/>
  <c r="X3" i="21" s="1"/>
  <c r="J674" i="44" a="1"/>
  <c r="J674" i="44" s="1"/>
  <c r="D5" i="21" s="1" a="1"/>
  <c r="D5" i="21" s="1"/>
  <c r="V686" i="44" a="1"/>
  <c r="V686" i="44" s="1"/>
  <c r="P5" i="10" s="1" a="1"/>
  <c r="P5" i="10" s="1"/>
  <c r="P621" i="44" a="1"/>
  <c r="P621" i="44" s="1"/>
  <c r="W2" i="11" s="1" a="1"/>
  <c r="W2" i="11" s="1"/>
  <c r="K626" i="44" a="1"/>
  <c r="K626" i="44" s="1"/>
  <c r="D3" i="22" s="1" a="1"/>
  <c r="D3" i="22" s="1"/>
  <c r="J701" i="44"/>
  <c r="G7" i="21" s="1" a="1"/>
  <c r="G7" i="21" s="1"/>
  <c r="Q621" i="44" a="1"/>
  <c r="Q621" i="44" s="1"/>
  <c r="W2" i="28" s="1" a="1"/>
  <c r="W2" i="28" s="1"/>
  <c r="K619" i="44" a="1"/>
  <c r="K619" i="44" s="1"/>
  <c r="U2" i="22" s="1" a="1"/>
  <c r="U2" i="22" s="1"/>
  <c r="D610" i="44" a="1"/>
  <c r="D610" i="44" s="1"/>
  <c r="L2" i="18" s="1" a="1"/>
  <c r="L2" i="18" s="1"/>
  <c r="V656" i="44" a="1"/>
  <c r="V656" i="44" s="1"/>
  <c r="J4" i="10" s="1" a="1"/>
  <c r="J4" i="10" s="1"/>
  <c r="V621" i="44" a="1"/>
  <c r="V621" i="44" s="1"/>
  <c r="W2" i="10" s="1" a="1"/>
  <c r="W2" i="10" s="1"/>
  <c r="D656" i="44" a="1"/>
  <c r="D656" i="44" s="1"/>
  <c r="J4" i="18" s="1" a="1"/>
  <c r="J4" i="18" s="1"/>
  <c r="N656" i="44" a="1"/>
  <c r="N656" i="44" s="1"/>
  <c r="J4" i="25" s="1" a="1"/>
  <c r="J4" i="25" s="1"/>
  <c r="J24" i="25" s="1"/>
  <c r="S607" i="44" a="1"/>
  <c r="S607" i="44" s="1"/>
  <c r="I2" i="30" s="1" a="1"/>
  <c r="I2" i="30" s="1"/>
  <c r="P601" i="44" a="1"/>
  <c r="P601" i="44" s="1"/>
  <c r="C2" i="11" s="1" a="1"/>
  <c r="C2" i="11" s="1"/>
  <c r="P691" i="44" a="1"/>
  <c r="P691" i="44" s="1"/>
  <c r="U5" i="11" s="1" a="1"/>
  <c r="U5" i="11" s="1"/>
  <c r="P678" i="44" a="1"/>
  <c r="P678" i="44" s="1"/>
  <c r="H5" i="11" s="1" a="1"/>
  <c r="H5" i="11" s="1"/>
  <c r="G617" i="44" a="1"/>
  <c r="G617" i="44" s="1"/>
  <c r="S2" i="19" s="1" a="1"/>
  <c r="S2" i="19" s="1"/>
  <c r="G629" i="44" a="1"/>
  <c r="G629" i="44" s="1"/>
  <c r="G3" i="19" s="1" a="1"/>
  <c r="G3" i="19" s="1"/>
  <c r="Q718" i="44"/>
  <c r="X7" i="28" s="1" a="1"/>
  <c r="X7" i="28" s="1"/>
  <c r="Q682" i="44" a="1"/>
  <c r="Q682" i="44" s="1"/>
  <c r="L5" i="28" s="1" a="1"/>
  <c r="L5" i="28" s="1"/>
  <c r="J681" i="44" a="1"/>
  <c r="J681" i="44" s="1"/>
  <c r="K5" i="21" s="1" a="1"/>
  <c r="K5" i="21" s="1"/>
  <c r="D666" i="44" a="1"/>
  <c r="D666" i="44" s="1"/>
  <c r="T4" i="18" s="1" a="1"/>
  <c r="T4" i="18" s="1"/>
  <c r="H614" i="44" a="1"/>
  <c r="H614" i="44" s="1"/>
  <c r="P2" i="16" s="1" a="1"/>
  <c r="P2" i="16" s="1"/>
  <c r="P22" i="16" s="1"/>
  <c r="E627" i="44" a="1"/>
  <c r="E627" i="44" s="1"/>
  <c r="E3" i="17" s="1" a="1"/>
  <c r="E3" i="17" s="1"/>
  <c r="X669" i="44" a="1"/>
  <c r="X669" i="44" s="1"/>
  <c r="W4" i="34" s="1" a="1"/>
  <c r="W4" i="34" s="1"/>
  <c r="V690" i="44" a="1"/>
  <c r="V690" i="44" s="1"/>
  <c r="T5" i="10" s="1" a="1"/>
  <c r="T5" i="10" s="1"/>
  <c r="R670" i="44" a="1"/>
  <c r="R670" i="44" s="1"/>
  <c r="X4" i="29" s="1" a="1"/>
  <c r="X4" i="29" s="1"/>
  <c r="P719" i="44"/>
  <c r="Y7" i="11" s="1" a="1"/>
  <c r="Y7" i="11" s="1"/>
  <c r="P715" i="44"/>
  <c r="U7" i="11" s="1" a="1"/>
  <c r="U7" i="11" s="1"/>
  <c r="P741" i="44"/>
  <c r="W6" i="11" s="1" a="1"/>
  <c r="W6" i="11" s="1"/>
  <c r="J680" i="44" a="1"/>
  <c r="J680" i="44" s="1"/>
  <c r="J5" i="21" s="1" a="1"/>
  <c r="J5" i="21" s="1"/>
  <c r="J689" i="44" a="1"/>
  <c r="J689" i="44" s="1"/>
  <c r="S5" i="21" s="1" a="1"/>
  <c r="S5" i="21" s="1"/>
  <c r="U727" i="44"/>
  <c r="G664" i="44" a="1"/>
  <c r="G664" i="44" s="1"/>
  <c r="R4" i="19" s="1" a="1"/>
  <c r="R4" i="19" s="1"/>
  <c r="U659" i="44" a="1"/>
  <c r="U659" i="44" s="1"/>
  <c r="N664" i="44" a="1"/>
  <c r="N664" i="44" s="1"/>
  <c r="R4" i="25" s="1" a="1"/>
  <c r="R4" i="25" s="1"/>
  <c r="R24" i="25" s="1"/>
  <c r="S710" i="44"/>
  <c r="P7" i="30" s="1" a="1"/>
  <c r="P7" i="30" s="1"/>
  <c r="R673" i="44" a="1"/>
  <c r="R673" i="44" s="1"/>
  <c r="C5" i="29" s="1" a="1"/>
  <c r="C5" i="29" s="1"/>
  <c r="R623" i="44" a="1"/>
  <c r="R623" i="44" s="1"/>
  <c r="Y2" i="29" s="1" a="1"/>
  <c r="Y2" i="29" s="1"/>
  <c r="R705" i="44"/>
  <c r="K7" i="29" s="1" a="1"/>
  <c r="K7" i="29" s="1"/>
  <c r="Q613" i="44" a="1"/>
  <c r="Q613" i="44" s="1"/>
  <c r="O2" i="28" s="1" a="1"/>
  <c r="O2" i="28" s="1"/>
  <c r="G611" i="44" a="1"/>
  <c r="G611" i="44" s="1"/>
  <c r="M2" i="19" s="1" a="1"/>
  <c r="M2" i="19" s="1"/>
  <c r="D650" i="44" a="1"/>
  <c r="D650" i="44" s="1"/>
  <c r="D4" i="18" s="1" a="1"/>
  <c r="D4" i="18" s="1"/>
  <c r="D618" i="44" a="1"/>
  <c r="D618" i="44" s="1"/>
  <c r="T2" i="18" s="1" a="1"/>
  <c r="T2" i="18" s="1"/>
  <c r="E680" i="44" a="1"/>
  <c r="E680" i="44" s="1"/>
  <c r="J5" i="17" s="1" a="1"/>
  <c r="J5" i="17" s="1"/>
  <c r="T625" i="44" a="1"/>
  <c r="T625" i="44" s="1"/>
  <c r="C3" i="31" s="1" a="1"/>
  <c r="C3" i="31" s="1"/>
  <c r="E624" i="44" a="1"/>
  <c r="E624" i="44" s="1"/>
  <c r="B3" i="17" s="1" a="1"/>
  <c r="B3" i="17" s="1"/>
  <c r="S624" i="44" a="1"/>
  <c r="S624" i="44" s="1"/>
  <c r="B3" i="30" s="1" a="1"/>
  <c r="B3" i="30" s="1"/>
  <c r="Q684" i="44" a="1"/>
  <c r="Q684" i="44" s="1"/>
  <c r="N5" i="28" s="1" a="1"/>
  <c r="N5" i="28" s="1"/>
  <c r="Q693" i="44" a="1"/>
  <c r="Q693" i="44" s="1"/>
  <c r="W5" i="28" s="1" a="1"/>
  <c r="W5" i="28" s="1"/>
  <c r="Q666" i="44" a="1"/>
  <c r="Q666" i="44" s="1"/>
  <c r="T4" i="28" s="1" a="1"/>
  <c r="T4" i="28" s="1"/>
  <c r="R609" i="44" a="1"/>
  <c r="R609" i="44" s="1"/>
  <c r="K2" i="29" s="1" a="1"/>
  <c r="K2" i="29" s="1"/>
  <c r="R614" i="44" a="1"/>
  <c r="R614" i="44" s="1"/>
  <c r="P2" i="29" s="1" a="1"/>
  <c r="P2" i="29" s="1"/>
  <c r="R618" i="44" a="1"/>
  <c r="R618" i="44" s="1"/>
  <c r="T2" i="29" s="1" a="1"/>
  <c r="T2" i="29" s="1"/>
  <c r="P604" i="44" a="1"/>
  <c r="P604" i="44" s="1"/>
  <c r="F2" i="11" s="1" a="1"/>
  <c r="F2" i="11" s="1"/>
  <c r="K671" i="44" a="1"/>
  <c r="K671" i="44" s="1"/>
  <c r="Y4" i="22" s="1" a="1"/>
  <c r="Y4" i="22" s="1"/>
  <c r="E717" i="44"/>
  <c r="W7" i="17" s="1" a="1"/>
  <c r="W7" i="17" s="1"/>
  <c r="P646" i="44" a="1"/>
  <c r="P646" i="44" s="1"/>
  <c r="X3" i="11" s="1" a="1"/>
  <c r="X3" i="11" s="1"/>
  <c r="T660" i="44" a="1"/>
  <c r="T660" i="44" s="1"/>
  <c r="N4" i="31" s="1" a="1"/>
  <c r="N4" i="31" s="1"/>
  <c r="V706" i="44"/>
  <c r="L7" i="10" s="1" a="1"/>
  <c r="L7" i="10" s="1"/>
  <c r="V678" i="44" a="1"/>
  <c r="V678" i="44" s="1"/>
  <c r="H5" i="10" s="1" a="1"/>
  <c r="H5" i="10" s="1"/>
  <c r="V643" i="44" a="1"/>
  <c r="V643" i="44" s="1"/>
  <c r="U3" i="10" s="1" a="1"/>
  <c r="U3" i="10" s="1"/>
  <c r="T659" i="44" a="1"/>
  <c r="T659" i="44" s="1"/>
  <c r="M4" i="31" s="1" a="1"/>
  <c r="M4" i="31" s="1"/>
  <c r="T688" i="44" a="1"/>
  <c r="T688" i="44" s="1"/>
  <c r="R5" i="31" s="1" a="1"/>
  <c r="R5" i="31" s="1"/>
  <c r="T666" i="44" a="1"/>
  <c r="T666" i="44" s="1"/>
  <c r="T4" i="31" s="1" a="1"/>
  <c r="T4" i="31" s="1"/>
  <c r="N715" i="44"/>
  <c r="U7" i="25" s="1" a="1"/>
  <c r="U7" i="25" s="1"/>
  <c r="U27" i="25" s="1"/>
  <c r="J733" i="44"/>
  <c r="O6" i="21" s="1" a="1"/>
  <c r="O6" i="21" s="1"/>
  <c r="G645" i="44" a="1"/>
  <c r="G645" i="44" s="1"/>
  <c r="W3" i="19" s="1" a="1"/>
  <c r="W3" i="19" s="1"/>
  <c r="H654" i="44" a="1"/>
  <c r="H654" i="44" s="1"/>
  <c r="H4" i="16" s="1" a="1"/>
  <c r="H4" i="16" s="1"/>
  <c r="H24" i="16" s="1"/>
  <c r="S644" i="44" a="1"/>
  <c r="S644" i="44" s="1"/>
  <c r="V3" i="30" s="1" a="1"/>
  <c r="V3" i="30" s="1"/>
  <c r="S634" i="44" a="1"/>
  <c r="S634" i="44" s="1"/>
  <c r="L3" i="30" s="1" a="1"/>
  <c r="L3" i="30" s="1"/>
  <c r="R658" i="44" a="1"/>
  <c r="R658" i="44" s="1"/>
  <c r="L4" i="29" s="1" a="1"/>
  <c r="L4" i="29" s="1"/>
  <c r="H729" i="44"/>
  <c r="K6" i="16" s="1" a="1"/>
  <c r="K6" i="16" s="1"/>
  <c r="K26" i="16" s="1"/>
  <c r="Q679" i="44" a="1"/>
  <c r="Q679" i="44" s="1"/>
  <c r="I5" i="28" s="1" a="1"/>
  <c r="I5" i="28" s="1"/>
  <c r="Q643" i="44" a="1"/>
  <c r="Q643" i="44" s="1"/>
  <c r="U3" i="28" s="1" a="1"/>
  <c r="U3" i="28" s="1"/>
  <c r="J684" i="44" a="1"/>
  <c r="J684" i="44" s="1"/>
  <c r="N5" i="21" s="1" a="1"/>
  <c r="N5" i="21" s="1"/>
  <c r="J714" i="44"/>
  <c r="T7" i="21" s="1" a="1"/>
  <c r="T7" i="21" s="1"/>
  <c r="G658" i="44" a="1"/>
  <c r="G658" i="44" s="1"/>
  <c r="L4" i="19" s="1" a="1"/>
  <c r="L4" i="19" s="1"/>
  <c r="N614" i="44" a="1"/>
  <c r="N614" i="44" s="1"/>
  <c r="P2" i="25" s="1" a="1"/>
  <c r="P2" i="25" s="1"/>
  <c r="P22" i="25" s="1"/>
  <c r="J707" i="44"/>
  <c r="M7" i="21" s="1" a="1"/>
  <c r="M7" i="21" s="1"/>
  <c r="K659" i="44" a="1"/>
  <c r="K659" i="44" s="1"/>
  <c r="M4" i="22" s="1" a="1"/>
  <c r="M4" i="22" s="1"/>
  <c r="N672" i="44" a="1"/>
  <c r="N672" i="44" s="1"/>
  <c r="B5" i="25" s="1" a="1"/>
  <c r="B5" i="25" s="1"/>
  <c r="B25" i="25" s="1"/>
  <c r="N666" i="44" a="1"/>
  <c r="N666" i="44" s="1"/>
  <c r="T4" i="25" s="1" a="1"/>
  <c r="T4" i="25" s="1"/>
  <c r="T24" i="25" s="1"/>
  <c r="D725" i="44"/>
  <c r="G6" i="18" s="1" a="1"/>
  <c r="G6" i="18" s="1"/>
  <c r="J607" i="44" a="1"/>
  <c r="J607" i="44" s="1"/>
  <c r="I2" i="21" s="1" a="1"/>
  <c r="I2" i="21" s="1"/>
  <c r="S614" i="44" a="1"/>
  <c r="S614" i="44" s="1"/>
  <c r="P2" i="30" s="1" a="1"/>
  <c r="P2" i="30" s="1"/>
  <c r="D652" i="44" a="1"/>
  <c r="D652" i="44" s="1"/>
  <c r="F4" i="18" s="1" a="1"/>
  <c r="F4" i="18" s="1"/>
  <c r="J601" i="44" a="1"/>
  <c r="J601" i="44" s="1"/>
  <c r="C2" i="21" s="1" a="1"/>
  <c r="C2" i="21" s="1"/>
  <c r="H613" i="44" a="1"/>
  <c r="H613" i="44" s="1"/>
  <c r="O2" i="16" s="1" a="1"/>
  <c r="O2" i="16" s="1"/>
  <c r="O22" i="16" s="1"/>
  <c r="P686" i="44" a="1"/>
  <c r="P686" i="44" s="1"/>
  <c r="P5" i="11" s="1" a="1"/>
  <c r="P5" i="11" s="1"/>
  <c r="J648" i="44" a="1"/>
  <c r="J648" i="44" s="1"/>
  <c r="B4" i="21" s="1" a="1"/>
  <c r="B4" i="21" s="1"/>
  <c r="J739" i="44"/>
  <c r="U6" i="21" s="1" a="1"/>
  <c r="U6" i="21" s="1"/>
  <c r="E674" i="44" a="1"/>
  <c r="E674" i="44" s="1"/>
  <c r="D5" i="17" s="1" a="1"/>
  <c r="D5" i="17" s="1"/>
  <c r="H700" i="44"/>
  <c r="F7" i="16" s="1" a="1"/>
  <c r="F7" i="16" s="1"/>
  <c r="F27" i="16" s="1"/>
  <c r="J727" i="44"/>
  <c r="I6" i="21" s="1" a="1"/>
  <c r="I6" i="21" s="1"/>
  <c r="H623" i="44" a="1"/>
  <c r="H623" i="44" s="1"/>
  <c r="Y2" i="16" s="1" a="1"/>
  <c r="Y2" i="16" s="1"/>
  <c r="Y22" i="16" s="1"/>
  <c r="H668" i="44" a="1"/>
  <c r="H668" i="44" s="1"/>
  <c r="V4" i="16" s="1" a="1"/>
  <c r="V4" i="16" s="1"/>
  <c r="V24" i="16" s="1"/>
  <c r="J730" i="44"/>
  <c r="L6" i="21" s="1" a="1"/>
  <c r="L6" i="21" s="1"/>
  <c r="H641" i="44" a="1"/>
  <c r="H641" i="44" s="1"/>
  <c r="S3" i="16" s="1" a="1"/>
  <c r="S3" i="16" s="1"/>
  <c r="S23" i="16" s="1"/>
  <c r="P609" i="44" a="1"/>
  <c r="P609" i="44" s="1"/>
  <c r="K2" i="11" s="1" a="1"/>
  <c r="K2" i="11" s="1"/>
  <c r="V614" i="44" a="1"/>
  <c r="V614" i="44" s="1"/>
  <c r="P2" i="10" s="1" a="1"/>
  <c r="P2" i="10" s="1"/>
  <c r="J610" i="44" a="1"/>
  <c r="J610" i="44" s="1"/>
  <c r="L2" i="21" s="1" a="1"/>
  <c r="L2" i="21" s="1"/>
  <c r="R615" i="44" a="1"/>
  <c r="R615" i="44" s="1"/>
  <c r="Q2" i="29" s="1" a="1"/>
  <c r="Q2" i="29" s="1"/>
  <c r="T604" i="44" a="1"/>
  <c r="T604" i="44" s="1"/>
  <c r="F2" i="31" s="1" a="1"/>
  <c r="F2" i="31" s="1"/>
  <c r="P735" i="44"/>
  <c r="Q6" i="11" s="1" a="1"/>
  <c r="Q6" i="11" s="1"/>
  <c r="N655" i="44" a="1"/>
  <c r="N655" i="44" s="1"/>
  <c r="I4" i="25" s="1" a="1"/>
  <c r="I4" i="25" s="1"/>
  <c r="I24" i="25" s="1"/>
  <c r="J626" i="44" a="1"/>
  <c r="J626" i="44" s="1"/>
  <c r="D3" i="21" s="1" a="1"/>
  <c r="D3" i="21" s="1"/>
  <c r="U722" i="44"/>
  <c r="U635" i="44" a="1"/>
  <c r="U635" i="44" s="1"/>
  <c r="U686" i="44" a="1"/>
  <c r="U686" i="44" s="1"/>
  <c r="P649" i="44" a="1"/>
  <c r="P649" i="44" s="1"/>
  <c r="C4" i="11" s="1" a="1"/>
  <c r="C4" i="11" s="1"/>
  <c r="P689" i="44" a="1"/>
  <c r="P689" i="44" s="1"/>
  <c r="S5" i="11" s="1" a="1"/>
  <c r="S5" i="11" s="1"/>
  <c r="S709" i="44"/>
  <c r="O7" i="30" s="1" a="1"/>
  <c r="O7" i="30" s="1"/>
  <c r="S645" i="44" a="1"/>
  <c r="S645" i="44" s="1"/>
  <c r="W3" i="30" s="1" a="1"/>
  <c r="W3" i="30" s="1"/>
  <c r="R702" i="44"/>
  <c r="H7" i="29" s="1" a="1"/>
  <c r="H7" i="29" s="1"/>
  <c r="Q662" i="44" a="1"/>
  <c r="Q662" i="44" s="1"/>
  <c r="P4" i="28" s="1" a="1"/>
  <c r="P4" i="28" s="1"/>
  <c r="H630" i="44" a="1"/>
  <c r="H630" i="44" s="1"/>
  <c r="H3" i="16" s="1" a="1"/>
  <c r="H3" i="16" s="1"/>
  <c r="H23" i="16" s="1"/>
  <c r="N639" i="44" a="1"/>
  <c r="N639" i="44" s="1"/>
  <c r="Q3" i="25" s="1" a="1"/>
  <c r="Q3" i="25" s="1"/>
  <c r="Q23" i="25" s="1"/>
  <c r="J698" i="44"/>
  <c r="D7" i="21" s="1" a="1"/>
  <c r="D7" i="21" s="1"/>
  <c r="N712" i="44"/>
  <c r="R7" i="25" s="1" a="1"/>
  <c r="R7" i="25" s="1"/>
  <c r="R27" i="25" s="1"/>
  <c r="J713" i="44"/>
  <c r="S7" i="21" s="1" a="1"/>
  <c r="S7" i="21" s="1"/>
  <c r="K620" i="44" a="1"/>
  <c r="K620" i="44" s="1"/>
  <c r="V2" i="22" s="1" a="1"/>
  <c r="V2" i="22" s="1"/>
  <c r="U731" i="44"/>
  <c r="R701" i="44"/>
  <c r="G7" i="29" s="1" a="1"/>
  <c r="G7" i="29" s="1"/>
  <c r="H632" i="44" a="1"/>
  <c r="H632" i="44" s="1"/>
  <c r="J3" i="16" s="1" a="1"/>
  <c r="J3" i="16" s="1"/>
  <c r="J23" i="16" s="1"/>
  <c r="S691" i="44" a="1"/>
  <c r="S691" i="44" s="1"/>
  <c r="U5" i="30" s="1" a="1"/>
  <c r="U5" i="30" s="1"/>
  <c r="H714" i="44"/>
  <c r="T7" i="16" s="1" a="1"/>
  <c r="T7" i="16" s="1"/>
  <c r="T27" i="16" s="1"/>
  <c r="J716" i="44"/>
  <c r="V7" i="21" s="1" a="1"/>
  <c r="V7" i="21" s="1"/>
  <c r="E607" i="44" a="1"/>
  <c r="E607" i="44" s="1"/>
  <c r="I2" i="17" s="1" a="1"/>
  <c r="I2" i="17" s="1"/>
  <c r="J613" i="44" a="1"/>
  <c r="J613" i="44" s="1"/>
  <c r="O2" i="21" s="1" a="1"/>
  <c r="O2" i="21" s="1"/>
  <c r="E736" i="44"/>
  <c r="R6" i="17" s="1" a="1"/>
  <c r="R6" i="17" s="1"/>
  <c r="E658" i="44" a="1"/>
  <c r="E658" i="44" s="1"/>
  <c r="L4" i="17" s="1" a="1"/>
  <c r="L4" i="17" s="1"/>
  <c r="E644" i="44" a="1"/>
  <c r="E644" i="44" s="1"/>
  <c r="V3" i="17" s="1" a="1"/>
  <c r="V3" i="17" s="1"/>
  <c r="J737" i="44"/>
  <c r="S6" i="21" s="1" a="1"/>
  <c r="S6" i="21" s="1"/>
  <c r="G692" i="44" a="1"/>
  <c r="G692" i="44" s="1"/>
  <c r="V5" i="19" s="1" a="1"/>
  <c r="V5" i="19" s="1"/>
  <c r="G635" i="44" a="1"/>
  <c r="G635" i="44" s="1"/>
  <c r="M3" i="19" s="1" a="1"/>
  <c r="M3" i="19" s="1"/>
  <c r="U629" i="44" a="1"/>
  <c r="U629" i="44" s="1"/>
  <c r="U633" i="44" a="1"/>
  <c r="U633" i="44" s="1"/>
  <c r="U641" i="44" a="1"/>
  <c r="U641" i="44" s="1"/>
  <c r="U610" i="44" a="1"/>
  <c r="U610" i="44" s="1"/>
  <c r="P645" i="44" a="1"/>
  <c r="P645" i="44" s="1"/>
  <c r="W3" i="11" s="1" a="1"/>
  <c r="W3" i="11" s="1"/>
  <c r="Q726" i="44"/>
  <c r="H6" i="28" s="1" a="1"/>
  <c r="H6" i="28" s="1"/>
  <c r="S646" i="44" a="1"/>
  <c r="S646" i="44" s="1"/>
  <c r="X3" i="30" s="1" a="1"/>
  <c r="X3" i="30" s="1"/>
  <c r="S609" i="44" a="1"/>
  <c r="S609" i="44" s="1"/>
  <c r="K2" i="30" s="1" a="1"/>
  <c r="K2" i="30" s="1"/>
  <c r="R729" i="44"/>
  <c r="K6" i="29" s="1" a="1"/>
  <c r="K6" i="29" s="1"/>
  <c r="R622" i="44" a="1"/>
  <c r="R622" i="44" s="1"/>
  <c r="X2" i="29" s="1" a="1"/>
  <c r="X2" i="29" s="1"/>
  <c r="Q712" i="44"/>
  <c r="R7" i="28" s="1" a="1"/>
  <c r="R7" i="28" s="1"/>
  <c r="J740" i="44"/>
  <c r="V6" i="21" s="1" a="1"/>
  <c r="V6" i="21" s="1"/>
  <c r="N618" i="44" a="1"/>
  <c r="N618" i="44" s="1"/>
  <c r="T2" i="25" s="1" a="1"/>
  <c r="T2" i="25" s="1"/>
  <c r="T22" i="25" s="1"/>
  <c r="U672" i="44" a="1"/>
  <c r="U672" i="44" s="1"/>
  <c r="S724" i="44"/>
  <c r="F6" i="30" s="1" a="1"/>
  <c r="F6" i="30" s="1"/>
  <c r="S676" i="44" a="1"/>
  <c r="S676" i="44" s="1"/>
  <c r="F5" i="30" s="1" a="1"/>
  <c r="F5" i="30" s="1"/>
  <c r="R647" i="44" a="1"/>
  <c r="R647" i="44" s="1"/>
  <c r="Y3" i="29" s="1" a="1"/>
  <c r="Y3" i="29" s="1"/>
  <c r="Q721" i="44"/>
  <c r="C6" i="28" s="1" a="1"/>
  <c r="C6" i="28" s="1"/>
  <c r="Q677" i="44" a="1"/>
  <c r="Q677" i="44" s="1"/>
  <c r="G5" i="28" s="1" a="1"/>
  <c r="G5" i="28" s="1"/>
  <c r="H626" i="44" a="1"/>
  <c r="H626" i="44" s="1"/>
  <c r="D3" i="16" s="1" a="1"/>
  <c r="D3" i="16" s="1"/>
  <c r="D23" i="16" s="1"/>
  <c r="J702" i="44"/>
  <c r="H7" i="21" s="1" a="1"/>
  <c r="H7" i="21" s="1"/>
  <c r="J656" i="44" a="1"/>
  <c r="J656" i="44" s="1"/>
  <c r="J4" i="21" s="1" a="1"/>
  <c r="J4" i="21" s="1"/>
  <c r="N671" i="44" a="1"/>
  <c r="N671" i="44" s="1"/>
  <c r="Y4" i="25" s="1" a="1"/>
  <c r="Y4" i="25" s="1"/>
  <c r="Y24" i="25" s="1"/>
  <c r="N700" i="44"/>
  <c r="F7" i="25" s="1" a="1"/>
  <c r="F7" i="25" s="1"/>
  <c r="F27" i="25" s="1"/>
  <c r="V672" i="44" a="1"/>
  <c r="V672" i="44" s="1"/>
  <c r="B5" i="10" s="1" a="1"/>
  <c r="B5" i="10" s="1"/>
  <c r="J687" i="44" a="1"/>
  <c r="J687" i="44" s="1"/>
  <c r="Q5" i="21" s="1" a="1"/>
  <c r="Q5" i="21" s="1"/>
  <c r="N691" i="44" a="1"/>
  <c r="N691" i="44" s="1"/>
  <c r="U5" i="25" s="1" a="1"/>
  <c r="U5" i="25" s="1"/>
  <c r="U25" i="25" s="1"/>
  <c r="Q715" i="44"/>
  <c r="U7" i="28" s="1" a="1"/>
  <c r="U7" i="28" s="1"/>
  <c r="V666" i="44" a="1"/>
  <c r="V666" i="44" s="1"/>
  <c r="T4" i="10" s="1" a="1"/>
  <c r="T4" i="10" s="1"/>
  <c r="H658" i="44" a="1"/>
  <c r="H658" i="44" s="1"/>
  <c r="L4" i="16" s="1" a="1"/>
  <c r="L4" i="16" s="1"/>
  <c r="L24" i="16" s="1"/>
  <c r="G637" i="44" a="1"/>
  <c r="G637" i="44" s="1"/>
  <c r="O3" i="19" s="1" a="1"/>
  <c r="O3" i="19" s="1"/>
  <c r="E620" i="44" a="1"/>
  <c r="E620" i="44" s="1"/>
  <c r="V2" i="17" s="1" a="1"/>
  <c r="V2" i="17" s="1"/>
  <c r="D719" i="44"/>
  <c r="Y7" i="18" s="1" a="1"/>
  <c r="Y7" i="18" s="1"/>
  <c r="P693" i="44" a="1"/>
  <c r="P693" i="44" s="1"/>
  <c r="W5" i="11" s="1" a="1"/>
  <c r="W5" i="11" s="1"/>
  <c r="G650" i="44" a="1"/>
  <c r="G650" i="44" s="1"/>
  <c r="D4" i="19" s="1" a="1"/>
  <c r="D4" i="19" s="1"/>
  <c r="U646" i="44" a="1"/>
  <c r="U646" i="44" s="1"/>
  <c r="P635" i="44" a="1"/>
  <c r="P635" i="44" s="1"/>
  <c r="M3" i="11" s="1" a="1"/>
  <c r="M3" i="11" s="1"/>
  <c r="N716" i="44"/>
  <c r="V7" i="25" s="1" a="1"/>
  <c r="V7" i="25" s="1"/>
  <c r="V27" i="25" s="1"/>
  <c r="N735" i="44"/>
  <c r="Q6" i="25" s="1" a="1"/>
  <c r="Q6" i="25" s="1"/>
  <c r="Q26" i="25" s="1"/>
  <c r="S648" i="44" a="1"/>
  <c r="S648" i="44" s="1"/>
  <c r="B4" i="30" s="1" a="1"/>
  <c r="B4" i="30" s="1"/>
  <c r="R675" i="44" a="1"/>
  <c r="R675" i="44" s="1"/>
  <c r="E5" i="29" s="1" a="1"/>
  <c r="E5" i="29" s="1"/>
  <c r="Q645" i="44" a="1"/>
  <c r="Q645" i="44" s="1"/>
  <c r="W3" i="28" s="1" a="1"/>
  <c r="W3" i="28" s="1"/>
  <c r="J628" i="44" a="1"/>
  <c r="J628" i="44" s="1"/>
  <c r="F3" i="21" s="1" a="1"/>
  <c r="F3" i="21" s="1"/>
  <c r="Q687" i="44" a="1"/>
  <c r="Q687" i="44" s="1"/>
  <c r="Q5" i="28" s="1" a="1"/>
  <c r="Q5" i="28" s="1"/>
  <c r="J719" i="44"/>
  <c r="Y7" i="21" s="1" a="1"/>
  <c r="Y7" i="21" s="1"/>
  <c r="T665" i="44" a="1"/>
  <c r="T665" i="44" s="1"/>
  <c r="S4" i="31" s="1" a="1"/>
  <c r="S4" i="31" s="1"/>
  <c r="G711" i="44"/>
  <c r="Q7" i="19" s="1" a="1"/>
  <c r="Q7" i="19" s="1"/>
  <c r="N658" i="44" a="1"/>
  <c r="N658" i="44" s="1"/>
  <c r="L4" i="25" s="1" a="1"/>
  <c r="L4" i="25" s="1"/>
  <c r="L24" i="25" s="1"/>
  <c r="T631" i="44" a="1"/>
  <c r="T631" i="44" s="1"/>
  <c r="I3" i="31" s="1" a="1"/>
  <c r="I3" i="31" s="1"/>
  <c r="R694" i="44" a="1"/>
  <c r="R694" i="44" s="1"/>
  <c r="X5" i="29" s="1" a="1"/>
  <c r="X5" i="29" s="1"/>
  <c r="E614" i="44" a="1"/>
  <c r="E614" i="44" s="1"/>
  <c r="P2" i="17" s="1" a="1"/>
  <c r="P2" i="17" s="1"/>
  <c r="V719" i="44"/>
  <c r="Y7" i="10" s="1" a="1"/>
  <c r="Y7" i="10" s="1"/>
  <c r="S700" i="44"/>
  <c r="F7" i="30" s="1" a="1"/>
  <c r="F7" i="30" s="1"/>
  <c r="S712" i="44"/>
  <c r="R7" i="30" s="1" a="1"/>
  <c r="R7" i="30" s="1"/>
  <c r="Q680" i="44" a="1"/>
  <c r="Q680" i="44" s="1"/>
  <c r="J5" i="28" s="1" a="1"/>
  <c r="J5" i="28" s="1"/>
  <c r="V600" i="44" a="1"/>
  <c r="V600" i="44" s="1"/>
  <c r="B2" i="10" s="1" a="1"/>
  <c r="B2" i="10" s="1"/>
  <c r="S633" i="44" a="1"/>
  <c r="S633" i="44" s="1"/>
  <c r="K3" i="30" s="1" a="1"/>
  <c r="K3" i="30" s="1"/>
  <c r="J622" i="44" a="1"/>
  <c r="J622" i="44" s="1"/>
  <c r="X2" i="21" s="1" a="1"/>
  <c r="X2" i="21" s="1"/>
  <c r="Q700" i="44"/>
  <c r="F7" i="28" s="1" a="1"/>
  <c r="F7" i="28" s="1"/>
  <c r="P717" i="44"/>
  <c r="W7" i="11" s="1" a="1"/>
  <c r="W7" i="11" s="1"/>
  <c r="V711" i="44"/>
  <c r="Q7" i="10" s="1" a="1"/>
  <c r="Q7" i="10" s="1"/>
  <c r="N648" i="44" a="1"/>
  <c r="N648" i="44" s="1"/>
  <c r="B4" i="25" s="1" a="1"/>
  <c r="B4" i="25" s="1"/>
  <c r="B24" i="25" s="1"/>
  <c r="P675" i="44" a="1"/>
  <c r="P675" i="44" s="1"/>
  <c r="E5" i="11" s="1" a="1"/>
  <c r="E5" i="11" s="1"/>
  <c r="E640" i="44" a="1"/>
  <c r="E640" i="44" s="1"/>
  <c r="R3" i="17" s="1" a="1"/>
  <c r="R3" i="17" s="1"/>
  <c r="N732" i="44"/>
  <c r="N6" i="25" s="1" a="1"/>
  <c r="N6" i="25" s="1"/>
  <c r="N26" i="25" s="1"/>
  <c r="J645" i="44" a="1"/>
  <c r="J645" i="44" s="1"/>
  <c r="W3" i="21" s="1" a="1"/>
  <c r="W3" i="21" s="1"/>
  <c r="J641" i="44" a="1"/>
  <c r="J641" i="44" s="1"/>
  <c r="S3" i="21" s="1" a="1"/>
  <c r="S3" i="21" s="1"/>
  <c r="U682" i="44" a="1"/>
  <c r="U682" i="44" s="1"/>
  <c r="G672" i="44" a="1"/>
  <c r="G672" i="44" s="1"/>
  <c r="B5" i="19" s="1" a="1"/>
  <c r="B5" i="19" s="1"/>
  <c r="U700" i="44"/>
  <c r="U642" i="44" a="1"/>
  <c r="U642" i="44" s="1"/>
  <c r="U647" i="44" a="1"/>
  <c r="U647" i="44" s="1"/>
  <c r="P636" i="44" a="1"/>
  <c r="P636" i="44" s="1"/>
  <c r="N3" i="11" s="1" a="1"/>
  <c r="N3" i="11" s="1"/>
  <c r="S698" i="44"/>
  <c r="D7" i="30" s="1" a="1"/>
  <c r="D7" i="30" s="1"/>
  <c r="R713" i="44"/>
  <c r="S7" i="29" s="1" a="1"/>
  <c r="S7" i="29" s="1"/>
  <c r="R727" i="44"/>
  <c r="I6" i="29" s="1" a="1"/>
  <c r="I6" i="29" s="1"/>
  <c r="Q689" i="44" a="1"/>
  <c r="Q689" i="44" s="1"/>
  <c r="S5" i="28" s="1" a="1"/>
  <c r="S5" i="28" s="1"/>
  <c r="H702" i="44"/>
  <c r="H7" i="16" s="1" a="1"/>
  <c r="H7" i="16" s="1"/>
  <c r="H27" i="16" s="1"/>
  <c r="N726" i="44"/>
  <c r="H6" i="25" s="1" a="1"/>
  <c r="H6" i="25" s="1"/>
  <c r="H26" i="25" s="1"/>
  <c r="H645" i="44" a="1"/>
  <c r="H645" i="44" s="1"/>
  <c r="W3" i="16" s="1" a="1"/>
  <c r="W3" i="16" s="1"/>
  <c r="W23" i="16" s="1"/>
  <c r="U622" i="44" a="1"/>
  <c r="U622" i="44" s="1"/>
  <c r="V659" i="44" a="1"/>
  <c r="V659" i="44" s="1"/>
  <c r="M4" i="10" s="1" a="1"/>
  <c r="M4" i="10" s="1"/>
  <c r="K676" i="44" a="1"/>
  <c r="K676" i="44" s="1"/>
  <c r="F5" i="22" s="1" a="1"/>
  <c r="F5" i="22" s="1"/>
  <c r="E691" i="44" a="1"/>
  <c r="E691" i="44" s="1"/>
  <c r="U5" i="17" s="1" a="1"/>
  <c r="U5" i="17" s="1"/>
  <c r="R639" i="44" a="1"/>
  <c r="R639" i="44" s="1"/>
  <c r="Q3" i="29" s="1" a="1"/>
  <c r="Q3" i="29" s="1"/>
  <c r="Q705" i="44"/>
  <c r="K7" i="28" s="1" a="1"/>
  <c r="K7" i="28" s="1"/>
  <c r="H650" i="44" a="1"/>
  <c r="H650" i="44" s="1"/>
  <c r="D4" i="16" s="1" a="1"/>
  <c r="D4" i="16" s="1"/>
  <c r="D24" i="16" s="1"/>
  <c r="P651" i="44" a="1"/>
  <c r="P651" i="44" s="1"/>
  <c r="E4" i="11" s="1" a="1"/>
  <c r="E4" i="11" s="1"/>
  <c r="S621" i="44" a="1"/>
  <c r="S621" i="44" s="1"/>
  <c r="W2" i="30" s="1" a="1"/>
  <c r="W2" i="30" s="1"/>
  <c r="N610" i="44" a="1"/>
  <c r="N610" i="44" s="1"/>
  <c r="L2" i="25" s="1" a="1"/>
  <c r="L2" i="25" s="1"/>
  <c r="L22" i="25" s="1"/>
  <c r="E615" i="44" a="1"/>
  <c r="E615" i="44" s="1"/>
  <c r="Q2" i="17" s="1" a="1"/>
  <c r="Q2" i="17" s="1"/>
  <c r="J609" i="44" a="1"/>
  <c r="J609" i="44" s="1"/>
  <c r="K2" i="21" s="1" a="1"/>
  <c r="K2" i="21" s="1"/>
  <c r="V608" i="44" a="1"/>
  <c r="V608" i="44" s="1"/>
  <c r="J2" i="10" s="1" a="1"/>
  <c r="J2" i="10" s="1"/>
  <c r="E687" i="44" a="1"/>
  <c r="E687" i="44" s="1"/>
  <c r="Q5" i="17" s="1" a="1"/>
  <c r="Q5" i="17" s="1"/>
  <c r="E688" i="44" a="1"/>
  <c r="E688" i="44" s="1"/>
  <c r="R5" i="17" s="1" a="1"/>
  <c r="R5" i="17" s="1"/>
  <c r="P704" i="44"/>
  <c r="J7" i="11" s="1" a="1"/>
  <c r="J7" i="11" s="1"/>
  <c r="V693" i="44" a="1"/>
  <c r="V693" i="44" s="1"/>
  <c r="W5" i="10" s="1" a="1"/>
  <c r="W5" i="10" s="1"/>
  <c r="G662" i="44" a="1"/>
  <c r="G662" i="44" s="1"/>
  <c r="P4" i="19" s="1" a="1"/>
  <c r="P4" i="19" s="1"/>
  <c r="G719" i="44"/>
  <c r="Y7" i="19" s="1" a="1"/>
  <c r="Y7" i="19" s="1"/>
  <c r="G688" i="44" a="1"/>
  <c r="G688" i="44" s="1"/>
  <c r="R5" i="19" s="1" a="1"/>
  <c r="R5" i="19" s="1"/>
  <c r="G627" i="44" a="1"/>
  <c r="G627" i="44" s="1"/>
  <c r="E3" i="19" s="1" a="1"/>
  <c r="E3" i="19" s="1"/>
  <c r="G703" i="44"/>
  <c r="I7" i="19" s="1" a="1"/>
  <c r="I7" i="19" s="1"/>
  <c r="G636" i="44" a="1"/>
  <c r="G636" i="44" s="1"/>
  <c r="N3" i="19" s="1" a="1"/>
  <c r="N3" i="19" s="1"/>
  <c r="U638" i="44" a="1"/>
  <c r="U638" i="44" s="1"/>
  <c r="U692" i="44" a="1"/>
  <c r="U692" i="44" s="1"/>
  <c r="U626" i="44" a="1"/>
  <c r="U626" i="44" s="1"/>
  <c r="U640" i="44" a="1"/>
  <c r="U640" i="44" s="1"/>
  <c r="U636" i="44" a="1"/>
  <c r="U636" i="44" s="1"/>
  <c r="U671" i="44" a="1"/>
  <c r="U671" i="44" s="1"/>
  <c r="P656" i="44" a="1"/>
  <c r="P656" i="44" s="1"/>
  <c r="J4" i="11" s="1" a="1"/>
  <c r="J4" i="11" s="1"/>
  <c r="N703" i="44"/>
  <c r="I7" i="25" s="1" a="1"/>
  <c r="I7" i="25" s="1"/>
  <c r="I27" i="25" s="1"/>
  <c r="N683" i="44" a="1"/>
  <c r="N683" i="44" s="1"/>
  <c r="M5" i="25" s="1" a="1"/>
  <c r="M5" i="25" s="1"/>
  <c r="M25" i="25" s="1"/>
  <c r="S657" i="44" a="1"/>
  <c r="S657" i="44" s="1"/>
  <c r="K4" i="30" s="1" a="1"/>
  <c r="K4" i="30" s="1"/>
  <c r="R692" i="44" a="1"/>
  <c r="R692" i="44" s="1"/>
  <c r="V5" i="29" s="1" a="1"/>
  <c r="V5" i="29" s="1"/>
  <c r="Q711" i="44"/>
  <c r="Q7" i="28" s="1" a="1"/>
  <c r="Q7" i="28" s="1"/>
  <c r="Q681" i="44" a="1"/>
  <c r="Q681" i="44" s="1"/>
  <c r="K5" i="28" s="1" a="1"/>
  <c r="K5" i="28" s="1"/>
  <c r="Q678" i="44" a="1"/>
  <c r="Q678" i="44" s="1"/>
  <c r="H5" i="28" s="1" a="1"/>
  <c r="H5" i="28" s="1"/>
  <c r="J731" i="44"/>
  <c r="M6" i="21" s="1" a="1"/>
  <c r="M6" i="21" s="1"/>
  <c r="V653" i="44" a="1"/>
  <c r="V653" i="44" s="1"/>
  <c r="G4" i="10" s="1" a="1"/>
  <c r="G4" i="10" s="1"/>
  <c r="T673" i="44" a="1"/>
  <c r="T673" i="44" s="1"/>
  <c r="C5" i="31" s="1" a="1"/>
  <c r="C5" i="31" s="1"/>
  <c r="N651" i="44" a="1"/>
  <c r="N651" i="44" s="1"/>
  <c r="E4" i="25" s="1" a="1"/>
  <c r="E4" i="25" s="1"/>
  <c r="E24" i="25" s="1"/>
  <c r="T657" i="44" a="1"/>
  <c r="T657" i="44" s="1"/>
  <c r="K4" i="31" s="1" a="1"/>
  <c r="K4" i="31" s="1"/>
  <c r="P638" i="44" a="1"/>
  <c r="P638" i="44" s="1"/>
  <c r="P3" i="11" s="1" a="1"/>
  <c r="P3" i="11" s="1"/>
  <c r="T636" i="44" a="1"/>
  <c r="T636" i="44" s="1"/>
  <c r="N3" i="31" s="1" a="1"/>
  <c r="N3" i="31" s="1"/>
  <c r="S642" i="44" a="1"/>
  <c r="S642" i="44" s="1"/>
  <c r="T3" i="30" s="1" a="1"/>
  <c r="T3" i="30" s="1"/>
  <c r="U601" i="44" a="1"/>
  <c r="U601" i="44" s="1"/>
  <c r="V664" i="44" a="1"/>
  <c r="V664" i="44" s="1"/>
  <c r="R4" i="10" s="1" a="1"/>
  <c r="R4" i="10" s="1"/>
  <c r="N605" i="44" a="1"/>
  <c r="N605" i="44" s="1"/>
  <c r="G2" i="25" s="1" a="1"/>
  <c r="G2" i="25" s="1"/>
  <c r="G22" i="25" s="1"/>
  <c r="E694" i="44" a="1"/>
  <c r="E694" i="44" s="1"/>
  <c r="X5" i="17" s="1" a="1"/>
  <c r="X5" i="17" s="1"/>
  <c r="T648" i="44" a="1"/>
  <c r="T648" i="44" s="1"/>
  <c r="B4" i="31" s="1" a="1"/>
  <c r="B4" i="31" s="1"/>
  <c r="V634" i="44" a="1"/>
  <c r="V634" i="44" s="1"/>
  <c r="L3" i="10" s="1" a="1"/>
  <c r="L3" i="10" s="1"/>
  <c r="T719" i="44"/>
  <c r="Y7" i="31" s="1" a="1"/>
  <c r="Y7" i="31" s="1"/>
  <c r="T727" i="44"/>
  <c r="I6" i="31" s="1" a="1"/>
  <c r="I6" i="31" s="1"/>
  <c r="Q640" i="44" a="1"/>
  <c r="Q640" i="44" s="1"/>
  <c r="R3" i="28" s="1" a="1"/>
  <c r="R3" i="28" s="1"/>
  <c r="R681" i="44" a="1"/>
  <c r="R681" i="44" s="1"/>
  <c r="K5" i="29" s="1" a="1"/>
  <c r="K5" i="29" s="1"/>
  <c r="G673" i="44" a="1"/>
  <c r="G673" i="44" s="1"/>
  <c r="C5" i="19" s="1" a="1"/>
  <c r="C5" i="19" s="1"/>
  <c r="G693" i="44" a="1"/>
  <c r="G693" i="44" s="1"/>
  <c r="W5" i="19" s="1" a="1"/>
  <c r="W5" i="19" s="1"/>
  <c r="G674" i="44" a="1"/>
  <c r="G674" i="44" s="1"/>
  <c r="D5" i="19" s="1" a="1"/>
  <c r="D5" i="19" s="1"/>
  <c r="U693" i="44" a="1"/>
  <c r="U693" i="44" s="1"/>
  <c r="U690" i="44" a="1"/>
  <c r="U690" i="44" s="1"/>
  <c r="U681" i="44" a="1"/>
  <c r="U681" i="44" s="1"/>
  <c r="U674" i="44" a="1"/>
  <c r="U674" i="44" s="1"/>
  <c r="N689" i="44" a="1"/>
  <c r="N689" i="44" s="1"/>
  <c r="S5" i="25" s="1" a="1"/>
  <c r="S5" i="25" s="1"/>
  <c r="S25" i="25" s="1"/>
  <c r="K641" i="44" a="1"/>
  <c r="K641" i="44" s="1"/>
  <c r="S3" i="22" s="1" a="1"/>
  <c r="S3" i="22" s="1"/>
  <c r="S704" i="44"/>
  <c r="J7" i="30" s="1" a="1"/>
  <c r="J7" i="30" s="1"/>
  <c r="S714" i="44"/>
  <c r="T7" i="30" s="1" a="1"/>
  <c r="T7" i="30" s="1"/>
  <c r="S622" i="44" a="1"/>
  <c r="S622" i="44" s="1"/>
  <c r="X2" i="30" s="1" a="1"/>
  <c r="X2" i="30" s="1"/>
  <c r="S615" i="44" a="1"/>
  <c r="S615" i="44" s="1"/>
  <c r="Q2" i="30" s="1" a="1"/>
  <c r="Q2" i="30" s="1"/>
  <c r="R612" i="44" a="1"/>
  <c r="R612" i="44" s="1"/>
  <c r="N2" i="29" s="1" a="1"/>
  <c r="N2" i="29" s="1"/>
  <c r="G620" i="44" a="1"/>
  <c r="G620" i="44" s="1"/>
  <c r="V2" i="19" s="1" a="1"/>
  <c r="V2" i="19" s="1"/>
  <c r="P619" i="44" a="1"/>
  <c r="P619" i="44" s="1"/>
  <c r="U2" i="11" s="1" a="1"/>
  <c r="U2" i="11" s="1"/>
  <c r="U616" i="44" a="1"/>
  <c r="U616" i="44" s="1"/>
  <c r="N600" i="44" a="1"/>
  <c r="N600" i="44" s="1"/>
  <c r="B2" i="25" s="1" a="1"/>
  <c r="B2" i="25" s="1"/>
  <c r="B22" i="25" s="1"/>
  <c r="E605" i="44" a="1"/>
  <c r="E605" i="44" s="1"/>
  <c r="G2" i="17" s="1" a="1"/>
  <c r="G2" i="17" s="1"/>
  <c r="E600" i="44" a="1"/>
  <c r="E600" i="44" s="1"/>
  <c r="B2" i="17" s="1" a="1"/>
  <c r="B2" i="17" s="1"/>
  <c r="E642" i="44" a="1"/>
  <c r="E642" i="44" s="1"/>
  <c r="T3" i="17" s="1" a="1"/>
  <c r="T3" i="17" s="1"/>
  <c r="P696" i="44"/>
  <c r="B7" i="11" s="1" a="1"/>
  <c r="B7" i="11" s="1"/>
  <c r="V682" i="44" a="1"/>
  <c r="V682" i="44" s="1"/>
  <c r="L5" i="10" s="1" a="1"/>
  <c r="L5" i="10" s="1"/>
  <c r="V667" i="44" a="1"/>
  <c r="V667" i="44" s="1"/>
  <c r="U4" i="10" s="1" a="1"/>
  <c r="U4" i="10" s="1"/>
  <c r="K613" i="44" a="1"/>
  <c r="K613" i="44" s="1"/>
  <c r="O2" i="22" s="1" a="1"/>
  <c r="O2" i="22" s="1"/>
  <c r="T610" i="44" a="1"/>
  <c r="T610" i="44" s="1"/>
  <c r="L2" i="31" s="1" a="1"/>
  <c r="L2" i="31" s="1"/>
  <c r="J722" i="44"/>
  <c r="D6" i="21" s="1" a="1"/>
  <c r="D6" i="21" s="1"/>
  <c r="G695" i="44" a="1"/>
  <c r="G695" i="44" s="1"/>
  <c r="Y5" i="19" s="1" a="1"/>
  <c r="Y5" i="19" s="1"/>
  <c r="D723" i="44"/>
  <c r="E6" i="18" s="1" a="1"/>
  <c r="E6" i="18" s="1"/>
  <c r="G691" i="44" a="1"/>
  <c r="G691" i="44" s="1"/>
  <c r="U5" i="19" s="1" a="1"/>
  <c r="U5" i="19" s="1"/>
  <c r="G605" i="44" a="1"/>
  <c r="G605" i="44" s="1"/>
  <c r="G2" i="19" s="1" a="1"/>
  <c r="G2" i="19" s="1"/>
  <c r="U687" i="44" a="1"/>
  <c r="U687" i="44" s="1"/>
  <c r="U668" i="44" a="1"/>
  <c r="U668" i="44" s="1"/>
  <c r="P610" i="44" a="1"/>
  <c r="P610" i="44" s="1"/>
  <c r="L2" i="11" s="1" a="1"/>
  <c r="L2" i="11" s="1"/>
  <c r="N601" i="44" a="1"/>
  <c r="N601" i="44" s="1"/>
  <c r="C2" i="25" s="1" a="1"/>
  <c r="C2" i="25" s="1"/>
  <c r="C22" i="25" s="1"/>
  <c r="H721" i="44"/>
  <c r="C6" i="16" s="1" a="1"/>
  <c r="C6" i="16" s="1"/>
  <c r="C26" i="16" s="1"/>
  <c r="V620" i="44" a="1"/>
  <c r="V620" i="44" s="1"/>
  <c r="V2" i="10" s="1" a="1"/>
  <c r="V2" i="10" s="1"/>
  <c r="K643" i="44" a="1"/>
  <c r="K643" i="44" s="1"/>
  <c r="U3" i="22" s="1" a="1"/>
  <c r="U3" i="22" s="1"/>
  <c r="J633" i="44" a="1"/>
  <c r="J633" i="44" s="1"/>
  <c r="K3" i="21" s="1" a="1"/>
  <c r="K3" i="21" s="1"/>
  <c r="P687" i="44" a="1"/>
  <c r="P687" i="44" s="1"/>
  <c r="Q5" i="11" s="1" a="1"/>
  <c r="Q5" i="11" s="1"/>
  <c r="P624" i="44" a="1"/>
  <c r="P624" i="44" s="1"/>
  <c r="B3" i="11" s="1" a="1"/>
  <c r="B3" i="11" s="1"/>
  <c r="E604" i="44" a="1"/>
  <c r="E604" i="44" s="1"/>
  <c r="F2" i="17" s="1" a="1"/>
  <c r="F2" i="17" s="1"/>
  <c r="P644" i="44" a="1"/>
  <c r="P644" i="44" s="1"/>
  <c r="V3" i="11" s="1" a="1"/>
  <c r="V3" i="11" s="1"/>
  <c r="P640" i="44" a="1"/>
  <c r="P640" i="44" s="1"/>
  <c r="R3" i="11" s="1" a="1"/>
  <c r="R3" i="11" s="1"/>
  <c r="P708" i="44"/>
  <c r="N7" i="11" s="1" a="1"/>
  <c r="N7" i="11" s="1"/>
  <c r="V652" i="44" a="1"/>
  <c r="V652" i="44" s="1"/>
  <c r="F4" i="10" s="1" a="1"/>
  <c r="F4" i="10" s="1"/>
  <c r="K738" i="44"/>
  <c r="T6" i="22" s="1" a="1"/>
  <c r="T6" i="22" s="1"/>
  <c r="U679" i="44" a="1"/>
  <c r="U679" i="44" s="1"/>
  <c r="G604" i="44" a="1"/>
  <c r="G604" i="44" s="1"/>
  <c r="F2" i="19" s="1" a="1"/>
  <c r="F2" i="19" s="1"/>
  <c r="G696" i="44"/>
  <c r="B7" i="19" s="1" a="1"/>
  <c r="B7" i="19" s="1"/>
  <c r="G677" i="44" a="1"/>
  <c r="G677" i="44" s="1"/>
  <c r="G5" i="19" s="1" a="1"/>
  <c r="G5" i="19" s="1"/>
  <c r="G626" i="44" a="1"/>
  <c r="G626" i="44" s="1"/>
  <c r="D3" i="19" s="1" a="1"/>
  <c r="D3" i="19" s="1"/>
  <c r="U654" i="44" a="1"/>
  <c r="U654" i="44" s="1"/>
  <c r="U719" i="44"/>
  <c r="N722" i="44"/>
  <c r="D6" i="25" s="1" a="1"/>
  <c r="D6" i="25" s="1"/>
  <c r="D26" i="25" s="1"/>
  <c r="N729" i="44"/>
  <c r="K6" i="25" s="1" a="1"/>
  <c r="K6" i="25" s="1"/>
  <c r="K26" i="25" s="1"/>
  <c r="J678" i="44" a="1"/>
  <c r="J678" i="44" s="1"/>
  <c r="H5" i="21" s="1" a="1"/>
  <c r="H5" i="21" s="1"/>
  <c r="E608" i="44" a="1"/>
  <c r="E608" i="44" s="1"/>
  <c r="J2" i="17" s="1" a="1"/>
  <c r="J2" i="17" s="1"/>
  <c r="P684" i="44" a="1"/>
  <c r="P684" i="44" s="1"/>
  <c r="N5" i="11" s="1" a="1"/>
  <c r="N5" i="11" s="1"/>
  <c r="V697" i="44"/>
  <c r="C7" i="10" s="1" a="1"/>
  <c r="C7" i="10" s="1"/>
  <c r="S693" i="44" a="1"/>
  <c r="S693" i="44" s="1"/>
  <c r="W5" i="30" s="1" a="1"/>
  <c r="W5" i="30" s="1"/>
  <c r="P743" i="44"/>
  <c r="Y6" i="11" s="1" a="1"/>
  <c r="Y6" i="11" s="1"/>
  <c r="H704" i="44"/>
  <c r="J7" i="16" s="1" a="1"/>
  <c r="J7" i="16" s="1"/>
  <c r="J27" i="16" s="1"/>
  <c r="E611" i="44" a="1"/>
  <c r="E611" i="44" s="1"/>
  <c r="M2" i="17" s="1" a="1"/>
  <c r="M2" i="17" s="1"/>
  <c r="S679" i="44" a="1"/>
  <c r="S679" i="44" s="1"/>
  <c r="I5" i="30" s="1" a="1"/>
  <c r="I5" i="30" s="1"/>
  <c r="R697" i="44"/>
  <c r="C7" i="29" s="1" a="1"/>
  <c r="C7" i="29" s="1"/>
  <c r="D609" i="44" a="1"/>
  <c r="D609" i="44" s="1"/>
  <c r="K2" i="18" s="1" a="1"/>
  <c r="K2" i="18" s="1"/>
  <c r="E617" i="44" a="1"/>
  <c r="E617" i="44" s="1"/>
  <c r="S2" i="17" s="1" a="1"/>
  <c r="S2" i="17" s="1"/>
  <c r="P623" i="44" a="1"/>
  <c r="P623" i="44" s="1"/>
  <c r="Y2" i="11" s="1" a="1"/>
  <c r="Y2" i="11" s="1"/>
  <c r="V696" i="44"/>
  <c r="B7" i="10" s="1" a="1"/>
  <c r="B7" i="10" s="1"/>
  <c r="N698" i="44"/>
  <c r="D7" i="25" s="1" a="1"/>
  <c r="D7" i="25" s="1"/>
  <c r="D27" i="25" s="1"/>
  <c r="G698" i="44"/>
  <c r="D7" i="19" s="1" a="1"/>
  <c r="D7" i="19" s="1"/>
  <c r="K605" i="44" a="1"/>
  <c r="K605" i="44" s="1"/>
  <c r="G2" i="22" s="1" a="1"/>
  <c r="G2" i="22" s="1"/>
  <c r="Q675" i="44" a="1"/>
  <c r="Q675" i="44" s="1"/>
  <c r="E5" i="28" s="1" a="1"/>
  <c r="E5" i="28" s="1"/>
  <c r="P679" i="44" a="1"/>
  <c r="P679" i="44" s="1"/>
  <c r="I5" i="11" s="1" a="1"/>
  <c r="I5" i="11" s="1"/>
  <c r="P641" i="44" a="1"/>
  <c r="P641" i="44" s="1"/>
  <c r="S3" i="11" s="1" a="1"/>
  <c r="S3" i="11" s="1"/>
  <c r="P650" i="44" a="1"/>
  <c r="P650" i="44" s="1"/>
  <c r="D4" i="11" s="1" a="1"/>
  <c r="D4" i="11" s="1"/>
  <c r="R624" i="44" a="1"/>
  <c r="R624" i="44" s="1"/>
  <c r="B3" i="29" s="1" a="1"/>
  <c r="B3" i="29" s="1"/>
  <c r="G714" i="44"/>
  <c r="T7" i="19" s="1" a="1"/>
  <c r="T7" i="19" s="1"/>
  <c r="G699" i="44"/>
  <c r="E7" i="19" s="1" a="1"/>
  <c r="E7" i="19" s="1"/>
  <c r="G686" i="44" a="1"/>
  <c r="G686" i="44" s="1"/>
  <c r="P5" i="19" s="1" a="1"/>
  <c r="P5" i="19" s="1"/>
  <c r="U639" i="44" a="1"/>
  <c r="U639" i="44" s="1"/>
  <c r="U709" i="44"/>
  <c r="U711" i="44"/>
  <c r="N631" i="44" a="1"/>
  <c r="N631" i="44" s="1"/>
  <c r="I3" i="25" s="1" a="1"/>
  <c r="I3" i="25" s="1"/>
  <c r="I23" i="25" s="1"/>
  <c r="N634" i="44" a="1"/>
  <c r="N634" i="44" s="1"/>
  <c r="L3" i="25" s="1" a="1"/>
  <c r="L3" i="25" s="1"/>
  <c r="L23" i="25" s="1"/>
  <c r="R712" i="44"/>
  <c r="R7" i="29" s="1" a="1"/>
  <c r="R7" i="29" s="1"/>
  <c r="R616" i="44" a="1"/>
  <c r="R616" i="44" s="1"/>
  <c r="R2" i="29" s="1" a="1"/>
  <c r="R2" i="29" s="1"/>
  <c r="Q696" i="44"/>
  <c r="B7" i="28" s="1" a="1"/>
  <c r="B7" i="28" s="1"/>
  <c r="Q600" i="44" a="1"/>
  <c r="Q600" i="44" s="1"/>
  <c r="B2" i="28" s="1" a="1"/>
  <c r="B2" i="28" s="1"/>
  <c r="H610" i="44" a="1"/>
  <c r="H610" i="44" s="1"/>
  <c r="L2" i="16" s="1" a="1"/>
  <c r="L2" i="16" s="1"/>
  <c r="L22" i="16" s="1"/>
  <c r="H706" i="44"/>
  <c r="L7" i="16" s="1" a="1"/>
  <c r="L7" i="16" s="1"/>
  <c r="L27" i="16" s="1"/>
  <c r="R660" i="44" a="1"/>
  <c r="R660" i="44" s="1"/>
  <c r="N4" i="29" s="1" a="1"/>
  <c r="N4" i="29" s="1"/>
  <c r="R732" i="44"/>
  <c r="N6" i="29" s="1" a="1"/>
  <c r="N6" i="29" s="1"/>
  <c r="N665" i="44" a="1"/>
  <c r="N665" i="44" s="1"/>
  <c r="S4" i="25" s="1" a="1"/>
  <c r="S4" i="25" s="1"/>
  <c r="S24" i="25" s="1"/>
  <c r="N737" i="44"/>
  <c r="S6" i="25" s="1" a="1"/>
  <c r="S6" i="25" s="1"/>
  <c r="S26" i="25" s="1"/>
  <c r="H616" i="44" a="1"/>
  <c r="H616" i="44" s="1"/>
  <c r="R2" i="16" s="1" a="1"/>
  <c r="R2" i="16" s="1"/>
  <c r="R22" i="16" s="1"/>
  <c r="H712" i="44"/>
  <c r="R7" i="16" s="1" a="1"/>
  <c r="R7" i="16" s="1"/>
  <c r="R27" i="16" s="1"/>
  <c r="S692" i="44" a="1"/>
  <c r="S692" i="44" s="1"/>
  <c r="V5" i="30" s="1" a="1"/>
  <c r="V5" i="30" s="1"/>
  <c r="R684" i="44" a="1"/>
  <c r="R684" i="44" s="1"/>
  <c r="N5" i="29" s="1" a="1"/>
  <c r="N5" i="29" s="1"/>
  <c r="M690" i="44" a="1"/>
  <c r="M690" i="44" s="1"/>
  <c r="T5" i="24" s="1" a="1"/>
  <c r="T5" i="24" s="1"/>
  <c r="T25" i="24" s="1"/>
  <c r="G709" i="44"/>
  <c r="O7" i="19" s="1" a="1"/>
  <c r="O7" i="19" s="1"/>
  <c r="G613" i="44" a="1"/>
  <c r="G613" i="44" s="1"/>
  <c r="O2" i="19" s="1" a="1"/>
  <c r="O2" i="19" s="1"/>
  <c r="Q719" i="44"/>
  <c r="Y7" i="28" s="1" a="1"/>
  <c r="Y7" i="28" s="1"/>
  <c r="Q623" i="44" a="1"/>
  <c r="Q623" i="44" s="1"/>
  <c r="Y2" i="28" s="1" a="1"/>
  <c r="Y2" i="28" s="1"/>
  <c r="G706" i="44"/>
  <c r="L7" i="19" s="1" a="1"/>
  <c r="L7" i="19" s="1"/>
  <c r="G610" i="44" a="1"/>
  <c r="G610" i="44" s="1"/>
  <c r="L2" i="19" s="1" a="1"/>
  <c r="L2" i="19" s="1"/>
  <c r="U713" i="44"/>
  <c r="P648" i="44" a="1"/>
  <c r="P648" i="44" s="1"/>
  <c r="B4" i="11" s="1" a="1"/>
  <c r="B4" i="11" s="1"/>
  <c r="U618" i="44" a="1"/>
  <c r="U618" i="44" s="1"/>
  <c r="U714" i="44"/>
  <c r="P711" i="44"/>
  <c r="Q7" i="11" s="1" a="1"/>
  <c r="Q7" i="11" s="1"/>
  <c r="P615" i="44" a="1"/>
  <c r="P615" i="44" s="1"/>
  <c r="Q2" i="11" s="1" a="1"/>
  <c r="Q2" i="11" s="1"/>
  <c r="Q699" i="44"/>
  <c r="E7" i="28" s="1" a="1"/>
  <c r="E7" i="28" s="1"/>
  <c r="Q603" i="44" a="1"/>
  <c r="Q603" i="44" s="1"/>
  <c r="E2" i="28" s="1" a="1"/>
  <c r="E2" i="28" s="1"/>
  <c r="P709" i="44"/>
  <c r="O7" i="11" s="1" a="1"/>
  <c r="O7" i="11" s="1"/>
  <c r="P613" i="44" a="1"/>
  <c r="P613" i="44" s="1"/>
  <c r="O2" i="11" s="1" a="1"/>
  <c r="O2" i="11" s="1"/>
  <c r="G612" i="44" a="1"/>
  <c r="G612" i="44" s="1"/>
  <c r="N2" i="19" s="1" a="1"/>
  <c r="N2" i="19" s="1"/>
  <c r="G708" i="44"/>
  <c r="N7" i="19" s="1" a="1"/>
  <c r="N7" i="19" s="1"/>
  <c r="U704" i="44"/>
  <c r="U608" i="44" a="1"/>
  <c r="U608" i="44" s="1"/>
  <c r="E705" i="44"/>
  <c r="K7" i="17" s="1" a="1"/>
  <c r="K7" i="17" s="1"/>
  <c r="E609" i="44" a="1"/>
  <c r="E609" i="44" s="1"/>
  <c r="K2" i="17" s="1" a="1"/>
  <c r="K2" i="17" s="1"/>
  <c r="U696" i="44"/>
  <c r="U600" i="44" a="1"/>
  <c r="U600" i="44" s="1"/>
  <c r="U703" i="44"/>
  <c r="U607" i="44" a="1"/>
  <c r="U607" i="44" s="1"/>
  <c r="E635" i="44" a="1"/>
  <c r="E635" i="44" s="1"/>
  <c r="M3" i="17" s="1" a="1"/>
  <c r="M3" i="17" s="1"/>
  <c r="P714" i="44"/>
  <c r="T7" i="11" s="1" a="1"/>
  <c r="T7" i="11" s="1"/>
  <c r="P618" i="44" a="1"/>
  <c r="P618" i="44" s="1"/>
  <c r="T2" i="11" s="1" a="1"/>
  <c r="T2" i="11" s="1"/>
  <c r="E618" i="44" a="1"/>
  <c r="E618" i="44" s="1"/>
  <c r="T2" i="17" s="1" a="1"/>
  <c r="T2" i="17" s="1"/>
  <c r="E714" i="44"/>
  <c r="T7" i="17" s="1" a="1"/>
  <c r="T7" i="17" s="1"/>
  <c r="U701" i="44"/>
  <c r="U605" i="44" a="1"/>
  <c r="U605" i="44" s="1"/>
  <c r="E606" i="44" a="1"/>
  <c r="E606" i="44" s="1"/>
  <c r="H2" i="17" s="1" a="1"/>
  <c r="H2" i="17" s="1"/>
  <c r="E702" i="44"/>
  <c r="H7" i="17" s="1" a="1"/>
  <c r="H7" i="17" s="1"/>
  <c r="G702" i="44"/>
  <c r="H7" i="19" s="1" a="1"/>
  <c r="H7" i="19" s="1"/>
  <c r="G606" i="44" a="1"/>
  <c r="G606" i="44" s="1"/>
  <c r="H2" i="19" s="1" a="1"/>
  <c r="H2" i="19" s="1"/>
  <c r="U683" i="44" a="1"/>
  <c r="U683" i="44" s="1"/>
  <c r="G680" i="44" a="1"/>
  <c r="G680" i="44" s="1"/>
  <c r="J5" i="19" s="1" a="1"/>
  <c r="J5" i="19" s="1"/>
  <c r="G614" i="44" a="1"/>
  <c r="G614" i="44" s="1"/>
  <c r="P2" i="19" s="1" a="1"/>
  <c r="P2" i="19" s="1"/>
  <c r="G710" i="44"/>
  <c r="P7" i="19" s="1" a="1"/>
  <c r="P7" i="19" s="1"/>
  <c r="R709" i="44"/>
  <c r="O7" i="29" s="1" a="1"/>
  <c r="O7" i="29" s="1"/>
  <c r="Q622" i="44" a="1"/>
  <c r="Q622" i="44" s="1"/>
  <c r="X2" i="28" s="1" a="1"/>
  <c r="X2" i="28" s="1"/>
  <c r="P710" i="44"/>
  <c r="P7" i="11" s="1" a="1"/>
  <c r="P7" i="11" s="1"/>
  <c r="P614" i="44" a="1"/>
  <c r="P614" i="44" s="1"/>
  <c r="P2" i="11" s="1" a="1"/>
  <c r="P2" i="11" s="1"/>
  <c r="U707" i="44"/>
  <c r="U611" i="44" a="1"/>
  <c r="U611" i="44" s="1"/>
  <c r="G704" i="44"/>
  <c r="J7" i="19" s="1" a="1"/>
  <c r="J7" i="19" s="1"/>
  <c r="V701" i="44"/>
  <c r="G7" i="10" s="1" a="1"/>
  <c r="G7" i="10" s="1"/>
  <c r="V605" i="44" a="1"/>
  <c r="V605" i="44" s="1"/>
  <c r="G2" i="10" s="1" a="1"/>
  <c r="G2" i="10" s="1"/>
  <c r="W626" i="44" a="1"/>
  <c r="W626" i="44" s="1"/>
  <c r="D3" i="33" s="1" a="1"/>
  <c r="D3" i="33" s="1"/>
  <c r="W609" i="44" a="1"/>
  <c r="W609" i="44" s="1"/>
  <c r="K2" i="33" s="1" a="1"/>
  <c r="K2" i="33" s="1"/>
  <c r="T710" i="44"/>
  <c r="P7" i="31" s="1" a="1"/>
  <c r="P7" i="31" s="1"/>
  <c r="T614" i="44" a="1"/>
  <c r="T614" i="44" s="1"/>
  <c r="P2" i="31" s="1" a="1"/>
  <c r="P2" i="31" s="1"/>
  <c r="J742" i="44"/>
  <c r="X6" i="21" s="1" a="1"/>
  <c r="X6" i="21" s="1"/>
  <c r="J670" i="44" a="1"/>
  <c r="J670" i="44" s="1"/>
  <c r="X4" i="21" s="1" a="1"/>
  <c r="X4" i="21" s="1"/>
  <c r="G653" i="44" a="1"/>
  <c r="G653" i="44" s="1"/>
  <c r="G4" i="19" s="1" a="1"/>
  <c r="G4" i="19" s="1"/>
  <c r="G648" i="44" a="1"/>
  <c r="G648" i="44" s="1"/>
  <c r="B4" i="19" s="1" a="1"/>
  <c r="B4" i="19" s="1"/>
  <c r="J734" i="44"/>
  <c r="P6" i="21" s="1" a="1"/>
  <c r="P6" i="21" s="1"/>
  <c r="J662" i="44" a="1"/>
  <c r="J662" i="44" s="1"/>
  <c r="P4" i="21" s="1" a="1"/>
  <c r="P4" i="21" s="1"/>
  <c r="K608" i="44" a="1"/>
  <c r="K608" i="44" s="1"/>
  <c r="J2" i="22" s="1" a="1"/>
  <c r="J2" i="22" s="1"/>
  <c r="K704" i="44"/>
  <c r="J7" i="22" s="1" a="1"/>
  <c r="J7" i="22" s="1"/>
  <c r="T705" i="44"/>
  <c r="K7" i="31" s="1" a="1"/>
  <c r="K7" i="31" s="1"/>
  <c r="T609" i="44" a="1"/>
  <c r="T609" i="44" s="1"/>
  <c r="K2" i="31" s="1" a="1"/>
  <c r="K2" i="31" s="1"/>
  <c r="T640" i="44" a="1"/>
  <c r="T640" i="44" s="1"/>
  <c r="R3" i="31" s="1" a="1"/>
  <c r="R3" i="31" s="1"/>
  <c r="K637" i="44" a="1"/>
  <c r="K637" i="44" s="1"/>
  <c r="O3" i="22" s="1" a="1"/>
  <c r="O3" i="22" s="1"/>
  <c r="J725" i="44"/>
  <c r="G6" i="21" s="1" a="1"/>
  <c r="G6" i="21" s="1"/>
  <c r="J653" i="44" a="1"/>
  <c r="J653" i="44" s="1"/>
  <c r="G4" i="21" s="1" a="1"/>
  <c r="G4" i="21" s="1"/>
  <c r="J723" i="44"/>
  <c r="E6" i="21" s="1" a="1"/>
  <c r="E6" i="21" s="1"/>
  <c r="J651" i="44" a="1"/>
  <c r="J651" i="44" s="1"/>
  <c r="E4" i="21" s="1" a="1"/>
  <c r="E4" i="21" s="1"/>
  <c r="U706" i="44"/>
  <c r="P718" i="44"/>
  <c r="X7" i="11" s="1" a="1"/>
  <c r="X7" i="11" s="1"/>
  <c r="P622" i="44" a="1"/>
  <c r="P622" i="44" s="1"/>
  <c r="X2" i="11" s="1" a="1"/>
  <c r="X2" i="11" s="1"/>
  <c r="V699" i="44"/>
  <c r="E7" i="10" s="1" a="1"/>
  <c r="E7" i="10" s="1"/>
  <c r="V603" i="44" a="1"/>
  <c r="V603" i="44" s="1"/>
  <c r="E2" i="10" s="1" a="1"/>
  <c r="E2" i="10" s="1"/>
  <c r="K720" i="44"/>
  <c r="B6" i="22" s="1" a="1"/>
  <c r="B6" i="22" s="1"/>
  <c r="T742" i="44"/>
  <c r="X6" i="31" s="1" a="1"/>
  <c r="X6" i="31" s="1"/>
  <c r="T670" i="44" a="1"/>
  <c r="T670" i="44" s="1"/>
  <c r="X4" i="31" s="1" a="1"/>
  <c r="X4" i="31" s="1"/>
  <c r="N699" i="44"/>
  <c r="E7" i="25" s="1" a="1"/>
  <c r="E7" i="25" s="1"/>
  <c r="E27" i="25" s="1"/>
  <c r="N603" i="44" a="1"/>
  <c r="N603" i="44" s="1"/>
  <c r="E2" i="25" s="1" a="1"/>
  <c r="E2" i="25" s="1"/>
  <c r="E22" i="25" s="1"/>
  <c r="Q695" i="44" a="1"/>
  <c r="Q695" i="44" s="1"/>
  <c r="Y5" i="28" s="1" a="1"/>
  <c r="Y5" i="28" s="1"/>
  <c r="P676" i="44" a="1"/>
  <c r="P676" i="44" s="1"/>
  <c r="F5" i="11" s="1" a="1"/>
  <c r="F5" i="11" s="1"/>
  <c r="S686" i="44" a="1"/>
  <c r="S686" i="44" s="1"/>
  <c r="P5" i="30" s="1" a="1"/>
  <c r="P5" i="30" s="1"/>
  <c r="R625" i="44" a="1"/>
  <c r="R625" i="44" s="1"/>
  <c r="C3" i="29" s="1" a="1"/>
  <c r="C3" i="29" s="1"/>
  <c r="Q610" i="44" a="1"/>
  <c r="Q610" i="44" s="1"/>
  <c r="L2" i="28" s="1" a="1"/>
  <c r="L2" i="28" s="1"/>
  <c r="Q617" i="44" a="1"/>
  <c r="Q617" i="44" s="1"/>
  <c r="S2" i="28" s="1" a="1"/>
  <c r="S2" i="28" s="1"/>
  <c r="Q707" i="44"/>
  <c r="M7" i="28" s="1" a="1"/>
  <c r="M7" i="28" s="1"/>
  <c r="Q692" i="44" a="1"/>
  <c r="Q692" i="44" s="1"/>
  <c r="V5" i="28" s="1" a="1"/>
  <c r="V5" i="28" s="1"/>
  <c r="P712" i="44"/>
  <c r="R7" i="11" s="1" a="1"/>
  <c r="R7" i="11" s="1"/>
  <c r="P688" i="44" a="1"/>
  <c r="P688" i="44" s="1"/>
  <c r="R5" i="11" s="1" a="1"/>
  <c r="R5" i="11" s="1"/>
  <c r="K736" i="44"/>
  <c r="R6" i="22" s="1" a="1"/>
  <c r="R6" i="22" s="1"/>
  <c r="T633" i="44" a="1"/>
  <c r="T633" i="44" s="1"/>
  <c r="K3" i="31" s="1" a="1"/>
  <c r="K3" i="31" s="1"/>
  <c r="J636" i="44" a="1"/>
  <c r="J636" i="44" s="1"/>
  <c r="N3" i="21" s="1" a="1"/>
  <c r="N3" i="21" s="1"/>
  <c r="G666" i="44" a="1"/>
  <c r="G666" i="44" s="1"/>
  <c r="T4" i="19" s="1" a="1"/>
  <c r="T4" i="19" s="1"/>
  <c r="G715" i="44"/>
  <c r="U7" i="19" s="1" a="1"/>
  <c r="U7" i="19" s="1"/>
  <c r="U662" i="44" a="1"/>
  <c r="U662" i="44" s="1"/>
  <c r="P713" i="44"/>
  <c r="S7" i="11" s="1" a="1"/>
  <c r="S7" i="11" s="1"/>
  <c r="N669" i="44" a="1"/>
  <c r="N669" i="44" s="1"/>
  <c r="W4" i="25" s="1" a="1"/>
  <c r="W4" i="25" s="1"/>
  <c r="W24" i="25" s="1"/>
  <c r="J721" i="44"/>
  <c r="C6" i="21" s="1" a="1"/>
  <c r="C6" i="21" s="1"/>
  <c r="Q729" i="44"/>
  <c r="K6" i="28" s="1" a="1"/>
  <c r="K6" i="28" s="1"/>
  <c r="Q727" i="44"/>
  <c r="I6" i="28" s="1" a="1"/>
  <c r="I6" i="28" s="1"/>
  <c r="Q624" i="44" a="1"/>
  <c r="Q624" i="44" s="1"/>
  <c r="B3" i="28" s="1" a="1"/>
  <c r="B3" i="28" s="1"/>
  <c r="Q629" i="44" a="1"/>
  <c r="Q629" i="44" s="1"/>
  <c r="G3" i="28" s="1" a="1"/>
  <c r="G3" i="28" s="1"/>
  <c r="U652" i="44" a="1"/>
  <c r="U652" i="44" s="1"/>
  <c r="G661" i="44" a="1"/>
  <c r="G661" i="44" s="1"/>
  <c r="O4" i="19" s="1" a="1"/>
  <c r="O4" i="19" s="1"/>
  <c r="N607" i="44" a="1"/>
  <c r="N607" i="44" s="1"/>
  <c r="I2" i="25" s="1" a="1"/>
  <c r="I2" i="25" s="1"/>
  <c r="I22" i="25" s="1"/>
  <c r="V623" i="44" a="1"/>
  <c r="V623" i="44" s="1"/>
  <c r="Y2" i="10" s="1" a="1"/>
  <c r="Y2" i="10" s="1"/>
  <c r="P600" i="44" a="1"/>
  <c r="P600" i="44" s="1"/>
  <c r="B2" i="11" s="1" a="1"/>
  <c r="B2" i="11" s="1"/>
  <c r="E700" i="44"/>
  <c r="F7" i="17" s="1" a="1"/>
  <c r="F7" i="17" s="1"/>
  <c r="N604" i="44" a="1"/>
  <c r="N604" i="44" s="1"/>
  <c r="F2" i="25" s="1" a="1"/>
  <c r="F2" i="25" s="1"/>
  <c r="F22" i="25" s="1"/>
  <c r="H611" i="44" a="1"/>
  <c r="H611" i="44" s="1"/>
  <c r="M2" i="16" s="1" a="1"/>
  <c r="M2" i="16" s="1"/>
  <c r="M22" i="16" s="1"/>
  <c r="G665" i="44" a="1"/>
  <c r="G665" i="44" s="1"/>
  <c r="S4" i="19" s="1" a="1"/>
  <c r="S4" i="19" s="1"/>
  <c r="E720" i="44"/>
  <c r="B6" i="17" s="1" a="1"/>
  <c r="B6" i="17" s="1"/>
  <c r="E719" i="44"/>
  <c r="Y7" i="17" s="1" a="1"/>
  <c r="Y7" i="17" s="1"/>
  <c r="P683" i="44" a="1"/>
  <c r="P683" i="44" s="1"/>
  <c r="M5" i="11" s="1" a="1"/>
  <c r="M5" i="11" s="1"/>
  <c r="Q741" i="44"/>
  <c r="W6" i="28" s="1" a="1"/>
  <c r="W6" i="28" s="1"/>
  <c r="N743" i="44"/>
  <c r="Y6" i="25" s="1" a="1"/>
  <c r="Y6" i="25" s="1"/>
  <c r="Y26" i="25" s="1"/>
  <c r="U675" i="44" a="1"/>
  <c r="U675" i="44" s="1"/>
  <c r="G697" i="44"/>
  <c r="C7" i="19" s="1" a="1"/>
  <c r="C7" i="19" s="1"/>
  <c r="S606" i="44" a="1"/>
  <c r="S606" i="44" s="1"/>
  <c r="H2" i="30" s="1" a="1"/>
  <c r="H2" i="30" s="1"/>
  <c r="K724" i="44"/>
  <c r="F6" i="22" s="1" a="1"/>
  <c r="F6" i="22" s="1"/>
  <c r="V612" i="44" a="1"/>
  <c r="V612" i="44" s="1"/>
  <c r="N2" i="10" s="1" a="1"/>
  <c r="N2" i="10" s="1"/>
  <c r="R636" i="44" a="1"/>
  <c r="R636" i="44" s="1"/>
  <c r="N3" i="29" s="1" a="1"/>
  <c r="N3" i="29" s="1"/>
  <c r="K716" i="44"/>
  <c r="V7" i="22" s="1" a="1"/>
  <c r="V7" i="22" s="1"/>
  <c r="K607" i="44" a="1"/>
  <c r="K607" i="44" s="1"/>
  <c r="I2" i="22" s="1" a="1"/>
  <c r="I2" i="22" s="1"/>
  <c r="Q606" i="44" a="1"/>
  <c r="Q606" i="44" s="1"/>
  <c r="H2" i="28" s="1" a="1"/>
  <c r="H2" i="28" s="1"/>
  <c r="P611" i="44" a="1"/>
  <c r="P611" i="44" s="1"/>
  <c r="M2" i="11" s="1" a="1"/>
  <c r="M2" i="11" s="1"/>
  <c r="N638" i="44" a="1"/>
  <c r="N638" i="44" s="1"/>
  <c r="P3" i="25" s="1" a="1"/>
  <c r="P3" i="25" s="1"/>
  <c r="P23" i="25" s="1"/>
  <c r="P725" i="44"/>
  <c r="G6" i="11" s="1" a="1"/>
  <c r="G6" i="11" s="1"/>
  <c r="N654" i="44" a="1"/>
  <c r="N654" i="44" s="1"/>
  <c r="H4" i="25" s="1" a="1"/>
  <c r="H4" i="25" s="1"/>
  <c r="H24" i="25" s="1"/>
  <c r="J692" i="44" a="1"/>
  <c r="J692" i="44" s="1"/>
  <c r="V5" i="21" s="1" a="1"/>
  <c r="V5" i="21" s="1"/>
  <c r="G644" i="44" a="1"/>
  <c r="G644" i="44" s="1"/>
  <c r="V3" i="19" s="1" a="1"/>
  <c r="V3" i="19" s="1"/>
  <c r="Q663" i="44" a="1"/>
  <c r="Q663" i="44" s="1"/>
  <c r="Q4" i="28" s="1" a="1"/>
  <c r="Q4" i="28" s="1"/>
  <c r="G679" i="44" a="1"/>
  <c r="G679" i="44" s="1"/>
  <c r="I5" i="19" s="1" a="1"/>
  <c r="I5" i="19" s="1"/>
  <c r="R646" i="44" a="1"/>
  <c r="R646" i="44" s="1"/>
  <c r="X3" i="29" s="1" a="1"/>
  <c r="X3" i="29" s="1"/>
  <c r="S649" i="44" a="1"/>
  <c r="S649" i="44" s="1"/>
  <c r="C4" i="30" s="1" a="1"/>
  <c r="C4" i="30" s="1"/>
  <c r="V725" i="44"/>
  <c r="G6" i="10" s="1" a="1"/>
  <c r="G6" i="10" s="1"/>
  <c r="J729" i="44"/>
  <c r="K6" i="21" s="1" a="1"/>
  <c r="K6" i="21" s="1"/>
  <c r="G618" i="44" a="1"/>
  <c r="G618" i="44" s="1"/>
  <c r="T2" i="19" s="1" a="1"/>
  <c r="T2" i="19" s="1"/>
  <c r="V661" i="44" a="1"/>
  <c r="V661" i="44" s="1"/>
  <c r="O4" i="10" s="1" a="1"/>
  <c r="O4" i="10" s="1"/>
  <c r="Q608" i="44" a="1"/>
  <c r="Q608" i="44" s="1"/>
  <c r="J2" i="28" s="1" a="1"/>
  <c r="J2" i="28" s="1"/>
  <c r="E682" i="44" a="1"/>
  <c r="E682" i="44" s="1"/>
  <c r="L5" i="17" s="1" a="1"/>
  <c r="L5" i="17" s="1"/>
  <c r="P654" i="44" a="1"/>
  <c r="P654" i="44" s="1"/>
  <c r="H4" i="11" s="1" a="1"/>
  <c r="H4" i="11" s="1"/>
  <c r="T654" i="44" a="1"/>
  <c r="T654" i="44" s="1"/>
  <c r="H4" i="31" s="1" a="1"/>
  <c r="H4" i="31" s="1"/>
  <c r="K627" i="44" a="1"/>
  <c r="K627" i="44" s="1"/>
  <c r="E3" i="22" s="1" a="1"/>
  <c r="E3" i="22" s="1"/>
  <c r="U725" i="44"/>
  <c r="G718" i="44"/>
  <c r="X7" i="19" s="1" a="1"/>
  <c r="X7" i="19" s="1"/>
  <c r="R613" i="44" a="1"/>
  <c r="R613" i="44" s="1"/>
  <c r="O2" i="29" s="1" a="1"/>
  <c r="O2" i="29" s="1"/>
  <c r="S705" i="44"/>
  <c r="K7" i="30" s="1" a="1"/>
  <c r="K7" i="30" s="1"/>
  <c r="H718" i="44"/>
  <c r="X7" i="16" s="1" a="1"/>
  <c r="X7" i="16" s="1"/>
  <c r="X27" i="16" s="1"/>
  <c r="Q615" i="44" a="1"/>
  <c r="Q615" i="44" s="1"/>
  <c r="Q2" i="28" s="1" a="1"/>
  <c r="Q2" i="28" s="1"/>
  <c r="T658" i="44" a="1"/>
  <c r="T658" i="44" s="1"/>
  <c r="L4" i="31" s="1" a="1"/>
  <c r="L4" i="31" s="1"/>
  <c r="Q649" i="44" a="1"/>
  <c r="Q649" i="44" s="1"/>
  <c r="C4" i="28" s="1" a="1"/>
  <c r="C4" i="28" s="1"/>
  <c r="H612" i="44" a="1"/>
  <c r="H612" i="44" s="1"/>
  <c r="N2" i="16" s="1" a="1"/>
  <c r="N2" i="16" s="1"/>
  <c r="N22" i="16" s="1"/>
  <c r="E728" i="44"/>
  <c r="J6" i="17" s="1" a="1"/>
  <c r="J6" i="17" s="1"/>
  <c r="K631" i="44" a="1"/>
  <c r="K631" i="44" s="1"/>
  <c r="I3" i="22" s="1" a="1"/>
  <c r="I3" i="22" s="1"/>
  <c r="K650" i="44" a="1"/>
  <c r="K650" i="44" s="1"/>
  <c r="D4" i="22" s="1" a="1"/>
  <c r="D4" i="22" s="1"/>
  <c r="K675" i="44" a="1"/>
  <c r="K675" i="44" s="1"/>
  <c r="E5" i="22" s="1" a="1"/>
  <c r="E5" i="22" s="1"/>
  <c r="K633" i="44" a="1"/>
  <c r="K633" i="44" s="1"/>
  <c r="K3" i="22" s="1" a="1"/>
  <c r="K3" i="22" s="1"/>
  <c r="G694" i="44" a="1"/>
  <c r="G694" i="44" s="1"/>
  <c r="X5" i="19" s="1" a="1"/>
  <c r="X5" i="19" s="1"/>
  <c r="N723" i="44"/>
  <c r="E6" i="25" s="1" a="1"/>
  <c r="E6" i="25" s="1"/>
  <c r="E26" i="25" s="1"/>
  <c r="J667" i="44" a="1"/>
  <c r="J667" i="44" s="1"/>
  <c r="U4" i="21" s="1" a="1"/>
  <c r="U4" i="21" s="1"/>
  <c r="H606" i="44" a="1"/>
  <c r="H606" i="44" s="1"/>
  <c r="H2" i="16" s="1" a="1"/>
  <c r="H2" i="16" s="1"/>
  <c r="H22" i="16" s="1"/>
  <c r="N650" i="44" a="1"/>
  <c r="N650" i="44" s="1"/>
  <c r="D4" i="25" s="1" a="1"/>
  <c r="D4" i="25" s="1"/>
  <c r="D24" i="25" s="1"/>
  <c r="J726" i="44"/>
  <c r="H6" i="21" s="1" a="1"/>
  <c r="H6" i="21" s="1"/>
  <c r="U716" i="44"/>
  <c r="G625" i="44" a="1"/>
  <c r="G625" i="44" s="1"/>
  <c r="C3" i="19" s="1" a="1"/>
  <c r="C3" i="19" s="1"/>
  <c r="P658" i="44" a="1"/>
  <c r="P658" i="44" s="1"/>
  <c r="L4" i="11" s="1" a="1"/>
  <c r="L4" i="11" s="1"/>
  <c r="S652" i="44" a="1"/>
  <c r="S652" i="44" s="1"/>
  <c r="F4" i="30" s="1" a="1"/>
  <c r="F4" i="30" s="1"/>
  <c r="T606" i="44" a="1"/>
  <c r="T606" i="44" s="1"/>
  <c r="H2" i="31" s="1" a="1"/>
  <c r="H2" i="31" s="1"/>
  <c r="R617" i="44" a="1"/>
  <c r="R617" i="44" s="1"/>
  <c r="S2" i="29" s="1" a="1"/>
  <c r="S2" i="29" s="1"/>
  <c r="T667" i="44" a="1"/>
  <c r="T667" i="44" s="1"/>
  <c r="U4" i="31" s="1" a="1"/>
  <c r="U4" i="31" s="1"/>
  <c r="S602" i="44" a="1"/>
  <c r="S602" i="44" s="1"/>
  <c r="D2" i="30" s="1" a="1"/>
  <c r="D2" i="30" s="1"/>
  <c r="H656" i="44" a="1"/>
  <c r="H656" i="44" s="1"/>
  <c r="J4" i="16" s="1" a="1"/>
  <c r="J4" i="16" s="1"/>
  <c r="J24" i="16" s="1"/>
  <c r="J608" i="44" a="1"/>
  <c r="J608" i="44" s="1"/>
  <c r="J2" i="21" s="1" a="1"/>
  <c r="J2" i="21" s="1"/>
  <c r="J605" i="44" a="1"/>
  <c r="J605" i="44" s="1"/>
  <c r="G2" i="21" s="1" a="1"/>
  <c r="G2" i="21" s="1"/>
  <c r="K609" i="44" a="1"/>
  <c r="K609" i="44" s="1"/>
  <c r="K2" i="22" s="1" a="1"/>
  <c r="K2" i="22" s="1"/>
  <c r="V720" i="44"/>
  <c r="B6" i="10" s="1" a="1"/>
  <c r="B6" i="10" s="1"/>
  <c r="T602" i="44" a="1"/>
  <c r="T602" i="44" s="1"/>
  <c r="D2" i="31" s="1" a="1"/>
  <c r="D2" i="31" s="1"/>
  <c r="K630" i="44" a="1"/>
  <c r="K630" i="44" s="1"/>
  <c r="H3" i="22" s="1" a="1"/>
  <c r="H3" i="22" s="1"/>
  <c r="U733" i="44"/>
  <c r="S732" i="44"/>
  <c r="N6" i="30" s="1" a="1"/>
  <c r="N6" i="30" s="1"/>
  <c r="S738" i="44"/>
  <c r="T6" i="30" s="1" a="1"/>
  <c r="T6" i="30" s="1"/>
  <c r="P625" i="44" a="1"/>
  <c r="P625" i="44" s="1"/>
  <c r="C3" i="11" s="1" a="1"/>
  <c r="C3" i="11" s="1"/>
  <c r="P608" i="44" a="1"/>
  <c r="P608" i="44" s="1"/>
  <c r="J2" i="11" s="1" a="1"/>
  <c r="J2" i="11" s="1"/>
  <c r="S706" i="44"/>
  <c r="L7" i="30" s="1" a="1"/>
  <c r="L7" i="30" s="1"/>
  <c r="J618" i="44" a="1"/>
  <c r="J618" i="44" s="1"/>
  <c r="T2" i="21" s="1" a="1"/>
  <c r="T2" i="21" s="1"/>
  <c r="U617" i="44" a="1"/>
  <c r="U617" i="44" s="1"/>
  <c r="P612" i="44" a="1"/>
  <c r="P612" i="44" s="1"/>
  <c r="N2" i="11" s="1" a="1"/>
  <c r="N2" i="11" s="1"/>
  <c r="K612" i="44" a="1"/>
  <c r="K612" i="44" s="1"/>
  <c r="N2" i="22" s="1" a="1"/>
  <c r="N2" i="22" s="1"/>
  <c r="H621" i="44" a="1"/>
  <c r="H621" i="44" s="1"/>
  <c r="W2" i="16" s="1" a="1"/>
  <c r="W2" i="16" s="1"/>
  <c r="W22" i="16" s="1"/>
  <c r="R607" i="44" a="1"/>
  <c r="R607" i="44" s="1"/>
  <c r="I2" i="29" s="1" a="1"/>
  <c r="I2" i="29" s="1"/>
  <c r="N619" i="44" a="1"/>
  <c r="N619" i="44" s="1"/>
  <c r="U2" i="25" s="1" a="1"/>
  <c r="U2" i="25" s="1"/>
  <c r="U22" i="25" s="1"/>
  <c r="V640" i="44" a="1"/>
  <c r="V640" i="44" s="1"/>
  <c r="R3" i="10" s="1" a="1"/>
  <c r="R3" i="10" s="1"/>
  <c r="V707" i="44"/>
  <c r="M7" i="10" s="1" a="1"/>
  <c r="M7" i="10" s="1"/>
  <c r="V675" i="44" a="1"/>
  <c r="V675" i="44" s="1"/>
  <c r="E5" i="10" s="1" a="1"/>
  <c r="E5" i="10" s="1"/>
  <c r="K654" i="44" a="1"/>
  <c r="K654" i="44" s="1"/>
  <c r="H4" i="22" s="1" a="1"/>
  <c r="H4" i="22" s="1"/>
  <c r="K667" i="44" a="1"/>
  <c r="K667" i="44" s="1"/>
  <c r="U4" i="22" s="1" a="1"/>
  <c r="U4" i="22" s="1"/>
  <c r="K615" i="44" a="1"/>
  <c r="K615" i="44" s="1"/>
  <c r="Q2" i="22" s="1" a="1"/>
  <c r="Q2" i="22" s="1"/>
  <c r="T717" i="44"/>
  <c r="W7" i="31" s="1" a="1"/>
  <c r="W7" i="31" s="1"/>
  <c r="T611" i="44" a="1"/>
  <c r="T611" i="44" s="1"/>
  <c r="M2" i="31" s="1" a="1"/>
  <c r="M2" i="31" s="1"/>
  <c r="T644" i="44" a="1"/>
  <c r="T644" i="44" s="1"/>
  <c r="V3" i="31" s="1" a="1"/>
  <c r="V3" i="31" s="1"/>
  <c r="T701" i="44"/>
  <c r="G7" i="31" s="1" a="1"/>
  <c r="G7" i="31" s="1"/>
  <c r="T696" i="44"/>
  <c r="B7" i="31" s="1" a="1"/>
  <c r="B7" i="31" s="1"/>
  <c r="T681" i="44" a="1"/>
  <c r="T681" i="44" s="1"/>
  <c r="K5" i="31" s="1" a="1"/>
  <c r="K5" i="31" s="1"/>
  <c r="K710" i="44"/>
  <c r="P7" i="22" s="1" a="1"/>
  <c r="P7" i="22" s="1"/>
  <c r="K706" i="44"/>
  <c r="L7" i="22" s="1" a="1"/>
  <c r="L7" i="22" s="1"/>
  <c r="K678" i="44" a="1"/>
  <c r="K678" i="44" s="1"/>
  <c r="H5" i="22" s="1" a="1"/>
  <c r="H5" i="22" s="1"/>
  <c r="J711" i="44"/>
  <c r="Q7" i="21" s="1" a="1"/>
  <c r="Q7" i="21" s="1"/>
  <c r="J741" i="44"/>
  <c r="W6" i="21" s="1" a="1"/>
  <c r="W6" i="21" s="1"/>
  <c r="J736" i="44"/>
  <c r="R6" i="21" s="1" a="1"/>
  <c r="R6" i="21" s="1"/>
  <c r="J715" i="44"/>
  <c r="U7" i="21" s="1" a="1"/>
  <c r="U7" i="21" s="1"/>
  <c r="U645" i="44" a="1"/>
  <c r="U645" i="44" s="1"/>
  <c r="R628" i="44" a="1"/>
  <c r="R628" i="44" s="1"/>
  <c r="F3" i="29" s="1" a="1"/>
  <c r="F3" i="29" s="1"/>
  <c r="P629" i="44" a="1"/>
  <c r="P629" i="44" s="1"/>
  <c r="G3" i="11" s="1" a="1"/>
  <c r="G3" i="11" s="1"/>
  <c r="H604" i="44" a="1"/>
  <c r="H604" i="44" s="1"/>
  <c r="F2" i="16" s="1" a="1"/>
  <c r="F2" i="16" s="1"/>
  <c r="F22" i="16" s="1"/>
  <c r="E734" i="44"/>
  <c r="P6" i="17" s="1" a="1"/>
  <c r="P6" i="17" s="1"/>
  <c r="R655" i="44" a="1"/>
  <c r="R655" i="44" s="1"/>
  <c r="I4" i="29" s="1" a="1"/>
  <c r="I4" i="29" s="1"/>
  <c r="V715" i="44"/>
  <c r="U7" i="10" s="1" a="1"/>
  <c r="U7" i="10" s="1"/>
  <c r="V683" i="44" a="1"/>
  <c r="V683" i="44" s="1"/>
  <c r="M5" i="10" s="1" a="1"/>
  <c r="M5" i="10" s="1"/>
  <c r="K691" i="44" a="1"/>
  <c r="K691" i="44" s="1"/>
  <c r="U5" i="22" s="1" a="1"/>
  <c r="U5" i="22" s="1"/>
  <c r="K698" i="44"/>
  <c r="D7" i="22" s="1" a="1"/>
  <c r="D7" i="22" s="1"/>
  <c r="K617" i="44" a="1"/>
  <c r="K617" i="44" s="1"/>
  <c r="S2" i="22" s="1" a="1"/>
  <c r="S2" i="22" s="1"/>
  <c r="T709" i="44"/>
  <c r="O7" i="31" s="1" a="1"/>
  <c r="O7" i="31" s="1"/>
  <c r="T703" i="44"/>
  <c r="I7" i="31" s="1" a="1"/>
  <c r="I7" i="31" s="1"/>
  <c r="K682" i="44" a="1"/>
  <c r="K682" i="44" s="1"/>
  <c r="L5" i="22" s="1" a="1"/>
  <c r="L5" i="22" s="1"/>
  <c r="N633" i="44" a="1"/>
  <c r="N633" i="44" s="1"/>
  <c r="K3" i="25" s="1" a="1"/>
  <c r="K3" i="25" s="1"/>
  <c r="K23" i="25" s="1"/>
  <c r="J732" i="44"/>
  <c r="N6" i="21" s="1" a="1"/>
  <c r="N6" i="21" s="1"/>
  <c r="J690" i="44" a="1"/>
  <c r="J690" i="44" s="1"/>
  <c r="T5" i="21" s="1" a="1"/>
  <c r="T5" i="21" s="1"/>
  <c r="N641" i="44" a="1"/>
  <c r="N641" i="44" s="1"/>
  <c r="S3" i="25" s="1" a="1"/>
  <c r="S3" i="25" s="1"/>
  <c r="S23" i="25" s="1"/>
  <c r="J735" i="44"/>
  <c r="Q6" i="21" s="1" a="1"/>
  <c r="Q6" i="21" s="1"/>
  <c r="G683" i="44" a="1"/>
  <c r="G683" i="44" s="1"/>
  <c r="M5" i="19" s="1" a="1"/>
  <c r="M5" i="19" s="1"/>
  <c r="G659" i="44" a="1"/>
  <c r="G659" i="44" s="1"/>
  <c r="M4" i="19" s="1" a="1"/>
  <c r="M4" i="19" s="1"/>
  <c r="V705" i="44"/>
  <c r="K7" i="10" s="1" a="1"/>
  <c r="K7" i="10" s="1"/>
  <c r="Q722" i="44"/>
  <c r="D6" i="28" s="1" a="1"/>
  <c r="D6" i="28" s="1"/>
  <c r="V610" i="44" a="1"/>
  <c r="V610" i="44" s="1"/>
  <c r="L2" i="10" s="1" a="1"/>
  <c r="L2" i="10" s="1"/>
  <c r="V601" i="44" a="1"/>
  <c r="V601" i="44" s="1"/>
  <c r="C2" i="10" s="1" a="1"/>
  <c r="C2" i="10" s="1"/>
  <c r="S613" i="44" a="1"/>
  <c r="S613" i="44" s="1"/>
  <c r="O2" i="30" s="1" a="1"/>
  <c r="O2" i="30" s="1"/>
  <c r="U615" i="44" a="1"/>
  <c r="U615" i="44" s="1"/>
  <c r="J612" i="44" a="1"/>
  <c r="J612" i="44" s="1"/>
  <c r="N2" i="21" s="1" a="1"/>
  <c r="N2" i="21" s="1"/>
  <c r="U603" i="44" a="1"/>
  <c r="U603" i="44" s="1"/>
  <c r="R602" i="44" a="1"/>
  <c r="R602" i="44" s="1"/>
  <c r="D2" i="29" s="1" a="1"/>
  <c r="D2" i="29" s="1"/>
  <c r="E610" i="44" a="1"/>
  <c r="E610" i="44" s="1"/>
  <c r="L2" i="17" s="1" a="1"/>
  <c r="L2" i="17" s="1"/>
  <c r="E729" i="44"/>
  <c r="K6" i="17" s="1" a="1"/>
  <c r="K6" i="17" s="1"/>
  <c r="V669" i="44" a="1"/>
  <c r="V669" i="44" s="1"/>
  <c r="W4" i="10" s="1" a="1"/>
  <c r="W4" i="10" s="1"/>
  <c r="T615" i="44" a="1"/>
  <c r="T615" i="44" s="1"/>
  <c r="Q2" i="31" s="1" a="1"/>
  <c r="Q2" i="31" s="1"/>
  <c r="T714" i="44"/>
  <c r="T7" i="31" s="1" a="1"/>
  <c r="T7" i="31" s="1"/>
  <c r="T622" i="44" a="1"/>
  <c r="T622" i="44" s="1"/>
  <c r="X2" i="31" s="1" a="1"/>
  <c r="X2" i="31" s="1"/>
  <c r="T678" i="44" a="1"/>
  <c r="T678" i="44" s="1"/>
  <c r="H5" i="31" s="1" a="1"/>
  <c r="H5" i="31" s="1"/>
  <c r="T724" i="44"/>
  <c r="F6" i="31" s="1" a="1"/>
  <c r="F6" i="31" s="1"/>
  <c r="T674" i="44" a="1"/>
  <c r="T674" i="44" s="1"/>
  <c r="D5" i="31" s="1" a="1"/>
  <c r="D5" i="31" s="1"/>
  <c r="K688" i="44" a="1"/>
  <c r="K688" i="44" s="1"/>
  <c r="R5" i="22" s="1" a="1"/>
  <c r="R5" i="22" s="1"/>
  <c r="N739" i="44"/>
  <c r="U6" i="25" s="1" a="1"/>
  <c r="U6" i="25" s="1"/>
  <c r="U26" i="25" s="1"/>
  <c r="Q632" i="44" a="1"/>
  <c r="Q632" i="44" s="1"/>
  <c r="J3" i="28" s="1" a="1"/>
  <c r="J3" i="28" s="1"/>
  <c r="Q674" i="44" a="1"/>
  <c r="Q674" i="44" s="1"/>
  <c r="D5" i="28" s="1" a="1"/>
  <c r="D5" i="28" s="1"/>
  <c r="T737" i="44"/>
  <c r="S6" i="31" s="1" a="1"/>
  <c r="S6" i="31" s="1"/>
  <c r="G657" i="44" a="1"/>
  <c r="G657" i="44" s="1"/>
  <c r="K4" i="19" s="1" a="1"/>
  <c r="K4" i="19" s="1"/>
  <c r="G638" i="44" a="1"/>
  <c r="G638" i="44" s="1"/>
  <c r="P3" i="19" s="1" a="1"/>
  <c r="P3" i="19" s="1"/>
  <c r="R606" i="44" a="1"/>
  <c r="R606" i="44" s="1"/>
  <c r="H2" i="29" s="1" a="1"/>
  <c r="H2" i="29" s="1"/>
  <c r="S619" i="44" a="1"/>
  <c r="S619" i="44" s="1"/>
  <c r="U2" i="30" s="1" a="1"/>
  <c r="U2" i="30" s="1"/>
  <c r="U623" i="44" a="1"/>
  <c r="U623" i="44" s="1"/>
  <c r="E742" i="44"/>
  <c r="X6" i="17" s="1" a="1"/>
  <c r="X6" i="17" s="1"/>
  <c r="Q661" i="44" a="1"/>
  <c r="Q661" i="44" s="1"/>
  <c r="O4" i="28" s="1" a="1"/>
  <c r="O4" i="28" s="1"/>
  <c r="V613" i="44" a="1"/>
  <c r="V613" i="44" s="1"/>
  <c r="O2" i="10" s="1" a="1"/>
  <c r="O2" i="10" s="1"/>
  <c r="K647" i="44" a="1"/>
  <c r="K647" i="44" s="1"/>
  <c r="Y3" i="22" s="1" a="1"/>
  <c r="Y3" i="22" s="1"/>
  <c r="K697" i="44"/>
  <c r="C7" i="22" s="1" a="1"/>
  <c r="C7" i="22" s="1"/>
  <c r="K696" i="44"/>
  <c r="B7" i="22" s="1" a="1"/>
  <c r="B7" i="22" s="1"/>
  <c r="T675" i="44" a="1"/>
  <c r="T675" i="44" s="1"/>
  <c r="E5" i="31" s="1" a="1"/>
  <c r="E5" i="31" s="1"/>
  <c r="J637" i="44" a="1"/>
  <c r="J637" i="44" s="1"/>
  <c r="O3" i="21" s="1" a="1"/>
  <c r="O3" i="21" s="1"/>
  <c r="S662" i="44" a="1"/>
  <c r="S662" i="44" s="1"/>
  <c r="P4" i="30" s="1" a="1"/>
  <c r="P4" i="30" s="1"/>
  <c r="S694" i="44" a="1"/>
  <c r="S694" i="44" s="1"/>
  <c r="X5" i="30" s="1" a="1"/>
  <c r="X5" i="30" s="1"/>
  <c r="S722" i="44"/>
  <c r="D6" i="30" s="1" a="1"/>
  <c r="D6" i="30" s="1"/>
  <c r="S654" i="44" a="1"/>
  <c r="S654" i="44" s="1"/>
  <c r="H4" i="30" s="1" a="1"/>
  <c r="H4" i="30" s="1"/>
  <c r="R645" i="44" a="1"/>
  <c r="R645" i="44" s="1"/>
  <c r="W3" i="29" s="1" a="1"/>
  <c r="W3" i="29" s="1"/>
  <c r="R665" i="44" a="1"/>
  <c r="R665" i="44" s="1"/>
  <c r="S4" i="29" s="1" a="1"/>
  <c r="S4" i="29" s="1"/>
  <c r="R715" i="44"/>
  <c r="U7" i="29" s="1" a="1"/>
  <c r="U7" i="29" s="1"/>
  <c r="P666" i="44" a="1"/>
  <c r="P666" i="44" s="1"/>
  <c r="T4" i="11" s="1" a="1"/>
  <c r="T4" i="11" s="1"/>
  <c r="G656" i="44" a="1"/>
  <c r="G656" i="44" s="1"/>
  <c r="J4" i="19" s="1" a="1"/>
  <c r="J4" i="19" s="1"/>
  <c r="Q650" i="44" a="1"/>
  <c r="Q650" i="44" s="1"/>
  <c r="D4" i="28" s="1" a="1"/>
  <c r="D4" i="28" s="1"/>
  <c r="Q655" i="44" a="1"/>
  <c r="Q655" i="44" s="1"/>
  <c r="I4" i="28" s="1" a="1"/>
  <c r="I4" i="28" s="1"/>
  <c r="P739" i="44"/>
  <c r="U6" i="11" s="1" a="1"/>
  <c r="U6" i="11" s="1"/>
  <c r="P698" i="44"/>
  <c r="D7" i="11" s="1" a="1"/>
  <c r="D7" i="11" s="1"/>
  <c r="K629" i="44" a="1"/>
  <c r="K629" i="44" s="1"/>
  <c r="G3" i="22" s="1" a="1"/>
  <c r="G3" i="22" s="1"/>
  <c r="V722" i="44"/>
  <c r="D6" i="10" s="1" a="1"/>
  <c r="D6" i="10" s="1"/>
  <c r="K628" i="44" a="1"/>
  <c r="K628" i="44" s="1"/>
  <c r="F3" i="22" s="1" a="1"/>
  <c r="F3" i="22" s="1"/>
  <c r="T642" i="44" a="1"/>
  <c r="T642" i="44" s="1"/>
  <c r="T3" i="31" s="1" a="1"/>
  <c r="T3" i="31" s="1"/>
  <c r="G742" i="44"/>
  <c r="X6" i="19" s="1" a="1"/>
  <c r="X6" i="19" s="1"/>
  <c r="N733" i="44"/>
  <c r="O6" i="25" s="1" a="1"/>
  <c r="O6" i="25" s="1"/>
  <c r="O26" i="25" s="1"/>
  <c r="R706" i="44"/>
  <c r="L7" i="29" s="1" a="1"/>
  <c r="L7" i="29" s="1"/>
  <c r="E655" i="44" a="1"/>
  <c r="E655" i="44" s="1"/>
  <c r="I4" i="17" s="1" a="1"/>
  <c r="I4" i="17" s="1"/>
  <c r="Q713" i="44"/>
  <c r="S7" i="28" s="1" a="1"/>
  <c r="S7" i="28" s="1"/>
  <c r="K713" i="44"/>
  <c r="S7" i="22" s="1" a="1"/>
  <c r="S7" i="22" s="1"/>
  <c r="K709" i="44"/>
  <c r="O7" i="22" s="1" a="1"/>
  <c r="O7" i="22" s="1"/>
  <c r="Q706" i="44"/>
  <c r="L7" i="28" s="1" a="1"/>
  <c r="L7" i="28" s="1"/>
  <c r="K711" i="44"/>
  <c r="Q7" i="22" s="1" a="1"/>
  <c r="Q7" i="22" s="1"/>
  <c r="H663" i="44" a="1"/>
  <c r="H663" i="44" s="1"/>
  <c r="Q4" i="16" s="1" a="1"/>
  <c r="Q4" i="16" s="1"/>
  <c r="Q24" i="16" s="1"/>
  <c r="T623" i="44" a="1"/>
  <c r="T623" i="44" s="1"/>
  <c r="Y2" i="31" s="1" a="1"/>
  <c r="Y2" i="31" s="1"/>
  <c r="H705" i="44"/>
  <c r="K7" i="16" s="1" a="1"/>
  <c r="K7" i="16" s="1"/>
  <c r="K27" i="16" s="1"/>
  <c r="V630" i="44" a="1"/>
  <c r="V630" i="44" s="1"/>
  <c r="H3" i="10" s="1" a="1"/>
  <c r="H3" i="10" s="1"/>
  <c r="R734" i="44"/>
  <c r="P6" i="29" s="1" a="1"/>
  <c r="P6" i="29" s="1"/>
  <c r="N725" i="44"/>
  <c r="G6" i="25" s="1" a="1"/>
  <c r="G6" i="25" s="1"/>
  <c r="G26" i="25" s="1"/>
  <c r="J621" i="44" a="1"/>
  <c r="J621" i="44" s="1"/>
  <c r="W2" i="21" s="1" a="1"/>
  <c r="W2" i="21" s="1"/>
  <c r="V703" i="44"/>
  <c r="I7" i="10" s="1" a="1"/>
  <c r="I7" i="10" s="1"/>
  <c r="Q609" i="44" a="1"/>
  <c r="Q609" i="44" s="1"/>
  <c r="K2" i="28" s="1" a="1"/>
  <c r="K2" i="28" s="1"/>
  <c r="R667" i="44" a="1"/>
  <c r="R667" i="44" s="1"/>
  <c r="U4" i="29" s="1" a="1"/>
  <c r="U4" i="29" s="1"/>
  <c r="E626" i="44" a="1"/>
  <c r="E626" i="44" s="1"/>
  <c r="D3" i="17" s="1" a="1"/>
  <c r="D3" i="17" s="1"/>
  <c r="S739" i="44"/>
  <c r="U6" i="30" s="1" a="1"/>
  <c r="U6" i="30" s="1"/>
  <c r="K602" i="44" a="1"/>
  <c r="K602" i="44" s="1"/>
  <c r="D2" i="22" s="1" a="1"/>
  <c r="D2" i="22" s="1"/>
  <c r="J615" i="44" a="1"/>
  <c r="J615" i="44" s="1"/>
  <c r="Q2" i="21" s="1" a="1"/>
  <c r="Q2" i="21" s="1"/>
  <c r="Q611" i="44" a="1"/>
  <c r="Q611" i="44" s="1"/>
  <c r="M2" i="28" s="1" a="1"/>
  <c r="M2" i="28" s="1"/>
  <c r="V616" i="44" a="1"/>
  <c r="V616" i="44" s="1"/>
  <c r="R2" i="10" s="1" a="1"/>
  <c r="R2" i="10" s="1"/>
  <c r="G601" i="44" a="1"/>
  <c r="G601" i="44" s="1"/>
  <c r="C2" i="19" s="1" a="1"/>
  <c r="C2" i="19" s="1"/>
  <c r="R608" i="44" a="1"/>
  <c r="R608" i="44" s="1"/>
  <c r="J2" i="29" s="1" a="1"/>
  <c r="J2" i="29" s="1"/>
  <c r="J660" i="44" a="1"/>
  <c r="J660" i="44" s="1"/>
  <c r="N4" i="21" s="1" a="1"/>
  <c r="N4" i="21" s="1"/>
  <c r="K728" i="44"/>
  <c r="J6" i="22" s="1" a="1"/>
  <c r="J6" i="22" s="1"/>
  <c r="U739" i="44"/>
  <c r="R726" i="44"/>
  <c r="H6" i="29" s="1" a="1"/>
  <c r="H6" i="29" s="1"/>
  <c r="G701" i="44"/>
  <c r="G7" i="19" s="1" a="1"/>
  <c r="G7" i="19" s="1"/>
  <c r="U606" i="44" a="1"/>
  <c r="U606" i="44" s="1"/>
  <c r="H602" i="44" a="1"/>
  <c r="H602" i="44" s="1"/>
  <c r="D2" i="16" s="1" a="1"/>
  <c r="D2" i="16" s="1"/>
  <c r="D22" i="16" s="1"/>
  <c r="U604" i="44" a="1"/>
  <c r="U604" i="44" s="1"/>
  <c r="T621" i="44" a="1"/>
  <c r="T621" i="44" s="1"/>
  <c r="W2" i="31" s="1" a="1"/>
  <c r="W2" i="31" s="1"/>
  <c r="N620" i="44" a="1"/>
  <c r="N620" i="44" s="1"/>
  <c r="V2" i="25" s="1" a="1"/>
  <c r="V2" i="25" s="1"/>
  <c r="V22" i="25" s="1"/>
  <c r="Q709" i="44"/>
  <c r="O7" i="28" s="1" a="1"/>
  <c r="O7" i="28" s="1"/>
  <c r="E738" i="44"/>
  <c r="T6" i="17" s="1" a="1"/>
  <c r="T6" i="17" s="1"/>
  <c r="V743" i="44"/>
  <c r="Y6" i="10" s="1" a="1"/>
  <c r="Y6" i="10" s="1"/>
  <c r="G738" i="44"/>
  <c r="T6" i="19" s="1" a="1"/>
  <c r="T6" i="19" s="1"/>
  <c r="U680" i="44" a="1"/>
  <c r="U680" i="44" s="1"/>
  <c r="P647" i="44" a="1"/>
  <c r="P647" i="44" s="1"/>
  <c r="Y3" i="11" s="1" a="1"/>
  <c r="Y3" i="11" s="1"/>
  <c r="Q725" i="44"/>
  <c r="G6" i="28" s="1" a="1"/>
  <c r="G6" i="28" s="1"/>
  <c r="Q734" i="44"/>
  <c r="P6" i="28" s="1" a="1"/>
  <c r="P6" i="28" s="1"/>
  <c r="R601" i="44" a="1"/>
  <c r="R601" i="44" s="1"/>
  <c r="C2" i="29" s="1" a="1"/>
  <c r="C2" i="29" s="1"/>
  <c r="Q619" i="44" a="1"/>
  <c r="Q619" i="44" s="1"/>
  <c r="U2" i="28" s="1" a="1"/>
  <c r="U2" i="28" s="1"/>
  <c r="S608" i="44" a="1"/>
  <c r="S608" i="44" s="1"/>
  <c r="J2" i="30" s="1" a="1"/>
  <c r="J2" i="30" s="1"/>
  <c r="P627" i="44" a="1"/>
  <c r="P627" i="44" s="1"/>
  <c r="E3" i="11" s="1" a="1"/>
  <c r="E3" i="11" s="1"/>
  <c r="E693" i="44" a="1"/>
  <c r="E693" i="44" s="1"/>
  <c r="W5" i="17" s="1" a="1"/>
  <c r="W5" i="17" s="1"/>
  <c r="E690" i="44" a="1"/>
  <c r="E690" i="44" s="1"/>
  <c r="T5" i="17" s="1" a="1"/>
  <c r="T5" i="17" s="1"/>
  <c r="V730" i="44"/>
  <c r="L6" i="10" s="1" a="1"/>
  <c r="L6" i="10" s="1"/>
  <c r="J634" i="44" a="1"/>
  <c r="J634" i="44" s="1"/>
  <c r="L3" i="21" s="1" a="1"/>
  <c r="L3" i="21" s="1"/>
  <c r="T630" i="44" a="1"/>
  <c r="T630" i="44" s="1"/>
  <c r="H3" i="31" s="1" a="1"/>
  <c r="H3" i="31" s="1"/>
  <c r="G628" i="44" a="1"/>
  <c r="G628" i="44" s="1"/>
  <c r="F3" i="19" s="1" a="1"/>
  <c r="F3" i="19" s="1"/>
  <c r="G720" i="44"/>
  <c r="B6" i="19" s="1" a="1"/>
  <c r="B6" i="19" s="1"/>
  <c r="J720" i="44"/>
  <c r="B6" i="21" s="1" a="1"/>
  <c r="B6" i="21" s="1"/>
  <c r="J611" i="44" a="1"/>
  <c r="J611" i="44" s="1"/>
  <c r="M2" i="21" s="1" a="1"/>
  <c r="M2" i="21" s="1"/>
  <c r="P603" i="44" a="1"/>
  <c r="P603" i="44" s="1"/>
  <c r="E2" i="11" s="1" a="1"/>
  <c r="E2" i="11" s="1"/>
  <c r="V741" i="44"/>
  <c r="W6" i="10" s="1" a="1"/>
  <c r="W6" i="10" s="1"/>
  <c r="V723" i="44"/>
  <c r="E6" i="10" s="1" a="1"/>
  <c r="E6" i="10" s="1"/>
  <c r="V679" i="44" a="1"/>
  <c r="V679" i="44" s="1"/>
  <c r="I5" i="10" s="1" a="1"/>
  <c r="I5" i="10" s="1"/>
  <c r="T691" i="44" a="1"/>
  <c r="T691" i="44" s="1"/>
  <c r="U5" i="31" s="1" a="1"/>
  <c r="U5" i="31" s="1"/>
  <c r="T634" i="44" a="1"/>
  <c r="T634" i="44" s="1"/>
  <c r="L3" i="31" s="1" a="1"/>
  <c r="L3" i="31" s="1"/>
  <c r="R730" i="44"/>
  <c r="L6" i="29" s="1" a="1"/>
  <c r="L6" i="29" s="1"/>
  <c r="Q737" i="44"/>
  <c r="S6" i="28" s="1" a="1"/>
  <c r="S6" i="28" s="1"/>
  <c r="S604" i="44" a="1"/>
  <c r="S604" i="44" s="1"/>
  <c r="F2" i="30" s="1" a="1"/>
  <c r="F2" i="30" s="1"/>
  <c r="M625" i="44" a="1"/>
  <c r="M625" i="44" s="1"/>
  <c r="C3" i="24" s="1" a="1"/>
  <c r="C3" i="24" s="1"/>
  <c r="C23" i="24" s="1"/>
  <c r="E621" i="44" a="1"/>
  <c r="E621" i="44" s="1"/>
  <c r="W2" i="17" s="1" a="1"/>
  <c r="W2" i="17" s="1"/>
  <c r="G615" i="44" a="1"/>
  <c r="G615" i="44" s="1"/>
  <c r="Q2" i="19" s="1" a="1"/>
  <c r="Q2" i="19" s="1"/>
  <c r="N742" i="44"/>
  <c r="X6" i="25" s="1" a="1"/>
  <c r="X6" i="25" s="1"/>
  <c r="X26" i="25" s="1"/>
  <c r="G713" i="44"/>
  <c r="S7" i="19" s="1" a="1"/>
  <c r="S7" i="19" s="1"/>
  <c r="G685" i="44" a="1"/>
  <c r="G685" i="44" s="1"/>
  <c r="O5" i="19" s="1" a="1"/>
  <c r="O5" i="19" s="1"/>
  <c r="U612" i="44" a="1"/>
  <c r="U612" i="44" s="1"/>
  <c r="U721" i="44"/>
  <c r="U624" i="44" a="1"/>
  <c r="U624" i="44" s="1"/>
  <c r="N660" i="44" a="1"/>
  <c r="N660" i="44" s="1"/>
  <c r="N4" i="25" s="1" a="1"/>
  <c r="N4" i="25" s="1"/>
  <c r="N24" i="25" s="1"/>
  <c r="R716" i="44"/>
  <c r="V7" i="29" s="1" a="1"/>
  <c r="V7" i="29" s="1"/>
  <c r="P616" i="44" a="1"/>
  <c r="P616" i="44" s="1"/>
  <c r="R2" i="11" s="1" a="1"/>
  <c r="R2" i="11" s="1"/>
  <c r="R669" i="44" a="1"/>
  <c r="R669" i="44" s="1"/>
  <c r="W4" i="29" s="1" a="1"/>
  <c r="W4" i="29" s="1"/>
  <c r="Q698" i="44"/>
  <c r="D7" i="28" s="1" a="1"/>
  <c r="D7" i="28" s="1"/>
  <c r="V735" i="44"/>
  <c r="Q6" i="10" s="1" a="1"/>
  <c r="Q6" i="10" s="1"/>
  <c r="G736" i="44"/>
  <c r="R6" i="19" s="1" a="1"/>
  <c r="R6" i="19" s="1"/>
  <c r="S687" i="44" a="1"/>
  <c r="S687" i="44" s="1"/>
  <c r="Q5" i="30" s="1" a="1"/>
  <c r="Q5" i="30" s="1"/>
  <c r="E730" i="44"/>
  <c r="L6" i="17" s="1" a="1"/>
  <c r="L6" i="17" s="1"/>
  <c r="Q668" i="44" a="1"/>
  <c r="Q668" i="44" s="1"/>
  <c r="V4" i="28" s="1" a="1"/>
  <c r="V4" i="28" s="1"/>
  <c r="S663" i="44" a="1"/>
  <c r="S663" i="44" s="1"/>
  <c r="Q4" i="30" s="1" a="1"/>
  <c r="Q4" i="30" s="1"/>
  <c r="P669" i="44" a="1"/>
  <c r="P669" i="44" s="1"/>
  <c r="W4" i="11" s="1" a="1"/>
  <c r="W4" i="11" s="1"/>
  <c r="T735" i="44"/>
  <c r="Q6" i="31" s="1" a="1"/>
  <c r="Q6" i="31" s="1"/>
  <c r="T721" i="44"/>
  <c r="C6" i="31" s="1" a="1"/>
  <c r="C6" i="31" s="1"/>
  <c r="J655" i="44" a="1"/>
  <c r="J655" i="44" s="1"/>
  <c r="I4" i="21" s="1" a="1"/>
  <c r="I4" i="21" s="1"/>
  <c r="T722" i="44"/>
  <c r="D6" i="31" s="1" a="1"/>
  <c r="D6" i="31" s="1"/>
  <c r="T684" i="44" a="1"/>
  <c r="T684" i="44" s="1"/>
  <c r="N5" i="31" s="1" a="1"/>
  <c r="N5" i="31" s="1"/>
  <c r="G634" i="44" a="1"/>
  <c r="G634" i="44" s="1"/>
  <c r="L3" i="19" s="1" a="1"/>
  <c r="L3" i="19" s="1"/>
  <c r="G642" i="44" a="1"/>
  <c r="G642" i="44" s="1"/>
  <c r="T3" i="19" s="1" a="1"/>
  <c r="T3" i="19" s="1"/>
  <c r="U637" i="44" a="1"/>
  <c r="U637" i="44" s="1"/>
  <c r="T605" i="44" a="1"/>
  <c r="T605" i="44" s="1"/>
  <c r="G2" i="31" s="1" a="1"/>
  <c r="G2" i="31" s="1"/>
  <c r="G639" i="44" a="1"/>
  <c r="G639" i="44" s="1"/>
  <c r="Q3" i="19" s="1" a="1"/>
  <c r="Q3" i="19" s="1"/>
  <c r="N741" i="44"/>
  <c r="W6" i="25" s="1" a="1"/>
  <c r="W6" i="25" s="1"/>
  <c r="W26" i="25" s="1"/>
  <c r="T607" i="44" a="1"/>
  <c r="T607" i="44" s="1"/>
  <c r="I2" i="31" s="1" a="1"/>
  <c r="I2" i="31" s="1"/>
  <c r="V619" i="44" a="1"/>
  <c r="V619" i="44" s="1"/>
  <c r="U2" i="10" s="1" a="1"/>
  <c r="U2" i="10" s="1"/>
  <c r="S616" i="44" a="1"/>
  <c r="S616" i="44" s="1"/>
  <c r="R2" i="30" s="1" a="1"/>
  <c r="R2" i="30" s="1"/>
  <c r="S618" i="44" a="1"/>
  <c r="S618" i="44" s="1"/>
  <c r="T2" i="30" s="1" a="1"/>
  <c r="T2" i="30" s="1"/>
  <c r="H608" i="44" a="1"/>
  <c r="H608" i="44" s="1"/>
  <c r="J2" i="16" s="1" a="1"/>
  <c r="J2" i="16" s="1"/>
  <c r="J22" i="16" s="1"/>
  <c r="K649" i="44" a="1"/>
  <c r="K649" i="44" s="1"/>
  <c r="C4" i="22" s="1" a="1"/>
  <c r="C4" i="22" s="1"/>
  <c r="E683" i="44" a="1"/>
  <c r="E683" i="44" s="1"/>
  <c r="M5" i="17" s="1" a="1"/>
  <c r="M5" i="17" s="1"/>
  <c r="E721" i="44"/>
  <c r="C6" i="17" s="1" a="1"/>
  <c r="C6" i="17" s="1"/>
  <c r="E695" i="44" a="1"/>
  <c r="E695" i="44" s="1"/>
  <c r="Y5" i="17" s="1" a="1"/>
  <c r="Y5" i="17" s="1"/>
  <c r="E699" i="44"/>
  <c r="E7" i="17" s="1" a="1"/>
  <c r="E7" i="17" s="1"/>
  <c r="P733" i="44"/>
  <c r="O6" i="11" s="1" a="1"/>
  <c r="O6" i="11" s="1"/>
  <c r="P736" i="44"/>
  <c r="R6" i="11" s="1" a="1"/>
  <c r="R6" i="11" s="1"/>
  <c r="V639" i="44" a="1"/>
  <c r="V639" i="44" s="1"/>
  <c r="Q3" i="10" s="1" a="1"/>
  <c r="Q3" i="10" s="1"/>
  <c r="K685" i="44" a="1"/>
  <c r="K685" i="44" s="1"/>
  <c r="O5" i="22" s="1" a="1"/>
  <c r="O5" i="22" s="1"/>
  <c r="T643" i="44" a="1"/>
  <c r="T643" i="44" s="1"/>
  <c r="U3" i="31" s="1" a="1"/>
  <c r="U3" i="31" s="1"/>
  <c r="T741" i="44"/>
  <c r="W6" i="31" s="1" a="1"/>
  <c r="W6" i="31" s="1"/>
  <c r="G722" i="44"/>
  <c r="D6" i="19" s="1" a="1"/>
  <c r="D6" i="19" s="1"/>
  <c r="J619" i="44" a="1"/>
  <c r="J619" i="44" s="1"/>
  <c r="U2" i="21" s="1" a="1"/>
  <c r="U2" i="21" s="1"/>
  <c r="P671" i="44" a="1"/>
  <c r="P671" i="44" s="1"/>
  <c r="Y4" i="11" s="1" a="1"/>
  <c r="Y4" i="11" s="1"/>
  <c r="P602" i="44" a="1"/>
  <c r="P602" i="44" s="1"/>
  <c r="D2" i="11" s="1" a="1"/>
  <c r="D2" i="11" s="1"/>
  <c r="N702" i="44"/>
  <c r="H7" i="25" s="1" a="1"/>
  <c r="H7" i="25" s="1"/>
  <c r="H27" i="25" s="1"/>
  <c r="J686" i="44" a="1"/>
  <c r="J686" i="44" s="1"/>
  <c r="P5" i="21" s="1" a="1"/>
  <c r="P5" i="21" s="1"/>
  <c r="H652" i="44" a="1"/>
  <c r="H652" i="44" s="1"/>
  <c r="F4" i="16" s="1" a="1"/>
  <c r="F4" i="16" s="1"/>
  <c r="F24" i="16" s="1"/>
  <c r="T600" i="44" a="1"/>
  <c r="T600" i="44" s="1"/>
  <c r="B2" i="31" s="1" a="1"/>
  <c r="B2" i="31" s="1"/>
  <c r="G619" i="44" a="1"/>
  <c r="G619" i="44" s="1"/>
  <c r="U2" i="19" s="1" a="1"/>
  <c r="U2" i="19" s="1"/>
  <c r="E677" i="44" a="1"/>
  <c r="E677" i="44" s="1"/>
  <c r="G5" i="17" s="1" a="1"/>
  <c r="G5" i="17" s="1"/>
  <c r="V738" i="44"/>
  <c r="T6" i="10" s="1" a="1"/>
  <c r="T6" i="10" s="1"/>
  <c r="K624" i="44" a="1"/>
  <c r="K624" i="44" s="1"/>
  <c r="B3" i="22" s="1" a="1"/>
  <c r="B3" i="22" s="1"/>
  <c r="T729" i="44"/>
  <c r="K6" i="31" s="1" a="1"/>
  <c r="K6" i="31" s="1"/>
  <c r="T647" i="44" a="1"/>
  <c r="T647" i="44" s="1"/>
  <c r="Y3" i="31" s="1" a="1"/>
  <c r="Y3" i="31" s="1"/>
  <c r="N649" i="44" a="1"/>
  <c r="N649" i="44" s="1"/>
  <c r="C4" i="25" s="1" a="1"/>
  <c r="C4" i="25" s="1"/>
  <c r="C24" i="25" s="1"/>
  <c r="S661" i="44" a="1"/>
  <c r="S661" i="44" s="1"/>
  <c r="O4" i="30" s="1" a="1"/>
  <c r="O4" i="30" s="1"/>
  <c r="U688" i="44" a="1"/>
  <c r="U688" i="44" s="1"/>
  <c r="Q731" i="44"/>
  <c r="M6" i="28" s="1" a="1"/>
  <c r="M6" i="28" s="1"/>
  <c r="K614" i="44" a="1"/>
  <c r="K614" i="44" s="1"/>
  <c r="P2" i="22" s="1" a="1"/>
  <c r="P2" i="22" s="1"/>
  <c r="G623" i="44" a="1"/>
  <c r="G623" i="44" s="1"/>
  <c r="Y2" i="19" s="1" a="1"/>
  <c r="Y2" i="19" s="1"/>
  <c r="K610" i="44" a="1"/>
  <c r="K610" i="44" s="1"/>
  <c r="L2" i="22" s="1" a="1"/>
  <c r="L2" i="22" s="1"/>
  <c r="E659" i="44" a="1"/>
  <c r="E659" i="44" s="1"/>
  <c r="M4" i="17" s="1" a="1"/>
  <c r="M4" i="17" s="1"/>
  <c r="T732" i="44"/>
  <c r="N6" i="31" s="1" a="1"/>
  <c r="N6" i="31" s="1"/>
  <c r="U685" i="44" a="1"/>
  <c r="U685" i="44" s="1"/>
  <c r="R728" i="44"/>
  <c r="J6" i="29" s="1" a="1"/>
  <c r="J6" i="29" s="1"/>
  <c r="G607" i="44" a="1"/>
  <c r="G607" i="44" s="1"/>
  <c r="I2" i="19" s="1" a="1"/>
  <c r="I2" i="19" s="1"/>
  <c r="E623" i="44" a="1"/>
  <c r="E623" i="44" s="1"/>
  <c r="Y2" i="17" s="1" a="1"/>
  <c r="Y2" i="17" s="1"/>
  <c r="G655" i="44" a="1"/>
  <c r="G655" i="44" s="1"/>
  <c r="I4" i="19" s="1" a="1"/>
  <c r="I4" i="19" s="1"/>
  <c r="E673" i="44" a="1"/>
  <c r="E673" i="44" s="1"/>
  <c r="C5" i="17" s="1" a="1"/>
  <c r="C5" i="17" s="1"/>
  <c r="P617" i="44" a="1"/>
  <c r="P617" i="44" s="1"/>
  <c r="S2" i="11" s="1" a="1"/>
  <c r="S2" i="11" s="1"/>
  <c r="P682" i="44" a="1"/>
  <c r="P682" i="44" s="1"/>
  <c r="L5" i="11" s="1" a="1"/>
  <c r="L5" i="11" s="1"/>
  <c r="P672" i="44" a="1"/>
  <c r="P672" i="44" s="1"/>
  <c r="B5" i="11" s="1" a="1"/>
  <c r="B5" i="11" s="1"/>
  <c r="N724" i="44"/>
  <c r="F6" i="25" s="1" a="1"/>
  <c r="F6" i="25" s="1"/>
  <c r="F26" i="25" s="1"/>
  <c r="H737" i="44"/>
  <c r="S6" i="16" s="1" a="1"/>
  <c r="S6" i="16" s="1"/>
  <c r="S26" i="16" s="1"/>
  <c r="K658" i="44" a="1"/>
  <c r="K658" i="44" s="1"/>
  <c r="L4" i="22" s="1" a="1"/>
  <c r="L4" i="22" s="1"/>
  <c r="V611" i="44" a="1"/>
  <c r="V611" i="44" s="1"/>
  <c r="M2" i="10" s="1" a="1"/>
  <c r="M2" i="10" s="1"/>
  <c r="E664" i="44" a="1"/>
  <c r="E664" i="44" s="1"/>
  <c r="R4" i="17" s="1" a="1"/>
  <c r="R4" i="17" s="1"/>
  <c r="E709" i="44"/>
  <c r="O7" i="17" s="1" a="1"/>
  <c r="O7" i="17" s="1"/>
  <c r="T720" i="44"/>
  <c r="B6" i="31" s="1" a="1"/>
  <c r="B6" i="31" s="1"/>
  <c r="U715" i="44"/>
  <c r="R723" i="44"/>
  <c r="E6" i="29" s="1" a="1"/>
  <c r="E6" i="29" s="1"/>
  <c r="T613" i="44" a="1"/>
  <c r="T613" i="44" s="1"/>
  <c r="O2" i="31" s="1" a="1"/>
  <c r="O2" i="31" s="1"/>
  <c r="E653" i="44" a="1"/>
  <c r="E653" i="44" s="1"/>
  <c r="G4" i="17" s="1" a="1"/>
  <c r="G4" i="17" s="1"/>
  <c r="J669" i="44" a="1"/>
  <c r="J669" i="44" s="1"/>
  <c r="W4" i="21" s="1" a="1"/>
  <c r="W4" i="21" s="1"/>
  <c r="E637" i="44" a="1"/>
  <c r="E637" i="44" s="1"/>
  <c r="O3" i="17" s="1" a="1"/>
  <c r="O3" i="17" s="1"/>
  <c r="J627" i="44" a="1"/>
  <c r="J627" i="44" s="1"/>
  <c r="E3" i="21" s="1" a="1"/>
  <c r="E3" i="21" s="1"/>
  <c r="N740" i="44"/>
  <c r="V6" i="25" s="1" a="1"/>
  <c r="V6" i="25" s="1"/>
  <c r="V26" i="25" s="1"/>
  <c r="Q676" i="44" a="1"/>
  <c r="Q676" i="44" s="1"/>
  <c r="F5" i="28" s="1" a="1"/>
  <c r="F5" i="28" s="1"/>
  <c r="S743" i="44"/>
  <c r="Y6" i="30" s="1" a="1"/>
  <c r="Y6" i="30" s="1"/>
  <c r="R733" i="44"/>
  <c r="O6" i="29" s="1" a="1"/>
  <c r="O6" i="29" s="1"/>
  <c r="Q660" i="44" a="1"/>
  <c r="Q660" i="44" s="1"/>
  <c r="N4" i="28" s="1" a="1"/>
  <c r="N4" i="28" s="1"/>
  <c r="Q630" i="44" a="1"/>
  <c r="Q630" i="44" s="1"/>
  <c r="H3" i="28" s="1" a="1"/>
  <c r="H3" i="28" s="1"/>
  <c r="Q664" i="44" a="1"/>
  <c r="Q664" i="44" s="1"/>
  <c r="R4" i="28" s="1" a="1"/>
  <c r="R4" i="28" s="1"/>
  <c r="E671" i="44" a="1"/>
  <c r="E671" i="44" s="1"/>
  <c r="Y4" i="17" s="1" a="1"/>
  <c r="Y4" i="17" s="1"/>
  <c r="E647" i="44" a="1"/>
  <c r="E647" i="44" s="1"/>
  <c r="Y3" i="17" s="1" a="1"/>
  <c r="Y3" i="17" s="1"/>
  <c r="S625" i="44" a="1"/>
  <c r="S625" i="44" s="1"/>
  <c r="C3" i="30" s="1" a="1"/>
  <c r="C3" i="30" s="1"/>
  <c r="S631" i="44" a="1"/>
  <c r="S631" i="44" s="1"/>
  <c r="I3" i="30" s="1" a="1"/>
  <c r="I3" i="30" s="1"/>
  <c r="S620" i="44" a="1"/>
  <c r="S620" i="44" s="1"/>
  <c r="V2" i="30" s="1" a="1"/>
  <c r="V2" i="30" s="1"/>
  <c r="R640" i="44" a="1"/>
  <c r="R640" i="44" s="1"/>
  <c r="R3" i="29" s="1" a="1"/>
  <c r="R3" i="29" s="1"/>
  <c r="R691" i="44" a="1"/>
  <c r="R691" i="44" s="1"/>
  <c r="U5" i="29" s="1" a="1"/>
  <c r="U5" i="29" s="1"/>
  <c r="T706" i="44"/>
  <c r="L7" i="31" s="1" a="1"/>
  <c r="L7" i="31" s="1"/>
  <c r="E663" i="44" a="1"/>
  <c r="E663" i="44" s="1"/>
  <c r="Q4" i="17" s="1" a="1"/>
  <c r="Q4" i="17" s="1"/>
  <c r="E735" i="44"/>
  <c r="Q6" i="17" s="1" a="1"/>
  <c r="Q6" i="17" s="1"/>
  <c r="P673" i="44" a="1"/>
  <c r="P673" i="44" s="1"/>
  <c r="C5" i="11" s="1" a="1"/>
  <c r="C5" i="11" s="1"/>
  <c r="K651" i="44" a="1"/>
  <c r="K651" i="44" s="1"/>
  <c r="E4" i="22" s="1" a="1"/>
  <c r="E4" i="22" s="1"/>
  <c r="K723" i="44"/>
  <c r="E6" i="22" s="1" a="1"/>
  <c r="E6" i="22" s="1"/>
  <c r="G729" i="44"/>
  <c r="K6" i="19" s="1" a="1"/>
  <c r="K6" i="19" s="1"/>
  <c r="U743" i="44"/>
  <c r="S720" i="44"/>
  <c r="B6" i="30" s="1" a="1"/>
  <c r="B6" i="30" s="1"/>
  <c r="P653" i="44" a="1"/>
  <c r="P653" i="44" s="1"/>
  <c r="G4" i="11" s="1" a="1"/>
  <c r="G4" i="11" s="1"/>
  <c r="T618" i="44" a="1"/>
  <c r="T618" i="44" s="1"/>
  <c r="T2" i="31" s="1" a="1"/>
  <c r="T2" i="31" s="1"/>
  <c r="G700" i="44"/>
  <c r="F7" i="19" s="1" a="1"/>
  <c r="F7" i="19" s="1"/>
  <c r="U708" i="44"/>
  <c r="E649" i="44" a="1"/>
  <c r="E649" i="44" s="1"/>
  <c r="C4" i="17" s="1" a="1"/>
  <c r="C4" i="17" s="1"/>
  <c r="P660" i="44" a="1"/>
  <c r="P660" i="44" s="1"/>
  <c r="N4" i="11" s="1" a="1"/>
  <c r="N4" i="11" s="1"/>
  <c r="P732" i="44"/>
  <c r="N6" i="11" s="1" a="1"/>
  <c r="N6" i="11" s="1"/>
  <c r="P652" i="44" a="1"/>
  <c r="P652" i="44" s="1"/>
  <c r="F4" i="11" s="1" a="1"/>
  <c r="F4" i="11" s="1"/>
  <c r="P724" i="44"/>
  <c r="F6" i="11" s="1" a="1"/>
  <c r="F6" i="11" s="1"/>
  <c r="K632" i="44" a="1"/>
  <c r="K632" i="44" s="1"/>
  <c r="J3" i="22" s="1" a="1"/>
  <c r="J3" i="22" s="1"/>
  <c r="V631" i="44" a="1"/>
  <c r="V631" i="44" s="1"/>
  <c r="I3" i="10" s="1" a="1"/>
  <c r="I3" i="10" s="1"/>
  <c r="K636" i="44" a="1"/>
  <c r="K636" i="44" s="1"/>
  <c r="N3" i="22" s="1" a="1"/>
  <c r="N3" i="22" s="1"/>
  <c r="T689" i="44" a="1"/>
  <c r="T689" i="44" s="1"/>
  <c r="S5" i="31" s="1" a="1"/>
  <c r="S5" i="31" s="1"/>
  <c r="J738" i="44"/>
  <c r="T6" i="21" s="1" a="1"/>
  <c r="T6" i="21" s="1"/>
  <c r="U658" i="44" a="1"/>
  <c r="U658" i="44" s="1"/>
  <c r="U730" i="44"/>
  <c r="P730" i="44"/>
  <c r="L6" i="11" s="1" a="1"/>
  <c r="L6" i="11" s="1"/>
  <c r="P726" i="44"/>
  <c r="H6" i="11" s="1" a="1"/>
  <c r="H6" i="11" s="1"/>
  <c r="R663" i="44" a="1"/>
  <c r="R663" i="44" s="1"/>
  <c r="Q4" i="29" s="1" a="1"/>
  <c r="Q4" i="29" s="1"/>
  <c r="R735" i="44"/>
  <c r="Q6" i="29" s="1" a="1"/>
  <c r="Q6" i="29" s="1"/>
  <c r="R725" i="44"/>
  <c r="G6" i="29" s="1" a="1"/>
  <c r="G6" i="29" s="1"/>
  <c r="Q644" i="44" a="1"/>
  <c r="Q644" i="44" s="1"/>
  <c r="V3" i="28" s="1" a="1"/>
  <c r="V3" i="28" s="1"/>
  <c r="E667" i="44" a="1"/>
  <c r="E667" i="44" s="1"/>
  <c r="U4" i="17" s="1" a="1"/>
  <c r="U4" i="17" s="1"/>
  <c r="E739" i="44"/>
  <c r="U6" i="17" s="1" a="1"/>
  <c r="U6" i="17" s="1"/>
  <c r="E668" i="44" a="1"/>
  <c r="E668" i="44" s="1"/>
  <c r="V4" i="17" s="1" a="1"/>
  <c r="V4" i="17" s="1"/>
  <c r="P737" i="44"/>
  <c r="S6" i="11" s="1" a="1"/>
  <c r="S6" i="11" s="1"/>
  <c r="T662" i="44" a="1"/>
  <c r="T662" i="44" s="1"/>
  <c r="P4" i="31" s="1" a="1"/>
  <c r="P4" i="31" s="1"/>
  <c r="T734" i="44"/>
  <c r="P6" i="31" s="1" a="1"/>
  <c r="P6" i="31" s="1"/>
  <c r="S658" i="44" a="1"/>
  <c r="S658" i="44" s="1"/>
  <c r="L4" i="30" s="1" a="1"/>
  <c r="L4" i="30" s="1"/>
  <c r="S730" i="44"/>
  <c r="L6" i="30" s="1" a="1"/>
  <c r="L6" i="30" s="1"/>
  <c r="Q667" i="44" a="1"/>
  <c r="Q667" i="44" s="1"/>
  <c r="U4" i="28" s="1" a="1"/>
  <c r="U4" i="28" s="1"/>
  <c r="Q739" i="44"/>
  <c r="U6" i="28" s="1" a="1"/>
  <c r="U6" i="28" s="1"/>
  <c r="P661" i="44" a="1"/>
  <c r="P661" i="44" s="1"/>
  <c r="O4" i="11" s="1" a="1"/>
  <c r="O4" i="11" s="1"/>
  <c r="N606" i="44" a="1"/>
  <c r="N606" i="44" s="1"/>
  <c r="H2" i="25" s="1" a="1"/>
  <c r="H2" i="25" s="1"/>
  <c r="H22" i="25" s="1"/>
  <c r="Q647" i="44" a="1"/>
  <c r="Q647" i="44" s="1"/>
  <c r="Y3" i="28" s="1" a="1"/>
  <c r="Y3" i="28" s="1"/>
  <c r="E660" i="44" a="1"/>
  <c r="E660" i="44" s="1"/>
  <c r="N4" i="17" s="1" a="1"/>
  <c r="N4" i="17" s="1"/>
  <c r="E732" i="44"/>
  <c r="N6" i="17" s="1" a="1"/>
  <c r="N6" i="17" s="1"/>
  <c r="T676" i="44" a="1"/>
  <c r="T676" i="44" s="1"/>
  <c r="F5" i="31" s="1" a="1"/>
  <c r="F5" i="31" s="1"/>
  <c r="J652" i="44" a="1"/>
  <c r="J652" i="44" s="1"/>
  <c r="F4" i="21" s="1" a="1"/>
  <c r="F4" i="21" s="1"/>
  <c r="J724" i="44"/>
  <c r="F6" i="21" s="1" a="1"/>
  <c r="F6" i="21" s="1"/>
  <c r="G725" i="44"/>
  <c r="G6" i="19" s="1" a="1"/>
  <c r="G6" i="19" s="1"/>
  <c r="G667" i="44" a="1"/>
  <c r="G667" i="44" s="1"/>
  <c r="U4" i="19" s="1" a="1"/>
  <c r="U4" i="19" s="1"/>
  <c r="G739" i="44"/>
  <c r="U6" i="19" s="1" a="1"/>
  <c r="U6" i="19" s="1"/>
  <c r="E724" i="44"/>
  <c r="F6" i="17" s="1" a="1"/>
  <c r="F6" i="17" s="1"/>
  <c r="P655" i="44" a="1"/>
  <c r="P655" i="44" s="1"/>
  <c r="I4" i="11" s="1" a="1"/>
  <c r="I4" i="11" s="1"/>
  <c r="P727" i="44"/>
  <c r="I6" i="11" s="1" a="1"/>
  <c r="I6" i="11" s="1"/>
  <c r="S656" i="44" a="1"/>
  <c r="S656" i="44" s="1"/>
  <c r="J4" i="30" s="1" a="1"/>
  <c r="J4" i="30" s="1"/>
  <c r="S728" i="44"/>
  <c r="J6" i="30" s="1" a="1"/>
  <c r="J6" i="30" s="1"/>
  <c r="R666" i="44" a="1"/>
  <c r="R666" i="44" s="1"/>
  <c r="T4" i="29" s="1" a="1"/>
  <c r="T4" i="29" s="1"/>
  <c r="R738" i="44"/>
  <c r="T6" i="29" s="1" a="1"/>
  <c r="T6" i="29" s="1"/>
  <c r="R731" i="44"/>
  <c r="M6" i="29" s="1" a="1"/>
  <c r="M6" i="29" s="1"/>
  <c r="E654" i="44" a="1"/>
  <c r="E654" i="44" s="1"/>
  <c r="H4" i="17" s="1" a="1"/>
  <c r="H4" i="17" s="1"/>
  <c r="E726" i="44"/>
  <c r="H6" i="17" s="1" a="1"/>
  <c r="H6" i="17" s="1"/>
  <c r="K681" i="44" a="1"/>
  <c r="K681" i="44" s="1"/>
  <c r="K5" i="22" s="1" a="1"/>
  <c r="K5" i="22" s="1"/>
  <c r="T718" i="44"/>
  <c r="X7" i="31" s="1" a="1"/>
  <c r="X7" i="31" s="1"/>
  <c r="T638" i="44" a="1"/>
  <c r="T638" i="44" s="1"/>
  <c r="P3" i="31" s="1" a="1"/>
  <c r="P3" i="31" s="1"/>
  <c r="E737" i="44"/>
  <c r="S6" i="17" s="1" a="1"/>
  <c r="S6" i="17" s="1"/>
  <c r="G730" i="44"/>
  <c r="L6" i="19" s="1" a="1"/>
  <c r="L6" i="19" s="1"/>
  <c r="G668" i="44" a="1"/>
  <c r="G668" i="44" s="1"/>
  <c r="V4" i="19" s="1" a="1"/>
  <c r="V4" i="19" s="1"/>
  <c r="G740" i="44"/>
  <c r="V6" i="19" s="1" a="1"/>
  <c r="V6" i="19" s="1"/>
  <c r="Q732" i="44"/>
  <c r="N6" i="28" s="1" a="1"/>
  <c r="N6" i="28" s="1"/>
  <c r="G660" i="44" a="1"/>
  <c r="G660" i="44" s="1"/>
  <c r="N4" i="19" s="1" a="1"/>
  <c r="N4" i="19" s="1"/>
  <c r="G732" i="44"/>
  <c r="N6" i="19" s="1" a="1"/>
  <c r="N6" i="19" s="1"/>
  <c r="Q625" i="44" a="1"/>
  <c r="Q625" i="44" s="1"/>
  <c r="C3" i="28" s="1" a="1"/>
  <c r="C3" i="28" s="1"/>
  <c r="T671" i="44" a="1"/>
  <c r="T671" i="44" s="1"/>
  <c r="Y4" i="31" s="1" a="1"/>
  <c r="Y4" i="31" s="1"/>
  <c r="T743" i="44"/>
  <c r="Y6" i="31" s="1" a="1"/>
  <c r="Y6" i="31" s="1"/>
  <c r="Q738" i="44"/>
  <c r="T6" i="28" s="1" a="1"/>
  <c r="T6" i="28" s="1"/>
  <c r="T698" i="44"/>
  <c r="D7" i="31" s="1" a="1"/>
  <c r="D7" i="31" s="1"/>
  <c r="R605" i="44" a="1"/>
  <c r="R605" i="44" s="1"/>
  <c r="G2" i="29" s="1" a="1"/>
  <c r="G2" i="29" s="1"/>
  <c r="S716" i="44"/>
  <c r="V7" i="30" s="1" a="1"/>
  <c r="V7" i="30" s="1"/>
  <c r="J614" i="44" a="1"/>
  <c r="J614" i="44" s="1"/>
  <c r="P2" i="21" s="1" a="1"/>
  <c r="P2" i="21" s="1"/>
  <c r="E722" i="44"/>
  <c r="D6" i="17" s="1" a="1"/>
  <c r="D6" i="17" s="1"/>
  <c r="V731" i="44"/>
  <c r="M6" i="10" s="1" a="1"/>
  <c r="M6" i="10" s="1"/>
  <c r="T728" i="44"/>
  <c r="J6" i="31" s="1" a="1"/>
  <c r="J6" i="31" s="1"/>
  <c r="K653" i="44" a="1"/>
  <c r="K653" i="44" s="1"/>
  <c r="G4" i="22" s="1" a="1"/>
  <c r="G4" i="22" s="1"/>
  <c r="K725" i="44"/>
  <c r="G6" i="22" s="1" a="1"/>
  <c r="G6" i="22" s="1"/>
  <c r="K661" i="44" a="1"/>
  <c r="K661" i="44" s="1"/>
  <c r="O4" i="22" s="1" a="1"/>
  <c r="O4" i="22" s="1"/>
  <c r="K733" i="44"/>
  <c r="O6" i="22" s="1" a="1"/>
  <c r="O6" i="22" s="1"/>
  <c r="G646" i="44" a="1"/>
  <c r="G646" i="44" s="1"/>
  <c r="X3" i="19" s="1" a="1"/>
  <c r="X3" i="19" s="1"/>
  <c r="U726" i="44"/>
  <c r="R668" i="44" a="1"/>
  <c r="R668" i="44" s="1"/>
  <c r="V4" i="29" s="1" a="1"/>
  <c r="V4" i="29" s="1"/>
  <c r="R740" i="44"/>
  <c r="V6" i="29" s="1" a="1"/>
  <c r="V6" i="29" s="1"/>
  <c r="G681" i="44" a="1"/>
  <c r="G681" i="44" s="1"/>
  <c r="K5" i="19" s="1" a="1"/>
  <c r="K5" i="19" s="1"/>
  <c r="S723" i="44"/>
  <c r="E6" i="30" s="1" a="1"/>
  <c r="E6" i="30" s="1"/>
  <c r="R721" i="44"/>
  <c r="C6" i="29" s="1" a="1"/>
  <c r="C6" i="29" s="1"/>
  <c r="R742" i="44"/>
  <c r="X6" i="29" s="1" a="1"/>
  <c r="X6" i="29" s="1"/>
  <c r="U621" i="44" a="1"/>
  <c r="U621" i="44" s="1"/>
  <c r="K731" i="44"/>
  <c r="M6" i="22" s="1" a="1"/>
  <c r="M6" i="22" s="1"/>
  <c r="T695" i="44" a="1"/>
  <c r="T695" i="44" s="1"/>
  <c r="Y5" i="31" s="1" a="1"/>
  <c r="Y5" i="31" s="1"/>
  <c r="T725" i="44"/>
  <c r="G6" i="31" s="1" a="1"/>
  <c r="G6" i="31" s="1"/>
  <c r="K662" i="44" a="1"/>
  <c r="K662" i="44" s="1"/>
  <c r="P4" i="22" s="1" a="1"/>
  <c r="P4" i="22" s="1"/>
  <c r="K734" i="44"/>
  <c r="P6" i="22" s="1" a="1"/>
  <c r="P6" i="22" s="1"/>
  <c r="G676" i="44" a="1"/>
  <c r="G676" i="44" s="1"/>
  <c r="F5" i="19" s="1" a="1"/>
  <c r="F5" i="19" s="1"/>
  <c r="U651" i="44" a="1"/>
  <c r="U651" i="44" s="1"/>
  <c r="U723" i="44"/>
  <c r="P723" i="44"/>
  <c r="E6" i="11" s="1" a="1"/>
  <c r="E6" i="11" s="1"/>
  <c r="Q730" i="44"/>
  <c r="L6" i="28" s="1" a="1"/>
  <c r="L6" i="28" s="1"/>
  <c r="Q736" i="44"/>
  <c r="R6" i="28" s="1" a="1"/>
  <c r="R6" i="28" s="1"/>
  <c r="K601" i="44" a="1"/>
  <c r="K601" i="44" s="1"/>
  <c r="C2" i="22" s="1" a="1"/>
  <c r="C2" i="22" s="1"/>
  <c r="P668" i="44" a="1"/>
  <c r="P668" i="44" s="1"/>
  <c r="V4" i="11" s="1" a="1"/>
  <c r="V4" i="11" s="1"/>
  <c r="P740" i="44"/>
  <c r="V6" i="11" s="1" a="1"/>
  <c r="V6" i="11" s="1"/>
  <c r="E645" i="44" a="1"/>
  <c r="E645" i="44" s="1"/>
  <c r="W3" i="17" s="1" a="1"/>
  <c r="W3" i="17" s="1"/>
  <c r="P701" i="44"/>
  <c r="G7" i="11" s="1" a="1"/>
  <c r="G7" i="11" s="1"/>
  <c r="K737" i="44"/>
  <c r="S6" i="22" s="1" a="1"/>
  <c r="S6" i="22" s="1"/>
  <c r="U720" i="44"/>
  <c r="Q724" i="44"/>
  <c r="F6" i="28" s="1" a="1"/>
  <c r="F6" i="28" s="1"/>
  <c r="G734" i="44"/>
  <c r="P6" i="19" s="1" a="1"/>
  <c r="P6" i="19" s="1"/>
  <c r="G640" i="44" a="1"/>
  <c r="G640" i="44" s="1"/>
  <c r="R3" i="19" s="1" a="1"/>
  <c r="R3" i="19" s="1"/>
  <c r="R737" i="44"/>
  <c r="S6" i="29" s="1" a="1"/>
  <c r="S6" i="29" s="1"/>
  <c r="R671" i="44" a="1"/>
  <c r="R671" i="44" s="1"/>
  <c r="Y4" i="29" s="1" a="1"/>
  <c r="Y4" i="29" s="1"/>
  <c r="R743" i="44"/>
  <c r="Y6" i="29" s="1" a="1"/>
  <c r="Y6" i="29" s="1"/>
  <c r="Q651" i="44" a="1"/>
  <c r="Q651" i="44" s="1"/>
  <c r="E4" i="28" s="1" a="1"/>
  <c r="E4" i="28" s="1"/>
  <c r="Q723" i="44"/>
  <c r="E6" i="28" s="1" a="1"/>
  <c r="E6" i="28" s="1"/>
  <c r="E632" i="44" a="1"/>
  <c r="E632" i="44" s="1"/>
  <c r="J3" i="17" s="1" a="1"/>
  <c r="J3" i="17" s="1"/>
  <c r="T639" i="44" a="1"/>
  <c r="T639" i="44" s="1"/>
  <c r="Q3" i="31" s="1" a="1"/>
  <c r="Q3" i="31" s="1"/>
  <c r="U724" i="44"/>
  <c r="N736" i="44"/>
  <c r="R6" i="25" s="1" a="1"/>
  <c r="R6" i="25" s="1"/>
  <c r="R26" i="25" s="1"/>
  <c r="S655" i="44" a="1"/>
  <c r="S655" i="44" s="1"/>
  <c r="I4" i="30" s="1" a="1"/>
  <c r="I4" i="30" s="1"/>
  <c r="S727" i="44"/>
  <c r="I6" i="30" s="1" a="1"/>
  <c r="I6" i="30" s="1"/>
  <c r="G600" i="44" a="1"/>
  <c r="G600" i="44" s="1"/>
  <c r="B2" i="19" s="1" a="1"/>
  <c r="B2" i="19" s="1"/>
  <c r="N727" i="44"/>
  <c r="I6" i="25" s="1" a="1"/>
  <c r="I6" i="25" s="1"/>
  <c r="I26" i="25" s="1"/>
  <c r="R650" i="44" a="1"/>
  <c r="R650" i="44" s="1"/>
  <c r="D4" i="29" s="1" a="1"/>
  <c r="D4" i="29" s="1"/>
  <c r="R722" i="44"/>
  <c r="D6" i="29" s="1" a="1"/>
  <c r="D6" i="29" s="1"/>
  <c r="K600" i="44" a="1"/>
  <c r="K600" i="44" s="1"/>
  <c r="B2" i="22" s="1" a="1"/>
  <c r="B2" i="22" s="1"/>
  <c r="G663" i="44" a="1"/>
  <c r="G663" i="44" s="1"/>
  <c r="Q4" i="19" s="1" a="1"/>
  <c r="Q4" i="19" s="1"/>
  <c r="P670" i="44" a="1"/>
  <c r="P670" i="44" s="1"/>
  <c r="X4" i="11" s="1" a="1"/>
  <c r="X4" i="11" s="1"/>
  <c r="P742" i="44"/>
  <c r="X6" i="11" s="1" a="1"/>
  <c r="X6" i="11" s="1"/>
  <c r="S736" i="44"/>
  <c r="R6" i="30" s="1" a="1"/>
  <c r="R6" i="30" s="1"/>
  <c r="Q648" i="44" a="1"/>
  <c r="Q648" i="44" s="1"/>
  <c r="B4" i="28" s="1" a="1"/>
  <c r="B4" i="28" s="1"/>
  <c r="Q720" i="44"/>
  <c r="B6" i="28" s="1" a="1"/>
  <c r="B6" i="28" s="1"/>
  <c r="E603" i="44" a="1"/>
  <c r="E603" i="44" s="1"/>
  <c r="E2" i="17" s="1" a="1"/>
  <c r="E2" i="17" s="1"/>
  <c r="E731" i="44"/>
  <c r="M6" i="17" s="1" a="1"/>
  <c r="M6" i="17" s="1"/>
  <c r="G741" i="44"/>
  <c r="W6" i="19" s="1" a="1"/>
  <c r="W6" i="19" s="1"/>
  <c r="P722" i="44"/>
  <c r="D6" i="11" s="1" a="1"/>
  <c r="D6" i="11" s="1"/>
  <c r="S729" i="44"/>
  <c r="K6" i="30" s="1" a="1"/>
  <c r="K6" i="30" s="1"/>
  <c r="S731" i="44"/>
  <c r="M6" i="30" s="1" a="1"/>
  <c r="M6" i="30" s="1"/>
  <c r="Q743" i="44"/>
  <c r="Y6" i="28" s="1" a="1"/>
  <c r="Y6" i="28" s="1"/>
  <c r="E708" i="44"/>
  <c r="N7" i="17" s="1" a="1"/>
  <c r="N7" i="17" s="1"/>
  <c r="P738" i="44"/>
  <c r="T6" i="11" s="1" a="1"/>
  <c r="T6" i="11" s="1"/>
  <c r="P720" i="44"/>
  <c r="B6" i="11" s="1" a="1"/>
  <c r="B6" i="11" s="1"/>
  <c r="K729" i="44"/>
  <c r="K6" i="22" s="1" a="1"/>
  <c r="K6" i="22" s="1"/>
  <c r="V632" i="44" a="1"/>
  <c r="V632" i="44" s="1"/>
  <c r="J3" i="10" s="1" a="1"/>
  <c r="J3" i="10" s="1"/>
  <c r="V734" i="44"/>
  <c r="P6" i="10" s="1" a="1"/>
  <c r="P6" i="10" s="1"/>
  <c r="K714" i="44"/>
  <c r="T7" i="22" s="1" a="1"/>
  <c r="T7" i="22" s="1"/>
  <c r="T731" i="44"/>
  <c r="M6" i="31" s="1" a="1"/>
  <c r="M6" i="31" s="1"/>
  <c r="T738" i="44"/>
  <c r="T6" i="31" s="1" a="1"/>
  <c r="T6" i="31" s="1"/>
  <c r="T704" i="44"/>
  <c r="J7" i="31" s="1" a="1"/>
  <c r="J7" i="31" s="1"/>
  <c r="V726" i="44"/>
  <c r="H6" i="10" s="1" a="1"/>
  <c r="H6" i="10" s="1"/>
  <c r="V740" i="44"/>
  <c r="V6" i="10" s="1" a="1"/>
  <c r="V6" i="10" s="1"/>
  <c r="G723" i="44"/>
  <c r="E6" i="19" s="1" a="1"/>
  <c r="E6" i="19" s="1"/>
  <c r="G721" i="44"/>
  <c r="C6" i="19" s="1" a="1"/>
  <c r="C6" i="19" s="1"/>
  <c r="G652" i="44" a="1"/>
  <c r="G652" i="44" s="1"/>
  <c r="F4" i="19" s="1" a="1"/>
  <c r="F4" i="19" s="1"/>
  <c r="G724" i="44"/>
  <c r="F6" i="19" s="1" a="1"/>
  <c r="F6" i="19" s="1"/>
  <c r="U664" i="44" a="1"/>
  <c r="U664" i="44" s="1"/>
  <c r="U736" i="44"/>
  <c r="P729" i="44"/>
  <c r="K6" i="11" s="1" a="1"/>
  <c r="K6" i="11" s="1"/>
  <c r="N684" i="44" a="1"/>
  <c r="N684" i="44" s="1"/>
  <c r="N5" i="25" s="1" a="1"/>
  <c r="N5" i="25" s="1"/>
  <c r="N25" i="25" s="1"/>
  <c r="S741" i="44"/>
  <c r="W6" i="30" s="1" a="1"/>
  <c r="W6" i="30" s="1"/>
  <c r="Q735" i="44"/>
  <c r="Q6" i="28" s="1" a="1"/>
  <c r="Q6" i="28" s="1"/>
  <c r="S725" i="44"/>
  <c r="G6" i="30" s="1" a="1"/>
  <c r="G6" i="30" s="1"/>
  <c r="S650" i="44" a="1"/>
  <c r="S650" i="44" s="1"/>
  <c r="D4" i="30" s="1" a="1"/>
  <c r="D4" i="30" s="1"/>
  <c r="G670" i="44" a="1"/>
  <c r="G670" i="44" s="1"/>
  <c r="X4" i="19" s="1" a="1"/>
  <c r="X4" i="19" s="1"/>
  <c r="U649" i="44" a="1"/>
  <c r="U649" i="44" s="1"/>
  <c r="E723" i="44"/>
  <c r="E6" i="17" s="1" a="1"/>
  <c r="E6" i="17" s="1"/>
  <c r="P695" i="44" a="1"/>
  <c r="P695" i="44" s="1"/>
  <c r="Y5" i="11" s="1" a="1"/>
  <c r="Y5" i="11" s="1"/>
  <c r="K669" i="44" a="1"/>
  <c r="K669" i="44" s="1"/>
  <c r="W4" i="22" s="1" a="1"/>
  <c r="W4" i="22" s="1"/>
  <c r="K741" i="44"/>
  <c r="W6" i="22" s="1" a="1"/>
  <c r="W6" i="22" s="1"/>
  <c r="V642" i="44" a="1"/>
  <c r="V642" i="44" s="1"/>
  <c r="T3" i="10" s="1" a="1"/>
  <c r="T3" i="10" s="1"/>
  <c r="T635" i="44" a="1"/>
  <c r="T635" i="44" s="1"/>
  <c r="M3" i="31" s="1" a="1"/>
  <c r="M3" i="31" s="1"/>
  <c r="T723" i="44"/>
  <c r="E6" i="31" s="1" a="1"/>
  <c r="E6" i="31" s="1"/>
  <c r="U670" i="44" a="1"/>
  <c r="U670" i="44" s="1"/>
  <c r="U742" i="44"/>
  <c r="U728" i="44"/>
  <c r="R627" i="44" a="1"/>
  <c r="R627" i="44" s="1"/>
  <c r="E3" i="29" s="1" a="1"/>
  <c r="E3" i="29" s="1"/>
  <c r="P731" i="44"/>
  <c r="M6" i="11" s="1" a="1"/>
  <c r="M6" i="11" s="1"/>
  <c r="V737" i="44"/>
  <c r="S6" i="10" s="1" a="1"/>
  <c r="S6" i="10" s="1"/>
  <c r="V724" i="44"/>
  <c r="F6" i="10" s="1" a="1"/>
  <c r="F6" i="10" s="1"/>
  <c r="K689" i="44" a="1"/>
  <c r="K689" i="44" s="1"/>
  <c r="S5" i="22" s="1" a="1"/>
  <c r="S5" i="22" s="1"/>
  <c r="Y6" i="22" a="1"/>
  <c r="Y6" i="22" s="1"/>
  <c r="N721" i="44"/>
  <c r="C6" i="25" s="1" a="1"/>
  <c r="C6" i="25" s="1"/>
  <c r="C26" i="25" s="1"/>
  <c r="U666" i="44" a="1"/>
  <c r="U666" i="44" s="1"/>
  <c r="U738" i="44"/>
  <c r="R644" i="44" a="1"/>
  <c r="R644" i="44" s="1"/>
  <c r="V3" i="29" s="1" a="1"/>
  <c r="V3" i="29" s="1"/>
  <c r="G728" i="44"/>
  <c r="J6" i="19" s="1" a="1"/>
  <c r="J6" i="19" s="1"/>
  <c r="P728" i="44"/>
  <c r="J6" i="11" s="1" a="1"/>
  <c r="J6" i="11" s="1"/>
  <c r="R648" i="44" a="1"/>
  <c r="R648" i="44" s="1"/>
  <c r="B4" i="29" s="1" a="1"/>
  <c r="B4" i="29" s="1"/>
  <c r="R720" i="44"/>
  <c r="B6" i="29" s="1" a="1"/>
  <c r="B6" i="29" s="1"/>
  <c r="R695" i="44" a="1"/>
  <c r="R695" i="44" s="1"/>
  <c r="Y5" i="29" s="1" a="1"/>
  <c r="Y5" i="29" s="1"/>
  <c r="Q728" i="44"/>
  <c r="J6" i="28" s="1" a="1"/>
  <c r="J6" i="28" s="1"/>
  <c r="G671" i="44" a="1"/>
  <c r="G671" i="44" s="1"/>
  <c r="Y4" i="19" s="1" a="1"/>
  <c r="Y4" i="19" s="1"/>
  <c r="G743" i="44"/>
  <c r="Y6" i="19" s="1" a="1"/>
  <c r="Y6" i="19" s="1"/>
  <c r="U620" i="44" a="1"/>
  <c r="U620" i="44" s="1"/>
  <c r="U650" i="44" a="1"/>
  <c r="U650" i="44" s="1"/>
  <c r="P734" i="44"/>
  <c r="P6" i="11" s="1" a="1"/>
  <c r="P6" i="11" s="1"/>
  <c r="K674" i="44" a="1"/>
  <c r="K674" i="44" s="1"/>
  <c r="D5" i="22" s="1" a="1"/>
  <c r="D5" i="22" s="1"/>
  <c r="K722" i="44"/>
  <c r="D6" i="22" s="1" a="1"/>
  <c r="D6" i="22" s="1"/>
  <c r="N738" i="44"/>
  <c r="T6" i="25" s="1" a="1"/>
  <c r="T6" i="25" s="1"/>
  <c r="T26" i="25" s="1"/>
  <c r="N687" i="44" a="1"/>
  <c r="N687" i="44" s="1"/>
  <c r="Q5" i="25" s="1" a="1"/>
  <c r="Q5" i="25" s="1"/>
  <c r="Q25" i="25" s="1"/>
  <c r="J743" i="44"/>
  <c r="Y6" i="21" s="1" a="1"/>
  <c r="Y6" i="21" s="1"/>
  <c r="G654" i="44" a="1"/>
  <c r="G654" i="44" s="1"/>
  <c r="H4" i="19" s="1" a="1"/>
  <c r="H4" i="19" s="1"/>
  <c r="G726" i="44"/>
  <c r="H6" i="19" s="1" a="1"/>
  <c r="H6" i="19" s="1"/>
  <c r="U663" i="44" a="1"/>
  <c r="U663" i="44" s="1"/>
  <c r="U735" i="44"/>
  <c r="U729" i="44"/>
  <c r="S734" i="44"/>
  <c r="P6" i="30" s="1" a="1"/>
  <c r="P6" i="30" s="1"/>
  <c r="S726" i="44"/>
  <c r="H6" i="30" s="1" a="1"/>
  <c r="H6" i="30" s="1"/>
  <c r="R643" i="44" a="1"/>
  <c r="R643" i="44" s="1"/>
  <c r="U3" i="29" s="1" a="1"/>
  <c r="U3" i="29" s="1"/>
  <c r="Q742" i="44"/>
  <c r="X6" i="28" s="1" a="1"/>
  <c r="X6" i="28" s="1"/>
  <c r="K680" i="44" a="1"/>
  <c r="K680" i="44" s="1"/>
  <c r="J5" i="22" s="1" a="1"/>
  <c r="J5" i="22" s="1"/>
  <c r="V739" i="44"/>
  <c r="U6" i="10" s="1" a="1"/>
  <c r="U6" i="10" s="1"/>
  <c r="V714" i="44"/>
  <c r="T7" i="10" s="1" a="1"/>
  <c r="T7" i="10" s="1"/>
  <c r="V732" i="44"/>
  <c r="N6" i="10" s="1" a="1"/>
  <c r="N6" i="10" s="1"/>
  <c r="T664" i="44" a="1"/>
  <c r="T664" i="44" s="1"/>
  <c r="R4" i="31" s="1" a="1"/>
  <c r="R4" i="31" s="1"/>
  <c r="T736" i="44"/>
  <c r="R6" i="31" s="1" a="1"/>
  <c r="R6" i="31" s="1"/>
  <c r="T711" i="44"/>
  <c r="Q7" i="31" s="1" a="1"/>
  <c r="Q7" i="31" s="1"/>
  <c r="K732" i="44"/>
  <c r="N6" i="22" s="1" a="1"/>
  <c r="N6" i="22" s="1"/>
  <c r="U732" i="44"/>
  <c r="S742" i="44"/>
  <c r="X6" i="30" s="1" a="1"/>
  <c r="X6" i="30" s="1"/>
  <c r="G731" i="44"/>
  <c r="M6" i="19" s="1" a="1"/>
  <c r="M6" i="19" s="1"/>
  <c r="P663" i="44" a="1"/>
  <c r="P663" i="44" s="1"/>
  <c r="Q4" i="11" s="1" a="1"/>
  <c r="Q4" i="11" s="1"/>
  <c r="E656" i="44" a="1"/>
  <c r="E656" i="44" s="1"/>
  <c r="J4" i="17" s="1" a="1"/>
  <c r="J4" i="17" s="1"/>
  <c r="P665" i="44" a="1"/>
  <c r="P665" i="44" s="1"/>
  <c r="S4" i="11" s="1" a="1"/>
  <c r="S4" i="11" s="1"/>
  <c r="E629" i="44" a="1"/>
  <c r="E629" i="44" s="1"/>
  <c r="G3" i="17" s="1" a="1"/>
  <c r="G3" i="17" s="1"/>
  <c r="T740" i="44"/>
  <c r="V6" i="31" s="1" a="1"/>
  <c r="V6" i="31" s="1"/>
  <c r="K735" i="44"/>
  <c r="Q6" i="22" s="1" a="1"/>
  <c r="Q6" i="22" s="1"/>
  <c r="G641" i="44" a="1"/>
  <c r="G641" i="44" s="1"/>
  <c r="S3" i="19" s="1" a="1"/>
  <c r="S3" i="19" s="1"/>
  <c r="S733" i="44"/>
  <c r="O6" i="30" s="1" a="1"/>
  <c r="O6" i="30" s="1"/>
  <c r="R736" i="44"/>
  <c r="R6" i="29" s="1" a="1"/>
  <c r="R6" i="29" s="1"/>
  <c r="T661" i="44" a="1"/>
  <c r="T661" i="44" s="1"/>
  <c r="O4" i="31" s="1" a="1"/>
  <c r="O4" i="31" s="1"/>
  <c r="T733" i="44"/>
  <c r="O6" i="31" s="1" a="1"/>
  <c r="O6" i="31" s="1"/>
  <c r="K666" i="44" a="1"/>
  <c r="K666" i="44" s="1"/>
  <c r="T4" i="22" s="1" a="1"/>
  <c r="T4" i="22" s="1"/>
  <c r="U667" i="44" a="1"/>
  <c r="U667" i="44" s="1"/>
  <c r="E661" i="44" a="1"/>
  <c r="E661" i="44" s="1"/>
  <c r="O4" i="17" s="1" a="1"/>
  <c r="O4" i="17" s="1"/>
  <c r="E733" i="44"/>
  <c r="O6" i="17" s="1" a="1"/>
  <c r="O6" i="17" s="1"/>
  <c r="K726" i="44"/>
  <c r="H6" i="22" s="1" a="1"/>
  <c r="H6" i="22" s="1"/>
  <c r="K739" i="44"/>
  <c r="U6" i="22" s="1" a="1"/>
  <c r="U6" i="22" s="1"/>
  <c r="K668" i="44" a="1"/>
  <c r="K668" i="44" s="1"/>
  <c r="V4" i="22" s="1" a="1"/>
  <c r="V4" i="22" s="1"/>
  <c r="K740" i="44"/>
  <c r="V6" i="22" s="1" a="1"/>
  <c r="V6" i="22" s="1"/>
  <c r="T672" i="44" a="1"/>
  <c r="T672" i="44" s="1"/>
  <c r="B5" i="31" s="1" a="1"/>
  <c r="B5" i="31" s="1"/>
  <c r="K718" i="44"/>
  <c r="X7" i="22" s="1" a="1"/>
  <c r="X7" i="22" s="1"/>
  <c r="T726" i="44"/>
  <c r="H6" i="31" s="1" a="1"/>
  <c r="H6" i="31" s="1"/>
  <c r="U737" i="44"/>
  <c r="U669" i="44" a="1"/>
  <c r="U669" i="44" s="1"/>
  <c r="U741" i="44"/>
  <c r="U740" i="44"/>
  <c r="U734" i="44"/>
  <c r="P721" i="44"/>
  <c r="C6" i="11" s="1" a="1"/>
  <c r="C6" i="11" s="1"/>
  <c r="E641" i="44" a="1"/>
  <c r="E641" i="44" s="1"/>
  <c r="S3" i="17" s="1" a="1"/>
  <c r="S3" i="17" s="1"/>
  <c r="V662" i="44" a="1"/>
  <c r="V662" i="44" s="1"/>
  <c r="P4" i="10" s="1" a="1"/>
  <c r="P4" i="10" s="1"/>
  <c r="T655" i="44" a="1"/>
  <c r="T655" i="44" s="1"/>
  <c r="I4" i="31" s="1" a="1"/>
  <c r="I4" i="31" s="1"/>
  <c r="K673" i="44" a="1"/>
  <c r="K673" i="44" s="1"/>
  <c r="C5" i="22" s="1" a="1"/>
  <c r="C5" i="22" s="1"/>
  <c r="K640" i="44" a="1"/>
  <c r="K640" i="44" s="1"/>
  <c r="R3" i="22" s="1" a="1"/>
  <c r="R3" i="22" s="1"/>
  <c r="E619" i="44" a="1"/>
  <c r="E619" i="44" s="1"/>
  <c r="U2" i="17" s="1" a="1"/>
  <c r="U2" i="17" s="1"/>
  <c r="P605" i="44" a="1"/>
  <c r="P605" i="44" s="1"/>
  <c r="G2" i="11" s="1" a="1"/>
  <c r="G2" i="11" s="1"/>
  <c r="E612" i="44" a="1"/>
  <c r="E612" i="44" s="1"/>
  <c r="N2" i="17" s="1" a="1"/>
  <c r="N2" i="17" s="1"/>
  <c r="P637" i="44" a="1"/>
  <c r="P637" i="44" s="1"/>
  <c r="O3" i="11" s="1" a="1"/>
  <c r="O3" i="11" s="1"/>
  <c r="E625" i="44" a="1"/>
  <c r="E625" i="44" s="1"/>
  <c r="C3" i="17" s="1" a="1"/>
  <c r="C3" i="17" s="1"/>
  <c r="V637" i="44" a="1"/>
  <c r="V637" i="44" s="1"/>
  <c r="O3" i="10" s="1" a="1"/>
  <c r="O3" i="10" s="1"/>
  <c r="V626" i="44" a="1"/>
  <c r="V626" i="44" s="1"/>
  <c r="D3" i="10" s="1" a="1"/>
  <c r="D3" i="10" s="1"/>
  <c r="T652" i="44" a="1"/>
  <c r="T652" i="44" s="1"/>
  <c r="F4" i="31" s="1" a="1"/>
  <c r="F4" i="31" s="1"/>
  <c r="T668" i="44" a="1"/>
  <c r="T668" i="44" s="1"/>
  <c r="V4" i="31" s="1" a="1"/>
  <c r="V4" i="31" s="1"/>
  <c r="T641" i="44" a="1"/>
  <c r="T641" i="44" s="1"/>
  <c r="S3" i="31" s="1" a="1"/>
  <c r="S3" i="31" s="1"/>
  <c r="T608" i="44" a="1"/>
  <c r="T608" i="44" s="1"/>
  <c r="J2" i="31" s="1" a="1"/>
  <c r="J2" i="31" s="1"/>
  <c r="T628" i="44" a="1"/>
  <c r="T628" i="44" s="1"/>
  <c r="F3" i="31" s="1" a="1"/>
  <c r="F3" i="31" s="1"/>
  <c r="T627" i="44" a="1"/>
  <c r="T627" i="44" s="1"/>
  <c r="E3" i="31" s="1" a="1"/>
  <c r="E3" i="31" s="1"/>
  <c r="T680" i="44" a="1"/>
  <c r="T680" i="44" s="1"/>
  <c r="J5" i="31" s="1" a="1"/>
  <c r="J5" i="31" s="1"/>
  <c r="K618" i="44" a="1"/>
  <c r="K618" i="44" s="1"/>
  <c r="T2" i="22" s="1" a="1"/>
  <c r="T2" i="22" s="1"/>
  <c r="V606" i="44" a="1"/>
  <c r="V606" i="44" s="1"/>
  <c r="H2" i="10" s="1" a="1"/>
  <c r="H2" i="10" s="1"/>
  <c r="Q618" i="44" a="1"/>
  <c r="Q618" i="44" s="1"/>
  <c r="T2" i="28" s="1" a="1"/>
  <c r="T2" i="28" s="1"/>
  <c r="J506" i="44"/>
  <c r="V627" i="44" a="1"/>
  <c r="V627" i="44" s="1"/>
  <c r="E3" i="10" s="1" a="1"/>
  <c r="E3" i="10" s="1"/>
  <c r="K670" i="44" a="1"/>
  <c r="K670" i="44" s="1"/>
  <c r="X4" i="22" s="1" a="1"/>
  <c r="X4" i="22" s="1"/>
  <c r="K648" i="44" a="1"/>
  <c r="K648" i="44" s="1"/>
  <c r="B4" i="22" s="1" a="1"/>
  <c r="B4" i="22" s="1"/>
  <c r="T679" i="44" a="1"/>
  <c r="T679" i="44" s="1"/>
  <c r="I5" i="31" s="1" a="1"/>
  <c r="I5" i="31" s="1"/>
  <c r="T649" i="44" a="1"/>
  <c r="T649" i="44" s="1"/>
  <c r="C4" i="31" s="1" a="1"/>
  <c r="C4" i="31" s="1"/>
  <c r="V648" i="44" a="1"/>
  <c r="V648" i="44" s="1"/>
  <c r="B4" i="10" s="1" a="1"/>
  <c r="B4" i="10" s="1"/>
  <c r="K623" i="44" a="1"/>
  <c r="K623" i="44" s="1"/>
  <c r="Y2" i="22" s="1" a="1"/>
  <c r="Y2" i="22" s="1"/>
  <c r="K604" i="44" a="1"/>
  <c r="K604" i="44" s="1"/>
  <c r="F2" i="22" s="1" a="1"/>
  <c r="F2" i="22" s="1"/>
  <c r="K603" i="44" a="1"/>
  <c r="K603" i="44" s="1"/>
  <c r="E2" i="22" s="1" a="1"/>
  <c r="E2" i="22" s="1"/>
  <c r="K657" i="44" a="1"/>
  <c r="K657" i="44" s="1"/>
  <c r="K4" i="22" s="1" a="1"/>
  <c r="K4" i="22" s="1"/>
  <c r="T692" i="44" a="1"/>
  <c r="T692" i="44" s="1"/>
  <c r="V5" i="31" s="1" a="1"/>
  <c r="V5" i="31" s="1"/>
  <c r="V670" i="44" a="1"/>
  <c r="V670" i="44" s="1"/>
  <c r="X4" i="10" s="1" a="1"/>
  <c r="X4" i="10" s="1"/>
  <c r="V651" i="44" a="1"/>
  <c r="V651" i="44" s="1"/>
  <c r="E4" i="10" s="1" a="1"/>
  <c r="E4" i="10" s="1"/>
  <c r="T663" i="44" a="1"/>
  <c r="T663" i="44" s="1"/>
  <c r="Q4" i="31" s="1" a="1"/>
  <c r="Q4" i="31" s="1"/>
  <c r="V644" i="44" a="1"/>
  <c r="V644" i="44" s="1"/>
  <c r="V3" i="10" s="1" a="1"/>
  <c r="V3" i="10" s="1"/>
  <c r="K693" i="44" a="1"/>
  <c r="K693" i="44" s="1"/>
  <c r="W5" i="22" s="1" a="1"/>
  <c r="W5" i="22" s="1"/>
  <c r="K635" i="44" a="1"/>
  <c r="K635" i="44" s="1"/>
  <c r="M3" i="22" s="1" a="1"/>
  <c r="M3" i="22" s="1"/>
  <c r="Q602" i="44" a="1"/>
  <c r="Q602" i="44" s="1"/>
  <c r="D2" i="28" s="1" a="1"/>
  <c r="D2" i="28" s="1"/>
  <c r="J511" i="44"/>
  <c r="J577" i="44"/>
  <c r="J575" i="44"/>
  <c r="J483" i="44"/>
  <c r="J588" i="44"/>
  <c r="J567" i="44"/>
  <c r="J556" i="44"/>
  <c r="J472" i="44"/>
  <c r="J541" i="44"/>
  <c r="J446" i="44"/>
  <c r="J445" i="44"/>
  <c r="J424" i="44"/>
  <c r="J423" i="44"/>
  <c r="J480" i="44"/>
  <c r="J487" i="44"/>
  <c r="J485" i="44"/>
  <c r="J451" i="44"/>
  <c r="J570" i="44"/>
  <c r="J538" i="44"/>
  <c r="J544" i="44"/>
  <c r="J543" i="44"/>
  <c r="J508" i="44"/>
  <c r="J516" i="44"/>
  <c r="J578" i="44"/>
  <c r="J585" i="44"/>
  <c r="J583" i="44"/>
  <c r="J491" i="44"/>
  <c r="J452" i="44"/>
  <c r="J549" i="44"/>
  <c r="J564" i="44"/>
  <c r="J523" i="44"/>
  <c r="J532" i="44"/>
  <c r="J427" i="44"/>
  <c r="J500" i="44"/>
  <c r="J471" i="44"/>
  <c r="J502" i="44"/>
  <c r="J592" i="44"/>
  <c r="J558" i="44"/>
  <c r="J566" i="44"/>
  <c r="J444" i="44"/>
  <c r="J542" i="44"/>
  <c r="J531" i="44"/>
  <c r="J403" i="44"/>
  <c r="J495" i="44"/>
  <c r="J493" i="44"/>
  <c r="J589" i="44"/>
  <c r="J453" i="44"/>
  <c r="J524" i="44"/>
  <c r="J442" i="44"/>
  <c r="J546" i="44"/>
  <c r="J428" i="44"/>
  <c r="J462" i="44"/>
  <c r="J526" i="44"/>
  <c r="J410" i="44"/>
  <c r="J586" i="44"/>
  <c r="J591" i="44"/>
  <c r="J490" i="44"/>
  <c r="J551" i="44"/>
  <c r="J557" i="44"/>
  <c r="J456" i="44"/>
  <c r="J525" i="44"/>
  <c r="J540" i="44"/>
  <c r="J430" i="44"/>
  <c r="J429" i="44"/>
  <c r="J519" i="44"/>
  <c r="J515" i="44"/>
  <c r="J481" i="44"/>
  <c r="J405" i="44"/>
  <c r="J505" i="44"/>
  <c r="J436" i="44"/>
  <c r="J408" i="44"/>
  <c r="J548" i="44"/>
  <c r="J503" i="44"/>
  <c r="J514" i="44"/>
  <c r="J574" i="44"/>
  <c r="J473" i="44"/>
  <c r="J507" i="44"/>
  <c r="J572" i="44"/>
  <c r="J464" i="44"/>
  <c r="J533" i="44"/>
  <c r="J432" i="44"/>
  <c r="J438" i="44"/>
  <c r="J412" i="44"/>
  <c r="J590" i="44"/>
  <c r="J420" i="44"/>
  <c r="J494" i="44"/>
  <c r="J406" i="44"/>
  <c r="J479" i="44"/>
  <c r="J477" i="44"/>
  <c r="J573" i="44"/>
  <c r="J498" i="44"/>
  <c r="J469" i="44"/>
  <c r="J458" i="44"/>
  <c r="J562" i="44"/>
  <c r="J443" i="44"/>
  <c r="J530" i="44"/>
  <c r="J536" i="44"/>
  <c r="J535" i="44"/>
  <c r="J422" i="44"/>
  <c r="J457" i="44"/>
  <c r="J520" i="44"/>
  <c r="J513" i="44"/>
  <c r="J521" i="44"/>
  <c r="J461" i="44"/>
  <c r="J510" i="44"/>
  <c r="J517" i="44"/>
  <c r="J425" i="44"/>
  <c r="J404" i="44"/>
  <c r="J478" i="44"/>
  <c r="J447" i="44"/>
  <c r="J467" i="44"/>
  <c r="J417" i="44"/>
  <c r="J501" i="44"/>
  <c r="J509" i="44"/>
  <c r="J555" i="44"/>
  <c r="J545" i="44"/>
  <c r="J431" i="44"/>
  <c r="J569" i="44"/>
  <c r="J475" i="44"/>
  <c r="J528" i="44"/>
  <c r="J552" i="44"/>
  <c r="J554" i="44"/>
  <c r="J522" i="44"/>
  <c r="J539" i="44"/>
  <c r="J512" i="44"/>
  <c r="J489" i="44"/>
  <c r="J563" i="44"/>
  <c r="J568" i="44"/>
  <c r="J439" i="44"/>
  <c r="J449" i="44"/>
  <c r="J529" i="44"/>
  <c r="J413" i="44"/>
  <c r="J486" i="44"/>
  <c r="J426" i="44"/>
  <c r="J435" i="44"/>
  <c r="J499" i="44"/>
  <c r="J414" i="44"/>
  <c r="J460" i="44"/>
  <c r="J582" i="44"/>
  <c r="J553" i="44"/>
  <c r="J504" i="44"/>
  <c r="J584" i="44"/>
  <c r="J455" i="44"/>
  <c r="J409" i="44"/>
  <c r="J579" i="44"/>
  <c r="J496" i="44"/>
  <c r="J450" i="44"/>
  <c r="J416" i="44"/>
  <c r="J497" i="44"/>
  <c r="J468" i="44"/>
  <c r="J433" i="44"/>
  <c r="J441" i="44"/>
  <c r="J415" i="44"/>
  <c r="J419" i="44"/>
  <c r="J571" i="44"/>
  <c r="J527" i="44"/>
  <c r="J534" i="44"/>
  <c r="J560" i="44"/>
  <c r="J411" i="44"/>
  <c r="J576" i="44"/>
  <c r="J463" i="44"/>
  <c r="J418" i="44"/>
  <c r="J580" i="44"/>
  <c r="J421" i="44"/>
  <c r="J537" i="44"/>
  <c r="J407" i="44"/>
  <c r="J561" i="44"/>
  <c r="J484" i="44"/>
  <c r="J492" i="44"/>
  <c r="J454" i="44"/>
  <c r="J559" i="44"/>
  <c r="J465" i="44"/>
  <c r="J547" i="44"/>
  <c r="E657" i="44" a="1"/>
  <c r="E657" i="44" s="1"/>
  <c r="K4" i="17" s="1" a="1"/>
  <c r="K4" i="17" s="1"/>
  <c r="E613" i="44" a="1"/>
  <c r="E613" i="44" s="1"/>
  <c r="O2" i="17" s="1" a="1"/>
  <c r="O2" i="17" s="1"/>
  <c r="J593" i="44"/>
  <c r="J466" i="44"/>
  <c r="J448" i="44"/>
  <c r="J565" i="44"/>
  <c r="P634" i="44" a="1"/>
  <c r="P634" i="44" s="1"/>
  <c r="L3" i="11" s="1" a="1"/>
  <c r="L3" i="11" s="1"/>
  <c r="P664" i="44" a="1"/>
  <c r="P664" i="44" s="1"/>
  <c r="R4" i="11" s="1" a="1"/>
  <c r="R4" i="11" s="1"/>
  <c r="J459" i="44"/>
  <c r="J587" i="44"/>
  <c r="J550" i="44"/>
  <c r="P667" i="44" a="1"/>
  <c r="P667" i="44" s="1"/>
  <c r="U4" i="11" s="1" a="1"/>
  <c r="U4" i="11" s="1"/>
  <c r="J440" i="44"/>
  <c r="J470" i="44"/>
  <c r="Q708" i="44"/>
  <c r="N7" i="28" s="1" a="1"/>
  <c r="N7" i="28" s="1"/>
  <c r="Q612" i="44" a="1"/>
  <c r="Q612" i="44" s="1"/>
  <c r="N2" i="28" s="1" a="1"/>
  <c r="N2" i="28" s="1"/>
  <c r="O713" i="44"/>
  <c r="S7" i="26" s="1" a="1"/>
  <c r="S7" i="26" s="1"/>
  <c r="J581" i="44"/>
  <c r="J434" i="44"/>
  <c r="J474" i="44"/>
  <c r="J518" i="44"/>
  <c r="Q605" i="44" a="1"/>
  <c r="Q605" i="44" s="1"/>
  <c r="G2" i="28" s="1" a="1"/>
  <c r="G2" i="28" s="1"/>
  <c r="Q701" i="44"/>
  <c r="G7" i="28" s="1" a="1"/>
  <c r="G7" i="28" s="1"/>
  <c r="J437" i="44"/>
  <c r="J488" i="44"/>
  <c r="J482" i="44"/>
  <c r="E662" i="44" a="1"/>
  <c r="E662" i="44" s="1"/>
  <c r="P4" i="17" s="1" a="1"/>
  <c r="P4" i="17" s="1"/>
  <c r="D6" i="18" a="1"/>
  <c r="D6" i="18" s="1"/>
  <c r="C6" i="18" a="1"/>
  <c r="C6" i="18" s="1"/>
  <c r="P5" i="46"/>
  <c r="O3" i="46"/>
  <c r="S4" i="46"/>
  <c r="P2" i="46"/>
  <c r="J5" i="46"/>
  <c r="G2" i="46"/>
  <c r="T4" i="46"/>
  <c r="P3" i="46"/>
  <c r="M5" i="46"/>
  <c r="S2" i="46"/>
  <c r="D3" i="46"/>
  <c r="O5" i="46"/>
  <c r="S5" i="46"/>
  <c r="F5" i="46"/>
  <c r="O2" i="46"/>
  <c r="U3" i="46"/>
  <c r="Q5" i="46"/>
  <c r="G3" i="46"/>
  <c r="R2" i="46"/>
  <c r="Q2" i="46"/>
  <c r="M2" i="46"/>
  <c r="J2" i="46"/>
  <c r="F2" i="46"/>
  <c r="D2" i="46"/>
  <c r="O4" i="46"/>
  <c r="C4" i="46"/>
  <c r="T3" i="46"/>
  <c r="R4" i="46"/>
  <c r="U2" i="46"/>
  <c r="Q3" i="46"/>
  <c r="U5" i="46"/>
  <c r="P4" i="46"/>
  <c r="M3" i="46"/>
  <c r="J3" i="46"/>
  <c r="U4" i="46"/>
  <c r="C3" i="46"/>
  <c r="I2" i="46"/>
  <c r="F3" i="46"/>
  <c r="C5" i="46"/>
  <c r="I3" i="46"/>
  <c r="D5" i="46"/>
  <c r="G5" i="46"/>
  <c r="T2" i="46"/>
  <c r="G4" i="46"/>
  <c r="Q4" i="46"/>
  <c r="J4" i="46"/>
  <c r="C2" i="46"/>
  <c r="T5" i="46"/>
  <c r="F4" i="46"/>
  <c r="R3" i="46"/>
  <c r="S3" i="46"/>
  <c r="D4" i="46"/>
  <c r="I5" i="46"/>
  <c r="M4" i="46"/>
  <c r="I4" i="46"/>
  <c r="R5" i="46"/>
  <c r="I673" i="44" l="1" a="1"/>
  <c r="I673" i="44" s="1"/>
  <c r="C5" i="8" s="1" a="1"/>
  <c r="C5" i="8" s="1"/>
  <c r="C25" i="8" s="1"/>
  <c r="I729" i="44"/>
  <c r="I693" i="44" a="1"/>
  <c r="I693" i="44" s="1"/>
  <c r="W5" i="8" s="1" a="1"/>
  <c r="W5" i="8" s="1"/>
  <c r="W25" i="8" s="1"/>
  <c r="W614" i="44" a="1"/>
  <c r="W614" i="44" s="1"/>
  <c r="P2" i="33" s="1" a="1"/>
  <c r="P2" i="33" s="1"/>
  <c r="X692" i="44" a="1"/>
  <c r="X692" i="44" s="1"/>
  <c r="V5" i="34" s="1" a="1"/>
  <c r="V5" i="34" s="1"/>
  <c r="X641" i="44" a="1"/>
  <c r="X641" i="44" s="1"/>
  <c r="S3" i="34" s="1" a="1"/>
  <c r="S3" i="34" s="1"/>
  <c r="M715" i="44"/>
  <c r="U7" i="24" s="1" a="1"/>
  <c r="U7" i="24" s="1"/>
  <c r="U27" i="24" s="1"/>
  <c r="X664" i="44" a="1"/>
  <c r="X664" i="44" s="1"/>
  <c r="R4" i="34" s="1" a="1"/>
  <c r="R4" i="34" s="1"/>
  <c r="X625" i="44" a="1"/>
  <c r="X625" i="44" s="1"/>
  <c r="C3" i="34" s="1" a="1"/>
  <c r="C3" i="34" s="1"/>
  <c r="X682" i="44" a="1"/>
  <c r="X682" i="44" s="1"/>
  <c r="L5" i="34" s="1" a="1"/>
  <c r="L5" i="34" s="1"/>
  <c r="X658" i="44" a="1"/>
  <c r="X658" i="44" s="1"/>
  <c r="L4" i="34" s="1" a="1"/>
  <c r="L4" i="34" s="1"/>
  <c r="W689" i="44" a="1"/>
  <c r="W689" i="44" s="1"/>
  <c r="S5" i="33" s="1" a="1"/>
  <c r="S5" i="33" s="1"/>
  <c r="M682" i="44" a="1"/>
  <c r="M682" i="44" s="1"/>
  <c r="L5" i="24" s="1" a="1"/>
  <c r="L5" i="24" s="1"/>
  <c r="L25" i="24" s="1"/>
  <c r="M743" i="44"/>
  <c r="Y6" i="24" s="1" a="1"/>
  <c r="Y6" i="24" s="1"/>
  <c r="Y26" i="24" s="1"/>
  <c r="X685" i="44" a="1"/>
  <c r="X685" i="44" s="1"/>
  <c r="O5" i="34" s="1" a="1"/>
  <c r="O5" i="34" s="1"/>
  <c r="X683" i="44" a="1"/>
  <c r="X683" i="44" s="1"/>
  <c r="M5" i="34" s="1" a="1"/>
  <c r="M5" i="34" s="1"/>
  <c r="W673" i="44" a="1"/>
  <c r="W673" i="44" s="1"/>
  <c r="C5" i="33" s="1" a="1"/>
  <c r="C5" i="33" s="1"/>
  <c r="X691" i="44" a="1"/>
  <c r="X691" i="44" s="1"/>
  <c r="U5" i="34" s="1" a="1"/>
  <c r="U5" i="34" s="1"/>
  <c r="X718" i="44"/>
  <c r="X7" i="34" s="1" a="1"/>
  <c r="X7" i="34" s="1"/>
  <c r="X721" i="44"/>
  <c r="C6" i="34" s="1" a="1"/>
  <c r="C6" i="34" s="1"/>
  <c r="X730" i="44"/>
  <c r="L6" i="34" s="1" a="1"/>
  <c r="L6" i="34" s="1"/>
  <c r="X674" i="44" a="1"/>
  <c r="X674" i="44" s="1"/>
  <c r="D5" i="34" s="1" a="1"/>
  <c r="D5" i="34" s="1"/>
  <c r="M691" i="44" a="1"/>
  <c r="M691" i="44" s="1"/>
  <c r="U5" i="24" s="1" a="1"/>
  <c r="U5" i="24" s="1"/>
  <c r="U25" i="24" s="1"/>
  <c r="X604" i="44" a="1"/>
  <c r="X604" i="44" s="1"/>
  <c r="F2" i="34" s="1" a="1"/>
  <c r="F2" i="34" s="1"/>
  <c r="M693" i="44" a="1"/>
  <c r="M693" i="44" s="1"/>
  <c r="W5" i="24" s="1" a="1"/>
  <c r="W5" i="24" s="1"/>
  <c r="W25" i="24" s="1"/>
  <c r="X635" i="44" a="1"/>
  <c r="X635" i="44" s="1"/>
  <c r="M3" i="34" s="1" a="1"/>
  <c r="M3" i="34" s="1"/>
  <c r="X671" i="44" a="1"/>
  <c r="X671" i="44" s="1"/>
  <c r="Y4" i="34" s="1" a="1"/>
  <c r="Y4" i="34" s="1"/>
  <c r="X650" i="44" a="1"/>
  <c r="X650" i="44" s="1"/>
  <c r="D4" i="34" s="1" a="1"/>
  <c r="D4" i="34" s="1"/>
  <c r="X620" i="44" a="1"/>
  <c r="X620" i="44" s="1"/>
  <c r="V2" i="34" s="1" a="1"/>
  <c r="V2" i="34" s="1"/>
  <c r="X622" i="44" a="1"/>
  <c r="X622" i="44" s="1"/>
  <c r="X2" i="34" s="1" a="1"/>
  <c r="X2" i="34" s="1"/>
  <c r="X693" i="44" a="1"/>
  <c r="X693" i="44" s="1"/>
  <c r="W5" i="34" s="1" a="1"/>
  <c r="W5" i="34" s="1"/>
  <c r="X714" i="44"/>
  <c r="T7" i="34" s="1" a="1"/>
  <c r="T7" i="34" s="1"/>
  <c r="X726" i="44"/>
  <c r="H6" i="34" s="1" a="1"/>
  <c r="H6" i="34" s="1"/>
  <c r="X628" i="44" a="1"/>
  <c r="X628" i="44" s="1"/>
  <c r="F3" i="34" s="1" a="1"/>
  <c r="F3" i="34" s="1"/>
  <c r="X627" i="44" a="1"/>
  <c r="X627" i="44" s="1"/>
  <c r="E3" i="34" s="1" a="1"/>
  <c r="E3" i="34" s="1"/>
  <c r="X644" i="44" a="1"/>
  <c r="X644" i="44" s="1"/>
  <c r="V3" i="34" s="1" a="1"/>
  <c r="V3" i="34" s="1"/>
  <c r="X649" i="44" a="1"/>
  <c r="X649" i="44" s="1"/>
  <c r="C4" i="34" s="1" a="1"/>
  <c r="C4" i="34" s="1"/>
  <c r="M632" i="44" a="1"/>
  <c r="M632" i="44" s="1"/>
  <c r="J3" i="24" s="1" a="1"/>
  <c r="J3" i="24" s="1"/>
  <c r="J23" i="24" s="1"/>
  <c r="W706" i="44"/>
  <c r="L7" i="33" s="1" a="1"/>
  <c r="L7" i="33" s="1"/>
  <c r="X689" i="44" a="1"/>
  <c r="X689" i="44" s="1"/>
  <c r="S5" i="34" s="1" a="1"/>
  <c r="S5" i="34" s="1"/>
  <c r="X690" i="44" a="1"/>
  <c r="X690" i="44" s="1"/>
  <c r="T5" i="34" s="1" a="1"/>
  <c r="T5" i="34" s="1"/>
  <c r="X643" i="44" a="1"/>
  <c r="X643" i="44" s="1"/>
  <c r="U3" i="34" s="1" a="1"/>
  <c r="U3" i="34" s="1"/>
  <c r="X697" i="44"/>
  <c r="C7" i="34" s="1" a="1"/>
  <c r="C7" i="34" s="1"/>
  <c r="X606" i="44" a="1"/>
  <c r="X606" i="44" s="1"/>
  <c r="H2" i="34" s="1" a="1"/>
  <c r="H2" i="34" s="1"/>
  <c r="X703" i="44"/>
  <c r="I7" i="34" s="1" a="1"/>
  <c r="I7" i="34" s="1"/>
  <c r="M678" i="44" a="1"/>
  <c r="M678" i="44" s="1"/>
  <c r="H5" i="24" s="1" a="1"/>
  <c r="H5" i="24" s="1"/>
  <c r="H25" i="24" s="1"/>
  <c r="X723" i="44"/>
  <c r="E6" i="34" s="1" a="1"/>
  <c r="E6" i="34" s="1"/>
  <c r="X663" i="44" a="1"/>
  <c r="X663" i="44" s="1"/>
  <c r="Q4" i="34" s="1" a="1"/>
  <c r="Q4" i="34" s="1"/>
  <c r="X668" i="44" a="1"/>
  <c r="X668" i="44" s="1"/>
  <c r="V4" i="34" s="1" a="1"/>
  <c r="V4" i="34" s="1"/>
  <c r="X675" i="44" a="1"/>
  <c r="X675" i="44" s="1"/>
  <c r="E5" i="34" s="1" a="1"/>
  <c r="E5" i="34" s="1"/>
  <c r="X731" i="44"/>
  <c r="M6" i="34" s="1" a="1"/>
  <c r="M6" i="34" s="1"/>
  <c r="X678" i="44" a="1"/>
  <c r="X678" i="44" s="1"/>
  <c r="H5" i="34" s="1" a="1"/>
  <c r="H5" i="34" s="1"/>
  <c r="M655" i="44" a="1"/>
  <c r="M655" i="44" s="1"/>
  <c r="I4" i="24" s="1" a="1"/>
  <c r="I4" i="24" s="1"/>
  <c r="I24" i="24" s="1"/>
  <c r="M709" i="44"/>
  <c r="O7" i="24" s="1" a="1"/>
  <c r="O7" i="24" s="1"/>
  <c r="O27" i="24" s="1"/>
  <c r="W691" i="44" a="1"/>
  <c r="W691" i="44" s="1"/>
  <c r="U5" i="33" s="1" a="1"/>
  <c r="U5" i="33" s="1"/>
  <c r="X733" i="44"/>
  <c r="O6" i="34" s="1" a="1"/>
  <c r="O6" i="34" s="1"/>
  <c r="X631" i="44" a="1"/>
  <c r="X631" i="44" s="1"/>
  <c r="I3" i="34" s="1" a="1"/>
  <c r="I3" i="34" s="1"/>
  <c r="X621" i="44" a="1"/>
  <c r="X621" i="44" s="1"/>
  <c r="W2" i="34" s="1" a="1"/>
  <c r="W2" i="34" s="1"/>
  <c r="X739" i="44"/>
  <c r="U6" i="34" s="1" a="1"/>
  <c r="U6" i="34" s="1"/>
  <c r="X732" i="44"/>
  <c r="N6" i="34" s="1" a="1"/>
  <c r="N6" i="34" s="1"/>
  <c r="W630" i="44" a="1"/>
  <c r="W630" i="44" s="1"/>
  <c r="H3" i="33" s="1" a="1"/>
  <c r="H3" i="33" s="1"/>
  <c r="W625" i="44" a="1"/>
  <c r="W625" i="44" s="1"/>
  <c r="C3" i="33" s="1" a="1"/>
  <c r="C3" i="33" s="1"/>
  <c r="W719" i="44"/>
  <c r="Y7" i="33" s="1" a="1"/>
  <c r="Y7" i="33" s="1"/>
  <c r="X695" i="44" a="1"/>
  <c r="X695" i="44" s="1"/>
  <c r="Y5" i="34" s="1" a="1"/>
  <c r="Y5" i="34" s="1"/>
  <c r="X734" i="44"/>
  <c r="P6" i="34" s="1" a="1"/>
  <c r="P6" i="34" s="1"/>
  <c r="X629" i="44" a="1"/>
  <c r="X629" i="44" s="1"/>
  <c r="G3" i="34" s="1" a="1"/>
  <c r="G3" i="34" s="1"/>
  <c r="W665" i="44" a="1"/>
  <c r="W665" i="44" s="1"/>
  <c r="S4" i="33" s="1" a="1"/>
  <c r="S4" i="33" s="1"/>
  <c r="X686" i="44" a="1"/>
  <c r="X686" i="44" s="1"/>
  <c r="P5" i="34" s="1" a="1"/>
  <c r="P5" i="34" s="1"/>
  <c r="X716" i="44"/>
  <c r="V7" i="34" s="1" a="1"/>
  <c r="V7" i="34" s="1"/>
  <c r="M616" i="44" a="1"/>
  <c r="M616" i="44" s="1"/>
  <c r="R2" i="24" s="1" a="1"/>
  <c r="R2" i="24" s="1"/>
  <c r="R22" i="24" s="1"/>
  <c r="W639" i="44" a="1"/>
  <c r="W639" i="44" s="1"/>
  <c r="Q3" i="33" s="1" a="1"/>
  <c r="Q3" i="33" s="1"/>
  <c r="X698" i="44"/>
  <c r="D7" i="34" s="1" a="1"/>
  <c r="D7" i="34" s="1"/>
  <c r="W676" i="44" a="1"/>
  <c r="W676" i="44" s="1"/>
  <c r="F5" i="33" s="1" a="1"/>
  <c r="F5" i="33" s="1"/>
  <c r="M694" i="44" a="1"/>
  <c r="M694" i="44" s="1"/>
  <c r="X5" i="24" s="1" a="1"/>
  <c r="X5" i="24" s="1"/>
  <c r="X25" i="24" s="1"/>
  <c r="X654" i="44" a="1"/>
  <c r="X654" i="44" s="1"/>
  <c r="H4" i="34" s="1" a="1"/>
  <c r="H4" i="34" s="1"/>
  <c r="X681" i="44" a="1"/>
  <c r="X681" i="44" s="1"/>
  <c r="K5" i="34" s="1" a="1"/>
  <c r="K5" i="34" s="1"/>
  <c r="X717" i="44"/>
  <c r="W7" i="34" s="1" a="1"/>
  <c r="W7" i="34" s="1"/>
  <c r="W646" i="44" a="1"/>
  <c r="W646" i="44" s="1"/>
  <c r="X3" i="33" s="1" a="1"/>
  <c r="X3" i="33" s="1"/>
  <c r="W636" i="44" a="1"/>
  <c r="W636" i="44" s="1"/>
  <c r="N3" i="33" s="1" a="1"/>
  <c r="N3" i="33" s="1"/>
  <c r="W681" i="44" a="1"/>
  <c r="W681" i="44" s="1"/>
  <c r="K5" i="33" s="1" a="1"/>
  <c r="K5" i="33" s="1"/>
  <c r="W642" i="44" a="1"/>
  <c r="W642" i="44" s="1"/>
  <c r="T3" i="33" s="1" a="1"/>
  <c r="T3" i="33" s="1"/>
  <c r="X707" i="44"/>
  <c r="M7" i="34" s="1" a="1"/>
  <c r="M7" i="34" s="1"/>
  <c r="X694" i="44" a="1"/>
  <c r="X694" i="44" s="1"/>
  <c r="X5" i="34" s="1" a="1"/>
  <c r="X5" i="34" s="1"/>
  <c r="X684" i="44" a="1"/>
  <c r="X684" i="44" s="1"/>
  <c r="N5" i="34" s="1" a="1"/>
  <c r="N5" i="34" s="1"/>
  <c r="W613" i="44" a="1"/>
  <c r="W613" i="44" s="1"/>
  <c r="O2" i="33" s="1" a="1"/>
  <c r="O2" i="33" s="1"/>
  <c r="W649" i="44" a="1"/>
  <c r="W649" i="44" s="1"/>
  <c r="C4" i="33" s="1" a="1"/>
  <c r="C4" i="33" s="1"/>
  <c r="X645" i="44" a="1"/>
  <c r="X645" i="44" s="1"/>
  <c r="W3" i="34" s="1" a="1"/>
  <c r="W3" i="34" s="1"/>
  <c r="X708" i="44"/>
  <c r="N7" i="34" s="1" a="1"/>
  <c r="N7" i="34" s="1"/>
  <c r="M646" i="44" a="1"/>
  <c r="M646" i="44" s="1"/>
  <c r="X3" i="24" s="1" a="1"/>
  <c r="X3" i="24" s="1"/>
  <c r="X23" i="24" s="1"/>
  <c r="M675" i="44" a="1"/>
  <c r="M675" i="44" s="1"/>
  <c r="E5" i="24" s="1" a="1"/>
  <c r="E5" i="24" s="1"/>
  <c r="E25" i="24" s="1"/>
  <c r="X687" i="44" a="1"/>
  <c r="X687" i="44" s="1"/>
  <c r="Q5" i="34" s="1" a="1"/>
  <c r="Q5" i="34" s="1"/>
  <c r="X667" i="44" a="1"/>
  <c r="X667" i="44" s="1"/>
  <c r="U4" i="34" s="1" a="1"/>
  <c r="U4" i="34" s="1"/>
  <c r="X637" i="44" a="1"/>
  <c r="X637" i="44" s="1"/>
  <c r="O3" i="34" s="1" a="1"/>
  <c r="O3" i="34" s="1"/>
  <c r="X741" i="44"/>
  <c r="W6" i="34" s="1" a="1"/>
  <c r="W6" i="34" s="1"/>
  <c r="W715" i="44"/>
  <c r="U7" i="33" s="1" a="1"/>
  <c r="U7" i="33" s="1"/>
  <c r="W661" i="44" a="1"/>
  <c r="W661" i="44" s="1"/>
  <c r="O4" i="33" s="1" a="1"/>
  <c r="O4" i="33" s="1"/>
  <c r="X713" i="44"/>
  <c r="S7" i="34" s="1" a="1"/>
  <c r="S7" i="34" s="1"/>
  <c r="W638" i="44" a="1"/>
  <c r="W638" i="44" s="1"/>
  <c r="P3" i="33" s="1" a="1"/>
  <c r="P3" i="33" s="1"/>
  <c r="X602" i="44" a="1"/>
  <c r="X602" i="44" s="1"/>
  <c r="D2" i="34" s="1" a="1"/>
  <c r="D2" i="34" s="1"/>
  <c r="W602" i="44" a="1"/>
  <c r="W602" i="44" s="1"/>
  <c r="D2" i="33" s="1" a="1"/>
  <c r="D2" i="33" s="1"/>
  <c r="X618" i="44" a="1"/>
  <c r="X618" i="44" s="1"/>
  <c r="T2" i="34" s="1" a="1"/>
  <c r="T2" i="34" s="1"/>
  <c r="M650" i="44" a="1"/>
  <c r="M650" i="44" s="1"/>
  <c r="D4" i="24" s="1" a="1"/>
  <c r="D4" i="24" s="1"/>
  <c r="D24" i="24" s="1"/>
  <c r="X647" i="44" a="1"/>
  <c r="X647" i="44" s="1"/>
  <c r="Y3" i="34" s="1" a="1"/>
  <c r="Y3" i="34" s="1"/>
  <c r="X680" i="44" a="1"/>
  <c r="X680" i="44" s="1"/>
  <c r="J5" i="34" s="1" a="1"/>
  <c r="J5" i="34" s="1"/>
  <c r="M710" i="44"/>
  <c r="P7" i="24" s="1" a="1"/>
  <c r="P7" i="24" s="1"/>
  <c r="P27" i="24" s="1"/>
  <c r="W724" i="44"/>
  <c r="F6" i="33" s="1" a="1"/>
  <c r="F6" i="33" s="1"/>
  <c r="X636" i="44" a="1"/>
  <c r="X636" i="44" s="1"/>
  <c r="N3" i="34" s="1" a="1"/>
  <c r="N3" i="34" s="1"/>
  <c r="X659" i="44" a="1"/>
  <c r="X659" i="44" s="1"/>
  <c r="M4" i="34" s="1" a="1"/>
  <c r="M4" i="34" s="1"/>
  <c r="X646" i="44" a="1"/>
  <c r="X646" i="44" s="1"/>
  <c r="X3" i="34" s="1" a="1"/>
  <c r="X3" i="34" s="1"/>
  <c r="W643" i="44" a="1"/>
  <c r="W643" i="44" s="1"/>
  <c r="U3" i="33" s="1" a="1"/>
  <c r="U3" i="33" s="1"/>
  <c r="X634" i="44" a="1"/>
  <c r="X634" i="44" s="1"/>
  <c r="L3" i="34" s="1" a="1"/>
  <c r="L3" i="34" s="1"/>
  <c r="X616" i="44" a="1"/>
  <c r="X616" i="44" s="1"/>
  <c r="R2" i="34" s="1" a="1"/>
  <c r="R2" i="34" s="1"/>
  <c r="W617" i="44" a="1"/>
  <c r="W617" i="44" s="1"/>
  <c r="S2" i="33" s="1" a="1"/>
  <c r="S2" i="33" s="1"/>
  <c r="W631" i="44" a="1"/>
  <c r="W631" i="44" s="1"/>
  <c r="I3" i="33" s="1" a="1"/>
  <c r="I3" i="33" s="1"/>
  <c r="X633" i="44" a="1"/>
  <c r="X633" i="44" s="1"/>
  <c r="K3" i="34" s="1" a="1"/>
  <c r="K3" i="34" s="1"/>
  <c r="W686" i="44" a="1"/>
  <c r="W686" i="44" s="1"/>
  <c r="P5" i="33" s="1" a="1"/>
  <c r="P5" i="33" s="1"/>
  <c r="W737" i="44"/>
  <c r="S6" i="33" s="1" a="1"/>
  <c r="S6" i="33" s="1"/>
  <c r="M624" i="44" a="1"/>
  <c r="M624" i="44" s="1"/>
  <c r="B3" i="24" s="1" a="1"/>
  <c r="B3" i="24" s="1"/>
  <c r="B23" i="24" s="1"/>
  <c r="M698" i="44"/>
  <c r="D7" i="24" s="1" a="1"/>
  <c r="D7" i="24" s="1"/>
  <c r="D27" i="24" s="1"/>
  <c r="W655" i="44" a="1"/>
  <c r="W655" i="44" s="1"/>
  <c r="I4" i="33" s="1" a="1"/>
  <c r="I4" i="33" s="1"/>
  <c r="X706" i="44"/>
  <c r="L7" i="34" s="1" a="1"/>
  <c r="L7" i="34" s="1"/>
  <c r="W700" i="44"/>
  <c r="F7" i="33" s="1" a="1"/>
  <c r="F7" i="33" s="1"/>
  <c r="X662" i="44" a="1"/>
  <c r="X662" i="44" s="1"/>
  <c r="P4" i="34" s="1" a="1"/>
  <c r="P4" i="34" s="1"/>
  <c r="M712" i="44"/>
  <c r="R7" i="24" s="1" a="1"/>
  <c r="R7" i="24" s="1"/>
  <c r="R27" i="24" s="1"/>
  <c r="O687" i="44" a="1"/>
  <c r="O687" i="44" s="1"/>
  <c r="Q5" i="26" s="1" a="1"/>
  <c r="Q5" i="26" s="1"/>
  <c r="M673" i="44" a="1"/>
  <c r="M673" i="44" s="1"/>
  <c r="C5" i="24" s="1" a="1"/>
  <c r="C5" i="24" s="1"/>
  <c r="C25" i="24" s="1"/>
  <c r="X648" i="44" a="1"/>
  <c r="X648" i="44" s="1"/>
  <c r="B4" i="34" s="1" a="1"/>
  <c r="B4" i="34" s="1"/>
  <c r="X612" i="44" a="1"/>
  <c r="X612" i="44" s="1"/>
  <c r="N2" i="34" s="1" a="1"/>
  <c r="N2" i="34" s="1"/>
  <c r="M640" i="44" a="1"/>
  <c r="M640" i="44" s="1"/>
  <c r="R3" i="24" s="1" a="1"/>
  <c r="R3" i="24" s="1"/>
  <c r="R23" i="24" s="1"/>
  <c r="X656" i="44" a="1"/>
  <c r="X656" i="44" s="1"/>
  <c r="J4" i="34" s="1" a="1"/>
  <c r="J4" i="34" s="1"/>
  <c r="M700" i="44"/>
  <c r="F7" i="24" s="1" a="1"/>
  <c r="F7" i="24" s="1"/>
  <c r="F27" i="24" s="1"/>
  <c r="W657" i="44" a="1"/>
  <c r="W657" i="44" s="1"/>
  <c r="K4" i="33" s="1" a="1"/>
  <c r="K4" i="33" s="1"/>
  <c r="X615" i="44" a="1"/>
  <c r="X615" i="44" s="1"/>
  <c r="Q2" i="34" s="1" a="1"/>
  <c r="Q2" i="34" s="1"/>
  <c r="X738" i="44"/>
  <c r="T6" i="34" s="1" a="1"/>
  <c r="T6" i="34" s="1"/>
  <c r="W628" i="44" a="1"/>
  <c r="W628" i="44" s="1"/>
  <c r="F3" i="33" s="1" a="1"/>
  <c r="F3" i="33" s="1"/>
  <c r="W699" i="44"/>
  <c r="E7" i="33" s="1" a="1"/>
  <c r="E7" i="33" s="1"/>
  <c r="M619" i="44" a="1"/>
  <c r="M619" i="44" s="1"/>
  <c r="U2" i="24" s="1" a="1"/>
  <c r="U2" i="24" s="1"/>
  <c r="U22" i="24" s="1"/>
  <c r="W721" i="44"/>
  <c r="C6" i="33" s="1" a="1"/>
  <c r="C6" i="33" s="1"/>
  <c r="X630" i="44" a="1"/>
  <c r="X630" i="44" s="1"/>
  <c r="H3" i="34" s="1" a="1"/>
  <c r="H3" i="34" s="1"/>
  <c r="X609" i="44" a="1"/>
  <c r="X609" i="44" s="1"/>
  <c r="K2" i="34" s="1" a="1"/>
  <c r="K2" i="34" s="1"/>
  <c r="M725" i="44"/>
  <c r="G6" i="24" s="1" a="1"/>
  <c r="G6" i="24" s="1"/>
  <c r="G26" i="24" s="1"/>
  <c r="W726" i="44"/>
  <c r="H6" i="33" s="1" a="1"/>
  <c r="H6" i="33" s="1"/>
  <c r="M644" i="44" a="1"/>
  <c r="M644" i="44" s="1"/>
  <c r="V3" i="24" s="1" a="1"/>
  <c r="V3" i="24" s="1"/>
  <c r="V23" i="24" s="1"/>
  <c r="W650" i="44" a="1"/>
  <c r="W650" i="44" s="1"/>
  <c r="D4" i="33" s="1" a="1"/>
  <c r="D4" i="33" s="1"/>
  <c r="X632" i="44" a="1"/>
  <c r="X632" i="44" s="1"/>
  <c r="J3" i="34" s="1" a="1"/>
  <c r="J3" i="34" s="1"/>
  <c r="X607" i="44" a="1"/>
  <c r="X607" i="44" s="1"/>
  <c r="I2" i="34" s="1" a="1"/>
  <c r="I2" i="34" s="1"/>
  <c r="W727" i="44"/>
  <c r="I6" i="33" s="1" a="1"/>
  <c r="I6" i="33" s="1"/>
  <c r="W688" i="44" a="1"/>
  <c r="W688" i="44" s="1"/>
  <c r="R5" i="33" s="1" a="1"/>
  <c r="R5" i="33" s="1"/>
  <c r="X704" i="44"/>
  <c r="J7" i="34" s="1" a="1"/>
  <c r="J7" i="34" s="1"/>
  <c r="M638" i="44" a="1"/>
  <c r="M638" i="44" s="1"/>
  <c r="P3" i="24" s="1" a="1"/>
  <c r="P3" i="24" s="1"/>
  <c r="P23" i="24" s="1"/>
  <c r="X705" i="44"/>
  <c r="K7" i="34" s="1" a="1"/>
  <c r="K7" i="34" s="1"/>
  <c r="W627" i="44" a="1"/>
  <c r="W627" i="44" s="1"/>
  <c r="E3" i="33" s="1" a="1"/>
  <c r="E3" i="33" s="1"/>
  <c r="X700" i="44"/>
  <c r="F7" i="34" s="1" a="1"/>
  <c r="F7" i="34" s="1"/>
  <c r="X702" i="44"/>
  <c r="H7" i="34" s="1" a="1"/>
  <c r="H7" i="34" s="1"/>
  <c r="X660" i="44" a="1"/>
  <c r="X660" i="44" s="1"/>
  <c r="N4" i="34" s="1" a="1"/>
  <c r="N4" i="34" s="1"/>
  <c r="W603" i="44" a="1"/>
  <c r="W603" i="44" s="1"/>
  <c r="E2" i="33" s="1" a="1"/>
  <c r="E2" i="33" s="1"/>
  <c r="X711" i="44"/>
  <c r="Q7" i="34" s="1" a="1"/>
  <c r="Q7" i="34" s="1"/>
  <c r="X740" i="44"/>
  <c r="V6" i="34" s="1" a="1"/>
  <c r="V6" i="34" s="1"/>
  <c r="X743" i="44"/>
  <c r="Y6" i="34" s="1" a="1"/>
  <c r="Y6" i="34" s="1"/>
  <c r="W679" i="44" a="1"/>
  <c r="W679" i="44" s="1"/>
  <c r="I5" i="33" s="1" a="1"/>
  <c r="I5" i="33" s="1"/>
  <c r="M614" i="44" a="1"/>
  <c r="M614" i="44" s="1"/>
  <c r="P2" i="24" s="1" a="1"/>
  <c r="P2" i="24" s="1"/>
  <c r="P22" i="24" s="1"/>
  <c r="W607" i="44" a="1"/>
  <c r="W607" i="44" s="1"/>
  <c r="I2" i="33" s="1" a="1"/>
  <c r="I2" i="33" s="1"/>
  <c r="X719" i="44"/>
  <c r="Y7" i="34" s="1" a="1"/>
  <c r="Y7" i="34" s="1"/>
  <c r="X601" i="44" a="1"/>
  <c r="X601" i="44" s="1"/>
  <c r="C2" i="34" s="1" a="1"/>
  <c r="C2" i="34" s="1"/>
  <c r="X626" i="44" a="1"/>
  <c r="X626" i="44" s="1"/>
  <c r="D3" i="34" s="1" a="1"/>
  <c r="D3" i="34" s="1"/>
  <c r="W623" i="44" a="1"/>
  <c r="W623" i="44" s="1"/>
  <c r="Y2" i="33" s="1" a="1"/>
  <c r="Y2" i="33" s="1"/>
  <c r="X676" i="44" a="1"/>
  <c r="X676" i="44" s="1"/>
  <c r="F5" i="34" s="1" a="1"/>
  <c r="F5" i="34" s="1"/>
  <c r="W619" i="44" a="1"/>
  <c r="W619" i="44" s="1"/>
  <c r="U2" i="33" s="1" a="1"/>
  <c r="U2" i="33" s="1"/>
  <c r="M703" i="44"/>
  <c r="I7" i="24" s="1" a="1"/>
  <c r="I7" i="24" s="1"/>
  <c r="I27" i="24" s="1"/>
  <c r="W684" i="44" a="1"/>
  <c r="W684" i="44" s="1"/>
  <c r="N5" i="33" s="1" a="1"/>
  <c r="N5" i="33" s="1"/>
  <c r="W677" i="44" a="1"/>
  <c r="W677" i="44" s="1"/>
  <c r="G5" i="33" s="1" a="1"/>
  <c r="G5" i="33" s="1"/>
  <c r="W687" i="44" a="1"/>
  <c r="W687" i="44" s="1"/>
  <c r="Q5" i="33" s="1" a="1"/>
  <c r="Q5" i="33" s="1"/>
  <c r="X614" i="44" a="1"/>
  <c r="X614" i="44" s="1"/>
  <c r="P2" i="34" s="1" a="1"/>
  <c r="P2" i="34" s="1"/>
  <c r="M642" i="44" a="1"/>
  <c r="M642" i="44" s="1"/>
  <c r="T3" i="24" s="1" a="1"/>
  <c r="T3" i="24" s="1"/>
  <c r="T23" i="24" s="1"/>
  <c r="M679" i="44" a="1"/>
  <c r="M679" i="44" s="1"/>
  <c r="I5" i="24" s="1" a="1"/>
  <c r="I5" i="24" s="1"/>
  <c r="I25" i="24" s="1"/>
  <c r="W710" i="44"/>
  <c r="P7" i="33" s="1" a="1"/>
  <c r="P7" i="33" s="1"/>
  <c r="X666" i="44" a="1"/>
  <c r="X666" i="44" s="1"/>
  <c r="T4" i="34" s="1" a="1"/>
  <c r="T4" i="34" s="1"/>
  <c r="W610" i="44" a="1"/>
  <c r="W610" i="44" s="1"/>
  <c r="L2" i="33" s="1" a="1"/>
  <c r="L2" i="33" s="1"/>
  <c r="M659" i="44" a="1"/>
  <c r="M659" i="44" s="1"/>
  <c r="M4" i="24" s="1" a="1"/>
  <c r="M4" i="24" s="1"/>
  <c r="M24" i="24" s="1"/>
  <c r="X617" i="44" a="1"/>
  <c r="X617" i="44" s="1"/>
  <c r="S2" i="34" s="1" a="1"/>
  <c r="S2" i="34" s="1"/>
  <c r="W716" i="44"/>
  <c r="V7" i="33" s="1" a="1"/>
  <c r="V7" i="33" s="1"/>
  <c r="W725" i="44"/>
  <c r="G6" i="33" s="1" a="1"/>
  <c r="G6" i="33" s="1"/>
  <c r="W742" i="44"/>
  <c r="X6" i="33" s="1" a="1"/>
  <c r="X6" i="33" s="1"/>
  <c r="X610" i="44" a="1"/>
  <c r="X610" i="44" s="1"/>
  <c r="L2" i="34" s="1" a="1"/>
  <c r="L2" i="34" s="1"/>
  <c r="X696" i="44"/>
  <c r="B7" i="34" s="1" a="1"/>
  <c r="B7" i="34" s="1"/>
  <c r="M711" i="44"/>
  <c r="Q7" i="24" s="1" a="1"/>
  <c r="Q7" i="24" s="1"/>
  <c r="Q27" i="24" s="1"/>
  <c r="M732" i="44"/>
  <c r="N6" i="24" s="1" a="1"/>
  <c r="N6" i="24" s="1"/>
  <c r="N26" i="24" s="1"/>
  <c r="W703" i="44"/>
  <c r="I7" i="33" s="1" a="1"/>
  <c r="I7" i="33" s="1"/>
  <c r="M674" i="44" a="1"/>
  <c r="M674" i="44" s="1"/>
  <c r="D5" i="24" s="1" a="1"/>
  <c r="D5" i="24" s="1"/>
  <c r="D25" i="24" s="1"/>
  <c r="M628" i="44" a="1"/>
  <c r="M628" i="44" s="1"/>
  <c r="F3" i="24" s="1" a="1"/>
  <c r="F3" i="24" s="1"/>
  <c r="F23" i="24" s="1"/>
  <c r="W702" i="44"/>
  <c r="H7" i="33" s="1" a="1"/>
  <c r="H7" i="33" s="1"/>
  <c r="X613" i="44" a="1"/>
  <c r="X613" i="44" s="1"/>
  <c r="O2" i="34" s="1" a="1"/>
  <c r="O2" i="34" s="1"/>
  <c r="W729" i="44"/>
  <c r="K6" i="33" s="1" a="1"/>
  <c r="K6" i="33" s="1"/>
  <c r="X608" i="44" a="1"/>
  <c r="X608" i="44" s="1"/>
  <c r="J2" i="34" s="1" a="1"/>
  <c r="J2" i="34" s="1"/>
  <c r="M634" i="44" a="1"/>
  <c r="M634" i="44" s="1"/>
  <c r="L3" i="24" s="1" a="1"/>
  <c r="L3" i="24" s="1"/>
  <c r="L23" i="24" s="1"/>
  <c r="M645" i="44" a="1"/>
  <c r="M645" i="44" s="1"/>
  <c r="W3" i="24" s="1" a="1"/>
  <c r="W3" i="24" s="1"/>
  <c r="W23" i="24" s="1"/>
  <c r="M680" i="44" a="1"/>
  <c r="M680" i="44" s="1"/>
  <c r="J5" i="24" s="1" a="1"/>
  <c r="J5" i="24" s="1"/>
  <c r="J25" i="24" s="1"/>
  <c r="M724" i="44"/>
  <c r="F6" i="24" s="1" a="1"/>
  <c r="F6" i="24" s="1"/>
  <c r="F26" i="24" s="1"/>
  <c r="M662" i="44" a="1"/>
  <c r="M662" i="44" s="1"/>
  <c r="P4" i="24" s="1" a="1"/>
  <c r="P4" i="24" s="1"/>
  <c r="P24" i="24" s="1"/>
  <c r="W647" i="44" a="1"/>
  <c r="W647" i="44" s="1"/>
  <c r="Y3" i="33" s="1" a="1"/>
  <c r="Y3" i="33" s="1"/>
  <c r="X642" i="44" a="1"/>
  <c r="X642" i="44" s="1"/>
  <c r="T3" i="34" s="1" a="1"/>
  <c r="T3" i="34" s="1"/>
  <c r="M676" i="44" a="1"/>
  <c r="M676" i="44" s="1"/>
  <c r="F5" i="24" s="1" a="1"/>
  <c r="F5" i="24" s="1"/>
  <c r="F25" i="24" s="1"/>
  <c r="M647" i="44" a="1"/>
  <c r="M647" i="44" s="1"/>
  <c r="Y3" i="24" s="1" a="1"/>
  <c r="Y3" i="24" s="1"/>
  <c r="Y23" i="24" s="1"/>
  <c r="M687" i="44" a="1"/>
  <c r="M687" i="44" s="1"/>
  <c r="Q5" i="24" s="1" a="1"/>
  <c r="Q5" i="24" s="1"/>
  <c r="Q25" i="24" s="1"/>
  <c r="M666" i="44" a="1"/>
  <c r="M666" i="44" s="1"/>
  <c r="T4" i="24" s="1" a="1"/>
  <c r="T4" i="24" s="1"/>
  <c r="T24" i="24" s="1"/>
  <c r="W674" i="44" a="1"/>
  <c r="W674" i="44" s="1"/>
  <c r="D5" i="33" s="1" a="1"/>
  <c r="D5" i="33" s="1"/>
  <c r="M631" i="44" a="1"/>
  <c r="M631" i="44" s="1"/>
  <c r="I3" i="24" s="1" a="1"/>
  <c r="I3" i="24" s="1"/>
  <c r="I23" i="24" s="1"/>
  <c r="X729" i="44"/>
  <c r="K6" i="34" s="1" a="1"/>
  <c r="K6" i="34" s="1"/>
  <c r="W660" i="44" a="1"/>
  <c r="W660" i="44" s="1"/>
  <c r="N4" i="33" s="1" a="1"/>
  <c r="N4" i="33" s="1"/>
  <c r="M707" i="44"/>
  <c r="M7" i="24" s="1" a="1"/>
  <c r="M7" i="24" s="1"/>
  <c r="M27" i="24" s="1"/>
  <c r="M696" i="44"/>
  <c r="B7" i="24" s="1" a="1"/>
  <c r="B7" i="24" s="1"/>
  <c r="B27" i="24" s="1"/>
  <c r="W672" i="44" a="1"/>
  <c r="W672" i="44" s="1"/>
  <c r="B5" i="33" s="1" a="1"/>
  <c r="B5" i="33" s="1"/>
  <c r="M643" i="44" a="1"/>
  <c r="M643" i="44" s="1"/>
  <c r="U3" i="24" s="1" a="1"/>
  <c r="U3" i="24" s="1"/>
  <c r="U23" i="24" s="1"/>
  <c r="M667" i="44" a="1"/>
  <c r="M667" i="44" s="1"/>
  <c r="U4" i="24" s="1" a="1"/>
  <c r="U4" i="24" s="1"/>
  <c r="U24" i="24" s="1"/>
  <c r="M633" i="44" a="1"/>
  <c r="M633" i="44" s="1"/>
  <c r="K3" i="24" s="1" a="1"/>
  <c r="K3" i="24" s="1"/>
  <c r="K23" i="24" s="1"/>
  <c r="W637" i="44" a="1"/>
  <c r="W637" i="44" s="1"/>
  <c r="O3" i="33" s="1" a="1"/>
  <c r="O3" i="33" s="1"/>
  <c r="W713" i="44"/>
  <c r="S7" i="33" s="1" a="1"/>
  <c r="S7" i="33" s="1"/>
  <c r="X652" i="44" a="1"/>
  <c r="X652" i="44" s="1"/>
  <c r="F4" i="34" s="1" a="1"/>
  <c r="F4" i="34" s="1"/>
  <c r="W667" i="44" a="1"/>
  <c r="W667" i="44" s="1"/>
  <c r="U4" i="33" s="1" a="1"/>
  <c r="U4" i="33" s="1"/>
  <c r="M695" i="44" a="1"/>
  <c r="M695" i="44" s="1"/>
  <c r="Y5" i="24" s="1" a="1"/>
  <c r="Y5" i="24" s="1"/>
  <c r="Y25" i="24" s="1"/>
  <c r="W709" i="44"/>
  <c r="O7" i="33" s="1" a="1"/>
  <c r="O7" i="33" s="1"/>
  <c r="W741" i="44"/>
  <c r="W6" i="33" s="1" a="1"/>
  <c r="W6" i="33" s="1"/>
  <c r="W722" i="44"/>
  <c r="D6" i="33" s="1" a="1"/>
  <c r="D6" i="33" s="1"/>
  <c r="M730" i="44"/>
  <c r="L6" i="24" s="1" a="1"/>
  <c r="L6" i="24" s="1"/>
  <c r="L26" i="24" s="1"/>
  <c r="M669" i="44" a="1"/>
  <c r="M669" i="44" s="1"/>
  <c r="W4" i="24" s="1" a="1"/>
  <c r="W4" i="24" s="1"/>
  <c r="W24" i="24" s="1"/>
  <c r="X623" i="44" a="1"/>
  <c r="X623" i="44" s="1"/>
  <c r="Y2" i="34" s="1" a="1"/>
  <c r="Y2" i="34" s="1"/>
  <c r="M701" i="44"/>
  <c r="G7" i="24" s="1" a="1"/>
  <c r="G7" i="24" s="1"/>
  <c r="G27" i="24" s="1"/>
  <c r="X735" i="44"/>
  <c r="Q6" i="34" s="1" a="1"/>
  <c r="Q6" i="34" s="1"/>
  <c r="X611" i="44" a="1"/>
  <c r="X611" i="44" s="1"/>
  <c r="M2" i="34" s="1" a="1"/>
  <c r="M2" i="34" s="1"/>
  <c r="X722" i="44"/>
  <c r="D6" i="34" s="1" a="1"/>
  <c r="D6" i="34" s="1"/>
  <c r="X639" i="44" a="1"/>
  <c r="X639" i="44" s="1"/>
  <c r="Q3" i="34" s="1" a="1"/>
  <c r="Q3" i="34" s="1"/>
  <c r="W732" i="44"/>
  <c r="N6" i="33" s="1" a="1"/>
  <c r="N6" i="33" s="1"/>
  <c r="M726" i="44"/>
  <c r="H6" i="24" s="1" a="1"/>
  <c r="H6" i="24" s="1"/>
  <c r="H26" i="24" s="1"/>
  <c r="W604" i="44" a="1"/>
  <c r="W604" i="44" s="1"/>
  <c r="F2" i="33" s="1" a="1"/>
  <c r="F2" i="33" s="1"/>
  <c r="M739" i="44"/>
  <c r="U6" i="24" s="1" a="1"/>
  <c r="U6" i="24" s="1"/>
  <c r="U26" i="24" s="1"/>
  <c r="M637" i="44" a="1"/>
  <c r="M637" i="44" s="1"/>
  <c r="O3" i="24" s="1" a="1"/>
  <c r="O3" i="24" s="1"/>
  <c r="O23" i="24" s="1"/>
  <c r="M727" i="44"/>
  <c r="I6" i="24" s="1" a="1"/>
  <c r="I6" i="24" s="1"/>
  <c r="I26" i="24" s="1"/>
  <c r="W733" i="44"/>
  <c r="O6" i="33" s="1" a="1"/>
  <c r="O6" i="33" s="1"/>
  <c r="M611" i="44" a="1"/>
  <c r="M611" i="44" s="1"/>
  <c r="M2" i="24" s="1" a="1"/>
  <c r="M2" i="24" s="1"/>
  <c r="M22" i="24" s="1"/>
  <c r="W654" i="44" a="1"/>
  <c r="W654" i="44" s="1"/>
  <c r="H4" i="33" s="1" a="1"/>
  <c r="H4" i="33" s="1"/>
  <c r="M741" i="44"/>
  <c r="W6" i="24" s="1" a="1"/>
  <c r="W6" i="24" s="1"/>
  <c r="W26" i="24" s="1"/>
  <c r="W640" i="44" a="1"/>
  <c r="W640" i="44" s="1"/>
  <c r="R3" i="33" s="1" a="1"/>
  <c r="R3" i="33" s="1"/>
  <c r="M684" i="44" a="1"/>
  <c r="M684" i="44" s="1"/>
  <c r="N5" i="24" s="1" a="1"/>
  <c r="N5" i="24" s="1"/>
  <c r="N25" i="24" s="1"/>
  <c r="M607" i="44" a="1"/>
  <c r="M607" i="44" s="1"/>
  <c r="I2" i="24" s="1" a="1"/>
  <c r="I2" i="24" s="1"/>
  <c r="I22" i="24" s="1"/>
  <c r="W618" i="44" a="1"/>
  <c r="W618" i="44" s="1"/>
  <c r="T2" i="33" s="1" a="1"/>
  <c r="T2" i="33" s="1"/>
  <c r="M636" i="44" a="1"/>
  <c r="M636" i="44" s="1"/>
  <c r="N3" i="24" s="1" a="1"/>
  <c r="N3" i="24" s="1"/>
  <c r="N23" i="24" s="1"/>
  <c r="W701" i="44"/>
  <c r="G7" i="33" s="1" a="1"/>
  <c r="G7" i="33" s="1"/>
  <c r="W635" i="44" a="1"/>
  <c r="W635" i="44" s="1"/>
  <c r="M3" i="33" s="1" a="1"/>
  <c r="M3" i="33" s="1"/>
  <c r="M600" i="44" a="1"/>
  <c r="M600" i="44" s="1"/>
  <c r="B2" i="24" s="1" a="1"/>
  <c r="B2" i="24" s="1"/>
  <c r="B22" i="24" s="1"/>
  <c r="X657" i="44" a="1"/>
  <c r="X657" i="44" s="1"/>
  <c r="K4" i="34" s="1" a="1"/>
  <c r="K4" i="34" s="1"/>
  <c r="M668" i="44" a="1"/>
  <c r="M668" i="44" s="1"/>
  <c r="V4" i="24" s="1" a="1"/>
  <c r="V4" i="24" s="1"/>
  <c r="V24" i="24" s="1"/>
  <c r="W739" i="44"/>
  <c r="U6" i="33" s="1" a="1"/>
  <c r="U6" i="33" s="1"/>
  <c r="M621" i="44" a="1"/>
  <c r="M621" i="44" s="1"/>
  <c r="W2" i="24" s="1" a="1"/>
  <c r="W2" i="24" s="1"/>
  <c r="W22" i="24" s="1"/>
  <c r="M685" i="44" a="1"/>
  <c r="M685" i="44" s="1"/>
  <c r="O5" i="24" s="1" a="1"/>
  <c r="O5" i="24" s="1"/>
  <c r="O25" i="24" s="1"/>
  <c r="W708" i="44"/>
  <c r="N7" i="33" s="1" a="1"/>
  <c r="N7" i="33" s="1"/>
  <c r="M714" i="44"/>
  <c r="T7" i="24" s="1" a="1"/>
  <c r="T7" i="24" s="1"/>
  <c r="T27" i="24" s="1"/>
  <c r="M720" i="44"/>
  <c r="B6" i="24" s="1" a="1"/>
  <c r="B6" i="24" s="1"/>
  <c r="B26" i="24" s="1"/>
  <c r="M722" i="44"/>
  <c r="D6" i="24" s="1" a="1"/>
  <c r="D6" i="24" s="1"/>
  <c r="D26" i="24" s="1"/>
  <c r="M630" i="44" a="1"/>
  <c r="M630" i="44" s="1"/>
  <c r="H3" i="24" s="1" a="1"/>
  <c r="H3" i="24" s="1"/>
  <c r="H23" i="24" s="1"/>
  <c r="W697" i="44"/>
  <c r="C7" i="33" s="1" a="1"/>
  <c r="C7" i="33" s="1"/>
  <c r="W632" i="44" a="1"/>
  <c r="W632" i="44" s="1"/>
  <c r="J3" i="33" s="1" a="1"/>
  <c r="J3" i="33" s="1"/>
  <c r="W663" i="44" a="1"/>
  <c r="W663" i="44" s="1"/>
  <c r="Q4" i="33" s="1" a="1"/>
  <c r="Q4" i="33" s="1"/>
  <c r="W664" i="44" a="1"/>
  <c r="W664" i="44" s="1"/>
  <c r="R4" i="33" s="1" a="1"/>
  <c r="R4" i="33" s="1"/>
  <c r="X727" i="44"/>
  <c r="I6" i="34" s="1" a="1"/>
  <c r="I6" i="34" s="1"/>
  <c r="W694" i="44" a="1"/>
  <c r="W694" i="44" s="1"/>
  <c r="X5" i="33" s="1" a="1"/>
  <c r="X5" i="33" s="1"/>
  <c r="W678" i="44" a="1"/>
  <c r="W678" i="44" s="1"/>
  <c r="H5" i="33" s="1" a="1"/>
  <c r="H5" i="33" s="1"/>
  <c r="W690" i="44" a="1"/>
  <c r="W690" i="44" s="1"/>
  <c r="T5" i="33" s="1" a="1"/>
  <c r="T5" i="33" s="1"/>
  <c r="M677" i="44" a="1"/>
  <c r="M677" i="44" s="1"/>
  <c r="G5" i="24" s="1" a="1"/>
  <c r="G5" i="24" s="1"/>
  <c r="G25" i="24" s="1"/>
  <c r="X699" i="44"/>
  <c r="E7" i="34" s="1" a="1"/>
  <c r="E7" i="34" s="1"/>
  <c r="X679" i="44" a="1"/>
  <c r="X679" i="44" s="1"/>
  <c r="I5" i="34" s="1" a="1"/>
  <c r="I5" i="34" s="1"/>
  <c r="W641" i="44" a="1"/>
  <c r="W641" i="44" s="1"/>
  <c r="S3" i="33" s="1" a="1"/>
  <c r="S3" i="33" s="1"/>
  <c r="W633" i="44" a="1"/>
  <c r="W633" i="44" s="1"/>
  <c r="K3" i="33" s="1" a="1"/>
  <c r="K3" i="33" s="1"/>
  <c r="W608" i="44" a="1"/>
  <c r="W608" i="44" s="1"/>
  <c r="J2" i="33" s="1" a="1"/>
  <c r="J2" i="33" s="1"/>
  <c r="W696" i="44"/>
  <c r="B7" i="33" s="1" a="1"/>
  <c r="B7" i="33" s="1"/>
  <c r="W730" i="44"/>
  <c r="L6" i="33" s="1" a="1"/>
  <c r="L6" i="33" s="1"/>
  <c r="W707" i="44"/>
  <c r="M7" i="33" s="1" a="1"/>
  <c r="M7" i="33" s="1"/>
  <c r="X737" i="44"/>
  <c r="S6" i="34" s="1" a="1"/>
  <c r="S6" i="34" s="1"/>
  <c r="W669" i="44" a="1"/>
  <c r="W669" i="44" s="1"/>
  <c r="W4" i="33" s="1" a="1"/>
  <c r="W4" i="33" s="1"/>
  <c r="X651" i="44" a="1"/>
  <c r="X651" i="44" s="1"/>
  <c r="E4" i="34" s="1" a="1"/>
  <c r="E4" i="34" s="1"/>
  <c r="X673" i="44" a="1"/>
  <c r="X673" i="44" s="1"/>
  <c r="C5" i="34" s="1" a="1"/>
  <c r="C5" i="34" s="1"/>
  <c r="M626" i="44" a="1"/>
  <c r="M626" i="44" s="1"/>
  <c r="D3" i="24" s="1" a="1"/>
  <c r="D3" i="24" s="1"/>
  <c r="D23" i="24" s="1"/>
  <c r="W645" i="44" a="1"/>
  <c r="W645" i="44" s="1"/>
  <c r="W3" i="33" s="1" a="1"/>
  <c r="W3" i="33" s="1"/>
  <c r="W712" i="44"/>
  <c r="R7" i="33" s="1" a="1"/>
  <c r="R7" i="33" s="1"/>
  <c r="X742" i="44"/>
  <c r="X6" i="34" s="1" a="1"/>
  <c r="X6" i="34" s="1"/>
  <c r="X715" i="44"/>
  <c r="U7" i="34" s="1" a="1"/>
  <c r="U7" i="34" s="1"/>
  <c r="X677" i="44" a="1"/>
  <c r="X677" i="44" s="1"/>
  <c r="G5" i="34" s="1" a="1"/>
  <c r="G5" i="34" s="1"/>
  <c r="W698" i="44"/>
  <c r="D7" i="33" s="1" a="1"/>
  <c r="D7" i="33" s="1"/>
  <c r="W692" i="44" a="1"/>
  <c r="W692" i="44" s="1"/>
  <c r="V5" i="33" s="1" a="1"/>
  <c r="V5" i="33" s="1"/>
  <c r="W683" i="44" a="1"/>
  <c r="W683" i="44" s="1"/>
  <c r="M5" i="33" s="1" a="1"/>
  <c r="M5" i="33" s="1"/>
  <c r="X701" i="44"/>
  <c r="G7" i="34" s="1" a="1"/>
  <c r="G7" i="34" s="1"/>
  <c r="X653" i="44" a="1"/>
  <c r="X653" i="44" s="1"/>
  <c r="G4" i="34" s="1" a="1"/>
  <c r="G4" i="34" s="1"/>
  <c r="M671" i="44" a="1"/>
  <c r="M671" i="44" s="1"/>
  <c r="Y4" i="24" s="1" a="1"/>
  <c r="Y4" i="24" s="1"/>
  <c r="Y24" i="24" s="1"/>
  <c r="M733" i="44"/>
  <c r="O6" i="24" s="1" a="1"/>
  <c r="O6" i="24" s="1"/>
  <c r="O26" i="24" s="1"/>
  <c r="M629" i="44" a="1"/>
  <c r="M629" i="44" s="1"/>
  <c r="G3" i="24" s="1" a="1"/>
  <c r="G3" i="24" s="1"/>
  <c r="G23" i="24" s="1"/>
  <c r="M718" i="44"/>
  <c r="X7" i="24" s="1" a="1"/>
  <c r="X7" i="24" s="1"/>
  <c r="X27" i="24" s="1"/>
  <c r="M651" i="44" a="1"/>
  <c r="M651" i="44" s="1"/>
  <c r="E4" i="24" s="1" a="1"/>
  <c r="E4" i="24" s="1"/>
  <c r="E24" i="24" s="1"/>
  <c r="M639" i="44" a="1"/>
  <c r="M639" i="44" s="1"/>
  <c r="Q3" i="24" s="1" a="1"/>
  <c r="Q3" i="24" s="1"/>
  <c r="Q23" i="24" s="1"/>
  <c r="M708" i="44"/>
  <c r="N7" i="24" s="1" a="1"/>
  <c r="N7" i="24" s="1"/>
  <c r="N27" i="24" s="1"/>
  <c r="W671" i="44" a="1"/>
  <c r="W671" i="44" s="1"/>
  <c r="Y4" i="33" s="1" a="1"/>
  <c r="Y4" i="33" s="1"/>
  <c r="W615" i="44" a="1"/>
  <c r="W615" i="44" s="1"/>
  <c r="Q2" i="33" s="1" a="1"/>
  <c r="Q2" i="33" s="1"/>
  <c r="X624" i="44" a="1"/>
  <c r="X624" i="44" s="1"/>
  <c r="B3" i="34" s="1" a="1"/>
  <c r="B3" i="34" s="1"/>
  <c r="X638" i="44" a="1"/>
  <c r="X638" i="44" s="1"/>
  <c r="P3" i="34" s="1" a="1"/>
  <c r="P3" i="34" s="1"/>
  <c r="X670" i="44" a="1"/>
  <c r="X670" i="44" s="1"/>
  <c r="X4" i="34" s="1" a="1"/>
  <c r="X4" i="34" s="1"/>
  <c r="W718" i="44"/>
  <c r="X7" i="33" s="1" a="1"/>
  <c r="X7" i="33" s="1"/>
  <c r="X665" i="44" a="1"/>
  <c r="X665" i="44" s="1"/>
  <c r="S4" i="34" s="1" a="1"/>
  <c r="S4" i="34" s="1"/>
  <c r="M620" i="44" a="1"/>
  <c r="M620" i="44" s="1"/>
  <c r="V2" i="24" s="1" a="1"/>
  <c r="V2" i="24" s="1"/>
  <c r="V22" i="24" s="1"/>
  <c r="M705" i="44"/>
  <c r="K7" i="24" s="1" a="1"/>
  <c r="K7" i="24" s="1"/>
  <c r="K27" i="24" s="1"/>
  <c r="X661" i="44" a="1"/>
  <c r="X661" i="44" s="1"/>
  <c r="O4" i="34" s="1" a="1"/>
  <c r="O4" i="34" s="1"/>
  <c r="X725" i="44"/>
  <c r="G6" i="34" s="1" a="1"/>
  <c r="G6" i="34" s="1"/>
  <c r="W658" i="44" a="1"/>
  <c r="W658" i="44" s="1"/>
  <c r="L4" i="33" s="1" a="1"/>
  <c r="L4" i="33" s="1"/>
  <c r="O632" i="44" a="1"/>
  <c r="O632" i="44" s="1"/>
  <c r="J3" i="26" s="1" a="1"/>
  <c r="J3" i="26" s="1"/>
  <c r="M627" i="44" a="1"/>
  <c r="M627" i="44" s="1"/>
  <c r="E3" i="24" s="1" a="1"/>
  <c r="E3" i="24" s="1"/>
  <c r="E23" i="24" s="1"/>
  <c r="M654" i="44" a="1"/>
  <c r="M654" i="44" s="1"/>
  <c r="H4" i="24" s="1" a="1"/>
  <c r="H4" i="24" s="1"/>
  <c r="H24" i="24" s="1"/>
  <c r="M728" i="44"/>
  <c r="J6" i="24" s="1" a="1"/>
  <c r="J6" i="24" s="1"/>
  <c r="J26" i="24" s="1"/>
  <c r="X724" i="44"/>
  <c r="F6" i="34" s="1" a="1"/>
  <c r="F6" i="34" s="1"/>
  <c r="M692" i="44" a="1"/>
  <c r="M692" i="44" s="1"/>
  <c r="V5" i="24" s="1" a="1"/>
  <c r="V5" i="24" s="1"/>
  <c r="V25" i="24" s="1"/>
  <c r="X710" i="44"/>
  <c r="P7" i="34" s="1" a="1"/>
  <c r="P7" i="34" s="1"/>
  <c r="X709" i="44"/>
  <c r="O7" i="34" s="1" a="1"/>
  <c r="O7" i="34" s="1"/>
  <c r="X603" i="44" a="1"/>
  <c r="X603" i="44" s="1"/>
  <c r="E2" i="34" s="1" a="1"/>
  <c r="E2" i="34" s="1"/>
  <c r="I684" i="44" a="1"/>
  <c r="I684" i="44" s="1"/>
  <c r="N5" i="8" s="1" a="1"/>
  <c r="N5" i="8" s="1"/>
  <c r="N25" i="8" s="1"/>
  <c r="M716" i="44"/>
  <c r="V7" i="24" s="1" a="1"/>
  <c r="V7" i="24" s="1"/>
  <c r="V27" i="24" s="1"/>
  <c r="W704" i="44"/>
  <c r="J7" i="33" s="1" a="1"/>
  <c r="J7" i="33" s="1"/>
  <c r="X605" i="44" a="1"/>
  <c r="X605" i="44" s="1"/>
  <c r="G2" i="34" s="1" a="1"/>
  <c r="G2" i="34" s="1"/>
  <c r="I740" i="44"/>
  <c r="V6" i="8" s="1" a="1"/>
  <c r="V6" i="8" s="1"/>
  <c r="V26" i="8" s="1"/>
  <c r="X655" i="44" a="1"/>
  <c r="X655" i="44" s="1"/>
  <c r="I4" i="34" s="1" a="1"/>
  <c r="I4" i="34" s="1"/>
  <c r="M738" i="44"/>
  <c r="T6" i="24" s="1" a="1"/>
  <c r="T6" i="24" s="1"/>
  <c r="T26" i="24" s="1"/>
  <c r="W668" i="44" a="1"/>
  <c r="W668" i="44" s="1"/>
  <c r="V4" i="33" s="1" a="1"/>
  <c r="V4" i="33" s="1"/>
  <c r="M602" i="44" a="1"/>
  <c r="M602" i="44" s="1"/>
  <c r="D2" i="24" s="1" a="1"/>
  <c r="D2" i="24" s="1"/>
  <c r="D22" i="24" s="1"/>
  <c r="X672" i="44" a="1"/>
  <c r="X672" i="44" s="1"/>
  <c r="B5" i="34" s="1" a="1"/>
  <c r="B5" i="34" s="1"/>
  <c r="W644" i="44" a="1"/>
  <c r="W644" i="44" s="1"/>
  <c r="V3" i="33" s="1" a="1"/>
  <c r="V3" i="33" s="1"/>
  <c r="W717" i="44"/>
  <c r="W7" i="33" s="1" a="1"/>
  <c r="W7" i="33" s="1"/>
  <c r="W735" i="44"/>
  <c r="Q6" i="33" s="1" a="1"/>
  <c r="Q6" i="33" s="1"/>
  <c r="W651" i="44" a="1"/>
  <c r="W651" i="44" s="1"/>
  <c r="E4" i="33" s="1" a="1"/>
  <c r="E4" i="33" s="1"/>
  <c r="W666" i="44" a="1"/>
  <c r="W666" i="44" s="1"/>
  <c r="T4" i="33" s="1" a="1"/>
  <c r="T4" i="33" s="1"/>
  <c r="W693" i="44" a="1"/>
  <c r="W693" i="44" s="1"/>
  <c r="W5" i="33" s="1" a="1"/>
  <c r="W5" i="33" s="1"/>
  <c r="X619" i="44" a="1"/>
  <c r="X619" i="44" s="1"/>
  <c r="U2" i="34" s="1" a="1"/>
  <c r="U2" i="34" s="1"/>
  <c r="W616" i="44" a="1"/>
  <c r="W616" i="44" s="1"/>
  <c r="R2" i="33" s="1" a="1"/>
  <c r="R2" i="33" s="1"/>
  <c r="X640" i="44" a="1"/>
  <c r="X640" i="44" s="1"/>
  <c r="R3" i="34" s="1" a="1"/>
  <c r="R3" i="34" s="1"/>
  <c r="M663" i="44" a="1"/>
  <c r="M663" i="44" s="1"/>
  <c r="Q4" i="24" s="1" a="1"/>
  <c r="Q4" i="24" s="1"/>
  <c r="Q24" i="24" s="1"/>
  <c r="M702" i="44"/>
  <c r="H7" i="24" s="1" a="1"/>
  <c r="H7" i="24" s="1"/>
  <c r="H27" i="24" s="1"/>
  <c r="W629" i="44" a="1"/>
  <c r="W629" i="44" s="1"/>
  <c r="G3" i="33" s="1" a="1"/>
  <c r="G3" i="33" s="1"/>
  <c r="W680" i="44" a="1"/>
  <c r="W680" i="44" s="1"/>
  <c r="J5" i="33" s="1" a="1"/>
  <c r="J5" i="33" s="1"/>
  <c r="W662" i="44" a="1"/>
  <c r="W662" i="44" s="1"/>
  <c r="P4" i="33" s="1" a="1"/>
  <c r="P4" i="33" s="1"/>
  <c r="W685" i="44" a="1"/>
  <c r="W685" i="44" s="1"/>
  <c r="O5" i="33" s="1" a="1"/>
  <c r="O5" i="33" s="1"/>
  <c r="W634" i="44" a="1"/>
  <c r="W634" i="44" s="1"/>
  <c r="L3" i="33" s="1" a="1"/>
  <c r="L3" i="33" s="1"/>
  <c r="W659" i="44" a="1"/>
  <c r="W659" i="44" s="1"/>
  <c r="M4" i="33" s="1" a="1"/>
  <c r="M4" i="33" s="1"/>
  <c r="W682" i="44" a="1"/>
  <c r="W682" i="44" s="1"/>
  <c r="L5" i="33" s="1" a="1"/>
  <c r="L5" i="33" s="1"/>
  <c r="M697" i="44"/>
  <c r="C7" i="24" s="1" a="1"/>
  <c r="C7" i="24" s="1"/>
  <c r="C27" i="24" s="1"/>
  <c r="M706" i="44"/>
  <c r="L7" i="24" s="1" a="1"/>
  <c r="L7" i="24" s="1"/>
  <c r="L27" i="24" s="1"/>
  <c r="O691" i="44" a="1"/>
  <c r="O691" i="44" s="1"/>
  <c r="U5" i="26" s="1" a="1"/>
  <c r="U5" i="26" s="1"/>
  <c r="O738" i="44"/>
  <c r="T6" i="26" s="1" a="1"/>
  <c r="T6" i="26" s="1"/>
  <c r="W652" i="44" a="1"/>
  <c r="W652" i="44" s="1"/>
  <c r="F4" i="33" s="1" a="1"/>
  <c r="F4" i="33" s="1"/>
  <c r="W675" i="44" a="1"/>
  <c r="W675" i="44" s="1"/>
  <c r="E5" i="33" s="1" a="1"/>
  <c r="E5" i="33" s="1"/>
  <c r="M635" i="44" a="1"/>
  <c r="M635" i="44" s="1"/>
  <c r="M3" i="24" s="1" a="1"/>
  <c r="M3" i="24" s="1"/>
  <c r="M23" i="24" s="1"/>
  <c r="W705" i="44"/>
  <c r="K7" i="33" s="1" a="1"/>
  <c r="K7" i="33" s="1"/>
  <c r="W711" i="44"/>
  <c r="Q7" i="33" s="1" a="1"/>
  <c r="Q7" i="33" s="1"/>
  <c r="M683" i="44" a="1"/>
  <c r="M683" i="44" s="1"/>
  <c r="M5" i="24" s="1" a="1"/>
  <c r="M5" i="24" s="1"/>
  <c r="M25" i="24" s="1"/>
  <c r="M665" i="44" a="1"/>
  <c r="M665" i="44" s="1"/>
  <c r="S4" i="24" s="1" a="1"/>
  <c r="S4" i="24" s="1"/>
  <c r="S24" i="24" s="1"/>
  <c r="M652" i="44" a="1"/>
  <c r="M652" i="44" s="1"/>
  <c r="F4" i="24" s="1" a="1"/>
  <c r="F4" i="24" s="1"/>
  <c r="F24" i="24" s="1"/>
  <c r="M689" i="44" a="1"/>
  <c r="M689" i="44" s="1"/>
  <c r="S5" i="24" s="1" a="1"/>
  <c r="S5" i="24" s="1"/>
  <c r="S25" i="24" s="1"/>
  <c r="M672" i="44" a="1"/>
  <c r="M672" i="44" s="1"/>
  <c r="B5" i="24" s="1" a="1"/>
  <c r="B5" i="24" s="1"/>
  <c r="B25" i="24" s="1"/>
  <c r="W624" i="44" a="1"/>
  <c r="W624" i="44" s="1"/>
  <c r="B3" i="33" s="1" a="1"/>
  <c r="B3" i="33" s="1"/>
  <c r="W695" i="44" a="1"/>
  <c r="W695" i="44" s="1"/>
  <c r="Y5" i="33" s="1" a="1"/>
  <c r="Y5" i="33" s="1"/>
  <c r="W738" i="44"/>
  <c r="T6" i="33" s="1" a="1"/>
  <c r="T6" i="33" s="1"/>
  <c r="X600" i="44" a="1"/>
  <c r="X600" i="44" s="1"/>
  <c r="B2" i="34" s="1" a="1"/>
  <c r="B2" i="34" s="1"/>
  <c r="M660" i="44" a="1"/>
  <c r="M660" i="44" s="1"/>
  <c r="N4" i="24" s="1" a="1"/>
  <c r="N4" i="24" s="1"/>
  <c r="N24" i="24" s="1"/>
  <c r="I735" i="44"/>
  <c r="Q6" i="8" s="1" a="1"/>
  <c r="Q6" i="8" s="1"/>
  <c r="Q26" i="8" s="1"/>
  <c r="W740" i="44"/>
  <c r="V6" i="33" s="1" a="1"/>
  <c r="V6" i="33" s="1"/>
  <c r="M699" i="44"/>
  <c r="E7" i="24" s="1" a="1"/>
  <c r="E7" i="24" s="1"/>
  <c r="E27" i="24" s="1"/>
  <c r="M742" i="44"/>
  <c r="X6" i="24" s="1" a="1"/>
  <c r="X6" i="24" s="1"/>
  <c r="X26" i="24" s="1"/>
  <c r="M601" i="44" a="1"/>
  <c r="M601" i="44" s="1"/>
  <c r="C2" i="24" s="1" a="1"/>
  <c r="C2" i="24" s="1"/>
  <c r="C22" i="24" s="1"/>
  <c r="W734" i="44"/>
  <c r="P6" i="33" s="1" a="1"/>
  <c r="P6" i="33" s="1"/>
  <c r="M688" i="44" a="1"/>
  <c r="M688" i="44" s="1"/>
  <c r="R5" i="24" s="1" a="1"/>
  <c r="R5" i="24" s="1"/>
  <c r="R25" i="24" s="1"/>
  <c r="M729" i="44"/>
  <c r="K6" i="24" s="1" a="1"/>
  <c r="K6" i="24" s="1"/>
  <c r="K26" i="24" s="1"/>
  <c r="M686" i="44" a="1"/>
  <c r="M686" i="44" s="1"/>
  <c r="P5" i="24" s="1" a="1"/>
  <c r="P5" i="24" s="1"/>
  <c r="P25" i="24" s="1"/>
  <c r="M719" i="44"/>
  <c r="Y7" i="24" s="1" a="1"/>
  <c r="Y7" i="24" s="1"/>
  <c r="Y27" i="24" s="1"/>
  <c r="X712" i="44"/>
  <c r="R7" i="34" s="1" a="1"/>
  <c r="R7" i="34" s="1"/>
  <c r="W621" i="44" a="1"/>
  <c r="W621" i="44" s="1"/>
  <c r="W2" i="33" s="1" a="1"/>
  <c r="W2" i="33" s="1"/>
  <c r="O672" i="44" a="1"/>
  <c r="O672" i="44" s="1"/>
  <c r="B5" i="26" s="1" a="1"/>
  <c r="B5" i="26" s="1"/>
  <c r="O726" i="44"/>
  <c r="H6" i="26" s="1" a="1"/>
  <c r="H6" i="26" s="1"/>
  <c r="M653" i="44" a="1"/>
  <c r="M653" i="44" s="1"/>
  <c r="G4" i="24" s="1" a="1"/>
  <c r="G4" i="24" s="1"/>
  <c r="G24" i="24" s="1"/>
  <c r="W605" i="44" a="1"/>
  <c r="W605" i="44" s="1"/>
  <c r="G2" i="33" s="1" a="1"/>
  <c r="G2" i="33" s="1"/>
  <c r="M610" i="44" a="1"/>
  <c r="M610" i="44" s="1"/>
  <c r="L2" i="24" s="1" a="1"/>
  <c r="L2" i="24" s="1"/>
  <c r="L22" i="24" s="1"/>
  <c r="M609" i="44" a="1"/>
  <c r="M609" i="44" s="1"/>
  <c r="K2" i="24" s="1" a="1"/>
  <c r="K2" i="24" s="1"/>
  <c r="K22" i="24" s="1"/>
  <c r="M606" i="44" a="1"/>
  <c r="M606" i="44" s="1"/>
  <c r="H2" i="24" s="1" a="1"/>
  <c r="H2" i="24" s="1"/>
  <c r="H22" i="24" s="1"/>
  <c r="O690" i="44" a="1"/>
  <c r="O690" i="44" s="1"/>
  <c r="T5" i="26" s="1" a="1"/>
  <c r="T5" i="26" s="1"/>
  <c r="O737" i="44"/>
  <c r="S6" i="26" s="1" a="1"/>
  <c r="S6" i="26" s="1"/>
  <c r="M723" i="44"/>
  <c r="E6" i="24" s="1" a="1"/>
  <c r="E6" i="24" s="1"/>
  <c r="E26" i="24" s="1"/>
  <c r="W714" i="44"/>
  <c r="T7" i="33" s="1" a="1"/>
  <c r="T7" i="33" s="1"/>
  <c r="W736" i="44"/>
  <c r="R6" i="33" s="1" a="1"/>
  <c r="R6" i="33" s="1"/>
  <c r="M613" i="44" a="1"/>
  <c r="M613" i="44" s="1"/>
  <c r="O2" i="24" s="1" a="1"/>
  <c r="O2" i="24" s="1"/>
  <c r="O22" i="24" s="1"/>
  <c r="W622" i="44" a="1"/>
  <c r="W622" i="44" s="1"/>
  <c r="X2" i="33" s="1" a="1"/>
  <c r="X2" i="33" s="1"/>
  <c r="W620" i="44" a="1"/>
  <c r="W620" i="44" s="1"/>
  <c r="V2" i="33" s="1" a="1"/>
  <c r="V2" i="33" s="1"/>
  <c r="W611" i="44" a="1"/>
  <c r="W611" i="44" s="1"/>
  <c r="M2" i="33" s="1" a="1"/>
  <c r="M2" i="33" s="1"/>
  <c r="I676" i="44" a="1"/>
  <c r="I676" i="44" s="1"/>
  <c r="F5" i="8" s="1" a="1"/>
  <c r="F5" i="8" s="1"/>
  <c r="F25" i="8" s="1"/>
  <c r="W731" i="44"/>
  <c r="M6" i="33" s="1" a="1"/>
  <c r="M6" i="33" s="1"/>
  <c r="M704" i="44"/>
  <c r="J7" i="24" s="1" a="1"/>
  <c r="J7" i="24" s="1"/>
  <c r="J27" i="24" s="1"/>
  <c r="M615" i="44" a="1"/>
  <c r="M615" i="44" s="1"/>
  <c r="Q2" i="24" s="1" a="1"/>
  <c r="Q2" i="24" s="1"/>
  <c r="Q22" i="24" s="1"/>
  <c r="M604" i="44" a="1"/>
  <c r="M604" i="44" s="1"/>
  <c r="F2" i="24" s="1" a="1"/>
  <c r="F2" i="24" s="1"/>
  <c r="F22" i="24" s="1"/>
  <c r="M618" i="44" a="1"/>
  <c r="M618" i="44" s="1"/>
  <c r="T2" i="24" s="1" a="1"/>
  <c r="T2" i="24" s="1"/>
  <c r="T22" i="24" s="1"/>
  <c r="M661" i="44" a="1"/>
  <c r="M661" i="44" s="1"/>
  <c r="O4" i="24" s="1" a="1"/>
  <c r="O4" i="24" s="1"/>
  <c r="O24" i="24" s="1"/>
  <c r="O624" i="44" a="1"/>
  <c r="O624" i="44" s="1"/>
  <c r="B3" i="26" s="1" a="1"/>
  <c r="B3" i="26" s="1"/>
  <c r="O732" i="44"/>
  <c r="N6" i="26" s="1" a="1"/>
  <c r="N6" i="26" s="1"/>
  <c r="W656" i="44" a="1"/>
  <c r="W656" i="44" s="1"/>
  <c r="J4" i="33" s="1" a="1"/>
  <c r="J4" i="33" s="1"/>
  <c r="M717" i="44"/>
  <c r="W7" i="24" s="1" a="1"/>
  <c r="W7" i="24" s="1"/>
  <c r="W27" i="24" s="1"/>
  <c r="M664" i="44" a="1"/>
  <c r="M664" i="44" s="1"/>
  <c r="R4" i="24" s="1" a="1"/>
  <c r="R4" i="24" s="1"/>
  <c r="R24" i="24" s="1"/>
  <c r="W612" i="44" a="1"/>
  <c r="W612" i="44" s="1"/>
  <c r="N2" i="33" s="1" a="1"/>
  <c r="N2" i="33" s="1"/>
  <c r="W606" i="44" a="1"/>
  <c r="W606" i="44" s="1"/>
  <c r="H2" i="33" s="1" a="1"/>
  <c r="H2" i="33" s="1"/>
  <c r="M649" i="44" a="1"/>
  <c r="M649" i="44" s="1"/>
  <c r="C4" i="24" s="1" a="1"/>
  <c r="C4" i="24" s="1"/>
  <c r="C24" i="24" s="1"/>
  <c r="O684" i="44" a="1"/>
  <c r="O684" i="44" s="1"/>
  <c r="N5" i="26" s="1" a="1"/>
  <c r="N5" i="26" s="1"/>
  <c r="W648" i="44" a="1"/>
  <c r="W648" i="44" s="1"/>
  <c r="B4" i="33" s="1" a="1"/>
  <c r="B4" i="33" s="1"/>
  <c r="W670" i="44" a="1"/>
  <c r="W670" i="44" s="1"/>
  <c r="X4" i="33" s="1" a="1"/>
  <c r="X4" i="33" s="1"/>
  <c r="W600" i="44" a="1"/>
  <c r="W600" i="44" s="1"/>
  <c r="B2" i="33" s="1" a="1"/>
  <c r="B2" i="33" s="1"/>
  <c r="M622" i="44" a="1"/>
  <c r="M622" i="44" s="1"/>
  <c r="X2" i="24" s="1" a="1"/>
  <c r="X2" i="24" s="1"/>
  <c r="X22" i="24" s="1"/>
  <c r="M681" i="44" a="1"/>
  <c r="M681" i="44" s="1"/>
  <c r="K5" i="24" s="1" a="1"/>
  <c r="K5" i="24" s="1"/>
  <c r="K25" i="24" s="1"/>
  <c r="M740" i="44"/>
  <c r="V6" i="24" s="1" a="1"/>
  <c r="V6" i="24" s="1"/>
  <c r="V26" i="24" s="1"/>
  <c r="W723" i="44"/>
  <c r="E6" i="33" s="1" a="1"/>
  <c r="E6" i="33" s="1"/>
  <c r="M648" i="44" a="1"/>
  <c r="M648" i="44" s="1"/>
  <c r="B4" i="24" s="1" a="1"/>
  <c r="B4" i="24" s="1"/>
  <c r="B24" i="24" s="1"/>
  <c r="O724" i="44"/>
  <c r="F6" i="26" s="1" a="1"/>
  <c r="F6" i="26" s="1"/>
  <c r="W653" i="44" a="1"/>
  <c r="W653" i="44" s="1"/>
  <c r="G4" i="33" s="1" a="1"/>
  <c r="G4" i="33" s="1"/>
  <c r="W601" i="44" a="1"/>
  <c r="W601" i="44" s="1"/>
  <c r="C2" i="33" s="1" a="1"/>
  <c r="C2" i="33" s="1"/>
  <c r="I694" i="44" a="1"/>
  <c r="I694" i="44" s="1"/>
  <c r="X5" i="8" s="1" a="1"/>
  <c r="X5" i="8" s="1"/>
  <c r="X25" i="8" s="1"/>
  <c r="W743" i="44"/>
  <c r="Y6" i="33" s="1" a="1"/>
  <c r="Y6" i="33" s="1"/>
  <c r="I685" i="44" a="1"/>
  <c r="I685" i="44" s="1"/>
  <c r="O5" i="8" s="1" a="1"/>
  <c r="O5" i="8" s="1"/>
  <c r="O25" i="8" s="1"/>
  <c r="G7" i="46"/>
  <c r="O694" i="44" a="1"/>
  <c r="O694" i="44" s="1"/>
  <c r="X5" i="26" s="1" a="1"/>
  <c r="X5" i="26" s="1"/>
  <c r="I637" i="44" a="1"/>
  <c r="I637" i="44" s="1"/>
  <c r="O3" i="8" s="1" a="1"/>
  <c r="O3" i="8" s="1"/>
  <c r="O23" i="8" s="1"/>
  <c r="M658" i="44" a="1"/>
  <c r="M658" i="44" s="1"/>
  <c r="L4" i="24" s="1" a="1"/>
  <c r="L4" i="24" s="1"/>
  <c r="L24" i="24" s="1"/>
  <c r="M736" i="44"/>
  <c r="R6" i="24" s="1" a="1"/>
  <c r="R6" i="24" s="1"/>
  <c r="R26" i="24" s="1"/>
  <c r="M612" i="44" a="1"/>
  <c r="M612" i="44" s="1"/>
  <c r="N2" i="24" s="1" a="1"/>
  <c r="N2" i="24" s="1"/>
  <c r="N22" i="24" s="1"/>
  <c r="M608" i="44" a="1"/>
  <c r="M608" i="44" s="1"/>
  <c r="J2" i="24" s="1" a="1"/>
  <c r="J2" i="24" s="1"/>
  <c r="J22" i="24" s="1"/>
  <c r="O634" i="44" a="1"/>
  <c r="O634" i="44" s="1"/>
  <c r="L3" i="26" s="1" a="1"/>
  <c r="L3" i="26" s="1"/>
  <c r="O627" i="44" a="1"/>
  <c r="O627" i="44" s="1"/>
  <c r="E3" i="26" s="1" a="1"/>
  <c r="E3" i="26" s="1"/>
  <c r="I630" i="44" a="1"/>
  <c r="I630" i="44" s="1"/>
  <c r="H3" i="8" s="1" a="1"/>
  <c r="H3" i="8" s="1"/>
  <c r="H23" i="8" s="1"/>
  <c r="I626" i="44" a="1"/>
  <c r="I626" i="44" s="1"/>
  <c r="D3" i="8" s="1" a="1"/>
  <c r="D3" i="8" s="1"/>
  <c r="D23" i="8" s="1"/>
  <c r="M641" i="44" a="1"/>
  <c r="M641" i="44" s="1"/>
  <c r="S3" i="24" s="1" a="1"/>
  <c r="S3" i="24" s="1"/>
  <c r="S23" i="24" s="1"/>
  <c r="M657" i="44" a="1"/>
  <c r="M657" i="44" s="1"/>
  <c r="K4" i="24" s="1" a="1"/>
  <c r="K4" i="24" s="1"/>
  <c r="K24" i="24" s="1"/>
  <c r="I723" i="44"/>
  <c r="E6" i="8" s="1" a="1"/>
  <c r="E6" i="8" s="1"/>
  <c r="E26" i="8" s="1"/>
  <c r="I686" i="44" a="1"/>
  <c r="I686" i="44" s="1"/>
  <c r="P5" i="8" s="1" a="1"/>
  <c r="P5" i="8" s="1"/>
  <c r="P25" i="8" s="1"/>
  <c r="M670" i="44" a="1"/>
  <c r="M670" i="44" s="1"/>
  <c r="X4" i="24" s="1" a="1"/>
  <c r="X4" i="24" s="1"/>
  <c r="X24" i="24" s="1"/>
  <c r="I634" i="44" a="1"/>
  <c r="I634" i="44" s="1"/>
  <c r="L3" i="8" s="1" a="1"/>
  <c r="L3" i="8" s="1"/>
  <c r="L23" i="8" s="1"/>
  <c r="O650" i="44" a="1"/>
  <c r="O650" i="44" s="1"/>
  <c r="D4" i="26" s="1" a="1"/>
  <c r="D4" i="26" s="1"/>
  <c r="M603" i="44" a="1"/>
  <c r="M603" i="44" s="1"/>
  <c r="E2" i="24" s="1" a="1"/>
  <c r="E2" i="24" s="1"/>
  <c r="E22" i="24" s="1"/>
  <c r="I733" i="44"/>
  <c r="O6" i="8" s="1" a="1"/>
  <c r="O6" i="8" s="1"/>
  <c r="O26" i="8" s="1"/>
  <c r="M623" i="44" a="1"/>
  <c r="M623" i="44" s="1"/>
  <c r="Y2" i="24" s="1" a="1"/>
  <c r="Y2" i="24" s="1"/>
  <c r="Y22" i="24" s="1"/>
  <c r="O658" i="44" a="1"/>
  <c r="O658" i="44" s="1"/>
  <c r="L4" i="26" s="1" a="1"/>
  <c r="L4" i="26" s="1"/>
  <c r="O686" i="44" a="1"/>
  <c r="O686" i="44" s="1"/>
  <c r="P5" i="26" s="1" a="1"/>
  <c r="P5" i="26" s="1"/>
  <c r="M731" i="44"/>
  <c r="M6" i="24" s="1" a="1"/>
  <c r="M6" i="24" s="1"/>
  <c r="M26" i="24" s="1"/>
  <c r="M656" i="44" a="1"/>
  <c r="M656" i="44" s="1"/>
  <c r="J4" i="24" s="1" a="1"/>
  <c r="J4" i="24" s="1"/>
  <c r="J24" i="24" s="1"/>
  <c r="O725" i="44"/>
  <c r="I739" i="44"/>
  <c r="M735" i="44"/>
  <c r="Q6" i="24" s="1" a="1"/>
  <c r="Q6" i="24" s="1"/>
  <c r="Q26" i="24" s="1"/>
  <c r="M605" i="44" a="1"/>
  <c r="M605" i="44" s="1"/>
  <c r="G2" i="24" s="1" a="1"/>
  <c r="G2" i="24" s="1"/>
  <c r="G22" i="24" s="1"/>
  <c r="I732" i="44"/>
  <c r="N6" i="8" s="1" a="1"/>
  <c r="N6" i="8" s="1"/>
  <c r="N26" i="8" s="1"/>
  <c r="I640" i="44" a="1"/>
  <c r="I640" i="44" s="1"/>
  <c r="R3" i="8" s="1" a="1"/>
  <c r="R3" i="8" s="1"/>
  <c r="R23" i="8" s="1"/>
  <c r="I741" i="44"/>
  <c r="W6" i="8" s="1" a="1"/>
  <c r="W6" i="8" s="1"/>
  <c r="W26" i="8" s="1"/>
  <c r="M737" i="44"/>
  <c r="S6" i="24" s="1" a="1"/>
  <c r="S6" i="24" s="1"/>
  <c r="S26" i="24" s="1"/>
  <c r="I639" i="44" a="1"/>
  <c r="I639" i="44" s="1"/>
  <c r="Q3" i="8" s="1" a="1"/>
  <c r="Q3" i="8" s="1"/>
  <c r="Q23" i="8" s="1"/>
  <c r="M734" i="44"/>
  <c r="P6" i="24" s="1" a="1"/>
  <c r="P6" i="24" s="1"/>
  <c r="P26" i="24" s="1"/>
  <c r="F7" i="46"/>
  <c r="Q7" i="46"/>
  <c r="R7" i="46"/>
  <c r="M7" i="46"/>
  <c r="I7" i="46"/>
  <c r="T7" i="46"/>
  <c r="O628" i="44" a="1"/>
  <c r="O628" i="44" s="1"/>
  <c r="F3" i="26" s="1" a="1"/>
  <c r="F3" i="26" s="1"/>
  <c r="O731" i="44"/>
  <c r="M6" i="26" s="1" a="1"/>
  <c r="M6" i="26" s="1"/>
  <c r="I736" i="44"/>
  <c r="R6" i="8" s="1" a="1"/>
  <c r="R6" i="8" s="1"/>
  <c r="R26" i="8" s="1"/>
  <c r="O730" i="44"/>
  <c r="L6" i="26" s="1" a="1"/>
  <c r="L6" i="26" s="1"/>
  <c r="O742" i="44"/>
  <c r="X6" i="26" s="1" a="1"/>
  <c r="X6" i="26" s="1"/>
  <c r="O743" i="44"/>
  <c r="Y6" i="26" s="1" a="1"/>
  <c r="Y6" i="26" s="1"/>
  <c r="I644" i="44" a="1"/>
  <c r="I644" i="44" s="1"/>
  <c r="V3" i="8" s="1" a="1"/>
  <c r="V3" i="8" s="1"/>
  <c r="V23" i="8" s="1"/>
  <c r="I690" i="44" a="1"/>
  <c r="I690" i="44" s="1"/>
  <c r="T5" i="8" s="1" a="1"/>
  <c r="T5" i="8" s="1"/>
  <c r="T25" i="8" s="1"/>
  <c r="O740" i="44"/>
  <c r="V6" i="26" s="1" a="1"/>
  <c r="V6" i="26" s="1"/>
  <c r="I656" i="44" a="1"/>
  <c r="I656" i="44" s="1"/>
  <c r="J4" i="8" s="1" a="1"/>
  <c r="J4" i="8" s="1"/>
  <c r="J24" i="8" s="1"/>
  <c r="I728" i="44"/>
  <c r="J6" i="8" s="1" a="1"/>
  <c r="J6" i="8" s="1"/>
  <c r="J26" i="8" s="1"/>
  <c r="O646" i="44" a="1"/>
  <c r="O646" i="44" s="1"/>
  <c r="X3" i="26" s="1" a="1"/>
  <c r="X3" i="26" s="1"/>
  <c r="O729" i="44"/>
  <c r="K6" i="26" s="1" a="1"/>
  <c r="K6" i="26" s="1"/>
  <c r="I691" i="44" a="1"/>
  <c r="I691" i="44" s="1"/>
  <c r="U5" i="8" s="1" a="1"/>
  <c r="U5" i="8" s="1"/>
  <c r="U25" i="8" s="1"/>
  <c r="O643" i="44" a="1"/>
  <c r="O643" i="44" s="1"/>
  <c r="U3" i="26" s="1" a="1"/>
  <c r="U3" i="26" s="1"/>
  <c r="W720" i="44"/>
  <c r="B6" i="33" s="1" a="1"/>
  <c r="B6" i="33" s="1"/>
  <c r="O728" i="44"/>
  <c r="J6" i="26" s="1" a="1"/>
  <c r="J6" i="26" s="1"/>
  <c r="I734" i="44"/>
  <c r="P6" i="8" s="1" a="1"/>
  <c r="P6" i="8" s="1"/>
  <c r="P26" i="8" s="1"/>
  <c r="I665" i="44" a="1"/>
  <c r="I665" i="44" s="1"/>
  <c r="S4" i="8" s="1" a="1"/>
  <c r="S4" i="8" s="1"/>
  <c r="S24" i="8" s="1"/>
  <c r="I737" i="44"/>
  <c r="S6" i="8" s="1" a="1"/>
  <c r="S6" i="8" s="1"/>
  <c r="S26" i="8" s="1"/>
  <c r="I627" i="44" a="1"/>
  <c r="I627" i="44" s="1"/>
  <c r="E3" i="8" s="1" a="1"/>
  <c r="E3" i="8" s="1"/>
  <c r="E23" i="8" s="1"/>
  <c r="X736" i="44"/>
  <c r="R6" i="34" s="1" a="1"/>
  <c r="R6" i="34" s="1"/>
  <c r="O651" i="44" a="1"/>
  <c r="O651" i="44" s="1"/>
  <c r="E4" i="26" s="1" a="1"/>
  <c r="E4" i="26" s="1"/>
  <c r="O723" i="44"/>
  <c r="E6" i="26" s="1" a="1"/>
  <c r="E6" i="26" s="1"/>
  <c r="I641" i="44" a="1"/>
  <c r="I641" i="44" s="1"/>
  <c r="S3" i="8" s="1" a="1"/>
  <c r="S3" i="8" s="1"/>
  <c r="S23" i="8" s="1"/>
  <c r="O722" i="44"/>
  <c r="D6" i="26" s="1" a="1"/>
  <c r="D6" i="26" s="1"/>
  <c r="X720" i="44"/>
  <c r="B6" i="34" s="1" a="1"/>
  <c r="B6" i="34" s="1"/>
  <c r="O648" i="44" a="1"/>
  <c r="O648" i="44" s="1"/>
  <c r="B4" i="26" s="1" a="1"/>
  <c r="B4" i="26" s="1"/>
  <c r="O720" i="44"/>
  <c r="B6" i="26" s="1" a="1"/>
  <c r="B6" i="26" s="1"/>
  <c r="I645" i="44" a="1"/>
  <c r="I645" i="44" s="1"/>
  <c r="W3" i="8" s="1" a="1"/>
  <c r="W3" i="8" s="1"/>
  <c r="W23" i="8" s="1"/>
  <c r="I658" i="44" a="1"/>
  <c r="I658" i="44" s="1"/>
  <c r="I730" i="44"/>
  <c r="L6" i="8" s="1" a="1"/>
  <c r="L6" i="8" s="1"/>
  <c r="L26" i="8" s="1"/>
  <c r="I720" i="44"/>
  <c r="B6" i="8" s="1" a="1"/>
  <c r="B6" i="8" s="1"/>
  <c r="B26" i="8" s="1"/>
  <c r="O647" i="44" a="1"/>
  <c r="O647" i="44" s="1"/>
  <c r="Y3" i="26" s="1" a="1"/>
  <c r="Y3" i="26" s="1"/>
  <c r="I689" i="44" a="1"/>
  <c r="I689" i="44" s="1"/>
  <c r="S5" i="8" s="1" a="1"/>
  <c r="S5" i="8" s="1"/>
  <c r="S25" i="8" s="1"/>
  <c r="I647" i="44" a="1"/>
  <c r="I647" i="44" s="1"/>
  <c r="Y3" i="8" s="1" a="1"/>
  <c r="Y3" i="8" s="1"/>
  <c r="Y23" i="8" s="1"/>
  <c r="I725" i="44"/>
  <c r="G6" i="8" s="1" a="1"/>
  <c r="G6" i="8" s="1"/>
  <c r="G26" i="8" s="1"/>
  <c r="O655" i="44" a="1"/>
  <c r="O655" i="44" s="1"/>
  <c r="I4" i="26" s="1" a="1"/>
  <c r="I4" i="26" s="1"/>
  <c r="O727" i="44"/>
  <c r="I6" i="26" s="1" a="1"/>
  <c r="I6" i="26" s="1"/>
  <c r="I726" i="44"/>
  <c r="H6" i="8" s="1" a="1"/>
  <c r="H6" i="8" s="1"/>
  <c r="H26" i="8" s="1"/>
  <c r="O669" i="44" a="1"/>
  <c r="O669" i="44" s="1"/>
  <c r="W4" i="26" s="1" a="1"/>
  <c r="W4" i="26" s="1"/>
  <c r="O741" i="44"/>
  <c r="W6" i="26" s="1" a="1"/>
  <c r="W6" i="26" s="1"/>
  <c r="I652" i="44" a="1"/>
  <c r="I652" i="44" s="1"/>
  <c r="F4" i="8" s="1" a="1"/>
  <c r="F4" i="8" s="1"/>
  <c r="F24" i="8" s="1"/>
  <c r="I724" i="44"/>
  <c r="F6" i="8" s="1" a="1"/>
  <c r="F6" i="8" s="1"/>
  <c r="F26" i="8" s="1"/>
  <c r="I742" i="44"/>
  <c r="O683" i="44" a="1"/>
  <c r="O683" i="44" s="1"/>
  <c r="M5" i="26" s="1" a="1"/>
  <c r="M5" i="26" s="1"/>
  <c r="I659" i="44" a="1"/>
  <c r="I659" i="44" s="1"/>
  <c r="M4" i="8" s="1" a="1"/>
  <c r="M4" i="8" s="1"/>
  <c r="M24" i="8" s="1"/>
  <c r="I731" i="44"/>
  <c r="M6" i="8" s="1" a="1"/>
  <c r="M6" i="8" s="1"/>
  <c r="M26" i="8" s="1"/>
  <c r="I631" i="44" a="1"/>
  <c r="I631" i="44" s="1"/>
  <c r="I3" i="8" s="1" a="1"/>
  <c r="I3" i="8" s="1"/>
  <c r="I23" i="8" s="1"/>
  <c r="O678" i="44" a="1"/>
  <c r="O678" i="44" s="1"/>
  <c r="H5" i="26" s="1" a="1"/>
  <c r="H5" i="26" s="1"/>
  <c r="O721" i="44"/>
  <c r="C6" i="26" s="1" a="1"/>
  <c r="C6" i="26" s="1"/>
  <c r="O676" i="44" a="1"/>
  <c r="O676" i="44" s="1"/>
  <c r="F5" i="26" s="1" a="1"/>
  <c r="F5" i="26" s="1"/>
  <c r="I727" i="44"/>
  <c r="I6" i="8" s="1" a="1"/>
  <c r="I6" i="8" s="1"/>
  <c r="I26" i="8" s="1"/>
  <c r="I721" i="44"/>
  <c r="C6" i="8" s="1" a="1"/>
  <c r="C6" i="8" s="1"/>
  <c r="C26" i="8" s="1"/>
  <c r="M721" i="44"/>
  <c r="C6" i="24" s="1" a="1"/>
  <c r="C6" i="24" s="1"/>
  <c r="C26" i="24" s="1"/>
  <c r="I671" i="44" a="1"/>
  <c r="I671" i="44" s="1"/>
  <c r="Y4" i="8" s="1" a="1"/>
  <c r="Y4" i="8" s="1"/>
  <c r="Y24" i="8" s="1"/>
  <c r="I743" i="44"/>
  <c r="I738" i="44"/>
  <c r="T6" i="8" s="1" a="1"/>
  <c r="T6" i="8" s="1"/>
  <c r="T26" i="8" s="1"/>
  <c r="O629" i="44" a="1"/>
  <c r="O629" i="44" s="1"/>
  <c r="G3" i="26" s="1" a="1"/>
  <c r="G3" i="26" s="1"/>
  <c r="O733" i="44"/>
  <c r="O6" i="26" s="1" a="1"/>
  <c r="O6" i="26" s="1"/>
  <c r="O739" i="44"/>
  <c r="I632" i="44" a="1"/>
  <c r="I632" i="44" s="1"/>
  <c r="J3" i="8" s="1" a="1"/>
  <c r="J3" i="8" s="1"/>
  <c r="J23" i="8" s="1"/>
  <c r="I695" i="44" a="1"/>
  <c r="I695" i="44" s="1"/>
  <c r="Y5" i="8" s="1" a="1"/>
  <c r="Y5" i="8" s="1"/>
  <c r="Y25" i="8" s="1"/>
  <c r="W728" i="44"/>
  <c r="J6" i="33" s="1" a="1"/>
  <c r="J6" i="33" s="1"/>
  <c r="O664" i="44" a="1"/>
  <c r="O664" i="44" s="1"/>
  <c r="R4" i="26" s="1" a="1"/>
  <c r="R4" i="26" s="1"/>
  <c r="O736" i="44"/>
  <c r="R6" i="26" s="1" a="1"/>
  <c r="R6" i="26" s="1"/>
  <c r="O637" i="44" a="1"/>
  <c r="O637" i="44" s="1"/>
  <c r="O3" i="26" s="1" a="1"/>
  <c r="O3" i="26" s="1"/>
  <c r="O734" i="44"/>
  <c r="P6" i="26" s="1" a="1"/>
  <c r="P6" i="26" s="1"/>
  <c r="O735" i="44"/>
  <c r="Q6" i="26" s="1" a="1"/>
  <c r="Q6" i="26" s="1"/>
  <c r="I650" i="44" a="1"/>
  <c r="I650" i="44" s="1"/>
  <c r="D4" i="8" s="1" a="1"/>
  <c r="D4" i="8" s="1"/>
  <c r="D24" i="8" s="1"/>
  <c r="I722" i="44"/>
  <c r="D6" i="8" s="1" a="1"/>
  <c r="D6" i="8" s="1"/>
  <c r="D26" i="8" s="1"/>
  <c r="X728" i="44"/>
  <c r="J6" i="34" s="1" a="1"/>
  <c r="J6" i="34" s="1"/>
  <c r="U7" i="46"/>
  <c r="J7" i="46"/>
  <c r="S7" i="46"/>
  <c r="O681" i="44" a="1"/>
  <c r="O681" i="44" s="1"/>
  <c r="K5" i="26" s="1" a="1"/>
  <c r="K5" i="26" s="1"/>
  <c r="O688" i="44" a="1"/>
  <c r="O688" i="44" s="1"/>
  <c r="R5" i="26" s="1" a="1"/>
  <c r="R5" i="26" s="1"/>
  <c r="O636" i="44" a="1"/>
  <c r="O636" i="44" s="1"/>
  <c r="N3" i="26" s="1" a="1"/>
  <c r="N3" i="26" s="1"/>
  <c r="O625" i="44" a="1"/>
  <c r="O625" i="44" s="1"/>
  <c r="C3" i="26" s="1" a="1"/>
  <c r="C3" i="26" s="1"/>
  <c r="O682" i="44" a="1"/>
  <c r="O682" i="44" s="1"/>
  <c r="L5" i="26" s="1" a="1"/>
  <c r="L5" i="26" s="1"/>
  <c r="I628" i="44" a="1"/>
  <c r="I628" i="44" s="1"/>
  <c r="F3" i="8" s="1" a="1"/>
  <c r="F3" i="8" s="1"/>
  <c r="F23" i="8" s="1"/>
  <c r="O644" i="44" a="1"/>
  <c r="O644" i="44" s="1"/>
  <c r="V3" i="26" s="1" a="1"/>
  <c r="V3" i="26" s="1"/>
  <c r="O662" i="44" a="1"/>
  <c r="O662" i="44" s="1"/>
  <c r="P4" i="26" s="1" a="1"/>
  <c r="P4" i="26" s="1"/>
  <c r="O671" i="44" a="1"/>
  <c r="O671" i="44" s="1"/>
  <c r="Y4" i="26" s="1" a="1"/>
  <c r="Y4" i="26" s="1"/>
  <c r="I667" i="44" a="1"/>
  <c r="I667" i="44" s="1"/>
  <c r="U4" i="8" s="1" a="1"/>
  <c r="U4" i="8" s="1"/>
  <c r="U24" i="8" s="1"/>
  <c r="I653" i="44" a="1"/>
  <c r="I653" i="44" s="1"/>
  <c r="G4" i="8" s="1" a="1"/>
  <c r="G4" i="8" s="1"/>
  <c r="G24" i="8" s="1"/>
  <c r="I679" i="44" a="1"/>
  <c r="I679" i="44" s="1"/>
  <c r="I5" i="8" s="1" a="1"/>
  <c r="I5" i="8" s="1"/>
  <c r="I25" i="8" s="1"/>
  <c r="O641" i="44" a="1"/>
  <c r="O641" i="44" s="1"/>
  <c r="I646" i="44" a="1"/>
  <c r="I646" i="44" s="1"/>
  <c r="X3" i="8" s="1" a="1"/>
  <c r="X3" i="8" s="1"/>
  <c r="X23" i="8" s="1"/>
  <c r="I678" i="44" a="1"/>
  <c r="I678" i="44" s="1"/>
  <c r="H5" i="8" s="1" a="1"/>
  <c r="H5" i="8" s="1"/>
  <c r="H25" i="8" s="1"/>
  <c r="I625" i="44" a="1"/>
  <c r="I625" i="44" s="1"/>
  <c r="C3" i="8" s="1" a="1"/>
  <c r="C3" i="8" s="1"/>
  <c r="C23" i="8" s="1"/>
  <c r="I668" i="44" a="1"/>
  <c r="I668" i="44" s="1"/>
  <c r="V4" i="8" s="1" a="1"/>
  <c r="V4" i="8" s="1"/>
  <c r="V24" i="8" s="1"/>
  <c r="I642" i="44" a="1"/>
  <c r="I642" i="44" s="1"/>
  <c r="T3" i="8" s="1" a="1"/>
  <c r="T3" i="8" s="1"/>
  <c r="T23" i="8" s="1"/>
  <c r="P7" i="46"/>
  <c r="O7" i="46"/>
  <c r="D7" i="46"/>
  <c r="O698" i="44"/>
  <c r="D7" i="26" s="1" a="1"/>
  <c r="D7" i="26" s="1"/>
  <c r="O602" i="44" a="1"/>
  <c r="O602" i="44" s="1"/>
  <c r="D2" i="26" s="1" a="1"/>
  <c r="D2" i="26" s="1"/>
  <c r="O621" i="44" a="1"/>
  <c r="O621" i="44" s="1"/>
  <c r="W2" i="26" s="1" a="1"/>
  <c r="W2" i="26" s="1"/>
  <c r="O717" i="44"/>
  <c r="W7" i="26" s="1" a="1"/>
  <c r="W7" i="26" s="1"/>
  <c r="O611" i="44" a="1"/>
  <c r="O611" i="44" s="1"/>
  <c r="M2" i="26" s="1" a="1"/>
  <c r="M2" i="26" s="1"/>
  <c r="O707" i="44"/>
  <c r="M7" i="26" s="1" a="1"/>
  <c r="M7" i="26" s="1"/>
  <c r="O639" i="44" a="1"/>
  <c r="O639" i="44" s="1"/>
  <c r="Q3" i="26" s="1" a="1"/>
  <c r="Q3" i="26" s="1"/>
  <c r="O649" i="44" a="1"/>
  <c r="O649" i="44" s="1"/>
  <c r="C4" i="26" s="1" a="1"/>
  <c r="C4" i="26" s="1"/>
  <c r="O652" i="44" a="1"/>
  <c r="O652" i="44" s="1"/>
  <c r="O663" i="44" a="1"/>
  <c r="O663" i="44" s="1"/>
  <c r="Q4" i="26" s="1" a="1"/>
  <c r="Q4" i="26" s="1"/>
  <c r="I681" i="44" a="1"/>
  <c r="I681" i="44" s="1"/>
  <c r="I638" i="44" a="1"/>
  <c r="I638" i="44" s="1"/>
  <c r="P3" i="8" s="1" a="1"/>
  <c r="P3" i="8" s="1"/>
  <c r="P23" i="8" s="1"/>
  <c r="I606" i="44" a="1"/>
  <c r="I606" i="44" s="1"/>
  <c r="H2" i="8" s="1" a="1"/>
  <c r="H2" i="8" s="1"/>
  <c r="H22" i="8" s="1"/>
  <c r="I702" i="44"/>
  <c r="I710" i="44"/>
  <c r="P7" i="8" s="1" a="1"/>
  <c r="P7" i="8" s="1"/>
  <c r="P27" i="8" s="1"/>
  <c r="I614" i="44" a="1"/>
  <c r="I614" i="44" s="1"/>
  <c r="P2" i="8" s="1" a="1"/>
  <c r="P2" i="8" s="1"/>
  <c r="P22" i="8" s="1"/>
  <c r="I687" i="44" a="1"/>
  <c r="I687" i="44" s="1"/>
  <c r="Q5" i="8" s="1" a="1"/>
  <c r="Q5" i="8" s="1"/>
  <c r="Q25" i="8" s="1"/>
  <c r="I624" i="44" a="1"/>
  <c r="I624" i="44" s="1"/>
  <c r="B3" i="8" s="1" a="1"/>
  <c r="B3" i="8" s="1"/>
  <c r="B23" i="8" s="1"/>
  <c r="I648" i="44" a="1"/>
  <c r="I648" i="44" s="1"/>
  <c r="O706" i="44"/>
  <c r="L7" i="26" s="1" a="1"/>
  <c r="L7" i="26" s="1"/>
  <c r="O610" i="44" a="1"/>
  <c r="O610" i="44" s="1"/>
  <c r="L2" i="26" s="1" a="1"/>
  <c r="L2" i="26" s="1"/>
  <c r="O675" i="44" a="1"/>
  <c r="O675" i="44" s="1"/>
  <c r="E5" i="26" s="1" a="1"/>
  <c r="E5" i="26" s="1"/>
  <c r="O719" i="44"/>
  <c r="Y7" i="26" s="1" a="1"/>
  <c r="Y7" i="26" s="1"/>
  <c r="O623" i="44" a="1"/>
  <c r="O623" i="44" s="1"/>
  <c r="Y2" i="26" s="1" a="1"/>
  <c r="Y2" i="26" s="1"/>
  <c r="O608" i="44" a="1"/>
  <c r="O608" i="44" s="1"/>
  <c r="J2" i="26" s="1" a="1"/>
  <c r="J2" i="26" s="1"/>
  <c r="O704" i="44"/>
  <c r="J7" i="26" s="1" a="1"/>
  <c r="J7" i="26" s="1"/>
  <c r="O692" i="44" a="1"/>
  <c r="O692" i="44" s="1"/>
  <c r="V5" i="26" s="1" a="1"/>
  <c r="V5" i="26" s="1"/>
  <c r="O600" i="44" a="1"/>
  <c r="O600" i="44" s="1"/>
  <c r="B2" i="26" s="1" a="1"/>
  <c r="B2" i="26" s="1"/>
  <c r="O696" i="44"/>
  <c r="B7" i="26" s="1" a="1"/>
  <c r="B7" i="26" s="1"/>
  <c r="O715" i="44"/>
  <c r="U7" i="26" s="1" a="1"/>
  <c r="U7" i="26" s="1"/>
  <c r="U6" i="26" a="1"/>
  <c r="U6" i="26" s="1"/>
  <c r="O619" i="44" a="1"/>
  <c r="O619" i="44" s="1"/>
  <c r="U2" i="26" s="1" a="1"/>
  <c r="U2" i="26" s="1"/>
  <c r="O665" i="44" a="1"/>
  <c r="O665" i="44" s="1"/>
  <c r="S4" i="26" s="1" a="1"/>
  <c r="S4" i="26" s="1"/>
  <c r="O659" i="44" a="1"/>
  <c r="O659" i="44" s="1"/>
  <c r="M4" i="26" s="1" a="1"/>
  <c r="M4" i="26" s="1"/>
  <c r="O689" i="44" a="1"/>
  <c r="O689" i="44" s="1"/>
  <c r="S5" i="26" s="1" a="1"/>
  <c r="S5" i="26" s="1"/>
  <c r="I704" i="44"/>
  <c r="J7" i="8" s="1" a="1"/>
  <c r="J7" i="8" s="1"/>
  <c r="J27" i="8" s="1"/>
  <c r="I608" i="44" a="1"/>
  <c r="I608" i="44" s="1"/>
  <c r="J2" i="8" s="1" a="1"/>
  <c r="J2" i="8" s="1"/>
  <c r="J22" i="8" s="1"/>
  <c r="I672" i="44" a="1"/>
  <c r="I672" i="44" s="1"/>
  <c r="B5" i="8" s="1" a="1"/>
  <c r="B5" i="8" s="1"/>
  <c r="B25" i="8" s="1"/>
  <c r="I664" i="44" a="1"/>
  <c r="I664" i="44" s="1"/>
  <c r="R4" i="8" s="1" a="1"/>
  <c r="R4" i="8" s="1"/>
  <c r="R24" i="8" s="1"/>
  <c r="I699" i="44"/>
  <c r="E7" i="8" s="1" a="1"/>
  <c r="E7" i="8" s="1"/>
  <c r="E27" i="8" s="1"/>
  <c r="I603" i="44" a="1"/>
  <c r="I603" i="44" s="1"/>
  <c r="E2" i="8" s="1" a="1"/>
  <c r="E2" i="8" s="1"/>
  <c r="E22" i="8" s="1"/>
  <c r="I661" i="44" a="1"/>
  <c r="I661" i="44" s="1"/>
  <c r="O4" i="8" s="1" a="1"/>
  <c r="O4" i="8" s="1"/>
  <c r="O24" i="8" s="1"/>
  <c r="I682" i="44" a="1"/>
  <c r="I682" i="44" s="1"/>
  <c r="L5" i="8" s="1" a="1"/>
  <c r="L5" i="8" s="1"/>
  <c r="L25" i="8" s="1"/>
  <c r="I669" i="44" a="1"/>
  <c r="I669" i="44" s="1"/>
  <c r="W4" i="8" s="1" a="1"/>
  <c r="W4" i="8" s="1"/>
  <c r="W24" i="8" s="1"/>
  <c r="O606" i="44" a="1"/>
  <c r="O606" i="44" s="1"/>
  <c r="H2" i="26" s="1" a="1"/>
  <c r="H2" i="26" s="1"/>
  <c r="O702" i="44"/>
  <c r="H7" i="26" s="1" a="1"/>
  <c r="H7" i="26" s="1"/>
  <c r="O603" i="44" a="1"/>
  <c r="O603" i="44" s="1"/>
  <c r="E2" i="26" s="1" a="1"/>
  <c r="E2" i="26" s="1"/>
  <c r="O699" i="44"/>
  <c r="E7" i="26" s="1" a="1"/>
  <c r="E7" i="26" s="1"/>
  <c r="O612" i="44" a="1"/>
  <c r="O612" i="44" s="1"/>
  <c r="N2" i="26" s="1" a="1"/>
  <c r="N2" i="26" s="1"/>
  <c r="O708" i="44"/>
  <c r="N7" i="26" s="1" a="1"/>
  <c r="N7" i="26" s="1"/>
  <c r="I700" i="44"/>
  <c r="F7" i="8" s="1" a="1"/>
  <c r="F7" i="8" s="1"/>
  <c r="F27" i="8" s="1"/>
  <c r="I604" i="44" a="1"/>
  <c r="I604" i="44" s="1"/>
  <c r="F2" i="8" s="1" a="1"/>
  <c r="F2" i="8" s="1"/>
  <c r="F22" i="8" s="1"/>
  <c r="I623" i="44" a="1"/>
  <c r="I623" i="44" s="1"/>
  <c r="Y2" i="8" s="1" a="1"/>
  <c r="Y2" i="8" s="1"/>
  <c r="Y22" i="8" s="1"/>
  <c r="I719" i="44"/>
  <c r="Y7" i="8" s="1" a="1"/>
  <c r="Y7" i="8" s="1"/>
  <c r="Y27" i="8" s="1"/>
  <c r="I701" i="44"/>
  <c r="G7" i="8" s="1" a="1"/>
  <c r="G7" i="8" s="1"/>
  <c r="G27" i="8" s="1"/>
  <c r="I605" i="44" a="1"/>
  <c r="I605" i="44" s="1"/>
  <c r="G2" i="8" s="1" a="1"/>
  <c r="G2" i="8" s="1"/>
  <c r="G22" i="8" s="1"/>
  <c r="O705" i="44"/>
  <c r="K7" i="26" s="1" a="1"/>
  <c r="K7" i="26" s="1"/>
  <c r="O609" i="44" a="1"/>
  <c r="O609" i="44" s="1"/>
  <c r="K2" i="26" s="1" a="1"/>
  <c r="K2" i="26" s="1"/>
  <c r="O660" i="44" a="1"/>
  <c r="O660" i="44" s="1"/>
  <c r="N4" i="26" s="1" a="1"/>
  <c r="N4" i="26" s="1"/>
  <c r="O714" i="44"/>
  <c r="T7" i="26" s="1" a="1"/>
  <c r="T7" i="26" s="1"/>
  <c r="O618" i="44" a="1"/>
  <c r="O618" i="44" s="1"/>
  <c r="T2" i="26" s="1" a="1"/>
  <c r="T2" i="26" s="1"/>
  <c r="O695" i="44" a="1"/>
  <c r="O695" i="44" s="1"/>
  <c r="Y5" i="26" s="1" a="1"/>
  <c r="Y5" i="26" s="1"/>
  <c r="O693" i="44" a="1"/>
  <c r="O693" i="44" s="1"/>
  <c r="W5" i="26" s="1" a="1"/>
  <c r="W5" i="26" s="1"/>
  <c r="O680" i="44" a="1"/>
  <c r="O680" i="44" s="1"/>
  <c r="J5" i="26" s="1" a="1"/>
  <c r="J5" i="26" s="1"/>
  <c r="O673" i="44" a="1"/>
  <c r="O673" i="44" s="1"/>
  <c r="O668" i="44" a="1"/>
  <c r="O668" i="44" s="1"/>
  <c r="V4" i="26" s="1" a="1"/>
  <c r="V4" i="26" s="1"/>
  <c r="O604" i="44" a="1"/>
  <c r="O604" i="44" s="1"/>
  <c r="F2" i="26" s="1" a="1"/>
  <c r="F2" i="26" s="1"/>
  <c r="O700" i="44"/>
  <c r="F7" i="26" s="1" a="1"/>
  <c r="F7" i="26" s="1"/>
  <c r="O657" i="44" a="1"/>
  <c r="O657" i="44" s="1"/>
  <c r="K4" i="26" s="1" a="1"/>
  <c r="K4" i="26" s="1"/>
  <c r="I663" i="44" a="1"/>
  <c r="I663" i="44" s="1"/>
  <c r="Q4" i="8" s="1" a="1"/>
  <c r="Q4" i="8" s="1"/>
  <c r="Q24" i="8" s="1"/>
  <c r="O635" i="44" a="1"/>
  <c r="O635" i="44" s="1"/>
  <c r="M3" i="26" s="1" a="1"/>
  <c r="M3" i="26" s="1"/>
  <c r="I683" i="44" a="1"/>
  <c r="I683" i="44" s="1"/>
  <c r="M5" i="8" s="1" a="1"/>
  <c r="M5" i="8" s="1"/>
  <c r="M25" i="8" s="1"/>
  <c r="I675" i="44" a="1"/>
  <c r="I675" i="44" s="1"/>
  <c r="E5" i="8" s="1" a="1"/>
  <c r="E5" i="8" s="1"/>
  <c r="E25" i="8" s="1"/>
  <c r="I655" i="44" a="1"/>
  <c r="I655" i="44" s="1"/>
  <c r="I4" i="8" s="1" a="1"/>
  <c r="I4" i="8" s="1"/>
  <c r="I24" i="8" s="1"/>
  <c r="I713" i="44"/>
  <c r="S7" i="8" s="1" a="1"/>
  <c r="S7" i="8" s="1"/>
  <c r="S27" i="8" s="1"/>
  <c r="I617" i="44" a="1"/>
  <c r="I617" i="44" s="1"/>
  <c r="S2" i="8" s="1" a="1"/>
  <c r="S2" i="8" s="1"/>
  <c r="S22" i="8" s="1"/>
  <c r="I633" i="44" a="1"/>
  <c r="I633" i="44" s="1"/>
  <c r="K3" i="8" s="1" a="1"/>
  <c r="K3" i="8" s="1"/>
  <c r="K23" i="8" s="1"/>
  <c r="I703" i="44"/>
  <c r="I7" i="8" s="1" a="1"/>
  <c r="I7" i="8" s="1"/>
  <c r="I27" i="8" s="1"/>
  <c r="I607" i="44" a="1"/>
  <c r="I607" i="44" s="1"/>
  <c r="I2" i="8" s="1" a="1"/>
  <c r="I2" i="8" s="1"/>
  <c r="I22" i="8" s="1"/>
  <c r="I677" i="44" a="1"/>
  <c r="I677" i="44" s="1"/>
  <c r="G5" i="8" s="1" a="1"/>
  <c r="G5" i="8" s="1"/>
  <c r="G25" i="8" s="1"/>
  <c r="O679" i="44" a="1"/>
  <c r="O679" i="44" s="1"/>
  <c r="I5" i="26" s="1" a="1"/>
  <c r="I5" i="26" s="1"/>
  <c r="O642" i="44" a="1"/>
  <c r="O642" i="44" s="1"/>
  <c r="O645" i="44" a="1"/>
  <c r="O645" i="44" s="1"/>
  <c r="W3" i="26" s="1" a="1"/>
  <c r="W3" i="26" s="1"/>
  <c r="O640" i="44" a="1"/>
  <c r="O640" i="44" s="1"/>
  <c r="R3" i="26" s="1" a="1"/>
  <c r="R3" i="26" s="1"/>
  <c r="O653" i="44" a="1"/>
  <c r="O653" i="44" s="1"/>
  <c r="G4" i="26" s="1" a="1"/>
  <c r="G4" i="26" s="1"/>
  <c r="O656" i="44" a="1"/>
  <c r="O656" i="44" s="1"/>
  <c r="O677" i="44" a="1"/>
  <c r="O677" i="44" s="1"/>
  <c r="G5" i="26" s="1" a="1"/>
  <c r="G5" i="26" s="1"/>
  <c r="O674" i="44" a="1"/>
  <c r="O674" i="44" s="1"/>
  <c r="D5" i="26" s="1" a="1"/>
  <c r="D5" i="26" s="1"/>
  <c r="O670" i="44" a="1"/>
  <c r="O670" i="44" s="1"/>
  <c r="X4" i="26" s="1" a="1"/>
  <c r="X4" i="26" s="1"/>
  <c r="O630" i="44" a="1"/>
  <c r="O630" i="44" s="1"/>
  <c r="H3" i="26" s="1" a="1"/>
  <c r="H3" i="26" s="1"/>
  <c r="I662" i="44" a="1"/>
  <c r="I662" i="44" s="1"/>
  <c r="P4" i="8" s="1" a="1"/>
  <c r="P4" i="8" s="1"/>
  <c r="P24" i="8" s="1"/>
  <c r="I714" i="44"/>
  <c r="T7" i="8" s="1" a="1"/>
  <c r="T7" i="8" s="1"/>
  <c r="T27" i="8" s="1"/>
  <c r="I618" i="44" a="1"/>
  <c r="I618" i="44" s="1"/>
  <c r="T2" i="8" s="1" a="1"/>
  <c r="T2" i="8" s="1"/>
  <c r="T22" i="8" s="1"/>
  <c r="I709" i="44"/>
  <c r="O7" i="8" s="1" a="1"/>
  <c r="O7" i="8" s="1"/>
  <c r="O27" i="8" s="1"/>
  <c r="I613" i="44" a="1"/>
  <c r="I613" i="44" s="1"/>
  <c r="O2" i="8" s="1" a="1"/>
  <c r="O2" i="8" s="1"/>
  <c r="O22" i="8" s="1"/>
  <c r="I706" i="44"/>
  <c r="L7" i="8" s="1" a="1"/>
  <c r="L7" i="8" s="1"/>
  <c r="L27" i="8" s="1"/>
  <c r="I610" i="44" a="1"/>
  <c r="I610" i="44" s="1"/>
  <c r="L2" i="8" s="1" a="1"/>
  <c r="L2" i="8" s="1"/>
  <c r="L22" i="8" s="1"/>
  <c r="I601" i="44" a="1"/>
  <c r="I601" i="44" s="1"/>
  <c r="C2" i="8" s="1" a="1"/>
  <c r="C2" i="8" s="1"/>
  <c r="C22" i="8" s="1"/>
  <c r="I697" i="44"/>
  <c r="C7" i="8" s="1" a="1"/>
  <c r="C7" i="8" s="1"/>
  <c r="C27" i="8" s="1"/>
  <c r="I654" i="44" a="1"/>
  <c r="I654" i="44" s="1"/>
  <c r="H4" i="8" s="1" a="1"/>
  <c r="H4" i="8" s="1"/>
  <c r="H24" i="8" s="1"/>
  <c r="I666" i="44" a="1"/>
  <c r="I666" i="44" s="1"/>
  <c r="T4" i="8" s="1" a="1"/>
  <c r="T4" i="8" s="1"/>
  <c r="T24" i="8" s="1"/>
  <c r="I716" i="44"/>
  <c r="V7" i="8" s="1" a="1"/>
  <c r="V7" i="8" s="1"/>
  <c r="V27" i="8" s="1"/>
  <c r="I620" i="44" a="1"/>
  <c r="I620" i="44" s="1"/>
  <c r="V2" i="8" s="1" a="1"/>
  <c r="V2" i="8" s="1"/>
  <c r="V22" i="8" s="1"/>
  <c r="O701" i="44"/>
  <c r="G7" i="26" s="1" a="1"/>
  <c r="G7" i="26" s="1"/>
  <c r="O605" i="44" a="1"/>
  <c r="O605" i="44" s="1"/>
  <c r="G2" i="26" s="1" a="1"/>
  <c r="G2" i="26" s="1"/>
  <c r="O638" i="44" a="1"/>
  <c r="O638" i="44" s="1"/>
  <c r="P3" i="26" s="1" a="1"/>
  <c r="P3" i="26" s="1"/>
  <c r="O711" i="44"/>
  <c r="Q7" i="26" s="1" a="1"/>
  <c r="Q7" i="26" s="1"/>
  <c r="O615" i="44" a="1"/>
  <c r="O615" i="44" s="1"/>
  <c r="Q2" i="26" s="1" a="1"/>
  <c r="Q2" i="26" s="1"/>
  <c r="O712" i="44"/>
  <c r="R7" i="26" s="1" a="1"/>
  <c r="R7" i="26" s="1"/>
  <c r="O616" i="44" a="1"/>
  <c r="O616" i="44" s="1"/>
  <c r="R2" i="26" s="1" a="1"/>
  <c r="R2" i="26" s="1"/>
  <c r="O666" i="44" a="1"/>
  <c r="O666" i="44" s="1"/>
  <c r="T4" i="26" s="1" a="1"/>
  <c r="T4" i="26" s="1"/>
  <c r="O667" i="44" a="1"/>
  <c r="O667" i="44" s="1"/>
  <c r="U4" i="26" s="1" a="1"/>
  <c r="U4" i="26" s="1"/>
  <c r="I622" i="44" a="1"/>
  <c r="I622" i="44" s="1"/>
  <c r="X2" i="8" s="1" a="1"/>
  <c r="X2" i="8" s="1"/>
  <c r="X22" i="8" s="1"/>
  <c r="I718" i="44"/>
  <c r="X7" i="8" s="1" a="1"/>
  <c r="X7" i="8" s="1"/>
  <c r="X27" i="8" s="1"/>
  <c r="I715" i="44"/>
  <c r="U7" i="8" s="1" a="1"/>
  <c r="U7" i="8" s="1"/>
  <c r="U27" i="8" s="1"/>
  <c r="I619" i="44" a="1"/>
  <c r="I619" i="44" s="1"/>
  <c r="U2" i="8" s="1" a="1"/>
  <c r="U2" i="8" s="1"/>
  <c r="U22" i="8" s="1"/>
  <c r="I705" i="44"/>
  <c r="K7" i="8" s="1" a="1"/>
  <c r="K7" i="8" s="1"/>
  <c r="K27" i="8" s="1"/>
  <c r="K6" i="8" a="1"/>
  <c r="K6" i="8" s="1"/>
  <c r="K26" i="8" s="1"/>
  <c r="I609" i="44" a="1"/>
  <c r="I609" i="44" s="1"/>
  <c r="K2" i="8" s="1" a="1"/>
  <c r="K2" i="8" s="1"/>
  <c r="K22" i="8" s="1"/>
  <c r="I670" i="44" a="1"/>
  <c r="I670" i="44" s="1"/>
  <c r="X4" i="8" s="1" a="1"/>
  <c r="X4" i="8" s="1"/>
  <c r="X24" i="8" s="1"/>
  <c r="I602" i="44" a="1"/>
  <c r="I602" i="44" s="1"/>
  <c r="D2" i="8" s="1" a="1"/>
  <c r="D2" i="8" s="1"/>
  <c r="D22" i="8" s="1"/>
  <c r="I698" i="44"/>
  <c r="D7" i="8" s="1" a="1"/>
  <c r="D7" i="8" s="1"/>
  <c r="D27" i="8" s="1"/>
  <c r="I692" i="44" a="1"/>
  <c r="I692" i="44" s="1"/>
  <c r="I649" i="44" a="1"/>
  <c r="I649" i="44" s="1"/>
  <c r="I717" i="44"/>
  <c r="W7" i="8" s="1" a="1"/>
  <c r="W7" i="8" s="1"/>
  <c r="W27" i="8" s="1"/>
  <c r="I621" i="44" a="1"/>
  <c r="I621" i="44" s="1"/>
  <c r="W2" i="8" s="1" a="1"/>
  <c r="W2" i="8" s="1"/>
  <c r="W22" i="8" s="1"/>
  <c r="I680" i="44" a="1"/>
  <c r="I680" i="44" s="1"/>
  <c r="J5" i="8" s="1" a="1"/>
  <c r="J5" i="8" s="1"/>
  <c r="J25" i="8" s="1"/>
  <c r="O617" i="44" a="1"/>
  <c r="O617" i="44" s="1"/>
  <c r="S2" i="26" s="1" a="1"/>
  <c r="S2" i="26" s="1"/>
  <c r="O601" i="44" a="1"/>
  <c r="O601" i="44" s="1"/>
  <c r="C2" i="26" s="1" a="1"/>
  <c r="C2" i="26" s="1"/>
  <c r="O697" i="44"/>
  <c r="C7" i="26" s="1" a="1"/>
  <c r="C7" i="26" s="1"/>
  <c r="O633" i="44" a="1"/>
  <c r="O633" i="44" s="1"/>
  <c r="K3" i="26" s="1" a="1"/>
  <c r="K3" i="26" s="1"/>
  <c r="O631" i="44" a="1"/>
  <c r="O631" i="44" s="1"/>
  <c r="I3" i="26" s="1" a="1"/>
  <c r="I3" i="26" s="1"/>
  <c r="O620" i="44" a="1"/>
  <c r="O620" i="44" s="1"/>
  <c r="V2" i="26" s="1" a="1"/>
  <c r="V2" i="26" s="1"/>
  <c r="O716" i="44"/>
  <c r="V7" i="26" s="1" a="1"/>
  <c r="V7" i="26" s="1"/>
  <c r="O685" i="44" a="1"/>
  <c r="O685" i="44" s="1"/>
  <c r="O5" i="26" s="1" a="1"/>
  <c r="O5" i="26" s="1"/>
  <c r="O622" i="44" a="1"/>
  <c r="O622" i="44" s="1"/>
  <c r="X2" i="26" s="1" a="1"/>
  <c r="X2" i="26" s="1"/>
  <c r="O718" i="44"/>
  <c r="X7" i="26" s="1" a="1"/>
  <c r="X7" i="26" s="1"/>
  <c r="O654" i="44" a="1"/>
  <c r="O654" i="44" s="1"/>
  <c r="H4" i="26" s="1" a="1"/>
  <c r="H4" i="26" s="1"/>
  <c r="I651" i="44" a="1"/>
  <c r="I651" i="44" s="1"/>
  <c r="E4" i="8" s="1" a="1"/>
  <c r="E4" i="8" s="1"/>
  <c r="E24" i="8" s="1"/>
  <c r="I615" i="44" a="1"/>
  <c r="I615" i="44" s="1"/>
  <c r="Q2" i="8" s="1" a="1"/>
  <c r="Q2" i="8" s="1"/>
  <c r="Q22" i="8" s="1"/>
  <c r="I711" i="44"/>
  <c r="Q7" i="8" s="1" a="1"/>
  <c r="Q7" i="8" s="1"/>
  <c r="Q27" i="8" s="1"/>
  <c r="I712" i="44"/>
  <c r="R7" i="8" s="1" a="1"/>
  <c r="R7" i="8" s="1"/>
  <c r="R27" i="8" s="1"/>
  <c r="I616" i="44" a="1"/>
  <c r="I616" i="44" s="1"/>
  <c r="R2" i="8" s="1" a="1"/>
  <c r="R2" i="8" s="1"/>
  <c r="R22" i="8" s="1"/>
  <c r="I657" i="44" a="1"/>
  <c r="I657" i="44" s="1"/>
  <c r="K4" i="8" s="1" a="1"/>
  <c r="K4" i="8" s="1"/>
  <c r="K24" i="8" s="1"/>
  <c r="I635" i="44" a="1"/>
  <c r="I635" i="44" s="1"/>
  <c r="M3" i="8" s="1" a="1"/>
  <c r="M3" i="8" s="1"/>
  <c r="M23" i="8" s="1"/>
  <c r="I696" i="44"/>
  <c r="B7" i="8" s="1" a="1"/>
  <c r="B7" i="8" s="1"/>
  <c r="B27" i="8" s="1"/>
  <c r="I600" i="44" a="1"/>
  <c r="I600" i="44" s="1"/>
  <c r="B2" i="8" s="1" a="1"/>
  <c r="B2" i="8" s="1"/>
  <c r="B22" i="8" s="1"/>
  <c r="I688" i="44" a="1"/>
  <c r="I688" i="44" s="1"/>
  <c r="R5" i="8" s="1" a="1"/>
  <c r="R5" i="8" s="1"/>
  <c r="R25" i="8" s="1"/>
  <c r="M617" i="44" a="1"/>
  <c r="M617" i="44" s="1"/>
  <c r="S2" i="24" s="1" a="1"/>
  <c r="S2" i="24" s="1"/>
  <c r="S22" i="24" s="1"/>
  <c r="M713" i="44"/>
  <c r="S7" i="24" s="1" a="1"/>
  <c r="S7" i="24" s="1"/>
  <c r="S27" i="24" s="1"/>
  <c r="O703" i="44"/>
  <c r="I7" i="26" s="1" a="1"/>
  <c r="I7" i="26" s="1"/>
  <c r="O607" i="44" a="1"/>
  <c r="O607" i="44" s="1"/>
  <c r="I2" i="26" s="1" a="1"/>
  <c r="I2" i="26" s="1"/>
  <c r="O614" i="44" a="1"/>
  <c r="O614" i="44" s="1"/>
  <c r="P2" i="26" s="1" a="1"/>
  <c r="P2" i="26" s="1"/>
  <c r="O710" i="44"/>
  <c r="P7" i="26" s="1" a="1"/>
  <c r="P7" i="26" s="1"/>
  <c r="O626" i="44" a="1"/>
  <c r="O626" i="44" s="1"/>
  <c r="D3" i="26" s="1" a="1"/>
  <c r="D3" i="26" s="1"/>
  <c r="O661" i="44" a="1"/>
  <c r="O661" i="44" s="1"/>
  <c r="O4" i="26" s="1" a="1"/>
  <c r="O4" i="26" s="1"/>
  <c r="O709" i="44"/>
  <c r="O7" i="26" s="1" a="1"/>
  <c r="O7" i="26" s="1"/>
  <c r="O613" i="44" a="1"/>
  <c r="O613" i="44" s="1"/>
  <c r="O2" i="26" s="1" a="1"/>
  <c r="O2" i="26" s="1"/>
  <c r="I660" i="44" a="1"/>
  <c r="I660" i="44" s="1"/>
  <c r="N4" i="8" s="1" a="1"/>
  <c r="N4" i="8" s="1"/>
  <c r="N24" i="8" s="1"/>
  <c r="I708" i="44"/>
  <c r="N7" i="8" s="1" a="1"/>
  <c r="N7" i="8" s="1"/>
  <c r="N27" i="8" s="1"/>
  <c r="I612" i="44" a="1"/>
  <c r="I612" i="44" s="1"/>
  <c r="N2" i="8" s="1" a="1"/>
  <c r="N2" i="8" s="1"/>
  <c r="N22" i="8" s="1"/>
  <c r="I707" i="44"/>
  <c r="M7" i="8" s="1" a="1"/>
  <c r="M7" i="8" s="1"/>
  <c r="M27" i="8" s="1"/>
  <c r="I611" i="44" a="1"/>
  <c r="I611" i="44" s="1"/>
  <c r="M2" i="8" s="1" a="1"/>
  <c r="M2" i="8" s="1"/>
  <c r="M22" i="8" s="1"/>
  <c r="I636" i="44" a="1"/>
  <c r="I636" i="44" s="1"/>
  <c r="N3" i="8" s="1" a="1"/>
  <c r="N3" i="8" s="1"/>
  <c r="N23" i="8" s="1"/>
  <c r="I674" i="44" a="1"/>
  <c r="I674" i="44" s="1"/>
  <c r="D5" i="8" s="1" a="1"/>
  <c r="D5" i="8" s="1"/>
  <c r="D25" i="8" s="1"/>
  <c r="I629" i="44" a="1"/>
  <c r="I629" i="44" s="1"/>
  <c r="G3" i="8" s="1" a="1"/>
  <c r="G3" i="8" s="1"/>
  <c r="G23" i="8" s="1"/>
  <c r="I643" i="44" a="1"/>
  <c r="I643" i="44" s="1"/>
  <c r="U3" i="8" s="1" a="1"/>
  <c r="U3" i="8" s="1"/>
  <c r="U23" i="8" s="1"/>
  <c r="C7" i="46"/>
  <c r="H2" i="46"/>
  <c r="W2" i="46"/>
  <c r="H3" i="46"/>
  <c r="W4" i="46"/>
  <c r="L2" i="46"/>
  <c r="L3" i="46"/>
  <c r="V3" i="46"/>
  <c r="L5" i="46"/>
  <c r="W5" i="46"/>
  <c r="L4" i="46"/>
  <c r="N2" i="46"/>
  <c r="V5" i="46"/>
  <c r="V2" i="46"/>
  <c r="V4" i="46"/>
  <c r="W3" i="46"/>
  <c r="Y738" i="44" l="1"/>
  <c r="Y684" i="44"/>
  <c r="Y739" i="44"/>
  <c r="Y698" i="44"/>
  <c r="Y725" i="44"/>
  <c r="Y632" i="44"/>
  <c r="Y734" i="44"/>
  <c r="Y707" i="44"/>
  <c r="Y624" i="44"/>
  <c r="Y639" i="44"/>
  <c r="Y640" i="44"/>
  <c r="Y633" i="44"/>
  <c r="Y655" i="44"/>
  <c r="Y742" i="44"/>
  <c r="Y667" i="44"/>
  <c r="Y735" i="44"/>
  <c r="Y682" i="44"/>
  <c r="Y732" i="44"/>
  <c r="Y646" i="44"/>
  <c r="Y723" i="44"/>
  <c r="Y699" i="44"/>
  <c r="W7" i="46"/>
  <c r="Y664" i="44"/>
  <c r="Y610" i="44"/>
  <c r="Y720" i="44"/>
  <c r="G6" i="26" a="1"/>
  <c r="G6" i="26" s="1"/>
  <c r="Y726" i="44"/>
  <c r="U6" i="8" a="1"/>
  <c r="U6" i="8" s="1"/>
  <c r="U26" i="8" s="1"/>
  <c r="Y722" i="44"/>
  <c r="Y701" i="44"/>
  <c r="Y730" i="44"/>
  <c r="Y685" i="44"/>
  <c r="Y650" i="44"/>
  <c r="Y700" i="44"/>
  <c r="Y686" i="44"/>
  <c r="Y626" i="44"/>
  <c r="Y659" i="44"/>
  <c r="Y678" i="44"/>
  <c r="Y665" i="44"/>
  <c r="Y634" i="44"/>
  <c r="Y670" i="44"/>
  <c r="X6" i="8" a="1"/>
  <c r="X6" i="8" s="1"/>
  <c r="X26" i="8" s="1"/>
  <c r="Y644" i="44"/>
  <c r="Y694" i="44"/>
  <c r="Y743" i="44"/>
  <c r="Y690" i="44"/>
  <c r="Y645" i="44"/>
  <c r="Y627" i="44"/>
  <c r="Y687" i="44"/>
  <c r="Y637" i="44"/>
  <c r="Y604" i="44"/>
  <c r="Y606" i="44"/>
  <c r="Y618" i="44"/>
  <c r="Y715" i="44"/>
  <c r="Y603" i="44"/>
  <c r="Y600" i="44"/>
  <c r="Y669" i="44"/>
  <c r="Y728" i="44"/>
  <c r="Y609" i="44"/>
  <c r="Y741" i="44"/>
  <c r="Y724" i="44"/>
  <c r="Y651" i="44"/>
  <c r="Y710" i="44"/>
  <c r="Y628" i="44"/>
  <c r="Y676" i="44"/>
  <c r="Y695" i="44"/>
  <c r="Y619" i="44"/>
  <c r="Y601" i="44"/>
  <c r="Y608" i="44"/>
  <c r="Y674" i="44"/>
  <c r="Y693" i="44"/>
  <c r="Y647" i="44"/>
  <c r="Y689" i="44"/>
  <c r="L4" i="8" a="1"/>
  <c r="L4" i="8" s="1"/>
  <c r="L24" i="8" s="1"/>
  <c r="Y658" i="44"/>
  <c r="Y6" i="8" a="1"/>
  <c r="Y6" i="8" s="1"/>
  <c r="Y26" i="8" s="1"/>
  <c r="Y653" i="44"/>
  <c r="Y679" i="44"/>
  <c r="Y711" i="44"/>
  <c r="Y714" i="44"/>
  <c r="Y620" i="44"/>
  <c r="Y729" i="44"/>
  <c r="Y672" i="44"/>
  <c r="Y675" i="44"/>
  <c r="Y671" i="44"/>
  <c r="Y691" i="44"/>
  <c r="Y630" i="44"/>
  <c r="Y719" i="44"/>
  <c r="Y602" i="44"/>
  <c r="Y683" i="44"/>
  <c r="Y607" i="44"/>
  <c r="Y706" i="44"/>
  <c r="Y631" i="44"/>
  <c r="Y625" i="44"/>
  <c r="Y638" i="44"/>
  <c r="Y605" i="44"/>
  <c r="Y717" i="44"/>
  <c r="Y636" i="44"/>
  <c r="Y663" i="44"/>
  <c r="Y737" i="44"/>
  <c r="Y668" i="44"/>
  <c r="Y705" i="44"/>
  <c r="Y666" i="44"/>
  <c r="Y704" i="44"/>
  <c r="Y680" i="44"/>
  <c r="Y697" i="44"/>
  <c r="Y718" i="44"/>
  <c r="Y727" i="44"/>
  <c r="Y677" i="44"/>
  <c r="Y708" i="44"/>
  <c r="Y721" i="44"/>
  <c r="Y623" i="44"/>
  <c r="Y629" i="44"/>
  <c r="Y713" i="44"/>
  <c r="Y611" i="44"/>
  <c r="Y662" i="44"/>
  <c r="Y733" i="44"/>
  <c r="S3" i="26" a="1"/>
  <c r="S3" i="26" s="1"/>
  <c r="Y641" i="44"/>
  <c r="L7" i="46"/>
  <c r="F4" i="26" a="1"/>
  <c r="F4" i="26" s="1"/>
  <c r="Y652" i="44"/>
  <c r="T3" i="26" a="1"/>
  <c r="T3" i="26" s="1"/>
  <c r="Y642" i="44"/>
  <c r="Y696" i="44"/>
  <c r="Y614" i="44"/>
  <c r="Y716" i="44"/>
  <c r="Y731" i="44"/>
  <c r="Y622" i="44"/>
  <c r="Y613" i="44"/>
  <c r="Y621" i="44"/>
  <c r="Y712" i="44"/>
  <c r="Y643" i="44"/>
  <c r="Y688" i="44"/>
  <c r="Y736" i="44"/>
  <c r="Y616" i="44"/>
  <c r="H7" i="8" a="1"/>
  <c r="H7" i="8" s="1"/>
  <c r="H27" i="8" s="1"/>
  <c r="Y702" i="44"/>
  <c r="Y612" i="44"/>
  <c r="Y709" i="44"/>
  <c r="C4" i="8" a="1"/>
  <c r="C4" i="8" s="1"/>
  <c r="C24" i="8" s="1"/>
  <c r="Y649" i="44"/>
  <c r="B4" i="8" a="1"/>
  <c r="B4" i="8" s="1"/>
  <c r="B24" i="8" s="1"/>
  <c r="Y648" i="44"/>
  <c r="Y617" i="44"/>
  <c r="Y654" i="44"/>
  <c r="Y661" i="44"/>
  <c r="Y660" i="44"/>
  <c r="Y657" i="44"/>
  <c r="V5" i="8" a="1"/>
  <c r="V5" i="8" s="1"/>
  <c r="V25" i="8" s="1"/>
  <c r="Y692" i="44"/>
  <c r="J4" i="26" a="1"/>
  <c r="J4" i="26" s="1"/>
  <c r="Y656" i="44"/>
  <c r="Y615" i="44"/>
  <c r="Y635" i="44"/>
  <c r="Y703" i="44"/>
  <c r="Y740" i="44"/>
  <c r="C5" i="26" a="1"/>
  <c r="C5" i="26" s="1"/>
  <c r="Y673" i="44"/>
  <c r="K5" i="8" a="1"/>
  <c r="K5" i="8" s="1"/>
  <c r="K25" i="8" s="1"/>
  <c r="Y681" i="44"/>
  <c r="V7" i="46"/>
  <c r="H4" i="46"/>
  <c r="H5" i="46"/>
  <c r="N4" i="46"/>
  <c r="N5" i="46"/>
  <c r="N3" i="46"/>
  <c r="Z685" i="44" l="1"/>
  <c r="Z633" i="44"/>
  <c r="Z647" i="44"/>
  <c r="Z675" i="44"/>
  <c r="Z630" i="44"/>
  <c r="Z670" i="44"/>
  <c r="Z660" i="44"/>
  <c r="Z629" i="44"/>
  <c r="Z673" i="44"/>
  <c r="Z651" i="44"/>
  <c r="Z620" i="44"/>
  <c r="Z616" i="44"/>
  <c r="Z695" i="44"/>
  <c r="Z668" i="44"/>
  <c r="Z611" i="44"/>
  <c r="Z635" i="44"/>
  <c r="Z617" i="44"/>
  <c r="Z610" i="44"/>
  <c r="H7" i="46"/>
  <c r="N7" i="46"/>
  <c r="Z680" i="44"/>
  <c r="Z663" i="44"/>
  <c r="Z657" i="44"/>
  <c r="Z607" i="44"/>
  <c r="Z655" i="44"/>
  <c r="Z638" i="44"/>
  <c r="Z689" i="44"/>
  <c r="Z641" i="44"/>
  <c r="Z643" i="44"/>
  <c r="Z690" i="44"/>
  <c r="Z687" i="44"/>
  <c r="Z636" i="44"/>
  <c r="Z627" i="44"/>
  <c r="Z671" i="44"/>
  <c r="Z678" i="44"/>
  <c r="Z625" i="44"/>
  <c r="Z694" i="44"/>
  <c r="Z606" i="44"/>
  <c r="Z626" i="44"/>
  <c r="Z612" i="44"/>
  <c r="Z686" i="44"/>
  <c r="Z691" i="44"/>
  <c r="Z628" i="44"/>
  <c r="Z645" i="44"/>
  <c r="Z602" i="44"/>
  <c r="Z674" i="44"/>
  <c r="Z693" i="44"/>
  <c r="Z600" i="44"/>
  <c r="Z609" i="44"/>
  <c r="Z615" i="44"/>
  <c r="Z601" i="44"/>
  <c r="Z654" i="44"/>
  <c r="Z648" i="44"/>
  <c r="Z658" i="44"/>
  <c r="Z650" i="44"/>
  <c r="Z624" i="44"/>
  <c r="Z646" i="44"/>
  <c r="Z637" i="44"/>
  <c r="Z667" i="44"/>
  <c r="Z662" i="44"/>
  <c r="Z644" i="44"/>
  <c r="Z669" i="44"/>
  <c r="Z613" i="44"/>
  <c r="Z614" i="44"/>
  <c r="Z666" i="44"/>
  <c r="Z683" i="44"/>
  <c r="Z672" i="44"/>
  <c r="Z681" i="44"/>
  <c r="Z619" i="44"/>
  <c r="Z684" i="44"/>
  <c r="Z656" i="44"/>
  <c r="Z603" i="44"/>
  <c r="Z605" i="44"/>
  <c r="Z664" i="44"/>
  <c r="Z649" i="44"/>
  <c r="Z604" i="44"/>
  <c r="Z653" i="44"/>
  <c r="Z682" i="44"/>
  <c r="Z659" i="44"/>
  <c r="Z623" i="44"/>
  <c r="Z631" i="44"/>
  <c r="Z676" i="44"/>
  <c r="Z640" i="44"/>
  <c r="Z634" i="44"/>
  <c r="Z618" i="44"/>
  <c r="Z622" i="44"/>
  <c r="Z652" i="44"/>
  <c r="Z665" i="44"/>
  <c r="Z692" i="44"/>
  <c r="Z661" i="44"/>
  <c r="Z639" i="44"/>
  <c r="Z608" i="44"/>
  <c r="Z677" i="44"/>
  <c r="Z632" i="44"/>
  <c r="Z642" i="44"/>
  <c r="Z688" i="44"/>
  <c r="Z621" i="44"/>
  <c r="Z679" i="4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BF022B-876E-41EC-B03B-070AD51A1A70}" keepAlive="1" name="Query - Future global electricity demand load curves" description="Connection to the 'Future global electricity demand load curves' query in the workbook." type="5" refreshedVersion="8" background="1" saveData="1">
    <dbPr connection="Provider=Microsoft.Mashup.OleDb.1;Data Source=$Workbook$;Location=&quot;Future global electricity demand load curves&quot;;Extended Properties=&quot;&quot;" command="SELECT * FROM [Future global electricity demand load curves]"/>
  </connection>
  <connection id="2" xr16:uid="{F330CBFC-8879-4803-B07E-D3455920BB81}" keepAlive="1" name="Query - Future global electricity demand load curves (2)" description="Connection to the 'Future global electricity demand load curves (2)' query in the workbook." type="5" refreshedVersion="8" background="1" saveData="1">
    <dbPr connection="Provider=Microsoft.Mashup.OleDb.1;Data Source=$Workbook$;Location=&quot;Future global electricity demand load curves (2)&quot;;Extended Properties=&quot;&quot;" command="SELECT * FROM [Future global electricity demand load curves (2)]"/>
  </connection>
  <connection id="3" xr16:uid="{385F7B77-9BBE-469A-8981-1D6573ACD935}"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F75A53F6-953E-4EAD-895D-8AE770EB0D17}"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5" xr16:uid="{F2938307-66F2-48E2-BB37-18EB5A45F0D6}"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6" xr16:uid="{B62F3D0D-711D-4537-86F2-53687F47B52D}"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<sst xmlns="http://schemas.openxmlformats.org/spreadsheetml/2006/main" count="5882" uniqueCount="473">
  <si>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</si>
  <si>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</si>
  <si>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</si>
  <si>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</si>
  <si>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</si>
  <si>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</si>
  <si>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</si>
  <si>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</si>
  <si>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</si>
  <si>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</si>
  <si>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</si>
  <si>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</si>
  <si>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</si>
  <si>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</si>
  <si>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</si>
  <si>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</si>
  <si>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</si>
  <si>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</si>
  <si>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</si>
  <si>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</si>
  <si>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</si>
  <si>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</si>
  <si>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</si>
  <si>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Source:</t>
  </si>
  <si>
    <t>About</t>
  </si>
  <si>
    <t>Unit: dimensionless (ratio of electricity demand in this hour to annual demand)</t>
  </si>
  <si>
    <t>If you are adapting the EPS to a new geography and don't have hourly load data broken out</t>
  </si>
  <si>
    <t>This file specifies the ratio of the electricity consumed in each hour of the year to the</t>
  </si>
  <si>
    <t>total amount of electricity consumed during the year, disaggregated by sector.</t>
  </si>
  <si>
    <t>Hour</t>
  </si>
  <si>
    <t>Commercial</t>
  </si>
  <si>
    <t>Residential</t>
  </si>
  <si>
    <t>Transportation</t>
  </si>
  <si>
    <t>Hourly Load Data</t>
  </si>
  <si>
    <t>Hour0</t>
  </si>
  <si>
    <t>Season</t>
  </si>
  <si>
    <t>Month</t>
  </si>
  <si>
    <t>Winter</t>
  </si>
  <si>
    <t>Spring</t>
  </si>
  <si>
    <t>Summer</t>
  </si>
  <si>
    <t>Fall</t>
  </si>
  <si>
    <t>SHELF Seasonal Hourly Equipment Load Factors</t>
  </si>
  <si>
    <t>Heating</t>
  </si>
  <si>
    <t>Cooling</t>
  </si>
  <si>
    <t>December</t>
  </si>
  <si>
    <t>November</t>
  </si>
  <si>
    <t>October</t>
  </si>
  <si>
    <t>September</t>
  </si>
  <si>
    <t>August</t>
  </si>
  <si>
    <t>July</t>
  </si>
  <si>
    <t>June</t>
  </si>
  <si>
    <t>May</t>
  </si>
  <si>
    <t>April</t>
  </si>
  <si>
    <t>March</t>
  </si>
  <si>
    <t>February</t>
  </si>
  <si>
    <t>January</t>
  </si>
  <si>
    <t>Days per Electricity Timeslice</t>
  </si>
  <si>
    <t>Check</t>
  </si>
  <si>
    <t>Unit: days</t>
  </si>
  <si>
    <t>Days per Timeslice</t>
  </si>
  <si>
    <t>SHELF-residential-envelope</t>
  </si>
  <si>
    <t>SHELF-residential-lighting</t>
  </si>
  <si>
    <t>SHELF-residential-appliances</t>
  </si>
  <si>
    <t>SHELF-residential-other</t>
  </si>
  <si>
    <t>SHELF-commercial-heating</t>
  </si>
  <si>
    <t>SHELF-commercial-cooling</t>
  </si>
  <si>
    <t>SHELF-commercial-envelope</t>
  </si>
  <si>
    <t>SHELF-commercial-lighting</t>
  </si>
  <si>
    <t>SHELF-commercial-appliances</t>
  </si>
  <si>
    <t>SHELF-LDVs</t>
  </si>
  <si>
    <t>SHELF-HDVs</t>
  </si>
  <si>
    <t>SHELF-aircraft</t>
  </si>
  <si>
    <t>SHELF-rail</t>
  </si>
  <si>
    <t>SHELF-ships</t>
  </si>
  <si>
    <t>SHELF-motorbikes</t>
  </si>
  <si>
    <t>SHELF-industry</t>
  </si>
  <si>
    <t>SHELF-district-heat-hydrogen</t>
  </si>
  <si>
    <t>SHELF-geoeng</t>
  </si>
  <si>
    <t>SHELF-residential-heating</t>
  </si>
  <si>
    <t>SHELF-residential-cooling</t>
  </si>
  <si>
    <t>Summer Peak</t>
  </si>
  <si>
    <t>Winter Peak</t>
  </si>
  <si>
    <t>SHELF-commercial-other</t>
  </si>
  <si>
    <t>Source.Name</t>
  </si>
  <si>
    <t>Industry_total_weekday_SSP2.csv</t>
  </si>
  <si>
    <t>Industry_total_weekend_SSP2.csv</t>
  </si>
  <si>
    <t>Residential_cooling_weekday.csv</t>
  </si>
  <si>
    <t>Residential_cooling_weekend.csv</t>
  </si>
  <si>
    <t>Residential_heating_weekday.csv</t>
  </si>
  <si>
    <t>Residential_heating_weekend.csv</t>
  </si>
  <si>
    <t>Residential_lighting_weekday.csv</t>
  </si>
  <si>
    <t>Residential_lighting_weekend.csv</t>
  </si>
  <si>
    <t>Residential_total_weekday_SSP2.csv</t>
  </si>
  <si>
    <t>Residential_total_weekend_SSP2.csv</t>
  </si>
  <si>
    <t>Residential_waterheating_weekday.csv</t>
  </si>
  <si>
    <t>Residential_waterheating_weekend.csv</t>
  </si>
  <si>
    <t>Service_cooling_weekday.csv</t>
  </si>
  <si>
    <t>Service_cooling_weekend.csv</t>
  </si>
  <si>
    <t>Service_heating_weekday.csv</t>
  </si>
  <si>
    <t>Service_heating_weekend.csv</t>
  </si>
  <si>
    <t>Service_total_weekday_SSP2.csv</t>
  </si>
  <si>
    <t>Service_total_weekend_SSP2.csv</t>
  </si>
  <si>
    <t>Service_waterheating_weekday.csv</t>
  </si>
  <si>
    <t>Service_waterheating_weekend.csv</t>
  </si>
  <si>
    <t>Total_regional_weekday_SSP2.csv</t>
  </si>
  <si>
    <t>Total_regional_weekend_SSP2.csv</t>
  </si>
  <si>
    <t>Transport_total_weekday.csv</t>
  </si>
  <si>
    <t>Transport_total_weekend.csv</t>
  </si>
  <si>
    <t>EPS Sector</t>
  </si>
  <si>
    <t>Industry</t>
  </si>
  <si>
    <t>Total</t>
  </si>
  <si>
    <t>EPS End Use</t>
  </si>
  <si>
    <t>Lighting</t>
  </si>
  <si>
    <t>Appliances</t>
  </si>
  <si>
    <t>Weekend</t>
  </si>
  <si>
    <t>Weekdays</t>
  </si>
  <si>
    <t>Time</t>
  </si>
  <si>
    <t>Weekday</t>
  </si>
  <si>
    <t>season</t>
  </si>
  <si>
    <t>LDVs</t>
  </si>
  <si>
    <t>HDVs</t>
  </si>
  <si>
    <t>Aircraft</t>
  </si>
  <si>
    <t>Rail</t>
  </si>
  <si>
    <t>Ships</t>
  </si>
  <si>
    <t>Motorbikes</t>
  </si>
  <si>
    <t>District Heat and Hydrogen</t>
  </si>
  <si>
    <t>Geoengineering</t>
  </si>
  <si>
    <t>Zapata, Victhalia (2022)</t>
  </si>
  <si>
    <t>“Data for: Future global electricity demand load curves”</t>
  </si>
  <si>
    <t>https://data.mendeley.com/datasets/pmd2dchk44/1</t>
  </si>
  <si>
    <t>For China, we use Victhalia Zapata's demand load curve for the year 2019.</t>
  </si>
  <si>
    <t>assessment model (IAM) IMAGE and under the SSP2 baseline scenario for the future.</t>
  </si>
  <si>
    <t>Power Query (aka Get &amp; Transform) feature in the 'Source Data' sheet.</t>
  </si>
  <si>
    <t>sector</t>
  </si>
  <si>
    <t>subsector</t>
  </si>
  <si>
    <t>Envelope</t>
  </si>
  <si>
    <t>Other</t>
  </si>
  <si>
    <t>All Sectors</t>
  </si>
  <si>
    <t>Category Mapping</t>
  </si>
  <si>
    <t>Zapata's data files have already been consolidated using Excel's</t>
  </si>
  <si>
    <t>time of week</t>
  </si>
  <si>
    <t>Source Data</t>
  </si>
  <si>
    <t>Number of days per week</t>
  </si>
  <si>
    <t>In Zapata's research, hourly electricity demand aggregated at the monthly level is modeled within the integrated</t>
  </si>
  <si>
    <t>Year</t>
  </si>
  <si>
    <t>Region</t>
  </si>
  <si>
    <t>Regions_code.Region Name</t>
  </si>
  <si>
    <t>h1</t>
  </si>
  <si>
    <t>h2</t>
  </si>
  <si>
    <t>h3</t>
  </si>
  <si>
    <t>h4</t>
  </si>
  <si>
    <t>h5</t>
  </si>
  <si>
    <t>h6</t>
  </si>
  <si>
    <t>h7</t>
  </si>
  <si>
    <t>h8</t>
  </si>
  <si>
    <t>h9</t>
  </si>
  <si>
    <t>h10</t>
  </si>
  <si>
    <t>h11</t>
  </si>
  <si>
    <t>h12</t>
  </si>
  <si>
    <t>h13</t>
  </si>
  <si>
    <t>h14</t>
  </si>
  <si>
    <t>h15</t>
  </si>
  <si>
    <t>h16</t>
  </si>
  <si>
    <t>h17</t>
  </si>
  <si>
    <t>h18</t>
  </si>
  <si>
    <t>h19</t>
  </si>
  <si>
    <t>h20</t>
  </si>
  <si>
    <t>h21</t>
  </si>
  <si>
    <t>h22</t>
  </si>
  <si>
    <t>h23</t>
  </si>
  <si>
    <t>h24</t>
  </si>
  <si>
    <t>Jan</t>
  </si>
  <si>
    <t>Feb</t>
  </si>
  <si>
    <t>Mar</t>
  </si>
  <si>
    <t>Apr</t>
  </si>
  <si>
    <t>Jun</t>
  </si>
  <si>
    <t>Jul</t>
  </si>
  <si>
    <t>Aug</t>
  </si>
  <si>
    <t>Sep</t>
  </si>
  <si>
    <t>Oct</t>
  </si>
  <si>
    <t>Nov</t>
  </si>
  <si>
    <t>Dec</t>
  </si>
  <si>
    <t>Month Name</t>
  </si>
  <si>
    <t>Month Abbrev.</t>
  </si>
  <si>
    <t># of Days</t>
  </si>
  <si>
    <t>Weekend Days</t>
  </si>
  <si>
    <t>Notes</t>
  </si>
  <si>
    <t>Days per Season</t>
  </si>
  <si>
    <t>Hours per Season</t>
  </si>
  <si>
    <t>Total Annual Demand by End Use (kW/year)</t>
  </si>
  <si>
    <t>Time of Week</t>
  </si>
  <si>
    <t>Hourly Demand by Time of Week and End Use (kW/day)</t>
  </si>
  <si>
    <t>Average and Peak Load Factors by Season and Hour</t>
  </si>
  <si>
    <t>Share of Annual Demand by End Use (Load Factors)</t>
  </si>
  <si>
    <t>Total Season Demand Per Specified Hour, Time of Week, and End Use (kW/month)</t>
  </si>
  <si>
    <t>by certain sectors, you can use total economy-wide or sector-wide data.</t>
  </si>
  <si>
    <t>Residential_other_weekday</t>
  </si>
  <si>
    <t>Residential_other_weekend</t>
  </si>
  <si>
    <t>Service_other_weekday</t>
  </si>
  <si>
    <t>Service_other_weekend</t>
  </si>
  <si>
    <t>In addition to cooling, heating, and water heating, the service sector total also includes lighting, cooking and appliances/equipment (the latter categories showing less climate dependence)</t>
  </si>
  <si>
    <t>In addition to lighting, cooling, heating, and water heating, the residential sector total also includes cooking and appliances/equipment (the latter categories showing less climate dependence)</t>
  </si>
  <si>
    <t>The Zapata data only include a combined transportation category covering all vehicle types.</t>
  </si>
  <si>
    <t>Source Data + Custom "Other" Subsector Calculations for Buildings</t>
  </si>
  <si>
    <t>Source Data Category</t>
  </si>
  <si>
    <t>Custom residential categories used to capture the difference between the sum of categories that are broken out in the Zapata data source and the Zapata load total</t>
  </si>
  <si>
    <t>Custom commercial categories used to capture the difference between the sum of categories that are broken out in the Zapata data source and the Zapata load total. We assign the difference to lighting since in BCEU, lighting accounts for most of the electricity consumption beyond the electricity consumed for cooling, heating, and water heating/appliances.</t>
  </si>
  <si>
    <t>Across all seasons and hours, we assume the following breakdown based on the EPS's</t>
  </si>
  <si>
    <t>Korea</t>
  </si>
  <si>
    <t>&lt; SYSHECF with KOREA data considers Nov to be winter, so these values are accurate</t>
  </si>
  <si>
    <t>BAU share of transportation electricity consumed in 2019 (pulled from 3.3.1 model - adjust with new model?)</t>
  </si>
  <si>
    <t>Time (Year)</t>
  </si>
  <si>
    <t>Type:</t>
  </si>
  <si>
    <t>Transportation Sector Fuel Used[LDVs,passenger,battery electric vehicle,electricity tf] : MostRecentRun</t>
  </si>
  <si>
    <t>LDV</t>
  </si>
  <si>
    <t>3.16469 T</t>
  </si>
  <si>
    <t>4.59045 T</t>
  </si>
  <si>
    <t>6.20883 T</t>
  </si>
  <si>
    <t>8.11031 T</t>
  </si>
  <si>
    <t>10.4301 T</t>
  </si>
  <si>
    <t>13.0367 T</t>
  </si>
  <si>
    <t>16.0948 T</t>
  </si>
  <si>
    <t>19.8965 T</t>
  </si>
  <si>
    <t>24.2922 T</t>
  </si>
  <si>
    <t>29.5527 T</t>
  </si>
  <si>
    <t>36.1335 T</t>
  </si>
  <si>
    <t>42.517 T</t>
  </si>
  <si>
    <t>49.7576 T</t>
  </si>
  <si>
    <t>58.6874 T</t>
  </si>
  <si>
    <t>68.4507 T</t>
  </si>
  <si>
    <t>79.4227 T</t>
  </si>
  <si>
    <t>92.1959 T</t>
  </si>
  <si>
    <t>105.271 T</t>
  </si>
  <si>
    <t>119.277 T</t>
  </si>
  <si>
    <t>134.769 T</t>
  </si>
  <si>
    <t>149.698 T</t>
  </si>
  <si>
    <t>164.585 T</t>
  </si>
  <si>
    <t>180.342 T</t>
  </si>
  <si>
    <t>194.489 T</t>
  </si>
  <si>
    <t>207.84 T</t>
  </si>
  <si>
    <t>221.713 T</t>
  </si>
  <si>
    <t>233.211 T</t>
  </si>
  <si>
    <t>243.809 T</t>
  </si>
  <si>
    <t>254.958 T</t>
  </si>
  <si>
    <t>263.526 T</t>
  </si>
  <si>
    <t>271.192 T</t>
  </si>
  <si>
    <t>Transportation Sector Fuel Used[LDVs,passenger,plugin hybrid vehicle,electricity tf] : MostRecentRun</t>
  </si>
  <si>
    <t>11.0225 T</t>
  </si>
  <si>
    <t>10.4696 T</t>
  </si>
  <si>
    <t>9.75877 T</t>
  </si>
  <si>
    <t>9.00882 T</t>
  </si>
  <si>
    <t>8.29408 T</t>
  </si>
  <si>
    <t>7.46489 T</t>
  </si>
  <si>
    <t>6.60981 T</t>
  </si>
  <si>
    <t>5.77869 T</t>
  </si>
  <si>
    <t>4.87457 T</t>
  </si>
  <si>
    <t>3.95979 T</t>
  </si>
  <si>
    <t>3.06128 T</t>
  </si>
  <si>
    <t>3.08493 T</t>
  </si>
  <si>
    <t>3.09013 T</t>
  </si>
  <si>
    <t>3.11646 T</t>
  </si>
  <si>
    <t>3.11044 T</t>
  </si>
  <si>
    <t>3.09477 T</t>
  </si>
  <si>
    <t>3.09643 T</t>
  </si>
  <si>
    <t>3.0712 T</t>
  </si>
  <si>
    <t>3.04192 T</t>
  </si>
  <si>
    <t>3.03142 T</t>
  </si>
  <si>
    <t>2.99851 T</t>
  </si>
  <si>
    <t>2.96614 T</t>
  </si>
  <si>
    <t>2.95493 T</t>
  </si>
  <si>
    <t>2.92743 T</t>
  </si>
  <si>
    <t>2.90397 T</t>
  </si>
  <si>
    <t>2.9035 T</t>
  </si>
  <si>
    <t>2.88968 T</t>
  </si>
  <si>
    <t>2.88046 T</t>
  </si>
  <si>
    <t>2.8932 T</t>
  </si>
  <si>
    <t>2.89363 T</t>
  </si>
  <si>
    <t>2.89758 T</t>
  </si>
  <si>
    <t>Transportation Sector Fuel Used[LDVs,freight,battery electric vehicle,electricity tf] : MostRecentRun</t>
  </si>
  <si>
    <t>489.779 B</t>
  </si>
  <si>
    <t>608.578 B</t>
  </si>
  <si>
    <t>761.209 B</t>
  </si>
  <si>
    <t>1.00082 T</t>
  </si>
  <si>
    <t>1.33159 T</t>
  </si>
  <si>
    <t>1.816 T</t>
  </si>
  <si>
    <t>2.46428 T</t>
  </si>
  <si>
    <t>3.34727 T</t>
  </si>
  <si>
    <t>4.58074 T</t>
  </si>
  <si>
    <t>6.15918 T</t>
  </si>
  <si>
    <t>8.30889 T</t>
  </si>
  <si>
    <t>10.9765 T</t>
  </si>
  <si>
    <t>14.1289 T</t>
  </si>
  <si>
    <t>18.1484 T</t>
  </si>
  <si>
    <t>22.7585 T</t>
  </si>
  <si>
    <t>28.341 T</t>
  </si>
  <si>
    <t>34.3465 T</t>
  </si>
  <si>
    <t>41.3122 T</t>
  </si>
  <si>
    <t>48.5413 T</t>
  </si>
  <si>
    <t>56.1917 T</t>
  </si>
  <si>
    <t>64.692 T</t>
  </si>
  <si>
    <t>72.7457 T</t>
  </si>
  <si>
    <t>81.5063 T</t>
  </si>
  <si>
    <t>89.2905 T</t>
  </si>
  <si>
    <t>97.5658 T</t>
  </si>
  <si>
    <t>104.53 T</t>
  </si>
  <si>
    <t>110.925 T</t>
  </si>
  <si>
    <t>117.782 T</t>
  </si>
  <si>
    <t>123.077 T</t>
  </si>
  <si>
    <t>128.798 T</t>
  </si>
  <si>
    <t>132.804 T</t>
  </si>
  <si>
    <t>Transportation Sector Fuel Used[HDVs,passenger,battery electric vehicle,electricity tf] : MostRecentRun</t>
  </si>
  <si>
    <t>HDV</t>
  </si>
  <si>
    <t>1.10845 T</t>
  </si>
  <si>
    <t>1.02948 T</t>
  </si>
  <si>
    <t>966.977 B</t>
  </si>
  <si>
    <t>923.881 B</t>
  </si>
  <si>
    <t>901.126 B</t>
  </si>
  <si>
    <t>913.409 B</t>
  </si>
  <si>
    <t>940.696 B</t>
  </si>
  <si>
    <t>1.01336 T</t>
  </si>
  <si>
    <t>1.12545 T</t>
  </si>
  <si>
    <t>1.28331 T</t>
  </si>
  <si>
    <t>1.49223 T</t>
  </si>
  <si>
    <t>1.75716 T</t>
  </si>
  <si>
    <t>2.12512 T</t>
  </si>
  <si>
    <t>2.55922 T</t>
  </si>
  <si>
    <t>3.06955 T</t>
  </si>
  <si>
    <t>3.62089 T</t>
  </si>
  <si>
    <t>4.19331 T</t>
  </si>
  <si>
    <t>4.66014 T</t>
  </si>
  <si>
    <t>5.39567 T</t>
  </si>
  <si>
    <t>5.98614 T</t>
  </si>
  <si>
    <t>6.52031 T</t>
  </si>
  <si>
    <t>6.9769 T</t>
  </si>
  <si>
    <t>7.56012 T</t>
  </si>
  <si>
    <t>7.83488 T</t>
  </si>
  <si>
    <t>7.98195 T</t>
  </si>
  <si>
    <t>8.28429 T</t>
  </si>
  <si>
    <t>8.49061 T</t>
  </si>
  <si>
    <t>8.29347 T</t>
  </si>
  <si>
    <t>8.30559 T</t>
  </si>
  <si>
    <t>8.24104 T</t>
  </si>
  <si>
    <t>8.09276 T</t>
  </si>
  <si>
    <t>Transportation Sector Fuel Used[HDVs,passenger,plugin hybrid vehicle,electricity tf] : MostRecentRun</t>
  </si>
  <si>
    <t>5.72329 T</t>
  </si>
  <si>
    <t>5.13873 T</t>
  </si>
  <si>
    <t>4.58892 T</t>
  </si>
  <si>
    <t>4.07112 T</t>
  </si>
  <si>
    <t>3.58256 T</t>
  </si>
  <si>
    <t>3.15905 T</t>
  </si>
  <si>
    <t>2.71382 T</t>
  </si>
  <si>
    <t>2.32291 T</t>
  </si>
  <si>
    <t>1.94315 T</t>
  </si>
  <si>
    <t>1.57266 T</t>
  </si>
  <si>
    <t>1.21005 T</t>
  </si>
  <si>
    <t>853.266 B</t>
  </si>
  <si>
    <t>509.508 B</t>
  </si>
  <si>
    <t>477.234 B</t>
  </si>
  <si>
    <t>450.836 B</t>
  </si>
  <si>
    <t>424.694 B</t>
  </si>
  <si>
    <t>398.58 B</t>
  </si>
  <si>
    <t>363.992 B</t>
  </si>
  <si>
    <t>347.02 B</t>
  </si>
  <si>
    <t>322.836 B</t>
  </si>
  <si>
    <t>299.305 B</t>
  </si>
  <si>
    <t>276.536 B</t>
  </si>
  <si>
    <t>262.226 B</t>
  </si>
  <si>
    <t>241.037 B</t>
  </si>
  <si>
    <t>220.88 B</t>
  </si>
  <si>
    <t>208.679 B</t>
  </si>
  <si>
    <t>197.141 B</t>
  </si>
  <si>
    <t>179.575 B</t>
  </si>
  <si>
    <t>169.353 B</t>
  </si>
  <si>
    <t>159.63 B</t>
  </si>
  <si>
    <t>150.387 B</t>
  </si>
  <si>
    <t>Transportation Sector Fuel Used[HDVs,freight,battery electric vehicle,electricity tf] : MostRecentRun</t>
  </si>
  <si>
    <t>84.1339 B</t>
  </si>
  <si>
    <t>103.748 B</t>
  </si>
  <si>
    <t>134.088 B</t>
  </si>
  <si>
    <t>181.761 B</t>
  </si>
  <si>
    <t>250.719 B</t>
  </si>
  <si>
    <t>348.921 B</t>
  </si>
  <si>
    <t>485.172 B</t>
  </si>
  <si>
    <t>674.167 B</t>
  </si>
  <si>
    <t>930.887 B</t>
  </si>
  <si>
    <t>1.27365 T</t>
  </si>
  <si>
    <t>1.73953 T</t>
  </si>
  <si>
    <t>2.32771 T</t>
  </si>
  <si>
    <t>3.0677 T</t>
  </si>
  <si>
    <t>3.98273 T</t>
  </si>
  <si>
    <t>5.05669 T</t>
  </si>
  <si>
    <t>6.31447 T</t>
  </si>
  <si>
    <t>7.75395 T</t>
  </si>
  <si>
    <t>9.42632 T</t>
  </si>
  <si>
    <t>11.1829 T</t>
  </si>
  <si>
    <t>13.0516 T</t>
  </si>
  <si>
    <t>14.998 T</t>
  </si>
  <si>
    <t>16.9792 T</t>
  </si>
  <si>
    <t>18.9649 T</t>
  </si>
  <si>
    <t>20.926 T</t>
  </si>
  <si>
    <t>22.9598 T</t>
  </si>
  <si>
    <t>24.7412 T</t>
  </si>
  <si>
    <t>26.3914 T</t>
  </si>
  <si>
    <t>27.8777 T</t>
  </si>
  <si>
    <t>29.1852 T</t>
  </si>
  <si>
    <t>30.3226 T</t>
  </si>
  <si>
    <t>31.2916 T</t>
  </si>
  <si>
    <t>Transportation Sector Fuel Used[rail,passenger,battery electric vehicle,electricity tf] : MostRecentRun</t>
  </si>
  <si>
    <t>28.1866 T</t>
  </si>
  <si>
    <t>28.6111 T</t>
  </si>
  <si>
    <t>29.4746 T</t>
  </si>
  <si>
    <t>30.7946 T</t>
  </si>
  <si>
    <t>32.1055 T</t>
  </si>
  <si>
    <t>33.427 T</t>
  </si>
  <si>
    <t>34.28 T</t>
  </si>
  <si>
    <t>35.5907 T</t>
  </si>
  <si>
    <t>37.3355 T</t>
  </si>
  <si>
    <t>38.6487 T</t>
  </si>
  <si>
    <t>39.9514 T</t>
  </si>
  <si>
    <t>41.7054 T</t>
  </si>
  <si>
    <t>43.0323 T</t>
  </si>
  <si>
    <t>44.7926 T</t>
  </si>
  <si>
    <t>46.5415 T</t>
  </si>
  <si>
    <t>48.2801 T</t>
  </si>
  <si>
    <t>50.0588 T</t>
  </si>
  <si>
    <t>52.2696 T</t>
  </si>
  <si>
    <t>54.0484 T</t>
  </si>
  <si>
    <t>56.2614 T</t>
  </si>
  <si>
    <t>58.4862 T</t>
  </si>
  <si>
    <t>60.6988 T</t>
  </si>
  <si>
    <t>62.9237 T</t>
  </si>
  <si>
    <t>65.609 T</t>
  </si>
  <si>
    <t>68.2684 T</t>
  </si>
  <si>
    <t>70.9412 T</t>
  </si>
  <si>
    <t>73.6283 T</t>
  </si>
  <si>
    <t>76.363 T</t>
  </si>
  <si>
    <t>79.5582 T</t>
  </si>
  <si>
    <t>82.7262 T</t>
  </si>
  <si>
    <t>85.9397 T</t>
  </si>
  <si>
    <t>Transportation Sector Fuel Used[rail,freight,battery electric vehicle,electricity tf] : MostRecentRun</t>
  </si>
  <si>
    <t>1.92291 T</t>
  </si>
  <si>
    <t>1.81846 T</t>
  </si>
  <si>
    <t>1.75386 T</t>
  </si>
  <si>
    <t>1.69729 T</t>
  </si>
  <si>
    <t>1.66059 T</t>
  </si>
  <si>
    <t>1.6034 T</t>
  </si>
  <si>
    <t>1.5457 T</t>
  </si>
  <si>
    <t>1.508 T</t>
  </si>
  <si>
    <t>1.44974 T</t>
  </si>
  <si>
    <t>1.41118 T</t>
  </si>
  <si>
    <t>1.35241 T</t>
  </si>
  <si>
    <t>1.30443 T</t>
  </si>
  <si>
    <t>1.25643 T</t>
  </si>
  <si>
    <t>1.20857 T</t>
  </si>
  <si>
    <t>1.16763 T</t>
  </si>
  <si>
    <t>1.12654 T</t>
  </si>
  <si>
    <t>1.08548 T</t>
  </si>
  <si>
    <t>1.04428 T</t>
  </si>
  <si>
    <t>1.00295 T</t>
  </si>
  <si>
    <t>981.129 B</t>
  </si>
  <si>
    <t>949.844 B</t>
  </si>
  <si>
    <t>918.208 B</t>
  </si>
  <si>
    <t>906.353 B</t>
  </si>
  <si>
    <t>874.326 B</t>
  </si>
  <si>
    <t>862.45 B</t>
  </si>
  <si>
    <t>822.938 B</t>
  </si>
  <si>
    <t>803.844 B</t>
  </si>
  <si>
    <t>784.781 B</t>
  </si>
  <si>
    <t>744.918 B</t>
  </si>
  <si>
    <t>725.604 B</t>
  </si>
  <si>
    <t>706.193 B</t>
  </si>
  <si>
    <t>South Korea EPS version 3.3.1</t>
  </si>
  <si>
    <t>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</si>
</sst>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E+00"/>
    <numFmt numFmtId="165" formatCode="0.000000000000000"/>
    <numFmt numFmtId="166" formatCode="0.0"/>
  </numFmts>
  <fonts count="9" x14ac:knownFonts="1">
    <font>
      <sz val="11"/>
      <color theme="1"/>
      <name val="Calibri"/>
      <family val="2"/>
      <scheme val="minor"/>
    </font>
    <font>
      <b/>
      <sz val="11"/>
      <color theme="1"/>
      <name val="Calibri"/>
      <family val="2"/>
      <scheme val="minor"/>
    </font>
    <font>
      <i/>
      <sz val="11"/>
      <color indexed="8"/>
      <name val="Calibri"/>
      <family val="2"/>
      <scheme val="minor"/>
    </font>
    <font>
      <u/>
      <sz val="11"/>
      <color theme="10"/>
      <name val="Calibri"/>
      <family val="2"/>
      <scheme val="minor"/>
    </font>
    <font>
      <sz val="11"/>
      <color rgb="FF000000"/>
      <name val="Calibri"/>
      <family val="2"/>
    </font>
    <font>
      <sz val="11"/>
      <color theme="1"/>
      <name val="Calibri"/>
      <family val="2"/>
    </font>
    <font>
      <sz val="11"/>
      <color theme="1"/>
      <name val="Calibri"/>
      <family val="2"/>
      <scheme val="minor"/>
    </font>
    <font>
      <b/>
      <sz val="11"/>
      <color theme="0"/>
      <name val="Calibri"/>
      <family val="2"/>
      <scheme val="minor"/>
    </font>
    <font>
      <sz val="11"/>
      <color rgb="FF1F1F1F"/>
      <name val="Calibri"/>
      <family val="2"/>
      <scheme val="minor"/>
    </font>
  </fonts>
  <fills count="20">
    <fill>
      <patternFill patternType="none"/>
    </fill>
    <fill>
      <patternFill patternType="gray125"/>
    </fill>
    <fill>
      <patternFill patternType="solid">
        <fgColor theme="0" tint="-0.249977111117893"/>
        <bgColor indexed="64"/>
      </patternFill>
    </fill>
    <fill>
      <patternFill patternType="solid">
        <fgColor theme="3" tint="0.39997558519241921"/>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rgb="FFE2EFDA"/>
        <bgColor rgb="FFE2EFDA"/>
      </patternFill>
    </fill>
    <fill>
      <patternFill patternType="solid">
        <fgColor theme="0" tint="-0.14999847407452621"/>
        <bgColor indexed="64"/>
      </patternFill>
    </fill>
    <fill>
      <patternFill patternType="solid">
        <fgColor theme="8"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7" tint="0.59999389629810485"/>
        <bgColor rgb="FFE2EFDA"/>
      </patternFill>
    </fill>
    <fill>
      <patternFill patternType="solid">
        <fgColor theme="5" tint="0.59999389629810485"/>
        <bgColor rgb="FFE2EFDA"/>
      </patternFill>
    </fill>
    <fill>
      <patternFill patternType="solid">
        <fgColor theme="5" tint="0.59999389629810485"/>
        <bgColor indexed="64"/>
      </patternFill>
    </fill>
    <fill>
      <patternFill patternType="solid">
        <fgColor theme="7" tint="0.79998168889431442"/>
        <bgColor rgb="FFE2EFDA"/>
      </patternFill>
    </fill>
    <fill>
      <patternFill patternType="solid">
        <fgColor theme="7" tint="0.79998168889431442"/>
        <bgColor indexed="64"/>
      </patternFill>
    </fill>
    <fill>
      <patternFill patternType="solid">
        <fgColor theme="5" tint="0.79998168889431442"/>
        <bgColor rgb="FFE2EFDA"/>
      </patternFill>
    </fill>
    <fill>
      <patternFill patternType="solid">
        <fgColor theme="5" tint="0.79998168889431442"/>
        <bgColor indexed="64"/>
      </patternFill>
    </fill>
    <fill>
      <patternFill patternType="solid">
        <fgColor theme="9"/>
        <bgColor theme="9"/>
      </patternFill>
    </fill>
    <fill>
      <patternFill patternType="solid">
        <fgColor theme="9" tint="0.79998168889431442"/>
        <bgColor theme="9" tint="0.79998168889431442"/>
      </patternFill>
    </fill>
  </fills>
  <borders count="9">
    <border>
      <left/>
      <right/>
      <top/>
      <bottom/>
      <diagonal/>
    </border>
    <border>
      <left style="thin">
        <color rgb="FFA9D08E"/>
      </left>
      <right/>
      <top style="thin">
        <color rgb="FFA9D08E"/>
      </top>
      <bottom style="thin">
        <color rgb="FFA9D08E"/>
      </bottom>
      <diagonal/>
    </border>
    <border>
      <left/>
      <right/>
      <top style="thin">
        <color rgb="FFA9D08E"/>
      </top>
      <bottom style="thin">
        <color rgb="FFA9D08E"/>
      </bottom>
      <diagonal/>
    </border>
    <border>
      <left/>
      <right style="thin">
        <color rgb="FFA9D08E"/>
      </right>
      <top style="thin">
        <color rgb="FFA9D08E"/>
      </top>
      <bottom style="thin">
        <color rgb="FFA9D08E"/>
      </bottom>
      <diagonal/>
    </border>
    <border>
      <left/>
      <right/>
      <top/>
      <bottom style="thin">
        <color rgb="FFA9D08E"/>
      </bottom>
      <diagonal/>
    </border>
    <border>
      <left style="thin">
        <color rgb="FFA9D08E"/>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4">
    <xf numFmtId="0" fontId="0" fillId="0" borderId="0"/>
    <xf numFmtId="0" fontId="3" fillId="0" borderId="0" applyNumberFormat="0" applyFill="0" applyBorder="0" applyAlignment="0" applyProtection="0"/>
    <xf numFmtId="0" fontId="4" fillId="0" borderId="0"/>
    <xf numFmtId="9" fontId="6" fillId="0" borderId="0" applyFont="0" applyFill="0" applyBorder="0" applyAlignment="0" applyProtection="0"/>
  </cellStyleXfs>
  <cellXfs count="66">
    <xf numFmtId="0" fontId="0" fillId="0" borderId="0" xfId="0"/>
    <xf numFmtId="0" fontId="1" fillId="0" borderId="0" xfId="0" applyFont="1"/>
    <xf numFmtId="0" fontId="1" fillId="2" borderId="0" xfId="0" applyFont="1" applyFill="1"/>
    <xf numFmtId="0" fontId="0" fillId="0" borderId="0" xfId="0" applyAlignment="1">
      <alignment horizontal="left"/>
    </xf>
    <xf numFmtId="0" fontId="3" fillId="0" borderId="0" xfId="1"/>
    <xf numFmtId="0" fontId="0" fillId="0" borderId="0" xfId="0" applyAlignment="1">
      <alignment wrapText="1"/>
    </xf>
    <xf numFmtId="164" fontId="2" fillId="0" borderId="0" xfId="0" applyNumberFormat="1" applyFont="1" applyAlignment="1">
      <alignment horizontal="left"/>
    </xf>
    <xf numFmtId="164" fontId="0" fillId="0" borderId="0" xfId="0" applyNumberFormat="1" applyAlignment="1">
      <alignment horizontal="right"/>
    </xf>
    <xf numFmtId="164" fontId="0" fillId="0" borderId="0" xfId="0" applyNumberFormat="1"/>
    <xf numFmtId="0" fontId="0" fillId="0" borderId="0" xfId="0" applyAlignment="1">
      <alignment horizontal="right" wrapText="1"/>
    </xf>
    <xf numFmtId="164" fontId="0" fillId="0" borderId="0" xfId="0" applyNumberFormat="1" applyAlignment="1">
      <alignment horizontal="right" wrapText="1"/>
    </xf>
    <xf numFmtId="11" fontId="0" fillId="0" borderId="0" xfId="0" applyNumberFormat="1"/>
    <xf numFmtId="165" fontId="0" fillId="0" borderId="0" xfId="0" applyNumberFormat="1"/>
    <xf numFmtId="166" fontId="0" fillId="0" borderId="0" xfId="0" applyNumberFormat="1"/>
    <xf numFmtId="0" fontId="5" fillId="6" borderId="1" xfId="0" applyFont="1" applyFill="1" applyBorder="1"/>
    <xf numFmtId="0" fontId="5" fillId="6" borderId="2" xfId="0" applyFont="1" applyFill="1" applyBorder="1"/>
    <xf numFmtId="0" fontId="5" fillId="0" borderId="1" xfId="0" applyFont="1" applyBorder="1"/>
    <xf numFmtId="0" fontId="5" fillId="0" borderId="2" xfId="0" applyFont="1" applyBorder="1"/>
    <xf numFmtId="0" fontId="1" fillId="0" borderId="0" xfId="0" applyFont="1" applyAlignment="1">
      <alignment horizontal="center"/>
    </xf>
    <xf numFmtId="0" fontId="0" fillId="0" borderId="0" xfId="0" applyAlignment="1">
      <alignment horizontal="center"/>
    </xf>
    <xf numFmtId="166" fontId="0" fillId="0" borderId="0" xfId="0" applyNumberFormat="1" applyAlignment="1">
      <alignment horizontal="center"/>
    </xf>
    <xf numFmtId="1" fontId="0" fillId="0" borderId="0" xfId="0" applyNumberFormat="1"/>
    <xf numFmtId="0" fontId="1" fillId="0" borderId="0" xfId="0" applyFont="1" applyAlignment="1">
      <alignment horizontal="center" wrapText="1"/>
    </xf>
    <xf numFmtId="0" fontId="0" fillId="0" borderId="0" xfId="0" applyAlignment="1">
      <alignment horizontal="center" wrapText="1"/>
    </xf>
    <xf numFmtId="166" fontId="0" fillId="0" borderId="0" xfId="0" applyNumberFormat="1" applyAlignment="1">
      <alignment horizontal="center" wrapText="1"/>
    </xf>
    <xf numFmtId="11" fontId="0" fillId="0" borderId="0" xfId="0" applyNumberFormat="1" applyAlignment="1">
      <alignment horizontal="center"/>
    </xf>
    <xf numFmtId="1" fontId="0" fillId="0" borderId="0" xfId="0" applyNumberFormat="1" applyAlignment="1">
      <alignment horizontal="center"/>
    </xf>
    <xf numFmtId="11" fontId="0" fillId="7" borderId="0" xfId="0" applyNumberFormat="1" applyFill="1" applyAlignment="1">
      <alignment horizontal="center"/>
    </xf>
    <xf numFmtId="11" fontId="5" fillId="0" borderId="2" xfId="0" applyNumberFormat="1" applyFont="1" applyBorder="1"/>
    <xf numFmtId="11" fontId="5" fillId="0" borderId="3" xfId="0" applyNumberFormat="1" applyFont="1" applyBorder="1"/>
    <xf numFmtId="11" fontId="5" fillId="6" borderId="2" xfId="0" applyNumberFormat="1" applyFont="1" applyFill="1" applyBorder="1"/>
    <xf numFmtId="11" fontId="5" fillId="6" borderId="3" xfId="0" applyNumberFormat="1" applyFont="1" applyFill="1" applyBorder="1"/>
    <xf numFmtId="11" fontId="0" fillId="7" borderId="0" xfId="0" applyNumberFormat="1" applyFill="1"/>
    <xf numFmtId="11" fontId="0" fillId="8" borderId="0" xfId="0" applyNumberFormat="1" applyFill="1" applyAlignment="1">
      <alignment horizontal="center"/>
    </xf>
    <xf numFmtId="0" fontId="0" fillId="7" borderId="0" xfId="0" applyFill="1" applyAlignment="1">
      <alignment horizontal="center"/>
    </xf>
    <xf numFmtId="11" fontId="0" fillId="9" borderId="0" xfId="0" applyNumberFormat="1" applyFill="1" applyAlignment="1">
      <alignment horizontal="center"/>
    </xf>
    <xf numFmtId="11" fontId="0" fillId="10" borderId="0" xfId="0" applyNumberFormat="1" applyFill="1"/>
    <xf numFmtId="0" fontId="5" fillId="11" borderId="5" xfId="0" applyFont="1" applyFill="1" applyBorder="1"/>
    <xf numFmtId="0" fontId="0" fillId="5" borderId="0" xfId="0" applyFill="1"/>
    <xf numFmtId="11" fontId="0" fillId="5" borderId="0" xfId="0" applyNumberFormat="1" applyFill="1"/>
    <xf numFmtId="0" fontId="5" fillId="12" borderId="5" xfId="0" applyFont="1" applyFill="1" applyBorder="1"/>
    <xf numFmtId="0" fontId="0" fillId="13" borderId="0" xfId="0" applyFill="1"/>
    <xf numFmtId="11" fontId="0" fillId="13" borderId="0" xfId="0" applyNumberFormat="1" applyFill="1"/>
    <xf numFmtId="0" fontId="5" fillId="14" borderId="5" xfId="0" applyFont="1" applyFill="1" applyBorder="1"/>
    <xf numFmtId="0" fontId="0" fillId="15" borderId="0" xfId="0" applyFill="1"/>
    <xf numFmtId="11" fontId="0" fillId="15" borderId="0" xfId="0" applyNumberFormat="1" applyFill="1"/>
    <xf numFmtId="0" fontId="5" fillId="16" borderId="5" xfId="0" applyFont="1" applyFill="1" applyBorder="1"/>
    <xf numFmtId="0" fontId="0" fillId="17" borderId="0" xfId="0" applyFill="1"/>
    <xf numFmtId="11" fontId="0" fillId="17" borderId="0" xfId="0" applyNumberFormat="1" applyFill="1"/>
    <xf numFmtId="9" fontId="0" fillId="0" borderId="0" xfId="3" applyFont="1"/>
    <xf numFmtId="9" fontId="0" fillId="9" borderId="0" xfId="3" applyFont="1" applyFill="1"/>
    <xf numFmtId="0" fontId="7" fillId="18" borderId="6" xfId="0" applyFont="1" applyFill="1" applyBorder="1"/>
    <xf numFmtId="0" fontId="7" fillId="18" borderId="7" xfId="0" applyFont="1" applyFill="1" applyBorder="1"/>
    <xf numFmtId="0" fontId="7" fillId="18" borderId="8" xfId="0" applyFont="1" applyFill="1" applyBorder="1"/>
    <xf numFmtId="0" fontId="0" fillId="19" borderId="6" xfId="0" applyFill="1" applyBorder="1"/>
    <xf numFmtId="0" fontId="0" fillId="19" borderId="7" xfId="0" applyFill="1" applyBorder="1"/>
    <xf numFmtId="0" fontId="0" fillId="19" borderId="8" xfId="0" applyFill="1" applyBorder="1"/>
    <xf numFmtId="0" fontId="0" fillId="0" borderId="6" xfId="0" applyBorder="1"/>
    <xf numFmtId="0" fontId="0" fillId="0" borderId="7" xfId="0" applyBorder="1"/>
    <xf numFmtId="0" fontId="0" fillId="0" borderId="8" xfId="0" applyBorder="1"/>
    <xf numFmtId="0" fontId="8" fillId="0" borderId="0" xfId="0" applyFont="1" applyAlignment="1">
      <alignment horizontal="right"/>
    </xf>
    <xf numFmtId="0" fontId="1" fillId="3" borderId="4" xfId="0" applyFont="1" applyFill="1" applyBorder="1" applyAlignment="1">
      <alignment horizontal="left"/>
    </xf>
    <xf numFmtId="0" fontId="1" fillId="4" borderId="0" xfId="0" applyFont="1" applyFill="1" applyAlignment="1">
      <alignment horizontal="center"/>
    </xf>
    <xf numFmtId="0" fontId="0" fillId="0" borderId="0" xfId="0" applyAlignment="1">
      <alignment horizontal="center" wrapText="1"/>
    </xf>
    <xf numFmtId="0" fontId="1" fillId="5" borderId="0" xfId="0" applyFont="1" applyFill="1" applyAlignment="1">
      <alignment horizontal="left"/>
    </xf>
    <xf numFmtId="0" fontId="0" fillId="0" borderId="0" xfId="0" applyAlignment="1">
      <alignment horizontal="center" vertical="center" wrapText="1"/>
    </xf>
  </cellXfs>
  <cellStyles count="4">
    <cellStyle name="Hyperlink" xfId="1" builtinId="8"/>
    <cellStyle name="Normal" xfId="0" builtinId="0"/>
    <cellStyle name="Normal 2" xfId="2" xr:uid="{D3AB6638-E7D9-4681-B987-396182D5819A}"/>
    <cellStyle name="Percent" xfId="3" builtinId="5"/>
  </cellStyles>
  <dxfs count="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worksheet" Target="worksheets/sheet8.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ata.mendeley.com/datasets/pmd2dchk44/1"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A4BC6-E9B6-4A5C-B81E-1C82F1EFD636}">
  <sheetPr codeName="Sheet1"/>
  <dimension ref="A1:C38"/>
  <sheetViews>
    <sheetView topLeftCell="A14" workbookViewId="0">
      <selection activeCell="E38" sqref="E38"/>
    </sheetView>
  </sheetViews>
  <sheetFormatPr defaultRowHeight="15" x14ac:dyDescent="0.25"/>
  <cols>
    <col min="1" max="1" width="11.7109375" customWidth="1"/>
    <col min="2" max="2" width="50.140625" customWidth="1"/>
  </cols>
  <sheetData>
    <row r="1" spans="1:2" x14ac:dyDescent="0.25">
      <c r="A1" s="1" t="s">
        <v>41</v>
      </c>
    </row>
    <row r="3" spans="1:2" x14ac:dyDescent="0.25">
      <c r="A3" t="s">
        <v>23</v>
      </c>
      <c r="B3" s="2" t="s">
        <v>33</v>
      </c>
    </row>
    <row r="4" spans="1:2" x14ac:dyDescent="0.25">
      <c r="B4" t="s">
        <v>127</v>
      </c>
    </row>
    <row r="5" spans="1:2" x14ac:dyDescent="0.25">
      <c r="B5" s="3" t="s">
        <v>128</v>
      </c>
    </row>
    <row r="6" spans="1:2" x14ac:dyDescent="0.25">
      <c r="B6" s="4" t="s">
        <v>129</v>
      </c>
    </row>
    <row r="8" spans="1:2" x14ac:dyDescent="0.25">
      <c r="B8" s="4"/>
    </row>
    <row r="9" spans="1:2" x14ac:dyDescent="0.25">
      <c r="A9" s="1" t="s">
        <v>24</v>
      </c>
    </row>
    <row r="10" spans="1:2" x14ac:dyDescent="0.25">
      <c r="A10" t="s">
        <v>27</v>
      </c>
    </row>
    <row r="11" spans="1:2" x14ac:dyDescent="0.25">
      <c r="A11" t="s">
        <v>28</v>
      </c>
    </row>
    <row r="13" spans="1:2" x14ac:dyDescent="0.25">
      <c r="A13" t="s">
        <v>130</v>
      </c>
    </row>
    <row r="14" spans="1:2" x14ac:dyDescent="0.25">
      <c r="A14" t="s">
        <v>143</v>
      </c>
    </row>
    <row r="15" spans="1:2" x14ac:dyDescent="0.25">
      <c r="A15" t="s">
        <v>131</v>
      </c>
    </row>
    <row r="17" spans="1:2" x14ac:dyDescent="0.25">
      <c r="A17" t="s">
        <v>139</v>
      </c>
    </row>
    <row r="18" spans="1:2" x14ac:dyDescent="0.25">
      <c r="A18" t="s">
        <v>132</v>
      </c>
    </row>
    <row r="20" spans="1:2" x14ac:dyDescent="0.25">
      <c r="A20" t="s">
        <v>26</v>
      </c>
    </row>
    <row r="21" spans="1:2" x14ac:dyDescent="0.25">
      <c r="A21" t="s">
        <v>195</v>
      </c>
    </row>
    <row r="23" spans="1:2" x14ac:dyDescent="0.25">
      <c r="B23" t="s">
        <v>142</v>
      </c>
    </row>
    <row r="24" spans="1:2" x14ac:dyDescent="0.25">
      <c r="A24" t="s">
        <v>114</v>
      </c>
      <c r="B24" s="13">
        <v>2</v>
      </c>
    </row>
    <row r="25" spans="1:2" x14ac:dyDescent="0.25">
      <c r="A25" t="s">
        <v>117</v>
      </c>
      <c r="B25" s="13">
        <v>5</v>
      </c>
    </row>
    <row r="26" spans="1:2" x14ac:dyDescent="0.25">
      <c r="A26" t="s">
        <v>110</v>
      </c>
      <c r="B26" s="13">
        <f>SUM(B24:B25)</f>
        <v>7</v>
      </c>
    </row>
    <row r="28" spans="1:2" x14ac:dyDescent="0.25">
      <c r="A28" t="s">
        <v>202</v>
      </c>
    </row>
    <row r="29" spans="1:2" x14ac:dyDescent="0.25">
      <c r="A29" t="s">
        <v>207</v>
      </c>
    </row>
    <row r="31" spans="1:2" x14ac:dyDescent="0.25">
      <c r="A31" t="s">
        <v>210</v>
      </c>
    </row>
    <row r="32" spans="1:2" x14ac:dyDescent="0.25">
      <c r="B32" s="5"/>
    </row>
    <row r="33" spans="2:3" x14ac:dyDescent="0.25">
      <c r="B33" s="9" t="s">
        <v>119</v>
      </c>
      <c r="C33" s="50">
        <f>'Transport sector fuel used EPS'!D24</f>
        <v>0.2838742953998134</v>
      </c>
    </row>
    <row r="34" spans="2:3" x14ac:dyDescent="0.25">
      <c r="B34" s="9" t="s">
        <v>120</v>
      </c>
      <c r="C34" s="50">
        <f>'Transport sector fuel used EPS'!D25</f>
        <v>0.13376323343303781</v>
      </c>
    </row>
    <row r="35" spans="2:3" x14ac:dyDescent="0.25">
      <c r="B35" s="9" t="s">
        <v>121</v>
      </c>
      <c r="C35" s="50">
        <v>0</v>
      </c>
    </row>
    <row r="36" spans="2:3" x14ac:dyDescent="0.25">
      <c r="B36" s="9" t="s">
        <v>122</v>
      </c>
      <c r="C36" s="50">
        <f>'Transport sector fuel used EPS'!D26</f>
        <v>0.58236247116714879</v>
      </c>
    </row>
    <row r="37" spans="2:3" x14ac:dyDescent="0.25">
      <c r="B37" s="9" t="s">
        <v>123</v>
      </c>
      <c r="C37" s="50">
        <v>0</v>
      </c>
    </row>
    <row r="38" spans="2:3" x14ac:dyDescent="0.25">
      <c r="B38" s="9" t="s">
        <v>124</v>
      </c>
      <c r="C38" s="50">
        <v>0</v>
      </c>
    </row>
  </sheetData>
  <hyperlinks>
    <hyperlink ref="B6" r:id="rId1" xr:uid="{69D77FB2-054B-4FF1-B4DA-24CF51027FF3}"/>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45AB9-8316-4D56-999A-A214EF1338C9}">
  <dimension ref="A1:AG26"/>
  <sheetViews>
    <sheetView topLeftCell="A5" workbookViewId="0">
      <selection activeCell="H19" sqref="H19"/>
    </sheetView>
  </sheetViews>
  <sheetFormatPr defaultRowHeight="15" x14ac:dyDescent="0.25"/>
  <cols>
    <col min="1" max="1" width="20.28515625" customWidth="1"/>
    <col min="2" max="2" width="25.28515625" customWidth="1"/>
    <col min="3" max="3" width="12" bestFit="1" customWidth="1"/>
  </cols>
  <sheetData>
    <row r="1" spans="1:33" x14ac:dyDescent="0.25">
      <c r="A1" t="s">
        <v>471</v>
      </c>
    </row>
    <row r="3" spans="1:33" x14ac:dyDescent="0.25">
      <c r="A3" t="s">
        <v>211</v>
      </c>
      <c r="B3" t="s">
        <v>212</v>
      </c>
      <c r="C3">
        <v>2020</v>
      </c>
      <c r="D3">
        <v>2021</v>
      </c>
      <c r="E3">
        <v>2022</v>
      </c>
      <c r="F3">
        <v>2023</v>
      </c>
      <c r="G3">
        <v>2024</v>
      </c>
      <c r="H3">
        <v>2025</v>
      </c>
      <c r="I3">
        <v>2026</v>
      </c>
      <c r="J3">
        <v>2027</v>
      </c>
      <c r="K3">
        <v>2028</v>
      </c>
      <c r="L3">
        <v>2029</v>
      </c>
      <c r="M3">
        <v>2030</v>
      </c>
      <c r="N3">
        <v>2031</v>
      </c>
      <c r="O3">
        <v>2032</v>
      </c>
      <c r="P3">
        <v>2033</v>
      </c>
      <c r="Q3">
        <v>2034</v>
      </c>
      <c r="R3">
        <v>2035</v>
      </c>
      <c r="S3">
        <v>2036</v>
      </c>
      <c r="T3">
        <v>2037</v>
      </c>
      <c r="U3">
        <v>2038</v>
      </c>
      <c r="V3">
        <v>2039</v>
      </c>
      <c r="W3">
        <v>2040</v>
      </c>
      <c r="X3">
        <v>2041</v>
      </c>
      <c r="Y3">
        <v>2042</v>
      </c>
      <c r="Z3">
        <v>2043</v>
      </c>
      <c r="AA3">
        <v>2044</v>
      </c>
      <c r="AB3">
        <v>2045</v>
      </c>
      <c r="AC3">
        <v>2046</v>
      </c>
      <c r="AD3">
        <v>2047</v>
      </c>
      <c r="AE3">
        <v>2048</v>
      </c>
      <c r="AF3">
        <v>2049</v>
      </c>
      <c r="AG3">
        <v>2050</v>
      </c>
    </row>
    <row r="4" spans="1:33" x14ac:dyDescent="0.25">
      <c r="A4" t="s">
        <v>213</v>
      </c>
      <c r="B4" t="s">
        <v>214</v>
      </c>
      <c r="C4" t="s">
        <v>215</v>
      </c>
      <c r="D4" t="s">
        <v>216</v>
      </c>
      <c r="E4" t="s">
        <v>217</v>
      </c>
      <c r="F4" t="s">
        <v>218</v>
      </c>
      <c r="G4" t="s">
        <v>219</v>
      </c>
      <c r="H4" t="s">
        <v>220</v>
      </c>
      <c r="I4" t="s">
        <v>221</v>
      </c>
      <c r="J4" t="s">
        <v>222</v>
      </c>
      <c r="K4" t="s">
        <v>223</v>
      </c>
      <c r="L4" t="s">
        <v>224</v>
      </c>
      <c r="M4" t="s">
        <v>225</v>
      </c>
      <c r="N4" t="s">
        <v>226</v>
      </c>
      <c r="O4" t="s">
        <v>227</v>
      </c>
      <c r="P4" t="s">
        <v>228</v>
      </c>
      <c r="Q4" t="s">
        <v>229</v>
      </c>
      <c r="R4" t="s">
        <v>230</v>
      </c>
      <c r="S4" t="s">
        <v>231</v>
      </c>
      <c r="T4" t="s">
        <v>232</v>
      </c>
      <c r="U4" t="s">
        <v>233</v>
      </c>
      <c r="V4" t="s">
        <v>234</v>
      </c>
      <c r="W4" t="s">
        <v>235</v>
      </c>
      <c r="X4" t="s">
        <v>236</v>
      </c>
      <c r="Y4" t="s">
        <v>237</v>
      </c>
      <c r="Z4" t="s">
        <v>238</v>
      </c>
      <c r="AA4" t="s">
        <v>239</v>
      </c>
      <c r="AB4" t="s">
        <v>240</v>
      </c>
      <c r="AC4" t="s">
        <v>241</v>
      </c>
      <c r="AD4" t="s">
        <v>242</v>
      </c>
      <c r="AE4" t="s">
        <v>243</v>
      </c>
      <c r="AF4" t="s">
        <v>244</v>
      </c>
      <c r="AG4" t="s">
        <v>245</v>
      </c>
    </row>
    <row r="5" spans="1:33" x14ac:dyDescent="0.25">
      <c r="A5" t="s">
        <v>246</v>
      </c>
      <c r="B5" t="s">
        <v>214</v>
      </c>
      <c r="C5" t="s">
        <v>247</v>
      </c>
      <c r="D5" t="s">
        <v>248</v>
      </c>
      <c r="E5" t="s">
        <v>249</v>
      </c>
      <c r="F5" t="s">
        <v>250</v>
      </c>
      <c r="G5" t="s">
        <v>251</v>
      </c>
      <c r="H5" t="s">
        <v>252</v>
      </c>
      <c r="I5" t="s">
        <v>253</v>
      </c>
      <c r="J5" t="s">
        <v>254</v>
      </c>
      <c r="K5" t="s">
        <v>255</v>
      </c>
      <c r="L5" t="s">
        <v>256</v>
      </c>
      <c r="M5" t="s">
        <v>257</v>
      </c>
      <c r="N5" t="s">
        <v>258</v>
      </c>
      <c r="O5" t="s">
        <v>259</v>
      </c>
      <c r="P5" t="s">
        <v>260</v>
      </c>
      <c r="Q5" t="s">
        <v>261</v>
      </c>
      <c r="R5" t="s">
        <v>262</v>
      </c>
      <c r="S5" t="s">
        <v>263</v>
      </c>
      <c r="T5" t="s">
        <v>264</v>
      </c>
      <c r="U5" t="s">
        <v>265</v>
      </c>
      <c r="V5" t="s">
        <v>266</v>
      </c>
      <c r="W5" t="s">
        <v>267</v>
      </c>
      <c r="X5" t="s">
        <v>268</v>
      </c>
      <c r="Y5" t="s">
        <v>269</v>
      </c>
      <c r="Z5" t="s">
        <v>270</v>
      </c>
      <c r="AA5" t="s">
        <v>271</v>
      </c>
      <c r="AB5" t="s">
        <v>272</v>
      </c>
      <c r="AC5" t="s">
        <v>273</v>
      </c>
      <c r="AD5" t="s">
        <v>274</v>
      </c>
      <c r="AE5" t="s">
        <v>275</v>
      </c>
      <c r="AF5" t="s">
        <v>276</v>
      </c>
      <c r="AG5" t="s">
        <v>277</v>
      </c>
    </row>
    <row r="6" spans="1:33" x14ac:dyDescent="0.25">
      <c r="A6" t="s">
        <v>278</v>
      </c>
      <c r="B6" t="s">
        <v>214</v>
      </c>
      <c r="C6" t="s">
        <v>279</v>
      </c>
      <c r="D6" t="s">
        <v>280</v>
      </c>
      <c r="E6" t="s">
        <v>281</v>
      </c>
      <c r="F6" t="s">
        <v>282</v>
      </c>
      <c r="G6" t="s">
        <v>283</v>
      </c>
      <c r="H6" t="s">
        <v>284</v>
      </c>
      <c r="I6" t="s">
        <v>285</v>
      </c>
      <c r="J6" t="s">
        <v>286</v>
      </c>
      <c r="K6" t="s">
        <v>287</v>
      </c>
      <c r="L6" t="s">
        <v>288</v>
      </c>
      <c r="M6" t="s">
        <v>289</v>
      </c>
      <c r="N6" t="s">
        <v>290</v>
      </c>
      <c r="O6" t="s">
        <v>291</v>
      </c>
      <c r="P6" t="s">
        <v>292</v>
      </c>
      <c r="Q6" t="s">
        <v>293</v>
      </c>
      <c r="R6" t="s">
        <v>294</v>
      </c>
      <c r="S6" t="s">
        <v>295</v>
      </c>
      <c r="T6" t="s">
        <v>296</v>
      </c>
      <c r="U6" t="s">
        <v>297</v>
      </c>
      <c r="V6" t="s">
        <v>298</v>
      </c>
      <c r="W6" t="s">
        <v>299</v>
      </c>
      <c r="X6" t="s">
        <v>300</v>
      </c>
      <c r="Y6" t="s">
        <v>301</v>
      </c>
      <c r="Z6" t="s">
        <v>302</v>
      </c>
      <c r="AA6" t="s">
        <v>303</v>
      </c>
      <c r="AB6" t="s">
        <v>304</v>
      </c>
      <c r="AC6" t="s">
        <v>305</v>
      </c>
      <c r="AD6" t="s">
        <v>306</v>
      </c>
      <c r="AE6" t="s">
        <v>307</v>
      </c>
      <c r="AF6" t="s">
        <v>308</v>
      </c>
      <c r="AG6" t="s">
        <v>309</v>
      </c>
    </row>
    <row r="7" spans="1:33" x14ac:dyDescent="0.25">
      <c r="A7" t="s">
        <v>310</v>
      </c>
      <c r="B7" t="s">
        <v>311</v>
      </c>
      <c r="C7" t="s">
        <v>312</v>
      </c>
      <c r="D7" t="s">
        <v>313</v>
      </c>
      <c r="E7" t="s">
        <v>314</v>
      </c>
      <c r="F7" t="s">
        <v>315</v>
      </c>
      <c r="G7" t="s">
        <v>316</v>
      </c>
      <c r="H7" t="s">
        <v>317</v>
      </c>
      <c r="I7" t="s">
        <v>318</v>
      </c>
      <c r="J7" t="s">
        <v>319</v>
      </c>
      <c r="K7" t="s">
        <v>320</v>
      </c>
      <c r="L7" t="s">
        <v>321</v>
      </c>
      <c r="M7" t="s">
        <v>322</v>
      </c>
      <c r="N7" t="s">
        <v>323</v>
      </c>
      <c r="O7" t="s">
        <v>324</v>
      </c>
      <c r="P7" t="s">
        <v>325</v>
      </c>
      <c r="Q7" t="s">
        <v>326</v>
      </c>
      <c r="R7" t="s">
        <v>327</v>
      </c>
      <c r="S7" t="s">
        <v>328</v>
      </c>
      <c r="T7" t="s">
        <v>329</v>
      </c>
      <c r="U7" t="s">
        <v>330</v>
      </c>
      <c r="V7" t="s">
        <v>331</v>
      </c>
      <c r="W7" t="s">
        <v>332</v>
      </c>
      <c r="X7" t="s">
        <v>333</v>
      </c>
      <c r="Y7" t="s">
        <v>334</v>
      </c>
      <c r="Z7" t="s">
        <v>335</v>
      </c>
      <c r="AA7" t="s">
        <v>336</v>
      </c>
      <c r="AB7" t="s">
        <v>337</v>
      </c>
      <c r="AC7" t="s">
        <v>338</v>
      </c>
      <c r="AD7" t="s">
        <v>339</v>
      </c>
      <c r="AE7" t="s">
        <v>340</v>
      </c>
      <c r="AF7" t="s">
        <v>341</v>
      </c>
      <c r="AG7" t="s">
        <v>342</v>
      </c>
    </row>
    <row r="8" spans="1:33" x14ac:dyDescent="0.25">
      <c r="A8" t="s">
        <v>343</v>
      </c>
      <c r="B8" t="s">
        <v>311</v>
      </c>
      <c r="C8" t="s">
        <v>344</v>
      </c>
      <c r="D8" t="s">
        <v>345</v>
      </c>
      <c r="E8" t="s">
        <v>346</v>
      </c>
      <c r="F8" t="s">
        <v>347</v>
      </c>
      <c r="G8" t="s">
        <v>348</v>
      </c>
      <c r="H8" t="s">
        <v>349</v>
      </c>
      <c r="I8" t="s">
        <v>350</v>
      </c>
      <c r="J8" t="s">
        <v>351</v>
      </c>
      <c r="K8" t="s">
        <v>352</v>
      </c>
      <c r="L8" t="s">
        <v>353</v>
      </c>
      <c r="M8" t="s">
        <v>354</v>
      </c>
      <c r="N8" t="s">
        <v>355</v>
      </c>
      <c r="O8" t="s">
        <v>356</v>
      </c>
      <c r="P8" t="s">
        <v>357</v>
      </c>
      <c r="Q8" t="s">
        <v>358</v>
      </c>
      <c r="R8" t="s">
        <v>359</v>
      </c>
      <c r="S8" t="s">
        <v>360</v>
      </c>
      <c r="T8" t="s">
        <v>361</v>
      </c>
      <c r="U8" t="s">
        <v>362</v>
      </c>
      <c r="V8" t="s">
        <v>363</v>
      </c>
      <c r="W8" t="s">
        <v>364</v>
      </c>
      <c r="X8" t="s">
        <v>365</v>
      </c>
      <c r="Y8" t="s">
        <v>366</v>
      </c>
      <c r="Z8" t="s">
        <v>367</v>
      </c>
      <c r="AA8" t="s">
        <v>368</v>
      </c>
      <c r="AB8" t="s">
        <v>369</v>
      </c>
      <c r="AC8" t="s">
        <v>370</v>
      </c>
      <c r="AD8" t="s">
        <v>371</v>
      </c>
      <c r="AE8" t="s">
        <v>372</v>
      </c>
      <c r="AF8" t="s">
        <v>373</v>
      </c>
      <c r="AG8" t="s">
        <v>374</v>
      </c>
    </row>
    <row r="9" spans="1:33" x14ac:dyDescent="0.25">
      <c r="A9" t="s">
        <v>375</v>
      </c>
      <c r="B9" t="s">
        <v>311</v>
      </c>
      <c r="C9" t="s">
        <v>376</v>
      </c>
      <c r="D9" t="s">
        <v>377</v>
      </c>
      <c r="E9" t="s">
        <v>378</v>
      </c>
      <c r="F9" t="s">
        <v>379</v>
      </c>
      <c r="G9" t="s">
        <v>380</v>
      </c>
      <c r="H9" t="s">
        <v>381</v>
      </c>
      <c r="I9" t="s">
        <v>382</v>
      </c>
      <c r="J9" t="s">
        <v>383</v>
      </c>
      <c r="K9" t="s">
        <v>384</v>
      </c>
      <c r="L9" t="s">
        <v>385</v>
      </c>
      <c r="M9" t="s">
        <v>386</v>
      </c>
      <c r="N9" t="s">
        <v>387</v>
      </c>
      <c r="O9" t="s">
        <v>388</v>
      </c>
      <c r="P9" t="s">
        <v>389</v>
      </c>
      <c r="Q9" t="s">
        <v>390</v>
      </c>
      <c r="R9" t="s">
        <v>391</v>
      </c>
      <c r="S9" t="s">
        <v>392</v>
      </c>
      <c r="T9" t="s">
        <v>393</v>
      </c>
      <c r="U9" t="s">
        <v>394</v>
      </c>
      <c r="V9" t="s">
        <v>395</v>
      </c>
      <c r="W9" t="s">
        <v>396</v>
      </c>
      <c r="X9" t="s">
        <v>397</v>
      </c>
      <c r="Y9" t="s">
        <v>398</v>
      </c>
      <c r="Z9" t="s">
        <v>399</v>
      </c>
      <c r="AA9" t="s">
        <v>400</v>
      </c>
      <c r="AB9" t="s">
        <v>401</v>
      </c>
      <c r="AC9" t="s">
        <v>402</v>
      </c>
      <c r="AD9" t="s">
        <v>403</v>
      </c>
      <c r="AE9" t="s">
        <v>404</v>
      </c>
      <c r="AF9" t="s">
        <v>405</v>
      </c>
      <c r="AG9" t="s">
        <v>406</v>
      </c>
    </row>
    <row r="10" spans="1:33" x14ac:dyDescent="0.25">
      <c r="A10" t="s">
        <v>407</v>
      </c>
      <c r="B10" t="s">
        <v>122</v>
      </c>
      <c r="C10" t="s">
        <v>408</v>
      </c>
      <c r="D10" t="s">
        <v>409</v>
      </c>
      <c r="E10" t="s">
        <v>410</v>
      </c>
      <c r="F10" t="s">
        <v>411</v>
      </c>
      <c r="G10" t="s">
        <v>412</v>
      </c>
      <c r="H10" t="s">
        <v>413</v>
      </c>
      <c r="I10" t="s">
        <v>414</v>
      </c>
      <c r="J10" t="s">
        <v>415</v>
      </c>
      <c r="K10" t="s">
        <v>416</v>
      </c>
      <c r="L10" t="s">
        <v>417</v>
      </c>
      <c r="M10" t="s">
        <v>418</v>
      </c>
      <c r="N10" t="s">
        <v>419</v>
      </c>
      <c r="O10" t="s">
        <v>420</v>
      </c>
      <c r="P10" t="s">
        <v>421</v>
      </c>
      <c r="Q10" t="s">
        <v>422</v>
      </c>
      <c r="R10" t="s">
        <v>423</v>
      </c>
      <c r="S10" t="s">
        <v>424</v>
      </c>
      <c r="T10" t="s">
        <v>425</v>
      </c>
      <c r="U10" t="s">
        <v>426</v>
      </c>
      <c r="V10" t="s">
        <v>427</v>
      </c>
      <c r="W10" t="s">
        <v>428</v>
      </c>
      <c r="X10" t="s">
        <v>429</v>
      </c>
      <c r="Y10" t="s">
        <v>430</v>
      </c>
      <c r="Z10" t="s">
        <v>431</v>
      </c>
      <c r="AA10" t="s">
        <v>432</v>
      </c>
      <c r="AB10" t="s">
        <v>433</v>
      </c>
      <c r="AC10" t="s">
        <v>434</v>
      </c>
      <c r="AD10" t="s">
        <v>435</v>
      </c>
      <c r="AE10" t="s">
        <v>436</v>
      </c>
      <c r="AF10" t="s">
        <v>437</v>
      </c>
      <c r="AG10" t="s">
        <v>438</v>
      </c>
    </row>
    <row r="11" spans="1:33" x14ac:dyDescent="0.25">
      <c r="A11" t="s">
        <v>439</v>
      </c>
      <c r="B11" t="s">
        <v>122</v>
      </c>
      <c r="C11" t="s">
        <v>440</v>
      </c>
      <c r="D11" t="s">
        <v>441</v>
      </c>
      <c r="E11" t="s">
        <v>442</v>
      </c>
      <c r="F11" t="s">
        <v>443</v>
      </c>
      <c r="G11" t="s">
        <v>444</v>
      </c>
      <c r="H11" t="s">
        <v>445</v>
      </c>
      <c r="I11" t="s">
        <v>446</v>
      </c>
      <c r="J11" t="s">
        <v>447</v>
      </c>
      <c r="K11" t="s">
        <v>448</v>
      </c>
      <c r="L11" t="s">
        <v>449</v>
      </c>
      <c r="M11" t="s">
        <v>450</v>
      </c>
      <c r="N11" t="s">
        <v>451</v>
      </c>
      <c r="O11" t="s">
        <v>452</v>
      </c>
      <c r="P11" t="s">
        <v>453</v>
      </c>
      <c r="Q11" t="s">
        <v>454</v>
      </c>
      <c r="R11" t="s">
        <v>455</v>
      </c>
      <c r="S11" t="s">
        <v>456</v>
      </c>
      <c r="T11" t="s">
        <v>457</v>
      </c>
      <c r="U11" t="s">
        <v>458</v>
      </c>
      <c r="V11" t="s">
        <v>459</v>
      </c>
      <c r="W11" t="s">
        <v>460</v>
      </c>
      <c r="X11" t="s">
        <v>461</v>
      </c>
      <c r="Y11" t="s">
        <v>462</v>
      </c>
      <c r="Z11" t="s">
        <v>463</v>
      </c>
      <c r="AA11" t="s">
        <v>464</v>
      </c>
      <c r="AB11" t="s">
        <v>465</v>
      </c>
      <c r="AC11" t="s">
        <v>466</v>
      </c>
      <c r="AD11" t="s">
        <v>467</v>
      </c>
      <c r="AE11" t="s">
        <v>468</v>
      </c>
      <c r="AF11" t="s">
        <v>469</v>
      </c>
      <c r="AG11" t="s">
        <v>470</v>
      </c>
    </row>
    <row r="15" spans="1:33" x14ac:dyDescent="0.25">
      <c r="A15" t="s">
        <v>214</v>
      </c>
      <c r="B15" t="str">
        <f>C4</f>
        <v>3.16469 T</v>
      </c>
      <c r="C15" s="60" t="str">
        <f>LEFT(B15, LEN(B15)-2)</f>
        <v>3.16469</v>
      </c>
      <c r="D15" s="11">
        <f>C15*10^12</f>
        <v>3164690000000</v>
      </c>
    </row>
    <row r="16" spans="1:33" x14ac:dyDescent="0.25">
      <c r="A16" t="s">
        <v>214</v>
      </c>
      <c r="B16" t="str">
        <f t="shared" ref="B16:B22" si="0">C5</f>
        <v>11.0225 T</v>
      </c>
      <c r="C16" s="60" t="str">
        <f t="shared" ref="C16:C22" si="1">LEFT(B16, LEN(B16)-2)</f>
        <v>11.0225</v>
      </c>
      <c r="D16" s="11">
        <f>C16*10^12</f>
        <v>11022500000000</v>
      </c>
    </row>
    <row r="17" spans="1:4" x14ac:dyDescent="0.25">
      <c r="A17" t="s">
        <v>214</v>
      </c>
      <c r="B17" t="str">
        <f t="shared" si="0"/>
        <v>489.779 B</v>
      </c>
      <c r="C17" s="60" t="str">
        <f t="shared" si="1"/>
        <v>489.779</v>
      </c>
      <c r="D17" s="11">
        <f>C17*10^9</f>
        <v>489779000000</v>
      </c>
    </row>
    <row r="18" spans="1:4" x14ac:dyDescent="0.25">
      <c r="A18" t="s">
        <v>311</v>
      </c>
      <c r="B18" t="str">
        <f t="shared" si="0"/>
        <v>1.10845 T</v>
      </c>
      <c r="C18" s="60" t="str">
        <f t="shared" si="1"/>
        <v>1.10845</v>
      </c>
      <c r="D18" s="11">
        <f>C18*10^12</f>
        <v>1108450000000</v>
      </c>
    </row>
    <row r="19" spans="1:4" x14ac:dyDescent="0.25">
      <c r="A19" t="s">
        <v>311</v>
      </c>
      <c r="B19" t="str">
        <f t="shared" si="0"/>
        <v>5.72329 T</v>
      </c>
      <c r="C19" s="60" t="str">
        <f t="shared" si="1"/>
        <v>5.72329</v>
      </c>
      <c r="D19" s="11">
        <f>C19*10^12</f>
        <v>5723290000000</v>
      </c>
    </row>
    <row r="20" spans="1:4" x14ac:dyDescent="0.25">
      <c r="A20" t="s">
        <v>311</v>
      </c>
      <c r="B20" t="str">
        <f t="shared" si="0"/>
        <v>84.1339 B</v>
      </c>
      <c r="C20" s="60" t="str">
        <f t="shared" si="1"/>
        <v>84.1339</v>
      </c>
      <c r="D20" s="11">
        <f>C20*10^9</f>
        <v>84133900000</v>
      </c>
    </row>
    <row r="21" spans="1:4" x14ac:dyDescent="0.25">
      <c r="A21" t="s">
        <v>122</v>
      </c>
      <c r="B21" t="str">
        <f t="shared" si="0"/>
        <v>28.1866 T</v>
      </c>
      <c r="C21" s="60" t="str">
        <f t="shared" si="1"/>
        <v>28.1866</v>
      </c>
      <c r="D21" s="11">
        <f>C21*10^12</f>
        <v>28186600000000</v>
      </c>
    </row>
    <row r="22" spans="1:4" x14ac:dyDescent="0.25">
      <c r="A22" t="s">
        <v>122</v>
      </c>
      <c r="B22" t="str">
        <f t="shared" si="0"/>
        <v>1.92291 T</v>
      </c>
      <c r="C22" s="60" t="str">
        <f t="shared" si="1"/>
        <v>1.92291</v>
      </c>
      <c r="D22" s="11">
        <f>C22*10^12</f>
        <v>1922910000000</v>
      </c>
    </row>
    <row r="23" spans="1:4" x14ac:dyDescent="0.25">
      <c r="D23" s="11"/>
    </row>
    <row r="24" spans="1:4" x14ac:dyDescent="0.25">
      <c r="A24" t="s">
        <v>214</v>
      </c>
      <c r="C24" s="11">
        <f>SUM(D15:D17)</f>
        <v>14676969000000</v>
      </c>
      <c r="D24" s="49">
        <f>C24/SUM($C$24:$C$26)</f>
        <v>0.2838742953998134</v>
      </c>
    </row>
    <row r="25" spans="1:4" x14ac:dyDescent="0.25">
      <c r="A25" t="s">
        <v>311</v>
      </c>
      <c r="C25" s="11">
        <f>SUM(D18:D20)</f>
        <v>6915873900000</v>
      </c>
      <c r="D25" s="49">
        <f>C25/SUM($C$24:$C$26)</f>
        <v>0.13376323343303781</v>
      </c>
    </row>
    <row r="26" spans="1:4" x14ac:dyDescent="0.25">
      <c r="A26" t="s">
        <v>122</v>
      </c>
      <c r="C26" s="11">
        <f>SUM(D21:D22)</f>
        <v>30109510000000</v>
      </c>
      <c r="D26" s="49">
        <f>C26/SUM($C$24:$C$26)</f>
        <v>0.58236247116714879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50058-43D6-4757-A82C-F4E11CFA513B}">
  <dimension ref="A1:AG296"/>
  <sheetViews>
    <sheetView zoomScaleNormal="85" workbookViewId="0">
      <pane xSplit="5" ySplit="2" topLeftCell="AA265" activePane="bottomRight" state="frozen"/>
      <selection activeCell="A283" sqref="A283"/>
      <selection pane="topRight" activeCell="A283" sqref="A283"/>
      <selection pane="bottomLeft" activeCell="A283" sqref="A283"/>
      <selection pane="bottomRight" activeCell="A276" sqref="A276"/>
    </sheetView>
  </sheetViews>
  <sheetFormatPr defaultRowHeight="15" x14ac:dyDescent="0.25"/>
  <cols>
    <col min="1" max="1" width="36.140625" bestFit="1" customWidth="1"/>
    <col min="6" max="29" width="14.5703125" bestFit="1" customWidth="1"/>
    <col min="30" max="30" width="7.5703125" bestFit="1" customWidth="1"/>
    <col min="31" max="31" width="11.85546875" bestFit="1" customWidth="1"/>
    <col min="32" max="33" width="13.42578125" bestFit="1" customWidth="1"/>
  </cols>
  <sheetData>
    <row r="1" spans="1:33" x14ac:dyDescent="0.25">
      <c r="A1" s="61" t="s">
        <v>141</v>
      </c>
      <c r="B1" s="61"/>
      <c r="C1" s="61"/>
      <c r="D1" s="61"/>
      <c r="E1" s="61"/>
      <c r="F1" s="61"/>
      <c r="G1" s="61"/>
      <c r="H1" s="61"/>
      <c r="I1" s="61"/>
      <c r="J1" s="61"/>
      <c r="K1" s="61"/>
      <c r="L1" s="61"/>
      <c r="M1" s="61"/>
      <c r="N1" s="61"/>
      <c r="O1" s="61"/>
      <c r="P1" s="61"/>
      <c r="Q1" s="61"/>
      <c r="R1" s="61"/>
      <c r="S1" s="61"/>
      <c r="T1" s="61"/>
      <c r="U1" s="61"/>
      <c r="V1" s="61"/>
      <c r="W1" s="61"/>
      <c r="X1" s="61"/>
      <c r="Y1" s="61"/>
      <c r="Z1" s="61"/>
      <c r="AA1" s="61"/>
      <c r="AB1" s="61"/>
      <c r="AC1" s="61"/>
      <c r="AD1" s="62" t="s">
        <v>138</v>
      </c>
      <c r="AE1" s="62"/>
      <c r="AF1" s="62"/>
      <c r="AG1" s="62"/>
    </row>
    <row r="2" spans="1:33" x14ac:dyDescent="0.25">
      <c r="A2" s="51" t="s">
        <v>83</v>
      </c>
      <c r="B2" s="52" t="s">
        <v>144</v>
      </c>
      <c r="C2" s="52" t="s">
        <v>145</v>
      </c>
      <c r="D2" s="52" t="s">
        <v>146</v>
      </c>
      <c r="E2" s="52" t="s">
        <v>36</v>
      </c>
      <c r="F2" s="52" t="s">
        <v>147</v>
      </c>
      <c r="G2" s="52" t="s">
        <v>148</v>
      </c>
      <c r="H2" s="52" t="s">
        <v>149</v>
      </c>
      <c r="I2" s="52" t="s">
        <v>150</v>
      </c>
      <c r="J2" s="52" t="s">
        <v>151</v>
      </c>
      <c r="K2" s="52" t="s">
        <v>152</v>
      </c>
      <c r="L2" s="52" t="s">
        <v>153</v>
      </c>
      <c r="M2" s="52" t="s">
        <v>154</v>
      </c>
      <c r="N2" s="52" t="s">
        <v>155</v>
      </c>
      <c r="O2" s="52" t="s">
        <v>156</v>
      </c>
      <c r="P2" s="52" t="s">
        <v>157</v>
      </c>
      <c r="Q2" s="52" t="s">
        <v>158</v>
      </c>
      <c r="R2" s="52" t="s">
        <v>159</v>
      </c>
      <c r="S2" s="52" t="s">
        <v>160</v>
      </c>
      <c r="T2" s="52" t="s">
        <v>161</v>
      </c>
      <c r="U2" s="52" t="s">
        <v>162</v>
      </c>
      <c r="V2" s="52" t="s">
        <v>163</v>
      </c>
      <c r="W2" s="52" t="s">
        <v>164</v>
      </c>
      <c r="X2" s="52" t="s">
        <v>165</v>
      </c>
      <c r="Y2" s="52" t="s">
        <v>166</v>
      </c>
      <c r="Z2" s="52" t="s">
        <v>167</v>
      </c>
      <c r="AA2" s="52" t="s">
        <v>168</v>
      </c>
      <c r="AB2" s="52" t="s">
        <v>169</v>
      </c>
      <c r="AC2" s="53" t="s">
        <v>170</v>
      </c>
      <c r="AD2" t="s">
        <v>118</v>
      </c>
      <c r="AE2" t="s">
        <v>140</v>
      </c>
      <c r="AF2" t="s">
        <v>133</v>
      </c>
      <c r="AG2" t="s">
        <v>134</v>
      </c>
    </row>
    <row r="3" spans="1:33" x14ac:dyDescent="0.25">
      <c r="A3" s="54" t="s">
        <v>86</v>
      </c>
      <c r="B3" s="55">
        <v>2019</v>
      </c>
      <c r="C3" s="55">
        <v>19</v>
      </c>
      <c r="D3" s="55" t="s">
        <v>208</v>
      </c>
      <c r="E3" s="55">
        <v>1</v>
      </c>
      <c r="F3" s="55">
        <v>13377</v>
      </c>
      <c r="G3" s="55">
        <v>13452</v>
      </c>
      <c r="H3" s="55">
        <v>13504</v>
      </c>
      <c r="I3" s="55">
        <v>13511</v>
      </c>
      <c r="J3" s="55">
        <v>13169</v>
      </c>
      <c r="K3" s="55">
        <v>12109</v>
      </c>
      <c r="L3" s="55">
        <v>9892</v>
      </c>
      <c r="M3" s="55">
        <v>7424</v>
      </c>
      <c r="N3" s="55">
        <v>5999</v>
      </c>
      <c r="O3" s="55">
        <v>5187</v>
      </c>
      <c r="P3" s="55">
        <v>5125</v>
      </c>
      <c r="Q3" s="55">
        <v>5732</v>
      </c>
      <c r="R3" s="55">
        <v>6222</v>
      </c>
      <c r="S3" s="55">
        <v>6418</v>
      </c>
      <c r="T3" s="55">
        <v>6702</v>
      </c>
      <c r="U3" s="55">
        <v>7320</v>
      </c>
      <c r="V3" s="55">
        <v>7993</v>
      </c>
      <c r="W3" s="55">
        <v>8761</v>
      </c>
      <c r="X3" s="55">
        <v>9726</v>
      </c>
      <c r="Y3" s="55">
        <v>10713</v>
      </c>
      <c r="Z3" s="55">
        <v>11596</v>
      </c>
      <c r="AA3" s="55">
        <v>12331</v>
      </c>
      <c r="AB3" s="55">
        <v>12855</v>
      </c>
      <c r="AC3" s="56">
        <v>13209</v>
      </c>
      <c r="AD3" t="str">
        <f>IF(AND(E3&gt;=3,E3&lt;=5),"Spring",IF(AND(E3&gt;=6,E3&lt;=8),"Summer",IF(AND(E3&gt;=9,E3&lt;=10),"Fall","Winter")))</f>
        <v>Winter</v>
      </c>
      <c r="AE3" t="str">
        <f>INDEX('Category Mapping'!$B$2:$B$29,MATCH('Source Data'!A3,'Category Mapping'!$A$2:$A$29,0))</f>
        <v>Weekday</v>
      </c>
      <c r="AF3" t="str">
        <f>INDEX('Category Mapping'!$C$2:$C$29,MATCH('Source Data'!A3,'Category Mapping'!$A$2:$A$29,0))</f>
        <v>Residential</v>
      </c>
      <c r="AG3" t="str">
        <f>INDEX('Category Mapping'!$D$2:$D$29,MATCH('Source Data'!A3,'Category Mapping'!$A$2:$A$29,0))</f>
        <v>Cooling</v>
      </c>
    </row>
    <row r="4" spans="1:33" x14ac:dyDescent="0.25">
      <c r="A4" s="57" t="s">
        <v>86</v>
      </c>
      <c r="B4" s="58">
        <v>2019</v>
      </c>
      <c r="C4" s="58">
        <v>19</v>
      </c>
      <c r="D4" s="58" t="s">
        <v>208</v>
      </c>
      <c r="E4" s="58">
        <v>2</v>
      </c>
      <c r="F4" s="58">
        <v>15093</v>
      </c>
      <c r="G4" s="58">
        <v>15177</v>
      </c>
      <c r="H4" s="58">
        <v>15235</v>
      </c>
      <c r="I4" s="58">
        <v>15244</v>
      </c>
      <c r="J4" s="58">
        <v>14858</v>
      </c>
      <c r="K4" s="58">
        <v>13662</v>
      </c>
      <c r="L4" s="58">
        <v>11161</v>
      </c>
      <c r="M4" s="58">
        <v>8376</v>
      </c>
      <c r="N4" s="58">
        <v>6769</v>
      </c>
      <c r="O4" s="58">
        <v>5852</v>
      </c>
      <c r="P4" s="58">
        <v>5782</v>
      </c>
      <c r="Q4" s="58">
        <v>6467</v>
      </c>
      <c r="R4" s="58">
        <v>7020</v>
      </c>
      <c r="S4" s="58">
        <v>7241</v>
      </c>
      <c r="T4" s="58">
        <v>7561</v>
      </c>
      <c r="U4" s="58">
        <v>8259</v>
      </c>
      <c r="V4" s="58">
        <v>9018</v>
      </c>
      <c r="W4" s="58">
        <v>9885</v>
      </c>
      <c r="X4" s="58">
        <v>10973</v>
      </c>
      <c r="Y4" s="58">
        <v>12087</v>
      </c>
      <c r="Z4" s="58">
        <v>13083</v>
      </c>
      <c r="AA4" s="58">
        <v>13913</v>
      </c>
      <c r="AB4" s="58">
        <v>14504</v>
      </c>
      <c r="AC4" s="59">
        <v>14902</v>
      </c>
      <c r="AD4" t="str">
        <f t="shared" ref="AD4:AD67" si="0">IF(AND(E4&gt;=3,E4&lt;=5),"Spring",IF(AND(E4&gt;=6,E4&lt;=8),"Summer",IF(AND(E4&gt;=9,E4&lt;=10),"Fall","Winter")))</f>
        <v>Winter</v>
      </c>
      <c r="AE4" t="str">
        <f>INDEX('Category Mapping'!$B$2:$B$29,MATCH('Source Data'!A4,'Category Mapping'!$A$2:$A$29,0))</f>
        <v>Weekday</v>
      </c>
      <c r="AF4" t="str">
        <f>INDEX('Category Mapping'!$C$2:$C$29,MATCH('Source Data'!A4,'Category Mapping'!$A$2:$A$29,0))</f>
        <v>Residential</v>
      </c>
      <c r="AG4" t="str">
        <f>INDEX('Category Mapping'!$D$2:$D$29,MATCH('Source Data'!A4,'Category Mapping'!$A$2:$A$29,0))</f>
        <v>Cooling</v>
      </c>
    </row>
    <row r="5" spans="1:33" x14ac:dyDescent="0.25">
      <c r="A5" s="54" t="s">
        <v>86</v>
      </c>
      <c r="B5" s="55">
        <v>2019</v>
      </c>
      <c r="C5" s="55">
        <v>19</v>
      </c>
      <c r="D5" s="55" t="s">
        <v>208</v>
      </c>
      <c r="E5" s="55">
        <v>3</v>
      </c>
      <c r="F5" s="55">
        <v>33976</v>
      </c>
      <c r="G5" s="55">
        <v>34167</v>
      </c>
      <c r="H5" s="55">
        <v>34298</v>
      </c>
      <c r="I5" s="55">
        <v>34317</v>
      </c>
      <c r="J5" s="55">
        <v>33448</v>
      </c>
      <c r="K5" s="55">
        <v>30755</v>
      </c>
      <c r="L5" s="55">
        <v>25125</v>
      </c>
      <c r="M5" s="55">
        <v>18855</v>
      </c>
      <c r="N5" s="55">
        <v>15238</v>
      </c>
      <c r="O5" s="55">
        <v>13173</v>
      </c>
      <c r="P5" s="55">
        <v>13017</v>
      </c>
      <c r="Q5" s="55">
        <v>14558</v>
      </c>
      <c r="R5" s="55">
        <v>15804</v>
      </c>
      <c r="S5" s="55">
        <v>16301</v>
      </c>
      <c r="T5" s="55">
        <v>17022</v>
      </c>
      <c r="U5" s="55">
        <v>18592</v>
      </c>
      <c r="V5" s="55">
        <v>20302</v>
      </c>
      <c r="W5" s="55">
        <v>22252</v>
      </c>
      <c r="X5" s="55">
        <v>24702</v>
      </c>
      <c r="Y5" s="55">
        <v>27210</v>
      </c>
      <c r="Z5" s="55">
        <v>29452</v>
      </c>
      <c r="AA5" s="55">
        <v>31320</v>
      </c>
      <c r="AB5" s="55">
        <v>32650</v>
      </c>
      <c r="AC5" s="56">
        <v>33548</v>
      </c>
      <c r="AD5" t="str">
        <f t="shared" si="0"/>
        <v>Spring</v>
      </c>
      <c r="AE5" t="str">
        <f>INDEX('Category Mapping'!$B$2:$B$29,MATCH('Source Data'!A5,'Category Mapping'!$A$2:$A$29,0))</f>
        <v>Weekday</v>
      </c>
      <c r="AF5" t="str">
        <f>INDEX('Category Mapping'!$C$2:$C$29,MATCH('Source Data'!A5,'Category Mapping'!$A$2:$A$29,0))</f>
        <v>Residential</v>
      </c>
      <c r="AG5" t="str">
        <f>INDEX('Category Mapping'!$D$2:$D$29,MATCH('Source Data'!A5,'Category Mapping'!$A$2:$A$29,0))</f>
        <v>Cooling</v>
      </c>
    </row>
    <row r="6" spans="1:33" x14ac:dyDescent="0.25">
      <c r="A6" s="57" t="s">
        <v>86</v>
      </c>
      <c r="B6" s="58">
        <v>2019</v>
      </c>
      <c r="C6" s="58">
        <v>19</v>
      </c>
      <c r="D6" s="58" t="s">
        <v>208</v>
      </c>
      <c r="E6" s="58">
        <v>4</v>
      </c>
      <c r="F6" s="58">
        <v>37933</v>
      </c>
      <c r="G6" s="58">
        <v>38146</v>
      </c>
      <c r="H6" s="58">
        <v>38292</v>
      </c>
      <c r="I6" s="58">
        <v>38314</v>
      </c>
      <c r="J6" s="58">
        <v>37344</v>
      </c>
      <c r="K6" s="58">
        <v>34337</v>
      </c>
      <c r="L6" s="58">
        <v>28051</v>
      </c>
      <c r="M6" s="58">
        <v>21051</v>
      </c>
      <c r="N6" s="58">
        <v>17012</v>
      </c>
      <c r="O6" s="58">
        <v>14707</v>
      </c>
      <c r="P6" s="58">
        <v>14533</v>
      </c>
      <c r="Q6" s="58">
        <v>16254</v>
      </c>
      <c r="R6" s="58">
        <v>17644</v>
      </c>
      <c r="S6" s="58">
        <v>536764</v>
      </c>
      <c r="T6" s="58">
        <v>1040400</v>
      </c>
      <c r="U6" s="58">
        <v>612197</v>
      </c>
      <c r="V6" s="58">
        <v>22666</v>
      </c>
      <c r="W6" s="58">
        <v>24843</v>
      </c>
      <c r="X6" s="58">
        <v>27579</v>
      </c>
      <c r="Y6" s="58">
        <v>30380</v>
      </c>
      <c r="Z6" s="58">
        <v>32882</v>
      </c>
      <c r="AA6" s="58">
        <v>34968</v>
      </c>
      <c r="AB6" s="58">
        <v>36453</v>
      </c>
      <c r="AC6" s="59">
        <v>37455</v>
      </c>
      <c r="AD6" t="str">
        <f t="shared" si="0"/>
        <v>Spring</v>
      </c>
      <c r="AE6" t="str">
        <f>INDEX('Category Mapping'!$B$2:$B$29,MATCH('Source Data'!A6,'Category Mapping'!$A$2:$A$29,0))</f>
        <v>Weekday</v>
      </c>
      <c r="AF6" t="str">
        <f>INDEX('Category Mapping'!$C$2:$C$29,MATCH('Source Data'!A6,'Category Mapping'!$A$2:$A$29,0))</f>
        <v>Residential</v>
      </c>
      <c r="AG6" t="str">
        <f>INDEX('Category Mapping'!$D$2:$D$29,MATCH('Source Data'!A6,'Category Mapping'!$A$2:$A$29,0))</f>
        <v>Cooling</v>
      </c>
    </row>
    <row r="7" spans="1:33" x14ac:dyDescent="0.25">
      <c r="A7" s="54" t="s">
        <v>86</v>
      </c>
      <c r="B7" s="55">
        <v>2019</v>
      </c>
      <c r="C7" s="55">
        <v>19</v>
      </c>
      <c r="D7" s="55" t="s">
        <v>208</v>
      </c>
      <c r="E7" s="55">
        <v>5</v>
      </c>
      <c r="F7" s="55">
        <v>4397</v>
      </c>
      <c r="G7" s="55">
        <v>4421</v>
      </c>
      <c r="H7" s="55">
        <v>4438</v>
      </c>
      <c r="I7" s="55">
        <v>4441</v>
      </c>
      <c r="J7" s="55">
        <v>4329</v>
      </c>
      <c r="K7" s="55">
        <v>3980</v>
      </c>
      <c r="L7" s="55">
        <v>3251</v>
      </c>
      <c r="M7" s="55">
        <v>2440</v>
      </c>
      <c r="N7" s="55">
        <v>58818</v>
      </c>
      <c r="O7" s="55">
        <v>995883</v>
      </c>
      <c r="P7" s="55">
        <v>2342718</v>
      </c>
      <c r="Q7" s="55">
        <v>4070541</v>
      </c>
      <c r="R7" s="55">
        <v>5674487</v>
      </c>
      <c r="S7" s="55">
        <v>6673404</v>
      </c>
      <c r="T7" s="55">
        <v>7261770</v>
      </c>
      <c r="U7" s="55">
        <v>7611241</v>
      </c>
      <c r="V7" s="55">
        <v>7289568</v>
      </c>
      <c r="W7" s="55">
        <v>6221652</v>
      </c>
      <c r="X7" s="55">
        <v>4445696</v>
      </c>
      <c r="Y7" s="55">
        <v>2057088</v>
      </c>
      <c r="Z7" s="55">
        <v>113684</v>
      </c>
      <c r="AA7" s="55">
        <v>4053</v>
      </c>
      <c r="AB7" s="55">
        <v>4225</v>
      </c>
      <c r="AC7" s="56">
        <v>4341</v>
      </c>
      <c r="AD7" t="str">
        <f t="shared" si="0"/>
        <v>Spring</v>
      </c>
      <c r="AE7" t="str">
        <f>INDEX('Category Mapping'!$B$2:$B$29,MATCH('Source Data'!A7,'Category Mapping'!$A$2:$A$29,0))</f>
        <v>Weekday</v>
      </c>
      <c r="AF7" t="str">
        <f>INDEX('Category Mapping'!$C$2:$C$29,MATCH('Source Data'!A7,'Category Mapping'!$A$2:$A$29,0))</f>
        <v>Residential</v>
      </c>
      <c r="AG7" t="str">
        <f>INDEX('Category Mapping'!$D$2:$D$29,MATCH('Source Data'!A7,'Category Mapping'!$A$2:$A$29,0))</f>
        <v>Cooling</v>
      </c>
    </row>
    <row r="8" spans="1:33" x14ac:dyDescent="0.25">
      <c r="A8" s="57" t="s">
        <v>86</v>
      </c>
      <c r="B8" s="58">
        <v>2019</v>
      </c>
      <c r="C8" s="58">
        <v>19</v>
      </c>
      <c r="D8" s="58" t="s">
        <v>208</v>
      </c>
      <c r="E8" s="58">
        <v>6</v>
      </c>
      <c r="F8" s="58">
        <v>3799513</v>
      </c>
      <c r="G8" s="58">
        <v>2502986</v>
      </c>
      <c r="H8" s="58">
        <v>2214972</v>
      </c>
      <c r="I8" s="58">
        <v>2513965</v>
      </c>
      <c r="J8" s="58">
        <v>3740541</v>
      </c>
      <c r="K8" s="58">
        <v>6945215</v>
      </c>
      <c r="L8" s="58">
        <v>11800000</v>
      </c>
      <c r="M8" s="58">
        <v>14800000</v>
      </c>
      <c r="N8" s="58">
        <v>17500000</v>
      </c>
      <c r="O8" s="58">
        <v>20100000</v>
      </c>
      <c r="P8" s="58">
        <v>24600000</v>
      </c>
      <c r="Q8" s="58">
        <v>32000000</v>
      </c>
      <c r="R8" s="58">
        <v>38600000</v>
      </c>
      <c r="S8" s="58">
        <v>42300000</v>
      </c>
      <c r="T8" s="58">
        <v>45000000</v>
      </c>
      <c r="U8" s="58">
        <v>48200000</v>
      </c>
      <c r="V8" s="58">
        <v>49600000</v>
      </c>
      <c r="W8" s="58">
        <v>49000000</v>
      </c>
      <c r="X8" s="58">
        <v>46600000</v>
      </c>
      <c r="Y8" s="58">
        <v>41600000</v>
      </c>
      <c r="Z8" s="58">
        <v>33900000</v>
      </c>
      <c r="AA8" s="58">
        <v>24600000</v>
      </c>
      <c r="AB8" s="58">
        <v>15300000</v>
      </c>
      <c r="AC8" s="59">
        <v>7575886</v>
      </c>
      <c r="AD8" t="str">
        <f t="shared" si="0"/>
        <v>Summer</v>
      </c>
      <c r="AE8" t="str">
        <f>INDEX('Category Mapping'!$B$2:$B$29,MATCH('Source Data'!A8,'Category Mapping'!$A$2:$A$29,0))</f>
        <v>Weekday</v>
      </c>
      <c r="AF8" t="str">
        <f>INDEX('Category Mapping'!$C$2:$C$29,MATCH('Source Data'!A8,'Category Mapping'!$A$2:$A$29,0))</f>
        <v>Residential</v>
      </c>
      <c r="AG8" t="str">
        <f>INDEX('Category Mapping'!$D$2:$D$29,MATCH('Source Data'!A8,'Category Mapping'!$A$2:$A$29,0))</f>
        <v>Cooling</v>
      </c>
    </row>
    <row r="9" spans="1:33" x14ac:dyDescent="0.25">
      <c r="A9" s="54" t="s">
        <v>86</v>
      </c>
      <c r="B9" s="55">
        <v>2019</v>
      </c>
      <c r="C9" s="55">
        <v>19</v>
      </c>
      <c r="D9" s="55" t="s">
        <v>208</v>
      </c>
      <c r="E9" s="55">
        <v>7</v>
      </c>
      <c r="F9" s="55">
        <v>53400000</v>
      </c>
      <c r="G9" s="55">
        <v>48800000</v>
      </c>
      <c r="H9" s="55">
        <v>47300000</v>
      </c>
      <c r="I9" s="55">
        <v>49000000</v>
      </c>
      <c r="J9" s="55">
        <v>52600000</v>
      </c>
      <c r="K9" s="55">
        <v>55500000</v>
      </c>
      <c r="L9" s="55">
        <v>53100000</v>
      </c>
      <c r="M9" s="55">
        <v>46600000</v>
      </c>
      <c r="N9" s="55">
        <v>43700000</v>
      </c>
      <c r="O9" s="55">
        <v>43100000</v>
      </c>
      <c r="P9" s="55">
        <v>47500000</v>
      </c>
      <c r="Q9" s="55">
        <v>57800000</v>
      </c>
      <c r="R9" s="55">
        <v>66700000</v>
      </c>
      <c r="S9" s="55">
        <v>71300000</v>
      </c>
      <c r="T9" s="55">
        <v>75400000</v>
      </c>
      <c r="U9" s="55">
        <v>81400000</v>
      </c>
      <c r="V9" s="55">
        <v>85700000</v>
      </c>
      <c r="W9" s="55">
        <v>88300000</v>
      </c>
      <c r="X9" s="55">
        <v>90000000</v>
      </c>
      <c r="Y9" s="55">
        <v>89000000</v>
      </c>
      <c r="Z9" s="55">
        <v>84500000</v>
      </c>
      <c r="AA9" s="55">
        <v>77500000</v>
      </c>
      <c r="AB9" s="55">
        <v>69000000</v>
      </c>
      <c r="AC9" s="56">
        <v>60500000</v>
      </c>
      <c r="AD9" t="str">
        <f t="shared" si="0"/>
        <v>Summer</v>
      </c>
      <c r="AE9" t="str">
        <f>INDEX('Category Mapping'!$B$2:$B$29,MATCH('Source Data'!A9,'Category Mapping'!$A$2:$A$29,0))</f>
        <v>Weekday</v>
      </c>
      <c r="AF9" t="str">
        <f>INDEX('Category Mapping'!$C$2:$C$29,MATCH('Source Data'!A9,'Category Mapping'!$A$2:$A$29,0))</f>
        <v>Residential</v>
      </c>
      <c r="AG9" t="str">
        <f>INDEX('Category Mapping'!$D$2:$D$29,MATCH('Source Data'!A9,'Category Mapping'!$A$2:$A$29,0))</f>
        <v>Cooling</v>
      </c>
    </row>
    <row r="10" spans="1:33" x14ac:dyDescent="0.25">
      <c r="A10" s="57" t="s">
        <v>86</v>
      </c>
      <c r="B10" s="58">
        <v>2019</v>
      </c>
      <c r="C10" s="58">
        <v>19</v>
      </c>
      <c r="D10" s="58" t="s">
        <v>208</v>
      </c>
      <c r="E10" s="58">
        <v>8</v>
      </c>
      <c r="F10" s="58">
        <v>56500000</v>
      </c>
      <c r="G10" s="58">
        <v>50600000</v>
      </c>
      <c r="H10" s="58">
        <v>48600000</v>
      </c>
      <c r="I10" s="58">
        <v>50800000</v>
      </c>
      <c r="J10" s="58">
        <v>55600000</v>
      </c>
      <c r="K10" s="58">
        <v>60300000</v>
      </c>
      <c r="L10" s="58">
        <v>59300000</v>
      </c>
      <c r="M10" s="58">
        <v>53200000</v>
      </c>
      <c r="N10" s="58">
        <v>50700000</v>
      </c>
      <c r="O10" s="58">
        <v>50600000</v>
      </c>
      <c r="P10" s="58">
        <v>56300000</v>
      </c>
      <c r="Q10" s="58">
        <v>69000000</v>
      </c>
      <c r="R10" s="58">
        <v>80000000</v>
      </c>
      <c r="S10" s="58">
        <v>85800000</v>
      </c>
      <c r="T10" s="58">
        <v>90800000</v>
      </c>
      <c r="U10" s="58">
        <v>97900000</v>
      </c>
      <c r="V10" s="58">
        <v>103000000</v>
      </c>
      <c r="W10" s="58">
        <v>106000000</v>
      </c>
      <c r="X10" s="58">
        <v>107000000</v>
      </c>
      <c r="Y10" s="58">
        <v>105000000</v>
      </c>
      <c r="Z10" s="58">
        <v>98000000</v>
      </c>
      <c r="AA10" s="58">
        <v>88400000</v>
      </c>
      <c r="AB10" s="58">
        <v>77000000</v>
      </c>
      <c r="AC10" s="59">
        <v>65800000</v>
      </c>
      <c r="AD10" t="str">
        <f t="shared" si="0"/>
        <v>Summer</v>
      </c>
      <c r="AE10" t="str">
        <f>INDEX('Category Mapping'!$B$2:$B$29,MATCH('Source Data'!A10,'Category Mapping'!$A$2:$A$29,0))</f>
        <v>Weekday</v>
      </c>
      <c r="AF10" t="str">
        <f>INDEX('Category Mapping'!$C$2:$C$29,MATCH('Source Data'!A10,'Category Mapping'!$A$2:$A$29,0))</f>
        <v>Residential</v>
      </c>
      <c r="AG10" t="str">
        <f>INDEX('Category Mapping'!$D$2:$D$29,MATCH('Source Data'!A10,'Category Mapping'!$A$2:$A$29,0))</f>
        <v>Cooling</v>
      </c>
    </row>
    <row r="11" spans="1:33" x14ac:dyDescent="0.25">
      <c r="A11" s="54" t="s">
        <v>86</v>
      </c>
      <c r="B11" s="55">
        <v>2019</v>
      </c>
      <c r="C11" s="55">
        <v>19</v>
      </c>
      <c r="D11" s="55" t="s">
        <v>208</v>
      </c>
      <c r="E11" s="55">
        <v>9</v>
      </c>
      <c r="F11" s="55">
        <v>2827273</v>
      </c>
      <c r="G11" s="55">
        <v>2549733</v>
      </c>
      <c r="H11" s="55">
        <v>2460053</v>
      </c>
      <c r="I11" s="55">
        <v>2560917</v>
      </c>
      <c r="J11" s="55">
        <v>2783391</v>
      </c>
      <c r="K11" s="55">
        <v>3228720</v>
      </c>
      <c r="L11" s="55">
        <v>4970225</v>
      </c>
      <c r="M11" s="55">
        <v>7996402</v>
      </c>
      <c r="N11" s="55">
        <v>11500000</v>
      </c>
      <c r="O11" s="55">
        <v>14700000</v>
      </c>
      <c r="P11" s="55">
        <v>19200000</v>
      </c>
      <c r="Q11" s="55">
        <v>25900000</v>
      </c>
      <c r="R11" s="55">
        <v>32000000</v>
      </c>
      <c r="S11" s="55">
        <v>35500000</v>
      </c>
      <c r="T11" s="55">
        <v>37900000</v>
      </c>
      <c r="U11" s="55">
        <v>40400000</v>
      </c>
      <c r="V11" s="55">
        <v>41100000</v>
      </c>
      <c r="W11" s="55">
        <v>39700000</v>
      </c>
      <c r="X11" s="55">
        <v>36300000</v>
      </c>
      <c r="Y11" s="55">
        <v>30400000</v>
      </c>
      <c r="Z11" s="55">
        <v>22200000</v>
      </c>
      <c r="AA11" s="55">
        <v>13300000</v>
      </c>
      <c r="AB11" s="55">
        <v>6458964</v>
      </c>
      <c r="AC11" s="56">
        <v>3521910</v>
      </c>
      <c r="AD11" t="str">
        <f t="shared" si="0"/>
        <v>Fall</v>
      </c>
      <c r="AE11" t="str">
        <f>INDEX('Category Mapping'!$B$2:$B$29,MATCH('Source Data'!A11,'Category Mapping'!$A$2:$A$29,0))</f>
        <v>Weekday</v>
      </c>
      <c r="AF11" t="str">
        <f>INDEX('Category Mapping'!$C$2:$C$29,MATCH('Source Data'!A11,'Category Mapping'!$A$2:$A$29,0))</f>
        <v>Residential</v>
      </c>
      <c r="AG11" t="str">
        <f>INDEX('Category Mapping'!$D$2:$D$29,MATCH('Source Data'!A11,'Category Mapping'!$A$2:$A$29,0))</f>
        <v>Cooling</v>
      </c>
    </row>
    <row r="12" spans="1:33" x14ac:dyDescent="0.25">
      <c r="A12" s="57" t="s">
        <v>86</v>
      </c>
      <c r="B12" s="58">
        <v>2019</v>
      </c>
      <c r="C12" s="58">
        <v>19</v>
      </c>
      <c r="D12" s="58" t="s">
        <v>208</v>
      </c>
      <c r="E12" s="58">
        <v>10</v>
      </c>
      <c r="F12" s="58">
        <v>2902</v>
      </c>
      <c r="G12" s="58">
        <v>2918</v>
      </c>
      <c r="H12" s="58">
        <v>2929</v>
      </c>
      <c r="I12" s="58">
        <v>2931</v>
      </c>
      <c r="J12" s="58">
        <v>2857</v>
      </c>
      <c r="K12" s="58">
        <v>2627</v>
      </c>
      <c r="L12" s="58">
        <v>2146</v>
      </c>
      <c r="M12" s="58">
        <v>1610</v>
      </c>
      <c r="N12" s="58">
        <v>1301</v>
      </c>
      <c r="O12" s="58">
        <v>10087</v>
      </c>
      <c r="P12" s="58">
        <v>65252</v>
      </c>
      <c r="Q12" s="58">
        <v>413141</v>
      </c>
      <c r="R12" s="58">
        <v>1020552</v>
      </c>
      <c r="S12" s="58">
        <v>1479165</v>
      </c>
      <c r="T12" s="58">
        <v>1702028</v>
      </c>
      <c r="U12" s="58">
        <v>1687037</v>
      </c>
      <c r="V12" s="58">
        <v>1311023</v>
      </c>
      <c r="W12" s="58">
        <v>631468</v>
      </c>
      <c r="X12" s="58">
        <v>123827</v>
      </c>
      <c r="Y12" s="58">
        <v>20837</v>
      </c>
      <c r="Z12" s="58">
        <v>2515</v>
      </c>
      <c r="AA12" s="58">
        <v>2675</v>
      </c>
      <c r="AB12" s="58">
        <v>2788</v>
      </c>
      <c r="AC12" s="59">
        <v>2865</v>
      </c>
      <c r="AD12" t="str">
        <f t="shared" si="0"/>
        <v>Fall</v>
      </c>
      <c r="AE12" t="str">
        <f>INDEX('Category Mapping'!$B$2:$B$29,MATCH('Source Data'!A12,'Category Mapping'!$A$2:$A$29,0))</f>
        <v>Weekday</v>
      </c>
      <c r="AF12" t="str">
        <f>INDEX('Category Mapping'!$C$2:$C$29,MATCH('Source Data'!A12,'Category Mapping'!$A$2:$A$29,0))</f>
        <v>Residential</v>
      </c>
      <c r="AG12" t="str">
        <f>INDEX('Category Mapping'!$D$2:$D$29,MATCH('Source Data'!A12,'Category Mapping'!$A$2:$A$29,0))</f>
        <v>Cooling</v>
      </c>
    </row>
    <row r="13" spans="1:33" x14ac:dyDescent="0.25">
      <c r="A13" s="54" t="s">
        <v>86</v>
      </c>
      <c r="B13" s="55">
        <v>2019</v>
      </c>
      <c r="C13" s="55">
        <v>19</v>
      </c>
      <c r="D13" s="55" t="s">
        <v>208</v>
      </c>
      <c r="E13" s="55">
        <v>11</v>
      </c>
      <c r="F13" s="55">
        <v>47696</v>
      </c>
      <c r="G13" s="55">
        <v>47964</v>
      </c>
      <c r="H13" s="55">
        <v>48148</v>
      </c>
      <c r="I13" s="55">
        <v>48174</v>
      </c>
      <c r="J13" s="55">
        <v>46956</v>
      </c>
      <c r="K13" s="55">
        <v>43175</v>
      </c>
      <c r="L13" s="55">
        <v>35271</v>
      </c>
      <c r="M13" s="55">
        <v>26469</v>
      </c>
      <c r="N13" s="55">
        <v>21391</v>
      </c>
      <c r="O13" s="55">
        <v>18493</v>
      </c>
      <c r="P13" s="55">
        <v>18273</v>
      </c>
      <c r="Q13" s="55">
        <v>20437</v>
      </c>
      <c r="R13" s="55">
        <v>22185</v>
      </c>
      <c r="S13" s="55">
        <v>22884</v>
      </c>
      <c r="T13" s="55">
        <v>23895</v>
      </c>
      <c r="U13" s="55">
        <v>26100</v>
      </c>
      <c r="V13" s="55">
        <v>28500</v>
      </c>
      <c r="W13" s="55">
        <v>31237</v>
      </c>
      <c r="X13" s="55">
        <v>34677</v>
      </c>
      <c r="Y13" s="55">
        <v>38198</v>
      </c>
      <c r="Z13" s="55">
        <v>41345</v>
      </c>
      <c r="AA13" s="55">
        <v>43968</v>
      </c>
      <c r="AB13" s="55">
        <v>45835</v>
      </c>
      <c r="AC13" s="56">
        <v>47095</v>
      </c>
      <c r="AD13" t="str">
        <f t="shared" si="0"/>
        <v>Winter</v>
      </c>
      <c r="AE13" t="str">
        <f>INDEX('Category Mapping'!$B$2:$B$29,MATCH('Source Data'!A13,'Category Mapping'!$A$2:$A$29,0))</f>
        <v>Weekday</v>
      </c>
      <c r="AF13" t="str">
        <f>INDEX('Category Mapping'!$C$2:$C$29,MATCH('Source Data'!A13,'Category Mapping'!$A$2:$A$29,0))</f>
        <v>Residential</v>
      </c>
      <c r="AG13" t="str">
        <f>INDEX('Category Mapping'!$D$2:$D$29,MATCH('Source Data'!A13,'Category Mapping'!$A$2:$A$29,0))</f>
        <v>Cooling</v>
      </c>
    </row>
    <row r="14" spans="1:33" x14ac:dyDescent="0.25">
      <c r="A14" s="57" t="s">
        <v>86</v>
      </c>
      <c r="B14" s="58">
        <v>2019</v>
      </c>
      <c r="C14" s="58">
        <v>19</v>
      </c>
      <c r="D14" s="58" t="s">
        <v>208</v>
      </c>
      <c r="E14" s="58">
        <v>12</v>
      </c>
      <c r="F14" s="58">
        <v>18044</v>
      </c>
      <c r="G14" s="58">
        <v>18146</v>
      </c>
      <c r="H14" s="58">
        <v>18215</v>
      </c>
      <c r="I14" s="58">
        <v>18225</v>
      </c>
      <c r="J14" s="58">
        <v>17764</v>
      </c>
      <c r="K14" s="58">
        <v>16334</v>
      </c>
      <c r="L14" s="58">
        <v>13343</v>
      </c>
      <c r="M14" s="58">
        <v>10014</v>
      </c>
      <c r="N14" s="58">
        <v>8092</v>
      </c>
      <c r="O14" s="58">
        <v>6996</v>
      </c>
      <c r="P14" s="58">
        <v>6913</v>
      </c>
      <c r="Q14" s="58">
        <v>7732</v>
      </c>
      <c r="R14" s="58">
        <v>8393</v>
      </c>
      <c r="S14" s="58">
        <v>8657</v>
      </c>
      <c r="T14" s="58">
        <v>9040</v>
      </c>
      <c r="U14" s="58">
        <v>9874</v>
      </c>
      <c r="V14" s="58">
        <v>10782</v>
      </c>
      <c r="W14" s="58">
        <v>11818</v>
      </c>
      <c r="X14" s="58">
        <v>13119</v>
      </c>
      <c r="Y14" s="58">
        <v>14451</v>
      </c>
      <c r="Z14" s="58">
        <v>15641</v>
      </c>
      <c r="AA14" s="58">
        <v>16634</v>
      </c>
      <c r="AB14" s="58">
        <v>17340</v>
      </c>
      <c r="AC14" s="59">
        <v>17817</v>
      </c>
      <c r="AD14" t="str">
        <f t="shared" si="0"/>
        <v>Winter</v>
      </c>
      <c r="AE14" t="str">
        <f>INDEX('Category Mapping'!$B$2:$B$29,MATCH('Source Data'!A14,'Category Mapping'!$A$2:$A$29,0))</f>
        <v>Weekday</v>
      </c>
      <c r="AF14" t="str">
        <f>INDEX('Category Mapping'!$C$2:$C$29,MATCH('Source Data'!A14,'Category Mapping'!$A$2:$A$29,0))</f>
        <v>Residential</v>
      </c>
      <c r="AG14" t="str">
        <f>INDEX('Category Mapping'!$D$2:$D$29,MATCH('Source Data'!A14,'Category Mapping'!$A$2:$A$29,0))</f>
        <v>Cooling</v>
      </c>
    </row>
    <row r="15" spans="1:33" x14ac:dyDescent="0.25">
      <c r="A15" s="54" t="s">
        <v>87</v>
      </c>
      <c r="B15" s="55">
        <v>2019</v>
      </c>
      <c r="C15" s="55">
        <v>19</v>
      </c>
      <c r="D15" s="55" t="s">
        <v>208</v>
      </c>
      <c r="E15" s="55">
        <v>1</v>
      </c>
      <c r="F15" s="55">
        <v>6404</v>
      </c>
      <c r="G15" s="55">
        <v>6502</v>
      </c>
      <c r="H15" s="55">
        <v>6588</v>
      </c>
      <c r="I15" s="55">
        <v>6601</v>
      </c>
      <c r="J15" s="55">
        <v>6579</v>
      </c>
      <c r="K15" s="55">
        <v>6462</v>
      </c>
      <c r="L15" s="55">
        <v>6203</v>
      </c>
      <c r="M15" s="55">
        <v>5766</v>
      </c>
      <c r="N15" s="55">
        <v>5158</v>
      </c>
      <c r="O15" s="55">
        <v>4495</v>
      </c>
      <c r="P15" s="55">
        <v>4195</v>
      </c>
      <c r="Q15" s="55">
        <v>4340</v>
      </c>
      <c r="R15" s="55">
        <v>4525</v>
      </c>
      <c r="S15" s="55">
        <v>4567</v>
      </c>
      <c r="T15" s="55">
        <v>4558</v>
      </c>
      <c r="U15" s="55">
        <v>4543</v>
      </c>
      <c r="V15" s="55">
        <v>4579</v>
      </c>
      <c r="W15" s="55">
        <v>4760</v>
      </c>
      <c r="X15" s="55">
        <v>5053</v>
      </c>
      <c r="Y15" s="55">
        <v>5370</v>
      </c>
      <c r="Z15" s="55">
        <v>5622</v>
      </c>
      <c r="AA15" s="55">
        <v>5861</v>
      </c>
      <c r="AB15" s="55">
        <v>6083</v>
      </c>
      <c r="AC15" s="56">
        <v>6273</v>
      </c>
      <c r="AD15" t="str">
        <f t="shared" si="0"/>
        <v>Winter</v>
      </c>
      <c r="AE15" t="str">
        <f>INDEX('Category Mapping'!$B$2:$B$29,MATCH('Source Data'!A15,'Category Mapping'!$A$2:$A$29,0))</f>
        <v>Weekend</v>
      </c>
      <c r="AF15" t="str">
        <f>INDEX('Category Mapping'!$C$2:$C$29,MATCH('Source Data'!A15,'Category Mapping'!$A$2:$A$29,0))</f>
        <v>Residential</v>
      </c>
      <c r="AG15" t="str">
        <f>INDEX('Category Mapping'!$D$2:$D$29,MATCH('Source Data'!A15,'Category Mapping'!$A$2:$A$29,0))</f>
        <v>Cooling</v>
      </c>
    </row>
    <row r="16" spans="1:33" x14ac:dyDescent="0.25">
      <c r="A16" s="57" t="s">
        <v>87</v>
      </c>
      <c r="B16" s="58">
        <v>2019</v>
      </c>
      <c r="C16" s="58">
        <v>19</v>
      </c>
      <c r="D16" s="58" t="s">
        <v>208</v>
      </c>
      <c r="E16" s="58">
        <v>2</v>
      </c>
      <c r="F16" s="58">
        <v>7225</v>
      </c>
      <c r="G16" s="58">
        <v>7336</v>
      </c>
      <c r="H16" s="58">
        <v>7433</v>
      </c>
      <c r="I16" s="58">
        <v>7447</v>
      </c>
      <c r="J16" s="58">
        <v>7423</v>
      </c>
      <c r="K16" s="58">
        <v>7290</v>
      </c>
      <c r="L16" s="58">
        <v>6999</v>
      </c>
      <c r="M16" s="58">
        <v>6505</v>
      </c>
      <c r="N16" s="58">
        <v>5819</v>
      </c>
      <c r="O16" s="58">
        <v>5072</v>
      </c>
      <c r="P16" s="58">
        <v>4733</v>
      </c>
      <c r="Q16" s="58">
        <v>4896</v>
      </c>
      <c r="R16" s="58">
        <v>5105</v>
      </c>
      <c r="S16" s="58">
        <v>5153</v>
      </c>
      <c r="T16" s="58">
        <v>5142</v>
      </c>
      <c r="U16" s="58">
        <v>5126</v>
      </c>
      <c r="V16" s="58">
        <v>5167</v>
      </c>
      <c r="W16" s="58">
        <v>5371</v>
      </c>
      <c r="X16" s="58">
        <v>5701</v>
      </c>
      <c r="Y16" s="58">
        <v>6059</v>
      </c>
      <c r="Z16" s="58">
        <v>6343</v>
      </c>
      <c r="AA16" s="58">
        <v>6613</v>
      </c>
      <c r="AB16" s="58">
        <v>6863</v>
      </c>
      <c r="AC16" s="59">
        <v>7078</v>
      </c>
      <c r="AD16" t="str">
        <f t="shared" si="0"/>
        <v>Winter</v>
      </c>
      <c r="AE16" t="str">
        <f>INDEX('Category Mapping'!$B$2:$B$29,MATCH('Source Data'!A16,'Category Mapping'!$A$2:$A$29,0))</f>
        <v>Weekend</v>
      </c>
      <c r="AF16" t="str">
        <f>INDEX('Category Mapping'!$C$2:$C$29,MATCH('Source Data'!A16,'Category Mapping'!$A$2:$A$29,0))</f>
        <v>Residential</v>
      </c>
      <c r="AG16" t="str">
        <f>INDEX('Category Mapping'!$D$2:$D$29,MATCH('Source Data'!A16,'Category Mapping'!$A$2:$A$29,0))</f>
        <v>Cooling</v>
      </c>
    </row>
    <row r="17" spans="1:33" x14ac:dyDescent="0.25">
      <c r="A17" s="54" t="s">
        <v>87</v>
      </c>
      <c r="B17" s="55">
        <v>2019</v>
      </c>
      <c r="C17" s="55">
        <v>19</v>
      </c>
      <c r="D17" s="55" t="s">
        <v>208</v>
      </c>
      <c r="E17" s="55">
        <v>3</v>
      </c>
      <c r="F17" s="55">
        <v>16265</v>
      </c>
      <c r="G17" s="55">
        <v>16514</v>
      </c>
      <c r="H17" s="55">
        <v>16733</v>
      </c>
      <c r="I17" s="55">
        <v>16765</v>
      </c>
      <c r="J17" s="55">
        <v>16711</v>
      </c>
      <c r="K17" s="55">
        <v>16412</v>
      </c>
      <c r="L17" s="55">
        <v>15755</v>
      </c>
      <c r="M17" s="55">
        <v>14645</v>
      </c>
      <c r="N17" s="55">
        <v>13100</v>
      </c>
      <c r="O17" s="55">
        <v>11418</v>
      </c>
      <c r="P17" s="55">
        <v>10654</v>
      </c>
      <c r="Q17" s="55">
        <v>11022</v>
      </c>
      <c r="R17" s="55">
        <v>11492</v>
      </c>
      <c r="S17" s="55">
        <v>11600</v>
      </c>
      <c r="T17" s="55">
        <v>11576</v>
      </c>
      <c r="U17" s="55">
        <v>11539</v>
      </c>
      <c r="V17" s="55">
        <v>11631</v>
      </c>
      <c r="W17" s="55">
        <v>12091</v>
      </c>
      <c r="X17" s="55">
        <v>12834</v>
      </c>
      <c r="Y17" s="55">
        <v>13639</v>
      </c>
      <c r="Z17" s="55">
        <v>14280</v>
      </c>
      <c r="AA17" s="55">
        <v>14887</v>
      </c>
      <c r="AB17" s="55">
        <v>15450</v>
      </c>
      <c r="AC17" s="56">
        <v>15933</v>
      </c>
      <c r="AD17" t="str">
        <f t="shared" si="0"/>
        <v>Spring</v>
      </c>
      <c r="AE17" t="str">
        <f>INDEX('Category Mapping'!$B$2:$B$29,MATCH('Source Data'!A17,'Category Mapping'!$A$2:$A$29,0))</f>
        <v>Weekend</v>
      </c>
      <c r="AF17" t="str">
        <f>INDEX('Category Mapping'!$C$2:$C$29,MATCH('Source Data'!A17,'Category Mapping'!$A$2:$A$29,0))</f>
        <v>Residential</v>
      </c>
      <c r="AG17" t="str">
        <f>INDEX('Category Mapping'!$D$2:$D$29,MATCH('Source Data'!A17,'Category Mapping'!$A$2:$A$29,0))</f>
        <v>Cooling</v>
      </c>
    </row>
    <row r="18" spans="1:33" x14ac:dyDescent="0.25">
      <c r="A18" s="57" t="s">
        <v>87</v>
      </c>
      <c r="B18" s="58">
        <v>2019</v>
      </c>
      <c r="C18" s="58">
        <v>19</v>
      </c>
      <c r="D18" s="58" t="s">
        <v>208</v>
      </c>
      <c r="E18" s="58">
        <v>4</v>
      </c>
      <c r="F18" s="58">
        <v>15861</v>
      </c>
      <c r="G18" s="58">
        <v>16104</v>
      </c>
      <c r="H18" s="58">
        <v>16317</v>
      </c>
      <c r="I18" s="58">
        <v>16349</v>
      </c>
      <c r="J18" s="58">
        <v>16296</v>
      </c>
      <c r="K18" s="58">
        <v>16004</v>
      </c>
      <c r="L18" s="58">
        <v>15364</v>
      </c>
      <c r="M18" s="58">
        <v>14281</v>
      </c>
      <c r="N18" s="58">
        <v>12775</v>
      </c>
      <c r="O18" s="58">
        <v>11134</v>
      </c>
      <c r="P18" s="58">
        <v>10390</v>
      </c>
      <c r="Q18" s="58">
        <v>10749</v>
      </c>
      <c r="R18" s="58">
        <v>11207</v>
      </c>
      <c r="S18" s="58">
        <v>333634</v>
      </c>
      <c r="T18" s="58">
        <v>617997</v>
      </c>
      <c r="U18" s="58">
        <v>331874</v>
      </c>
      <c r="V18" s="58">
        <v>11342</v>
      </c>
      <c r="W18" s="58">
        <v>11791</v>
      </c>
      <c r="X18" s="58">
        <v>12516</v>
      </c>
      <c r="Y18" s="58">
        <v>13300</v>
      </c>
      <c r="Z18" s="58">
        <v>13925</v>
      </c>
      <c r="AA18" s="58">
        <v>14518</v>
      </c>
      <c r="AB18" s="58">
        <v>15067</v>
      </c>
      <c r="AC18" s="59">
        <v>15538</v>
      </c>
      <c r="AD18" t="str">
        <f t="shared" si="0"/>
        <v>Spring</v>
      </c>
      <c r="AE18" t="str">
        <f>INDEX('Category Mapping'!$B$2:$B$29,MATCH('Source Data'!A18,'Category Mapping'!$A$2:$A$29,0))</f>
        <v>Weekend</v>
      </c>
      <c r="AF18" t="str">
        <f>INDEX('Category Mapping'!$C$2:$C$29,MATCH('Source Data'!A18,'Category Mapping'!$A$2:$A$29,0))</f>
        <v>Residential</v>
      </c>
      <c r="AG18" t="str">
        <f>INDEX('Category Mapping'!$D$2:$D$29,MATCH('Source Data'!A18,'Category Mapping'!$A$2:$A$29,0))</f>
        <v>Cooling</v>
      </c>
    </row>
    <row r="19" spans="1:33" x14ac:dyDescent="0.25">
      <c r="A19" s="54" t="s">
        <v>87</v>
      </c>
      <c r="B19" s="55">
        <v>2019</v>
      </c>
      <c r="C19" s="55">
        <v>19</v>
      </c>
      <c r="D19" s="55" t="s">
        <v>208</v>
      </c>
      <c r="E19" s="55">
        <v>5</v>
      </c>
      <c r="F19" s="55">
        <v>1839</v>
      </c>
      <c r="G19" s="55">
        <v>1867</v>
      </c>
      <c r="H19" s="55">
        <v>1892</v>
      </c>
      <c r="I19" s="55">
        <v>1896</v>
      </c>
      <c r="J19" s="55">
        <v>1890</v>
      </c>
      <c r="K19" s="55">
        <v>1856</v>
      </c>
      <c r="L19" s="55">
        <v>1781</v>
      </c>
      <c r="M19" s="55">
        <v>1656</v>
      </c>
      <c r="N19" s="55">
        <v>44183</v>
      </c>
      <c r="O19" s="55">
        <v>754204</v>
      </c>
      <c r="P19" s="55">
        <v>1675395</v>
      </c>
      <c r="Q19" s="55">
        <v>2692787</v>
      </c>
      <c r="R19" s="55">
        <v>3605591</v>
      </c>
      <c r="S19" s="55">
        <v>4149450</v>
      </c>
      <c r="T19" s="55">
        <v>4315027</v>
      </c>
      <c r="U19" s="55">
        <v>4127557</v>
      </c>
      <c r="V19" s="55">
        <v>3649092</v>
      </c>
      <c r="W19" s="55">
        <v>2953910</v>
      </c>
      <c r="X19" s="55">
        <v>2018282</v>
      </c>
      <c r="Y19" s="55">
        <v>900935</v>
      </c>
      <c r="Z19" s="55">
        <v>48162</v>
      </c>
      <c r="AA19" s="55">
        <v>1683</v>
      </c>
      <c r="AB19" s="55">
        <v>1747</v>
      </c>
      <c r="AC19" s="56">
        <v>1802</v>
      </c>
      <c r="AD19" t="str">
        <f t="shared" si="0"/>
        <v>Spring</v>
      </c>
      <c r="AE19" t="str">
        <f>INDEX('Category Mapping'!$B$2:$B$29,MATCH('Source Data'!A19,'Category Mapping'!$A$2:$A$29,0))</f>
        <v>Weekend</v>
      </c>
      <c r="AF19" t="str">
        <f>INDEX('Category Mapping'!$C$2:$C$29,MATCH('Source Data'!A19,'Category Mapping'!$A$2:$A$29,0))</f>
        <v>Residential</v>
      </c>
      <c r="AG19" t="str">
        <f>INDEX('Category Mapping'!$D$2:$D$29,MATCH('Source Data'!A19,'Category Mapping'!$A$2:$A$29,0))</f>
        <v>Cooling</v>
      </c>
    </row>
    <row r="20" spans="1:33" x14ac:dyDescent="0.25">
      <c r="A20" s="57" t="s">
        <v>87</v>
      </c>
      <c r="B20" s="58">
        <v>2019</v>
      </c>
      <c r="C20" s="58">
        <v>19</v>
      </c>
      <c r="D20" s="58" t="s">
        <v>208</v>
      </c>
      <c r="E20" s="58">
        <v>6</v>
      </c>
      <c r="F20" s="58">
        <v>1646896</v>
      </c>
      <c r="G20" s="58">
        <v>1095371</v>
      </c>
      <c r="H20" s="58">
        <v>978431</v>
      </c>
      <c r="I20" s="58">
        <v>1112024</v>
      </c>
      <c r="J20" s="58">
        <v>1692079</v>
      </c>
      <c r="K20" s="58">
        <v>3355660</v>
      </c>
      <c r="L20" s="58">
        <v>6681058</v>
      </c>
      <c r="M20" s="58">
        <v>10400000</v>
      </c>
      <c r="N20" s="58">
        <v>13700000</v>
      </c>
      <c r="O20" s="58">
        <v>15800000</v>
      </c>
      <c r="P20" s="58">
        <v>18200000</v>
      </c>
      <c r="Q20" s="58">
        <v>22000000</v>
      </c>
      <c r="R20" s="58">
        <v>25400000</v>
      </c>
      <c r="S20" s="58">
        <v>27200000</v>
      </c>
      <c r="T20" s="58">
        <v>27700000</v>
      </c>
      <c r="U20" s="58">
        <v>27100000</v>
      </c>
      <c r="V20" s="58">
        <v>25700000</v>
      </c>
      <c r="W20" s="58">
        <v>24100000</v>
      </c>
      <c r="X20" s="58">
        <v>21900000</v>
      </c>
      <c r="Y20" s="58">
        <v>18900000</v>
      </c>
      <c r="Z20" s="58">
        <v>14900000</v>
      </c>
      <c r="AA20" s="58">
        <v>10600000</v>
      </c>
      <c r="AB20" s="58">
        <v>6551808</v>
      </c>
      <c r="AC20" s="59">
        <v>3257820</v>
      </c>
      <c r="AD20" t="str">
        <f t="shared" si="0"/>
        <v>Summer</v>
      </c>
      <c r="AE20" t="str">
        <f>INDEX('Category Mapping'!$B$2:$B$29,MATCH('Source Data'!A20,'Category Mapping'!$A$2:$A$29,0))</f>
        <v>Weekend</v>
      </c>
      <c r="AF20" t="str">
        <f>INDEX('Category Mapping'!$C$2:$C$29,MATCH('Source Data'!A20,'Category Mapping'!$A$2:$A$29,0))</f>
        <v>Residential</v>
      </c>
      <c r="AG20" t="str">
        <f>INDEX('Category Mapping'!$D$2:$D$29,MATCH('Source Data'!A20,'Category Mapping'!$A$2:$A$29,0))</f>
        <v>Cooling</v>
      </c>
    </row>
    <row r="21" spans="1:33" x14ac:dyDescent="0.25">
      <c r="A21" s="54" t="s">
        <v>87</v>
      </c>
      <c r="B21" s="55">
        <v>2019</v>
      </c>
      <c r="C21" s="55">
        <v>19</v>
      </c>
      <c r="D21" s="55" t="s">
        <v>208</v>
      </c>
      <c r="E21" s="55">
        <v>7</v>
      </c>
      <c r="F21" s="55">
        <v>24400000</v>
      </c>
      <c r="G21" s="55">
        <v>22600000</v>
      </c>
      <c r="H21" s="55">
        <v>22100000</v>
      </c>
      <c r="I21" s="55">
        <v>22900000</v>
      </c>
      <c r="J21" s="55">
        <v>25100000</v>
      </c>
      <c r="K21" s="55">
        <v>28300000</v>
      </c>
      <c r="L21" s="55">
        <v>31800000</v>
      </c>
      <c r="M21" s="55">
        <v>34600000</v>
      </c>
      <c r="N21" s="55">
        <v>35900000</v>
      </c>
      <c r="O21" s="55">
        <v>35700000</v>
      </c>
      <c r="P21" s="55">
        <v>37100000</v>
      </c>
      <c r="Q21" s="55">
        <v>41800000</v>
      </c>
      <c r="R21" s="55">
        <v>46300000</v>
      </c>
      <c r="S21" s="55">
        <v>48500000</v>
      </c>
      <c r="T21" s="55">
        <v>49000000</v>
      </c>
      <c r="U21" s="55">
        <v>48300000</v>
      </c>
      <c r="V21" s="55">
        <v>46900000</v>
      </c>
      <c r="W21" s="55">
        <v>45900000</v>
      </c>
      <c r="X21" s="55">
        <v>44700000</v>
      </c>
      <c r="Y21" s="55">
        <v>42600000</v>
      </c>
      <c r="Z21" s="55">
        <v>39100000</v>
      </c>
      <c r="AA21" s="55">
        <v>35200000</v>
      </c>
      <c r="AB21" s="55">
        <v>31200000</v>
      </c>
      <c r="AC21" s="56">
        <v>27500000</v>
      </c>
      <c r="AD21" t="str">
        <f t="shared" si="0"/>
        <v>Summer</v>
      </c>
      <c r="AE21" t="str">
        <f>INDEX('Category Mapping'!$B$2:$B$29,MATCH('Source Data'!A21,'Category Mapping'!$A$2:$A$29,0))</f>
        <v>Weekend</v>
      </c>
      <c r="AF21" t="str">
        <f>INDEX('Category Mapping'!$C$2:$C$29,MATCH('Source Data'!A21,'Category Mapping'!$A$2:$A$29,0))</f>
        <v>Residential</v>
      </c>
      <c r="AG21" t="str">
        <f>INDEX('Category Mapping'!$D$2:$D$29,MATCH('Source Data'!A21,'Category Mapping'!$A$2:$A$29,0))</f>
        <v>Cooling</v>
      </c>
    </row>
    <row r="22" spans="1:33" x14ac:dyDescent="0.25">
      <c r="A22" s="57" t="s">
        <v>87</v>
      </c>
      <c r="B22" s="58">
        <v>2019</v>
      </c>
      <c r="C22" s="58">
        <v>19</v>
      </c>
      <c r="D22" s="58" t="s">
        <v>208</v>
      </c>
      <c r="E22" s="58">
        <v>8</v>
      </c>
      <c r="F22" s="58">
        <v>25700000</v>
      </c>
      <c r="G22" s="58">
        <v>23200000</v>
      </c>
      <c r="H22" s="58">
        <v>22600000</v>
      </c>
      <c r="I22" s="58">
        <v>23600000</v>
      </c>
      <c r="J22" s="58">
        <v>26400000</v>
      </c>
      <c r="K22" s="58">
        <v>30600000</v>
      </c>
      <c r="L22" s="58">
        <v>35300000</v>
      </c>
      <c r="M22" s="58">
        <v>39300000</v>
      </c>
      <c r="N22" s="58">
        <v>41400000</v>
      </c>
      <c r="O22" s="58">
        <v>41700000</v>
      </c>
      <c r="P22" s="58">
        <v>43800000</v>
      </c>
      <c r="Q22" s="58">
        <v>49700000</v>
      </c>
      <c r="R22" s="58">
        <v>55300000</v>
      </c>
      <c r="S22" s="58">
        <v>58100000</v>
      </c>
      <c r="T22" s="58">
        <v>58700000</v>
      </c>
      <c r="U22" s="58">
        <v>57700000</v>
      </c>
      <c r="V22" s="58">
        <v>56000000</v>
      </c>
      <c r="W22" s="58">
        <v>54500000</v>
      </c>
      <c r="X22" s="58">
        <v>52800000</v>
      </c>
      <c r="Y22" s="58">
        <v>49800000</v>
      </c>
      <c r="Z22" s="58">
        <v>45200000</v>
      </c>
      <c r="AA22" s="58">
        <v>40000000</v>
      </c>
      <c r="AB22" s="58">
        <v>34600000</v>
      </c>
      <c r="AC22" s="59">
        <v>29700000</v>
      </c>
      <c r="AD22" t="str">
        <f t="shared" si="0"/>
        <v>Summer</v>
      </c>
      <c r="AE22" t="str">
        <f>INDEX('Category Mapping'!$B$2:$B$29,MATCH('Source Data'!A22,'Category Mapping'!$A$2:$A$29,0))</f>
        <v>Weekend</v>
      </c>
      <c r="AF22" t="str">
        <f>INDEX('Category Mapping'!$C$2:$C$29,MATCH('Source Data'!A22,'Category Mapping'!$A$2:$A$29,0))</f>
        <v>Residential</v>
      </c>
      <c r="AG22" t="str">
        <f>INDEX('Category Mapping'!$D$2:$D$29,MATCH('Source Data'!A22,'Category Mapping'!$A$2:$A$29,0))</f>
        <v>Cooling</v>
      </c>
    </row>
    <row r="23" spans="1:33" x14ac:dyDescent="0.25">
      <c r="A23" s="54" t="s">
        <v>87</v>
      </c>
      <c r="B23" s="55">
        <v>2019</v>
      </c>
      <c r="C23" s="55">
        <v>19</v>
      </c>
      <c r="D23" s="55" t="s">
        <v>208</v>
      </c>
      <c r="E23" s="55">
        <v>9</v>
      </c>
      <c r="F23" s="55">
        <v>1216668</v>
      </c>
      <c r="G23" s="55">
        <v>1107806</v>
      </c>
      <c r="H23" s="55">
        <v>1078879</v>
      </c>
      <c r="I23" s="55">
        <v>1124648</v>
      </c>
      <c r="J23" s="55">
        <v>1250048</v>
      </c>
      <c r="K23" s="55">
        <v>1548777</v>
      </c>
      <c r="L23" s="55">
        <v>2801677</v>
      </c>
      <c r="M23" s="55">
        <v>5583211</v>
      </c>
      <c r="N23" s="55">
        <v>8880556</v>
      </c>
      <c r="O23" s="55">
        <v>11500000</v>
      </c>
      <c r="P23" s="55">
        <v>14100000</v>
      </c>
      <c r="Q23" s="55">
        <v>17700000</v>
      </c>
      <c r="R23" s="55">
        <v>20900000</v>
      </c>
      <c r="S23" s="55">
        <v>22700000</v>
      </c>
      <c r="T23" s="55">
        <v>23200000</v>
      </c>
      <c r="U23" s="55">
        <v>22600000</v>
      </c>
      <c r="V23" s="55">
        <v>21100000</v>
      </c>
      <c r="W23" s="55">
        <v>19400000</v>
      </c>
      <c r="X23" s="55">
        <v>17000000</v>
      </c>
      <c r="Y23" s="55">
        <v>13700000</v>
      </c>
      <c r="Z23" s="55">
        <v>9680490</v>
      </c>
      <c r="AA23" s="55">
        <v>5675497</v>
      </c>
      <c r="AB23" s="55">
        <v>2747476</v>
      </c>
      <c r="AC23" s="56">
        <v>1503620</v>
      </c>
      <c r="AD23" t="str">
        <f t="shared" si="0"/>
        <v>Fall</v>
      </c>
      <c r="AE23" t="str">
        <f>INDEX('Category Mapping'!$B$2:$B$29,MATCH('Source Data'!A23,'Category Mapping'!$A$2:$A$29,0))</f>
        <v>Weekend</v>
      </c>
      <c r="AF23" t="str">
        <f>INDEX('Category Mapping'!$C$2:$C$29,MATCH('Source Data'!A23,'Category Mapping'!$A$2:$A$29,0))</f>
        <v>Residential</v>
      </c>
      <c r="AG23" t="str">
        <f>INDEX('Category Mapping'!$D$2:$D$29,MATCH('Source Data'!A23,'Category Mapping'!$A$2:$A$29,0))</f>
        <v>Cooling</v>
      </c>
    </row>
    <row r="24" spans="1:33" x14ac:dyDescent="0.25">
      <c r="A24" s="57" t="s">
        <v>87</v>
      </c>
      <c r="B24" s="58">
        <v>2019</v>
      </c>
      <c r="C24" s="58">
        <v>19</v>
      </c>
      <c r="D24" s="58" t="s">
        <v>208</v>
      </c>
      <c r="E24" s="58">
        <v>10</v>
      </c>
      <c r="F24" s="58">
        <v>1198</v>
      </c>
      <c r="G24" s="58">
        <v>1216</v>
      </c>
      <c r="H24" s="58">
        <v>1232</v>
      </c>
      <c r="I24" s="58">
        <v>1235</v>
      </c>
      <c r="J24" s="58">
        <v>1231</v>
      </c>
      <c r="K24" s="58">
        <v>1209</v>
      </c>
      <c r="L24" s="58">
        <v>1160</v>
      </c>
      <c r="M24" s="58">
        <v>1078</v>
      </c>
      <c r="N24" s="58">
        <v>965</v>
      </c>
      <c r="O24" s="58">
        <v>7539</v>
      </c>
      <c r="P24" s="58">
        <v>46050</v>
      </c>
      <c r="Q24" s="58">
        <v>269701</v>
      </c>
      <c r="R24" s="58">
        <v>639911</v>
      </c>
      <c r="S24" s="58">
        <v>907600</v>
      </c>
      <c r="T24" s="58">
        <v>998027</v>
      </c>
      <c r="U24" s="58">
        <v>902811</v>
      </c>
      <c r="V24" s="58">
        <v>647631</v>
      </c>
      <c r="W24" s="58">
        <v>295854</v>
      </c>
      <c r="X24" s="58">
        <v>55474</v>
      </c>
      <c r="Y24" s="58">
        <v>9005</v>
      </c>
      <c r="Z24" s="58">
        <v>1052</v>
      </c>
      <c r="AA24" s="58">
        <v>1096</v>
      </c>
      <c r="AB24" s="58">
        <v>1138</v>
      </c>
      <c r="AC24" s="59">
        <v>1173</v>
      </c>
      <c r="AD24" t="str">
        <f t="shared" si="0"/>
        <v>Fall</v>
      </c>
      <c r="AE24" t="str">
        <f>INDEX('Category Mapping'!$B$2:$B$29,MATCH('Source Data'!A24,'Category Mapping'!$A$2:$A$29,0))</f>
        <v>Weekend</v>
      </c>
      <c r="AF24" t="str">
        <f>INDEX('Category Mapping'!$C$2:$C$29,MATCH('Source Data'!A24,'Category Mapping'!$A$2:$A$29,0))</f>
        <v>Residential</v>
      </c>
      <c r="AG24" t="str">
        <f>INDEX('Category Mapping'!$D$2:$D$29,MATCH('Source Data'!A24,'Category Mapping'!$A$2:$A$29,0))</f>
        <v>Cooling</v>
      </c>
    </row>
    <row r="25" spans="1:33" x14ac:dyDescent="0.25">
      <c r="A25" s="54" t="s">
        <v>87</v>
      </c>
      <c r="B25" s="55">
        <v>2019</v>
      </c>
      <c r="C25" s="55">
        <v>19</v>
      </c>
      <c r="D25" s="55" t="s">
        <v>208</v>
      </c>
      <c r="E25" s="55">
        <v>11</v>
      </c>
      <c r="F25" s="55">
        <v>22833</v>
      </c>
      <c r="G25" s="55">
        <v>23182</v>
      </c>
      <c r="H25" s="55">
        <v>23490</v>
      </c>
      <c r="I25" s="55">
        <v>23535</v>
      </c>
      <c r="J25" s="55">
        <v>23459</v>
      </c>
      <c r="K25" s="55">
        <v>23039</v>
      </c>
      <c r="L25" s="55">
        <v>22117</v>
      </c>
      <c r="M25" s="55">
        <v>20559</v>
      </c>
      <c r="N25" s="55">
        <v>18390</v>
      </c>
      <c r="O25" s="55">
        <v>16028</v>
      </c>
      <c r="P25" s="55">
        <v>14956</v>
      </c>
      <c r="Q25" s="55">
        <v>15473</v>
      </c>
      <c r="R25" s="55">
        <v>16133</v>
      </c>
      <c r="S25" s="55">
        <v>16285</v>
      </c>
      <c r="T25" s="55">
        <v>16250</v>
      </c>
      <c r="U25" s="55">
        <v>16199</v>
      </c>
      <c r="V25" s="55">
        <v>16328</v>
      </c>
      <c r="W25" s="55">
        <v>16974</v>
      </c>
      <c r="X25" s="55">
        <v>18017</v>
      </c>
      <c r="Y25" s="55">
        <v>19147</v>
      </c>
      <c r="Z25" s="55">
        <v>20046</v>
      </c>
      <c r="AA25" s="55">
        <v>20899</v>
      </c>
      <c r="AB25" s="55">
        <v>21689</v>
      </c>
      <c r="AC25" s="56">
        <v>22367</v>
      </c>
      <c r="AD25" t="str">
        <f t="shared" si="0"/>
        <v>Winter</v>
      </c>
      <c r="AE25" t="str">
        <f>INDEX('Category Mapping'!$B$2:$B$29,MATCH('Source Data'!A25,'Category Mapping'!$A$2:$A$29,0))</f>
        <v>Weekend</v>
      </c>
      <c r="AF25" t="str">
        <f>INDEX('Category Mapping'!$C$2:$C$29,MATCH('Source Data'!A25,'Category Mapping'!$A$2:$A$29,0))</f>
        <v>Residential</v>
      </c>
      <c r="AG25" t="str">
        <f>INDEX('Category Mapping'!$D$2:$D$29,MATCH('Source Data'!A25,'Category Mapping'!$A$2:$A$29,0))</f>
        <v>Cooling</v>
      </c>
    </row>
    <row r="26" spans="1:33" x14ac:dyDescent="0.25">
      <c r="A26" s="57" t="s">
        <v>87</v>
      </c>
      <c r="B26" s="58">
        <v>2019</v>
      </c>
      <c r="C26" s="58">
        <v>19</v>
      </c>
      <c r="D26" s="58" t="s">
        <v>208</v>
      </c>
      <c r="E26" s="58">
        <v>12</v>
      </c>
      <c r="F26" s="58">
        <v>8638</v>
      </c>
      <c r="G26" s="58">
        <v>8770</v>
      </c>
      <c r="H26" s="58">
        <v>8886</v>
      </c>
      <c r="I26" s="58">
        <v>8904</v>
      </c>
      <c r="J26" s="58">
        <v>8875</v>
      </c>
      <c r="K26" s="58">
        <v>8716</v>
      </c>
      <c r="L26" s="58">
        <v>8367</v>
      </c>
      <c r="M26" s="58">
        <v>7778</v>
      </c>
      <c r="N26" s="58">
        <v>6957</v>
      </c>
      <c r="O26" s="58">
        <v>6064</v>
      </c>
      <c r="P26" s="58">
        <v>5658</v>
      </c>
      <c r="Q26" s="58">
        <v>5854</v>
      </c>
      <c r="R26" s="58">
        <v>6103</v>
      </c>
      <c r="S26" s="58">
        <v>6161</v>
      </c>
      <c r="T26" s="58">
        <v>6148</v>
      </c>
      <c r="U26" s="58">
        <v>6128</v>
      </c>
      <c r="V26" s="58">
        <v>6177</v>
      </c>
      <c r="W26" s="58">
        <v>6421</v>
      </c>
      <c r="X26" s="58">
        <v>6816</v>
      </c>
      <c r="Y26" s="58">
        <v>7243</v>
      </c>
      <c r="Z26" s="58">
        <v>7584</v>
      </c>
      <c r="AA26" s="58">
        <v>7906</v>
      </c>
      <c r="AB26" s="58">
        <v>8205</v>
      </c>
      <c r="AC26" s="59">
        <v>8462</v>
      </c>
      <c r="AD26" t="str">
        <f t="shared" si="0"/>
        <v>Winter</v>
      </c>
      <c r="AE26" t="str">
        <f>INDEX('Category Mapping'!$B$2:$B$29,MATCH('Source Data'!A26,'Category Mapping'!$A$2:$A$29,0))</f>
        <v>Weekend</v>
      </c>
      <c r="AF26" t="str">
        <f>INDEX('Category Mapping'!$C$2:$C$29,MATCH('Source Data'!A26,'Category Mapping'!$A$2:$A$29,0))</f>
        <v>Residential</v>
      </c>
      <c r="AG26" t="str">
        <f>INDEX('Category Mapping'!$D$2:$D$29,MATCH('Source Data'!A26,'Category Mapping'!$A$2:$A$29,0))</f>
        <v>Cooling</v>
      </c>
    </row>
    <row r="27" spans="1:33" x14ac:dyDescent="0.25">
      <c r="A27" s="54" t="s">
        <v>88</v>
      </c>
      <c r="B27" s="55">
        <v>2019</v>
      </c>
      <c r="C27" s="55">
        <v>19</v>
      </c>
      <c r="D27" s="55" t="s">
        <v>208</v>
      </c>
      <c r="E27" s="55">
        <v>1</v>
      </c>
      <c r="F27" s="55">
        <v>20700000</v>
      </c>
      <c r="G27" s="55">
        <v>21100000</v>
      </c>
      <c r="H27" s="55">
        <v>21200000</v>
      </c>
      <c r="I27" s="55">
        <v>21100000</v>
      </c>
      <c r="J27" s="55">
        <v>20700000</v>
      </c>
      <c r="K27" s="55">
        <v>25000000</v>
      </c>
      <c r="L27" s="55">
        <v>26300000</v>
      </c>
      <c r="M27" s="55">
        <v>25600000</v>
      </c>
      <c r="N27" s="55">
        <v>24600000</v>
      </c>
      <c r="O27" s="55">
        <v>18400000</v>
      </c>
      <c r="P27" s="55">
        <v>17700000</v>
      </c>
      <c r="Q27" s="55">
        <v>17600000</v>
      </c>
      <c r="R27" s="55">
        <v>17400000</v>
      </c>
      <c r="S27" s="55">
        <v>17100000</v>
      </c>
      <c r="T27" s="55">
        <v>17200000</v>
      </c>
      <c r="U27" s="55">
        <v>17900000</v>
      </c>
      <c r="V27" s="55">
        <v>19000000</v>
      </c>
      <c r="W27" s="55">
        <v>20300000</v>
      </c>
      <c r="X27" s="55">
        <v>22000000</v>
      </c>
      <c r="Y27" s="55">
        <v>23600000</v>
      </c>
      <c r="Z27" s="55">
        <v>24700000</v>
      </c>
      <c r="AA27" s="55">
        <v>23500000</v>
      </c>
      <c r="AB27" s="55">
        <v>20600000</v>
      </c>
      <c r="AC27" s="56">
        <v>20200000</v>
      </c>
      <c r="AD27" t="str">
        <f t="shared" si="0"/>
        <v>Winter</v>
      </c>
      <c r="AE27" t="str">
        <f>INDEX('Category Mapping'!$B$2:$B$29,MATCH('Source Data'!A27,'Category Mapping'!$A$2:$A$29,0))</f>
        <v>Weekday</v>
      </c>
      <c r="AF27" t="str">
        <f>INDEX('Category Mapping'!$C$2:$C$29,MATCH('Source Data'!A27,'Category Mapping'!$A$2:$A$29,0))</f>
        <v>Residential</v>
      </c>
      <c r="AG27" t="str">
        <f>INDEX('Category Mapping'!$D$2:$D$29,MATCH('Source Data'!A27,'Category Mapping'!$A$2:$A$29,0))</f>
        <v>Heating</v>
      </c>
    </row>
    <row r="28" spans="1:33" x14ac:dyDescent="0.25">
      <c r="A28" s="57" t="s">
        <v>88</v>
      </c>
      <c r="B28" s="58">
        <v>2019</v>
      </c>
      <c r="C28" s="58">
        <v>19</v>
      </c>
      <c r="D28" s="58" t="s">
        <v>208</v>
      </c>
      <c r="E28" s="58">
        <v>2</v>
      </c>
      <c r="F28" s="58">
        <v>16700000</v>
      </c>
      <c r="G28" s="58">
        <v>17100000</v>
      </c>
      <c r="H28" s="58">
        <v>17200000</v>
      </c>
      <c r="I28" s="58">
        <v>17100000</v>
      </c>
      <c r="J28" s="58">
        <v>16700000</v>
      </c>
      <c r="K28" s="58">
        <v>20600000</v>
      </c>
      <c r="L28" s="58">
        <v>21700000</v>
      </c>
      <c r="M28" s="58">
        <v>21100000</v>
      </c>
      <c r="N28" s="58">
        <v>20100000</v>
      </c>
      <c r="O28" s="58">
        <v>14600000</v>
      </c>
      <c r="P28" s="58">
        <v>13800000</v>
      </c>
      <c r="Q28" s="58">
        <v>13700000</v>
      </c>
      <c r="R28" s="58">
        <v>13500000</v>
      </c>
      <c r="S28" s="58">
        <v>13300000</v>
      </c>
      <c r="T28" s="58">
        <v>13300000</v>
      </c>
      <c r="U28" s="58">
        <v>14000000</v>
      </c>
      <c r="V28" s="58">
        <v>14900000</v>
      </c>
      <c r="W28" s="58">
        <v>16200000</v>
      </c>
      <c r="X28" s="58">
        <v>17700000</v>
      </c>
      <c r="Y28" s="58">
        <v>19200000</v>
      </c>
      <c r="Z28" s="58">
        <v>20200000</v>
      </c>
      <c r="AA28" s="58">
        <v>19200000</v>
      </c>
      <c r="AB28" s="58">
        <v>16600000</v>
      </c>
      <c r="AC28" s="59">
        <v>16200000</v>
      </c>
      <c r="AD28" t="str">
        <f t="shared" si="0"/>
        <v>Winter</v>
      </c>
      <c r="AE28" t="str">
        <f>INDEX('Category Mapping'!$B$2:$B$29,MATCH('Source Data'!A28,'Category Mapping'!$A$2:$A$29,0))</f>
        <v>Weekday</v>
      </c>
      <c r="AF28" t="str">
        <f>INDEX('Category Mapping'!$C$2:$C$29,MATCH('Source Data'!A28,'Category Mapping'!$A$2:$A$29,0))</f>
        <v>Residential</v>
      </c>
      <c r="AG28" t="str">
        <f>INDEX('Category Mapping'!$D$2:$D$29,MATCH('Source Data'!A28,'Category Mapping'!$A$2:$A$29,0))</f>
        <v>Heating</v>
      </c>
    </row>
    <row r="29" spans="1:33" x14ac:dyDescent="0.25">
      <c r="A29" s="54" t="s">
        <v>88</v>
      </c>
      <c r="B29" s="55">
        <v>2019</v>
      </c>
      <c r="C29" s="55">
        <v>19</v>
      </c>
      <c r="D29" s="55" t="s">
        <v>208</v>
      </c>
      <c r="E29" s="55">
        <v>3</v>
      </c>
      <c r="F29" s="55">
        <v>13000000</v>
      </c>
      <c r="G29" s="55">
        <v>13300000</v>
      </c>
      <c r="H29" s="55">
        <v>13400000</v>
      </c>
      <c r="I29" s="55">
        <v>13300000</v>
      </c>
      <c r="J29" s="55">
        <v>13000000</v>
      </c>
      <c r="K29" s="55">
        <v>16700000</v>
      </c>
      <c r="L29" s="55">
        <v>17700000</v>
      </c>
      <c r="M29" s="55">
        <v>17100000</v>
      </c>
      <c r="N29" s="55">
        <v>16200000</v>
      </c>
      <c r="O29" s="55">
        <v>10900000</v>
      </c>
      <c r="P29" s="55">
        <v>10200000</v>
      </c>
      <c r="Q29" s="55">
        <v>10600000</v>
      </c>
      <c r="R29" s="55">
        <v>10900000</v>
      </c>
      <c r="S29" s="55">
        <v>11000000</v>
      </c>
      <c r="T29" s="55">
        <v>11200000</v>
      </c>
      <c r="U29" s="55">
        <v>11700000</v>
      </c>
      <c r="V29" s="55">
        <v>12300000</v>
      </c>
      <c r="W29" s="55">
        <v>13000000</v>
      </c>
      <c r="X29" s="55">
        <v>13900000</v>
      </c>
      <c r="Y29" s="55">
        <v>15300000</v>
      </c>
      <c r="Z29" s="55">
        <v>16300000</v>
      </c>
      <c r="AA29" s="55">
        <v>15300000</v>
      </c>
      <c r="AB29" s="55">
        <v>12900000</v>
      </c>
      <c r="AC29" s="56">
        <v>12500000</v>
      </c>
      <c r="AD29" t="str">
        <f t="shared" si="0"/>
        <v>Spring</v>
      </c>
      <c r="AE29" t="str">
        <f>INDEX('Category Mapping'!$B$2:$B$29,MATCH('Source Data'!A29,'Category Mapping'!$A$2:$A$29,0))</f>
        <v>Weekday</v>
      </c>
      <c r="AF29" t="str">
        <f>INDEX('Category Mapping'!$C$2:$C$29,MATCH('Source Data'!A29,'Category Mapping'!$A$2:$A$29,0))</f>
        <v>Residential</v>
      </c>
      <c r="AG29" t="str">
        <f>INDEX('Category Mapping'!$D$2:$D$29,MATCH('Source Data'!A29,'Category Mapping'!$A$2:$A$29,0))</f>
        <v>Heating</v>
      </c>
    </row>
    <row r="30" spans="1:33" x14ac:dyDescent="0.25">
      <c r="A30" s="57" t="s">
        <v>88</v>
      </c>
      <c r="B30" s="58">
        <v>2019</v>
      </c>
      <c r="C30" s="58">
        <v>19</v>
      </c>
      <c r="D30" s="58" t="s">
        <v>208</v>
      </c>
      <c r="E30" s="58">
        <v>4</v>
      </c>
      <c r="F30" s="58">
        <v>5437090</v>
      </c>
      <c r="G30" s="58">
        <v>5630222</v>
      </c>
      <c r="H30" s="58">
        <v>5695999</v>
      </c>
      <c r="I30" s="58">
        <v>5630222</v>
      </c>
      <c r="J30" s="58">
        <v>5437090</v>
      </c>
      <c r="K30" s="58">
        <v>7581491</v>
      </c>
      <c r="L30" s="58">
        <v>8446843</v>
      </c>
      <c r="M30" s="58">
        <v>8552344</v>
      </c>
      <c r="N30" s="58">
        <v>8485649</v>
      </c>
      <c r="O30" s="58">
        <v>5860206</v>
      </c>
      <c r="P30" s="58">
        <v>5909911</v>
      </c>
      <c r="Q30" s="58">
        <v>6207414</v>
      </c>
      <c r="R30" s="58">
        <v>6389605</v>
      </c>
      <c r="S30" s="58">
        <v>6440861</v>
      </c>
      <c r="T30" s="58">
        <v>6534109</v>
      </c>
      <c r="U30" s="58">
        <v>6835315</v>
      </c>
      <c r="V30" s="58">
        <v>7198265</v>
      </c>
      <c r="W30" s="58">
        <v>7597023</v>
      </c>
      <c r="X30" s="58">
        <v>8050556</v>
      </c>
      <c r="Y30" s="58">
        <v>8450511</v>
      </c>
      <c r="Z30" s="58">
        <v>8539152</v>
      </c>
      <c r="AA30" s="58">
        <v>7501669</v>
      </c>
      <c r="AB30" s="58">
        <v>5601358</v>
      </c>
      <c r="AC30" s="59">
        <v>5130247</v>
      </c>
      <c r="AD30" t="str">
        <f t="shared" si="0"/>
        <v>Spring</v>
      </c>
      <c r="AE30" t="str">
        <f>INDEX('Category Mapping'!$B$2:$B$29,MATCH('Source Data'!A30,'Category Mapping'!$A$2:$A$29,0))</f>
        <v>Weekday</v>
      </c>
      <c r="AF30" t="str">
        <f>INDEX('Category Mapping'!$C$2:$C$29,MATCH('Source Data'!A30,'Category Mapping'!$A$2:$A$29,0))</f>
        <v>Residential</v>
      </c>
      <c r="AG30" t="str">
        <f>INDEX('Category Mapping'!$D$2:$D$29,MATCH('Source Data'!A30,'Category Mapping'!$A$2:$A$29,0))</f>
        <v>Heating</v>
      </c>
    </row>
    <row r="31" spans="1:33" x14ac:dyDescent="0.25">
      <c r="A31" s="54" t="s">
        <v>88</v>
      </c>
      <c r="B31" s="55">
        <v>2019</v>
      </c>
      <c r="C31" s="55">
        <v>19</v>
      </c>
      <c r="D31" s="55" t="s">
        <v>208</v>
      </c>
      <c r="E31" s="55">
        <v>5</v>
      </c>
      <c r="F31" s="55">
        <v>1510774</v>
      </c>
      <c r="G31" s="55">
        <v>1510774</v>
      </c>
      <c r="H31" s="55">
        <v>1510774</v>
      </c>
      <c r="I31" s="55">
        <v>1510774</v>
      </c>
      <c r="J31" s="55">
        <v>1510774</v>
      </c>
      <c r="K31" s="55">
        <v>2249916</v>
      </c>
      <c r="L31" s="55">
        <v>2547039</v>
      </c>
      <c r="M31" s="55">
        <v>2578851</v>
      </c>
      <c r="N31" s="55">
        <v>2558740</v>
      </c>
      <c r="O31" s="55">
        <v>1767071</v>
      </c>
      <c r="P31" s="55">
        <v>1782059</v>
      </c>
      <c r="Q31" s="55">
        <v>1871767</v>
      </c>
      <c r="R31" s="55">
        <v>1926704</v>
      </c>
      <c r="S31" s="55">
        <v>1942160</v>
      </c>
      <c r="T31" s="55">
        <v>1970278</v>
      </c>
      <c r="U31" s="55">
        <v>2061103</v>
      </c>
      <c r="V31" s="55">
        <v>2170546</v>
      </c>
      <c r="W31" s="55">
        <v>2290786</v>
      </c>
      <c r="X31" s="55">
        <v>2427543</v>
      </c>
      <c r="Y31" s="55">
        <v>2548145</v>
      </c>
      <c r="Z31" s="55">
        <v>2574873</v>
      </c>
      <c r="AA31" s="55">
        <v>2262033</v>
      </c>
      <c r="AB31" s="55">
        <v>1689019</v>
      </c>
      <c r="AC31" s="56">
        <v>1510774</v>
      </c>
      <c r="AD31" t="str">
        <f t="shared" si="0"/>
        <v>Spring</v>
      </c>
      <c r="AE31" t="str">
        <f>INDEX('Category Mapping'!$B$2:$B$29,MATCH('Source Data'!A31,'Category Mapping'!$A$2:$A$29,0))</f>
        <v>Weekday</v>
      </c>
      <c r="AF31" t="str">
        <f>INDEX('Category Mapping'!$C$2:$C$29,MATCH('Source Data'!A31,'Category Mapping'!$A$2:$A$29,0))</f>
        <v>Residential</v>
      </c>
      <c r="AG31" t="str">
        <f>INDEX('Category Mapping'!$D$2:$D$29,MATCH('Source Data'!A31,'Category Mapping'!$A$2:$A$29,0))</f>
        <v>Heating</v>
      </c>
    </row>
    <row r="32" spans="1:33" x14ac:dyDescent="0.25">
      <c r="A32" s="57" t="s">
        <v>88</v>
      </c>
      <c r="B32" s="58">
        <v>2019</v>
      </c>
      <c r="C32" s="58">
        <v>19</v>
      </c>
      <c r="D32" s="58" t="s">
        <v>208</v>
      </c>
      <c r="E32" s="58">
        <v>6</v>
      </c>
      <c r="F32" s="58">
        <v>260040</v>
      </c>
      <c r="G32" s="58">
        <v>260040</v>
      </c>
      <c r="H32" s="58">
        <v>260040</v>
      </c>
      <c r="I32" s="58">
        <v>260040</v>
      </c>
      <c r="J32" s="58">
        <v>260040</v>
      </c>
      <c r="K32" s="58">
        <v>387264</v>
      </c>
      <c r="L32" s="58">
        <v>438406</v>
      </c>
      <c r="M32" s="58">
        <v>443882</v>
      </c>
      <c r="N32" s="58">
        <v>440420</v>
      </c>
      <c r="O32" s="58">
        <v>304155</v>
      </c>
      <c r="P32" s="58">
        <v>306735</v>
      </c>
      <c r="Q32" s="58">
        <v>322176</v>
      </c>
      <c r="R32" s="58">
        <v>331632</v>
      </c>
      <c r="S32" s="58">
        <v>334292</v>
      </c>
      <c r="T32" s="58">
        <v>339132</v>
      </c>
      <c r="U32" s="58">
        <v>354765</v>
      </c>
      <c r="V32" s="58">
        <v>373603</v>
      </c>
      <c r="W32" s="58">
        <v>394299</v>
      </c>
      <c r="X32" s="58">
        <v>417838</v>
      </c>
      <c r="Y32" s="58">
        <v>438597</v>
      </c>
      <c r="Z32" s="58">
        <v>443197</v>
      </c>
      <c r="AA32" s="58">
        <v>389350</v>
      </c>
      <c r="AB32" s="58">
        <v>290720</v>
      </c>
      <c r="AC32" s="59">
        <v>260040</v>
      </c>
      <c r="AD32" t="str">
        <f t="shared" si="0"/>
        <v>Summer</v>
      </c>
      <c r="AE32" t="str">
        <f>INDEX('Category Mapping'!$B$2:$B$29,MATCH('Source Data'!A32,'Category Mapping'!$A$2:$A$29,0))</f>
        <v>Weekday</v>
      </c>
      <c r="AF32" t="str">
        <f>INDEX('Category Mapping'!$C$2:$C$29,MATCH('Source Data'!A32,'Category Mapping'!$A$2:$A$29,0))</f>
        <v>Residential</v>
      </c>
      <c r="AG32" t="str">
        <f>INDEX('Category Mapping'!$D$2:$D$29,MATCH('Source Data'!A32,'Category Mapping'!$A$2:$A$29,0))</f>
        <v>Heating</v>
      </c>
    </row>
    <row r="33" spans="1:33" x14ac:dyDescent="0.25">
      <c r="A33" s="54" t="s">
        <v>88</v>
      </c>
      <c r="B33" s="55">
        <v>2019</v>
      </c>
      <c r="C33" s="55">
        <v>19</v>
      </c>
      <c r="D33" s="55" t="s">
        <v>208</v>
      </c>
      <c r="E33" s="55">
        <v>7</v>
      </c>
      <c r="F33" s="55">
        <v>51165</v>
      </c>
      <c r="G33" s="55">
        <v>51165</v>
      </c>
      <c r="H33" s="55">
        <v>51165</v>
      </c>
      <c r="I33" s="55">
        <v>51165</v>
      </c>
      <c r="J33" s="55">
        <v>51165</v>
      </c>
      <c r="K33" s="55">
        <v>76198</v>
      </c>
      <c r="L33" s="55">
        <v>86260</v>
      </c>
      <c r="M33" s="55">
        <v>87338</v>
      </c>
      <c r="N33" s="55">
        <v>86657</v>
      </c>
      <c r="O33" s="55">
        <v>59845</v>
      </c>
      <c r="P33" s="55">
        <v>60353</v>
      </c>
      <c r="Q33" s="55">
        <v>63391</v>
      </c>
      <c r="R33" s="55">
        <v>65252</v>
      </c>
      <c r="S33" s="55">
        <v>65775</v>
      </c>
      <c r="T33" s="55">
        <v>66727</v>
      </c>
      <c r="U33" s="55">
        <v>69803</v>
      </c>
      <c r="V33" s="55">
        <v>73510</v>
      </c>
      <c r="W33" s="55">
        <v>77582</v>
      </c>
      <c r="X33" s="55">
        <v>82213</v>
      </c>
      <c r="Y33" s="55">
        <v>86298</v>
      </c>
      <c r="Z33" s="55">
        <v>87203</v>
      </c>
      <c r="AA33" s="55">
        <v>76608</v>
      </c>
      <c r="AB33" s="55">
        <v>57202</v>
      </c>
      <c r="AC33" s="56">
        <v>51165</v>
      </c>
      <c r="AD33" t="str">
        <f t="shared" si="0"/>
        <v>Summer</v>
      </c>
      <c r="AE33" t="str">
        <f>INDEX('Category Mapping'!$B$2:$B$29,MATCH('Source Data'!A33,'Category Mapping'!$A$2:$A$29,0))</f>
        <v>Weekday</v>
      </c>
      <c r="AF33" t="str">
        <f>INDEX('Category Mapping'!$C$2:$C$29,MATCH('Source Data'!A33,'Category Mapping'!$A$2:$A$29,0))</f>
        <v>Residential</v>
      </c>
      <c r="AG33" t="str">
        <f>INDEX('Category Mapping'!$D$2:$D$29,MATCH('Source Data'!A33,'Category Mapping'!$A$2:$A$29,0))</f>
        <v>Heating</v>
      </c>
    </row>
    <row r="34" spans="1:33" x14ac:dyDescent="0.25">
      <c r="A34" s="57" t="s">
        <v>88</v>
      </c>
      <c r="B34" s="58">
        <v>2019</v>
      </c>
      <c r="C34" s="58">
        <v>19</v>
      </c>
      <c r="D34" s="58" t="s">
        <v>208</v>
      </c>
      <c r="E34" s="58">
        <v>8</v>
      </c>
      <c r="F34" s="58">
        <v>53554</v>
      </c>
      <c r="G34" s="58">
        <v>53554</v>
      </c>
      <c r="H34" s="58">
        <v>53554</v>
      </c>
      <c r="I34" s="58">
        <v>53554</v>
      </c>
      <c r="J34" s="58">
        <v>53554</v>
      </c>
      <c r="K34" s="58">
        <v>79755</v>
      </c>
      <c r="L34" s="58">
        <v>90288</v>
      </c>
      <c r="M34" s="58">
        <v>91415</v>
      </c>
      <c r="N34" s="58">
        <v>90702</v>
      </c>
      <c r="O34" s="58">
        <v>62639</v>
      </c>
      <c r="P34" s="58">
        <v>63171</v>
      </c>
      <c r="Q34" s="58">
        <v>66350</v>
      </c>
      <c r="R34" s="58">
        <v>68298</v>
      </c>
      <c r="S34" s="58">
        <v>68846</v>
      </c>
      <c r="T34" s="58">
        <v>69843</v>
      </c>
      <c r="U34" s="58">
        <v>73062</v>
      </c>
      <c r="V34" s="58">
        <v>76942</v>
      </c>
      <c r="W34" s="58">
        <v>81204</v>
      </c>
      <c r="X34" s="58">
        <v>86052</v>
      </c>
      <c r="Y34" s="58">
        <v>90327</v>
      </c>
      <c r="Z34" s="58">
        <v>91274</v>
      </c>
      <c r="AA34" s="58">
        <v>80185</v>
      </c>
      <c r="AB34" s="58">
        <v>59872</v>
      </c>
      <c r="AC34" s="59">
        <v>53554</v>
      </c>
      <c r="AD34" t="str">
        <f t="shared" si="0"/>
        <v>Summer</v>
      </c>
      <c r="AE34" t="str">
        <f>INDEX('Category Mapping'!$B$2:$B$29,MATCH('Source Data'!A34,'Category Mapping'!$A$2:$A$29,0))</f>
        <v>Weekday</v>
      </c>
      <c r="AF34" t="str">
        <f>INDEX('Category Mapping'!$C$2:$C$29,MATCH('Source Data'!A34,'Category Mapping'!$A$2:$A$29,0))</f>
        <v>Residential</v>
      </c>
      <c r="AG34" t="str">
        <f>INDEX('Category Mapping'!$D$2:$D$29,MATCH('Source Data'!A34,'Category Mapping'!$A$2:$A$29,0))</f>
        <v>Heating</v>
      </c>
    </row>
    <row r="35" spans="1:33" x14ac:dyDescent="0.25">
      <c r="A35" s="54" t="s">
        <v>88</v>
      </c>
      <c r="B35" s="55">
        <v>2019</v>
      </c>
      <c r="C35" s="55">
        <v>19</v>
      </c>
      <c r="D35" s="55" t="s">
        <v>208</v>
      </c>
      <c r="E35" s="55">
        <v>9</v>
      </c>
      <c r="F35" s="55">
        <v>530600</v>
      </c>
      <c r="G35" s="55">
        <v>530600</v>
      </c>
      <c r="H35" s="55">
        <v>530600</v>
      </c>
      <c r="I35" s="55">
        <v>530600</v>
      </c>
      <c r="J35" s="55">
        <v>530600</v>
      </c>
      <c r="K35" s="55">
        <v>790194</v>
      </c>
      <c r="L35" s="55">
        <v>894547</v>
      </c>
      <c r="M35" s="55">
        <v>905720</v>
      </c>
      <c r="N35" s="55">
        <v>898657</v>
      </c>
      <c r="O35" s="55">
        <v>620614</v>
      </c>
      <c r="P35" s="55">
        <v>625878</v>
      </c>
      <c r="Q35" s="55">
        <v>657384</v>
      </c>
      <c r="R35" s="55">
        <v>676679</v>
      </c>
      <c r="S35" s="55">
        <v>682107</v>
      </c>
      <c r="T35" s="55">
        <v>691982</v>
      </c>
      <c r="U35" s="55">
        <v>723881</v>
      </c>
      <c r="V35" s="55">
        <v>762319</v>
      </c>
      <c r="W35" s="55">
        <v>804548</v>
      </c>
      <c r="X35" s="55">
        <v>852579</v>
      </c>
      <c r="Y35" s="55">
        <v>894935</v>
      </c>
      <c r="Z35" s="55">
        <v>904323</v>
      </c>
      <c r="AA35" s="55">
        <v>794450</v>
      </c>
      <c r="AB35" s="55">
        <v>593201</v>
      </c>
      <c r="AC35" s="56">
        <v>530600</v>
      </c>
      <c r="AD35" t="str">
        <f t="shared" si="0"/>
        <v>Fall</v>
      </c>
      <c r="AE35" t="str">
        <f>INDEX('Category Mapping'!$B$2:$B$29,MATCH('Source Data'!A35,'Category Mapping'!$A$2:$A$29,0))</f>
        <v>Weekday</v>
      </c>
      <c r="AF35" t="str">
        <f>INDEX('Category Mapping'!$C$2:$C$29,MATCH('Source Data'!A35,'Category Mapping'!$A$2:$A$29,0))</f>
        <v>Residential</v>
      </c>
      <c r="AG35" t="str">
        <f>INDEX('Category Mapping'!$D$2:$D$29,MATCH('Source Data'!A35,'Category Mapping'!$A$2:$A$29,0))</f>
        <v>Heating</v>
      </c>
    </row>
    <row r="36" spans="1:33" x14ac:dyDescent="0.25">
      <c r="A36" s="57" t="s">
        <v>88</v>
      </c>
      <c r="B36" s="58">
        <v>2019</v>
      </c>
      <c r="C36" s="58">
        <v>19</v>
      </c>
      <c r="D36" s="58" t="s">
        <v>208</v>
      </c>
      <c r="E36" s="58">
        <v>10</v>
      </c>
      <c r="F36" s="58">
        <v>3718567</v>
      </c>
      <c r="G36" s="58">
        <v>3718567</v>
      </c>
      <c r="H36" s="58">
        <v>3718567</v>
      </c>
      <c r="I36" s="58">
        <v>3718567</v>
      </c>
      <c r="J36" s="58">
        <v>3718567</v>
      </c>
      <c r="K36" s="58">
        <v>5537864</v>
      </c>
      <c r="L36" s="58">
        <v>6269191</v>
      </c>
      <c r="M36" s="58">
        <v>6347494</v>
      </c>
      <c r="N36" s="58">
        <v>6297993</v>
      </c>
      <c r="O36" s="58">
        <v>4349406</v>
      </c>
      <c r="P36" s="58">
        <v>4386297</v>
      </c>
      <c r="Q36" s="58">
        <v>4607102</v>
      </c>
      <c r="R36" s="58">
        <v>4742322</v>
      </c>
      <c r="S36" s="58">
        <v>4780364</v>
      </c>
      <c r="T36" s="58">
        <v>4849572</v>
      </c>
      <c r="U36" s="58">
        <v>5073126</v>
      </c>
      <c r="V36" s="58">
        <v>5342505</v>
      </c>
      <c r="W36" s="58">
        <v>5638460</v>
      </c>
      <c r="X36" s="58">
        <v>5975069</v>
      </c>
      <c r="Y36" s="58">
        <v>6271913</v>
      </c>
      <c r="Z36" s="58">
        <v>6337702</v>
      </c>
      <c r="AA36" s="58">
        <v>5567689</v>
      </c>
      <c r="AB36" s="58">
        <v>4157291</v>
      </c>
      <c r="AC36" s="59">
        <v>3718567</v>
      </c>
      <c r="AD36" t="str">
        <f t="shared" si="0"/>
        <v>Fall</v>
      </c>
      <c r="AE36" t="str">
        <f>INDEX('Category Mapping'!$B$2:$B$29,MATCH('Source Data'!A36,'Category Mapping'!$A$2:$A$29,0))</f>
        <v>Weekday</v>
      </c>
      <c r="AF36" t="str">
        <f>INDEX('Category Mapping'!$C$2:$C$29,MATCH('Source Data'!A36,'Category Mapping'!$A$2:$A$29,0))</f>
        <v>Residential</v>
      </c>
      <c r="AG36" t="str">
        <f>INDEX('Category Mapping'!$D$2:$D$29,MATCH('Source Data'!A36,'Category Mapping'!$A$2:$A$29,0))</f>
        <v>Heating</v>
      </c>
    </row>
    <row r="37" spans="1:33" x14ac:dyDescent="0.25">
      <c r="A37" s="54" t="s">
        <v>88</v>
      </c>
      <c r="B37" s="55">
        <v>2019</v>
      </c>
      <c r="C37" s="55">
        <v>19</v>
      </c>
      <c r="D37" s="55" t="s">
        <v>208</v>
      </c>
      <c r="E37" s="55">
        <v>11</v>
      </c>
      <c r="F37" s="55">
        <v>10400000</v>
      </c>
      <c r="G37" s="55">
        <v>10700000</v>
      </c>
      <c r="H37" s="55">
        <v>10800000</v>
      </c>
      <c r="I37" s="55">
        <v>10700000</v>
      </c>
      <c r="J37" s="55">
        <v>10400000</v>
      </c>
      <c r="K37" s="55">
        <v>13600000</v>
      </c>
      <c r="L37" s="55">
        <v>14500000</v>
      </c>
      <c r="M37" s="55">
        <v>14000000</v>
      </c>
      <c r="N37" s="55">
        <v>13200000</v>
      </c>
      <c r="O37" s="55">
        <v>8654439</v>
      </c>
      <c r="P37" s="55">
        <v>8614184</v>
      </c>
      <c r="Q37" s="55">
        <v>9047819</v>
      </c>
      <c r="R37" s="55">
        <v>9313377</v>
      </c>
      <c r="S37" s="55">
        <v>9388088</v>
      </c>
      <c r="T37" s="55">
        <v>9524004</v>
      </c>
      <c r="U37" s="55">
        <v>9963037</v>
      </c>
      <c r="V37" s="55">
        <v>10500000</v>
      </c>
      <c r="W37" s="55">
        <v>11100000</v>
      </c>
      <c r="X37" s="55">
        <v>11700000</v>
      </c>
      <c r="Y37" s="55">
        <v>12400000</v>
      </c>
      <c r="Z37" s="55">
        <v>13300000</v>
      </c>
      <c r="AA37" s="55">
        <v>12400000</v>
      </c>
      <c r="AB37" s="55">
        <v>10300000</v>
      </c>
      <c r="AC37" s="56">
        <v>10000000</v>
      </c>
      <c r="AD37" t="str">
        <f t="shared" si="0"/>
        <v>Winter</v>
      </c>
      <c r="AE37" t="str">
        <f>INDEX('Category Mapping'!$B$2:$B$29,MATCH('Source Data'!A37,'Category Mapping'!$A$2:$A$29,0))</f>
        <v>Weekday</v>
      </c>
      <c r="AF37" t="str">
        <f>INDEX('Category Mapping'!$C$2:$C$29,MATCH('Source Data'!A37,'Category Mapping'!$A$2:$A$29,0))</f>
        <v>Residential</v>
      </c>
      <c r="AG37" t="str">
        <f>INDEX('Category Mapping'!$D$2:$D$29,MATCH('Source Data'!A37,'Category Mapping'!$A$2:$A$29,0))</f>
        <v>Heating</v>
      </c>
    </row>
    <row r="38" spans="1:33" x14ac:dyDescent="0.25">
      <c r="A38" s="57" t="s">
        <v>88</v>
      </c>
      <c r="B38" s="58">
        <v>2019</v>
      </c>
      <c r="C38" s="58">
        <v>19</v>
      </c>
      <c r="D38" s="58" t="s">
        <v>208</v>
      </c>
      <c r="E38" s="58">
        <v>12</v>
      </c>
      <c r="F38" s="58">
        <v>17500000</v>
      </c>
      <c r="G38" s="58">
        <v>17800000</v>
      </c>
      <c r="H38" s="58">
        <v>17900000</v>
      </c>
      <c r="I38" s="58">
        <v>17800000</v>
      </c>
      <c r="J38" s="58">
        <v>17500000</v>
      </c>
      <c r="K38" s="58">
        <v>21500000</v>
      </c>
      <c r="L38" s="58">
        <v>22700000</v>
      </c>
      <c r="M38" s="58">
        <v>22200000</v>
      </c>
      <c r="N38" s="58">
        <v>21200000</v>
      </c>
      <c r="O38" s="58">
        <v>15600000</v>
      </c>
      <c r="P38" s="58">
        <v>14900000</v>
      </c>
      <c r="Q38" s="58">
        <v>14800000</v>
      </c>
      <c r="R38" s="58">
        <v>14700000</v>
      </c>
      <c r="S38" s="58">
        <v>14500000</v>
      </c>
      <c r="T38" s="58">
        <v>14500000</v>
      </c>
      <c r="U38" s="58">
        <v>15200000</v>
      </c>
      <c r="V38" s="58">
        <v>16200000</v>
      </c>
      <c r="W38" s="58">
        <v>17400000</v>
      </c>
      <c r="X38" s="58">
        <v>18900000</v>
      </c>
      <c r="Y38" s="58">
        <v>20400000</v>
      </c>
      <c r="Z38" s="58">
        <v>21300000</v>
      </c>
      <c r="AA38" s="58">
        <v>20200000</v>
      </c>
      <c r="AB38" s="58">
        <v>17400000</v>
      </c>
      <c r="AC38" s="59">
        <v>17000000</v>
      </c>
      <c r="AD38" t="str">
        <f t="shared" si="0"/>
        <v>Winter</v>
      </c>
      <c r="AE38" t="str">
        <f>INDEX('Category Mapping'!$B$2:$B$29,MATCH('Source Data'!A38,'Category Mapping'!$A$2:$A$29,0))</f>
        <v>Weekday</v>
      </c>
      <c r="AF38" t="str">
        <f>INDEX('Category Mapping'!$C$2:$C$29,MATCH('Source Data'!A38,'Category Mapping'!$A$2:$A$29,0))</f>
        <v>Residential</v>
      </c>
      <c r="AG38" t="str">
        <f>INDEX('Category Mapping'!$D$2:$D$29,MATCH('Source Data'!A38,'Category Mapping'!$A$2:$A$29,0))</f>
        <v>Heating</v>
      </c>
    </row>
    <row r="39" spans="1:33" x14ac:dyDescent="0.25">
      <c r="A39" s="54" t="s">
        <v>89</v>
      </c>
      <c r="B39" s="55">
        <v>2019</v>
      </c>
      <c r="C39" s="55">
        <v>19</v>
      </c>
      <c r="D39" s="55" t="s">
        <v>208</v>
      </c>
      <c r="E39" s="55">
        <v>1</v>
      </c>
      <c r="F39" s="55">
        <v>11500000</v>
      </c>
      <c r="G39" s="55">
        <v>11700000</v>
      </c>
      <c r="H39" s="55">
        <v>11700000</v>
      </c>
      <c r="I39" s="55">
        <v>11700000</v>
      </c>
      <c r="J39" s="55">
        <v>11500000</v>
      </c>
      <c r="K39" s="55">
        <v>11900000</v>
      </c>
      <c r="L39" s="55">
        <v>12500000</v>
      </c>
      <c r="M39" s="55">
        <v>13300000</v>
      </c>
      <c r="N39" s="55">
        <v>13600000</v>
      </c>
      <c r="O39" s="55">
        <v>13300000</v>
      </c>
      <c r="P39" s="55">
        <v>12800000</v>
      </c>
      <c r="Q39" s="55">
        <v>10900000</v>
      </c>
      <c r="R39" s="55">
        <v>10700000</v>
      </c>
      <c r="S39" s="55">
        <v>10500000</v>
      </c>
      <c r="T39" s="55">
        <v>10400000</v>
      </c>
      <c r="U39" s="55">
        <v>10500000</v>
      </c>
      <c r="V39" s="55">
        <v>10800000</v>
      </c>
      <c r="W39" s="55">
        <v>11400000</v>
      </c>
      <c r="X39" s="55">
        <v>12100000</v>
      </c>
      <c r="Y39" s="55">
        <v>12800000</v>
      </c>
      <c r="Z39" s="55">
        <v>13300000</v>
      </c>
      <c r="AA39" s="55">
        <v>12800000</v>
      </c>
      <c r="AB39" s="55">
        <v>11600000</v>
      </c>
      <c r="AC39" s="56">
        <v>11100000</v>
      </c>
      <c r="AD39" t="str">
        <f t="shared" si="0"/>
        <v>Winter</v>
      </c>
      <c r="AE39" t="str">
        <f>INDEX('Category Mapping'!$B$2:$B$29,MATCH('Source Data'!A39,'Category Mapping'!$A$2:$A$29,0))</f>
        <v>Weekend</v>
      </c>
      <c r="AF39" t="str">
        <f>INDEX('Category Mapping'!$C$2:$C$29,MATCH('Source Data'!A39,'Category Mapping'!$A$2:$A$29,0))</f>
        <v>Residential</v>
      </c>
      <c r="AG39" t="str">
        <f>INDEX('Category Mapping'!$D$2:$D$29,MATCH('Source Data'!A39,'Category Mapping'!$A$2:$A$29,0))</f>
        <v>Heating</v>
      </c>
    </row>
    <row r="40" spans="1:33" x14ac:dyDescent="0.25">
      <c r="A40" s="57" t="s">
        <v>89</v>
      </c>
      <c r="B40" s="58">
        <v>2019</v>
      </c>
      <c r="C40" s="58">
        <v>19</v>
      </c>
      <c r="D40" s="58" t="s">
        <v>208</v>
      </c>
      <c r="E40" s="58">
        <v>2</v>
      </c>
      <c r="F40" s="58">
        <v>9218859</v>
      </c>
      <c r="G40" s="58">
        <v>9403205</v>
      </c>
      <c r="H40" s="58">
        <v>9465939</v>
      </c>
      <c r="I40" s="58">
        <v>9403205</v>
      </c>
      <c r="J40" s="58">
        <v>9218859</v>
      </c>
      <c r="K40" s="58">
        <v>9685058</v>
      </c>
      <c r="L40" s="58">
        <v>10200000</v>
      </c>
      <c r="M40" s="58">
        <v>10900000</v>
      </c>
      <c r="N40" s="58">
        <v>11200000</v>
      </c>
      <c r="O40" s="58">
        <v>10900000</v>
      </c>
      <c r="P40" s="58">
        <v>10500000</v>
      </c>
      <c r="Q40" s="58">
        <v>8566602</v>
      </c>
      <c r="R40" s="58">
        <v>8420815</v>
      </c>
      <c r="S40" s="58">
        <v>8230841</v>
      </c>
      <c r="T40" s="58">
        <v>8121941</v>
      </c>
      <c r="U40" s="58">
        <v>8195570</v>
      </c>
      <c r="V40" s="58">
        <v>8498767</v>
      </c>
      <c r="W40" s="58">
        <v>9013986</v>
      </c>
      <c r="X40" s="58">
        <v>9660495</v>
      </c>
      <c r="Y40" s="58">
        <v>10300000</v>
      </c>
      <c r="Z40" s="58">
        <v>10800000</v>
      </c>
      <c r="AA40" s="58">
        <v>10400000</v>
      </c>
      <c r="AB40" s="58">
        <v>9301245</v>
      </c>
      <c r="AC40" s="59">
        <v>8925870</v>
      </c>
      <c r="AD40" t="str">
        <f t="shared" si="0"/>
        <v>Winter</v>
      </c>
      <c r="AE40" t="str">
        <f>INDEX('Category Mapping'!$B$2:$B$29,MATCH('Source Data'!A40,'Category Mapping'!$A$2:$A$29,0))</f>
        <v>Weekend</v>
      </c>
      <c r="AF40" t="str">
        <f>INDEX('Category Mapping'!$C$2:$C$29,MATCH('Source Data'!A40,'Category Mapping'!$A$2:$A$29,0))</f>
        <v>Residential</v>
      </c>
      <c r="AG40" t="str">
        <f>INDEX('Category Mapping'!$D$2:$D$29,MATCH('Source Data'!A40,'Category Mapping'!$A$2:$A$29,0))</f>
        <v>Heating</v>
      </c>
    </row>
    <row r="41" spans="1:33" x14ac:dyDescent="0.25">
      <c r="A41" s="54" t="s">
        <v>89</v>
      </c>
      <c r="B41" s="55">
        <v>2019</v>
      </c>
      <c r="C41" s="55">
        <v>19</v>
      </c>
      <c r="D41" s="55" t="s">
        <v>208</v>
      </c>
      <c r="E41" s="55">
        <v>3</v>
      </c>
      <c r="F41" s="55">
        <v>7165946</v>
      </c>
      <c r="G41" s="55">
        <v>7341709</v>
      </c>
      <c r="H41" s="55">
        <v>7401971</v>
      </c>
      <c r="I41" s="55">
        <v>7341709</v>
      </c>
      <c r="J41" s="55">
        <v>7165946</v>
      </c>
      <c r="K41" s="55">
        <v>7760723</v>
      </c>
      <c r="L41" s="55">
        <v>8249120</v>
      </c>
      <c r="M41" s="55">
        <v>8920415</v>
      </c>
      <c r="N41" s="55">
        <v>9167345</v>
      </c>
      <c r="O41" s="55">
        <v>8886105</v>
      </c>
      <c r="P41" s="55">
        <v>8522854</v>
      </c>
      <c r="Q41" s="55">
        <v>6546186</v>
      </c>
      <c r="R41" s="55">
        <v>6648215</v>
      </c>
      <c r="S41" s="55">
        <v>6642837</v>
      </c>
      <c r="T41" s="55">
        <v>6598737</v>
      </c>
      <c r="U41" s="55">
        <v>6609144</v>
      </c>
      <c r="V41" s="55">
        <v>6722679</v>
      </c>
      <c r="W41" s="55">
        <v>6973553</v>
      </c>
      <c r="X41" s="55">
        <v>7590836</v>
      </c>
      <c r="Y41" s="55">
        <v>8239843</v>
      </c>
      <c r="Z41" s="55">
        <v>8668349</v>
      </c>
      <c r="AA41" s="55">
        <v>8269849</v>
      </c>
      <c r="AB41" s="55">
        <v>7245316</v>
      </c>
      <c r="AC41" s="56">
        <v>6886401</v>
      </c>
      <c r="AD41" t="str">
        <f t="shared" si="0"/>
        <v>Spring</v>
      </c>
      <c r="AE41" t="str">
        <f>INDEX('Category Mapping'!$B$2:$B$29,MATCH('Source Data'!A41,'Category Mapping'!$A$2:$A$29,0))</f>
        <v>Weekend</v>
      </c>
      <c r="AF41" t="str">
        <f>INDEX('Category Mapping'!$C$2:$C$29,MATCH('Source Data'!A41,'Category Mapping'!$A$2:$A$29,0))</f>
        <v>Residential</v>
      </c>
      <c r="AG41" t="str">
        <f>INDEX('Category Mapping'!$D$2:$D$29,MATCH('Source Data'!A41,'Category Mapping'!$A$2:$A$29,0))</f>
        <v>Heating</v>
      </c>
    </row>
    <row r="42" spans="1:33" x14ac:dyDescent="0.25">
      <c r="A42" s="57" t="s">
        <v>89</v>
      </c>
      <c r="B42" s="58">
        <v>2019</v>
      </c>
      <c r="C42" s="58">
        <v>19</v>
      </c>
      <c r="D42" s="58" t="s">
        <v>208</v>
      </c>
      <c r="E42" s="58">
        <v>4</v>
      </c>
      <c r="F42" s="58">
        <v>2996652</v>
      </c>
      <c r="G42" s="58">
        <v>3105374</v>
      </c>
      <c r="H42" s="58">
        <v>3142402</v>
      </c>
      <c r="I42" s="58">
        <v>3105374</v>
      </c>
      <c r="J42" s="58">
        <v>2996652</v>
      </c>
      <c r="K42" s="58">
        <v>3449882</v>
      </c>
      <c r="L42" s="58">
        <v>3870788</v>
      </c>
      <c r="M42" s="58">
        <v>4492762</v>
      </c>
      <c r="N42" s="58">
        <v>4881727</v>
      </c>
      <c r="O42" s="58">
        <v>4959783</v>
      </c>
      <c r="P42" s="58">
        <v>4973118</v>
      </c>
      <c r="Q42" s="58">
        <v>3828319</v>
      </c>
      <c r="R42" s="58">
        <v>3911243</v>
      </c>
      <c r="S42" s="58">
        <v>3908079</v>
      </c>
      <c r="T42" s="58">
        <v>3882134</v>
      </c>
      <c r="U42" s="58">
        <v>3888257</v>
      </c>
      <c r="V42" s="58">
        <v>3955051</v>
      </c>
      <c r="W42" s="58">
        <v>4079746</v>
      </c>
      <c r="X42" s="58">
        <v>4228393</v>
      </c>
      <c r="Y42" s="58">
        <v>4360468</v>
      </c>
      <c r="Z42" s="58">
        <v>4344700</v>
      </c>
      <c r="AA42" s="58">
        <v>3842194</v>
      </c>
      <c r="AB42" s="58">
        <v>3024241</v>
      </c>
      <c r="AC42" s="59">
        <v>2823919</v>
      </c>
      <c r="AD42" t="str">
        <f t="shared" si="0"/>
        <v>Spring</v>
      </c>
      <c r="AE42" t="str">
        <f>INDEX('Category Mapping'!$B$2:$B$29,MATCH('Source Data'!A42,'Category Mapping'!$A$2:$A$29,0))</f>
        <v>Weekend</v>
      </c>
      <c r="AF42" t="str">
        <f>INDEX('Category Mapping'!$C$2:$C$29,MATCH('Source Data'!A42,'Category Mapping'!$A$2:$A$29,0))</f>
        <v>Residential</v>
      </c>
      <c r="AG42" t="str">
        <f>INDEX('Category Mapping'!$D$2:$D$29,MATCH('Source Data'!A42,'Category Mapping'!$A$2:$A$29,0))</f>
        <v>Heating</v>
      </c>
    </row>
    <row r="43" spans="1:33" x14ac:dyDescent="0.25">
      <c r="A43" s="54" t="s">
        <v>89</v>
      </c>
      <c r="B43" s="55">
        <v>2019</v>
      </c>
      <c r="C43" s="55">
        <v>19</v>
      </c>
      <c r="D43" s="55" t="s">
        <v>208</v>
      </c>
      <c r="E43" s="55">
        <v>5</v>
      </c>
      <c r="F43" s="55">
        <v>783376</v>
      </c>
      <c r="G43" s="55">
        <v>783376</v>
      </c>
      <c r="H43" s="55">
        <v>783376</v>
      </c>
      <c r="I43" s="55">
        <v>783376</v>
      </c>
      <c r="J43" s="55">
        <v>783376</v>
      </c>
      <c r="K43" s="55">
        <v>1035251</v>
      </c>
      <c r="L43" s="55">
        <v>1182611</v>
      </c>
      <c r="M43" s="55">
        <v>1372637</v>
      </c>
      <c r="N43" s="55">
        <v>1491475</v>
      </c>
      <c r="O43" s="55">
        <v>1515322</v>
      </c>
      <c r="P43" s="55">
        <v>1519397</v>
      </c>
      <c r="Q43" s="55">
        <v>1169635</v>
      </c>
      <c r="R43" s="55">
        <v>1194971</v>
      </c>
      <c r="S43" s="55">
        <v>1194004</v>
      </c>
      <c r="T43" s="55">
        <v>1186077</v>
      </c>
      <c r="U43" s="55">
        <v>1187948</v>
      </c>
      <c r="V43" s="55">
        <v>1208355</v>
      </c>
      <c r="W43" s="55">
        <v>1246452</v>
      </c>
      <c r="X43" s="55">
        <v>1291867</v>
      </c>
      <c r="Y43" s="55">
        <v>1332219</v>
      </c>
      <c r="Z43" s="55">
        <v>1327401</v>
      </c>
      <c r="AA43" s="55">
        <v>1173875</v>
      </c>
      <c r="AB43" s="55">
        <v>913419</v>
      </c>
      <c r="AC43" s="56">
        <v>783376</v>
      </c>
      <c r="AD43" t="str">
        <f t="shared" si="0"/>
        <v>Spring</v>
      </c>
      <c r="AE43" t="str">
        <f>INDEX('Category Mapping'!$B$2:$B$29,MATCH('Source Data'!A43,'Category Mapping'!$A$2:$A$29,0))</f>
        <v>Weekend</v>
      </c>
      <c r="AF43" t="str">
        <f>INDEX('Category Mapping'!$C$2:$C$29,MATCH('Source Data'!A43,'Category Mapping'!$A$2:$A$29,0))</f>
        <v>Residential</v>
      </c>
      <c r="AG43" t="str">
        <f>INDEX('Category Mapping'!$D$2:$D$29,MATCH('Source Data'!A43,'Category Mapping'!$A$2:$A$29,0))</f>
        <v>Heating</v>
      </c>
    </row>
    <row r="44" spans="1:33" x14ac:dyDescent="0.25">
      <c r="A44" s="57" t="s">
        <v>89</v>
      </c>
      <c r="B44" s="58">
        <v>2019</v>
      </c>
      <c r="C44" s="58">
        <v>19</v>
      </c>
      <c r="D44" s="58" t="s">
        <v>208</v>
      </c>
      <c r="E44" s="58">
        <v>6</v>
      </c>
      <c r="F44" s="58">
        <v>134838</v>
      </c>
      <c r="G44" s="58">
        <v>134838</v>
      </c>
      <c r="H44" s="58">
        <v>134838</v>
      </c>
      <c r="I44" s="58">
        <v>134838</v>
      </c>
      <c r="J44" s="58">
        <v>134838</v>
      </c>
      <c r="K44" s="58">
        <v>178191</v>
      </c>
      <c r="L44" s="58">
        <v>203556</v>
      </c>
      <c r="M44" s="58">
        <v>236264</v>
      </c>
      <c r="N44" s="58">
        <v>256718</v>
      </c>
      <c r="O44" s="58">
        <v>260823</v>
      </c>
      <c r="P44" s="58">
        <v>261524</v>
      </c>
      <c r="Q44" s="58">
        <v>201322</v>
      </c>
      <c r="R44" s="58">
        <v>205683</v>
      </c>
      <c r="S44" s="58">
        <v>205517</v>
      </c>
      <c r="T44" s="58">
        <v>204152</v>
      </c>
      <c r="U44" s="58">
        <v>204474</v>
      </c>
      <c r="V44" s="58">
        <v>207987</v>
      </c>
      <c r="W44" s="58">
        <v>214544</v>
      </c>
      <c r="X44" s="58">
        <v>222361</v>
      </c>
      <c r="Y44" s="58">
        <v>229307</v>
      </c>
      <c r="Z44" s="58">
        <v>228478</v>
      </c>
      <c r="AA44" s="58">
        <v>202052</v>
      </c>
      <c r="AB44" s="58">
        <v>157221</v>
      </c>
      <c r="AC44" s="59">
        <v>134838</v>
      </c>
      <c r="AD44" t="str">
        <f t="shared" si="0"/>
        <v>Summer</v>
      </c>
      <c r="AE44" t="str">
        <f>INDEX('Category Mapping'!$B$2:$B$29,MATCH('Source Data'!A44,'Category Mapping'!$A$2:$A$29,0))</f>
        <v>Weekend</v>
      </c>
      <c r="AF44" t="str">
        <f>INDEX('Category Mapping'!$C$2:$C$29,MATCH('Source Data'!A44,'Category Mapping'!$A$2:$A$29,0))</f>
        <v>Residential</v>
      </c>
      <c r="AG44" t="str">
        <f>INDEX('Category Mapping'!$D$2:$D$29,MATCH('Source Data'!A44,'Category Mapping'!$A$2:$A$29,0))</f>
        <v>Heating</v>
      </c>
    </row>
    <row r="45" spans="1:33" x14ac:dyDescent="0.25">
      <c r="A45" s="54" t="s">
        <v>89</v>
      </c>
      <c r="B45" s="55">
        <v>2019</v>
      </c>
      <c r="C45" s="55">
        <v>19</v>
      </c>
      <c r="D45" s="55" t="s">
        <v>208</v>
      </c>
      <c r="E45" s="55">
        <v>7</v>
      </c>
      <c r="F45" s="55">
        <v>26531</v>
      </c>
      <c r="G45" s="55">
        <v>26531</v>
      </c>
      <c r="H45" s="55">
        <v>26531</v>
      </c>
      <c r="I45" s="55">
        <v>26531</v>
      </c>
      <c r="J45" s="55">
        <v>26531</v>
      </c>
      <c r="K45" s="55">
        <v>35061</v>
      </c>
      <c r="L45" s="55">
        <v>40051</v>
      </c>
      <c r="M45" s="55">
        <v>46487</v>
      </c>
      <c r="N45" s="55">
        <v>50512</v>
      </c>
      <c r="O45" s="55">
        <v>51319</v>
      </c>
      <c r="P45" s="55">
        <v>51457</v>
      </c>
      <c r="Q45" s="55">
        <v>39612</v>
      </c>
      <c r="R45" s="55">
        <v>40470</v>
      </c>
      <c r="S45" s="55">
        <v>40437</v>
      </c>
      <c r="T45" s="55">
        <v>40169</v>
      </c>
      <c r="U45" s="55">
        <v>40232</v>
      </c>
      <c r="V45" s="55">
        <v>40923</v>
      </c>
      <c r="W45" s="55">
        <v>42213</v>
      </c>
      <c r="X45" s="55">
        <v>43752</v>
      </c>
      <c r="Y45" s="55">
        <v>45118</v>
      </c>
      <c r="Z45" s="55">
        <v>44955</v>
      </c>
      <c r="AA45" s="55">
        <v>39756</v>
      </c>
      <c r="AB45" s="55">
        <v>30935</v>
      </c>
      <c r="AC45" s="56">
        <v>26531</v>
      </c>
      <c r="AD45" t="str">
        <f t="shared" si="0"/>
        <v>Summer</v>
      </c>
      <c r="AE45" t="str">
        <f>INDEX('Category Mapping'!$B$2:$B$29,MATCH('Source Data'!A45,'Category Mapping'!$A$2:$A$29,0))</f>
        <v>Weekend</v>
      </c>
      <c r="AF45" t="str">
        <f>INDEX('Category Mapping'!$C$2:$C$29,MATCH('Source Data'!A45,'Category Mapping'!$A$2:$A$29,0))</f>
        <v>Residential</v>
      </c>
      <c r="AG45" t="str">
        <f>INDEX('Category Mapping'!$D$2:$D$29,MATCH('Source Data'!A45,'Category Mapping'!$A$2:$A$29,0))</f>
        <v>Heating</v>
      </c>
    </row>
    <row r="46" spans="1:33" x14ac:dyDescent="0.25">
      <c r="A46" s="57" t="s">
        <v>89</v>
      </c>
      <c r="B46" s="58">
        <v>2019</v>
      </c>
      <c r="C46" s="58">
        <v>19</v>
      </c>
      <c r="D46" s="58" t="s">
        <v>208</v>
      </c>
      <c r="E46" s="58">
        <v>8</v>
      </c>
      <c r="F46" s="58">
        <v>27769</v>
      </c>
      <c r="G46" s="58">
        <v>27769</v>
      </c>
      <c r="H46" s="58">
        <v>27769</v>
      </c>
      <c r="I46" s="58">
        <v>27769</v>
      </c>
      <c r="J46" s="58">
        <v>27769</v>
      </c>
      <c r="K46" s="58">
        <v>36698</v>
      </c>
      <c r="L46" s="58">
        <v>41921</v>
      </c>
      <c r="M46" s="58">
        <v>48657</v>
      </c>
      <c r="N46" s="58">
        <v>52870</v>
      </c>
      <c r="O46" s="58">
        <v>53715</v>
      </c>
      <c r="P46" s="58">
        <v>53860</v>
      </c>
      <c r="Q46" s="58">
        <v>41461</v>
      </c>
      <c r="R46" s="58">
        <v>42359</v>
      </c>
      <c r="S46" s="58">
        <v>42325</v>
      </c>
      <c r="T46" s="58">
        <v>42044</v>
      </c>
      <c r="U46" s="58">
        <v>42110</v>
      </c>
      <c r="V46" s="58">
        <v>42834</v>
      </c>
      <c r="W46" s="58">
        <v>44184</v>
      </c>
      <c r="X46" s="58">
        <v>45794</v>
      </c>
      <c r="Y46" s="58">
        <v>47225</v>
      </c>
      <c r="Z46" s="58">
        <v>47054</v>
      </c>
      <c r="AA46" s="58">
        <v>41612</v>
      </c>
      <c r="AB46" s="58">
        <v>32379</v>
      </c>
      <c r="AC46" s="59">
        <v>27769</v>
      </c>
      <c r="AD46" t="str">
        <f t="shared" si="0"/>
        <v>Summer</v>
      </c>
      <c r="AE46" t="str">
        <f>INDEX('Category Mapping'!$B$2:$B$29,MATCH('Source Data'!A46,'Category Mapping'!$A$2:$A$29,0))</f>
        <v>Weekend</v>
      </c>
      <c r="AF46" t="str">
        <f>INDEX('Category Mapping'!$C$2:$C$29,MATCH('Source Data'!A46,'Category Mapping'!$A$2:$A$29,0))</f>
        <v>Residential</v>
      </c>
      <c r="AG46" t="str">
        <f>INDEX('Category Mapping'!$D$2:$D$29,MATCH('Source Data'!A46,'Category Mapping'!$A$2:$A$29,0))</f>
        <v>Heating</v>
      </c>
    </row>
    <row r="47" spans="1:33" x14ac:dyDescent="0.25">
      <c r="A47" s="54" t="s">
        <v>89</v>
      </c>
      <c r="B47" s="55">
        <v>2019</v>
      </c>
      <c r="C47" s="55">
        <v>19</v>
      </c>
      <c r="D47" s="55" t="s">
        <v>208</v>
      </c>
      <c r="E47" s="55">
        <v>9</v>
      </c>
      <c r="F47" s="55">
        <v>275130</v>
      </c>
      <c r="G47" s="55">
        <v>275130</v>
      </c>
      <c r="H47" s="55">
        <v>275130</v>
      </c>
      <c r="I47" s="55">
        <v>275130</v>
      </c>
      <c r="J47" s="55">
        <v>275130</v>
      </c>
      <c r="K47" s="55">
        <v>363591</v>
      </c>
      <c r="L47" s="55">
        <v>415345</v>
      </c>
      <c r="M47" s="55">
        <v>482085</v>
      </c>
      <c r="N47" s="55">
        <v>523822</v>
      </c>
      <c r="O47" s="55">
        <v>532197</v>
      </c>
      <c r="P47" s="55">
        <v>533628</v>
      </c>
      <c r="Q47" s="55">
        <v>410788</v>
      </c>
      <c r="R47" s="55">
        <v>419686</v>
      </c>
      <c r="S47" s="55">
        <v>419347</v>
      </c>
      <c r="T47" s="55">
        <v>416563</v>
      </c>
      <c r="U47" s="55">
        <v>417220</v>
      </c>
      <c r="V47" s="55">
        <v>424387</v>
      </c>
      <c r="W47" s="55">
        <v>437767</v>
      </c>
      <c r="X47" s="55">
        <v>453717</v>
      </c>
      <c r="Y47" s="55">
        <v>467889</v>
      </c>
      <c r="Z47" s="55">
        <v>466197</v>
      </c>
      <c r="AA47" s="55">
        <v>412277</v>
      </c>
      <c r="AB47" s="55">
        <v>320802</v>
      </c>
      <c r="AC47" s="56">
        <v>275130</v>
      </c>
      <c r="AD47" t="str">
        <f t="shared" si="0"/>
        <v>Fall</v>
      </c>
      <c r="AE47" t="str">
        <f>INDEX('Category Mapping'!$B$2:$B$29,MATCH('Source Data'!A47,'Category Mapping'!$A$2:$A$29,0))</f>
        <v>Weekend</v>
      </c>
      <c r="AF47" t="str">
        <f>INDEX('Category Mapping'!$C$2:$C$29,MATCH('Source Data'!A47,'Category Mapping'!$A$2:$A$29,0))</f>
        <v>Residential</v>
      </c>
      <c r="AG47" t="str">
        <f>INDEX('Category Mapping'!$D$2:$D$29,MATCH('Source Data'!A47,'Category Mapping'!$A$2:$A$29,0))</f>
        <v>Heating</v>
      </c>
    </row>
    <row r="48" spans="1:33" x14ac:dyDescent="0.25">
      <c r="A48" s="57" t="s">
        <v>89</v>
      </c>
      <c r="B48" s="58">
        <v>2019</v>
      </c>
      <c r="C48" s="58">
        <v>19</v>
      </c>
      <c r="D48" s="58" t="s">
        <v>208</v>
      </c>
      <c r="E48" s="58">
        <v>10</v>
      </c>
      <c r="F48" s="58">
        <v>1927719</v>
      </c>
      <c r="G48" s="58">
        <v>1927719</v>
      </c>
      <c r="H48" s="58">
        <v>1943514</v>
      </c>
      <c r="I48" s="58">
        <v>1927719</v>
      </c>
      <c r="J48" s="58">
        <v>1927719</v>
      </c>
      <c r="K48" s="58">
        <v>2547530</v>
      </c>
      <c r="L48" s="58">
        <v>2910151</v>
      </c>
      <c r="M48" s="58">
        <v>3377765</v>
      </c>
      <c r="N48" s="58">
        <v>3670199</v>
      </c>
      <c r="O48" s="58">
        <v>3728883</v>
      </c>
      <c r="P48" s="58">
        <v>3738908</v>
      </c>
      <c r="Q48" s="58">
        <v>2878221</v>
      </c>
      <c r="R48" s="58">
        <v>2940566</v>
      </c>
      <c r="S48" s="58">
        <v>2938187</v>
      </c>
      <c r="T48" s="58">
        <v>2918681</v>
      </c>
      <c r="U48" s="58">
        <v>2923284</v>
      </c>
      <c r="V48" s="58">
        <v>2973502</v>
      </c>
      <c r="W48" s="58">
        <v>3067250</v>
      </c>
      <c r="X48" s="58">
        <v>3179007</v>
      </c>
      <c r="Y48" s="58">
        <v>3278304</v>
      </c>
      <c r="Z48" s="58">
        <v>3266449</v>
      </c>
      <c r="AA48" s="58">
        <v>2888653</v>
      </c>
      <c r="AB48" s="58">
        <v>2247729</v>
      </c>
      <c r="AC48" s="59">
        <v>1927719</v>
      </c>
      <c r="AD48" t="str">
        <f t="shared" si="0"/>
        <v>Fall</v>
      </c>
      <c r="AE48" t="str">
        <f>INDEX('Category Mapping'!$B$2:$B$29,MATCH('Source Data'!A48,'Category Mapping'!$A$2:$A$29,0))</f>
        <v>Weekend</v>
      </c>
      <c r="AF48" t="str">
        <f>INDEX('Category Mapping'!$C$2:$C$29,MATCH('Source Data'!A48,'Category Mapping'!$A$2:$A$29,0))</f>
        <v>Residential</v>
      </c>
      <c r="AG48" t="str">
        <f>INDEX('Category Mapping'!$D$2:$D$29,MATCH('Source Data'!A48,'Category Mapping'!$A$2:$A$29,0))</f>
        <v>Heating</v>
      </c>
    </row>
    <row r="49" spans="1:33" x14ac:dyDescent="0.25">
      <c r="A49" s="54" t="s">
        <v>89</v>
      </c>
      <c r="B49" s="55">
        <v>2019</v>
      </c>
      <c r="C49" s="55">
        <v>19</v>
      </c>
      <c r="D49" s="55" t="s">
        <v>208</v>
      </c>
      <c r="E49" s="55">
        <v>11</v>
      </c>
      <c r="F49" s="55">
        <v>5753227</v>
      </c>
      <c r="G49" s="55">
        <v>5903270</v>
      </c>
      <c r="H49" s="55">
        <v>5954427</v>
      </c>
      <c r="I49" s="55">
        <v>5903270</v>
      </c>
      <c r="J49" s="55">
        <v>5753227</v>
      </c>
      <c r="K49" s="55">
        <v>6293809</v>
      </c>
      <c r="L49" s="55">
        <v>6710736</v>
      </c>
      <c r="M49" s="55">
        <v>7283799</v>
      </c>
      <c r="N49" s="55">
        <v>7494595</v>
      </c>
      <c r="O49" s="55">
        <v>7254250</v>
      </c>
      <c r="P49" s="55">
        <v>7216180</v>
      </c>
      <c r="Q49" s="55">
        <v>5555034</v>
      </c>
      <c r="R49" s="55">
        <v>5675360</v>
      </c>
      <c r="S49" s="55">
        <v>5670770</v>
      </c>
      <c r="T49" s="55">
        <v>5633123</v>
      </c>
      <c r="U49" s="55">
        <v>5642007</v>
      </c>
      <c r="V49" s="55">
        <v>5738928</v>
      </c>
      <c r="W49" s="55">
        <v>5919864</v>
      </c>
      <c r="X49" s="55">
        <v>6135557</v>
      </c>
      <c r="Y49" s="55">
        <v>6669404</v>
      </c>
      <c r="Z49" s="55">
        <v>7035493</v>
      </c>
      <c r="AA49" s="55">
        <v>6695306</v>
      </c>
      <c r="AB49" s="55">
        <v>5820696</v>
      </c>
      <c r="AC49" s="56">
        <v>5514302</v>
      </c>
      <c r="AD49" t="str">
        <f t="shared" si="0"/>
        <v>Winter</v>
      </c>
      <c r="AE49" t="str">
        <f>INDEX('Category Mapping'!$B$2:$B$29,MATCH('Source Data'!A49,'Category Mapping'!$A$2:$A$29,0))</f>
        <v>Weekend</v>
      </c>
      <c r="AF49" t="str">
        <f>INDEX('Category Mapping'!$C$2:$C$29,MATCH('Source Data'!A49,'Category Mapping'!$A$2:$A$29,0))</f>
        <v>Residential</v>
      </c>
      <c r="AG49" t="str">
        <f>INDEX('Category Mapping'!$D$2:$D$29,MATCH('Source Data'!A49,'Category Mapping'!$A$2:$A$29,0))</f>
        <v>Heating</v>
      </c>
    </row>
    <row r="50" spans="1:33" x14ac:dyDescent="0.25">
      <c r="A50" s="57" t="s">
        <v>89</v>
      </c>
      <c r="B50" s="58">
        <v>2019</v>
      </c>
      <c r="C50" s="58">
        <v>19</v>
      </c>
      <c r="D50" s="58" t="s">
        <v>208</v>
      </c>
      <c r="E50" s="58">
        <v>12</v>
      </c>
      <c r="F50" s="58">
        <v>9631397</v>
      </c>
      <c r="G50" s="58">
        <v>9803247</v>
      </c>
      <c r="H50" s="58">
        <v>9862094</v>
      </c>
      <c r="I50" s="58">
        <v>9803247</v>
      </c>
      <c r="J50" s="58">
        <v>9631397</v>
      </c>
      <c r="K50" s="58">
        <v>10100000</v>
      </c>
      <c r="L50" s="58">
        <v>10700000</v>
      </c>
      <c r="M50" s="58">
        <v>11400000</v>
      </c>
      <c r="N50" s="58">
        <v>11800000</v>
      </c>
      <c r="O50" s="58">
        <v>11500000</v>
      </c>
      <c r="P50" s="58">
        <v>11100000</v>
      </c>
      <c r="Q50" s="58">
        <v>9242526</v>
      </c>
      <c r="R50" s="58">
        <v>9120867</v>
      </c>
      <c r="S50" s="58">
        <v>8943217</v>
      </c>
      <c r="T50" s="58">
        <v>8837173</v>
      </c>
      <c r="U50" s="58">
        <v>8906883</v>
      </c>
      <c r="V50" s="58">
        <v>9201168</v>
      </c>
      <c r="W50" s="58">
        <v>9703395</v>
      </c>
      <c r="X50" s="58">
        <v>10300000</v>
      </c>
      <c r="Y50" s="58">
        <v>11000000</v>
      </c>
      <c r="Z50" s="58">
        <v>11400000</v>
      </c>
      <c r="AA50" s="58">
        <v>10900000</v>
      </c>
      <c r="AB50" s="58">
        <v>9781972</v>
      </c>
      <c r="AC50" s="59">
        <v>9358097</v>
      </c>
      <c r="AD50" t="str">
        <f t="shared" si="0"/>
        <v>Winter</v>
      </c>
      <c r="AE50" t="str">
        <f>INDEX('Category Mapping'!$B$2:$B$29,MATCH('Source Data'!A50,'Category Mapping'!$A$2:$A$29,0))</f>
        <v>Weekend</v>
      </c>
      <c r="AF50" t="str">
        <f>INDEX('Category Mapping'!$C$2:$C$29,MATCH('Source Data'!A50,'Category Mapping'!$A$2:$A$29,0))</f>
        <v>Residential</v>
      </c>
      <c r="AG50" t="str">
        <f>INDEX('Category Mapping'!$D$2:$D$29,MATCH('Source Data'!A50,'Category Mapping'!$A$2:$A$29,0))</f>
        <v>Heating</v>
      </c>
    </row>
    <row r="51" spans="1:33" x14ac:dyDescent="0.25">
      <c r="A51" s="54" t="s">
        <v>90</v>
      </c>
      <c r="B51" s="55">
        <v>2019</v>
      </c>
      <c r="C51" s="55">
        <v>19</v>
      </c>
      <c r="D51" s="55" t="s">
        <v>208</v>
      </c>
      <c r="E51" s="55">
        <v>1</v>
      </c>
      <c r="F51" s="55">
        <v>11700000</v>
      </c>
      <c r="G51" s="55">
        <v>10800000</v>
      </c>
      <c r="H51" s="55">
        <v>10700000</v>
      </c>
      <c r="I51" s="55">
        <v>10900000</v>
      </c>
      <c r="J51" s="55">
        <v>14100000</v>
      </c>
      <c r="K51" s="55">
        <v>24200000</v>
      </c>
      <c r="L51" s="55">
        <v>35300000</v>
      </c>
      <c r="M51" s="55">
        <v>33200000</v>
      </c>
      <c r="N51" s="55">
        <v>10700000</v>
      </c>
      <c r="O51" s="55">
        <v>10300000</v>
      </c>
      <c r="P51" s="55">
        <v>10500000</v>
      </c>
      <c r="Q51" s="55">
        <v>11500000</v>
      </c>
      <c r="R51" s="55">
        <v>12100000</v>
      </c>
      <c r="S51" s="55">
        <v>12300000</v>
      </c>
      <c r="T51" s="55">
        <v>12600000</v>
      </c>
      <c r="U51" s="55">
        <v>13600000</v>
      </c>
      <c r="V51" s="55">
        <v>45100000</v>
      </c>
      <c r="W51" s="55">
        <v>54100000</v>
      </c>
      <c r="X51" s="55">
        <v>59200000</v>
      </c>
      <c r="Y51" s="55">
        <v>63700000</v>
      </c>
      <c r="Z51" s="55">
        <v>64700000</v>
      </c>
      <c r="AA51" s="55">
        <v>53000000</v>
      </c>
      <c r="AB51" s="55">
        <v>31500000</v>
      </c>
      <c r="AC51" s="56">
        <v>16600000</v>
      </c>
      <c r="AD51" t="str">
        <f t="shared" si="0"/>
        <v>Winter</v>
      </c>
      <c r="AE51" t="str">
        <f>INDEX('Category Mapping'!$B$2:$B$29,MATCH('Source Data'!A51,'Category Mapping'!$A$2:$A$29,0))</f>
        <v>Weekday</v>
      </c>
      <c r="AF51" t="str">
        <f>INDEX('Category Mapping'!$C$2:$C$29,MATCH('Source Data'!A51,'Category Mapping'!$A$2:$A$29,0))</f>
        <v>Residential</v>
      </c>
      <c r="AG51" t="str">
        <f>INDEX('Category Mapping'!$D$2:$D$29,MATCH('Source Data'!A51,'Category Mapping'!$A$2:$A$29,0))</f>
        <v>Lighting</v>
      </c>
    </row>
    <row r="52" spans="1:33" x14ac:dyDescent="0.25">
      <c r="A52" s="57" t="s">
        <v>90</v>
      </c>
      <c r="B52" s="58">
        <v>2019</v>
      </c>
      <c r="C52" s="58">
        <v>19</v>
      </c>
      <c r="D52" s="58" t="s">
        <v>208</v>
      </c>
      <c r="E52" s="58">
        <v>2</v>
      </c>
      <c r="F52" s="58">
        <v>11400000</v>
      </c>
      <c r="G52" s="58">
        <v>10500000</v>
      </c>
      <c r="H52" s="58">
        <v>10400000</v>
      </c>
      <c r="I52" s="58">
        <v>10600000</v>
      </c>
      <c r="J52" s="58">
        <v>13700000</v>
      </c>
      <c r="K52" s="58">
        <v>23500000</v>
      </c>
      <c r="L52" s="58">
        <v>34300000</v>
      </c>
      <c r="M52" s="58">
        <v>16900000</v>
      </c>
      <c r="N52" s="58">
        <v>10400000</v>
      </c>
      <c r="O52" s="58">
        <v>10000000</v>
      </c>
      <c r="P52" s="58">
        <v>10200000</v>
      </c>
      <c r="Q52" s="58">
        <v>11200000</v>
      </c>
      <c r="R52" s="58">
        <v>11800000</v>
      </c>
      <c r="S52" s="58">
        <v>12000000</v>
      </c>
      <c r="T52" s="58">
        <v>12300000</v>
      </c>
      <c r="U52" s="58">
        <v>13300000</v>
      </c>
      <c r="V52" s="58">
        <v>22900000</v>
      </c>
      <c r="W52" s="58">
        <v>52500000</v>
      </c>
      <c r="X52" s="58">
        <v>57500000</v>
      </c>
      <c r="Y52" s="58">
        <v>61900000</v>
      </c>
      <c r="Z52" s="58">
        <v>62900000</v>
      </c>
      <c r="AA52" s="58">
        <v>51500000</v>
      </c>
      <c r="AB52" s="58">
        <v>30600000</v>
      </c>
      <c r="AC52" s="59">
        <v>16100000</v>
      </c>
      <c r="AD52" t="str">
        <f t="shared" si="0"/>
        <v>Winter</v>
      </c>
      <c r="AE52" t="str">
        <f>INDEX('Category Mapping'!$B$2:$B$29,MATCH('Source Data'!A52,'Category Mapping'!$A$2:$A$29,0))</f>
        <v>Weekday</v>
      </c>
      <c r="AF52" t="str">
        <f>INDEX('Category Mapping'!$C$2:$C$29,MATCH('Source Data'!A52,'Category Mapping'!$A$2:$A$29,0))</f>
        <v>Residential</v>
      </c>
      <c r="AG52" t="str">
        <f>INDEX('Category Mapping'!$D$2:$D$29,MATCH('Source Data'!A52,'Category Mapping'!$A$2:$A$29,0))</f>
        <v>Lighting</v>
      </c>
    </row>
    <row r="53" spans="1:33" x14ac:dyDescent="0.25">
      <c r="A53" s="54" t="s">
        <v>90</v>
      </c>
      <c r="B53" s="55">
        <v>2019</v>
      </c>
      <c r="C53" s="55">
        <v>19</v>
      </c>
      <c r="D53" s="55" t="s">
        <v>208</v>
      </c>
      <c r="E53" s="55">
        <v>3</v>
      </c>
      <c r="F53" s="55">
        <v>10500000</v>
      </c>
      <c r="G53" s="55">
        <v>9700166</v>
      </c>
      <c r="H53" s="55">
        <v>9604977</v>
      </c>
      <c r="I53" s="55">
        <v>9819097</v>
      </c>
      <c r="J53" s="55">
        <v>12600000</v>
      </c>
      <c r="K53" s="55">
        <v>21700000</v>
      </c>
      <c r="L53" s="55">
        <v>31200000</v>
      </c>
      <c r="M53" s="55">
        <v>10500000</v>
      </c>
      <c r="N53" s="55">
        <v>9639399</v>
      </c>
      <c r="O53" s="55">
        <v>9272622</v>
      </c>
      <c r="P53" s="55">
        <v>9424134</v>
      </c>
      <c r="Q53" s="55">
        <v>10300000</v>
      </c>
      <c r="R53" s="55">
        <v>10900000</v>
      </c>
      <c r="S53" s="55">
        <v>11000000</v>
      </c>
      <c r="T53" s="55">
        <v>11300000</v>
      </c>
      <c r="U53" s="55">
        <v>12200000</v>
      </c>
      <c r="V53" s="55">
        <v>14200000</v>
      </c>
      <c r="W53" s="55">
        <v>47800000</v>
      </c>
      <c r="X53" s="55">
        <v>53200000</v>
      </c>
      <c r="Y53" s="55">
        <v>57200000</v>
      </c>
      <c r="Z53" s="55">
        <v>58100000</v>
      </c>
      <c r="AA53" s="55">
        <v>47600000</v>
      </c>
      <c r="AB53" s="55">
        <v>28300000</v>
      </c>
      <c r="AC53" s="56">
        <v>14900000</v>
      </c>
      <c r="AD53" t="str">
        <f t="shared" si="0"/>
        <v>Spring</v>
      </c>
      <c r="AE53" t="str">
        <f>INDEX('Category Mapping'!$B$2:$B$29,MATCH('Source Data'!A53,'Category Mapping'!$A$2:$A$29,0))</f>
        <v>Weekday</v>
      </c>
      <c r="AF53" t="str">
        <f>INDEX('Category Mapping'!$C$2:$C$29,MATCH('Source Data'!A53,'Category Mapping'!$A$2:$A$29,0))</f>
        <v>Residential</v>
      </c>
      <c r="AG53" t="str">
        <f>INDEX('Category Mapping'!$D$2:$D$29,MATCH('Source Data'!A53,'Category Mapping'!$A$2:$A$29,0))</f>
        <v>Lighting</v>
      </c>
    </row>
    <row r="54" spans="1:33" x14ac:dyDescent="0.25">
      <c r="A54" s="57" t="s">
        <v>90</v>
      </c>
      <c r="B54" s="58">
        <v>2019</v>
      </c>
      <c r="C54" s="58">
        <v>19</v>
      </c>
      <c r="D54" s="58" t="s">
        <v>208</v>
      </c>
      <c r="E54" s="58">
        <v>4</v>
      </c>
      <c r="F54" s="58">
        <v>10400000</v>
      </c>
      <c r="G54" s="58">
        <v>9589808</v>
      </c>
      <c r="H54" s="58">
        <v>9495704</v>
      </c>
      <c r="I54" s="58">
        <v>9707388</v>
      </c>
      <c r="J54" s="58">
        <v>12500000</v>
      </c>
      <c r="K54" s="58">
        <v>21500000</v>
      </c>
      <c r="L54" s="58">
        <v>14900000</v>
      </c>
      <c r="M54" s="58">
        <v>9730725</v>
      </c>
      <c r="N54" s="58">
        <v>9529734</v>
      </c>
      <c r="O54" s="58">
        <v>9167130</v>
      </c>
      <c r="P54" s="58">
        <v>9316919</v>
      </c>
      <c r="Q54" s="58">
        <v>10200000</v>
      </c>
      <c r="R54" s="58">
        <v>10800000</v>
      </c>
      <c r="S54" s="58">
        <v>10900000</v>
      </c>
      <c r="T54" s="58">
        <v>11200000</v>
      </c>
      <c r="U54" s="58">
        <v>12100000</v>
      </c>
      <c r="V54" s="58">
        <v>13200000</v>
      </c>
      <c r="W54" s="58">
        <v>22800000</v>
      </c>
      <c r="X54" s="58">
        <v>52600000</v>
      </c>
      <c r="Y54" s="58">
        <v>56600000</v>
      </c>
      <c r="Z54" s="58">
        <v>57500000</v>
      </c>
      <c r="AA54" s="58">
        <v>47000000</v>
      </c>
      <c r="AB54" s="58">
        <v>28000000</v>
      </c>
      <c r="AC54" s="59">
        <v>14700000</v>
      </c>
      <c r="AD54" t="str">
        <f t="shared" si="0"/>
        <v>Spring</v>
      </c>
      <c r="AE54" t="str">
        <f>INDEX('Category Mapping'!$B$2:$B$29,MATCH('Source Data'!A54,'Category Mapping'!$A$2:$A$29,0))</f>
        <v>Weekday</v>
      </c>
      <c r="AF54" t="str">
        <f>INDEX('Category Mapping'!$C$2:$C$29,MATCH('Source Data'!A54,'Category Mapping'!$A$2:$A$29,0))</f>
        <v>Residential</v>
      </c>
      <c r="AG54" t="str">
        <f>INDEX('Category Mapping'!$D$2:$D$29,MATCH('Source Data'!A54,'Category Mapping'!$A$2:$A$29,0))</f>
        <v>Lighting</v>
      </c>
    </row>
    <row r="55" spans="1:33" x14ac:dyDescent="0.25">
      <c r="A55" s="54" t="s">
        <v>90</v>
      </c>
      <c r="B55" s="55">
        <v>2019</v>
      </c>
      <c r="C55" s="55">
        <v>19</v>
      </c>
      <c r="D55" s="55" t="s">
        <v>208</v>
      </c>
      <c r="E55" s="55">
        <v>5</v>
      </c>
      <c r="F55" s="55">
        <v>9967663</v>
      </c>
      <c r="G55" s="55">
        <v>9185694</v>
      </c>
      <c r="H55" s="55">
        <v>9095554</v>
      </c>
      <c r="I55" s="55">
        <v>9298318</v>
      </c>
      <c r="J55" s="55">
        <v>12000000</v>
      </c>
      <c r="K55" s="55">
        <v>19100000</v>
      </c>
      <c r="L55" s="55">
        <v>10500000</v>
      </c>
      <c r="M55" s="55">
        <v>9320671</v>
      </c>
      <c r="N55" s="55">
        <v>9128150</v>
      </c>
      <c r="O55" s="55">
        <v>8780826</v>
      </c>
      <c r="P55" s="55">
        <v>8924303</v>
      </c>
      <c r="Q55" s="55">
        <v>9783070</v>
      </c>
      <c r="R55" s="55">
        <v>10300000</v>
      </c>
      <c r="S55" s="55">
        <v>10500000</v>
      </c>
      <c r="T55" s="55">
        <v>10700000</v>
      </c>
      <c r="U55" s="55">
        <v>11600000</v>
      </c>
      <c r="V55" s="55">
        <v>12600000</v>
      </c>
      <c r="W55" s="55">
        <v>16000000</v>
      </c>
      <c r="X55" s="55">
        <v>46700000</v>
      </c>
      <c r="Y55" s="55">
        <v>54200000</v>
      </c>
      <c r="Z55" s="55">
        <v>55000000</v>
      </c>
      <c r="AA55" s="55">
        <v>45100000</v>
      </c>
      <c r="AB55" s="55">
        <v>26800000</v>
      </c>
      <c r="AC55" s="56">
        <v>14100000</v>
      </c>
      <c r="AD55" t="str">
        <f t="shared" si="0"/>
        <v>Spring</v>
      </c>
      <c r="AE55" t="str">
        <f>INDEX('Category Mapping'!$B$2:$B$29,MATCH('Source Data'!A55,'Category Mapping'!$A$2:$A$29,0))</f>
        <v>Weekday</v>
      </c>
      <c r="AF55" t="str">
        <f>INDEX('Category Mapping'!$C$2:$C$29,MATCH('Source Data'!A55,'Category Mapping'!$A$2:$A$29,0))</f>
        <v>Residential</v>
      </c>
      <c r="AG55" t="str">
        <f>INDEX('Category Mapping'!$D$2:$D$29,MATCH('Source Data'!A55,'Category Mapping'!$A$2:$A$29,0))</f>
        <v>Lighting</v>
      </c>
    </row>
    <row r="56" spans="1:33" x14ac:dyDescent="0.25">
      <c r="A56" s="57" t="s">
        <v>90</v>
      </c>
      <c r="B56" s="58">
        <v>2019</v>
      </c>
      <c r="C56" s="58">
        <v>19</v>
      </c>
      <c r="D56" s="58" t="s">
        <v>208</v>
      </c>
      <c r="E56" s="58">
        <v>6</v>
      </c>
      <c r="F56" s="58">
        <v>10100000</v>
      </c>
      <c r="G56" s="58">
        <v>9311343</v>
      </c>
      <c r="H56" s="58">
        <v>9219972</v>
      </c>
      <c r="I56" s="58">
        <v>9425508</v>
      </c>
      <c r="J56" s="58">
        <v>12100000</v>
      </c>
      <c r="K56" s="58">
        <v>13600000</v>
      </c>
      <c r="L56" s="58">
        <v>9418487</v>
      </c>
      <c r="M56" s="58">
        <v>9448167</v>
      </c>
      <c r="N56" s="58">
        <v>9253012</v>
      </c>
      <c r="O56" s="58">
        <v>8900938</v>
      </c>
      <c r="P56" s="58">
        <v>9046377</v>
      </c>
      <c r="Q56" s="58">
        <v>9916891</v>
      </c>
      <c r="R56" s="58">
        <v>10400000</v>
      </c>
      <c r="S56" s="58">
        <v>10600000</v>
      </c>
      <c r="T56" s="58">
        <v>10900000</v>
      </c>
      <c r="U56" s="58">
        <v>11800000</v>
      </c>
      <c r="V56" s="58">
        <v>12800000</v>
      </c>
      <c r="W56" s="58">
        <v>14400000</v>
      </c>
      <c r="X56" s="58">
        <v>33200000</v>
      </c>
      <c r="Y56" s="58">
        <v>54900000</v>
      </c>
      <c r="Z56" s="58">
        <v>55800000</v>
      </c>
      <c r="AA56" s="58">
        <v>45700000</v>
      </c>
      <c r="AB56" s="58">
        <v>27100000</v>
      </c>
      <c r="AC56" s="59">
        <v>14300000</v>
      </c>
      <c r="AD56" t="str">
        <f t="shared" si="0"/>
        <v>Summer</v>
      </c>
      <c r="AE56" t="str">
        <f>INDEX('Category Mapping'!$B$2:$B$29,MATCH('Source Data'!A56,'Category Mapping'!$A$2:$A$29,0))</f>
        <v>Weekday</v>
      </c>
      <c r="AF56" t="str">
        <f>INDEX('Category Mapping'!$C$2:$C$29,MATCH('Source Data'!A56,'Category Mapping'!$A$2:$A$29,0))</f>
        <v>Residential</v>
      </c>
      <c r="AG56" t="str">
        <f>INDEX('Category Mapping'!$D$2:$D$29,MATCH('Source Data'!A56,'Category Mapping'!$A$2:$A$29,0))</f>
        <v>Lighting</v>
      </c>
    </row>
    <row r="57" spans="1:33" x14ac:dyDescent="0.25">
      <c r="A57" s="54" t="s">
        <v>90</v>
      </c>
      <c r="B57" s="55">
        <v>2019</v>
      </c>
      <c r="C57" s="55">
        <v>19</v>
      </c>
      <c r="D57" s="55" t="s">
        <v>208</v>
      </c>
      <c r="E57" s="55">
        <v>7</v>
      </c>
      <c r="F57" s="55">
        <v>10100000</v>
      </c>
      <c r="G57" s="55">
        <v>9303487</v>
      </c>
      <c r="H57" s="55">
        <v>9212192</v>
      </c>
      <c r="I57" s="55">
        <v>9417556</v>
      </c>
      <c r="J57" s="55">
        <v>12100000</v>
      </c>
      <c r="K57" s="55">
        <v>14900000</v>
      </c>
      <c r="L57" s="55">
        <v>9753282</v>
      </c>
      <c r="M57" s="55">
        <v>9440196</v>
      </c>
      <c r="N57" s="55">
        <v>9245206</v>
      </c>
      <c r="O57" s="55">
        <v>8893428</v>
      </c>
      <c r="P57" s="55">
        <v>9038745</v>
      </c>
      <c r="Q57" s="55">
        <v>9908524</v>
      </c>
      <c r="R57" s="55">
        <v>10400000</v>
      </c>
      <c r="S57" s="55">
        <v>10600000</v>
      </c>
      <c r="T57" s="55">
        <v>10900000</v>
      </c>
      <c r="U57" s="55">
        <v>11700000</v>
      </c>
      <c r="V57" s="55">
        <v>12800000</v>
      </c>
      <c r="W57" s="55">
        <v>14900000</v>
      </c>
      <c r="X57" s="55">
        <v>36600000</v>
      </c>
      <c r="Y57" s="55">
        <v>54900000</v>
      </c>
      <c r="Z57" s="55">
        <v>55800000</v>
      </c>
      <c r="AA57" s="55">
        <v>45600000</v>
      </c>
      <c r="AB57" s="55">
        <v>27100000</v>
      </c>
      <c r="AC57" s="56">
        <v>14300000</v>
      </c>
      <c r="AD57" t="str">
        <f t="shared" si="0"/>
        <v>Summer</v>
      </c>
      <c r="AE57" t="str">
        <f>INDEX('Category Mapping'!$B$2:$B$29,MATCH('Source Data'!A57,'Category Mapping'!$A$2:$A$29,0))</f>
        <v>Weekday</v>
      </c>
      <c r="AF57" t="str">
        <f>INDEX('Category Mapping'!$C$2:$C$29,MATCH('Source Data'!A57,'Category Mapping'!$A$2:$A$29,0))</f>
        <v>Residential</v>
      </c>
      <c r="AG57" t="str">
        <f>INDEX('Category Mapping'!$D$2:$D$29,MATCH('Source Data'!A57,'Category Mapping'!$A$2:$A$29,0))</f>
        <v>Lighting</v>
      </c>
    </row>
    <row r="58" spans="1:33" x14ac:dyDescent="0.25">
      <c r="A58" s="57" t="s">
        <v>90</v>
      </c>
      <c r="B58" s="58">
        <v>2019</v>
      </c>
      <c r="C58" s="58">
        <v>19</v>
      </c>
      <c r="D58" s="58" t="s">
        <v>208</v>
      </c>
      <c r="E58" s="58">
        <v>8</v>
      </c>
      <c r="F58" s="58">
        <v>10100000</v>
      </c>
      <c r="G58" s="58">
        <v>9303677</v>
      </c>
      <c r="H58" s="58">
        <v>9212380</v>
      </c>
      <c r="I58" s="58">
        <v>9417748</v>
      </c>
      <c r="J58" s="58">
        <v>12100000</v>
      </c>
      <c r="K58" s="58">
        <v>20800000</v>
      </c>
      <c r="L58" s="58">
        <v>11900000</v>
      </c>
      <c r="M58" s="58">
        <v>9440389</v>
      </c>
      <c r="N58" s="58">
        <v>9245394</v>
      </c>
      <c r="O58" s="58">
        <v>8893610</v>
      </c>
      <c r="P58" s="58">
        <v>9038929</v>
      </c>
      <c r="Q58" s="58">
        <v>9908726</v>
      </c>
      <c r="R58" s="58">
        <v>10400000</v>
      </c>
      <c r="S58" s="58">
        <v>10600000</v>
      </c>
      <c r="T58" s="58">
        <v>10900000</v>
      </c>
      <c r="U58" s="58">
        <v>11700000</v>
      </c>
      <c r="V58" s="58">
        <v>12800000</v>
      </c>
      <c r="W58" s="58">
        <v>18200000</v>
      </c>
      <c r="X58" s="58">
        <v>51000000</v>
      </c>
      <c r="Y58" s="58">
        <v>54900000</v>
      </c>
      <c r="Z58" s="58">
        <v>55800000</v>
      </c>
      <c r="AA58" s="58">
        <v>45600000</v>
      </c>
      <c r="AB58" s="58">
        <v>27100000</v>
      </c>
      <c r="AC58" s="59">
        <v>14300000</v>
      </c>
      <c r="AD58" t="str">
        <f t="shared" si="0"/>
        <v>Summer</v>
      </c>
      <c r="AE58" t="str">
        <f>INDEX('Category Mapping'!$B$2:$B$29,MATCH('Source Data'!A58,'Category Mapping'!$A$2:$A$29,0))</f>
        <v>Weekday</v>
      </c>
      <c r="AF58" t="str">
        <f>INDEX('Category Mapping'!$C$2:$C$29,MATCH('Source Data'!A58,'Category Mapping'!$A$2:$A$29,0))</f>
        <v>Residential</v>
      </c>
      <c r="AG58" t="str">
        <f>INDEX('Category Mapping'!$D$2:$D$29,MATCH('Source Data'!A58,'Category Mapping'!$A$2:$A$29,0))</f>
        <v>Lighting</v>
      </c>
    </row>
    <row r="59" spans="1:33" x14ac:dyDescent="0.25">
      <c r="A59" s="54" t="s">
        <v>90</v>
      </c>
      <c r="B59" s="55">
        <v>2019</v>
      </c>
      <c r="C59" s="55">
        <v>19</v>
      </c>
      <c r="D59" s="55" t="s">
        <v>208</v>
      </c>
      <c r="E59" s="55">
        <v>9</v>
      </c>
      <c r="F59" s="55">
        <v>10600000</v>
      </c>
      <c r="G59" s="55">
        <v>9779567</v>
      </c>
      <c r="H59" s="55">
        <v>9683599</v>
      </c>
      <c r="I59" s="55">
        <v>9899472</v>
      </c>
      <c r="J59" s="55">
        <v>12700000</v>
      </c>
      <c r="K59" s="55">
        <v>21900000</v>
      </c>
      <c r="L59" s="55">
        <v>19300000</v>
      </c>
      <c r="M59" s="55">
        <v>9923271</v>
      </c>
      <c r="N59" s="55">
        <v>9718303</v>
      </c>
      <c r="O59" s="55">
        <v>9348525</v>
      </c>
      <c r="P59" s="55">
        <v>9501277</v>
      </c>
      <c r="Q59" s="55">
        <v>10400000</v>
      </c>
      <c r="R59" s="55">
        <v>11000000</v>
      </c>
      <c r="S59" s="55">
        <v>11100000</v>
      </c>
      <c r="T59" s="55">
        <v>11400000</v>
      </c>
      <c r="U59" s="55">
        <v>12300000</v>
      </c>
      <c r="V59" s="55">
        <v>13500000</v>
      </c>
      <c r="W59" s="55">
        <v>29600000</v>
      </c>
      <c r="X59" s="55">
        <v>53600000</v>
      </c>
      <c r="Y59" s="55">
        <v>57700000</v>
      </c>
      <c r="Z59" s="55">
        <v>58600000</v>
      </c>
      <c r="AA59" s="55">
        <v>48000000</v>
      </c>
      <c r="AB59" s="55">
        <v>28500000</v>
      </c>
      <c r="AC59" s="56">
        <v>15000000</v>
      </c>
      <c r="AD59" t="str">
        <f t="shared" si="0"/>
        <v>Fall</v>
      </c>
      <c r="AE59" t="str">
        <f>INDEX('Category Mapping'!$B$2:$B$29,MATCH('Source Data'!A59,'Category Mapping'!$A$2:$A$29,0))</f>
        <v>Weekday</v>
      </c>
      <c r="AF59" t="str">
        <f>INDEX('Category Mapping'!$C$2:$C$29,MATCH('Source Data'!A59,'Category Mapping'!$A$2:$A$29,0))</f>
        <v>Residential</v>
      </c>
      <c r="AG59" t="str">
        <f>INDEX('Category Mapping'!$D$2:$D$29,MATCH('Source Data'!A59,'Category Mapping'!$A$2:$A$29,0))</f>
        <v>Lighting</v>
      </c>
    </row>
    <row r="60" spans="1:33" x14ac:dyDescent="0.25">
      <c r="A60" s="57" t="s">
        <v>90</v>
      </c>
      <c r="B60" s="58">
        <v>2019</v>
      </c>
      <c r="C60" s="58">
        <v>19</v>
      </c>
      <c r="D60" s="58" t="s">
        <v>208</v>
      </c>
      <c r="E60" s="58">
        <v>10</v>
      </c>
      <c r="F60" s="58">
        <v>10900000</v>
      </c>
      <c r="G60" s="58">
        <v>10000000</v>
      </c>
      <c r="H60" s="58">
        <v>9944766</v>
      </c>
      <c r="I60" s="58">
        <v>10200000</v>
      </c>
      <c r="J60" s="58">
        <v>13100000</v>
      </c>
      <c r="K60" s="58">
        <v>22500000</v>
      </c>
      <c r="L60" s="58">
        <v>32900000</v>
      </c>
      <c r="M60" s="58">
        <v>12500000</v>
      </c>
      <c r="N60" s="58">
        <v>9980405</v>
      </c>
      <c r="O60" s="58">
        <v>9600653</v>
      </c>
      <c r="P60" s="58">
        <v>9757526</v>
      </c>
      <c r="Q60" s="58">
        <v>10700000</v>
      </c>
      <c r="R60" s="58">
        <v>11300000</v>
      </c>
      <c r="S60" s="58">
        <v>11400000</v>
      </c>
      <c r="T60" s="58">
        <v>11700000</v>
      </c>
      <c r="U60" s="58">
        <v>12700000</v>
      </c>
      <c r="V60" s="58">
        <v>17000000</v>
      </c>
      <c r="W60" s="58">
        <v>50300000</v>
      </c>
      <c r="X60" s="58">
        <v>55000000</v>
      </c>
      <c r="Y60" s="58">
        <v>59300000</v>
      </c>
      <c r="Z60" s="58">
        <v>60200000</v>
      </c>
      <c r="AA60" s="58">
        <v>49300000</v>
      </c>
      <c r="AB60" s="58">
        <v>29300000</v>
      </c>
      <c r="AC60" s="59">
        <v>15400000</v>
      </c>
      <c r="AD60" t="str">
        <f t="shared" si="0"/>
        <v>Fall</v>
      </c>
      <c r="AE60" t="str">
        <f>INDEX('Category Mapping'!$B$2:$B$29,MATCH('Source Data'!A60,'Category Mapping'!$A$2:$A$29,0))</f>
        <v>Weekday</v>
      </c>
      <c r="AF60" t="str">
        <f>INDEX('Category Mapping'!$C$2:$C$29,MATCH('Source Data'!A60,'Category Mapping'!$A$2:$A$29,0))</f>
        <v>Residential</v>
      </c>
      <c r="AG60" t="str">
        <f>INDEX('Category Mapping'!$D$2:$D$29,MATCH('Source Data'!A60,'Category Mapping'!$A$2:$A$29,0))</f>
        <v>Lighting</v>
      </c>
    </row>
    <row r="61" spans="1:33" x14ac:dyDescent="0.25">
      <c r="A61" s="54" t="s">
        <v>90</v>
      </c>
      <c r="B61" s="55">
        <v>2019</v>
      </c>
      <c r="C61" s="55">
        <v>19</v>
      </c>
      <c r="D61" s="55" t="s">
        <v>208</v>
      </c>
      <c r="E61" s="55">
        <v>11</v>
      </c>
      <c r="F61" s="55">
        <v>11700000</v>
      </c>
      <c r="G61" s="55">
        <v>10700000</v>
      </c>
      <c r="H61" s="55">
        <v>10600000</v>
      </c>
      <c r="I61" s="55">
        <v>10900000</v>
      </c>
      <c r="J61" s="55">
        <v>14000000</v>
      </c>
      <c r="K61" s="55">
        <v>24100000</v>
      </c>
      <c r="L61" s="55">
        <v>35100000</v>
      </c>
      <c r="M61" s="55">
        <v>22000000</v>
      </c>
      <c r="N61" s="55">
        <v>10700000</v>
      </c>
      <c r="O61" s="55">
        <v>10300000</v>
      </c>
      <c r="P61" s="55">
        <v>10400000</v>
      </c>
      <c r="Q61" s="55">
        <v>11400000</v>
      </c>
      <c r="R61" s="55">
        <v>12100000</v>
      </c>
      <c r="S61" s="55">
        <v>12200000</v>
      </c>
      <c r="T61" s="55">
        <v>12500000</v>
      </c>
      <c r="U61" s="55">
        <v>13600000</v>
      </c>
      <c r="V61" s="55">
        <v>29800000</v>
      </c>
      <c r="W61" s="55">
        <v>53800000</v>
      </c>
      <c r="X61" s="55">
        <v>58900000</v>
      </c>
      <c r="Y61" s="55">
        <v>63400000</v>
      </c>
      <c r="Z61" s="55">
        <v>64400000</v>
      </c>
      <c r="AA61" s="55">
        <v>52700000</v>
      </c>
      <c r="AB61" s="55">
        <v>31300000</v>
      </c>
      <c r="AC61" s="56">
        <v>16500000</v>
      </c>
      <c r="AD61" t="str">
        <f t="shared" si="0"/>
        <v>Winter</v>
      </c>
      <c r="AE61" t="str">
        <f>INDEX('Category Mapping'!$B$2:$B$29,MATCH('Source Data'!A61,'Category Mapping'!$A$2:$A$29,0))</f>
        <v>Weekday</v>
      </c>
      <c r="AF61" t="str">
        <f>INDEX('Category Mapping'!$C$2:$C$29,MATCH('Source Data'!A61,'Category Mapping'!$A$2:$A$29,0))</f>
        <v>Residential</v>
      </c>
      <c r="AG61" t="str">
        <f>INDEX('Category Mapping'!$D$2:$D$29,MATCH('Source Data'!A61,'Category Mapping'!$A$2:$A$29,0))</f>
        <v>Lighting</v>
      </c>
    </row>
    <row r="62" spans="1:33" x14ac:dyDescent="0.25">
      <c r="A62" s="57" t="s">
        <v>90</v>
      </c>
      <c r="B62" s="58">
        <v>2019</v>
      </c>
      <c r="C62" s="58">
        <v>19</v>
      </c>
      <c r="D62" s="58" t="s">
        <v>208</v>
      </c>
      <c r="E62" s="58">
        <v>12</v>
      </c>
      <c r="F62" s="58">
        <v>11800000</v>
      </c>
      <c r="G62" s="58">
        <v>10900000</v>
      </c>
      <c r="H62" s="58">
        <v>10800000</v>
      </c>
      <c r="I62" s="58">
        <v>11000000</v>
      </c>
      <c r="J62" s="58">
        <v>14200000</v>
      </c>
      <c r="K62" s="58">
        <v>24400000</v>
      </c>
      <c r="L62" s="58">
        <v>35700000</v>
      </c>
      <c r="M62" s="58">
        <v>36900000</v>
      </c>
      <c r="N62" s="58">
        <v>10800000</v>
      </c>
      <c r="O62" s="58">
        <v>10400000</v>
      </c>
      <c r="P62" s="58">
        <v>10600000</v>
      </c>
      <c r="Q62" s="58">
        <v>11600000</v>
      </c>
      <c r="R62" s="58">
        <v>12200000</v>
      </c>
      <c r="S62" s="58">
        <v>12400000</v>
      </c>
      <c r="T62" s="58">
        <v>12700000</v>
      </c>
      <c r="U62" s="58">
        <v>13800000</v>
      </c>
      <c r="V62" s="58">
        <v>50000000</v>
      </c>
      <c r="W62" s="58">
        <v>54600000</v>
      </c>
      <c r="X62" s="58">
        <v>59700000</v>
      </c>
      <c r="Y62" s="58">
        <v>64300000</v>
      </c>
      <c r="Z62" s="58">
        <v>65300000</v>
      </c>
      <c r="AA62" s="58">
        <v>53500000</v>
      </c>
      <c r="AB62" s="58">
        <v>31800000</v>
      </c>
      <c r="AC62" s="59">
        <v>16700000</v>
      </c>
      <c r="AD62" t="str">
        <f t="shared" si="0"/>
        <v>Winter</v>
      </c>
      <c r="AE62" t="str">
        <f>INDEX('Category Mapping'!$B$2:$B$29,MATCH('Source Data'!A62,'Category Mapping'!$A$2:$A$29,0))</f>
        <v>Weekday</v>
      </c>
      <c r="AF62" t="str">
        <f>INDEX('Category Mapping'!$C$2:$C$29,MATCH('Source Data'!A62,'Category Mapping'!$A$2:$A$29,0))</f>
        <v>Residential</v>
      </c>
      <c r="AG62" t="str">
        <f>INDEX('Category Mapping'!$D$2:$D$29,MATCH('Source Data'!A62,'Category Mapping'!$A$2:$A$29,0))</f>
        <v>Lighting</v>
      </c>
    </row>
    <row r="63" spans="1:33" x14ac:dyDescent="0.25">
      <c r="A63" s="54" t="s">
        <v>91</v>
      </c>
      <c r="B63" s="55">
        <v>2019</v>
      </c>
      <c r="C63" s="55">
        <v>19</v>
      </c>
      <c r="D63" s="55" t="s">
        <v>208</v>
      </c>
      <c r="E63" s="55">
        <v>1</v>
      </c>
      <c r="F63" s="55">
        <v>6948352</v>
      </c>
      <c r="G63" s="55">
        <v>6003332</v>
      </c>
      <c r="H63" s="55">
        <v>5798140</v>
      </c>
      <c r="I63" s="55">
        <v>5793246</v>
      </c>
      <c r="J63" s="55">
        <v>6097947</v>
      </c>
      <c r="K63" s="55">
        <v>7902722</v>
      </c>
      <c r="L63" s="55">
        <v>13600000</v>
      </c>
      <c r="M63" s="55">
        <v>19200000</v>
      </c>
      <c r="N63" s="55">
        <v>7701263</v>
      </c>
      <c r="O63" s="55">
        <v>7979897</v>
      </c>
      <c r="P63" s="55">
        <v>8027498</v>
      </c>
      <c r="Q63" s="55">
        <v>8517362</v>
      </c>
      <c r="R63" s="55">
        <v>8813374</v>
      </c>
      <c r="S63" s="55">
        <v>8802082</v>
      </c>
      <c r="T63" s="55">
        <v>8709466</v>
      </c>
      <c r="U63" s="55">
        <v>8731323</v>
      </c>
      <c r="V63" s="55">
        <v>27200000</v>
      </c>
      <c r="W63" s="55">
        <v>31400000</v>
      </c>
      <c r="X63" s="55">
        <v>33200000</v>
      </c>
      <c r="Y63" s="55">
        <v>34700000</v>
      </c>
      <c r="Z63" s="55">
        <v>34500000</v>
      </c>
      <c r="AA63" s="55">
        <v>28600000</v>
      </c>
      <c r="AB63" s="55">
        <v>18400000</v>
      </c>
      <c r="AC63" s="56">
        <v>10300000</v>
      </c>
      <c r="AD63" t="str">
        <f t="shared" si="0"/>
        <v>Winter</v>
      </c>
      <c r="AE63" t="str">
        <f>INDEX('Category Mapping'!$B$2:$B$29,MATCH('Source Data'!A63,'Category Mapping'!$A$2:$A$29,0))</f>
        <v>Weekend</v>
      </c>
      <c r="AF63" t="str">
        <f>INDEX('Category Mapping'!$C$2:$C$29,MATCH('Source Data'!A63,'Category Mapping'!$A$2:$A$29,0))</f>
        <v>Residential</v>
      </c>
      <c r="AG63" t="str">
        <f>INDEX('Category Mapping'!$D$2:$D$29,MATCH('Source Data'!A63,'Category Mapping'!$A$2:$A$29,0))</f>
        <v>Lighting</v>
      </c>
    </row>
    <row r="64" spans="1:33" x14ac:dyDescent="0.25">
      <c r="A64" s="57" t="s">
        <v>91</v>
      </c>
      <c r="B64" s="58">
        <v>2019</v>
      </c>
      <c r="C64" s="58">
        <v>19</v>
      </c>
      <c r="D64" s="58" t="s">
        <v>208</v>
      </c>
      <c r="E64" s="58">
        <v>2</v>
      </c>
      <c r="F64" s="58">
        <v>6774368</v>
      </c>
      <c r="G64" s="58">
        <v>5853012</v>
      </c>
      <c r="H64" s="58">
        <v>5652957</v>
      </c>
      <c r="I64" s="58">
        <v>5648185</v>
      </c>
      <c r="J64" s="58">
        <v>5945257</v>
      </c>
      <c r="K64" s="58">
        <v>7704840</v>
      </c>
      <c r="L64" s="58">
        <v>13300000</v>
      </c>
      <c r="M64" s="58">
        <v>9747728</v>
      </c>
      <c r="N64" s="58">
        <v>7508427</v>
      </c>
      <c r="O64" s="58">
        <v>7780084</v>
      </c>
      <c r="P64" s="58">
        <v>7826492</v>
      </c>
      <c r="Q64" s="58">
        <v>8304091</v>
      </c>
      <c r="R64" s="58">
        <v>8592692</v>
      </c>
      <c r="S64" s="58">
        <v>8581681</v>
      </c>
      <c r="T64" s="58">
        <v>8491385</v>
      </c>
      <c r="U64" s="58">
        <v>8512694</v>
      </c>
      <c r="V64" s="58">
        <v>13900000</v>
      </c>
      <c r="W64" s="58">
        <v>30600000</v>
      </c>
      <c r="X64" s="58">
        <v>32300000</v>
      </c>
      <c r="Y64" s="58">
        <v>33900000</v>
      </c>
      <c r="Z64" s="58">
        <v>33700000</v>
      </c>
      <c r="AA64" s="58">
        <v>27800000</v>
      </c>
      <c r="AB64" s="58">
        <v>18000000</v>
      </c>
      <c r="AC64" s="59">
        <v>10000000</v>
      </c>
      <c r="AD64" t="str">
        <f t="shared" si="0"/>
        <v>Winter</v>
      </c>
      <c r="AE64" t="str">
        <f>INDEX('Category Mapping'!$B$2:$B$29,MATCH('Source Data'!A64,'Category Mapping'!$A$2:$A$29,0))</f>
        <v>Weekend</v>
      </c>
      <c r="AF64" t="str">
        <f>INDEX('Category Mapping'!$C$2:$C$29,MATCH('Source Data'!A64,'Category Mapping'!$A$2:$A$29,0))</f>
        <v>Residential</v>
      </c>
      <c r="AG64" t="str">
        <f>INDEX('Category Mapping'!$D$2:$D$29,MATCH('Source Data'!A64,'Category Mapping'!$A$2:$A$29,0))</f>
        <v>Lighting</v>
      </c>
    </row>
    <row r="65" spans="1:33" x14ac:dyDescent="0.25">
      <c r="A65" s="54" t="s">
        <v>91</v>
      </c>
      <c r="B65" s="55">
        <v>2019</v>
      </c>
      <c r="C65" s="55">
        <v>19</v>
      </c>
      <c r="D65" s="55" t="s">
        <v>208</v>
      </c>
      <c r="E65" s="55">
        <v>3</v>
      </c>
      <c r="F65" s="55">
        <v>6265754</v>
      </c>
      <c r="G65" s="55">
        <v>5413572</v>
      </c>
      <c r="H65" s="55">
        <v>5228537</v>
      </c>
      <c r="I65" s="55">
        <v>5224123</v>
      </c>
      <c r="J65" s="55">
        <v>5498891</v>
      </c>
      <c r="K65" s="55">
        <v>7126367</v>
      </c>
      <c r="L65" s="55">
        <v>12100000</v>
      </c>
      <c r="M65" s="55">
        <v>6053407</v>
      </c>
      <c r="N65" s="55">
        <v>6944700</v>
      </c>
      <c r="O65" s="55">
        <v>7195960</v>
      </c>
      <c r="P65" s="55">
        <v>7238886</v>
      </c>
      <c r="Q65" s="55">
        <v>7680626</v>
      </c>
      <c r="R65" s="55">
        <v>7947560</v>
      </c>
      <c r="S65" s="55">
        <v>7937376</v>
      </c>
      <c r="T65" s="55">
        <v>7853858</v>
      </c>
      <c r="U65" s="55">
        <v>7873568</v>
      </c>
      <c r="V65" s="55">
        <v>8601209</v>
      </c>
      <c r="W65" s="55">
        <v>27800000</v>
      </c>
      <c r="X65" s="55">
        <v>29900000</v>
      </c>
      <c r="Y65" s="55">
        <v>31300000</v>
      </c>
      <c r="Z65" s="55">
        <v>31100000</v>
      </c>
      <c r="AA65" s="55">
        <v>25800000</v>
      </c>
      <c r="AB65" s="55">
        <v>16600000</v>
      </c>
      <c r="AC65" s="56">
        <v>9284207</v>
      </c>
      <c r="AD65" t="str">
        <f t="shared" si="0"/>
        <v>Spring</v>
      </c>
      <c r="AE65" t="str">
        <f>INDEX('Category Mapping'!$B$2:$B$29,MATCH('Source Data'!A65,'Category Mapping'!$A$2:$A$29,0))</f>
        <v>Weekend</v>
      </c>
      <c r="AF65" t="str">
        <f>INDEX('Category Mapping'!$C$2:$C$29,MATCH('Source Data'!A65,'Category Mapping'!$A$2:$A$29,0))</f>
        <v>Residential</v>
      </c>
      <c r="AG65" t="str">
        <f>INDEX('Category Mapping'!$D$2:$D$29,MATCH('Source Data'!A65,'Category Mapping'!$A$2:$A$29,0))</f>
        <v>Lighting</v>
      </c>
    </row>
    <row r="66" spans="1:33" x14ac:dyDescent="0.25">
      <c r="A66" s="57" t="s">
        <v>91</v>
      </c>
      <c r="B66" s="58">
        <v>2019</v>
      </c>
      <c r="C66" s="58">
        <v>19</v>
      </c>
      <c r="D66" s="58" t="s">
        <v>208</v>
      </c>
      <c r="E66" s="58">
        <v>4</v>
      </c>
      <c r="F66" s="58">
        <v>6141192</v>
      </c>
      <c r="G66" s="58">
        <v>5305951</v>
      </c>
      <c r="H66" s="58">
        <v>5124595</v>
      </c>
      <c r="I66" s="58">
        <v>5120269</v>
      </c>
      <c r="J66" s="58">
        <v>5389575</v>
      </c>
      <c r="K66" s="58">
        <v>6984697</v>
      </c>
      <c r="L66" s="58">
        <v>5739201</v>
      </c>
      <c r="M66" s="58">
        <v>5579456</v>
      </c>
      <c r="N66" s="58">
        <v>6806641</v>
      </c>
      <c r="O66" s="58">
        <v>7052907</v>
      </c>
      <c r="P66" s="58">
        <v>7094978</v>
      </c>
      <c r="Q66" s="58">
        <v>7527937</v>
      </c>
      <c r="R66" s="58">
        <v>7789564</v>
      </c>
      <c r="S66" s="58">
        <v>7779583</v>
      </c>
      <c r="T66" s="58">
        <v>7697725</v>
      </c>
      <c r="U66" s="58">
        <v>7717043</v>
      </c>
      <c r="V66" s="58">
        <v>7927779</v>
      </c>
      <c r="W66" s="58">
        <v>13200000</v>
      </c>
      <c r="X66" s="58">
        <v>29300000</v>
      </c>
      <c r="Y66" s="58">
        <v>30700000</v>
      </c>
      <c r="Z66" s="58">
        <v>30500000</v>
      </c>
      <c r="AA66" s="58">
        <v>25200000</v>
      </c>
      <c r="AB66" s="58">
        <v>16300000</v>
      </c>
      <c r="AC66" s="59">
        <v>9099641</v>
      </c>
      <c r="AD66" t="str">
        <f t="shared" si="0"/>
        <v>Spring</v>
      </c>
      <c r="AE66" t="str">
        <f>INDEX('Category Mapping'!$B$2:$B$29,MATCH('Source Data'!A66,'Category Mapping'!$A$2:$A$29,0))</f>
        <v>Weekend</v>
      </c>
      <c r="AF66" t="str">
        <f>INDEX('Category Mapping'!$C$2:$C$29,MATCH('Source Data'!A66,'Category Mapping'!$A$2:$A$29,0))</f>
        <v>Residential</v>
      </c>
      <c r="AG66" t="str">
        <f>INDEX('Category Mapping'!$D$2:$D$29,MATCH('Source Data'!A66,'Category Mapping'!$A$2:$A$29,0))</f>
        <v>Lighting</v>
      </c>
    </row>
    <row r="67" spans="1:33" x14ac:dyDescent="0.25">
      <c r="A67" s="54" t="s">
        <v>91</v>
      </c>
      <c r="B67" s="55">
        <v>2019</v>
      </c>
      <c r="C67" s="55">
        <v>19</v>
      </c>
      <c r="D67" s="55" t="s">
        <v>208</v>
      </c>
      <c r="E67" s="55">
        <v>5</v>
      </c>
      <c r="F67" s="55">
        <v>5859047</v>
      </c>
      <c r="G67" s="55">
        <v>5062180</v>
      </c>
      <c r="H67" s="55">
        <v>4889156</v>
      </c>
      <c r="I67" s="55">
        <v>4885029</v>
      </c>
      <c r="J67" s="55">
        <v>5141962</v>
      </c>
      <c r="K67" s="55">
        <v>6185456</v>
      </c>
      <c r="L67" s="55">
        <v>4010750</v>
      </c>
      <c r="M67" s="55">
        <v>5323119</v>
      </c>
      <c r="N67" s="55">
        <v>6493924</v>
      </c>
      <c r="O67" s="55">
        <v>6728875</v>
      </c>
      <c r="P67" s="55">
        <v>6769014</v>
      </c>
      <c r="Q67" s="55">
        <v>7182082</v>
      </c>
      <c r="R67" s="55">
        <v>7431687</v>
      </c>
      <c r="S67" s="55">
        <v>7422165</v>
      </c>
      <c r="T67" s="55">
        <v>7344069</v>
      </c>
      <c r="U67" s="55">
        <v>7362499</v>
      </c>
      <c r="V67" s="55">
        <v>7563552</v>
      </c>
      <c r="W67" s="55">
        <v>9226705</v>
      </c>
      <c r="X67" s="55">
        <v>25900000</v>
      </c>
      <c r="Y67" s="55">
        <v>29300000</v>
      </c>
      <c r="Z67" s="55">
        <v>29100000</v>
      </c>
      <c r="AA67" s="55">
        <v>24100000</v>
      </c>
      <c r="AB67" s="55">
        <v>15500000</v>
      </c>
      <c r="AC67" s="56">
        <v>8681575</v>
      </c>
      <c r="AD67" t="str">
        <f t="shared" si="0"/>
        <v>Spring</v>
      </c>
      <c r="AE67" t="str">
        <f>INDEX('Category Mapping'!$B$2:$B$29,MATCH('Source Data'!A67,'Category Mapping'!$A$2:$A$29,0))</f>
        <v>Weekend</v>
      </c>
      <c r="AF67" t="str">
        <f>INDEX('Category Mapping'!$C$2:$C$29,MATCH('Source Data'!A67,'Category Mapping'!$A$2:$A$29,0))</f>
        <v>Residential</v>
      </c>
      <c r="AG67" t="str">
        <f>INDEX('Category Mapping'!$D$2:$D$29,MATCH('Source Data'!A67,'Category Mapping'!$A$2:$A$29,0))</f>
        <v>Lighting</v>
      </c>
    </row>
    <row r="68" spans="1:33" x14ac:dyDescent="0.25">
      <c r="A68" s="57" t="s">
        <v>91</v>
      </c>
      <c r="B68" s="58">
        <v>2019</v>
      </c>
      <c r="C68" s="58">
        <v>19</v>
      </c>
      <c r="D68" s="58" t="s">
        <v>208</v>
      </c>
      <c r="E68" s="58">
        <v>6</v>
      </c>
      <c r="F68" s="58">
        <v>5896661</v>
      </c>
      <c r="G68" s="58">
        <v>5094679</v>
      </c>
      <c r="H68" s="58">
        <v>4920543</v>
      </c>
      <c r="I68" s="58">
        <v>4916390</v>
      </c>
      <c r="J68" s="58">
        <v>5174972</v>
      </c>
      <c r="K68" s="58">
        <v>4363421</v>
      </c>
      <c r="L68" s="58">
        <v>3579136</v>
      </c>
      <c r="M68" s="58">
        <v>5357293</v>
      </c>
      <c r="N68" s="58">
        <v>6535613</v>
      </c>
      <c r="O68" s="58">
        <v>6772073</v>
      </c>
      <c r="P68" s="58">
        <v>6812470</v>
      </c>
      <c r="Q68" s="58">
        <v>7228189</v>
      </c>
      <c r="R68" s="58">
        <v>7479398</v>
      </c>
      <c r="S68" s="58">
        <v>7469815</v>
      </c>
      <c r="T68" s="58">
        <v>7391217</v>
      </c>
      <c r="U68" s="58">
        <v>7409765</v>
      </c>
      <c r="V68" s="58">
        <v>7612110</v>
      </c>
      <c r="W68" s="58">
        <v>8233780</v>
      </c>
      <c r="X68" s="58">
        <v>18300000</v>
      </c>
      <c r="Y68" s="58">
        <v>29500000</v>
      </c>
      <c r="Z68" s="58">
        <v>29300000</v>
      </c>
      <c r="AA68" s="58">
        <v>24200000</v>
      </c>
      <c r="AB68" s="58">
        <v>15600000</v>
      </c>
      <c r="AC68" s="59">
        <v>8737309</v>
      </c>
      <c r="AD68" t="str">
        <f t="shared" ref="AD68:AD131" si="1">IF(AND(E68&gt;=3,E68&lt;=5),"Spring",IF(AND(E68&gt;=6,E68&lt;=8),"Summer",IF(AND(E68&gt;=9,E68&lt;=10),"Fall","Winter")))</f>
        <v>Summer</v>
      </c>
      <c r="AE68" t="str">
        <f>INDEX('Category Mapping'!$B$2:$B$29,MATCH('Source Data'!A68,'Category Mapping'!$A$2:$A$29,0))</f>
        <v>Weekend</v>
      </c>
      <c r="AF68" t="str">
        <f>INDEX('Category Mapping'!$C$2:$C$29,MATCH('Source Data'!A68,'Category Mapping'!$A$2:$A$29,0))</f>
        <v>Residential</v>
      </c>
      <c r="AG68" t="str">
        <f>INDEX('Category Mapping'!$D$2:$D$29,MATCH('Source Data'!A68,'Category Mapping'!$A$2:$A$29,0))</f>
        <v>Lighting</v>
      </c>
    </row>
    <row r="69" spans="1:33" x14ac:dyDescent="0.25">
      <c r="A69" s="54" t="s">
        <v>91</v>
      </c>
      <c r="B69" s="55">
        <v>2019</v>
      </c>
      <c r="C69" s="55">
        <v>19</v>
      </c>
      <c r="D69" s="55" t="s">
        <v>208</v>
      </c>
      <c r="E69" s="55">
        <v>7</v>
      </c>
      <c r="F69" s="55">
        <v>5902495</v>
      </c>
      <c r="G69" s="55">
        <v>5099719</v>
      </c>
      <c r="H69" s="55">
        <v>4925411</v>
      </c>
      <c r="I69" s="55">
        <v>4921254</v>
      </c>
      <c r="J69" s="55">
        <v>5180092</v>
      </c>
      <c r="K69" s="55">
        <v>4816079</v>
      </c>
      <c r="L69" s="55">
        <v>3713161</v>
      </c>
      <c r="M69" s="55">
        <v>5362592</v>
      </c>
      <c r="N69" s="55">
        <v>6542079</v>
      </c>
      <c r="O69" s="55">
        <v>6778772</v>
      </c>
      <c r="P69" s="55">
        <v>6819209</v>
      </c>
      <c r="Q69" s="55">
        <v>7235339</v>
      </c>
      <c r="R69" s="55">
        <v>7486797</v>
      </c>
      <c r="S69" s="55">
        <v>7477204</v>
      </c>
      <c r="T69" s="55">
        <v>7398528</v>
      </c>
      <c r="U69" s="55">
        <v>7417095</v>
      </c>
      <c r="V69" s="55">
        <v>7619641</v>
      </c>
      <c r="W69" s="55">
        <v>8542103</v>
      </c>
      <c r="X69" s="55">
        <v>20200000</v>
      </c>
      <c r="Y69" s="55">
        <v>29500000</v>
      </c>
      <c r="Z69" s="55">
        <v>29300000</v>
      </c>
      <c r="AA69" s="55">
        <v>24300000</v>
      </c>
      <c r="AB69" s="55">
        <v>15600000</v>
      </c>
      <c r="AC69" s="56">
        <v>8745953</v>
      </c>
      <c r="AD69" t="str">
        <f t="shared" si="1"/>
        <v>Summer</v>
      </c>
      <c r="AE69" t="str">
        <f>INDEX('Category Mapping'!$B$2:$B$29,MATCH('Source Data'!A69,'Category Mapping'!$A$2:$A$29,0))</f>
        <v>Weekend</v>
      </c>
      <c r="AF69" t="str">
        <f>INDEX('Category Mapping'!$C$2:$C$29,MATCH('Source Data'!A69,'Category Mapping'!$A$2:$A$29,0))</f>
        <v>Residential</v>
      </c>
      <c r="AG69" t="str">
        <f>INDEX('Category Mapping'!$D$2:$D$29,MATCH('Source Data'!A69,'Category Mapping'!$A$2:$A$29,0))</f>
        <v>Lighting</v>
      </c>
    </row>
    <row r="70" spans="1:33" x14ac:dyDescent="0.25">
      <c r="A70" s="57" t="s">
        <v>91</v>
      </c>
      <c r="B70" s="58">
        <v>2019</v>
      </c>
      <c r="C70" s="58">
        <v>19</v>
      </c>
      <c r="D70" s="58" t="s">
        <v>208</v>
      </c>
      <c r="E70" s="58">
        <v>8</v>
      </c>
      <c r="F70" s="58">
        <v>5948297</v>
      </c>
      <c r="G70" s="58">
        <v>5139291</v>
      </c>
      <c r="H70" s="58">
        <v>4963631</v>
      </c>
      <c r="I70" s="58">
        <v>4959441</v>
      </c>
      <c r="J70" s="58">
        <v>5220288</v>
      </c>
      <c r="K70" s="58">
        <v>6765307</v>
      </c>
      <c r="L70" s="58">
        <v>4559200</v>
      </c>
      <c r="M70" s="58">
        <v>5404205</v>
      </c>
      <c r="N70" s="58">
        <v>6592844</v>
      </c>
      <c r="O70" s="58">
        <v>6831374</v>
      </c>
      <c r="P70" s="58">
        <v>6872124</v>
      </c>
      <c r="Q70" s="58">
        <v>7291484</v>
      </c>
      <c r="R70" s="58">
        <v>7544893</v>
      </c>
      <c r="S70" s="58">
        <v>7535226</v>
      </c>
      <c r="T70" s="58">
        <v>7455939</v>
      </c>
      <c r="U70" s="58">
        <v>7474650</v>
      </c>
      <c r="V70" s="58">
        <v>7678766</v>
      </c>
      <c r="W70" s="58">
        <v>10500000</v>
      </c>
      <c r="X70" s="58">
        <v>28400000</v>
      </c>
      <c r="Y70" s="58">
        <v>29700000</v>
      </c>
      <c r="Z70" s="58">
        <v>29600000</v>
      </c>
      <c r="AA70" s="58">
        <v>24400000</v>
      </c>
      <c r="AB70" s="58">
        <v>15800000</v>
      </c>
      <c r="AC70" s="59">
        <v>8813820</v>
      </c>
      <c r="AD70" t="str">
        <f t="shared" si="1"/>
        <v>Summer</v>
      </c>
      <c r="AE70" t="str">
        <f>INDEX('Category Mapping'!$B$2:$B$29,MATCH('Source Data'!A70,'Category Mapping'!$A$2:$A$29,0))</f>
        <v>Weekend</v>
      </c>
      <c r="AF70" t="str">
        <f>INDEX('Category Mapping'!$C$2:$C$29,MATCH('Source Data'!A70,'Category Mapping'!$A$2:$A$29,0))</f>
        <v>Residential</v>
      </c>
      <c r="AG70" t="str">
        <f>INDEX('Category Mapping'!$D$2:$D$29,MATCH('Source Data'!A70,'Category Mapping'!$A$2:$A$29,0))</f>
        <v>Lighting</v>
      </c>
    </row>
    <row r="71" spans="1:33" x14ac:dyDescent="0.25">
      <c r="A71" s="54" t="s">
        <v>91</v>
      </c>
      <c r="B71" s="55">
        <v>2019</v>
      </c>
      <c r="C71" s="55">
        <v>19</v>
      </c>
      <c r="D71" s="55" t="s">
        <v>208</v>
      </c>
      <c r="E71" s="55">
        <v>9</v>
      </c>
      <c r="F71" s="55">
        <v>6277411</v>
      </c>
      <c r="G71" s="55">
        <v>5423644</v>
      </c>
      <c r="H71" s="55">
        <v>5238265</v>
      </c>
      <c r="I71" s="55">
        <v>5233843</v>
      </c>
      <c r="J71" s="55">
        <v>5509122</v>
      </c>
      <c r="K71" s="55">
        <v>7139626</v>
      </c>
      <c r="L71" s="55">
        <v>7443108</v>
      </c>
      <c r="M71" s="55">
        <v>5703215</v>
      </c>
      <c r="N71" s="55">
        <v>6957621</v>
      </c>
      <c r="O71" s="55">
        <v>7209349</v>
      </c>
      <c r="P71" s="55">
        <v>7252354</v>
      </c>
      <c r="Q71" s="55">
        <v>7694915</v>
      </c>
      <c r="R71" s="55">
        <v>7962345</v>
      </c>
      <c r="S71" s="55">
        <v>7952143</v>
      </c>
      <c r="T71" s="55">
        <v>7868470</v>
      </c>
      <c r="U71" s="55">
        <v>7888216</v>
      </c>
      <c r="V71" s="55">
        <v>8103626</v>
      </c>
      <c r="W71" s="55">
        <v>17100000</v>
      </c>
      <c r="X71" s="55">
        <v>30000000</v>
      </c>
      <c r="Y71" s="55">
        <v>31400000</v>
      </c>
      <c r="Z71" s="55">
        <v>31200000</v>
      </c>
      <c r="AA71" s="55">
        <v>25800000</v>
      </c>
      <c r="AB71" s="55">
        <v>16600000</v>
      </c>
      <c r="AC71" s="56">
        <v>9301481</v>
      </c>
      <c r="AD71" t="str">
        <f t="shared" si="1"/>
        <v>Fall</v>
      </c>
      <c r="AE71" t="str">
        <f>INDEX('Category Mapping'!$B$2:$B$29,MATCH('Source Data'!A71,'Category Mapping'!$A$2:$A$29,0))</f>
        <v>Weekend</v>
      </c>
      <c r="AF71" t="str">
        <f>INDEX('Category Mapping'!$C$2:$C$29,MATCH('Source Data'!A71,'Category Mapping'!$A$2:$A$29,0))</f>
        <v>Residential</v>
      </c>
      <c r="AG71" t="str">
        <f>INDEX('Category Mapping'!$D$2:$D$29,MATCH('Source Data'!A71,'Category Mapping'!$A$2:$A$29,0))</f>
        <v>Lighting</v>
      </c>
    </row>
    <row r="72" spans="1:33" x14ac:dyDescent="0.25">
      <c r="A72" s="57" t="s">
        <v>91</v>
      </c>
      <c r="B72" s="58">
        <v>2019</v>
      </c>
      <c r="C72" s="58">
        <v>19</v>
      </c>
      <c r="D72" s="58" t="s">
        <v>208</v>
      </c>
      <c r="E72" s="58">
        <v>10</v>
      </c>
      <c r="F72" s="58">
        <v>6486574</v>
      </c>
      <c r="G72" s="58">
        <v>5604359</v>
      </c>
      <c r="H72" s="58">
        <v>5412804</v>
      </c>
      <c r="I72" s="58">
        <v>5408235</v>
      </c>
      <c r="J72" s="58">
        <v>5692686</v>
      </c>
      <c r="K72" s="58">
        <v>7377518</v>
      </c>
      <c r="L72" s="58">
        <v>12700000</v>
      </c>
      <c r="M72" s="58">
        <v>7240305</v>
      </c>
      <c r="N72" s="58">
        <v>7189449</v>
      </c>
      <c r="O72" s="58">
        <v>7449564</v>
      </c>
      <c r="P72" s="58">
        <v>7494002</v>
      </c>
      <c r="Q72" s="58">
        <v>7951310</v>
      </c>
      <c r="R72" s="58">
        <v>8227652</v>
      </c>
      <c r="S72" s="58">
        <v>8217109</v>
      </c>
      <c r="T72" s="58">
        <v>8130648</v>
      </c>
      <c r="U72" s="58">
        <v>8151052</v>
      </c>
      <c r="V72" s="58">
        <v>10300000</v>
      </c>
      <c r="W72" s="58">
        <v>29300000</v>
      </c>
      <c r="X72" s="58">
        <v>30900000</v>
      </c>
      <c r="Y72" s="58">
        <v>32400000</v>
      </c>
      <c r="Z72" s="58">
        <v>32200000</v>
      </c>
      <c r="AA72" s="58">
        <v>26700000</v>
      </c>
      <c r="AB72" s="58">
        <v>17200000</v>
      </c>
      <c r="AC72" s="59">
        <v>9611407</v>
      </c>
      <c r="AD72" t="str">
        <f t="shared" si="1"/>
        <v>Fall</v>
      </c>
      <c r="AE72" t="str">
        <f>INDEX('Category Mapping'!$B$2:$B$29,MATCH('Source Data'!A72,'Category Mapping'!$A$2:$A$29,0))</f>
        <v>Weekend</v>
      </c>
      <c r="AF72" t="str">
        <f>INDEX('Category Mapping'!$C$2:$C$29,MATCH('Source Data'!A72,'Category Mapping'!$A$2:$A$29,0))</f>
        <v>Residential</v>
      </c>
      <c r="AG72" t="str">
        <f>INDEX('Category Mapping'!$D$2:$D$29,MATCH('Source Data'!A72,'Category Mapping'!$A$2:$A$29,0))</f>
        <v>Lighting</v>
      </c>
    </row>
    <row r="73" spans="1:33" x14ac:dyDescent="0.25">
      <c r="A73" s="54" t="s">
        <v>91</v>
      </c>
      <c r="B73" s="55">
        <v>2019</v>
      </c>
      <c r="C73" s="55">
        <v>19</v>
      </c>
      <c r="D73" s="55" t="s">
        <v>208</v>
      </c>
      <c r="E73" s="55">
        <v>11</v>
      </c>
      <c r="F73" s="55">
        <v>6924355</v>
      </c>
      <c r="G73" s="55">
        <v>5982599</v>
      </c>
      <c r="H73" s="55">
        <v>5778115</v>
      </c>
      <c r="I73" s="55">
        <v>5773238</v>
      </c>
      <c r="J73" s="55">
        <v>6076887</v>
      </c>
      <c r="K73" s="55">
        <v>7875428</v>
      </c>
      <c r="L73" s="55">
        <v>13600000</v>
      </c>
      <c r="M73" s="55">
        <v>12700000</v>
      </c>
      <c r="N73" s="55">
        <v>7674665</v>
      </c>
      <c r="O73" s="55">
        <v>7952336</v>
      </c>
      <c r="P73" s="55">
        <v>7999773</v>
      </c>
      <c r="Q73" s="55">
        <v>8487946</v>
      </c>
      <c r="R73" s="55">
        <v>8782936</v>
      </c>
      <c r="S73" s="55">
        <v>8771683</v>
      </c>
      <c r="T73" s="55">
        <v>8679387</v>
      </c>
      <c r="U73" s="55">
        <v>8701168</v>
      </c>
      <c r="V73" s="55">
        <v>18000000</v>
      </c>
      <c r="W73" s="55">
        <v>31300000</v>
      </c>
      <c r="X73" s="55">
        <v>33000000</v>
      </c>
      <c r="Y73" s="55">
        <v>34600000</v>
      </c>
      <c r="Z73" s="55">
        <v>34400000</v>
      </c>
      <c r="AA73" s="55">
        <v>28500000</v>
      </c>
      <c r="AB73" s="55">
        <v>18300000</v>
      </c>
      <c r="AC73" s="56">
        <v>10300000</v>
      </c>
      <c r="AD73" t="str">
        <f t="shared" si="1"/>
        <v>Winter</v>
      </c>
      <c r="AE73" t="str">
        <f>INDEX('Category Mapping'!$B$2:$B$29,MATCH('Source Data'!A73,'Category Mapping'!$A$2:$A$29,0))</f>
        <v>Weekend</v>
      </c>
      <c r="AF73" t="str">
        <f>INDEX('Category Mapping'!$C$2:$C$29,MATCH('Source Data'!A73,'Category Mapping'!$A$2:$A$29,0))</f>
        <v>Residential</v>
      </c>
      <c r="AG73" t="str">
        <f>INDEX('Category Mapping'!$D$2:$D$29,MATCH('Source Data'!A73,'Category Mapping'!$A$2:$A$29,0))</f>
        <v>Lighting</v>
      </c>
    </row>
    <row r="74" spans="1:33" x14ac:dyDescent="0.25">
      <c r="A74" s="57" t="s">
        <v>91</v>
      </c>
      <c r="B74" s="58">
        <v>2019</v>
      </c>
      <c r="C74" s="58">
        <v>19</v>
      </c>
      <c r="D74" s="58" t="s">
        <v>208</v>
      </c>
      <c r="E74" s="58">
        <v>12</v>
      </c>
      <c r="F74" s="58">
        <v>7008055</v>
      </c>
      <c r="G74" s="58">
        <v>6054916</v>
      </c>
      <c r="H74" s="58">
        <v>5847960</v>
      </c>
      <c r="I74" s="58">
        <v>5843024</v>
      </c>
      <c r="J74" s="58">
        <v>6150343</v>
      </c>
      <c r="K74" s="58">
        <v>7970625</v>
      </c>
      <c r="L74" s="58">
        <v>13800000</v>
      </c>
      <c r="M74" s="58">
        <v>21200000</v>
      </c>
      <c r="N74" s="58">
        <v>7767437</v>
      </c>
      <c r="O74" s="58">
        <v>8048464</v>
      </c>
      <c r="P74" s="58">
        <v>8096474</v>
      </c>
      <c r="Q74" s="58">
        <v>8590548</v>
      </c>
      <c r="R74" s="58">
        <v>8889103</v>
      </c>
      <c r="S74" s="58">
        <v>8877712</v>
      </c>
      <c r="T74" s="58">
        <v>8784302</v>
      </c>
      <c r="U74" s="58">
        <v>8806346</v>
      </c>
      <c r="V74" s="58">
        <v>30200000</v>
      </c>
      <c r="W74" s="58">
        <v>31700000</v>
      </c>
      <c r="X74" s="58">
        <v>33400000</v>
      </c>
      <c r="Y74" s="58">
        <v>35000000</v>
      </c>
      <c r="Z74" s="58">
        <v>34800000</v>
      </c>
      <c r="AA74" s="58">
        <v>28800000</v>
      </c>
      <c r="AB74" s="58">
        <v>18600000</v>
      </c>
      <c r="AC74" s="59">
        <v>10400000</v>
      </c>
      <c r="AD74" t="str">
        <f t="shared" si="1"/>
        <v>Winter</v>
      </c>
      <c r="AE74" t="str">
        <f>INDEX('Category Mapping'!$B$2:$B$29,MATCH('Source Data'!A74,'Category Mapping'!$A$2:$A$29,0))</f>
        <v>Weekend</v>
      </c>
      <c r="AF74" t="str">
        <f>INDEX('Category Mapping'!$C$2:$C$29,MATCH('Source Data'!A74,'Category Mapping'!$A$2:$A$29,0))</f>
        <v>Residential</v>
      </c>
      <c r="AG74" t="str">
        <f>INDEX('Category Mapping'!$D$2:$D$29,MATCH('Source Data'!A74,'Category Mapping'!$A$2:$A$29,0))</f>
        <v>Lighting</v>
      </c>
    </row>
    <row r="75" spans="1:33" x14ac:dyDescent="0.25">
      <c r="A75" s="54" t="s">
        <v>94</v>
      </c>
      <c r="B75" s="55">
        <v>2019</v>
      </c>
      <c r="C75" s="55">
        <v>19</v>
      </c>
      <c r="D75" s="55" t="s">
        <v>208</v>
      </c>
      <c r="E75" s="55">
        <v>1</v>
      </c>
      <c r="F75" s="55">
        <v>5289287</v>
      </c>
      <c r="G75" s="55">
        <v>3656468</v>
      </c>
      <c r="H75" s="55">
        <v>3320863</v>
      </c>
      <c r="I75" s="55">
        <v>3245602</v>
      </c>
      <c r="J75" s="55">
        <v>4554087</v>
      </c>
      <c r="K75" s="55">
        <v>10100000</v>
      </c>
      <c r="L75" s="55">
        <v>19800000</v>
      </c>
      <c r="M75" s="55">
        <v>27300000</v>
      </c>
      <c r="N75" s="55">
        <v>18000000</v>
      </c>
      <c r="O75" s="55">
        <v>16100000</v>
      </c>
      <c r="P75" s="55">
        <v>15000000</v>
      </c>
      <c r="Q75" s="55">
        <v>12900000</v>
      </c>
      <c r="R75" s="55">
        <v>10500000</v>
      </c>
      <c r="S75" s="55">
        <v>9237531</v>
      </c>
      <c r="T75" s="55">
        <v>9075739</v>
      </c>
      <c r="U75" s="55">
        <v>9173165</v>
      </c>
      <c r="V75" s="55">
        <v>11100000</v>
      </c>
      <c r="W75" s="55">
        <v>14000000</v>
      </c>
      <c r="X75" s="55">
        <v>18000000</v>
      </c>
      <c r="Y75" s="55">
        <v>18000000</v>
      </c>
      <c r="Z75" s="55">
        <v>16200000</v>
      </c>
      <c r="AA75" s="55">
        <v>15000000</v>
      </c>
      <c r="AB75" s="55">
        <v>13200000</v>
      </c>
      <c r="AC75" s="56">
        <v>9259196</v>
      </c>
      <c r="AD75" t="str">
        <f t="shared" si="1"/>
        <v>Winter</v>
      </c>
      <c r="AE75" t="str">
        <f>INDEX('Category Mapping'!$B$2:$B$29,MATCH('Source Data'!A75,'Category Mapping'!$A$2:$A$29,0))</f>
        <v>Weekday</v>
      </c>
      <c r="AF75" t="str">
        <f>INDEX('Category Mapping'!$C$2:$C$29,MATCH('Source Data'!A75,'Category Mapping'!$A$2:$A$29,0))</f>
        <v>Residential</v>
      </c>
      <c r="AG75" t="str">
        <f>INDEX('Category Mapping'!$D$2:$D$29,MATCH('Source Data'!A75,'Category Mapping'!$A$2:$A$29,0))</f>
        <v>Appliances</v>
      </c>
    </row>
    <row r="76" spans="1:33" x14ac:dyDescent="0.25">
      <c r="A76" s="57" t="s">
        <v>94</v>
      </c>
      <c r="B76" s="58">
        <v>2019</v>
      </c>
      <c r="C76" s="58">
        <v>19</v>
      </c>
      <c r="D76" s="58" t="s">
        <v>208</v>
      </c>
      <c r="E76" s="58">
        <v>2</v>
      </c>
      <c r="F76" s="58">
        <v>4961836</v>
      </c>
      <c r="G76" s="58">
        <v>3430102</v>
      </c>
      <c r="H76" s="58">
        <v>3115274</v>
      </c>
      <c r="I76" s="58">
        <v>3044672</v>
      </c>
      <c r="J76" s="58">
        <v>4272150</v>
      </c>
      <c r="K76" s="58">
        <v>9477508</v>
      </c>
      <c r="L76" s="58">
        <v>18600000</v>
      </c>
      <c r="M76" s="58">
        <v>25600000</v>
      </c>
      <c r="N76" s="58">
        <v>16900000</v>
      </c>
      <c r="O76" s="58">
        <v>15100000</v>
      </c>
      <c r="P76" s="58">
        <v>14100000</v>
      </c>
      <c r="Q76" s="58">
        <v>12100000</v>
      </c>
      <c r="R76" s="58">
        <v>9875154</v>
      </c>
      <c r="S76" s="58">
        <v>8665650</v>
      </c>
      <c r="T76" s="58">
        <v>8513874</v>
      </c>
      <c r="U76" s="58">
        <v>8605268</v>
      </c>
      <c r="V76" s="58">
        <v>10400000</v>
      </c>
      <c r="W76" s="58">
        <v>13200000</v>
      </c>
      <c r="X76" s="58">
        <v>16900000</v>
      </c>
      <c r="Y76" s="58">
        <v>16900000</v>
      </c>
      <c r="Z76" s="58">
        <v>15200000</v>
      </c>
      <c r="AA76" s="58">
        <v>14100000</v>
      </c>
      <c r="AB76" s="58">
        <v>12400000</v>
      </c>
      <c r="AC76" s="59">
        <v>8685973</v>
      </c>
      <c r="AD76" t="str">
        <f t="shared" si="1"/>
        <v>Winter</v>
      </c>
      <c r="AE76" t="str">
        <f>INDEX('Category Mapping'!$B$2:$B$29,MATCH('Source Data'!A76,'Category Mapping'!$A$2:$A$29,0))</f>
        <v>Weekday</v>
      </c>
      <c r="AF76" t="str">
        <f>INDEX('Category Mapping'!$C$2:$C$29,MATCH('Source Data'!A76,'Category Mapping'!$A$2:$A$29,0))</f>
        <v>Residential</v>
      </c>
      <c r="AG76" t="str">
        <f>INDEX('Category Mapping'!$D$2:$D$29,MATCH('Source Data'!A76,'Category Mapping'!$A$2:$A$29,0))</f>
        <v>Appliances</v>
      </c>
    </row>
    <row r="77" spans="1:33" x14ac:dyDescent="0.25">
      <c r="A77" s="54" t="s">
        <v>94</v>
      </c>
      <c r="B77" s="55">
        <v>2019</v>
      </c>
      <c r="C77" s="55">
        <v>19</v>
      </c>
      <c r="D77" s="55" t="s">
        <v>208</v>
      </c>
      <c r="E77" s="55">
        <v>3</v>
      </c>
      <c r="F77" s="55">
        <v>4685614</v>
      </c>
      <c r="G77" s="55">
        <v>3239151</v>
      </c>
      <c r="H77" s="55">
        <v>2941849</v>
      </c>
      <c r="I77" s="55">
        <v>2875177</v>
      </c>
      <c r="J77" s="55">
        <v>4034323</v>
      </c>
      <c r="K77" s="55">
        <v>8949902</v>
      </c>
      <c r="L77" s="55">
        <v>17500000</v>
      </c>
      <c r="M77" s="55">
        <v>24100000</v>
      </c>
      <c r="N77" s="55">
        <v>16000000</v>
      </c>
      <c r="O77" s="55">
        <v>14300000</v>
      </c>
      <c r="P77" s="55">
        <v>13300000</v>
      </c>
      <c r="Q77" s="55">
        <v>11500000</v>
      </c>
      <c r="R77" s="55">
        <v>9325412</v>
      </c>
      <c r="S77" s="55">
        <v>8183240</v>
      </c>
      <c r="T77" s="55">
        <v>8039913</v>
      </c>
      <c r="U77" s="55">
        <v>8126220</v>
      </c>
      <c r="V77" s="55">
        <v>9822617</v>
      </c>
      <c r="W77" s="55">
        <v>12400000</v>
      </c>
      <c r="X77" s="55">
        <v>16000000</v>
      </c>
      <c r="Y77" s="55">
        <v>16000000</v>
      </c>
      <c r="Z77" s="55">
        <v>14400000</v>
      </c>
      <c r="AA77" s="55">
        <v>13300000</v>
      </c>
      <c r="AB77" s="55">
        <v>11700000</v>
      </c>
      <c r="AC77" s="56">
        <v>8202431</v>
      </c>
      <c r="AD77" t="str">
        <f t="shared" si="1"/>
        <v>Spring</v>
      </c>
      <c r="AE77" t="str">
        <f>INDEX('Category Mapping'!$B$2:$B$29,MATCH('Source Data'!A77,'Category Mapping'!$A$2:$A$29,0))</f>
        <v>Weekday</v>
      </c>
      <c r="AF77" t="str">
        <f>INDEX('Category Mapping'!$C$2:$C$29,MATCH('Source Data'!A77,'Category Mapping'!$A$2:$A$29,0))</f>
        <v>Residential</v>
      </c>
      <c r="AG77" t="str">
        <f>INDEX('Category Mapping'!$D$2:$D$29,MATCH('Source Data'!A77,'Category Mapping'!$A$2:$A$29,0))</f>
        <v>Appliances</v>
      </c>
    </row>
    <row r="78" spans="1:33" x14ac:dyDescent="0.25">
      <c r="A78" s="57" t="s">
        <v>94</v>
      </c>
      <c r="B78" s="58">
        <v>2019</v>
      </c>
      <c r="C78" s="58">
        <v>19</v>
      </c>
      <c r="D78" s="58" t="s">
        <v>208</v>
      </c>
      <c r="E78" s="58">
        <v>4</v>
      </c>
      <c r="F78" s="58">
        <v>4157965</v>
      </c>
      <c r="G78" s="58">
        <v>2874388</v>
      </c>
      <c r="H78" s="58">
        <v>2610566</v>
      </c>
      <c r="I78" s="58">
        <v>2551402</v>
      </c>
      <c r="J78" s="58">
        <v>3580016</v>
      </c>
      <c r="K78" s="58">
        <v>7942049</v>
      </c>
      <c r="L78" s="58">
        <v>15600000</v>
      </c>
      <c r="M78" s="58">
        <v>21400000</v>
      </c>
      <c r="N78" s="58">
        <v>14200000</v>
      </c>
      <c r="O78" s="58">
        <v>12700000</v>
      </c>
      <c r="P78" s="58">
        <v>11800000</v>
      </c>
      <c r="Q78" s="58">
        <v>10200000</v>
      </c>
      <c r="R78" s="58">
        <v>8275273</v>
      </c>
      <c r="S78" s="58">
        <v>7261721</v>
      </c>
      <c r="T78" s="58">
        <v>7134535</v>
      </c>
      <c r="U78" s="58">
        <v>7211122</v>
      </c>
      <c r="V78" s="58">
        <v>8716487</v>
      </c>
      <c r="W78" s="58">
        <v>11000000</v>
      </c>
      <c r="X78" s="58">
        <v>14200000</v>
      </c>
      <c r="Y78" s="58">
        <v>14200000</v>
      </c>
      <c r="Z78" s="58">
        <v>12800000</v>
      </c>
      <c r="AA78" s="58">
        <v>11800000</v>
      </c>
      <c r="AB78" s="58">
        <v>10400000</v>
      </c>
      <c r="AC78" s="59">
        <v>7278752</v>
      </c>
      <c r="AD78" t="str">
        <f t="shared" si="1"/>
        <v>Spring</v>
      </c>
      <c r="AE78" t="str">
        <f>INDEX('Category Mapping'!$B$2:$B$29,MATCH('Source Data'!A78,'Category Mapping'!$A$2:$A$29,0))</f>
        <v>Weekday</v>
      </c>
      <c r="AF78" t="str">
        <f>INDEX('Category Mapping'!$C$2:$C$29,MATCH('Source Data'!A78,'Category Mapping'!$A$2:$A$29,0))</f>
        <v>Residential</v>
      </c>
      <c r="AG78" t="str">
        <f>INDEX('Category Mapping'!$D$2:$D$29,MATCH('Source Data'!A78,'Category Mapping'!$A$2:$A$29,0))</f>
        <v>Appliances</v>
      </c>
    </row>
    <row r="79" spans="1:33" x14ac:dyDescent="0.25">
      <c r="A79" s="54" t="s">
        <v>94</v>
      </c>
      <c r="B79" s="55">
        <v>2019</v>
      </c>
      <c r="C79" s="55">
        <v>19</v>
      </c>
      <c r="D79" s="55" t="s">
        <v>208</v>
      </c>
      <c r="E79" s="55">
        <v>5</v>
      </c>
      <c r="F79" s="55">
        <v>3775949</v>
      </c>
      <c r="G79" s="55">
        <v>2610302</v>
      </c>
      <c r="H79" s="55">
        <v>2370718</v>
      </c>
      <c r="I79" s="55">
        <v>2316991</v>
      </c>
      <c r="J79" s="55">
        <v>3251100</v>
      </c>
      <c r="K79" s="55">
        <v>7212369</v>
      </c>
      <c r="L79" s="55">
        <v>14100000</v>
      </c>
      <c r="M79" s="55">
        <v>19500000</v>
      </c>
      <c r="N79" s="55">
        <v>12900000</v>
      </c>
      <c r="O79" s="55">
        <v>11500000</v>
      </c>
      <c r="P79" s="55">
        <v>10700000</v>
      </c>
      <c r="Q79" s="55">
        <v>9235780</v>
      </c>
      <c r="R79" s="55">
        <v>7514977</v>
      </c>
      <c r="S79" s="55">
        <v>6594546</v>
      </c>
      <c r="T79" s="55">
        <v>6479045</v>
      </c>
      <c r="U79" s="55">
        <v>6548596</v>
      </c>
      <c r="V79" s="55">
        <v>7915655</v>
      </c>
      <c r="W79" s="55">
        <v>10000000</v>
      </c>
      <c r="X79" s="55">
        <v>12900000</v>
      </c>
      <c r="Y79" s="55">
        <v>12900000</v>
      </c>
      <c r="Z79" s="55">
        <v>11600000</v>
      </c>
      <c r="AA79" s="55">
        <v>10700000</v>
      </c>
      <c r="AB79" s="55">
        <v>9444075</v>
      </c>
      <c r="AC79" s="56">
        <v>6610012</v>
      </c>
      <c r="AD79" t="str">
        <f t="shared" si="1"/>
        <v>Spring</v>
      </c>
      <c r="AE79" t="str">
        <f>INDEX('Category Mapping'!$B$2:$B$29,MATCH('Source Data'!A79,'Category Mapping'!$A$2:$A$29,0))</f>
        <v>Weekday</v>
      </c>
      <c r="AF79" t="str">
        <f>INDEX('Category Mapping'!$C$2:$C$29,MATCH('Source Data'!A79,'Category Mapping'!$A$2:$A$29,0))</f>
        <v>Residential</v>
      </c>
      <c r="AG79" t="str">
        <f>INDEX('Category Mapping'!$D$2:$D$29,MATCH('Source Data'!A79,'Category Mapping'!$A$2:$A$29,0))</f>
        <v>Appliances</v>
      </c>
    </row>
    <row r="80" spans="1:33" x14ac:dyDescent="0.25">
      <c r="A80" s="57" t="s">
        <v>94</v>
      </c>
      <c r="B80" s="58">
        <v>2019</v>
      </c>
      <c r="C80" s="58">
        <v>19</v>
      </c>
      <c r="D80" s="58" t="s">
        <v>208</v>
      </c>
      <c r="E80" s="58">
        <v>6</v>
      </c>
      <c r="F80" s="58">
        <v>3643003</v>
      </c>
      <c r="G80" s="58">
        <v>2518397</v>
      </c>
      <c r="H80" s="58">
        <v>2287249</v>
      </c>
      <c r="I80" s="58">
        <v>2235413</v>
      </c>
      <c r="J80" s="58">
        <v>3136633</v>
      </c>
      <c r="K80" s="58">
        <v>6958432</v>
      </c>
      <c r="L80" s="58">
        <v>13600000</v>
      </c>
      <c r="M80" s="58">
        <v>18800000</v>
      </c>
      <c r="N80" s="58">
        <v>12400000</v>
      </c>
      <c r="O80" s="58">
        <v>11100000</v>
      </c>
      <c r="P80" s="58">
        <v>10300000</v>
      </c>
      <c r="Q80" s="58">
        <v>8910601</v>
      </c>
      <c r="R80" s="58">
        <v>7250386</v>
      </c>
      <c r="S80" s="58">
        <v>6362362</v>
      </c>
      <c r="T80" s="58">
        <v>6250927</v>
      </c>
      <c r="U80" s="58">
        <v>6318029</v>
      </c>
      <c r="V80" s="58">
        <v>7636956</v>
      </c>
      <c r="W80" s="58">
        <v>9669768</v>
      </c>
      <c r="X80" s="58">
        <v>12400000</v>
      </c>
      <c r="Y80" s="58">
        <v>12400000</v>
      </c>
      <c r="Z80" s="58">
        <v>11200000</v>
      </c>
      <c r="AA80" s="58">
        <v>10400000</v>
      </c>
      <c r="AB80" s="58">
        <v>9111562</v>
      </c>
      <c r="AC80" s="59">
        <v>6377283</v>
      </c>
      <c r="AD80" t="str">
        <f t="shared" si="1"/>
        <v>Summer</v>
      </c>
      <c r="AE80" t="str">
        <f>INDEX('Category Mapping'!$B$2:$B$29,MATCH('Source Data'!A80,'Category Mapping'!$A$2:$A$29,0))</f>
        <v>Weekday</v>
      </c>
      <c r="AF80" t="str">
        <f>INDEX('Category Mapping'!$C$2:$C$29,MATCH('Source Data'!A80,'Category Mapping'!$A$2:$A$29,0))</f>
        <v>Residential</v>
      </c>
      <c r="AG80" t="str">
        <f>INDEX('Category Mapping'!$D$2:$D$29,MATCH('Source Data'!A80,'Category Mapping'!$A$2:$A$29,0))</f>
        <v>Appliances</v>
      </c>
    </row>
    <row r="81" spans="1:33" x14ac:dyDescent="0.25">
      <c r="A81" s="54" t="s">
        <v>94</v>
      </c>
      <c r="B81" s="55">
        <v>2019</v>
      </c>
      <c r="C81" s="55">
        <v>19</v>
      </c>
      <c r="D81" s="55" t="s">
        <v>208</v>
      </c>
      <c r="E81" s="55">
        <v>7</v>
      </c>
      <c r="F81" s="55">
        <v>3620801</v>
      </c>
      <c r="G81" s="55">
        <v>2503049</v>
      </c>
      <c r="H81" s="55">
        <v>2273309</v>
      </c>
      <c r="I81" s="55">
        <v>2221789</v>
      </c>
      <c r="J81" s="55">
        <v>3117517</v>
      </c>
      <c r="K81" s="55">
        <v>6916023</v>
      </c>
      <c r="L81" s="55">
        <v>13600000</v>
      </c>
      <c r="M81" s="55">
        <v>18700000</v>
      </c>
      <c r="N81" s="55">
        <v>12300000</v>
      </c>
      <c r="O81" s="55">
        <v>11000000</v>
      </c>
      <c r="P81" s="55">
        <v>10300000</v>
      </c>
      <c r="Q81" s="55">
        <v>8856295</v>
      </c>
      <c r="R81" s="55">
        <v>7206198</v>
      </c>
      <c r="S81" s="55">
        <v>6323586</v>
      </c>
      <c r="T81" s="55">
        <v>6212831</v>
      </c>
      <c r="U81" s="55">
        <v>6279524</v>
      </c>
      <c r="V81" s="55">
        <v>7590412</v>
      </c>
      <c r="W81" s="55">
        <v>9610835</v>
      </c>
      <c r="X81" s="55">
        <v>12300000</v>
      </c>
      <c r="Y81" s="55">
        <v>12400000</v>
      </c>
      <c r="Z81" s="55">
        <v>11100000</v>
      </c>
      <c r="AA81" s="55">
        <v>10300000</v>
      </c>
      <c r="AB81" s="55">
        <v>9056031</v>
      </c>
      <c r="AC81" s="56">
        <v>6338416</v>
      </c>
      <c r="AD81" t="str">
        <f t="shared" si="1"/>
        <v>Summer</v>
      </c>
      <c r="AE81" t="str">
        <f>INDEX('Category Mapping'!$B$2:$B$29,MATCH('Source Data'!A81,'Category Mapping'!$A$2:$A$29,0))</f>
        <v>Weekday</v>
      </c>
      <c r="AF81" t="str">
        <f>INDEX('Category Mapping'!$C$2:$C$29,MATCH('Source Data'!A81,'Category Mapping'!$A$2:$A$29,0))</f>
        <v>Residential</v>
      </c>
      <c r="AG81" t="str">
        <f>INDEX('Category Mapping'!$D$2:$D$29,MATCH('Source Data'!A81,'Category Mapping'!$A$2:$A$29,0))</f>
        <v>Appliances</v>
      </c>
    </row>
    <row r="82" spans="1:33" x14ac:dyDescent="0.25">
      <c r="A82" s="57" t="s">
        <v>94</v>
      </c>
      <c r="B82" s="58">
        <v>2019</v>
      </c>
      <c r="C82" s="58">
        <v>19</v>
      </c>
      <c r="D82" s="58" t="s">
        <v>208</v>
      </c>
      <c r="E82" s="58">
        <v>8</v>
      </c>
      <c r="F82" s="58">
        <v>3621055</v>
      </c>
      <c r="G82" s="58">
        <v>2503224</v>
      </c>
      <c r="H82" s="58">
        <v>2273468</v>
      </c>
      <c r="I82" s="58">
        <v>2221945</v>
      </c>
      <c r="J82" s="58">
        <v>3117735</v>
      </c>
      <c r="K82" s="58">
        <v>6916508</v>
      </c>
      <c r="L82" s="58">
        <v>13600000</v>
      </c>
      <c r="M82" s="58">
        <v>18700000</v>
      </c>
      <c r="N82" s="58">
        <v>12300000</v>
      </c>
      <c r="O82" s="58">
        <v>11000000</v>
      </c>
      <c r="P82" s="58">
        <v>10300000</v>
      </c>
      <c r="Q82" s="58">
        <v>8856916</v>
      </c>
      <c r="R82" s="58">
        <v>7206703</v>
      </c>
      <c r="S82" s="58">
        <v>6324029</v>
      </c>
      <c r="T82" s="58">
        <v>6213267</v>
      </c>
      <c r="U82" s="58">
        <v>6279964</v>
      </c>
      <c r="V82" s="58">
        <v>7590945</v>
      </c>
      <c r="W82" s="58">
        <v>9611509</v>
      </c>
      <c r="X82" s="58">
        <v>12300000</v>
      </c>
      <c r="Y82" s="58">
        <v>12400000</v>
      </c>
      <c r="Z82" s="58">
        <v>11100000</v>
      </c>
      <c r="AA82" s="58">
        <v>10300000</v>
      </c>
      <c r="AB82" s="58">
        <v>9056667</v>
      </c>
      <c r="AC82" s="59">
        <v>6338861</v>
      </c>
      <c r="AD82" t="str">
        <f t="shared" si="1"/>
        <v>Summer</v>
      </c>
      <c r="AE82" t="str">
        <f>INDEX('Category Mapping'!$B$2:$B$29,MATCH('Source Data'!A82,'Category Mapping'!$A$2:$A$29,0))</f>
        <v>Weekday</v>
      </c>
      <c r="AF82" t="str">
        <f>INDEX('Category Mapping'!$C$2:$C$29,MATCH('Source Data'!A82,'Category Mapping'!$A$2:$A$29,0))</f>
        <v>Residential</v>
      </c>
      <c r="AG82" t="str">
        <f>INDEX('Category Mapping'!$D$2:$D$29,MATCH('Source Data'!A82,'Category Mapping'!$A$2:$A$29,0))</f>
        <v>Appliances</v>
      </c>
    </row>
    <row r="83" spans="1:33" x14ac:dyDescent="0.25">
      <c r="A83" s="54" t="s">
        <v>94</v>
      </c>
      <c r="B83" s="55">
        <v>2019</v>
      </c>
      <c r="C83" s="55">
        <v>19</v>
      </c>
      <c r="D83" s="55" t="s">
        <v>208</v>
      </c>
      <c r="E83" s="55">
        <v>9</v>
      </c>
      <c r="F83" s="55">
        <v>3671762</v>
      </c>
      <c r="G83" s="55">
        <v>2538278</v>
      </c>
      <c r="H83" s="55">
        <v>2305305</v>
      </c>
      <c r="I83" s="55">
        <v>2253060</v>
      </c>
      <c r="J83" s="55">
        <v>3161394</v>
      </c>
      <c r="K83" s="55">
        <v>7013363</v>
      </c>
      <c r="L83" s="55">
        <v>13700000</v>
      </c>
      <c r="M83" s="55">
        <v>18900000</v>
      </c>
      <c r="N83" s="55">
        <v>12500000</v>
      </c>
      <c r="O83" s="55">
        <v>11200000</v>
      </c>
      <c r="P83" s="55">
        <v>10400000</v>
      </c>
      <c r="Q83" s="55">
        <v>8980943</v>
      </c>
      <c r="R83" s="55">
        <v>7307622</v>
      </c>
      <c r="S83" s="55">
        <v>6412587</v>
      </c>
      <c r="T83" s="55">
        <v>6300274</v>
      </c>
      <c r="U83" s="55">
        <v>6367905</v>
      </c>
      <c r="V83" s="55">
        <v>7697244</v>
      </c>
      <c r="W83" s="55">
        <v>9746103</v>
      </c>
      <c r="X83" s="55">
        <v>12500000</v>
      </c>
      <c r="Y83" s="55">
        <v>12500000</v>
      </c>
      <c r="Z83" s="55">
        <v>11300000</v>
      </c>
      <c r="AA83" s="55">
        <v>10400000</v>
      </c>
      <c r="AB83" s="55">
        <v>9183491</v>
      </c>
      <c r="AC83" s="56">
        <v>6427627</v>
      </c>
      <c r="AD83" t="str">
        <f t="shared" si="1"/>
        <v>Fall</v>
      </c>
      <c r="AE83" t="str">
        <f>INDEX('Category Mapping'!$B$2:$B$29,MATCH('Source Data'!A83,'Category Mapping'!$A$2:$A$29,0))</f>
        <v>Weekday</v>
      </c>
      <c r="AF83" t="str">
        <f>INDEX('Category Mapping'!$C$2:$C$29,MATCH('Source Data'!A83,'Category Mapping'!$A$2:$A$29,0))</f>
        <v>Residential</v>
      </c>
      <c r="AG83" t="str">
        <f>INDEX('Category Mapping'!$D$2:$D$29,MATCH('Source Data'!A83,'Category Mapping'!$A$2:$A$29,0))</f>
        <v>Appliances</v>
      </c>
    </row>
    <row r="84" spans="1:33" x14ac:dyDescent="0.25">
      <c r="A84" s="57" t="s">
        <v>94</v>
      </c>
      <c r="B84" s="58">
        <v>2019</v>
      </c>
      <c r="C84" s="58">
        <v>19</v>
      </c>
      <c r="D84" s="58" t="s">
        <v>208</v>
      </c>
      <c r="E84" s="58">
        <v>10</v>
      </c>
      <c r="F84" s="58">
        <v>4010625</v>
      </c>
      <c r="G84" s="58">
        <v>2772533</v>
      </c>
      <c r="H84" s="58">
        <v>2518059</v>
      </c>
      <c r="I84" s="58">
        <v>2460992</v>
      </c>
      <c r="J84" s="58">
        <v>3453156</v>
      </c>
      <c r="K84" s="58">
        <v>7660618</v>
      </c>
      <c r="L84" s="58">
        <v>15000000</v>
      </c>
      <c r="M84" s="58">
        <v>20700000</v>
      </c>
      <c r="N84" s="58">
        <v>13700000</v>
      </c>
      <c r="O84" s="58">
        <v>12200000</v>
      </c>
      <c r="P84" s="58">
        <v>11400000</v>
      </c>
      <c r="Q84" s="58">
        <v>9809784</v>
      </c>
      <c r="R84" s="58">
        <v>7982034</v>
      </c>
      <c r="S84" s="58">
        <v>7004398</v>
      </c>
      <c r="T84" s="58">
        <v>6881719</v>
      </c>
      <c r="U84" s="58">
        <v>6955592</v>
      </c>
      <c r="V84" s="58">
        <v>8407613</v>
      </c>
      <c r="W84" s="58">
        <v>10600000</v>
      </c>
      <c r="X84" s="58">
        <v>13700000</v>
      </c>
      <c r="Y84" s="58">
        <v>13700000</v>
      </c>
      <c r="Z84" s="58">
        <v>12300000</v>
      </c>
      <c r="AA84" s="58">
        <v>11400000</v>
      </c>
      <c r="AB84" s="58">
        <v>10000000</v>
      </c>
      <c r="AC84" s="59">
        <v>7020825</v>
      </c>
      <c r="AD84" t="str">
        <f t="shared" si="1"/>
        <v>Fall</v>
      </c>
      <c r="AE84" t="str">
        <f>INDEX('Category Mapping'!$B$2:$B$29,MATCH('Source Data'!A84,'Category Mapping'!$A$2:$A$29,0))</f>
        <v>Weekday</v>
      </c>
      <c r="AF84" t="str">
        <f>INDEX('Category Mapping'!$C$2:$C$29,MATCH('Source Data'!A84,'Category Mapping'!$A$2:$A$29,0))</f>
        <v>Residential</v>
      </c>
      <c r="AG84" t="str">
        <f>INDEX('Category Mapping'!$D$2:$D$29,MATCH('Source Data'!A84,'Category Mapping'!$A$2:$A$29,0))</f>
        <v>Appliances</v>
      </c>
    </row>
    <row r="85" spans="1:33" x14ac:dyDescent="0.25">
      <c r="A85" s="54" t="s">
        <v>94</v>
      </c>
      <c r="B85" s="55">
        <v>2019</v>
      </c>
      <c r="C85" s="55">
        <v>19</v>
      </c>
      <c r="D85" s="55" t="s">
        <v>208</v>
      </c>
      <c r="E85" s="55">
        <v>11</v>
      </c>
      <c r="F85" s="55">
        <v>4494989</v>
      </c>
      <c r="G85" s="55">
        <v>3107372</v>
      </c>
      <c r="H85" s="55">
        <v>2822165</v>
      </c>
      <c r="I85" s="55">
        <v>2758206</v>
      </c>
      <c r="J85" s="55">
        <v>3870194</v>
      </c>
      <c r="K85" s="55">
        <v>8585792</v>
      </c>
      <c r="L85" s="55">
        <v>16800000</v>
      </c>
      <c r="M85" s="55">
        <v>23200000</v>
      </c>
      <c r="N85" s="55">
        <v>15300000</v>
      </c>
      <c r="O85" s="55">
        <v>13700000</v>
      </c>
      <c r="P85" s="55">
        <v>12700000</v>
      </c>
      <c r="Q85" s="55">
        <v>11000000</v>
      </c>
      <c r="R85" s="55">
        <v>8946025</v>
      </c>
      <c r="S85" s="55">
        <v>7850320</v>
      </c>
      <c r="T85" s="55">
        <v>7712825</v>
      </c>
      <c r="U85" s="55">
        <v>7795620</v>
      </c>
      <c r="V85" s="55">
        <v>9423002</v>
      </c>
      <c r="W85" s="55">
        <v>11900000</v>
      </c>
      <c r="X85" s="55">
        <v>15300000</v>
      </c>
      <c r="Y85" s="55">
        <v>15300000</v>
      </c>
      <c r="Z85" s="55">
        <v>13800000</v>
      </c>
      <c r="AA85" s="55">
        <v>12800000</v>
      </c>
      <c r="AB85" s="55">
        <v>11200000</v>
      </c>
      <c r="AC85" s="56">
        <v>7868731</v>
      </c>
      <c r="AD85" t="str">
        <f t="shared" si="1"/>
        <v>Winter</v>
      </c>
      <c r="AE85" t="str">
        <f>INDEX('Category Mapping'!$B$2:$B$29,MATCH('Source Data'!A85,'Category Mapping'!$A$2:$A$29,0))</f>
        <v>Weekday</v>
      </c>
      <c r="AF85" t="str">
        <f>INDEX('Category Mapping'!$C$2:$C$29,MATCH('Source Data'!A85,'Category Mapping'!$A$2:$A$29,0))</f>
        <v>Residential</v>
      </c>
      <c r="AG85" t="str">
        <f>INDEX('Category Mapping'!$D$2:$D$29,MATCH('Source Data'!A85,'Category Mapping'!$A$2:$A$29,0))</f>
        <v>Appliances</v>
      </c>
    </row>
    <row r="86" spans="1:33" x14ac:dyDescent="0.25">
      <c r="A86" s="57" t="s">
        <v>94</v>
      </c>
      <c r="B86" s="58">
        <v>2019</v>
      </c>
      <c r="C86" s="58">
        <v>19</v>
      </c>
      <c r="D86" s="58" t="s">
        <v>208</v>
      </c>
      <c r="E86" s="58">
        <v>12</v>
      </c>
      <c r="F86" s="58">
        <v>5042649</v>
      </c>
      <c r="G86" s="58">
        <v>3485968</v>
      </c>
      <c r="H86" s="58">
        <v>3166012</v>
      </c>
      <c r="I86" s="58">
        <v>3094260</v>
      </c>
      <c r="J86" s="58">
        <v>4341731</v>
      </c>
      <c r="K86" s="58">
        <v>9631867</v>
      </c>
      <c r="L86" s="58">
        <v>18900000</v>
      </c>
      <c r="M86" s="58">
        <v>26000000</v>
      </c>
      <c r="N86" s="58">
        <v>17200000</v>
      </c>
      <c r="O86" s="58">
        <v>15400000</v>
      </c>
      <c r="P86" s="58">
        <v>14300000</v>
      </c>
      <c r="Q86" s="58">
        <v>12300000</v>
      </c>
      <c r="R86" s="58">
        <v>10000000</v>
      </c>
      <c r="S86" s="58">
        <v>8806787</v>
      </c>
      <c r="T86" s="58">
        <v>8652539</v>
      </c>
      <c r="U86" s="58">
        <v>8745422</v>
      </c>
      <c r="V86" s="58">
        <v>10600000</v>
      </c>
      <c r="W86" s="58">
        <v>13400000</v>
      </c>
      <c r="X86" s="58">
        <v>17200000</v>
      </c>
      <c r="Y86" s="58">
        <v>17200000</v>
      </c>
      <c r="Z86" s="58">
        <v>15500000</v>
      </c>
      <c r="AA86" s="58">
        <v>14300000</v>
      </c>
      <c r="AB86" s="58">
        <v>12600000</v>
      </c>
      <c r="AC86" s="59">
        <v>8827441</v>
      </c>
      <c r="AD86" t="str">
        <f t="shared" si="1"/>
        <v>Winter</v>
      </c>
      <c r="AE86" t="str">
        <f>INDEX('Category Mapping'!$B$2:$B$29,MATCH('Source Data'!A86,'Category Mapping'!$A$2:$A$29,0))</f>
        <v>Weekday</v>
      </c>
      <c r="AF86" t="str">
        <f>INDEX('Category Mapping'!$C$2:$C$29,MATCH('Source Data'!A86,'Category Mapping'!$A$2:$A$29,0))</f>
        <v>Residential</v>
      </c>
      <c r="AG86" t="str">
        <f>INDEX('Category Mapping'!$D$2:$D$29,MATCH('Source Data'!A86,'Category Mapping'!$A$2:$A$29,0))</f>
        <v>Appliances</v>
      </c>
    </row>
    <row r="87" spans="1:33" x14ac:dyDescent="0.25">
      <c r="A87" s="54" t="s">
        <v>95</v>
      </c>
      <c r="B87" s="55">
        <v>2019</v>
      </c>
      <c r="C87" s="55">
        <v>19</v>
      </c>
      <c r="D87" s="55" t="s">
        <v>208</v>
      </c>
      <c r="E87" s="55">
        <v>1</v>
      </c>
      <c r="F87" s="55">
        <v>4556869</v>
      </c>
      <c r="G87" s="55">
        <v>2944436</v>
      </c>
      <c r="H87" s="55">
        <v>2454087</v>
      </c>
      <c r="I87" s="55">
        <v>2274738</v>
      </c>
      <c r="J87" s="55">
        <v>2344891</v>
      </c>
      <c r="K87" s="55">
        <v>3038123</v>
      </c>
      <c r="L87" s="55">
        <v>5350823</v>
      </c>
      <c r="M87" s="55">
        <v>8349451</v>
      </c>
      <c r="N87" s="55">
        <v>12700000</v>
      </c>
      <c r="O87" s="55">
        <v>17300000</v>
      </c>
      <c r="P87" s="55">
        <v>17800000</v>
      </c>
      <c r="Q87" s="55">
        <v>16400000</v>
      </c>
      <c r="R87" s="55">
        <v>14700000</v>
      </c>
      <c r="S87" s="55">
        <v>12600000</v>
      </c>
      <c r="T87" s="55">
        <v>11600000</v>
      </c>
      <c r="U87" s="55">
        <v>10200000</v>
      </c>
      <c r="V87" s="55">
        <v>10200000</v>
      </c>
      <c r="W87" s="55">
        <v>11700000</v>
      </c>
      <c r="X87" s="55">
        <v>13300000</v>
      </c>
      <c r="Y87" s="55">
        <v>12100000</v>
      </c>
      <c r="Z87" s="55">
        <v>11300000</v>
      </c>
      <c r="AA87" s="55">
        <v>9892092</v>
      </c>
      <c r="AB87" s="55">
        <v>8590929</v>
      </c>
      <c r="AC87" s="56">
        <v>6542610</v>
      </c>
      <c r="AD87" t="str">
        <f t="shared" si="1"/>
        <v>Winter</v>
      </c>
      <c r="AE87" t="str">
        <f>INDEX('Category Mapping'!$B$2:$B$29,MATCH('Source Data'!A87,'Category Mapping'!$A$2:$A$29,0))</f>
        <v>Weekend</v>
      </c>
      <c r="AF87" t="str">
        <f>INDEX('Category Mapping'!$C$2:$C$29,MATCH('Source Data'!A87,'Category Mapping'!$A$2:$A$29,0))</f>
        <v>Residential</v>
      </c>
      <c r="AG87" t="str">
        <f>INDEX('Category Mapping'!$D$2:$D$29,MATCH('Source Data'!A87,'Category Mapping'!$A$2:$A$29,0))</f>
        <v>Appliances</v>
      </c>
    </row>
    <row r="88" spans="1:33" x14ac:dyDescent="0.25">
      <c r="A88" s="57" t="s">
        <v>95</v>
      </c>
      <c r="B88" s="58">
        <v>2019</v>
      </c>
      <c r="C88" s="58">
        <v>19</v>
      </c>
      <c r="D88" s="58" t="s">
        <v>208</v>
      </c>
      <c r="E88" s="58">
        <v>2</v>
      </c>
      <c r="F88" s="58">
        <v>4274761</v>
      </c>
      <c r="G88" s="58">
        <v>2762150</v>
      </c>
      <c r="H88" s="58">
        <v>2302158</v>
      </c>
      <c r="I88" s="58">
        <v>2133912</v>
      </c>
      <c r="J88" s="58">
        <v>2199722</v>
      </c>
      <c r="K88" s="58">
        <v>2850038</v>
      </c>
      <c r="L88" s="58">
        <v>5019562</v>
      </c>
      <c r="M88" s="58">
        <v>7832549</v>
      </c>
      <c r="N88" s="58">
        <v>11900000</v>
      </c>
      <c r="O88" s="58">
        <v>16300000</v>
      </c>
      <c r="P88" s="58">
        <v>16700000</v>
      </c>
      <c r="Q88" s="58">
        <v>15400000</v>
      </c>
      <c r="R88" s="58">
        <v>13800000</v>
      </c>
      <c r="S88" s="58">
        <v>11900000</v>
      </c>
      <c r="T88" s="58">
        <v>10900000</v>
      </c>
      <c r="U88" s="58">
        <v>9528293</v>
      </c>
      <c r="V88" s="58">
        <v>9535652</v>
      </c>
      <c r="W88" s="58">
        <v>10900000</v>
      </c>
      <c r="X88" s="58">
        <v>12500000</v>
      </c>
      <c r="Y88" s="58">
        <v>11400000</v>
      </c>
      <c r="Z88" s="58">
        <v>10600000</v>
      </c>
      <c r="AA88" s="58">
        <v>9279688</v>
      </c>
      <c r="AB88" s="58">
        <v>8059077</v>
      </c>
      <c r="AC88" s="59">
        <v>6137567</v>
      </c>
      <c r="AD88" t="str">
        <f t="shared" si="1"/>
        <v>Winter</v>
      </c>
      <c r="AE88" t="str">
        <f>INDEX('Category Mapping'!$B$2:$B$29,MATCH('Source Data'!A88,'Category Mapping'!$A$2:$A$29,0))</f>
        <v>Weekend</v>
      </c>
      <c r="AF88" t="str">
        <f>INDEX('Category Mapping'!$C$2:$C$29,MATCH('Source Data'!A88,'Category Mapping'!$A$2:$A$29,0))</f>
        <v>Residential</v>
      </c>
      <c r="AG88" t="str">
        <f>INDEX('Category Mapping'!$D$2:$D$29,MATCH('Source Data'!A88,'Category Mapping'!$A$2:$A$29,0))</f>
        <v>Appliances</v>
      </c>
    </row>
    <row r="89" spans="1:33" x14ac:dyDescent="0.25">
      <c r="A89" s="54" t="s">
        <v>95</v>
      </c>
      <c r="B89" s="55">
        <v>2019</v>
      </c>
      <c r="C89" s="55">
        <v>19</v>
      </c>
      <c r="D89" s="55" t="s">
        <v>208</v>
      </c>
      <c r="E89" s="55">
        <v>3</v>
      </c>
      <c r="F89" s="55">
        <v>4036788</v>
      </c>
      <c r="G89" s="55">
        <v>2608383</v>
      </c>
      <c r="H89" s="55">
        <v>2173999</v>
      </c>
      <c r="I89" s="55">
        <v>2015119</v>
      </c>
      <c r="J89" s="55">
        <v>2077265</v>
      </c>
      <c r="K89" s="55">
        <v>2691378</v>
      </c>
      <c r="L89" s="55">
        <v>4740126</v>
      </c>
      <c r="M89" s="55">
        <v>7396517</v>
      </c>
      <c r="N89" s="55">
        <v>11300000</v>
      </c>
      <c r="O89" s="55">
        <v>15400000</v>
      </c>
      <c r="P89" s="55">
        <v>15800000</v>
      </c>
      <c r="Q89" s="55">
        <v>14500000</v>
      </c>
      <c r="R89" s="55">
        <v>13000000</v>
      </c>
      <c r="S89" s="55">
        <v>11200000</v>
      </c>
      <c r="T89" s="55">
        <v>10300000</v>
      </c>
      <c r="U89" s="55">
        <v>8997860</v>
      </c>
      <c r="V89" s="55">
        <v>9004809</v>
      </c>
      <c r="W89" s="55">
        <v>10300000</v>
      </c>
      <c r="X89" s="55">
        <v>11800000</v>
      </c>
      <c r="Y89" s="55">
        <v>10700000</v>
      </c>
      <c r="Z89" s="55">
        <v>10000000</v>
      </c>
      <c r="AA89" s="55">
        <v>8763094</v>
      </c>
      <c r="AB89" s="55">
        <v>7610435</v>
      </c>
      <c r="AC89" s="56">
        <v>5795893</v>
      </c>
      <c r="AD89" t="str">
        <f t="shared" si="1"/>
        <v>Spring</v>
      </c>
      <c r="AE89" t="str">
        <f>INDEX('Category Mapping'!$B$2:$B$29,MATCH('Source Data'!A89,'Category Mapping'!$A$2:$A$29,0))</f>
        <v>Weekend</v>
      </c>
      <c r="AF89" t="str">
        <f>INDEX('Category Mapping'!$C$2:$C$29,MATCH('Source Data'!A89,'Category Mapping'!$A$2:$A$29,0))</f>
        <v>Residential</v>
      </c>
      <c r="AG89" t="str">
        <f>INDEX('Category Mapping'!$D$2:$D$29,MATCH('Source Data'!A89,'Category Mapping'!$A$2:$A$29,0))</f>
        <v>Appliances</v>
      </c>
    </row>
    <row r="90" spans="1:33" x14ac:dyDescent="0.25">
      <c r="A90" s="57" t="s">
        <v>95</v>
      </c>
      <c r="B90" s="58">
        <v>2019</v>
      </c>
      <c r="C90" s="58">
        <v>19</v>
      </c>
      <c r="D90" s="58" t="s">
        <v>208</v>
      </c>
      <c r="E90" s="58">
        <v>4</v>
      </c>
      <c r="F90" s="58">
        <v>3582203</v>
      </c>
      <c r="G90" s="58">
        <v>2314652</v>
      </c>
      <c r="H90" s="58">
        <v>1929184</v>
      </c>
      <c r="I90" s="58">
        <v>1788195</v>
      </c>
      <c r="J90" s="58">
        <v>1843343</v>
      </c>
      <c r="K90" s="58">
        <v>2388301</v>
      </c>
      <c r="L90" s="58">
        <v>4206338</v>
      </c>
      <c r="M90" s="58">
        <v>6563592</v>
      </c>
      <c r="N90" s="58">
        <v>9998639</v>
      </c>
      <c r="O90" s="58">
        <v>13600000</v>
      </c>
      <c r="P90" s="58">
        <v>14000000</v>
      </c>
      <c r="Q90" s="58">
        <v>12900000</v>
      </c>
      <c r="R90" s="58">
        <v>11500000</v>
      </c>
      <c r="S90" s="58">
        <v>9931299</v>
      </c>
      <c r="T90" s="58">
        <v>9153983</v>
      </c>
      <c r="U90" s="58">
        <v>7984606</v>
      </c>
      <c r="V90" s="58">
        <v>7990773</v>
      </c>
      <c r="W90" s="58">
        <v>9172271</v>
      </c>
      <c r="X90" s="58">
        <v>10500000</v>
      </c>
      <c r="Y90" s="58">
        <v>9527472</v>
      </c>
      <c r="Z90" s="58">
        <v>8896673</v>
      </c>
      <c r="AA90" s="58">
        <v>7776278</v>
      </c>
      <c r="AB90" s="58">
        <v>6753420</v>
      </c>
      <c r="AC90" s="59">
        <v>5143214</v>
      </c>
      <c r="AD90" t="str">
        <f t="shared" si="1"/>
        <v>Spring</v>
      </c>
      <c r="AE90" t="str">
        <f>INDEX('Category Mapping'!$B$2:$B$29,MATCH('Source Data'!A90,'Category Mapping'!$A$2:$A$29,0))</f>
        <v>Weekend</v>
      </c>
      <c r="AF90" t="str">
        <f>INDEX('Category Mapping'!$C$2:$C$29,MATCH('Source Data'!A90,'Category Mapping'!$A$2:$A$29,0))</f>
        <v>Residential</v>
      </c>
      <c r="AG90" t="str">
        <f>INDEX('Category Mapping'!$D$2:$D$29,MATCH('Source Data'!A90,'Category Mapping'!$A$2:$A$29,0))</f>
        <v>Appliances</v>
      </c>
    </row>
    <row r="91" spans="1:33" x14ac:dyDescent="0.25">
      <c r="A91" s="54" t="s">
        <v>95</v>
      </c>
      <c r="B91" s="55">
        <v>2019</v>
      </c>
      <c r="C91" s="55">
        <v>19</v>
      </c>
      <c r="D91" s="55" t="s">
        <v>208</v>
      </c>
      <c r="E91" s="55">
        <v>5</v>
      </c>
      <c r="F91" s="55">
        <v>3253086</v>
      </c>
      <c r="G91" s="55">
        <v>2101992</v>
      </c>
      <c r="H91" s="55">
        <v>1751939</v>
      </c>
      <c r="I91" s="55">
        <v>1623904</v>
      </c>
      <c r="J91" s="55">
        <v>1673985</v>
      </c>
      <c r="K91" s="55">
        <v>2168874</v>
      </c>
      <c r="L91" s="55">
        <v>3819879</v>
      </c>
      <c r="M91" s="55">
        <v>5960558</v>
      </c>
      <c r="N91" s="55">
        <v>9080008</v>
      </c>
      <c r="O91" s="55">
        <v>12400000</v>
      </c>
      <c r="P91" s="55">
        <v>12700000</v>
      </c>
      <c r="Q91" s="55">
        <v>11700000</v>
      </c>
      <c r="R91" s="55">
        <v>10500000</v>
      </c>
      <c r="S91" s="55">
        <v>9018855</v>
      </c>
      <c r="T91" s="55">
        <v>8312956</v>
      </c>
      <c r="U91" s="55">
        <v>7251016</v>
      </c>
      <c r="V91" s="55">
        <v>7256617</v>
      </c>
      <c r="W91" s="55">
        <v>8329563</v>
      </c>
      <c r="X91" s="55">
        <v>9491665</v>
      </c>
      <c r="Y91" s="55">
        <v>8652130</v>
      </c>
      <c r="Z91" s="55">
        <v>8079287</v>
      </c>
      <c r="AA91" s="55">
        <v>7061828</v>
      </c>
      <c r="AB91" s="55">
        <v>6132946</v>
      </c>
      <c r="AC91" s="56">
        <v>4670679</v>
      </c>
      <c r="AD91" t="str">
        <f t="shared" si="1"/>
        <v>Spring</v>
      </c>
      <c r="AE91" t="str">
        <f>INDEX('Category Mapping'!$B$2:$B$29,MATCH('Source Data'!A91,'Category Mapping'!$A$2:$A$29,0))</f>
        <v>Weekend</v>
      </c>
      <c r="AF91" t="str">
        <f>INDEX('Category Mapping'!$C$2:$C$29,MATCH('Source Data'!A91,'Category Mapping'!$A$2:$A$29,0))</f>
        <v>Residential</v>
      </c>
      <c r="AG91" t="str">
        <f>INDEX('Category Mapping'!$D$2:$D$29,MATCH('Source Data'!A91,'Category Mapping'!$A$2:$A$29,0))</f>
        <v>Appliances</v>
      </c>
    </row>
    <row r="92" spans="1:33" x14ac:dyDescent="0.25">
      <c r="A92" s="57" t="s">
        <v>95</v>
      </c>
      <c r="B92" s="58">
        <v>2019</v>
      </c>
      <c r="C92" s="58">
        <v>19</v>
      </c>
      <c r="D92" s="58" t="s">
        <v>208</v>
      </c>
      <c r="E92" s="58">
        <v>6</v>
      </c>
      <c r="F92" s="58">
        <v>3138550</v>
      </c>
      <c r="G92" s="58">
        <v>2027984</v>
      </c>
      <c r="H92" s="58">
        <v>1690256</v>
      </c>
      <c r="I92" s="58">
        <v>1566728</v>
      </c>
      <c r="J92" s="58">
        <v>1615046</v>
      </c>
      <c r="K92" s="58">
        <v>2092511</v>
      </c>
      <c r="L92" s="58">
        <v>3685386</v>
      </c>
      <c r="M92" s="58">
        <v>5750695</v>
      </c>
      <c r="N92" s="58">
        <v>8760314</v>
      </c>
      <c r="O92" s="58">
        <v>11900000</v>
      </c>
      <c r="P92" s="58">
        <v>12300000</v>
      </c>
      <c r="Q92" s="58">
        <v>11300000</v>
      </c>
      <c r="R92" s="58">
        <v>10100000</v>
      </c>
      <c r="S92" s="58">
        <v>8701314</v>
      </c>
      <c r="T92" s="58">
        <v>8020269</v>
      </c>
      <c r="U92" s="58">
        <v>6995718</v>
      </c>
      <c r="V92" s="58">
        <v>7001122</v>
      </c>
      <c r="W92" s="58">
        <v>8036291</v>
      </c>
      <c r="X92" s="58">
        <v>9157477</v>
      </c>
      <c r="Y92" s="58">
        <v>8347501</v>
      </c>
      <c r="Z92" s="58">
        <v>7794826</v>
      </c>
      <c r="AA92" s="58">
        <v>6813191</v>
      </c>
      <c r="AB92" s="58">
        <v>5917013</v>
      </c>
      <c r="AC92" s="59">
        <v>4506231</v>
      </c>
      <c r="AD92" t="str">
        <f t="shared" si="1"/>
        <v>Summer</v>
      </c>
      <c r="AE92" t="str">
        <f>INDEX('Category Mapping'!$B$2:$B$29,MATCH('Source Data'!A92,'Category Mapping'!$A$2:$A$29,0))</f>
        <v>Weekend</v>
      </c>
      <c r="AF92" t="str">
        <f>INDEX('Category Mapping'!$C$2:$C$29,MATCH('Source Data'!A92,'Category Mapping'!$A$2:$A$29,0))</f>
        <v>Residential</v>
      </c>
      <c r="AG92" t="str">
        <f>INDEX('Category Mapping'!$D$2:$D$29,MATCH('Source Data'!A92,'Category Mapping'!$A$2:$A$29,0))</f>
        <v>Appliances</v>
      </c>
    </row>
    <row r="93" spans="1:33" x14ac:dyDescent="0.25">
      <c r="A93" s="54" t="s">
        <v>95</v>
      </c>
      <c r="B93" s="55">
        <v>2019</v>
      </c>
      <c r="C93" s="55">
        <v>19</v>
      </c>
      <c r="D93" s="55" t="s">
        <v>208</v>
      </c>
      <c r="E93" s="55">
        <v>7</v>
      </c>
      <c r="F93" s="55">
        <v>3119421</v>
      </c>
      <c r="G93" s="55">
        <v>2015624</v>
      </c>
      <c r="H93" s="55">
        <v>1679954</v>
      </c>
      <c r="I93" s="55">
        <v>1557180</v>
      </c>
      <c r="J93" s="55">
        <v>1605203</v>
      </c>
      <c r="K93" s="55">
        <v>2079758</v>
      </c>
      <c r="L93" s="55">
        <v>3662925</v>
      </c>
      <c r="M93" s="55">
        <v>5715647</v>
      </c>
      <c r="N93" s="55">
        <v>8706924</v>
      </c>
      <c r="O93" s="55">
        <v>11900000</v>
      </c>
      <c r="P93" s="55">
        <v>12200000</v>
      </c>
      <c r="Q93" s="55">
        <v>11200000</v>
      </c>
      <c r="R93" s="55">
        <v>10100000</v>
      </c>
      <c r="S93" s="55">
        <v>8648283</v>
      </c>
      <c r="T93" s="55">
        <v>7971389</v>
      </c>
      <c r="U93" s="55">
        <v>6953082</v>
      </c>
      <c r="V93" s="55">
        <v>6958453</v>
      </c>
      <c r="W93" s="55">
        <v>7987313</v>
      </c>
      <c r="X93" s="55">
        <v>9101666</v>
      </c>
      <c r="Y93" s="55">
        <v>8296626</v>
      </c>
      <c r="Z93" s="55">
        <v>7747320</v>
      </c>
      <c r="AA93" s="55">
        <v>6771668</v>
      </c>
      <c r="AB93" s="55">
        <v>5880952</v>
      </c>
      <c r="AC93" s="56">
        <v>4478767</v>
      </c>
      <c r="AD93" t="str">
        <f t="shared" si="1"/>
        <v>Summer</v>
      </c>
      <c r="AE93" t="str">
        <f>INDEX('Category Mapping'!$B$2:$B$29,MATCH('Source Data'!A93,'Category Mapping'!$A$2:$A$29,0))</f>
        <v>Weekend</v>
      </c>
      <c r="AF93" t="str">
        <f>INDEX('Category Mapping'!$C$2:$C$29,MATCH('Source Data'!A93,'Category Mapping'!$A$2:$A$29,0))</f>
        <v>Residential</v>
      </c>
      <c r="AG93" t="str">
        <f>INDEX('Category Mapping'!$D$2:$D$29,MATCH('Source Data'!A93,'Category Mapping'!$A$2:$A$29,0))</f>
        <v>Appliances</v>
      </c>
    </row>
    <row r="94" spans="1:33" x14ac:dyDescent="0.25">
      <c r="A94" s="57" t="s">
        <v>95</v>
      </c>
      <c r="B94" s="58">
        <v>2019</v>
      </c>
      <c r="C94" s="58">
        <v>19</v>
      </c>
      <c r="D94" s="58" t="s">
        <v>208</v>
      </c>
      <c r="E94" s="58">
        <v>8</v>
      </c>
      <c r="F94" s="58">
        <v>3119640</v>
      </c>
      <c r="G94" s="58">
        <v>2015766</v>
      </c>
      <c r="H94" s="58">
        <v>1680072</v>
      </c>
      <c r="I94" s="58">
        <v>1557289</v>
      </c>
      <c r="J94" s="58">
        <v>1605316</v>
      </c>
      <c r="K94" s="58">
        <v>2079904</v>
      </c>
      <c r="L94" s="58">
        <v>3663182</v>
      </c>
      <c r="M94" s="58">
        <v>5716048</v>
      </c>
      <c r="N94" s="58">
        <v>8707535</v>
      </c>
      <c r="O94" s="58">
        <v>11900000</v>
      </c>
      <c r="P94" s="58">
        <v>12200000</v>
      </c>
      <c r="Q94" s="58">
        <v>11200000</v>
      </c>
      <c r="R94" s="58">
        <v>10100000</v>
      </c>
      <c r="S94" s="58">
        <v>8648890</v>
      </c>
      <c r="T94" s="58">
        <v>7971948</v>
      </c>
      <c r="U94" s="58">
        <v>6953570</v>
      </c>
      <c r="V94" s="58">
        <v>6958941</v>
      </c>
      <c r="W94" s="58">
        <v>7987874</v>
      </c>
      <c r="X94" s="58">
        <v>9102305</v>
      </c>
      <c r="Y94" s="58">
        <v>8297209</v>
      </c>
      <c r="Z94" s="58">
        <v>7747864</v>
      </c>
      <c r="AA94" s="58">
        <v>6772143</v>
      </c>
      <c r="AB94" s="58">
        <v>5881364</v>
      </c>
      <c r="AC94" s="59">
        <v>4479082</v>
      </c>
      <c r="AD94" t="str">
        <f t="shared" si="1"/>
        <v>Summer</v>
      </c>
      <c r="AE94" t="str">
        <f>INDEX('Category Mapping'!$B$2:$B$29,MATCH('Source Data'!A94,'Category Mapping'!$A$2:$A$29,0))</f>
        <v>Weekend</v>
      </c>
      <c r="AF94" t="str">
        <f>INDEX('Category Mapping'!$C$2:$C$29,MATCH('Source Data'!A94,'Category Mapping'!$A$2:$A$29,0))</f>
        <v>Residential</v>
      </c>
      <c r="AG94" t="str">
        <f>INDEX('Category Mapping'!$D$2:$D$29,MATCH('Source Data'!A94,'Category Mapping'!$A$2:$A$29,0))</f>
        <v>Appliances</v>
      </c>
    </row>
    <row r="95" spans="1:33" x14ac:dyDescent="0.25">
      <c r="A95" s="54" t="s">
        <v>95</v>
      </c>
      <c r="B95" s="55">
        <v>2019</v>
      </c>
      <c r="C95" s="55">
        <v>19</v>
      </c>
      <c r="D95" s="55" t="s">
        <v>208</v>
      </c>
      <c r="E95" s="55">
        <v>9</v>
      </c>
      <c r="F95" s="55">
        <v>3163326</v>
      </c>
      <c r="G95" s="55">
        <v>2043993</v>
      </c>
      <c r="H95" s="55">
        <v>1703599</v>
      </c>
      <c r="I95" s="55">
        <v>1579096</v>
      </c>
      <c r="J95" s="55">
        <v>1627796</v>
      </c>
      <c r="K95" s="55">
        <v>2109030</v>
      </c>
      <c r="L95" s="55">
        <v>3714479</v>
      </c>
      <c r="M95" s="55">
        <v>5796092</v>
      </c>
      <c r="N95" s="55">
        <v>8829470</v>
      </c>
      <c r="O95" s="55">
        <v>12000000</v>
      </c>
      <c r="P95" s="55">
        <v>12400000</v>
      </c>
      <c r="Q95" s="55">
        <v>11400000</v>
      </c>
      <c r="R95" s="55">
        <v>10200000</v>
      </c>
      <c r="S95" s="55">
        <v>8770004</v>
      </c>
      <c r="T95" s="55">
        <v>8083582</v>
      </c>
      <c r="U95" s="55">
        <v>7050944</v>
      </c>
      <c r="V95" s="55">
        <v>7056390</v>
      </c>
      <c r="W95" s="55">
        <v>8099731</v>
      </c>
      <c r="X95" s="55">
        <v>9229768</v>
      </c>
      <c r="Y95" s="55">
        <v>8413398</v>
      </c>
      <c r="Z95" s="55">
        <v>7856360</v>
      </c>
      <c r="AA95" s="55">
        <v>6866976</v>
      </c>
      <c r="AB95" s="55">
        <v>5963723</v>
      </c>
      <c r="AC95" s="56">
        <v>4541804</v>
      </c>
      <c r="AD95" t="str">
        <f t="shared" si="1"/>
        <v>Fall</v>
      </c>
      <c r="AE95" t="str">
        <f>INDEX('Category Mapping'!$B$2:$B$29,MATCH('Source Data'!A95,'Category Mapping'!$A$2:$A$29,0))</f>
        <v>Weekend</v>
      </c>
      <c r="AF95" t="str">
        <f>INDEX('Category Mapping'!$C$2:$C$29,MATCH('Source Data'!A95,'Category Mapping'!$A$2:$A$29,0))</f>
        <v>Residential</v>
      </c>
      <c r="AG95" t="str">
        <f>INDEX('Category Mapping'!$D$2:$D$29,MATCH('Source Data'!A95,'Category Mapping'!$A$2:$A$29,0))</f>
        <v>Appliances</v>
      </c>
    </row>
    <row r="96" spans="1:33" x14ac:dyDescent="0.25">
      <c r="A96" s="57" t="s">
        <v>95</v>
      </c>
      <c r="B96" s="58">
        <v>2019</v>
      </c>
      <c r="C96" s="58">
        <v>19</v>
      </c>
      <c r="D96" s="58" t="s">
        <v>208</v>
      </c>
      <c r="E96" s="58">
        <v>10</v>
      </c>
      <c r="F96" s="58">
        <v>3455266</v>
      </c>
      <c r="G96" s="58">
        <v>2232631</v>
      </c>
      <c r="H96" s="58">
        <v>1860822</v>
      </c>
      <c r="I96" s="58">
        <v>1724829</v>
      </c>
      <c r="J96" s="58">
        <v>1778023</v>
      </c>
      <c r="K96" s="58">
        <v>2303670</v>
      </c>
      <c r="L96" s="58">
        <v>4057284</v>
      </c>
      <c r="M96" s="58">
        <v>6331007</v>
      </c>
      <c r="N96" s="58">
        <v>9644332</v>
      </c>
      <c r="O96" s="58">
        <v>13100000</v>
      </c>
      <c r="P96" s="58">
        <v>13500000</v>
      </c>
      <c r="Q96" s="58">
        <v>12500000</v>
      </c>
      <c r="R96" s="58">
        <v>11100000</v>
      </c>
      <c r="S96" s="58">
        <v>9579378</v>
      </c>
      <c r="T96" s="58">
        <v>8829607</v>
      </c>
      <c r="U96" s="58">
        <v>7701668</v>
      </c>
      <c r="V96" s="58">
        <v>7707616</v>
      </c>
      <c r="W96" s="58">
        <v>8847246</v>
      </c>
      <c r="X96" s="58">
        <v>10100000</v>
      </c>
      <c r="Y96" s="58">
        <v>9189861</v>
      </c>
      <c r="Z96" s="58">
        <v>8581415</v>
      </c>
      <c r="AA96" s="58">
        <v>7500722</v>
      </c>
      <c r="AB96" s="58">
        <v>6514109</v>
      </c>
      <c r="AC96" s="59">
        <v>4960962</v>
      </c>
      <c r="AD96" t="str">
        <f t="shared" si="1"/>
        <v>Fall</v>
      </c>
      <c r="AE96" t="str">
        <f>INDEX('Category Mapping'!$B$2:$B$29,MATCH('Source Data'!A96,'Category Mapping'!$A$2:$A$29,0))</f>
        <v>Weekend</v>
      </c>
      <c r="AF96" t="str">
        <f>INDEX('Category Mapping'!$C$2:$C$29,MATCH('Source Data'!A96,'Category Mapping'!$A$2:$A$29,0))</f>
        <v>Residential</v>
      </c>
      <c r="AG96" t="str">
        <f>INDEX('Category Mapping'!$D$2:$D$29,MATCH('Source Data'!A96,'Category Mapping'!$A$2:$A$29,0))</f>
        <v>Appliances</v>
      </c>
    </row>
    <row r="97" spans="1:33" x14ac:dyDescent="0.25">
      <c r="A97" s="54" t="s">
        <v>95</v>
      </c>
      <c r="B97" s="55">
        <v>2019</v>
      </c>
      <c r="C97" s="55">
        <v>19</v>
      </c>
      <c r="D97" s="55" t="s">
        <v>208</v>
      </c>
      <c r="E97" s="55">
        <v>11</v>
      </c>
      <c r="F97" s="55">
        <v>3872559</v>
      </c>
      <c r="G97" s="55">
        <v>2502266</v>
      </c>
      <c r="H97" s="55">
        <v>2085554</v>
      </c>
      <c r="I97" s="55">
        <v>1933137</v>
      </c>
      <c r="J97" s="55">
        <v>1992755</v>
      </c>
      <c r="K97" s="55">
        <v>2581885</v>
      </c>
      <c r="L97" s="55">
        <v>4547284</v>
      </c>
      <c r="M97" s="55">
        <v>7095604</v>
      </c>
      <c r="N97" s="55">
        <v>10800000</v>
      </c>
      <c r="O97" s="55">
        <v>14700000</v>
      </c>
      <c r="P97" s="55">
        <v>15200000</v>
      </c>
      <c r="Q97" s="55">
        <v>14000000</v>
      </c>
      <c r="R97" s="55">
        <v>12500000</v>
      </c>
      <c r="S97" s="55">
        <v>10700000</v>
      </c>
      <c r="T97" s="55">
        <v>9895960</v>
      </c>
      <c r="U97" s="55">
        <v>8631799</v>
      </c>
      <c r="V97" s="55">
        <v>8638466</v>
      </c>
      <c r="W97" s="55">
        <v>9915730</v>
      </c>
      <c r="X97" s="55">
        <v>11300000</v>
      </c>
      <c r="Y97" s="55">
        <v>10300000</v>
      </c>
      <c r="Z97" s="55">
        <v>9617794</v>
      </c>
      <c r="AA97" s="55">
        <v>8406585</v>
      </c>
      <c r="AB97" s="55">
        <v>7300819</v>
      </c>
      <c r="AC97" s="56">
        <v>5560098</v>
      </c>
      <c r="AD97" t="str">
        <f t="shared" si="1"/>
        <v>Winter</v>
      </c>
      <c r="AE97" t="str">
        <f>INDEX('Category Mapping'!$B$2:$B$29,MATCH('Source Data'!A97,'Category Mapping'!$A$2:$A$29,0))</f>
        <v>Weekend</v>
      </c>
      <c r="AF97" t="str">
        <f>INDEX('Category Mapping'!$C$2:$C$29,MATCH('Source Data'!A97,'Category Mapping'!$A$2:$A$29,0))</f>
        <v>Residential</v>
      </c>
      <c r="AG97" t="str">
        <f>INDEX('Category Mapping'!$D$2:$D$29,MATCH('Source Data'!A97,'Category Mapping'!$A$2:$A$29,0))</f>
        <v>Appliances</v>
      </c>
    </row>
    <row r="98" spans="1:33" x14ac:dyDescent="0.25">
      <c r="A98" s="57" t="s">
        <v>95</v>
      </c>
      <c r="B98" s="58">
        <v>2019</v>
      </c>
      <c r="C98" s="58">
        <v>19</v>
      </c>
      <c r="D98" s="58" t="s">
        <v>208</v>
      </c>
      <c r="E98" s="58">
        <v>12</v>
      </c>
      <c r="F98" s="58">
        <v>4344383</v>
      </c>
      <c r="G98" s="58">
        <v>2807137</v>
      </c>
      <c r="H98" s="58">
        <v>2339654</v>
      </c>
      <c r="I98" s="58">
        <v>2168667</v>
      </c>
      <c r="J98" s="58">
        <v>2235549</v>
      </c>
      <c r="K98" s="58">
        <v>2896456</v>
      </c>
      <c r="L98" s="58">
        <v>5101315</v>
      </c>
      <c r="M98" s="58">
        <v>7960118</v>
      </c>
      <c r="N98" s="58">
        <v>12100000</v>
      </c>
      <c r="O98" s="58">
        <v>16500000</v>
      </c>
      <c r="P98" s="58">
        <v>17000000</v>
      </c>
      <c r="Q98" s="58">
        <v>15700000</v>
      </c>
      <c r="R98" s="58">
        <v>14000000</v>
      </c>
      <c r="S98" s="58">
        <v>12000000</v>
      </c>
      <c r="T98" s="58">
        <v>11100000</v>
      </c>
      <c r="U98" s="58">
        <v>9683480</v>
      </c>
      <c r="V98" s="58">
        <v>9690959</v>
      </c>
      <c r="W98" s="58">
        <v>11100000</v>
      </c>
      <c r="X98" s="58">
        <v>12700000</v>
      </c>
      <c r="Y98" s="58">
        <v>11600000</v>
      </c>
      <c r="Z98" s="58">
        <v>10800000</v>
      </c>
      <c r="AA98" s="58">
        <v>9430826</v>
      </c>
      <c r="AB98" s="58">
        <v>8190335</v>
      </c>
      <c r="AC98" s="59">
        <v>6237529</v>
      </c>
      <c r="AD98" t="str">
        <f t="shared" si="1"/>
        <v>Winter</v>
      </c>
      <c r="AE98" t="str">
        <f>INDEX('Category Mapping'!$B$2:$B$29,MATCH('Source Data'!A98,'Category Mapping'!$A$2:$A$29,0))</f>
        <v>Weekend</v>
      </c>
      <c r="AF98" t="str">
        <f>INDEX('Category Mapping'!$C$2:$C$29,MATCH('Source Data'!A98,'Category Mapping'!$A$2:$A$29,0))</f>
        <v>Residential</v>
      </c>
      <c r="AG98" t="str">
        <f>INDEX('Category Mapping'!$D$2:$D$29,MATCH('Source Data'!A98,'Category Mapping'!$A$2:$A$29,0))</f>
        <v>Appliances</v>
      </c>
    </row>
    <row r="99" spans="1:33" x14ac:dyDescent="0.25">
      <c r="A99" s="54" t="s">
        <v>96</v>
      </c>
      <c r="B99" s="55">
        <v>2019</v>
      </c>
      <c r="C99" s="55">
        <v>19</v>
      </c>
      <c r="D99" s="55" t="s">
        <v>208</v>
      </c>
      <c r="E99" s="55">
        <v>1</v>
      </c>
      <c r="F99" s="55">
        <v>35427</v>
      </c>
      <c r="G99" s="55">
        <v>33406</v>
      </c>
      <c r="H99" s="55">
        <v>32562</v>
      </c>
      <c r="I99" s="55">
        <v>32086</v>
      </c>
      <c r="J99" s="55">
        <v>31984</v>
      </c>
      <c r="K99" s="55">
        <v>32984</v>
      </c>
      <c r="L99" s="55">
        <v>36559</v>
      </c>
      <c r="M99" s="55">
        <v>43614</v>
      </c>
      <c r="N99" s="55">
        <v>53983</v>
      </c>
      <c r="O99" s="55">
        <v>60605</v>
      </c>
      <c r="P99" s="55">
        <v>64047</v>
      </c>
      <c r="Q99" s="55">
        <v>64853</v>
      </c>
      <c r="R99" s="55">
        <v>62467</v>
      </c>
      <c r="S99" s="55">
        <v>63945</v>
      </c>
      <c r="T99" s="55">
        <v>65536</v>
      </c>
      <c r="U99" s="55">
        <v>65564</v>
      </c>
      <c r="V99" s="55">
        <v>64218</v>
      </c>
      <c r="W99" s="55">
        <v>61227</v>
      </c>
      <c r="X99" s="55">
        <v>58635</v>
      </c>
      <c r="Y99" s="55">
        <v>54937</v>
      </c>
      <c r="Z99" s="55">
        <v>51826</v>
      </c>
      <c r="AA99" s="55">
        <v>48653</v>
      </c>
      <c r="AB99" s="55">
        <v>44837</v>
      </c>
      <c r="AC99" s="56">
        <v>39625</v>
      </c>
      <c r="AD99" t="str">
        <f t="shared" si="1"/>
        <v>Winter</v>
      </c>
      <c r="AE99" t="str">
        <f>INDEX('Category Mapping'!$B$2:$B$29,MATCH('Source Data'!A99,'Category Mapping'!$A$2:$A$29,0))</f>
        <v>Weekday</v>
      </c>
      <c r="AF99" t="str">
        <f>INDEX('Category Mapping'!$C$2:$C$29,MATCH('Source Data'!A99,'Category Mapping'!$A$2:$A$29,0))</f>
        <v>Commercial</v>
      </c>
      <c r="AG99" t="str">
        <f>INDEX('Category Mapping'!$D$2:$D$29,MATCH('Source Data'!A99,'Category Mapping'!$A$2:$A$29,0))</f>
        <v>Cooling</v>
      </c>
    </row>
    <row r="100" spans="1:33" x14ac:dyDescent="0.25">
      <c r="A100" s="57" t="s">
        <v>96</v>
      </c>
      <c r="B100" s="58">
        <v>2019</v>
      </c>
      <c r="C100" s="58">
        <v>19</v>
      </c>
      <c r="D100" s="58" t="s">
        <v>208</v>
      </c>
      <c r="E100" s="58">
        <v>2</v>
      </c>
      <c r="F100" s="58">
        <v>39970</v>
      </c>
      <c r="G100" s="58">
        <v>37690</v>
      </c>
      <c r="H100" s="58">
        <v>36738</v>
      </c>
      <c r="I100" s="58">
        <v>36201</v>
      </c>
      <c r="J100" s="58">
        <v>36085</v>
      </c>
      <c r="K100" s="58">
        <v>37213</v>
      </c>
      <c r="L100" s="58">
        <v>41248</v>
      </c>
      <c r="M100" s="58">
        <v>49207</v>
      </c>
      <c r="N100" s="58">
        <v>60907</v>
      </c>
      <c r="O100" s="58">
        <v>68378</v>
      </c>
      <c r="P100" s="58">
        <v>72260</v>
      </c>
      <c r="Q100" s="58">
        <v>73170</v>
      </c>
      <c r="R100" s="58">
        <v>70478</v>
      </c>
      <c r="S100" s="58">
        <v>72146</v>
      </c>
      <c r="T100" s="58">
        <v>73941</v>
      </c>
      <c r="U100" s="58">
        <v>73972</v>
      </c>
      <c r="V100" s="58">
        <v>72454</v>
      </c>
      <c r="W100" s="58">
        <v>69079</v>
      </c>
      <c r="X100" s="58">
        <v>66155</v>
      </c>
      <c r="Y100" s="58">
        <v>61982</v>
      </c>
      <c r="Z100" s="58">
        <v>58472</v>
      </c>
      <c r="AA100" s="58">
        <v>54892</v>
      </c>
      <c r="AB100" s="58">
        <v>50587</v>
      </c>
      <c r="AC100" s="59">
        <v>44707</v>
      </c>
      <c r="AD100" t="str">
        <f t="shared" si="1"/>
        <v>Winter</v>
      </c>
      <c r="AE100" t="str">
        <f>INDEX('Category Mapping'!$B$2:$B$29,MATCH('Source Data'!A100,'Category Mapping'!$A$2:$A$29,0))</f>
        <v>Weekday</v>
      </c>
      <c r="AF100" t="str">
        <f>INDEX('Category Mapping'!$C$2:$C$29,MATCH('Source Data'!A100,'Category Mapping'!$A$2:$A$29,0))</f>
        <v>Commercial</v>
      </c>
      <c r="AG100" t="str">
        <f>INDEX('Category Mapping'!$D$2:$D$29,MATCH('Source Data'!A100,'Category Mapping'!$A$2:$A$29,0))</f>
        <v>Cooling</v>
      </c>
    </row>
    <row r="101" spans="1:33" x14ac:dyDescent="0.25">
      <c r="A101" s="54" t="s">
        <v>96</v>
      </c>
      <c r="B101" s="55">
        <v>2019</v>
      </c>
      <c r="C101" s="55">
        <v>19</v>
      </c>
      <c r="D101" s="55" t="s">
        <v>208</v>
      </c>
      <c r="E101" s="55">
        <v>3</v>
      </c>
      <c r="F101" s="55">
        <v>89980</v>
      </c>
      <c r="G101" s="55">
        <v>84846</v>
      </c>
      <c r="H101" s="55">
        <v>82703</v>
      </c>
      <c r="I101" s="55">
        <v>81495</v>
      </c>
      <c r="J101" s="55">
        <v>81234</v>
      </c>
      <c r="K101" s="55">
        <v>83774</v>
      </c>
      <c r="L101" s="55">
        <v>92856</v>
      </c>
      <c r="M101" s="55">
        <v>110773</v>
      </c>
      <c r="N101" s="55">
        <v>137111</v>
      </c>
      <c r="O101" s="55">
        <v>153929</v>
      </c>
      <c r="P101" s="55">
        <v>162670</v>
      </c>
      <c r="Q101" s="55">
        <v>164719</v>
      </c>
      <c r="R101" s="55">
        <v>158658</v>
      </c>
      <c r="S101" s="55">
        <v>162412</v>
      </c>
      <c r="T101" s="55">
        <v>166453</v>
      </c>
      <c r="U101" s="55">
        <v>166524</v>
      </c>
      <c r="V101" s="55">
        <v>163105</v>
      </c>
      <c r="W101" s="55">
        <v>155509</v>
      </c>
      <c r="X101" s="55">
        <v>148926</v>
      </c>
      <c r="Y101" s="55">
        <v>139532</v>
      </c>
      <c r="Z101" s="55">
        <v>131631</v>
      </c>
      <c r="AA101" s="55">
        <v>123572</v>
      </c>
      <c r="AB101" s="55">
        <v>113881</v>
      </c>
      <c r="AC101" s="56">
        <v>100643</v>
      </c>
      <c r="AD101" t="str">
        <f t="shared" si="1"/>
        <v>Spring</v>
      </c>
      <c r="AE101" t="str">
        <f>INDEX('Category Mapping'!$B$2:$B$29,MATCH('Source Data'!A101,'Category Mapping'!$A$2:$A$29,0))</f>
        <v>Weekday</v>
      </c>
      <c r="AF101" t="str">
        <f>INDEX('Category Mapping'!$C$2:$C$29,MATCH('Source Data'!A101,'Category Mapping'!$A$2:$A$29,0))</f>
        <v>Commercial</v>
      </c>
      <c r="AG101" t="str">
        <f>INDEX('Category Mapping'!$D$2:$D$29,MATCH('Source Data'!A101,'Category Mapping'!$A$2:$A$29,0))</f>
        <v>Cooling</v>
      </c>
    </row>
    <row r="102" spans="1:33" x14ac:dyDescent="0.25">
      <c r="A102" s="57" t="s">
        <v>96</v>
      </c>
      <c r="B102" s="58">
        <v>2019</v>
      </c>
      <c r="C102" s="58">
        <v>19</v>
      </c>
      <c r="D102" s="58" t="s">
        <v>208</v>
      </c>
      <c r="E102" s="58">
        <v>4</v>
      </c>
      <c r="F102" s="58">
        <v>425192</v>
      </c>
      <c r="G102" s="58">
        <v>400930</v>
      </c>
      <c r="H102" s="58">
        <v>390806</v>
      </c>
      <c r="I102" s="58">
        <v>385096</v>
      </c>
      <c r="J102" s="58">
        <v>383866</v>
      </c>
      <c r="K102" s="58">
        <v>395865</v>
      </c>
      <c r="L102" s="58">
        <v>438782</v>
      </c>
      <c r="M102" s="58">
        <v>523448</v>
      </c>
      <c r="N102" s="58">
        <v>647905</v>
      </c>
      <c r="O102" s="58">
        <v>727380</v>
      </c>
      <c r="P102" s="58">
        <v>768684</v>
      </c>
      <c r="Q102" s="58">
        <v>778365</v>
      </c>
      <c r="R102" s="58">
        <v>749794</v>
      </c>
      <c r="S102" s="58">
        <v>769890</v>
      </c>
      <c r="T102" s="58">
        <v>791062</v>
      </c>
      <c r="U102" s="58">
        <v>789317</v>
      </c>
      <c r="V102" s="58">
        <v>770811</v>
      </c>
      <c r="W102" s="58">
        <v>734843</v>
      </c>
      <c r="X102" s="58">
        <v>703736</v>
      </c>
      <c r="Y102" s="58">
        <v>659344</v>
      </c>
      <c r="Z102" s="58">
        <v>622011</v>
      </c>
      <c r="AA102" s="58">
        <v>583928</v>
      </c>
      <c r="AB102" s="58">
        <v>538132</v>
      </c>
      <c r="AC102" s="59">
        <v>475578</v>
      </c>
      <c r="AD102" t="str">
        <f t="shared" si="1"/>
        <v>Spring</v>
      </c>
      <c r="AE102" t="str">
        <f>INDEX('Category Mapping'!$B$2:$B$29,MATCH('Source Data'!A102,'Category Mapping'!$A$2:$A$29,0))</f>
        <v>Weekday</v>
      </c>
      <c r="AF102" t="str">
        <f>INDEX('Category Mapping'!$C$2:$C$29,MATCH('Source Data'!A102,'Category Mapping'!$A$2:$A$29,0))</f>
        <v>Commercial</v>
      </c>
      <c r="AG102" t="str">
        <f>INDEX('Category Mapping'!$D$2:$D$29,MATCH('Source Data'!A102,'Category Mapping'!$A$2:$A$29,0))</f>
        <v>Cooling</v>
      </c>
    </row>
    <row r="103" spans="1:33" x14ac:dyDescent="0.25">
      <c r="A103" s="54" t="s">
        <v>96</v>
      </c>
      <c r="B103" s="55">
        <v>2019</v>
      </c>
      <c r="C103" s="55">
        <v>19</v>
      </c>
      <c r="D103" s="55" t="s">
        <v>208</v>
      </c>
      <c r="E103" s="55">
        <v>5</v>
      </c>
      <c r="F103" s="55">
        <v>7378556</v>
      </c>
      <c r="G103" s="55">
        <v>6957531</v>
      </c>
      <c r="H103" s="55">
        <v>6781846</v>
      </c>
      <c r="I103" s="55">
        <v>6682746</v>
      </c>
      <c r="J103" s="55">
        <v>6661407</v>
      </c>
      <c r="K103" s="55">
        <v>6869632</v>
      </c>
      <c r="L103" s="55">
        <v>7614378</v>
      </c>
      <c r="M103" s="55">
        <v>9083633</v>
      </c>
      <c r="N103" s="55">
        <v>11300000</v>
      </c>
      <c r="O103" s="55">
        <v>13500000</v>
      </c>
      <c r="P103" s="55">
        <v>15300000</v>
      </c>
      <c r="Q103" s="55">
        <v>16600000</v>
      </c>
      <c r="R103" s="55">
        <v>17000000</v>
      </c>
      <c r="S103" s="55">
        <v>17800000</v>
      </c>
      <c r="T103" s="55">
        <v>18400000</v>
      </c>
      <c r="U103" s="55">
        <v>18200000</v>
      </c>
      <c r="V103" s="55">
        <v>17300000</v>
      </c>
      <c r="W103" s="55">
        <v>15800000</v>
      </c>
      <c r="X103" s="55">
        <v>14200000</v>
      </c>
      <c r="Y103" s="55">
        <v>12300000</v>
      </c>
      <c r="Z103" s="55">
        <v>10800000</v>
      </c>
      <c r="AA103" s="55">
        <v>10100000</v>
      </c>
      <c r="AB103" s="55">
        <v>9338463</v>
      </c>
      <c r="AC103" s="56">
        <v>8252918</v>
      </c>
      <c r="AD103" t="str">
        <f t="shared" si="1"/>
        <v>Spring</v>
      </c>
      <c r="AE103" t="str">
        <f>INDEX('Category Mapping'!$B$2:$B$29,MATCH('Source Data'!A103,'Category Mapping'!$A$2:$A$29,0))</f>
        <v>Weekday</v>
      </c>
      <c r="AF103" t="str">
        <f>INDEX('Category Mapping'!$C$2:$C$29,MATCH('Source Data'!A103,'Category Mapping'!$A$2:$A$29,0))</f>
        <v>Commercial</v>
      </c>
      <c r="AG103" t="str">
        <f>INDEX('Category Mapping'!$D$2:$D$29,MATCH('Source Data'!A103,'Category Mapping'!$A$2:$A$29,0))</f>
        <v>Cooling</v>
      </c>
    </row>
    <row r="104" spans="1:33" x14ac:dyDescent="0.25">
      <c r="A104" s="57" t="s">
        <v>96</v>
      </c>
      <c r="B104" s="58">
        <v>2019</v>
      </c>
      <c r="C104" s="58">
        <v>19</v>
      </c>
      <c r="D104" s="58" t="s">
        <v>208</v>
      </c>
      <c r="E104" s="58">
        <v>6</v>
      </c>
      <c r="F104" s="58">
        <v>67600000</v>
      </c>
      <c r="G104" s="58">
        <v>62800000</v>
      </c>
      <c r="H104" s="58">
        <v>61000000</v>
      </c>
      <c r="I104" s="58">
        <v>60400000</v>
      </c>
      <c r="J104" s="58">
        <v>61300000</v>
      </c>
      <c r="K104" s="58">
        <v>66400000</v>
      </c>
      <c r="L104" s="58">
        <v>79700000</v>
      </c>
      <c r="M104" s="58">
        <v>102000000</v>
      </c>
      <c r="N104" s="58">
        <v>131000000</v>
      </c>
      <c r="O104" s="58">
        <v>154000000</v>
      </c>
      <c r="P104" s="58">
        <v>170000000</v>
      </c>
      <c r="Q104" s="58">
        <v>180000000</v>
      </c>
      <c r="R104" s="58">
        <v>183000000</v>
      </c>
      <c r="S104" s="58">
        <v>190000000</v>
      </c>
      <c r="T104" s="58">
        <v>194000000</v>
      </c>
      <c r="U104" s="58">
        <v>193000000</v>
      </c>
      <c r="V104" s="58">
        <v>186000000</v>
      </c>
      <c r="W104" s="58">
        <v>174000000</v>
      </c>
      <c r="X104" s="58">
        <v>160000000</v>
      </c>
      <c r="Y104" s="58">
        <v>143000000</v>
      </c>
      <c r="Z104" s="58">
        <v>127000000</v>
      </c>
      <c r="AA104" s="58">
        <v>111000000</v>
      </c>
      <c r="AB104" s="58">
        <v>94800000</v>
      </c>
      <c r="AC104" s="59">
        <v>78400000</v>
      </c>
      <c r="AD104" t="str">
        <f t="shared" si="1"/>
        <v>Summer</v>
      </c>
      <c r="AE104" t="str">
        <f>INDEX('Category Mapping'!$B$2:$B$29,MATCH('Source Data'!A104,'Category Mapping'!$A$2:$A$29,0))</f>
        <v>Weekday</v>
      </c>
      <c r="AF104" t="str">
        <f>INDEX('Category Mapping'!$C$2:$C$29,MATCH('Source Data'!A104,'Category Mapping'!$A$2:$A$29,0))</f>
        <v>Commercial</v>
      </c>
      <c r="AG104" t="str">
        <f>INDEX('Category Mapping'!$D$2:$D$29,MATCH('Source Data'!A104,'Category Mapping'!$A$2:$A$29,0))</f>
        <v>Cooling</v>
      </c>
    </row>
    <row r="105" spans="1:33" x14ac:dyDescent="0.25">
      <c r="A105" s="54" t="s">
        <v>96</v>
      </c>
      <c r="B105" s="55">
        <v>2019</v>
      </c>
      <c r="C105" s="55">
        <v>19</v>
      </c>
      <c r="D105" s="55" t="s">
        <v>208</v>
      </c>
      <c r="E105" s="55">
        <v>7</v>
      </c>
      <c r="F105" s="55">
        <v>214000000</v>
      </c>
      <c r="G105" s="55">
        <v>199000000</v>
      </c>
      <c r="H105" s="55">
        <v>193000000</v>
      </c>
      <c r="I105" s="55">
        <v>194000000</v>
      </c>
      <c r="J105" s="55">
        <v>200000000</v>
      </c>
      <c r="K105" s="55">
        <v>214000000</v>
      </c>
      <c r="L105" s="55">
        <v>242000000</v>
      </c>
      <c r="M105" s="55">
        <v>287000000</v>
      </c>
      <c r="N105" s="55">
        <v>347000000</v>
      </c>
      <c r="O105" s="55">
        <v>391000000</v>
      </c>
      <c r="P105" s="55">
        <v>422000000</v>
      </c>
      <c r="Q105" s="55">
        <v>440000000</v>
      </c>
      <c r="R105" s="55">
        <v>441000000</v>
      </c>
      <c r="S105" s="55">
        <v>454000000</v>
      </c>
      <c r="T105" s="55">
        <v>463000000</v>
      </c>
      <c r="U105" s="55">
        <v>461000000</v>
      </c>
      <c r="V105" s="55">
        <v>448000000</v>
      </c>
      <c r="W105" s="55">
        <v>425000000</v>
      </c>
      <c r="X105" s="55">
        <v>400000000</v>
      </c>
      <c r="Y105" s="55">
        <v>368000000</v>
      </c>
      <c r="Z105" s="55">
        <v>338000000</v>
      </c>
      <c r="AA105" s="55">
        <v>307000000</v>
      </c>
      <c r="AB105" s="55">
        <v>276000000</v>
      </c>
      <c r="AC105" s="56">
        <v>241000000</v>
      </c>
      <c r="AD105" t="str">
        <f t="shared" si="1"/>
        <v>Summer</v>
      </c>
      <c r="AE105" t="str">
        <f>INDEX('Category Mapping'!$B$2:$B$29,MATCH('Source Data'!A105,'Category Mapping'!$A$2:$A$29,0))</f>
        <v>Weekday</v>
      </c>
      <c r="AF105" t="str">
        <f>INDEX('Category Mapping'!$C$2:$C$29,MATCH('Source Data'!A105,'Category Mapping'!$A$2:$A$29,0))</f>
        <v>Commercial</v>
      </c>
      <c r="AG105" t="str">
        <f>INDEX('Category Mapping'!$D$2:$D$29,MATCH('Source Data'!A105,'Category Mapping'!$A$2:$A$29,0))</f>
        <v>Cooling</v>
      </c>
    </row>
    <row r="106" spans="1:33" x14ac:dyDescent="0.25">
      <c r="A106" s="57" t="s">
        <v>96</v>
      </c>
      <c r="B106" s="58">
        <v>2019</v>
      </c>
      <c r="C106" s="58">
        <v>19</v>
      </c>
      <c r="D106" s="58" t="s">
        <v>208</v>
      </c>
      <c r="E106" s="58">
        <v>8</v>
      </c>
      <c r="F106" s="58">
        <v>237000000</v>
      </c>
      <c r="G106" s="58">
        <v>220000000</v>
      </c>
      <c r="H106" s="58">
        <v>213000000</v>
      </c>
      <c r="I106" s="58">
        <v>214000000</v>
      </c>
      <c r="J106" s="58">
        <v>222000000</v>
      </c>
      <c r="K106" s="58">
        <v>240000000</v>
      </c>
      <c r="L106" s="58">
        <v>274000000</v>
      </c>
      <c r="M106" s="58">
        <v>327000000</v>
      </c>
      <c r="N106" s="58">
        <v>397000000</v>
      </c>
      <c r="O106" s="58">
        <v>451000000</v>
      </c>
      <c r="P106" s="58">
        <v>489000000</v>
      </c>
      <c r="Q106" s="58">
        <v>511000000</v>
      </c>
      <c r="R106" s="58">
        <v>515000000</v>
      </c>
      <c r="S106" s="58">
        <v>530000000</v>
      </c>
      <c r="T106" s="58">
        <v>541000000</v>
      </c>
      <c r="U106" s="58">
        <v>538000000</v>
      </c>
      <c r="V106" s="58">
        <v>523000000</v>
      </c>
      <c r="W106" s="58">
        <v>494000000</v>
      </c>
      <c r="X106" s="58">
        <v>464000000</v>
      </c>
      <c r="Y106" s="58">
        <v>425000000</v>
      </c>
      <c r="Z106" s="58">
        <v>388000000</v>
      </c>
      <c r="AA106" s="58">
        <v>350000000</v>
      </c>
      <c r="AB106" s="58">
        <v>312000000</v>
      </c>
      <c r="AC106" s="59">
        <v>270000000</v>
      </c>
      <c r="AD106" t="str">
        <f t="shared" si="1"/>
        <v>Summer</v>
      </c>
      <c r="AE106" t="str">
        <f>INDEX('Category Mapping'!$B$2:$B$29,MATCH('Source Data'!A106,'Category Mapping'!$A$2:$A$29,0))</f>
        <v>Weekday</v>
      </c>
      <c r="AF106" t="str">
        <f>INDEX('Category Mapping'!$C$2:$C$29,MATCH('Source Data'!A106,'Category Mapping'!$A$2:$A$29,0))</f>
        <v>Commercial</v>
      </c>
      <c r="AG106" t="str">
        <f>INDEX('Category Mapping'!$D$2:$D$29,MATCH('Source Data'!A106,'Category Mapping'!$A$2:$A$29,0))</f>
        <v>Cooling</v>
      </c>
    </row>
    <row r="107" spans="1:33" x14ac:dyDescent="0.25">
      <c r="A107" s="54" t="s">
        <v>96</v>
      </c>
      <c r="B107" s="55">
        <v>2019</v>
      </c>
      <c r="C107" s="55">
        <v>19</v>
      </c>
      <c r="D107" s="55" t="s">
        <v>208</v>
      </c>
      <c r="E107" s="55">
        <v>9</v>
      </c>
      <c r="F107" s="55">
        <v>53900000</v>
      </c>
      <c r="G107" s="55">
        <v>50700000</v>
      </c>
      <c r="H107" s="55">
        <v>49400000</v>
      </c>
      <c r="I107" s="55">
        <v>48800000</v>
      </c>
      <c r="J107" s="55">
        <v>48800000</v>
      </c>
      <c r="K107" s="55">
        <v>50800000</v>
      </c>
      <c r="L107" s="55">
        <v>58100000</v>
      </c>
      <c r="M107" s="55">
        <v>73500000</v>
      </c>
      <c r="N107" s="55">
        <v>96200000</v>
      </c>
      <c r="O107" s="55">
        <v>114000000</v>
      </c>
      <c r="P107" s="55">
        <v>127000000</v>
      </c>
      <c r="Q107" s="55">
        <v>135000000</v>
      </c>
      <c r="R107" s="55">
        <v>137000000</v>
      </c>
      <c r="S107" s="55">
        <v>143000000</v>
      </c>
      <c r="T107" s="55">
        <v>146000000</v>
      </c>
      <c r="U107" s="55">
        <v>145000000</v>
      </c>
      <c r="V107" s="55">
        <v>140000000</v>
      </c>
      <c r="W107" s="55">
        <v>130000000</v>
      </c>
      <c r="X107" s="55">
        <v>119000000</v>
      </c>
      <c r="Y107" s="55">
        <v>106000000</v>
      </c>
      <c r="Z107" s="55">
        <v>93000000</v>
      </c>
      <c r="AA107" s="55">
        <v>80900000</v>
      </c>
      <c r="AB107" s="55">
        <v>70300000</v>
      </c>
      <c r="AC107" s="56">
        <v>60500000</v>
      </c>
      <c r="AD107" t="str">
        <f t="shared" si="1"/>
        <v>Fall</v>
      </c>
      <c r="AE107" t="str">
        <f>INDEX('Category Mapping'!$B$2:$B$29,MATCH('Source Data'!A107,'Category Mapping'!$A$2:$A$29,0))</f>
        <v>Weekday</v>
      </c>
      <c r="AF107" t="str">
        <f>INDEX('Category Mapping'!$C$2:$C$29,MATCH('Source Data'!A107,'Category Mapping'!$A$2:$A$29,0))</f>
        <v>Commercial</v>
      </c>
      <c r="AG107" t="str">
        <f>INDEX('Category Mapping'!$D$2:$D$29,MATCH('Source Data'!A107,'Category Mapping'!$A$2:$A$29,0))</f>
        <v>Cooling</v>
      </c>
    </row>
    <row r="108" spans="1:33" x14ac:dyDescent="0.25">
      <c r="A108" s="57" t="s">
        <v>96</v>
      </c>
      <c r="B108" s="58">
        <v>2019</v>
      </c>
      <c r="C108" s="58">
        <v>19</v>
      </c>
      <c r="D108" s="58" t="s">
        <v>208</v>
      </c>
      <c r="E108" s="58">
        <v>10</v>
      </c>
      <c r="F108" s="58">
        <v>1255669</v>
      </c>
      <c r="G108" s="58">
        <v>1184020</v>
      </c>
      <c r="H108" s="58">
        <v>1154122</v>
      </c>
      <c r="I108" s="58">
        <v>1137258</v>
      </c>
      <c r="J108" s="58">
        <v>1133626</v>
      </c>
      <c r="K108" s="58">
        <v>1169062</v>
      </c>
      <c r="L108" s="58">
        <v>1295801</v>
      </c>
      <c r="M108" s="58">
        <v>1545836</v>
      </c>
      <c r="N108" s="58">
        <v>1913596</v>
      </c>
      <c r="O108" s="58">
        <v>2150262</v>
      </c>
      <c r="P108" s="58">
        <v>2284313</v>
      </c>
      <c r="Q108" s="58">
        <v>2379330</v>
      </c>
      <c r="R108" s="58">
        <v>2397655</v>
      </c>
      <c r="S108" s="58">
        <v>2524426</v>
      </c>
      <c r="T108" s="58">
        <v>2607128</v>
      </c>
      <c r="U108" s="58">
        <v>2581799</v>
      </c>
      <c r="V108" s="58">
        <v>2459724</v>
      </c>
      <c r="W108" s="58">
        <v>2250802</v>
      </c>
      <c r="X108" s="58">
        <v>2092511</v>
      </c>
      <c r="Y108" s="58">
        <v>1949339</v>
      </c>
      <c r="Z108" s="58">
        <v>1837128</v>
      </c>
      <c r="AA108" s="58">
        <v>1724445</v>
      </c>
      <c r="AB108" s="58">
        <v>1589203</v>
      </c>
      <c r="AC108" s="59">
        <v>1404467</v>
      </c>
      <c r="AD108" t="str">
        <f t="shared" si="1"/>
        <v>Fall</v>
      </c>
      <c r="AE108" t="str">
        <f>INDEX('Category Mapping'!$B$2:$B$29,MATCH('Source Data'!A108,'Category Mapping'!$A$2:$A$29,0))</f>
        <v>Weekday</v>
      </c>
      <c r="AF108" t="str">
        <f>INDEX('Category Mapping'!$C$2:$C$29,MATCH('Source Data'!A108,'Category Mapping'!$A$2:$A$29,0))</f>
        <v>Commercial</v>
      </c>
      <c r="AG108" t="str">
        <f>INDEX('Category Mapping'!$D$2:$D$29,MATCH('Source Data'!A108,'Category Mapping'!$A$2:$A$29,0))</f>
        <v>Cooling</v>
      </c>
    </row>
    <row r="109" spans="1:33" x14ac:dyDescent="0.25">
      <c r="A109" s="54" t="s">
        <v>96</v>
      </c>
      <c r="B109" s="55">
        <v>2019</v>
      </c>
      <c r="C109" s="55">
        <v>19</v>
      </c>
      <c r="D109" s="55" t="s">
        <v>208</v>
      </c>
      <c r="E109" s="55">
        <v>11</v>
      </c>
      <c r="F109" s="55">
        <v>126316</v>
      </c>
      <c r="G109" s="55">
        <v>119108</v>
      </c>
      <c r="H109" s="55">
        <v>116100</v>
      </c>
      <c r="I109" s="55">
        <v>114404</v>
      </c>
      <c r="J109" s="55">
        <v>114038</v>
      </c>
      <c r="K109" s="55">
        <v>117603</v>
      </c>
      <c r="L109" s="55">
        <v>130353</v>
      </c>
      <c r="M109" s="55">
        <v>155505</v>
      </c>
      <c r="N109" s="55">
        <v>192479</v>
      </c>
      <c r="O109" s="55">
        <v>216089</v>
      </c>
      <c r="P109" s="55">
        <v>228360</v>
      </c>
      <c r="Q109" s="55">
        <v>231236</v>
      </c>
      <c r="R109" s="55">
        <v>222727</v>
      </c>
      <c r="S109" s="55">
        <v>227998</v>
      </c>
      <c r="T109" s="55">
        <v>233670</v>
      </c>
      <c r="U109" s="55">
        <v>233769</v>
      </c>
      <c r="V109" s="55">
        <v>228970</v>
      </c>
      <c r="W109" s="55">
        <v>218306</v>
      </c>
      <c r="X109" s="55">
        <v>209065</v>
      </c>
      <c r="Y109" s="55">
        <v>195877</v>
      </c>
      <c r="Z109" s="55">
        <v>184786</v>
      </c>
      <c r="AA109" s="55">
        <v>173472</v>
      </c>
      <c r="AB109" s="55">
        <v>159868</v>
      </c>
      <c r="AC109" s="56">
        <v>141284</v>
      </c>
      <c r="AD109" t="str">
        <f t="shared" si="1"/>
        <v>Winter</v>
      </c>
      <c r="AE109" t="str">
        <f>INDEX('Category Mapping'!$B$2:$B$29,MATCH('Source Data'!A109,'Category Mapping'!$A$2:$A$29,0))</f>
        <v>Weekday</v>
      </c>
      <c r="AF109" t="str">
        <f>INDEX('Category Mapping'!$C$2:$C$29,MATCH('Source Data'!A109,'Category Mapping'!$A$2:$A$29,0))</f>
        <v>Commercial</v>
      </c>
      <c r="AG109" t="str">
        <f>INDEX('Category Mapping'!$D$2:$D$29,MATCH('Source Data'!A109,'Category Mapping'!$A$2:$A$29,0))</f>
        <v>Cooling</v>
      </c>
    </row>
    <row r="110" spans="1:33" x14ac:dyDescent="0.25">
      <c r="A110" s="57" t="s">
        <v>96</v>
      </c>
      <c r="B110" s="58">
        <v>2019</v>
      </c>
      <c r="C110" s="58">
        <v>19</v>
      </c>
      <c r="D110" s="58" t="s">
        <v>208</v>
      </c>
      <c r="E110" s="58">
        <v>12</v>
      </c>
      <c r="F110" s="58">
        <v>47787</v>
      </c>
      <c r="G110" s="58">
        <v>45060</v>
      </c>
      <c r="H110" s="58">
        <v>43923</v>
      </c>
      <c r="I110" s="58">
        <v>43281</v>
      </c>
      <c r="J110" s="58">
        <v>43142</v>
      </c>
      <c r="K110" s="58">
        <v>44491</v>
      </c>
      <c r="L110" s="58">
        <v>49314</v>
      </c>
      <c r="M110" s="58">
        <v>58830</v>
      </c>
      <c r="N110" s="58">
        <v>72818</v>
      </c>
      <c r="O110" s="58">
        <v>81750</v>
      </c>
      <c r="P110" s="58">
        <v>86392</v>
      </c>
      <c r="Q110" s="58">
        <v>87480</v>
      </c>
      <c r="R110" s="58">
        <v>84261</v>
      </c>
      <c r="S110" s="58">
        <v>86255</v>
      </c>
      <c r="T110" s="58">
        <v>88401</v>
      </c>
      <c r="U110" s="58">
        <v>88438</v>
      </c>
      <c r="V110" s="58">
        <v>86623</v>
      </c>
      <c r="W110" s="58">
        <v>82589</v>
      </c>
      <c r="X110" s="58">
        <v>79092</v>
      </c>
      <c r="Y110" s="58">
        <v>74103</v>
      </c>
      <c r="Z110" s="58">
        <v>69908</v>
      </c>
      <c r="AA110" s="58">
        <v>65627</v>
      </c>
      <c r="AB110" s="58">
        <v>60480</v>
      </c>
      <c r="AC110" s="59">
        <v>53450</v>
      </c>
      <c r="AD110" t="str">
        <f t="shared" si="1"/>
        <v>Winter</v>
      </c>
      <c r="AE110" t="str">
        <f>INDEX('Category Mapping'!$B$2:$B$29,MATCH('Source Data'!A110,'Category Mapping'!$A$2:$A$29,0))</f>
        <v>Weekday</v>
      </c>
      <c r="AF110" t="str">
        <f>INDEX('Category Mapping'!$C$2:$C$29,MATCH('Source Data'!A110,'Category Mapping'!$A$2:$A$29,0))</f>
        <v>Commercial</v>
      </c>
      <c r="AG110" t="str">
        <f>INDEX('Category Mapping'!$D$2:$D$29,MATCH('Source Data'!A110,'Category Mapping'!$A$2:$A$29,0))</f>
        <v>Cooling</v>
      </c>
    </row>
    <row r="111" spans="1:33" x14ac:dyDescent="0.25">
      <c r="A111" s="54" t="s">
        <v>97</v>
      </c>
      <c r="B111" s="55">
        <v>2019</v>
      </c>
      <c r="C111" s="55">
        <v>19</v>
      </c>
      <c r="D111" s="55" t="s">
        <v>208</v>
      </c>
      <c r="E111" s="55">
        <v>1</v>
      </c>
      <c r="F111" s="55">
        <v>19231</v>
      </c>
      <c r="G111" s="55">
        <v>18822</v>
      </c>
      <c r="H111" s="55">
        <v>18651</v>
      </c>
      <c r="I111" s="55">
        <v>18555</v>
      </c>
      <c r="J111" s="55">
        <v>18534</v>
      </c>
      <c r="K111" s="55">
        <v>18737</v>
      </c>
      <c r="L111" s="55">
        <v>19460</v>
      </c>
      <c r="M111" s="55">
        <v>20888</v>
      </c>
      <c r="N111" s="55">
        <v>22986</v>
      </c>
      <c r="O111" s="55">
        <v>24327</v>
      </c>
      <c r="P111" s="55">
        <v>25023</v>
      </c>
      <c r="Q111" s="55">
        <v>25186</v>
      </c>
      <c r="R111" s="55">
        <v>25324</v>
      </c>
      <c r="S111" s="55">
        <v>25324</v>
      </c>
      <c r="T111" s="55">
        <v>25324</v>
      </c>
      <c r="U111" s="55">
        <v>25330</v>
      </c>
      <c r="V111" s="55">
        <v>25058</v>
      </c>
      <c r="W111" s="55">
        <v>24452</v>
      </c>
      <c r="X111" s="55">
        <v>23928</v>
      </c>
      <c r="Y111" s="55">
        <v>23179</v>
      </c>
      <c r="Z111" s="55">
        <v>22550</v>
      </c>
      <c r="AA111" s="55">
        <v>21908</v>
      </c>
      <c r="AB111" s="55">
        <v>21136</v>
      </c>
      <c r="AC111" s="56">
        <v>20081</v>
      </c>
      <c r="AD111" t="str">
        <f t="shared" si="1"/>
        <v>Winter</v>
      </c>
      <c r="AE111" t="str">
        <f>INDEX('Category Mapping'!$B$2:$B$29,MATCH('Source Data'!A111,'Category Mapping'!$A$2:$A$29,0))</f>
        <v>Weekend</v>
      </c>
      <c r="AF111" t="str">
        <f>INDEX('Category Mapping'!$C$2:$C$29,MATCH('Source Data'!A111,'Category Mapping'!$A$2:$A$29,0))</f>
        <v>Commercial</v>
      </c>
      <c r="AG111" t="str">
        <f>INDEX('Category Mapping'!$D$2:$D$29,MATCH('Source Data'!A111,'Category Mapping'!$A$2:$A$29,0))</f>
        <v>Cooling</v>
      </c>
    </row>
    <row r="112" spans="1:33" x14ac:dyDescent="0.25">
      <c r="A112" s="57" t="s">
        <v>97</v>
      </c>
      <c r="B112" s="58">
        <v>2019</v>
      </c>
      <c r="C112" s="58">
        <v>19</v>
      </c>
      <c r="D112" s="58" t="s">
        <v>208</v>
      </c>
      <c r="E112" s="58">
        <v>2</v>
      </c>
      <c r="F112" s="58">
        <v>21698</v>
      </c>
      <c r="G112" s="58">
        <v>21236</v>
      </c>
      <c r="H112" s="58">
        <v>21043</v>
      </c>
      <c r="I112" s="58">
        <v>20935</v>
      </c>
      <c r="J112" s="58">
        <v>20911</v>
      </c>
      <c r="K112" s="58">
        <v>21140</v>
      </c>
      <c r="L112" s="58">
        <v>21956</v>
      </c>
      <c r="M112" s="58">
        <v>23567</v>
      </c>
      <c r="N112" s="58">
        <v>25934</v>
      </c>
      <c r="O112" s="58">
        <v>27446</v>
      </c>
      <c r="P112" s="58">
        <v>28232</v>
      </c>
      <c r="Q112" s="58">
        <v>28416</v>
      </c>
      <c r="R112" s="58">
        <v>28572</v>
      </c>
      <c r="S112" s="58">
        <v>28572</v>
      </c>
      <c r="T112" s="58">
        <v>28572</v>
      </c>
      <c r="U112" s="58">
        <v>28578</v>
      </c>
      <c r="V112" s="58">
        <v>28271</v>
      </c>
      <c r="W112" s="58">
        <v>27588</v>
      </c>
      <c r="X112" s="58">
        <v>26996</v>
      </c>
      <c r="Y112" s="58">
        <v>26152</v>
      </c>
      <c r="Z112" s="58">
        <v>25442</v>
      </c>
      <c r="AA112" s="58">
        <v>24717</v>
      </c>
      <c r="AB112" s="58">
        <v>23846</v>
      </c>
      <c r="AC112" s="59">
        <v>22656</v>
      </c>
      <c r="AD112" t="str">
        <f t="shared" si="1"/>
        <v>Winter</v>
      </c>
      <c r="AE112" t="str">
        <f>INDEX('Category Mapping'!$B$2:$B$29,MATCH('Source Data'!A112,'Category Mapping'!$A$2:$A$29,0))</f>
        <v>Weekend</v>
      </c>
      <c r="AF112" t="str">
        <f>INDEX('Category Mapping'!$C$2:$C$29,MATCH('Source Data'!A112,'Category Mapping'!$A$2:$A$29,0))</f>
        <v>Commercial</v>
      </c>
      <c r="AG112" t="str">
        <f>INDEX('Category Mapping'!$D$2:$D$29,MATCH('Source Data'!A112,'Category Mapping'!$A$2:$A$29,0))</f>
        <v>Cooling</v>
      </c>
    </row>
    <row r="113" spans="1:33" x14ac:dyDescent="0.25">
      <c r="A113" s="54" t="s">
        <v>97</v>
      </c>
      <c r="B113" s="55">
        <v>2019</v>
      </c>
      <c r="C113" s="55">
        <v>19</v>
      </c>
      <c r="D113" s="55" t="s">
        <v>208</v>
      </c>
      <c r="E113" s="55">
        <v>3</v>
      </c>
      <c r="F113" s="55">
        <v>48845</v>
      </c>
      <c r="G113" s="55">
        <v>47806</v>
      </c>
      <c r="H113" s="55">
        <v>47372</v>
      </c>
      <c r="I113" s="55">
        <v>47128</v>
      </c>
      <c r="J113" s="55">
        <v>47075</v>
      </c>
      <c r="K113" s="55">
        <v>47589</v>
      </c>
      <c r="L113" s="55">
        <v>49427</v>
      </c>
      <c r="M113" s="55">
        <v>53053</v>
      </c>
      <c r="N113" s="55">
        <v>58383</v>
      </c>
      <c r="O113" s="55">
        <v>61786</v>
      </c>
      <c r="P113" s="55">
        <v>63555</v>
      </c>
      <c r="Q113" s="55">
        <v>63970</v>
      </c>
      <c r="R113" s="55">
        <v>64321</v>
      </c>
      <c r="S113" s="55">
        <v>64321</v>
      </c>
      <c r="T113" s="55">
        <v>64321</v>
      </c>
      <c r="U113" s="55">
        <v>64335</v>
      </c>
      <c r="V113" s="55">
        <v>63643</v>
      </c>
      <c r="W113" s="55">
        <v>62106</v>
      </c>
      <c r="X113" s="55">
        <v>60774</v>
      </c>
      <c r="Y113" s="55">
        <v>58872</v>
      </c>
      <c r="Z113" s="55">
        <v>57274</v>
      </c>
      <c r="AA113" s="55">
        <v>55643</v>
      </c>
      <c r="AB113" s="55">
        <v>53682</v>
      </c>
      <c r="AC113" s="56">
        <v>51003</v>
      </c>
      <c r="AD113" t="str">
        <f t="shared" si="1"/>
        <v>Spring</v>
      </c>
      <c r="AE113" t="str">
        <f>INDEX('Category Mapping'!$B$2:$B$29,MATCH('Source Data'!A113,'Category Mapping'!$A$2:$A$29,0))</f>
        <v>Weekend</v>
      </c>
      <c r="AF113" t="str">
        <f>INDEX('Category Mapping'!$C$2:$C$29,MATCH('Source Data'!A113,'Category Mapping'!$A$2:$A$29,0))</f>
        <v>Commercial</v>
      </c>
      <c r="AG113" t="str">
        <f>INDEX('Category Mapping'!$D$2:$D$29,MATCH('Source Data'!A113,'Category Mapping'!$A$2:$A$29,0))</f>
        <v>Cooling</v>
      </c>
    </row>
    <row r="114" spans="1:33" x14ac:dyDescent="0.25">
      <c r="A114" s="57" t="s">
        <v>97</v>
      </c>
      <c r="B114" s="58">
        <v>2019</v>
      </c>
      <c r="C114" s="58">
        <v>19</v>
      </c>
      <c r="D114" s="58" t="s">
        <v>208</v>
      </c>
      <c r="E114" s="58">
        <v>4</v>
      </c>
      <c r="F114" s="58">
        <v>230756</v>
      </c>
      <c r="G114" s="58">
        <v>225847</v>
      </c>
      <c r="H114" s="58">
        <v>223799</v>
      </c>
      <c r="I114" s="58">
        <v>222643</v>
      </c>
      <c r="J114" s="58">
        <v>222395</v>
      </c>
      <c r="K114" s="58">
        <v>224822</v>
      </c>
      <c r="L114" s="58">
        <v>233505</v>
      </c>
      <c r="M114" s="58">
        <v>250635</v>
      </c>
      <c r="N114" s="58">
        <v>275815</v>
      </c>
      <c r="O114" s="58">
        <v>291894</v>
      </c>
      <c r="P114" s="58">
        <v>300251</v>
      </c>
      <c r="Q114" s="58">
        <v>302210</v>
      </c>
      <c r="R114" s="58">
        <v>303911</v>
      </c>
      <c r="S114" s="58">
        <v>305340</v>
      </c>
      <c r="T114" s="58">
        <v>306600</v>
      </c>
      <c r="U114" s="58">
        <v>305407</v>
      </c>
      <c r="V114" s="58">
        <v>300710</v>
      </c>
      <c r="W114" s="58">
        <v>293404</v>
      </c>
      <c r="X114" s="58">
        <v>287111</v>
      </c>
      <c r="Y114" s="58">
        <v>278129</v>
      </c>
      <c r="Z114" s="58">
        <v>270576</v>
      </c>
      <c r="AA114" s="58">
        <v>262871</v>
      </c>
      <c r="AB114" s="58">
        <v>253606</v>
      </c>
      <c r="AC114" s="59">
        <v>240950</v>
      </c>
      <c r="AD114" t="str">
        <f t="shared" si="1"/>
        <v>Spring</v>
      </c>
      <c r="AE114" t="str">
        <f>INDEX('Category Mapping'!$B$2:$B$29,MATCH('Source Data'!A114,'Category Mapping'!$A$2:$A$29,0))</f>
        <v>Weekend</v>
      </c>
      <c r="AF114" t="str">
        <f>INDEX('Category Mapping'!$C$2:$C$29,MATCH('Source Data'!A114,'Category Mapping'!$A$2:$A$29,0))</f>
        <v>Commercial</v>
      </c>
      <c r="AG114" t="str">
        <f>INDEX('Category Mapping'!$D$2:$D$29,MATCH('Source Data'!A114,'Category Mapping'!$A$2:$A$29,0))</f>
        <v>Cooling</v>
      </c>
    </row>
    <row r="115" spans="1:33" x14ac:dyDescent="0.25">
      <c r="A115" s="54" t="s">
        <v>97</v>
      </c>
      <c r="B115" s="55">
        <v>2019</v>
      </c>
      <c r="C115" s="55">
        <v>19</v>
      </c>
      <c r="D115" s="55" t="s">
        <v>208</v>
      </c>
      <c r="E115" s="55">
        <v>5</v>
      </c>
      <c r="F115" s="55">
        <v>3838547</v>
      </c>
      <c r="G115" s="55">
        <v>3756893</v>
      </c>
      <c r="H115" s="55">
        <v>3722821</v>
      </c>
      <c r="I115" s="55">
        <v>3703601</v>
      </c>
      <c r="J115" s="55">
        <v>3699463</v>
      </c>
      <c r="K115" s="55">
        <v>3739846</v>
      </c>
      <c r="L115" s="55">
        <v>3884282</v>
      </c>
      <c r="M115" s="55">
        <v>4169228</v>
      </c>
      <c r="N115" s="55">
        <v>4612852</v>
      </c>
      <c r="O115" s="55">
        <v>5340502</v>
      </c>
      <c r="P115" s="55">
        <v>6149038</v>
      </c>
      <c r="Q115" s="55">
        <v>6820678</v>
      </c>
      <c r="R115" s="55">
        <v>7357973</v>
      </c>
      <c r="S115" s="55">
        <v>7680697</v>
      </c>
      <c r="T115" s="55">
        <v>7791332</v>
      </c>
      <c r="U115" s="55">
        <v>7681814</v>
      </c>
      <c r="V115" s="55">
        <v>7304727</v>
      </c>
      <c r="W115" s="55">
        <v>6674204</v>
      </c>
      <c r="X115" s="55">
        <v>5930455</v>
      </c>
      <c r="Y115" s="55">
        <v>5111525</v>
      </c>
      <c r="Z115" s="55">
        <v>4525707</v>
      </c>
      <c r="AA115" s="55">
        <v>4372776</v>
      </c>
      <c r="AB115" s="55">
        <v>4218651</v>
      </c>
      <c r="AC115" s="56">
        <v>4008120</v>
      </c>
      <c r="AD115" t="str">
        <f t="shared" si="1"/>
        <v>Spring</v>
      </c>
      <c r="AE115" t="str">
        <f>INDEX('Category Mapping'!$B$2:$B$29,MATCH('Source Data'!A115,'Category Mapping'!$A$2:$A$29,0))</f>
        <v>Weekend</v>
      </c>
      <c r="AF115" t="str">
        <f>INDEX('Category Mapping'!$C$2:$C$29,MATCH('Source Data'!A115,'Category Mapping'!$A$2:$A$29,0))</f>
        <v>Commercial</v>
      </c>
      <c r="AG115" t="str">
        <f>INDEX('Category Mapping'!$D$2:$D$29,MATCH('Source Data'!A115,'Category Mapping'!$A$2:$A$29,0))</f>
        <v>Cooling</v>
      </c>
    </row>
    <row r="116" spans="1:33" x14ac:dyDescent="0.25">
      <c r="A116" s="57" t="s">
        <v>97</v>
      </c>
      <c r="B116" s="58">
        <v>2019</v>
      </c>
      <c r="C116" s="58">
        <v>19</v>
      </c>
      <c r="D116" s="58" t="s">
        <v>208</v>
      </c>
      <c r="E116" s="58">
        <v>6</v>
      </c>
      <c r="F116" s="58">
        <v>33500000</v>
      </c>
      <c r="G116" s="58">
        <v>32200000</v>
      </c>
      <c r="H116" s="58">
        <v>31800000</v>
      </c>
      <c r="I116" s="58">
        <v>31700000</v>
      </c>
      <c r="J116" s="58">
        <v>32300000</v>
      </c>
      <c r="K116" s="58">
        <v>34400000</v>
      </c>
      <c r="L116" s="58">
        <v>39400000</v>
      </c>
      <c r="M116" s="58">
        <v>46700000</v>
      </c>
      <c r="N116" s="58">
        <v>55900000</v>
      </c>
      <c r="O116" s="58">
        <v>64000000</v>
      </c>
      <c r="P116" s="58">
        <v>70800000</v>
      </c>
      <c r="Q116" s="58">
        <v>75900000</v>
      </c>
      <c r="R116" s="58">
        <v>80000000</v>
      </c>
      <c r="S116" s="58">
        <v>82300000</v>
      </c>
      <c r="T116" s="58">
        <v>83100000</v>
      </c>
      <c r="U116" s="58">
        <v>82300000</v>
      </c>
      <c r="V116" s="58">
        <v>79500000</v>
      </c>
      <c r="W116" s="58">
        <v>74700000</v>
      </c>
      <c r="X116" s="58">
        <v>69000000</v>
      </c>
      <c r="Y116" s="58">
        <v>62100000</v>
      </c>
      <c r="Z116" s="58">
        <v>55200000</v>
      </c>
      <c r="AA116" s="58">
        <v>48400000</v>
      </c>
      <c r="AB116" s="58">
        <v>42200000</v>
      </c>
      <c r="AC116" s="59">
        <v>36600000</v>
      </c>
      <c r="AD116" t="str">
        <f t="shared" si="1"/>
        <v>Summer</v>
      </c>
      <c r="AE116" t="str">
        <f>INDEX('Category Mapping'!$B$2:$B$29,MATCH('Source Data'!A116,'Category Mapping'!$A$2:$A$29,0))</f>
        <v>Weekend</v>
      </c>
      <c r="AF116" t="str">
        <f>INDEX('Category Mapping'!$C$2:$C$29,MATCH('Source Data'!A116,'Category Mapping'!$A$2:$A$29,0))</f>
        <v>Commercial</v>
      </c>
      <c r="AG116" t="str">
        <f>INDEX('Category Mapping'!$D$2:$D$29,MATCH('Source Data'!A116,'Category Mapping'!$A$2:$A$29,0))</f>
        <v>Cooling</v>
      </c>
    </row>
    <row r="117" spans="1:33" x14ac:dyDescent="0.25">
      <c r="A117" s="54" t="s">
        <v>97</v>
      </c>
      <c r="B117" s="55">
        <v>2019</v>
      </c>
      <c r="C117" s="55">
        <v>19</v>
      </c>
      <c r="D117" s="55" t="s">
        <v>208</v>
      </c>
      <c r="E117" s="55">
        <v>7</v>
      </c>
      <c r="F117" s="55">
        <v>105000000</v>
      </c>
      <c r="G117" s="55">
        <v>100000000</v>
      </c>
      <c r="H117" s="55">
        <v>98700000</v>
      </c>
      <c r="I117" s="55">
        <v>99600000</v>
      </c>
      <c r="J117" s="55">
        <v>103000000</v>
      </c>
      <c r="K117" s="55">
        <v>109000000</v>
      </c>
      <c r="L117" s="55">
        <v>119000000</v>
      </c>
      <c r="M117" s="55">
        <v>133000000</v>
      </c>
      <c r="N117" s="55">
        <v>149000000</v>
      </c>
      <c r="O117" s="55">
        <v>164000000</v>
      </c>
      <c r="P117" s="55">
        <v>175000000</v>
      </c>
      <c r="Q117" s="55">
        <v>183000000</v>
      </c>
      <c r="R117" s="55">
        <v>190000000</v>
      </c>
      <c r="S117" s="55">
        <v>194000000</v>
      </c>
      <c r="T117" s="55">
        <v>195000000</v>
      </c>
      <c r="U117" s="55">
        <v>194000000</v>
      </c>
      <c r="V117" s="55">
        <v>189000000</v>
      </c>
      <c r="W117" s="55">
        <v>181000000</v>
      </c>
      <c r="X117" s="55">
        <v>171000000</v>
      </c>
      <c r="Y117" s="55">
        <v>160000000</v>
      </c>
      <c r="Z117" s="55">
        <v>148000000</v>
      </c>
      <c r="AA117" s="55">
        <v>136000000</v>
      </c>
      <c r="AB117" s="55">
        <v>125000000</v>
      </c>
      <c r="AC117" s="56">
        <v>114000000</v>
      </c>
      <c r="AD117" t="str">
        <f t="shared" si="1"/>
        <v>Summer</v>
      </c>
      <c r="AE117" t="str">
        <f>INDEX('Category Mapping'!$B$2:$B$29,MATCH('Source Data'!A117,'Category Mapping'!$A$2:$A$29,0))</f>
        <v>Weekend</v>
      </c>
      <c r="AF117" t="str">
        <f>INDEX('Category Mapping'!$C$2:$C$29,MATCH('Source Data'!A117,'Category Mapping'!$A$2:$A$29,0))</f>
        <v>Commercial</v>
      </c>
      <c r="AG117" t="str">
        <f>INDEX('Category Mapping'!$D$2:$D$29,MATCH('Source Data'!A117,'Category Mapping'!$A$2:$A$29,0))</f>
        <v>Cooling</v>
      </c>
    </row>
    <row r="118" spans="1:33" x14ac:dyDescent="0.25">
      <c r="A118" s="57" t="s">
        <v>97</v>
      </c>
      <c r="B118" s="58">
        <v>2019</v>
      </c>
      <c r="C118" s="58">
        <v>19</v>
      </c>
      <c r="D118" s="58" t="s">
        <v>208</v>
      </c>
      <c r="E118" s="58">
        <v>8</v>
      </c>
      <c r="F118" s="58">
        <v>117000000</v>
      </c>
      <c r="G118" s="58">
        <v>111000000</v>
      </c>
      <c r="H118" s="58">
        <v>108000000</v>
      </c>
      <c r="I118" s="58">
        <v>110000000</v>
      </c>
      <c r="J118" s="58">
        <v>114000000</v>
      </c>
      <c r="K118" s="58">
        <v>122000000</v>
      </c>
      <c r="L118" s="58">
        <v>134000000</v>
      </c>
      <c r="M118" s="58">
        <v>151000000</v>
      </c>
      <c r="N118" s="58">
        <v>171000000</v>
      </c>
      <c r="O118" s="58">
        <v>189000000</v>
      </c>
      <c r="P118" s="58">
        <v>203000000</v>
      </c>
      <c r="Q118" s="58">
        <v>214000000</v>
      </c>
      <c r="R118" s="58">
        <v>222000000</v>
      </c>
      <c r="S118" s="58">
        <v>227000000</v>
      </c>
      <c r="T118" s="58">
        <v>229000000</v>
      </c>
      <c r="U118" s="58">
        <v>227000000</v>
      </c>
      <c r="V118" s="58">
        <v>221000000</v>
      </c>
      <c r="W118" s="58">
        <v>211000000</v>
      </c>
      <c r="X118" s="58">
        <v>199000000</v>
      </c>
      <c r="Y118" s="58">
        <v>184000000</v>
      </c>
      <c r="Z118" s="58">
        <v>170000000</v>
      </c>
      <c r="AA118" s="58">
        <v>155000000</v>
      </c>
      <c r="AB118" s="58">
        <v>141000000</v>
      </c>
      <c r="AC118" s="59">
        <v>127000000</v>
      </c>
      <c r="AD118" t="str">
        <f t="shared" si="1"/>
        <v>Summer</v>
      </c>
      <c r="AE118" t="str">
        <f>INDEX('Category Mapping'!$B$2:$B$29,MATCH('Source Data'!A118,'Category Mapping'!$A$2:$A$29,0))</f>
        <v>Weekend</v>
      </c>
      <c r="AF118" t="str">
        <f>INDEX('Category Mapping'!$C$2:$C$29,MATCH('Source Data'!A118,'Category Mapping'!$A$2:$A$29,0))</f>
        <v>Commercial</v>
      </c>
      <c r="AG118" t="str">
        <f>INDEX('Category Mapping'!$D$2:$D$29,MATCH('Source Data'!A118,'Category Mapping'!$A$2:$A$29,0))</f>
        <v>Cooling</v>
      </c>
    </row>
    <row r="119" spans="1:33" x14ac:dyDescent="0.25">
      <c r="A119" s="54" t="s">
        <v>97</v>
      </c>
      <c r="B119" s="55">
        <v>2019</v>
      </c>
      <c r="C119" s="55">
        <v>19</v>
      </c>
      <c r="D119" s="55" t="s">
        <v>208</v>
      </c>
      <c r="E119" s="55">
        <v>9</v>
      </c>
      <c r="F119" s="55">
        <v>27100000</v>
      </c>
      <c r="G119" s="55">
        <v>26500000</v>
      </c>
      <c r="H119" s="55">
        <v>26200000</v>
      </c>
      <c r="I119" s="55">
        <v>26100000</v>
      </c>
      <c r="J119" s="55">
        <v>26200000</v>
      </c>
      <c r="K119" s="55">
        <v>26700000</v>
      </c>
      <c r="L119" s="55">
        <v>28900000</v>
      </c>
      <c r="M119" s="55">
        <v>33700000</v>
      </c>
      <c r="N119" s="55">
        <v>40700000</v>
      </c>
      <c r="O119" s="55">
        <v>47000000</v>
      </c>
      <c r="P119" s="55">
        <v>52400000</v>
      </c>
      <c r="Q119" s="55">
        <v>56600000</v>
      </c>
      <c r="R119" s="55">
        <v>59800000</v>
      </c>
      <c r="S119" s="55">
        <v>61700000</v>
      </c>
      <c r="T119" s="55">
        <v>62400000</v>
      </c>
      <c r="U119" s="55">
        <v>61700000</v>
      </c>
      <c r="V119" s="55">
        <v>59400000</v>
      </c>
      <c r="W119" s="55">
        <v>55600000</v>
      </c>
      <c r="X119" s="55">
        <v>51000000</v>
      </c>
      <c r="Y119" s="55">
        <v>45500000</v>
      </c>
      <c r="Z119" s="55">
        <v>40100000</v>
      </c>
      <c r="AA119" s="55">
        <v>35000000</v>
      </c>
      <c r="AB119" s="55">
        <v>31200000</v>
      </c>
      <c r="AC119" s="56">
        <v>28600000</v>
      </c>
      <c r="AD119" t="str">
        <f t="shared" si="1"/>
        <v>Fall</v>
      </c>
      <c r="AE119" t="str">
        <f>INDEX('Category Mapping'!$B$2:$B$29,MATCH('Source Data'!A119,'Category Mapping'!$A$2:$A$29,0))</f>
        <v>Weekend</v>
      </c>
      <c r="AF119" t="str">
        <f>INDEX('Category Mapping'!$C$2:$C$29,MATCH('Source Data'!A119,'Category Mapping'!$A$2:$A$29,0))</f>
        <v>Commercial</v>
      </c>
      <c r="AG119" t="str">
        <f>INDEX('Category Mapping'!$D$2:$D$29,MATCH('Source Data'!A119,'Category Mapping'!$A$2:$A$29,0))</f>
        <v>Cooling</v>
      </c>
    </row>
    <row r="120" spans="1:33" x14ac:dyDescent="0.25">
      <c r="A120" s="57" t="s">
        <v>97</v>
      </c>
      <c r="B120" s="58">
        <v>2019</v>
      </c>
      <c r="C120" s="58">
        <v>19</v>
      </c>
      <c r="D120" s="58" t="s">
        <v>208</v>
      </c>
      <c r="E120" s="58">
        <v>10</v>
      </c>
      <c r="F120" s="58">
        <v>673947</v>
      </c>
      <c r="G120" s="58">
        <v>659611</v>
      </c>
      <c r="H120" s="58">
        <v>653629</v>
      </c>
      <c r="I120" s="58">
        <v>650254</v>
      </c>
      <c r="J120" s="58">
        <v>649528</v>
      </c>
      <c r="K120" s="58">
        <v>656618</v>
      </c>
      <c r="L120" s="58">
        <v>681977</v>
      </c>
      <c r="M120" s="58">
        <v>732006</v>
      </c>
      <c r="N120" s="58">
        <v>805677</v>
      </c>
      <c r="O120" s="58">
        <v>853816</v>
      </c>
      <c r="P120" s="58">
        <v>885470</v>
      </c>
      <c r="Q120" s="58">
        <v>931064</v>
      </c>
      <c r="R120" s="58">
        <v>997681</v>
      </c>
      <c r="S120" s="58">
        <v>1042325</v>
      </c>
      <c r="T120" s="58">
        <v>1058118</v>
      </c>
      <c r="U120" s="58">
        <v>1042521</v>
      </c>
      <c r="V120" s="58">
        <v>988332</v>
      </c>
      <c r="W120" s="58">
        <v>905347</v>
      </c>
      <c r="X120" s="58">
        <v>847092</v>
      </c>
      <c r="Y120" s="58">
        <v>813614</v>
      </c>
      <c r="Z120" s="58">
        <v>790377</v>
      </c>
      <c r="AA120" s="58">
        <v>767744</v>
      </c>
      <c r="AB120" s="58">
        <v>740684</v>
      </c>
      <c r="AC120" s="59">
        <v>703720</v>
      </c>
      <c r="AD120" t="str">
        <f t="shared" si="1"/>
        <v>Fall</v>
      </c>
      <c r="AE120" t="str">
        <f>INDEX('Category Mapping'!$B$2:$B$29,MATCH('Source Data'!A120,'Category Mapping'!$A$2:$A$29,0))</f>
        <v>Weekend</v>
      </c>
      <c r="AF120" t="str">
        <f>INDEX('Category Mapping'!$C$2:$C$29,MATCH('Source Data'!A120,'Category Mapping'!$A$2:$A$29,0))</f>
        <v>Commercial</v>
      </c>
      <c r="AG120" t="str">
        <f>INDEX('Category Mapping'!$D$2:$D$29,MATCH('Source Data'!A120,'Category Mapping'!$A$2:$A$29,0))</f>
        <v>Cooling</v>
      </c>
    </row>
    <row r="121" spans="1:33" x14ac:dyDescent="0.25">
      <c r="A121" s="54" t="s">
        <v>97</v>
      </c>
      <c r="B121" s="55">
        <v>2019</v>
      </c>
      <c r="C121" s="55">
        <v>19</v>
      </c>
      <c r="D121" s="55" t="s">
        <v>208</v>
      </c>
      <c r="E121" s="55">
        <v>11</v>
      </c>
      <c r="F121" s="55">
        <v>68569</v>
      </c>
      <c r="G121" s="55">
        <v>67111</v>
      </c>
      <c r="H121" s="55">
        <v>66502</v>
      </c>
      <c r="I121" s="55">
        <v>66159</v>
      </c>
      <c r="J121" s="55">
        <v>66085</v>
      </c>
      <c r="K121" s="55">
        <v>66806</v>
      </c>
      <c r="L121" s="55">
        <v>69386</v>
      </c>
      <c r="M121" s="55">
        <v>74476</v>
      </c>
      <c r="N121" s="55">
        <v>81959</v>
      </c>
      <c r="O121" s="55">
        <v>86737</v>
      </c>
      <c r="P121" s="55">
        <v>89220</v>
      </c>
      <c r="Q121" s="55">
        <v>89802</v>
      </c>
      <c r="R121" s="55">
        <v>90294</v>
      </c>
      <c r="S121" s="55">
        <v>90294</v>
      </c>
      <c r="T121" s="55">
        <v>90294</v>
      </c>
      <c r="U121" s="55">
        <v>90314</v>
      </c>
      <c r="V121" s="55">
        <v>89343</v>
      </c>
      <c r="W121" s="55">
        <v>87185</v>
      </c>
      <c r="X121" s="55">
        <v>85315</v>
      </c>
      <c r="Y121" s="55">
        <v>82646</v>
      </c>
      <c r="Z121" s="55">
        <v>80402</v>
      </c>
      <c r="AA121" s="55">
        <v>78112</v>
      </c>
      <c r="AB121" s="55">
        <v>75359</v>
      </c>
      <c r="AC121" s="56">
        <v>71598</v>
      </c>
      <c r="AD121" t="str">
        <f t="shared" si="1"/>
        <v>Winter</v>
      </c>
      <c r="AE121" t="str">
        <f>INDEX('Category Mapping'!$B$2:$B$29,MATCH('Source Data'!A121,'Category Mapping'!$A$2:$A$29,0))</f>
        <v>Weekend</v>
      </c>
      <c r="AF121" t="str">
        <f>INDEX('Category Mapping'!$C$2:$C$29,MATCH('Source Data'!A121,'Category Mapping'!$A$2:$A$29,0))</f>
        <v>Commercial</v>
      </c>
      <c r="AG121" t="str">
        <f>INDEX('Category Mapping'!$D$2:$D$29,MATCH('Source Data'!A121,'Category Mapping'!$A$2:$A$29,0))</f>
        <v>Cooling</v>
      </c>
    </row>
    <row r="122" spans="1:33" x14ac:dyDescent="0.25">
      <c r="A122" s="57" t="s">
        <v>97</v>
      </c>
      <c r="B122" s="58">
        <v>2019</v>
      </c>
      <c r="C122" s="58">
        <v>19</v>
      </c>
      <c r="D122" s="58" t="s">
        <v>208</v>
      </c>
      <c r="E122" s="58">
        <v>12</v>
      </c>
      <c r="F122" s="58">
        <v>25941</v>
      </c>
      <c r="G122" s="58">
        <v>25389</v>
      </c>
      <c r="H122" s="58">
        <v>25159</v>
      </c>
      <c r="I122" s="58">
        <v>25029</v>
      </c>
      <c r="J122" s="58">
        <v>25001</v>
      </c>
      <c r="K122" s="58">
        <v>25274</v>
      </c>
      <c r="L122" s="58">
        <v>26250</v>
      </c>
      <c r="M122" s="58">
        <v>28176</v>
      </c>
      <c r="N122" s="58">
        <v>31006</v>
      </c>
      <c r="O122" s="58">
        <v>32814</v>
      </c>
      <c r="P122" s="58">
        <v>33753</v>
      </c>
      <c r="Q122" s="58">
        <v>33973</v>
      </c>
      <c r="R122" s="58">
        <v>34160</v>
      </c>
      <c r="S122" s="58">
        <v>34160</v>
      </c>
      <c r="T122" s="58">
        <v>34160</v>
      </c>
      <c r="U122" s="58">
        <v>34167</v>
      </c>
      <c r="V122" s="58">
        <v>33800</v>
      </c>
      <c r="W122" s="58">
        <v>32984</v>
      </c>
      <c r="X122" s="58">
        <v>32276</v>
      </c>
      <c r="Y122" s="58">
        <v>31266</v>
      </c>
      <c r="Z122" s="58">
        <v>30417</v>
      </c>
      <c r="AA122" s="58">
        <v>29551</v>
      </c>
      <c r="AB122" s="58">
        <v>28510</v>
      </c>
      <c r="AC122" s="59">
        <v>27087</v>
      </c>
      <c r="AD122" t="str">
        <f t="shared" si="1"/>
        <v>Winter</v>
      </c>
      <c r="AE122" t="str">
        <f>INDEX('Category Mapping'!$B$2:$B$29,MATCH('Source Data'!A122,'Category Mapping'!$A$2:$A$29,0))</f>
        <v>Weekend</v>
      </c>
      <c r="AF122" t="str">
        <f>INDEX('Category Mapping'!$C$2:$C$29,MATCH('Source Data'!A122,'Category Mapping'!$A$2:$A$29,0))</f>
        <v>Commercial</v>
      </c>
      <c r="AG122" t="str">
        <f>INDEX('Category Mapping'!$D$2:$D$29,MATCH('Source Data'!A122,'Category Mapping'!$A$2:$A$29,0))</f>
        <v>Cooling</v>
      </c>
    </row>
    <row r="123" spans="1:33" x14ac:dyDescent="0.25">
      <c r="A123" s="54" t="s">
        <v>98</v>
      </c>
      <c r="B123" s="55">
        <v>2019</v>
      </c>
      <c r="C123" s="55">
        <v>19</v>
      </c>
      <c r="D123" s="55" t="s">
        <v>208</v>
      </c>
      <c r="E123" s="55">
        <v>1</v>
      </c>
      <c r="F123" s="55">
        <v>42300000</v>
      </c>
      <c r="G123" s="55">
        <v>38600000</v>
      </c>
      <c r="H123" s="55">
        <v>34800000</v>
      </c>
      <c r="I123" s="55">
        <v>36300000</v>
      </c>
      <c r="J123" s="55">
        <v>38100000</v>
      </c>
      <c r="K123" s="55">
        <v>38800000</v>
      </c>
      <c r="L123" s="55">
        <v>56400000</v>
      </c>
      <c r="M123" s="55">
        <v>120000000</v>
      </c>
      <c r="N123" s="55">
        <v>127000000</v>
      </c>
      <c r="O123" s="55">
        <v>91800000</v>
      </c>
      <c r="P123" s="55">
        <v>76800000</v>
      </c>
      <c r="Q123" s="55">
        <v>67500000</v>
      </c>
      <c r="R123" s="55">
        <v>59800000</v>
      </c>
      <c r="S123" s="55">
        <v>56000000</v>
      </c>
      <c r="T123" s="55">
        <v>52500000</v>
      </c>
      <c r="U123" s="55">
        <v>50500000</v>
      </c>
      <c r="V123" s="55">
        <v>49500000</v>
      </c>
      <c r="W123" s="55">
        <v>50300000</v>
      </c>
      <c r="X123" s="55">
        <v>58200000</v>
      </c>
      <c r="Y123" s="55">
        <v>65400000</v>
      </c>
      <c r="Z123" s="55">
        <v>69600000</v>
      </c>
      <c r="AA123" s="55">
        <v>75200000</v>
      </c>
      <c r="AB123" s="55">
        <v>75300000</v>
      </c>
      <c r="AC123" s="56">
        <v>34600000</v>
      </c>
      <c r="AD123" t="str">
        <f t="shared" si="1"/>
        <v>Winter</v>
      </c>
      <c r="AE123" t="str">
        <f>INDEX('Category Mapping'!$B$2:$B$29,MATCH('Source Data'!A123,'Category Mapping'!$A$2:$A$29,0))</f>
        <v>Weekday</v>
      </c>
      <c r="AF123" t="str">
        <f>INDEX('Category Mapping'!$C$2:$C$29,MATCH('Source Data'!A123,'Category Mapping'!$A$2:$A$29,0))</f>
        <v>Commercial</v>
      </c>
      <c r="AG123" t="str">
        <f>INDEX('Category Mapping'!$D$2:$D$29,MATCH('Source Data'!A123,'Category Mapping'!$A$2:$A$29,0))</f>
        <v>Heating</v>
      </c>
    </row>
    <row r="124" spans="1:33" x14ac:dyDescent="0.25">
      <c r="A124" s="57" t="s">
        <v>98</v>
      </c>
      <c r="B124" s="58">
        <v>2019</v>
      </c>
      <c r="C124" s="58">
        <v>19</v>
      </c>
      <c r="D124" s="58" t="s">
        <v>208</v>
      </c>
      <c r="E124" s="58">
        <v>2</v>
      </c>
      <c r="F124" s="58">
        <v>34600000</v>
      </c>
      <c r="G124" s="58">
        <v>31600000</v>
      </c>
      <c r="H124" s="58">
        <v>28400000</v>
      </c>
      <c r="I124" s="58">
        <v>29400000</v>
      </c>
      <c r="J124" s="58">
        <v>31200000</v>
      </c>
      <c r="K124" s="58">
        <v>31500000</v>
      </c>
      <c r="L124" s="58">
        <v>47600000</v>
      </c>
      <c r="M124" s="58">
        <v>102000000</v>
      </c>
      <c r="N124" s="58">
        <v>106000000</v>
      </c>
      <c r="O124" s="58">
        <v>74700000</v>
      </c>
      <c r="P124" s="58">
        <v>61500000</v>
      </c>
      <c r="Q124" s="58">
        <v>53500000</v>
      </c>
      <c r="R124" s="58">
        <v>46800000</v>
      </c>
      <c r="S124" s="58">
        <v>43600000</v>
      </c>
      <c r="T124" s="58">
        <v>40700000</v>
      </c>
      <c r="U124" s="58">
        <v>39000000</v>
      </c>
      <c r="V124" s="58">
        <v>37900000</v>
      </c>
      <c r="W124" s="58">
        <v>37700000</v>
      </c>
      <c r="X124" s="58">
        <v>43800000</v>
      </c>
      <c r="Y124" s="58">
        <v>50800000</v>
      </c>
      <c r="Z124" s="58">
        <v>55400000</v>
      </c>
      <c r="AA124" s="58">
        <v>60900000</v>
      </c>
      <c r="AB124" s="58">
        <v>60700000</v>
      </c>
      <c r="AC124" s="59">
        <v>29800000</v>
      </c>
      <c r="AD124" t="str">
        <f t="shared" si="1"/>
        <v>Winter</v>
      </c>
      <c r="AE124" t="str">
        <f>INDEX('Category Mapping'!$B$2:$B$29,MATCH('Source Data'!A124,'Category Mapping'!$A$2:$A$29,0))</f>
        <v>Weekday</v>
      </c>
      <c r="AF124" t="str">
        <f>INDEX('Category Mapping'!$C$2:$C$29,MATCH('Source Data'!A124,'Category Mapping'!$A$2:$A$29,0))</f>
        <v>Commercial</v>
      </c>
      <c r="AG124" t="str">
        <f>INDEX('Category Mapping'!$D$2:$D$29,MATCH('Source Data'!A124,'Category Mapping'!$A$2:$A$29,0))</f>
        <v>Heating</v>
      </c>
    </row>
    <row r="125" spans="1:33" x14ac:dyDescent="0.25">
      <c r="A125" s="54" t="s">
        <v>98</v>
      </c>
      <c r="B125" s="55">
        <v>2019</v>
      </c>
      <c r="C125" s="55">
        <v>19</v>
      </c>
      <c r="D125" s="55" t="s">
        <v>208</v>
      </c>
      <c r="E125" s="55">
        <v>3</v>
      </c>
      <c r="F125" s="55">
        <v>29500000</v>
      </c>
      <c r="G125" s="55">
        <v>26200000</v>
      </c>
      <c r="H125" s="55">
        <v>25200000</v>
      </c>
      <c r="I125" s="55">
        <v>26000000</v>
      </c>
      <c r="J125" s="55">
        <v>26400000</v>
      </c>
      <c r="K125" s="55">
        <v>36900000</v>
      </c>
      <c r="L125" s="55">
        <v>64700000</v>
      </c>
      <c r="M125" s="55">
        <v>91200000</v>
      </c>
      <c r="N125" s="55">
        <v>75800000</v>
      </c>
      <c r="O125" s="55">
        <v>56100000</v>
      </c>
      <c r="P125" s="55">
        <v>46200000</v>
      </c>
      <c r="Q125" s="55">
        <v>39200000</v>
      </c>
      <c r="R125" s="55">
        <v>34900000</v>
      </c>
      <c r="S125" s="55">
        <v>32100000</v>
      </c>
      <c r="T125" s="55">
        <v>29900000</v>
      </c>
      <c r="U125" s="55">
        <v>28000000</v>
      </c>
      <c r="V125" s="55">
        <v>26300000</v>
      </c>
      <c r="W125" s="55">
        <v>27300000</v>
      </c>
      <c r="X125" s="55">
        <v>31600000</v>
      </c>
      <c r="Y125" s="55">
        <v>37600000</v>
      </c>
      <c r="Z125" s="55">
        <v>44100000</v>
      </c>
      <c r="AA125" s="55">
        <v>38800000</v>
      </c>
      <c r="AB125" s="55">
        <v>34200000</v>
      </c>
      <c r="AC125" s="56">
        <v>28600000</v>
      </c>
      <c r="AD125" t="str">
        <f t="shared" si="1"/>
        <v>Spring</v>
      </c>
      <c r="AE125" t="str">
        <f>INDEX('Category Mapping'!$B$2:$B$29,MATCH('Source Data'!A125,'Category Mapping'!$A$2:$A$29,0))</f>
        <v>Weekday</v>
      </c>
      <c r="AF125" t="str">
        <f>INDEX('Category Mapping'!$C$2:$C$29,MATCH('Source Data'!A125,'Category Mapping'!$A$2:$A$29,0))</f>
        <v>Commercial</v>
      </c>
      <c r="AG125" t="str">
        <f>INDEX('Category Mapping'!$D$2:$D$29,MATCH('Source Data'!A125,'Category Mapping'!$A$2:$A$29,0))</f>
        <v>Heating</v>
      </c>
    </row>
    <row r="126" spans="1:33" x14ac:dyDescent="0.25">
      <c r="A126" s="57" t="s">
        <v>98</v>
      </c>
      <c r="B126" s="58">
        <v>2019</v>
      </c>
      <c r="C126" s="58">
        <v>19</v>
      </c>
      <c r="D126" s="58" t="s">
        <v>208</v>
      </c>
      <c r="E126" s="58">
        <v>4</v>
      </c>
      <c r="F126" s="58">
        <v>19600000</v>
      </c>
      <c r="G126" s="58">
        <v>17500000</v>
      </c>
      <c r="H126" s="58">
        <v>17700000</v>
      </c>
      <c r="I126" s="58">
        <v>18000000</v>
      </c>
      <c r="J126" s="58">
        <v>17600000</v>
      </c>
      <c r="K126" s="58">
        <v>29300000</v>
      </c>
      <c r="L126" s="58">
        <v>54200000</v>
      </c>
      <c r="M126" s="58">
        <v>45500000</v>
      </c>
      <c r="N126" s="58">
        <v>30500000</v>
      </c>
      <c r="O126" s="58">
        <v>23900000</v>
      </c>
      <c r="P126" s="58">
        <v>19700000</v>
      </c>
      <c r="Q126" s="58">
        <v>16200000</v>
      </c>
      <c r="R126" s="58">
        <v>14600000</v>
      </c>
      <c r="S126" s="58">
        <v>13400000</v>
      </c>
      <c r="T126" s="58">
        <v>12500000</v>
      </c>
      <c r="U126" s="58">
        <v>11500000</v>
      </c>
      <c r="V126" s="58">
        <v>10400000</v>
      </c>
      <c r="W126" s="58">
        <v>11400000</v>
      </c>
      <c r="X126" s="58">
        <v>13000000</v>
      </c>
      <c r="Y126" s="58">
        <v>15600000</v>
      </c>
      <c r="Z126" s="58">
        <v>20000000</v>
      </c>
      <c r="AA126" s="58">
        <v>15100000</v>
      </c>
      <c r="AB126" s="58">
        <v>13800000</v>
      </c>
      <c r="AC126" s="59">
        <v>13800000</v>
      </c>
      <c r="AD126" t="str">
        <f t="shared" si="1"/>
        <v>Spring</v>
      </c>
      <c r="AE126" t="str">
        <f>INDEX('Category Mapping'!$B$2:$B$29,MATCH('Source Data'!A126,'Category Mapping'!$A$2:$A$29,0))</f>
        <v>Weekday</v>
      </c>
      <c r="AF126" t="str">
        <f>INDEX('Category Mapping'!$C$2:$C$29,MATCH('Source Data'!A126,'Category Mapping'!$A$2:$A$29,0))</f>
        <v>Commercial</v>
      </c>
      <c r="AG126" t="str">
        <f>INDEX('Category Mapping'!$D$2:$D$29,MATCH('Source Data'!A126,'Category Mapping'!$A$2:$A$29,0))</f>
        <v>Heating</v>
      </c>
    </row>
    <row r="127" spans="1:33" x14ac:dyDescent="0.25">
      <c r="A127" s="54" t="s">
        <v>98</v>
      </c>
      <c r="B127" s="55">
        <v>2019</v>
      </c>
      <c r="C127" s="55">
        <v>19</v>
      </c>
      <c r="D127" s="55" t="s">
        <v>208</v>
      </c>
      <c r="E127" s="55">
        <v>5</v>
      </c>
      <c r="F127" s="55">
        <v>4714881</v>
      </c>
      <c r="G127" s="55">
        <v>4432044</v>
      </c>
      <c r="H127" s="55">
        <v>4506486</v>
      </c>
      <c r="I127" s="55">
        <v>4578442</v>
      </c>
      <c r="J127" s="55">
        <v>4430885</v>
      </c>
      <c r="K127" s="55">
        <v>6988517</v>
      </c>
      <c r="L127" s="55">
        <v>17500000</v>
      </c>
      <c r="M127" s="55">
        <v>13700000</v>
      </c>
      <c r="N127" s="55">
        <v>8972358</v>
      </c>
      <c r="O127" s="55">
        <v>7068316</v>
      </c>
      <c r="P127" s="55">
        <v>5953044</v>
      </c>
      <c r="Q127" s="55">
        <v>4994629</v>
      </c>
      <c r="R127" s="55">
        <v>4550673</v>
      </c>
      <c r="S127" s="55">
        <v>4223149</v>
      </c>
      <c r="T127" s="55">
        <v>3957311</v>
      </c>
      <c r="U127" s="55">
        <v>3672823</v>
      </c>
      <c r="V127" s="55">
        <v>3356355</v>
      </c>
      <c r="W127" s="55">
        <v>3577938</v>
      </c>
      <c r="X127" s="55">
        <v>4031724</v>
      </c>
      <c r="Y127" s="55">
        <v>4715178</v>
      </c>
      <c r="Z127" s="55">
        <v>6253307</v>
      </c>
      <c r="AA127" s="55">
        <v>5546639</v>
      </c>
      <c r="AB127" s="55">
        <v>4273846</v>
      </c>
      <c r="AC127" s="56">
        <v>4533801</v>
      </c>
      <c r="AD127" t="str">
        <f t="shared" si="1"/>
        <v>Spring</v>
      </c>
      <c r="AE127" t="str">
        <f>INDEX('Category Mapping'!$B$2:$B$29,MATCH('Source Data'!A127,'Category Mapping'!$A$2:$A$29,0))</f>
        <v>Weekday</v>
      </c>
      <c r="AF127" t="str">
        <f>INDEX('Category Mapping'!$C$2:$C$29,MATCH('Source Data'!A127,'Category Mapping'!$A$2:$A$29,0))</f>
        <v>Commercial</v>
      </c>
      <c r="AG127" t="str">
        <f>INDEX('Category Mapping'!$D$2:$D$29,MATCH('Source Data'!A127,'Category Mapping'!$A$2:$A$29,0))</f>
        <v>Heating</v>
      </c>
    </row>
    <row r="128" spans="1:33" x14ac:dyDescent="0.25">
      <c r="A128" s="57" t="s">
        <v>98</v>
      </c>
      <c r="B128" s="58">
        <v>2019</v>
      </c>
      <c r="C128" s="58">
        <v>19</v>
      </c>
      <c r="D128" s="58" t="s">
        <v>208</v>
      </c>
      <c r="E128" s="58">
        <v>6</v>
      </c>
      <c r="F128" s="58">
        <v>1105477</v>
      </c>
      <c r="G128" s="58">
        <v>1104580</v>
      </c>
      <c r="H128" s="58">
        <v>1135704</v>
      </c>
      <c r="I128" s="58">
        <v>1164114</v>
      </c>
      <c r="J128" s="58">
        <v>1127001</v>
      </c>
      <c r="K128" s="58">
        <v>1640218</v>
      </c>
      <c r="L128" s="58">
        <v>2368709</v>
      </c>
      <c r="M128" s="58">
        <v>1902970</v>
      </c>
      <c r="N128" s="58">
        <v>1266102</v>
      </c>
      <c r="O128" s="58">
        <v>1007682</v>
      </c>
      <c r="P128" s="58">
        <v>866160</v>
      </c>
      <c r="Q128" s="58">
        <v>753706</v>
      </c>
      <c r="R128" s="58">
        <v>689861</v>
      </c>
      <c r="S128" s="58">
        <v>636455</v>
      </c>
      <c r="T128" s="58">
        <v>589596</v>
      </c>
      <c r="U128" s="58">
        <v>541806</v>
      </c>
      <c r="V128" s="58">
        <v>504816</v>
      </c>
      <c r="W128" s="58">
        <v>515053</v>
      </c>
      <c r="X128" s="58">
        <v>601351</v>
      </c>
      <c r="Y128" s="58">
        <v>701190</v>
      </c>
      <c r="Z128" s="58">
        <v>955758</v>
      </c>
      <c r="AA128" s="58">
        <v>1006258</v>
      </c>
      <c r="AB128" s="58">
        <v>971636</v>
      </c>
      <c r="AC128" s="59">
        <v>1039891</v>
      </c>
      <c r="AD128" t="str">
        <f t="shared" si="1"/>
        <v>Summer</v>
      </c>
      <c r="AE128" t="str">
        <f>INDEX('Category Mapping'!$B$2:$B$29,MATCH('Source Data'!A128,'Category Mapping'!$A$2:$A$29,0))</f>
        <v>Weekday</v>
      </c>
      <c r="AF128" t="str">
        <f>INDEX('Category Mapping'!$C$2:$C$29,MATCH('Source Data'!A128,'Category Mapping'!$A$2:$A$29,0))</f>
        <v>Commercial</v>
      </c>
      <c r="AG128" t="str">
        <f>INDEX('Category Mapping'!$D$2:$D$29,MATCH('Source Data'!A128,'Category Mapping'!$A$2:$A$29,0))</f>
        <v>Heating</v>
      </c>
    </row>
    <row r="129" spans="1:33" x14ac:dyDescent="0.25">
      <c r="A129" s="54" t="s">
        <v>98</v>
      </c>
      <c r="B129" s="55">
        <v>2019</v>
      </c>
      <c r="C129" s="55">
        <v>19</v>
      </c>
      <c r="D129" s="55" t="s">
        <v>208</v>
      </c>
      <c r="E129" s="55">
        <v>7</v>
      </c>
      <c r="F129" s="55">
        <v>198366</v>
      </c>
      <c r="G129" s="55">
        <v>198366</v>
      </c>
      <c r="H129" s="55">
        <v>198366</v>
      </c>
      <c r="I129" s="55">
        <v>198366</v>
      </c>
      <c r="J129" s="55">
        <v>198366</v>
      </c>
      <c r="K129" s="55">
        <v>198366</v>
      </c>
      <c r="L129" s="55">
        <v>198366</v>
      </c>
      <c r="M129" s="55">
        <v>198366</v>
      </c>
      <c r="N129" s="55">
        <v>198366</v>
      </c>
      <c r="O129" s="55">
        <v>198366</v>
      </c>
      <c r="P129" s="55">
        <v>198366</v>
      </c>
      <c r="Q129" s="55">
        <v>198366</v>
      </c>
      <c r="R129" s="55">
        <v>198366</v>
      </c>
      <c r="S129" s="55">
        <v>198366</v>
      </c>
      <c r="T129" s="55">
        <v>198366</v>
      </c>
      <c r="U129" s="55">
        <v>198366</v>
      </c>
      <c r="V129" s="55">
        <v>198366</v>
      </c>
      <c r="W129" s="55">
        <v>198366</v>
      </c>
      <c r="X129" s="55">
        <v>198366</v>
      </c>
      <c r="Y129" s="55">
        <v>198366</v>
      </c>
      <c r="Z129" s="55">
        <v>198366</v>
      </c>
      <c r="AA129" s="55">
        <v>198366</v>
      </c>
      <c r="AB129" s="55">
        <v>198366</v>
      </c>
      <c r="AC129" s="56">
        <v>198366</v>
      </c>
      <c r="AD129" t="str">
        <f t="shared" si="1"/>
        <v>Summer</v>
      </c>
      <c r="AE129" t="str">
        <f>INDEX('Category Mapping'!$B$2:$B$29,MATCH('Source Data'!A129,'Category Mapping'!$A$2:$A$29,0))</f>
        <v>Weekday</v>
      </c>
      <c r="AF129" t="str">
        <f>INDEX('Category Mapping'!$C$2:$C$29,MATCH('Source Data'!A129,'Category Mapping'!$A$2:$A$29,0))</f>
        <v>Commercial</v>
      </c>
      <c r="AG129" t="str">
        <f>INDEX('Category Mapping'!$D$2:$D$29,MATCH('Source Data'!A129,'Category Mapping'!$A$2:$A$29,0))</f>
        <v>Heating</v>
      </c>
    </row>
    <row r="130" spans="1:33" x14ac:dyDescent="0.25">
      <c r="A130" s="57" t="s">
        <v>98</v>
      </c>
      <c r="B130" s="58">
        <v>2019</v>
      </c>
      <c r="C130" s="58">
        <v>19</v>
      </c>
      <c r="D130" s="58" t="s">
        <v>208</v>
      </c>
      <c r="E130" s="58">
        <v>8</v>
      </c>
      <c r="F130" s="58">
        <v>207628</v>
      </c>
      <c r="G130" s="58">
        <v>207628</v>
      </c>
      <c r="H130" s="58">
        <v>207628</v>
      </c>
      <c r="I130" s="58">
        <v>207628</v>
      </c>
      <c r="J130" s="58">
        <v>207628</v>
      </c>
      <c r="K130" s="58">
        <v>207628</v>
      </c>
      <c r="L130" s="58">
        <v>207628</v>
      </c>
      <c r="M130" s="58">
        <v>207628</v>
      </c>
      <c r="N130" s="58">
        <v>207628</v>
      </c>
      <c r="O130" s="58">
        <v>207628</v>
      </c>
      <c r="P130" s="58">
        <v>207628</v>
      </c>
      <c r="Q130" s="58">
        <v>207628</v>
      </c>
      <c r="R130" s="58">
        <v>207628</v>
      </c>
      <c r="S130" s="58">
        <v>207628</v>
      </c>
      <c r="T130" s="58">
        <v>207628</v>
      </c>
      <c r="U130" s="58">
        <v>207628</v>
      </c>
      <c r="V130" s="58">
        <v>207628</v>
      </c>
      <c r="W130" s="58">
        <v>207628</v>
      </c>
      <c r="X130" s="58">
        <v>207628</v>
      </c>
      <c r="Y130" s="58">
        <v>207628</v>
      </c>
      <c r="Z130" s="58">
        <v>207628</v>
      </c>
      <c r="AA130" s="58">
        <v>207628</v>
      </c>
      <c r="AB130" s="58">
        <v>207628</v>
      </c>
      <c r="AC130" s="59">
        <v>207628</v>
      </c>
      <c r="AD130" t="str">
        <f t="shared" si="1"/>
        <v>Summer</v>
      </c>
      <c r="AE130" t="str">
        <f>INDEX('Category Mapping'!$B$2:$B$29,MATCH('Source Data'!A130,'Category Mapping'!$A$2:$A$29,0))</f>
        <v>Weekday</v>
      </c>
      <c r="AF130" t="str">
        <f>INDEX('Category Mapping'!$C$2:$C$29,MATCH('Source Data'!A130,'Category Mapping'!$A$2:$A$29,0))</f>
        <v>Commercial</v>
      </c>
      <c r="AG130" t="str">
        <f>INDEX('Category Mapping'!$D$2:$D$29,MATCH('Source Data'!A130,'Category Mapping'!$A$2:$A$29,0))</f>
        <v>Heating</v>
      </c>
    </row>
    <row r="131" spans="1:33" x14ac:dyDescent="0.25">
      <c r="A131" s="54" t="s">
        <v>98</v>
      </c>
      <c r="B131" s="55">
        <v>2019</v>
      </c>
      <c r="C131" s="55">
        <v>19</v>
      </c>
      <c r="D131" s="55" t="s">
        <v>208</v>
      </c>
      <c r="E131" s="55">
        <v>9</v>
      </c>
      <c r="F131" s="55">
        <v>2929728</v>
      </c>
      <c r="G131" s="55">
        <v>2850955</v>
      </c>
      <c r="H131" s="55">
        <v>2910694</v>
      </c>
      <c r="I131" s="55">
        <v>2966623</v>
      </c>
      <c r="J131" s="55">
        <v>2866526</v>
      </c>
      <c r="K131" s="55">
        <v>4346346</v>
      </c>
      <c r="L131" s="55">
        <v>4376276</v>
      </c>
      <c r="M131" s="55">
        <v>3866558</v>
      </c>
      <c r="N131" s="55">
        <v>2472873</v>
      </c>
      <c r="O131" s="55">
        <v>1832172</v>
      </c>
      <c r="P131" s="55">
        <v>1461359</v>
      </c>
      <c r="Q131" s="55">
        <v>1200085</v>
      </c>
      <c r="R131" s="55">
        <v>1078435</v>
      </c>
      <c r="S131" s="55">
        <v>984863</v>
      </c>
      <c r="T131" s="55">
        <v>914936</v>
      </c>
      <c r="U131" s="55">
        <v>850022</v>
      </c>
      <c r="V131" s="55">
        <v>800877</v>
      </c>
      <c r="W131" s="55">
        <v>854753</v>
      </c>
      <c r="X131" s="55">
        <v>1035695</v>
      </c>
      <c r="Y131" s="55">
        <v>1282673</v>
      </c>
      <c r="Z131" s="55">
        <v>1724551</v>
      </c>
      <c r="AA131" s="55">
        <v>1619485</v>
      </c>
      <c r="AB131" s="55">
        <v>2013487</v>
      </c>
      <c r="AC131" s="56">
        <v>2130997</v>
      </c>
      <c r="AD131" t="str">
        <f t="shared" si="1"/>
        <v>Fall</v>
      </c>
      <c r="AE131" t="str">
        <f>INDEX('Category Mapping'!$B$2:$B$29,MATCH('Source Data'!A131,'Category Mapping'!$A$2:$A$29,0))</f>
        <v>Weekday</v>
      </c>
      <c r="AF131" t="str">
        <f>INDEX('Category Mapping'!$C$2:$C$29,MATCH('Source Data'!A131,'Category Mapping'!$A$2:$A$29,0))</f>
        <v>Commercial</v>
      </c>
      <c r="AG131" t="str">
        <f>INDEX('Category Mapping'!$D$2:$D$29,MATCH('Source Data'!A131,'Category Mapping'!$A$2:$A$29,0))</f>
        <v>Heating</v>
      </c>
    </row>
    <row r="132" spans="1:33" x14ac:dyDescent="0.25">
      <c r="A132" s="57" t="s">
        <v>98</v>
      </c>
      <c r="B132" s="58">
        <v>2019</v>
      </c>
      <c r="C132" s="58">
        <v>19</v>
      </c>
      <c r="D132" s="58" t="s">
        <v>208</v>
      </c>
      <c r="E132" s="58">
        <v>10</v>
      </c>
      <c r="F132" s="58">
        <v>14200000</v>
      </c>
      <c r="G132" s="58">
        <v>12800000</v>
      </c>
      <c r="H132" s="58">
        <v>12900000</v>
      </c>
      <c r="I132" s="58">
        <v>13100000</v>
      </c>
      <c r="J132" s="58">
        <v>12700000</v>
      </c>
      <c r="K132" s="58">
        <v>21200000</v>
      </c>
      <c r="L132" s="58">
        <v>36600000</v>
      </c>
      <c r="M132" s="58">
        <v>33000000</v>
      </c>
      <c r="N132" s="58">
        <v>22700000</v>
      </c>
      <c r="O132" s="58">
        <v>17300000</v>
      </c>
      <c r="P132" s="58">
        <v>13900000</v>
      </c>
      <c r="Q132" s="58">
        <v>11300000</v>
      </c>
      <c r="R132" s="58">
        <v>10100000</v>
      </c>
      <c r="S132" s="58">
        <v>9208803</v>
      </c>
      <c r="T132" s="58">
        <v>8571802</v>
      </c>
      <c r="U132" s="58">
        <v>8010053</v>
      </c>
      <c r="V132" s="58">
        <v>7488322</v>
      </c>
      <c r="W132" s="58">
        <v>8693915</v>
      </c>
      <c r="X132" s="58">
        <v>10800000</v>
      </c>
      <c r="Y132" s="58">
        <v>12900000</v>
      </c>
      <c r="Z132" s="58">
        <v>15900000</v>
      </c>
      <c r="AA132" s="58">
        <v>11700000</v>
      </c>
      <c r="AB132" s="58">
        <v>10200000</v>
      </c>
      <c r="AC132" s="59">
        <v>10700000</v>
      </c>
      <c r="AD132" t="str">
        <f t="shared" ref="AD132:AD195" si="2">IF(AND(E132&gt;=3,E132&lt;=5),"Spring",IF(AND(E132&gt;=6,E132&lt;=8),"Summer",IF(AND(E132&gt;=9,E132&lt;=10),"Fall","Winter")))</f>
        <v>Fall</v>
      </c>
      <c r="AE132" t="str">
        <f>INDEX('Category Mapping'!$B$2:$B$29,MATCH('Source Data'!A132,'Category Mapping'!$A$2:$A$29,0))</f>
        <v>Weekday</v>
      </c>
      <c r="AF132" t="str">
        <f>INDEX('Category Mapping'!$C$2:$C$29,MATCH('Source Data'!A132,'Category Mapping'!$A$2:$A$29,0))</f>
        <v>Commercial</v>
      </c>
      <c r="AG132" t="str">
        <f>INDEX('Category Mapping'!$D$2:$D$29,MATCH('Source Data'!A132,'Category Mapping'!$A$2:$A$29,0))</f>
        <v>Heating</v>
      </c>
    </row>
    <row r="133" spans="1:33" x14ac:dyDescent="0.25">
      <c r="A133" s="54" t="s">
        <v>98</v>
      </c>
      <c r="B133" s="55">
        <v>2019</v>
      </c>
      <c r="C133" s="55">
        <v>19</v>
      </c>
      <c r="D133" s="55" t="s">
        <v>208</v>
      </c>
      <c r="E133" s="55">
        <v>11</v>
      </c>
      <c r="F133" s="55">
        <v>25300000</v>
      </c>
      <c r="G133" s="55">
        <v>23300000</v>
      </c>
      <c r="H133" s="55">
        <v>20700000</v>
      </c>
      <c r="I133" s="55">
        <v>21100000</v>
      </c>
      <c r="J133" s="55">
        <v>21600000</v>
      </c>
      <c r="K133" s="55">
        <v>22900000</v>
      </c>
      <c r="L133" s="55">
        <v>23800000</v>
      </c>
      <c r="M133" s="55">
        <v>75800000</v>
      </c>
      <c r="N133" s="55">
        <v>67200000</v>
      </c>
      <c r="O133" s="55">
        <v>46700000</v>
      </c>
      <c r="P133" s="55">
        <v>37600000</v>
      </c>
      <c r="Q133" s="55">
        <v>32100000</v>
      </c>
      <c r="R133" s="55">
        <v>27700000</v>
      </c>
      <c r="S133" s="55">
        <v>25800000</v>
      </c>
      <c r="T133" s="55">
        <v>24100000</v>
      </c>
      <c r="U133" s="55">
        <v>23300000</v>
      </c>
      <c r="V133" s="55">
        <v>23100000</v>
      </c>
      <c r="W133" s="55">
        <v>24300000</v>
      </c>
      <c r="X133" s="55">
        <v>29600000</v>
      </c>
      <c r="Y133" s="55">
        <v>34100000</v>
      </c>
      <c r="Z133" s="55">
        <v>37300000</v>
      </c>
      <c r="AA133" s="55">
        <v>39800000</v>
      </c>
      <c r="AB133" s="55">
        <v>39000000</v>
      </c>
      <c r="AC133" s="56">
        <v>23700000</v>
      </c>
      <c r="AD133" t="str">
        <f t="shared" si="2"/>
        <v>Winter</v>
      </c>
      <c r="AE133" t="str">
        <f>INDEX('Category Mapping'!$B$2:$B$29,MATCH('Source Data'!A133,'Category Mapping'!$A$2:$A$29,0))</f>
        <v>Weekday</v>
      </c>
      <c r="AF133" t="str">
        <f>INDEX('Category Mapping'!$C$2:$C$29,MATCH('Source Data'!A133,'Category Mapping'!$A$2:$A$29,0))</f>
        <v>Commercial</v>
      </c>
      <c r="AG133" t="str">
        <f>INDEX('Category Mapping'!$D$2:$D$29,MATCH('Source Data'!A133,'Category Mapping'!$A$2:$A$29,0))</f>
        <v>Heating</v>
      </c>
    </row>
    <row r="134" spans="1:33" x14ac:dyDescent="0.25">
      <c r="A134" s="57" t="s">
        <v>98</v>
      </c>
      <c r="B134" s="58">
        <v>2019</v>
      </c>
      <c r="C134" s="58">
        <v>19</v>
      </c>
      <c r="D134" s="58" t="s">
        <v>208</v>
      </c>
      <c r="E134" s="58">
        <v>12</v>
      </c>
      <c r="F134" s="58">
        <v>36800000</v>
      </c>
      <c r="G134" s="58">
        <v>33400000</v>
      </c>
      <c r="H134" s="58">
        <v>29900000</v>
      </c>
      <c r="I134" s="58">
        <v>30700000</v>
      </c>
      <c r="J134" s="58">
        <v>32400000</v>
      </c>
      <c r="K134" s="58">
        <v>32500000</v>
      </c>
      <c r="L134" s="58">
        <v>36800000</v>
      </c>
      <c r="M134" s="58">
        <v>107000000</v>
      </c>
      <c r="N134" s="58">
        <v>110000000</v>
      </c>
      <c r="O134" s="58">
        <v>78500000</v>
      </c>
      <c r="P134" s="58">
        <v>64800000</v>
      </c>
      <c r="Q134" s="58">
        <v>56500000</v>
      </c>
      <c r="R134" s="58">
        <v>49600000</v>
      </c>
      <c r="S134" s="58">
        <v>46600000</v>
      </c>
      <c r="T134" s="58">
        <v>43900000</v>
      </c>
      <c r="U134" s="58">
        <v>42500000</v>
      </c>
      <c r="V134" s="58">
        <v>42300000</v>
      </c>
      <c r="W134" s="58">
        <v>43800000</v>
      </c>
      <c r="X134" s="58">
        <v>51000000</v>
      </c>
      <c r="Y134" s="58">
        <v>57200000</v>
      </c>
      <c r="Z134" s="58">
        <v>60800000</v>
      </c>
      <c r="AA134" s="58">
        <v>65900000</v>
      </c>
      <c r="AB134" s="58">
        <v>65500000</v>
      </c>
      <c r="AC134" s="59">
        <v>31700000</v>
      </c>
      <c r="AD134" t="str">
        <f t="shared" si="2"/>
        <v>Winter</v>
      </c>
      <c r="AE134" t="str">
        <f>INDEX('Category Mapping'!$B$2:$B$29,MATCH('Source Data'!A134,'Category Mapping'!$A$2:$A$29,0))</f>
        <v>Weekday</v>
      </c>
      <c r="AF134" t="str">
        <f>INDEX('Category Mapping'!$C$2:$C$29,MATCH('Source Data'!A134,'Category Mapping'!$A$2:$A$29,0))</f>
        <v>Commercial</v>
      </c>
      <c r="AG134" t="str">
        <f>INDEX('Category Mapping'!$D$2:$D$29,MATCH('Source Data'!A134,'Category Mapping'!$A$2:$A$29,0))</f>
        <v>Heating</v>
      </c>
    </row>
    <row r="135" spans="1:33" x14ac:dyDescent="0.25">
      <c r="A135" s="54" t="s">
        <v>99</v>
      </c>
      <c r="B135" s="55">
        <v>2019</v>
      </c>
      <c r="C135" s="55">
        <v>19</v>
      </c>
      <c r="D135" s="55" t="s">
        <v>208</v>
      </c>
      <c r="E135" s="55">
        <v>1</v>
      </c>
      <c r="F135" s="55">
        <v>12800000</v>
      </c>
      <c r="G135" s="55">
        <v>12600000</v>
      </c>
      <c r="H135" s="55">
        <v>11400000</v>
      </c>
      <c r="I135" s="55">
        <v>12100000</v>
      </c>
      <c r="J135" s="55">
        <v>12500000</v>
      </c>
      <c r="K135" s="55">
        <v>13200000</v>
      </c>
      <c r="L135" s="55">
        <v>15400000</v>
      </c>
      <c r="M135" s="55">
        <v>29700000</v>
      </c>
      <c r="N135" s="55">
        <v>37900000</v>
      </c>
      <c r="O135" s="55">
        <v>31200000</v>
      </c>
      <c r="P135" s="55">
        <v>26600000</v>
      </c>
      <c r="Q135" s="55">
        <v>23700000</v>
      </c>
      <c r="R135" s="55">
        <v>21500000</v>
      </c>
      <c r="S135" s="55">
        <v>19900000</v>
      </c>
      <c r="T135" s="55">
        <v>18800000</v>
      </c>
      <c r="U135" s="55">
        <v>19400000</v>
      </c>
      <c r="V135" s="55">
        <v>19200000</v>
      </c>
      <c r="W135" s="55">
        <v>20700000</v>
      </c>
      <c r="X135" s="55">
        <v>23800000</v>
      </c>
      <c r="Y135" s="55">
        <v>16600000</v>
      </c>
      <c r="Z135" s="55">
        <v>16700000</v>
      </c>
      <c r="AA135" s="55">
        <v>18100000</v>
      </c>
      <c r="AB135" s="55">
        <v>18500000</v>
      </c>
      <c r="AC135" s="56">
        <v>15500000</v>
      </c>
      <c r="AD135" t="str">
        <f t="shared" si="2"/>
        <v>Winter</v>
      </c>
      <c r="AE135" t="str">
        <f>INDEX('Category Mapping'!$B$2:$B$29,MATCH('Source Data'!A135,'Category Mapping'!$A$2:$A$29,0))</f>
        <v>Weekend</v>
      </c>
      <c r="AF135" t="str">
        <f>INDEX('Category Mapping'!$C$2:$C$29,MATCH('Source Data'!A135,'Category Mapping'!$A$2:$A$29,0))</f>
        <v>Commercial</v>
      </c>
      <c r="AG135" t="str">
        <f>INDEX('Category Mapping'!$D$2:$D$29,MATCH('Source Data'!A135,'Category Mapping'!$A$2:$A$29,0))</f>
        <v>Heating</v>
      </c>
    </row>
    <row r="136" spans="1:33" x14ac:dyDescent="0.25">
      <c r="A136" s="57" t="s">
        <v>99</v>
      </c>
      <c r="B136" s="58">
        <v>2019</v>
      </c>
      <c r="C136" s="58">
        <v>19</v>
      </c>
      <c r="D136" s="58" t="s">
        <v>208</v>
      </c>
      <c r="E136" s="58">
        <v>2</v>
      </c>
      <c r="F136" s="58">
        <v>10900000</v>
      </c>
      <c r="G136" s="58">
        <v>10100000</v>
      </c>
      <c r="H136" s="58">
        <v>9070712</v>
      </c>
      <c r="I136" s="58">
        <v>9474688</v>
      </c>
      <c r="J136" s="58">
        <v>10000000</v>
      </c>
      <c r="K136" s="58">
        <v>10400000</v>
      </c>
      <c r="L136" s="58">
        <v>12600000</v>
      </c>
      <c r="M136" s="58">
        <v>25900000</v>
      </c>
      <c r="N136" s="58">
        <v>32700000</v>
      </c>
      <c r="O136" s="58">
        <v>25800000</v>
      </c>
      <c r="P136" s="58">
        <v>21700000</v>
      </c>
      <c r="Q136" s="58">
        <v>19000000</v>
      </c>
      <c r="R136" s="58">
        <v>17200000</v>
      </c>
      <c r="S136" s="58">
        <v>15700000</v>
      </c>
      <c r="T136" s="58">
        <v>14800000</v>
      </c>
      <c r="U136" s="58">
        <v>15100000</v>
      </c>
      <c r="V136" s="58">
        <v>14800000</v>
      </c>
      <c r="W136" s="58">
        <v>15600000</v>
      </c>
      <c r="X136" s="58">
        <v>18400000</v>
      </c>
      <c r="Y136" s="58">
        <v>12600000</v>
      </c>
      <c r="Z136" s="58">
        <v>13100000</v>
      </c>
      <c r="AA136" s="58">
        <v>14200000</v>
      </c>
      <c r="AB136" s="58">
        <v>14700000</v>
      </c>
      <c r="AC136" s="59">
        <v>12000000</v>
      </c>
      <c r="AD136" t="str">
        <f t="shared" si="2"/>
        <v>Winter</v>
      </c>
      <c r="AE136" t="str">
        <f>INDEX('Category Mapping'!$B$2:$B$29,MATCH('Source Data'!A136,'Category Mapping'!$A$2:$A$29,0))</f>
        <v>Weekend</v>
      </c>
      <c r="AF136" t="str">
        <f>INDEX('Category Mapping'!$C$2:$C$29,MATCH('Source Data'!A136,'Category Mapping'!$A$2:$A$29,0))</f>
        <v>Commercial</v>
      </c>
      <c r="AG136" t="str">
        <f>INDEX('Category Mapping'!$D$2:$D$29,MATCH('Source Data'!A136,'Category Mapping'!$A$2:$A$29,0))</f>
        <v>Heating</v>
      </c>
    </row>
    <row r="137" spans="1:33" x14ac:dyDescent="0.25">
      <c r="A137" s="54" t="s">
        <v>99</v>
      </c>
      <c r="B137" s="55">
        <v>2019</v>
      </c>
      <c r="C137" s="55">
        <v>19</v>
      </c>
      <c r="D137" s="55" t="s">
        <v>208</v>
      </c>
      <c r="E137" s="55">
        <v>3</v>
      </c>
      <c r="F137" s="55">
        <v>9077037</v>
      </c>
      <c r="G137" s="55">
        <v>8020362</v>
      </c>
      <c r="H137" s="55">
        <v>7708773</v>
      </c>
      <c r="I137" s="55">
        <v>7958585</v>
      </c>
      <c r="J137" s="55">
        <v>8207315</v>
      </c>
      <c r="K137" s="55">
        <v>9328540</v>
      </c>
      <c r="L137" s="55">
        <v>15900000</v>
      </c>
      <c r="M137" s="55">
        <v>23900000</v>
      </c>
      <c r="N137" s="55">
        <v>24100000</v>
      </c>
      <c r="O137" s="55">
        <v>19200000</v>
      </c>
      <c r="P137" s="55">
        <v>16100000</v>
      </c>
      <c r="Q137" s="55">
        <v>14200000</v>
      </c>
      <c r="R137" s="55">
        <v>12800000</v>
      </c>
      <c r="S137" s="55">
        <v>11800000</v>
      </c>
      <c r="T137" s="55">
        <v>11500000</v>
      </c>
      <c r="U137" s="55">
        <v>11200000</v>
      </c>
      <c r="V137" s="55">
        <v>11000000</v>
      </c>
      <c r="W137" s="55">
        <v>11900000</v>
      </c>
      <c r="X137" s="55">
        <v>12000000</v>
      </c>
      <c r="Y137" s="55">
        <v>10100000</v>
      </c>
      <c r="Z137" s="55">
        <v>11100000</v>
      </c>
      <c r="AA137" s="55">
        <v>11600000</v>
      </c>
      <c r="AB137" s="55">
        <v>10500000</v>
      </c>
      <c r="AC137" s="56">
        <v>9864752</v>
      </c>
      <c r="AD137" t="str">
        <f t="shared" si="2"/>
        <v>Spring</v>
      </c>
      <c r="AE137" t="str">
        <f>INDEX('Category Mapping'!$B$2:$B$29,MATCH('Source Data'!A137,'Category Mapping'!$A$2:$A$29,0))</f>
        <v>Weekend</v>
      </c>
      <c r="AF137" t="str">
        <f>INDEX('Category Mapping'!$C$2:$C$29,MATCH('Source Data'!A137,'Category Mapping'!$A$2:$A$29,0))</f>
        <v>Commercial</v>
      </c>
      <c r="AG137" t="str">
        <f>INDEX('Category Mapping'!$D$2:$D$29,MATCH('Source Data'!A137,'Category Mapping'!$A$2:$A$29,0))</f>
        <v>Heating</v>
      </c>
    </row>
    <row r="138" spans="1:33" x14ac:dyDescent="0.25">
      <c r="A138" s="57" t="s">
        <v>99</v>
      </c>
      <c r="B138" s="58">
        <v>2019</v>
      </c>
      <c r="C138" s="58">
        <v>19</v>
      </c>
      <c r="D138" s="58" t="s">
        <v>208</v>
      </c>
      <c r="E138" s="58">
        <v>4</v>
      </c>
      <c r="F138" s="58">
        <v>5218639</v>
      </c>
      <c r="G138" s="58">
        <v>4671067</v>
      </c>
      <c r="H138" s="58">
        <v>4745185</v>
      </c>
      <c r="I138" s="58">
        <v>4827337</v>
      </c>
      <c r="J138" s="58">
        <v>4816634</v>
      </c>
      <c r="K138" s="58">
        <v>5718600</v>
      </c>
      <c r="L138" s="58">
        <v>11500000</v>
      </c>
      <c r="M138" s="58">
        <v>12200000</v>
      </c>
      <c r="N138" s="58">
        <v>9939302</v>
      </c>
      <c r="O138" s="58">
        <v>8389465</v>
      </c>
      <c r="P138" s="58">
        <v>7215264</v>
      </c>
      <c r="Q138" s="58">
        <v>6421846</v>
      </c>
      <c r="R138" s="58">
        <v>5855516</v>
      </c>
      <c r="S138" s="58">
        <v>5505845</v>
      </c>
      <c r="T138" s="58">
        <v>5511896</v>
      </c>
      <c r="U138" s="58">
        <v>4972132</v>
      </c>
      <c r="V138" s="58">
        <v>4959262</v>
      </c>
      <c r="W138" s="58">
        <v>5502430</v>
      </c>
      <c r="X138" s="58">
        <v>4900848</v>
      </c>
      <c r="Y138" s="58">
        <v>5310237</v>
      </c>
      <c r="Z138" s="58">
        <v>6180292</v>
      </c>
      <c r="AA138" s="58">
        <v>6276157</v>
      </c>
      <c r="AB138" s="58">
        <v>5366521</v>
      </c>
      <c r="AC138" s="59">
        <v>5647324</v>
      </c>
      <c r="AD138" t="str">
        <f t="shared" si="2"/>
        <v>Spring</v>
      </c>
      <c r="AE138" t="str">
        <f>INDEX('Category Mapping'!$B$2:$B$29,MATCH('Source Data'!A138,'Category Mapping'!$A$2:$A$29,0))</f>
        <v>Weekend</v>
      </c>
      <c r="AF138" t="str">
        <f>INDEX('Category Mapping'!$C$2:$C$29,MATCH('Source Data'!A138,'Category Mapping'!$A$2:$A$29,0))</f>
        <v>Commercial</v>
      </c>
      <c r="AG138" t="str">
        <f>INDEX('Category Mapping'!$D$2:$D$29,MATCH('Source Data'!A138,'Category Mapping'!$A$2:$A$29,0))</f>
        <v>Heating</v>
      </c>
    </row>
    <row r="139" spans="1:33" x14ac:dyDescent="0.25">
      <c r="A139" s="54" t="s">
        <v>99</v>
      </c>
      <c r="B139" s="55">
        <v>2019</v>
      </c>
      <c r="C139" s="55">
        <v>19</v>
      </c>
      <c r="D139" s="55" t="s">
        <v>208</v>
      </c>
      <c r="E139" s="55">
        <v>5</v>
      </c>
      <c r="F139" s="55">
        <v>1846643</v>
      </c>
      <c r="G139" s="55">
        <v>1740361</v>
      </c>
      <c r="H139" s="55">
        <v>1771415</v>
      </c>
      <c r="I139" s="55">
        <v>1801019</v>
      </c>
      <c r="J139" s="55">
        <v>1783184</v>
      </c>
      <c r="K139" s="55">
        <v>2014466</v>
      </c>
      <c r="L139" s="55">
        <v>3118879</v>
      </c>
      <c r="M139" s="55">
        <v>3194588</v>
      </c>
      <c r="N139" s="55">
        <v>2603892</v>
      </c>
      <c r="O139" s="55">
        <v>2213333</v>
      </c>
      <c r="P139" s="55">
        <v>1929909</v>
      </c>
      <c r="Q139" s="55">
        <v>1746941</v>
      </c>
      <c r="R139" s="55">
        <v>1605981</v>
      </c>
      <c r="S139" s="55">
        <v>1515643</v>
      </c>
      <c r="T139" s="55">
        <v>1491386</v>
      </c>
      <c r="U139" s="55">
        <v>1315623</v>
      </c>
      <c r="V139" s="55">
        <v>1305995</v>
      </c>
      <c r="W139" s="55">
        <v>1421624</v>
      </c>
      <c r="X139" s="55">
        <v>1439540</v>
      </c>
      <c r="Y139" s="55">
        <v>1564760</v>
      </c>
      <c r="Z139" s="55">
        <v>1870970</v>
      </c>
      <c r="AA139" s="55">
        <v>1905023</v>
      </c>
      <c r="AB139" s="55">
        <v>1788147</v>
      </c>
      <c r="AC139" s="56">
        <v>1884670</v>
      </c>
      <c r="AD139" t="str">
        <f t="shared" si="2"/>
        <v>Spring</v>
      </c>
      <c r="AE139" t="str">
        <f>INDEX('Category Mapping'!$B$2:$B$29,MATCH('Source Data'!A139,'Category Mapping'!$A$2:$A$29,0))</f>
        <v>Weekend</v>
      </c>
      <c r="AF139" t="str">
        <f>INDEX('Category Mapping'!$C$2:$C$29,MATCH('Source Data'!A139,'Category Mapping'!$A$2:$A$29,0))</f>
        <v>Commercial</v>
      </c>
      <c r="AG139" t="str">
        <f>INDEX('Category Mapping'!$D$2:$D$29,MATCH('Source Data'!A139,'Category Mapping'!$A$2:$A$29,0))</f>
        <v>Heating</v>
      </c>
    </row>
    <row r="140" spans="1:33" x14ac:dyDescent="0.25">
      <c r="A140" s="57" t="s">
        <v>99</v>
      </c>
      <c r="B140" s="58">
        <v>2019</v>
      </c>
      <c r="C140" s="58">
        <v>19</v>
      </c>
      <c r="D140" s="58" t="s">
        <v>208</v>
      </c>
      <c r="E140" s="58">
        <v>6</v>
      </c>
      <c r="F140" s="58">
        <v>361235</v>
      </c>
      <c r="G140" s="58">
        <v>359435</v>
      </c>
      <c r="H140" s="58">
        <v>369213</v>
      </c>
      <c r="I140" s="58">
        <v>378101</v>
      </c>
      <c r="J140" s="58">
        <v>374486</v>
      </c>
      <c r="K140" s="58">
        <v>401454</v>
      </c>
      <c r="L140" s="58">
        <v>460355</v>
      </c>
      <c r="M140" s="58">
        <v>497764</v>
      </c>
      <c r="N140" s="58">
        <v>406445</v>
      </c>
      <c r="O140" s="58">
        <v>344482</v>
      </c>
      <c r="P140" s="58">
        <v>302390</v>
      </c>
      <c r="Q140" s="58">
        <v>276374</v>
      </c>
      <c r="R140" s="58">
        <v>256294</v>
      </c>
      <c r="S140" s="58">
        <v>242234</v>
      </c>
      <c r="T140" s="58">
        <v>233718</v>
      </c>
      <c r="U140" s="58">
        <v>200366</v>
      </c>
      <c r="V140" s="58">
        <v>197911</v>
      </c>
      <c r="W140" s="58">
        <v>212470</v>
      </c>
      <c r="X140" s="58">
        <v>236067</v>
      </c>
      <c r="Y140" s="58">
        <v>256749</v>
      </c>
      <c r="Z140" s="58">
        <v>316912</v>
      </c>
      <c r="AA140" s="58">
        <v>330915</v>
      </c>
      <c r="AB140" s="58">
        <v>344602</v>
      </c>
      <c r="AC140" s="59">
        <v>363914</v>
      </c>
      <c r="AD140" t="str">
        <f t="shared" si="2"/>
        <v>Summer</v>
      </c>
      <c r="AE140" t="str">
        <f>INDEX('Category Mapping'!$B$2:$B$29,MATCH('Source Data'!A140,'Category Mapping'!$A$2:$A$29,0))</f>
        <v>Weekend</v>
      </c>
      <c r="AF140" t="str">
        <f>INDEX('Category Mapping'!$C$2:$C$29,MATCH('Source Data'!A140,'Category Mapping'!$A$2:$A$29,0))</f>
        <v>Commercial</v>
      </c>
      <c r="AG140" t="str">
        <f>INDEX('Category Mapping'!$D$2:$D$29,MATCH('Source Data'!A140,'Category Mapping'!$A$2:$A$29,0))</f>
        <v>Heating</v>
      </c>
    </row>
    <row r="141" spans="1:33" x14ac:dyDescent="0.25">
      <c r="A141" s="54" t="s">
        <v>99</v>
      </c>
      <c r="B141" s="55">
        <v>2019</v>
      </c>
      <c r="C141" s="55">
        <v>19</v>
      </c>
      <c r="D141" s="55" t="s">
        <v>208</v>
      </c>
      <c r="E141" s="55">
        <v>7</v>
      </c>
      <c r="F141" s="55">
        <v>63323</v>
      </c>
      <c r="G141" s="55">
        <v>63323</v>
      </c>
      <c r="H141" s="55">
        <v>63323</v>
      </c>
      <c r="I141" s="55">
        <v>63323</v>
      </c>
      <c r="J141" s="55">
        <v>63323</v>
      </c>
      <c r="K141" s="55">
        <v>63323</v>
      </c>
      <c r="L141" s="55">
        <v>63323</v>
      </c>
      <c r="M141" s="55">
        <v>63323</v>
      </c>
      <c r="N141" s="55">
        <v>63323</v>
      </c>
      <c r="O141" s="55">
        <v>63323</v>
      </c>
      <c r="P141" s="55">
        <v>63323</v>
      </c>
      <c r="Q141" s="55">
        <v>63323</v>
      </c>
      <c r="R141" s="55">
        <v>63323</v>
      </c>
      <c r="S141" s="55">
        <v>63323</v>
      </c>
      <c r="T141" s="55">
        <v>63323</v>
      </c>
      <c r="U141" s="55">
        <v>63323</v>
      </c>
      <c r="V141" s="55">
        <v>63323</v>
      </c>
      <c r="W141" s="55">
        <v>63323</v>
      </c>
      <c r="X141" s="55">
        <v>63323</v>
      </c>
      <c r="Y141" s="55">
        <v>63323</v>
      </c>
      <c r="Z141" s="55">
        <v>63323</v>
      </c>
      <c r="AA141" s="55">
        <v>63323</v>
      </c>
      <c r="AB141" s="55">
        <v>63323</v>
      </c>
      <c r="AC141" s="56">
        <v>63323</v>
      </c>
      <c r="AD141" t="str">
        <f t="shared" si="2"/>
        <v>Summer</v>
      </c>
      <c r="AE141" t="str">
        <f>INDEX('Category Mapping'!$B$2:$B$29,MATCH('Source Data'!A141,'Category Mapping'!$A$2:$A$29,0))</f>
        <v>Weekend</v>
      </c>
      <c r="AF141" t="str">
        <f>INDEX('Category Mapping'!$C$2:$C$29,MATCH('Source Data'!A141,'Category Mapping'!$A$2:$A$29,0))</f>
        <v>Commercial</v>
      </c>
      <c r="AG141" t="str">
        <f>INDEX('Category Mapping'!$D$2:$D$29,MATCH('Source Data'!A141,'Category Mapping'!$A$2:$A$29,0))</f>
        <v>Heating</v>
      </c>
    </row>
    <row r="142" spans="1:33" x14ac:dyDescent="0.25">
      <c r="A142" s="57" t="s">
        <v>99</v>
      </c>
      <c r="B142" s="58">
        <v>2019</v>
      </c>
      <c r="C142" s="58">
        <v>19</v>
      </c>
      <c r="D142" s="58" t="s">
        <v>208</v>
      </c>
      <c r="E142" s="58">
        <v>8</v>
      </c>
      <c r="F142" s="58">
        <v>66279</v>
      </c>
      <c r="G142" s="58">
        <v>66279</v>
      </c>
      <c r="H142" s="58">
        <v>66279</v>
      </c>
      <c r="I142" s="58">
        <v>66279</v>
      </c>
      <c r="J142" s="58">
        <v>66279</v>
      </c>
      <c r="K142" s="58">
        <v>66279</v>
      </c>
      <c r="L142" s="58">
        <v>66279</v>
      </c>
      <c r="M142" s="58">
        <v>66279</v>
      </c>
      <c r="N142" s="58">
        <v>66279</v>
      </c>
      <c r="O142" s="58">
        <v>66279</v>
      </c>
      <c r="P142" s="58">
        <v>66279</v>
      </c>
      <c r="Q142" s="58">
        <v>66279</v>
      </c>
      <c r="R142" s="58">
        <v>66279</v>
      </c>
      <c r="S142" s="58">
        <v>66279</v>
      </c>
      <c r="T142" s="58">
        <v>66279</v>
      </c>
      <c r="U142" s="58">
        <v>66279</v>
      </c>
      <c r="V142" s="58">
        <v>66279</v>
      </c>
      <c r="W142" s="58">
        <v>66279</v>
      </c>
      <c r="X142" s="58">
        <v>66279</v>
      </c>
      <c r="Y142" s="58">
        <v>66279</v>
      </c>
      <c r="Z142" s="58">
        <v>66279</v>
      </c>
      <c r="AA142" s="58">
        <v>66279</v>
      </c>
      <c r="AB142" s="58">
        <v>66279</v>
      </c>
      <c r="AC142" s="59">
        <v>66279</v>
      </c>
      <c r="AD142" t="str">
        <f t="shared" si="2"/>
        <v>Summer</v>
      </c>
      <c r="AE142" t="str">
        <f>INDEX('Category Mapping'!$B$2:$B$29,MATCH('Source Data'!A142,'Category Mapping'!$A$2:$A$29,0))</f>
        <v>Weekend</v>
      </c>
      <c r="AF142" t="str">
        <f>INDEX('Category Mapping'!$C$2:$C$29,MATCH('Source Data'!A142,'Category Mapping'!$A$2:$A$29,0))</f>
        <v>Commercial</v>
      </c>
      <c r="AG142" t="str">
        <f>INDEX('Category Mapping'!$D$2:$D$29,MATCH('Source Data'!A142,'Category Mapping'!$A$2:$A$29,0))</f>
        <v>Heating</v>
      </c>
    </row>
    <row r="143" spans="1:33" x14ac:dyDescent="0.25">
      <c r="A143" s="54" t="s">
        <v>99</v>
      </c>
      <c r="B143" s="55">
        <v>2019</v>
      </c>
      <c r="C143" s="55">
        <v>19</v>
      </c>
      <c r="D143" s="55" t="s">
        <v>208</v>
      </c>
      <c r="E143" s="55">
        <v>9</v>
      </c>
      <c r="F143" s="55">
        <v>672124</v>
      </c>
      <c r="G143" s="55">
        <v>654407</v>
      </c>
      <c r="H143" s="55">
        <v>668802</v>
      </c>
      <c r="I143" s="55">
        <v>682439</v>
      </c>
      <c r="J143" s="55">
        <v>675184</v>
      </c>
      <c r="K143" s="55">
        <v>739429</v>
      </c>
      <c r="L143" s="55">
        <v>1060230</v>
      </c>
      <c r="M143" s="55">
        <v>1191046</v>
      </c>
      <c r="N143" s="55">
        <v>938552</v>
      </c>
      <c r="O143" s="55">
        <v>765618</v>
      </c>
      <c r="P143" s="55">
        <v>645849</v>
      </c>
      <c r="Q143" s="55">
        <v>572880</v>
      </c>
      <c r="R143" s="55">
        <v>521996</v>
      </c>
      <c r="S143" s="55">
        <v>489966</v>
      </c>
      <c r="T143" s="55">
        <v>479456</v>
      </c>
      <c r="U143" s="55">
        <v>410344</v>
      </c>
      <c r="V143" s="55">
        <v>414469</v>
      </c>
      <c r="W143" s="55">
        <v>461274</v>
      </c>
      <c r="X143" s="55">
        <v>486975</v>
      </c>
      <c r="Y143" s="55">
        <v>548997</v>
      </c>
      <c r="Z143" s="55">
        <v>660891</v>
      </c>
      <c r="AA143" s="55">
        <v>668574</v>
      </c>
      <c r="AB143" s="55">
        <v>659688</v>
      </c>
      <c r="AC143" s="56">
        <v>691034</v>
      </c>
      <c r="AD143" t="str">
        <f t="shared" si="2"/>
        <v>Fall</v>
      </c>
      <c r="AE143" t="str">
        <f>INDEX('Category Mapping'!$B$2:$B$29,MATCH('Source Data'!A143,'Category Mapping'!$A$2:$A$29,0))</f>
        <v>Weekend</v>
      </c>
      <c r="AF143" t="str">
        <f>INDEX('Category Mapping'!$C$2:$C$29,MATCH('Source Data'!A143,'Category Mapping'!$A$2:$A$29,0))</f>
        <v>Commercial</v>
      </c>
      <c r="AG143" t="str">
        <f>INDEX('Category Mapping'!$D$2:$D$29,MATCH('Source Data'!A143,'Category Mapping'!$A$2:$A$29,0))</f>
        <v>Heating</v>
      </c>
    </row>
    <row r="144" spans="1:33" x14ac:dyDescent="0.25">
      <c r="A144" s="57" t="s">
        <v>99</v>
      </c>
      <c r="B144" s="58">
        <v>2019</v>
      </c>
      <c r="C144" s="58">
        <v>19</v>
      </c>
      <c r="D144" s="58" t="s">
        <v>208</v>
      </c>
      <c r="E144" s="58">
        <v>10</v>
      </c>
      <c r="F144" s="58">
        <v>3815407</v>
      </c>
      <c r="G144" s="58">
        <v>3429233</v>
      </c>
      <c r="H144" s="58">
        <v>3474470</v>
      </c>
      <c r="I144" s="58">
        <v>3526275</v>
      </c>
      <c r="J144" s="58">
        <v>3503241</v>
      </c>
      <c r="K144" s="58">
        <v>4112008</v>
      </c>
      <c r="L144" s="58">
        <v>8072043</v>
      </c>
      <c r="M144" s="58">
        <v>8953361</v>
      </c>
      <c r="N144" s="58">
        <v>7366065</v>
      </c>
      <c r="O144" s="58">
        <v>6025122</v>
      </c>
      <c r="P144" s="58">
        <v>5080371</v>
      </c>
      <c r="Q144" s="58">
        <v>4508250</v>
      </c>
      <c r="R144" s="58">
        <v>4089644</v>
      </c>
      <c r="S144" s="58">
        <v>3841211</v>
      </c>
      <c r="T144" s="58">
        <v>3863725</v>
      </c>
      <c r="U144" s="58">
        <v>3514485</v>
      </c>
      <c r="V144" s="58">
        <v>3584994</v>
      </c>
      <c r="W144" s="58">
        <v>4156366</v>
      </c>
      <c r="X144" s="58">
        <v>3808006</v>
      </c>
      <c r="Y144" s="58">
        <v>4143169</v>
      </c>
      <c r="Z144" s="58">
        <v>4698174</v>
      </c>
      <c r="AA144" s="58">
        <v>4691097</v>
      </c>
      <c r="AB144" s="58">
        <v>4001268</v>
      </c>
      <c r="AC144" s="59">
        <v>4193277</v>
      </c>
      <c r="AD144" t="str">
        <f t="shared" si="2"/>
        <v>Fall</v>
      </c>
      <c r="AE144" t="str">
        <f>INDEX('Category Mapping'!$B$2:$B$29,MATCH('Source Data'!A144,'Category Mapping'!$A$2:$A$29,0))</f>
        <v>Weekend</v>
      </c>
      <c r="AF144" t="str">
        <f>INDEX('Category Mapping'!$C$2:$C$29,MATCH('Source Data'!A144,'Category Mapping'!$A$2:$A$29,0))</f>
        <v>Commercial</v>
      </c>
      <c r="AG144" t="str">
        <f>INDEX('Category Mapping'!$D$2:$D$29,MATCH('Source Data'!A144,'Category Mapping'!$A$2:$A$29,0))</f>
        <v>Heating</v>
      </c>
    </row>
    <row r="145" spans="1:33" x14ac:dyDescent="0.25">
      <c r="A145" s="54" t="s">
        <v>99</v>
      </c>
      <c r="B145" s="55">
        <v>2019</v>
      </c>
      <c r="C145" s="55">
        <v>19</v>
      </c>
      <c r="D145" s="55" t="s">
        <v>208</v>
      </c>
      <c r="E145" s="55">
        <v>11</v>
      </c>
      <c r="F145" s="55">
        <v>7804061</v>
      </c>
      <c r="G145" s="55">
        <v>7130356</v>
      </c>
      <c r="H145" s="55">
        <v>6449058</v>
      </c>
      <c r="I145" s="55">
        <v>6599931</v>
      </c>
      <c r="J145" s="55">
        <v>6785656</v>
      </c>
      <c r="K145" s="55">
        <v>7151769</v>
      </c>
      <c r="L145" s="55">
        <v>10600000</v>
      </c>
      <c r="M145" s="55">
        <v>17800000</v>
      </c>
      <c r="N145" s="55">
        <v>18500000</v>
      </c>
      <c r="O145" s="55">
        <v>15200000</v>
      </c>
      <c r="P145" s="55">
        <v>12900000</v>
      </c>
      <c r="Q145" s="55">
        <v>11400000</v>
      </c>
      <c r="R145" s="55">
        <v>10300000</v>
      </c>
      <c r="S145" s="55">
        <v>9477244</v>
      </c>
      <c r="T145" s="55">
        <v>9124239</v>
      </c>
      <c r="U145" s="55">
        <v>9168618</v>
      </c>
      <c r="V145" s="55">
        <v>9240321</v>
      </c>
      <c r="W145" s="55">
        <v>10400000</v>
      </c>
      <c r="X145" s="55">
        <v>11400000</v>
      </c>
      <c r="Y145" s="55">
        <v>9557101</v>
      </c>
      <c r="Z145" s="55">
        <v>9866798</v>
      </c>
      <c r="AA145" s="55">
        <v>10500000</v>
      </c>
      <c r="AB145" s="55">
        <v>10100000</v>
      </c>
      <c r="AC145" s="56">
        <v>8527650</v>
      </c>
      <c r="AD145" t="str">
        <f t="shared" si="2"/>
        <v>Winter</v>
      </c>
      <c r="AE145" t="str">
        <f>INDEX('Category Mapping'!$B$2:$B$29,MATCH('Source Data'!A145,'Category Mapping'!$A$2:$A$29,0))</f>
        <v>Weekend</v>
      </c>
      <c r="AF145" t="str">
        <f>INDEX('Category Mapping'!$C$2:$C$29,MATCH('Source Data'!A145,'Category Mapping'!$A$2:$A$29,0))</f>
        <v>Commercial</v>
      </c>
      <c r="AG145" t="str">
        <f>INDEX('Category Mapping'!$D$2:$D$29,MATCH('Source Data'!A145,'Category Mapping'!$A$2:$A$29,0))</f>
        <v>Heating</v>
      </c>
    </row>
    <row r="146" spans="1:33" x14ac:dyDescent="0.25">
      <c r="A146" s="57" t="s">
        <v>99</v>
      </c>
      <c r="B146" s="58">
        <v>2019</v>
      </c>
      <c r="C146" s="58">
        <v>19</v>
      </c>
      <c r="D146" s="58" t="s">
        <v>208</v>
      </c>
      <c r="E146" s="58">
        <v>12</v>
      </c>
      <c r="F146" s="58">
        <v>11000000</v>
      </c>
      <c r="G146" s="58">
        <v>10100000</v>
      </c>
      <c r="H146" s="58">
        <v>9042940</v>
      </c>
      <c r="I146" s="58">
        <v>9398065</v>
      </c>
      <c r="J146" s="58">
        <v>9912965</v>
      </c>
      <c r="K146" s="58">
        <v>10200000</v>
      </c>
      <c r="L146" s="58">
        <v>12400000</v>
      </c>
      <c r="M146" s="58">
        <v>26300000</v>
      </c>
      <c r="N146" s="58">
        <v>32800000</v>
      </c>
      <c r="O146" s="58">
        <v>26500000</v>
      </c>
      <c r="P146" s="58">
        <v>22500000</v>
      </c>
      <c r="Q146" s="58">
        <v>19900000</v>
      </c>
      <c r="R146" s="58">
        <v>18200000</v>
      </c>
      <c r="S146" s="58">
        <v>16900000</v>
      </c>
      <c r="T146" s="58">
        <v>16200000</v>
      </c>
      <c r="U146" s="58">
        <v>16800000</v>
      </c>
      <c r="V146" s="58">
        <v>16900000</v>
      </c>
      <c r="W146" s="58">
        <v>18600000</v>
      </c>
      <c r="X146" s="58">
        <v>21600000</v>
      </c>
      <c r="Y146" s="58">
        <v>14300000</v>
      </c>
      <c r="Z146" s="58">
        <v>14600000</v>
      </c>
      <c r="AA146" s="58">
        <v>15600000</v>
      </c>
      <c r="AB146" s="58">
        <v>16000000</v>
      </c>
      <c r="AC146" s="59">
        <v>13100000</v>
      </c>
      <c r="AD146" t="str">
        <f t="shared" si="2"/>
        <v>Winter</v>
      </c>
      <c r="AE146" t="str">
        <f>INDEX('Category Mapping'!$B$2:$B$29,MATCH('Source Data'!A146,'Category Mapping'!$A$2:$A$29,0))</f>
        <v>Weekend</v>
      </c>
      <c r="AF146" t="str">
        <f>INDEX('Category Mapping'!$C$2:$C$29,MATCH('Source Data'!A146,'Category Mapping'!$A$2:$A$29,0))</f>
        <v>Commercial</v>
      </c>
      <c r="AG146" t="str">
        <f>INDEX('Category Mapping'!$D$2:$D$29,MATCH('Source Data'!A146,'Category Mapping'!$A$2:$A$29,0))</f>
        <v>Heating</v>
      </c>
    </row>
    <row r="147" spans="1:33" x14ac:dyDescent="0.25">
      <c r="A147" s="54" t="s">
        <v>102</v>
      </c>
      <c r="B147" s="55">
        <v>2019</v>
      </c>
      <c r="C147" s="55">
        <v>19</v>
      </c>
      <c r="D147" s="55" t="s">
        <v>208</v>
      </c>
      <c r="E147" s="55">
        <v>1</v>
      </c>
      <c r="F147" s="55">
        <v>4724201</v>
      </c>
      <c r="G147" s="55">
        <v>3583468</v>
      </c>
      <c r="H147" s="55">
        <v>3174597</v>
      </c>
      <c r="I147" s="55">
        <v>3167300</v>
      </c>
      <c r="J147" s="55">
        <v>3692419</v>
      </c>
      <c r="K147" s="55">
        <v>5528259</v>
      </c>
      <c r="L147" s="55">
        <v>9097187</v>
      </c>
      <c r="M147" s="55">
        <v>13600000</v>
      </c>
      <c r="N147" s="55">
        <v>14300000</v>
      </c>
      <c r="O147" s="55">
        <v>12300000</v>
      </c>
      <c r="P147" s="55">
        <v>10600000</v>
      </c>
      <c r="Q147" s="55">
        <v>9201468</v>
      </c>
      <c r="R147" s="55">
        <v>8673664</v>
      </c>
      <c r="S147" s="55">
        <v>8708451</v>
      </c>
      <c r="T147" s="55">
        <v>8357538</v>
      </c>
      <c r="U147" s="55">
        <v>8037290</v>
      </c>
      <c r="V147" s="55">
        <v>6853234</v>
      </c>
      <c r="W147" s="55">
        <v>6835010</v>
      </c>
      <c r="X147" s="55">
        <v>9890533</v>
      </c>
      <c r="Y147" s="55">
        <v>9805135</v>
      </c>
      <c r="Z147" s="55">
        <v>8540297</v>
      </c>
      <c r="AA147" s="55">
        <v>10300000</v>
      </c>
      <c r="AB147" s="55">
        <v>9886906</v>
      </c>
      <c r="AC147" s="56">
        <v>6653606</v>
      </c>
      <c r="AD147" t="str">
        <f t="shared" si="2"/>
        <v>Winter</v>
      </c>
      <c r="AE147" t="str">
        <f>INDEX('Category Mapping'!$B$2:$B$29,MATCH('Source Data'!A147,'Category Mapping'!$A$2:$A$29,0))</f>
        <v>Weekday</v>
      </c>
      <c r="AF147" t="str">
        <f>INDEX('Category Mapping'!$C$2:$C$29,MATCH('Source Data'!A147,'Category Mapping'!$A$2:$A$29,0))</f>
        <v>Commercial</v>
      </c>
      <c r="AG147" t="str">
        <f>INDEX('Category Mapping'!$D$2:$D$29,MATCH('Source Data'!A147,'Category Mapping'!$A$2:$A$29,0))</f>
        <v>Appliances</v>
      </c>
    </row>
    <row r="148" spans="1:33" x14ac:dyDescent="0.25">
      <c r="A148" s="57" t="s">
        <v>102</v>
      </c>
      <c r="B148" s="58">
        <v>2019</v>
      </c>
      <c r="C148" s="58">
        <v>19</v>
      </c>
      <c r="D148" s="58" t="s">
        <v>208</v>
      </c>
      <c r="E148" s="58">
        <v>2</v>
      </c>
      <c r="F148" s="58">
        <v>4329240</v>
      </c>
      <c r="G148" s="58">
        <v>3283877</v>
      </c>
      <c r="H148" s="58">
        <v>2909189</v>
      </c>
      <c r="I148" s="58">
        <v>2902503</v>
      </c>
      <c r="J148" s="58">
        <v>3383719</v>
      </c>
      <c r="K148" s="58">
        <v>5066077</v>
      </c>
      <c r="L148" s="58">
        <v>8336630</v>
      </c>
      <c r="M148" s="58">
        <v>12400000</v>
      </c>
      <c r="N148" s="58">
        <v>13100000</v>
      </c>
      <c r="O148" s="58">
        <v>11300000</v>
      </c>
      <c r="P148" s="58">
        <v>9685073</v>
      </c>
      <c r="Q148" s="58">
        <v>8432192</v>
      </c>
      <c r="R148" s="58">
        <v>7948514</v>
      </c>
      <c r="S148" s="58">
        <v>7980394</v>
      </c>
      <c r="T148" s="58">
        <v>7658818</v>
      </c>
      <c r="U148" s="58">
        <v>7365343</v>
      </c>
      <c r="V148" s="58">
        <v>6280279</v>
      </c>
      <c r="W148" s="58">
        <v>6263579</v>
      </c>
      <c r="X148" s="58">
        <v>9063649</v>
      </c>
      <c r="Y148" s="58">
        <v>8985390</v>
      </c>
      <c r="Z148" s="58">
        <v>7826297</v>
      </c>
      <c r="AA148" s="58">
        <v>9468200</v>
      </c>
      <c r="AB148" s="58">
        <v>9060325</v>
      </c>
      <c r="AC148" s="59">
        <v>6097341</v>
      </c>
      <c r="AD148" t="str">
        <f t="shared" si="2"/>
        <v>Winter</v>
      </c>
      <c r="AE148" t="str">
        <f>INDEX('Category Mapping'!$B$2:$B$29,MATCH('Source Data'!A148,'Category Mapping'!$A$2:$A$29,0))</f>
        <v>Weekday</v>
      </c>
      <c r="AF148" t="str">
        <f>INDEX('Category Mapping'!$C$2:$C$29,MATCH('Source Data'!A148,'Category Mapping'!$A$2:$A$29,0))</f>
        <v>Commercial</v>
      </c>
      <c r="AG148" t="str">
        <f>INDEX('Category Mapping'!$D$2:$D$29,MATCH('Source Data'!A148,'Category Mapping'!$A$2:$A$29,0))</f>
        <v>Appliances</v>
      </c>
    </row>
    <row r="149" spans="1:33" x14ac:dyDescent="0.25">
      <c r="A149" s="54" t="s">
        <v>102</v>
      </c>
      <c r="B149" s="55">
        <v>2019</v>
      </c>
      <c r="C149" s="55">
        <v>19</v>
      </c>
      <c r="D149" s="55" t="s">
        <v>208</v>
      </c>
      <c r="E149" s="55">
        <v>3</v>
      </c>
      <c r="F149" s="55">
        <v>3996073</v>
      </c>
      <c r="G149" s="55">
        <v>3031158</v>
      </c>
      <c r="H149" s="55">
        <v>2685305</v>
      </c>
      <c r="I149" s="55">
        <v>2679133</v>
      </c>
      <c r="J149" s="55">
        <v>3123316</v>
      </c>
      <c r="K149" s="55">
        <v>4676204</v>
      </c>
      <c r="L149" s="55">
        <v>7695063</v>
      </c>
      <c r="M149" s="55">
        <v>11500000</v>
      </c>
      <c r="N149" s="55">
        <v>12100000</v>
      </c>
      <c r="O149" s="55">
        <v>10400000</v>
      </c>
      <c r="P149" s="55">
        <v>8939733</v>
      </c>
      <c r="Q149" s="55">
        <v>7783272</v>
      </c>
      <c r="R149" s="55">
        <v>7336816</v>
      </c>
      <c r="S149" s="55">
        <v>7366242</v>
      </c>
      <c r="T149" s="55">
        <v>7069414</v>
      </c>
      <c r="U149" s="55">
        <v>6798525</v>
      </c>
      <c r="V149" s="55">
        <v>5796965</v>
      </c>
      <c r="W149" s="55">
        <v>5781549</v>
      </c>
      <c r="X149" s="55">
        <v>8366133</v>
      </c>
      <c r="Y149" s="55">
        <v>8293897</v>
      </c>
      <c r="Z149" s="55">
        <v>7224004</v>
      </c>
      <c r="AA149" s="55">
        <v>8739551</v>
      </c>
      <c r="AB149" s="55">
        <v>8363065</v>
      </c>
      <c r="AC149" s="56">
        <v>5628105</v>
      </c>
      <c r="AD149" t="str">
        <f t="shared" si="2"/>
        <v>Spring</v>
      </c>
      <c r="AE149" t="str">
        <f>INDEX('Category Mapping'!$B$2:$B$29,MATCH('Source Data'!A149,'Category Mapping'!$A$2:$A$29,0))</f>
        <v>Weekday</v>
      </c>
      <c r="AF149" t="str">
        <f>INDEX('Category Mapping'!$C$2:$C$29,MATCH('Source Data'!A149,'Category Mapping'!$A$2:$A$29,0))</f>
        <v>Commercial</v>
      </c>
      <c r="AG149" t="str">
        <f>INDEX('Category Mapping'!$D$2:$D$29,MATCH('Source Data'!A149,'Category Mapping'!$A$2:$A$29,0))</f>
        <v>Appliances</v>
      </c>
    </row>
    <row r="150" spans="1:33" x14ac:dyDescent="0.25">
      <c r="A150" s="57" t="s">
        <v>102</v>
      </c>
      <c r="B150" s="58">
        <v>2019</v>
      </c>
      <c r="C150" s="58">
        <v>19</v>
      </c>
      <c r="D150" s="58" t="s">
        <v>208</v>
      </c>
      <c r="E150" s="58">
        <v>4</v>
      </c>
      <c r="F150" s="58">
        <v>3359641</v>
      </c>
      <c r="G150" s="58">
        <v>2548403</v>
      </c>
      <c r="H150" s="58">
        <v>2257632</v>
      </c>
      <c r="I150" s="58">
        <v>2252443</v>
      </c>
      <c r="J150" s="58">
        <v>2625884</v>
      </c>
      <c r="K150" s="58">
        <v>3931452</v>
      </c>
      <c r="L150" s="58">
        <v>6469515</v>
      </c>
      <c r="M150" s="58">
        <v>9655953</v>
      </c>
      <c r="N150" s="58">
        <v>10200000</v>
      </c>
      <c r="O150" s="58">
        <v>8739436</v>
      </c>
      <c r="P150" s="58">
        <v>7515954</v>
      </c>
      <c r="Q150" s="58">
        <v>6543675</v>
      </c>
      <c r="R150" s="58">
        <v>6168324</v>
      </c>
      <c r="S150" s="58">
        <v>6193064</v>
      </c>
      <c r="T150" s="58">
        <v>5943510</v>
      </c>
      <c r="U150" s="58">
        <v>5715763</v>
      </c>
      <c r="V150" s="58">
        <v>4873716</v>
      </c>
      <c r="W150" s="58">
        <v>4860756</v>
      </c>
      <c r="X150" s="58">
        <v>7033708</v>
      </c>
      <c r="Y150" s="58">
        <v>6972976</v>
      </c>
      <c r="Z150" s="58">
        <v>6073479</v>
      </c>
      <c r="AA150" s="58">
        <v>7347654</v>
      </c>
      <c r="AB150" s="58">
        <v>7031128</v>
      </c>
      <c r="AC150" s="59">
        <v>4731749</v>
      </c>
      <c r="AD150" t="str">
        <f t="shared" si="2"/>
        <v>Spring</v>
      </c>
      <c r="AE150" t="str">
        <f>INDEX('Category Mapping'!$B$2:$B$29,MATCH('Source Data'!A150,'Category Mapping'!$A$2:$A$29,0))</f>
        <v>Weekday</v>
      </c>
      <c r="AF150" t="str">
        <f>INDEX('Category Mapping'!$C$2:$C$29,MATCH('Source Data'!A150,'Category Mapping'!$A$2:$A$29,0))</f>
        <v>Commercial</v>
      </c>
      <c r="AG150" t="str">
        <f>INDEX('Category Mapping'!$D$2:$D$29,MATCH('Source Data'!A150,'Category Mapping'!$A$2:$A$29,0))</f>
        <v>Appliances</v>
      </c>
    </row>
    <row r="151" spans="1:33" x14ac:dyDescent="0.25">
      <c r="A151" s="54" t="s">
        <v>102</v>
      </c>
      <c r="B151" s="55">
        <v>2019</v>
      </c>
      <c r="C151" s="55">
        <v>19</v>
      </c>
      <c r="D151" s="55" t="s">
        <v>208</v>
      </c>
      <c r="E151" s="55">
        <v>5</v>
      </c>
      <c r="F151" s="55">
        <v>2898868</v>
      </c>
      <c r="G151" s="55">
        <v>2198891</v>
      </c>
      <c r="H151" s="55">
        <v>1947999</v>
      </c>
      <c r="I151" s="55">
        <v>1943522</v>
      </c>
      <c r="J151" s="55">
        <v>2265746</v>
      </c>
      <c r="K151" s="55">
        <v>3392255</v>
      </c>
      <c r="L151" s="55">
        <v>5582225</v>
      </c>
      <c r="M151" s="55">
        <v>8331645</v>
      </c>
      <c r="N151" s="55">
        <v>8773450</v>
      </c>
      <c r="O151" s="55">
        <v>7540828</v>
      </c>
      <c r="P151" s="55">
        <v>6485145</v>
      </c>
      <c r="Q151" s="55">
        <v>5646214</v>
      </c>
      <c r="R151" s="55">
        <v>5322342</v>
      </c>
      <c r="S151" s="55">
        <v>5343688</v>
      </c>
      <c r="T151" s="55">
        <v>5128361</v>
      </c>
      <c r="U151" s="55">
        <v>4931850</v>
      </c>
      <c r="V151" s="55">
        <v>4205289</v>
      </c>
      <c r="W151" s="55">
        <v>4194106</v>
      </c>
      <c r="X151" s="55">
        <v>6069039</v>
      </c>
      <c r="Y151" s="55">
        <v>6016637</v>
      </c>
      <c r="Z151" s="55">
        <v>5240505</v>
      </c>
      <c r="AA151" s="55">
        <v>6339927</v>
      </c>
      <c r="AB151" s="55">
        <v>6066814</v>
      </c>
      <c r="AC151" s="56">
        <v>4082792</v>
      </c>
      <c r="AD151" t="str">
        <f t="shared" si="2"/>
        <v>Spring</v>
      </c>
      <c r="AE151" t="str">
        <f>INDEX('Category Mapping'!$B$2:$B$29,MATCH('Source Data'!A151,'Category Mapping'!$A$2:$A$29,0))</f>
        <v>Weekday</v>
      </c>
      <c r="AF151" t="str">
        <f>INDEX('Category Mapping'!$C$2:$C$29,MATCH('Source Data'!A151,'Category Mapping'!$A$2:$A$29,0))</f>
        <v>Commercial</v>
      </c>
      <c r="AG151" t="str">
        <f>INDEX('Category Mapping'!$D$2:$D$29,MATCH('Source Data'!A151,'Category Mapping'!$A$2:$A$29,0))</f>
        <v>Appliances</v>
      </c>
    </row>
    <row r="152" spans="1:33" x14ac:dyDescent="0.25">
      <c r="A152" s="57" t="s">
        <v>102</v>
      </c>
      <c r="B152" s="58">
        <v>2019</v>
      </c>
      <c r="C152" s="58">
        <v>19</v>
      </c>
      <c r="D152" s="58" t="s">
        <v>208</v>
      </c>
      <c r="E152" s="58">
        <v>6</v>
      </c>
      <c r="F152" s="58">
        <v>2738514</v>
      </c>
      <c r="G152" s="58">
        <v>2077257</v>
      </c>
      <c r="H152" s="58">
        <v>1840243</v>
      </c>
      <c r="I152" s="58">
        <v>1836014</v>
      </c>
      <c r="J152" s="58">
        <v>2140413</v>
      </c>
      <c r="K152" s="58">
        <v>3204609</v>
      </c>
      <c r="L152" s="58">
        <v>5273438</v>
      </c>
      <c r="M152" s="58">
        <v>7870770</v>
      </c>
      <c r="N152" s="58">
        <v>8288136</v>
      </c>
      <c r="O152" s="58">
        <v>7123698</v>
      </c>
      <c r="P152" s="58">
        <v>6126412</v>
      </c>
      <c r="Q152" s="58">
        <v>5333887</v>
      </c>
      <c r="R152" s="58">
        <v>5027930</v>
      </c>
      <c r="S152" s="58">
        <v>5048096</v>
      </c>
      <c r="T152" s="58">
        <v>4844679</v>
      </c>
      <c r="U152" s="58">
        <v>4659038</v>
      </c>
      <c r="V152" s="58">
        <v>3972668</v>
      </c>
      <c r="W152" s="58">
        <v>3962104</v>
      </c>
      <c r="X152" s="58">
        <v>5733323</v>
      </c>
      <c r="Y152" s="58">
        <v>5683819</v>
      </c>
      <c r="Z152" s="58">
        <v>4950620</v>
      </c>
      <c r="AA152" s="58">
        <v>5989226</v>
      </c>
      <c r="AB152" s="58">
        <v>5731220</v>
      </c>
      <c r="AC152" s="59">
        <v>3856948</v>
      </c>
      <c r="AD152" t="str">
        <f t="shared" si="2"/>
        <v>Summer</v>
      </c>
      <c r="AE152" t="str">
        <f>INDEX('Category Mapping'!$B$2:$B$29,MATCH('Source Data'!A152,'Category Mapping'!$A$2:$A$29,0))</f>
        <v>Weekday</v>
      </c>
      <c r="AF152" t="str">
        <f>INDEX('Category Mapping'!$C$2:$C$29,MATCH('Source Data'!A152,'Category Mapping'!$A$2:$A$29,0))</f>
        <v>Commercial</v>
      </c>
      <c r="AG152" t="str">
        <f>INDEX('Category Mapping'!$D$2:$D$29,MATCH('Source Data'!A152,'Category Mapping'!$A$2:$A$29,0))</f>
        <v>Appliances</v>
      </c>
    </row>
    <row r="153" spans="1:33" x14ac:dyDescent="0.25">
      <c r="A153" s="54" t="s">
        <v>102</v>
      </c>
      <c r="B153" s="55">
        <v>2019</v>
      </c>
      <c r="C153" s="55">
        <v>19</v>
      </c>
      <c r="D153" s="55" t="s">
        <v>208</v>
      </c>
      <c r="E153" s="55">
        <v>7</v>
      </c>
      <c r="F153" s="55">
        <v>2711735</v>
      </c>
      <c r="G153" s="55">
        <v>2056944</v>
      </c>
      <c r="H153" s="55">
        <v>1822248</v>
      </c>
      <c r="I153" s="55">
        <v>1818060</v>
      </c>
      <c r="J153" s="55">
        <v>2119482</v>
      </c>
      <c r="K153" s="55">
        <v>3173272</v>
      </c>
      <c r="L153" s="55">
        <v>5221869</v>
      </c>
      <c r="M153" s="55">
        <v>7793803</v>
      </c>
      <c r="N153" s="55">
        <v>8207088</v>
      </c>
      <c r="O153" s="55">
        <v>7054036</v>
      </c>
      <c r="P153" s="55">
        <v>6066502</v>
      </c>
      <c r="Q153" s="55">
        <v>5281728</v>
      </c>
      <c r="R153" s="55">
        <v>4978763</v>
      </c>
      <c r="S153" s="55">
        <v>4998732</v>
      </c>
      <c r="T153" s="55">
        <v>4797304</v>
      </c>
      <c r="U153" s="55">
        <v>4613479</v>
      </c>
      <c r="V153" s="55">
        <v>3933820</v>
      </c>
      <c r="W153" s="55">
        <v>3923359</v>
      </c>
      <c r="X153" s="55">
        <v>5677258</v>
      </c>
      <c r="Y153" s="55">
        <v>5628238</v>
      </c>
      <c r="Z153" s="55">
        <v>4902209</v>
      </c>
      <c r="AA153" s="55">
        <v>5930659</v>
      </c>
      <c r="AB153" s="55">
        <v>5675176</v>
      </c>
      <c r="AC153" s="56">
        <v>3819231</v>
      </c>
      <c r="AD153" t="str">
        <f t="shared" si="2"/>
        <v>Summer</v>
      </c>
      <c r="AE153" t="str">
        <f>INDEX('Category Mapping'!$B$2:$B$29,MATCH('Source Data'!A153,'Category Mapping'!$A$2:$A$29,0))</f>
        <v>Weekday</v>
      </c>
      <c r="AF153" t="str">
        <f>INDEX('Category Mapping'!$C$2:$C$29,MATCH('Source Data'!A153,'Category Mapping'!$A$2:$A$29,0))</f>
        <v>Commercial</v>
      </c>
      <c r="AG153" t="str">
        <f>INDEX('Category Mapping'!$D$2:$D$29,MATCH('Source Data'!A153,'Category Mapping'!$A$2:$A$29,0))</f>
        <v>Appliances</v>
      </c>
    </row>
    <row r="154" spans="1:33" x14ac:dyDescent="0.25">
      <c r="A154" s="57" t="s">
        <v>102</v>
      </c>
      <c r="B154" s="58">
        <v>2019</v>
      </c>
      <c r="C154" s="58">
        <v>19</v>
      </c>
      <c r="D154" s="58" t="s">
        <v>208</v>
      </c>
      <c r="E154" s="58">
        <v>8</v>
      </c>
      <c r="F154" s="58">
        <v>2712041</v>
      </c>
      <c r="G154" s="58">
        <v>2057176</v>
      </c>
      <c r="H154" s="58">
        <v>1822453</v>
      </c>
      <c r="I154" s="58">
        <v>1818265</v>
      </c>
      <c r="J154" s="58">
        <v>2119722</v>
      </c>
      <c r="K154" s="58">
        <v>3173630</v>
      </c>
      <c r="L154" s="58">
        <v>5222459</v>
      </c>
      <c r="M154" s="58">
        <v>7794683</v>
      </c>
      <c r="N154" s="58">
        <v>8208014</v>
      </c>
      <c r="O154" s="58">
        <v>7054833</v>
      </c>
      <c r="P154" s="58">
        <v>6067187</v>
      </c>
      <c r="Q154" s="58">
        <v>5282324</v>
      </c>
      <c r="R154" s="58">
        <v>4979325</v>
      </c>
      <c r="S154" s="58">
        <v>4999296</v>
      </c>
      <c r="T154" s="58">
        <v>4797846</v>
      </c>
      <c r="U154" s="58">
        <v>4613999</v>
      </c>
      <c r="V154" s="58">
        <v>3934264</v>
      </c>
      <c r="W154" s="58">
        <v>3923802</v>
      </c>
      <c r="X154" s="58">
        <v>5677899</v>
      </c>
      <c r="Y154" s="58">
        <v>5628874</v>
      </c>
      <c r="Z154" s="58">
        <v>4902763</v>
      </c>
      <c r="AA154" s="58">
        <v>5931328</v>
      </c>
      <c r="AB154" s="58">
        <v>5675817</v>
      </c>
      <c r="AC154" s="59">
        <v>3819663</v>
      </c>
      <c r="AD154" t="str">
        <f t="shared" si="2"/>
        <v>Summer</v>
      </c>
      <c r="AE154" t="str">
        <f>INDEX('Category Mapping'!$B$2:$B$29,MATCH('Source Data'!A154,'Category Mapping'!$A$2:$A$29,0))</f>
        <v>Weekday</v>
      </c>
      <c r="AF154" t="str">
        <f>INDEX('Category Mapping'!$C$2:$C$29,MATCH('Source Data'!A154,'Category Mapping'!$A$2:$A$29,0))</f>
        <v>Commercial</v>
      </c>
      <c r="AG154" t="str">
        <f>INDEX('Category Mapping'!$D$2:$D$29,MATCH('Source Data'!A154,'Category Mapping'!$A$2:$A$29,0))</f>
        <v>Appliances</v>
      </c>
    </row>
    <row r="155" spans="1:33" x14ac:dyDescent="0.25">
      <c r="A155" s="54" t="s">
        <v>102</v>
      </c>
      <c r="B155" s="55">
        <v>2019</v>
      </c>
      <c r="C155" s="55">
        <v>19</v>
      </c>
      <c r="D155" s="55" t="s">
        <v>208</v>
      </c>
      <c r="E155" s="55">
        <v>9</v>
      </c>
      <c r="F155" s="55">
        <v>2773202</v>
      </c>
      <c r="G155" s="55">
        <v>2103569</v>
      </c>
      <c r="H155" s="55">
        <v>1863553</v>
      </c>
      <c r="I155" s="55">
        <v>1859270</v>
      </c>
      <c r="J155" s="55">
        <v>2167525</v>
      </c>
      <c r="K155" s="55">
        <v>3245201</v>
      </c>
      <c r="L155" s="55">
        <v>5340235</v>
      </c>
      <c r="M155" s="55">
        <v>7970467</v>
      </c>
      <c r="N155" s="55">
        <v>8393119</v>
      </c>
      <c r="O155" s="55">
        <v>7213932</v>
      </c>
      <c r="P155" s="55">
        <v>6204013</v>
      </c>
      <c r="Q155" s="55">
        <v>5401449</v>
      </c>
      <c r="R155" s="55">
        <v>5091617</v>
      </c>
      <c r="S155" s="55">
        <v>5112039</v>
      </c>
      <c r="T155" s="55">
        <v>4906045</v>
      </c>
      <c r="U155" s="55">
        <v>4718053</v>
      </c>
      <c r="V155" s="55">
        <v>4022988</v>
      </c>
      <c r="W155" s="55">
        <v>4012290</v>
      </c>
      <c r="X155" s="55">
        <v>5805945</v>
      </c>
      <c r="Y155" s="55">
        <v>5755814</v>
      </c>
      <c r="Z155" s="55">
        <v>5013329</v>
      </c>
      <c r="AA155" s="55">
        <v>6065090</v>
      </c>
      <c r="AB155" s="55">
        <v>5803816</v>
      </c>
      <c r="AC155" s="56">
        <v>3905803</v>
      </c>
      <c r="AD155" t="str">
        <f t="shared" si="2"/>
        <v>Fall</v>
      </c>
      <c r="AE155" t="str">
        <f>INDEX('Category Mapping'!$B$2:$B$29,MATCH('Source Data'!A155,'Category Mapping'!$A$2:$A$29,0))</f>
        <v>Weekday</v>
      </c>
      <c r="AF155" t="str">
        <f>INDEX('Category Mapping'!$C$2:$C$29,MATCH('Source Data'!A155,'Category Mapping'!$A$2:$A$29,0))</f>
        <v>Commercial</v>
      </c>
      <c r="AG155" t="str">
        <f>INDEX('Category Mapping'!$D$2:$D$29,MATCH('Source Data'!A155,'Category Mapping'!$A$2:$A$29,0))</f>
        <v>Appliances</v>
      </c>
    </row>
    <row r="156" spans="1:33" x14ac:dyDescent="0.25">
      <c r="A156" s="57" t="s">
        <v>102</v>
      </c>
      <c r="B156" s="58">
        <v>2019</v>
      </c>
      <c r="C156" s="58">
        <v>19</v>
      </c>
      <c r="D156" s="58" t="s">
        <v>208</v>
      </c>
      <c r="E156" s="58">
        <v>10</v>
      </c>
      <c r="F156" s="58">
        <v>3181925</v>
      </c>
      <c r="G156" s="58">
        <v>2413600</v>
      </c>
      <c r="H156" s="58">
        <v>2138209</v>
      </c>
      <c r="I156" s="58">
        <v>2133295</v>
      </c>
      <c r="J156" s="58">
        <v>2486982</v>
      </c>
      <c r="K156" s="58">
        <v>3723489</v>
      </c>
      <c r="L156" s="58">
        <v>6127296</v>
      </c>
      <c r="M156" s="58">
        <v>9145179</v>
      </c>
      <c r="N156" s="58">
        <v>9630124</v>
      </c>
      <c r="O156" s="58">
        <v>8277144</v>
      </c>
      <c r="P156" s="58">
        <v>7118381</v>
      </c>
      <c r="Q156" s="58">
        <v>6197533</v>
      </c>
      <c r="R156" s="58">
        <v>5842037</v>
      </c>
      <c r="S156" s="58">
        <v>5865467</v>
      </c>
      <c r="T156" s="58">
        <v>5629114</v>
      </c>
      <c r="U156" s="58">
        <v>5413415</v>
      </c>
      <c r="V156" s="58">
        <v>4615910</v>
      </c>
      <c r="W156" s="58">
        <v>4603635</v>
      </c>
      <c r="X156" s="58">
        <v>6661644</v>
      </c>
      <c r="Y156" s="58">
        <v>6604125</v>
      </c>
      <c r="Z156" s="58">
        <v>5752209</v>
      </c>
      <c r="AA156" s="58">
        <v>6958982</v>
      </c>
      <c r="AB156" s="58">
        <v>6659201</v>
      </c>
      <c r="AC156" s="59">
        <v>4481452</v>
      </c>
      <c r="AD156" t="str">
        <f t="shared" si="2"/>
        <v>Fall</v>
      </c>
      <c r="AE156" t="str">
        <f>INDEX('Category Mapping'!$B$2:$B$29,MATCH('Source Data'!A156,'Category Mapping'!$A$2:$A$29,0))</f>
        <v>Weekday</v>
      </c>
      <c r="AF156" t="str">
        <f>INDEX('Category Mapping'!$C$2:$C$29,MATCH('Source Data'!A156,'Category Mapping'!$A$2:$A$29,0))</f>
        <v>Commercial</v>
      </c>
      <c r="AG156" t="str">
        <f>INDEX('Category Mapping'!$D$2:$D$29,MATCH('Source Data'!A156,'Category Mapping'!$A$2:$A$29,0))</f>
        <v>Appliances</v>
      </c>
    </row>
    <row r="157" spans="1:33" x14ac:dyDescent="0.25">
      <c r="A157" s="54" t="s">
        <v>102</v>
      </c>
      <c r="B157" s="55">
        <v>2019</v>
      </c>
      <c r="C157" s="55">
        <v>19</v>
      </c>
      <c r="D157" s="55" t="s">
        <v>208</v>
      </c>
      <c r="E157" s="55">
        <v>11</v>
      </c>
      <c r="F157" s="55">
        <v>3766147</v>
      </c>
      <c r="G157" s="55">
        <v>2856752</v>
      </c>
      <c r="H157" s="55">
        <v>2530798</v>
      </c>
      <c r="I157" s="55">
        <v>2524982</v>
      </c>
      <c r="J157" s="55">
        <v>2943608</v>
      </c>
      <c r="K157" s="55">
        <v>4407145</v>
      </c>
      <c r="L157" s="55">
        <v>7252306</v>
      </c>
      <c r="M157" s="55">
        <v>10800000</v>
      </c>
      <c r="N157" s="55">
        <v>11400000</v>
      </c>
      <c r="O157" s="55">
        <v>9796881</v>
      </c>
      <c r="P157" s="55">
        <v>8425360</v>
      </c>
      <c r="Q157" s="55">
        <v>7335439</v>
      </c>
      <c r="R157" s="55">
        <v>6914672</v>
      </c>
      <c r="S157" s="55">
        <v>6942405</v>
      </c>
      <c r="T157" s="55">
        <v>6662655</v>
      </c>
      <c r="U157" s="55">
        <v>6407352</v>
      </c>
      <c r="V157" s="55">
        <v>5463420</v>
      </c>
      <c r="W157" s="55">
        <v>5448891</v>
      </c>
      <c r="X157" s="55">
        <v>7884764</v>
      </c>
      <c r="Y157" s="55">
        <v>7816684</v>
      </c>
      <c r="Z157" s="55">
        <v>6808351</v>
      </c>
      <c r="AA157" s="55">
        <v>8236696</v>
      </c>
      <c r="AB157" s="55">
        <v>7881873</v>
      </c>
      <c r="AC157" s="56">
        <v>5304275</v>
      </c>
      <c r="AD157" t="str">
        <f t="shared" si="2"/>
        <v>Winter</v>
      </c>
      <c r="AE157" t="str">
        <f>INDEX('Category Mapping'!$B$2:$B$29,MATCH('Source Data'!A157,'Category Mapping'!$A$2:$A$29,0))</f>
        <v>Weekday</v>
      </c>
      <c r="AF157" t="str">
        <f>INDEX('Category Mapping'!$C$2:$C$29,MATCH('Source Data'!A157,'Category Mapping'!$A$2:$A$29,0))</f>
        <v>Commercial</v>
      </c>
      <c r="AG157" t="str">
        <f>INDEX('Category Mapping'!$D$2:$D$29,MATCH('Source Data'!A157,'Category Mapping'!$A$2:$A$29,0))</f>
        <v>Appliances</v>
      </c>
    </row>
    <row r="158" spans="1:33" x14ac:dyDescent="0.25">
      <c r="A158" s="57" t="s">
        <v>102</v>
      </c>
      <c r="B158" s="58">
        <v>2019</v>
      </c>
      <c r="C158" s="58">
        <v>19</v>
      </c>
      <c r="D158" s="58" t="s">
        <v>208</v>
      </c>
      <c r="E158" s="58">
        <v>12</v>
      </c>
      <c r="F158" s="58">
        <v>4426714</v>
      </c>
      <c r="G158" s="58">
        <v>3357815</v>
      </c>
      <c r="H158" s="58">
        <v>2974690</v>
      </c>
      <c r="I158" s="58">
        <v>2967853</v>
      </c>
      <c r="J158" s="58">
        <v>3459904</v>
      </c>
      <c r="K158" s="58">
        <v>5180141</v>
      </c>
      <c r="L158" s="58">
        <v>8524331</v>
      </c>
      <c r="M158" s="58">
        <v>12700000</v>
      </c>
      <c r="N158" s="58">
        <v>13400000</v>
      </c>
      <c r="O158" s="58">
        <v>11500000</v>
      </c>
      <c r="P158" s="58">
        <v>9903134</v>
      </c>
      <c r="Q158" s="58">
        <v>8622045</v>
      </c>
      <c r="R158" s="58">
        <v>8127477</v>
      </c>
      <c r="S158" s="58">
        <v>8160074</v>
      </c>
      <c r="T158" s="58">
        <v>7831258</v>
      </c>
      <c r="U158" s="58">
        <v>7531176</v>
      </c>
      <c r="V158" s="58">
        <v>6421682</v>
      </c>
      <c r="W158" s="58">
        <v>6404605</v>
      </c>
      <c r="X158" s="58">
        <v>9267720</v>
      </c>
      <c r="Y158" s="58">
        <v>9187699</v>
      </c>
      <c r="Z158" s="58">
        <v>8002508</v>
      </c>
      <c r="AA158" s="58">
        <v>9681379</v>
      </c>
      <c r="AB158" s="58">
        <v>9264321</v>
      </c>
      <c r="AC158" s="59">
        <v>6234624</v>
      </c>
      <c r="AD158" t="str">
        <f t="shared" si="2"/>
        <v>Winter</v>
      </c>
      <c r="AE158" t="str">
        <f>INDEX('Category Mapping'!$B$2:$B$29,MATCH('Source Data'!A158,'Category Mapping'!$A$2:$A$29,0))</f>
        <v>Weekday</v>
      </c>
      <c r="AF158" t="str">
        <f>INDEX('Category Mapping'!$C$2:$C$29,MATCH('Source Data'!A158,'Category Mapping'!$A$2:$A$29,0))</f>
        <v>Commercial</v>
      </c>
      <c r="AG158" t="str">
        <f>INDEX('Category Mapping'!$D$2:$D$29,MATCH('Source Data'!A158,'Category Mapping'!$A$2:$A$29,0))</f>
        <v>Appliances</v>
      </c>
    </row>
    <row r="159" spans="1:33" x14ac:dyDescent="0.25">
      <c r="A159" s="54" t="s">
        <v>103</v>
      </c>
      <c r="B159" s="55">
        <v>2019</v>
      </c>
      <c r="C159" s="55">
        <v>19</v>
      </c>
      <c r="D159" s="55" t="s">
        <v>208</v>
      </c>
      <c r="E159" s="55">
        <v>1</v>
      </c>
      <c r="F159" s="55">
        <v>2575244</v>
      </c>
      <c r="G159" s="55">
        <v>1879370</v>
      </c>
      <c r="H159" s="55">
        <v>1664652</v>
      </c>
      <c r="I159" s="55">
        <v>1663161</v>
      </c>
      <c r="J159" s="55">
        <v>1928390</v>
      </c>
      <c r="K159" s="55">
        <v>2392000</v>
      </c>
      <c r="L159" s="55">
        <v>3176781</v>
      </c>
      <c r="M159" s="55">
        <v>4894543</v>
      </c>
      <c r="N159" s="55">
        <v>7341454</v>
      </c>
      <c r="O159" s="55">
        <v>7141541</v>
      </c>
      <c r="P159" s="55">
        <v>5729925</v>
      </c>
      <c r="Q159" s="55">
        <v>4791159</v>
      </c>
      <c r="R159" s="55">
        <v>3874275</v>
      </c>
      <c r="S159" s="55">
        <v>3500202</v>
      </c>
      <c r="T159" s="55">
        <v>3431864</v>
      </c>
      <c r="U159" s="55">
        <v>3384541</v>
      </c>
      <c r="V159" s="55">
        <v>2857083</v>
      </c>
      <c r="W159" s="55">
        <v>2787626</v>
      </c>
      <c r="X159" s="55">
        <v>3184290</v>
      </c>
      <c r="Y159" s="55">
        <v>3863115</v>
      </c>
      <c r="Z159" s="55">
        <v>4155762</v>
      </c>
      <c r="AA159" s="55">
        <v>4338858</v>
      </c>
      <c r="AB159" s="55">
        <v>5311091</v>
      </c>
      <c r="AC159" s="56">
        <v>4417758</v>
      </c>
      <c r="AD159" t="str">
        <f t="shared" si="2"/>
        <v>Winter</v>
      </c>
      <c r="AE159" t="str">
        <f>INDEX('Category Mapping'!$B$2:$B$29,MATCH('Source Data'!A159,'Category Mapping'!$A$2:$A$29,0))</f>
        <v>Weekend</v>
      </c>
      <c r="AF159" t="str">
        <f>INDEX('Category Mapping'!$C$2:$C$29,MATCH('Source Data'!A159,'Category Mapping'!$A$2:$A$29,0))</f>
        <v>Commercial</v>
      </c>
      <c r="AG159" t="str">
        <f>INDEX('Category Mapping'!$D$2:$D$29,MATCH('Source Data'!A159,'Category Mapping'!$A$2:$A$29,0))</f>
        <v>Appliances</v>
      </c>
    </row>
    <row r="160" spans="1:33" x14ac:dyDescent="0.25">
      <c r="A160" s="57" t="s">
        <v>103</v>
      </c>
      <c r="B160" s="58">
        <v>2019</v>
      </c>
      <c r="C160" s="58">
        <v>19</v>
      </c>
      <c r="D160" s="58" t="s">
        <v>208</v>
      </c>
      <c r="E160" s="58">
        <v>2</v>
      </c>
      <c r="F160" s="58">
        <v>2359944</v>
      </c>
      <c r="G160" s="58">
        <v>1722248</v>
      </c>
      <c r="H160" s="58">
        <v>1525481</v>
      </c>
      <c r="I160" s="58">
        <v>1524115</v>
      </c>
      <c r="J160" s="58">
        <v>1767169</v>
      </c>
      <c r="K160" s="58">
        <v>2192020</v>
      </c>
      <c r="L160" s="58">
        <v>2911191</v>
      </c>
      <c r="M160" s="58">
        <v>4485342</v>
      </c>
      <c r="N160" s="58">
        <v>6727682</v>
      </c>
      <c r="O160" s="58">
        <v>6544482</v>
      </c>
      <c r="P160" s="58">
        <v>5250883</v>
      </c>
      <c r="Q160" s="58">
        <v>4390601</v>
      </c>
      <c r="R160" s="58">
        <v>3550372</v>
      </c>
      <c r="S160" s="58">
        <v>3207572</v>
      </c>
      <c r="T160" s="58">
        <v>3144948</v>
      </c>
      <c r="U160" s="58">
        <v>3101581</v>
      </c>
      <c r="V160" s="58">
        <v>2618220</v>
      </c>
      <c r="W160" s="58">
        <v>2554571</v>
      </c>
      <c r="X160" s="58">
        <v>2918072</v>
      </c>
      <c r="Y160" s="58">
        <v>3540145</v>
      </c>
      <c r="Z160" s="58">
        <v>3808325</v>
      </c>
      <c r="AA160" s="58">
        <v>3976113</v>
      </c>
      <c r="AB160" s="58">
        <v>4867065</v>
      </c>
      <c r="AC160" s="59">
        <v>4048418</v>
      </c>
      <c r="AD160" t="str">
        <f t="shared" si="2"/>
        <v>Winter</v>
      </c>
      <c r="AE160" t="str">
        <f>INDEX('Category Mapping'!$B$2:$B$29,MATCH('Source Data'!A160,'Category Mapping'!$A$2:$A$29,0))</f>
        <v>Weekend</v>
      </c>
      <c r="AF160" t="str">
        <f>INDEX('Category Mapping'!$C$2:$C$29,MATCH('Source Data'!A160,'Category Mapping'!$A$2:$A$29,0))</f>
        <v>Commercial</v>
      </c>
      <c r="AG160" t="str">
        <f>INDEX('Category Mapping'!$D$2:$D$29,MATCH('Source Data'!A160,'Category Mapping'!$A$2:$A$29,0))</f>
        <v>Appliances</v>
      </c>
    </row>
    <row r="161" spans="1:33" x14ac:dyDescent="0.25">
      <c r="A161" s="54" t="s">
        <v>103</v>
      </c>
      <c r="B161" s="55">
        <v>2019</v>
      </c>
      <c r="C161" s="55">
        <v>19</v>
      </c>
      <c r="D161" s="55" t="s">
        <v>208</v>
      </c>
      <c r="E161" s="55">
        <v>3</v>
      </c>
      <c r="F161" s="55">
        <v>2178328</v>
      </c>
      <c r="G161" s="55">
        <v>1589708</v>
      </c>
      <c r="H161" s="55">
        <v>1408084</v>
      </c>
      <c r="I161" s="55">
        <v>1406823</v>
      </c>
      <c r="J161" s="55">
        <v>1631172</v>
      </c>
      <c r="K161" s="55">
        <v>2023328</v>
      </c>
      <c r="L161" s="55">
        <v>2687153</v>
      </c>
      <c r="M161" s="55">
        <v>4140161</v>
      </c>
      <c r="N161" s="55">
        <v>6209936</v>
      </c>
      <c r="O161" s="55">
        <v>6040835</v>
      </c>
      <c r="P161" s="55">
        <v>4846788</v>
      </c>
      <c r="Q161" s="55">
        <v>4052711</v>
      </c>
      <c r="R161" s="55">
        <v>3277144</v>
      </c>
      <c r="S161" s="55">
        <v>2960725</v>
      </c>
      <c r="T161" s="55">
        <v>2902920</v>
      </c>
      <c r="U161" s="55">
        <v>2862891</v>
      </c>
      <c r="V161" s="55">
        <v>2416728</v>
      </c>
      <c r="W161" s="55">
        <v>2357977</v>
      </c>
      <c r="X161" s="55">
        <v>2693504</v>
      </c>
      <c r="Y161" s="55">
        <v>3267704</v>
      </c>
      <c r="Z161" s="55">
        <v>3515246</v>
      </c>
      <c r="AA161" s="55">
        <v>3670121</v>
      </c>
      <c r="AB161" s="55">
        <v>4492507</v>
      </c>
      <c r="AC161" s="56">
        <v>3736862</v>
      </c>
      <c r="AD161" t="str">
        <f t="shared" si="2"/>
        <v>Spring</v>
      </c>
      <c r="AE161" t="str">
        <f>INDEX('Category Mapping'!$B$2:$B$29,MATCH('Source Data'!A161,'Category Mapping'!$A$2:$A$29,0))</f>
        <v>Weekend</v>
      </c>
      <c r="AF161" t="str">
        <f>INDEX('Category Mapping'!$C$2:$C$29,MATCH('Source Data'!A161,'Category Mapping'!$A$2:$A$29,0))</f>
        <v>Commercial</v>
      </c>
      <c r="AG161" t="str">
        <f>INDEX('Category Mapping'!$D$2:$D$29,MATCH('Source Data'!A161,'Category Mapping'!$A$2:$A$29,0))</f>
        <v>Appliances</v>
      </c>
    </row>
    <row r="162" spans="1:33" x14ac:dyDescent="0.25">
      <c r="A162" s="57" t="s">
        <v>103</v>
      </c>
      <c r="B162" s="58">
        <v>2019</v>
      </c>
      <c r="C162" s="58">
        <v>19</v>
      </c>
      <c r="D162" s="58" t="s">
        <v>208</v>
      </c>
      <c r="E162" s="58">
        <v>4</v>
      </c>
      <c r="F162" s="58">
        <v>1831399</v>
      </c>
      <c r="G162" s="58">
        <v>1336524</v>
      </c>
      <c r="H162" s="58">
        <v>1183827</v>
      </c>
      <c r="I162" s="58">
        <v>1182766</v>
      </c>
      <c r="J162" s="58">
        <v>1371385</v>
      </c>
      <c r="K162" s="58">
        <v>1701084</v>
      </c>
      <c r="L162" s="58">
        <v>2259186</v>
      </c>
      <c r="M162" s="58">
        <v>3480781</v>
      </c>
      <c r="N162" s="58">
        <v>5220916</v>
      </c>
      <c r="O162" s="58">
        <v>5078747</v>
      </c>
      <c r="P162" s="58">
        <v>4074868</v>
      </c>
      <c r="Q162" s="58">
        <v>3407259</v>
      </c>
      <c r="R162" s="58">
        <v>2755212</v>
      </c>
      <c r="S162" s="58">
        <v>2489188</v>
      </c>
      <c r="T162" s="58">
        <v>2440589</v>
      </c>
      <c r="U162" s="58">
        <v>2406935</v>
      </c>
      <c r="V162" s="58">
        <v>2031830</v>
      </c>
      <c r="W162" s="58">
        <v>1982436</v>
      </c>
      <c r="X162" s="58">
        <v>2264525</v>
      </c>
      <c r="Y162" s="58">
        <v>2747276</v>
      </c>
      <c r="Z162" s="58">
        <v>2955393</v>
      </c>
      <c r="AA162" s="58">
        <v>3085603</v>
      </c>
      <c r="AB162" s="58">
        <v>3777012</v>
      </c>
      <c r="AC162" s="59">
        <v>3141713</v>
      </c>
      <c r="AD162" t="str">
        <f t="shared" si="2"/>
        <v>Spring</v>
      </c>
      <c r="AE162" t="str">
        <f>INDEX('Category Mapping'!$B$2:$B$29,MATCH('Source Data'!A162,'Category Mapping'!$A$2:$A$29,0))</f>
        <v>Weekend</v>
      </c>
      <c r="AF162" t="str">
        <f>INDEX('Category Mapping'!$C$2:$C$29,MATCH('Source Data'!A162,'Category Mapping'!$A$2:$A$29,0))</f>
        <v>Commercial</v>
      </c>
      <c r="AG162" t="str">
        <f>INDEX('Category Mapping'!$D$2:$D$29,MATCH('Source Data'!A162,'Category Mapping'!$A$2:$A$29,0))</f>
        <v>Appliances</v>
      </c>
    </row>
    <row r="163" spans="1:33" x14ac:dyDescent="0.25">
      <c r="A163" s="54" t="s">
        <v>103</v>
      </c>
      <c r="B163" s="55">
        <v>2019</v>
      </c>
      <c r="C163" s="55">
        <v>19</v>
      </c>
      <c r="D163" s="55" t="s">
        <v>208</v>
      </c>
      <c r="E163" s="55">
        <v>5</v>
      </c>
      <c r="F163" s="55">
        <v>1580223</v>
      </c>
      <c r="G163" s="55">
        <v>1153221</v>
      </c>
      <c r="H163" s="55">
        <v>1021465</v>
      </c>
      <c r="I163" s="55">
        <v>1020550</v>
      </c>
      <c r="J163" s="55">
        <v>1183300</v>
      </c>
      <c r="K163" s="55">
        <v>1467781</v>
      </c>
      <c r="L163" s="55">
        <v>1949340</v>
      </c>
      <c r="M163" s="55">
        <v>3003394</v>
      </c>
      <c r="N163" s="55">
        <v>4504870</v>
      </c>
      <c r="O163" s="55">
        <v>4382199</v>
      </c>
      <c r="P163" s="55">
        <v>3516002</v>
      </c>
      <c r="Q163" s="55">
        <v>2939955</v>
      </c>
      <c r="R163" s="55">
        <v>2377337</v>
      </c>
      <c r="S163" s="55">
        <v>2147797</v>
      </c>
      <c r="T163" s="55">
        <v>2105864</v>
      </c>
      <c r="U163" s="55">
        <v>2076825</v>
      </c>
      <c r="V163" s="55">
        <v>1753166</v>
      </c>
      <c r="W163" s="55">
        <v>1710546</v>
      </c>
      <c r="X163" s="55">
        <v>1953947</v>
      </c>
      <c r="Y163" s="55">
        <v>2370488</v>
      </c>
      <c r="Z163" s="55">
        <v>2550063</v>
      </c>
      <c r="AA163" s="55">
        <v>2662414</v>
      </c>
      <c r="AB163" s="55">
        <v>3258997</v>
      </c>
      <c r="AC163" s="56">
        <v>2710829</v>
      </c>
      <c r="AD163" t="str">
        <f t="shared" si="2"/>
        <v>Spring</v>
      </c>
      <c r="AE163" t="str">
        <f>INDEX('Category Mapping'!$B$2:$B$29,MATCH('Source Data'!A163,'Category Mapping'!$A$2:$A$29,0))</f>
        <v>Weekend</v>
      </c>
      <c r="AF163" t="str">
        <f>INDEX('Category Mapping'!$C$2:$C$29,MATCH('Source Data'!A163,'Category Mapping'!$A$2:$A$29,0))</f>
        <v>Commercial</v>
      </c>
      <c r="AG163" t="str">
        <f>INDEX('Category Mapping'!$D$2:$D$29,MATCH('Source Data'!A163,'Category Mapping'!$A$2:$A$29,0))</f>
        <v>Appliances</v>
      </c>
    </row>
    <row r="164" spans="1:33" x14ac:dyDescent="0.25">
      <c r="A164" s="57" t="s">
        <v>103</v>
      </c>
      <c r="B164" s="58">
        <v>2019</v>
      </c>
      <c r="C164" s="58">
        <v>19</v>
      </c>
      <c r="D164" s="58" t="s">
        <v>208</v>
      </c>
      <c r="E164" s="58">
        <v>6</v>
      </c>
      <c r="F164" s="58">
        <v>1492811</v>
      </c>
      <c r="G164" s="58">
        <v>1089429</v>
      </c>
      <c r="H164" s="58">
        <v>964962</v>
      </c>
      <c r="I164" s="58">
        <v>964097</v>
      </c>
      <c r="J164" s="58">
        <v>1117845</v>
      </c>
      <c r="K164" s="58">
        <v>1386589</v>
      </c>
      <c r="L164" s="58">
        <v>1841510</v>
      </c>
      <c r="M164" s="58">
        <v>2837258</v>
      </c>
      <c r="N164" s="58">
        <v>4255678</v>
      </c>
      <c r="O164" s="58">
        <v>4139793</v>
      </c>
      <c r="P164" s="58">
        <v>3321510</v>
      </c>
      <c r="Q164" s="58">
        <v>2777328</v>
      </c>
      <c r="R164" s="58">
        <v>2245832</v>
      </c>
      <c r="S164" s="58">
        <v>2028989</v>
      </c>
      <c r="T164" s="58">
        <v>1989375</v>
      </c>
      <c r="U164" s="58">
        <v>1961943</v>
      </c>
      <c r="V164" s="58">
        <v>1656187</v>
      </c>
      <c r="W164" s="58">
        <v>1615925</v>
      </c>
      <c r="X164" s="58">
        <v>1845862</v>
      </c>
      <c r="Y164" s="58">
        <v>2239362</v>
      </c>
      <c r="Z164" s="58">
        <v>2409003</v>
      </c>
      <c r="AA164" s="58">
        <v>2515139</v>
      </c>
      <c r="AB164" s="58">
        <v>3078722</v>
      </c>
      <c r="AC164" s="59">
        <v>2560876</v>
      </c>
      <c r="AD164" t="str">
        <f t="shared" si="2"/>
        <v>Summer</v>
      </c>
      <c r="AE164" t="str">
        <f>INDEX('Category Mapping'!$B$2:$B$29,MATCH('Source Data'!A164,'Category Mapping'!$A$2:$A$29,0))</f>
        <v>Weekend</v>
      </c>
      <c r="AF164" t="str">
        <f>INDEX('Category Mapping'!$C$2:$C$29,MATCH('Source Data'!A164,'Category Mapping'!$A$2:$A$29,0))</f>
        <v>Commercial</v>
      </c>
      <c r="AG164" t="str">
        <f>INDEX('Category Mapping'!$D$2:$D$29,MATCH('Source Data'!A164,'Category Mapping'!$A$2:$A$29,0))</f>
        <v>Appliances</v>
      </c>
    </row>
    <row r="165" spans="1:33" x14ac:dyDescent="0.25">
      <c r="A165" s="54" t="s">
        <v>103</v>
      </c>
      <c r="B165" s="55">
        <v>2019</v>
      </c>
      <c r="C165" s="55">
        <v>19</v>
      </c>
      <c r="D165" s="55" t="s">
        <v>208</v>
      </c>
      <c r="E165" s="55">
        <v>7</v>
      </c>
      <c r="F165" s="55">
        <v>1478214</v>
      </c>
      <c r="G165" s="55">
        <v>1078776</v>
      </c>
      <c r="H165" s="55">
        <v>955526</v>
      </c>
      <c r="I165" s="55">
        <v>954670</v>
      </c>
      <c r="J165" s="55">
        <v>1106913</v>
      </c>
      <c r="K165" s="55">
        <v>1373030</v>
      </c>
      <c r="L165" s="55">
        <v>1823502</v>
      </c>
      <c r="M165" s="55">
        <v>2809513</v>
      </c>
      <c r="N165" s="55">
        <v>4214062</v>
      </c>
      <c r="O165" s="55">
        <v>4099310</v>
      </c>
      <c r="P165" s="55">
        <v>3289030</v>
      </c>
      <c r="Q165" s="55">
        <v>2750169</v>
      </c>
      <c r="R165" s="55">
        <v>2223870</v>
      </c>
      <c r="S165" s="55">
        <v>2009148</v>
      </c>
      <c r="T165" s="55">
        <v>1969921</v>
      </c>
      <c r="U165" s="55">
        <v>1942758</v>
      </c>
      <c r="V165" s="55">
        <v>1639992</v>
      </c>
      <c r="W165" s="55">
        <v>1600123</v>
      </c>
      <c r="X165" s="55">
        <v>1827812</v>
      </c>
      <c r="Y165" s="55">
        <v>2217463</v>
      </c>
      <c r="Z165" s="55">
        <v>2385446</v>
      </c>
      <c r="AA165" s="55">
        <v>2490544</v>
      </c>
      <c r="AB165" s="55">
        <v>3048615</v>
      </c>
      <c r="AC165" s="56">
        <v>2535834</v>
      </c>
      <c r="AD165" t="str">
        <f t="shared" si="2"/>
        <v>Summer</v>
      </c>
      <c r="AE165" t="str">
        <f>INDEX('Category Mapping'!$B$2:$B$29,MATCH('Source Data'!A165,'Category Mapping'!$A$2:$A$29,0))</f>
        <v>Weekend</v>
      </c>
      <c r="AF165" t="str">
        <f>INDEX('Category Mapping'!$C$2:$C$29,MATCH('Source Data'!A165,'Category Mapping'!$A$2:$A$29,0))</f>
        <v>Commercial</v>
      </c>
      <c r="AG165" t="str">
        <f>INDEX('Category Mapping'!$D$2:$D$29,MATCH('Source Data'!A165,'Category Mapping'!$A$2:$A$29,0))</f>
        <v>Appliances</v>
      </c>
    </row>
    <row r="166" spans="1:33" x14ac:dyDescent="0.25">
      <c r="A166" s="57" t="s">
        <v>103</v>
      </c>
      <c r="B166" s="58">
        <v>2019</v>
      </c>
      <c r="C166" s="58">
        <v>19</v>
      </c>
      <c r="D166" s="58" t="s">
        <v>208</v>
      </c>
      <c r="E166" s="58">
        <v>8</v>
      </c>
      <c r="F166" s="58">
        <v>1478380</v>
      </c>
      <c r="G166" s="58">
        <v>1078897</v>
      </c>
      <c r="H166" s="58">
        <v>955633</v>
      </c>
      <c r="I166" s="58">
        <v>954777</v>
      </c>
      <c r="J166" s="58">
        <v>1107038</v>
      </c>
      <c r="K166" s="58">
        <v>1373185</v>
      </c>
      <c r="L166" s="58">
        <v>1823708</v>
      </c>
      <c r="M166" s="58">
        <v>2809830</v>
      </c>
      <c r="N166" s="58">
        <v>4214538</v>
      </c>
      <c r="O166" s="58">
        <v>4099773</v>
      </c>
      <c r="P166" s="58">
        <v>3289401</v>
      </c>
      <c r="Q166" s="58">
        <v>2750480</v>
      </c>
      <c r="R166" s="58">
        <v>2224121</v>
      </c>
      <c r="S166" s="58">
        <v>2009375</v>
      </c>
      <c r="T166" s="58">
        <v>1970144</v>
      </c>
      <c r="U166" s="58">
        <v>1942977</v>
      </c>
      <c r="V166" s="58">
        <v>1640177</v>
      </c>
      <c r="W166" s="58">
        <v>1600304</v>
      </c>
      <c r="X166" s="58">
        <v>1828018</v>
      </c>
      <c r="Y166" s="58">
        <v>2217714</v>
      </c>
      <c r="Z166" s="58">
        <v>2385715</v>
      </c>
      <c r="AA166" s="58">
        <v>2490825</v>
      </c>
      <c r="AB166" s="58">
        <v>3048959</v>
      </c>
      <c r="AC166" s="59">
        <v>2536120</v>
      </c>
      <c r="AD166" t="str">
        <f t="shared" si="2"/>
        <v>Summer</v>
      </c>
      <c r="AE166" t="str">
        <f>INDEX('Category Mapping'!$B$2:$B$29,MATCH('Source Data'!A166,'Category Mapping'!$A$2:$A$29,0))</f>
        <v>Weekend</v>
      </c>
      <c r="AF166" t="str">
        <f>INDEX('Category Mapping'!$C$2:$C$29,MATCH('Source Data'!A166,'Category Mapping'!$A$2:$A$29,0))</f>
        <v>Commercial</v>
      </c>
      <c r="AG166" t="str">
        <f>INDEX('Category Mapping'!$D$2:$D$29,MATCH('Source Data'!A166,'Category Mapping'!$A$2:$A$29,0))</f>
        <v>Appliances</v>
      </c>
    </row>
    <row r="167" spans="1:33" x14ac:dyDescent="0.25">
      <c r="A167" s="54" t="s">
        <v>103</v>
      </c>
      <c r="B167" s="55">
        <v>2019</v>
      </c>
      <c r="C167" s="55">
        <v>19</v>
      </c>
      <c r="D167" s="55" t="s">
        <v>208</v>
      </c>
      <c r="E167" s="55">
        <v>9</v>
      </c>
      <c r="F167" s="55">
        <v>1511721</v>
      </c>
      <c r="G167" s="55">
        <v>1103228</v>
      </c>
      <c r="H167" s="55">
        <v>977185</v>
      </c>
      <c r="I167" s="55">
        <v>976309</v>
      </c>
      <c r="J167" s="55">
        <v>1132004</v>
      </c>
      <c r="K167" s="55">
        <v>1404153</v>
      </c>
      <c r="L167" s="55">
        <v>1864835</v>
      </c>
      <c r="M167" s="55">
        <v>2873197</v>
      </c>
      <c r="N167" s="55">
        <v>4309583</v>
      </c>
      <c r="O167" s="55">
        <v>4192230</v>
      </c>
      <c r="P167" s="55">
        <v>3363583</v>
      </c>
      <c r="Q167" s="55">
        <v>2812508</v>
      </c>
      <c r="R167" s="55">
        <v>2274279</v>
      </c>
      <c r="S167" s="55">
        <v>2054690</v>
      </c>
      <c r="T167" s="55">
        <v>2014574</v>
      </c>
      <c r="U167" s="55">
        <v>1986795</v>
      </c>
      <c r="V167" s="55">
        <v>1677166</v>
      </c>
      <c r="W167" s="55">
        <v>1636393</v>
      </c>
      <c r="X167" s="55">
        <v>1869243</v>
      </c>
      <c r="Y167" s="55">
        <v>2267727</v>
      </c>
      <c r="Z167" s="55">
        <v>2439517</v>
      </c>
      <c r="AA167" s="55">
        <v>2546998</v>
      </c>
      <c r="AB167" s="55">
        <v>3117719</v>
      </c>
      <c r="AC167" s="56">
        <v>2593314</v>
      </c>
      <c r="AD167" t="str">
        <f t="shared" si="2"/>
        <v>Fall</v>
      </c>
      <c r="AE167" t="str">
        <f>INDEX('Category Mapping'!$B$2:$B$29,MATCH('Source Data'!A167,'Category Mapping'!$A$2:$A$29,0))</f>
        <v>Weekend</v>
      </c>
      <c r="AF167" t="str">
        <f>INDEX('Category Mapping'!$C$2:$C$29,MATCH('Source Data'!A167,'Category Mapping'!$A$2:$A$29,0))</f>
        <v>Commercial</v>
      </c>
      <c r="AG167" t="str">
        <f>INDEX('Category Mapping'!$D$2:$D$29,MATCH('Source Data'!A167,'Category Mapping'!$A$2:$A$29,0))</f>
        <v>Appliances</v>
      </c>
    </row>
    <row r="168" spans="1:33" x14ac:dyDescent="0.25">
      <c r="A168" s="57" t="s">
        <v>103</v>
      </c>
      <c r="B168" s="58">
        <v>2019</v>
      </c>
      <c r="C168" s="58">
        <v>19</v>
      </c>
      <c r="D168" s="58" t="s">
        <v>208</v>
      </c>
      <c r="E168" s="58">
        <v>10</v>
      </c>
      <c r="F168" s="58">
        <v>1734523</v>
      </c>
      <c r="G168" s="58">
        <v>1265826</v>
      </c>
      <c r="H168" s="58">
        <v>1121205</v>
      </c>
      <c r="I168" s="58">
        <v>1120201</v>
      </c>
      <c r="J168" s="58">
        <v>1298842</v>
      </c>
      <c r="K168" s="58">
        <v>1611101</v>
      </c>
      <c r="L168" s="58">
        <v>2139681</v>
      </c>
      <c r="M168" s="58">
        <v>3296657</v>
      </c>
      <c r="N168" s="58">
        <v>4944743</v>
      </c>
      <c r="O168" s="58">
        <v>4810094</v>
      </c>
      <c r="P168" s="58">
        <v>3859319</v>
      </c>
      <c r="Q168" s="58">
        <v>3227024</v>
      </c>
      <c r="R168" s="58">
        <v>2609469</v>
      </c>
      <c r="S168" s="58">
        <v>2357517</v>
      </c>
      <c r="T168" s="58">
        <v>2311488</v>
      </c>
      <c r="U168" s="58">
        <v>2279615</v>
      </c>
      <c r="V168" s="58">
        <v>1924352</v>
      </c>
      <c r="W168" s="58">
        <v>1877570</v>
      </c>
      <c r="X168" s="58">
        <v>2144738</v>
      </c>
      <c r="Y168" s="58">
        <v>2601952</v>
      </c>
      <c r="Z168" s="58">
        <v>2799061</v>
      </c>
      <c r="AA168" s="58">
        <v>2922383</v>
      </c>
      <c r="AB168" s="58">
        <v>3577218</v>
      </c>
      <c r="AC168" s="59">
        <v>2975525</v>
      </c>
      <c r="AD168" t="str">
        <f t="shared" si="2"/>
        <v>Fall</v>
      </c>
      <c r="AE168" t="str">
        <f>INDEX('Category Mapping'!$B$2:$B$29,MATCH('Source Data'!A168,'Category Mapping'!$A$2:$A$29,0))</f>
        <v>Weekend</v>
      </c>
      <c r="AF168" t="str">
        <f>INDEX('Category Mapping'!$C$2:$C$29,MATCH('Source Data'!A168,'Category Mapping'!$A$2:$A$29,0))</f>
        <v>Commercial</v>
      </c>
      <c r="AG168" t="str">
        <f>INDEX('Category Mapping'!$D$2:$D$29,MATCH('Source Data'!A168,'Category Mapping'!$A$2:$A$29,0))</f>
        <v>Appliances</v>
      </c>
    </row>
    <row r="169" spans="1:33" x14ac:dyDescent="0.25">
      <c r="A169" s="54" t="s">
        <v>103</v>
      </c>
      <c r="B169" s="55">
        <v>2019</v>
      </c>
      <c r="C169" s="55">
        <v>19</v>
      </c>
      <c r="D169" s="55" t="s">
        <v>208</v>
      </c>
      <c r="E169" s="55">
        <v>11</v>
      </c>
      <c r="F169" s="55">
        <v>2052992</v>
      </c>
      <c r="G169" s="55">
        <v>1498239</v>
      </c>
      <c r="H169" s="55">
        <v>1327066</v>
      </c>
      <c r="I169" s="55">
        <v>1325877</v>
      </c>
      <c r="J169" s="55">
        <v>1537318</v>
      </c>
      <c r="K169" s="55">
        <v>1906910</v>
      </c>
      <c r="L169" s="55">
        <v>2532540</v>
      </c>
      <c r="M169" s="55">
        <v>3901945</v>
      </c>
      <c r="N169" s="55">
        <v>5852630</v>
      </c>
      <c r="O169" s="55">
        <v>5693259</v>
      </c>
      <c r="P169" s="55">
        <v>4567914</v>
      </c>
      <c r="Q169" s="55">
        <v>3819526</v>
      </c>
      <c r="R169" s="55">
        <v>3088584</v>
      </c>
      <c r="S169" s="55">
        <v>2790372</v>
      </c>
      <c r="T169" s="55">
        <v>2735892</v>
      </c>
      <c r="U169" s="55">
        <v>2698167</v>
      </c>
      <c r="V169" s="55">
        <v>2277675</v>
      </c>
      <c r="W169" s="55">
        <v>2222304</v>
      </c>
      <c r="X169" s="55">
        <v>2538526</v>
      </c>
      <c r="Y169" s="55">
        <v>3079687</v>
      </c>
      <c r="Z169" s="55">
        <v>3312986</v>
      </c>
      <c r="AA169" s="55">
        <v>3458950</v>
      </c>
      <c r="AB169" s="55">
        <v>4234018</v>
      </c>
      <c r="AC169" s="56">
        <v>3521851</v>
      </c>
      <c r="AD169" t="str">
        <f t="shared" si="2"/>
        <v>Winter</v>
      </c>
      <c r="AE169" t="str">
        <f>INDEX('Category Mapping'!$B$2:$B$29,MATCH('Source Data'!A169,'Category Mapping'!$A$2:$A$29,0))</f>
        <v>Weekend</v>
      </c>
      <c r="AF169" t="str">
        <f>INDEX('Category Mapping'!$C$2:$C$29,MATCH('Source Data'!A169,'Category Mapping'!$A$2:$A$29,0))</f>
        <v>Commercial</v>
      </c>
      <c r="AG169" t="str">
        <f>INDEX('Category Mapping'!$D$2:$D$29,MATCH('Source Data'!A169,'Category Mapping'!$A$2:$A$29,0))</f>
        <v>Appliances</v>
      </c>
    </row>
    <row r="170" spans="1:33" x14ac:dyDescent="0.25">
      <c r="A170" s="57" t="s">
        <v>103</v>
      </c>
      <c r="B170" s="58">
        <v>2019</v>
      </c>
      <c r="C170" s="58">
        <v>19</v>
      </c>
      <c r="D170" s="58" t="s">
        <v>208</v>
      </c>
      <c r="E170" s="58">
        <v>12</v>
      </c>
      <c r="F170" s="58">
        <v>2413079</v>
      </c>
      <c r="G170" s="58">
        <v>1761025</v>
      </c>
      <c r="H170" s="58">
        <v>1559828</v>
      </c>
      <c r="I170" s="58">
        <v>1558431</v>
      </c>
      <c r="J170" s="58">
        <v>1806958</v>
      </c>
      <c r="K170" s="58">
        <v>2241374</v>
      </c>
      <c r="L170" s="58">
        <v>2976737</v>
      </c>
      <c r="M170" s="58">
        <v>4586331</v>
      </c>
      <c r="N170" s="58">
        <v>6879158</v>
      </c>
      <c r="O170" s="58">
        <v>6691833</v>
      </c>
      <c r="P170" s="58">
        <v>5369108</v>
      </c>
      <c r="Q170" s="58">
        <v>4489456</v>
      </c>
      <c r="R170" s="58">
        <v>3630310</v>
      </c>
      <c r="S170" s="58">
        <v>3279791</v>
      </c>
      <c r="T170" s="58">
        <v>3215757</v>
      </c>
      <c r="U170" s="58">
        <v>3171414</v>
      </c>
      <c r="V170" s="58">
        <v>2677170</v>
      </c>
      <c r="W170" s="58">
        <v>2612087</v>
      </c>
      <c r="X170" s="58">
        <v>2983773</v>
      </c>
      <c r="Y170" s="58">
        <v>3619852</v>
      </c>
      <c r="Z170" s="58">
        <v>3894071</v>
      </c>
      <c r="AA170" s="58">
        <v>4065637</v>
      </c>
      <c r="AB170" s="58">
        <v>4976648</v>
      </c>
      <c r="AC170" s="59">
        <v>4139569</v>
      </c>
      <c r="AD170" t="str">
        <f t="shared" si="2"/>
        <v>Winter</v>
      </c>
      <c r="AE170" t="str">
        <f>INDEX('Category Mapping'!$B$2:$B$29,MATCH('Source Data'!A170,'Category Mapping'!$A$2:$A$29,0))</f>
        <v>Weekend</v>
      </c>
      <c r="AF170" t="str">
        <f>INDEX('Category Mapping'!$C$2:$C$29,MATCH('Source Data'!A170,'Category Mapping'!$A$2:$A$29,0))</f>
        <v>Commercial</v>
      </c>
      <c r="AG170" t="str">
        <f>INDEX('Category Mapping'!$D$2:$D$29,MATCH('Source Data'!A170,'Category Mapping'!$A$2:$A$29,0))</f>
        <v>Appliances</v>
      </c>
    </row>
    <row r="171" spans="1:33" x14ac:dyDescent="0.25">
      <c r="A171" s="14" t="s">
        <v>84</v>
      </c>
      <c r="B171" s="15">
        <v>2019</v>
      </c>
      <c r="C171" s="15">
        <v>19</v>
      </c>
      <c r="D171" s="15" t="s">
        <v>208</v>
      </c>
      <c r="E171" s="15">
        <v>1</v>
      </c>
      <c r="F171" s="30">
        <v>661000000</v>
      </c>
      <c r="G171" s="30">
        <v>660000000</v>
      </c>
      <c r="H171" s="30">
        <v>660000000</v>
      </c>
      <c r="I171" s="30">
        <v>660000000</v>
      </c>
      <c r="J171" s="30">
        <v>662000000</v>
      </c>
      <c r="K171" s="30">
        <v>666000000</v>
      </c>
      <c r="L171" s="30">
        <v>674000000</v>
      </c>
      <c r="M171" s="30">
        <v>681000000</v>
      </c>
      <c r="N171" s="30">
        <v>683000000</v>
      </c>
      <c r="O171" s="30">
        <v>682000000</v>
      </c>
      <c r="P171" s="30">
        <v>679000000</v>
      </c>
      <c r="Q171" s="30">
        <v>677000000</v>
      </c>
      <c r="R171" s="30">
        <v>675000000</v>
      </c>
      <c r="S171" s="30">
        <v>674000000</v>
      </c>
      <c r="T171" s="30">
        <v>675000000</v>
      </c>
      <c r="U171" s="30">
        <v>681000000</v>
      </c>
      <c r="V171" s="30">
        <v>687000000</v>
      </c>
      <c r="W171" s="30">
        <v>689000000</v>
      </c>
      <c r="X171" s="30">
        <v>685000000</v>
      </c>
      <c r="Y171" s="30">
        <v>681000000</v>
      </c>
      <c r="Z171" s="30">
        <v>677000000</v>
      </c>
      <c r="AA171" s="30">
        <v>671000000</v>
      </c>
      <c r="AB171" s="30">
        <v>665000000</v>
      </c>
      <c r="AC171" s="31">
        <v>662000000</v>
      </c>
      <c r="AD171" t="str">
        <f t="shared" si="2"/>
        <v>Winter</v>
      </c>
      <c r="AE171" t="str">
        <f>INDEX('Category Mapping'!$B$2:$B$29,MATCH('Source Data'!A171,'Category Mapping'!$A$2:$A$29,0))</f>
        <v>Weekday</v>
      </c>
      <c r="AF171" t="str">
        <f>INDEX('Category Mapping'!$C$2:$C$29,MATCH('Source Data'!A171,'Category Mapping'!$A$2:$A$29,0))</f>
        <v>Industry</v>
      </c>
      <c r="AG171" t="str">
        <f>INDEX('Category Mapping'!$D$2:$D$29,MATCH('Source Data'!A171,'Category Mapping'!$A$2:$A$29,0))</f>
        <v>Industry</v>
      </c>
    </row>
    <row r="172" spans="1:33" x14ac:dyDescent="0.25">
      <c r="A172" s="16" t="s">
        <v>84</v>
      </c>
      <c r="B172" s="17">
        <v>2019</v>
      </c>
      <c r="C172" s="17">
        <v>19</v>
      </c>
      <c r="D172" s="17" t="s">
        <v>208</v>
      </c>
      <c r="E172" s="17">
        <v>2</v>
      </c>
      <c r="F172" s="28">
        <v>663000000</v>
      </c>
      <c r="G172" s="28">
        <v>662000000</v>
      </c>
      <c r="H172" s="28">
        <v>662000000</v>
      </c>
      <c r="I172" s="28">
        <v>662000000</v>
      </c>
      <c r="J172" s="28">
        <v>664000000</v>
      </c>
      <c r="K172" s="28">
        <v>669000000</v>
      </c>
      <c r="L172" s="28">
        <v>677000000</v>
      </c>
      <c r="M172" s="28">
        <v>683000000</v>
      </c>
      <c r="N172" s="28">
        <v>685000000</v>
      </c>
      <c r="O172" s="28">
        <v>684000000</v>
      </c>
      <c r="P172" s="28">
        <v>681000000</v>
      </c>
      <c r="Q172" s="28">
        <v>679000000</v>
      </c>
      <c r="R172" s="28">
        <v>677000000</v>
      </c>
      <c r="S172" s="28">
        <v>676000000</v>
      </c>
      <c r="T172" s="28">
        <v>677000000</v>
      </c>
      <c r="U172" s="28">
        <v>683000000</v>
      </c>
      <c r="V172" s="28">
        <v>690000000</v>
      </c>
      <c r="W172" s="28">
        <v>691000000</v>
      </c>
      <c r="X172" s="28">
        <v>688000000</v>
      </c>
      <c r="Y172" s="28">
        <v>684000000</v>
      </c>
      <c r="Z172" s="28">
        <v>679000000</v>
      </c>
      <c r="AA172" s="28">
        <v>673000000</v>
      </c>
      <c r="AB172" s="28">
        <v>667000000</v>
      </c>
      <c r="AC172" s="29">
        <v>664000000</v>
      </c>
      <c r="AD172" t="str">
        <f t="shared" si="2"/>
        <v>Winter</v>
      </c>
      <c r="AE172" t="str">
        <f>INDEX('Category Mapping'!$B$2:$B$29,MATCH('Source Data'!A172,'Category Mapping'!$A$2:$A$29,0))</f>
        <v>Weekday</v>
      </c>
      <c r="AF172" t="str">
        <f>INDEX('Category Mapping'!$C$2:$C$29,MATCH('Source Data'!A172,'Category Mapping'!$A$2:$A$29,0))</f>
        <v>Industry</v>
      </c>
      <c r="AG172" t="str">
        <f>INDEX('Category Mapping'!$D$2:$D$29,MATCH('Source Data'!A172,'Category Mapping'!$A$2:$A$29,0))</f>
        <v>Industry</v>
      </c>
    </row>
    <row r="173" spans="1:33" x14ac:dyDescent="0.25">
      <c r="A173" s="14" t="s">
        <v>84</v>
      </c>
      <c r="B173" s="15">
        <v>2019</v>
      </c>
      <c r="C173" s="15">
        <v>19</v>
      </c>
      <c r="D173" s="15" t="s">
        <v>208</v>
      </c>
      <c r="E173" s="15">
        <v>3</v>
      </c>
      <c r="F173" s="30">
        <v>664000000</v>
      </c>
      <c r="G173" s="30">
        <v>663000000</v>
      </c>
      <c r="H173" s="30">
        <v>663000000</v>
      </c>
      <c r="I173" s="30">
        <v>663000000</v>
      </c>
      <c r="J173" s="30">
        <v>665000000</v>
      </c>
      <c r="K173" s="30">
        <v>670000000</v>
      </c>
      <c r="L173" s="30">
        <v>677000000</v>
      </c>
      <c r="M173" s="30">
        <v>684000000</v>
      </c>
      <c r="N173" s="30">
        <v>686000000</v>
      </c>
      <c r="O173" s="30">
        <v>685000000</v>
      </c>
      <c r="P173" s="30">
        <v>682000000</v>
      </c>
      <c r="Q173" s="30">
        <v>680000000</v>
      </c>
      <c r="R173" s="30">
        <v>678000000</v>
      </c>
      <c r="S173" s="30">
        <v>677000000</v>
      </c>
      <c r="T173" s="30">
        <v>678000000</v>
      </c>
      <c r="U173" s="30">
        <v>684000000</v>
      </c>
      <c r="V173" s="30">
        <v>691000000</v>
      </c>
      <c r="W173" s="30">
        <v>692000000</v>
      </c>
      <c r="X173" s="30">
        <v>689000000</v>
      </c>
      <c r="Y173" s="30">
        <v>685000000</v>
      </c>
      <c r="Z173" s="30">
        <v>680000000</v>
      </c>
      <c r="AA173" s="30">
        <v>674000000</v>
      </c>
      <c r="AB173" s="30">
        <v>668000000</v>
      </c>
      <c r="AC173" s="31">
        <v>665000000</v>
      </c>
      <c r="AD173" t="str">
        <f t="shared" si="2"/>
        <v>Spring</v>
      </c>
      <c r="AE173" t="str">
        <f>INDEX('Category Mapping'!$B$2:$B$29,MATCH('Source Data'!A173,'Category Mapping'!$A$2:$A$29,0))</f>
        <v>Weekday</v>
      </c>
      <c r="AF173" t="str">
        <f>INDEX('Category Mapping'!$C$2:$C$29,MATCH('Source Data'!A173,'Category Mapping'!$A$2:$A$29,0))</f>
        <v>Industry</v>
      </c>
      <c r="AG173" t="str">
        <f>INDEX('Category Mapping'!$D$2:$D$29,MATCH('Source Data'!A173,'Category Mapping'!$A$2:$A$29,0))</f>
        <v>Industry</v>
      </c>
    </row>
    <row r="174" spans="1:33" x14ac:dyDescent="0.25">
      <c r="A174" s="16" t="s">
        <v>84</v>
      </c>
      <c r="B174" s="17">
        <v>2019</v>
      </c>
      <c r="C174" s="17">
        <v>19</v>
      </c>
      <c r="D174" s="17" t="s">
        <v>208</v>
      </c>
      <c r="E174" s="17">
        <v>4</v>
      </c>
      <c r="F174" s="28">
        <v>638000000</v>
      </c>
      <c r="G174" s="28">
        <v>637000000</v>
      </c>
      <c r="H174" s="28">
        <v>637000000</v>
      </c>
      <c r="I174" s="28">
        <v>637000000</v>
      </c>
      <c r="J174" s="28">
        <v>639000000</v>
      </c>
      <c r="K174" s="28">
        <v>643000000</v>
      </c>
      <c r="L174" s="28">
        <v>650000000</v>
      </c>
      <c r="M174" s="28">
        <v>656000000</v>
      </c>
      <c r="N174" s="28">
        <v>658000000</v>
      </c>
      <c r="O174" s="28">
        <v>657000000</v>
      </c>
      <c r="P174" s="28">
        <v>654000000</v>
      </c>
      <c r="Q174" s="28">
        <v>652000000</v>
      </c>
      <c r="R174" s="28">
        <v>650000000</v>
      </c>
      <c r="S174" s="28">
        <v>650000000</v>
      </c>
      <c r="T174" s="28">
        <v>651000000</v>
      </c>
      <c r="U174" s="28">
        <v>656000000</v>
      </c>
      <c r="V174" s="28">
        <v>662000000</v>
      </c>
      <c r="W174" s="28">
        <v>663000000</v>
      </c>
      <c r="X174" s="28">
        <v>660000000</v>
      </c>
      <c r="Y174" s="28">
        <v>656000000</v>
      </c>
      <c r="Z174" s="28">
        <v>652000000</v>
      </c>
      <c r="AA174" s="28">
        <v>647000000</v>
      </c>
      <c r="AB174" s="28">
        <v>642000000</v>
      </c>
      <c r="AC174" s="29">
        <v>638000000</v>
      </c>
      <c r="AD174" t="str">
        <f t="shared" si="2"/>
        <v>Spring</v>
      </c>
      <c r="AE174" t="str">
        <f>INDEX('Category Mapping'!$B$2:$B$29,MATCH('Source Data'!A174,'Category Mapping'!$A$2:$A$29,0))</f>
        <v>Weekday</v>
      </c>
      <c r="AF174" t="str">
        <f>INDEX('Category Mapping'!$C$2:$C$29,MATCH('Source Data'!A174,'Category Mapping'!$A$2:$A$29,0))</f>
        <v>Industry</v>
      </c>
      <c r="AG174" t="str">
        <f>INDEX('Category Mapping'!$D$2:$D$29,MATCH('Source Data'!A174,'Category Mapping'!$A$2:$A$29,0))</f>
        <v>Industry</v>
      </c>
    </row>
    <row r="175" spans="1:33" x14ac:dyDescent="0.25">
      <c r="A175" s="14" t="s">
        <v>84</v>
      </c>
      <c r="B175" s="15">
        <v>2019</v>
      </c>
      <c r="C175" s="15">
        <v>19</v>
      </c>
      <c r="D175" s="15" t="s">
        <v>208</v>
      </c>
      <c r="E175" s="15">
        <v>5</v>
      </c>
      <c r="F175" s="30">
        <v>646000000</v>
      </c>
      <c r="G175" s="30">
        <v>645000000</v>
      </c>
      <c r="H175" s="30">
        <v>645000000</v>
      </c>
      <c r="I175" s="30">
        <v>645000000</v>
      </c>
      <c r="J175" s="30">
        <v>647000000</v>
      </c>
      <c r="K175" s="30">
        <v>652000000</v>
      </c>
      <c r="L175" s="30">
        <v>659000000</v>
      </c>
      <c r="M175" s="30">
        <v>665000000</v>
      </c>
      <c r="N175" s="30">
        <v>667000000</v>
      </c>
      <c r="O175" s="30">
        <v>666000000</v>
      </c>
      <c r="P175" s="30">
        <v>664000000</v>
      </c>
      <c r="Q175" s="30">
        <v>662000000</v>
      </c>
      <c r="R175" s="30">
        <v>659000000</v>
      </c>
      <c r="S175" s="30">
        <v>659000000</v>
      </c>
      <c r="T175" s="30">
        <v>660000000</v>
      </c>
      <c r="U175" s="30">
        <v>665000000</v>
      </c>
      <c r="V175" s="30">
        <v>672000000</v>
      </c>
      <c r="W175" s="30">
        <v>673000000</v>
      </c>
      <c r="X175" s="30">
        <v>670000000</v>
      </c>
      <c r="Y175" s="30">
        <v>666000000</v>
      </c>
      <c r="Z175" s="30">
        <v>661000000</v>
      </c>
      <c r="AA175" s="30">
        <v>656000000</v>
      </c>
      <c r="AB175" s="30">
        <v>650000000</v>
      </c>
      <c r="AC175" s="31">
        <v>647000000</v>
      </c>
      <c r="AD175" t="str">
        <f t="shared" si="2"/>
        <v>Spring</v>
      </c>
      <c r="AE175" t="str">
        <f>INDEX('Category Mapping'!$B$2:$B$29,MATCH('Source Data'!A175,'Category Mapping'!$A$2:$A$29,0))</f>
        <v>Weekday</v>
      </c>
      <c r="AF175" t="str">
        <f>INDEX('Category Mapping'!$C$2:$C$29,MATCH('Source Data'!A175,'Category Mapping'!$A$2:$A$29,0))</f>
        <v>Industry</v>
      </c>
      <c r="AG175" t="str">
        <f>INDEX('Category Mapping'!$D$2:$D$29,MATCH('Source Data'!A175,'Category Mapping'!$A$2:$A$29,0))</f>
        <v>Industry</v>
      </c>
    </row>
    <row r="176" spans="1:33" x14ac:dyDescent="0.25">
      <c r="A176" s="16" t="s">
        <v>84</v>
      </c>
      <c r="B176" s="17">
        <v>2019</v>
      </c>
      <c r="C176" s="17">
        <v>19</v>
      </c>
      <c r="D176" s="17" t="s">
        <v>208</v>
      </c>
      <c r="E176" s="17">
        <v>6</v>
      </c>
      <c r="F176" s="28">
        <v>659000000</v>
      </c>
      <c r="G176" s="28">
        <v>658000000</v>
      </c>
      <c r="H176" s="28">
        <v>658000000</v>
      </c>
      <c r="I176" s="28">
        <v>658000000</v>
      </c>
      <c r="J176" s="28">
        <v>660000000</v>
      </c>
      <c r="K176" s="28">
        <v>665000000</v>
      </c>
      <c r="L176" s="28">
        <v>673000000</v>
      </c>
      <c r="M176" s="28">
        <v>679000000</v>
      </c>
      <c r="N176" s="28">
        <v>682000000</v>
      </c>
      <c r="O176" s="28">
        <v>680000000</v>
      </c>
      <c r="P176" s="28">
        <v>678000000</v>
      </c>
      <c r="Q176" s="28">
        <v>675000000</v>
      </c>
      <c r="R176" s="28">
        <v>673000000</v>
      </c>
      <c r="S176" s="28">
        <v>673000000</v>
      </c>
      <c r="T176" s="28">
        <v>674000000</v>
      </c>
      <c r="U176" s="28">
        <v>680000000</v>
      </c>
      <c r="V176" s="28">
        <v>686000000</v>
      </c>
      <c r="W176" s="28">
        <v>688000000</v>
      </c>
      <c r="X176" s="28">
        <v>684000000</v>
      </c>
      <c r="Y176" s="28">
        <v>680000000</v>
      </c>
      <c r="Z176" s="28">
        <v>675000000</v>
      </c>
      <c r="AA176" s="28">
        <v>669000000</v>
      </c>
      <c r="AB176" s="28">
        <v>664000000</v>
      </c>
      <c r="AC176" s="29">
        <v>660000000</v>
      </c>
      <c r="AD176" t="str">
        <f t="shared" si="2"/>
        <v>Summer</v>
      </c>
      <c r="AE176" t="str">
        <f>INDEX('Category Mapping'!$B$2:$B$29,MATCH('Source Data'!A176,'Category Mapping'!$A$2:$A$29,0))</f>
        <v>Weekday</v>
      </c>
      <c r="AF176" t="str">
        <f>INDEX('Category Mapping'!$C$2:$C$29,MATCH('Source Data'!A176,'Category Mapping'!$A$2:$A$29,0))</f>
        <v>Industry</v>
      </c>
      <c r="AG176" t="str">
        <f>INDEX('Category Mapping'!$D$2:$D$29,MATCH('Source Data'!A176,'Category Mapping'!$A$2:$A$29,0))</f>
        <v>Industry</v>
      </c>
    </row>
    <row r="177" spans="1:33" x14ac:dyDescent="0.25">
      <c r="A177" s="14" t="s">
        <v>84</v>
      </c>
      <c r="B177" s="15">
        <v>2019</v>
      </c>
      <c r="C177" s="15">
        <v>19</v>
      </c>
      <c r="D177" s="15" t="s">
        <v>208</v>
      </c>
      <c r="E177" s="15">
        <v>7</v>
      </c>
      <c r="F177" s="30">
        <v>618000000</v>
      </c>
      <c r="G177" s="30">
        <v>617000000</v>
      </c>
      <c r="H177" s="30">
        <v>617000000</v>
      </c>
      <c r="I177" s="30">
        <v>617000000</v>
      </c>
      <c r="J177" s="30">
        <v>619000000</v>
      </c>
      <c r="K177" s="30">
        <v>623000000</v>
      </c>
      <c r="L177" s="30">
        <v>630000000</v>
      </c>
      <c r="M177" s="30">
        <v>637000000</v>
      </c>
      <c r="N177" s="30">
        <v>639000000</v>
      </c>
      <c r="O177" s="30">
        <v>638000000</v>
      </c>
      <c r="P177" s="30">
        <v>635000000</v>
      </c>
      <c r="Q177" s="30">
        <v>633000000</v>
      </c>
      <c r="R177" s="30">
        <v>631000000</v>
      </c>
      <c r="S177" s="30">
        <v>630000000</v>
      </c>
      <c r="T177" s="30">
        <v>631000000</v>
      </c>
      <c r="U177" s="30">
        <v>637000000</v>
      </c>
      <c r="V177" s="30">
        <v>643000000</v>
      </c>
      <c r="W177" s="30">
        <v>644000000</v>
      </c>
      <c r="X177" s="30">
        <v>641000000</v>
      </c>
      <c r="Y177" s="30">
        <v>637000000</v>
      </c>
      <c r="Z177" s="30">
        <v>633000000</v>
      </c>
      <c r="AA177" s="30">
        <v>627000000</v>
      </c>
      <c r="AB177" s="30">
        <v>622000000</v>
      </c>
      <c r="AC177" s="31">
        <v>619000000</v>
      </c>
      <c r="AD177" t="str">
        <f t="shared" si="2"/>
        <v>Summer</v>
      </c>
      <c r="AE177" t="str">
        <f>INDEX('Category Mapping'!$B$2:$B$29,MATCH('Source Data'!A177,'Category Mapping'!$A$2:$A$29,0))</f>
        <v>Weekday</v>
      </c>
      <c r="AF177" t="str">
        <f>INDEX('Category Mapping'!$C$2:$C$29,MATCH('Source Data'!A177,'Category Mapping'!$A$2:$A$29,0))</f>
        <v>Industry</v>
      </c>
      <c r="AG177" t="str">
        <f>INDEX('Category Mapping'!$D$2:$D$29,MATCH('Source Data'!A177,'Category Mapping'!$A$2:$A$29,0))</f>
        <v>Industry</v>
      </c>
    </row>
    <row r="178" spans="1:33" x14ac:dyDescent="0.25">
      <c r="A178" s="16" t="s">
        <v>84</v>
      </c>
      <c r="B178" s="17">
        <v>2019</v>
      </c>
      <c r="C178" s="17">
        <v>19</v>
      </c>
      <c r="D178" s="17" t="s">
        <v>208</v>
      </c>
      <c r="E178" s="17">
        <v>8</v>
      </c>
      <c r="F178" s="28">
        <v>652000000</v>
      </c>
      <c r="G178" s="28">
        <v>651000000</v>
      </c>
      <c r="H178" s="28">
        <v>651000000</v>
      </c>
      <c r="I178" s="28">
        <v>651000000</v>
      </c>
      <c r="J178" s="28">
        <v>653000000</v>
      </c>
      <c r="K178" s="28">
        <v>658000000</v>
      </c>
      <c r="L178" s="28">
        <v>666000000</v>
      </c>
      <c r="M178" s="28">
        <v>673000000</v>
      </c>
      <c r="N178" s="28">
        <v>675000000</v>
      </c>
      <c r="O178" s="28">
        <v>674000000</v>
      </c>
      <c r="P178" s="28">
        <v>671000000</v>
      </c>
      <c r="Q178" s="28">
        <v>669000000</v>
      </c>
      <c r="R178" s="28">
        <v>667000000</v>
      </c>
      <c r="S178" s="28">
        <v>666000000</v>
      </c>
      <c r="T178" s="28">
        <v>667000000</v>
      </c>
      <c r="U178" s="28">
        <v>673000000</v>
      </c>
      <c r="V178" s="28">
        <v>680000000</v>
      </c>
      <c r="W178" s="28">
        <v>682000000</v>
      </c>
      <c r="X178" s="28">
        <v>678000000</v>
      </c>
      <c r="Y178" s="28">
        <v>673000000</v>
      </c>
      <c r="Z178" s="28">
        <v>669000000</v>
      </c>
      <c r="AA178" s="28">
        <v>663000000</v>
      </c>
      <c r="AB178" s="28">
        <v>657000000</v>
      </c>
      <c r="AC178" s="29">
        <v>653000000</v>
      </c>
      <c r="AD178" t="str">
        <f t="shared" si="2"/>
        <v>Summer</v>
      </c>
      <c r="AE178" t="str">
        <f>INDEX('Category Mapping'!$B$2:$B$29,MATCH('Source Data'!A178,'Category Mapping'!$A$2:$A$29,0))</f>
        <v>Weekday</v>
      </c>
      <c r="AF178" t="str">
        <f>INDEX('Category Mapping'!$C$2:$C$29,MATCH('Source Data'!A178,'Category Mapping'!$A$2:$A$29,0))</f>
        <v>Industry</v>
      </c>
      <c r="AG178" t="str">
        <f>INDEX('Category Mapping'!$D$2:$D$29,MATCH('Source Data'!A178,'Category Mapping'!$A$2:$A$29,0))</f>
        <v>Industry</v>
      </c>
    </row>
    <row r="179" spans="1:33" x14ac:dyDescent="0.25">
      <c r="A179" s="14" t="s">
        <v>84</v>
      </c>
      <c r="B179" s="15">
        <v>2019</v>
      </c>
      <c r="C179" s="15">
        <v>19</v>
      </c>
      <c r="D179" s="15" t="s">
        <v>208</v>
      </c>
      <c r="E179" s="15">
        <v>9</v>
      </c>
      <c r="F179" s="30">
        <v>657000000</v>
      </c>
      <c r="G179" s="30">
        <v>656000000</v>
      </c>
      <c r="H179" s="30">
        <v>655000000</v>
      </c>
      <c r="I179" s="30">
        <v>656000000</v>
      </c>
      <c r="J179" s="30">
        <v>658000000</v>
      </c>
      <c r="K179" s="30">
        <v>662000000</v>
      </c>
      <c r="L179" s="30">
        <v>670000000</v>
      </c>
      <c r="M179" s="30">
        <v>677000000</v>
      </c>
      <c r="N179" s="30">
        <v>679000000</v>
      </c>
      <c r="O179" s="30">
        <v>678000000</v>
      </c>
      <c r="P179" s="30">
        <v>675000000</v>
      </c>
      <c r="Q179" s="30">
        <v>673000000</v>
      </c>
      <c r="R179" s="30">
        <v>671000000</v>
      </c>
      <c r="S179" s="30">
        <v>670000000</v>
      </c>
      <c r="T179" s="30">
        <v>671000000</v>
      </c>
      <c r="U179" s="30">
        <v>677000000</v>
      </c>
      <c r="V179" s="30">
        <v>683000000</v>
      </c>
      <c r="W179" s="30">
        <v>685000000</v>
      </c>
      <c r="X179" s="30">
        <v>681000000</v>
      </c>
      <c r="Y179" s="30">
        <v>677000000</v>
      </c>
      <c r="Z179" s="30">
        <v>672000000</v>
      </c>
      <c r="AA179" s="30">
        <v>667000000</v>
      </c>
      <c r="AB179" s="30">
        <v>661000000</v>
      </c>
      <c r="AC179" s="31">
        <v>657000000</v>
      </c>
      <c r="AD179" t="str">
        <f t="shared" si="2"/>
        <v>Fall</v>
      </c>
      <c r="AE179" t="str">
        <f>INDEX('Category Mapping'!$B$2:$B$29,MATCH('Source Data'!A179,'Category Mapping'!$A$2:$A$29,0))</f>
        <v>Weekday</v>
      </c>
      <c r="AF179" t="str">
        <f>INDEX('Category Mapping'!$C$2:$C$29,MATCH('Source Data'!A179,'Category Mapping'!$A$2:$A$29,0))</f>
        <v>Industry</v>
      </c>
      <c r="AG179" t="str">
        <f>INDEX('Category Mapping'!$D$2:$D$29,MATCH('Source Data'!A179,'Category Mapping'!$A$2:$A$29,0))</f>
        <v>Industry</v>
      </c>
    </row>
    <row r="180" spans="1:33" x14ac:dyDescent="0.25">
      <c r="A180" s="16" t="s">
        <v>84</v>
      </c>
      <c r="B180" s="17">
        <v>2019</v>
      </c>
      <c r="C180" s="17">
        <v>19</v>
      </c>
      <c r="D180" s="17" t="s">
        <v>208</v>
      </c>
      <c r="E180" s="17">
        <v>10</v>
      </c>
      <c r="F180" s="28">
        <v>653000000</v>
      </c>
      <c r="G180" s="28">
        <v>652000000</v>
      </c>
      <c r="H180" s="28">
        <v>652000000</v>
      </c>
      <c r="I180" s="28">
        <v>652000000</v>
      </c>
      <c r="J180" s="28">
        <v>654000000</v>
      </c>
      <c r="K180" s="28">
        <v>659000000</v>
      </c>
      <c r="L180" s="28">
        <v>666000000</v>
      </c>
      <c r="M180" s="28">
        <v>673000000</v>
      </c>
      <c r="N180" s="28">
        <v>675000000</v>
      </c>
      <c r="O180" s="28">
        <v>674000000</v>
      </c>
      <c r="P180" s="28">
        <v>671000000</v>
      </c>
      <c r="Q180" s="28">
        <v>669000000</v>
      </c>
      <c r="R180" s="28">
        <v>667000000</v>
      </c>
      <c r="S180" s="28">
        <v>666000000</v>
      </c>
      <c r="T180" s="28">
        <v>667000000</v>
      </c>
      <c r="U180" s="28">
        <v>673000000</v>
      </c>
      <c r="V180" s="28">
        <v>680000000</v>
      </c>
      <c r="W180" s="28">
        <v>681000000</v>
      </c>
      <c r="X180" s="28">
        <v>678000000</v>
      </c>
      <c r="Y180" s="28">
        <v>673000000</v>
      </c>
      <c r="Z180" s="28">
        <v>669000000</v>
      </c>
      <c r="AA180" s="28">
        <v>663000000</v>
      </c>
      <c r="AB180" s="28">
        <v>657000000</v>
      </c>
      <c r="AC180" s="29">
        <v>654000000</v>
      </c>
      <c r="AD180" t="str">
        <f t="shared" si="2"/>
        <v>Fall</v>
      </c>
      <c r="AE180" t="str">
        <f>INDEX('Category Mapping'!$B$2:$B$29,MATCH('Source Data'!A180,'Category Mapping'!$A$2:$A$29,0))</f>
        <v>Weekday</v>
      </c>
      <c r="AF180" t="str">
        <f>INDEX('Category Mapping'!$C$2:$C$29,MATCH('Source Data'!A180,'Category Mapping'!$A$2:$A$29,0))</f>
        <v>Industry</v>
      </c>
      <c r="AG180" t="str">
        <f>INDEX('Category Mapping'!$D$2:$D$29,MATCH('Source Data'!A180,'Category Mapping'!$A$2:$A$29,0))</f>
        <v>Industry</v>
      </c>
    </row>
    <row r="181" spans="1:33" x14ac:dyDescent="0.25">
      <c r="A181" s="14" t="s">
        <v>84</v>
      </c>
      <c r="B181" s="15">
        <v>2019</v>
      </c>
      <c r="C181" s="15">
        <v>19</v>
      </c>
      <c r="D181" s="15" t="s">
        <v>208</v>
      </c>
      <c r="E181" s="15">
        <v>11</v>
      </c>
      <c r="F181" s="30">
        <v>661000000</v>
      </c>
      <c r="G181" s="30">
        <v>660000000</v>
      </c>
      <c r="H181" s="30">
        <v>660000000</v>
      </c>
      <c r="I181" s="30">
        <v>660000000</v>
      </c>
      <c r="J181" s="30">
        <v>662000000</v>
      </c>
      <c r="K181" s="30">
        <v>667000000</v>
      </c>
      <c r="L181" s="30">
        <v>675000000</v>
      </c>
      <c r="M181" s="30">
        <v>681000000</v>
      </c>
      <c r="N181" s="30">
        <v>683000000</v>
      </c>
      <c r="O181" s="30">
        <v>682000000</v>
      </c>
      <c r="P181" s="30">
        <v>680000000</v>
      </c>
      <c r="Q181" s="30">
        <v>677000000</v>
      </c>
      <c r="R181" s="30">
        <v>675000000</v>
      </c>
      <c r="S181" s="30">
        <v>674000000</v>
      </c>
      <c r="T181" s="30">
        <v>675000000</v>
      </c>
      <c r="U181" s="30">
        <v>681000000</v>
      </c>
      <c r="V181" s="30">
        <v>688000000</v>
      </c>
      <c r="W181" s="30">
        <v>690000000</v>
      </c>
      <c r="X181" s="30">
        <v>686000000</v>
      </c>
      <c r="Y181" s="30">
        <v>682000000</v>
      </c>
      <c r="Z181" s="30">
        <v>677000000</v>
      </c>
      <c r="AA181" s="30">
        <v>671000000</v>
      </c>
      <c r="AB181" s="30">
        <v>665000000</v>
      </c>
      <c r="AC181" s="31">
        <v>662000000</v>
      </c>
      <c r="AD181" t="str">
        <f t="shared" si="2"/>
        <v>Winter</v>
      </c>
      <c r="AE181" t="str">
        <f>INDEX('Category Mapping'!$B$2:$B$29,MATCH('Source Data'!A181,'Category Mapping'!$A$2:$A$29,0))</f>
        <v>Weekday</v>
      </c>
      <c r="AF181" t="str">
        <f>INDEX('Category Mapping'!$C$2:$C$29,MATCH('Source Data'!A181,'Category Mapping'!$A$2:$A$29,0))</f>
        <v>Industry</v>
      </c>
      <c r="AG181" t="str">
        <f>INDEX('Category Mapping'!$D$2:$D$29,MATCH('Source Data'!A181,'Category Mapping'!$A$2:$A$29,0))</f>
        <v>Industry</v>
      </c>
    </row>
    <row r="182" spans="1:33" x14ac:dyDescent="0.25">
      <c r="A182" s="16" t="s">
        <v>84</v>
      </c>
      <c r="B182" s="17">
        <v>2019</v>
      </c>
      <c r="C182" s="17">
        <v>19</v>
      </c>
      <c r="D182" s="17" t="s">
        <v>208</v>
      </c>
      <c r="E182" s="17">
        <v>12</v>
      </c>
      <c r="F182" s="28">
        <v>621000000</v>
      </c>
      <c r="G182" s="28">
        <v>621000000</v>
      </c>
      <c r="H182" s="28">
        <v>620000000</v>
      </c>
      <c r="I182" s="28">
        <v>620000000</v>
      </c>
      <c r="J182" s="28">
        <v>622000000</v>
      </c>
      <c r="K182" s="28">
        <v>626000000</v>
      </c>
      <c r="L182" s="28">
        <v>633000000</v>
      </c>
      <c r="M182" s="28">
        <v>639000000</v>
      </c>
      <c r="N182" s="28">
        <v>641000000</v>
      </c>
      <c r="O182" s="28">
        <v>640000000</v>
      </c>
      <c r="P182" s="28">
        <v>637000000</v>
      </c>
      <c r="Q182" s="28">
        <v>635000000</v>
      </c>
      <c r="R182" s="28">
        <v>634000000</v>
      </c>
      <c r="S182" s="28">
        <v>633000000</v>
      </c>
      <c r="T182" s="28">
        <v>634000000</v>
      </c>
      <c r="U182" s="28">
        <v>639000000</v>
      </c>
      <c r="V182" s="28">
        <v>645000000</v>
      </c>
      <c r="W182" s="28">
        <v>646000000</v>
      </c>
      <c r="X182" s="28">
        <v>643000000</v>
      </c>
      <c r="Y182" s="28">
        <v>639000000</v>
      </c>
      <c r="Z182" s="28">
        <v>635000000</v>
      </c>
      <c r="AA182" s="28">
        <v>630000000</v>
      </c>
      <c r="AB182" s="28">
        <v>625000000</v>
      </c>
      <c r="AC182" s="29">
        <v>622000000</v>
      </c>
      <c r="AD182" t="str">
        <f t="shared" si="2"/>
        <v>Winter</v>
      </c>
      <c r="AE182" t="str">
        <f>INDEX('Category Mapping'!$B$2:$B$29,MATCH('Source Data'!A182,'Category Mapping'!$A$2:$A$29,0))</f>
        <v>Weekday</v>
      </c>
      <c r="AF182" t="str">
        <f>INDEX('Category Mapping'!$C$2:$C$29,MATCH('Source Data'!A182,'Category Mapping'!$A$2:$A$29,0))</f>
        <v>Industry</v>
      </c>
      <c r="AG182" t="str">
        <f>INDEX('Category Mapping'!$D$2:$D$29,MATCH('Source Data'!A182,'Category Mapping'!$A$2:$A$29,0))</f>
        <v>Industry</v>
      </c>
    </row>
    <row r="183" spans="1:33" x14ac:dyDescent="0.25">
      <c r="A183" s="14" t="s">
        <v>85</v>
      </c>
      <c r="B183" s="15">
        <v>2019</v>
      </c>
      <c r="C183" s="15">
        <v>19</v>
      </c>
      <c r="D183" s="15" t="s">
        <v>208</v>
      </c>
      <c r="E183" s="15">
        <v>1</v>
      </c>
      <c r="F183" s="30">
        <v>343000000</v>
      </c>
      <c r="G183" s="30">
        <v>342000000</v>
      </c>
      <c r="H183" s="30">
        <v>342000000</v>
      </c>
      <c r="I183" s="30">
        <v>343000000</v>
      </c>
      <c r="J183" s="30">
        <v>346000000</v>
      </c>
      <c r="K183" s="30">
        <v>349000000</v>
      </c>
      <c r="L183" s="30">
        <v>351000000</v>
      </c>
      <c r="M183" s="30">
        <v>351000000</v>
      </c>
      <c r="N183" s="30">
        <v>350000000</v>
      </c>
      <c r="O183" s="30">
        <v>349000000</v>
      </c>
      <c r="P183" s="30">
        <v>348000000</v>
      </c>
      <c r="Q183" s="30">
        <v>347000000</v>
      </c>
      <c r="R183" s="30">
        <v>347000000</v>
      </c>
      <c r="S183" s="30">
        <v>347000000</v>
      </c>
      <c r="T183" s="30">
        <v>349000000</v>
      </c>
      <c r="U183" s="30">
        <v>352000000</v>
      </c>
      <c r="V183" s="30">
        <v>357000000</v>
      </c>
      <c r="W183" s="30">
        <v>357000000</v>
      </c>
      <c r="X183" s="30">
        <v>356000000</v>
      </c>
      <c r="Y183" s="30">
        <v>354000000</v>
      </c>
      <c r="Z183" s="30">
        <v>352000000</v>
      </c>
      <c r="AA183" s="30">
        <v>349000000</v>
      </c>
      <c r="AB183" s="30">
        <v>346000000</v>
      </c>
      <c r="AC183" s="31">
        <v>344000000</v>
      </c>
      <c r="AD183" t="str">
        <f t="shared" si="2"/>
        <v>Winter</v>
      </c>
      <c r="AE183" t="str">
        <f>INDEX('Category Mapping'!$B$2:$B$29,MATCH('Source Data'!A183,'Category Mapping'!$A$2:$A$29,0))</f>
        <v>Weekend</v>
      </c>
      <c r="AF183" t="str">
        <f>INDEX('Category Mapping'!$C$2:$C$29,MATCH('Source Data'!A183,'Category Mapping'!$A$2:$A$29,0))</f>
        <v>Industry</v>
      </c>
      <c r="AG183" t="str">
        <f>INDEX('Category Mapping'!$D$2:$D$29,MATCH('Source Data'!A183,'Category Mapping'!$A$2:$A$29,0))</f>
        <v>Industry</v>
      </c>
    </row>
    <row r="184" spans="1:33" x14ac:dyDescent="0.25">
      <c r="A184" s="16" t="s">
        <v>85</v>
      </c>
      <c r="B184" s="17">
        <v>2019</v>
      </c>
      <c r="C184" s="17">
        <v>19</v>
      </c>
      <c r="D184" s="17" t="s">
        <v>208</v>
      </c>
      <c r="E184" s="17">
        <v>2</v>
      </c>
      <c r="F184" s="28">
        <v>344000000</v>
      </c>
      <c r="G184" s="28">
        <v>343000000</v>
      </c>
      <c r="H184" s="28">
        <v>343000000</v>
      </c>
      <c r="I184" s="28">
        <v>344000000</v>
      </c>
      <c r="J184" s="28">
        <v>347000000</v>
      </c>
      <c r="K184" s="28">
        <v>350000000</v>
      </c>
      <c r="L184" s="28">
        <v>352000000</v>
      </c>
      <c r="M184" s="28">
        <v>352000000</v>
      </c>
      <c r="N184" s="28">
        <v>352000000</v>
      </c>
      <c r="O184" s="28">
        <v>350000000</v>
      </c>
      <c r="P184" s="28">
        <v>349000000</v>
      </c>
      <c r="Q184" s="28">
        <v>349000000</v>
      </c>
      <c r="R184" s="28">
        <v>348000000</v>
      </c>
      <c r="S184" s="28">
        <v>349000000</v>
      </c>
      <c r="T184" s="28">
        <v>350000000</v>
      </c>
      <c r="U184" s="28">
        <v>354000000</v>
      </c>
      <c r="V184" s="28">
        <v>358000000</v>
      </c>
      <c r="W184" s="28">
        <v>359000000</v>
      </c>
      <c r="X184" s="28">
        <v>357000000</v>
      </c>
      <c r="Y184" s="28">
        <v>355000000</v>
      </c>
      <c r="Z184" s="28">
        <v>353000000</v>
      </c>
      <c r="AA184" s="28">
        <v>350000000</v>
      </c>
      <c r="AB184" s="28">
        <v>347000000</v>
      </c>
      <c r="AC184" s="29">
        <v>345000000</v>
      </c>
      <c r="AD184" t="str">
        <f t="shared" si="2"/>
        <v>Winter</v>
      </c>
      <c r="AE184" t="str">
        <f>INDEX('Category Mapping'!$B$2:$B$29,MATCH('Source Data'!A184,'Category Mapping'!$A$2:$A$29,0))</f>
        <v>Weekend</v>
      </c>
      <c r="AF184" t="str">
        <f>INDEX('Category Mapping'!$C$2:$C$29,MATCH('Source Data'!A184,'Category Mapping'!$A$2:$A$29,0))</f>
        <v>Industry</v>
      </c>
      <c r="AG184" t="str">
        <f>INDEX('Category Mapping'!$D$2:$D$29,MATCH('Source Data'!A184,'Category Mapping'!$A$2:$A$29,0))</f>
        <v>Industry</v>
      </c>
    </row>
    <row r="185" spans="1:33" x14ac:dyDescent="0.25">
      <c r="A185" s="14" t="s">
        <v>85</v>
      </c>
      <c r="B185" s="15">
        <v>2019</v>
      </c>
      <c r="C185" s="15">
        <v>19</v>
      </c>
      <c r="D185" s="15" t="s">
        <v>208</v>
      </c>
      <c r="E185" s="15">
        <v>3</v>
      </c>
      <c r="F185" s="30">
        <v>344000000</v>
      </c>
      <c r="G185" s="30">
        <v>344000000</v>
      </c>
      <c r="H185" s="30">
        <v>344000000</v>
      </c>
      <c r="I185" s="30">
        <v>345000000</v>
      </c>
      <c r="J185" s="30">
        <v>347000000</v>
      </c>
      <c r="K185" s="30">
        <v>351000000</v>
      </c>
      <c r="L185" s="30">
        <v>352000000</v>
      </c>
      <c r="M185" s="30">
        <v>353000000</v>
      </c>
      <c r="N185" s="30">
        <v>352000000</v>
      </c>
      <c r="O185" s="30">
        <v>351000000</v>
      </c>
      <c r="P185" s="30">
        <v>350000000</v>
      </c>
      <c r="Q185" s="30">
        <v>349000000</v>
      </c>
      <c r="R185" s="30">
        <v>349000000</v>
      </c>
      <c r="S185" s="30">
        <v>349000000</v>
      </c>
      <c r="T185" s="30">
        <v>350000000</v>
      </c>
      <c r="U185" s="30">
        <v>354000000</v>
      </c>
      <c r="V185" s="30">
        <v>358000000</v>
      </c>
      <c r="W185" s="30">
        <v>359000000</v>
      </c>
      <c r="X185" s="30">
        <v>358000000</v>
      </c>
      <c r="Y185" s="30">
        <v>356000000</v>
      </c>
      <c r="Z185" s="30">
        <v>353000000</v>
      </c>
      <c r="AA185" s="30">
        <v>350000000</v>
      </c>
      <c r="AB185" s="30">
        <v>347000000</v>
      </c>
      <c r="AC185" s="31">
        <v>345000000</v>
      </c>
      <c r="AD185" t="str">
        <f t="shared" si="2"/>
        <v>Spring</v>
      </c>
      <c r="AE185" t="str">
        <f>INDEX('Category Mapping'!$B$2:$B$29,MATCH('Source Data'!A185,'Category Mapping'!$A$2:$A$29,0))</f>
        <v>Weekend</v>
      </c>
      <c r="AF185" t="str">
        <f>INDEX('Category Mapping'!$C$2:$C$29,MATCH('Source Data'!A185,'Category Mapping'!$A$2:$A$29,0))</f>
        <v>Industry</v>
      </c>
      <c r="AG185" t="str">
        <f>INDEX('Category Mapping'!$D$2:$D$29,MATCH('Source Data'!A185,'Category Mapping'!$A$2:$A$29,0))</f>
        <v>Industry</v>
      </c>
    </row>
    <row r="186" spans="1:33" x14ac:dyDescent="0.25">
      <c r="A186" s="16" t="s">
        <v>85</v>
      </c>
      <c r="B186" s="17">
        <v>2019</v>
      </c>
      <c r="C186" s="17">
        <v>19</v>
      </c>
      <c r="D186" s="17" t="s">
        <v>208</v>
      </c>
      <c r="E186" s="17">
        <v>4</v>
      </c>
      <c r="F186" s="28">
        <v>331000000</v>
      </c>
      <c r="G186" s="28">
        <v>330000000</v>
      </c>
      <c r="H186" s="28">
        <v>331000000</v>
      </c>
      <c r="I186" s="28">
        <v>331000000</v>
      </c>
      <c r="J186" s="28">
        <v>333000000</v>
      </c>
      <c r="K186" s="28">
        <v>337000000</v>
      </c>
      <c r="L186" s="28">
        <v>338000000</v>
      </c>
      <c r="M186" s="28">
        <v>338000000</v>
      </c>
      <c r="N186" s="28">
        <v>338000000</v>
      </c>
      <c r="O186" s="28">
        <v>337000000</v>
      </c>
      <c r="P186" s="28">
        <v>336000000</v>
      </c>
      <c r="Q186" s="28">
        <v>335000000</v>
      </c>
      <c r="R186" s="28">
        <v>335000000</v>
      </c>
      <c r="S186" s="28">
        <v>335000000</v>
      </c>
      <c r="T186" s="28">
        <v>336000000</v>
      </c>
      <c r="U186" s="28">
        <v>340000000</v>
      </c>
      <c r="V186" s="28">
        <v>343000000</v>
      </c>
      <c r="W186" s="28">
        <v>344000000</v>
      </c>
      <c r="X186" s="28">
        <v>343000000</v>
      </c>
      <c r="Y186" s="28">
        <v>341000000</v>
      </c>
      <c r="Z186" s="28">
        <v>339000000</v>
      </c>
      <c r="AA186" s="28">
        <v>336000000</v>
      </c>
      <c r="AB186" s="28">
        <v>333000000</v>
      </c>
      <c r="AC186" s="29">
        <v>332000000</v>
      </c>
      <c r="AD186" t="str">
        <f t="shared" si="2"/>
        <v>Spring</v>
      </c>
      <c r="AE186" t="str">
        <f>INDEX('Category Mapping'!$B$2:$B$29,MATCH('Source Data'!A186,'Category Mapping'!$A$2:$A$29,0))</f>
        <v>Weekend</v>
      </c>
      <c r="AF186" t="str">
        <f>INDEX('Category Mapping'!$C$2:$C$29,MATCH('Source Data'!A186,'Category Mapping'!$A$2:$A$29,0))</f>
        <v>Industry</v>
      </c>
      <c r="AG186" t="str">
        <f>INDEX('Category Mapping'!$D$2:$D$29,MATCH('Source Data'!A186,'Category Mapping'!$A$2:$A$29,0))</f>
        <v>Industry</v>
      </c>
    </row>
    <row r="187" spans="1:33" x14ac:dyDescent="0.25">
      <c r="A187" s="14" t="s">
        <v>85</v>
      </c>
      <c r="B187" s="15">
        <v>2019</v>
      </c>
      <c r="C187" s="15">
        <v>19</v>
      </c>
      <c r="D187" s="15" t="s">
        <v>208</v>
      </c>
      <c r="E187" s="15">
        <v>5</v>
      </c>
      <c r="F187" s="30">
        <v>335000000</v>
      </c>
      <c r="G187" s="30">
        <v>335000000</v>
      </c>
      <c r="H187" s="30">
        <v>335000000</v>
      </c>
      <c r="I187" s="30">
        <v>335000000</v>
      </c>
      <c r="J187" s="30">
        <v>338000000</v>
      </c>
      <c r="K187" s="30">
        <v>341000000</v>
      </c>
      <c r="L187" s="30">
        <v>343000000</v>
      </c>
      <c r="M187" s="30">
        <v>343000000</v>
      </c>
      <c r="N187" s="30">
        <v>342000000</v>
      </c>
      <c r="O187" s="30">
        <v>341000000</v>
      </c>
      <c r="P187" s="30">
        <v>340000000</v>
      </c>
      <c r="Q187" s="30">
        <v>340000000</v>
      </c>
      <c r="R187" s="30">
        <v>339000000</v>
      </c>
      <c r="S187" s="30">
        <v>340000000</v>
      </c>
      <c r="T187" s="30">
        <v>341000000</v>
      </c>
      <c r="U187" s="30">
        <v>344000000</v>
      </c>
      <c r="V187" s="30">
        <v>349000000</v>
      </c>
      <c r="W187" s="30">
        <v>349000000</v>
      </c>
      <c r="X187" s="30">
        <v>348000000</v>
      </c>
      <c r="Y187" s="30">
        <v>346000000</v>
      </c>
      <c r="Z187" s="30">
        <v>344000000</v>
      </c>
      <c r="AA187" s="30">
        <v>341000000</v>
      </c>
      <c r="AB187" s="30">
        <v>338000000</v>
      </c>
      <c r="AC187" s="31">
        <v>336000000</v>
      </c>
      <c r="AD187" t="str">
        <f t="shared" si="2"/>
        <v>Spring</v>
      </c>
      <c r="AE187" t="str">
        <f>INDEX('Category Mapping'!$B$2:$B$29,MATCH('Source Data'!A187,'Category Mapping'!$A$2:$A$29,0))</f>
        <v>Weekend</v>
      </c>
      <c r="AF187" t="str">
        <f>INDEX('Category Mapping'!$C$2:$C$29,MATCH('Source Data'!A187,'Category Mapping'!$A$2:$A$29,0))</f>
        <v>Industry</v>
      </c>
      <c r="AG187" t="str">
        <f>INDEX('Category Mapping'!$D$2:$D$29,MATCH('Source Data'!A187,'Category Mapping'!$A$2:$A$29,0))</f>
        <v>Industry</v>
      </c>
    </row>
    <row r="188" spans="1:33" x14ac:dyDescent="0.25">
      <c r="A188" s="16" t="s">
        <v>85</v>
      </c>
      <c r="B188" s="17">
        <v>2019</v>
      </c>
      <c r="C188" s="17">
        <v>19</v>
      </c>
      <c r="D188" s="17" t="s">
        <v>208</v>
      </c>
      <c r="E188" s="17">
        <v>6</v>
      </c>
      <c r="F188" s="28">
        <v>342000000</v>
      </c>
      <c r="G188" s="28">
        <v>341000000</v>
      </c>
      <c r="H188" s="28">
        <v>342000000</v>
      </c>
      <c r="I188" s="28">
        <v>342000000</v>
      </c>
      <c r="J188" s="28">
        <v>345000000</v>
      </c>
      <c r="K188" s="28">
        <v>348000000</v>
      </c>
      <c r="L188" s="28">
        <v>350000000</v>
      </c>
      <c r="M188" s="28">
        <v>350000000</v>
      </c>
      <c r="N188" s="28">
        <v>350000000</v>
      </c>
      <c r="O188" s="28">
        <v>348000000</v>
      </c>
      <c r="P188" s="28">
        <v>347000000</v>
      </c>
      <c r="Q188" s="28">
        <v>347000000</v>
      </c>
      <c r="R188" s="28">
        <v>346000000</v>
      </c>
      <c r="S188" s="28">
        <v>347000000</v>
      </c>
      <c r="T188" s="28">
        <v>348000000</v>
      </c>
      <c r="U188" s="28">
        <v>352000000</v>
      </c>
      <c r="V188" s="28">
        <v>356000000</v>
      </c>
      <c r="W188" s="28">
        <v>357000000</v>
      </c>
      <c r="X188" s="28">
        <v>355000000</v>
      </c>
      <c r="Y188" s="28">
        <v>353000000</v>
      </c>
      <c r="Z188" s="28">
        <v>351000000</v>
      </c>
      <c r="AA188" s="28">
        <v>348000000</v>
      </c>
      <c r="AB188" s="28">
        <v>345000000</v>
      </c>
      <c r="AC188" s="29">
        <v>343000000</v>
      </c>
      <c r="AD188" t="str">
        <f t="shared" si="2"/>
        <v>Summer</v>
      </c>
      <c r="AE188" t="str">
        <f>INDEX('Category Mapping'!$B$2:$B$29,MATCH('Source Data'!A188,'Category Mapping'!$A$2:$A$29,0))</f>
        <v>Weekend</v>
      </c>
      <c r="AF188" t="str">
        <f>INDEX('Category Mapping'!$C$2:$C$29,MATCH('Source Data'!A188,'Category Mapping'!$A$2:$A$29,0))</f>
        <v>Industry</v>
      </c>
      <c r="AG188" t="str">
        <f>INDEX('Category Mapping'!$D$2:$D$29,MATCH('Source Data'!A188,'Category Mapping'!$A$2:$A$29,0))</f>
        <v>Industry</v>
      </c>
    </row>
    <row r="189" spans="1:33" x14ac:dyDescent="0.25">
      <c r="A189" s="14" t="s">
        <v>85</v>
      </c>
      <c r="B189" s="15">
        <v>2019</v>
      </c>
      <c r="C189" s="15">
        <v>19</v>
      </c>
      <c r="D189" s="15" t="s">
        <v>208</v>
      </c>
      <c r="E189" s="15">
        <v>7</v>
      </c>
      <c r="F189" s="30">
        <v>320000000</v>
      </c>
      <c r="G189" s="30">
        <v>320000000</v>
      </c>
      <c r="H189" s="30">
        <v>320000000</v>
      </c>
      <c r="I189" s="30">
        <v>321000000</v>
      </c>
      <c r="J189" s="30">
        <v>323000000</v>
      </c>
      <c r="K189" s="30">
        <v>327000000</v>
      </c>
      <c r="L189" s="30">
        <v>328000000</v>
      </c>
      <c r="M189" s="30">
        <v>328000000</v>
      </c>
      <c r="N189" s="30">
        <v>328000000</v>
      </c>
      <c r="O189" s="30">
        <v>326000000</v>
      </c>
      <c r="P189" s="30">
        <v>326000000</v>
      </c>
      <c r="Q189" s="30">
        <v>325000000</v>
      </c>
      <c r="R189" s="30">
        <v>325000000</v>
      </c>
      <c r="S189" s="30">
        <v>325000000</v>
      </c>
      <c r="T189" s="30">
        <v>326000000</v>
      </c>
      <c r="U189" s="30">
        <v>330000000</v>
      </c>
      <c r="V189" s="30">
        <v>334000000</v>
      </c>
      <c r="W189" s="30">
        <v>334000000</v>
      </c>
      <c r="X189" s="30">
        <v>333000000</v>
      </c>
      <c r="Y189" s="30">
        <v>331000000</v>
      </c>
      <c r="Z189" s="30">
        <v>329000000</v>
      </c>
      <c r="AA189" s="30">
        <v>326000000</v>
      </c>
      <c r="AB189" s="30">
        <v>323000000</v>
      </c>
      <c r="AC189" s="31">
        <v>321000000</v>
      </c>
      <c r="AD189" t="str">
        <f t="shared" si="2"/>
        <v>Summer</v>
      </c>
      <c r="AE189" t="str">
        <f>INDEX('Category Mapping'!$B$2:$B$29,MATCH('Source Data'!A189,'Category Mapping'!$A$2:$A$29,0))</f>
        <v>Weekend</v>
      </c>
      <c r="AF189" t="str">
        <f>INDEX('Category Mapping'!$C$2:$C$29,MATCH('Source Data'!A189,'Category Mapping'!$A$2:$A$29,0))</f>
        <v>Industry</v>
      </c>
      <c r="AG189" t="str">
        <f>INDEX('Category Mapping'!$D$2:$D$29,MATCH('Source Data'!A189,'Category Mapping'!$A$2:$A$29,0))</f>
        <v>Industry</v>
      </c>
    </row>
    <row r="190" spans="1:33" x14ac:dyDescent="0.25">
      <c r="A190" s="16" t="s">
        <v>85</v>
      </c>
      <c r="B190" s="17">
        <v>2019</v>
      </c>
      <c r="C190" s="17">
        <v>19</v>
      </c>
      <c r="D190" s="17" t="s">
        <v>208</v>
      </c>
      <c r="E190" s="17">
        <v>8</v>
      </c>
      <c r="F190" s="28">
        <v>338000000</v>
      </c>
      <c r="G190" s="28">
        <v>338000000</v>
      </c>
      <c r="H190" s="28">
        <v>338000000</v>
      </c>
      <c r="I190" s="28">
        <v>339000000</v>
      </c>
      <c r="J190" s="28">
        <v>341000000</v>
      </c>
      <c r="K190" s="28">
        <v>345000000</v>
      </c>
      <c r="L190" s="28">
        <v>347000000</v>
      </c>
      <c r="M190" s="28">
        <v>347000000</v>
      </c>
      <c r="N190" s="28">
        <v>346000000</v>
      </c>
      <c r="O190" s="28">
        <v>345000000</v>
      </c>
      <c r="P190" s="28">
        <v>344000000</v>
      </c>
      <c r="Q190" s="28">
        <v>343000000</v>
      </c>
      <c r="R190" s="28">
        <v>343000000</v>
      </c>
      <c r="S190" s="28">
        <v>343000000</v>
      </c>
      <c r="T190" s="28">
        <v>344000000</v>
      </c>
      <c r="U190" s="28">
        <v>348000000</v>
      </c>
      <c r="V190" s="28">
        <v>353000000</v>
      </c>
      <c r="W190" s="28">
        <v>354000000</v>
      </c>
      <c r="X190" s="28">
        <v>352000000</v>
      </c>
      <c r="Y190" s="28">
        <v>350000000</v>
      </c>
      <c r="Z190" s="28">
        <v>348000000</v>
      </c>
      <c r="AA190" s="28">
        <v>344000000</v>
      </c>
      <c r="AB190" s="28">
        <v>341000000</v>
      </c>
      <c r="AC190" s="29">
        <v>339000000</v>
      </c>
      <c r="AD190" t="str">
        <f t="shared" si="2"/>
        <v>Summer</v>
      </c>
      <c r="AE190" t="str">
        <f>INDEX('Category Mapping'!$B$2:$B$29,MATCH('Source Data'!A190,'Category Mapping'!$A$2:$A$29,0))</f>
        <v>Weekend</v>
      </c>
      <c r="AF190" t="str">
        <f>INDEX('Category Mapping'!$C$2:$C$29,MATCH('Source Data'!A190,'Category Mapping'!$A$2:$A$29,0))</f>
        <v>Industry</v>
      </c>
      <c r="AG190" t="str">
        <f>INDEX('Category Mapping'!$D$2:$D$29,MATCH('Source Data'!A190,'Category Mapping'!$A$2:$A$29,0))</f>
        <v>Industry</v>
      </c>
    </row>
    <row r="191" spans="1:33" x14ac:dyDescent="0.25">
      <c r="A191" s="14" t="s">
        <v>85</v>
      </c>
      <c r="B191" s="15">
        <v>2019</v>
      </c>
      <c r="C191" s="15">
        <v>19</v>
      </c>
      <c r="D191" s="15" t="s">
        <v>208</v>
      </c>
      <c r="E191" s="15">
        <v>9</v>
      </c>
      <c r="F191" s="30">
        <v>340000000</v>
      </c>
      <c r="G191" s="30">
        <v>340000000</v>
      </c>
      <c r="H191" s="30">
        <v>340000000</v>
      </c>
      <c r="I191" s="30">
        <v>341000000</v>
      </c>
      <c r="J191" s="30">
        <v>343000000</v>
      </c>
      <c r="K191" s="30">
        <v>347000000</v>
      </c>
      <c r="L191" s="30">
        <v>349000000</v>
      </c>
      <c r="M191" s="30">
        <v>349000000</v>
      </c>
      <c r="N191" s="30">
        <v>348000000</v>
      </c>
      <c r="O191" s="30">
        <v>347000000</v>
      </c>
      <c r="P191" s="30">
        <v>346000000</v>
      </c>
      <c r="Q191" s="30">
        <v>345000000</v>
      </c>
      <c r="R191" s="30">
        <v>345000000</v>
      </c>
      <c r="S191" s="30">
        <v>345000000</v>
      </c>
      <c r="T191" s="30">
        <v>346000000</v>
      </c>
      <c r="U191" s="30">
        <v>350000000</v>
      </c>
      <c r="V191" s="30">
        <v>354000000</v>
      </c>
      <c r="W191" s="30">
        <v>355000000</v>
      </c>
      <c r="X191" s="30">
        <v>354000000</v>
      </c>
      <c r="Y191" s="30">
        <v>352000000</v>
      </c>
      <c r="Z191" s="30">
        <v>350000000</v>
      </c>
      <c r="AA191" s="30">
        <v>346000000</v>
      </c>
      <c r="AB191" s="30">
        <v>343000000</v>
      </c>
      <c r="AC191" s="31">
        <v>342000000</v>
      </c>
      <c r="AD191" t="str">
        <f t="shared" si="2"/>
        <v>Fall</v>
      </c>
      <c r="AE191" t="str">
        <f>INDEX('Category Mapping'!$B$2:$B$29,MATCH('Source Data'!A191,'Category Mapping'!$A$2:$A$29,0))</f>
        <v>Weekend</v>
      </c>
      <c r="AF191" t="str">
        <f>INDEX('Category Mapping'!$C$2:$C$29,MATCH('Source Data'!A191,'Category Mapping'!$A$2:$A$29,0))</f>
        <v>Industry</v>
      </c>
      <c r="AG191" t="str">
        <f>INDEX('Category Mapping'!$D$2:$D$29,MATCH('Source Data'!A191,'Category Mapping'!$A$2:$A$29,0))</f>
        <v>Industry</v>
      </c>
    </row>
    <row r="192" spans="1:33" x14ac:dyDescent="0.25">
      <c r="A192" s="16" t="s">
        <v>85</v>
      </c>
      <c r="B192" s="17">
        <v>2019</v>
      </c>
      <c r="C192" s="17">
        <v>19</v>
      </c>
      <c r="D192" s="17" t="s">
        <v>208</v>
      </c>
      <c r="E192" s="17">
        <v>10</v>
      </c>
      <c r="F192" s="28">
        <v>339000000</v>
      </c>
      <c r="G192" s="28">
        <v>338000000</v>
      </c>
      <c r="H192" s="28">
        <v>338000000</v>
      </c>
      <c r="I192" s="28">
        <v>339000000</v>
      </c>
      <c r="J192" s="28">
        <v>342000000</v>
      </c>
      <c r="K192" s="28">
        <v>345000000</v>
      </c>
      <c r="L192" s="28">
        <v>347000000</v>
      </c>
      <c r="M192" s="28">
        <v>347000000</v>
      </c>
      <c r="N192" s="28">
        <v>346000000</v>
      </c>
      <c r="O192" s="28">
        <v>345000000</v>
      </c>
      <c r="P192" s="28">
        <v>344000000</v>
      </c>
      <c r="Q192" s="28">
        <v>343000000</v>
      </c>
      <c r="R192" s="28">
        <v>343000000</v>
      </c>
      <c r="S192" s="28">
        <v>343000000</v>
      </c>
      <c r="T192" s="28">
        <v>345000000</v>
      </c>
      <c r="U192" s="28">
        <v>348000000</v>
      </c>
      <c r="V192" s="28">
        <v>352000000</v>
      </c>
      <c r="W192" s="28">
        <v>353000000</v>
      </c>
      <c r="X192" s="28">
        <v>352000000</v>
      </c>
      <c r="Y192" s="28">
        <v>350000000</v>
      </c>
      <c r="Z192" s="28">
        <v>348000000</v>
      </c>
      <c r="AA192" s="28">
        <v>344000000</v>
      </c>
      <c r="AB192" s="28">
        <v>341000000</v>
      </c>
      <c r="AC192" s="29">
        <v>340000000</v>
      </c>
      <c r="AD192" t="str">
        <f t="shared" si="2"/>
        <v>Fall</v>
      </c>
      <c r="AE192" t="str">
        <f>INDEX('Category Mapping'!$B$2:$B$29,MATCH('Source Data'!A192,'Category Mapping'!$A$2:$A$29,0))</f>
        <v>Weekend</v>
      </c>
      <c r="AF192" t="str">
        <f>INDEX('Category Mapping'!$C$2:$C$29,MATCH('Source Data'!A192,'Category Mapping'!$A$2:$A$29,0))</f>
        <v>Industry</v>
      </c>
      <c r="AG192" t="str">
        <f>INDEX('Category Mapping'!$D$2:$D$29,MATCH('Source Data'!A192,'Category Mapping'!$A$2:$A$29,0))</f>
        <v>Industry</v>
      </c>
    </row>
    <row r="193" spans="1:33" x14ac:dyDescent="0.25">
      <c r="A193" s="14" t="s">
        <v>85</v>
      </c>
      <c r="B193" s="15">
        <v>2019</v>
      </c>
      <c r="C193" s="15">
        <v>19</v>
      </c>
      <c r="D193" s="15" t="s">
        <v>208</v>
      </c>
      <c r="E193" s="15">
        <v>11</v>
      </c>
      <c r="F193" s="30">
        <v>343000000</v>
      </c>
      <c r="G193" s="30">
        <v>342000000</v>
      </c>
      <c r="H193" s="30">
        <v>342000000</v>
      </c>
      <c r="I193" s="30">
        <v>343000000</v>
      </c>
      <c r="J193" s="30">
        <v>346000000</v>
      </c>
      <c r="K193" s="30">
        <v>349000000</v>
      </c>
      <c r="L193" s="30">
        <v>351000000</v>
      </c>
      <c r="M193" s="30">
        <v>351000000</v>
      </c>
      <c r="N193" s="30">
        <v>351000000</v>
      </c>
      <c r="O193" s="30">
        <v>349000000</v>
      </c>
      <c r="P193" s="30">
        <v>348000000</v>
      </c>
      <c r="Q193" s="30">
        <v>348000000</v>
      </c>
      <c r="R193" s="30">
        <v>347000000</v>
      </c>
      <c r="S193" s="30">
        <v>348000000</v>
      </c>
      <c r="T193" s="30">
        <v>349000000</v>
      </c>
      <c r="U193" s="30">
        <v>353000000</v>
      </c>
      <c r="V193" s="30">
        <v>357000000</v>
      </c>
      <c r="W193" s="30">
        <v>358000000</v>
      </c>
      <c r="X193" s="30">
        <v>356000000</v>
      </c>
      <c r="Y193" s="30">
        <v>354000000</v>
      </c>
      <c r="Z193" s="30">
        <v>352000000</v>
      </c>
      <c r="AA193" s="30">
        <v>349000000</v>
      </c>
      <c r="AB193" s="30">
        <v>346000000</v>
      </c>
      <c r="AC193" s="31">
        <v>344000000</v>
      </c>
      <c r="AD193" t="str">
        <f t="shared" si="2"/>
        <v>Winter</v>
      </c>
      <c r="AE193" t="str">
        <f>INDEX('Category Mapping'!$B$2:$B$29,MATCH('Source Data'!A193,'Category Mapping'!$A$2:$A$29,0))</f>
        <v>Weekend</v>
      </c>
      <c r="AF193" t="str">
        <f>INDEX('Category Mapping'!$C$2:$C$29,MATCH('Source Data'!A193,'Category Mapping'!$A$2:$A$29,0))</f>
        <v>Industry</v>
      </c>
      <c r="AG193" t="str">
        <f>INDEX('Category Mapping'!$D$2:$D$29,MATCH('Source Data'!A193,'Category Mapping'!$A$2:$A$29,0))</f>
        <v>Industry</v>
      </c>
    </row>
    <row r="194" spans="1:33" x14ac:dyDescent="0.25">
      <c r="A194" s="16" t="s">
        <v>85</v>
      </c>
      <c r="B194" s="17">
        <v>2019</v>
      </c>
      <c r="C194" s="17">
        <v>19</v>
      </c>
      <c r="D194" s="17" t="s">
        <v>208</v>
      </c>
      <c r="E194" s="17">
        <v>12</v>
      </c>
      <c r="F194" s="28">
        <v>322000000</v>
      </c>
      <c r="G194" s="28">
        <v>322000000</v>
      </c>
      <c r="H194" s="28">
        <v>322000000</v>
      </c>
      <c r="I194" s="28">
        <v>323000000</v>
      </c>
      <c r="J194" s="28">
        <v>325000000</v>
      </c>
      <c r="K194" s="28">
        <v>328000000</v>
      </c>
      <c r="L194" s="28">
        <v>329000000</v>
      </c>
      <c r="M194" s="28">
        <v>330000000</v>
      </c>
      <c r="N194" s="28">
        <v>329000000</v>
      </c>
      <c r="O194" s="28">
        <v>328000000</v>
      </c>
      <c r="P194" s="28">
        <v>327000000</v>
      </c>
      <c r="Q194" s="28">
        <v>326000000</v>
      </c>
      <c r="R194" s="28">
        <v>326000000</v>
      </c>
      <c r="S194" s="28">
        <v>326000000</v>
      </c>
      <c r="T194" s="28">
        <v>328000000</v>
      </c>
      <c r="U194" s="28">
        <v>331000000</v>
      </c>
      <c r="V194" s="28">
        <v>335000000</v>
      </c>
      <c r="W194" s="28">
        <v>335000000</v>
      </c>
      <c r="X194" s="28">
        <v>334000000</v>
      </c>
      <c r="Y194" s="28">
        <v>332000000</v>
      </c>
      <c r="Z194" s="28">
        <v>330000000</v>
      </c>
      <c r="AA194" s="28">
        <v>327000000</v>
      </c>
      <c r="AB194" s="28">
        <v>325000000</v>
      </c>
      <c r="AC194" s="29">
        <v>323000000</v>
      </c>
      <c r="AD194" t="str">
        <f t="shared" si="2"/>
        <v>Winter</v>
      </c>
      <c r="AE194" t="str">
        <f>INDEX('Category Mapping'!$B$2:$B$29,MATCH('Source Data'!A194,'Category Mapping'!$A$2:$A$29,0))</f>
        <v>Weekend</v>
      </c>
      <c r="AF194" t="str">
        <f>INDEX('Category Mapping'!$C$2:$C$29,MATCH('Source Data'!A194,'Category Mapping'!$A$2:$A$29,0))</f>
        <v>Industry</v>
      </c>
      <c r="AG194" t="str">
        <f>INDEX('Category Mapping'!$D$2:$D$29,MATCH('Source Data'!A194,'Category Mapping'!$A$2:$A$29,0))</f>
        <v>Industry</v>
      </c>
    </row>
    <row r="195" spans="1:33" x14ac:dyDescent="0.25">
      <c r="A195" s="14" t="s">
        <v>92</v>
      </c>
      <c r="B195" s="15">
        <v>2019</v>
      </c>
      <c r="C195" s="15">
        <v>19</v>
      </c>
      <c r="D195" s="15" t="s">
        <v>208</v>
      </c>
      <c r="E195" s="15">
        <v>1</v>
      </c>
      <c r="F195" s="30">
        <v>107000000</v>
      </c>
      <c r="G195" s="30">
        <v>86200000</v>
      </c>
      <c r="H195" s="30">
        <v>75600000</v>
      </c>
      <c r="I195" s="30">
        <v>69900000</v>
      </c>
      <c r="J195" s="30">
        <v>75000000</v>
      </c>
      <c r="K195" s="30">
        <v>105000000</v>
      </c>
      <c r="L195" s="30">
        <v>151000000</v>
      </c>
      <c r="M195" s="30">
        <v>173000000</v>
      </c>
      <c r="N195" s="30">
        <v>149000000</v>
      </c>
      <c r="O195" s="30">
        <v>142000000</v>
      </c>
      <c r="P195" s="30">
        <v>140000000</v>
      </c>
      <c r="Q195" s="30">
        <v>141000000</v>
      </c>
      <c r="R195" s="30">
        <v>137000000</v>
      </c>
      <c r="S195" s="30">
        <v>136000000</v>
      </c>
      <c r="T195" s="30">
        <v>140000000</v>
      </c>
      <c r="U195" s="30">
        <v>155000000</v>
      </c>
      <c r="V195" s="30">
        <v>214000000</v>
      </c>
      <c r="W195" s="30">
        <v>240000000</v>
      </c>
      <c r="X195" s="30">
        <v>243000000</v>
      </c>
      <c r="Y195" s="30">
        <v>242000000</v>
      </c>
      <c r="Z195" s="30">
        <v>241000000</v>
      </c>
      <c r="AA195" s="30">
        <v>226000000</v>
      </c>
      <c r="AB195" s="30">
        <v>170000000</v>
      </c>
      <c r="AC195" s="31">
        <v>130000000</v>
      </c>
      <c r="AD195" t="str">
        <f t="shared" si="2"/>
        <v>Winter</v>
      </c>
      <c r="AE195" t="str">
        <f>INDEX('Category Mapping'!$B$2:$B$29,MATCH('Source Data'!A195,'Category Mapping'!$A$2:$A$29,0))</f>
        <v>Weekday</v>
      </c>
      <c r="AF195" t="str">
        <f>INDEX('Category Mapping'!$C$2:$C$29,MATCH('Source Data'!A195,'Category Mapping'!$A$2:$A$29,0))</f>
        <v>Residential</v>
      </c>
      <c r="AG195" t="str">
        <f>INDEX('Category Mapping'!$D$2:$D$29,MATCH('Source Data'!A195,'Category Mapping'!$A$2:$A$29,0))</f>
        <v>Total</v>
      </c>
    </row>
    <row r="196" spans="1:33" x14ac:dyDescent="0.25">
      <c r="A196" s="16" t="s">
        <v>92</v>
      </c>
      <c r="B196" s="17">
        <v>2019</v>
      </c>
      <c r="C196" s="17">
        <v>19</v>
      </c>
      <c r="D196" s="17" t="s">
        <v>208</v>
      </c>
      <c r="E196" s="17">
        <v>2</v>
      </c>
      <c r="F196" s="28">
        <v>102000000</v>
      </c>
      <c r="G196" s="28">
        <v>81500000</v>
      </c>
      <c r="H196" s="28">
        <v>70900000</v>
      </c>
      <c r="I196" s="28">
        <v>65300000</v>
      </c>
      <c r="J196" s="28">
        <v>70200000</v>
      </c>
      <c r="K196" s="28">
        <v>99500000</v>
      </c>
      <c r="L196" s="28">
        <v>144000000</v>
      </c>
      <c r="M196" s="28">
        <v>150000000</v>
      </c>
      <c r="N196" s="28">
        <v>143000000</v>
      </c>
      <c r="O196" s="28">
        <v>137000000</v>
      </c>
      <c r="P196" s="28">
        <v>135000000</v>
      </c>
      <c r="Q196" s="28">
        <v>136000000</v>
      </c>
      <c r="R196" s="28">
        <v>132000000</v>
      </c>
      <c r="S196" s="28">
        <v>131000000</v>
      </c>
      <c r="T196" s="28">
        <v>135000000</v>
      </c>
      <c r="U196" s="28">
        <v>150000000</v>
      </c>
      <c r="V196" s="28">
        <v>187000000</v>
      </c>
      <c r="W196" s="28">
        <v>234000000</v>
      </c>
      <c r="X196" s="28">
        <v>236000000</v>
      </c>
      <c r="Y196" s="28">
        <v>235000000</v>
      </c>
      <c r="Z196" s="28">
        <v>233000000</v>
      </c>
      <c r="AA196" s="28">
        <v>219000000</v>
      </c>
      <c r="AB196" s="28">
        <v>164000000</v>
      </c>
      <c r="AC196" s="29">
        <v>125000000</v>
      </c>
      <c r="AD196" t="str">
        <f t="shared" ref="AD196:AD259" si="3">IF(AND(E196&gt;=3,E196&lt;=5),"Spring",IF(AND(E196&gt;=6,E196&lt;=8),"Summer",IF(AND(E196&gt;=9,E196&lt;=10),"Fall","Winter")))</f>
        <v>Winter</v>
      </c>
      <c r="AE196" t="str">
        <f>INDEX('Category Mapping'!$B$2:$B$29,MATCH('Source Data'!A196,'Category Mapping'!$A$2:$A$29,0))</f>
        <v>Weekday</v>
      </c>
      <c r="AF196" t="str">
        <f>INDEX('Category Mapping'!$C$2:$C$29,MATCH('Source Data'!A196,'Category Mapping'!$A$2:$A$29,0))</f>
        <v>Residential</v>
      </c>
      <c r="AG196" t="str">
        <f>INDEX('Category Mapping'!$D$2:$D$29,MATCH('Source Data'!A196,'Category Mapping'!$A$2:$A$29,0))</f>
        <v>Total</v>
      </c>
    </row>
    <row r="197" spans="1:33" x14ac:dyDescent="0.25">
      <c r="A197" s="14" t="s">
        <v>92</v>
      </c>
      <c r="B197" s="15">
        <v>2019</v>
      </c>
      <c r="C197" s="15">
        <v>19</v>
      </c>
      <c r="D197" s="15" t="s">
        <v>208</v>
      </c>
      <c r="E197" s="15">
        <v>3</v>
      </c>
      <c r="F197" s="30">
        <v>97400000</v>
      </c>
      <c r="G197" s="30">
        <v>76600000</v>
      </c>
      <c r="H197" s="30">
        <v>66100000</v>
      </c>
      <c r="I197" s="30">
        <v>60400000</v>
      </c>
      <c r="J197" s="30">
        <v>65100000</v>
      </c>
      <c r="K197" s="30">
        <v>93100000</v>
      </c>
      <c r="L197" s="30">
        <v>136000000</v>
      </c>
      <c r="M197" s="30">
        <v>138000000</v>
      </c>
      <c r="N197" s="30">
        <v>138000000</v>
      </c>
      <c r="O197" s="30">
        <v>132000000</v>
      </c>
      <c r="P197" s="30">
        <v>130000000</v>
      </c>
      <c r="Q197" s="30">
        <v>131000000</v>
      </c>
      <c r="R197" s="30">
        <v>128000000</v>
      </c>
      <c r="S197" s="30">
        <v>127000000</v>
      </c>
      <c r="T197" s="30">
        <v>131000000</v>
      </c>
      <c r="U197" s="30">
        <v>146000000</v>
      </c>
      <c r="V197" s="30">
        <v>174000000</v>
      </c>
      <c r="W197" s="30">
        <v>225000000</v>
      </c>
      <c r="X197" s="30">
        <v>227000000</v>
      </c>
      <c r="Y197" s="30">
        <v>225000000</v>
      </c>
      <c r="Z197" s="30">
        <v>223000000</v>
      </c>
      <c r="AA197" s="30">
        <v>210000000</v>
      </c>
      <c r="AB197" s="30">
        <v>157000000</v>
      </c>
      <c r="AC197" s="31">
        <v>119000000</v>
      </c>
      <c r="AD197" t="str">
        <f t="shared" si="3"/>
        <v>Spring</v>
      </c>
      <c r="AE197" t="str">
        <f>INDEX('Category Mapping'!$B$2:$B$29,MATCH('Source Data'!A197,'Category Mapping'!$A$2:$A$29,0))</f>
        <v>Weekday</v>
      </c>
      <c r="AF197" t="str">
        <f>INDEX('Category Mapping'!$C$2:$C$29,MATCH('Source Data'!A197,'Category Mapping'!$A$2:$A$29,0))</f>
        <v>Residential</v>
      </c>
      <c r="AG197" t="str">
        <f>INDEX('Category Mapping'!$D$2:$D$29,MATCH('Source Data'!A197,'Category Mapping'!$A$2:$A$29,0))</f>
        <v>Total</v>
      </c>
    </row>
    <row r="198" spans="1:33" x14ac:dyDescent="0.25">
      <c r="A198" s="16" t="s">
        <v>92</v>
      </c>
      <c r="B198" s="17">
        <v>2019</v>
      </c>
      <c r="C198" s="17">
        <v>19</v>
      </c>
      <c r="D198" s="17" t="s">
        <v>208</v>
      </c>
      <c r="E198" s="17">
        <v>4</v>
      </c>
      <c r="F198" s="28">
        <v>88900000</v>
      </c>
      <c r="G198" s="28">
        <v>68200000</v>
      </c>
      <c r="H198" s="28">
        <v>57600000</v>
      </c>
      <c r="I198" s="28">
        <v>52000000</v>
      </c>
      <c r="J198" s="28">
        <v>56600000</v>
      </c>
      <c r="K198" s="28">
        <v>82400000</v>
      </c>
      <c r="L198" s="28">
        <v>108000000</v>
      </c>
      <c r="M198" s="28">
        <v>126000000</v>
      </c>
      <c r="N198" s="28">
        <v>128000000</v>
      </c>
      <c r="O198" s="28">
        <v>125000000</v>
      </c>
      <c r="P198" s="28">
        <v>124000000</v>
      </c>
      <c r="Q198" s="28">
        <v>125000000</v>
      </c>
      <c r="R198" s="28">
        <v>122000000</v>
      </c>
      <c r="S198" s="28">
        <v>122000000</v>
      </c>
      <c r="T198" s="28">
        <v>126000000</v>
      </c>
      <c r="U198" s="28">
        <v>141000000</v>
      </c>
      <c r="V198" s="28">
        <v>167000000</v>
      </c>
      <c r="W198" s="28">
        <v>192000000</v>
      </c>
      <c r="X198" s="28">
        <v>218000000</v>
      </c>
      <c r="Y198" s="28">
        <v>215000000</v>
      </c>
      <c r="Z198" s="28">
        <v>213000000</v>
      </c>
      <c r="AA198" s="28">
        <v>200000000</v>
      </c>
      <c r="AB198" s="28">
        <v>148000000</v>
      </c>
      <c r="AC198" s="29">
        <v>111000000</v>
      </c>
      <c r="AD198" t="str">
        <f t="shared" si="3"/>
        <v>Spring</v>
      </c>
      <c r="AE198" t="str">
        <f>INDEX('Category Mapping'!$B$2:$B$29,MATCH('Source Data'!A198,'Category Mapping'!$A$2:$A$29,0))</f>
        <v>Weekday</v>
      </c>
      <c r="AF198" t="str">
        <f>INDEX('Category Mapping'!$C$2:$C$29,MATCH('Source Data'!A198,'Category Mapping'!$A$2:$A$29,0))</f>
        <v>Residential</v>
      </c>
      <c r="AG198" t="str">
        <f>INDEX('Category Mapping'!$D$2:$D$29,MATCH('Source Data'!A198,'Category Mapping'!$A$2:$A$29,0))</f>
        <v>Total</v>
      </c>
    </row>
    <row r="199" spans="1:33" x14ac:dyDescent="0.25">
      <c r="A199" s="14" t="s">
        <v>92</v>
      </c>
      <c r="B199" s="15">
        <v>2019</v>
      </c>
      <c r="C199" s="15">
        <v>19</v>
      </c>
      <c r="D199" s="15" t="s">
        <v>208</v>
      </c>
      <c r="E199" s="15">
        <v>5</v>
      </c>
      <c r="F199" s="30">
        <v>84000000</v>
      </c>
      <c r="G199" s="30">
        <v>63200000</v>
      </c>
      <c r="H199" s="30">
        <v>52600000</v>
      </c>
      <c r="I199" s="30">
        <v>47000000</v>
      </c>
      <c r="J199" s="30">
        <v>51700000</v>
      </c>
      <c r="K199" s="30">
        <v>73600000</v>
      </c>
      <c r="L199" s="30">
        <v>95400000</v>
      </c>
      <c r="M199" s="30">
        <v>117000000</v>
      </c>
      <c r="N199" s="30">
        <v>120000000</v>
      </c>
      <c r="O199" s="30">
        <v>120000000</v>
      </c>
      <c r="P199" s="30">
        <v>121000000</v>
      </c>
      <c r="Q199" s="30">
        <v>123000000</v>
      </c>
      <c r="R199" s="30">
        <v>122000000</v>
      </c>
      <c r="S199" s="30">
        <v>122000000</v>
      </c>
      <c r="T199" s="30">
        <v>127000000</v>
      </c>
      <c r="U199" s="30">
        <v>142000000</v>
      </c>
      <c r="V199" s="30">
        <v>168000000</v>
      </c>
      <c r="W199" s="30">
        <v>185000000</v>
      </c>
      <c r="X199" s="30">
        <v>210000000</v>
      </c>
      <c r="Y199" s="30">
        <v>208000000</v>
      </c>
      <c r="Z199" s="30">
        <v>203000000</v>
      </c>
      <c r="AA199" s="30">
        <v>191000000</v>
      </c>
      <c r="AB199" s="30">
        <v>141000000</v>
      </c>
      <c r="AC199" s="31">
        <v>106000000</v>
      </c>
      <c r="AD199" t="str">
        <f t="shared" si="3"/>
        <v>Spring</v>
      </c>
      <c r="AE199" t="str">
        <f>INDEX('Category Mapping'!$B$2:$B$29,MATCH('Source Data'!A199,'Category Mapping'!$A$2:$A$29,0))</f>
        <v>Weekday</v>
      </c>
      <c r="AF199" t="str">
        <f>INDEX('Category Mapping'!$C$2:$C$29,MATCH('Source Data'!A199,'Category Mapping'!$A$2:$A$29,0))</f>
        <v>Residential</v>
      </c>
      <c r="AG199" t="str">
        <f>INDEX('Category Mapping'!$D$2:$D$29,MATCH('Source Data'!A199,'Category Mapping'!$A$2:$A$29,0))</f>
        <v>Total</v>
      </c>
    </row>
    <row r="200" spans="1:33" x14ac:dyDescent="0.25">
      <c r="A200" s="16" t="s">
        <v>92</v>
      </c>
      <c r="B200" s="17">
        <v>2019</v>
      </c>
      <c r="C200" s="17">
        <v>19</v>
      </c>
      <c r="D200" s="17" t="s">
        <v>208</v>
      </c>
      <c r="E200" s="17">
        <v>6</v>
      </c>
      <c r="F200" s="28">
        <v>86600000</v>
      </c>
      <c r="G200" s="28">
        <v>64500000</v>
      </c>
      <c r="H200" s="28">
        <v>53600000</v>
      </c>
      <c r="I200" s="28">
        <v>48400000</v>
      </c>
      <c r="J200" s="28">
        <v>54300000</v>
      </c>
      <c r="K200" s="28">
        <v>73000000</v>
      </c>
      <c r="L200" s="28">
        <v>104000000</v>
      </c>
      <c r="M200" s="28">
        <v>129000000</v>
      </c>
      <c r="N200" s="28">
        <v>135000000</v>
      </c>
      <c r="O200" s="28">
        <v>138000000</v>
      </c>
      <c r="P200" s="28">
        <v>142000000</v>
      </c>
      <c r="Q200" s="28">
        <v>150000000</v>
      </c>
      <c r="R200" s="28">
        <v>154000000</v>
      </c>
      <c r="S200" s="28">
        <v>157000000</v>
      </c>
      <c r="T200" s="28">
        <v>164000000</v>
      </c>
      <c r="U200" s="28">
        <v>182000000</v>
      </c>
      <c r="V200" s="28">
        <v>210000000</v>
      </c>
      <c r="W200" s="28">
        <v>225000000</v>
      </c>
      <c r="X200" s="28">
        <v>237000000</v>
      </c>
      <c r="Y200" s="28">
        <v>247000000</v>
      </c>
      <c r="Z200" s="28">
        <v>236000000</v>
      </c>
      <c r="AA200" s="28">
        <v>215000000</v>
      </c>
      <c r="AB200" s="28">
        <v>156000000</v>
      </c>
      <c r="AC200" s="29">
        <v>112000000</v>
      </c>
      <c r="AD200" t="str">
        <f t="shared" si="3"/>
        <v>Summer</v>
      </c>
      <c r="AE200" t="str">
        <f>INDEX('Category Mapping'!$B$2:$B$29,MATCH('Source Data'!A200,'Category Mapping'!$A$2:$A$29,0))</f>
        <v>Weekday</v>
      </c>
      <c r="AF200" t="str">
        <f>INDEX('Category Mapping'!$C$2:$C$29,MATCH('Source Data'!A200,'Category Mapping'!$A$2:$A$29,0))</f>
        <v>Residential</v>
      </c>
      <c r="AG200" t="str">
        <f>INDEX('Category Mapping'!$D$2:$D$29,MATCH('Source Data'!A200,'Category Mapping'!$A$2:$A$29,0))</f>
        <v>Total</v>
      </c>
    </row>
    <row r="201" spans="1:33" x14ac:dyDescent="0.25">
      <c r="A201" s="14" t="s">
        <v>92</v>
      </c>
      <c r="B201" s="15">
        <v>2019</v>
      </c>
      <c r="C201" s="15">
        <v>19</v>
      </c>
      <c r="D201" s="15" t="s">
        <v>208</v>
      </c>
      <c r="E201" s="15">
        <v>7</v>
      </c>
      <c r="F201" s="30">
        <v>138000000</v>
      </c>
      <c r="G201" s="30">
        <v>112000000</v>
      </c>
      <c r="H201" s="30">
        <v>100000000</v>
      </c>
      <c r="I201" s="30">
        <v>96200000</v>
      </c>
      <c r="J201" s="30">
        <v>104000000</v>
      </c>
      <c r="K201" s="30">
        <v>124000000</v>
      </c>
      <c r="L201" s="30">
        <v>146000000</v>
      </c>
      <c r="M201" s="30">
        <v>162000000</v>
      </c>
      <c r="N201" s="30">
        <v>162000000</v>
      </c>
      <c r="O201" s="30">
        <v>161000000</v>
      </c>
      <c r="P201" s="30">
        <v>165000000</v>
      </c>
      <c r="Q201" s="30">
        <v>177000000</v>
      </c>
      <c r="R201" s="30">
        <v>183000000</v>
      </c>
      <c r="S201" s="30">
        <v>187000000</v>
      </c>
      <c r="T201" s="30">
        <v>195000000</v>
      </c>
      <c r="U201" s="30">
        <v>216000000</v>
      </c>
      <c r="V201" s="30">
        <v>247000000</v>
      </c>
      <c r="W201" s="30">
        <v>266000000</v>
      </c>
      <c r="X201" s="30">
        <v>285000000</v>
      </c>
      <c r="Y201" s="30">
        <v>295000000</v>
      </c>
      <c r="Z201" s="30">
        <v>288000000</v>
      </c>
      <c r="AA201" s="30">
        <v>269000000</v>
      </c>
      <c r="AB201" s="30">
        <v>211000000</v>
      </c>
      <c r="AC201" s="31">
        <v>167000000</v>
      </c>
      <c r="AD201" t="str">
        <f t="shared" si="3"/>
        <v>Summer</v>
      </c>
      <c r="AE201" t="str">
        <f>INDEX('Category Mapping'!$B$2:$B$29,MATCH('Source Data'!A201,'Category Mapping'!$A$2:$A$29,0))</f>
        <v>Weekday</v>
      </c>
      <c r="AF201" t="str">
        <f>INDEX('Category Mapping'!$C$2:$C$29,MATCH('Source Data'!A201,'Category Mapping'!$A$2:$A$29,0))</f>
        <v>Residential</v>
      </c>
      <c r="AG201" t="str">
        <f>INDEX('Category Mapping'!$D$2:$D$29,MATCH('Source Data'!A201,'Category Mapping'!$A$2:$A$29,0))</f>
        <v>Total</v>
      </c>
    </row>
    <row r="202" spans="1:33" x14ac:dyDescent="0.25">
      <c r="A202" s="16" t="s">
        <v>92</v>
      </c>
      <c r="B202" s="17">
        <v>2019</v>
      </c>
      <c r="C202" s="17">
        <v>19</v>
      </c>
      <c r="D202" s="17" t="s">
        <v>208</v>
      </c>
      <c r="E202" s="17">
        <v>8</v>
      </c>
      <c r="F202" s="28">
        <v>141000000</v>
      </c>
      <c r="G202" s="28">
        <v>114000000</v>
      </c>
      <c r="H202" s="28">
        <v>101000000</v>
      </c>
      <c r="I202" s="28">
        <v>98000000</v>
      </c>
      <c r="J202" s="28">
        <v>108000000</v>
      </c>
      <c r="K202" s="28">
        <v>135000000</v>
      </c>
      <c r="L202" s="28">
        <v>155000000</v>
      </c>
      <c r="M202" s="28">
        <v>169000000</v>
      </c>
      <c r="N202" s="28">
        <v>169000000</v>
      </c>
      <c r="O202" s="28">
        <v>169000000</v>
      </c>
      <c r="P202" s="28">
        <v>174000000</v>
      </c>
      <c r="Q202" s="28">
        <v>188000000</v>
      </c>
      <c r="R202" s="28">
        <v>196000000</v>
      </c>
      <c r="S202" s="28">
        <v>202000000</v>
      </c>
      <c r="T202" s="28">
        <v>211000000</v>
      </c>
      <c r="U202" s="28">
        <v>233000000</v>
      </c>
      <c r="V202" s="28">
        <v>264000000</v>
      </c>
      <c r="W202" s="28">
        <v>287000000</v>
      </c>
      <c r="X202" s="28">
        <v>317000000</v>
      </c>
      <c r="Y202" s="28">
        <v>311000000</v>
      </c>
      <c r="Z202" s="28">
        <v>302000000</v>
      </c>
      <c r="AA202" s="28">
        <v>280000000</v>
      </c>
      <c r="AB202" s="28">
        <v>219000000</v>
      </c>
      <c r="AC202" s="29">
        <v>172000000</v>
      </c>
      <c r="AD202" t="str">
        <f t="shared" si="3"/>
        <v>Summer</v>
      </c>
      <c r="AE202" t="str">
        <f>INDEX('Category Mapping'!$B$2:$B$29,MATCH('Source Data'!A202,'Category Mapping'!$A$2:$A$29,0))</f>
        <v>Weekday</v>
      </c>
      <c r="AF202" t="str">
        <f>INDEX('Category Mapping'!$C$2:$C$29,MATCH('Source Data'!A202,'Category Mapping'!$A$2:$A$29,0))</f>
        <v>Residential</v>
      </c>
      <c r="AG202" t="str">
        <f>INDEX('Category Mapping'!$D$2:$D$29,MATCH('Source Data'!A202,'Category Mapping'!$A$2:$A$29,0))</f>
        <v>Total</v>
      </c>
    </row>
    <row r="203" spans="1:33" x14ac:dyDescent="0.25">
      <c r="A203" s="14" t="s">
        <v>92</v>
      </c>
      <c r="B203" s="15">
        <v>2019</v>
      </c>
      <c r="C203" s="15">
        <v>19</v>
      </c>
      <c r="D203" s="15" t="s">
        <v>208</v>
      </c>
      <c r="E203" s="15">
        <v>9</v>
      </c>
      <c r="F203" s="30">
        <v>86400000</v>
      </c>
      <c r="G203" s="30">
        <v>65300000</v>
      </c>
      <c r="H203" s="30">
        <v>54600000</v>
      </c>
      <c r="I203" s="30">
        <v>49200000</v>
      </c>
      <c r="J203" s="30">
        <v>54200000</v>
      </c>
      <c r="K203" s="30">
        <v>78100000</v>
      </c>
      <c r="L203" s="30">
        <v>107000000</v>
      </c>
      <c r="M203" s="30">
        <v>124000000</v>
      </c>
      <c r="N203" s="30">
        <v>130000000</v>
      </c>
      <c r="O203" s="30">
        <v>133000000</v>
      </c>
      <c r="P203" s="30">
        <v>137000000</v>
      </c>
      <c r="Q203" s="30">
        <v>145000000</v>
      </c>
      <c r="R203" s="30">
        <v>148000000</v>
      </c>
      <c r="S203" s="30">
        <v>151000000</v>
      </c>
      <c r="T203" s="30">
        <v>158000000</v>
      </c>
      <c r="U203" s="30">
        <v>175000000</v>
      </c>
      <c r="V203" s="30">
        <v>202000000</v>
      </c>
      <c r="W203" s="30">
        <v>232000000</v>
      </c>
      <c r="X203" s="30">
        <v>248000000</v>
      </c>
      <c r="Y203" s="30">
        <v>238000000</v>
      </c>
      <c r="Z203" s="30">
        <v>228000000</v>
      </c>
      <c r="AA203" s="30">
        <v>206000000</v>
      </c>
      <c r="AB203" s="30">
        <v>148000000</v>
      </c>
      <c r="AC203" s="31">
        <v>109000000</v>
      </c>
      <c r="AD203" t="str">
        <f t="shared" si="3"/>
        <v>Fall</v>
      </c>
      <c r="AE203" t="str">
        <f>INDEX('Category Mapping'!$B$2:$B$29,MATCH('Source Data'!A203,'Category Mapping'!$A$2:$A$29,0))</f>
        <v>Weekday</v>
      </c>
      <c r="AF203" t="str">
        <f>INDEX('Category Mapping'!$C$2:$C$29,MATCH('Source Data'!A203,'Category Mapping'!$A$2:$A$29,0))</f>
        <v>Residential</v>
      </c>
      <c r="AG203" t="str">
        <f>INDEX('Category Mapping'!$D$2:$D$29,MATCH('Source Data'!A203,'Category Mapping'!$A$2:$A$29,0))</f>
        <v>Total</v>
      </c>
    </row>
    <row r="204" spans="1:33" x14ac:dyDescent="0.25">
      <c r="A204" s="16" t="s">
        <v>92</v>
      </c>
      <c r="B204" s="17">
        <v>2019</v>
      </c>
      <c r="C204" s="17">
        <v>19</v>
      </c>
      <c r="D204" s="17" t="s">
        <v>208</v>
      </c>
      <c r="E204" s="17">
        <v>10</v>
      </c>
      <c r="F204" s="28">
        <v>87500000</v>
      </c>
      <c r="G204" s="28">
        <v>66500000</v>
      </c>
      <c r="H204" s="28">
        <v>55900000</v>
      </c>
      <c r="I204" s="28">
        <v>50400000</v>
      </c>
      <c r="J204" s="28">
        <v>55300000</v>
      </c>
      <c r="K204" s="28">
        <v>81000000</v>
      </c>
      <c r="L204" s="28">
        <v>123000000</v>
      </c>
      <c r="M204" s="28">
        <v>125000000</v>
      </c>
      <c r="N204" s="28">
        <v>125000000</v>
      </c>
      <c r="O204" s="28">
        <v>123000000</v>
      </c>
      <c r="P204" s="28">
        <v>122000000</v>
      </c>
      <c r="Q204" s="28">
        <v>124000000</v>
      </c>
      <c r="R204" s="28">
        <v>121000000</v>
      </c>
      <c r="S204" s="28">
        <v>121000000</v>
      </c>
      <c r="T204" s="28">
        <v>125000000</v>
      </c>
      <c r="U204" s="28">
        <v>140000000</v>
      </c>
      <c r="V204" s="28">
        <v>170000000</v>
      </c>
      <c r="W204" s="28">
        <v>218000000</v>
      </c>
      <c r="X204" s="28">
        <v>218000000</v>
      </c>
      <c r="Y204" s="28">
        <v>215000000</v>
      </c>
      <c r="Z204" s="28">
        <v>213000000</v>
      </c>
      <c r="AA204" s="28">
        <v>200000000</v>
      </c>
      <c r="AB204" s="28">
        <v>147000000</v>
      </c>
      <c r="AC204" s="29">
        <v>110000000</v>
      </c>
      <c r="AD204" t="str">
        <f t="shared" si="3"/>
        <v>Fall</v>
      </c>
      <c r="AE204" t="str">
        <f>INDEX('Category Mapping'!$B$2:$B$29,MATCH('Source Data'!A204,'Category Mapping'!$A$2:$A$29,0))</f>
        <v>Weekday</v>
      </c>
      <c r="AF204" t="str">
        <f>INDEX('Category Mapping'!$C$2:$C$29,MATCH('Source Data'!A204,'Category Mapping'!$A$2:$A$29,0))</f>
        <v>Residential</v>
      </c>
      <c r="AG204" t="str">
        <f>INDEX('Category Mapping'!$D$2:$D$29,MATCH('Source Data'!A204,'Category Mapping'!$A$2:$A$29,0))</f>
        <v>Total</v>
      </c>
    </row>
    <row r="205" spans="1:33" x14ac:dyDescent="0.25">
      <c r="A205" s="14" t="s">
        <v>92</v>
      </c>
      <c r="B205" s="15">
        <v>2019</v>
      </c>
      <c r="C205" s="15">
        <v>19</v>
      </c>
      <c r="D205" s="15" t="s">
        <v>208</v>
      </c>
      <c r="E205" s="15">
        <v>11</v>
      </c>
      <c r="F205" s="30">
        <v>95700000</v>
      </c>
      <c r="G205" s="30">
        <v>74800000</v>
      </c>
      <c r="H205" s="30">
        <v>64300000</v>
      </c>
      <c r="I205" s="30">
        <v>58700000</v>
      </c>
      <c r="J205" s="30">
        <v>63600000</v>
      </c>
      <c r="K205" s="30">
        <v>91900000</v>
      </c>
      <c r="L205" s="30">
        <v>136000000</v>
      </c>
      <c r="M205" s="30">
        <v>145000000</v>
      </c>
      <c r="N205" s="30">
        <v>135000000</v>
      </c>
      <c r="O205" s="30">
        <v>130000000</v>
      </c>
      <c r="P205" s="30">
        <v>129000000</v>
      </c>
      <c r="Q205" s="30">
        <v>130000000</v>
      </c>
      <c r="R205" s="30">
        <v>127000000</v>
      </c>
      <c r="S205" s="30">
        <v>126000000</v>
      </c>
      <c r="T205" s="30">
        <v>130000000</v>
      </c>
      <c r="U205" s="30">
        <v>145000000</v>
      </c>
      <c r="V205" s="30">
        <v>188000000</v>
      </c>
      <c r="W205" s="30">
        <v>228000000</v>
      </c>
      <c r="X205" s="30">
        <v>230000000</v>
      </c>
      <c r="Y205" s="30">
        <v>228000000</v>
      </c>
      <c r="Z205" s="30">
        <v>226000000</v>
      </c>
      <c r="AA205" s="30">
        <v>212000000</v>
      </c>
      <c r="AB205" s="30">
        <v>157000000</v>
      </c>
      <c r="AC205" s="31">
        <v>118000000</v>
      </c>
      <c r="AD205" t="str">
        <f t="shared" si="3"/>
        <v>Winter</v>
      </c>
      <c r="AE205" t="str">
        <f>INDEX('Category Mapping'!$B$2:$B$29,MATCH('Source Data'!A205,'Category Mapping'!$A$2:$A$29,0))</f>
        <v>Weekday</v>
      </c>
      <c r="AF205" t="str">
        <f>INDEX('Category Mapping'!$C$2:$C$29,MATCH('Source Data'!A205,'Category Mapping'!$A$2:$A$29,0))</f>
        <v>Residential</v>
      </c>
      <c r="AG205" t="str">
        <f>INDEX('Category Mapping'!$D$2:$D$29,MATCH('Source Data'!A205,'Category Mapping'!$A$2:$A$29,0))</f>
        <v>Total</v>
      </c>
    </row>
    <row r="206" spans="1:33" x14ac:dyDescent="0.25">
      <c r="A206" s="16" t="s">
        <v>92</v>
      </c>
      <c r="B206" s="17">
        <v>2019</v>
      </c>
      <c r="C206" s="17">
        <v>19</v>
      </c>
      <c r="D206" s="17" t="s">
        <v>208</v>
      </c>
      <c r="E206" s="17">
        <v>12</v>
      </c>
      <c r="F206" s="28">
        <v>104000000</v>
      </c>
      <c r="G206" s="28">
        <v>82700000</v>
      </c>
      <c r="H206" s="28">
        <v>72100000</v>
      </c>
      <c r="I206" s="28">
        <v>66500000</v>
      </c>
      <c r="J206" s="28">
        <v>71600000</v>
      </c>
      <c r="K206" s="28">
        <v>101000000</v>
      </c>
      <c r="L206" s="28">
        <v>147000000</v>
      </c>
      <c r="M206" s="28">
        <v>172000000</v>
      </c>
      <c r="N206" s="28">
        <v>145000000</v>
      </c>
      <c r="O206" s="28">
        <v>139000000</v>
      </c>
      <c r="P206" s="28">
        <v>137000000</v>
      </c>
      <c r="Q206" s="28">
        <v>137000000</v>
      </c>
      <c r="R206" s="28">
        <v>134000000</v>
      </c>
      <c r="S206" s="28">
        <v>133000000</v>
      </c>
      <c r="T206" s="28">
        <v>137000000</v>
      </c>
      <c r="U206" s="28">
        <v>152000000</v>
      </c>
      <c r="V206" s="28">
        <v>216000000</v>
      </c>
      <c r="W206" s="28">
        <v>237000000</v>
      </c>
      <c r="X206" s="28">
        <v>240000000</v>
      </c>
      <c r="Y206" s="28">
        <v>239000000</v>
      </c>
      <c r="Z206" s="28">
        <v>237000000</v>
      </c>
      <c r="AA206" s="28">
        <v>222000000</v>
      </c>
      <c r="AB206" s="28">
        <v>166000000</v>
      </c>
      <c r="AC206" s="29">
        <v>127000000</v>
      </c>
      <c r="AD206" t="str">
        <f t="shared" si="3"/>
        <v>Winter</v>
      </c>
      <c r="AE206" t="str">
        <f>INDEX('Category Mapping'!$B$2:$B$29,MATCH('Source Data'!A206,'Category Mapping'!$A$2:$A$29,0))</f>
        <v>Weekday</v>
      </c>
      <c r="AF206" t="str">
        <f>INDEX('Category Mapping'!$C$2:$C$29,MATCH('Source Data'!A206,'Category Mapping'!$A$2:$A$29,0))</f>
        <v>Residential</v>
      </c>
      <c r="AG206" t="str">
        <f>INDEX('Category Mapping'!$D$2:$D$29,MATCH('Source Data'!A206,'Category Mapping'!$A$2:$A$29,0))</f>
        <v>Total</v>
      </c>
    </row>
    <row r="207" spans="1:33" x14ac:dyDescent="0.25">
      <c r="A207" s="14" t="s">
        <v>93</v>
      </c>
      <c r="B207" s="15">
        <v>2019</v>
      </c>
      <c r="C207" s="15">
        <v>19</v>
      </c>
      <c r="D207" s="15" t="s">
        <v>208</v>
      </c>
      <c r="E207" s="15">
        <v>1</v>
      </c>
      <c r="F207" s="30">
        <v>57000000</v>
      </c>
      <c r="G207" s="30">
        <v>47600000</v>
      </c>
      <c r="H207" s="30">
        <v>41000000</v>
      </c>
      <c r="I207" s="30">
        <v>36900000</v>
      </c>
      <c r="J207" s="30">
        <v>37500000</v>
      </c>
      <c r="K207" s="30">
        <v>42800000</v>
      </c>
      <c r="L207" s="30">
        <v>60000000</v>
      </c>
      <c r="M207" s="30">
        <v>80700000</v>
      </c>
      <c r="N207" s="30">
        <v>81900000</v>
      </c>
      <c r="O207" s="30">
        <v>98000000</v>
      </c>
      <c r="P207" s="30">
        <v>115000000</v>
      </c>
      <c r="Q207" s="30">
        <v>123000000</v>
      </c>
      <c r="R207" s="30">
        <v>114000000</v>
      </c>
      <c r="S207" s="30">
        <v>103000000</v>
      </c>
      <c r="T207" s="30">
        <v>106000000</v>
      </c>
      <c r="U207" s="30">
        <v>109000000</v>
      </c>
      <c r="V207" s="30">
        <v>134000000</v>
      </c>
      <c r="W207" s="30">
        <v>139000000</v>
      </c>
      <c r="X207" s="30">
        <v>140000000</v>
      </c>
      <c r="Y207" s="30">
        <v>135000000</v>
      </c>
      <c r="Z207" s="30">
        <v>130000000</v>
      </c>
      <c r="AA207" s="30">
        <v>117000000</v>
      </c>
      <c r="AB207" s="30">
        <v>93100000</v>
      </c>
      <c r="AC207" s="31">
        <v>71700000</v>
      </c>
      <c r="AD207" t="str">
        <f t="shared" si="3"/>
        <v>Winter</v>
      </c>
      <c r="AE207" t="str">
        <f>INDEX('Category Mapping'!$B$2:$B$29,MATCH('Source Data'!A207,'Category Mapping'!$A$2:$A$29,0))</f>
        <v>Weekend</v>
      </c>
      <c r="AF207" t="str">
        <f>INDEX('Category Mapping'!$C$2:$C$29,MATCH('Source Data'!A207,'Category Mapping'!$A$2:$A$29,0))</f>
        <v>Residential</v>
      </c>
      <c r="AG207" t="str">
        <f>INDEX('Category Mapping'!$D$2:$D$29,MATCH('Source Data'!A207,'Category Mapping'!$A$2:$A$29,0))</f>
        <v>Total</v>
      </c>
    </row>
    <row r="208" spans="1:33" x14ac:dyDescent="0.25">
      <c r="A208" s="16" t="s">
        <v>93</v>
      </c>
      <c r="B208" s="17">
        <v>2019</v>
      </c>
      <c r="C208" s="17">
        <v>19</v>
      </c>
      <c r="D208" s="17" t="s">
        <v>208</v>
      </c>
      <c r="E208" s="17">
        <v>2</v>
      </c>
      <c r="F208" s="28">
        <v>54200000</v>
      </c>
      <c r="G208" s="28">
        <v>44900000</v>
      </c>
      <c r="H208" s="28">
        <v>38300000</v>
      </c>
      <c r="I208" s="28">
        <v>34300000</v>
      </c>
      <c r="J208" s="28">
        <v>34800000</v>
      </c>
      <c r="K208" s="28">
        <v>40100000</v>
      </c>
      <c r="L208" s="28">
        <v>57000000</v>
      </c>
      <c r="M208" s="28">
        <v>68100000</v>
      </c>
      <c r="N208" s="28">
        <v>78400000</v>
      </c>
      <c r="O208" s="28">
        <v>94200000</v>
      </c>
      <c r="P208" s="28">
        <v>111000000</v>
      </c>
      <c r="Q208" s="28">
        <v>120000000</v>
      </c>
      <c r="R208" s="28">
        <v>111000000</v>
      </c>
      <c r="S208" s="28">
        <v>99100000</v>
      </c>
      <c r="T208" s="28">
        <v>102000000</v>
      </c>
      <c r="U208" s="28">
        <v>106000000</v>
      </c>
      <c r="V208" s="28">
        <v>118000000</v>
      </c>
      <c r="W208" s="28">
        <v>136000000</v>
      </c>
      <c r="X208" s="28">
        <v>135000000</v>
      </c>
      <c r="Y208" s="28">
        <v>130000000</v>
      </c>
      <c r="Z208" s="28">
        <v>125000000</v>
      </c>
      <c r="AA208" s="28">
        <v>113000000</v>
      </c>
      <c r="AB208" s="28">
        <v>89700000</v>
      </c>
      <c r="AC208" s="29">
        <v>68700000</v>
      </c>
      <c r="AD208" t="str">
        <f t="shared" si="3"/>
        <v>Winter</v>
      </c>
      <c r="AE208" t="str">
        <f>INDEX('Category Mapping'!$B$2:$B$29,MATCH('Source Data'!A208,'Category Mapping'!$A$2:$A$29,0))</f>
        <v>Weekend</v>
      </c>
      <c r="AF208" t="str">
        <f>INDEX('Category Mapping'!$C$2:$C$29,MATCH('Source Data'!A208,'Category Mapping'!$A$2:$A$29,0))</f>
        <v>Residential</v>
      </c>
      <c r="AG208" t="str">
        <f>INDEX('Category Mapping'!$D$2:$D$29,MATCH('Source Data'!A208,'Category Mapping'!$A$2:$A$29,0))</f>
        <v>Total</v>
      </c>
    </row>
    <row r="209" spans="1:33" x14ac:dyDescent="0.25">
      <c r="A209" s="14" t="s">
        <v>93</v>
      </c>
      <c r="B209" s="15">
        <v>2019</v>
      </c>
      <c r="C209" s="15">
        <v>19</v>
      </c>
      <c r="D209" s="15" t="s">
        <v>208</v>
      </c>
      <c r="E209" s="15">
        <v>3</v>
      </c>
      <c r="F209" s="30">
        <v>51300000</v>
      </c>
      <c r="G209" s="30">
        <v>42200000</v>
      </c>
      <c r="H209" s="30">
        <v>35600000</v>
      </c>
      <c r="I209" s="30">
        <v>31600000</v>
      </c>
      <c r="J209" s="30">
        <v>32100000</v>
      </c>
      <c r="K209" s="30">
        <v>37400000</v>
      </c>
      <c r="L209" s="30">
        <v>53500000</v>
      </c>
      <c r="M209" s="30">
        <v>61900000</v>
      </c>
      <c r="N209" s="30">
        <v>75100000</v>
      </c>
      <c r="O209" s="30">
        <v>90700000</v>
      </c>
      <c r="P209" s="30">
        <v>108000000</v>
      </c>
      <c r="Q209" s="30">
        <v>116000000</v>
      </c>
      <c r="R209" s="30">
        <v>107000000</v>
      </c>
      <c r="S209" s="30">
        <v>96200000</v>
      </c>
      <c r="T209" s="30">
        <v>99600000</v>
      </c>
      <c r="U209" s="30">
        <v>103000000</v>
      </c>
      <c r="V209" s="30">
        <v>110000000</v>
      </c>
      <c r="W209" s="30">
        <v>130000000</v>
      </c>
      <c r="X209" s="30">
        <v>130000000</v>
      </c>
      <c r="Y209" s="30">
        <v>125000000</v>
      </c>
      <c r="Z209" s="30">
        <v>120000000</v>
      </c>
      <c r="AA209" s="30">
        <v>108000000</v>
      </c>
      <c r="AB209" s="30">
        <v>85800000</v>
      </c>
      <c r="AC209" s="31">
        <v>65500000</v>
      </c>
      <c r="AD209" t="str">
        <f t="shared" si="3"/>
        <v>Spring</v>
      </c>
      <c r="AE209" t="str">
        <f>INDEX('Category Mapping'!$B$2:$B$29,MATCH('Source Data'!A209,'Category Mapping'!$A$2:$A$29,0))</f>
        <v>Weekend</v>
      </c>
      <c r="AF209" t="str">
        <f>INDEX('Category Mapping'!$C$2:$C$29,MATCH('Source Data'!A209,'Category Mapping'!$A$2:$A$29,0))</f>
        <v>Residential</v>
      </c>
      <c r="AG209" t="str">
        <f>INDEX('Category Mapping'!$D$2:$D$29,MATCH('Source Data'!A209,'Category Mapping'!$A$2:$A$29,0))</f>
        <v>Total</v>
      </c>
    </row>
    <row r="210" spans="1:33" x14ac:dyDescent="0.25">
      <c r="A210" s="16" t="s">
        <v>93</v>
      </c>
      <c r="B210" s="17">
        <v>2019</v>
      </c>
      <c r="C210" s="17">
        <v>19</v>
      </c>
      <c r="D210" s="17" t="s">
        <v>208</v>
      </c>
      <c r="E210" s="17">
        <v>4</v>
      </c>
      <c r="F210" s="28">
        <v>46400000</v>
      </c>
      <c r="G210" s="28">
        <v>37400000</v>
      </c>
      <c r="H210" s="28">
        <v>30900000</v>
      </c>
      <c r="I210" s="28">
        <v>26900000</v>
      </c>
      <c r="J210" s="28">
        <v>27500000</v>
      </c>
      <c r="K210" s="28">
        <v>32500000</v>
      </c>
      <c r="L210" s="28">
        <v>41900000</v>
      </c>
      <c r="M210" s="28">
        <v>56000000</v>
      </c>
      <c r="N210" s="28">
        <v>69200000</v>
      </c>
      <c r="O210" s="28">
        <v>84800000</v>
      </c>
      <c r="P210" s="28">
        <v>102000000</v>
      </c>
      <c r="Q210" s="28">
        <v>112000000</v>
      </c>
      <c r="R210" s="28">
        <v>103000000</v>
      </c>
      <c r="S210" s="28">
        <v>92300000</v>
      </c>
      <c r="T210" s="28">
        <v>96100000</v>
      </c>
      <c r="U210" s="28">
        <v>99400000</v>
      </c>
      <c r="V210" s="28">
        <v>105000000</v>
      </c>
      <c r="W210" s="28">
        <v>111000000</v>
      </c>
      <c r="X210" s="28">
        <v>125000000</v>
      </c>
      <c r="Y210" s="28">
        <v>119000000</v>
      </c>
      <c r="Z210" s="28">
        <v>114000000</v>
      </c>
      <c r="AA210" s="28">
        <v>102000000</v>
      </c>
      <c r="AB210" s="28">
        <v>80200000</v>
      </c>
      <c r="AC210" s="29">
        <v>60400000</v>
      </c>
      <c r="AD210" t="str">
        <f t="shared" si="3"/>
        <v>Spring</v>
      </c>
      <c r="AE210" t="str">
        <f>INDEX('Category Mapping'!$B$2:$B$29,MATCH('Source Data'!A210,'Category Mapping'!$A$2:$A$29,0))</f>
        <v>Weekend</v>
      </c>
      <c r="AF210" t="str">
        <f>INDEX('Category Mapping'!$C$2:$C$29,MATCH('Source Data'!A210,'Category Mapping'!$A$2:$A$29,0))</f>
        <v>Residential</v>
      </c>
      <c r="AG210" t="str">
        <f>INDEX('Category Mapping'!$D$2:$D$29,MATCH('Source Data'!A210,'Category Mapping'!$A$2:$A$29,0))</f>
        <v>Total</v>
      </c>
    </row>
    <row r="211" spans="1:33" x14ac:dyDescent="0.25">
      <c r="A211" s="14" t="s">
        <v>93</v>
      </c>
      <c r="B211" s="15">
        <v>2019</v>
      </c>
      <c r="C211" s="15">
        <v>19</v>
      </c>
      <c r="D211" s="15" t="s">
        <v>208</v>
      </c>
      <c r="E211" s="15">
        <v>5</v>
      </c>
      <c r="F211" s="30">
        <v>43500000</v>
      </c>
      <c r="G211" s="30">
        <v>34500000</v>
      </c>
      <c r="H211" s="30">
        <v>28000000</v>
      </c>
      <c r="I211" s="30">
        <v>24100000</v>
      </c>
      <c r="J211" s="30">
        <v>24700000</v>
      </c>
      <c r="K211" s="30">
        <v>28900000</v>
      </c>
      <c r="L211" s="30">
        <v>36900000</v>
      </c>
      <c r="M211" s="30">
        <v>51900000</v>
      </c>
      <c r="N211" s="30">
        <v>64500000</v>
      </c>
      <c r="O211" s="30">
        <v>80400000</v>
      </c>
      <c r="P211" s="30">
        <v>98600000</v>
      </c>
      <c r="Q211" s="30">
        <v>110000000</v>
      </c>
      <c r="R211" s="30">
        <v>102000000</v>
      </c>
      <c r="S211" s="30">
        <v>92100000</v>
      </c>
      <c r="T211" s="30">
        <v>95900000</v>
      </c>
      <c r="U211" s="30">
        <v>99400000</v>
      </c>
      <c r="V211" s="30">
        <v>105000000</v>
      </c>
      <c r="W211" s="30">
        <v>106000000</v>
      </c>
      <c r="X211" s="30">
        <v>119000000</v>
      </c>
      <c r="Y211" s="30">
        <v>115000000</v>
      </c>
      <c r="Z211" s="30">
        <v>108000000</v>
      </c>
      <c r="AA211" s="30">
        <v>97100000</v>
      </c>
      <c r="AB211" s="30">
        <v>76600000</v>
      </c>
      <c r="AC211" s="31">
        <v>57400000</v>
      </c>
      <c r="AD211" t="str">
        <f t="shared" si="3"/>
        <v>Spring</v>
      </c>
      <c r="AE211" t="str">
        <f>INDEX('Category Mapping'!$B$2:$B$29,MATCH('Source Data'!A211,'Category Mapping'!$A$2:$A$29,0))</f>
        <v>Weekend</v>
      </c>
      <c r="AF211" t="str">
        <f>INDEX('Category Mapping'!$C$2:$C$29,MATCH('Source Data'!A211,'Category Mapping'!$A$2:$A$29,0))</f>
        <v>Residential</v>
      </c>
      <c r="AG211" t="str">
        <f>INDEX('Category Mapping'!$D$2:$D$29,MATCH('Source Data'!A211,'Category Mapping'!$A$2:$A$29,0))</f>
        <v>Total</v>
      </c>
    </row>
    <row r="212" spans="1:33" x14ac:dyDescent="0.25">
      <c r="A212" s="16" t="s">
        <v>93</v>
      </c>
      <c r="B212" s="17">
        <v>2019</v>
      </c>
      <c r="C212" s="17">
        <v>19</v>
      </c>
      <c r="D212" s="17" t="s">
        <v>208</v>
      </c>
      <c r="E212" s="17">
        <v>6</v>
      </c>
      <c r="F212" s="28">
        <v>44500000</v>
      </c>
      <c r="G212" s="28">
        <v>34900000</v>
      </c>
      <c r="H212" s="28">
        <v>28300000</v>
      </c>
      <c r="I212" s="28">
        <v>24500000</v>
      </c>
      <c r="J212" s="28">
        <v>25800000</v>
      </c>
      <c r="K212" s="28">
        <v>29500000</v>
      </c>
      <c r="L212" s="28">
        <v>42300000</v>
      </c>
      <c r="M212" s="28">
        <v>61300000</v>
      </c>
      <c r="N212" s="28">
        <v>77000000</v>
      </c>
      <c r="O212" s="28">
        <v>94200000</v>
      </c>
      <c r="P212" s="28">
        <v>114000000</v>
      </c>
      <c r="Q212" s="28">
        <v>129000000</v>
      </c>
      <c r="R212" s="28">
        <v>123000000</v>
      </c>
      <c r="S212" s="28">
        <v>115000000</v>
      </c>
      <c r="T212" s="28">
        <v>119000000</v>
      </c>
      <c r="U212" s="28">
        <v>122000000</v>
      </c>
      <c r="V212" s="28">
        <v>127000000</v>
      </c>
      <c r="W212" s="28">
        <v>126000000</v>
      </c>
      <c r="X212" s="28">
        <v>131000000</v>
      </c>
      <c r="Y212" s="28">
        <v>132000000</v>
      </c>
      <c r="Z212" s="28">
        <v>122000000</v>
      </c>
      <c r="AA212" s="28">
        <v>107000000</v>
      </c>
      <c r="AB212" s="28">
        <v>82500000</v>
      </c>
      <c r="AC212" s="29">
        <v>60000000</v>
      </c>
      <c r="AD212" t="str">
        <f t="shared" si="3"/>
        <v>Summer</v>
      </c>
      <c r="AE212" t="str">
        <f>INDEX('Category Mapping'!$B$2:$B$29,MATCH('Source Data'!A212,'Category Mapping'!$A$2:$A$29,0))</f>
        <v>Weekend</v>
      </c>
      <c r="AF212" t="str">
        <f>INDEX('Category Mapping'!$C$2:$C$29,MATCH('Source Data'!A212,'Category Mapping'!$A$2:$A$29,0))</f>
        <v>Residential</v>
      </c>
      <c r="AG212" t="str">
        <f>INDEX('Category Mapping'!$D$2:$D$29,MATCH('Source Data'!A212,'Category Mapping'!$A$2:$A$29,0))</f>
        <v>Total</v>
      </c>
    </row>
    <row r="213" spans="1:33" x14ac:dyDescent="0.25">
      <c r="A213" s="14" t="s">
        <v>93</v>
      </c>
      <c r="B213" s="15">
        <v>2019</v>
      </c>
      <c r="C213" s="15">
        <v>19</v>
      </c>
      <c r="D213" s="15" t="s">
        <v>208</v>
      </c>
      <c r="E213" s="15">
        <v>7</v>
      </c>
      <c r="F213" s="30">
        <v>67900000</v>
      </c>
      <c r="G213" s="30">
        <v>56900000</v>
      </c>
      <c r="H213" s="30">
        <v>50000000</v>
      </c>
      <c r="I213" s="30">
        <v>46900000</v>
      </c>
      <c r="J213" s="30">
        <v>49900000</v>
      </c>
      <c r="K213" s="30">
        <v>55600000</v>
      </c>
      <c r="L213" s="30">
        <v>68100000</v>
      </c>
      <c r="M213" s="30">
        <v>86000000</v>
      </c>
      <c r="N213" s="30">
        <v>99700000</v>
      </c>
      <c r="O213" s="30">
        <v>114000000</v>
      </c>
      <c r="P213" s="30">
        <v>133000000</v>
      </c>
      <c r="Q213" s="30">
        <v>149000000</v>
      </c>
      <c r="R213" s="30">
        <v>145000000</v>
      </c>
      <c r="S213" s="30">
        <v>136000000</v>
      </c>
      <c r="T213" s="30">
        <v>141000000</v>
      </c>
      <c r="U213" s="30">
        <v>144000000</v>
      </c>
      <c r="V213" s="30">
        <v>148000000</v>
      </c>
      <c r="W213" s="30">
        <v>148000000</v>
      </c>
      <c r="X213" s="30">
        <v>156000000</v>
      </c>
      <c r="Y213" s="30">
        <v>156000000</v>
      </c>
      <c r="Z213" s="30">
        <v>147000000</v>
      </c>
      <c r="AA213" s="30">
        <v>132000000</v>
      </c>
      <c r="AB213" s="30">
        <v>108000000</v>
      </c>
      <c r="AC213" s="31">
        <v>84900000</v>
      </c>
      <c r="AD213" t="str">
        <f t="shared" si="3"/>
        <v>Summer</v>
      </c>
      <c r="AE213" t="str">
        <f>INDEX('Category Mapping'!$B$2:$B$29,MATCH('Source Data'!A213,'Category Mapping'!$A$2:$A$29,0))</f>
        <v>Weekend</v>
      </c>
      <c r="AF213" t="str">
        <f>INDEX('Category Mapping'!$C$2:$C$29,MATCH('Source Data'!A213,'Category Mapping'!$A$2:$A$29,0))</f>
        <v>Residential</v>
      </c>
      <c r="AG213" t="str">
        <f>INDEX('Category Mapping'!$D$2:$D$29,MATCH('Source Data'!A213,'Category Mapping'!$A$2:$A$29,0))</f>
        <v>Total</v>
      </c>
    </row>
    <row r="214" spans="1:33" x14ac:dyDescent="0.25">
      <c r="A214" s="16" t="s">
        <v>93</v>
      </c>
      <c r="B214" s="17">
        <v>2019</v>
      </c>
      <c r="C214" s="17">
        <v>19</v>
      </c>
      <c r="D214" s="17" t="s">
        <v>208</v>
      </c>
      <c r="E214" s="17">
        <v>8</v>
      </c>
      <c r="F214" s="28">
        <v>69200000</v>
      </c>
      <c r="G214" s="28">
        <v>57700000</v>
      </c>
      <c r="H214" s="28">
        <v>50500000</v>
      </c>
      <c r="I214" s="28">
        <v>47600000</v>
      </c>
      <c r="J214" s="28">
        <v>51200000</v>
      </c>
      <c r="K214" s="28">
        <v>60000000</v>
      </c>
      <c r="L214" s="28">
        <v>72600000</v>
      </c>
      <c r="M214" s="28">
        <v>90900000</v>
      </c>
      <c r="N214" s="28">
        <v>106000000</v>
      </c>
      <c r="O214" s="28">
        <v>121000000</v>
      </c>
      <c r="P214" s="28">
        <v>140000000</v>
      </c>
      <c r="Q214" s="28">
        <v>157000000</v>
      </c>
      <c r="R214" s="28">
        <v>154000000</v>
      </c>
      <c r="S214" s="28">
        <v>146000000</v>
      </c>
      <c r="T214" s="28">
        <v>151000000</v>
      </c>
      <c r="U214" s="28">
        <v>153000000</v>
      </c>
      <c r="V214" s="28">
        <v>158000000</v>
      </c>
      <c r="W214" s="28">
        <v>159000000</v>
      </c>
      <c r="X214" s="28">
        <v>172000000</v>
      </c>
      <c r="Y214" s="28">
        <v>164000000</v>
      </c>
      <c r="Z214" s="28">
        <v>154000000</v>
      </c>
      <c r="AA214" s="28">
        <v>137000000</v>
      </c>
      <c r="AB214" s="28">
        <v>111000000</v>
      </c>
      <c r="AC214" s="29">
        <v>87200000</v>
      </c>
      <c r="AD214" t="str">
        <f t="shared" si="3"/>
        <v>Summer</v>
      </c>
      <c r="AE214" t="str">
        <f>INDEX('Category Mapping'!$B$2:$B$29,MATCH('Source Data'!A214,'Category Mapping'!$A$2:$A$29,0))</f>
        <v>Weekend</v>
      </c>
      <c r="AF214" t="str">
        <f>INDEX('Category Mapping'!$C$2:$C$29,MATCH('Source Data'!A214,'Category Mapping'!$A$2:$A$29,0))</f>
        <v>Residential</v>
      </c>
      <c r="AG214" t="str">
        <f>INDEX('Category Mapping'!$D$2:$D$29,MATCH('Source Data'!A214,'Category Mapping'!$A$2:$A$29,0))</f>
        <v>Total</v>
      </c>
    </row>
    <row r="215" spans="1:33" x14ac:dyDescent="0.25">
      <c r="A215" s="14" t="s">
        <v>93</v>
      </c>
      <c r="B215" s="15">
        <v>2019</v>
      </c>
      <c r="C215" s="15">
        <v>19</v>
      </c>
      <c r="D215" s="15" t="s">
        <v>208</v>
      </c>
      <c r="E215" s="15">
        <v>9</v>
      </c>
      <c r="F215" s="30">
        <v>44600000</v>
      </c>
      <c r="G215" s="30">
        <v>35400000</v>
      </c>
      <c r="H215" s="30">
        <v>28900000</v>
      </c>
      <c r="I215" s="30">
        <v>25000000</v>
      </c>
      <c r="J215" s="30">
        <v>25800000</v>
      </c>
      <c r="K215" s="30">
        <v>30700000</v>
      </c>
      <c r="L215" s="30">
        <v>42400000</v>
      </c>
      <c r="M215" s="30">
        <v>56900000</v>
      </c>
      <c r="N215" s="30">
        <v>72900000</v>
      </c>
      <c r="O215" s="30">
        <v>90500000</v>
      </c>
      <c r="P215" s="30">
        <v>111000000</v>
      </c>
      <c r="Q215" s="30">
        <v>125000000</v>
      </c>
      <c r="R215" s="30">
        <v>120000000</v>
      </c>
      <c r="S215" s="30">
        <v>111000000</v>
      </c>
      <c r="T215" s="30">
        <v>115000000</v>
      </c>
      <c r="U215" s="30">
        <v>118000000</v>
      </c>
      <c r="V215" s="30">
        <v>123000000</v>
      </c>
      <c r="W215" s="30">
        <v>130000000</v>
      </c>
      <c r="X215" s="30">
        <v>138000000</v>
      </c>
      <c r="Y215" s="30">
        <v>129000000</v>
      </c>
      <c r="Z215" s="30">
        <v>119000000</v>
      </c>
      <c r="AA215" s="30">
        <v>104000000</v>
      </c>
      <c r="AB215" s="30">
        <v>79800000</v>
      </c>
      <c r="AC215" s="31">
        <v>58900000</v>
      </c>
      <c r="AD215" t="str">
        <f t="shared" si="3"/>
        <v>Fall</v>
      </c>
      <c r="AE215" t="str">
        <f>INDEX('Category Mapping'!$B$2:$B$29,MATCH('Source Data'!A215,'Category Mapping'!$A$2:$A$29,0))</f>
        <v>Weekend</v>
      </c>
      <c r="AF215" t="str">
        <f>INDEX('Category Mapping'!$C$2:$C$29,MATCH('Source Data'!A215,'Category Mapping'!$A$2:$A$29,0))</f>
        <v>Residential</v>
      </c>
      <c r="AG215" t="str">
        <f>INDEX('Category Mapping'!$D$2:$D$29,MATCH('Source Data'!A215,'Category Mapping'!$A$2:$A$29,0))</f>
        <v>Total</v>
      </c>
    </row>
    <row r="216" spans="1:33" x14ac:dyDescent="0.25">
      <c r="A216" s="16" t="s">
        <v>93</v>
      </c>
      <c r="B216" s="17">
        <v>2019</v>
      </c>
      <c r="C216" s="17">
        <v>19</v>
      </c>
      <c r="D216" s="17" t="s">
        <v>208</v>
      </c>
      <c r="E216" s="17">
        <v>10</v>
      </c>
      <c r="F216" s="28">
        <v>45500000</v>
      </c>
      <c r="G216" s="28">
        <v>36400000</v>
      </c>
      <c r="H216" s="28">
        <v>29800000</v>
      </c>
      <c r="I216" s="28">
        <v>25900000</v>
      </c>
      <c r="J216" s="28">
        <v>26600000</v>
      </c>
      <c r="K216" s="28">
        <v>31800000</v>
      </c>
      <c r="L216" s="28">
        <v>47900000</v>
      </c>
      <c r="M216" s="28">
        <v>56300000</v>
      </c>
      <c r="N216" s="28">
        <v>68000000</v>
      </c>
      <c r="O216" s="28">
        <v>83400000</v>
      </c>
      <c r="P216" s="28">
        <v>101000000</v>
      </c>
      <c r="Q216" s="28">
        <v>111000000</v>
      </c>
      <c r="R216" s="28">
        <v>103000000</v>
      </c>
      <c r="S216" s="28">
        <v>91900000</v>
      </c>
      <c r="T216" s="28">
        <v>95600000</v>
      </c>
      <c r="U216" s="28">
        <v>99100000</v>
      </c>
      <c r="V216" s="28">
        <v>107000000</v>
      </c>
      <c r="W216" s="28">
        <v>126000000</v>
      </c>
      <c r="X216" s="28">
        <v>125000000</v>
      </c>
      <c r="Y216" s="28">
        <v>119000000</v>
      </c>
      <c r="Z216" s="28">
        <v>114000000</v>
      </c>
      <c r="AA216" s="28">
        <v>102000000</v>
      </c>
      <c r="AB216" s="28">
        <v>80100000</v>
      </c>
      <c r="AC216" s="29">
        <v>59800000</v>
      </c>
      <c r="AD216" t="str">
        <f t="shared" si="3"/>
        <v>Fall</v>
      </c>
      <c r="AE216" t="str">
        <f>INDEX('Category Mapping'!$B$2:$B$29,MATCH('Source Data'!A216,'Category Mapping'!$A$2:$A$29,0))</f>
        <v>Weekend</v>
      </c>
      <c r="AF216" t="str">
        <f>INDEX('Category Mapping'!$C$2:$C$29,MATCH('Source Data'!A216,'Category Mapping'!$A$2:$A$29,0))</f>
        <v>Residential</v>
      </c>
      <c r="AG216" t="str">
        <f>INDEX('Category Mapping'!$D$2:$D$29,MATCH('Source Data'!A216,'Category Mapping'!$A$2:$A$29,0))</f>
        <v>Total</v>
      </c>
    </row>
    <row r="217" spans="1:33" x14ac:dyDescent="0.25">
      <c r="A217" s="14" t="s">
        <v>93</v>
      </c>
      <c r="B217" s="15">
        <v>2019</v>
      </c>
      <c r="C217" s="15">
        <v>19</v>
      </c>
      <c r="D217" s="15" t="s">
        <v>208</v>
      </c>
      <c r="E217" s="15">
        <v>11</v>
      </c>
      <c r="F217" s="30">
        <v>50400000</v>
      </c>
      <c r="G217" s="30">
        <v>41200000</v>
      </c>
      <c r="H217" s="30">
        <v>34600000</v>
      </c>
      <c r="I217" s="30">
        <v>30600000</v>
      </c>
      <c r="J217" s="30">
        <v>31200000</v>
      </c>
      <c r="K217" s="30">
        <v>36500000</v>
      </c>
      <c r="L217" s="30">
        <v>53200000</v>
      </c>
      <c r="M217" s="30">
        <v>66700000</v>
      </c>
      <c r="N217" s="30">
        <v>73700000</v>
      </c>
      <c r="O217" s="30">
        <v>89200000</v>
      </c>
      <c r="P217" s="30">
        <v>106000000</v>
      </c>
      <c r="Q217" s="30">
        <v>115000000</v>
      </c>
      <c r="R217" s="30">
        <v>107000000</v>
      </c>
      <c r="S217" s="30">
        <v>95600000</v>
      </c>
      <c r="T217" s="30">
        <v>99000000</v>
      </c>
      <c r="U217" s="30">
        <v>103000000</v>
      </c>
      <c r="V217" s="30">
        <v>118000000</v>
      </c>
      <c r="W217" s="30">
        <v>132000000</v>
      </c>
      <c r="X217" s="30">
        <v>131000000</v>
      </c>
      <c r="Y217" s="30">
        <v>126000000</v>
      </c>
      <c r="Z217" s="30">
        <v>121000000</v>
      </c>
      <c r="AA217" s="30">
        <v>109000000</v>
      </c>
      <c r="AB217" s="30">
        <v>85800000</v>
      </c>
      <c r="AC217" s="31">
        <v>64800000</v>
      </c>
      <c r="AD217" t="str">
        <f t="shared" si="3"/>
        <v>Winter</v>
      </c>
      <c r="AE217" t="str">
        <f>INDEX('Category Mapping'!$B$2:$B$29,MATCH('Source Data'!A217,'Category Mapping'!$A$2:$A$29,0))</f>
        <v>Weekend</v>
      </c>
      <c r="AF217" t="str">
        <f>INDEX('Category Mapping'!$C$2:$C$29,MATCH('Source Data'!A217,'Category Mapping'!$A$2:$A$29,0))</f>
        <v>Residential</v>
      </c>
      <c r="AG217" t="str">
        <f>INDEX('Category Mapping'!$D$2:$D$29,MATCH('Source Data'!A217,'Category Mapping'!$A$2:$A$29,0))</f>
        <v>Total</v>
      </c>
    </row>
    <row r="218" spans="1:33" x14ac:dyDescent="0.25">
      <c r="A218" s="16" t="s">
        <v>93</v>
      </c>
      <c r="B218" s="17">
        <v>2019</v>
      </c>
      <c r="C218" s="17">
        <v>19</v>
      </c>
      <c r="D218" s="17" t="s">
        <v>208</v>
      </c>
      <c r="E218" s="17">
        <v>12</v>
      </c>
      <c r="F218" s="28">
        <v>55000000</v>
      </c>
      <c r="G218" s="28">
        <v>45600000</v>
      </c>
      <c r="H218" s="28">
        <v>39000000</v>
      </c>
      <c r="I218" s="28">
        <v>35000000</v>
      </c>
      <c r="J218" s="28">
        <v>35500000</v>
      </c>
      <c r="K218" s="28">
        <v>40900000</v>
      </c>
      <c r="L218" s="28">
        <v>58000000</v>
      </c>
      <c r="M218" s="28">
        <v>80500000</v>
      </c>
      <c r="N218" s="28">
        <v>79500000</v>
      </c>
      <c r="O218" s="28">
        <v>95400000</v>
      </c>
      <c r="P218" s="28">
        <v>112000000</v>
      </c>
      <c r="Q218" s="28">
        <v>121000000</v>
      </c>
      <c r="R218" s="28">
        <v>112000000</v>
      </c>
      <c r="S218" s="28">
        <v>100000000</v>
      </c>
      <c r="T218" s="28">
        <v>104000000</v>
      </c>
      <c r="U218" s="28">
        <v>107000000</v>
      </c>
      <c r="V218" s="28">
        <v>135000000</v>
      </c>
      <c r="W218" s="28">
        <v>138000000</v>
      </c>
      <c r="X218" s="28">
        <v>137000000</v>
      </c>
      <c r="Y218" s="28">
        <v>132000000</v>
      </c>
      <c r="Z218" s="28">
        <v>127000000</v>
      </c>
      <c r="AA218" s="28">
        <v>114000000</v>
      </c>
      <c r="AB218" s="28">
        <v>91000000</v>
      </c>
      <c r="AC218" s="29">
        <v>69600000</v>
      </c>
      <c r="AD218" t="str">
        <f t="shared" si="3"/>
        <v>Winter</v>
      </c>
      <c r="AE218" t="str">
        <f>INDEX('Category Mapping'!$B$2:$B$29,MATCH('Source Data'!A218,'Category Mapping'!$A$2:$A$29,0))</f>
        <v>Weekend</v>
      </c>
      <c r="AF218" t="str">
        <f>INDEX('Category Mapping'!$C$2:$C$29,MATCH('Source Data'!A218,'Category Mapping'!$A$2:$A$29,0))</f>
        <v>Residential</v>
      </c>
      <c r="AG218" t="str">
        <f>INDEX('Category Mapping'!$D$2:$D$29,MATCH('Source Data'!A218,'Category Mapping'!$A$2:$A$29,0))</f>
        <v>Total</v>
      </c>
    </row>
    <row r="219" spans="1:33" x14ac:dyDescent="0.25">
      <c r="A219" s="14" t="s">
        <v>100</v>
      </c>
      <c r="B219" s="15">
        <v>2019</v>
      </c>
      <c r="C219" s="15">
        <v>19</v>
      </c>
      <c r="D219" s="15" t="s">
        <v>208</v>
      </c>
      <c r="E219" s="15">
        <v>1</v>
      </c>
      <c r="F219" s="30">
        <v>197000000</v>
      </c>
      <c r="G219" s="30">
        <v>190000000</v>
      </c>
      <c r="H219" s="30">
        <v>186000000</v>
      </c>
      <c r="I219" s="30">
        <v>194000000</v>
      </c>
      <c r="J219" s="30">
        <v>206000000</v>
      </c>
      <c r="K219" s="30">
        <v>235000000</v>
      </c>
      <c r="L219" s="30">
        <v>352000000</v>
      </c>
      <c r="M219" s="30">
        <v>527000000</v>
      </c>
      <c r="N219" s="30">
        <v>631000000</v>
      </c>
      <c r="O219" s="30">
        <v>621000000</v>
      </c>
      <c r="P219" s="30">
        <v>603000000</v>
      </c>
      <c r="Q219" s="30">
        <v>592000000</v>
      </c>
      <c r="R219" s="30">
        <v>576000000</v>
      </c>
      <c r="S219" s="30">
        <v>572000000</v>
      </c>
      <c r="T219" s="30">
        <v>568000000</v>
      </c>
      <c r="U219" s="30">
        <v>566000000</v>
      </c>
      <c r="V219" s="30">
        <v>548000000</v>
      </c>
      <c r="W219" s="30">
        <v>518000000</v>
      </c>
      <c r="X219" s="30">
        <v>504000000</v>
      </c>
      <c r="Y219" s="30">
        <v>439000000</v>
      </c>
      <c r="Z219" s="30">
        <v>380000000</v>
      </c>
      <c r="AA219" s="30">
        <v>327000000</v>
      </c>
      <c r="AB219" s="30">
        <v>287000000</v>
      </c>
      <c r="AC219" s="31">
        <v>219000000</v>
      </c>
      <c r="AD219" t="str">
        <f t="shared" si="3"/>
        <v>Winter</v>
      </c>
      <c r="AE219" t="str">
        <f>INDEX('Category Mapping'!$B$2:$B$29,MATCH('Source Data'!A219,'Category Mapping'!$A$2:$A$29,0))</f>
        <v>Weekday</v>
      </c>
      <c r="AF219" t="str">
        <f>INDEX('Category Mapping'!$C$2:$C$29,MATCH('Source Data'!A219,'Category Mapping'!$A$2:$A$29,0))</f>
        <v>Commercial</v>
      </c>
      <c r="AG219" t="str">
        <f>INDEX('Category Mapping'!$D$2:$D$29,MATCH('Source Data'!A219,'Category Mapping'!$A$2:$A$29,0))</f>
        <v>Total</v>
      </c>
    </row>
    <row r="220" spans="1:33" x14ac:dyDescent="0.25">
      <c r="A220" s="16" t="s">
        <v>100</v>
      </c>
      <c r="B220" s="17">
        <v>2019</v>
      </c>
      <c r="C220" s="17">
        <v>19</v>
      </c>
      <c r="D220" s="17" t="s">
        <v>208</v>
      </c>
      <c r="E220" s="17">
        <v>2</v>
      </c>
      <c r="F220" s="28">
        <v>188000000</v>
      </c>
      <c r="G220" s="28">
        <v>183000000</v>
      </c>
      <c r="H220" s="28">
        <v>179000000</v>
      </c>
      <c r="I220" s="28">
        <v>186000000</v>
      </c>
      <c r="J220" s="28">
        <v>198000000</v>
      </c>
      <c r="K220" s="28">
        <v>226000000</v>
      </c>
      <c r="L220" s="28">
        <v>341000000</v>
      </c>
      <c r="M220" s="28">
        <v>505000000</v>
      </c>
      <c r="N220" s="28">
        <v>606000000</v>
      </c>
      <c r="O220" s="28">
        <v>600000000</v>
      </c>
      <c r="P220" s="28">
        <v>584000000</v>
      </c>
      <c r="Q220" s="28">
        <v>574000000</v>
      </c>
      <c r="R220" s="28">
        <v>559000000</v>
      </c>
      <c r="S220" s="28">
        <v>556000000</v>
      </c>
      <c r="T220" s="28">
        <v>553000000</v>
      </c>
      <c r="U220" s="28">
        <v>551000000</v>
      </c>
      <c r="V220" s="28">
        <v>533000000</v>
      </c>
      <c r="W220" s="28">
        <v>503000000</v>
      </c>
      <c r="X220" s="28">
        <v>487000000</v>
      </c>
      <c r="Y220" s="28">
        <v>422000000</v>
      </c>
      <c r="Z220" s="28">
        <v>363000000</v>
      </c>
      <c r="AA220" s="28">
        <v>311000000</v>
      </c>
      <c r="AB220" s="28">
        <v>271000000</v>
      </c>
      <c r="AC220" s="29">
        <v>213000000</v>
      </c>
      <c r="AD220" t="str">
        <f t="shared" si="3"/>
        <v>Winter</v>
      </c>
      <c r="AE220" t="str">
        <f>INDEX('Category Mapping'!$B$2:$B$29,MATCH('Source Data'!A220,'Category Mapping'!$A$2:$A$29,0))</f>
        <v>Weekday</v>
      </c>
      <c r="AF220" t="str">
        <f>INDEX('Category Mapping'!$C$2:$C$29,MATCH('Source Data'!A220,'Category Mapping'!$A$2:$A$29,0))</f>
        <v>Commercial</v>
      </c>
      <c r="AG220" t="str">
        <f>INDEX('Category Mapping'!$D$2:$D$29,MATCH('Source Data'!A220,'Category Mapping'!$A$2:$A$29,0))</f>
        <v>Total</v>
      </c>
    </row>
    <row r="221" spans="1:33" x14ac:dyDescent="0.25">
      <c r="A221" s="14" t="s">
        <v>100</v>
      </c>
      <c r="B221" s="15">
        <v>2019</v>
      </c>
      <c r="C221" s="15">
        <v>19</v>
      </c>
      <c r="D221" s="15" t="s">
        <v>208</v>
      </c>
      <c r="E221" s="15">
        <v>3</v>
      </c>
      <c r="F221" s="30">
        <v>182000000</v>
      </c>
      <c r="G221" s="30">
        <v>177000000</v>
      </c>
      <c r="H221" s="30">
        <v>175000000</v>
      </c>
      <c r="I221" s="30">
        <v>182000000</v>
      </c>
      <c r="J221" s="30">
        <v>192000000</v>
      </c>
      <c r="K221" s="30">
        <v>231000000</v>
      </c>
      <c r="L221" s="30">
        <v>356000000</v>
      </c>
      <c r="M221" s="30">
        <v>491000000</v>
      </c>
      <c r="N221" s="30">
        <v>572000000</v>
      </c>
      <c r="O221" s="30">
        <v>577000000</v>
      </c>
      <c r="P221" s="30">
        <v>565000000</v>
      </c>
      <c r="Q221" s="30">
        <v>556000000</v>
      </c>
      <c r="R221" s="30">
        <v>543000000</v>
      </c>
      <c r="S221" s="30">
        <v>541000000</v>
      </c>
      <c r="T221" s="30">
        <v>538000000</v>
      </c>
      <c r="U221" s="30">
        <v>536000000</v>
      </c>
      <c r="V221" s="30">
        <v>518000000</v>
      </c>
      <c r="W221" s="30">
        <v>489000000</v>
      </c>
      <c r="X221" s="30">
        <v>472000000</v>
      </c>
      <c r="Y221" s="30">
        <v>406000000</v>
      </c>
      <c r="Z221" s="30">
        <v>350000000</v>
      </c>
      <c r="AA221" s="30">
        <v>287000000</v>
      </c>
      <c r="AB221" s="30">
        <v>243000000</v>
      </c>
      <c r="AC221" s="31">
        <v>211000000</v>
      </c>
      <c r="AD221" t="str">
        <f t="shared" si="3"/>
        <v>Spring</v>
      </c>
      <c r="AE221" t="str">
        <f>INDEX('Category Mapping'!$B$2:$B$29,MATCH('Source Data'!A221,'Category Mapping'!$A$2:$A$29,0))</f>
        <v>Weekday</v>
      </c>
      <c r="AF221" t="str">
        <f>INDEX('Category Mapping'!$C$2:$C$29,MATCH('Source Data'!A221,'Category Mapping'!$A$2:$A$29,0))</f>
        <v>Commercial</v>
      </c>
      <c r="AG221" t="str">
        <f>INDEX('Category Mapping'!$D$2:$D$29,MATCH('Source Data'!A221,'Category Mapping'!$A$2:$A$29,0))</f>
        <v>Total</v>
      </c>
    </row>
    <row r="222" spans="1:33" x14ac:dyDescent="0.25">
      <c r="A222" s="16" t="s">
        <v>100</v>
      </c>
      <c r="B222" s="17">
        <v>2019</v>
      </c>
      <c r="C222" s="17">
        <v>19</v>
      </c>
      <c r="D222" s="17" t="s">
        <v>208</v>
      </c>
      <c r="E222" s="17">
        <v>4</v>
      </c>
      <c r="F222" s="28">
        <v>172000000</v>
      </c>
      <c r="G222" s="28">
        <v>167000000</v>
      </c>
      <c r="H222" s="28">
        <v>167000000</v>
      </c>
      <c r="I222" s="28">
        <v>174000000</v>
      </c>
      <c r="J222" s="28">
        <v>183000000</v>
      </c>
      <c r="K222" s="28">
        <v>222000000</v>
      </c>
      <c r="L222" s="28">
        <v>343000000</v>
      </c>
      <c r="M222" s="28">
        <v>441000000</v>
      </c>
      <c r="N222" s="28">
        <v>522000000</v>
      </c>
      <c r="O222" s="28">
        <v>541000000</v>
      </c>
      <c r="P222" s="28">
        <v>535000000</v>
      </c>
      <c r="Q222" s="28">
        <v>530000000</v>
      </c>
      <c r="R222" s="28">
        <v>520000000</v>
      </c>
      <c r="S222" s="28">
        <v>519000000</v>
      </c>
      <c r="T222" s="28">
        <v>518000000</v>
      </c>
      <c r="U222" s="28">
        <v>517000000</v>
      </c>
      <c r="V222" s="28">
        <v>499000000</v>
      </c>
      <c r="W222" s="28">
        <v>471000000</v>
      </c>
      <c r="X222" s="28">
        <v>450000000</v>
      </c>
      <c r="Y222" s="28">
        <v>382000000</v>
      </c>
      <c r="Z222" s="28">
        <v>324000000</v>
      </c>
      <c r="AA222" s="28">
        <v>262000000</v>
      </c>
      <c r="AB222" s="28">
        <v>222000000</v>
      </c>
      <c r="AC222" s="29">
        <v>195000000</v>
      </c>
      <c r="AD222" t="str">
        <f t="shared" si="3"/>
        <v>Spring</v>
      </c>
      <c r="AE222" t="str">
        <f>INDEX('Category Mapping'!$B$2:$B$29,MATCH('Source Data'!A222,'Category Mapping'!$A$2:$A$29,0))</f>
        <v>Weekday</v>
      </c>
      <c r="AF222" t="str">
        <f>INDEX('Category Mapping'!$C$2:$C$29,MATCH('Source Data'!A222,'Category Mapping'!$A$2:$A$29,0))</f>
        <v>Commercial</v>
      </c>
      <c r="AG222" t="str">
        <f>INDEX('Category Mapping'!$D$2:$D$29,MATCH('Source Data'!A222,'Category Mapping'!$A$2:$A$29,0))</f>
        <v>Total</v>
      </c>
    </row>
    <row r="223" spans="1:33" x14ac:dyDescent="0.25">
      <c r="A223" s="14" t="s">
        <v>100</v>
      </c>
      <c r="B223" s="15">
        <v>2019</v>
      </c>
      <c r="C223" s="15">
        <v>19</v>
      </c>
      <c r="D223" s="15" t="s">
        <v>208</v>
      </c>
      <c r="E223" s="15">
        <v>5</v>
      </c>
      <c r="F223" s="30">
        <v>163000000</v>
      </c>
      <c r="G223" s="30">
        <v>160000000</v>
      </c>
      <c r="H223" s="30">
        <v>159000000</v>
      </c>
      <c r="I223" s="30">
        <v>166000000</v>
      </c>
      <c r="J223" s="30">
        <v>175000000</v>
      </c>
      <c r="K223" s="30">
        <v>205000000</v>
      </c>
      <c r="L223" s="30">
        <v>311000000</v>
      </c>
      <c r="M223" s="30">
        <v>415000000</v>
      </c>
      <c r="N223" s="30">
        <v>508000000</v>
      </c>
      <c r="O223" s="30">
        <v>534000000</v>
      </c>
      <c r="P223" s="30">
        <v>533000000</v>
      </c>
      <c r="Q223" s="30">
        <v>532000000</v>
      </c>
      <c r="R223" s="30">
        <v>523000000</v>
      </c>
      <c r="S223" s="30">
        <v>524000000</v>
      </c>
      <c r="T223" s="30">
        <v>524000000</v>
      </c>
      <c r="U223" s="30">
        <v>524000000</v>
      </c>
      <c r="V223" s="30">
        <v>506000000</v>
      </c>
      <c r="W223" s="30">
        <v>476000000</v>
      </c>
      <c r="X223" s="30">
        <v>452000000</v>
      </c>
      <c r="Y223" s="30">
        <v>380000000</v>
      </c>
      <c r="Z223" s="30">
        <v>318000000</v>
      </c>
      <c r="AA223" s="30">
        <v>260000000</v>
      </c>
      <c r="AB223" s="30">
        <v>219000000</v>
      </c>
      <c r="AC223" s="31">
        <v>193000000</v>
      </c>
      <c r="AD223" t="str">
        <f t="shared" si="3"/>
        <v>Spring</v>
      </c>
      <c r="AE223" t="str">
        <f>INDEX('Category Mapping'!$B$2:$B$29,MATCH('Source Data'!A223,'Category Mapping'!$A$2:$A$29,0))</f>
        <v>Weekday</v>
      </c>
      <c r="AF223" t="str">
        <f>INDEX('Category Mapping'!$C$2:$C$29,MATCH('Source Data'!A223,'Category Mapping'!$A$2:$A$29,0))</f>
        <v>Commercial</v>
      </c>
      <c r="AG223" t="str">
        <f>INDEX('Category Mapping'!$D$2:$D$29,MATCH('Source Data'!A223,'Category Mapping'!$A$2:$A$29,0))</f>
        <v>Total</v>
      </c>
    </row>
    <row r="224" spans="1:33" x14ac:dyDescent="0.25">
      <c r="A224" s="16" t="s">
        <v>100</v>
      </c>
      <c r="B224" s="17">
        <v>2019</v>
      </c>
      <c r="C224" s="17">
        <v>19</v>
      </c>
      <c r="D224" s="17" t="s">
        <v>208</v>
      </c>
      <c r="E224" s="17">
        <v>6</v>
      </c>
      <c r="F224" s="28">
        <v>220000000</v>
      </c>
      <c r="G224" s="28">
        <v>212000000</v>
      </c>
      <c r="H224" s="28">
        <v>210000000</v>
      </c>
      <c r="I224" s="28">
        <v>216000000</v>
      </c>
      <c r="J224" s="28">
        <v>226000000</v>
      </c>
      <c r="K224" s="28">
        <v>258000000</v>
      </c>
      <c r="L224" s="28">
        <v>368000000</v>
      </c>
      <c r="M224" s="28">
        <v>494000000</v>
      </c>
      <c r="N224" s="28">
        <v>619000000</v>
      </c>
      <c r="O224" s="28">
        <v>667000000</v>
      </c>
      <c r="P224" s="28">
        <v>681000000</v>
      </c>
      <c r="Q224" s="28">
        <v>690000000</v>
      </c>
      <c r="R224" s="28">
        <v>684000000</v>
      </c>
      <c r="S224" s="28">
        <v>691000000</v>
      </c>
      <c r="T224" s="28">
        <v>695000000</v>
      </c>
      <c r="U224" s="28">
        <v>694000000</v>
      </c>
      <c r="V224" s="28">
        <v>671000000</v>
      </c>
      <c r="W224" s="28">
        <v>630000000</v>
      </c>
      <c r="X224" s="28">
        <v>594000000</v>
      </c>
      <c r="Y224" s="28">
        <v>506000000</v>
      </c>
      <c r="Z224" s="28">
        <v>428000000</v>
      </c>
      <c r="AA224" s="28">
        <v>355000000</v>
      </c>
      <c r="AB224" s="28">
        <v>301000000</v>
      </c>
      <c r="AC224" s="29">
        <v>259000000</v>
      </c>
      <c r="AD224" t="str">
        <f t="shared" si="3"/>
        <v>Summer</v>
      </c>
      <c r="AE224" t="str">
        <f>INDEX('Category Mapping'!$B$2:$B$29,MATCH('Source Data'!A224,'Category Mapping'!$A$2:$A$29,0))</f>
        <v>Weekday</v>
      </c>
      <c r="AF224" t="str">
        <f>INDEX('Category Mapping'!$C$2:$C$29,MATCH('Source Data'!A224,'Category Mapping'!$A$2:$A$29,0))</f>
        <v>Commercial</v>
      </c>
      <c r="AG224" t="str">
        <f>INDEX('Category Mapping'!$D$2:$D$29,MATCH('Source Data'!A224,'Category Mapping'!$A$2:$A$29,0))</f>
        <v>Total</v>
      </c>
    </row>
    <row r="225" spans="1:33" x14ac:dyDescent="0.25">
      <c r="A225" s="14" t="s">
        <v>100</v>
      </c>
      <c r="B225" s="15">
        <v>2019</v>
      </c>
      <c r="C225" s="15">
        <v>19</v>
      </c>
      <c r="D225" s="15" t="s">
        <v>208</v>
      </c>
      <c r="E225" s="15">
        <v>7</v>
      </c>
      <c r="F225" s="30">
        <v>365000000</v>
      </c>
      <c r="G225" s="30">
        <v>348000000</v>
      </c>
      <c r="H225" s="30">
        <v>341000000</v>
      </c>
      <c r="I225" s="30">
        <v>348000000</v>
      </c>
      <c r="J225" s="30">
        <v>363000000</v>
      </c>
      <c r="K225" s="30">
        <v>405000000</v>
      </c>
      <c r="L225" s="30">
        <v>528000000</v>
      </c>
      <c r="M225" s="30">
        <v>678000000</v>
      </c>
      <c r="N225" s="30">
        <v>833000000</v>
      </c>
      <c r="O225" s="30">
        <v>904000000</v>
      </c>
      <c r="P225" s="30">
        <v>933000000</v>
      </c>
      <c r="Q225" s="30">
        <v>949000000</v>
      </c>
      <c r="R225" s="30">
        <v>942000000</v>
      </c>
      <c r="S225" s="30">
        <v>955000000</v>
      </c>
      <c r="T225" s="30">
        <v>964000000</v>
      </c>
      <c r="U225" s="30">
        <v>962000000</v>
      </c>
      <c r="V225" s="30">
        <v>934000000</v>
      </c>
      <c r="W225" s="30">
        <v>881000000</v>
      </c>
      <c r="X225" s="30">
        <v>834000000</v>
      </c>
      <c r="Y225" s="30">
        <v>731000000</v>
      </c>
      <c r="Z225" s="30">
        <v>639000000</v>
      </c>
      <c r="AA225" s="30">
        <v>551000000</v>
      </c>
      <c r="AB225" s="30">
        <v>481000000</v>
      </c>
      <c r="AC225" s="31">
        <v>421000000</v>
      </c>
      <c r="AD225" t="str">
        <f t="shared" si="3"/>
        <v>Summer</v>
      </c>
      <c r="AE225" t="str">
        <f>INDEX('Category Mapping'!$B$2:$B$29,MATCH('Source Data'!A225,'Category Mapping'!$A$2:$A$29,0))</f>
        <v>Weekday</v>
      </c>
      <c r="AF225" t="str">
        <f>INDEX('Category Mapping'!$C$2:$C$29,MATCH('Source Data'!A225,'Category Mapping'!$A$2:$A$29,0))</f>
        <v>Commercial</v>
      </c>
      <c r="AG225" t="str">
        <f>INDEX('Category Mapping'!$D$2:$D$29,MATCH('Source Data'!A225,'Category Mapping'!$A$2:$A$29,0))</f>
        <v>Total</v>
      </c>
    </row>
    <row r="226" spans="1:33" x14ac:dyDescent="0.25">
      <c r="A226" s="16" t="s">
        <v>100</v>
      </c>
      <c r="B226" s="17">
        <v>2019</v>
      </c>
      <c r="C226" s="17">
        <v>19</v>
      </c>
      <c r="D226" s="17" t="s">
        <v>208</v>
      </c>
      <c r="E226" s="17">
        <v>8</v>
      </c>
      <c r="F226" s="28">
        <v>389000000</v>
      </c>
      <c r="G226" s="28">
        <v>369000000</v>
      </c>
      <c r="H226" s="28">
        <v>361000000</v>
      </c>
      <c r="I226" s="28">
        <v>369000000</v>
      </c>
      <c r="J226" s="28">
        <v>386000000</v>
      </c>
      <c r="K226" s="28">
        <v>431000000</v>
      </c>
      <c r="L226" s="28">
        <v>561000000</v>
      </c>
      <c r="M226" s="28">
        <v>720000000</v>
      </c>
      <c r="N226" s="28">
        <v>886000000</v>
      </c>
      <c r="O226" s="28">
        <v>965000000</v>
      </c>
      <c r="P226" s="28">
        <v>1000000000</v>
      </c>
      <c r="Q226" s="28">
        <v>1020000000</v>
      </c>
      <c r="R226" s="28">
        <v>1020000000</v>
      </c>
      <c r="S226" s="28">
        <v>1030000000</v>
      </c>
      <c r="T226" s="28">
        <v>1040000000</v>
      </c>
      <c r="U226" s="28">
        <v>1040000000</v>
      </c>
      <c r="V226" s="28">
        <v>1010000000</v>
      </c>
      <c r="W226" s="28">
        <v>952000000</v>
      </c>
      <c r="X226" s="28">
        <v>898000000</v>
      </c>
      <c r="Y226" s="28">
        <v>788000000</v>
      </c>
      <c r="Z226" s="28">
        <v>689000000</v>
      </c>
      <c r="AA226" s="28">
        <v>595000000</v>
      </c>
      <c r="AB226" s="28">
        <v>518000000</v>
      </c>
      <c r="AC226" s="29">
        <v>450000000</v>
      </c>
      <c r="AD226" t="str">
        <f t="shared" si="3"/>
        <v>Summer</v>
      </c>
      <c r="AE226" t="str">
        <f>INDEX('Category Mapping'!$B$2:$B$29,MATCH('Source Data'!A226,'Category Mapping'!$A$2:$A$29,0))</f>
        <v>Weekday</v>
      </c>
      <c r="AF226" t="str">
        <f>INDEX('Category Mapping'!$C$2:$C$29,MATCH('Source Data'!A226,'Category Mapping'!$A$2:$A$29,0))</f>
        <v>Commercial</v>
      </c>
      <c r="AG226" t="str">
        <f>INDEX('Category Mapping'!$D$2:$D$29,MATCH('Source Data'!A226,'Category Mapping'!$A$2:$A$29,0))</f>
        <v>Total</v>
      </c>
    </row>
    <row r="227" spans="1:33" x14ac:dyDescent="0.25">
      <c r="A227" s="14" t="s">
        <v>100</v>
      </c>
      <c r="B227" s="15">
        <v>2019</v>
      </c>
      <c r="C227" s="15">
        <v>19</v>
      </c>
      <c r="D227" s="15" t="s">
        <v>208</v>
      </c>
      <c r="E227" s="15">
        <v>9</v>
      </c>
      <c r="F227" s="30">
        <v>208000000</v>
      </c>
      <c r="G227" s="30">
        <v>203000000</v>
      </c>
      <c r="H227" s="30">
        <v>201000000</v>
      </c>
      <c r="I227" s="30">
        <v>207000000</v>
      </c>
      <c r="J227" s="30">
        <v>216000000</v>
      </c>
      <c r="K227" s="30">
        <v>247000000</v>
      </c>
      <c r="L227" s="30">
        <v>350000000</v>
      </c>
      <c r="M227" s="30">
        <v>472000000</v>
      </c>
      <c r="N227" s="30">
        <v>589000000</v>
      </c>
      <c r="O227" s="30">
        <v>632000000</v>
      </c>
      <c r="P227" s="30">
        <v>643000000</v>
      </c>
      <c r="Q227" s="30">
        <v>649000000</v>
      </c>
      <c r="R227" s="30">
        <v>643000000</v>
      </c>
      <c r="S227" s="30">
        <v>648000000</v>
      </c>
      <c r="T227" s="30">
        <v>652000000</v>
      </c>
      <c r="U227" s="30">
        <v>651000000</v>
      </c>
      <c r="V227" s="30">
        <v>629000000</v>
      </c>
      <c r="W227" s="30">
        <v>590000000</v>
      </c>
      <c r="X227" s="30">
        <v>556000000</v>
      </c>
      <c r="Y227" s="30">
        <v>472000000</v>
      </c>
      <c r="Z227" s="30">
        <v>397000000</v>
      </c>
      <c r="AA227" s="30">
        <v>328000000</v>
      </c>
      <c r="AB227" s="30">
        <v>278000000</v>
      </c>
      <c r="AC227" s="31">
        <v>243000000</v>
      </c>
      <c r="AD227" t="str">
        <f t="shared" si="3"/>
        <v>Fall</v>
      </c>
      <c r="AE227" t="str">
        <f>INDEX('Category Mapping'!$B$2:$B$29,MATCH('Source Data'!A227,'Category Mapping'!$A$2:$A$29,0))</f>
        <v>Weekday</v>
      </c>
      <c r="AF227" t="str">
        <f>INDEX('Category Mapping'!$C$2:$C$29,MATCH('Source Data'!A227,'Category Mapping'!$A$2:$A$29,0))</f>
        <v>Commercial</v>
      </c>
      <c r="AG227" t="str">
        <f>INDEX('Category Mapping'!$D$2:$D$29,MATCH('Source Data'!A227,'Category Mapping'!$A$2:$A$29,0))</f>
        <v>Total</v>
      </c>
    </row>
    <row r="228" spans="1:33" x14ac:dyDescent="0.25">
      <c r="A228" s="16" t="s">
        <v>100</v>
      </c>
      <c r="B228" s="17">
        <v>2019</v>
      </c>
      <c r="C228" s="17">
        <v>19</v>
      </c>
      <c r="D228" s="17" t="s">
        <v>208</v>
      </c>
      <c r="E228" s="17">
        <v>10</v>
      </c>
      <c r="F228" s="28">
        <v>168000000</v>
      </c>
      <c r="G228" s="28">
        <v>164000000</v>
      </c>
      <c r="H228" s="28">
        <v>163000000</v>
      </c>
      <c r="I228" s="28">
        <v>170000000</v>
      </c>
      <c r="J228" s="28">
        <v>179000000</v>
      </c>
      <c r="K228" s="28">
        <v>215000000</v>
      </c>
      <c r="L228" s="28">
        <v>328000000</v>
      </c>
      <c r="M228" s="28">
        <v>433000000</v>
      </c>
      <c r="N228" s="28">
        <v>519000000</v>
      </c>
      <c r="O228" s="28">
        <v>540000000</v>
      </c>
      <c r="P228" s="28">
        <v>534000000</v>
      </c>
      <c r="Q228" s="28">
        <v>530000000</v>
      </c>
      <c r="R228" s="28">
        <v>521000000</v>
      </c>
      <c r="S228" s="28">
        <v>520000000</v>
      </c>
      <c r="T228" s="28">
        <v>519000000</v>
      </c>
      <c r="U228" s="28">
        <v>519000000</v>
      </c>
      <c r="V228" s="28">
        <v>502000000</v>
      </c>
      <c r="W228" s="28">
        <v>473000000</v>
      </c>
      <c r="X228" s="28">
        <v>452000000</v>
      </c>
      <c r="Y228" s="28">
        <v>382000000</v>
      </c>
      <c r="Z228" s="28">
        <v>322000000</v>
      </c>
      <c r="AA228" s="28">
        <v>260000000</v>
      </c>
      <c r="AB228" s="28">
        <v>219000000</v>
      </c>
      <c r="AC228" s="29">
        <v>193000000</v>
      </c>
      <c r="AD228" t="str">
        <f t="shared" si="3"/>
        <v>Fall</v>
      </c>
      <c r="AE228" t="str">
        <f>INDEX('Category Mapping'!$B$2:$B$29,MATCH('Source Data'!A228,'Category Mapping'!$A$2:$A$29,0))</f>
        <v>Weekday</v>
      </c>
      <c r="AF228" t="str">
        <f>INDEX('Category Mapping'!$C$2:$C$29,MATCH('Source Data'!A228,'Category Mapping'!$A$2:$A$29,0))</f>
        <v>Commercial</v>
      </c>
      <c r="AG228" t="str">
        <f>INDEX('Category Mapping'!$D$2:$D$29,MATCH('Source Data'!A228,'Category Mapping'!$A$2:$A$29,0))</f>
        <v>Total</v>
      </c>
    </row>
    <row r="229" spans="1:33" x14ac:dyDescent="0.25">
      <c r="A229" s="14" t="s">
        <v>100</v>
      </c>
      <c r="B229" s="15">
        <v>2019</v>
      </c>
      <c r="C229" s="15">
        <v>19</v>
      </c>
      <c r="D229" s="15" t="s">
        <v>208</v>
      </c>
      <c r="E229" s="15">
        <v>11</v>
      </c>
      <c r="F229" s="30">
        <v>179000000</v>
      </c>
      <c r="G229" s="30">
        <v>174000000</v>
      </c>
      <c r="H229" s="30">
        <v>171000000</v>
      </c>
      <c r="I229" s="30">
        <v>178000000</v>
      </c>
      <c r="J229" s="30">
        <v>188000000</v>
      </c>
      <c r="K229" s="30">
        <v>218000000</v>
      </c>
      <c r="L229" s="30">
        <v>317000000</v>
      </c>
      <c r="M229" s="30">
        <v>479000000</v>
      </c>
      <c r="N229" s="30">
        <v>567000000</v>
      </c>
      <c r="O229" s="30">
        <v>572000000</v>
      </c>
      <c r="P229" s="30">
        <v>560000000</v>
      </c>
      <c r="Q229" s="30">
        <v>553000000</v>
      </c>
      <c r="R229" s="30">
        <v>540000000</v>
      </c>
      <c r="S229" s="30">
        <v>539000000</v>
      </c>
      <c r="T229" s="30">
        <v>537000000</v>
      </c>
      <c r="U229" s="30">
        <v>536000000</v>
      </c>
      <c r="V229" s="30">
        <v>519000000</v>
      </c>
      <c r="W229" s="30">
        <v>490000000</v>
      </c>
      <c r="X229" s="30">
        <v>473000000</v>
      </c>
      <c r="Y229" s="30">
        <v>405000000</v>
      </c>
      <c r="Z229" s="30">
        <v>345000000</v>
      </c>
      <c r="AA229" s="30">
        <v>289000000</v>
      </c>
      <c r="AB229" s="30">
        <v>249000000</v>
      </c>
      <c r="AC229" s="31">
        <v>207000000</v>
      </c>
      <c r="AD229" t="str">
        <f t="shared" si="3"/>
        <v>Winter</v>
      </c>
      <c r="AE229" t="str">
        <f>INDEX('Category Mapping'!$B$2:$B$29,MATCH('Source Data'!A229,'Category Mapping'!$A$2:$A$29,0))</f>
        <v>Weekday</v>
      </c>
      <c r="AF229" t="str">
        <f>INDEX('Category Mapping'!$C$2:$C$29,MATCH('Source Data'!A229,'Category Mapping'!$A$2:$A$29,0))</f>
        <v>Commercial</v>
      </c>
      <c r="AG229" t="str">
        <f>INDEX('Category Mapping'!$D$2:$D$29,MATCH('Source Data'!A229,'Category Mapping'!$A$2:$A$29,0))</f>
        <v>Total</v>
      </c>
    </row>
    <row r="230" spans="1:33" x14ac:dyDescent="0.25">
      <c r="A230" s="16" t="s">
        <v>100</v>
      </c>
      <c r="B230" s="17">
        <v>2019</v>
      </c>
      <c r="C230" s="17">
        <v>19</v>
      </c>
      <c r="D230" s="17" t="s">
        <v>208</v>
      </c>
      <c r="E230" s="17">
        <v>12</v>
      </c>
      <c r="F230" s="28">
        <v>191000000</v>
      </c>
      <c r="G230" s="28">
        <v>185000000</v>
      </c>
      <c r="H230" s="28">
        <v>181000000</v>
      </c>
      <c r="I230" s="28">
        <v>188000000</v>
      </c>
      <c r="J230" s="28">
        <v>200000000</v>
      </c>
      <c r="K230" s="28">
        <v>229000000</v>
      </c>
      <c r="L230" s="28">
        <v>332000000</v>
      </c>
      <c r="M230" s="28">
        <v>513000000</v>
      </c>
      <c r="N230" s="28">
        <v>614000000</v>
      </c>
      <c r="O230" s="28">
        <v>608000000</v>
      </c>
      <c r="P230" s="28">
        <v>591000000</v>
      </c>
      <c r="Q230" s="28">
        <v>581000000</v>
      </c>
      <c r="R230" s="28">
        <v>566000000</v>
      </c>
      <c r="S230" s="28">
        <v>563000000</v>
      </c>
      <c r="T230" s="28">
        <v>560000000</v>
      </c>
      <c r="U230" s="28">
        <v>559000000</v>
      </c>
      <c r="V230" s="28">
        <v>541000000</v>
      </c>
      <c r="W230" s="28">
        <v>512000000</v>
      </c>
      <c r="X230" s="28">
        <v>497000000</v>
      </c>
      <c r="Y230" s="28">
        <v>431000000</v>
      </c>
      <c r="Z230" s="28">
        <v>371000000</v>
      </c>
      <c r="AA230" s="28">
        <v>317000000</v>
      </c>
      <c r="AB230" s="28">
        <v>277000000</v>
      </c>
      <c r="AC230" s="29">
        <v>216000000</v>
      </c>
      <c r="AD230" t="str">
        <f t="shared" si="3"/>
        <v>Winter</v>
      </c>
      <c r="AE230" t="str">
        <f>INDEX('Category Mapping'!$B$2:$B$29,MATCH('Source Data'!A230,'Category Mapping'!$A$2:$A$29,0))</f>
        <v>Weekday</v>
      </c>
      <c r="AF230" t="str">
        <f>INDEX('Category Mapping'!$C$2:$C$29,MATCH('Source Data'!A230,'Category Mapping'!$A$2:$A$29,0))</f>
        <v>Commercial</v>
      </c>
      <c r="AG230" t="str">
        <f>INDEX('Category Mapping'!$D$2:$D$29,MATCH('Source Data'!A230,'Category Mapping'!$A$2:$A$29,0))</f>
        <v>Total</v>
      </c>
    </row>
    <row r="231" spans="1:33" x14ac:dyDescent="0.25">
      <c r="A231" s="14" t="s">
        <v>101</v>
      </c>
      <c r="B231" s="15">
        <v>2019</v>
      </c>
      <c r="C231" s="15">
        <v>19</v>
      </c>
      <c r="D231" s="15" t="s">
        <v>208</v>
      </c>
      <c r="E231" s="15">
        <v>1</v>
      </c>
      <c r="F231" s="30">
        <v>91700000</v>
      </c>
      <c r="G231" s="30">
        <v>81500000</v>
      </c>
      <c r="H231" s="30">
        <v>79300000</v>
      </c>
      <c r="I231" s="30">
        <v>80700000</v>
      </c>
      <c r="J231" s="30">
        <v>82200000</v>
      </c>
      <c r="K231" s="30">
        <v>87800000</v>
      </c>
      <c r="L231" s="30">
        <v>99000000</v>
      </c>
      <c r="M231" s="30">
        <v>136000000</v>
      </c>
      <c r="N231" s="30">
        <v>159000000</v>
      </c>
      <c r="O231" s="30">
        <v>163000000</v>
      </c>
      <c r="P231" s="30">
        <v>156000000</v>
      </c>
      <c r="Q231" s="30">
        <v>153000000</v>
      </c>
      <c r="R231" s="30">
        <v>150000000</v>
      </c>
      <c r="S231" s="30">
        <v>144000000</v>
      </c>
      <c r="T231" s="30">
        <v>137000000</v>
      </c>
      <c r="U231" s="30">
        <v>129000000</v>
      </c>
      <c r="V231" s="30">
        <v>124000000</v>
      </c>
      <c r="W231" s="30">
        <v>126000000</v>
      </c>
      <c r="X231" s="30">
        <v>128000000</v>
      </c>
      <c r="Y231" s="30">
        <v>118000000</v>
      </c>
      <c r="Z231" s="30">
        <v>114000000</v>
      </c>
      <c r="AA231" s="30">
        <v>109000000</v>
      </c>
      <c r="AB231" s="30">
        <v>105000000</v>
      </c>
      <c r="AC231" s="31">
        <v>94600000</v>
      </c>
      <c r="AD231" t="str">
        <f t="shared" si="3"/>
        <v>Winter</v>
      </c>
      <c r="AE231" t="str">
        <f>INDEX('Category Mapping'!$B$2:$B$29,MATCH('Source Data'!A231,'Category Mapping'!$A$2:$A$29,0))</f>
        <v>Weekend</v>
      </c>
      <c r="AF231" t="str">
        <f>INDEX('Category Mapping'!$C$2:$C$29,MATCH('Source Data'!A231,'Category Mapping'!$A$2:$A$29,0))</f>
        <v>Commercial</v>
      </c>
      <c r="AG231" t="str">
        <f>INDEX('Category Mapping'!$D$2:$D$29,MATCH('Source Data'!A231,'Category Mapping'!$A$2:$A$29,0))</f>
        <v>Total</v>
      </c>
    </row>
    <row r="232" spans="1:33" x14ac:dyDescent="0.25">
      <c r="A232" s="16" t="s">
        <v>101</v>
      </c>
      <c r="B232" s="17">
        <v>2019</v>
      </c>
      <c r="C232" s="17">
        <v>19</v>
      </c>
      <c r="D232" s="17" t="s">
        <v>208</v>
      </c>
      <c r="E232" s="17">
        <v>2</v>
      </c>
      <c r="F232" s="28">
        <v>89400000</v>
      </c>
      <c r="G232" s="28">
        <v>78600000</v>
      </c>
      <c r="H232" s="28">
        <v>76700000</v>
      </c>
      <c r="I232" s="28">
        <v>77700000</v>
      </c>
      <c r="J232" s="28">
        <v>79400000</v>
      </c>
      <c r="K232" s="28">
        <v>84500000</v>
      </c>
      <c r="L232" s="28">
        <v>95700000</v>
      </c>
      <c r="M232" s="28">
        <v>131000000</v>
      </c>
      <c r="N232" s="28">
        <v>153000000</v>
      </c>
      <c r="O232" s="28">
        <v>157000000</v>
      </c>
      <c r="P232" s="28">
        <v>150000000</v>
      </c>
      <c r="Q232" s="28">
        <v>148000000</v>
      </c>
      <c r="R232" s="28">
        <v>145000000</v>
      </c>
      <c r="S232" s="28">
        <v>139000000</v>
      </c>
      <c r="T232" s="28">
        <v>132000000</v>
      </c>
      <c r="U232" s="28">
        <v>124000000</v>
      </c>
      <c r="V232" s="28">
        <v>119000000</v>
      </c>
      <c r="W232" s="28">
        <v>121000000</v>
      </c>
      <c r="X232" s="28">
        <v>122000000</v>
      </c>
      <c r="Y232" s="28">
        <v>114000000</v>
      </c>
      <c r="Z232" s="28">
        <v>109000000</v>
      </c>
      <c r="AA232" s="28">
        <v>104000000</v>
      </c>
      <c r="AB232" s="28">
        <v>101000000</v>
      </c>
      <c r="AC232" s="29">
        <v>90500000</v>
      </c>
      <c r="AD232" t="str">
        <f t="shared" si="3"/>
        <v>Winter</v>
      </c>
      <c r="AE232" t="str">
        <f>INDEX('Category Mapping'!$B$2:$B$29,MATCH('Source Data'!A232,'Category Mapping'!$A$2:$A$29,0))</f>
        <v>Weekend</v>
      </c>
      <c r="AF232" t="str">
        <f>INDEX('Category Mapping'!$C$2:$C$29,MATCH('Source Data'!A232,'Category Mapping'!$A$2:$A$29,0))</f>
        <v>Commercial</v>
      </c>
      <c r="AG232" t="str">
        <f>INDEX('Category Mapping'!$D$2:$D$29,MATCH('Source Data'!A232,'Category Mapping'!$A$2:$A$29,0))</f>
        <v>Total</v>
      </c>
    </row>
    <row r="233" spans="1:33" x14ac:dyDescent="0.25">
      <c r="A233" s="14" t="s">
        <v>101</v>
      </c>
      <c r="B233" s="15">
        <v>2019</v>
      </c>
      <c r="C233" s="15">
        <v>19</v>
      </c>
      <c r="D233" s="15" t="s">
        <v>208</v>
      </c>
      <c r="E233" s="15">
        <v>3</v>
      </c>
      <c r="F233" s="30">
        <v>87200000</v>
      </c>
      <c r="G233" s="30">
        <v>76200000</v>
      </c>
      <c r="H233" s="30">
        <v>75000000</v>
      </c>
      <c r="I233" s="30">
        <v>75900000</v>
      </c>
      <c r="J233" s="30">
        <v>77200000</v>
      </c>
      <c r="K233" s="30">
        <v>83100000</v>
      </c>
      <c r="L233" s="30">
        <v>98400000</v>
      </c>
      <c r="M233" s="30">
        <v>128000000</v>
      </c>
      <c r="N233" s="30">
        <v>143000000</v>
      </c>
      <c r="O233" s="30">
        <v>149000000</v>
      </c>
      <c r="P233" s="30">
        <v>144000000</v>
      </c>
      <c r="Q233" s="30">
        <v>142000000</v>
      </c>
      <c r="R233" s="30">
        <v>140000000</v>
      </c>
      <c r="S233" s="30">
        <v>134000000</v>
      </c>
      <c r="T233" s="30">
        <v>128000000</v>
      </c>
      <c r="U233" s="30">
        <v>120000000</v>
      </c>
      <c r="V233" s="30">
        <v>114000000</v>
      </c>
      <c r="W233" s="30">
        <v>116000000</v>
      </c>
      <c r="X233" s="30">
        <v>115000000</v>
      </c>
      <c r="Y233" s="30">
        <v>110000000</v>
      </c>
      <c r="Z233" s="30">
        <v>107000000</v>
      </c>
      <c r="AA233" s="30">
        <v>101000000</v>
      </c>
      <c r="AB233" s="30">
        <v>95800000</v>
      </c>
      <c r="AC233" s="31">
        <v>87800000</v>
      </c>
      <c r="AD233" t="str">
        <f t="shared" si="3"/>
        <v>Spring</v>
      </c>
      <c r="AE233" t="str">
        <f>INDEX('Category Mapping'!$B$2:$B$29,MATCH('Source Data'!A233,'Category Mapping'!$A$2:$A$29,0))</f>
        <v>Weekend</v>
      </c>
      <c r="AF233" t="str">
        <f>INDEX('Category Mapping'!$C$2:$C$29,MATCH('Source Data'!A233,'Category Mapping'!$A$2:$A$29,0))</f>
        <v>Commercial</v>
      </c>
      <c r="AG233" t="str">
        <f>INDEX('Category Mapping'!$D$2:$D$29,MATCH('Source Data'!A233,'Category Mapping'!$A$2:$A$29,0))</f>
        <v>Total</v>
      </c>
    </row>
    <row r="234" spans="1:33" x14ac:dyDescent="0.25">
      <c r="A234" s="16" t="s">
        <v>101</v>
      </c>
      <c r="B234" s="17">
        <v>2019</v>
      </c>
      <c r="C234" s="17">
        <v>19</v>
      </c>
      <c r="D234" s="17" t="s">
        <v>208</v>
      </c>
      <c r="E234" s="17">
        <v>4</v>
      </c>
      <c r="F234" s="28">
        <v>83000000</v>
      </c>
      <c r="G234" s="28">
        <v>72600000</v>
      </c>
      <c r="H234" s="28">
        <v>71800000</v>
      </c>
      <c r="I234" s="28">
        <v>72600000</v>
      </c>
      <c r="J234" s="28">
        <v>73500000</v>
      </c>
      <c r="K234" s="28">
        <v>79100000</v>
      </c>
      <c r="L234" s="28">
        <v>93500000</v>
      </c>
      <c r="M234" s="28">
        <v>116000000</v>
      </c>
      <c r="N234" s="28">
        <v>127000000</v>
      </c>
      <c r="O234" s="28">
        <v>137000000</v>
      </c>
      <c r="P234" s="28">
        <v>134000000</v>
      </c>
      <c r="Q234" s="28">
        <v>133000000</v>
      </c>
      <c r="R234" s="28">
        <v>132000000</v>
      </c>
      <c r="S234" s="28">
        <v>127000000</v>
      </c>
      <c r="T234" s="28">
        <v>122000000</v>
      </c>
      <c r="U234" s="28">
        <v>113000000</v>
      </c>
      <c r="V234" s="28">
        <v>108000000</v>
      </c>
      <c r="W234" s="28">
        <v>109000000</v>
      </c>
      <c r="X234" s="28">
        <v>107000000</v>
      </c>
      <c r="Y234" s="28">
        <v>105000000</v>
      </c>
      <c r="Z234" s="28">
        <v>101000000</v>
      </c>
      <c r="AA234" s="28">
        <v>95100000</v>
      </c>
      <c r="AB234" s="28">
        <v>89900000</v>
      </c>
      <c r="AC234" s="29">
        <v>83000000</v>
      </c>
      <c r="AD234" t="str">
        <f t="shared" si="3"/>
        <v>Spring</v>
      </c>
      <c r="AE234" t="str">
        <f>INDEX('Category Mapping'!$B$2:$B$29,MATCH('Source Data'!A234,'Category Mapping'!$A$2:$A$29,0))</f>
        <v>Weekend</v>
      </c>
      <c r="AF234" t="str">
        <f>INDEX('Category Mapping'!$C$2:$C$29,MATCH('Source Data'!A234,'Category Mapping'!$A$2:$A$29,0))</f>
        <v>Commercial</v>
      </c>
      <c r="AG234" t="str">
        <f>INDEX('Category Mapping'!$D$2:$D$29,MATCH('Source Data'!A234,'Category Mapping'!$A$2:$A$29,0))</f>
        <v>Total</v>
      </c>
    </row>
    <row r="235" spans="1:33" x14ac:dyDescent="0.25">
      <c r="A235" s="14" t="s">
        <v>101</v>
      </c>
      <c r="B235" s="15">
        <v>2019</v>
      </c>
      <c r="C235" s="15">
        <v>19</v>
      </c>
      <c r="D235" s="15" t="s">
        <v>208</v>
      </c>
      <c r="E235" s="15">
        <v>5</v>
      </c>
      <c r="F235" s="30">
        <v>82800000</v>
      </c>
      <c r="G235" s="30">
        <v>72900000</v>
      </c>
      <c r="H235" s="30">
        <v>72100000</v>
      </c>
      <c r="I235" s="30">
        <v>72700000</v>
      </c>
      <c r="J235" s="30">
        <v>73600000</v>
      </c>
      <c r="K235" s="30">
        <v>78500000</v>
      </c>
      <c r="L235" s="30">
        <v>88200000</v>
      </c>
      <c r="M235" s="30">
        <v>110000000</v>
      </c>
      <c r="N235" s="30">
        <v>123000000</v>
      </c>
      <c r="O235" s="30">
        <v>135000000</v>
      </c>
      <c r="P235" s="30">
        <v>133000000</v>
      </c>
      <c r="Q235" s="30">
        <v>134000000</v>
      </c>
      <c r="R235" s="30">
        <v>134000000</v>
      </c>
      <c r="S235" s="30">
        <v>130000000</v>
      </c>
      <c r="T235" s="30">
        <v>124000000</v>
      </c>
      <c r="U235" s="30">
        <v>116000000</v>
      </c>
      <c r="V235" s="30">
        <v>110000000</v>
      </c>
      <c r="W235" s="30">
        <v>111000000</v>
      </c>
      <c r="X235" s="30">
        <v>109000000</v>
      </c>
      <c r="Y235" s="30">
        <v>105000000</v>
      </c>
      <c r="Z235" s="30">
        <v>101000000</v>
      </c>
      <c r="AA235" s="30">
        <v>94200000</v>
      </c>
      <c r="AB235" s="30">
        <v>89600000</v>
      </c>
      <c r="AC235" s="31">
        <v>82400000</v>
      </c>
      <c r="AD235" t="str">
        <f t="shared" si="3"/>
        <v>Spring</v>
      </c>
      <c r="AE235" t="str">
        <f>INDEX('Category Mapping'!$B$2:$B$29,MATCH('Source Data'!A235,'Category Mapping'!$A$2:$A$29,0))</f>
        <v>Weekend</v>
      </c>
      <c r="AF235" t="str">
        <f>INDEX('Category Mapping'!$C$2:$C$29,MATCH('Source Data'!A235,'Category Mapping'!$A$2:$A$29,0))</f>
        <v>Commercial</v>
      </c>
      <c r="AG235" t="str">
        <f>INDEX('Category Mapping'!$D$2:$D$29,MATCH('Source Data'!A235,'Category Mapping'!$A$2:$A$29,0))</f>
        <v>Total</v>
      </c>
    </row>
    <row r="236" spans="1:33" x14ac:dyDescent="0.25">
      <c r="A236" s="16" t="s">
        <v>101</v>
      </c>
      <c r="B236" s="17">
        <v>2019</v>
      </c>
      <c r="C236" s="17">
        <v>19</v>
      </c>
      <c r="D236" s="17" t="s">
        <v>208</v>
      </c>
      <c r="E236" s="17">
        <v>6</v>
      </c>
      <c r="F236" s="28">
        <v>111000000</v>
      </c>
      <c r="G236" s="28">
        <v>99800000</v>
      </c>
      <c r="H236" s="28">
        <v>98600000</v>
      </c>
      <c r="I236" s="28">
        <v>99200000</v>
      </c>
      <c r="J236" s="28">
        <v>101000000</v>
      </c>
      <c r="K236" s="28">
        <v>107000000</v>
      </c>
      <c r="L236" s="28">
        <v>121000000</v>
      </c>
      <c r="M236" s="28">
        <v>149000000</v>
      </c>
      <c r="N236" s="28">
        <v>172000000</v>
      </c>
      <c r="O236" s="28">
        <v>191000000</v>
      </c>
      <c r="P236" s="28">
        <v>196000000</v>
      </c>
      <c r="Q236" s="28">
        <v>202000000</v>
      </c>
      <c r="R236" s="28">
        <v>205000000</v>
      </c>
      <c r="S236" s="28">
        <v>203000000</v>
      </c>
      <c r="T236" s="28">
        <v>198000000</v>
      </c>
      <c r="U236" s="28">
        <v>189000000</v>
      </c>
      <c r="V236" s="28">
        <v>181000000</v>
      </c>
      <c r="W236" s="28">
        <v>178000000</v>
      </c>
      <c r="X236" s="28">
        <v>171000000</v>
      </c>
      <c r="Y236" s="28">
        <v>161000000</v>
      </c>
      <c r="Z236" s="28">
        <v>149000000</v>
      </c>
      <c r="AA236" s="28">
        <v>136000000</v>
      </c>
      <c r="AB236" s="28">
        <v>126000000</v>
      </c>
      <c r="AC236" s="29">
        <v>113000000</v>
      </c>
      <c r="AD236" t="str">
        <f t="shared" si="3"/>
        <v>Summer</v>
      </c>
      <c r="AE236" t="str">
        <f>INDEX('Category Mapping'!$B$2:$B$29,MATCH('Source Data'!A236,'Category Mapping'!$A$2:$A$29,0))</f>
        <v>Weekend</v>
      </c>
      <c r="AF236" t="str">
        <f>INDEX('Category Mapping'!$C$2:$C$29,MATCH('Source Data'!A236,'Category Mapping'!$A$2:$A$29,0))</f>
        <v>Commercial</v>
      </c>
      <c r="AG236" t="str">
        <f>INDEX('Category Mapping'!$D$2:$D$29,MATCH('Source Data'!A236,'Category Mapping'!$A$2:$A$29,0))</f>
        <v>Total</v>
      </c>
    </row>
    <row r="237" spans="1:33" x14ac:dyDescent="0.25">
      <c r="A237" s="14" t="s">
        <v>101</v>
      </c>
      <c r="B237" s="15">
        <v>2019</v>
      </c>
      <c r="C237" s="15">
        <v>19</v>
      </c>
      <c r="D237" s="15" t="s">
        <v>208</v>
      </c>
      <c r="E237" s="15">
        <v>7</v>
      </c>
      <c r="F237" s="30">
        <v>182000000</v>
      </c>
      <c r="G237" s="30">
        <v>168000000</v>
      </c>
      <c r="H237" s="30">
        <v>165000000</v>
      </c>
      <c r="I237" s="30">
        <v>167000000</v>
      </c>
      <c r="J237" s="30">
        <v>171000000</v>
      </c>
      <c r="K237" s="30">
        <v>182000000</v>
      </c>
      <c r="L237" s="30">
        <v>200000000</v>
      </c>
      <c r="M237" s="30">
        <v>235000000</v>
      </c>
      <c r="N237" s="30">
        <v>265000000</v>
      </c>
      <c r="O237" s="30">
        <v>290000000</v>
      </c>
      <c r="P237" s="30">
        <v>300000000</v>
      </c>
      <c r="Q237" s="30">
        <v>309000000</v>
      </c>
      <c r="R237" s="30">
        <v>315000000</v>
      </c>
      <c r="S237" s="30">
        <v>314000000</v>
      </c>
      <c r="T237" s="30">
        <v>310000000</v>
      </c>
      <c r="U237" s="30">
        <v>300000000</v>
      </c>
      <c r="V237" s="30">
        <v>291000000</v>
      </c>
      <c r="W237" s="30">
        <v>284000000</v>
      </c>
      <c r="X237" s="30">
        <v>273000000</v>
      </c>
      <c r="Y237" s="30">
        <v>258000000</v>
      </c>
      <c r="Z237" s="30">
        <v>242000000</v>
      </c>
      <c r="AA237" s="30">
        <v>224000000</v>
      </c>
      <c r="AB237" s="30">
        <v>208000000</v>
      </c>
      <c r="AC237" s="31">
        <v>190000000</v>
      </c>
      <c r="AD237" t="str">
        <f t="shared" si="3"/>
        <v>Summer</v>
      </c>
      <c r="AE237" t="str">
        <f>INDEX('Category Mapping'!$B$2:$B$29,MATCH('Source Data'!A237,'Category Mapping'!$A$2:$A$29,0))</f>
        <v>Weekend</v>
      </c>
      <c r="AF237" t="str">
        <f>INDEX('Category Mapping'!$C$2:$C$29,MATCH('Source Data'!A237,'Category Mapping'!$A$2:$A$29,0))</f>
        <v>Commercial</v>
      </c>
      <c r="AG237" t="str">
        <f>INDEX('Category Mapping'!$D$2:$D$29,MATCH('Source Data'!A237,'Category Mapping'!$A$2:$A$29,0))</f>
        <v>Total</v>
      </c>
    </row>
    <row r="238" spans="1:33" x14ac:dyDescent="0.25">
      <c r="A238" s="16" t="s">
        <v>101</v>
      </c>
      <c r="B238" s="17">
        <v>2019</v>
      </c>
      <c r="C238" s="17">
        <v>19</v>
      </c>
      <c r="D238" s="17" t="s">
        <v>208</v>
      </c>
      <c r="E238" s="17">
        <v>8</v>
      </c>
      <c r="F238" s="28">
        <v>194000000</v>
      </c>
      <c r="G238" s="28">
        <v>178000000</v>
      </c>
      <c r="H238" s="28">
        <v>175000000</v>
      </c>
      <c r="I238" s="28">
        <v>177000000</v>
      </c>
      <c r="J238" s="28">
        <v>182000000</v>
      </c>
      <c r="K238" s="28">
        <v>195000000</v>
      </c>
      <c r="L238" s="28">
        <v>215000000</v>
      </c>
      <c r="M238" s="28">
        <v>254000000</v>
      </c>
      <c r="N238" s="28">
        <v>288000000</v>
      </c>
      <c r="O238" s="28">
        <v>316000000</v>
      </c>
      <c r="P238" s="28">
        <v>329000000</v>
      </c>
      <c r="Q238" s="28">
        <v>340000000</v>
      </c>
      <c r="R238" s="28">
        <v>348000000</v>
      </c>
      <c r="S238" s="28">
        <v>348000000</v>
      </c>
      <c r="T238" s="28">
        <v>344000000</v>
      </c>
      <c r="U238" s="28">
        <v>334000000</v>
      </c>
      <c r="V238" s="28">
        <v>323000000</v>
      </c>
      <c r="W238" s="28">
        <v>314000000</v>
      </c>
      <c r="X238" s="28">
        <v>301000000</v>
      </c>
      <c r="Y238" s="28">
        <v>283000000</v>
      </c>
      <c r="Z238" s="28">
        <v>264000000</v>
      </c>
      <c r="AA238" s="28">
        <v>243000000</v>
      </c>
      <c r="AB238" s="28">
        <v>224000000</v>
      </c>
      <c r="AC238" s="29">
        <v>204000000</v>
      </c>
      <c r="AD238" t="str">
        <f t="shared" si="3"/>
        <v>Summer</v>
      </c>
      <c r="AE238" t="str">
        <f>INDEX('Category Mapping'!$B$2:$B$29,MATCH('Source Data'!A238,'Category Mapping'!$A$2:$A$29,0))</f>
        <v>Weekend</v>
      </c>
      <c r="AF238" t="str">
        <f>INDEX('Category Mapping'!$C$2:$C$29,MATCH('Source Data'!A238,'Category Mapping'!$A$2:$A$29,0))</f>
        <v>Commercial</v>
      </c>
      <c r="AG238" t="str">
        <f>INDEX('Category Mapping'!$D$2:$D$29,MATCH('Source Data'!A238,'Category Mapping'!$A$2:$A$29,0))</f>
        <v>Total</v>
      </c>
    </row>
    <row r="239" spans="1:33" x14ac:dyDescent="0.25">
      <c r="A239" s="14" t="s">
        <v>101</v>
      </c>
      <c r="B239" s="15">
        <v>2019</v>
      </c>
      <c r="C239" s="15">
        <v>19</v>
      </c>
      <c r="D239" s="15" t="s">
        <v>208</v>
      </c>
      <c r="E239" s="15">
        <v>9</v>
      </c>
      <c r="F239" s="30">
        <v>105000000</v>
      </c>
      <c r="G239" s="30">
        <v>94700000</v>
      </c>
      <c r="H239" s="30">
        <v>93600000</v>
      </c>
      <c r="I239" s="30">
        <v>94200000</v>
      </c>
      <c r="J239" s="30">
        <v>95200000</v>
      </c>
      <c r="K239" s="30">
        <v>100000000</v>
      </c>
      <c r="L239" s="30">
        <v>111000000</v>
      </c>
      <c r="M239" s="30">
        <v>138000000</v>
      </c>
      <c r="N239" s="30">
        <v>158000000</v>
      </c>
      <c r="O239" s="30">
        <v>175000000</v>
      </c>
      <c r="P239" s="30">
        <v>179000000</v>
      </c>
      <c r="Q239" s="30">
        <v>183000000</v>
      </c>
      <c r="R239" s="30">
        <v>186000000</v>
      </c>
      <c r="S239" s="30">
        <v>183000000</v>
      </c>
      <c r="T239" s="30">
        <v>178000000</v>
      </c>
      <c r="U239" s="30">
        <v>169000000</v>
      </c>
      <c r="V239" s="30">
        <v>162000000</v>
      </c>
      <c r="W239" s="30">
        <v>159000000</v>
      </c>
      <c r="X239" s="30">
        <v>153000000</v>
      </c>
      <c r="Y239" s="30">
        <v>145000000</v>
      </c>
      <c r="Z239" s="30">
        <v>135000000</v>
      </c>
      <c r="AA239" s="30">
        <v>124000000</v>
      </c>
      <c r="AB239" s="30">
        <v>116000000</v>
      </c>
      <c r="AC239" s="31">
        <v>106000000</v>
      </c>
      <c r="AD239" t="str">
        <f t="shared" si="3"/>
        <v>Fall</v>
      </c>
      <c r="AE239" t="str">
        <f>INDEX('Category Mapping'!$B$2:$B$29,MATCH('Source Data'!A239,'Category Mapping'!$A$2:$A$29,0))</f>
        <v>Weekend</v>
      </c>
      <c r="AF239" t="str">
        <f>INDEX('Category Mapping'!$C$2:$C$29,MATCH('Source Data'!A239,'Category Mapping'!$A$2:$A$29,0))</f>
        <v>Commercial</v>
      </c>
      <c r="AG239" t="str">
        <f>INDEX('Category Mapping'!$D$2:$D$29,MATCH('Source Data'!A239,'Category Mapping'!$A$2:$A$29,0))</f>
        <v>Total</v>
      </c>
    </row>
    <row r="240" spans="1:33" x14ac:dyDescent="0.25">
      <c r="A240" s="16" t="s">
        <v>101</v>
      </c>
      <c r="B240" s="17">
        <v>2019</v>
      </c>
      <c r="C240" s="17">
        <v>19</v>
      </c>
      <c r="D240" s="17" t="s">
        <v>208</v>
      </c>
      <c r="E240" s="17">
        <v>10</v>
      </c>
      <c r="F240" s="28">
        <v>82200000</v>
      </c>
      <c r="G240" s="28">
        <v>72000000</v>
      </c>
      <c r="H240" s="28">
        <v>71200000</v>
      </c>
      <c r="I240" s="28">
        <v>71900000</v>
      </c>
      <c r="J240" s="28">
        <v>72800000</v>
      </c>
      <c r="K240" s="28">
        <v>78100000</v>
      </c>
      <c r="L240" s="28">
        <v>90800000</v>
      </c>
      <c r="M240" s="28">
        <v>113000000</v>
      </c>
      <c r="N240" s="28">
        <v>126000000</v>
      </c>
      <c r="O240" s="28">
        <v>135000000</v>
      </c>
      <c r="P240" s="28">
        <v>133000000</v>
      </c>
      <c r="Q240" s="28">
        <v>133000000</v>
      </c>
      <c r="R240" s="28">
        <v>132000000</v>
      </c>
      <c r="S240" s="28">
        <v>127000000</v>
      </c>
      <c r="T240" s="28">
        <v>121000000</v>
      </c>
      <c r="U240" s="28">
        <v>112000000</v>
      </c>
      <c r="V240" s="28">
        <v>107000000</v>
      </c>
      <c r="W240" s="28">
        <v>109000000</v>
      </c>
      <c r="X240" s="28">
        <v>107000000</v>
      </c>
      <c r="Y240" s="28">
        <v>105000000</v>
      </c>
      <c r="Z240" s="28">
        <v>101000000</v>
      </c>
      <c r="AA240" s="28">
        <v>94200000</v>
      </c>
      <c r="AB240" s="28">
        <v>89100000</v>
      </c>
      <c r="AC240" s="29">
        <v>82100000</v>
      </c>
      <c r="AD240" t="str">
        <f t="shared" si="3"/>
        <v>Fall</v>
      </c>
      <c r="AE240" t="str">
        <f>INDEX('Category Mapping'!$B$2:$B$29,MATCH('Source Data'!A240,'Category Mapping'!$A$2:$A$29,0))</f>
        <v>Weekend</v>
      </c>
      <c r="AF240" t="str">
        <f>INDEX('Category Mapping'!$C$2:$C$29,MATCH('Source Data'!A240,'Category Mapping'!$A$2:$A$29,0))</f>
        <v>Commercial</v>
      </c>
      <c r="AG240" t="str">
        <f>INDEX('Category Mapping'!$D$2:$D$29,MATCH('Source Data'!A240,'Category Mapping'!$A$2:$A$29,0))</f>
        <v>Total</v>
      </c>
    </row>
    <row r="241" spans="1:33" x14ac:dyDescent="0.25">
      <c r="A241" s="14" t="s">
        <v>101</v>
      </c>
      <c r="B241" s="15">
        <v>2019</v>
      </c>
      <c r="C241" s="15">
        <v>19</v>
      </c>
      <c r="D241" s="15" t="s">
        <v>208</v>
      </c>
      <c r="E241" s="15">
        <v>11</v>
      </c>
      <c r="F241" s="30">
        <v>86100000</v>
      </c>
      <c r="G241" s="30">
        <v>75500000</v>
      </c>
      <c r="H241" s="30">
        <v>74000000</v>
      </c>
      <c r="I241" s="30">
        <v>74800000</v>
      </c>
      <c r="J241" s="30">
        <v>76000000</v>
      </c>
      <c r="K241" s="30">
        <v>81200000</v>
      </c>
      <c r="L241" s="30">
        <v>93500000</v>
      </c>
      <c r="M241" s="30">
        <v>123000000</v>
      </c>
      <c r="N241" s="30">
        <v>138000000</v>
      </c>
      <c r="O241" s="30">
        <v>145000000</v>
      </c>
      <c r="P241" s="30">
        <v>141000000</v>
      </c>
      <c r="Q241" s="30">
        <v>140000000</v>
      </c>
      <c r="R241" s="30">
        <v>138000000</v>
      </c>
      <c r="S241" s="30">
        <v>132000000</v>
      </c>
      <c r="T241" s="30">
        <v>126000000</v>
      </c>
      <c r="U241" s="30">
        <v>118000000</v>
      </c>
      <c r="V241" s="30">
        <v>113000000</v>
      </c>
      <c r="W241" s="30">
        <v>115000000</v>
      </c>
      <c r="X241" s="30">
        <v>115000000</v>
      </c>
      <c r="Y241" s="30">
        <v>110000000</v>
      </c>
      <c r="Z241" s="30">
        <v>106000000</v>
      </c>
      <c r="AA241" s="30">
        <v>100000000</v>
      </c>
      <c r="AB241" s="30">
        <v>95500000</v>
      </c>
      <c r="AC241" s="31">
        <v>86600000</v>
      </c>
      <c r="AD241" t="str">
        <f t="shared" si="3"/>
        <v>Winter</v>
      </c>
      <c r="AE241" t="str">
        <f>INDEX('Category Mapping'!$B$2:$B$29,MATCH('Source Data'!A241,'Category Mapping'!$A$2:$A$29,0))</f>
        <v>Weekend</v>
      </c>
      <c r="AF241" t="str">
        <f>INDEX('Category Mapping'!$C$2:$C$29,MATCH('Source Data'!A241,'Category Mapping'!$A$2:$A$29,0))</f>
        <v>Commercial</v>
      </c>
      <c r="AG241" t="str">
        <f>INDEX('Category Mapping'!$D$2:$D$29,MATCH('Source Data'!A241,'Category Mapping'!$A$2:$A$29,0))</f>
        <v>Total</v>
      </c>
    </row>
    <row r="242" spans="1:33" x14ac:dyDescent="0.25">
      <c r="A242" s="16" t="s">
        <v>101</v>
      </c>
      <c r="B242" s="17">
        <v>2019</v>
      </c>
      <c r="C242" s="17">
        <v>19</v>
      </c>
      <c r="D242" s="17" t="s">
        <v>208</v>
      </c>
      <c r="E242" s="17">
        <v>12</v>
      </c>
      <c r="F242" s="28">
        <v>89800000</v>
      </c>
      <c r="G242" s="28">
        <v>78900000</v>
      </c>
      <c r="H242" s="28">
        <v>76900000</v>
      </c>
      <c r="I242" s="28">
        <v>77900000</v>
      </c>
      <c r="J242" s="28">
        <v>79500000</v>
      </c>
      <c r="K242" s="28">
        <v>84700000</v>
      </c>
      <c r="L242" s="28">
        <v>95900000</v>
      </c>
      <c r="M242" s="28">
        <v>132000000</v>
      </c>
      <c r="N242" s="28">
        <v>153000000</v>
      </c>
      <c r="O242" s="28">
        <v>158000000</v>
      </c>
      <c r="P242" s="28">
        <v>152000000</v>
      </c>
      <c r="Q242" s="28">
        <v>149000000</v>
      </c>
      <c r="R242" s="28">
        <v>147000000</v>
      </c>
      <c r="S242" s="28">
        <v>140000000</v>
      </c>
      <c r="T242" s="28">
        <v>134000000</v>
      </c>
      <c r="U242" s="28">
        <v>126000000</v>
      </c>
      <c r="V242" s="28">
        <v>121000000</v>
      </c>
      <c r="W242" s="28">
        <v>124000000</v>
      </c>
      <c r="X242" s="28">
        <v>126000000</v>
      </c>
      <c r="Y242" s="28">
        <v>116000000</v>
      </c>
      <c r="Z242" s="28">
        <v>112000000</v>
      </c>
      <c r="AA242" s="28">
        <v>106000000</v>
      </c>
      <c r="AB242" s="28">
        <v>102000000</v>
      </c>
      <c r="AC242" s="29">
        <v>91900000</v>
      </c>
      <c r="AD242" t="str">
        <f t="shared" si="3"/>
        <v>Winter</v>
      </c>
      <c r="AE242" t="str">
        <f>INDEX('Category Mapping'!$B$2:$B$29,MATCH('Source Data'!A242,'Category Mapping'!$A$2:$A$29,0))</f>
        <v>Weekend</v>
      </c>
      <c r="AF242" t="str">
        <f>INDEX('Category Mapping'!$C$2:$C$29,MATCH('Source Data'!A242,'Category Mapping'!$A$2:$A$29,0))</f>
        <v>Commercial</v>
      </c>
      <c r="AG242" t="str">
        <f>INDEX('Category Mapping'!$D$2:$D$29,MATCH('Source Data'!A242,'Category Mapping'!$A$2:$A$29,0))</f>
        <v>Total</v>
      </c>
    </row>
    <row r="243" spans="1:33" x14ac:dyDescent="0.25">
      <c r="A243" s="14" t="s">
        <v>104</v>
      </c>
      <c r="B243" s="15">
        <v>2019</v>
      </c>
      <c r="C243" s="15">
        <v>19</v>
      </c>
      <c r="D243" s="15" t="s">
        <v>208</v>
      </c>
      <c r="E243" s="15">
        <v>1</v>
      </c>
      <c r="F243" s="30">
        <v>1020000000</v>
      </c>
      <c r="G243" s="30">
        <v>992000000</v>
      </c>
      <c r="H243" s="30">
        <v>977000000</v>
      </c>
      <c r="I243" s="30">
        <v>980000000</v>
      </c>
      <c r="J243" s="30">
        <v>999000000</v>
      </c>
      <c r="K243" s="30">
        <v>1060000000</v>
      </c>
      <c r="L243" s="30">
        <v>1240000000</v>
      </c>
      <c r="M243" s="30">
        <v>1450000000</v>
      </c>
      <c r="N243" s="30">
        <v>1530000000</v>
      </c>
      <c r="O243" s="30">
        <v>1510000000</v>
      </c>
      <c r="P243" s="30">
        <v>1490000000</v>
      </c>
      <c r="Q243" s="30">
        <v>1470000000</v>
      </c>
      <c r="R243" s="30">
        <v>1450000000</v>
      </c>
      <c r="S243" s="30">
        <v>1450000000</v>
      </c>
      <c r="T243" s="30">
        <v>1450000000</v>
      </c>
      <c r="U243" s="30">
        <v>1470000000</v>
      </c>
      <c r="V243" s="30">
        <v>1520000000</v>
      </c>
      <c r="W243" s="30">
        <v>1520000000</v>
      </c>
      <c r="X243" s="30">
        <v>1500000000</v>
      </c>
      <c r="Y243" s="30">
        <v>1430000000</v>
      </c>
      <c r="Z243" s="30">
        <v>1360000000</v>
      </c>
      <c r="AA243" s="30">
        <v>1290000000</v>
      </c>
      <c r="AB243" s="30">
        <v>1180000000</v>
      </c>
      <c r="AC243" s="31">
        <v>1070000000</v>
      </c>
      <c r="AD243" t="str">
        <f t="shared" si="3"/>
        <v>Winter</v>
      </c>
      <c r="AE243" t="str">
        <f>INDEX('Category Mapping'!$B$2:$B$29,MATCH('Source Data'!A243,'Category Mapping'!$A$2:$A$29,0))</f>
        <v>Weekday</v>
      </c>
      <c r="AF243" t="str">
        <f>INDEX('Category Mapping'!$C$2:$C$29,MATCH('Source Data'!A243,'Category Mapping'!$A$2:$A$29,0))</f>
        <v>All Sectors</v>
      </c>
      <c r="AG243" t="str">
        <f>INDEX('Category Mapping'!$D$2:$D$29,MATCH('Source Data'!A243,'Category Mapping'!$A$2:$A$29,0))</f>
        <v>Total</v>
      </c>
    </row>
    <row r="244" spans="1:33" x14ac:dyDescent="0.25">
      <c r="A244" s="16" t="s">
        <v>104</v>
      </c>
      <c r="B244" s="17">
        <v>2019</v>
      </c>
      <c r="C244" s="17">
        <v>19</v>
      </c>
      <c r="D244" s="17" t="s">
        <v>208</v>
      </c>
      <c r="E244" s="17">
        <v>2</v>
      </c>
      <c r="F244" s="28">
        <v>1010000000</v>
      </c>
      <c r="G244" s="28">
        <v>982000000</v>
      </c>
      <c r="H244" s="28">
        <v>967000000</v>
      </c>
      <c r="I244" s="28">
        <v>969000000</v>
      </c>
      <c r="J244" s="28">
        <v>988000000</v>
      </c>
      <c r="K244" s="28">
        <v>1050000000</v>
      </c>
      <c r="L244" s="28">
        <v>1220000000</v>
      </c>
      <c r="M244" s="28">
        <v>1400000000</v>
      </c>
      <c r="N244" s="28">
        <v>1500000000</v>
      </c>
      <c r="O244" s="28">
        <v>1490000000</v>
      </c>
      <c r="P244" s="28">
        <v>1460000000</v>
      </c>
      <c r="Q244" s="28">
        <v>1450000000</v>
      </c>
      <c r="R244" s="28">
        <v>1430000000</v>
      </c>
      <c r="S244" s="28">
        <v>1430000000</v>
      </c>
      <c r="T244" s="28">
        <v>1430000000</v>
      </c>
      <c r="U244" s="28">
        <v>1450000000</v>
      </c>
      <c r="V244" s="28">
        <v>1480000000</v>
      </c>
      <c r="W244" s="28">
        <v>1500000000</v>
      </c>
      <c r="X244" s="28">
        <v>1480000000</v>
      </c>
      <c r="Y244" s="28">
        <v>1400000000</v>
      </c>
      <c r="Z244" s="28">
        <v>1340000000</v>
      </c>
      <c r="AA244" s="28">
        <v>1260000000</v>
      </c>
      <c r="AB244" s="28">
        <v>1160000000</v>
      </c>
      <c r="AC244" s="29">
        <v>1060000000</v>
      </c>
      <c r="AD244" t="str">
        <f t="shared" si="3"/>
        <v>Winter</v>
      </c>
      <c r="AE244" t="str">
        <f>INDEX('Category Mapping'!$B$2:$B$29,MATCH('Source Data'!A244,'Category Mapping'!$A$2:$A$29,0))</f>
        <v>Weekday</v>
      </c>
      <c r="AF244" t="str">
        <f>INDEX('Category Mapping'!$C$2:$C$29,MATCH('Source Data'!A244,'Category Mapping'!$A$2:$A$29,0))</f>
        <v>All Sectors</v>
      </c>
      <c r="AG244" t="str">
        <f>INDEX('Category Mapping'!$D$2:$D$29,MATCH('Source Data'!A244,'Category Mapping'!$A$2:$A$29,0))</f>
        <v>Total</v>
      </c>
    </row>
    <row r="245" spans="1:33" x14ac:dyDescent="0.25">
      <c r="A245" s="14" t="s">
        <v>104</v>
      </c>
      <c r="B245" s="15">
        <v>2019</v>
      </c>
      <c r="C245" s="15">
        <v>19</v>
      </c>
      <c r="D245" s="15" t="s">
        <v>208</v>
      </c>
      <c r="E245" s="15">
        <v>3</v>
      </c>
      <c r="F245" s="30">
        <v>1000000000</v>
      </c>
      <c r="G245" s="30">
        <v>972000000</v>
      </c>
      <c r="H245" s="30">
        <v>959000000</v>
      </c>
      <c r="I245" s="30">
        <v>961000000</v>
      </c>
      <c r="J245" s="30">
        <v>978000000</v>
      </c>
      <c r="K245" s="30">
        <v>1050000000</v>
      </c>
      <c r="L245" s="30">
        <v>1230000000</v>
      </c>
      <c r="M245" s="30">
        <v>1380000000</v>
      </c>
      <c r="N245" s="30">
        <v>1460000000</v>
      </c>
      <c r="O245" s="30">
        <v>1460000000</v>
      </c>
      <c r="P245" s="30">
        <v>1440000000</v>
      </c>
      <c r="Q245" s="30">
        <v>1430000000</v>
      </c>
      <c r="R245" s="30">
        <v>1410000000</v>
      </c>
      <c r="S245" s="30">
        <v>1410000000</v>
      </c>
      <c r="T245" s="30">
        <v>1410000000</v>
      </c>
      <c r="U245" s="30">
        <v>1430000000</v>
      </c>
      <c r="V245" s="30">
        <v>1450000000</v>
      </c>
      <c r="W245" s="30">
        <v>1470000000</v>
      </c>
      <c r="X245" s="30">
        <v>1450000000</v>
      </c>
      <c r="Y245" s="30">
        <v>1380000000</v>
      </c>
      <c r="Z245" s="30">
        <v>1320000000</v>
      </c>
      <c r="AA245" s="30">
        <v>1230000000</v>
      </c>
      <c r="AB245" s="30">
        <v>1130000000</v>
      </c>
      <c r="AC245" s="31">
        <v>1050000000</v>
      </c>
      <c r="AD245" t="str">
        <f t="shared" si="3"/>
        <v>Spring</v>
      </c>
      <c r="AE245" t="str">
        <f>INDEX('Category Mapping'!$B$2:$B$29,MATCH('Source Data'!A245,'Category Mapping'!$A$2:$A$29,0))</f>
        <v>Weekday</v>
      </c>
      <c r="AF245" t="str">
        <f>INDEX('Category Mapping'!$C$2:$C$29,MATCH('Source Data'!A245,'Category Mapping'!$A$2:$A$29,0))</f>
        <v>All Sectors</v>
      </c>
      <c r="AG245" t="str">
        <f>INDEX('Category Mapping'!$D$2:$D$29,MATCH('Source Data'!A245,'Category Mapping'!$A$2:$A$29,0))</f>
        <v>Total</v>
      </c>
    </row>
    <row r="246" spans="1:33" x14ac:dyDescent="0.25">
      <c r="A246" s="16" t="s">
        <v>104</v>
      </c>
      <c r="B246" s="17">
        <v>2019</v>
      </c>
      <c r="C246" s="17">
        <v>19</v>
      </c>
      <c r="D246" s="17" t="s">
        <v>208</v>
      </c>
      <c r="E246" s="17">
        <v>4</v>
      </c>
      <c r="F246" s="28">
        <v>954000000</v>
      </c>
      <c r="G246" s="28">
        <v>928000000</v>
      </c>
      <c r="H246" s="28">
        <v>917000000</v>
      </c>
      <c r="I246" s="28">
        <v>918000000</v>
      </c>
      <c r="J246" s="28">
        <v>933000000</v>
      </c>
      <c r="K246" s="28">
        <v>1000000000</v>
      </c>
      <c r="L246" s="28">
        <v>1160000000</v>
      </c>
      <c r="M246" s="28">
        <v>1290000000</v>
      </c>
      <c r="N246" s="28">
        <v>1370000000</v>
      </c>
      <c r="O246" s="28">
        <v>1390000000</v>
      </c>
      <c r="P246" s="28">
        <v>1380000000</v>
      </c>
      <c r="Q246" s="28">
        <v>1370000000</v>
      </c>
      <c r="R246" s="28">
        <v>1350000000</v>
      </c>
      <c r="S246" s="28">
        <v>1350000000</v>
      </c>
      <c r="T246" s="28">
        <v>1360000000</v>
      </c>
      <c r="U246" s="28">
        <v>1380000000</v>
      </c>
      <c r="V246" s="28">
        <v>1400000000</v>
      </c>
      <c r="W246" s="28">
        <v>1390000000</v>
      </c>
      <c r="X246" s="28">
        <v>1390000000</v>
      </c>
      <c r="Y246" s="28">
        <v>1320000000</v>
      </c>
      <c r="Z246" s="28">
        <v>1250000000</v>
      </c>
      <c r="AA246" s="28">
        <v>1170000000</v>
      </c>
      <c r="AB246" s="28">
        <v>1070000000</v>
      </c>
      <c r="AC246" s="29">
        <v>1000000000</v>
      </c>
      <c r="AD246" t="str">
        <f t="shared" si="3"/>
        <v>Spring</v>
      </c>
      <c r="AE246" t="str">
        <f>INDEX('Category Mapping'!$B$2:$B$29,MATCH('Source Data'!A246,'Category Mapping'!$A$2:$A$29,0))</f>
        <v>Weekday</v>
      </c>
      <c r="AF246" t="str">
        <f>INDEX('Category Mapping'!$C$2:$C$29,MATCH('Source Data'!A246,'Category Mapping'!$A$2:$A$29,0))</f>
        <v>All Sectors</v>
      </c>
      <c r="AG246" t="str">
        <f>INDEX('Category Mapping'!$D$2:$D$29,MATCH('Source Data'!A246,'Category Mapping'!$A$2:$A$29,0))</f>
        <v>Total</v>
      </c>
    </row>
    <row r="247" spans="1:33" x14ac:dyDescent="0.25">
      <c r="A247" s="14" t="s">
        <v>104</v>
      </c>
      <c r="B247" s="15">
        <v>2019</v>
      </c>
      <c r="C247" s="15">
        <v>19</v>
      </c>
      <c r="D247" s="15" t="s">
        <v>208</v>
      </c>
      <c r="E247" s="15">
        <v>5</v>
      </c>
      <c r="F247" s="30">
        <v>949000000</v>
      </c>
      <c r="G247" s="30">
        <v>924000000</v>
      </c>
      <c r="H247" s="30">
        <v>912000000</v>
      </c>
      <c r="I247" s="30">
        <v>913000000</v>
      </c>
      <c r="J247" s="30">
        <v>929000000</v>
      </c>
      <c r="K247" s="30">
        <v>985000000</v>
      </c>
      <c r="L247" s="30">
        <v>1120000000</v>
      </c>
      <c r="M247" s="30">
        <v>1260000000</v>
      </c>
      <c r="N247" s="30">
        <v>1360000000</v>
      </c>
      <c r="O247" s="30">
        <v>1380000000</v>
      </c>
      <c r="P247" s="30">
        <v>1380000000</v>
      </c>
      <c r="Q247" s="30">
        <v>1380000000</v>
      </c>
      <c r="R247" s="30">
        <v>1370000000</v>
      </c>
      <c r="S247" s="30">
        <v>1370000000</v>
      </c>
      <c r="T247" s="30">
        <v>1370000000</v>
      </c>
      <c r="U247" s="30">
        <v>1390000000</v>
      </c>
      <c r="V247" s="30">
        <v>1410000000</v>
      </c>
      <c r="W247" s="30">
        <v>1400000000</v>
      </c>
      <c r="X247" s="30">
        <v>1400000000</v>
      </c>
      <c r="Y247" s="30">
        <v>1320000000</v>
      </c>
      <c r="Z247" s="30">
        <v>1240000000</v>
      </c>
      <c r="AA247" s="30">
        <v>1170000000</v>
      </c>
      <c r="AB247" s="30">
        <v>1070000000</v>
      </c>
      <c r="AC247" s="31">
        <v>1000000000</v>
      </c>
      <c r="AD247" t="str">
        <f t="shared" si="3"/>
        <v>Spring</v>
      </c>
      <c r="AE247" t="str">
        <f>INDEX('Category Mapping'!$B$2:$B$29,MATCH('Source Data'!A247,'Category Mapping'!$A$2:$A$29,0))</f>
        <v>Weekday</v>
      </c>
      <c r="AF247" t="str">
        <f>INDEX('Category Mapping'!$C$2:$C$29,MATCH('Source Data'!A247,'Category Mapping'!$A$2:$A$29,0))</f>
        <v>All Sectors</v>
      </c>
      <c r="AG247" t="str">
        <f>INDEX('Category Mapping'!$D$2:$D$29,MATCH('Source Data'!A247,'Category Mapping'!$A$2:$A$29,0))</f>
        <v>Total</v>
      </c>
    </row>
    <row r="248" spans="1:33" x14ac:dyDescent="0.25">
      <c r="A248" s="16" t="s">
        <v>104</v>
      </c>
      <c r="B248" s="17">
        <v>2019</v>
      </c>
      <c r="C248" s="17">
        <v>19</v>
      </c>
      <c r="D248" s="17" t="s">
        <v>208</v>
      </c>
      <c r="E248" s="17">
        <v>6</v>
      </c>
      <c r="F248" s="28">
        <v>1020000000</v>
      </c>
      <c r="G248" s="28">
        <v>991000000</v>
      </c>
      <c r="H248" s="28">
        <v>977000000</v>
      </c>
      <c r="I248" s="28">
        <v>978000000</v>
      </c>
      <c r="J248" s="28">
        <v>996000000</v>
      </c>
      <c r="K248" s="28">
        <v>1050000000</v>
      </c>
      <c r="L248" s="28">
        <v>1200000000</v>
      </c>
      <c r="M248" s="28">
        <v>1370000000</v>
      </c>
      <c r="N248" s="28">
        <v>1500000000</v>
      </c>
      <c r="O248" s="28">
        <v>1550000000</v>
      </c>
      <c r="P248" s="28">
        <v>1560000000</v>
      </c>
      <c r="Q248" s="28">
        <v>1580000000</v>
      </c>
      <c r="R248" s="28">
        <v>1570000000</v>
      </c>
      <c r="S248" s="28">
        <v>1580000000</v>
      </c>
      <c r="T248" s="28">
        <v>1590000000</v>
      </c>
      <c r="U248" s="28">
        <v>1620000000</v>
      </c>
      <c r="V248" s="28">
        <v>1630000000</v>
      </c>
      <c r="W248" s="28">
        <v>1610000000</v>
      </c>
      <c r="X248" s="28">
        <v>1580000000</v>
      </c>
      <c r="Y248" s="28">
        <v>1490000000</v>
      </c>
      <c r="Z248" s="28">
        <v>1400000000</v>
      </c>
      <c r="AA248" s="28">
        <v>1300000000</v>
      </c>
      <c r="AB248" s="28">
        <v>1180000000</v>
      </c>
      <c r="AC248" s="29">
        <v>1090000000</v>
      </c>
      <c r="AD248" t="str">
        <f t="shared" si="3"/>
        <v>Summer</v>
      </c>
      <c r="AE248" t="str">
        <f>INDEX('Category Mapping'!$B$2:$B$29,MATCH('Source Data'!A248,'Category Mapping'!$A$2:$A$29,0))</f>
        <v>Weekday</v>
      </c>
      <c r="AF248" t="str">
        <f>INDEX('Category Mapping'!$C$2:$C$29,MATCH('Source Data'!A248,'Category Mapping'!$A$2:$A$29,0))</f>
        <v>All Sectors</v>
      </c>
      <c r="AG248" t="str">
        <f>INDEX('Category Mapping'!$D$2:$D$29,MATCH('Source Data'!A248,'Category Mapping'!$A$2:$A$29,0))</f>
        <v>Total</v>
      </c>
    </row>
    <row r="249" spans="1:33" x14ac:dyDescent="0.25">
      <c r="A249" s="14" t="s">
        <v>104</v>
      </c>
      <c r="B249" s="15">
        <v>2019</v>
      </c>
      <c r="C249" s="15">
        <v>19</v>
      </c>
      <c r="D249" s="15" t="s">
        <v>208</v>
      </c>
      <c r="E249" s="15">
        <v>7</v>
      </c>
      <c r="F249" s="30">
        <v>1180000000</v>
      </c>
      <c r="G249" s="30">
        <v>1130000000</v>
      </c>
      <c r="H249" s="30">
        <v>1110000000</v>
      </c>
      <c r="I249" s="30">
        <v>1120000000</v>
      </c>
      <c r="J249" s="30">
        <v>1140000000</v>
      </c>
      <c r="K249" s="30">
        <v>1210000000</v>
      </c>
      <c r="L249" s="30">
        <v>1360000000</v>
      </c>
      <c r="M249" s="30">
        <v>1540000000</v>
      </c>
      <c r="N249" s="30">
        <v>1700000000</v>
      </c>
      <c r="O249" s="30">
        <v>1770000000</v>
      </c>
      <c r="P249" s="30">
        <v>1790000000</v>
      </c>
      <c r="Q249" s="30">
        <v>1820000000</v>
      </c>
      <c r="R249" s="30">
        <v>1820000000</v>
      </c>
      <c r="S249" s="30">
        <v>1830000000</v>
      </c>
      <c r="T249" s="30">
        <v>1850000000</v>
      </c>
      <c r="U249" s="30">
        <v>1880000000</v>
      </c>
      <c r="V249" s="30">
        <v>1890000000</v>
      </c>
      <c r="W249" s="30">
        <v>1860000000</v>
      </c>
      <c r="X249" s="30">
        <v>1820000000</v>
      </c>
      <c r="Y249" s="30">
        <v>1720000000</v>
      </c>
      <c r="Z249" s="30">
        <v>1620000000</v>
      </c>
      <c r="AA249" s="30">
        <v>1510000000</v>
      </c>
      <c r="AB249" s="30">
        <v>1370000000</v>
      </c>
      <c r="AC249" s="31">
        <v>1260000000</v>
      </c>
      <c r="AD249" t="str">
        <f t="shared" si="3"/>
        <v>Summer</v>
      </c>
      <c r="AE249" t="str">
        <f>INDEX('Category Mapping'!$B$2:$B$29,MATCH('Source Data'!A249,'Category Mapping'!$A$2:$A$29,0))</f>
        <v>Weekday</v>
      </c>
      <c r="AF249" t="str">
        <f>INDEX('Category Mapping'!$C$2:$C$29,MATCH('Source Data'!A249,'Category Mapping'!$A$2:$A$29,0))</f>
        <v>All Sectors</v>
      </c>
      <c r="AG249" t="str">
        <f>INDEX('Category Mapping'!$D$2:$D$29,MATCH('Source Data'!A249,'Category Mapping'!$A$2:$A$29,0))</f>
        <v>Total</v>
      </c>
    </row>
    <row r="250" spans="1:33" x14ac:dyDescent="0.25">
      <c r="A250" s="16" t="s">
        <v>104</v>
      </c>
      <c r="B250" s="17">
        <v>2019</v>
      </c>
      <c r="C250" s="17">
        <v>19</v>
      </c>
      <c r="D250" s="17" t="s">
        <v>208</v>
      </c>
      <c r="E250" s="17">
        <v>8</v>
      </c>
      <c r="F250" s="28">
        <v>1240000000</v>
      </c>
      <c r="G250" s="28">
        <v>1190000000</v>
      </c>
      <c r="H250" s="28">
        <v>1170000000</v>
      </c>
      <c r="I250" s="28">
        <v>1170000000</v>
      </c>
      <c r="J250" s="28">
        <v>1200000000</v>
      </c>
      <c r="K250" s="28">
        <v>1280000000</v>
      </c>
      <c r="L250" s="28">
        <v>1440000000</v>
      </c>
      <c r="M250" s="28">
        <v>1630000000</v>
      </c>
      <c r="N250" s="28">
        <v>1800000000</v>
      </c>
      <c r="O250" s="28">
        <v>1870000000</v>
      </c>
      <c r="P250" s="28">
        <v>1910000000</v>
      </c>
      <c r="Q250" s="28">
        <v>1940000000</v>
      </c>
      <c r="R250" s="28">
        <v>1940000000</v>
      </c>
      <c r="S250" s="28">
        <v>1960000000</v>
      </c>
      <c r="T250" s="28">
        <v>1980000000</v>
      </c>
      <c r="U250" s="28">
        <v>2010000000</v>
      </c>
      <c r="V250" s="28">
        <v>2020000000</v>
      </c>
      <c r="W250" s="28">
        <v>1990000000</v>
      </c>
      <c r="X250" s="28">
        <v>1960000000</v>
      </c>
      <c r="Y250" s="28">
        <v>1840000000</v>
      </c>
      <c r="Z250" s="28">
        <v>1720000000</v>
      </c>
      <c r="AA250" s="28">
        <v>1600000000</v>
      </c>
      <c r="AB250" s="28">
        <v>1450000000</v>
      </c>
      <c r="AC250" s="29">
        <v>1330000000</v>
      </c>
      <c r="AD250" t="str">
        <f t="shared" si="3"/>
        <v>Summer</v>
      </c>
      <c r="AE250" t="str">
        <f>INDEX('Category Mapping'!$B$2:$B$29,MATCH('Source Data'!A250,'Category Mapping'!$A$2:$A$29,0))</f>
        <v>Weekday</v>
      </c>
      <c r="AF250" t="str">
        <f>INDEX('Category Mapping'!$C$2:$C$29,MATCH('Source Data'!A250,'Category Mapping'!$A$2:$A$29,0))</f>
        <v>All Sectors</v>
      </c>
      <c r="AG250" t="str">
        <f>INDEX('Category Mapping'!$D$2:$D$29,MATCH('Source Data'!A250,'Category Mapping'!$A$2:$A$29,0))</f>
        <v>Total</v>
      </c>
    </row>
    <row r="251" spans="1:33" x14ac:dyDescent="0.25">
      <c r="A251" s="14" t="s">
        <v>104</v>
      </c>
      <c r="B251" s="15">
        <v>2019</v>
      </c>
      <c r="C251" s="15">
        <v>19</v>
      </c>
      <c r="D251" s="15" t="s">
        <v>208</v>
      </c>
      <c r="E251" s="15">
        <v>9</v>
      </c>
      <c r="F251" s="30">
        <v>1010000000</v>
      </c>
      <c r="G251" s="30">
        <v>979000000</v>
      </c>
      <c r="H251" s="30">
        <v>966000000</v>
      </c>
      <c r="I251" s="30">
        <v>967000000</v>
      </c>
      <c r="J251" s="30">
        <v>983000000</v>
      </c>
      <c r="K251" s="30">
        <v>1040000000</v>
      </c>
      <c r="L251" s="30">
        <v>1190000000</v>
      </c>
      <c r="M251" s="30">
        <v>1340000000</v>
      </c>
      <c r="N251" s="30">
        <v>1460000000</v>
      </c>
      <c r="O251" s="30">
        <v>1510000000</v>
      </c>
      <c r="P251" s="30">
        <v>1520000000</v>
      </c>
      <c r="Q251" s="30">
        <v>1530000000</v>
      </c>
      <c r="R251" s="30">
        <v>1520000000</v>
      </c>
      <c r="S251" s="30">
        <v>1530000000</v>
      </c>
      <c r="T251" s="30">
        <v>1540000000</v>
      </c>
      <c r="U251" s="30">
        <v>1570000000</v>
      </c>
      <c r="V251" s="30">
        <v>1580000000</v>
      </c>
      <c r="W251" s="30">
        <v>1570000000</v>
      </c>
      <c r="X251" s="30">
        <v>1550000000</v>
      </c>
      <c r="Y251" s="30">
        <v>1450000000</v>
      </c>
      <c r="Z251" s="30">
        <v>1360000000</v>
      </c>
      <c r="AA251" s="30">
        <v>1260000000</v>
      </c>
      <c r="AB251" s="30">
        <v>1150000000</v>
      </c>
      <c r="AC251" s="31">
        <v>1070000000</v>
      </c>
      <c r="AD251" t="str">
        <f t="shared" si="3"/>
        <v>Fall</v>
      </c>
      <c r="AE251" t="str">
        <f>INDEX('Category Mapping'!$B$2:$B$29,MATCH('Source Data'!A251,'Category Mapping'!$A$2:$A$29,0))</f>
        <v>Weekday</v>
      </c>
      <c r="AF251" t="str">
        <f>INDEX('Category Mapping'!$C$2:$C$29,MATCH('Source Data'!A251,'Category Mapping'!$A$2:$A$29,0))</f>
        <v>All Sectors</v>
      </c>
      <c r="AG251" t="str">
        <f>INDEX('Category Mapping'!$D$2:$D$29,MATCH('Source Data'!A251,'Category Mapping'!$A$2:$A$29,0))</f>
        <v>Total</v>
      </c>
    </row>
    <row r="252" spans="1:33" x14ac:dyDescent="0.25">
      <c r="A252" s="16" t="s">
        <v>104</v>
      </c>
      <c r="B252" s="17">
        <v>2019</v>
      </c>
      <c r="C252" s="17">
        <v>19</v>
      </c>
      <c r="D252" s="17" t="s">
        <v>208</v>
      </c>
      <c r="E252" s="17">
        <v>10</v>
      </c>
      <c r="F252" s="28">
        <v>964000000</v>
      </c>
      <c r="G252" s="28">
        <v>938000000</v>
      </c>
      <c r="H252" s="28">
        <v>927000000</v>
      </c>
      <c r="I252" s="28">
        <v>928000000</v>
      </c>
      <c r="J252" s="28">
        <v>944000000</v>
      </c>
      <c r="K252" s="28">
        <v>1010000000</v>
      </c>
      <c r="L252" s="28">
        <v>1180000000</v>
      </c>
      <c r="M252" s="28">
        <v>1300000000</v>
      </c>
      <c r="N252" s="28">
        <v>1390000000</v>
      </c>
      <c r="O252" s="28">
        <v>1400000000</v>
      </c>
      <c r="P252" s="28">
        <v>1390000000</v>
      </c>
      <c r="Q252" s="28">
        <v>1390000000</v>
      </c>
      <c r="R252" s="28">
        <v>1370000000</v>
      </c>
      <c r="S252" s="28">
        <v>1370000000</v>
      </c>
      <c r="T252" s="28">
        <v>1370000000</v>
      </c>
      <c r="U252" s="28">
        <v>1400000000</v>
      </c>
      <c r="V252" s="28">
        <v>1420000000</v>
      </c>
      <c r="W252" s="28">
        <v>1440000000</v>
      </c>
      <c r="X252" s="28">
        <v>1410000000</v>
      </c>
      <c r="Y252" s="28">
        <v>1330000000</v>
      </c>
      <c r="Z252" s="28">
        <v>1270000000</v>
      </c>
      <c r="AA252" s="28">
        <v>1180000000</v>
      </c>
      <c r="AB252" s="28">
        <v>1090000000</v>
      </c>
      <c r="AC252" s="29">
        <v>1020000000</v>
      </c>
      <c r="AD252" t="str">
        <f t="shared" si="3"/>
        <v>Fall</v>
      </c>
      <c r="AE252" t="str">
        <f>INDEX('Category Mapping'!$B$2:$B$29,MATCH('Source Data'!A252,'Category Mapping'!$A$2:$A$29,0))</f>
        <v>Weekday</v>
      </c>
      <c r="AF252" t="str">
        <f>INDEX('Category Mapping'!$C$2:$C$29,MATCH('Source Data'!A252,'Category Mapping'!$A$2:$A$29,0))</f>
        <v>All Sectors</v>
      </c>
      <c r="AG252" t="str">
        <f>INDEX('Category Mapping'!$D$2:$D$29,MATCH('Source Data'!A252,'Category Mapping'!$A$2:$A$29,0))</f>
        <v>Total</v>
      </c>
    </row>
    <row r="253" spans="1:33" x14ac:dyDescent="0.25">
      <c r="A253" s="14" t="s">
        <v>104</v>
      </c>
      <c r="B253" s="15">
        <v>2019</v>
      </c>
      <c r="C253" s="15">
        <v>19</v>
      </c>
      <c r="D253" s="15" t="s">
        <v>208</v>
      </c>
      <c r="E253" s="15">
        <v>11</v>
      </c>
      <c r="F253" s="30">
        <v>992000000</v>
      </c>
      <c r="G253" s="30">
        <v>965000000</v>
      </c>
      <c r="H253" s="30">
        <v>951000000</v>
      </c>
      <c r="I253" s="30">
        <v>952000000</v>
      </c>
      <c r="J253" s="30">
        <v>970000000</v>
      </c>
      <c r="K253" s="30">
        <v>1030000000</v>
      </c>
      <c r="L253" s="30">
        <v>1190000000</v>
      </c>
      <c r="M253" s="30">
        <v>1370000000</v>
      </c>
      <c r="N253" s="30">
        <v>1450000000</v>
      </c>
      <c r="O253" s="30">
        <v>1450000000</v>
      </c>
      <c r="P253" s="30">
        <v>1430000000</v>
      </c>
      <c r="Q253" s="30">
        <v>1420000000</v>
      </c>
      <c r="R253" s="30">
        <v>1410000000</v>
      </c>
      <c r="S253" s="30">
        <v>1400000000</v>
      </c>
      <c r="T253" s="30">
        <v>1410000000</v>
      </c>
      <c r="U253" s="30">
        <v>1430000000</v>
      </c>
      <c r="V253" s="30">
        <v>1460000000</v>
      </c>
      <c r="W253" s="30">
        <v>1480000000</v>
      </c>
      <c r="X253" s="30">
        <v>1460000000</v>
      </c>
      <c r="Y253" s="30">
        <v>1380000000</v>
      </c>
      <c r="Z253" s="30">
        <v>1310000000</v>
      </c>
      <c r="AA253" s="30">
        <v>1230000000</v>
      </c>
      <c r="AB253" s="30">
        <v>1130000000</v>
      </c>
      <c r="AC253" s="31">
        <v>1040000000</v>
      </c>
      <c r="AD253" t="str">
        <f t="shared" si="3"/>
        <v>Winter</v>
      </c>
      <c r="AE253" t="str">
        <f>INDEX('Category Mapping'!$B$2:$B$29,MATCH('Source Data'!A253,'Category Mapping'!$A$2:$A$29,0))</f>
        <v>Weekday</v>
      </c>
      <c r="AF253" t="str">
        <f>INDEX('Category Mapping'!$C$2:$C$29,MATCH('Source Data'!A253,'Category Mapping'!$A$2:$A$29,0))</f>
        <v>All Sectors</v>
      </c>
      <c r="AG253" t="str">
        <f>INDEX('Category Mapping'!$D$2:$D$29,MATCH('Source Data'!A253,'Category Mapping'!$A$2:$A$29,0))</f>
        <v>Total</v>
      </c>
    </row>
    <row r="254" spans="1:33" x14ac:dyDescent="0.25">
      <c r="A254" s="16" t="s">
        <v>104</v>
      </c>
      <c r="B254" s="17">
        <v>2019</v>
      </c>
      <c r="C254" s="17">
        <v>19</v>
      </c>
      <c r="D254" s="17" t="s">
        <v>208</v>
      </c>
      <c r="E254" s="17">
        <v>12</v>
      </c>
      <c r="F254" s="28">
        <v>972000000</v>
      </c>
      <c r="G254" s="28">
        <v>944000000</v>
      </c>
      <c r="H254" s="28">
        <v>929000000</v>
      </c>
      <c r="I254" s="28">
        <v>931000000</v>
      </c>
      <c r="J254" s="28">
        <v>950000000</v>
      </c>
      <c r="K254" s="28">
        <v>1010000000</v>
      </c>
      <c r="L254" s="28">
        <v>1170000000</v>
      </c>
      <c r="M254" s="28">
        <v>1390000000</v>
      </c>
      <c r="N254" s="28">
        <v>1470000000</v>
      </c>
      <c r="O254" s="28">
        <v>1450000000</v>
      </c>
      <c r="P254" s="28">
        <v>1430000000</v>
      </c>
      <c r="Q254" s="28">
        <v>1420000000</v>
      </c>
      <c r="R254" s="28">
        <v>1400000000</v>
      </c>
      <c r="S254" s="28">
        <v>1390000000</v>
      </c>
      <c r="T254" s="28">
        <v>1390000000</v>
      </c>
      <c r="U254" s="28">
        <v>1410000000</v>
      </c>
      <c r="V254" s="28">
        <v>1470000000</v>
      </c>
      <c r="W254" s="28">
        <v>1460000000</v>
      </c>
      <c r="X254" s="28">
        <v>1450000000</v>
      </c>
      <c r="Y254" s="28">
        <v>1370000000</v>
      </c>
      <c r="Z254" s="28">
        <v>1310000000</v>
      </c>
      <c r="AA254" s="28">
        <v>1230000000</v>
      </c>
      <c r="AB254" s="28">
        <v>1130000000</v>
      </c>
      <c r="AC254" s="29">
        <v>1020000000</v>
      </c>
      <c r="AD254" t="str">
        <f>IF(AND(E254&gt;=3,E254&lt;=5),"Spring",IF(AND(E254&gt;=6,E254&lt;=8),"Summer",IF(AND(E254&gt;=9,E254&lt;=10),"Fall","Winter")))</f>
        <v>Winter</v>
      </c>
      <c r="AE254" t="str">
        <f>INDEX('Category Mapping'!$B$2:$B$29,MATCH('Source Data'!A254,'Category Mapping'!$A$2:$A$29,0))</f>
        <v>Weekday</v>
      </c>
      <c r="AF254" t="str">
        <f>INDEX('Category Mapping'!$C$2:$C$29,MATCH('Source Data'!A254,'Category Mapping'!$A$2:$A$29,0))</f>
        <v>All Sectors</v>
      </c>
      <c r="AG254" t="str">
        <f>INDEX('Category Mapping'!$D$2:$D$29,MATCH('Source Data'!A254,'Category Mapping'!$A$2:$A$29,0))</f>
        <v>Total</v>
      </c>
    </row>
    <row r="255" spans="1:33" x14ac:dyDescent="0.25">
      <c r="A255" s="14" t="s">
        <v>105</v>
      </c>
      <c r="B255" s="15">
        <v>2019</v>
      </c>
      <c r="C255" s="15">
        <v>19</v>
      </c>
      <c r="D255" s="15" t="s">
        <v>208</v>
      </c>
      <c r="E255" s="15">
        <v>1</v>
      </c>
      <c r="F255" s="30">
        <v>521000000</v>
      </c>
      <c r="G255" s="30">
        <v>501000000</v>
      </c>
      <c r="H255" s="30">
        <v>492000000</v>
      </c>
      <c r="I255" s="30">
        <v>490000000</v>
      </c>
      <c r="J255" s="30">
        <v>494000000</v>
      </c>
      <c r="K255" s="30">
        <v>509000000</v>
      </c>
      <c r="L255" s="30">
        <v>539000000</v>
      </c>
      <c r="M255" s="30">
        <v>598000000</v>
      </c>
      <c r="N255" s="30">
        <v>623000000</v>
      </c>
      <c r="O255" s="30">
        <v>642000000</v>
      </c>
      <c r="P255" s="30">
        <v>652000000</v>
      </c>
      <c r="Q255" s="30">
        <v>657000000</v>
      </c>
      <c r="R255" s="30">
        <v>644000000</v>
      </c>
      <c r="S255" s="30">
        <v>626000000</v>
      </c>
      <c r="T255" s="30">
        <v>623000000</v>
      </c>
      <c r="U255" s="30">
        <v>623000000</v>
      </c>
      <c r="V255" s="30">
        <v>647000000</v>
      </c>
      <c r="W255" s="30">
        <v>656000000</v>
      </c>
      <c r="X255" s="30">
        <v>656000000</v>
      </c>
      <c r="Y255" s="30">
        <v>640000000</v>
      </c>
      <c r="Z255" s="30">
        <v>628000000</v>
      </c>
      <c r="AA255" s="30">
        <v>606000000</v>
      </c>
      <c r="AB255" s="30">
        <v>576000000</v>
      </c>
      <c r="AC255" s="31">
        <v>540000000</v>
      </c>
      <c r="AD255" t="str">
        <f t="shared" si="3"/>
        <v>Winter</v>
      </c>
      <c r="AE255" t="str">
        <f>INDEX('Category Mapping'!$B$2:$B$29,MATCH('Source Data'!A255,'Category Mapping'!$A$2:$A$29,0))</f>
        <v>Weekend</v>
      </c>
      <c r="AF255" t="str">
        <f>INDEX('Category Mapping'!$C$2:$C$29,MATCH('Source Data'!A255,'Category Mapping'!$A$2:$A$29,0))</f>
        <v>All Sectors</v>
      </c>
      <c r="AG255" t="str">
        <f>INDEX('Category Mapping'!$D$2:$D$29,MATCH('Source Data'!A255,'Category Mapping'!$A$2:$A$29,0))</f>
        <v>Total</v>
      </c>
    </row>
    <row r="256" spans="1:33" x14ac:dyDescent="0.25">
      <c r="A256" s="16" t="s">
        <v>105</v>
      </c>
      <c r="B256" s="17">
        <v>2019</v>
      </c>
      <c r="C256" s="17">
        <v>19</v>
      </c>
      <c r="D256" s="17" t="s">
        <v>208</v>
      </c>
      <c r="E256" s="17">
        <v>2</v>
      </c>
      <c r="F256" s="28">
        <v>516000000</v>
      </c>
      <c r="G256" s="28">
        <v>496000000</v>
      </c>
      <c r="H256" s="28">
        <v>488000000</v>
      </c>
      <c r="I256" s="28">
        <v>485000000</v>
      </c>
      <c r="J256" s="28">
        <v>490000000</v>
      </c>
      <c r="K256" s="28">
        <v>504000000</v>
      </c>
      <c r="L256" s="28">
        <v>534000000</v>
      </c>
      <c r="M256" s="28">
        <v>582000000</v>
      </c>
      <c r="N256" s="28">
        <v>614000000</v>
      </c>
      <c r="O256" s="28">
        <v>633000000</v>
      </c>
      <c r="P256" s="28">
        <v>643000000</v>
      </c>
      <c r="Q256" s="28">
        <v>649000000</v>
      </c>
      <c r="R256" s="28">
        <v>636000000</v>
      </c>
      <c r="S256" s="28">
        <v>618000000</v>
      </c>
      <c r="T256" s="28">
        <v>616000000</v>
      </c>
      <c r="U256" s="28">
        <v>616000000</v>
      </c>
      <c r="V256" s="28">
        <v>627000000</v>
      </c>
      <c r="W256" s="28">
        <v>648000000</v>
      </c>
      <c r="X256" s="28">
        <v>647000000</v>
      </c>
      <c r="Y256" s="28">
        <v>632000000</v>
      </c>
      <c r="Z256" s="28">
        <v>620000000</v>
      </c>
      <c r="AA256" s="28">
        <v>599000000</v>
      </c>
      <c r="AB256" s="28">
        <v>569000000</v>
      </c>
      <c r="AC256" s="29">
        <v>534000000</v>
      </c>
      <c r="AD256" t="str">
        <f t="shared" si="3"/>
        <v>Winter</v>
      </c>
      <c r="AE256" t="str">
        <f>INDEX('Category Mapping'!$B$2:$B$29,MATCH('Source Data'!A256,'Category Mapping'!$A$2:$A$29,0))</f>
        <v>Weekend</v>
      </c>
      <c r="AF256" t="str">
        <f>INDEX('Category Mapping'!$C$2:$C$29,MATCH('Source Data'!A256,'Category Mapping'!$A$2:$A$29,0))</f>
        <v>All Sectors</v>
      </c>
      <c r="AG256" t="str">
        <f>INDEX('Category Mapping'!$D$2:$D$29,MATCH('Source Data'!A256,'Category Mapping'!$A$2:$A$29,0))</f>
        <v>Total</v>
      </c>
    </row>
    <row r="257" spans="1:33" x14ac:dyDescent="0.25">
      <c r="A257" s="14" t="s">
        <v>105</v>
      </c>
      <c r="B257" s="15">
        <v>2019</v>
      </c>
      <c r="C257" s="15">
        <v>19</v>
      </c>
      <c r="D257" s="15" t="s">
        <v>208</v>
      </c>
      <c r="E257" s="15">
        <v>3</v>
      </c>
      <c r="F257" s="30">
        <v>512000000</v>
      </c>
      <c r="G257" s="30">
        <v>491000000</v>
      </c>
      <c r="H257" s="30">
        <v>484000000</v>
      </c>
      <c r="I257" s="30">
        <v>481000000</v>
      </c>
      <c r="J257" s="30">
        <v>486000000</v>
      </c>
      <c r="K257" s="30">
        <v>500000000</v>
      </c>
      <c r="L257" s="30">
        <v>534000000</v>
      </c>
      <c r="M257" s="30">
        <v>574000000</v>
      </c>
      <c r="N257" s="30">
        <v>601000000</v>
      </c>
      <c r="O257" s="30">
        <v>622000000</v>
      </c>
      <c r="P257" s="30">
        <v>633000000</v>
      </c>
      <c r="Q257" s="30">
        <v>640000000</v>
      </c>
      <c r="R257" s="30">
        <v>628000000</v>
      </c>
      <c r="S257" s="30">
        <v>611000000</v>
      </c>
      <c r="T257" s="30">
        <v>610000000</v>
      </c>
      <c r="U257" s="30">
        <v>609000000</v>
      </c>
      <c r="V257" s="30">
        <v>615000000</v>
      </c>
      <c r="W257" s="30">
        <v>638000000</v>
      </c>
      <c r="X257" s="30">
        <v>635000000</v>
      </c>
      <c r="Y257" s="30">
        <v>624000000</v>
      </c>
      <c r="Z257" s="30">
        <v>613000000</v>
      </c>
      <c r="AA257" s="30">
        <v>591000000</v>
      </c>
      <c r="AB257" s="30">
        <v>561000000</v>
      </c>
      <c r="AC257" s="31">
        <v>529000000</v>
      </c>
      <c r="AD257" t="str">
        <f t="shared" si="3"/>
        <v>Spring</v>
      </c>
      <c r="AE257" t="str">
        <f>INDEX('Category Mapping'!$B$2:$B$29,MATCH('Source Data'!A257,'Category Mapping'!$A$2:$A$29,0))</f>
        <v>Weekend</v>
      </c>
      <c r="AF257" t="str">
        <f>INDEX('Category Mapping'!$C$2:$C$29,MATCH('Source Data'!A257,'Category Mapping'!$A$2:$A$29,0))</f>
        <v>All Sectors</v>
      </c>
      <c r="AG257" t="str">
        <f>INDEX('Category Mapping'!$D$2:$D$29,MATCH('Source Data'!A257,'Category Mapping'!$A$2:$A$29,0))</f>
        <v>Total</v>
      </c>
    </row>
    <row r="258" spans="1:33" x14ac:dyDescent="0.25">
      <c r="A258" s="16" t="s">
        <v>105</v>
      </c>
      <c r="B258" s="17">
        <v>2019</v>
      </c>
      <c r="C258" s="17">
        <v>19</v>
      </c>
      <c r="D258" s="17" t="s">
        <v>208</v>
      </c>
      <c r="E258" s="17">
        <v>4</v>
      </c>
      <c r="F258" s="28">
        <v>489000000</v>
      </c>
      <c r="G258" s="28">
        <v>469000000</v>
      </c>
      <c r="H258" s="28">
        <v>462000000</v>
      </c>
      <c r="I258" s="28">
        <v>460000000</v>
      </c>
      <c r="J258" s="28">
        <v>463000000</v>
      </c>
      <c r="K258" s="28">
        <v>477000000</v>
      </c>
      <c r="L258" s="28">
        <v>503000000</v>
      </c>
      <c r="M258" s="28">
        <v>541000000</v>
      </c>
      <c r="N258" s="28">
        <v>566000000</v>
      </c>
      <c r="O258" s="28">
        <v>590000000</v>
      </c>
      <c r="P258" s="28">
        <v>604000000</v>
      </c>
      <c r="Q258" s="28">
        <v>612000000</v>
      </c>
      <c r="R258" s="28">
        <v>602000000</v>
      </c>
      <c r="S258" s="28">
        <v>586000000</v>
      </c>
      <c r="T258" s="28">
        <v>586000000</v>
      </c>
      <c r="U258" s="28">
        <v>583000000</v>
      </c>
      <c r="V258" s="28">
        <v>589000000</v>
      </c>
      <c r="W258" s="28">
        <v>597000000</v>
      </c>
      <c r="X258" s="28">
        <v>607000000</v>
      </c>
      <c r="Y258" s="28">
        <v>598000000</v>
      </c>
      <c r="Z258" s="28">
        <v>586000000</v>
      </c>
      <c r="AA258" s="28">
        <v>565000000</v>
      </c>
      <c r="AB258" s="28">
        <v>535000000</v>
      </c>
      <c r="AC258" s="29">
        <v>505000000</v>
      </c>
      <c r="AD258" t="str">
        <f t="shared" si="3"/>
        <v>Spring</v>
      </c>
      <c r="AE258" t="str">
        <f>INDEX('Category Mapping'!$B$2:$B$29,MATCH('Source Data'!A258,'Category Mapping'!$A$2:$A$29,0))</f>
        <v>Weekend</v>
      </c>
      <c r="AF258" t="str">
        <f>INDEX('Category Mapping'!$C$2:$C$29,MATCH('Source Data'!A258,'Category Mapping'!$A$2:$A$29,0))</f>
        <v>All Sectors</v>
      </c>
      <c r="AG258" t="str">
        <f>INDEX('Category Mapping'!$D$2:$D$29,MATCH('Source Data'!A258,'Category Mapping'!$A$2:$A$29,0))</f>
        <v>Total</v>
      </c>
    </row>
    <row r="259" spans="1:33" x14ac:dyDescent="0.25">
      <c r="A259" s="14" t="s">
        <v>105</v>
      </c>
      <c r="B259" s="15">
        <v>2019</v>
      </c>
      <c r="C259" s="15">
        <v>19</v>
      </c>
      <c r="D259" s="15" t="s">
        <v>208</v>
      </c>
      <c r="E259" s="15">
        <v>5</v>
      </c>
      <c r="F259" s="30">
        <v>490000000</v>
      </c>
      <c r="G259" s="30">
        <v>471000000</v>
      </c>
      <c r="H259" s="30">
        <v>464000000</v>
      </c>
      <c r="I259" s="30">
        <v>461000000</v>
      </c>
      <c r="J259" s="30">
        <v>465000000</v>
      </c>
      <c r="K259" s="30">
        <v>477000000</v>
      </c>
      <c r="L259" s="30">
        <v>497000000</v>
      </c>
      <c r="M259" s="30">
        <v>535000000</v>
      </c>
      <c r="N259" s="30">
        <v>562000000</v>
      </c>
      <c r="O259" s="30">
        <v>588000000</v>
      </c>
      <c r="P259" s="30">
        <v>604000000</v>
      </c>
      <c r="Q259" s="30">
        <v>616000000</v>
      </c>
      <c r="R259" s="30">
        <v>608000000</v>
      </c>
      <c r="S259" s="30">
        <v>593000000</v>
      </c>
      <c r="T259" s="30">
        <v>593000000</v>
      </c>
      <c r="U259" s="30">
        <v>591000000</v>
      </c>
      <c r="V259" s="30">
        <v>596000000</v>
      </c>
      <c r="W259" s="30">
        <v>599000000</v>
      </c>
      <c r="X259" s="30">
        <v>608000000</v>
      </c>
      <c r="Y259" s="30">
        <v>598000000</v>
      </c>
      <c r="Z259" s="30">
        <v>585000000</v>
      </c>
      <c r="AA259" s="30">
        <v>564000000</v>
      </c>
      <c r="AB259" s="30">
        <v>536000000</v>
      </c>
      <c r="AC259" s="31">
        <v>506000000</v>
      </c>
      <c r="AD259" t="str">
        <f t="shared" si="3"/>
        <v>Spring</v>
      </c>
      <c r="AE259" t="str">
        <f>INDEX('Category Mapping'!$B$2:$B$29,MATCH('Source Data'!A259,'Category Mapping'!$A$2:$A$29,0))</f>
        <v>Weekend</v>
      </c>
      <c r="AF259" t="str">
        <f>INDEX('Category Mapping'!$C$2:$C$29,MATCH('Source Data'!A259,'Category Mapping'!$A$2:$A$29,0))</f>
        <v>All Sectors</v>
      </c>
      <c r="AG259" t="str">
        <f>INDEX('Category Mapping'!$D$2:$D$29,MATCH('Source Data'!A259,'Category Mapping'!$A$2:$A$29,0))</f>
        <v>Total</v>
      </c>
    </row>
    <row r="260" spans="1:33" x14ac:dyDescent="0.25">
      <c r="A260" s="16" t="s">
        <v>105</v>
      </c>
      <c r="B260" s="17">
        <v>2019</v>
      </c>
      <c r="C260" s="17">
        <v>19</v>
      </c>
      <c r="D260" s="17" t="s">
        <v>208</v>
      </c>
      <c r="E260" s="17">
        <v>6</v>
      </c>
      <c r="F260" s="28">
        <v>526000000</v>
      </c>
      <c r="G260" s="28">
        <v>505000000</v>
      </c>
      <c r="H260" s="28">
        <v>497000000</v>
      </c>
      <c r="I260" s="28">
        <v>495000000</v>
      </c>
      <c r="J260" s="28">
        <v>500000000</v>
      </c>
      <c r="K260" s="28">
        <v>514000000</v>
      </c>
      <c r="L260" s="28">
        <v>542000000</v>
      </c>
      <c r="M260" s="28">
        <v>591000000</v>
      </c>
      <c r="N260" s="28">
        <v>630000000</v>
      </c>
      <c r="O260" s="28">
        <v>665000000</v>
      </c>
      <c r="P260" s="28">
        <v>689000000</v>
      </c>
      <c r="Q260" s="28">
        <v>709000000</v>
      </c>
      <c r="R260" s="28">
        <v>707000000</v>
      </c>
      <c r="S260" s="28">
        <v>695000000</v>
      </c>
      <c r="T260" s="28">
        <v>696000000</v>
      </c>
      <c r="U260" s="28">
        <v>694000000</v>
      </c>
      <c r="V260" s="28">
        <v>696000000</v>
      </c>
      <c r="W260" s="28">
        <v>692000000</v>
      </c>
      <c r="X260" s="28">
        <v>689000000</v>
      </c>
      <c r="Y260" s="28">
        <v>678000000</v>
      </c>
      <c r="Z260" s="28">
        <v>655000000</v>
      </c>
      <c r="AA260" s="28">
        <v>623000000</v>
      </c>
      <c r="AB260" s="28">
        <v>585000000</v>
      </c>
      <c r="AC260" s="29">
        <v>546000000</v>
      </c>
      <c r="AD260" t="str">
        <f t="shared" ref="AD260:AD290" si="4">IF(AND(E260&gt;=3,E260&lt;=5),"Spring",IF(AND(E260&gt;=6,E260&lt;=8),"Summer",IF(AND(E260&gt;=9,E260&lt;=10),"Fall","Winter")))</f>
        <v>Summer</v>
      </c>
      <c r="AE260" t="str">
        <f>INDEX('Category Mapping'!$B$2:$B$29,MATCH('Source Data'!A260,'Category Mapping'!$A$2:$A$29,0))</f>
        <v>Weekend</v>
      </c>
      <c r="AF260" t="str">
        <f>INDEX('Category Mapping'!$C$2:$C$29,MATCH('Source Data'!A260,'Category Mapping'!$A$2:$A$29,0))</f>
        <v>All Sectors</v>
      </c>
      <c r="AG260" t="str">
        <f>INDEX('Category Mapping'!$D$2:$D$29,MATCH('Source Data'!A260,'Category Mapping'!$A$2:$A$29,0))</f>
        <v>Total</v>
      </c>
    </row>
    <row r="261" spans="1:33" x14ac:dyDescent="0.25">
      <c r="A261" s="14" t="s">
        <v>105</v>
      </c>
      <c r="B261" s="15">
        <v>2019</v>
      </c>
      <c r="C261" s="15">
        <v>19</v>
      </c>
      <c r="D261" s="15" t="s">
        <v>208</v>
      </c>
      <c r="E261" s="15">
        <v>7</v>
      </c>
      <c r="F261" s="30">
        <v>600000000</v>
      </c>
      <c r="G261" s="30">
        <v>574000000</v>
      </c>
      <c r="H261" s="30">
        <v>564000000</v>
      </c>
      <c r="I261" s="30">
        <v>563000000</v>
      </c>
      <c r="J261" s="30">
        <v>573000000</v>
      </c>
      <c r="K261" s="30">
        <v>593000000</v>
      </c>
      <c r="L261" s="30">
        <v>626000000</v>
      </c>
      <c r="M261" s="30">
        <v>680000000</v>
      </c>
      <c r="N261" s="30">
        <v>723000000</v>
      </c>
      <c r="O261" s="30">
        <v>763000000</v>
      </c>
      <c r="P261" s="30">
        <v>790000000</v>
      </c>
      <c r="Q261" s="30">
        <v>814000000</v>
      </c>
      <c r="R261" s="30">
        <v>816000000</v>
      </c>
      <c r="S261" s="30">
        <v>806000000</v>
      </c>
      <c r="T261" s="30">
        <v>808000000</v>
      </c>
      <c r="U261" s="30">
        <v>805000000</v>
      </c>
      <c r="V261" s="30">
        <v>804000000</v>
      </c>
      <c r="W261" s="30">
        <v>798000000</v>
      </c>
      <c r="X261" s="30">
        <v>793000000</v>
      </c>
      <c r="Y261" s="30">
        <v>778000000</v>
      </c>
      <c r="Z261" s="30">
        <v>750000000</v>
      </c>
      <c r="AA261" s="30">
        <v>714000000</v>
      </c>
      <c r="AB261" s="30">
        <v>671000000</v>
      </c>
      <c r="AC261" s="31">
        <v>626000000</v>
      </c>
      <c r="AD261" t="str">
        <f t="shared" si="4"/>
        <v>Summer</v>
      </c>
      <c r="AE261" t="str">
        <f>INDEX('Category Mapping'!$B$2:$B$29,MATCH('Source Data'!A261,'Category Mapping'!$A$2:$A$29,0))</f>
        <v>Weekend</v>
      </c>
      <c r="AF261" t="str">
        <f>INDEX('Category Mapping'!$C$2:$C$29,MATCH('Source Data'!A261,'Category Mapping'!$A$2:$A$29,0))</f>
        <v>All Sectors</v>
      </c>
      <c r="AG261" t="str">
        <f>INDEX('Category Mapping'!$D$2:$D$29,MATCH('Source Data'!A261,'Category Mapping'!$A$2:$A$29,0))</f>
        <v>Total</v>
      </c>
    </row>
    <row r="262" spans="1:33" x14ac:dyDescent="0.25">
      <c r="A262" s="16" t="s">
        <v>105</v>
      </c>
      <c r="B262" s="17">
        <v>2019</v>
      </c>
      <c r="C262" s="17">
        <v>19</v>
      </c>
      <c r="D262" s="17" t="s">
        <v>208</v>
      </c>
      <c r="E262" s="17">
        <v>8</v>
      </c>
      <c r="F262" s="28">
        <v>630000000</v>
      </c>
      <c r="G262" s="28">
        <v>602000000</v>
      </c>
      <c r="H262" s="28">
        <v>592000000</v>
      </c>
      <c r="I262" s="28">
        <v>592000000</v>
      </c>
      <c r="J262" s="28">
        <v>603000000</v>
      </c>
      <c r="K262" s="28">
        <v>628000000</v>
      </c>
      <c r="L262" s="28">
        <v>664000000</v>
      </c>
      <c r="M262" s="28">
        <v>722000000</v>
      </c>
      <c r="N262" s="28">
        <v>770000000</v>
      </c>
      <c r="O262" s="28">
        <v>813000000</v>
      </c>
      <c r="P262" s="28">
        <v>844000000</v>
      </c>
      <c r="Q262" s="28">
        <v>872000000</v>
      </c>
      <c r="R262" s="28">
        <v>876000000</v>
      </c>
      <c r="S262" s="28">
        <v>868000000</v>
      </c>
      <c r="T262" s="28">
        <v>870000000</v>
      </c>
      <c r="U262" s="28">
        <v>867000000</v>
      </c>
      <c r="V262" s="28">
        <v>865000000</v>
      </c>
      <c r="W262" s="28">
        <v>859000000</v>
      </c>
      <c r="X262" s="28">
        <v>857000000</v>
      </c>
      <c r="Y262" s="28">
        <v>829000000</v>
      </c>
      <c r="Z262" s="28">
        <v>797000000</v>
      </c>
      <c r="AA262" s="28">
        <v>756000000</v>
      </c>
      <c r="AB262" s="28">
        <v>709000000</v>
      </c>
      <c r="AC262" s="29">
        <v>660000000</v>
      </c>
      <c r="AD262" t="str">
        <f t="shared" si="4"/>
        <v>Summer</v>
      </c>
      <c r="AE262" t="str">
        <f>INDEX('Category Mapping'!$B$2:$B$29,MATCH('Source Data'!A262,'Category Mapping'!$A$2:$A$29,0))</f>
        <v>Weekend</v>
      </c>
      <c r="AF262" t="str">
        <f>INDEX('Category Mapping'!$C$2:$C$29,MATCH('Source Data'!A262,'Category Mapping'!$A$2:$A$29,0))</f>
        <v>All Sectors</v>
      </c>
      <c r="AG262" t="str">
        <f>INDEX('Category Mapping'!$D$2:$D$29,MATCH('Source Data'!A262,'Category Mapping'!$A$2:$A$29,0))</f>
        <v>Total</v>
      </c>
    </row>
    <row r="263" spans="1:33" x14ac:dyDescent="0.25">
      <c r="A263" s="14" t="s">
        <v>105</v>
      </c>
      <c r="B263" s="15">
        <v>2019</v>
      </c>
      <c r="C263" s="15">
        <v>19</v>
      </c>
      <c r="D263" s="15" t="s">
        <v>208</v>
      </c>
      <c r="E263" s="15">
        <v>9</v>
      </c>
      <c r="F263" s="30">
        <v>519000000</v>
      </c>
      <c r="G263" s="30">
        <v>499000000</v>
      </c>
      <c r="H263" s="30">
        <v>492000000</v>
      </c>
      <c r="I263" s="30">
        <v>489000000</v>
      </c>
      <c r="J263" s="30">
        <v>493000000</v>
      </c>
      <c r="K263" s="30">
        <v>507000000</v>
      </c>
      <c r="L263" s="30">
        <v>532000000</v>
      </c>
      <c r="M263" s="30">
        <v>574000000</v>
      </c>
      <c r="N263" s="30">
        <v>610000000</v>
      </c>
      <c r="O263" s="30">
        <v>644000000</v>
      </c>
      <c r="P263" s="30">
        <v>667000000</v>
      </c>
      <c r="Q263" s="30">
        <v>686000000</v>
      </c>
      <c r="R263" s="30">
        <v>683000000</v>
      </c>
      <c r="S263" s="30">
        <v>671000000</v>
      </c>
      <c r="T263" s="30">
        <v>671000000</v>
      </c>
      <c r="U263" s="30">
        <v>669000000</v>
      </c>
      <c r="V263" s="30">
        <v>671000000</v>
      </c>
      <c r="W263" s="30">
        <v>677000000</v>
      </c>
      <c r="X263" s="30">
        <v>677000000</v>
      </c>
      <c r="Y263" s="30">
        <v>658000000</v>
      </c>
      <c r="Z263" s="30">
        <v>636000000</v>
      </c>
      <c r="AA263" s="30">
        <v>606000000</v>
      </c>
      <c r="AB263" s="30">
        <v>571000000</v>
      </c>
      <c r="AC263" s="31">
        <v>536000000</v>
      </c>
      <c r="AD263" t="str">
        <f t="shared" si="4"/>
        <v>Fall</v>
      </c>
      <c r="AE263" t="str">
        <f>INDEX('Category Mapping'!$B$2:$B$29,MATCH('Source Data'!A263,'Category Mapping'!$A$2:$A$29,0))</f>
        <v>Weekend</v>
      </c>
      <c r="AF263" t="str">
        <f>INDEX('Category Mapping'!$C$2:$C$29,MATCH('Source Data'!A263,'Category Mapping'!$A$2:$A$29,0))</f>
        <v>All Sectors</v>
      </c>
      <c r="AG263" t="str">
        <f>INDEX('Category Mapping'!$D$2:$D$29,MATCH('Source Data'!A263,'Category Mapping'!$A$2:$A$29,0))</f>
        <v>Total</v>
      </c>
    </row>
    <row r="264" spans="1:33" x14ac:dyDescent="0.25">
      <c r="A264" s="16" t="s">
        <v>105</v>
      </c>
      <c r="B264" s="17">
        <v>2019</v>
      </c>
      <c r="C264" s="17">
        <v>19</v>
      </c>
      <c r="D264" s="17" t="s">
        <v>208</v>
      </c>
      <c r="E264" s="17">
        <v>10</v>
      </c>
      <c r="F264" s="28">
        <v>495000000</v>
      </c>
      <c r="G264" s="28">
        <v>476000000</v>
      </c>
      <c r="H264" s="28">
        <v>468000000</v>
      </c>
      <c r="I264" s="28">
        <v>466000000</v>
      </c>
      <c r="J264" s="28">
        <v>470000000</v>
      </c>
      <c r="K264" s="28">
        <v>484000000</v>
      </c>
      <c r="L264" s="28">
        <v>515000000</v>
      </c>
      <c r="M264" s="28">
        <v>547000000</v>
      </c>
      <c r="N264" s="28">
        <v>572000000</v>
      </c>
      <c r="O264" s="28">
        <v>596000000</v>
      </c>
      <c r="P264" s="28">
        <v>610000000</v>
      </c>
      <c r="Q264" s="28">
        <v>619000000</v>
      </c>
      <c r="R264" s="28">
        <v>610000000</v>
      </c>
      <c r="S264" s="28">
        <v>594000000</v>
      </c>
      <c r="T264" s="28">
        <v>593000000</v>
      </c>
      <c r="U264" s="28">
        <v>592000000</v>
      </c>
      <c r="V264" s="28">
        <v>600000000</v>
      </c>
      <c r="W264" s="28">
        <v>621000000</v>
      </c>
      <c r="X264" s="28">
        <v>617000000</v>
      </c>
      <c r="Y264" s="28">
        <v>607000000</v>
      </c>
      <c r="Z264" s="28">
        <v>595000000</v>
      </c>
      <c r="AA264" s="28">
        <v>573000000</v>
      </c>
      <c r="AB264" s="28">
        <v>543000000</v>
      </c>
      <c r="AC264" s="29">
        <v>512000000</v>
      </c>
      <c r="AD264" t="str">
        <f t="shared" si="4"/>
        <v>Fall</v>
      </c>
      <c r="AE264" t="str">
        <f>INDEX('Category Mapping'!$B$2:$B$29,MATCH('Source Data'!A264,'Category Mapping'!$A$2:$A$29,0))</f>
        <v>Weekend</v>
      </c>
      <c r="AF264" t="str">
        <f>INDEX('Category Mapping'!$C$2:$C$29,MATCH('Source Data'!A264,'Category Mapping'!$A$2:$A$29,0))</f>
        <v>All Sectors</v>
      </c>
      <c r="AG264" t="str">
        <f>INDEX('Category Mapping'!$D$2:$D$29,MATCH('Source Data'!A264,'Category Mapping'!$A$2:$A$29,0))</f>
        <v>Total</v>
      </c>
    </row>
    <row r="265" spans="1:33" x14ac:dyDescent="0.25">
      <c r="A265" s="14" t="s">
        <v>105</v>
      </c>
      <c r="B265" s="15">
        <v>2019</v>
      </c>
      <c r="C265" s="15">
        <v>19</v>
      </c>
      <c r="D265" s="15" t="s">
        <v>208</v>
      </c>
      <c r="E265" s="15">
        <v>11</v>
      </c>
      <c r="F265" s="30">
        <v>508000000</v>
      </c>
      <c r="G265" s="30">
        <v>488000000</v>
      </c>
      <c r="H265" s="30">
        <v>480000000</v>
      </c>
      <c r="I265" s="30">
        <v>478000000</v>
      </c>
      <c r="J265" s="30">
        <v>482000000</v>
      </c>
      <c r="K265" s="30">
        <v>496000000</v>
      </c>
      <c r="L265" s="30">
        <v>527000000</v>
      </c>
      <c r="M265" s="30">
        <v>571000000</v>
      </c>
      <c r="N265" s="30">
        <v>593000000</v>
      </c>
      <c r="O265" s="30">
        <v>616000000</v>
      </c>
      <c r="P265" s="30">
        <v>628000000</v>
      </c>
      <c r="Q265" s="30">
        <v>635000000</v>
      </c>
      <c r="R265" s="30">
        <v>624000000</v>
      </c>
      <c r="S265" s="30">
        <v>607000000</v>
      </c>
      <c r="T265" s="30">
        <v>606000000</v>
      </c>
      <c r="U265" s="30">
        <v>605000000</v>
      </c>
      <c r="V265" s="30">
        <v>621000000</v>
      </c>
      <c r="W265" s="30">
        <v>638000000</v>
      </c>
      <c r="X265" s="30">
        <v>635000000</v>
      </c>
      <c r="Y265" s="30">
        <v>624000000</v>
      </c>
      <c r="Z265" s="30">
        <v>612000000</v>
      </c>
      <c r="AA265" s="30">
        <v>590000000</v>
      </c>
      <c r="AB265" s="30">
        <v>559000000</v>
      </c>
      <c r="AC265" s="31">
        <v>526000000</v>
      </c>
      <c r="AD265" t="str">
        <f t="shared" si="4"/>
        <v>Winter</v>
      </c>
      <c r="AE265" t="str">
        <f>INDEX('Category Mapping'!$B$2:$B$29,MATCH('Source Data'!A265,'Category Mapping'!$A$2:$A$29,0))</f>
        <v>Weekend</v>
      </c>
      <c r="AF265" t="str">
        <f>INDEX('Category Mapping'!$C$2:$C$29,MATCH('Source Data'!A265,'Category Mapping'!$A$2:$A$29,0))</f>
        <v>All Sectors</v>
      </c>
      <c r="AG265" t="str">
        <f>INDEX('Category Mapping'!$D$2:$D$29,MATCH('Source Data'!A265,'Category Mapping'!$A$2:$A$29,0))</f>
        <v>Total</v>
      </c>
    </row>
    <row r="266" spans="1:33" x14ac:dyDescent="0.25">
      <c r="A266" s="16" t="s">
        <v>105</v>
      </c>
      <c r="B266" s="17">
        <v>2019</v>
      </c>
      <c r="C266" s="17">
        <v>19</v>
      </c>
      <c r="D266" s="17" t="s">
        <v>208</v>
      </c>
      <c r="E266" s="17">
        <v>12</v>
      </c>
      <c r="F266" s="28">
        <v>496000000</v>
      </c>
      <c r="G266" s="28">
        <v>476000000</v>
      </c>
      <c r="H266" s="28">
        <v>467000000</v>
      </c>
      <c r="I266" s="28">
        <v>465000000</v>
      </c>
      <c r="J266" s="28">
        <v>469000000</v>
      </c>
      <c r="K266" s="28">
        <v>483000000</v>
      </c>
      <c r="L266" s="28">
        <v>513000000</v>
      </c>
      <c r="M266" s="28">
        <v>573000000</v>
      </c>
      <c r="N266" s="28">
        <v>594000000</v>
      </c>
      <c r="O266" s="28">
        <v>614000000</v>
      </c>
      <c r="P266" s="28">
        <v>624000000</v>
      </c>
      <c r="Q266" s="28">
        <v>629000000</v>
      </c>
      <c r="R266" s="28">
        <v>618000000</v>
      </c>
      <c r="S266" s="28">
        <v>599000000</v>
      </c>
      <c r="T266" s="28">
        <v>597000000</v>
      </c>
      <c r="U266" s="28">
        <v>596000000</v>
      </c>
      <c r="V266" s="28">
        <v>624000000</v>
      </c>
      <c r="W266" s="28">
        <v>630000000</v>
      </c>
      <c r="X266" s="28">
        <v>630000000</v>
      </c>
      <c r="Y266" s="28">
        <v>613000000</v>
      </c>
      <c r="Z266" s="28">
        <v>602000000</v>
      </c>
      <c r="AA266" s="28">
        <v>580000000</v>
      </c>
      <c r="AB266" s="28">
        <v>550000000</v>
      </c>
      <c r="AC266" s="29">
        <v>515000000</v>
      </c>
      <c r="AD266" t="str">
        <f t="shared" si="4"/>
        <v>Winter</v>
      </c>
      <c r="AE266" t="str">
        <f>INDEX('Category Mapping'!$B$2:$B$29,MATCH('Source Data'!A266,'Category Mapping'!$A$2:$A$29,0))</f>
        <v>Weekend</v>
      </c>
      <c r="AF266" t="str">
        <f>INDEX('Category Mapping'!$C$2:$C$29,MATCH('Source Data'!A266,'Category Mapping'!$A$2:$A$29,0))</f>
        <v>All Sectors</v>
      </c>
      <c r="AG266" t="str">
        <f>INDEX('Category Mapping'!$D$2:$D$29,MATCH('Source Data'!A266,'Category Mapping'!$A$2:$A$29,0))</f>
        <v>Total</v>
      </c>
    </row>
    <row r="267" spans="1:33" x14ac:dyDescent="0.25">
      <c r="A267" s="14" t="s">
        <v>106</v>
      </c>
      <c r="B267" s="15">
        <v>2019</v>
      </c>
      <c r="C267" s="15">
        <v>19</v>
      </c>
      <c r="D267" s="15" t="s">
        <v>208</v>
      </c>
      <c r="E267" s="15">
        <v>1</v>
      </c>
      <c r="F267" s="30">
        <v>5047694</v>
      </c>
      <c r="G267" s="30">
        <v>4979874</v>
      </c>
      <c r="H267" s="30">
        <v>4962456</v>
      </c>
      <c r="I267" s="30">
        <v>4978492</v>
      </c>
      <c r="J267" s="30">
        <v>4961019</v>
      </c>
      <c r="K267" s="30">
        <v>5094226</v>
      </c>
      <c r="L267" s="30">
        <v>7632037</v>
      </c>
      <c r="M267" s="30">
        <v>16000000</v>
      </c>
      <c r="N267" s="30">
        <v>17400000</v>
      </c>
      <c r="O267" s="30">
        <v>15400000</v>
      </c>
      <c r="P267" s="30">
        <v>12400000</v>
      </c>
      <c r="Q267" s="30">
        <v>12500000</v>
      </c>
      <c r="R267" s="30">
        <v>12700000</v>
      </c>
      <c r="S267" s="30">
        <v>12600000</v>
      </c>
      <c r="T267" s="30">
        <v>12500000</v>
      </c>
      <c r="U267" s="30">
        <v>14800000</v>
      </c>
      <c r="V267" s="30">
        <v>17100000</v>
      </c>
      <c r="W267" s="30">
        <v>18000000</v>
      </c>
      <c r="X267" s="30">
        <v>16500000</v>
      </c>
      <c r="Y267" s="30">
        <v>13500000</v>
      </c>
      <c r="Z267" s="30">
        <v>12400000</v>
      </c>
      <c r="AA267" s="30">
        <v>11700000</v>
      </c>
      <c r="AB267" s="30">
        <v>11100000</v>
      </c>
      <c r="AC267" s="31">
        <v>7452133</v>
      </c>
      <c r="AD267" t="str">
        <f t="shared" si="4"/>
        <v>Winter</v>
      </c>
      <c r="AE267" t="str">
        <f>INDEX('Category Mapping'!$B$2:$B$29,MATCH('Source Data'!A267,'Category Mapping'!$A$2:$A$29,0))</f>
        <v>Weekday</v>
      </c>
      <c r="AF267" t="str">
        <f>INDEX('Category Mapping'!$C$2:$C$29,MATCH('Source Data'!A267,'Category Mapping'!$A$2:$A$29,0))</f>
        <v>Transportation</v>
      </c>
      <c r="AG267" t="str">
        <f>INDEX('Category Mapping'!$D$2:$D$29,MATCH('Source Data'!A267,'Category Mapping'!$A$2:$A$29,0))</f>
        <v>Transportation</v>
      </c>
    </row>
    <row r="268" spans="1:33" x14ac:dyDescent="0.25">
      <c r="A268" s="16" t="s">
        <v>106</v>
      </c>
      <c r="B268" s="17">
        <v>2019</v>
      </c>
      <c r="C268" s="17">
        <v>19</v>
      </c>
      <c r="D268" s="17" t="s">
        <v>208</v>
      </c>
      <c r="E268" s="17">
        <v>2</v>
      </c>
      <c r="F268" s="28">
        <v>4913547</v>
      </c>
      <c r="G268" s="28">
        <v>4845727</v>
      </c>
      <c r="H268" s="28">
        <v>4828309</v>
      </c>
      <c r="I268" s="28">
        <v>4844345</v>
      </c>
      <c r="J268" s="28">
        <v>4826872</v>
      </c>
      <c r="K268" s="28">
        <v>4960079</v>
      </c>
      <c r="L268" s="28">
        <v>7438962</v>
      </c>
      <c r="M268" s="28">
        <v>15600000</v>
      </c>
      <c r="N268" s="28">
        <v>17000000</v>
      </c>
      <c r="O268" s="28">
        <v>15100000</v>
      </c>
      <c r="P268" s="28">
        <v>12100000</v>
      </c>
      <c r="Q268" s="28">
        <v>12200000</v>
      </c>
      <c r="R268" s="28">
        <v>12400000</v>
      </c>
      <c r="S268" s="28">
        <v>12300000</v>
      </c>
      <c r="T268" s="28">
        <v>12200000</v>
      </c>
      <c r="U268" s="28">
        <v>14500000</v>
      </c>
      <c r="V268" s="28">
        <v>16700000</v>
      </c>
      <c r="W268" s="28">
        <v>17600000</v>
      </c>
      <c r="X268" s="28">
        <v>16200000</v>
      </c>
      <c r="Y268" s="28">
        <v>13200000</v>
      </c>
      <c r="Z268" s="28">
        <v>12100000</v>
      </c>
      <c r="AA268" s="28">
        <v>11400000</v>
      </c>
      <c r="AB268" s="28">
        <v>10800000</v>
      </c>
      <c r="AC268" s="29">
        <v>7259058</v>
      </c>
      <c r="AD268" t="str">
        <f t="shared" si="4"/>
        <v>Winter</v>
      </c>
      <c r="AE268" t="str">
        <f>INDEX('Category Mapping'!$B$2:$B$29,MATCH('Source Data'!A268,'Category Mapping'!$A$2:$A$29,0))</f>
        <v>Weekday</v>
      </c>
      <c r="AF268" t="str">
        <f>INDEX('Category Mapping'!$C$2:$C$29,MATCH('Source Data'!A268,'Category Mapping'!$A$2:$A$29,0))</f>
        <v>Transportation</v>
      </c>
      <c r="AG268" t="str">
        <f>INDEX('Category Mapping'!$D$2:$D$29,MATCH('Source Data'!A268,'Category Mapping'!$A$2:$A$29,0))</f>
        <v>Transportation</v>
      </c>
    </row>
    <row r="269" spans="1:33" x14ac:dyDescent="0.25">
      <c r="A269" s="14" t="s">
        <v>106</v>
      </c>
      <c r="B269" s="15">
        <v>2019</v>
      </c>
      <c r="C269" s="15">
        <v>19</v>
      </c>
      <c r="D269" s="15" t="s">
        <v>208</v>
      </c>
      <c r="E269" s="15">
        <v>3</v>
      </c>
      <c r="F269" s="30">
        <v>4779367</v>
      </c>
      <c r="G269" s="30">
        <v>4711547</v>
      </c>
      <c r="H269" s="30">
        <v>4694129</v>
      </c>
      <c r="I269" s="30">
        <v>4710164</v>
      </c>
      <c r="J269" s="30">
        <v>4692691</v>
      </c>
      <c r="K269" s="30">
        <v>4825898</v>
      </c>
      <c r="L269" s="30">
        <v>7245839</v>
      </c>
      <c r="M269" s="30">
        <v>15300000</v>
      </c>
      <c r="N269" s="30">
        <v>16600000</v>
      </c>
      <c r="O269" s="30">
        <v>14700000</v>
      </c>
      <c r="P269" s="30">
        <v>11900000</v>
      </c>
      <c r="Q269" s="30">
        <v>11900000</v>
      </c>
      <c r="R269" s="30">
        <v>12100000</v>
      </c>
      <c r="S269" s="30">
        <v>12100000</v>
      </c>
      <c r="T269" s="30">
        <v>11900000</v>
      </c>
      <c r="U269" s="30">
        <v>14100000</v>
      </c>
      <c r="V269" s="30">
        <v>16300000</v>
      </c>
      <c r="W269" s="30">
        <v>17200000</v>
      </c>
      <c r="X269" s="30">
        <v>15900000</v>
      </c>
      <c r="Y269" s="30">
        <v>12900000</v>
      </c>
      <c r="Z269" s="30">
        <v>11900000</v>
      </c>
      <c r="AA269" s="30">
        <v>11100000</v>
      </c>
      <c r="AB269" s="30">
        <v>10500000</v>
      </c>
      <c r="AC269" s="31">
        <v>7065935</v>
      </c>
      <c r="AD269" t="str">
        <f t="shared" si="4"/>
        <v>Spring</v>
      </c>
      <c r="AE269" t="str">
        <f>INDEX('Category Mapping'!$B$2:$B$29,MATCH('Source Data'!A269,'Category Mapping'!$A$2:$A$29,0))</f>
        <v>Weekday</v>
      </c>
      <c r="AF269" t="str">
        <f>INDEX('Category Mapping'!$C$2:$C$29,MATCH('Source Data'!A269,'Category Mapping'!$A$2:$A$29,0))</f>
        <v>Transportation</v>
      </c>
      <c r="AG269" t="str">
        <f>INDEX('Category Mapping'!$D$2:$D$29,MATCH('Source Data'!A269,'Category Mapping'!$A$2:$A$29,0))</f>
        <v>Transportation</v>
      </c>
    </row>
    <row r="270" spans="1:33" x14ac:dyDescent="0.25">
      <c r="A270" s="16" t="s">
        <v>106</v>
      </c>
      <c r="B270" s="17">
        <v>2019</v>
      </c>
      <c r="C270" s="17">
        <v>19</v>
      </c>
      <c r="D270" s="17" t="s">
        <v>208</v>
      </c>
      <c r="E270" s="17">
        <v>4</v>
      </c>
      <c r="F270" s="28">
        <v>4642425</v>
      </c>
      <c r="G270" s="28">
        <v>4574605</v>
      </c>
      <c r="H270" s="28">
        <v>4557187</v>
      </c>
      <c r="I270" s="28">
        <v>4573223</v>
      </c>
      <c r="J270" s="28">
        <v>4555750</v>
      </c>
      <c r="K270" s="28">
        <v>4688957</v>
      </c>
      <c r="L270" s="28">
        <v>7048742</v>
      </c>
      <c r="M270" s="28">
        <v>14900000</v>
      </c>
      <c r="N270" s="28">
        <v>16200000</v>
      </c>
      <c r="O270" s="28">
        <v>14400000</v>
      </c>
      <c r="P270" s="28">
        <v>11600000</v>
      </c>
      <c r="Q270" s="28">
        <v>11600000</v>
      </c>
      <c r="R270" s="28">
        <v>11800000</v>
      </c>
      <c r="S270" s="28">
        <v>11800000</v>
      </c>
      <c r="T270" s="28">
        <v>11600000</v>
      </c>
      <c r="U270" s="28">
        <v>13800000</v>
      </c>
      <c r="V270" s="28">
        <v>15900000</v>
      </c>
      <c r="W270" s="28">
        <v>16800000</v>
      </c>
      <c r="X270" s="28">
        <v>15500000</v>
      </c>
      <c r="Y270" s="28">
        <v>12700000</v>
      </c>
      <c r="Z270" s="28">
        <v>11600000</v>
      </c>
      <c r="AA270" s="28">
        <v>10800000</v>
      </c>
      <c r="AB270" s="28">
        <v>10200000</v>
      </c>
      <c r="AC270" s="29">
        <v>6868838</v>
      </c>
      <c r="AD270" t="str">
        <f t="shared" si="4"/>
        <v>Spring</v>
      </c>
      <c r="AE270" t="str">
        <f>INDEX('Category Mapping'!$B$2:$B$29,MATCH('Source Data'!A270,'Category Mapping'!$A$2:$A$29,0))</f>
        <v>Weekday</v>
      </c>
      <c r="AF270" t="str">
        <f>INDEX('Category Mapping'!$C$2:$C$29,MATCH('Source Data'!A270,'Category Mapping'!$A$2:$A$29,0))</f>
        <v>Transportation</v>
      </c>
      <c r="AG270" t="str">
        <f>INDEX('Category Mapping'!$D$2:$D$29,MATCH('Source Data'!A270,'Category Mapping'!$A$2:$A$29,0))</f>
        <v>Transportation</v>
      </c>
    </row>
    <row r="271" spans="1:33" x14ac:dyDescent="0.25">
      <c r="A271" s="14" t="s">
        <v>106</v>
      </c>
      <c r="B271" s="15">
        <v>2019</v>
      </c>
      <c r="C271" s="15">
        <v>19</v>
      </c>
      <c r="D271" s="15" t="s">
        <v>208</v>
      </c>
      <c r="E271" s="15">
        <v>5</v>
      </c>
      <c r="F271" s="30">
        <v>4497066</v>
      </c>
      <c r="G271" s="30">
        <v>4429246</v>
      </c>
      <c r="H271" s="30">
        <v>4411828</v>
      </c>
      <c r="I271" s="30">
        <v>4427863</v>
      </c>
      <c r="J271" s="30">
        <v>4410390</v>
      </c>
      <c r="K271" s="30">
        <v>4543597</v>
      </c>
      <c r="L271" s="30">
        <v>6839529</v>
      </c>
      <c r="M271" s="30">
        <v>14400000</v>
      </c>
      <c r="N271" s="30">
        <v>15800000</v>
      </c>
      <c r="O271" s="30">
        <v>14000000</v>
      </c>
      <c r="P271" s="30">
        <v>11300000</v>
      </c>
      <c r="Q271" s="30">
        <v>11300000</v>
      </c>
      <c r="R271" s="30">
        <v>11500000</v>
      </c>
      <c r="S271" s="30">
        <v>11500000</v>
      </c>
      <c r="T271" s="30">
        <v>11300000</v>
      </c>
      <c r="U271" s="30">
        <v>13400000</v>
      </c>
      <c r="V271" s="30">
        <v>15500000</v>
      </c>
      <c r="W271" s="30">
        <v>16400000</v>
      </c>
      <c r="X271" s="30">
        <v>15100000</v>
      </c>
      <c r="Y271" s="30">
        <v>12300000</v>
      </c>
      <c r="Z271" s="30">
        <v>11200000</v>
      </c>
      <c r="AA271" s="30">
        <v>10500000</v>
      </c>
      <c r="AB271" s="30">
        <v>9890570</v>
      </c>
      <c r="AC271" s="31">
        <v>6659625</v>
      </c>
      <c r="AD271" t="str">
        <f t="shared" si="4"/>
        <v>Spring</v>
      </c>
      <c r="AE271" t="str">
        <f>INDEX('Category Mapping'!$B$2:$B$29,MATCH('Source Data'!A271,'Category Mapping'!$A$2:$A$29,0))</f>
        <v>Weekday</v>
      </c>
      <c r="AF271" t="str">
        <f>INDEX('Category Mapping'!$C$2:$C$29,MATCH('Source Data'!A271,'Category Mapping'!$A$2:$A$29,0))</f>
        <v>Transportation</v>
      </c>
      <c r="AG271" t="str">
        <f>INDEX('Category Mapping'!$D$2:$D$29,MATCH('Source Data'!A271,'Category Mapping'!$A$2:$A$29,0))</f>
        <v>Transportation</v>
      </c>
    </row>
    <row r="272" spans="1:33" x14ac:dyDescent="0.25">
      <c r="A272" s="16" t="s">
        <v>106</v>
      </c>
      <c r="B272" s="17">
        <v>2019</v>
      </c>
      <c r="C272" s="17">
        <v>19</v>
      </c>
      <c r="D272" s="17" t="s">
        <v>208</v>
      </c>
      <c r="E272" s="17">
        <v>6</v>
      </c>
      <c r="F272" s="28">
        <v>4351740</v>
      </c>
      <c r="G272" s="28">
        <v>4283920</v>
      </c>
      <c r="H272" s="28">
        <v>4266502</v>
      </c>
      <c r="I272" s="28">
        <v>4282538</v>
      </c>
      <c r="J272" s="28">
        <v>4265065</v>
      </c>
      <c r="K272" s="28">
        <v>4398272</v>
      </c>
      <c r="L272" s="28">
        <v>6630364</v>
      </c>
      <c r="M272" s="28">
        <v>14000000</v>
      </c>
      <c r="N272" s="28">
        <v>15400000</v>
      </c>
      <c r="O272" s="28">
        <v>13600000</v>
      </c>
      <c r="P272" s="28">
        <v>10900000</v>
      </c>
      <c r="Q272" s="28">
        <v>11000000</v>
      </c>
      <c r="R272" s="28">
        <v>11200000</v>
      </c>
      <c r="S272" s="28">
        <v>11100000</v>
      </c>
      <c r="T272" s="28">
        <v>11000000</v>
      </c>
      <c r="U272" s="28">
        <v>13000000</v>
      </c>
      <c r="V272" s="28">
        <v>15100000</v>
      </c>
      <c r="W272" s="28">
        <v>16000000</v>
      </c>
      <c r="X272" s="28">
        <v>14800000</v>
      </c>
      <c r="Y272" s="28">
        <v>12000000</v>
      </c>
      <c r="Z272" s="28">
        <v>10900000</v>
      </c>
      <c r="AA272" s="28">
        <v>10200000</v>
      </c>
      <c r="AB272" s="28">
        <v>9578769</v>
      </c>
      <c r="AC272" s="29">
        <v>6450460</v>
      </c>
      <c r="AD272" t="str">
        <f t="shared" si="4"/>
        <v>Summer</v>
      </c>
      <c r="AE272" t="str">
        <f>INDEX('Category Mapping'!$B$2:$B$29,MATCH('Source Data'!A272,'Category Mapping'!$A$2:$A$29,0))</f>
        <v>Weekday</v>
      </c>
      <c r="AF272" t="str">
        <f>INDEX('Category Mapping'!$C$2:$C$29,MATCH('Source Data'!A272,'Category Mapping'!$A$2:$A$29,0))</f>
        <v>Transportation</v>
      </c>
      <c r="AG272" t="str">
        <f>INDEX('Category Mapping'!$D$2:$D$29,MATCH('Source Data'!A272,'Category Mapping'!$A$2:$A$29,0))</f>
        <v>Transportation</v>
      </c>
    </row>
    <row r="273" spans="1:33" x14ac:dyDescent="0.25">
      <c r="A273" s="14" t="s">
        <v>106</v>
      </c>
      <c r="B273" s="15">
        <v>2019</v>
      </c>
      <c r="C273" s="15">
        <v>19</v>
      </c>
      <c r="D273" s="15" t="s">
        <v>208</v>
      </c>
      <c r="E273" s="15">
        <v>7</v>
      </c>
      <c r="F273" s="30">
        <v>4242712</v>
      </c>
      <c r="G273" s="30">
        <v>4174892</v>
      </c>
      <c r="H273" s="30">
        <v>4157474</v>
      </c>
      <c r="I273" s="30">
        <v>4173510</v>
      </c>
      <c r="J273" s="30">
        <v>4156036</v>
      </c>
      <c r="K273" s="30">
        <v>4289243</v>
      </c>
      <c r="L273" s="30">
        <v>6473443</v>
      </c>
      <c r="M273" s="30">
        <v>13700000</v>
      </c>
      <c r="N273" s="30">
        <v>15100000</v>
      </c>
      <c r="O273" s="30">
        <v>13400000</v>
      </c>
      <c r="P273" s="30">
        <v>10700000</v>
      </c>
      <c r="Q273" s="30">
        <v>10700000</v>
      </c>
      <c r="R273" s="30">
        <v>11000000</v>
      </c>
      <c r="S273" s="30">
        <v>10900000</v>
      </c>
      <c r="T273" s="30">
        <v>10700000</v>
      </c>
      <c r="U273" s="30">
        <v>12700000</v>
      </c>
      <c r="V273" s="30">
        <v>14800000</v>
      </c>
      <c r="W273" s="30">
        <v>15700000</v>
      </c>
      <c r="X273" s="30">
        <v>14500000</v>
      </c>
      <c r="Y273" s="30">
        <v>11800000</v>
      </c>
      <c r="Z273" s="30">
        <v>10700000</v>
      </c>
      <c r="AA273" s="30">
        <v>9965456</v>
      </c>
      <c r="AB273" s="30">
        <v>9344846</v>
      </c>
      <c r="AC273" s="31">
        <v>6293539</v>
      </c>
      <c r="AD273" t="str">
        <f t="shared" si="4"/>
        <v>Summer</v>
      </c>
      <c r="AE273" t="str">
        <f>INDEX('Category Mapping'!$B$2:$B$29,MATCH('Source Data'!A273,'Category Mapping'!$A$2:$A$29,0))</f>
        <v>Weekday</v>
      </c>
      <c r="AF273" t="str">
        <f>INDEX('Category Mapping'!$C$2:$C$29,MATCH('Source Data'!A273,'Category Mapping'!$A$2:$A$29,0))</f>
        <v>Transportation</v>
      </c>
      <c r="AG273" t="str">
        <f>INDEX('Category Mapping'!$D$2:$D$29,MATCH('Source Data'!A273,'Category Mapping'!$A$2:$A$29,0))</f>
        <v>Transportation</v>
      </c>
    </row>
    <row r="274" spans="1:33" x14ac:dyDescent="0.25">
      <c r="A274" s="16" t="s">
        <v>106</v>
      </c>
      <c r="B274" s="17">
        <v>2019</v>
      </c>
      <c r="C274" s="17">
        <v>19</v>
      </c>
      <c r="D274" s="17" t="s">
        <v>208</v>
      </c>
      <c r="E274" s="17">
        <v>8</v>
      </c>
      <c r="F274" s="28">
        <v>4393661</v>
      </c>
      <c r="G274" s="28">
        <v>4325841</v>
      </c>
      <c r="H274" s="28">
        <v>4308423</v>
      </c>
      <c r="I274" s="28">
        <v>4324459</v>
      </c>
      <c r="J274" s="28">
        <v>4306986</v>
      </c>
      <c r="K274" s="28">
        <v>4440193</v>
      </c>
      <c r="L274" s="28">
        <v>6690700</v>
      </c>
      <c r="M274" s="28">
        <v>14100000</v>
      </c>
      <c r="N274" s="28">
        <v>15500000</v>
      </c>
      <c r="O274" s="28">
        <v>13700000</v>
      </c>
      <c r="P274" s="28">
        <v>11000000</v>
      </c>
      <c r="Q274" s="28">
        <v>11100000</v>
      </c>
      <c r="R274" s="28">
        <v>11300000</v>
      </c>
      <c r="S274" s="28">
        <v>11200000</v>
      </c>
      <c r="T274" s="28">
        <v>11100000</v>
      </c>
      <c r="U274" s="28">
        <v>13100000</v>
      </c>
      <c r="V274" s="28">
        <v>15200000</v>
      </c>
      <c r="W274" s="28">
        <v>16100000</v>
      </c>
      <c r="X274" s="28">
        <v>14900000</v>
      </c>
      <c r="Y274" s="28">
        <v>12100000</v>
      </c>
      <c r="Z274" s="28">
        <v>11000000</v>
      </c>
      <c r="AA274" s="28">
        <v>10300000</v>
      </c>
      <c r="AB274" s="28">
        <v>9668711</v>
      </c>
      <c r="AC274" s="29">
        <v>6510796</v>
      </c>
      <c r="AD274" t="str">
        <f t="shared" si="4"/>
        <v>Summer</v>
      </c>
      <c r="AE274" t="str">
        <f>INDEX('Category Mapping'!$B$2:$B$29,MATCH('Source Data'!A274,'Category Mapping'!$A$2:$A$29,0))</f>
        <v>Weekday</v>
      </c>
      <c r="AF274" t="str">
        <f>INDEX('Category Mapping'!$C$2:$C$29,MATCH('Source Data'!A274,'Category Mapping'!$A$2:$A$29,0))</f>
        <v>Transportation</v>
      </c>
      <c r="AG274" t="str">
        <f>INDEX('Category Mapping'!$D$2:$D$29,MATCH('Source Data'!A274,'Category Mapping'!$A$2:$A$29,0))</f>
        <v>Transportation</v>
      </c>
    </row>
    <row r="275" spans="1:33" x14ac:dyDescent="0.25">
      <c r="A275" s="14" t="s">
        <v>106</v>
      </c>
      <c r="B275" s="15">
        <v>2019</v>
      </c>
      <c r="C275" s="15">
        <v>19</v>
      </c>
      <c r="D275" s="15" t="s">
        <v>208</v>
      </c>
      <c r="E275" s="15">
        <v>9</v>
      </c>
      <c r="F275" s="30">
        <v>4594915</v>
      </c>
      <c r="G275" s="30">
        <v>4527095</v>
      </c>
      <c r="H275" s="30">
        <v>4509677</v>
      </c>
      <c r="I275" s="30">
        <v>4525713</v>
      </c>
      <c r="J275" s="30">
        <v>4508240</v>
      </c>
      <c r="K275" s="30">
        <v>4641447</v>
      </c>
      <c r="L275" s="30">
        <v>6980362</v>
      </c>
      <c r="M275" s="30">
        <v>14700000</v>
      </c>
      <c r="N275" s="30">
        <v>16100000</v>
      </c>
      <c r="O275" s="30">
        <v>14300000</v>
      </c>
      <c r="P275" s="30">
        <v>11500000</v>
      </c>
      <c r="Q275" s="30">
        <v>11500000</v>
      </c>
      <c r="R275" s="30">
        <v>11700000</v>
      </c>
      <c r="S275" s="30">
        <v>11700000</v>
      </c>
      <c r="T275" s="30">
        <v>11500000</v>
      </c>
      <c r="U275" s="30">
        <v>13700000</v>
      </c>
      <c r="V275" s="30">
        <v>15800000</v>
      </c>
      <c r="W275" s="30">
        <v>16700000</v>
      </c>
      <c r="X275" s="30">
        <v>15400000</v>
      </c>
      <c r="Y275" s="30">
        <v>12500000</v>
      </c>
      <c r="Z275" s="30">
        <v>11500000</v>
      </c>
      <c r="AA275" s="30">
        <v>10700000</v>
      </c>
      <c r="AB275" s="30">
        <v>10100000</v>
      </c>
      <c r="AC275" s="31">
        <v>6800458</v>
      </c>
      <c r="AD275" t="str">
        <f t="shared" si="4"/>
        <v>Fall</v>
      </c>
      <c r="AE275" t="str">
        <f>INDEX('Category Mapping'!$B$2:$B$29,MATCH('Source Data'!A275,'Category Mapping'!$A$2:$A$29,0))</f>
        <v>Weekday</v>
      </c>
      <c r="AF275" t="str">
        <f>INDEX('Category Mapping'!$C$2:$C$29,MATCH('Source Data'!A275,'Category Mapping'!$A$2:$A$29,0))</f>
        <v>Transportation</v>
      </c>
      <c r="AG275" t="str">
        <f>INDEX('Category Mapping'!$D$2:$D$29,MATCH('Source Data'!A275,'Category Mapping'!$A$2:$A$29,0))</f>
        <v>Transportation</v>
      </c>
    </row>
    <row r="276" spans="1:33" x14ac:dyDescent="0.25">
      <c r="A276" s="16" t="s">
        <v>106</v>
      </c>
      <c r="B276" s="17">
        <v>2019</v>
      </c>
      <c r="C276" s="17">
        <v>19</v>
      </c>
      <c r="D276" s="17" t="s">
        <v>208</v>
      </c>
      <c r="E276" s="17">
        <v>10</v>
      </c>
      <c r="F276" s="28">
        <v>4846474</v>
      </c>
      <c r="G276" s="28">
        <v>4778654</v>
      </c>
      <c r="H276" s="28">
        <v>4761236</v>
      </c>
      <c r="I276" s="28">
        <v>4777272</v>
      </c>
      <c r="J276" s="28">
        <v>4759799</v>
      </c>
      <c r="K276" s="28">
        <v>4893006</v>
      </c>
      <c r="L276" s="28">
        <v>7342425</v>
      </c>
      <c r="M276" s="28">
        <v>15400000</v>
      </c>
      <c r="N276" s="28">
        <v>16800000</v>
      </c>
      <c r="O276" s="28">
        <v>14900000</v>
      </c>
      <c r="P276" s="28">
        <v>12000000</v>
      </c>
      <c r="Q276" s="28">
        <v>12000000</v>
      </c>
      <c r="R276" s="28">
        <v>12300000</v>
      </c>
      <c r="S276" s="28">
        <v>12200000</v>
      </c>
      <c r="T276" s="28">
        <v>12000000</v>
      </c>
      <c r="U276" s="28">
        <v>14300000</v>
      </c>
      <c r="V276" s="28">
        <v>16500000</v>
      </c>
      <c r="W276" s="28">
        <v>17400000</v>
      </c>
      <c r="X276" s="28">
        <v>16000000</v>
      </c>
      <c r="Y276" s="28">
        <v>13100000</v>
      </c>
      <c r="Z276" s="28">
        <v>12000000</v>
      </c>
      <c r="AA276" s="28">
        <v>11300000</v>
      </c>
      <c r="AB276" s="28">
        <v>10600000</v>
      </c>
      <c r="AC276" s="29">
        <v>7162521</v>
      </c>
      <c r="AD276" t="str">
        <f t="shared" si="4"/>
        <v>Fall</v>
      </c>
      <c r="AE276" t="str">
        <f>INDEX('Category Mapping'!$B$2:$B$29,MATCH('Source Data'!A276,'Category Mapping'!$A$2:$A$29,0))</f>
        <v>Weekday</v>
      </c>
      <c r="AF276" t="str">
        <f>INDEX('Category Mapping'!$C$2:$C$29,MATCH('Source Data'!A276,'Category Mapping'!$A$2:$A$29,0))</f>
        <v>Transportation</v>
      </c>
      <c r="AG276" t="str">
        <f>INDEX('Category Mapping'!$D$2:$D$29,MATCH('Source Data'!A276,'Category Mapping'!$A$2:$A$29,0))</f>
        <v>Transportation</v>
      </c>
    </row>
    <row r="277" spans="1:33" x14ac:dyDescent="0.25">
      <c r="A277" s="14" t="s">
        <v>106</v>
      </c>
      <c r="B277" s="15">
        <v>2019</v>
      </c>
      <c r="C277" s="15">
        <v>19</v>
      </c>
      <c r="D277" s="15" t="s">
        <v>208</v>
      </c>
      <c r="E277" s="15">
        <v>11</v>
      </c>
      <c r="F277" s="30">
        <v>4905163</v>
      </c>
      <c r="G277" s="30">
        <v>4837343</v>
      </c>
      <c r="H277" s="30">
        <v>4819925</v>
      </c>
      <c r="I277" s="30">
        <v>4835961</v>
      </c>
      <c r="J277" s="30">
        <v>4818488</v>
      </c>
      <c r="K277" s="30">
        <v>4951695</v>
      </c>
      <c r="L277" s="30">
        <v>7426895</v>
      </c>
      <c r="M277" s="30">
        <v>15600000</v>
      </c>
      <c r="N277" s="30">
        <v>17000000</v>
      </c>
      <c r="O277" s="30">
        <v>15100000</v>
      </c>
      <c r="P277" s="30">
        <v>12100000</v>
      </c>
      <c r="Q277" s="30">
        <v>12200000</v>
      </c>
      <c r="R277" s="30">
        <v>12400000</v>
      </c>
      <c r="S277" s="30">
        <v>12300000</v>
      </c>
      <c r="T277" s="30">
        <v>12200000</v>
      </c>
      <c r="U277" s="30">
        <v>14500000</v>
      </c>
      <c r="V277" s="30">
        <v>16700000</v>
      </c>
      <c r="W277" s="30">
        <v>17600000</v>
      </c>
      <c r="X277" s="30">
        <v>16200000</v>
      </c>
      <c r="Y277" s="30">
        <v>13200000</v>
      </c>
      <c r="Z277" s="30">
        <v>12100000</v>
      </c>
      <c r="AA277" s="30">
        <v>11400000</v>
      </c>
      <c r="AB277" s="30">
        <v>10800000</v>
      </c>
      <c r="AC277" s="31">
        <v>7246991</v>
      </c>
      <c r="AD277" t="str">
        <f t="shared" si="4"/>
        <v>Winter</v>
      </c>
      <c r="AE277" t="str">
        <f>INDEX('Category Mapping'!$B$2:$B$29,MATCH('Source Data'!A277,'Category Mapping'!$A$2:$A$29,0))</f>
        <v>Weekday</v>
      </c>
      <c r="AF277" t="str">
        <f>INDEX('Category Mapping'!$C$2:$C$29,MATCH('Source Data'!A277,'Category Mapping'!$A$2:$A$29,0))</f>
        <v>Transportation</v>
      </c>
      <c r="AG277" t="str">
        <f>INDEX('Category Mapping'!$D$2:$D$29,MATCH('Source Data'!A277,'Category Mapping'!$A$2:$A$29,0))</f>
        <v>Transportation</v>
      </c>
    </row>
    <row r="278" spans="1:33" x14ac:dyDescent="0.25">
      <c r="A278" s="16" t="s">
        <v>106</v>
      </c>
      <c r="B278" s="17">
        <v>2019</v>
      </c>
      <c r="C278" s="17">
        <v>19</v>
      </c>
      <c r="D278" s="17" t="s">
        <v>208</v>
      </c>
      <c r="E278" s="17">
        <v>12</v>
      </c>
      <c r="F278" s="28">
        <v>4983415</v>
      </c>
      <c r="G278" s="28">
        <v>4915595</v>
      </c>
      <c r="H278" s="28">
        <v>4898177</v>
      </c>
      <c r="I278" s="28">
        <v>4914213</v>
      </c>
      <c r="J278" s="28">
        <v>4896740</v>
      </c>
      <c r="K278" s="28">
        <v>5029947</v>
      </c>
      <c r="L278" s="28">
        <v>7539522</v>
      </c>
      <c r="M278" s="28">
        <v>15800000</v>
      </c>
      <c r="N278" s="28">
        <v>17200000</v>
      </c>
      <c r="O278" s="28">
        <v>15300000</v>
      </c>
      <c r="P278" s="28">
        <v>12300000</v>
      </c>
      <c r="Q278" s="28">
        <v>12300000</v>
      </c>
      <c r="R278" s="28">
        <v>12500000</v>
      </c>
      <c r="S278" s="28">
        <v>12500000</v>
      </c>
      <c r="T278" s="28">
        <v>12300000</v>
      </c>
      <c r="U278" s="28">
        <v>14700000</v>
      </c>
      <c r="V278" s="28">
        <v>16900000</v>
      </c>
      <c r="W278" s="28">
        <v>17800000</v>
      </c>
      <c r="X278" s="28">
        <v>16400000</v>
      </c>
      <c r="Y278" s="28">
        <v>13400000</v>
      </c>
      <c r="Z278" s="28">
        <v>12300000</v>
      </c>
      <c r="AA278" s="28">
        <v>11600000</v>
      </c>
      <c r="AB278" s="28">
        <v>10900000</v>
      </c>
      <c r="AC278" s="29">
        <v>7359618</v>
      </c>
      <c r="AD278" t="str">
        <f t="shared" si="4"/>
        <v>Winter</v>
      </c>
      <c r="AE278" t="str">
        <f>INDEX('Category Mapping'!$B$2:$B$29,MATCH('Source Data'!A278,'Category Mapping'!$A$2:$A$29,0))</f>
        <v>Weekday</v>
      </c>
      <c r="AF278" t="str">
        <f>INDEX('Category Mapping'!$C$2:$C$29,MATCH('Source Data'!A278,'Category Mapping'!$A$2:$A$29,0))</f>
        <v>Transportation</v>
      </c>
      <c r="AG278" t="str">
        <f>INDEX('Category Mapping'!$D$2:$D$29,MATCH('Source Data'!A278,'Category Mapping'!$A$2:$A$29,0))</f>
        <v>Transportation</v>
      </c>
    </row>
    <row r="279" spans="1:33" x14ac:dyDescent="0.25">
      <c r="A279" s="14" t="s">
        <v>107</v>
      </c>
      <c r="B279" s="15">
        <v>2019</v>
      </c>
      <c r="C279" s="15">
        <v>19</v>
      </c>
      <c r="D279" s="15" t="s">
        <v>208</v>
      </c>
      <c r="E279" s="15">
        <v>1</v>
      </c>
      <c r="F279" s="30">
        <v>2776198</v>
      </c>
      <c r="G279" s="30">
        <v>2647378</v>
      </c>
      <c r="H279" s="30">
        <v>2612246</v>
      </c>
      <c r="I279" s="30">
        <v>2612246</v>
      </c>
      <c r="J279" s="30">
        <v>2600535</v>
      </c>
      <c r="K279" s="30">
        <v>2618101</v>
      </c>
      <c r="L279" s="30">
        <v>3244568</v>
      </c>
      <c r="M279" s="30">
        <v>4220775</v>
      </c>
      <c r="N279" s="30">
        <v>5032557</v>
      </c>
      <c r="O279" s="30">
        <v>5697415</v>
      </c>
      <c r="P279" s="30">
        <v>6029056</v>
      </c>
      <c r="Q279" s="30">
        <v>6210575</v>
      </c>
      <c r="R279" s="30">
        <v>6072164</v>
      </c>
      <c r="S279" s="30">
        <v>5776200</v>
      </c>
      <c r="T279" s="30">
        <v>5705935</v>
      </c>
      <c r="U279" s="30">
        <v>5600536</v>
      </c>
      <c r="V279" s="30">
        <v>6427805</v>
      </c>
      <c r="W279" s="30">
        <v>6433660</v>
      </c>
      <c r="X279" s="30">
        <v>6392672</v>
      </c>
      <c r="Y279" s="30">
        <v>6257996</v>
      </c>
      <c r="Z279" s="30">
        <v>6076477</v>
      </c>
      <c r="AA279" s="30">
        <v>5871536</v>
      </c>
      <c r="AB279" s="30">
        <v>5801271</v>
      </c>
      <c r="AC279" s="31">
        <v>3898252</v>
      </c>
      <c r="AD279" t="str">
        <f t="shared" si="4"/>
        <v>Winter</v>
      </c>
      <c r="AE279" t="str">
        <f>INDEX('Category Mapping'!$B$2:$B$29,MATCH('Source Data'!A279,'Category Mapping'!$A$2:$A$29,0))</f>
        <v>Weekend</v>
      </c>
      <c r="AF279" t="str">
        <f>INDEX('Category Mapping'!$C$2:$C$29,MATCH('Source Data'!A279,'Category Mapping'!$A$2:$A$29,0))</f>
        <v>Transportation</v>
      </c>
      <c r="AG279" t="str">
        <f>INDEX('Category Mapping'!$D$2:$D$29,MATCH('Source Data'!A279,'Category Mapping'!$A$2:$A$29,0))</f>
        <v>Transportation</v>
      </c>
    </row>
    <row r="280" spans="1:33" x14ac:dyDescent="0.25">
      <c r="A280" s="16" t="s">
        <v>107</v>
      </c>
      <c r="B280" s="17">
        <v>2019</v>
      </c>
      <c r="C280" s="17">
        <v>19</v>
      </c>
      <c r="D280" s="17" t="s">
        <v>208</v>
      </c>
      <c r="E280" s="17">
        <v>2</v>
      </c>
      <c r="F280" s="28">
        <v>2706245</v>
      </c>
      <c r="G280" s="28">
        <v>2577425</v>
      </c>
      <c r="H280" s="28">
        <v>2542292</v>
      </c>
      <c r="I280" s="28">
        <v>2542292</v>
      </c>
      <c r="J280" s="28">
        <v>2530581</v>
      </c>
      <c r="K280" s="28">
        <v>2548147</v>
      </c>
      <c r="L280" s="28">
        <v>3159272</v>
      </c>
      <c r="M280" s="28">
        <v>4110814</v>
      </c>
      <c r="N280" s="28">
        <v>4907150</v>
      </c>
      <c r="O280" s="28">
        <v>5561745</v>
      </c>
      <c r="P280" s="28">
        <v>5888276</v>
      </c>
      <c r="Q280" s="28">
        <v>6069795</v>
      </c>
      <c r="R280" s="28">
        <v>5936494</v>
      </c>
      <c r="S280" s="28">
        <v>5650793</v>
      </c>
      <c r="T280" s="28">
        <v>5580528</v>
      </c>
      <c r="U280" s="28">
        <v>5475129</v>
      </c>
      <c r="V280" s="28">
        <v>6277641</v>
      </c>
      <c r="W280" s="28">
        <v>6283497</v>
      </c>
      <c r="X280" s="28">
        <v>6242508</v>
      </c>
      <c r="Y280" s="28">
        <v>6107833</v>
      </c>
      <c r="Z280" s="28">
        <v>5926314</v>
      </c>
      <c r="AA280" s="28">
        <v>5721373</v>
      </c>
      <c r="AB280" s="28">
        <v>5651107</v>
      </c>
      <c r="AC280" s="29">
        <v>3797510</v>
      </c>
      <c r="AD280" t="str">
        <f t="shared" si="4"/>
        <v>Winter</v>
      </c>
      <c r="AE280" t="str">
        <f>INDEX('Category Mapping'!$B$2:$B$29,MATCH('Source Data'!A280,'Category Mapping'!$A$2:$A$29,0))</f>
        <v>Weekend</v>
      </c>
      <c r="AF280" t="str">
        <f>INDEX('Category Mapping'!$C$2:$C$29,MATCH('Source Data'!A280,'Category Mapping'!$A$2:$A$29,0))</f>
        <v>Transportation</v>
      </c>
      <c r="AG280" t="str">
        <f>INDEX('Category Mapping'!$D$2:$D$29,MATCH('Source Data'!A280,'Category Mapping'!$A$2:$A$29,0))</f>
        <v>Transportation</v>
      </c>
    </row>
    <row r="281" spans="1:33" x14ac:dyDescent="0.25">
      <c r="A281" s="14" t="s">
        <v>107</v>
      </c>
      <c r="B281" s="15">
        <v>2019</v>
      </c>
      <c r="C281" s="15">
        <v>19</v>
      </c>
      <c r="D281" s="15" t="s">
        <v>208</v>
      </c>
      <c r="E281" s="15">
        <v>3</v>
      </c>
      <c r="F281" s="30">
        <v>2636273</v>
      </c>
      <c r="G281" s="30">
        <v>2507453</v>
      </c>
      <c r="H281" s="30">
        <v>2472320</v>
      </c>
      <c r="I281" s="30">
        <v>2472320</v>
      </c>
      <c r="J281" s="30">
        <v>2460609</v>
      </c>
      <c r="K281" s="30">
        <v>2478176</v>
      </c>
      <c r="L281" s="30">
        <v>3073955</v>
      </c>
      <c r="M281" s="30">
        <v>4000825</v>
      </c>
      <c r="N281" s="30">
        <v>4781711</v>
      </c>
      <c r="O281" s="30">
        <v>5426040</v>
      </c>
      <c r="P281" s="30">
        <v>5747460</v>
      </c>
      <c r="Q281" s="30">
        <v>5928979</v>
      </c>
      <c r="R281" s="30">
        <v>5800789</v>
      </c>
      <c r="S281" s="30">
        <v>5525354</v>
      </c>
      <c r="T281" s="30">
        <v>5455089</v>
      </c>
      <c r="U281" s="30">
        <v>5349690</v>
      </c>
      <c r="V281" s="30">
        <v>6127439</v>
      </c>
      <c r="W281" s="30">
        <v>6133295</v>
      </c>
      <c r="X281" s="30">
        <v>6092306</v>
      </c>
      <c r="Y281" s="30">
        <v>5957631</v>
      </c>
      <c r="Z281" s="30">
        <v>5776112</v>
      </c>
      <c r="AA281" s="30">
        <v>5571171</v>
      </c>
      <c r="AB281" s="30">
        <v>5500905</v>
      </c>
      <c r="AC281" s="31">
        <v>3696743</v>
      </c>
      <c r="AD281" t="str">
        <f t="shared" si="4"/>
        <v>Spring</v>
      </c>
      <c r="AE281" t="str">
        <f>INDEX('Category Mapping'!$B$2:$B$29,MATCH('Source Data'!A281,'Category Mapping'!$A$2:$A$29,0))</f>
        <v>Weekend</v>
      </c>
      <c r="AF281" t="str">
        <f>INDEX('Category Mapping'!$C$2:$C$29,MATCH('Source Data'!A281,'Category Mapping'!$A$2:$A$29,0))</f>
        <v>Transportation</v>
      </c>
      <c r="AG281" t="str">
        <f>INDEX('Category Mapping'!$D$2:$D$29,MATCH('Source Data'!A281,'Category Mapping'!$A$2:$A$29,0))</f>
        <v>Transportation</v>
      </c>
    </row>
    <row r="282" spans="1:33" x14ac:dyDescent="0.25">
      <c r="A282" s="16" t="s">
        <v>107</v>
      </c>
      <c r="B282" s="17">
        <v>2019</v>
      </c>
      <c r="C282" s="17">
        <v>19</v>
      </c>
      <c r="D282" s="17" t="s">
        <v>208</v>
      </c>
      <c r="E282" s="17">
        <v>4</v>
      </c>
      <c r="F282" s="28">
        <v>2564862</v>
      </c>
      <c r="G282" s="28">
        <v>2436042</v>
      </c>
      <c r="H282" s="28">
        <v>2400909</v>
      </c>
      <c r="I282" s="28">
        <v>2400909</v>
      </c>
      <c r="J282" s="28">
        <v>2389198</v>
      </c>
      <c r="K282" s="28">
        <v>2406765</v>
      </c>
      <c r="L282" s="28">
        <v>2986883</v>
      </c>
      <c r="M282" s="28">
        <v>3888573</v>
      </c>
      <c r="N282" s="28">
        <v>4653691</v>
      </c>
      <c r="O282" s="28">
        <v>5287543</v>
      </c>
      <c r="P282" s="28">
        <v>5603747</v>
      </c>
      <c r="Q282" s="28">
        <v>5785266</v>
      </c>
      <c r="R282" s="28">
        <v>5662293</v>
      </c>
      <c r="S282" s="28">
        <v>5397334</v>
      </c>
      <c r="T282" s="28">
        <v>5327069</v>
      </c>
      <c r="U282" s="28">
        <v>5221671</v>
      </c>
      <c r="V282" s="28">
        <v>5974147</v>
      </c>
      <c r="W282" s="28">
        <v>5980002</v>
      </c>
      <c r="X282" s="28">
        <v>5939014</v>
      </c>
      <c r="Y282" s="28">
        <v>5804338</v>
      </c>
      <c r="Z282" s="28">
        <v>5622819</v>
      </c>
      <c r="AA282" s="28">
        <v>5417878</v>
      </c>
      <c r="AB282" s="28">
        <v>5347613</v>
      </c>
      <c r="AC282" s="29">
        <v>3593903</v>
      </c>
      <c r="AD282" t="str">
        <f t="shared" si="4"/>
        <v>Spring</v>
      </c>
      <c r="AE282" t="str">
        <f>INDEX('Category Mapping'!$B$2:$B$29,MATCH('Source Data'!A282,'Category Mapping'!$A$2:$A$29,0))</f>
        <v>Weekend</v>
      </c>
      <c r="AF282" t="str">
        <f>INDEX('Category Mapping'!$C$2:$C$29,MATCH('Source Data'!A282,'Category Mapping'!$A$2:$A$29,0))</f>
        <v>Transportation</v>
      </c>
      <c r="AG282" t="str">
        <f>INDEX('Category Mapping'!$D$2:$D$29,MATCH('Source Data'!A282,'Category Mapping'!$A$2:$A$29,0))</f>
        <v>Transportation</v>
      </c>
    </row>
    <row r="283" spans="1:33" x14ac:dyDescent="0.25">
      <c r="A283" s="14" t="s">
        <v>107</v>
      </c>
      <c r="B283" s="15">
        <v>2019</v>
      </c>
      <c r="C283" s="15">
        <v>19</v>
      </c>
      <c r="D283" s="15" t="s">
        <v>208</v>
      </c>
      <c r="E283" s="15">
        <v>5</v>
      </c>
      <c r="F283" s="30">
        <v>2489061</v>
      </c>
      <c r="G283" s="30">
        <v>2360241</v>
      </c>
      <c r="H283" s="30">
        <v>2325109</v>
      </c>
      <c r="I283" s="30">
        <v>2325109</v>
      </c>
      <c r="J283" s="30">
        <v>2313398</v>
      </c>
      <c r="K283" s="30">
        <v>2330964</v>
      </c>
      <c r="L283" s="30">
        <v>2894458</v>
      </c>
      <c r="M283" s="30">
        <v>3769421</v>
      </c>
      <c r="N283" s="30">
        <v>4517801</v>
      </c>
      <c r="O283" s="30">
        <v>5140532</v>
      </c>
      <c r="P283" s="30">
        <v>5451199</v>
      </c>
      <c r="Q283" s="30">
        <v>5632718</v>
      </c>
      <c r="R283" s="30">
        <v>5515282</v>
      </c>
      <c r="S283" s="30">
        <v>5261444</v>
      </c>
      <c r="T283" s="30">
        <v>5191179</v>
      </c>
      <c r="U283" s="30">
        <v>5085781</v>
      </c>
      <c r="V283" s="30">
        <v>5811431</v>
      </c>
      <c r="W283" s="30">
        <v>5817287</v>
      </c>
      <c r="X283" s="30">
        <v>5776298</v>
      </c>
      <c r="Y283" s="30">
        <v>5641623</v>
      </c>
      <c r="Z283" s="30">
        <v>5460104</v>
      </c>
      <c r="AA283" s="30">
        <v>5255163</v>
      </c>
      <c r="AB283" s="30">
        <v>5184897</v>
      </c>
      <c r="AC283" s="31">
        <v>3484740</v>
      </c>
      <c r="AD283" t="str">
        <f t="shared" si="4"/>
        <v>Spring</v>
      </c>
      <c r="AE283" t="str">
        <f>INDEX('Category Mapping'!$B$2:$B$29,MATCH('Source Data'!A283,'Category Mapping'!$A$2:$A$29,0))</f>
        <v>Weekend</v>
      </c>
      <c r="AF283" t="str">
        <f>INDEX('Category Mapping'!$C$2:$C$29,MATCH('Source Data'!A283,'Category Mapping'!$A$2:$A$29,0))</f>
        <v>Transportation</v>
      </c>
      <c r="AG283" t="str">
        <f>INDEX('Category Mapping'!$D$2:$D$29,MATCH('Source Data'!A283,'Category Mapping'!$A$2:$A$29,0))</f>
        <v>Transportation</v>
      </c>
    </row>
    <row r="284" spans="1:33" x14ac:dyDescent="0.25">
      <c r="A284" s="16" t="s">
        <v>107</v>
      </c>
      <c r="B284" s="17">
        <v>2019</v>
      </c>
      <c r="C284" s="17">
        <v>19</v>
      </c>
      <c r="D284" s="17" t="s">
        <v>208</v>
      </c>
      <c r="E284" s="17">
        <v>6</v>
      </c>
      <c r="F284" s="28">
        <v>2413278</v>
      </c>
      <c r="G284" s="28">
        <v>2284458</v>
      </c>
      <c r="H284" s="28">
        <v>2249325</v>
      </c>
      <c r="I284" s="28">
        <v>2249325</v>
      </c>
      <c r="J284" s="28">
        <v>2237614</v>
      </c>
      <c r="K284" s="28">
        <v>2255181</v>
      </c>
      <c r="L284" s="28">
        <v>2802054</v>
      </c>
      <c r="M284" s="28">
        <v>3650297</v>
      </c>
      <c r="N284" s="28">
        <v>4381943</v>
      </c>
      <c r="O284" s="28">
        <v>4993556</v>
      </c>
      <c r="P284" s="28">
        <v>5298687</v>
      </c>
      <c r="Q284" s="28">
        <v>5480206</v>
      </c>
      <c r="R284" s="28">
        <v>5368305</v>
      </c>
      <c r="S284" s="28">
        <v>5125587</v>
      </c>
      <c r="T284" s="28">
        <v>5055321</v>
      </c>
      <c r="U284" s="28">
        <v>4949923</v>
      </c>
      <c r="V284" s="28">
        <v>5648754</v>
      </c>
      <c r="W284" s="28">
        <v>5654609</v>
      </c>
      <c r="X284" s="28">
        <v>5613621</v>
      </c>
      <c r="Y284" s="28">
        <v>5478945</v>
      </c>
      <c r="Z284" s="28">
        <v>5297426</v>
      </c>
      <c r="AA284" s="28">
        <v>5092485</v>
      </c>
      <c r="AB284" s="28">
        <v>5022220</v>
      </c>
      <c r="AC284" s="29">
        <v>3375603</v>
      </c>
      <c r="AD284" t="str">
        <f t="shared" si="4"/>
        <v>Summer</v>
      </c>
      <c r="AE284" t="str">
        <f>INDEX('Category Mapping'!$B$2:$B$29,MATCH('Source Data'!A284,'Category Mapping'!$A$2:$A$29,0))</f>
        <v>Weekend</v>
      </c>
      <c r="AF284" t="str">
        <f>INDEX('Category Mapping'!$C$2:$C$29,MATCH('Source Data'!A284,'Category Mapping'!$A$2:$A$29,0))</f>
        <v>Transportation</v>
      </c>
      <c r="AG284" t="str">
        <f>INDEX('Category Mapping'!$D$2:$D$29,MATCH('Source Data'!A284,'Category Mapping'!$A$2:$A$29,0))</f>
        <v>Transportation</v>
      </c>
    </row>
    <row r="285" spans="1:33" x14ac:dyDescent="0.25">
      <c r="A285" s="14" t="s">
        <v>107</v>
      </c>
      <c r="B285" s="15">
        <v>2019</v>
      </c>
      <c r="C285" s="15">
        <v>19</v>
      </c>
      <c r="D285" s="15" t="s">
        <v>208</v>
      </c>
      <c r="E285" s="15">
        <v>7</v>
      </c>
      <c r="F285" s="30">
        <v>2356423</v>
      </c>
      <c r="G285" s="30">
        <v>2227603</v>
      </c>
      <c r="H285" s="30">
        <v>2192470</v>
      </c>
      <c r="I285" s="30">
        <v>2192470</v>
      </c>
      <c r="J285" s="30">
        <v>2180759</v>
      </c>
      <c r="K285" s="30">
        <v>2198326</v>
      </c>
      <c r="L285" s="30">
        <v>2732731</v>
      </c>
      <c r="M285" s="30">
        <v>3560926</v>
      </c>
      <c r="N285" s="30">
        <v>4280018</v>
      </c>
      <c r="O285" s="30">
        <v>4883289</v>
      </c>
      <c r="P285" s="30">
        <v>5184267</v>
      </c>
      <c r="Q285" s="30">
        <v>5365786</v>
      </c>
      <c r="R285" s="30">
        <v>5258039</v>
      </c>
      <c r="S285" s="30">
        <v>5023661</v>
      </c>
      <c r="T285" s="30">
        <v>4953396</v>
      </c>
      <c r="U285" s="30">
        <v>4847998</v>
      </c>
      <c r="V285" s="30">
        <v>5526708</v>
      </c>
      <c r="W285" s="30">
        <v>5532563</v>
      </c>
      <c r="X285" s="30">
        <v>5491575</v>
      </c>
      <c r="Y285" s="30">
        <v>5356899</v>
      </c>
      <c r="Z285" s="30">
        <v>5175380</v>
      </c>
      <c r="AA285" s="30">
        <v>4970439</v>
      </c>
      <c r="AB285" s="30">
        <v>4900174</v>
      </c>
      <c r="AC285" s="31">
        <v>3293725</v>
      </c>
      <c r="AD285" t="str">
        <f t="shared" si="4"/>
        <v>Summer</v>
      </c>
      <c r="AE285" t="str">
        <f>INDEX('Category Mapping'!$B$2:$B$29,MATCH('Source Data'!A285,'Category Mapping'!$A$2:$A$29,0))</f>
        <v>Weekend</v>
      </c>
      <c r="AF285" t="str">
        <f>INDEX('Category Mapping'!$C$2:$C$29,MATCH('Source Data'!A285,'Category Mapping'!$A$2:$A$29,0))</f>
        <v>Transportation</v>
      </c>
      <c r="AG285" t="str">
        <f>INDEX('Category Mapping'!$D$2:$D$29,MATCH('Source Data'!A285,'Category Mapping'!$A$2:$A$29,0))</f>
        <v>Transportation</v>
      </c>
    </row>
    <row r="286" spans="1:33" x14ac:dyDescent="0.25">
      <c r="A286" s="16" t="s">
        <v>107</v>
      </c>
      <c r="B286" s="17">
        <v>2019</v>
      </c>
      <c r="C286" s="17">
        <v>19</v>
      </c>
      <c r="D286" s="17" t="s">
        <v>208</v>
      </c>
      <c r="E286" s="17">
        <v>8</v>
      </c>
      <c r="F286" s="28">
        <v>2435138</v>
      </c>
      <c r="G286" s="28">
        <v>2306318</v>
      </c>
      <c r="H286" s="28">
        <v>2271186</v>
      </c>
      <c r="I286" s="28">
        <v>2271186</v>
      </c>
      <c r="J286" s="28">
        <v>2259475</v>
      </c>
      <c r="K286" s="28">
        <v>2277041</v>
      </c>
      <c r="L286" s="28">
        <v>2828709</v>
      </c>
      <c r="M286" s="28">
        <v>3684659</v>
      </c>
      <c r="N286" s="28">
        <v>4421133</v>
      </c>
      <c r="O286" s="28">
        <v>5035953</v>
      </c>
      <c r="P286" s="28">
        <v>5342681</v>
      </c>
      <c r="Q286" s="28">
        <v>5524200</v>
      </c>
      <c r="R286" s="28">
        <v>5410702</v>
      </c>
      <c r="S286" s="28">
        <v>5164776</v>
      </c>
      <c r="T286" s="28">
        <v>5094511</v>
      </c>
      <c r="U286" s="28">
        <v>4989113</v>
      </c>
      <c r="V286" s="28">
        <v>5695680</v>
      </c>
      <c r="W286" s="28">
        <v>5701535</v>
      </c>
      <c r="X286" s="28">
        <v>5660547</v>
      </c>
      <c r="Y286" s="28">
        <v>5525871</v>
      </c>
      <c r="Z286" s="28">
        <v>5344352</v>
      </c>
      <c r="AA286" s="28">
        <v>5139411</v>
      </c>
      <c r="AB286" s="28">
        <v>5069146</v>
      </c>
      <c r="AC286" s="29">
        <v>3407085</v>
      </c>
      <c r="AD286" t="str">
        <f t="shared" si="4"/>
        <v>Summer</v>
      </c>
      <c r="AE286" t="str">
        <f>INDEX('Category Mapping'!$B$2:$B$29,MATCH('Source Data'!A286,'Category Mapping'!$A$2:$A$29,0))</f>
        <v>Weekend</v>
      </c>
      <c r="AF286" t="str">
        <f>INDEX('Category Mapping'!$C$2:$C$29,MATCH('Source Data'!A286,'Category Mapping'!$A$2:$A$29,0))</f>
        <v>Transportation</v>
      </c>
      <c r="AG286" t="str">
        <f>INDEX('Category Mapping'!$D$2:$D$29,MATCH('Source Data'!A286,'Category Mapping'!$A$2:$A$29,0))</f>
        <v>Transportation</v>
      </c>
    </row>
    <row r="287" spans="1:33" x14ac:dyDescent="0.25">
      <c r="A287" s="14" t="s">
        <v>107</v>
      </c>
      <c r="B287" s="15">
        <v>2019</v>
      </c>
      <c r="C287" s="15">
        <v>19</v>
      </c>
      <c r="D287" s="15" t="s">
        <v>208</v>
      </c>
      <c r="E287" s="15">
        <v>9</v>
      </c>
      <c r="F287" s="30">
        <v>2540087</v>
      </c>
      <c r="G287" s="30">
        <v>2411267</v>
      </c>
      <c r="H287" s="30">
        <v>2376134</v>
      </c>
      <c r="I287" s="30">
        <v>2376134</v>
      </c>
      <c r="J287" s="30">
        <v>2364423</v>
      </c>
      <c r="K287" s="30">
        <v>2381990</v>
      </c>
      <c r="L287" s="30">
        <v>2956674</v>
      </c>
      <c r="M287" s="30">
        <v>3849629</v>
      </c>
      <c r="N287" s="30">
        <v>4609276</v>
      </c>
      <c r="O287" s="30">
        <v>5239493</v>
      </c>
      <c r="P287" s="30">
        <v>5553888</v>
      </c>
      <c r="Q287" s="30">
        <v>5735407</v>
      </c>
      <c r="R287" s="30">
        <v>5614242</v>
      </c>
      <c r="S287" s="30">
        <v>5352919</v>
      </c>
      <c r="T287" s="30">
        <v>5282654</v>
      </c>
      <c r="U287" s="30">
        <v>5177256</v>
      </c>
      <c r="V287" s="30">
        <v>5920964</v>
      </c>
      <c r="W287" s="30">
        <v>5926819</v>
      </c>
      <c r="X287" s="30">
        <v>5885831</v>
      </c>
      <c r="Y287" s="30">
        <v>5751155</v>
      </c>
      <c r="Z287" s="30">
        <v>5569636</v>
      </c>
      <c r="AA287" s="30">
        <v>5364695</v>
      </c>
      <c r="AB287" s="30">
        <v>5294430</v>
      </c>
      <c r="AC287" s="31">
        <v>3558223</v>
      </c>
      <c r="AD287" t="str">
        <f t="shared" si="4"/>
        <v>Fall</v>
      </c>
      <c r="AE287" t="str">
        <f>INDEX('Category Mapping'!$B$2:$B$29,MATCH('Source Data'!A287,'Category Mapping'!$A$2:$A$29,0))</f>
        <v>Weekend</v>
      </c>
      <c r="AF287" t="str">
        <f>INDEX('Category Mapping'!$C$2:$C$29,MATCH('Source Data'!A287,'Category Mapping'!$A$2:$A$29,0))</f>
        <v>Transportation</v>
      </c>
      <c r="AG287" t="str">
        <f>INDEX('Category Mapping'!$D$2:$D$29,MATCH('Source Data'!A287,'Category Mapping'!$A$2:$A$29,0))</f>
        <v>Transportation</v>
      </c>
    </row>
    <row r="288" spans="1:33" x14ac:dyDescent="0.25">
      <c r="A288" s="16" t="s">
        <v>107</v>
      </c>
      <c r="B288" s="17">
        <v>2019</v>
      </c>
      <c r="C288" s="17">
        <v>19</v>
      </c>
      <c r="D288" s="17" t="s">
        <v>208</v>
      </c>
      <c r="E288" s="17">
        <v>10</v>
      </c>
      <c r="F288" s="28">
        <v>2671268</v>
      </c>
      <c r="G288" s="28">
        <v>2542448</v>
      </c>
      <c r="H288" s="28">
        <v>2507315</v>
      </c>
      <c r="I288" s="28">
        <v>2507315</v>
      </c>
      <c r="J288" s="28">
        <v>2495604</v>
      </c>
      <c r="K288" s="28">
        <v>2513171</v>
      </c>
      <c r="L288" s="28">
        <v>3116625</v>
      </c>
      <c r="M288" s="28">
        <v>4055833</v>
      </c>
      <c r="N288" s="28">
        <v>4844446</v>
      </c>
      <c r="O288" s="28">
        <v>5493910</v>
      </c>
      <c r="P288" s="28">
        <v>5817886</v>
      </c>
      <c r="Q288" s="28">
        <v>5999405</v>
      </c>
      <c r="R288" s="28">
        <v>5868659</v>
      </c>
      <c r="S288" s="28">
        <v>5588090</v>
      </c>
      <c r="T288" s="28">
        <v>5517824</v>
      </c>
      <c r="U288" s="28">
        <v>5412426</v>
      </c>
      <c r="V288" s="28">
        <v>6202559</v>
      </c>
      <c r="W288" s="28">
        <v>6208415</v>
      </c>
      <c r="X288" s="28">
        <v>6167426</v>
      </c>
      <c r="Y288" s="28">
        <v>6032751</v>
      </c>
      <c r="Z288" s="28">
        <v>5851232</v>
      </c>
      <c r="AA288" s="28">
        <v>5646291</v>
      </c>
      <c r="AB288" s="28">
        <v>5576025</v>
      </c>
      <c r="AC288" s="29">
        <v>3747140</v>
      </c>
      <c r="AD288" t="str">
        <f t="shared" si="4"/>
        <v>Fall</v>
      </c>
      <c r="AE288" t="str">
        <f>INDEX('Category Mapping'!$B$2:$B$29,MATCH('Source Data'!A288,'Category Mapping'!$A$2:$A$29,0))</f>
        <v>Weekend</v>
      </c>
      <c r="AF288" t="str">
        <f>INDEX('Category Mapping'!$C$2:$C$29,MATCH('Source Data'!A288,'Category Mapping'!$A$2:$A$29,0))</f>
        <v>Transportation</v>
      </c>
      <c r="AG288" t="str">
        <f>INDEX('Category Mapping'!$D$2:$D$29,MATCH('Source Data'!A288,'Category Mapping'!$A$2:$A$29,0))</f>
        <v>Transportation</v>
      </c>
    </row>
    <row r="289" spans="1:33" x14ac:dyDescent="0.25">
      <c r="A289" s="14" t="s">
        <v>107</v>
      </c>
      <c r="B289" s="15">
        <v>2019</v>
      </c>
      <c r="C289" s="15">
        <v>19</v>
      </c>
      <c r="D289" s="15" t="s">
        <v>208</v>
      </c>
      <c r="E289" s="15">
        <v>11</v>
      </c>
      <c r="F289" s="30">
        <v>2701872</v>
      </c>
      <c r="G289" s="30">
        <v>2573052</v>
      </c>
      <c r="H289" s="30">
        <v>2537920</v>
      </c>
      <c r="I289" s="30">
        <v>2537920</v>
      </c>
      <c r="J289" s="30">
        <v>2526209</v>
      </c>
      <c r="K289" s="30">
        <v>2543775</v>
      </c>
      <c r="L289" s="30">
        <v>3153941</v>
      </c>
      <c r="M289" s="30">
        <v>4103941</v>
      </c>
      <c r="N289" s="30">
        <v>4899312</v>
      </c>
      <c r="O289" s="30">
        <v>5553265</v>
      </c>
      <c r="P289" s="30">
        <v>5879478</v>
      </c>
      <c r="Q289" s="30">
        <v>6060997</v>
      </c>
      <c r="R289" s="30">
        <v>5928015</v>
      </c>
      <c r="S289" s="30">
        <v>5642955</v>
      </c>
      <c r="T289" s="30">
        <v>5572690</v>
      </c>
      <c r="U289" s="30">
        <v>5467291</v>
      </c>
      <c r="V289" s="30">
        <v>6268256</v>
      </c>
      <c r="W289" s="30">
        <v>6274111</v>
      </c>
      <c r="X289" s="30">
        <v>6233123</v>
      </c>
      <c r="Y289" s="30">
        <v>6098447</v>
      </c>
      <c r="Z289" s="30">
        <v>5916928</v>
      </c>
      <c r="AA289" s="30">
        <v>5711987</v>
      </c>
      <c r="AB289" s="30">
        <v>5641722</v>
      </c>
      <c r="AC289" s="31">
        <v>3791214</v>
      </c>
      <c r="AD289" t="str">
        <f t="shared" si="4"/>
        <v>Winter</v>
      </c>
      <c r="AE289" t="str">
        <f>INDEX('Category Mapping'!$B$2:$B$29,MATCH('Source Data'!A289,'Category Mapping'!$A$2:$A$29,0))</f>
        <v>Weekend</v>
      </c>
      <c r="AF289" t="str">
        <f>INDEX('Category Mapping'!$C$2:$C$29,MATCH('Source Data'!A289,'Category Mapping'!$A$2:$A$29,0))</f>
        <v>Transportation</v>
      </c>
      <c r="AG289" t="str">
        <f>INDEX('Category Mapping'!$D$2:$D$29,MATCH('Source Data'!A289,'Category Mapping'!$A$2:$A$29,0))</f>
        <v>Transportation</v>
      </c>
    </row>
    <row r="290" spans="1:33" x14ac:dyDescent="0.25">
      <c r="A290" s="16" t="s">
        <v>107</v>
      </c>
      <c r="B290" s="17">
        <v>2019</v>
      </c>
      <c r="C290" s="17">
        <v>19</v>
      </c>
      <c r="D290" s="17" t="s">
        <v>208</v>
      </c>
      <c r="E290" s="17">
        <v>12</v>
      </c>
      <c r="F290" s="28">
        <v>2742679</v>
      </c>
      <c r="G290" s="28">
        <v>2613859</v>
      </c>
      <c r="H290" s="28">
        <v>2578726</v>
      </c>
      <c r="I290" s="28">
        <v>2578726</v>
      </c>
      <c r="J290" s="28">
        <v>2567015</v>
      </c>
      <c r="K290" s="28">
        <v>2584582</v>
      </c>
      <c r="L290" s="28">
        <v>3203697</v>
      </c>
      <c r="M290" s="28">
        <v>4168085</v>
      </c>
      <c r="N290" s="28">
        <v>4972466</v>
      </c>
      <c r="O290" s="28">
        <v>5632407</v>
      </c>
      <c r="P290" s="28">
        <v>5961600</v>
      </c>
      <c r="Q290" s="28">
        <v>6143119</v>
      </c>
      <c r="R290" s="28">
        <v>6007156</v>
      </c>
      <c r="S290" s="28">
        <v>5716110</v>
      </c>
      <c r="T290" s="28">
        <v>5645844</v>
      </c>
      <c r="U290" s="28">
        <v>5540446</v>
      </c>
      <c r="V290" s="28">
        <v>6355851</v>
      </c>
      <c r="W290" s="28">
        <v>6361707</v>
      </c>
      <c r="X290" s="28">
        <v>6320718</v>
      </c>
      <c r="Y290" s="28">
        <v>6186043</v>
      </c>
      <c r="Z290" s="28">
        <v>6004524</v>
      </c>
      <c r="AA290" s="28">
        <v>5799583</v>
      </c>
      <c r="AB290" s="28">
        <v>5729317</v>
      </c>
      <c r="AC290" s="29">
        <v>3849980</v>
      </c>
      <c r="AD290" t="str">
        <f t="shared" si="4"/>
        <v>Winter</v>
      </c>
      <c r="AE290" t="str">
        <f>INDEX('Category Mapping'!$B$2:$B$29,MATCH('Source Data'!A290,'Category Mapping'!$A$2:$A$29,0))</f>
        <v>Weekend</v>
      </c>
      <c r="AF290" t="str">
        <f>INDEX('Category Mapping'!$C$2:$C$29,MATCH('Source Data'!A290,'Category Mapping'!$A$2:$A$29,0))</f>
        <v>Transportation</v>
      </c>
      <c r="AG290" t="str">
        <f>INDEX('Category Mapping'!$D$2:$D$29,MATCH('Source Data'!A290,'Category Mapping'!$A$2:$A$29,0))</f>
        <v>Transportation</v>
      </c>
    </row>
    <row r="293" spans="1:33" x14ac:dyDescent="0.25">
      <c r="F293" s="11"/>
    </row>
    <row r="294" spans="1:33" x14ac:dyDescent="0.25">
      <c r="F294" s="11"/>
    </row>
    <row r="295" spans="1:33" x14ac:dyDescent="0.25">
      <c r="F295" s="11"/>
      <c r="AC295" s="21"/>
    </row>
    <row r="296" spans="1:33" x14ac:dyDescent="0.25">
      <c r="F296" s="11"/>
      <c r="AC296" s="21"/>
    </row>
  </sheetData>
  <autoFilter ref="A2:AG290" xr:uid="{60250058-43D6-4757-A82C-F4E11CFA513B}"/>
  <mergeCells count="2">
    <mergeCell ref="A1:AC1"/>
    <mergeCell ref="AD1:A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FD3FA-47EF-4893-B459-CD63938A8C32}">
  <dimension ref="A1:AG341"/>
  <sheetViews>
    <sheetView zoomScale="85" zoomScaleNormal="85" workbookViewId="0">
      <pane xSplit="5" ySplit="2" topLeftCell="F306" activePane="bottomRight" state="frozen"/>
      <selection activeCell="D289" sqref="D289"/>
      <selection pane="topRight" activeCell="D289" sqref="D289"/>
      <selection pane="bottomLeft" activeCell="D289" sqref="D289"/>
      <selection pane="bottomRight" activeCell="F316" sqref="F316"/>
    </sheetView>
  </sheetViews>
  <sheetFormatPr defaultColWidth="9.140625" defaultRowHeight="15" x14ac:dyDescent="0.25"/>
  <cols>
    <col min="1" max="1" width="36.140625" bestFit="1" customWidth="1"/>
    <col min="2" max="5" width="8.85546875"/>
    <col min="6" max="29" width="14.5703125" bestFit="1" customWidth="1"/>
    <col min="30" max="30" width="7.5703125" bestFit="1" customWidth="1"/>
    <col min="31" max="31" width="11.85546875" bestFit="1" customWidth="1"/>
    <col min="32" max="33" width="13.42578125" bestFit="1" customWidth="1"/>
  </cols>
  <sheetData>
    <row r="1" spans="1:33" x14ac:dyDescent="0.25">
      <c r="A1" s="61" t="s">
        <v>203</v>
      </c>
      <c r="B1" s="61"/>
      <c r="C1" s="61"/>
      <c r="D1" s="61"/>
      <c r="E1" s="61"/>
      <c r="F1" s="61"/>
      <c r="G1" s="61"/>
      <c r="H1" s="61"/>
      <c r="I1" s="61"/>
      <c r="J1" s="61"/>
      <c r="K1" s="61"/>
      <c r="L1" s="61"/>
      <c r="M1" s="61"/>
      <c r="N1" s="61"/>
      <c r="O1" s="61"/>
      <c r="P1" s="61"/>
      <c r="Q1" s="61"/>
      <c r="R1" s="61"/>
      <c r="S1" s="61"/>
      <c r="T1" s="61"/>
      <c r="U1" s="61"/>
      <c r="V1" s="61"/>
      <c r="W1" s="61"/>
      <c r="X1" s="61"/>
      <c r="Y1" s="61"/>
      <c r="Z1" s="61"/>
      <c r="AA1" s="61"/>
      <c r="AB1" s="61"/>
      <c r="AC1" s="61"/>
      <c r="AD1" s="62" t="s">
        <v>138</v>
      </c>
      <c r="AE1" s="62"/>
      <c r="AF1" s="62"/>
      <c r="AG1" s="62"/>
    </row>
    <row r="2" spans="1:33" x14ac:dyDescent="0.25">
      <c r="A2" s="51" t="s">
        <v>83</v>
      </c>
      <c r="B2" s="52" t="s">
        <v>144</v>
      </c>
      <c r="C2" s="52" t="s">
        <v>145</v>
      </c>
      <c r="D2" s="52" t="s">
        <v>146</v>
      </c>
      <c r="E2" s="52" t="s">
        <v>36</v>
      </c>
      <c r="F2" s="52" t="s">
        <v>147</v>
      </c>
      <c r="G2" s="52" t="s">
        <v>148</v>
      </c>
      <c r="H2" s="52" t="s">
        <v>149</v>
      </c>
      <c r="I2" s="52" t="s">
        <v>150</v>
      </c>
      <c r="J2" s="52" t="s">
        <v>151</v>
      </c>
      <c r="K2" s="52" t="s">
        <v>152</v>
      </c>
      <c r="L2" s="52" t="s">
        <v>153</v>
      </c>
      <c r="M2" s="52" t="s">
        <v>154</v>
      </c>
      <c r="N2" s="52" t="s">
        <v>155</v>
      </c>
      <c r="O2" s="52" t="s">
        <v>156</v>
      </c>
      <c r="P2" s="52" t="s">
        <v>157</v>
      </c>
      <c r="Q2" s="52" t="s">
        <v>158</v>
      </c>
      <c r="R2" s="52" t="s">
        <v>159</v>
      </c>
      <c r="S2" s="52" t="s">
        <v>160</v>
      </c>
      <c r="T2" s="52" t="s">
        <v>161</v>
      </c>
      <c r="U2" s="52" t="s">
        <v>162</v>
      </c>
      <c r="V2" s="52" t="s">
        <v>163</v>
      </c>
      <c r="W2" s="52" t="s">
        <v>164</v>
      </c>
      <c r="X2" s="52" t="s">
        <v>165</v>
      </c>
      <c r="Y2" s="52" t="s">
        <v>166</v>
      </c>
      <c r="Z2" s="52" t="s">
        <v>167</v>
      </c>
      <c r="AA2" s="52" t="s">
        <v>168</v>
      </c>
      <c r="AB2" s="52" t="s">
        <v>169</v>
      </c>
      <c r="AC2" s="53" t="s">
        <v>170</v>
      </c>
      <c r="AD2" t="s">
        <v>118</v>
      </c>
      <c r="AE2" t="s">
        <v>140</v>
      </c>
      <c r="AF2" t="s">
        <v>133</v>
      </c>
      <c r="AG2" t="s">
        <v>134</v>
      </c>
    </row>
    <row r="3" spans="1:33" x14ac:dyDescent="0.25">
      <c r="A3" s="54" t="s">
        <v>86</v>
      </c>
      <c r="B3" s="55">
        <v>2019</v>
      </c>
      <c r="C3" s="55">
        <v>19</v>
      </c>
      <c r="D3" s="55" t="s">
        <v>208</v>
      </c>
      <c r="E3" s="55">
        <v>1</v>
      </c>
      <c r="F3" s="55">
        <v>13377</v>
      </c>
      <c r="G3" s="55">
        <v>13452</v>
      </c>
      <c r="H3" s="55">
        <v>13504</v>
      </c>
      <c r="I3" s="55">
        <v>13511</v>
      </c>
      <c r="J3" s="55">
        <v>13169</v>
      </c>
      <c r="K3" s="55">
        <v>12109</v>
      </c>
      <c r="L3" s="55">
        <v>9892</v>
      </c>
      <c r="M3" s="55">
        <v>7424</v>
      </c>
      <c r="N3" s="55">
        <v>5999</v>
      </c>
      <c r="O3" s="55">
        <v>5187</v>
      </c>
      <c r="P3" s="55">
        <v>5125</v>
      </c>
      <c r="Q3" s="55">
        <v>5732</v>
      </c>
      <c r="R3" s="55">
        <v>6222</v>
      </c>
      <c r="S3" s="55">
        <v>6418</v>
      </c>
      <c r="T3" s="55">
        <v>6702</v>
      </c>
      <c r="U3" s="55">
        <v>7320</v>
      </c>
      <c r="V3" s="55">
        <v>7993</v>
      </c>
      <c r="W3" s="55">
        <v>8761</v>
      </c>
      <c r="X3" s="55">
        <v>9726</v>
      </c>
      <c r="Y3" s="55">
        <v>10713</v>
      </c>
      <c r="Z3" s="55">
        <v>11596</v>
      </c>
      <c r="AA3" s="55">
        <v>12331</v>
      </c>
      <c r="AB3" s="55">
        <v>12855</v>
      </c>
      <c r="AC3" s="56">
        <v>13209</v>
      </c>
      <c r="AD3" t="str">
        <f>IF(AND(E3&gt;=3,E3&lt;=5),"Spring",IF(AND(E3&gt;=6,E3&lt;=8),"Summer",IF(AND(E3&gt;=9,E3&lt;=10),"Fall","Winter")))</f>
        <v>Winter</v>
      </c>
      <c r="AE3" t="str">
        <f>INDEX('Category Mapping'!$B$2:$B$29,MATCH('Source Data'!A3,'Category Mapping'!$A$2:$A$29,0))</f>
        <v>Weekday</v>
      </c>
      <c r="AF3" t="str">
        <f>INDEX('Category Mapping'!$C$2:$C$29,MATCH('Source Data'!A3,'Category Mapping'!$A$2:$A$29,0))</f>
        <v>Residential</v>
      </c>
      <c r="AG3" t="str">
        <f>INDEX('Category Mapping'!$D$2:$D$29,MATCH('Source Data'!A3,'Category Mapping'!$A$2:$A$29,0))</f>
        <v>Cooling</v>
      </c>
    </row>
    <row r="4" spans="1:33" x14ac:dyDescent="0.25">
      <c r="A4" s="57" t="s">
        <v>86</v>
      </c>
      <c r="B4" s="58">
        <v>2019</v>
      </c>
      <c r="C4" s="58">
        <v>19</v>
      </c>
      <c r="D4" s="58" t="s">
        <v>208</v>
      </c>
      <c r="E4" s="58">
        <v>2</v>
      </c>
      <c r="F4" s="58">
        <v>15093</v>
      </c>
      <c r="G4" s="58">
        <v>15177</v>
      </c>
      <c r="H4" s="58">
        <v>15235</v>
      </c>
      <c r="I4" s="58">
        <v>15244</v>
      </c>
      <c r="J4" s="58">
        <v>14858</v>
      </c>
      <c r="K4" s="58">
        <v>13662</v>
      </c>
      <c r="L4" s="58">
        <v>11161</v>
      </c>
      <c r="M4" s="58">
        <v>8376</v>
      </c>
      <c r="N4" s="58">
        <v>6769</v>
      </c>
      <c r="O4" s="58">
        <v>5852</v>
      </c>
      <c r="P4" s="58">
        <v>5782</v>
      </c>
      <c r="Q4" s="58">
        <v>6467</v>
      </c>
      <c r="R4" s="58">
        <v>7020</v>
      </c>
      <c r="S4" s="58">
        <v>7241</v>
      </c>
      <c r="T4" s="58">
        <v>7561</v>
      </c>
      <c r="U4" s="58">
        <v>8259</v>
      </c>
      <c r="V4" s="58">
        <v>9018</v>
      </c>
      <c r="W4" s="58">
        <v>9885</v>
      </c>
      <c r="X4" s="58">
        <v>10973</v>
      </c>
      <c r="Y4" s="58">
        <v>12087</v>
      </c>
      <c r="Z4" s="58">
        <v>13083</v>
      </c>
      <c r="AA4" s="58">
        <v>13913</v>
      </c>
      <c r="AB4" s="58">
        <v>14504</v>
      </c>
      <c r="AC4" s="59">
        <v>14902</v>
      </c>
      <c r="AD4" t="str">
        <f t="shared" ref="AD4:AD67" si="0">IF(AND(E4&gt;=3,E4&lt;=5),"Spring",IF(AND(E4&gt;=6,E4&lt;=8),"Summer",IF(AND(E4&gt;=9,E4&lt;=10),"Fall","Winter")))</f>
        <v>Winter</v>
      </c>
      <c r="AE4" t="str">
        <f>INDEX('Category Mapping'!$B$2:$B$29,MATCH('Source Data'!A4,'Category Mapping'!$A$2:$A$29,0))</f>
        <v>Weekday</v>
      </c>
      <c r="AF4" t="str">
        <f>INDEX('Category Mapping'!$C$2:$C$29,MATCH('Source Data'!A4,'Category Mapping'!$A$2:$A$29,0))</f>
        <v>Residential</v>
      </c>
      <c r="AG4" t="str">
        <f>INDEX('Category Mapping'!$D$2:$D$29,MATCH('Source Data'!A4,'Category Mapping'!$A$2:$A$29,0))</f>
        <v>Cooling</v>
      </c>
    </row>
    <row r="5" spans="1:33" x14ac:dyDescent="0.25">
      <c r="A5" s="54" t="s">
        <v>86</v>
      </c>
      <c r="B5" s="55">
        <v>2019</v>
      </c>
      <c r="C5" s="55">
        <v>19</v>
      </c>
      <c r="D5" s="55" t="s">
        <v>208</v>
      </c>
      <c r="E5" s="55">
        <v>3</v>
      </c>
      <c r="F5" s="55">
        <v>33976</v>
      </c>
      <c r="G5" s="55">
        <v>34167</v>
      </c>
      <c r="H5" s="55">
        <v>34298</v>
      </c>
      <c r="I5" s="55">
        <v>34317</v>
      </c>
      <c r="J5" s="55">
        <v>33448</v>
      </c>
      <c r="K5" s="55">
        <v>30755</v>
      </c>
      <c r="L5" s="55">
        <v>25125</v>
      </c>
      <c r="M5" s="55">
        <v>18855</v>
      </c>
      <c r="N5" s="55">
        <v>15238</v>
      </c>
      <c r="O5" s="55">
        <v>13173</v>
      </c>
      <c r="P5" s="55">
        <v>13017</v>
      </c>
      <c r="Q5" s="55">
        <v>14558</v>
      </c>
      <c r="R5" s="55">
        <v>15804</v>
      </c>
      <c r="S5" s="55">
        <v>16301</v>
      </c>
      <c r="T5" s="55">
        <v>17022</v>
      </c>
      <c r="U5" s="55">
        <v>18592</v>
      </c>
      <c r="V5" s="55">
        <v>20302</v>
      </c>
      <c r="W5" s="55">
        <v>22252</v>
      </c>
      <c r="X5" s="55">
        <v>24702</v>
      </c>
      <c r="Y5" s="55">
        <v>27210</v>
      </c>
      <c r="Z5" s="55">
        <v>29452</v>
      </c>
      <c r="AA5" s="55">
        <v>31320</v>
      </c>
      <c r="AB5" s="55">
        <v>32650</v>
      </c>
      <c r="AC5" s="56">
        <v>33548</v>
      </c>
      <c r="AD5" t="str">
        <f t="shared" si="0"/>
        <v>Spring</v>
      </c>
      <c r="AE5" t="str">
        <f>INDEX('Category Mapping'!$B$2:$B$29,MATCH('Source Data'!A5,'Category Mapping'!$A$2:$A$29,0))</f>
        <v>Weekday</v>
      </c>
      <c r="AF5" t="str">
        <f>INDEX('Category Mapping'!$C$2:$C$29,MATCH('Source Data'!A5,'Category Mapping'!$A$2:$A$29,0))</f>
        <v>Residential</v>
      </c>
      <c r="AG5" t="str">
        <f>INDEX('Category Mapping'!$D$2:$D$29,MATCH('Source Data'!A5,'Category Mapping'!$A$2:$A$29,0))</f>
        <v>Cooling</v>
      </c>
    </row>
    <row r="6" spans="1:33" x14ac:dyDescent="0.25">
      <c r="A6" s="57" t="s">
        <v>86</v>
      </c>
      <c r="B6" s="58">
        <v>2019</v>
      </c>
      <c r="C6" s="58">
        <v>19</v>
      </c>
      <c r="D6" s="58" t="s">
        <v>208</v>
      </c>
      <c r="E6" s="58">
        <v>4</v>
      </c>
      <c r="F6" s="58">
        <v>37933</v>
      </c>
      <c r="G6" s="58">
        <v>38146</v>
      </c>
      <c r="H6" s="58">
        <v>38292</v>
      </c>
      <c r="I6" s="58">
        <v>38314</v>
      </c>
      <c r="J6" s="58">
        <v>37344</v>
      </c>
      <c r="K6" s="58">
        <v>34337</v>
      </c>
      <c r="L6" s="58">
        <v>28051</v>
      </c>
      <c r="M6" s="58">
        <v>21051</v>
      </c>
      <c r="N6" s="58">
        <v>17012</v>
      </c>
      <c r="O6" s="58">
        <v>14707</v>
      </c>
      <c r="P6" s="58">
        <v>14533</v>
      </c>
      <c r="Q6" s="58">
        <v>16254</v>
      </c>
      <c r="R6" s="58">
        <v>17644</v>
      </c>
      <c r="S6" s="58">
        <v>536764</v>
      </c>
      <c r="T6" s="58">
        <v>1040400</v>
      </c>
      <c r="U6" s="58">
        <v>612197</v>
      </c>
      <c r="V6" s="58">
        <v>22666</v>
      </c>
      <c r="W6" s="58">
        <v>24843</v>
      </c>
      <c r="X6" s="58">
        <v>27579</v>
      </c>
      <c r="Y6" s="58">
        <v>30380</v>
      </c>
      <c r="Z6" s="58">
        <v>32882</v>
      </c>
      <c r="AA6" s="58">
        <v>34968</v>
      </c>
      <c r="AB6" s="58">
        <v>36453</v>
      </c>
      <c r="AC6" s="59">
        <v>37455</v>
      </c>
      <c r="AD6" t="str">
        <f t="shared" si="0"/>
        <v>Spring</v>
      </c>
      <c r="AE6" t="str">
        <f>INDEX('Category Mapping'!$B$2:$B$29,MATCH('Source Data'!A6,'Category Mapping'!$A$2:$A$29,0))</f>
        <v>Weekday</v>
      </c>
      <c r="AF6" t="str">
        <f>INDEX('Category Mapping'!$C$2:$C$29,MATCH('Source Data'!A6,'Category Mapping'!$A$2:$A$29,0))</f>
        <v>Residential</v>
      </c>
      <c r="AG6" t="str">
        <f>INDEX('Category Mapping'!$D$2:$D$29,MATCH('Source Data'!A6,'Category Mapping'!$A$2:$A$29,0))</f>
        <v>Cooling</v>
      </c>
    </row>
    <row r="7" spans="1:33" x14ac:dyDescent="0.25">
      <c r="A7" s="54" t="s">
        <v>86</v>
      </c>
      <c r="B7" s="55">
        <v>2019</v>
      </c>
      <c r="C7" s="55">
        <v>19</v>
      </c>
      <c r="D7" s="55" t="s">
        <v>208</v>
      </c>
      <c r="E7" s="55">
        <v>5</v>
      </c>
      <c r="F7" s="55">
        <v>4397</v>
      </c>
      <c r="G7" s="55">
        <v>4421</v>
      </c>
      <c r="H7" s="55">
        <v>4438</v>
      </c>
      <c r="I7" s="55">
        <v>4441</v>
      </c>
      <c r="J7" s="55">
        <v>4329</v>
      </c>
      <c r="K7" s="55">
        <v>3980</v>
      </c>
      <c r="L7" s="55">
        <v>3251</v>
      </c>
      <c r="M7" s="55">
        <v>2440</v>
      </c>
      <c r="N7" s="55">
        <v>58818</v>
      </c>
      <c r="O7" s="55">
        <v>995883</v>
      </c>
      <c r="P7" s="55">
        <v>2342718</v>
      </c>
      <c r="Q7" s="55">
        <v>4070541</v>
      </c>
      <c r="R7" s="55">
        <v>5674487</v>
      </c>
      <c r="S7" s="55">
        <v>6673404</v>
      </c>
      <c r="T7" s="55">
        <v>7261770</v>
      </c>
      <c r="U7" s="55">
        <v>7611241</v>
      </c>
      <c r="V7" s="55">
        <v>7289568</v>
      </c>
      <c r="W7" s="55">
        <v>6221652</v>
      </c>
      <c r="X7" s="55">
        <v>4445696</v>
      </c>
      <c r="Y7" s="55">
        <v>2057088</v>
      </c>
      <c r="Z7" s="55">
        <v>113684</v>
      </c>
      <c r="AA7" s="55">
        <v>4053</v>
      </c>
      <c r="AB7" s="55">
        <v>4225</v>
      </c>
      <c r="AC7" s="56">
        <v>4341</v>
      </c>
      <c r="AD7" t="str">
        <f t="shared" si="0"/>
        <v>Spring</v>
      </c>
      <c r="AE7" t="str">
        <f>INDEX('Category Mapping'!$B$2:$B$29,MATCH('Source Data'!A7,'Category Mapping'!$A$2:$A$29,0))</f>
        <v>Weekday</v>
      </c>
      <c r="AF7" t="str">
        <f>INDEX('Category Mapping'!$C$2:$C$29,MATCH('Source Data'!A7,'Category Mapping'!$A$2:$A$29,0))</f>
        <v>Residential</v>
      </c>
      <c r="AG7" t="str">
        <f>INDEX('Category Mapping'!$D$2:$D$29,MATCH('Source Data'!A7,'Category Mapping'!$A$2:$A$29,0))</f>
        <v>Cooling</v>
      </c>
    </row>
    <row r="8" spans="1:33" x14ac:dyDescent="0.25">
      <c r="A8" s="57" t="s">
        <v>86</v>
      </c>
      <c r="B8" s="58">
        <v>2019</v>
      </c>
      <c r="C8" s="58">
        <v>19</v>
      </c>
      <c r="D8" s="58" t="s">
        <v>208</v>
      </c>
      <c r="E8" s="58">
        <v>6</v>
      </c>
      <c r="F8" s="58">
        <v>3799513</v>
      </c>
      <c r="G8" s="58">
        <v>2502986</v>
      </c>
      <c r="H8" s="58">
        <v>2214972</v>
      </c>
      <c r="I8" s="58">
        <v>2513965</v>
      </c>
      <c r="J8" s="58">
        <v>3740541</v>
      </c>
      <c r="K8" s="58">
        <v>6945215</v>
      </c>
      <c r="L8" s="58">
        <v>11800000</v>
      </c>
      <c r="M8" s="58">
        <v>14800000</v>
      </c>
      <c r="N8" s="58">
        <v>17500000</v>
      </c>
      <c r="O8" s="58">
        <v>20100000</v>
      </c>
      <c r="P8" s="58">
        <v>24600000</v>
      </c>
      <c r="Q8" s="58">
        <v>32000000</v>
      </c>
      <c r="R8" s="58">
        <v>38600000</v>
      </c>
      <c r="S8" s="58">
        <v>42300000</v>
      </c>
      <c r="T8" s="58">
        <v>45000000</v>
      </c>
      <c r="U8" s="58">
        <v>48200000</v>
      </c>
      <c r="V8" s="58">
        <v>49600000</v>
      </c>
      <c r="W8" s="58">
        <v>49000000</v>
      </c>
      <c r="X8" s="58">
        <v>46600000</v>
      </c>
      <c r="Y8" s="58">
        <v>41600000</v>
      </c>
      <c r="Z8" s="58">
        <v>33900000</v>
      </c>
      <c r="AA8" s="58">
        <v>24600000</v>
      </c>
      <c r="AB8" s="58">
        <v>15300000</v>
      </c>
      <c r="AC8" s="59">
        <v>7575886</v>
      </c>
      <c r="AD8" t="str">
        <f t="shared" si="0"/>
        <v>Summer</v>
      </c>
      <c r="AE8" t="str">
        <f>INDEX('Category Mapping'!$B$2:$B$29,MATCH('Source Data'!A8,'Category Mapping'!$A$2:$A$29,0))</f>
        <v>Weekday</v>
      </c>
      <c r="AF8" t="str">
        <f>INDEX('Category Mapping'!$C$2:$C$29,MATCH('Source Data'!A8,'Category Mapping'!$A$2:$A$29,0))</f>
        <v>Residential</v>
      </c>
      <c r="AG8" t="str">
        <f>INDEX('Category Mapping'!$D$2:$D$29,MATCH('Source Data'!A8,'Category Mapping'!$A$2:$A$29,0))</f>
        <v>Cooling</v>
      </c>
    </row>
    <row r="9" spans="1:33" x14ac:dyDescent="0.25">
      <c r="A9" s="54" t="s">
        <v>86</v>
      </c>
      <c r="B9" s="55">
        <v>2019</v>
      </c>
      <c r="C9" s="55">
        <v>19</v>
      </c>
      <c r="D9" s="55" t="s">
        <v>208</v>
      </c>
      <c r="E9" s="55">
        <v>7</v>
      </c>
      <c r="F9" s="55">
        <v>53400000</v>
      </c>
      <c r="G9" s="55">
        <v>48800000</v>
      </c>
      <c r="H9" s="55">
        <v>47300000</v>
      </c>
      <c r="I9" s="55">
        <v>49000000</v>
      </c>
      <c r="J9" s="55">
        <v>52600000</v>
      </c>
      <c r="K9" s="55">
        <v>55500000</v>
      </c>
      <c r="L9" s="55">
        <v>53100000</v>
      </c>
      <c r="M9" s="55">
        <v>46600000</v>
      </c>
      <c r="N9" s="55">
        <v>43700000</v>
      </c>
      <c r="O9" s="55">
        <v>43100000</v>
      </c>
      <c r="P9" s="55">
        <v>47500000</v>
      </c>
      <c r="Q9" s="55">
        <v>57800000</v>
      </c>
      <c r="R9" s="55">
        <v>66700000</v>
      </c>
      <c r="S9" s="55">
        <v>71300000</v>
      </c>
      <c r="T9" s="55">
        <v>75400000</v>
      </c>
      <c r="U9" s="55">
        <v>81400000</v>
      </c>
      <c r="V9" s="55">
        <v>85700000</v>
      </c>
      <c r="W9" s="55">
        <v>88300000</v>
      </c>
      <c r="X9" s="55">
        <v>90000000</v>
      </c>
      <c r="Y9" s="55">
        <v>89000000</v>
      </c>
      <c r="Z9" s="55">
        <v>84500000</v>
      </c>
      <c r="AA9" s="55">
        <v>77500000</v>
      </c>
      <c r="AB9" s="55">
        <v>69000000</v>
      </c>
      <c r="AC9" s="56">
        <v>60500000</v>
      </c>
      <c r="AD9" t="str">
        <f t="shared" si="0"/>
        <v>Summer</v>
      </c>
      <c r="AE9" t="str">
        <f>INDEX('Category Mapping'!$B$2:$B$29,MATCH('Source Data'!A9,'Category Mapping'!$A$2:$A$29,0))</f>
        <v>Weekday</v>
      </c>
      <c r="AF9" t="str">
        <f>INDEX('Category Mapping'!$C$2:$C$29,MATCH('Source Data'!A9,'Category Mapping'!$A$2:$A$29,0))</f>
        <v>Residential</v>
      </c>
      <c r="AG9" t="str">
        <f>INDEX('Category Mapping'!$D$2:$D$29,MATCH('Source Data'!A9,'Category Mapping'!$A$2:$A$29,0))</f>
        <v>Cooling</v>
      </c>
    </row>
    <row r="10" spans="1:33" x14ac:dyDescent="0.25">
      <c r="A10" s="57" t="s">
        <v>86</v>
      </c>
      <c r="B10" s="58">
        <v>2019</v>
      </c>
      <c r="C10" s="58">
        <v>19</v>
      </c>
      <c r="D10" s="58" t="s">
        <v>208</v>
      </c>
      <c r="E10" s="58">
        <v>8</v>
      </c>
      <c r="F10" s="58">
        <v>56500000</v>
      </c>
      <c r="G10" s="58">
        <v>50600000</v>
      </c>
      <c r="H10" s="58">
        <v>48600000</v>
      </c>
      <c r="I10" s="58">
        <v>50800000</v>
      </c>
      <c r="J10" s="58">
        <v>55600000</v>
      </c>
      <c r="K10" s="58">
        <v>60300000</v>
      </c>
      <c r="L10" s="58">
        <v>59300000</v>
      </c>
      <c r="M10" s="58">
        <v>53200000</v>
      </c>
      <c r="N10" s="58">
        <v>50700000</v>
      </c>
      <c r="O10" s="58">
        <v>50600000</v>
      </c>
      <c r="P10" s="58">
        <v>56300000</v>
      </c>
      <c r="Q10" s="58">
        <v>69000000</v>
      </c>
      <c r="R10" s="58">
        <v>80000000</v>
      </c>
      <c r="S10" s="58">
        <v>85800000</v>
      </c>
      <c r="T10" s="58">
        <v>90800000</v>
      </c>
      <c r="U10" s="58">
        <v>97900000</v>
      </c>
      <c r="V10" s="58">
        <v>103000000</v>
      </c>
      <c r="W10" s="58">
        <v>106000000</v>
      </c>
      <c r="X10" s="58">
        <v>107000000</v>
      </c>
      <c r="Y10" s="58">
        <v>105000000</v>
      </c>
      <c r="Z10" s="58">
        <v>98000000</v>
      </c>
      <c r="AA10" s="58">
        <v>88400000</v>
      </c>
      <c r="AB10" s="58">
        <v>77000000</v>
      </c>
      <c r="AC10" s="59">
        <v>65800000</v>
      </c>
      <c r="AD10" t="str">
        <f t="shared" si="0"/>
        <v>Summer</v>
      </c>
      <c r="AE10" t="str">
        <f>INDEX('Category Mapping'!$B$2:$B$29,MATCH('Source Data'!A10,'Category Mapping'!$A$2:$A$29,0))</f>
        <v>Weekday</v>
      </c>
      <c r="AF10" t="str">
        <f>INDEX('Category Mapping'!$C$2:$C$29,MATCH('Source Data'!A10,'Category Mapping'!$A$2:$A$29,0))</f>
        <v>Residential</v>
      </c>
      <c r="AG10" t="str">
        <f>INDEX('Category Mapping'!$D$2:$D$29,MATCH('Source Data'!A10,'Category Mapping'!$A$2:$A$29,0))</f>
        <v>Cooling</v>
      </c>
    </row>
    <row r="11" spans="1:33" x14ac:dyDescent="0.25">
      <c r="A11" s="54" t="s">
        <v>86</v>
      </c>
      <c r="B11" s="55">
        <v>2019</v>
      </c>
      <c r="C11" s="55">
        <v>19</v>
      </c>
      <c r="D11" s="55" t="s">
        <v>208</v>
      </c>
      <c r="E11" s="55">
        <v>9</v>
      </c>
      <c r="F11" s="55">
        <v>2827273</v>
      </c>
      <c r="G11" s="55">
        <v>2549733</v>
      </c>
      <c r="H11" s="55">
        <v>2460053</v>
      </c>
      <c r="I11" s="55">
        <v>2560917</v>
      </c>
      <c r="J11" s="55">
        <v>2783391</v>
      </c>
      <c r="K11" s="55">
        <v>3228720</v>
      </c>
      <c r="L11" s="55">
        <v>4970225</v>
      </c>
      <c r="M11" s="55">
        <v>7996402</v>
      </c>
      <c r="N11" s="55">
        <v>11500000</v>
      </c>
      <c r="O11" s="55">
        <v>14700000</v>
      </c>
      <c r="P11" s="55">
        <v>19200000</v>
      </c>
      <c r="Q11" s="55">
        <v>25900000</v>
      </c>
      <c r="R11" s="55">
        <v>32000000</v>
      </c>
      <c r="S11" s="55">
        <v>35500000</v>
      </c>
      <c r="T11" s="55">
        <v>37900000</v>
      </c>
      <c r="U11" s="55">
        <v>40400000</v>
      </c>
      <c r="V11" s="55">
        <v>41100000</v>
      </c>
      <c r="W11" s="55">
        <v>39700000</v>
      </c>
      <c r="X11" s="55">
        <v>36300000</v>
      </c>
      <c r="Y11" s="55">
        <v>30400000</v>
      </c>
      <c r="Z11" s="55">
        <v>22200000</v>
      </c>
      <c r="AA11" s="55">
        <v>13300000</v>
      </c>
      <c r="AB11" s="55">
        <v>6458964</v>
      </c>
      <c r="AC11" s="56">
        <v>3521910</v>
      </c>
      <c r="AD11" t="str">
        <f t="shared" si="0"/>
        <v>Fall</v>
      </c>
      <c r="AE11" t="str">
        <f>INDEX('Category Mapping'!$B$2:$B$29,MATCH('Source Data'!A11,'Category Mapping'!$A$2:$A$29,0))</f>
        <v>Weekday</v>
      </c>
      <c r="AF11" t="str">
        <f>INDEX('Category Mapping'!$C$2:$C$29,MATCH('Source Data'!A11,'Category Mapping'!$A$2:$A$29,0))</f>
        <v>Residential</v>
      </c>
      <c r="AG11" t="str">
        <f>INDEX('Category Mapping'!$D$2:$D$29,MATCH('Source Data'!A11,'Category Mapping'!$A$2:$A$29,0))</f>
        <v>Cooling</v>
      </c>
    </row>
    <row r="12" spans="1:33" x14ac:dyDescent="0.25">
      <c r="A12" s="57" t="s">
        <v>86</v>
      </c>
      <c r="B12" s="58">
        <v>2019</v>
      </c>
      <c r="C12" s="58">
        <v>19</v>
      </c>
      <c r="D12" s="58" t="s">
        <v>208</v>
      </c>
      <c r="E12" s="58">
        <v>10</v>
      </c>
      <c r="F12" s="58">
        <v>2902</v>
      </c>
      <c r="G12" s="58">
        <v>2918</v>
      </c>
      <c r="H12" s="58">
        <v>2929</v>
      </c>
      <c r="I12" s="58">
        <v>2931</v>
      </c>
      <c r="J12" s="58">
        <v>2857</v>
      </c>
      <c r="K12" s="58">
        <v>2627</v>
      </c>
      <c r="L12" s="58">
        <v>2146</v>
      </c>
      <c r="M12" s="58">
        <v>1610</v>
      </c>
      <c r="N12" s="58">
        <v>1301</v>
      </c>
      <c r="O12" s="58">
        <v>10087</v>
      </c>
      <c r="P12" s="58">
        <v>65252</v>
      </c>
      <c r="Q12" s="58">
        <v>413141</v>
      </c>
      <c r="R12" s="58">
        <v>1020552</v>
      </c>
      <c r="S12" s="58">
        <v>1479165</v>
      </c>
      <c r="T12" s="58">
        <v>1702028</v>
      </c>
      <c r="U12" s="58">
        <v>1687037</v>
      </c>
      <c r="V12" s="58">
        <v>1311023</v>
      </c>
      <c r="W12" s="58">
        <v>631468</v>
      </c>
      <c r="X12" s="58">
        <v>123827</v>
      </c>
      <c r="Y12" s="58">
        <v>20837</v>
      </c>
      <c r="Z12" s="58">
        <v>2515</v>
      </c>
      <c r="AA12" s="58">
        <v>2675</v>
      </c>
      <c r="AB12" s="58">
        <v>2788</v>
      </c>
      <c r="AC12" s="59">
        <v>2865</v>
      </c>
      <c r="AD12" t="str">
        <f t="shared" si="0"/>
        <v>Fall</v>
      </c>
      <c r="AE12" t="str">
        <f>INDEX('Category Mapping'!$B$2:$B$29,MATCH('Source Data'!A12,'Category Mapping'!$A$2:$A$29,0))</f>
        <v>Weekday</v>
      </c>
      <c r="AF12" t="str">
        <f>INDEX('Category Mapping'!$C$2:$C$29,MATCH('Source Data'!A12,'Category Mapping'!$A$2:$A$29,0))</f>
        <v>Residential</v>
      </c>
      <c r="AG12" t="str">
        <f>INDEX('Category Mapping'!$D$2:$D$29,MATCH('Source Data'!A12,'Category Mapping'!$A$2:$A$29,0))</f>
        <v>Cooling</v>
      </c>
    </row>
    <row r="13" spans="1:33" x14ac:dyDescent="0.25">
      <c r="A13" s="54" t="s">
        <v>86</v>
      </c>
      <c r="B13" s="55">
        <v>2019</v>
      </c>
      <c r="C13" s="55">
        <v>19</v>
      </c>
      <c r="D13" s="55" t="s">
        <v>208</v>
      </c>
      <c r="E13" s="55">
        <v>11</v>
      </c>
      <c r="F13" s="55">
        <v>47696</v>
      </c>
      <c r="G13" s="55">
        <v>47964</v>
      </c>
      <c r="H13" s="55">
        <v>48148</v>
      </c>
      <c r="I13" s="55">
        <v>48174</v>
      </c>
      <c r="J13" s="55">
        <v>46956</v>
      </c>
      <c r="K13" s="55">
        <v>43175</v>
      </c>
      <c r="L13" s="55">
        <v>35271</v>
      </c>
      <c r="M13" s="55">
        <v>26469</v>
      </c>
      <c r="N13" s="55">
        <v>21391</v>
      </c>
      <c r="O13" s="55">
        <v>18493</v>
      </c>
      <c r="P13" s="55">
        <v>18273</v>
      </c>
      <c r="Q13" s="55">
        <v>20437</v>
      </c>
      <c r="R13" s="55">
        <v>22185</v>
      </c>
      <c r="S13" s="55">
        <v>22884</v>
      </c>
      <c r="T13" s="55">
        <v>23895</v>
      </c>
      <c r="U13" s="55">
        <v>26100</v>
      </c>
      <c r="V13" s="55">
        <v>28500</v>
      </c>
      <c r="W13" s="55">
        <v>31237</v>
      </c>
      <c r="X13" s="55">
        <v>34677</v>
      </c>
      <c r="Y13" s="55">
        <v>38198</v>
      </c>
      <c r="Z13" s="55">
        <v>41345</v>
      </c>
      <c r="AA13" s="55">
        <v>43968</v>
      </c>
      <c r="AB13" s="55">
        <v>45835</v>
      </c>
      <c r="AC13" s="56">
        <v>47095</v>
      </c>
      <c r="AD13" t="str">
        <f t="shared" si="0"/>
        <v>Winter</v>
      </c>
      <c r="AE13" t="str">
        <f>INDEX('Category Mapping'!$B$2:$B$29,MATCH('Source Data'!A13,'Category Mapping'!$A$2:$A$29,0))</f>
        <v>Weekday</v>
      </c>
      <c r="AF13" t="str">
        <f>INDEX('Category Mapping'!$C$2:$C$29,MATCH('Source Data'!A13,'Category Mapping'!$A$2:$A$29,0))</f>
        <v>Residential</v>
      </c>
      <c r="AG13" t="str">
        <f>INDEX('Category Mapping'!$D$2:$D$29,MATCH('Source Data'!A13,'Category Mapping'!$A$2:$A$29,0))</f>
        <v>Cooling</v>
      </c>
    </row>
    <row r="14" spans="1:33" x14ac:dyDescent="0.25">
      <c r="A14" s="57" t="s">
        <v>86</v>
      </c>
      <c r="B14" s="58">
        <v>2019</v>
      </c>
      <c r="C14" s="58">
        <v>19</v>
      </c>
      <c r="D14" s="58" t="s">
        <v>208</v>
      </c>
      <c r="E14" s="58">
        <v>12</v>
      </c>
      <c r="F14" s="58">
        <v>18044</v>
      </c>
      <c r="G14" s="58">
        <v>18146</v>
      </c>
      <c r="H14" s="58">
        <v>18215</v>
      </c>
      <c r="I14" s="58">
        <v>18225</v>
      </c>
      <c r="J14" s="58">
        <v>17764</v>
      </c>
      <c r="K14" s="58">
        <v>16334</v>
      </c>
      <c r="L14" s="58">
        <v>13343</v>
      </c>
      <c r="M14" s="58">
        <v>10014</v>
      </c>
      <c r="N14" s="58">
        <v>8092</v>
      </c>
      <c r="O14" s="58">
        <v>6996</v>
      </c>
      <c r="P14" s="58">
        <v>6913</v>
      </c>
      <c r="Q14" s="58">
        <v>7732</v>
      </c>
      <c r="R14" s="58">
        <v>8393</v>
      </c>
      <c r="S14" s="58">
        <v>8657</v>
      </c>
      <c r="T14" s="58">
        <v>9040</v>
      </c>
      <c r="U14" s="58">
        <v>9874</v>
      </c>
      <c r="V14" s="58">
        <v>10782</v>
      </c>
      <c r="W14" s="58">
        <v>11818</v>
      </c>
      <c r="X14" s="58">
        <v>13119</v>
      </c>
      <c r="Y14" s="58">
        <v>14451</v>
      </c>
      <c r="Z14" s="58">
        <v>15641</v>
      </c>
      <c r="AA14" s="58">
        <v>16634</v>
      </c>
      <c r="AB14" s="58">
        <v>17340</v>
      </c>
      <c r="AC14" s="59">
        <v>17817</v>
      </c>
      <c r="AD14" t="str">
        <f t="shared" si="0"/>
        <v>Winter</v>
      </c>
      <c r="AE14" t="str">
        <f>INDEX('Category Mapping'!$B$2:$B$29,MATCH('Source Data'!A14,'Category Mapping'!$A$2:$A$29,0))</f>
        <v>Weekday</v>
      </c>
      <c r="AF14" t="str">
        <f>INDEX('Category Mapping'!$C$2:$C$29,MATCH('Source Data'!A14,'Category Mapping'!$A$2:$A$29,0))</f>
        <v>Residential</v>
      </c>
      <c r="AG14" t="str">
        <f>INDEX('Category Mapping'!$D$2:$D$29,MATCH('Source Data'!A14,'Category Mapping'!$A$2:$A$29,0))</f>
        <v>Cooling</v>
      </c>
    </row>
    <row r="15" spans="1:33" x14ac:dyDescent="0.25">
      <c r="A15" s="54" t="s">
        <v>87</v>
      </c>
      <c r="B15" s="55">
        <v>2019</v>
      </c>
      <c r="C15" s="55">
        <v>19</v>
      </c>
      <c r="D15" s="55" t="s">
        <v>208</v>
      </c>
      <c r="E15" s="55">
        <v>1</v>
      </c>
      <c r="F15" s="55">
        <v>6404</v>
      </c>
      <c r="G15" s="55">
        <v>6502</v>
      </c>
      <c r="H15" s="55">
        <v>6588</v>
      </c>
      <c r="I15" s="55">
        <v>6601</v>
      </c>
      <c r="J15" s="55">
        <v>6579</v>
      </c>
      <c r="K15" s="55">
        <v>6462</v>
      </c>
      <c r="L15" s="55">
        <v>6203</v>
      </c>
      <c r="M15" s="55">
        <v>5766</v>
      </c>
      <c r="N15" s="55">
        <v>5158</v>
      </c>
      <c r="O15" s="55">
        <v>4495</v>
      </c>
      <c r="P15" s="55">
        <v>4195</v>
      </c>
      <c r="Q15" s="55">
        <v>4340</v>
      </c>
      <c r="R15" s="55">
        <v>4525</v>
      </c>
      <c r="S15" s="55">
        <v>4567</v>
      </c>
      <c r="T15" s="55">
        <v>4558</v>
      </c>
      <c r="U15" s="55">
        <v>4543</v>
      </c>
      <c r="V15" s="55">
        <v>4579</v>
      </c>
      <c r="W15" s="55">
        <v>4760</v>
      </c>
      <c r="X15" s="55">
        <v>5053</v>
      </c>
      <c r="Y15" s="55">
        <v>5370</v>
      </c>
      <c r="Z15" s="55">
        <v>5622</v>
      </c>
      <c r="AA15" s="55">
        <v>5861</v>
      </c>
      <c r="AB15" s="55">
        <v>6083</v>
      </c>
      <c r="AC15" s="56">
        <v>6273</v>
      </c>
      <c r="AD15" t="str">
        <f t="shared" si="0"/>
        <v>Winter</v>
      </c>
      <c r="AE15" t="str">
        <f>INDEX('Category Mapping'!$B$2:$B$29,MATCH('Source Data'!A15,'Category Mapping'!$A$2:$A$29,0))</f>
        <v>Weekend</v>
      </c>
      <c r="AF15" t="str">
        <f>INDEX('Category Mapping'!$C$2:$C$29,MATCH('Source Data'!A15,'Category Mapping'!$A$2:$A$29,0))</f>
        <v>Residential</v>
      </c>
      <c r="AG15" t="str">
        <f>INDEX('Category Mapping'!$D$2:$D$29,MATCH('Source Data'!A15,'Category Mapping'!$A$2:$A$29,0))</f>
        <v>Cooling</v>
      </c>
    </row>
    <row r="16" spans="1:33" x14ac:dyDescent="0.25">
      <c r="A16" s="57" t="s">
        <v>87</v>
      </c>
      <c r="B16" s="58">
        <v>2019</v>
      </c>
      <c r="C16" s="58">
        <v>19</v>
      </c>
      <c r="D16" s="58" t="s">
        <v>208</v>
      </c>
      <c r="E16" s="58">
        <v>2</v>
      </c>
      <c r="F16" s="58">
        <v>7225</v>
      </c>
      <c r="G16" s="58">
        <v>7336</v>
      </c>
      <c r="H16" s="58">
        <v>7433</v>
      </c>
      <c r="I16" s="58">
        <v>7447</v>
      </c>
      <c r="J16" s="58">
        <v>7423</v>
      </c>
      <c r="K16" s="58">
        <v>7290</v>
      </c>
      <c r="L16" s="58">
        <v>6999</v>
      </c>
      <c r="M16" s="58">
        <v>6505</v>
      </c>
      <c r="N16" s="58">
        <v>5819</v>
      </c>
      <c r="O16" s="58">
        <v>5072</v>
      </c>
      <c r="P16" s="58">
        <v>4733</v>
      </c>
      <c r="Q16" s="58">
        <v>4896</v>
      </c>
      <c r="R16" s="58">
        <v>5105</v>
      </c>
      <c r="S16" s="58">
        <v>5153</v>
      </c>
      <c r="T16" s="58">
        <v>5142</v>
      </c>
      <c r="U16" s="58">
        <v>5126</v>
      </c>
      <c r="V16" s="58">
        <v>5167</v>
      </c>
      <c r="W16" s="58">
        <v>5371</v>
      </c>
      <c r="X16" s="58">
        <v>5701</v>
      </c>
      <c r="Y16" s="58">
        <v>6059</v>
      </c>
      <c r="Z16" s="58">
        <v>6343</v>
      </c>
      <c r="AA16" s="58">
        <v>6613</v>
      </c>
      <c r="AB16" s="58">
        <v>6863</v>
      </c>
      <c r="AC16" s="59">
        <v>7078</v>
      </c>
      <c r="AD16" t="str">
        <f t="shared" si="0"/>
        <v>Winter</v>
      </c>
      <c r="AE16" t="str">
        <f>INDEX('Category Mapping'!$B$2:$B$29,MATCH('Source Data'!A16,'Category Mapping'!$A$2:$A$29,0))</f>
        <v>Weekend</v>
      </c>
      <c r="AF16" t="str">
        <f>INDEX('Category Mapping'!$C$2:$C$29,MATCH('Source Data'!A16,'Category Mapping'!$A$2:$A$29,0))</f>
        <v>Residential</v>
      </c>
      <c r="AG16" t="str">
        <f>INDEX('Category Mapping'!$D$2:$D$29,MATCH('Source Data'!A16,'Category Mapping'!$A$2:$A$29,0))</f>
        <v>Cooling</v>
      </c>
    </row>
    <row r="17" spans="1:33" x14ac:dyDescent="0.25">
      <c r="A17" s="54" t="s">
        <v>87</v>
      </c>
      <c r="B17" s="55">
        <v>2019</v>
      </c>
      <c r="C17" s="55">
        <v>19</v>
      </c>
      <c r="D17" s="55" t="s">
        <v>208</v>
      </c>
      <c r="E17" s="55">
        <v>3</v>
      </c>
      <c r="F17" s="55">
        <v>16265</v>
      </c>
      <c r="G17" s="55">
        <v>16514</v>
      </c>
      <c r="H17" s="55">
        <v>16733</v>
      </c>
      <c r="I17" s="55">
        <v>16765</v>
      </c>
      <c r="J17" s="55">
        <v>16711</v>
      </c>
      <c r="K17" s="55">
        <v>16412</v>
      </c>
      <c r="L17" s="55">
        <v>15755</v>
      </c>
      <c r="M17" s="55">
        <v>14645</v>
      </c>
      <c r="N17" s="55">
        <v>13100</v>
      </c>
      <c r="O17" s="55">
        <v>11418</v>
      </c>
      <c r="P17" s="55">
        <v>10654</v>
      </c>
      <c r="Q17" s="55">
        <v>11022</v>
      </c>
      <c r="R17" s="55">
        <v>11492</v>
      </c>
      <c r="S17" s="55">
        <v>11600</v>
      </c>
      <c r="T17" s="55">
        <v>11576</v>
      </c>
      <c r="U17" s="55">
        <v>11539</v>
      </c>
      <c r="V17" s="55">
        <v>11631</v>
      </c>
      <c r="W17" s="55">
        <v>12091</v>
      </c>
      <c r="X17" s="55">
        <v>12834</v>
      </c>
      <c r="Y17" s="55">
        <v>13639</v>
      </c>
      <c r="Z17" s="55">
        <v>14280</v>
      </c>
      <c r="AA17" s="55">
        <v>14887</v>
      </c>
      <c r="AB17" s="55">
        <v>15450</v>
      </c>
      <c r="AC17" s="56">
        <v>15933</v>
      </c>
      <c r="AD17" t="str">
        <f t="shared" si="0"/>
        <v>Spring</v>
      </c>
      <c r="AE17" t="str">
        <f>INDEX('Category Mapping'!$B$2:$B$29,MATCH('Source Data'!A17,'Category Mapping'!$A$2:$A$29,0))</f>
        <v>Weekend</v>
      </c>
      <c r="AF17" t="str">
        <f>INDEX('Category Mapping'!$C$2:$C$29,MATCH('Source Data'!A17,'Category Mapping'!$A$2:$A$29,0))</f>
        <v>Residential</v>
      </c>
      <c r="AG17" t="str">
        <f>INDEX('Category Mapping'!$D$2:$D$29,MATCH('Source Data'!A17,'Category Mapping'!$A$2:$A$29,0))</f>
        <v>Cooling</v>
      </c>
    </row>
    <row r="18" spans="1:33" x14ac:dyDescent="0.25">
      <c r="A18" s="57" t="s">
        <v>87</v>
      </c>
      <c r="B18" s="58">
        <v>2019</v>
      </c>
      <c r="C18" s="58">
        <v>19</v>
      </c>
      <c r="D18" s="58" t="s">
        <v>208</v>
      </c>
      <c r="E18" s="58">
        <v>4</v>
      </c>
      <c r="F18" s="58">
        <v>15861</v>
      </c>
      <c r="G18" s="58">
        <v>16104</v>
      </c>
      <c r="H18" s="58">
        <v>16317</v>
      </c>
      <c r="I18" s="58">
        <v>16349</v>
      </c>
      <c r="J18" s="58">
        <v>16296</v>
      </c>
      <c r="K18" s="58">
        <v>16004</v>
      </c>
      <c r="L18" s="58">
        <v>15364</v>
      </c>
      <c r="M18" s="58">
        <v>14281</v>
      </c>
      <c r="N18" s="58">
        <v>12775</v>
      </c>
      <c r="O18" s="58">
        <v>11134</v>
      </c>
      <c r="P18" s="58">
        <v>10390</v>
      </c>
      <c r="Q18" s="58">
        <v>10749</v>
      </c>
      <c r="R18" s="58">
        <v>11207</v>
      </c>
      <c r="S18" s="58">
        <v>333634</v>
      </c>
      <c r="T18" s="58">
        <v>617997</v>
      </c>
      <c r="U18" s="58">
        <v>331874</v>
      </c>
      <c r="V18" s="58">
        <v>11342</v>
      </c>
      <c r="W18" s="58">
        <v>11791</v>
      </c>
      <c r="X18" s="58">
        <v>12516</v>
      </c>
      <c r="Y18" s="58">
        <v>13300</v>
      </c>
      <c r="Z18" s="58">
        <v>13925</v>
      </c>
      <c r="AA18" s="58">
        <v>14518</v>
      </c>
      <c r="AB18" s="58">
        <v>15067</v>
      </c>
      <c r="AC18" s="59">
        <v>15538</v>
      </c>
      <c r="AD18" t="str">
        <f t="shared" si="0"/>
        <v>Spring</v>
      </c>
      <c r="AE18" t="str">
        <f>INDEX('Category Mapping'!$B$2:$B$29,MATCH('Source Data'!A18,'Category Mapping'!$A$2:$A$29,0))</f>
        <v>Weekend</v>
      </c>
      <c r="AF18" t="str">
        <f>INDEX('Category Mapping'!$C$2:$C$29,MATCH('Source Data'!A18,'Category Mapping'!$A$2:$A$29,0))</f>
        <v>Residential</v>
      </c>
      <c r="AG18" t="str">
        <f>INDEX('Category Mapping'!$D$2:$D$29,MATCH('Source Data'!A18,'Category Mapping'!$A$2:$A$29,0))</f>
        <v>Cooling</v>
      </c>
    </row>
    <row r="19" spans="1:33" x14ac:dyDescent="0.25">
      <c r="A19" s="54" t="s">
        <v>87</v>
      </c>
      <c r="B19" s="55">
        <v>2019</v>
      </c>
      <c r="C19" s="55">
        <v>19</v>
      </c>
      <c r="D19" s="55" t="s">
        <v>208</v>
      </c>
      <c r="E19" s="55">
        <v>5</v>
      </c>
      <c r="F19" s="55">
        <v>1839</v>
      </c>
      <c r="G19" s="55">
        <v>1867</v>
      </c>
      <c r="H19" s="55">
        <v>1892</v>
      </c>
      <c r="I19" s="55">
        <v>1896</v>
      </c>
      <c r="J19" s="55">
        <v>1890</v>
      </c>
      <c r="K19" s="55">
        <v>1856</v>
      </c>
      <c r="L19" s="55">
        <v>1781</v>
      </c>
      <c r="M19" s="55">
        <v>1656</v>
      </c>
      <c r="N19" s="55">
        <v>44183</v>
      </c>
      <c r="O19" s="55">
        <v>754204</v>
      </c>
      <c r="P19" s="55">
        <v>1675395</v>
      </c>
      <c r="Q19" s="55">
        <v>2692787</v>
      </c>
      <c r="R19" s="55">
        <v>3605591</v>
      </c>
      <c r="S19" s="55">
        <v>4149450</v>
      </c>
      <c r="T19" s="55">
        <v>4315027</v>
      </c>
      <c r="U19" s="55">
        <v>4127557</v>
      </c>
      <c r="V19" s="55">
        <v>3649092</v>
      </c>
      <c r="W19" s="55">
        <v>2953910</v>
      </c>
      <c r="X19" s="55">
        <v>2018282</v>
      </c>
      <c r="Y19" s="55">
        <v>900935</v>
      </c>
      <c r="Z19" s="55">
        <v>48162</v>
      </c>
      <c r="AA19" s="55">
        <v>1683</v>
      </c>
      <c r="AB19" s="55">
        <v>1747</v>
      </c>
      <c r="AC19" s="56">
        <v>1802</v>
      </c>
      <c r="AD19" t="str">
        <f t="shared" si="0"/>
        <v>Spring</v>
      </c>
      <c r="AE19" t="str">
        <f>INDEX('Category Mapping'!$B$2:$B$29,MATCH('Source Data'!A19,'Category Mapping'!$A$2:$A$29,0))</f>
        <v>Weekend</v>
      </c>
      <c r="AF19" t="str">
        <f>INDEX('Category Mapping'!$C$2:$C$29,MATCH('Source Data'!A19,'Category Mapping'!$A$2:$A$29,0))</f>
        <v>Residential</v>
      </c>
      <c r="AG19" t="str">
        <f>INDEX('Category Mapping'!$D$2:$D$29,MATCH('Source Data'!A19,'Category Mapping'!$A$2:$A$29,0))</f>
        <v>Cooling</v>
      </c>
    </row>
    <row r="20" spans="1:33" x14ac:dyDescent="0.25">
      <c r="A20" s="57" t="s">
        <v>87</v>
      </c>
      <c r="B20" s="58">
        <v>2019</v>
      </c>
      <c r="C20" s="58">
        <v>19</v>
      </c>
      <c r="D20" s="58" t="s">
        <v>208</v>
      </c>
      <c r="E20" s="58">
        <v>6</v>
      </c>
      <c r="F20" s="58">
        <v>1646896</v>
      </c>
      <c r="G20" s="58">
        <v>1095371</v>
      </c>
      <c r="H20" s="58">
        <v>978431</v>
      </c>
      <c r="I20" s="58">
        <v>1112024</v>
      </c>
      <c r="J20" s="58">
        <v>1692079</v>
      </c>
      <c r="K20" s="58">
        <v>3355660</v>
      </c>
      <c r="L20" s="58">
        <v>6681058</v>
      </c>
      <c r="M20" s="58">
        <v>10400000</v>
      </c>
      <c r="N20" s="58">
        <v>13700000</v>
      </c>
      <c r="O20" s="58">
        <v>15800000</v>
      </c>
      <c r="P20" s="58">
        <v>18200000</v>
      </c>
      <c r="Q20" s="58">
        <v>22000000</v>
      </c>
      <c r="R20" s="58">
        <v>25400000</v>
      </c>
      <c r="S20" s="58">
        <v>27200000</v>
      </c>
      <c r="T20" s="58">
        <v>27700000</v>
      </c>
      <c r="U20" s="58">
        <v>27100000</v>
      </c>
      <c r="V20" s="58">
        <v>25700000</v>
      </c>
      <c r="W20" s="58">
        <v>24100000</v>
      </c>
      <c r="X20" s="58">
        <v>21900000</v>
      </c>
      <c r="Y20" s="58">
        <v>18900000</v>
      </c>
      <c r="Z20" s="58">
        <v>14900000</v>
      </c>
      <c r="AA20" s="58">
        <v>10600000</v>
      </c>
      <c r="AB20" s="58">
        <v>6551808</v>
      </c>
      <c r="AC20" s="59">
        <v>3257820</v>
      </c>
      <c r="AD20" t="str">
        <f t="shared" si="0"/>
        <v>Summer</v>
      </c>
      <c r="AE20" t="str">
        <f>INDEX('Category Mapping'!$B$2:$B$29,MATCH('Source Data'!A20,'Category Mapping'!$A$2:$A$29,0))</f>
        <v>Weekend</v>
      </c>
      <c r="AF20" t="str">
        <f>INDEX('Category Mapping'!$C$2:$C$29,MATCH('Source Data'!A20,'Category Mapping'!$A$2:$A$29,0))</f>
        <v>Residential</v>
      </c>
      <c r="AG20" t="str">
        <f>INDEX('Category Mapping'!$D$2:$D$29,MATCH('Source Data'!A20,'Category Mapping'!$A$2:$A$29,0))</f>
        <v>Cooling</v>
      </c>
    </row>
    <row r="21" spans="1:33" x14ac:dyDescent="0.25">
      <c r="A21" s="54" t="s">
        <v>87</v>
      </c>
      <c r="B21" s="55">
        <v>2019</v>
      </c>
      <c r="C21" s="55">
        <v>19</v>
      </c>
      <c r="D21" s="55" t="s">
        <v>208</v>
      </c>
      <c r="E21" s="55">
        <v>7</v>
      </c>
      <c r="F21" s="55">
        <v>24400000</v>
      </c>
      <c r="G21" s="55">
        <v>22600000</v>
      </c>
      <c r="H21" s="55">
        <v>22100000</v>
      </c>
      <c r="I21" s="55">
        <v>22900000</v>
      </c>
      <c r="J21" s="55">
        <v>25100000</v>
      </c>
      <c r="K21" s="55">
        <v>28300000</v>
      </c>
      <c r="L21" s="55">
        <v>31800000</v>
      </c>
      <c r="M21" s="55">
        <v>34600000</v>
      </c>
      <c r="N21" s="55">
        <v>35900000</v>
      </c>
      <c r="O21" s="55">
        <v>35700000</v>
      </c>
      <c r="P21" s="55">
        <v>37100000</v>
      </c>
      <c r="Q21" s="55">
        <v>41800000</v>
      </c>
      <c r="R21" s="55">
        <v>46300000</v>
      </c>
      <c r="S21" s="55">
        <v>48500000</v>
      </c>
      <c r="T21" s="55">
        <v>49000000</v>
      </c>
      <c r="U21" s="55">
        <v>48300000</v>
      </c>
      <c r="V21" s="55">
        <v>46900000</v>
      </c>
      <c r="W21" s="55">
        <v>45900000</v>
      </c>
      <c r="X21" s="55">
        <v>44700000</v>
      </c>
      <c r="Y21" s="55">
        <v>42600000</v>
      </c>
      <c r="Z21" s="55">
        <v>39100000</v>
      </c>
      <c r="AA21" s="55">
        <v>35200000</v>
      </c>
      <c r="AB21" s="55">
        <v>31200000</v>
      </c>
      <c r="AC21" s="56">
        <v>27500000</v>
      </c>
      <c r="AD21" t="str">
        <f t="shared" si="0"/>
        <v>Summer</v>
      </c>
      <c r="AE21" t="str">
        <f>INDEX('Category Mapping'!$B$2:$B$29,MATCH('Source Data'!A21,'Category Mapping'!$A$2:$A$29,0))</f>
        <v>Weekend</v>
      </c>
      <c r="AF21" t="str">
        <f>INDEX('Category Mapping'!$C$2:$C$29,MATCH('Source Data'!A21,'Category Mapping'!$A$2:$A$29,0))</f>
        <v>Residential</v>
      </c>
      <c r="AG21" t="str">
        <f>INDEX('Category Mapping'!$D$2:$D$29,MATCH('Source Data'!A21,'Category Mapping'!$A$2:$A$29,0))</f>
        <v>Cooling</v>
      </c>
    </row>
    <row r="22" spans="1:33" x14ac:dyDescent="0.25">
      <c r="A22" s="57" t="s">
        <v>87</v>
      </c>
      <c r="B22" s="58">
        <v>2019</v>
      </c>
      <c r="C22" s="58">
        <v>19</v>
      </c>
      <c r="D22" s="58" t="s">
        <v>208</v>
      </c>
      <c r="E22" s="58">
        <v>8</v>
      </c>
      <c r="F22" s="58">
        <v>25700000</v>
      </c>
      <c r="G22" s="58">
        <v>23200000</v>
      </c>
      <c r="H22" s="58">
        <v>22600000</v>
      </c>
      <c r="I22" s="58">
        <v>23600000</v>
      </c>
      <c r="J22" s="58">
        <v>26400000</v>
      </c>
      <c r="K22" s="58">
        <v>30600000</v>
      </c>
      <c r="L22" s="58">
        <v>35300000</v>
      </c>
      <c r="M22" s="58">
        <v>39300000</v>
      </c>
      <c r="N22" s="58">
        <v>41400000</v>
      </c>
      <c r="O22" s="58">
        <v>41700000</v>
      </c>
      <c r="P22" s="58">
        <v>43800000</v>
      </c>
      <c r="Q22" s="58">
        <v>49700000</v>
      </c>
      <c r="R22" s="58">
        <v>55300000</v>
      </c>
      <c r="S22" s="58">
        <v>58100000</v>
      </c>
      <c r="T22" s="58">
        <v>58700000</v>
      </c>
      <c r="U22" s="58">
        <v>57700000</v>
      </c>
      <c r="V22" s="58">
        <v>56000000</v>
      </c>
      <c r="W22" s="58">
        <v>54500000</v>
      </c>
      <c r="X22" s="58">
        <v>52800000</v>
      </c>
      <c r="Y22" s="58">
        <v>49800000</v>
      </c>
      <c r="Z22" s="58">
        <v>45200000</v>
      </c>
      <c r="AA22" s="58">
        <v>40000000</v>
      </c>
      <c r="AB22" s="58">
        <v>34600000</v>
      </c>
      <c r="AC22" s="59">
        <v>29700000</v>
      </c>
      <c r="AD22" t="str">
        <f t="shared" si="0"/>
        <v>Summer</v>
      </c>
      <c r="AE22" t="str">
        <f>INDEX('Category Mapping'!$B$2:$B$29,MATCH('Source Data'!A22,'Category Mapping'!$A$2:$A$29,0))</f>
        <v>Weekend</v>
      </c>
      <c r="AF22" t="str">
        <f>INDEX('Category Mapping'!$C$2:$C$29,MATCH('Source Data'!A22,'Category Mapping'!$A$2:$A$29,0))</f>
        <v>Residential</v>
      </c>
      <c r="AG22" t="str">
        <f>INDEX('Category Mapping'!$D$2:$D$29,MATCH('Source Data'!A22,'Category Mapping'!$A$2:$A$29,0))</f>
        <v>Cooling</v>
      </c>
    </row>
    <row r="23" spans="1:33" x14ac:dyDescent="0.25">
      <c r="A23" s="54" t="s">
        <v>87</v>
      </c>
      <c r="B23" s="55">
        <v>2019</v>
      </c>
      <c r="C23" s="55">
        <v>19</v>
      </c>
      <c r="D23" s="55" t="s">
        <v>208</v>
      </c>
      <c r="E23" s="55">
        <v>9</v>
      </c>
      <c r="F23" s="55">
        <v>1216668</v>
      </c>
      <c r="G23" s="55">
        <v>1107806</v>
      </c>
      <c r="H23" s="55">
        <v>1078879</v>
      </c>
      <c r="I23" s="55">
        <v>1124648</v>
      </c>
      <c r="J23" s="55">
        <v>1250048</v>
      </c>
      <c r="K23" s="55">
        <v>1548777</v>
      </c>
      <c r="L23" s="55">
        <v>2801677</v>
      </c>
      <c r="M23" s="55">
        <v>5583211</v>
      </c>
      <c r="N23" s="55">
        <v>8880556</v>
      </c>
      <c r="O23" s="55">
        <v>11500000</v>
      </c>
      <c r="P23" s="55">
        <v>14100000</v>
      </c>
      <c r="Q23" s="55">
        <v>17700000</v>
      </c>
      <c r="R23" s="55">
        <v>20900000</v>
      </c>
      <c r="S23" s="55">
        <v>22700000</v>
      </c>
      <c r="T23" s="55">
        <v>23200000</v>
      </c>
      <c r="U23" s="55">
        <v>22600000</v>
      </c>
      <c r="V23" s="55">
        <v>21100000</v>
      </c>
      <c r="W23" s="55">
        <v>19400000</v>
      </c>
      <c r="X23" s="55">
        <v>17000000</v>
      </c>
      <c r="Y23" s="55">
        <v>13700000</v>
      </c>
      <c r="Z23" s="55">
        <v>9680490</v>
      </c>
      <c r="AA23" s="55">
        <v>5675497</v>
      </c>
      <c r="AB23" s="55">
        <v>2747476</v>
      </c>
      <c r="AC23" s="56">
        <v>1503620</v>
      </c>
      <c r="AD23" t="str">
        <f t="shared" si="0"/>
        <v>Fall</v>
      </c>
      <c r="AE23" t="str">
        <f>INDEX('Category Mapping'!$B$2:$B$29,MATCH('Source Data'!A23,'Category Mapping'!$A$2:$A$29,0))</f>
        <v>Weekend</v>
      </c>
      <c r="AF23" t="str">
        <f>INDEX('Category Mapping'!$C$2:$C$29,MATCH('Source Data'!A23,'Category Mapping'!$A$2:$A$29,0))</f>
        <v>Residential</v>
      </c>
      <c r="AG23" t="str">
        <f>INDEX('Category Mapping'!$D$2:$D$29,MATCH('Source Data'!A23,'Category Mapping'!$A$2:$A$29,0))</f>
        <v>Cooling</v>
      </c>
    </row>
    <row r="24" spans="1:33" x14ac:dyDescent="0.25">
      <c r="A24" s="57" t="s">
        <v>87</v>
      </c>
      <c r="B24" s="58">
        <v>2019</v>
      </c>
      <c r="C24" s="58">
        <v>19</v>
      </c>
      <c r="D24" s="58" t="s">
        <v>208</v>
      </c>
      <c r="E24" s="58">
        <v>10</v>
      </c>
      <c r="F24" s="58">
        <v>1198</v>
      </c>
      <c r="G24" s="58">
        <v>1216</v>
      </c>
      <c r="H24" s="58">
        <v>1232</v>
      </c>
      <c r="I24" s="58">
        <v>1235</v>
      </c>
      <c r="J24" s="58">
        <v>1231</v>
      </c>
      <c r="K24" s="58">
        <v>1209</v>
      </c>
      <c r="L24" s="58">
        <v>1160</v>
      </c>
      <c r="M24" s="58">
        <v>1078</v>
      </c>
      <c r="N24" s="58">
        <v>965</v>
      </c>
      <c r="O24" s="58">
        <v>7539</v>
      </c>
      <c r="P24" s="58">
        <v>46050</v>
      </c>
      <c r="Q24" s="58">
        <v>269701</v>
      </c>
      <c r="R24" s="58">
        <v>639911</v>
      </c>
      <c r="S24" s="58">
        <v>907600</v>
      </c>
      <c r="T24" s="58">
        <v>998027</v>
      </c>
      <c r="U24" s="58">
        <v>902811</v>
      </c>
      <c r="V24" s="58">
        <v>647631</v>
      </c>
      <c r="W24" s="58">
        <v>295854</v>
      </c>
      <c r="X24" s="58">
        <v>55474</v>
      </c>
      <c r="Y24" s="58">
        <v>9005</v>
      </c>
      <c r="Z24" s="58">
        <v>1052</v>
      </c>
      <c r="AA24" s="58">
        <v>1096</v>
      </c>
      <c r="AB24" s="58">
        <v>1138</v>
      </c>
      <c r="AC24" s="59">
        <v>1173</v>
      </c>
      <c r="AD24" t="str">
        <f t="shared" si="0"/>
        <v>Fall</v>
      </c>
      <c r="AE24" t="str">
        <f>INDEX('Category Mapping'!$B$2:$B$29,MATCH('Source Data'!A24,'Category Mapping'!$A$2:$A$29,0))</f>
        <v>Weekend</v>
      </c>
      <c r="AF24" t="str">
        <f>INDEX('Category Mapping'!$C$2:$C$29,MATCH('Source Data'!A24,'Category Mapping'!$A$2:$A$29,0))</f>
        <v>Residential</v>
      </c>
      <c r="AG24" t="str">
        <f>INDEX('Category Mapping'!$D$2:$D$29,MATCH('Source Data'!A24,'Category Mapping'!$A$2:$A$29,0))</f>
        <v>Cooling</v>
      </c>
    </row>
    <row r="25" spans="1:33" x14ac:dyDescent="0.25">
      <c r="A25" s="54" t="s">
        <v>87</v>
      </c>
      <c r="B25" s="55">
        <v>2019</v>
      </c>
      <c r="C25" s="55">
        <v>19</v>
      </c>
      <c r="D25" s="55" t="s">
        <v>208</v>
      </c>
      <c r="E25" s="55">
        <v>11</v>
      </c>
      <c r="F25" s="55">
        <v>22833</v>
      </c>
      <c r="G25" s="55">
        <v>23182</v>
      </c>
      <c r="H25" s="55">
        <v>23490</v>
      </c>
      <c r="I25" s="55">
        <v>23535</v>
      </c>
      <c r="J25" s="55">
        <v>23459</v>
      </c>
      <c r="K25" s="55">
        <v>23039</v>
      </c>
      <c r="L25" s="55">
        <v>22117</v>
      </c>
      <c r="M25" s="55">
        <v>20559</v>
      </c>
      <c r="N25" s="55">
        <v>18390</v>
      </c>
      <c r="O25" s="55">
        <v>16028</v>
      </c>
      <c r="P25" s="55">
        <v>14956</v>
      </c>
      <c r="Q25" s="55">
        <v>15473</v>
      </c>
      <c r="R25" s="55">
        <v>16133</v>
      </c>
      <c r="S25" s="55">
        <v>16285</v>
      </c>
      <c r="T25" s="55">
        <v>16250</v>
      </c>
      <c r="U25" s="55">
        <v>16199</v>
      </c>
      <c r="V25" s="55">
        <v>16328</v>
      </c>
      <c r="W25" s="55">
        <v>16974</v>
      </c>
      <c r="X25" s="55">
        <v>18017</v>
      </c>
      <c r="Y25" s="55">
        <v>19147</v>
      </c>
      <c r="Z25" s="55">
        <v>20046</v>
      </c>
      <c r="AA25" s="55">
        <v>20899</v>
      </c>
      <c r="AB25" s="55">
        <v>21689</v>
      </c>
      <c r="AC25" s="56">
        <v>22367</v>
      </c>
      <c r="AD25" t="str">
        <f t="shared" si="0"/>
        <v>Winter</v>
      </c>
      <c r="AE25" t="str">
        <f>INDEX('Category Mapping'!$B$2:$B$29,MATCH('Source Data'!A25,'Category Mapping'!$A$2:$A$29,0))</f>
        <v>Weekend</v>
      </c>
      <c r="AF25" t="str">
        <f>INDEX('Category Mapping'!$C$2:$C$29,MATCH('Source Data'!A25,'Category Mapping'!$A$2:$A$29,0))</f>
        <v>Residential</v>
      </c>
      <c r="AG25" t="str">
        <f>INDEX('Category Mapping'!$D$2:$D$29,MATCH('Source Data'!A25,'Category Mapping'!$A$2:$A$29,0))</f>
        <v>Cooling</v>
      </c>
    </row>
    <row r="26" spans="1:33" x14ac:dyDescent="0.25">
      <c r="A26" s="57" t="s">
        <v>87</v>
      </c>
      <c r="B26" s="58">
        <v>2019</v>
      </c>
      <c r="C26" s="58">
        <v>19</v>
      </c>
      <c r="D26" s="58" t="s">
        <v>208</v>
      </c>
      <c r="E26" s="58">
        <v>12</v>
      </c>
      <c r="F26" s="58">
        <v>8638</v>
      </c>
      <c r="G26" s="58">
        <v>8770</v>
      </c>
      <c r="H26" s="58">
        <v>8886</v>
      </c>
      <c r="I26" s="58">
        <v>8904</v>
      </c>
      <c r="J26" s="58">
        <v>8875</v>
      </c>
      <c r="K26" s="58">
        <v>8716</v>
      </c>
      <c r="L26" s="58">
        <v>8367</v>
      </c>
      <c r="M26" s="58">
        <v>7778</v>
      </c>
      <c r="N26" s="58">
        <v>6957</v>
      </c>
      <c r="O26" s="58">
        <v>6064</v>
      </c>
      <c r="P26" s="58">
        <v>5658</v>
      </c>
      <c r="Q26" s="58">
        <v>5854</v>
      </c>
      <c r="R26" s="58">
        <v>6103</v>
      </c>
      <c r="S26" s="58">
        <v>6161</v>
      </c>
      <c r="T26" s="58">
        <v>6148</v>
      </c>
      <c r="U26" s="58">
        <v>6128</v>
      </c>
      <c r="V26" s="58">
        <v>6177</v>
      </c>
      <c r="W26" s="58">
        <v>6421</v>
      </c>
      <c r="X26" s="58">
        <v>6816</v>
      </c>
      <c r="Y26" s="58">
        <v>7243</v>
      </c>
      <c r="Z26" s="58">
        <v>7584</v>
      </c>
      <c r="AA26" s="58">
        <v>7906</v>
      </c>
      <c r="AB26" s="58">
        <v>8205</v>
      </c>
      <c r="AC26" s="59">
        <v>8462</v>
      </c>
      <c r="AD26" t="str">
        <f t="shared" si="0"/>
        <v>Winter</v>
      </c>
      <c r="AE26" t="str">
        <f>INDEX('Category Mapping'!$B$2:$B$29,MATCH('Source Data'!A26,'Category Mapping'!$A$2:$A$29,0))</f>
        <v>Weekend</v>
      </c>
      <c r="AF26" t="str">
        <f>INDEX('Category Mapping'!$C$2:$C$29,MATCH('Source Data'!A26,'Category Mapping'!$A$2:$A$29,0))</f>
        <v>Residential</v>
      </c>
      <c r="AG26" t="str">
        <f>INDEX('Category Mapping'!$D$2:$D$29,MATCH('Source Data'!A26,'Category Mapping'!$A$2:$A$29,0))</f>
        <v>Cooling</v>
      </c>
    </row>
    <row r="27" spans="1:33" x14ac:dyDescent="0.25">
      <c r="A27" s="54" t="s">
        <v>88</v>
      </c>
      <c r="B27" s="55">
        <v>2019</v>
      </c>
      <c r="C27" s="55">
        <v>19</v>
      </c>
      <c r="D27" s="55" t="s">
        <v>208</v>
      </c>
      <c r="E27" s="55">
        <v>1</v>
      </c>
      <c r="F27" s="55">
        <v>20700000</v>
      </c>
      <c r="G27" s="55">
        <v>21100000</v>
      </c>
      <c r="H27" s="55">
        <v>21200000</v>
      </c>
      <c r="I27" s="55">
        <v>21100000</v>
      </c>
      <c r="J27" s="55">
        <v>20700000</v>
      </c>
      <c r="K27" s="55">
        <v>25000000</v>
      </c>
      <c r="L27" s="55">
        <v>26300000</v>
      </c>
      <c r="M27" s="55">
        <v>25600000</v>
      </c>
      <c r="N27" s="55">
        <v>24600000</v>
      </c>
      <c r="O27" s="55">
        <v>18400000</v>
      </c>
      <c r="P27" s="55">
        <v>17700000</v>
      </c>
      <c r="Q27" s="55">
        <v>17600000</v>
      </c>
      <c r="R27" s="55">
        <v>17400000</v>
      </c>
      <c r="S27" s="55">
        <v>17100000</v>
      </c>
      <c r="T27" s="55">
        <v>17200000</v>
      </c>
      <c r="U27" s="55">
        <v>17900000</v>
      </c>
      <c r="V27" s="55">
        <v>19000000</v>
      </c>
      <c r="W27" s="55">
        <v>20300000</v>
      </c>
      <c r="X27" s="55">
        <v>22000000</v>
      </c>
      <c r="Y27" s="55">
        <v>23600000</v>
      </c>
      <c r="Z27" s="55">
        <v>24700000</v>
      </c>
      <c r="AA27" s="55">
        <v>23500000</v>
      </c>
      <c r="AB27" s="55">
        <v>20600000</v>
      </c>
      <c r="AC27" s="56">
        <v>20200000</v>
      </c>
      <c r="AD27" t="str">
        <f t="shared" si="0"/>
        <v>Winter</v>
      </c>
      <c r="AE27" t="str">
        <f>INDEX('Category Mapping'!$B$2:$B$29,MATCH('Source Data'!A27,'Category Mapping'!$A$2:$A$29,0))</f>
        <v>Weekday</v>
      </c>
      <c r="AF27" t="str">
        <f>INDEX('Category Mapping'!$C$2:$C$29,MATCH('Source Data'!A27,'Category Mapping'!$A$2:$A$29,0))</f>
        <v>Residential</v>
      </c>
      <c r="AG27" t="str">
        <f>INDEX('Category Mapping'!$D$2:$D$29,MATCH('Source Data'!A27,'Category Mapping'!$A$2:$A$29,0))</f>
        <v>Heating</v>
      </c>
    </row>
    <row r="28" spans="1:33" x14ac:dyDescent="0.25">
      <c r="A28" s="57" t="s">
        <v>88</v>
      </c>
      <c r="B28" s="58">
        <v>2019</v>
      </c>
      <c r="C28" s="58">
        <v>19</v>
      </c>
      <c r="D28" s="58" t="s">
        <v>208</v>
      </c>
      <c r="E28" s="58">
        <v>2</v>
      </c>
      <c r="F28" s="58">
        <v>16700000</v>
      </c>
      <c r="G28" s="58">
        <v>17100000</v>
      </c>
      <c r="H28" s="58">
        <v>17200000</v>
      </c>
      <c r="I28" s="58">
        <v>17100000</v>
      </c>
      <c r="J28" s="58">
        <v>16700000</v>
      </c>
      <c r="K28" s="58">
        <v>20600000</v>
      </c>
      <c r="L28" s="58">
        <v>21700000</v>
      </c>
      <c r="M28" s="58">
        <v>21100000</v>
      </c>
      <c r="N28" s="58">
        <v>20100000</v>
      </c>
      <c r="O28" s="58">
        <v>14600000</v>
      </c>
      <c r="P28" s="58">
        <v>13800000</v>
      </c>
      <c r="Q28" s="58">
        <v>13700000</v>
      </c>
      <c r="R28" s="58">
        <v>13500000</v>
      </c>
      <c r="S28" s="58">
        <v>13300000</v>
      </c>
      <c r="T28" s="58">
        <v>13300000</v>
      </c>
      <c r="U28" s="58">
        <v>14000000</v>
      </c>
      <c r="V28" s="58">
        <v>14900000</v>
      </c>
      <c r="W28" s="58">
        <v>16200000</v>
      </c>
      <c r="X28" s="58">
        <v>17700000</v>
      </c>
      <c r="Y28" s="58">
        <v>19200000</v>
      </c>
      <c r="Z28" s="58">
        <v>20200000</v>
      </c>
      <c r="AA28" s="58">
        <v>19200000</v>
      </c>
      <c r="AB28" s="58">
        <v>16600000</v>
      </c>
      <c r="AC28" s="59">
        <v>16200000</v>
      </c>
      <c r="AD28" t="str">
        <f t="shared" si="0"/>
        <v>Winter</v>
      </c>
      <c r="AE28" t="str">
        <f>INDEX('Category Mapping'!$B$2:$B$29,MATCH('Source Data'!A28,'Category Mapping'!$A$2:$A$29,0))</f>
        <v>Weekday</v>
      </c>
      <c r="AF28" t="str">
        <f>INDEX('Category Mapping'!$C$2:$C$29,MATCH('Source Data'!A28,'Category Mapping'!$A$2:$A$29,0))</f>
        <v>Residential</v>
      </c>
      <c r="AG28" t="str">
        <f>INDEX('Category Mapping'!$D$2:$D$29,MATCH('Source Data'!A28,'Category Mapping'!$A$2:$A$29,0))</f>
        <v>Heating</v>
      </c>
    </row>
    <row r="29" spans="1:33" x14ac:dyDescent="0.25">
      <c r="A29" s="54" t="s">
        <v>88</v>
      </c>
      <c r="B29" s="55">
        <v>2019</v>
      </c>
      <c r="C29" s="55">
        <v>19</v>
      </c>
      <c r="D29" s="55" t="s">
        <v>208</v>
      </c>
      <c r="E29" s="55">
        <v>3</v>
      </c>
      <c r="F29" s="55">
        <v>13000000</v>
      </c>
      <c r="G29" s="55">
        <v>13300000</v>
      </c>
      <c r="H29" s="55">
        <v>13400000</v>
      </c>
      <c r="I29" s="55">
        <v>13300000</v>
      </c>
      <c r="J29" s="55">
        <v>13000000</v>
      </c>
      <c r="K29" s="55">
        <v>16700000</v>
      </c>
      <c r="L29" s="55">
        <v>17700000</v>
      </c>
      <c r="M29" s="55">
        <v>17100000</v>
      </c>
      <c r="N29" s="55">
        <v>16200000</v>
      </c>
      <c r="O29" s="55">
        <v>10900000</v>
      </c>
      <c r="P29" s="55">
        <v>10200000</v>
      </c>
      <c r="Q29" s="55">
        <v>10600000</v>
      </c>
      <c r="R29" s="55">
        <v>10900000</v>
      </c>
      <c r="S29" s="55">
        <v>11000000</v>
      </c>
      <c r="T29" s="55">
        <v>11200000</v>
      </c>
      <c r="U29" s="55">
        <v>11700000</v>
      </c>
      <c r="V29" s="55">
        <v>12300000</v>
      </c>
      <c r="W29" s="55">
        <v>13000000</v>
      </c>
      <c r="X29" s="55">
        <v>13900000</v>
      </c>
      <c r="Y29" s="55">
        <v>15300000</v>
      </c>
      <c r="Z29" s="55">
        <v>16300000</v>
      </c>
      <c r="AA29" s="55">
        <v>15300000</v>
      </c>
      <c r="AB29" s="55">
        <v>12900000</v>
      </c>
      <c r="AC29" s="56">
        <v>12500000</v>
      </c>
      <c r="AD29" t="str">
        <f t="shared" si="0"/>
        <v>Spring</v>
      </c>
      <c r="AE29" t="str">
        <f>INDEX('Category Mapping'!$B$2:$B$29,MATCH('Source Data'!A29,'Category Mapping'!$A$2:$A$29,0))</f>
        <v>Weekday</v>
      </c>
      <c r="AF29" t="str">
        <f>INDEX('Category Mapping'!$C$2:$C$29,MATCH('Source Data'!A29,'Category Mapping'!$A$2:$A$29,0))</f>
        <v>Residential</v>
      </c>
      <c r="AG29" t="str">
        <f>INDEX('Category Mapping'!$D$2:$D$29,MATCH('Source Data'!A29,'Category Mapping'!$A$2:$A$29,0))</f>
        <v>Heating</v>
      </c>
    </row>
    <row r="30" spans="1:33" x14ac:dyDescent="0.25">
      <c r="A30" s="57" t="s">
        <v>88</v>
      </c>
      <c r="B30" s="58">
        <v>2019</v>
      </c>
      <c r="C30" s="58">
        <v>19</v>
      </c>
      <c r="D30" s="58" t="s">
        <v>208</v>
      </c>
      <c r="E30" s="58">
        <v>4</v>
      </c>
      <c r="F30" s="58">
        <v>5437090</v>
      </c>
      <c r="G30" s="58">
        <v>5630222</v>
      </c>
      <c r="H30" s="58">
        <v>5695999</v>
      </c>
      <c r="I30" s="58">
        <v>5630222</v>
      </c>
      <c r="J30" s="58">
        <v>5437090</v>
      </c>
      <c r="K30" s="58">
        <v>7581491</v>
      </c>
      <c r="L30" s="58">
        <v>8446843</v>
      </c>
      <c r="M30" s="58">
        <v>8552344</v>
      </c>
      <c r="N30" s="58">
        <v>8485649</v>
      </c>
      <c r="O30" s="58">
        <v>5860206</v>
      </c>
      <c r="P30" s="58">
        <v>5909911</v>
      </c>
      <c r="Q30" s="58">
        <v>6207414</v>
      </c>
      <c r="R30" s="58">
        <v>6389605</v>
      </c>
      <c r="S30" s="58">
        <v>6440861</v>
      </c>
      <c r="T30" s="58">
        <v>6534109</v>
      </c>
      <c r="U30" s="58">
        <v>6835315</v>
      </c>
      <c r="V30" s="58">
        <v>7198265</v>
      </c>
      <c r="W30" s="58">
        <v>7597023</v>
      </c>
      <c r="X30" s="58">
        <v>8050556</v>
      </c>
      <c r="Y30" s="58">
        <v>8450511</v>
      </c>
      <c r="Z30" s="58">
        <v>8539152</v>
      </c>
      <c r="AA30" s="58">
        <v>7501669</v>
      </c>
      <c r="AB30" s="58">
        <v>5601358</v>
      </c>
      <c r="AC30" s="59">
        <v>5130247</v>
      </c>
      <c r="AD30" t="str">
        <f t="shared" si="0"/>
        <v>Spring</v>
      </c>
      <c r="AE30" t="str">
        <f>INDEX('Category Mapping'!$B$2:$B$29,MATCH('Source Data'!A30,'Category Mapping'!$A$2:$A$29,0))</f>
        <v>Weekday</v>
      </c>
      <c r="AF30" t="str">
        <f>INDEX('Category Mapping'!$C$2:$C$29,MATCH('Source Data'!A30,'Category Mapping'!$A$2:$A$29,0))</f>
        <v>Residential</v>
      </c>
      <c r="AG30" t="str">
        <f>INDEX('Category Mapping'!$D$2:$D$29,MATCH('Source Data'!A30,'Category Mapping'!$A$2:$A$29,0))</f>
        <v>Heating</v>
      </c>
    </row>
    <row r="31" spans="1:33" x14ac:dyDescent="0.25">
      <c r="A31" s="54" t="s">
        <v>88</v>
      </c>
      <c r="B31" s="55">
        <v>2019</v>
      </c>
      <c r="C31" s="55">
        <v>19</v>
      </c>
      <c r="D31" s="55" t="s">
        <v>208</v>
      </c>
      <c r="E31" s="55">
        <v>5</v>
      </c>
      <c r="F31" s="55">
        <v>1510774</v>
      </c>
      <c r="G31" s="55">
        <v>1510774</v>
      </c>
      <c r="H31" s="55">
        <v>1510774</v>
      </c>
      <c r="I31" s="55">
        <v>1510774</v>
      </c>
      <c r="J31" s="55">
        <v>1510774</v>
      </c>
      <c r="K31" s="55">
        <v>2249916</v>
      </c>
      <c r="L31" s="55">
        <v>2547039</v>
      </c>
      <c r="M31" s="55">
        <v>2578851</v>
      </c>
      <c r="N31" s="55">
        <v>2558740</v>
      </c>
      <c r="O31" s="55">
        <v>1767071</v>
      </c>
      <c r="P31" s="55">
        <v>1782059</v>
      </c>
      <c r="Q31" s="55">
        <v>1871767</v>
      </c>
      <c r="R31" s="55">
        <v>1926704</v>
      </c>
      <c r="S31" s="55">
        <v>1942160</v>
      </c>
      <c r="T31" s="55">
        <v>1970278</v>
      </c>
      <c r="U31" s="55">
        <v>2061103</v>
      </c>
      <c r="V31" s="55">
        <v>2170546</v>
      </c>
      <c r="W31" s="55">
        <v>2290786</v>
      </c>
      <c r="X31" s="55">
        <v>2427543</v>
      </c>
      <c r="Y31" s="55">
        <v>2548145</v>
      </c>
      <c r="Z31" s="55">
        <v>2574873</v>
      </c>
      <c r="AA31" s="55">
        <v>2262033</v>
      </c>
      <c r="AB31" s="55">
        <v>1689019</v>
      </c>
      <c r="AC31" s="56">
        <v>1510774</v>
      </c>
      <c r="AD31" t="str">
        <f t="shared" si="0"/>
        <v>Spring</v>
      </c>
      <c r="AE31" t="str">
        <f>INDEX('Category Mapping'!$B$2:$B$29,MATCH('Source Data'!A31,'Category Mapping'!$A$2:$A$29,0))</f>
        <v>Weekday</v>
      </c>
      <c r="AF31" t="str">
        <f>INDEX('Category Mapping'!$C$2:$C$29,MATCH('Source Data'!A31,'Category Mapping'!$A$2:$A$29,0))</f>
        <v>Residential</v>
      </c>
      <c r="AG31" t="str">
        <f>INDEX('Category Mapping'!$D$2:$D$29,MATCH('Source Data'!A31,'Category Mapping'!$A$2:$A$29,0))</f>
        <v>Heating</v>
      </c>
    </row>
    <row r="32" spans="1:33" x14ac:dyDescent="0.25">
      <c r="A32" s="57" t="s">
        <v>88</v>
      </c>
      <c r="B32" s="58">
        <v>2019</v>
      </c>
      <c r="C32" s="58">
        <v>19</v>
      </c>
      <c r="D32" s="58" t="s">
        <v>208</v>
      </c>
      <c r="E32" s="58">
        <v>6</v>
      </c>
      <c r="F32" s="58">
        <v>260040</v>
      </c>
      <c r="G32" s="58">
        <v>260040</v>
      </c>
      <c r="H32" s="58">
        <v>260040</v>
      </c>
      <c r="I32" s="58">
        <v>260040</v>
      </c>
      <c r="J32" s="58">
        <v>260040</v>
      </c>
      <c r="K32" s="58">
        <v>387264</v>
      </c>
      <c r="L32" s="58">
        <v>438406</v>
      </c>
      <c r="M32" s="58">
        <v>443882</v>
      </c>
      <c r="N32" s="58">
        <v>440420</v>
      </c>
      <c r="O32" s="58">
        <v>304155</v>
      </c>
      <c r="P32" s="58">
        <v>306735</v>
      </c>
      <c r="Q32" s="58">
        <v>322176</v>
      </c>
      <c r="R32" s="58">
        <v>331632</v>
      </c>
      <c r="S32" s="58">
        <v>334292</v>
      </c>
      <c r="T32" s="58">
        <v>339132</v>
      </c>
      <c r="U32" s="58">
        <v>354765</v>
      </c>
      <c r="V32" s="58">
        <v>373603</v>
      </c>
      <c r="W32" s="58">
        <v>394299</v>
      </c>
      <c r="X32" s="58">
        <v>417838</v>
      </c>
      <c r="Y32" s="58">
        <v>438597</v>
      </c>
      <c r="Z32" s="58">
        <v>443197</v>
      </c>
      <c r="AA32" s="58">
        <v>389350</v>
      </c>
      <c r="AB32" s="58">
        <v>290720</v>
      </c>
      <c r="AC32" s="59">
        <v>260040</v>
      </c>
      <c r="AD32" t="str">
        <f t="shared" si="0"/>
        <v>Summer</v>
      </c>
      <c r="AE32" t="str">
        <f>INDEX('Category Mapping'!$B$2:$B$29,MATCH('Source Data'!A32,'Category Mapping'!$A$2:$A$29,0))</f>
        <v>Weekday</v>
      </c>
      <c r="AF32" t="str">
        <f>INDEX('Category Mapping'!$C$2:$C$29,MATCH('Source Data'!A32,'Category Mapping'!$A$2:$A$29,0))</f>
        <v>Residential</v>
      </c>
      <c r="AG32" t="str">
        <f>INDEX('Category Mapping'!$D$2:$D$29,MATCH('Source Data'!A32,'Category Mapping'!$A$2:$A$29,0))</f>
        <v>Heating</v>
      </c>
    </row>
    <row r="33" spans="1:33" x14ac:dyDescent="0.25">
      <c r="A33" s="54" t="s">
        <v>88</v>
      </c>
      <c r="B33" s="55">
        <v>2019</v>
      </c>
      <c r="C33" s="55">
        <v>19</v>
      </c>
      <c r="D33" s="55" t="s">
        <v>208</v>
      </c>
      <c r="E33" s="55">
        <v>7</v>
      </c>
      <c r="F33" s="55">
        <v>51165</v>
      </c>
      <c r="G33" s="55">
        <v>51165</v>
      </c>
      <c r="H33" s="55">
        <v>51165</v>
      </c>
      <c r="I33" s="55">
        <v>51165</v>
      </c>
      <c r="J33" s="55">
        <v>51165</v>
      </c>
      <c r="K33" s="55">
        <v>76198</v>
      </c>
      <c r="L33" s="55">
        <v>86260</v>
      </c>
      <c r="M33" s="55">
        <v>87338</v>
      </c>
      <c r="N33" s="55">
        <v>86657</v>
      </c>
      <c r="O33" s="55">
        <v>59845</v>
      </c>
      <c r="P33" s="55">
        <v>60353</v>
      </c>
      <c r="Q33" s="55">
        <v>63391</v>
      </c>
      <c r="R33" s="55">
        <v>65252</v>
      </c>
      <c r="S33" s="55">
        <v>65775</v>
      </c>
      <c r="T33" s="55">
        <v>66727</v>
      </c>
      <c r="U33" s="55">
        <v>69803</v>
      </c>
      <c r="V33" s="55">
        <v>73510</v>
      </c>
      <c r="W33" s="55">
        <v>77582</v>
      </c>
      <c r="X33" s="55">
        <v>82213</v>
      </c>
      <c r="Y33" s="55">
        <v>86298</v>
      </c>
      <c r="Z33" s="55">
        <v>87203</v>
      </c>
      <c r="AA33" s="55">
        <v>76608</v>
      </c>
      <c r="AB33" s="55">
        <v>57202</v>
      </c>
      <c r="AC33" s="56">
        <v>51165</v>
      </c>
      <c r="AD33" t="str">
        <f t="shared" si="0"/>
        <v>Summer</v>
      </c>
      <c r="AE33" t="str">
        <f>INDEX('Category Mapping'!$B$2:$B$29,MATCH('Source Data'!A33,'Category Mapping'!$A$2:$A$29,0))</f>
        <v>Weekday</v>
      </c>
      <c r="AF33" t="str">
        <f>INDEX('Category Mapping'!$C$2:$C$29,MATCH('Source Data'!A33,'Category Mapping'!$A$2:$A$29,0))</f>
        <v>Residential</v>
      </c>
      <c r="AG33" t="str">
        <f>INDEX('Category Mapping'!$D$2:$D$29,MATCH('Source Data'!A33,'Category Mapping'!$A$2:$A$29,0))</f>
        <v>Heating</v>
      </c>
    </row>
    <row r="34" spans="1:33" x14ac:dyDescent="0.25">
      <c r="A34" s="57" t="s">
        <v>88</v>
      </c>
      <c r="B34" s="58">
        <v>2019</v>
      </c>
      <c r="C34" s="58">
        <v>19</v>
      </c>
      <c r="D34" s="58" t="s">
        <v>208</v>
      </c>
      <c r="E34" s="58">
        <v>8</v>
      </c>
      <c r="F34" s="58">
        <v>53554</v>
      </c>
      <c r="G34" s="58">
        <v>53554</v>
      </c>
      <c r="H34" s="58">
        <v>53554</v>
      </c>
      <c r="I34" s="58">
        <v>53554</v>
      </c>
      <c r="J34" s="58">
        <v>53554</v>
      </c>
      <c r="K34" s="58">
        <v>79755</v>
      </c>
      <c r="L34" s="58">
        <v>90288</v>
      </c>
      <c r="M34" s="58">
        <v>91415</v>
      </c>
      <c r="N34" s="58">
        <v>90702</v>
      </c>
      <c r="O34" s="58">
        <v>62639</v>
      </c>
      <c r="P34" s="58">
        <v>63171</v>
      </c>
      <c r="Q34" s="58">
        <v>66350</v>
      </c>
      <c r="R34" s="58">
        <v>68298</v>
      </c>
      <c r="S34" s="58">
        <v>68846</v>
      </c>
      <c r="T34" s="58">
        <v>69843</v>
      </c>
      <c r="U34" s="58">
        <v>73062</v>
      </c>
      <c r="V34" s="58">
        <v>76942</v>
      </c>
      <c r="W34" s="58">
        <v>81204</v>
      </c>
      <c r="X34" s="58">
        <v>86052</v>
      </c>
      <c r="Y34" s="58">
        <v>90327</v>
      </c>
      <c r="Z34" s="58">
        <v>91274</v>
      </c>
      <c r="AA34" s="58">
        <v>80185</v>
      </c>
      <c r="AB34" s="58">
        <v>59872</v>
      </c>
      <c r="AC34" s="59">
        <v>53554</v>
      </c>
      <c r="AD34" t="str">
        <f t="shared" si="0"/>
        <v>Summer</v>
      </c>
      <c r="AE34" t="str">
        <f>INDEX('Category Mapping'!$B$2:$B$29,MATCH('Source Data'!A34,'Category Mapping'!$A$2:$A$29,0))</f>
        <v>Weekday</v>
      </c>
      <c r="AF34" t="str">
        <f>INDEX('Category Mapping'!$C$2:$C$29,MATCH('Source Data'!A34,'Category Mapping'!$A$2:$A$29,0))</f>
        <v>Residential</v>
      </c>
      <c r="AG34" t="str">
        <f>INDEX('Category Mapping'!$D$2:$D$29,MATCH('Source Data'!A34,'Category Mapping'!$A$2:$A$29,0))</f>
        <v>Heating</v>
      </c>
    </row>
    <row r="35" spans="1:33" x14ac:dyDescent="0.25">
      <c r="A35" s="54" t="s">
        <v>88</v>
      </c>
      <c r="B35" s="55">
        <v>2019</v>
      </c>
      <c r="C35" s="55">
        <v>19</v>
      </c>
      <c r="D35" s="55" t="s">
        <v>208</v>
      </c>
      <c r="E35" s="55">
        <v>9</v>
      </c>
      <c r="F35" s="55">
        <v>530600</v>
      </c>
      <c r="G35" s="55">
        <v>530600</v>
      </c>
      <c r="H35" s="55">
        <v>530600</v>
      </c>
      <c r="I35" s="55">
        <v>530600</v>
      </c>
      <c r="J35" s="55">
        <v>530600</v>
      </c>
      <c r="K35" s="55">
        <v>790194</v>
      </c>
      <c r="L35" s="55">
        <v>894547</v>
      </c>
      <c r="M35" s="55">
        <v>905720</v>
      </c>
      <c r="N35" s="55">
        <v>898657</v>
      </c>
      <c r="O35" s="55">
        <v>620614</v>
      </c>
      <c r="P35" s="55">
        <v>625878</v>
      </c>
      <c r="Q35" s="55">
        <v>657384</v>
      </c>
      <c r="R35" s="55">
        <v>676679</v>
      </c>
      <c r="S35" s="55">
        <v>682107</v>
      </c>
      <c r="T35" s="55">
        <v>691982</v>
      </c>
      <c r="U35" s="55">
        <v>723881</v>
      </c>
      <c r="V35" s="55">
        <v>762319</v>
      </c>
      <c r="W35" s="55">
        <v>804548</v>
      </c>
      <c r="X35" s="55">
        <v>852579</v>
      </c>
      <c r="Y35" s="55">
        <v>894935</v>
      </c>
      <c r="Z35" s="55">
        <v>904323</v>
      </c>
      <c r="AA35" s="55">
        <v>794450</v>
      </c>
      <c r="AB35" s="55">
        <v>593201</v>
      </c>
      <c r="AC35" s="56">
        <v>530600</v>
      </c>
      <c r="AD35" t="str">
        <f t="shared" si="0"/>
        <v>Fall</v>
      </c>
      <c r="AE35" t="str">
        <f>INDEX('Category Mapping'!$B$2:$B$29,MATCH('Source Data'!A35,'Category Mapping'!$A$2:$A$29,0))</f>
        <v>Weekday</v>
      </c>
      <c r="AF35" t="str">
        <f>INDEX('Category Mapping'!$C$2:$C$29,MATCH('Source Data'!A35,'Category Mapping'!$A$2:$A$29,0))</f>
        <v>Residential</v>
      </c>
      <c r="AG35" t="str">
        <f>INDEX('Category Mapping'!$D$2:$D$29,MATCH('Source Data'!A35,'Category Mapping'!$A$2:$A$29,0))</f>
        <v>Heating</v>
      </c>
    </row>
    <row r="36" spans="1:33" x14ac:dyDescent="0.25">
      <c r="A36" s="57" t="s">
        <v>88</v>
      </c>
      <c r="B36" s="58">
        <v>2019</v>
      </c>
      <c r="C36" s="58">
        <v>19</v>
      </c>
      <c r="D36" s="58" t="s">
        <v>208</v>
      </c>
      <c r="E36" s="58">
        <v>10</v>
      </c>
      <c r="F36" s="58">
        <v>3718567</v>
      </c>
      <c r="G36" s="58">
        <v>3718567</v>
      </c>
      <c r="H36" s="58">
        <v>3718567</v>
      </c>
      <c r="I36" s="58">
        <v>3718567</v>
      </c>
      <c r="J36" s="58">
        <v>3718567</v>
      </c>
      <c r="K36" s="58">
        <v>5537864</v>
      </c>
      <c r="L36" s="58">
        <v>6269191</v>
      </c>
      <c r="M36" s="58">
        <v>6347494</v>
      </c>
      <c r="N36" s="58">
        <v>6297993</v>
      </c>
      <c r="O36" s="58">
        <v>4349406</v>
      </c>
      <c r="P36" s="58">
        <v>4386297</v>
      </c>
      <c r="Q36" s="58">
        <v>4607102</v>
      </c>
      <c r="R36" s="58">
        <v>4742322</v>
      </c>
      <c r="S36" s="58">
        <v>4780364</v>
      </c>
      <c r="T36" s="58">
        <v>4849572</v>
      </c>
      <c r="U36" s="58">
        <v>5073126</v>
      </c>
      <c r="V36" s="58">
        <v>5342505</v>
      </c>
      <c r="W36" s="58">
        <v>5638460</v>
      </c>
      <c r="X36" s="58">
        <v>5975069</v>
      </c>
      <c r="Y36" s="58">
        <v>6271913</v>
      </c>
      <c r="Z36" s="58">
        <v>6337702</v>
      </c>
      <c r="AA36" s="58">
        <v>5567689</v>
      </c>
      <c r="AB36" s="58">
        <v>4157291</v>
      </c>
      <c r="AC36" s="59">
        <v>3718567</v>
      </c>
      <c r="AD36" t="str">
        <f t="shared" si="0"/>
        <v>Fall</v>
      </c>
      <c r="AE36" t="str">
        <f>INDEX('Category Mapping'!$B$2:$B$29,MATCH('Source Data'!A36,'Category Mapping'!$A$2:$A$29,0))</f>
        <v>Weekday</v>
      </c>
      <c r="AF36" t="str">
        <f>INDEX('Category Mapping'!$C$2:$C$29,MATCH('Source Data'!A36,'Category Mapping'!$A$2:$A$29,0))</f>
        <v>Residential</v>
      </c>
      <c r="AG36" t="str">
        <f>INDEX('Category Mapping'!$D$2:$D$29,MATCH('Source Data'!A36,'Category Mapping'!$A$2:$A$29,0))</f>
        <v>Heating</v>
      </c>
    </row>
    <row r="37" spans="1:33" x14ac:dyDescent="0.25">
      <c r="A37" s="54" t="s">
        <v>88</v>
      </c>
      <c r="B37" s="55">
        <v>2019</v>
      </c>
      <c r="C37" s="55">
        <v>19</v>
      </c>
      <c r="D37" s="55" t="s">
        <v>208</v>
      </c>
      <c r="E37" s="55">
        <v>11</v>
      </c>
      <c r="F37" s="55">
        <v>10400000</v>
      </c>
      <c r="G37" s="55">
        <v>10700000</v>
      </c>
      <c r="H37" s="55">
        <v>10800000</v>
      </c>
      <c r="I37" s="55">
        <v>10700000</v>
      </c>
      <c r="J37" s="55">
        <v>10400000</v>
      </c>
      <c r="K37" s="55">
        <v>13600000</v>
      </c>
      <c r="L37" s="55">
        <v>14500000</v>
      </c>
      <c r="M37" s="55">
        <v>14000000</v>
      </c>
      <c r="N37" s="55">
        <v>13200000</v>
      </c>
      <c r="O37" s="55">
        <v>8654439</v>
      </c>
      <c r="P37" s="55">
        <v>8614184</v>
      </c>
      <c r="Q37" s="55">
        <v>9047819</v>
      </c>
      <c r="R37" s="55">
        <v>9313377</v>
      </c>
      <c r="S37" s="55">
        <v>9388088</v>
      </c>
      <c r="T37" s="55">
        <v>9524004</v>
      </c>
      <c r="U37" s="55">
        <v>9963037</v>
      </c>
      <c r="V37" s="55">
        <v>10500000</v>
      </c>
      <c r="W37" s="55">
        <v>11100000</v>
      </c>
      <c r="X37" s="55">
        <v>11700000</v>
      </c>
      <c r="Y37" s="55">
        <v>12400000</v>
      </c>
      <c r="Z37" s="55">
        <v>13300000</v>
      </c>
      <c r="AA37" s="55">
        <v>12400000</v>
      </c>
      <c r="AB37" s="55">
        <v>10300000</v>
      </c>
      <c r="AC37" s="56">
        <v>10000000</v>
      </c>
      <c r="AD37" t="str">
        <f t="shared" si="0"/>
        <v>Winter</v>
      </c>
      <c r="AE37" t="str">
        <f>INDEX('Category Mapping'!$B$2:$B$29,MATCH('Source Data'!A37,'Category Mapping'!$A$2:$A$29,0))</f>
        <v>Weekday</v>
      </c>
      <c r="AF37" t="str">
        <f>INDEX('Category Mapping'!$C$2:$C$29,MATCH('Source Data'!A37,'Category Mapping'!$A$2:$A$29,0))</f>
        <v>Residential</v>
      </c>
      <c r="AG37" t="str">
        <f>INDEX('Category Mapping'!$D$2:$D$29,MATCH('Source Data'!A37,'Category Mapping'!$A$2:$A$29,0))</f>
        <v>Heating</v>
      </c>
    </row>
    <row r="38" spans="1:33" x14ac:dyDescent="0.25">
      <c r="A38" s="57" t="s">
        <v>88</v>
      </c>
      <c r="B38" s="58">
        <v>2019</v>
      </c>
      <c r="C38" s="58">
        <v>19</v>
      </c>
      <c r="D38" s="58" t="s">
        <v>208</v>
      </c>
      <c r="E38" s="58">
        <v>12</v>
      </c>
      <c r="F38" s="58">
        <v>17500000</v>
      </c>
      <c r="G38" s="58">
        <v>17800000</v>
      </c>
      <c r="H38" s="58">
        <v>17900000</v>
      </c>
      <c r="I38" s="58">
        <v>17800000</v>
      </c>
      <c r="J38" s="58">
        <v>17500000</v>
      </c>
      <c r="K38" s="58">
        <v>21500000</v>
      </c>
      <c r="L38" s="58">
        <v>22700000</v>
      </c>
      <c r="M38" s="58">
        <v>22200000</v>
      </c>
      <c r="N38" s="58">
        <v>21200000</v>
      </c>
      <c r="O38" s="58">
        <v>15600000</v>
      </c>
      <c r="P38" s="58">
        <v>14900000</v>
      </c>
      <c r="Q38" s="58">
        <v>14800000</v>
      </c>
      <c r="R38" s="58">
        <v>14700000</v>
      </c>
      <c r="S38" s="58">
        <v>14500000</v>
      </c>
      <c r="T38" s="58">
        <v>14500000</v>
      </c>
      <c r="U38" s="58">
        <v>15200000</v>
      </c>
      <c r="V38" s="58">
        <v>16200000</v>
      </c>
      <c r="W38" s="58">
        <v>17400000</v>
      </c>
      <c r="X38" s="58">
        <v>18900000</v>
      </c>
      <c r="Y38" s="58">
        <v>20400000</v>
      </c>
      <c r="Z38" s="58">
        <v>21300000</v>
      </c>
      <c r="AA38" s="58">
        <v>20200000</v>
      </c>
      <c r="AB38" s="58">
        <v>17400000</v>
      </c>
      <c r="AC38" s="59">
        <v>17000000</v>
      </c>
      <c r="AD38" t="str">
        <f t="shared" si="0"/>
        <v>Winter</v>
      </c>
      <c r="AE38" t="str">
        <f>INDEX('Category Mapping'!$B$2:$B$29,MATCH('Source Data'!A38,'Category Mapping'!$A$2:$A$29,0))</f>
        <v>Weekday</v>
      </c>
      <c r="AF38" t="str">
        <f>INDEX('Category Mapping'!$C$2:$C$29,MATCH('Source Data'!A38,'Category Mapping'!$A$2:$A$29,0))</f>
        <v>Residential</v>
      </c>
      <c r="AG38" t="str">
        <f>INDEX('Category Mapping'!$D$2:$D$29,MATCH('Source Data'!A38,'Category Mapping'!$A$2:$A$29,0))</f>
        <v>Heating</v>
      </c>
    </row>
    <row r="39" spans="1:33" x14ac:dyDescent="0.25">
      <c r="A39" s="54" t="s">
        <v>89</v>
      </c>
      <c r="B39" s="55">
        <v>2019</v>
      </c>
      <c r="C39" s="55">
        <v>19</v>
      </c>
      <c r="D39" s="55" t="s">
        <v>208</v>
      </c>
      <c r="E39" s="55">
        <v>1</v>
      </c>
      <c r="F39" s="55">
        <v>11500000</v>
      </c>
      <c r="G39" s="55">
        <v>11700000</v>
      </c>
      <c r="H39" s="55">
        <v>11700000</v>
      </c>
      <c r="I39" s="55">
        <v>11700000</v>
      </c>
      <c r="J39" s="55">
        <v>11500000</v>
      </c>
      <c r="K39" s="55">
        <v>11900000</v>
      </c>
      <c r="L39" s="55">
        <v>12500000</v>
      </c>
      <c r="M39" s="55">
        <v>13300000</v>
      </c>
      <c r="N39" s="55">
        <v>13600000</v>
      </c>
      <c r="O39" s="55">
        <v>13300000</v>
      </c>
      <c r="P39" s="55">
        <v>12800000</v>
      </c>
      <c r="Q39" s="55">
        <v>10900000</v>
      </c>
      <c r="R39" s="55">
        <v>10700000</v>
      </c>
      <c r="S39" s="55">
        <v>10500000</v>
      </c>
      <c r="T39" s="55">
        <v>10400000</v>
      </c>
      <c r="U39" s="55">
        <v>10500000</v>
      </c>
      <c r="V39" s="55">
        <v>10800000</v>
      </c>
      <c r="W39" s="55">
        <v>11400000</v>
      </c>
      <c r="X39" s="55">
        <v>12100000</v>
      </c>
      <c r="Y39" s="55">
        <v>12800000</v>
      </c>
      <c r="Z39" s="55">
        <v>13300000</v>
      </c>
      <c r="AA39" s="55">
        <v>12800000</v>
      </c>
      <c r="AB39" s="55">
        <v>11600000</v>
      </c>
      <c r="AC39" s="56">
        <v>11100000</v>
      </c>
      <c r="AD39" t="str">
        <f t="shared" si="0"/>
        <v>Winter</v>
      </c>
      <c r="AE39" t="str">
        <f>INDEX('Category Mapping'!$B$2:$B$29,MATCH('Source Data'!A39,'Category Mapping'!$A$2:$A$29,0))</f>
        <v>Weekend</v>
      </c>
      <c r="AF39" t="str">
        <f>INDEX('Category Mapping'!$C$2:$C$29,MATCH('Source Data'!A39,'Category Mapping'!$A$2:$A$29,0))</f>
        <v>Residential</v>
      </c>
      <c r="AG39" t="str">
        <f>INDEX('Category Mapping'!$D$2:$D$29,MATCH('Source Data'!A39,'Category Mapping'!$A$2:$A$29,0))</f>
        <v>Heating</v>
      </c>
    </row>
    <row r="40" spans="1:33" x14ac:dyDescent="0.25">
      <c r="A40" s="57" t="s">
        <v>89</v>
      </c>
      <c r="B40" s="58">
        <v>2019</v>
      </c>
      <c r="C40" s="58">
        <v>19</v>
      </c>
      <c r="D40" s="58" t="s">
        <v>208</v>
      </c>
      <c r="E40" s="58">
        <v>2</v>
      </c>
      <c r="F40" s="58">
        <v>9218859</v>
      </c>
      <c r="G40" s="58">
        <v>9403205</v>
      </c>
      <c r="H40" s="58">
        <v>9465939</v>
      </c>
      <c r="I40" s="58">
        <v>9403205</v>
      </c>
      <c r="J40" s="58">
        <v>9218859</v>
      </c>
      <c r="K40" s="58">
        <v>9685058</v>
      </c>
      <c r="L40" s="58">
        <v>10200000</v>
      </c>
      <c r="M40" s="58">
        <v>10900000</v>
      </c>
      <c r="N40" s="58">
        <v>11200000</v>
      </c>
      <c r="O40" s="58">
        <v>10900000</v>
      </c>
      <c r="P40" s="58">
        <v>10500000</v>
      </c>
      <c r="Q40" s="58">
        <v>8566602</v>
      </c>
      <c r="R40" s="58">
        <v>8420815</v>
      </c>
      <c r="S40" s="58">
        <v>8230841</v>
      </c>
      <c r="T40" s="58">
        <v>8121941</v>
      </c>
      <c r="U40" s="58">
        <v>8195570</v>
      </c>
      <c r="V40" s="58">
        <v>8498767</v>
      </c>
      <c r="W40" s="58">
        <v>9013986</v>
      </c>
      <c r="X40" s="58">
        <v>9660495</v>
      </c>
      <c r="Y40" s="58">
        <v>10300000</v>
      </c>
      <c r="Z40" s="58">
        <v>10800000</v>
      </c>
      <c r="AA40" s="58">
        <v>10400000</v>
      </c>
      <c r="AB40" s="58">
        <v>9301245</v>
      </c>
      <c r="AC40" s="59">
        <v>8925870</v>
      </c>
      <c r="AD40" t="str">
        <f t="shared" si="0"/>
        <v>Winter</v>
      </c>
      <c r="AE40" t="str">
        <f>INDEX('Category Mapping'!$B$2:$B$29,MATCH('Source Data'!A40,'Category Mapping'!$A$2:$A$29,0))</f>
        <v>Weekend</v>
      </c>
      <c r="AF40" t="str">
        <f>INDEX('Category Mapping'!$C$2:$C$29,MATCH('Source Data'!A40,'Category Mapping'!$A$2:$A$29,0))</f>
        <v>Residential</v>
      </c>
      <c r="AG40" t="str">
        <f>INDEX('Category Mapping'!$D$2:$D$29,MATCH('Source Data'!A40,'Category Mapping'!$A$2:$A$29,0))</f>
        <v>Heating</v>
      </c>
    </row>
    <row r="41" spans="1:33" x14ac:dyDescent="0.25">
      <c r="A41" s="54" t="s">
        <v>89</v>
      </c>
      <c r="B41" s="55">
        <v>2019</v>
      </c>
      <c r="C41" s="55">
        <v>19</v>
      </c>
      <c r="D41" s="55" t="s">
        <v>208</v>
      </c>
      <c r="E41" s="55">
        <v>3</v>
      </c>
      <c r="F41" s="55">
        <v>7165946</v>
      </c>
      <c r="G41" s="55">
        <v>7341709</v>
      </c>
      <c r="H41" s="55">
        <v>7401971</v>
      </c>
      <c r="I41" s="55">
        <v>7341709</v>
      </c>
      <c r="J41" s="55">
        <v>7165946</v>
      </c>
      <c r="K41" s="55">
        <v>7760723</v>
      </c>
      <c r="L41" s="55">
        <v>8249120</v>
      </c>
      <c r="M41" s="55">
        <v>8920415</v>
      </c>
      <c r="N41" s="55">
        <v>9167345</v>
      </c>
      <c r="O41" s="55">
        <v>8886105</v>
      </c>
      <c r="P41" s="55">
        <v>8522854</v>
      </c>
      <c r="Q41" s="55">
        <v>6546186</v>
      </c>
      <c r="R41" s="55">
        <v>6648215</v>
      </c>
      <c r="S41" s="55">
        <v>6642837</v>
      </c>
      <c r="T41" s="55">
        <v>6598737</v>
      </c>
      <c r="U41" s="55">
        <v>6609144</v>
      </c>
      <c r="V41" s="55">
        <v>6722679</v>
      </c>
      <c r="W41" s="55">
        <v>6973553</v>
      </c>
      <c r="X41" s="55">
        <v>7590836</v>
      </c>
      <c r="Y41" s="55">
        <v>8239843</v>
      </c>
      <c r="Z41" s="55">
        <v>8668349</v>
      </c>
      <c r="AA41" s="55">
        <v>8269849</v>
      </c>
      <c r="AB41" s="55">
        <v>7245316</v>
      </c>
      <c r="AC41" s="56">
        <v>6886401</v>
      </c>
      <c r="AD41" t="str">
        <f t="shared" si="0"/>
        <v>Spring</v>
      </c>
      <c r="AE41" t="str">
        <f>INDEX('Category Mapping'!$B$2:$B$29,MATCH('Source Data'!A41,'Category Mapping'!$A$2:$A$29,0))</f>
        <v>Weekend</v>
      </c>
      <c r="AF41" t="str">
        <f>INDEX('Category Mapping'!$C$2:$C$29,MATCH('Source Data'!A41,'Category Mapping'!$A$2:$A$29,0))</f>
        <v>Residential</v>
      </c>
      <c r="AG41" t="str">
        <f>INDEX('Category Mapping'!$D$2:$D$29,MATCH('Source Data'!A41,'Category Mapping'!$A$2:$A$29,0))</f>
        <v>Heating</v>
      </c>
    </row>
    <row r="42" spans="1:33" x14ac:dyDescent="0.25">
      <c r="A42" s="57" t="s">
        <v>89</v>
      </c>
      <c r="B42" s="58">
        <v>2019</v>
      </c>
      <c r="C42" s="58">
        <v>19</v>
      </c>
      <c r="D42" s="58" t="s">
        <v>208</v>
      </c>
      <c r="E42" s="58">
        <v>4</v>
      </c>
      <c r="F42" s="58">
        <v>2996652</v>
      </c>
      <c r="G42" s="58">
        <v>3105374</v>
      </c>
      <c r="H42" s="58">
        <v>3142402</v>
      </c>
      <c r="I42" s="58">
        <v>3105374</v>
      </c>
      <c r="J42" s="58">
        <v>2996652</v>
      </c>
      <c r="K42" s="58">
        <v>3449882</v>
      </c>
      <c r="L42" s="58">
        <v>3870788</v>
      </c>
      <c r="M42" s="58">
        <v>4492762</v>
      </c>
      <c r="N42" s="58">
        <v>4881727</v>
      </c>
      <c r="O42" s="58">
        <v>4959783</v>
      </c>
      <c r="P42" s="58">
        <v>4973118</v>
      </c>
      <c r="Q42" s="58">
        <v>3828319</v>
      </c>
      <c r="R42" s="58">
        <v>3911243</v>
      </c>
      <c r="S42" s="58">
        <v>3908079</v>
      </c>
      <c r="T42" s="58">
        <v>3882134</v>
      </c>
      <c r="U42" s="58">
        <v>3888257</v>
      </c>
      <c r="V42" s="58">
        <v>3955051</v>
      </c>
      <c r="W42" s="58">
        <v>4079746</v>
      </c>
      <c r="X42" s="58">
        <v>4228393</v>
      </c>
      <c r="Y42" s="58">
        <v>4360468</v>
      </c>
      <c r="Z42" s="58">
        <v>4344700</v>
      </c>
      <c r="AA42" s="58">
        <v>3842194</v>
      </c>
      <c r="AB42" s="58">
        <v>3024241</v>
      </c>
      <c r="AC42" s="59">
        <v>2823919</v>
      </c>
      <c r="AD42" t="str">
        <f t="shared" si="0"/>
        <v>Spring</v>
      </c>
      <c r="AE42" t="str">
        <f>INDEX('Category Mapping'!$B$2:$B$29,MATCH('Source Data'!A42,'Category Mapping'!$A$2:$A$29,0))</f>
        <v>Weekend</v>
      </c>
      <c r="AF42" t="str">
        <f>INDEX('Category Mapping'!$C$2:$C$29,MATCH('Source Data'!A42,'Category Mapping'!$A$2:$A$29,0))</f>
        <v>Residential</v>
      </c>
      <c r="AG42" t="str">
        <f>INDEX('Category Mapping'!$D$2:$D$29,MATCH('Source Data'!A42,'Category Mapping'!$A$2:$A$29,0))</f>
        <v>Heating</v>
      </c>
    </row>
    <row r="43" spans="1:33" x14ac:dyDescent="0.25">
      <c r="A43" s="54" t="s">
        <v>89</v>
      </c>
      <c r="B43" s="55">
        <v>2019</v>
      </c>
      <c r="C43" s="55">
        <v>19</v>
      </c>
      <c r="D43" s="55" t="s">
        <v>208</v>
      </c>
      <c r="E43" s="55">
        <v>5</v>
      </c>
      <c r="F43" s="55">
        <v>783376</v>
      </c>
      <c r="G43" s="55">
        <v>783376</v>
      </c>
      <c r="H43" s="55">
        <v>783376</v>
      </c>
      <c r="I43" s="55">
        <v>783376</v>
      </c>
      <c r="J43" s="55">
        <v>783376</v>
      </c>
      <c r="K43" s="55">
        <v>1035251</v>
      </c>
      <c r="L43" s="55">
        <v>1182611</v>
      </c>
      <c r="M43" s="55">
        <v>1372637</v>
      </c>
      <c r="N43" s="55">
        <v>1491475</v>
      </c>
      <c r="O43" s="55">
        <v>1515322</v>
      </c>
      <c r="P43" s="55">
        <v>1519397</v>
      </c>
      <c r="Q43" s="55">
        <v>1169635</v>
      </c>
      <c r="R43" s="55">
        <v>1194971</v>
      </c>
      <c r="S43" s="55">
        <v>1194004</v>
      </c>
      <c r="T43" s="55">
        <v>1186077</v>
      </c>
      <c r="U43" s="55">
        <v>1187948</v>
      </c>
      <c r="V43" s="55">
        <v>1208355</v>
      </c>
      <c r="W43" s="55">
        <v>1246452</v>
      </c>
      <c r="X43" s="55">
        <v>1291867</v>
      </c>
      <c r="Y43" s="55">
        <v>1332219</v>
      </c>
      <c r="Z43" s="55">
        <v>1327401</v>
      </c>
      <c r="AA43" s="55">
        <v>1173875</v>
      </c>
      <c r="AB43" s="55">
        <v>913419</v>
      </c>
      <c r="AC43" s="56">
        <v>783376</v>
      </c>
      <c r="AD43" t="str">
        <f t="shared" si="0"/>
        <v>Spring</v>
      </c>
      <c r="AE43" t="str">
        <f>INDEX('Category Mapping'!$B$2:$B$29,MATCH('Source Data'!A43,'Category Mapping'!$A$2:$A$29,0))</f>
        <v>Weekend</v>
      </c>
      <c r="AF43" t="str">
        <f>INDEX('Category Mapping'!$C$2:$C$29,MATCH('Source Data'!A43,'Category Mapping'!$A$2:$A$29,0))</f>
        <v>Residential</v>
      </c>
      <c r="AG43" t="str">
        <f>INDEX('Category Mapping'!$D$2:$D$29,MATCH('Source Data'!A43,'Category Mapping'!$A$2:$A$29,0))</f>
        <v>Heating</v>
      </c>
    </row>
    <row r="44" spans="1:33" x14ac:dyDescent="0.25">
      <c r="A44" s="57" t="s">
        <v>89</v>
      </c>
      <c r="B44" s="58">
        <v>2019</v>
      </c>
      <c r="C44" s="58">
        <v>19</v>
      </c>
      <c r="D44" s="58" t="s">
        <v>208</v>
      </c>
      <c r="E44" s="58">
        <v>6</v>
      </c>
      <c r="F44" s="58">
        <v>134838</v>
      </c>
      <c r="G44" s="58">
        <v>134838</v>
      </c>
      <c r="H44" s="58">
        <v>134838</v>
      </c>
      <c r="I44" s="58">
        <v>134838</v>
      </c>
      <c r="J44" s="58">
        <v>134838</v>
      </c>
      <c r="K44" s="58">
        <v>178191</v>
      </c>
      <c r="L44" s="58">
        <v>203556</v>
      </c>
      <c r="M44" s="58">
        <v>236264</v>
      </c>
      <c r="N44" s="58">
        <v>256718</v>
      </c>
      <c r="O44" s="58">
        <v>260823</v>
      </c>
      <c r="P44" s="58">
        <v>261524</v>
      </c>
      <c r="Q44" s="58">
        <v>201322</v>
      </c>
      <c r="R44" s="58">
        <v>205683</v>
      </c>
      <c r="S44" s="58">
        <v>205517</v>
      </c>
      <c r="T44" s="58">
        <v>204152</v>
      </c>
      <c r="U44" s="58">
        <v>204474</v>
      </c>
      <c r="V44" s="58">
        <v>207987</v>
      </c>
      <c r="W44" s="58">
        <v>214544</v>
      </c>
      <c r="X44" s="58">
        <v>222361</v>
      </c>
      <c r="Y44" s="58">
        <v>229307</v>
      </c>
      <c r="Z44" s="58">
        <v>228478</v>
      </c>
      <c r="AA44" s="58">
        <v>202052</v>
      </c>
      <c r="AB44" s="58">
        <v>157221</v>
      </c>
      <c r="AC44" s="59">
        <v>134838</v>
      </c>
      <c r="AD44" t="str">
        <f t="shared" si="0"/>
        <v>Summer</v>
      </c>
      <c r="AE44" t="str">
        <f>INDEX('Category Mapping'!$B$2:$B$29,MATCH('Source Data'!A44,'Category Mapping'!$A$2:$A$29,0))</f>
        <v>Weekend</v>
      </c>
      <c r="AF44" t="str">
        <f>INDEX('Category Mapping'!$C$2:$C$29,MATCH('Source Data'!A44,'Category Mapping'!$A$2:$A$29,0))</f>
        <v>Residential</v>
      </c>
      <c r="AG44" t="str">
        <f>INDEX('Category Mapping'!$D$2:$D$29,MATCH('Source Data'!A44,'Category Mapping'!$A$2:$A$29,0))</f>
        <v>Heating</v>
      </c>
    </row>
    <row r="45" spans="1:33" x14ac:dyDescent="0.25">
      <c r="A45" s="54" t="s">
        <v>89</v>
      </c>
      <c r="B45" s="55">
        <v>2019</v>
      </c>
      <c r="C45" s="55">
        <v>19</v>
      </c>
      <c r="D45" s="55" t="s">
        <v>208</v>
      </c>
      <c r="E45" s="55">
        <v>7</v>
      </c>
      <c r="F45" s="55">
        <v>26531</v>
      </c>
      <c r="G45" s="55">
        <v>26531</v>
      </c>
      <c r="H45" s="55">
        <v>26531</v>
      </c>
      <c r="I45" s="55">
        <v>26531</v>
      </c>
      <c r="J45" s="55">
        <v>26531</v>
      </c>
      <c r="K45" s="55">
        <v>35061</v>
      </c>
      <c r="L45" s="55">
        <v>40051</v>
      </c>
      <c r="M45" s="55">
        <v>46487</v>
      </c>
      <c r="N45" s="55">
        <v>50512</v>
      </c>
      <c r="O45" s="55">
        <v>51319</v>
      </c>
      <c r="P45" s="55">
        <v>51457</v>
      </c>
      <c r="Q45" s="55">
        <v>39612</v>
      </c>
      <c r="R45" s="55">
        <v>40470</v>
      </c>
      <c r="S45" s="55">
        <v>40437</v>
      </c>
      <c r="T45" s="55">
        <v>40169</v>
      </c>
      <c r="U45" s="55">
        <v>40232</v>
      </c>
      <c r="V45" s="55">
        <v>40923</v>
      </c>
      <c r="W45" s="55">
        <v>42213</v>
      </c>
      <c r="X45" s="55">
        <v>43752</v>
      </c>
      <c r="Y45" s="55">
        <v>45118</v>
      </c>
      <c r="Z45" s="55">
        <v>44955</v>
      </c>
      <c r="AA45" s="55">
        <v>39756</v>
      </c>
      <c r="AB45" s="55">
        <v>30935</v>
      </c>
      <c r="AC45" s="56">
        <v>26531</v>
      </c>
      <c r="AD45" t="str">
        <f t="shared" si="0"/>
        <v>Summer</v>
      </c>
      <c r="AE45" t="str">
        <f>INDEX('Category Mapping'!$B$2:$B$29,MATCH('Source Data'!A45,'Category Mapping'!$A$2:$A$29,0))</f>
        <v>Weekend</v>
      </c>
      <c r="AF45" t="str">
        <f>INDEX('Category Mapping'!$C$2:$C$29,MATCH('Source Data'!A45,'Category Mapping'!$A$2:$A$29,0))</f>
        <v>Residential</v>
      </c>
      <c r="AG45" t="str">
        <f>INDEX('Category Mapping'!$D$2:$D$29,MATCH('Source Data'!A45,'Category Mapping'!$A$2:$A$29,0))</f>
        <v>Heating</v>
      </c>
    </row>
    <row r="46" spans="1:33" x14ac:dyDescent="0.25">
      <c r="A46" s="57" t="s">
        <v>89</v>
      </c>
      <c r="B46" s="58">
        <v>2019</v>
      </c>
      <c r="C46" s="58">
        <v>19</v>
      </c>
      <c r="D46" s="58" t="s">
        <v>208</v>
      </c>
      <c r="E46" s="58">
        <v>8</v>
      </c>
      <c r="F46" s="58">
        <v>27769</v>
      </c>
      <c r="G46" s="58">
        <v>27769</v>
      </c>
      <c r="H46" s="58">
        <v>27769</v>
      </c>
      <c r="I46" s="58">
        <v>27769</v>
      </c>
      <c r="J46" s="58">
        <v>27769</v>
      </c>
      <c r="K46" s="58">
        <v>36698</v>
      </c>
      <c r="L46" s="58">
        <v>41921</v>
      </c>
      <c r="M46" s="58">
        <v>48657</v>
      </c>
      <c r="N46" s="58">
        <v>52870</v>
      </c>
      <c r="O46" s="58">
        <v>53715</v>
      </c>
      <c r="P46" s="58">
        <v>53860</v>
      </c>
      <c r="Q46" s="58">
        <v>41461</v>
      </c>
      <c r="R46" s="58">
        <v>42359</v>
      </c>
      <c r="S46" s="58">
        <v>42325</v>
      </c>
      <c r="T46" s="58">
        <v>42044</v>
      </c>
      <c r="U46" s="58">
        <v>42110</v>
      </c>
      <c r="V46" s="58">
        <v>42834</v>
      </c>
      <c r="W46" s="58">
        <v>44184</v>
      </c>
      <c r="X46" s="58">
        <v>45794</v>
      </c>
      <c r="Y46" s="58">
        <v>47225</v>
      </c>
      <c r="Z46" s="58">
        <v>47054</v>
      </c>
      <c r="AA46" s="58">
        <v>41612</v>
      </c>
      <c r="AB46" s="58">
        <v>32379</v>
      </c>
      <c r="AC46" s="59">
        <v>27769</v>
      </c>
      <c r="AD46" t="str">
        <f t="shared" si="0"/>
        <v>Summer</v>
      </c>
      <c r="AE46" t="str">
        <f>INDEX('Category Mapping'!$B$2:$B$29,MATCH('Source Data'!A46,'Category Mapping'!$A$2:$A$29,0))</f>
        <v>Weekend</v>
      </c>
      <c r="AF46" t="str">
        <f>INDEX('Category Mapping'!$C$2:$C$29,MATCH('Source Data'!A46,'Category Mapping'!$A$2:$A$29,0))</f>
        <v>Residential</v>
      </c>
      <c r="AG46" t="str">
        <f>INDEX('Category Mapping'!$D$2:$D$29,MATCH('Source Data'!A46,'Category Mapping'!$A$2:$A$29,0))</f>
        <v>Heating</v>
      </c>
    </row>
    <row r="47" spans="1:33" x14ac:dyDescent="0.25">
      <c r="A47" s="54" t="s">
        <v>89</v>
      </c>
      <c r="B47" s="55">
        <v>2019</v>
      </c>
      <c r="C47" s="55">
        <v>19</v>
      </c>
      <c r="D47" s="55" t="s">
        <v>208</v>
      </c>
      <c r="E47" s="55">
        <v>9</v>
      </c>
      <c r="F47" s="55">
        <v>275130</v>
      </c>
      <c r="G47" s="55">
        <v>275130</v>
      </c>
      <c r="H47" s="55">
        <v>275130</v>
      </c>
      <c r="I47" s="55">
        <v>275130</v>
      </c>
      <c r="J47" s="55">
        <v>275130</v>
      </c>
      <c r="K47" s="55">
        <v>363591</v>
      </c>
      <c r="L47" s="55">
        <v>415345</v>
      </c>
      <c r="M47" s="55">
        <v>482085</v>
      </c>
      <c r="N47" s="55">
        <v>523822</v>
      </c>
      <c r="O47" s="55">
        <v>532197</v>
      </c>
      <c r="P47" s="55">
        <v>533628</v>
      </c>
      <c r="Q47" s="55">
        <v>410788</v>
      </c>
      <c r="R47" s="55">
        <v>419686</v>
      </c>
      <c r="S47" s="55">
        <v>419347</v>
      </c>
      <c r="T47" s="55">
        <v>416563</v>
      </c>
      <c r="U47" s="55">
        <v>417220</v>
      </c>
      <c r="V47" s="55">
        <v>424387</v>
      </c>
      <c r="W47" s="55">
        <v>437767</v>
      </c>
      <c r="X47" s="55">
        <v>453717</v>
      </c>
      <c r="Y47" s="55">
        <v>467889</v>
      </c>
      <c r="Z47" s="55">
        <v>466197</v>
      </c>
      <c r="AA47" s="55">
        <v>412277</v>
      </c>
      <c r="AB47" s="55">
        <v>320802</v>
      </c>
      <c r="AC47" s="56">
        <v>275130</v>
      </c>
      <c r="AD47" t="str">
        <f t="shared" si="0"/>
        <v>Fall</v>
      </c>
      <c r="AE47" t="str">
        <f>INDEX('Category Mapping'!$B$2:$B$29,MATCH('Source Data'!A47,'Category Mapping'!$A$2:$A$29,0))</f>
        <v>Weekend</v>
      </c>
      <c r="AF47" t="str">
        <f>INDEX('Category Mapping'!$C$2:$C$29,MATCH('Source Data'!A47,'Category Mapping'!$A$2:$A$29,0))</f>
        <v>Residential</v>
      </c>
      <c r="AG47" t="str">
        <f>INDEX('Category Mapping'!$D$2:$D$29,MATCH('Source Data'!A47,'Category Mapping'!$A$2:$A$29,0))</f>
        <v>Heating</v>
      </c>
    </row>
    <row r="48" spans="1:33" x14ac:dyDescent="0.25">
      <c r="A48" s="57" t="s">
        <v>89</v>
      </c>
      <c r="B48" s="58">
        <v>2019</v>
      </c>
      <c r="C48" s="58">
        <v>19</v>
      </c>
      <c r="D48" s="58" t="s">
        <v>208</v>
      </c>
      <c r="E48" s="58">
        <v>10</v>
      </c>
      <c r="F48" s="58">
        <v>1927719</v>
      </c>
      <c r="G48" s="58">
        <v>1927719</v>
      </c>
      <c r="H48" s="58">
        <v>1943514</v>
      </c>
      <c r="I48" s="58">
        <v>1927719</v>
      </c>
      <c r="J48" s="58">
        <v>1927719</v>
      </c>
      <c r="K48" s="58">
        <v>2547530</v>
      </c>
      <c r="L48" s="58">
        <v>2910151</v>
      </c>
      <c r="M48" s="58">
        <v>3377765</v>
      </c>
      <c r="N48" s="58">
        <v>3670199</v>
      </c>
      <c r="O48" s="58">
        <v>3728883</v>
      </c>
      <c r="P48" s="58">
        <v>3738908</v>
      </c>
      <c r="Q48" s="58">
        <v>2878221</v>
      </c>
      <c r="R48" s="58">
        <v>2940566</v>
      </c>
      <c r="S48" s="58">
        <v>2938187</v>
      </c>
      <c r="T48" s="58">
        <v>2918681</v>
      </c>
      <c r="U48" s="58">
        <v>2923284</v>
      </c>
      <c r="V48" s="58">
        <v>2973502</v>
      </c>
      <c r="W48" s="58">
        <v>3067250</v>
      </c>
      <c r="X48" s="58">
        <v>3179007</v>
      </c>
      <c r="Y48" s="58">
        <v>3278304</v>
      </c>
      <c r="Z48" s="58">
        <v>3266449</v>
      </c>
      <c r="AA48" s="58">
        <v>2888653</v>
      </c>
      <c r="AB48" s="58">
        <v>2247729</v>
      </c>
      <c r="AC48" s="59">
        <v>1927719</v>
      </c>
      <c r="AD48" t="str">
        <f t="shared" si="0"/>
        <v>Fall</v>
      </c>
      <c r="AE48" t="str">
        <f>INDEX('Category Mapping'!$B$2:$B$29,MATCH('Source Data'!A48,'Category Mapping'!$A$2:$A$29,0))</f>
        <v>Weekend</v>
      </c>
      <c r="AF48" t="str">
        <f>INDEX('Category Mapping'!$C$2:$C$29,MATCH('Source Data'!A48,'Category Mapping'!$A$2:$A$29,0))</f>
        <v>Residential</v>
      </c>
      <c r="AG48" t="str">
        <f>INDEX('Category Mapping'!$D$2:$D$29,MATCH('Source Data'!A48,'Category Mapping'!$A$2:$A$29,0))</f>
        <v>Heating</v>
      </c>
    </row>
    <row r="49" spans="1:33" x14ac:dyDescent="0.25">
      <c r="A49" s="54" t="s">
        <v>89</v>
      </c>
      <c r="B49" s="55">
        <v>2019</v>
      </c>
      <c r="C49" s="55">
        <v>19</v>
      </c>
      <c r="D49" s="55" t="s">
        <v>208</v>
      </c>
      <c r="E49" s="55">
        <v>11</v>
      </c>
      <c r="F49" s="55">
        <v>5753227</v>
      </c>
      <c r="G49" s="55">
        <v>5903270</v>
      </c>
      <c r="H49" s="55">
        <v>5954427</v>
      </c>
      <c r="I49" s="55">
        <v>5903270</v>
      </c>
      <c r="J49" s="55">
        <v>5753227</v>
      </c>
      <c r="K49" s="55">
        <v>6293809</v>
      </c>
      <c r="L49" s="55">
        <v>6710736</v>
      </c>
      <c r="M49" s="55">
        <v>7283799</v>
      </c>
      <c r="N49" s="55">
        <v>7494595</v>
      </c>
      <c r="O49" s="55">
        <v>7254250</v>
      </c>
      <c r="P49" s="55">
        <v>7216180</v>
      </c>
      <c r="Q49" s="55">
        <v>5555034</v>
      </c>
      <c r="R49" s="55">
        <v>5675360</v>
      </c>
      <c r="S49" s="55">
        <v>5670770</v>
      </c>
      <c r="T49" s="55">
        <v>5633123</v>
      </c>
      <c r="U49" s="55">
        <v>5642007</v>
      </c>
      <c r="V49" s="55">
        <v>5738928</v>
      </c>
      <c r="W49" s="55">
        <v>5919864</v>
      </c>
      <c r="X49" s="55">
        <v>6135557</v>
      </c>
      <c r="Y49" s="55">
        <v>6669404</v>
      </c>
      <c r="Z49" s="55">
        <v>7035493</v>
      </c>
      <c r="AA49" s="55">
        <v>6695306</v>
      </c>
      <c r="AB49" s="55">
        <v>5820696</v>
      </c>
      <c r="AC49" s="56">
        <v>5514302</v>
      </c>
      <c r="AD49" t="str">
        <f t="shared" si="0"/>
        <v>Winter</v>
      </c>
      <c r="AE49" t="str">
        <f>INDEX('Category Mapping'!$B$2:$B$29,MATCH('Source Data'!A49,'Category Mapping'!$A$2:$A$29,0))</f>
        <v>Weekend</v>
      </c>
      <c r="AF49" t="str">
        <f>INDEX('Category Mapping'!$C$2:$C$29,MATCH('Source Data'!A49,'Category Mapping'!$A$2:$A$29,0))</f>
        <v>Residential</v>
      </c>
      <c r="AG49" t="str">
        <f>INDEX('Category Mapping'!$D$2:$D$29,MATCH('Source Data'!A49,'Category Mapping'!$A$2:$A$29,0))</f>
        <v>Heating</v>
      </c>
    </row>
    <row r="50" spans="1:33" x14ac:dyDescent="0.25">
      <c r="A50" s="57" t="s">
        <v>89</v>
      </c>
      <c r="B50" s="58">
        <v>2019</v>
      </c>
      <c r="C50" s="58">
        <v>19</v>
      </c>
      <c r="D50" s="58" t="s">
        <v>208</v>
      </c>
      <c r="E50" s="58">
        <v>12</v>
      </c>
      <c r="F50" s="58">
        <v>9631397</v>
      </c>
      <c r="G50" s="58">
        <v>9803247</v>
      </c>
      <c r="H50" s="58">
        <v>9862094</v>
      </c>
      <c r="I50" s="58">
        <v>9803247</v>
      </c>
      <c r="J50" s="58">
        <v>9631397</v>
      </c>
      <c r="K50" s="58">
        <v>10100000</v>
      </c>
      <c r="L50" s="58">
        <v>10700000</v>
      </c>
      <c r="M50" s="58">
        <v>11400000</v>
      </c>
      <c r="N50" s="58">
        <v>11800000</v>
      </c>
      <c r="O50" s="58">
        <v>11500000</v>
      </c>
      <c r="P50" s="58">
        <v>11100000</v>
      </c>
      <c r="Q50" s="58">
        <v>9242526</v>
      </c>
      <c r="R50" s="58">
        <v>9120867</v>
      </c>
      <c r="S50" s="58">
        <v>8943217</v>
      </c>
      <c r="T50" s="58">
        <v>8837173</v>
      </c>
      <c r="U50" s="58">
        <v>8906883</v>
      </c>
      <c r="V50" s="58">
        <v>9201168</v>
      </c>
      <c r="W50" s="58">
        <v>9703395</v>
      </c>
      <c r="X50" s="58">
        <v>10300000</v>
      </c>
      <c r="Y50" s="58">
        <v>11000000</v>
      </c>
      <c r="Z50" s="58">
        <v>11400000</v>
      </c>
      <c r="AA50" s="58">
        <v>10900000</v>
      </c>
      <c r="AB50" s="58">
        <v>9781972</v>
      </c>
      <c r="AC50" s="59">
        <v>9358097</v>
      </c>
      <c r="AD50" t="str">
        <f t="shared" si="0"/>
        <v>Winter</v>
      </c>
      <c r="AE50" t="str">
        <f>INDEX('Category Mapping'!$B$2:$B$29,MATCH('Source Data'!A50,'Category Mapping'!$A$2:$A$29,0))</f>
        <v>Weekend</v>
      </c>
      <c r="AF50" t="str">
        <f>INDEX('Category Mapping'!$C$2:$C$29,MATCH('Source Data'!A50,'Category Mapping'!$A$2:$A$29,0))</f>
        <v>Residential</v>
      </c>
      <c r="AG50" t="str">
        <f>INDEX('Category Mapping'!$D$2:$D$29,MATCH('Source Data'!A50,'Category Mapping'!$A$2:$A$29,0))</f>
        <v>Heating</v>
      </c>
    </row>
    <row r="51" spans="1:33" x14ac:dyDescent="0.25">
      <c r="A51" s="54" t="s">
        <v>90</v>
      </c>
      <c r="B51" s="55">
        <v>2019</v>
      </c>
      <c r="C51" s="55">
        <v>19</v>
      </c>
      <c r="D51" s="55" t="s">
        <v>208</v>
      </c>
      <c r="E51" s="55">
        <v>1</v>
      </c>
      <c r="F51" s="55">
        <v>11700000</v>
      </c>
      <c r="G51" s="55">
        <v>10800000</v>
      </c>
      <c r="H51" s="55">
        <v>10700000</v>
      </c>
      <c r="I51" s="55">
        <v>10900000</v>
      </c>
      <c r="J51" s="55">
        <v>14100000</v>
      </c>
      <c r="K51" s="55">
        <v>24200000</v>
      </c>
      <c r="L51" s="55">
        <v>35300000</v>
      </c>
      <c r="M51" s="55">
        <v>33200000</v>
      </c>
      <c r="N51" s="55">
        <v>10700000</v>
      </c>
      <c r="O51" s="55">
        <v>10300000</v>
      </c>
      <c r="P51" s="55">
        <v>10500000</v>
      </c>
      <c r="Q51" s="55">
        <v>11500000</v>
      </c>
      <c r="R51" s="55">
        <v>12100000</v>
      </c>
      <c r="S51" s="55">
        <v>12300000</v>
      </c>
      <c r="T51" s="55">
        <v>12600000</v>
      </c>
      <c r="U51" s="55">
        <v>13600000</v>
      </c>
      <c r="V51" s="55">
        <v>45100000</v>
      </c>
      <c r="W51" s="55">
        <v>54100000</v>
      </c>
      <c r="X51" s="55">
        <v>59200000</v>
      </c>
      <c r="Y51" s="55">
        <v>63700000</v>
      </c>
      <c r="Z51" s="55">
        <v>64700000</v>
      </c>
      <c r="AA51" s="55">
        <v>53000000</v>
      </c>
      <c r="AB51" s="55">
        <v>31500000</v>
      </c>
      <c r="AC51" s="56">
        <v>16600000</v>
      </c>
      <c r="AD51" t="str">
        <f t="shared" si="0"/>
        <v>Winter</v>
      </c>
      <c r="AE51" t="str">
        <f>INDEX('Category Mapping'!$B$2:$B$29,MATCH('Source Data'!A51,'Category Mapping'!$A$2:$A$29,0))</f>
        <v>Weekday</v>
      </c>
      <c r="AF51" t="str">
        <f>INDEX('Category Mapping'!$C$2:$C$29,MATCH('Source Data'!A51,'Category Mapping'!$A$2:$A$29,0))</f>
        <v>Residential</v>
      </c>
      <c r="AG51" t="str">
        <f>INDEX('Category Mapping'!$D$2:$D$29,MATCH('Source Data'!A51,'Category Mapping'!$A$2:$A$29,0))</f>
        <v>Lighting</v>
      </c>
    </row>
    <row r="52" spans="1:33" x14ac:dyDescent="0.25">
      <c r="A52" s="57" t="s">
        <v>90</v>
      </c>
      <c r="B52" s="58">
        <v>2019</v>
      </c>
      <c r="C52" s="58">
        <v>19</v>
      </c>
      <c r="D52" s="58" t="s">
        <v>208</v>
      </c>
      <c r="E52" s="58">
        <v>2</v>
      </c>
      <c r="F52" s="58">
        <v>11400000</v>
      </c>
      <c r="G52" s="58">
        <v>10500000</v>
      </c>
      <c r="H52" s="58">
        <v>10400000</v>
      </c>
      <c r="I52" s="58">
        <v>10600000</v>
      </c>
      <c r="J52" s="58">
        <v>13700000</v>
      </c>
      <c r="K52" s="58">
        <v>23500000</v>
      </c>
      <c r="L52" s="58">
        <v>34300000</v>
      </c>
      <c r="M52" s="58">
        <v>16900000</v>
      </c>
      <c r="N52" s="58">
        <v>10400000</v>
      </c>
      <c r="O52" s="58">
        <v>10000000</v>
      </c>
      <c r="P52" s="58">
        <v>10200000</v>
      </c>
      <c r="Q52" s="58">
        <v>11200000</v>
      </c>
      <c r="R52" s="58">
        <v>11800000</v>
      </c>
      <c r="S52" s="58">
        <v>12000000</v>
      </c>
      <c r="T52" s="58">
        <v>12300000</v>
      </c>
      <c r="U52" s="58">
        <v>13300000</v>
      </c>
      <c r="V52" s="58">
        <v>22900000</v>
      </c>
      <c r="W52" s="58">
        <v>52500000</v>
      </c>
      <c r="X52" s="58">
        <v>57500000</v>
      </c>
      <c r="Y52" s="58">
        <v>61900000</v>
      </c>
      <c r="Z52" s="58">
        <v>62900000</v>
      </c>
      <c r="AA52" s="58">
        <v>51500000</v>
      </c>
      <c r="AB52" s="58">
        <v>30600000</v>
      </c>
      <c r="AC52" s="59">
        <v>16100000</v>
      </c>
      <c r="AD52" t="str">
        <f t="shared" si="0"/>
        <v>Winter</v>
      </c>
      <c r="AE52" t="str">
        <f>INDEX('Category Mapping'!$B$2:$B$29,MATCH('Source Data'!A52,'Category Mapping'!$A$2:$A$29,0))</f>
        <v>Weekday</v>
      </c>
      <c r="AF52" t="str">
        <f>INDEX('Category Mapping'!$C$2:$C$29,MATCH('Source Data'!A52,'Category Mapping'!$A$2:$A$29,0))</f>
        <v>Residential</v>
      </c>
      <c r="AG52" t="str">
        <f>INDEX('Category Mapping'!$D$2:$D$29,MATCH('Source Data'!A52,'Category Mapping'!$A$2:$A$29,0))</f>
        <v>Lighting</v>
      </c>
    </row>
    <row r="53" spans="1:33" x14ac:dyDescent="0.25">
      <c r="A53" s="54" t="s">
        <v>90</v>
      </c>
      <c r="B53" s="55">
        <v>2019</v>
      </c>
      <c r="C53" s="55">
        <v>19</v>
      </c>
      <c r="D53" s="55" t="s">
        <v>208</v>
      </c>
      <c r="E53" s="55">
        <v>3</v>
      </c>
      <c r="F53" s="55">
        <v>10500000</v>
      </c>
      <c r="G53" s="55">
        <v>9700166</v>
      </c>
      <c r="H53" s="55">
        <v>9604977</v>
      </c>
      <c r="I53" s="55">
        <v>9819097</v>
      </c>
      <c r="J53" s="55">
        <v>12600000</v>
      </c>
      <c r="K53" s="55">
        <v>21700000</v>
      </c>
      <c r="L53" s="55">
        <v>31200000</v>
      </c>
      <c r="M53" s="55">
        <v>10500000</v>
      </c>
      <c r="N53" s="55">
        <v>9639399</v>
      </c>
      <c r="O53" s="55">
        <v>9272622</v>
      </c>
      <c r="P53" s="55">
        <v>9424134</v>
      </c>
      <c r="Q53" s="55">
        <v>10300000</v>
      </c>
      <c r="R53" s="55">
        <v>10900000</v>
      </c>
      <c r="S53" s="55">
        <v>11000000</v>
      </c>
      <c r="T53" s="55">
        <v>11300000</v>
      </c>
      <c r="U53" s="55">
        <v>12200000</v>
      </c>
      <c r="V53" s="55">
        <v>14200000</v>
      </c>
      <c r="W53" s="55">
        <v>47800000</v>
      </c>
      <c r="X53" s="55">
        <v>53200000</v>
      </c>
      <c r="Y53" s="55">
        <v>57200000</v>
      </c>
      <c r="Z53" s="55">
        <v>58100000</v>
      </c>
      <c r="AA53" s="55">
        <v>47600000</v>
      </c>
      <c r="AB53" s="55">
        <v>28300000</v>
      </c>
      <c r="AC53" s="56">
        <v>14900000</v>
      </c>
      <c r="AD53" t="str">
        <f t="shared" si="0"/>
        <v>Spring</v>
      </c>
      <c r="AE53" t="str">
        <f>INDEX('Category Mapping'!$B$2:$B$29,MATCH('Source Data'!A53,'Category Mapping'!$A$2:$A$29,0))</f>
        <v>Weekday</v>
      </c>
      <c r="AF53" t="str">
        <f>INDEX('Category Mapping'!$C$2:$C$29,MATCH('Source Data'!A53,'Category Mapping'!$A$2:$A$29,0))</f>
        <v>Residential</v>
      </c>
      <c r="AG53" t="str">
        <f>INDEX('Category Mapping'!$D$2:$D$29,MATCH('Source Data'!A53,'Category Mapping'!$A$2:$A$29,0))</f>
        <v>Lighting</v>
      </c>
    </row>
    <row r="54" spans="1:33" x14ac:dyDescent="0.25">
      <c r="A54" s="57" t="s">
        <v>90</v>
      </c>
      <c r="B54" s="58">
        <v>2019</v>
      </c>
      <c r="C54" s="58">
        <v>19</v>
      </c>
      <c r="D54" s="58" t="s">
        <v>208</v>
      </c>
      <c r="E54" s="58">
        <v>4</v>
      </c>
      <c r="F54" s="58">
        <v>10400000</v>
      </c>
      <c r="G54" s="58">
        <v>9589808</v>
      </c>
      <c r="H54" s="58">
        <v>9495704</v>
      </c>
      <c r="I54" s="58">
        <v>9707388</v>
      </c>
      <c r="J54" s="58">
        <v>12500000</v>
      </c>
      <c r="K54" s="58">
        <v>21500000</v>
      </c>
      <c r="L54" s="58">
        <v>14900000</v>
      </c>
      <c r="M54" s="58">
        <v>9730725</v>
      </c>
      <c r="N54" s="58">
        <v>9529734</v>
      </c>
      <c r="O54" s="58">
        <v>9167130</v>
      </c>
      <c r="P54" s="58">
        <v>9316919</v>
      </c>
      <c r="Q54" s="58">
        <v>10200000</v>
      </c>
      <c r="R54" s="58">
        <v>10800000</v>
      </c>
      <c r="S54" s="58">
        <v>10900000</v>
      </c>
      <c r="T54" s="58">
        <v>11200000</v>
      </c>
      <c r="U54" s="58">
        <v>12100000</v>
      </c>
      <c r="V54" s="58">
        <v>13200000</v>
      </c>
      <c r="W54" s="58">
        <v>22800000</v>
      </c>
      <c r="X54" s="58">
        <v>52600000</v>
      </c>
      <c r="Y54" s="58">
        <v>56600000</v>
      </c>
      <c r="Z54" s="58">
        <v>57500000</v>
      </c>
      <c r="AA54" s="58">
        <v>47000000</v>
      </c>
      <c r="AB54" s="58">
        <v>28000000</v>
      </c>
      <c r="AC54" s="59">
        <v>14700000</v>
      </c>
      <c r="AD54" t="str">
        <f t="shared" si="0"/>
        <v>Spring</v>
      </c>
      <c r="AE54" t="str">
        <f>INDEX('Category Mapping'!$B$2:$B$29,MATCH('Source Data'!A54,'Category Mapping'!$A$2:$A$29,0))</f>
        <v>Weekday</v>
      </c>
      <c r="AF54" t="str">
        <f>INDEX('Category Mapping'!$C$2:$C$29,MATCH('Source Data'!A54,'Category Mapping'!$A$2:$A$29,0))</f>
        <v>Residential</v>
      </c>
      <c r="AG54" t="str">
        <f>INDEX('Category Mapping'!$D$2:$D$29,MATCH('Source Data'!A54,'Category Mapping'!$A$2:$A$29,0))</f>
        <v>Lighting</v>
      </c>
    </row>
    <row r="55" spans="1:33" x14ac:dyDescent="0.25">
      <c r="A55" s="54" t="s">
        <v>90</v>
      </c>
      <c r="B55" s="55">
        <v>2019</v>
      </c>
      <c r="C55" s="55">
        <v>19</v>
      </c>
      <c r="D55" s="55" t="s">
        <v>208</v>
      </c>
      <c r="E55" s="55">
        <v>5</v>
      </c>
      <c r="F55" s="55">
        <v>9967663</v>
      </c>
      <c r="G55" s="55">
        <v>9185694</v>
      </c>
      <c r="H55" s="55">
        <v>9095554</v>
      </c>
      <c r="I55" s="55">
        <v>9298318</v>
      </c>
      <c r="J55" s="55">
        <v>12000000</v>
      </c>
      <c r="K55" s="55">
        <v>19100000</v>
      </c>
      <c r="L55" s="55">
        <v>10500000</v>
      </c>
      <c r="M55" s="55">
        <v>9320671</v>
      </c>
      <c r="N55" s="55">
        <v>9128150</v>
      </c>
      <c r="O55" s="55">
        <v>8780826</v>
      </c>
      <c r="P55" s="55">
        <v>8924303</v>
      </c>
      <c r="Q55" s="55">
        <v>9783070</v>
      </c>
      <c r="R55" s="55">
        <v>10300000</v>
      </c>
      <c r="S55" s="55">
        <v>10500000</v>
      </c>
      <c r="T55" s="55">
        <v>10700000</v>
      </c>
      <c r="U55" s="55">
        <v>11600000</v>
      </c>
      <c r="V55" s="55">
        <v>12600000</v>
      </c>
      <c r="W55" s="55">
        <v>16000000</v>
      </c>
      <c r="X55" s="55">
        <v>46700000</v>
      </c>
      <c r="Y55" s="55">
        <v>54200000</v>
      </c>
      <c r="Z55" s="55">
        <v>55000000</v>
      </c>
      <c r="AA55" s="55">
        <v>45100000</v>
      </c>
      <c r="AB55" s="55">
        <v>26800000</v>
      </c>
      <c r="AC55" s="56">
        <v>14100000</v>
      </c>
      <c r="AD55" t="str">
        <f t="shared" si="0"/>
        <v>Spring</v>
      </c>
      <c r="AE55" t="str">
        <f>INDEX('Category Mapping'!$B$2:$B$29,MATCH('Source Data'!A55,'Category Mapping'!$A$2:$A$29,0))</f>
        <v>Weekday</v>
      </c>
      <c r="AF55" t="str">
        <f>INDEX('Category Mapping'!$C$2:$C$29,MATCH('Source Data'!A55,'Category Mapping'!$A$2:$A$29,0))</f>
        <v>Residential</v>
      </c>
      <c r="AG55" t="str">
        <f>INDEX('Category Mapping'!$D$2:$D$29,MATCH('Source Data'!A55,'Category Mapping'!$A$2:$A$29,0))</f>
        <v>Lighting</v>
      </c>
    </row>
    <row r="56" spans="1:33" x14ac:dyDescent="0.25">
      <c r="A56" s="57" t="s">
        <v>90</v>
      </c>
      <c r="B56" s="58">
        <v>2019</v>
      </c>
      <c r="C56" s="58">
        <v>19</v>
      </c>
      <c r="D56" s="58" t="s">
        <v>208</v>
      </c>
      <c r="E56" s="58">
        <v>6</v>
      </c>
      <c r="F56" s="58">
        <v>10100000</v>
      </c>
      <c r="G56" s="58">
        <v>9311343</v>
      </c>
      <c r="H56" s="58">
        <v>9219972</v>
      </c>
      <c r="I56" s="58">
        <v>9425508</v>
      </c>
      <c r="J56" s="58">
        <v>12100000</v>
      </c>
      <c r="K56" s="58">
        <v>13600000</v>
      </c>
      <c r="L56" s="58">
        <v>9418487</v>
      </c>
      <c r="M56" s="58">
        <v>9448167</v>
      </c>
      <c r="N56" s="58">
        <v>9253012</v>
      </c>
      <c r="O56" s="58">
        <v>8900938</v>
      </c>
      <c r="P56" s="58">
        <v>9046377</v>
      </c>
      <c r="Q56" s="58">
        <v>9916891</v>
      </c>
      <c r="R56" s="58">
        <v>10400000</v>
      </c>
      <c r="S56" s="58">
        <v>10600000</v>
      </c>
      <c r="T56" s="58">
        <v>10900000</v>
      </c>
      <c r="U56" s="58">
        <v>11800000</v>
      </c>
      <c r="V56" s="58">
        <v>12800000</v>
      </c>
      <c r="W56" s="58">
        <v>14400000</v>
      </c>
      <c r="X56" s="58">
        <v>33200000</v>
      </c>
      <c r="Y56" s="58">
        <v>54900000</v>
      </c>
      <c r="Z56" s="58">
        <v>55800000</v>
      </c>
      <c r="AA56" s="58">
        <v>45700000</v>
      </c>
      <c r="AB56" s="58">
        <v>27100000</v>
      </c>
      <c r="AC56" s="59">
        <v>14300000</v>
      </c>
      <c r="AD56" t="str">
        <f t="shared" si="0"/>
        <v>Summer</v>
      </c>
      <c r="AE56" t="str">
        <f>INDEX('Category Mapping'!$B$2:$B$29,MATCH('Source Data'!A56,'Category Mapping'!$A$2:$A$29,0))</f>
        <v>Weekday</v>
      </c>
      <c r="AF56" t="str">
        <f>INDEX('Category Mapping'!$C$2:$C$29,MATCH('Source Data'!A56,'Category Mapping'!$A$2:$A$29,0))</f>
        <v>Residential</v>
      </c>
      <c r="AG56" t="str">
        <f>INDEX('Category Mapping'!$D$2:$D$29,MATCH('Source Data'!A56,'Category Mapping'!$A$2:$A$29,0))</f>
        <v>Lighting</v>
      </c>
    </row>
    <row r="57" spans="1:33" x14ac:dyDescent="0.25">
      <c r="A57" s="54" t="s">
        <v>90</v>
      </c>
      <c r="B57" s="55">
        <v>2019</v>
      </c>
      <c r="C57" s="55">
        <v>19</v>
      </c>
      <c r="D57" s="55" t="s">
        <v>208</v>
      </c>
      <c r="E57" s="55">
        <v>7</v>
      </c>
      <c r="F57" s="55">
        <v>10100000</v>
      </c>
      <c r="G57" s="55">
        <v>9303487</v>
      </c>
      <c r="H57" s="55">
        <v>9212192</v>
      </c>
      <c r="I57" s="55">
        <v>9417556</v>
      </c>
      <c r="J57" s="55">
        <v>12100000</v>
      </c>
      <c r="K57" s="55">
        <v>14900000</v>
      </c>
      <c r="L57" s="55">
        <v>9753282</v>
      </c>
      <c r="M57" s="55">
        <v>9440196</v>
      </c>
      <c r="N57" s="55">
        <v>9245206</v>
      </c>
      <c r="O57" s="55">
        <v>8893428</v>
      </c>
      <c r="P57" s="55">
        <v>9038745</v>
      </c>
      <c r="Q57" s="55">
        <v>9908524</v>
      </c>
      <c r="R57" s="55">
        <v>10400000</v>
      </c>
      <c r="S57" s="55">
        <v>10600000</v>
      </c>
      <c r="T57" s="55">
        <v>10900000</v>
      </c>
      <c r="U57" s="55">
        <v>11700000</v>
      </c>
      <c r="V57" s="55">
        <v>12800000</v>
      </c>
      <c r="W57" s="55">
        <v>14900000</v>
      </c>
      <c r="X57" s="55">
        <v>36600000</v>
      </c>
      <c r="Y57" s="55">
        <v>54900000</v>
      </c>
      <c r="Z57" s="55">
        <v>55800000</v>
      </c>
      <c r="AA57" s="55">
        <v>45600000</v>
      </c>
      <c r="AB57" s="55">
        <v>27100000</v>
      </c>
      <c r="AC57" s="56">
        <v>14300000</v>
      </c>
      <c r="AD57" t="str">
        <f t="shared" si="0"/>
        <v>Summer</v>
      </c>
      <c r="AE57" t="str">
        <f>INDEX('Category Mapping'!$B$2:$B$29,MATCH('Source Data'!A57,'Category Mapping'!$A$2:$A$29,0))</f>
        <v>Weekday</v>
      </c>
      <c r="AF57" t="str">
        <f>INDEX('Category Mapping'!$C$2:$C$29,MATCH('Source Data'!A57,'Category Mapping'!$A$2:$A$29,0))</f>
        <v>Residential</v>
      </c>
      <c r="AG57" t="str">
        <f>INDEX('Category Mapping'!$D$2:$D$29,MATCH('Source Data'!A57,'Category Mapping'!$A$2:$A$29,0))</f>
        <v>Lighting</v>
      </c>
    </row>
    <row r="58" spans="1:33" x14ac:dyDescent="0.25">
      <c r="A58" s="57" t="s">
        <v>90</v>
      </c>
      <c r="B58" s="58">
        <v>2019</v>
      </c>
      <c r="C58" s="58">
        <v>19</v>
      </c>
      <c r="D58" s="58" t="s">
        <v>208</v>
      </c>
      <c r="E58" s="58">
        <v>8</v>
      </c>
      <c r="F58" s="58">
        <v>10100000</v>
      </c>
      <c r="G58" s="58">
        <v>9303677</v>
      </c>
      <c r="H58" s="58">
        <v>9212380</v>
      </c>
      <c r="I58" s="58">
        <v>9417748</v>
      </c>
      <c r="J58" s="58">
        <v>12100000</v>
      </c>
      <c r="K58" s="58">
        <v>20800000</v>
      </c>
      <c r="L58" s="58">
        <v>11900000</v>
      </c>
      <c r="M58" s="58">
        <v>9440389</v>
      </c>
      <c r="N58" s="58">
        <v>9245394</v>
      </c>
      <c r="O58" s="58">
        <v>8893610</v>
      </c>
      <c r="P58" s="58">
        <v>9038929</v>
      </c>
      <c r="Q58" s="58">
        <v>9908726</v>
      </c>
      <c r="R58" s="58">
        <v>10400000</v>
      </c>
      <c r="S58" s="58">
        <v>10600000</v>
      </c>
      <c r="T58" s="58">
        <v>10900000</v>
      </c>
      <c r="U58" s="58">
        <v>11700000</v>
      </c>
      <c r="V58" s="58">
        <v>12800000</v>
      </c>
      <c r="W58" s="58">
        <v>18200000</v>
      </c>
      <c r="X58" s="58">
        <v>51000000</v>
      </c>
      <c r="Y58" s="58">
        <v>54900000</v>
      </c>
      <c r="Z58" s="58">
        <v>55800000</v>
      </c>
      <c r="AA58" s="58">
        <v>45600000</v>
      </c>
      <c r="AB58" s="58">
        <v>27100000</v>
      </c>
      <c r="AC58" s="59">
        <v>14300000</v>
      </c>
      <c r="AD58" t="str">
        <f t="shared" si="0"/>
        <v>Summer</v>
      </c>
      <c r="AE58" t="str">
        <f>INDEX('Category Mapping'!$B$2:$B$29,MATCH('Source Data'!A58,'Category Mapping'!$A$2:$A$29,0))</f>
        <v>Weekday</v>
      </c>
      <c r="AF58" t="str">
        <f>INDEX('Category Mapping'!$C$2:$C$29,MATCH('Source Data'!A58,'Category Mapping'!$A$2:$A$29,0))</f>
        <v>Residential</v>
      </c>
      <c r="AG58" t="str">
        <f>INDEX('Category Mapping'!$D$2:$D$29,MATCH('Source Data'!A58,'Category Mapping'!$A$2:$A$29,0))</f>
        <v>Lighting</v>
      </c>
    </row>
    <row r="59" spans="1:33" x14ac:dyDescent="0.25">
      <c r="A59" s="54" t="s">
        <v>90</v>
      </c>
      <c r="B59" s="55">
        <v>2019</v>
      </c>
      <c r="C59" s="55">
        <v>19</v>
      </c>
      <c r="D59" s="55" t="s">
        <v>208</v>
      </c>
      <c r="E59" s="55">
        <v>9</v>
      </c>
      <c r="F59" s="55">
        <v>10600000</v>
      </c>
      <c r="G59" s="55">
        <v>9779567</v>
      </c>
      <c r="H59" s="55">
        <v>9683599</v>
      </c>
      <c r="I59" s="55">
        <v>9899472</v>
      </c>
      <c r="J59" s="55">
        <v>12700000</v>
      </c>
      <c r="K59" s="55">
        <v>21900000</v>
      </c>
      <c r="L59" s="55">
        <v>19300000</v>
      </c>
      <c r="M59" s="55">
        <v>9923271</v>
      </c>
      <c r="N59" s="55">
        <v>9718303</v>
      </c>
      <c r="O59" s="55">
        <v>9348525</v>
      </c>
      <c r="P59" s="55">
        <v>9501277</v>
      </c>
      <c r="Q59" s="55">
        <v>10400000</v>
      </c>
      <c r="R59" s="55">
        <v>11000000</v>
      </c>
      <c r="S59" s="55">
        <v>11100000</v>
      </c>
      <c r="T59" s="55">
        <v>11400000</v>
      </c>
      <c r="U59" s="55">
        <v>12300000</v>
      </c>
      <c r="V59" s="55">
        <v>13500000</v>
      </c>
      <c r="W59" s="55">
        <v>29600000</v>
      </c>
      <c r="X59" s="55">
        <v>53600000</v>
      </c>
      <c r="Y59" s="55">
        <v>57700000</v>
      </c>
      <c r="Z59" s="55">
        <v>58600000</v>
      </c>
      <c r="AA59" s="55">
        <v>48000000</v>
      </c>
      <c r="AB59" s="55">
        <v>28500000</v>
      </c>
      <c r="AC59" s="56">
        <v>15000000</v>
      </c>
      <c r="AD59" t="str">
        <f t="shared" si="0"/>
        <v>Fall</v>
      </c>
      <c r="AE59" t="str">
        <f>INDEX('Category Mapping'!$B$2:$B$29,MATCH('Source Data'!A59,'Category Mapping'!$A$2:$A$29,0))</f>
        <v>Weekday</v>
      </c>
      <c r="AF59" t="str">
        <f>INDEX('Category Mapping'!$C$2:$C$29,MATCH('Source Data'!A59,'Category Mapping'!$A$2:$A$29,0))</f>
        <v>Residential</v>
      </c>
      <c r="AG59" t="str">
        <f>INDEX('Category Mapping'!$D$2:$D$29,MATCH('Source Data'!A59,'Category Mapping'!$A$2:$A$29,0))</f>
        <v>Lighting</v>
      </c>
    </row>
    <row r="60" spans="1:33" x14ac:dyDescent="0.25">
      <c r="A60" s="57" t="s">
        <v>90</v>
      </c>
      <c r="B60" s="58">
        <v>2019</v>
      </c>
      <c r="C60" s="58">
        <v>19</v>
      </c>
      <c r="D60" s="58" t="s">
        <v>208</v>
      </c>
      <c r="E60" s="58">
        <v>10</v>
      </c>
      <c r="F60" s="58">
        <v>10900000</v>
      </c>
      <c r="G60" s="58">
        <v>10000000</v>
      </c>
      <c r="H60" s="58">
        <v>9944766</v>
      </c>
      <c r="I60" s="58">
        <v>10200000</v>
      </c>
      <c r="J60" s="58">
        <v>13100000</v>
      </c>
      <c r="K60" s="58">
        <v>22500000</v>
      </c>
      <c r="L60" s="58">
        <v>32900000</v>
      </c>
      <c r="M60" s="58">
        <v>12500000</v>
      </c>
      <c r="N60" s="58">
        <v>9980405</v>
      </c>
      <c r="O60" s="58">
        <v>9600653</v>
      </c>
      <c r="P60" s="58">
        <v>9757526</v>
      </c>
      <c r="Q60" s="58">
        <v>10700000</v>
      </c>
      <c r="R60" s="58">
        <v>11300000</v>
      </c>
      <c r="S60" s="58">
        <v>11400000</v>
      </c>
      <c r="T60" s="58">
        <v>11700000</v>
      </c>
      <c r="U60" s="58">
        <v>12700000</v>
      </c>
      <c r="V60" s="58">
        <v>17000000</v>
      </c>
      <c r="W60" s="58">
        <v>50300000</v>
      </c>
      <c r="X60" s="58">
        <v>55000000</v>
      </c>
      <c r="Y60" s="58">
        <v>59300000</v>
      </c>
      <c r="Z60" s="58">
        <v>60200000</v>
      </c>
      <c r="AA60" s="58">
        <v>49300000</v>
      </c>
      <c r="AB60" s="58">
        <v>29300000</v>
      </c>
      <c r="AC60" s="59">
        <v>15400000</v>
      </c>
      <c r="AD60" t="str">
        <f t="shared" si="0"/>
        <v>Fall</v>
      </c>
      <c r="AE60" t="str">
        <f>INDEX('Category Mapping'!$B$2:$B$29,MATCH('Source Data'!A60,'Category Mapping'!$A$2:$A$29,0))</f>
        <v>Weekday</v>
      </c>
      <c r="AF60" t="str">
        <f>INDEX('Category Mapping'!$C$2:$C$29,MATCH('Source Data'!A60,'Category Mapping'!$A$2:$A$29,0))</f>
        <v>Residential</v>
      </c>
      <c r="AG60" t="str">
        <f>INDEX('Category Mapping'!$D$2:$D$29,MATCH('Source Data'!A60,'Category Mapping'!$A$2:$A$29,0))</f>
        <v>Lighting</v>
      </c>
    </row>
    <row r="61" spans="1:33" x14ac:dyDescent="0.25">
      <c r="A61" s="54" t="s">
        <v>90</v>
      </c>
      <c r="B61" s="55">
        <v>2019</v>
      </c>
      <c r="C61" s="55">
        <v>19</v>
      </c>
      <c r="D61" s="55" t="s">
        <v>208</v>
      </c>
      <c r="E61" s="55">
        <v>11</v>
      </c>
      <c r="F61" s="55">
        <v>11700000</v>
      </c>
      <c r="G61" s="55">
        <v>10700000</v>
      </c>
      <c r="H61" s="55">
        <v>10600000</v>
      </c>
      <c r="I61" s="55">
        <v>10900000</v>
      </c>
      <c r="J61" s="55">
        <v>14000000</v>
      </c>
      <c r="K61" s="55">
        <v>24100000</v>
      </c>
      <c r="L61" s="55">
        <v>35100000</v>
      </c>
      <c r="M61" s="55">
        <v>22000000</v>
      </c>
      <c r="N61" s="55">
        <v>10700000</v>
      </c>
      <c r="O61" s="55">
        <v>10300000</v>
      </c>
      <c r="P61" s="55">
        <v>10400000</v>
      </c>
      <c r="Q61" s="55">
        <v>11400000</v>
      </c>
      <c r="R61" s="55">
        <v>12100000</v>
      </c>
      <c r="S61" s="55">
        <v>12200000</v>
      </c>
      <c r="T61" s="55">
        <v>12500000</v>
      </c>
      <c r="U61" s="55">
        <v>13600000</v>
      </c>
      <c r="V61" s="55">
        <v>29800000</v>
      </c>
      <c r="W61" s="55">
        <v>53800000</v>
      </c>
      <c r="X61" s="55">
        <v>58900000</v>
      </c>
      <c r="Y61" s="55">
        <v>63400000</v>
      </c>
      <c r="Z61" s="55">
        <v>64400000</v>
      </c>
      <c r="AA61" s="55">
        <v>52700000</v>
      </c>
      <c r="AB61" s="55">
        <v>31300000</v>
      </c>
      <c r="AC61" s="56">
        <v>16500000</v>
      </c>
      <c r="AD61" t="str">
        <f t="shared" si="0"/>
        <v>Winter</v>
      </c>
      <c r="AE61" t="str">
        <f>INDEX('Category Mapping'!$B$2:$B$29,MATCH('Source Data'!A61,'Category Mapping'!$A$2:$A$29,0))</f>
        <v>Weekday</v>
      </c>
      <c r="AF61" t="str">
        <f>INDEX('Category Mapping'!$C$2:$C$29,MATCH('Source Data'!A61,'Category Mapping'!$A$2:$A$29,0))</f>
        <v>Residential</v>
      </c>
      <c r="AG61" t="str">
        <f>INDEX('Category Mapping'!$D$2:$D$29,MATCH('Source Data'!A61,'Category Mapping'!$A$2:$A$29,0))</f>
        <v>Lighting</v>
      </c>
    </row>
    <row r="62" spans="1:33" x14ac:dyDescent="0.25">
      <c r="A62" s="57" t="s">
        <v>90</v>
      </c>
      <c r="B62" s="58">
        <v>2019</v>
      </c>
      <c r="C62" s="58">
        <v>19</v>
      </c>
      <c r="D62" s="58" t="s">
        <v>208</v>
      </c>
      <c r="E62" s="58">
        <v>12</v>
      </c>
      <c r="F62" s="58">
        <v>11800000</v>
      </c>
      <c r="G62" s="58">
        <v>10900000</v>
      </c>
      <c r="H62" s="58">
        <v>10800000</v>
      </c>
      <c r="I62" s="58">
        <v>11000000</v>
      </c>
      <c r="J62" s="58">
        <v>14200000</v>
      </c>
      <c r="K62" s="58">
        <v>24400000</v>
      </c>
      <c r="L62" s="58">
        <v>35700000</v>
      </c>
      <c r="M62" s="58">
        <v>36900000</v>
      </c>
      <c r="N62" s="58">
        <v>10800000</v>
      </c>
      <c r="O62" s="58">
        <v>10400000</v>
      </c>
      <c r="P62" s="58">
        <v>10600000</v>
      </c>
      <c r="Q62" s="58">
        <v>11600000</v>
      </c>
      <c r="R62" s="58">
        <v>12200000</v>
      </c>
      <c r="S62" s="58">
        <v>12400000</v>
      </c>
      <c r="T62" s="58">
        <v>12700000</v>
      </c>
      <c r="U62" s="58">
        <v>13800000</v>
      </c>
      <c r="V62" s="58">
        <v>50000000</v>
      </c>
      <c r="W62" s="58">
        <v>54600000</v>
      </c>
      <c r="X62" s="58">
        <v>59700000</v>
      </c>
      <c r="Y62" s="58">
        <v>64300000</v>
      </c>
      <c r="Z62" s="58">
        <v>65300000</v>
      </c>
      <c r="AA62" s="58">
        <v>53500000</v>
      </c>
      <c r="AB62" s="58">
        <v>31800000</v>
      </c>
      <c r="AC62" s="59">
        <v>16700000</v>
      </c>
      <c r="AD62" t="str">
        <f t="shared" si="0"/>
        <v>Winter</v>
      </c>
      <c r="AE62" t="str">
        <f>INDEX('Category Mapping'!$B$2:$B$29,MATCH('Source Data'!A62,'Category Mapping'!$A$2:$A$29,0))</f>
        <v>Weekday</v>
      </c>
      <c r="AF62" t="str">
        <f>INDEX('Category Mapping'!$C$2:$C$29,MATCH('Source Data'!A62,'Category Mapping'!$A$2:$A$29,0))</f>
        <v>Residential</v>
      </c>
      <c r="AG62" t="str">
        <f>INDEX('Category Mapping'!$D$2:$D$29,MATCH('Source Data'!A62,'Category Mapping'!$A$2:$A$29,0))</f>
        <v>Lighting</v>
      </c>
    </row>
    <row r="63" spans="1:33" x14ac:dyDescent="0.25">
      <c r="A63" s="54" t="s">
        <v>91</v>
      </c>
      <c r="B63" s="55">
        <v>2019</v>
      </c>
      <c r="C63" s="55">
        <v>19</v>
      </c>
      <c r="D63" s="55" t="s">
        <v>208</v>
      </c>
      <c r="E63" s="55">
        <v>1</v>
      </c>
      <c r="F63" s="55">
        <v>6948352</v>
      </c>
      <c r="G63" s="55">
        <v>6003332</v>
      </c>
      <c r="H63" s="55">
        <v>5798140</v>
      </c>
      <c r="I63" s="55">
        <v>5793246</v>
      </c>
      <c r="J63" s="55">
        <v>6097947</v>
      </c>
      <c r="K63" s="55">
        <v>7902722</v>
      </c>
      <c r="L63" s="55">
        <v>13600000</v>
      </c>
      <c r="M63" s="55">
        <v>19200000</v>
      </c>
      <c r="N63" s="55">
        <v>7701263</v>
      </c>
      <c r="O63" s="55">
        <v>7979897</v>
      </c>
      <c r="P63" s="55">
        <v>8027498</v>
      </c>
      <c r="Q63" s="55">
        <v>8517362</v>
      </c>
      <c r="R63" s="55">
        <v>8813374</v>
      </c>
      <c r="S63" s="55">
        <v>8802082</v>
      </c>
      <c r="T63" s="55">
        <v>8709466</v>
      </c>
      <c r="U63" s="55">
        <v>8731323</v>
      </c>
      <c r="V63" s="55">
        <v>27200000</v>
      </c>
      <c r="W63" s="55">
        <v>31400000</v>
      </c>
      <c r="X63" s="55">
        <v>33200000</v>
      </c>
      <c r="Y63" s="55">
        <v>34700000</v>
      </c>
      <c r="Z63" s="55">
        <v>34500000</v>
      </c>
      <c r="AA63" s="55">
        <v>28600000</v>
      </c>
      <c r="AB63" s="55">
        <v>18400000</v>
      </c>
      <c r="AC63" s="56">
        <v>10300000</v>
      </c>
      <c r="AD63" t="str">
        <f t="shared" si="0"/>
        <v>Winter</v>
      </c>
      <c r="AE63" t="str">
        <f>INDEX('Category Mapping'!$B$2:$B$29,MATCH('Source Data'!A63,'Category Mapping'!$A$2:$A$29,0))</f>
        <v>Weekend</v>
      </c>
      <c r="AF63" t="str">
        <f>INDEX('Category Mapping'!$C$2:$C$29,MATCH('Source Data'!A63,'Category Mapping'!$A$2:$A$29,0))</f>
        <v>Residential</v>
      </c>
      <c r="AG63" t="str">
        <f>INDEX('Category Mapping'!$D$2:$D$29,MATCH('Source Data'!A63,'Category Mapping'!$A$2:$A$29,0))</f>
        <v>Lighting</v>
      </c>
    </row>
    <row r="64" spans="1:33" x14ac:dyDescent="0.25">
      <c r="A64" s="57" t="s">
        <v>91</v>
      </c>
      <c r="B64" s="58">
        <v>2019</v>
      </c>
      <c r="C64" s="58">
        <v>19</v>
      </c>
      <c r="D64" s="58" t="s">
        <v>208</v>
      </c>
      <c r="E64" s="58">
        <v>2</v>
      </c>
      <c r="F64" s="58">
        <v>6774368</v>
      </c>
      <c r="G64" s="58">
        <v>5853012</v>
      </c>
      <c r="H64" s="58">
        <v>5652957</v>
      </c>
      <c r="I64" s="58">
        <v>5648185</v>
      </c>
      <c r="J64" s="58">
        <v>5945257</v>
      </c>
      <c r="K64" s="58">
        <v>7704840</v>
      </c>
      <c r="L64" s="58">
        <v>13300000</v>
      </c>
      <c r="M64" s="58">
        <v>9747728</v>
      </c>
      <c r="N64" s="58">
        <v>7508427</v>
      </c>
      <c r="O64" s="58">
        <v>7780084</v>
      </c>
      <c r="P64" s="58">
        <v>7826492</v>
      </c>
      <c r="Q64" s="58">
        <v>8304091</v>
      </c>
      <c r="R64" s="58">
        <v>8592692</v>
      </c>
      <c r="S64" s="58">
        <v>8581681</v>
      </c>
      <c r="T64" s="58">
        <v>8491385</v>
      </c>
      <c r="U64" s="58">
        <v>8512694</v>
      </c>
      <c r="V64" s="58">
        <v>13900000</v>
      </c>
      <c r="W64" s="58">
        <v>30600000</v>
      </c>
      <c r="X64" s="58">
        <v>32300000</v>
      </c>
      <c r="Y64" s="58">
        <v>33900000</v>
      </c>
      <c r="Z64" s="58">
        <v>33700000</v>
      </c>
      <c r="AA64" s="58">
        <v>27800000</v>
      </c>
      <c r="AB64" s="58">
        <v>18000000</v>
      </c>
      <c r="AC64" s="59">
        <v>10000000</v>
      </c>
      <c r="AD64" t="str">
        <f t="shared" si="0"/>
        <v>Winter</v>
      </c>
      <c r="AE64" t="str">
        <f>INDEX('Category Mapping'!$B$2:$B$29,MATCH('Source Data'!A64,'Category Mapping'!$A$2:$A$29,0))</f>
        <v>Weekend</v>
      </c>
      <c r="AF64" t="str">
        <f>INDEX('Category Mapping'!$C$2:$C$29,MATCH('Source Data'!A64,'Category Mapping'!$A$2:$A$29,0))</f>
        <v>Residential</v>
      </c>
      <c r="AG64" t="str">
        <f>INDEX('Category Mapping'!$D$2:$D$29,MATCH('Source Data'!A64,'Category Mapping'!$A$2:$A$29,0))</f>
        <v>Lighting</v>
      </c>
    </row>
    <row r="65" spans="1:33" x14ac:dyDescent="0.25">
      <c r="A65" s="54" t="s">
        <v>91</v>
      </c>
      <c r="B65" s="55">
        <v>2019</v>
      </c>
      <c r="C65" s="55">
        <v>19</v>
      </c>
      <c r="D65" s="55" t="s">
        <v>208</v>
      </c>
      <c r="E65" s="55">
        <v>3</v>
      </c>
      <c r="F65" s="55">
        <v>6265754</v>
      </c>
      <c r="G65" s="55">
        <v>5413572</v>
      </c>
      <c r="H65" s="55">
        <v>5228537</v>
      </c>
      <c r="I65" s="55">
        <v>5224123</v>
      </c>
      <c r="J65" s="55">
        <v>5498891</v>
      </c>
      <c r="K65" s="55">
        <v>7126367</v>
      </c>
      <c r="L65" s="55">
        <v>12100000</v>
      </c>
      <c r="M65" s="55">
        <v>6053407</v>
      </c>
      <c r="N65" s="55">
        <v>6944700</v>
      </c>
      <c r="O65" s="55">
        <v>7195960</v>
      </c>
      <c r="P65" s="55">
        <v>7238886</v>
      </c>
      <c r="Q65" s="55">
        <v>7680626</v>
      </c>
      <c r="R65" s="55">
        <v>7947560</v>
      </c>
      <c r="S65" s="55">
        <v>7937376</v>
      </c>
      <c r="T65" s="55">
        <v>7853858</v>
      </c>
      <c r="U65" s="55">
        <v>7873568</v>
      </c>
      <c r="V65" s="55">
        <v>8601209</v>
      </c>
      <c r="W65" s="55">
        <v>27800000</v>
      </c>
      <c r="X65" s="55">
        <v>29900000</v>
      </c>
      <c r="Y65" s="55">
        <v>31300000</v>
      </c>
      <c r="Z65" s="55">
        <v>31100000</v>
      </c>
      <c r="AA65" s="55">
        <v>25800000</v>
      </c>
      <c r="AB65" s="55">
        <v>16600000</v>
      </c>
      <c r="AC65" s="56">
        <v>9284207</v>
      </c>
      <c r="AD65" t="str">
        <f t="shared" si="0"/>
        <v>Spring</v>
      </c>
      <c r="AE65" t="str">
        <f>INDEX('Category Mapping'!$B$2:$B$29,MATCH('Source Data'!A65,'Category Mapping'!$A$2:$A$29,0))</f>
        <v>Weekend</v>
      </c>
      <c r="AF65" t="str">
        <f>INDEX('Category Mapping'!$C$2:$C$29,MATCH('Source Data'!A65,'Category Mapping'!$A$2:$A$29,0))</f>
        <v>Residential</v>
      </c>
      <c r="AG65" t="str">
        <f>INDEX('Category Mapping'!$D$2:$D$29,MATCH('Source Data'!A65,'Category Mapping'!$A$2:$A$29,0))</f>
        <v>Lighting</v>
      </c>
    </row>
    <row r="66" spans="1:33" x14ac:dyDescent="0.25">
      <c r="A66" s="57" t="s">
        <v>91</v>
      </c>
      <c r="B66" s="58">
        <v>2019</v>
      </c>
      <c r="C66" s="58">
        <v>19</v>
      </c>
      <c r="D66" s="58" t="s">
        <v>208</v>
      </c>
      <c r="E66" s="58">
        <v>4</v>
      </c>
      <c r="F66" s="58">
        <v>6141192</v>
      </c>
      <c r="G66" s="58">
        <v>5305951</v>
      </c>
      <c r="H66" s="58">
        <v>5124595</v>
      </c>
      <c r="I66" s="58">
        <v>5120269</v>
      </c>
      <c r="J66" s="58">
        <v>5389575</v>
      </c>
      <c r="K66" s="58">
        <v>6984697</v>
      </c>
      <c r="L66" s="58">
        <v>5739201</v>
      </c>
      <c r="M66" s="58">
        <v>5579456</v>
      </c>
      <c r="N66" s="58">
        <v>6806641</v>
      </c>
      <c r="O66" s="58">
        <v>7052907</v>
      </c>
      <c r="P66" s="58">
        <v>7094978</v>
      </c>
      <c r="Q66" s="58">
        <v>7527937</v>
      </c>
      <c r="R66" s="58">
        <v>7789564</v>
      </c>
      <c r="S66" s="58">
        <v>7779583</v>
      </c>
      <c r="T66" s="58">
        <v>7697725</v>
      </c>
      <c r="U66" s="58">
        <v>7717043</v>
      </c>
      <c r="V66" s="58">
        <v>7927779</v>
      </c>
      <c r="W66" s="58">
        <v>13200000</v>
      </c>
      <c r="X66" s="58">
        <v>29300000</v>
      </c>
      <c r="Y66" s="58">
        <v>30700000</v>
      </c>
      <c r="Z66" s="58">
        <v>30500000</v>
      </c>
      <c r="AA66" s="58">
        <v>25200000</v>
      </c>
      <c r="AB66" s="58">
        <v>16300000</v>
      </c>
      <c r="AC66" s="59">
        <v>9099641</v>
      </c>
      <c r="AD66" t="str">
        <f t="shared" si="0"/>
        <v>Spring</v>
      </c>
      <c r="AE66" t="str">
        <f>INDEX('Category Mapping'!$B$2:$B$29,MATCH('Source Data'!A66,'Category Mapping'!$A$2:$A$29,0))</f>
        <v>Weekend</v>
      </c>
      <c r="AF66" t="str">
        <f>INDEX('Category Mapping'!$C$2:$C$29,MATCH('Source Data'!A66,'Category Mapping'!$A$2:$A$29,0))</f>
        <v>Residential</v>
      </c>
      <c r="AG66" t="str">
        <f>INDEX('Category Mapping'!$D$2:$D$29,MATCH('Source Data'!A66,'Category Mapping'!$A$2:$A$29,0))</f>
        <v>Lighting</v>
      </c>
    </row>
    <row r="67" spans="1:33" x14ac:dyDescent="0.25">
      <c r="A67" s="54" t="s">
        <v>91</v>
      </c>
      <c r="B67" s="55">
        <v>2019</v>
      </c>
      <c r="C67" s="55">
        <v>19</v>
      </c>
      <c r="D67" s="55" t="s">
        <v>208</v>
      </c>
      <c r="E67" s="55">
        <v>5</v>
      </c>
      <c r="F67" s="55">
        <v>5859047</v>
      </c>
      <c r="G67" s="55">
        <v>5062180</v>
      </c>
      <c r="H67" s="55">
        <v>4889156</v>
      </c>
      <c r="I67" s="55">
        <v>4885029</v>
      </c>
      <c r="J67" s="55">
        <v>5141962</v>
      </c>
      <c r="K67" s="55">
        <v>6185456</v>
      </c>
      <c r="L67" s="55">
        <v>4010750</v>
      </c>
      <c r="M67" s="55">
        <v>5323119</v>
      </c>
      <c r="N67" s="55">
        <v>6493924</v>
      </c>
      <c r="O67" s="55">
        <v>6728875</v>
      </c>
      <c r="P67" s="55">
        <v>6769014</v>
      </c>
      <c r="Q67" s="55">
        <v>7182082</v>
      </c>
      <c r="R67" s="55">
        <v>7431687</v>
      </c>
      <c r="S67" s="55">
        <v>7422165</v>
      </c>
      <c r="T67" s="55">
        <v>7344069</v>
      </c>
      <c r="U67" s="55">
        <v>7362499</v>
      </c>
      <c r="V67" s="55">
        <v>7563552</v>
      </c>
      <c r="W67" s="55">
        <v>9226705</v>
      </c>
      <c r="X67" s="55">
        <v>25900000</v>
      </c>
      <c r="Y67" s="55">
        <v>29300000</v>
      </c>
      <c r="Z67" s="55">
        <v>29100000</v>
      </c>
      <c r="AA67" s="55">
        <v>24100000</v>
      </c>
      <c r="AB67" s="55">
        <v>15500000</v>
      </c>
      <c r="AC67" s="56">
        <v>8681575</v>
      </c>
      <c r="AD67" t="str">
        <f t="shared" si="0"/>
        <v>Spring</v>
      </c>
      <c r="AE67" t="str">
        <f>INDEX('Category Mapping'!$B$2:$B$29,MATCH('Source Data'!A67,'Category Mapping'!$A$2:$A$29,0))</f>
        <v>Weekend</v>
      </c>
      <c r="AF67" t="str">
        <f>INDEX('Category Mapping'!$C$2:$C$29,MATCH('Source Data'!A67,'Category Mapping'!$A$2:$A$29,0))</f>
        <v>Residential</v>
      </c>
      <c r="AG67" t="str">
        <f>INDEX('Category Mapping'!$D$2:$D$29,MATCH('Source Data'!A67,'Category Mapping'!$A$2:$A$29,0))</f>
        <v>Lighting</v>
      </c>
    </row>
    <row r="68" spans="1:33" x14ac:dyDescent="0.25">
      <c r="A68" s="57" t="s">
        <v>91</v>
      </c>
      <c r="B68" s="58">
        <v>2019</v>
      </c>
      <c r="C68" s="58">
        <v>19</v>
      </c>
      <c r="D68" s="58" t="s">
        <v>208</v>
      </c>
      <c r="E68" s="58">
        <v>6</v>
      </c>
      <c r="F68" s="58">
        <v>5896661</v>
      </c>
      <c r="G68" s="58">
        <v>5094679</v>
      </c>
      <c r="H68" s="58">
        <v>4920543</v>
      </c>
      <c r="I68" s="58">
        <v>4916390</v>
      </c>
      <c r="J68" s="58">
        <v>5174972</v>
      </c>
      <c r="K68" s="58">
        <v>4363421</v>
      </c>
      <c r="L68" s="58">
        <v>3579136</v>
      </c>
      <c r="M68" s="58">
        <v>5357293</v>
      </c>
      <c r="N68" s="58">
        <v>6535613</v>
      </c>
      <c r="O68" s="58">
        <v>6772073</v>
      </c>
      <c r="P68" s="58">
        <v>6812470</v>
      </c>
      <c r="Q68" s="58">
        <v>7228189</v>
      </c>
      <c r="R68" s="58">
        <v>7479398</v>
      </c>
      <c r="S68" s="58">
        <v>7469815</v>
      </c>
      <c r="T68" s="58">
        <v>7391217</v>
      </c>
      <c r="U68" s="58">
        <v>7409765</v>
      </c>
      <c r="V68" s="58">
        <v>7612110</v>
      </c>
      <c r="W68" s="58">
        <v>8233780</v>
      </c>
      <c r="X68" s="58">
        <v>18300000</v>
      </c>
      <c r="Y68" s="58">
        <v>29500000</v>
      </c>
      <c r="Z68" s="58">
        <v>29300000</v>
      </c>
      <c r="AA68" s="58">
        <v>24200000</v>
      </c>
      <c r="AB68" s="58">
        <v>15600000</v>
      </c>
      <c r="AC68" s="59">
        <v>8737309</v>
      </c>
      <c r="AD68" t="str">
        <f t="shared" ref="AD68:AD131" si="1">IF(AND(E68&gt;=3,E68&lt;=5),"Spring",IF(AND(E68&gt;=6,E68&lt;=8),"Summer",IF(AND(E68&gt;=9,E68&lt;=10),"Fall","Winter")))</f>
        <v>Summer</v>
      </c>
      <c r="AE68" t="str">
        <f>INDEX('Category Mapping'!$B$2:$B$29,MATCH('Source Data'!A68,'Category Mapping'!$A$2:$A$29,0))</f>
        <v>Weekend</v>
      </c>
      <c r="AF68" t="str">
        <f>INDEX('Category Mapping'!$C$2:$C$29,MATCH('Source Data'!A68,'Category Mapping'!$A$2:$A$29,0))</f>
        <v>Residential</v>
      </c>
      <c r="AG68" t="str">
        <f>INDEX('Category Mapping'!$D$2:$D$29,MATCH('Source Data'!A68,'Category Mapping'!$A$2:$A$29,0))</f>
        <v>Lighting</v>
      </c>
    </row>
    <row r="69" spans="1:33" x14ac:dyDescent="0.25">
      <c r="A69" s="54" t="s">
        <v>91</v>
      </c>
      <c r="B69" s="55">
        <v>2019</v>
      </c>
      <c r="C69" s="55">
        <v>19</v>
      </c>
      <c r="D69" s="55" t="s">
        <v>208</v>
      </c>
      <c r="E69" s="55">
        <v>7</v>
      </c>
      <c r="F69" s="55">
        <v>5902495</v>
      </c>
      <c r="G69" s="55">
        <v>5099719</v>
      </c>
      <c r="H69" s="55">
        <v>4925411</v>
      </c>
      <c r="I69" s="55">
        <v>4921254</v>
      </c>
      <c r="J69" s="55">
        <v>5180092</v>
      </c>
      <c r="K69" s="55">
        <v>4816079</v>
      </c>
      <c r="L69" s="55">
        <v>3713161</v>
      </c>
      <c r="M69" s="55">
        <v>5362592</v>
      </c>
      <c r="N69" s="55">
        <v>6542079</v>
      </c>
      <c r="O69" s="55">
        <v>6778772</v>
      </c>
      <c r="P69" s="55">
        <v>6819209</v>
      </c>
      <c r="Q69" s="55">
        <v>7235339</v>
      </c>
      <c r="R69" s="55">
        <v>7486797</v>
      </c>
      <c r="S69" s="55">
        <v>7477204</v>
      </c>
      <c r="T69" s="55">
        <v>7398528</v>
      </c>
      <c r="U69" s="55">
        <v>7417095</v>
      </c>
      <c r="V69" s="55">
        <v>7619641</v>
      </c>
      <c r="W69" s="55">
        <v>8542103</v>
      </c>
      <c r="X69" s="55">
        <v>20200000</v>
      </c>
      <c r="Y69" s="55">
        <v>29500000</v>
      </c>
      <c r="Z69" s="55">
        <v>29300000</v>
      </c>
      <c r="AA69" s="55">
        <v>24300000</v>
      </c>
      <c r="AB69" s="55">
        <v>15600000</v>
      </c>
      <c r="AC69" s="56">
        <v>8745953</v>
      </c>
      <c r="AD69" t="str">
        <f t="shared" si="1"/>
        <v>Summer</v>
      </c>
      <c r="AE69" t="str">
        <f>INDEX('Category Mapping'!$B$2:$B$29,MATCH('Source Data'!A69,'Category Mapping'!$A$2:$A$29,0))</f>
        <v>Weekend</v>
      </c>
      <c r="AF69" t="str">
        <f>INDEX('Category Mapping'!$C$2:$C$29,MATCH('Source Data'!A69,'Category Mapping'!$A$2:$A$29,0))</f>
        <v>Residential</v>
      </c>
      <c r="AG69" t="str">
        <f>INDEX('Category Mapping'!$D$2:$D$29,MATCH('Source Data'!A69,'Category Mapping'!$A$2:$A$29,0))</f>
        <v>Lighting</v>
      </c>
    </row>
    <row r="70" spans="1:33" x14ac:dyDescent="0.25">
      <c r="A70" s="57" t="s">
        <v>91</v>
      </c>
      <c r="B70" s="58">
        <v>2019</v>
      </c>
      <c r="C70" s="58">
        <v>19</v>
      </c>
      <c r="D70" s="58" t="s">
        <v>208</v>
      </c>
      <c r="E70" s="58">
        <v>8</v>
      </c>
      <c r="F70" s="58">
        <v>5948297</v>
      </c>
      <c r="G70" s="58">
        <v>5139291</v>
      </c>
      <c r="H70" s="58">
        <v>4963631</v>
      </c>
      <c r="I70" s="58">
        <v>4959441</v>
      </c>
      <c r="J70" s="58">
        <v>5220288</v>
      </c>
      <c r="K70" s="58">
        <v>6765307</v>
      </c>
      <c r="L70" s="58">
        <v>4559200</v>
      </c>
      <c r="M70" s="58">
        <v>5404205</v>
      </c>
      <c r="N70" s="58">
        <v>6592844</v>
      </c>
      <c r="O70" s="58">
        <v>6831374</v>
      </c>
      <c r="P70" s="58">
        <v>6872124</v>
      </c>
      <c r="Q70" s="58">
        <v>7291484</v>
      </c>
      <c r="R70" s="58">
        <v>7544893</v>
      </c>
      <c r="S70" s="58">
        <v>7535226</v>
      </c>
      <c r="T70" s="58">
        <v>7455939</v>
      </c>
      <c r="U70" s="58">
        <v>7474650</v>
      </c>
      <c r="V70" s="58">
        <v>7678766</v>
      </c>
      <c r="W70" s="58">
        <v>10500000</v>
      </c>
      <c r="X70" s="58">
        <v>28400000</v>
      </c>
      <c r="Y70" s="58">
        <v>29700000</v>
      </c>
      <c r="Z70" s="58">
        <v>29600000</v>
      </c>
      <c r="AA70" s="58">
        <v>24400000</v>
      </c>
      <c r="AB70" s="58">
        <v>15800000</v>
      </c>
      <c r="AC70" s="59">
        <v>8813820</v>
      </c>
      <c r="AD70" t="str">
        <f t="shared" si="1"/>
        <v>Summer</v>
      </c>
      <c r="AE70" t="str">
        <f>INDEX('Category Mapping'!$B$2:$B$29,MATCH('Source Data'!A70,'Category Mapping'!$A$2:$A$29,0))</f>
        <v>Weekend</v>
      </c>
      <c r="AF70" t="str">
        <f>INDEX('Category Mapping'!$C$2:$C$29,MATCH('Source Data'!A70,'Category Mapping'!$A$2:$A$29,0))</f>
        <v>Residential</v>
      </c>
      <c r="AG70" t="str">
        <f>INDEX('Category Mapping'!$D$2:$D$29,MATCH('Source Data'!A70,'Category Mapping'!$A$2:$A$29,0))</f>
        <v>Lighting</v>
      </c>
    </row>
    <row r="71" spans="1:33" x14ac:dyDescent="0.25">
      <c r="A71" s="54" t="s">
        <v>91</v>
      </c>
      <c r="B71" s="55">
        <v>2019</v>
      </c>
      <c r="C71" s="55">
        <v>19</v>
      </c>
      <c r="D71" s="55" t="s">
        <v>208</v>
      </c>
      <c r="E71" s="55">
        <v>9</v>
      </c>
      <c r="F71" s="55">
        <v>6277411</v>
      </c>
      <c r="G71" s="55">
        <v>5423644</v>
      </c>
      <c r="H71" s="55">
        <v>5238265</v>
      </c>
      <c r="I71" s="55">
        <v>5233843</v>
      </c>
      <c r="J71" s="55">
        <v>5509122</v>
      </c>
      <c r="K71" s="55">
        <v>7139626</v>
      </c>
      <c r="L71" s="55">
        <v>7443108</v>
      </c>
      <c r="M71" s="55">
        <v>5703215</v>
      </c>
      <c r="N71" s="55">
        <v>6957621</v>
      </c>
      <c r="O71" s="55">
        <v>7209349</v>
      </c>
      <c r="P71" s="55">
        <v>7252354</v>
      </c>
      <c r="Q71" s="55">
        <v>7694915</v>
      </c>
      <c r="R71" s="55">
        <v>7962345</v>
      </c>
      <c r="S71" s="55">
        <v>7952143</v>
      </c>
      <c r="T71" s="55">
        <v>7868470</v>
      </c>
      <c r="U71" s="55">
        <v>7888216</v>
      </c>
      <c r="V71" s="55">
        <v>8103626</v>
      </c>
      <c r="W71" s="55">
        <v>17100000</v>
      </c>
      <c r="X71" s="55">
        <v>30000000</v>
      </c>
      <c r="Y71" s="55">
        <v>31400000</v>
      </c>
      <c r="Z71" s="55">
        <v>31200000</v>
      </c>
      <c r="AA71" s="55">
        <v>25800000</v>
      </c>
      <c r="AB71" s="55">
        <v>16600000</v>
      </c>
      <c r="AC71" s="56">
        <v>9301481</v>
      </c>
      <c r="AD71" t="str">
        <f t="shared" si="1"/>
        <v>Fall</v>
      </c>
      <c r="AE71" t="str">
        <f>INDEX('Category Mapping'!$B$2:$B$29,MATCH('Source Data'!A71,'Category Mapping'!$A$2:$A$29,0))</f>
        <v>Weekend</v>
      </c>
      <c r="AF71" t="str">
        <f>INDEX('Category Mapping'!$C$2:$C$29,MATCH('Source Data'!A71,'Category Mapping'!$A$2:$A$29,0))</f>
        <v>Residential</v>
      </c>
      <c r="AG71" t="str">
        <f>INDEX('Category Mapping'!$D$2:$D$29,MATCH('Source Data'!A71,'Category Mapping'!$A$2:$A$29,0))</f>
        <v>Lighting</v>
      </c>
    </row>
    <row r="72" spans="1:33" x14ac:dyDescent="0.25">
      <c r="A72" s="57" t="s">
        <v>91</v>
      </c>
      <c r="B72" s="58">
        <v>2019</v>
      </c>
      <c r="C72" s="58">
        <v>19</v>
      </c>
      <c r="D72" s="58" t="s">
        <v>208</v>
      </c>
      <c r="E72" s="58">
        <v>10</v>
      </c>
      <c r="F72" s="58">
        <v>6486574</v>
      </c>
      <c r="G72" s="58">
        <v>5604359</v>
      </c>
      <c r="H72" s="58">
        <v>5412804</v>
      </c>
      <c r="I72" s="58">
        <v>5408235</v>
      </c>
      <c r="J72" s="58">
        <v>5692686</v>
      </c>
      <c r="K72" s="58">
        <v>7377518</v>
      </c>
      <c r="L72" s="58">
        <v>12700000</v>
      </c>
      <c r="M72" s="58">
        <v>7240305</v>
      </c>
      <c r="N72" s="58">
        <v>7189449</v>
      </c>
      <c r="O72" s="58">
        <v>7449564</v>
      </c>
      <c r="P72" s="58">
        <v>7494002</v>
      </c>
      <c r="Q72" s="58">
        <v>7951310</v>
      </c>
      <c r="R72" s="58">
        <v>8227652</v>
      </c>
      <c r="S72" s="58">
        <v>8217109</v>
      </c>
      <c r="T72" s="58">
        <v>8130648</v>
      </c>
      <c r="U72" s="58">
        <v>8151052</v>
      </c>
      <c r="V72" s="58">
        <v>10300000</v>
      </c>
      <c r="W72" s="58">
        <v>29300000</v>
      </c>
      <c r="X72" s="58">
        <v>30900000</v>
      </c>
      <c r="Y72" s="58">
        <v>32400000</v>
      </c>
      <c r="Z72" s="58">
        <v>32200000</v>
      </c>
      <c r="AA72" s="58">
        <v>26700000</v>
      </c>
      <c r="AB72" s="58">
        <v>17200000</v>
      </c>
      <c r="AC72" s="59">
        <v>9611407</v>
      </c>
      <c r="AD72" t="str">
        <f t="shared" si="1"/>
        <v>Fall</v>
      </c>
      <c r="AE72" t="str">
        <f>INDEX('Category Mapping'!$B$2:$B$29,MATCH('Source Data'!A72,'Category Mapping'!$A$2:$A$29,0))</f>
        <v>Weekend</v>
      </c>
      <c r="AF72" t="str">
        <f>INDEX('Category Mapping'!$C$2:$C$29,MATCH('Source Data'!A72,'Category Mapping'!$A$2:$A$29,0))</f>
        <v>Residential</v>
      </c>
      <c r="AG72" t="str">
        <f>INDEX('Category Mapping'!$D$2:$D$29,MATCH('Source Data'!A72,'Category Mapping'!$A$2:$A$29,0))</f>
        <v>Lighting</v>
      </c>
    </row>
    <row r="73" spans="1:33" x14ac:dyDescent="0.25">
      <c r="A73" s="54" t="s">
        <v>91</v>
      </c>
      <c r="B73" s="55">
        <v>2019</v>
      </c>
      <c r="C73" s="55">
        <v>19</v>
      </c>
      <c r="D73" s="55" t="s">
        <v>208</v>
      </c>
      <c r="E73" s="55">
        <v>11</v>
      </c>
      <c r="F73" s="55">
        <v>6924355</v>
      </c>
      <c r="G73" s="55">
        <v>5982599</v>
      </c>
      <c r="H73" s="55">
        <v>5778115</v>
      </c>
      <c r="I73" s="55">
        <v>5773238</v>
      </c>
      <c r="J73" s="55">
        <v>6076887</v>
      </c>
      <c r="K73" s="55">
        <v>7875428</v>
      </c>
      <c r="L73" s="55">
        <v>13600000</v>
      </c>
      <c r="M73" s="55">
        <v>12700000</v>
      </c>
      <c r="N73" s="55">
        <v>7674665</v>
      </c>
      <c r="O73" s="55">
        <v>7952336</v>
      </c>
      <c r="P73" s="55">
        <v>7999773</v>
      </c>
      <c r="Q73" s="55">
        <v>8487946</v>
      </c>
      <c r="R73" s="55">
        <v>8782936</v>
      </c>
      <c r="S73" s="55">
        <v>8771683</v>
      </c>
      <c r="T73" s="55">
        <v>8679387</v>
      </c>
      <c r="U73" s="55">
        <v>8701168</v>
      </c>
      <c r="V73" s="55">
        <v>18000000</v>
      </c>
      <c r="W73" s="55">
        <v>31300000</v>
      </c>
      <c r="X73" s="55">
        <v>33000000</v>
      </c>
      <c r="Y73" s="55">
        <v>34600000</v>
      </c>
      <c r="Z73" s="55">
        <v>34400000</v>
      </c>
      <c r="AA73" s="55">
        <v>28500000</v>
      </c>
      <c r="AB73" s="55">
        <v>18300000</v>
      </c>
      <c r="AC73" s="56">
        <v>10300000</v>
      </c>
      <c r="AD73" t="str">
        <f t="shared" si="1"/>
        <v>Winter</v>
      </c>
      <c r="AE73" t="str">
        <f>INDEX('Category Mapping'!$B$2:$B$29,MATCH('Source Data'!A73,'Category Mapping'!$A$2:$A$29,0))</f>
        <v>Weekend</v>
      </c>
      <c r="AF73" t="str">
        <f>INDEX('Category Mapping'!$C$2:$C$29,MATCH('Source Data'!A73,'Category Mapping'!$A$2:$A$29,0))</f>
        <v>Residential</v>
      </c>
      <c r="AG73" t="str">
        <f>INDEX('Category Mapping'!$D$2:$D$29,MATCH('Source Data'!A73,'Category Mapping'!$A$2:$A$29,0))</f>
        <v>Lighting</v>
      </c>
    </row>
    <row r="74" spans="1:33" x14ac:dyDescent="0.25">
      <c r="A74" s="57" t="s">
        <v>91</v>
      </c>
      <c r="B74" s="58">
        <v>2019</v>
      </c>
      <c r="C74" s="58">
        <v>19</v>
      </c>
      <c r="D74" s="58" t="s">
        <v>208</v>
      </c>
      <c r="E74" s="58">
        <v>12</v>
      </c>
      <c r="F74" s="58">
        <v>7008055</v>
      </c>
      <c r="G74" s="58">
        <v>6054916</v>
      </c>
      <c r="H74" s="58">
        <v>5847960</v>
      </c>
      <c r="I74" s="58">
        <v>5843024</v>
      </c>
      <c r="J74" s="58">
        <v>6150343</v>
      </c>
      <c r="K74" s="58">
        <v>7970625</v>
      </c>
      <c r="L74" s="58">
        <v>13800000</v>
      </c>
      <c r="M74" s="58">
        <v>21200000</v>
      </c>
      <c r="N74" s="58">
        <v>7767437</v>
      </c>
      <c r="O74" s="58">
        <v>8048464</v>
      </c>
      <c r="P74" s="58">
        <v>8096474</v>
      </c>
      <c r="Q74" s="58">
        <v>8590548</v>
      </c>
      <c r="R74" s="58">
        <v>8889103</v>
      </c>
      <c r="S74" s="58">
        <v>8877712</v>
      </c>
      <c r="T74" s="58">
        <v>8784302</v>
      </c>
      <c r="U74" s="58">
        <v>8806346</v>
      </c>
      <c r="V74" s="58">
        <v>30200000</v>
      </c>
      <c r="W74" s="58">
        <v>31700000</v>
      </c>
      <c r="X74" s="58">
        <v>33400000</v>
      </c>
      <c r="Y74" s="58">
        <v>35000000</v>
      </c>
      <c r="Z74" s="58">
        <v>34800000</v>
      </c>
      <c r="AA74" s="58">
        <v>28800000</v>
      </c>
      <c r="AB74" s="58">
        <v>18600000</v>
      </c>
      <c r="AC74" s="59">
        <v>10400000</v>
      </c>
      <c r="AD74" t="str">
        <f t="shared" si="1"/>
        <v>Winter</v>
      </c>
      <c r="AE74" t="str">
        <f>INDEX('Category Mapping'!$B$2:$B$29,MATCH('Source Data'!A74,'Category Mapping'!$A$2:$A$29,0))</f>
        <v>Weekend</v>
      </c>
      <c r="AF74" t="str">
        <f>INDEX('Category Mapping'!$C$2:$C$29,MATCH('Source Data'!A74,'Category Mapping'!$A$2:$A$29,0))</f>
        <v>Residential</v>
      </c>
      <c r="AG74" t="str">
        <f>INDEX('Category Mapping'!$D$2:$D$29,MATCH('Source Data'!A74,'Category Mapping'!$A$2:$A$29,0))</f>
        <v>Lighting</v>
      </c>
    </row>
    <row r="75" spans="1:33" x14ac:dyDescent="0.25">
      <c r="A75" s="54" t="s">
        <v>94</v>
      </c>
      <c r="B75" s="55">
        <v>2019</v>
      </c>
      <c r="C75" s="55">
        <v>19</v>
      </c>
      <c r="D75" s="55" t="s">
        <v>208</v>
      </c>
      <c r="E75" s="55">
        <v>1</v>
      </c>
      <c r="F75" s="55">
        <v>5289287</v>
      </c>
      <c r="G75" s="55">
        <v>3656468</v>
      </c>
      <c r="H75" s="55">
        <v>3320863</v>
      </c>
      <c r="I75" s="55">
        <v>3245602</v>
      </c>
      <c r="J75" s="55">
        <v>4554087</v>
      </c>
      <c r="K75" s="55">
        <v>10100000</v>
      </c>
      <c r="L75" s="55">
        <v>19800000</v>
      </c>
      <c r="M75" s="55">
        <v>27300000</v>
      </c>
      <c r="N75" s="55">
        <v>18000000</v>
      </c>
      <c r="O75" s="55">
        <v>16100000</v>
      </c>
      <c r="P75" s="55">
        <v>15000000</v>
      </c>
      <c r="Q75" s="55">
        <v>12900000</v>
      </c>
      <c r="R75" s="55">
        <v>10500000</v>
      </c>
      <c r="S75" s="55">
        <v>9237531</v>
      </c>
      <c r="T75" s="55">
        <v>9075739</v>
      </c>
      <c r="U75" s="55">
        <v>9173165</v>
      </c>
      <c r="V75" s="55">
        <v>11100000</v>
      </c>
      <c r="W75" s="55">
        <v>14000000</v>
      </c>
      <c r="X75" s="55">
        <v>18000000</v>
      </c>
      <c r="Y75" s="55">
        <v>18000000</v>
      </c>
      <c r="Z75" s="55">
        <v>16200000</v>
      </c>
      <c r="AA75" s="55">
        <v>15000000</v>
      </c>
      <c r="AB75" s="55">
        <v>13200000</v>
      </c>
      <c r="AC75" s="56">
        <v>9259196</v>
      </c>
      <c r="AD75" t="str">
        <f t="shared" si="1"/>
        <v>Winter</v>
      </c>
      <c r="AE75" t="str">
        <f>INDEX('Category Mapping'!$B$2:$B$29,MATCH('Source Data'!A75,'Category Mapping'!$A$2:$A$29,0))</f>
        <v>Weekday</v>
      </c>
      <c r="AF75" t="str">
        <f>INDEX('Category Mapping'!$C$2:$C$29,MATCH('Source Data'!A75,'Category Mapping'!$A$2:$A$29,0))</f>
        <v>Residential</v>
      </c>
      <c r="AG75" t="str">
        <f>INDEX('Category Mapping'!$D$2:$D$29,MATCH('Source Data'!A75,'Category Mapping'!$A$2:$A$29,0))</f>
        <v>Appliances</v>
      </c>
    </row>
    <row r="76" spans="1:33" x14ac:dyDescent="0.25">
      <c r="A76" s="57" t="s">
        <v>94</v>
      </c>
      <c r="B76" s="58">
        <v>2019</v>
      </c>
      <c r="C76" s="58">
        <v>19</v>
      </c>
      <c r="D76" s="58" t="s">
        <v>208</v>
      </c>
      <c r="E76" s="58">
        <v>2</v>
      </c>
      <c r="F76" s="58">
        <v>4961836</v>
      </c>
      <c r="G76" s="58">
        <v>3430102</v>
      </c>
      <c r="H76" s="58">
        <v>3115274</v>
      </c>
      <c r="I76" s="58">
        <v>3044672</v>
      </c>
      <c r="J76" s="58">
        <v>4272150</v>
      </c>
      <c r="K76" s="58">
        <v>9477508</v>
      </c>
      <c r="L76" s="58">
        <v>18600000</v>
      </c>
      <c r="M76" s="58">
        <v>25600000</v>
      </c>
      <c r="N76" s="58">
        <v>16900000</v>
      </c>
      <c r="O76" s="58">
        <v>15100000</v>
      </c>
      <c r="P76" s="58">
        <v>14100000</v>
      </c>
      <c r="Q76" s="58">
        <v>12100000</v>
      </c>
      <c r="R76" s="58">
        <v>9875154</v>
      </c>
      <c r="S76" s="58">
        <v>8665650</v>
      </c>
      <c r="T76" s="58">
        <v>8513874</v>
      </c>
      <c r="U76" s="58">
        <v>8605268</v>
      </c>
      <c r="V76" s="58">
        <v>10400000</v>
      </c>
      <c r="W76" s="58">
        <v>13200000</v>
      </c>
      <c r="X76" s="58">
        <v>16900000</v>
      </c>
      <c r="Y76" s="58">
        <v>16900000</v>
      </c>
      <c r="Z76" s="58">
        <v>15200000</v>
      </c>
      <c r="AA76" s="58">
        <v>14100000</v>
      </c>
      <c r="AB76" s="58">
        <v>12400000</v>
      </c>
      <c r="AC76" s="59">
        <v>8685973</v>
      </c>
      <c r="AD76" t="str">
        <f t="shared" si="1"/>
        <v>Winter</v>
      </c>
      <c r="AE76" t="str">
        <f>INDEX('Category Mapping'!$B$2:$B$29,MATCH('Source Data'!A76,'Category Mapping'!$A$2:$A$29,0))</f>
        <v>Weekday</v>
      </c>
      <c r="AF76" t="str">
        <f>INDEX('Category Mapping'!$C$2:$C$29,MATCH('Source Data'!A76,'Category Mapping'!$A$2:$A$29,0))</f>
        <v>Residential</v>
      </c>
      <c r="AG76" t="str">
        <f>INDEX('Category Mapping'!$D$2:$D$29,MATCH('Source Data'!A76,'Category Mapping'!$A$2:$A$29,0))</f>
        <v>Appliances</v>
      </c>
    </row>
    <row r="77" spans="1:33" x14ac:dyDescent="0.25">
      <c r="A77" s="54" t="s">
        <v>94</v>
      </c>
      <c r="B77" s="55">
        <v>2019</v>
      </c>
      <c r="C77" s="55">
        <v>19</v>
      </c>
      <c r="D77" s="55" t="s">
        <v>208</v>
      </c>
      <c r="E77" s="55">
        <v>3</v>
      </c>
      <c r="F77" s="55">
        <v>4685614</v>
      </c>
      <c r="G77" s="55">
        <v>3239151</v>
      </c>
      <c r="H77" s="55">
        <v>2941849</v>
      </c>
      <c r="I77" s="55">
        <v>2875177</v>
      </c>
      <c r="J77" s="55">
        <v>4034323</v>
      </c>
      <c r="K77" s="55">
        <v>8949902</v>
      </c>
      <c r="L77" s="55">
        <v>17500000</v>
      </c>
      <c r="M77" s="55">
        <v>24100000</v>
      </c>
      <c r="N77" s="55">
        <v>16000000</v>
      </c>
      <c r="O77" s="55">
        <v>14300000</v>
      </c>
      <c r="P77" s="55">
        <v>13300000</v>
      </c>
      <c r="Q77" s="55">
        <v>11500000</v>
      </c>
      <c r="R77" s="55">
        <v>9325412</v>
      </c>
      <c r="S77" s="55">
        <v>8183240</v>
      </c>
      <c r="T77" s="55">
        <v>8039913</v>
      </c>
      <c r="U77" s="55">
        <v>8126220</v>
      </c>
      <c r="V77" s="55">
        <v>9822617</v>
      </c>
      <c r="W77" s="55">
        <v>12400000</v>
      </c>
      <c r="X77" s="55">
        <v>16000000</v>
      </c>
      <c r="Y77" s="55">
        <v>16000000</v>
      </c>
      <c r="Z77" s="55">
        <v>14400000</v>
      </c>
      <c r="AA77" s="55">
        <v>13300000</v>
      </c>
      <c r="AB77" s="55">
        <v>11700000</v>
      </c>
      <c r="AC77" s="56">
        <v>8202431</v>
      </c>
      <c r="AD77" t="str">
        <f t="shared" si="1"/>
        <v>Spring</v>
      </c>
      <c r="AE77" t="str">
        <f>INDEX('Category Mapping'!$B$2:$B$29,MATCH('Source Data'!A77,'Category Mapping'!$A$2:$A$29,0))</f>
        <v>Weekday</v>
      </c>
      <c r="AF77" t="str">
        <f>INDEX('Category Mapping'!$C$2:$C$29,MATCH('Source Data'!A77,'Category Mapping'!$A$2:$A$29,0))</f>
        <v>Residential</v>
      </c>
      <c r="AG77" t="str">
        <f>INDEX('Category Mapping'!$D$2:$D$29,MATCH('Source Data'!A77,'Category Mapping'!$A$2:$A$29,0))</f>
        <v>Appliances</v>
      </c>
    </row>
    <row r="78" spans="1:33" x14ac:dyDescent="0.25">
      <c r="A78" s="57" t="s">
        <v>94</v>
      </c>
      <c r="B78" s="58">
        <v>2019</v>
      </c>
      <c r="C78" s="58">
        <v>19</v>
      </c>
      <c r="D78" s="58" t="s">
        <v>208</v>
      </c>
      <c r="E78" s="58">
        <v>4</v>
      </c>
      <c r="F78" s="58">
        <v>4157965</v>
      </c>
      <c r="G78" s="58">
        <v>2874388</v>
      </c>
      <c r="H78" s="58">
        <v>2610566</v>
      </c>
      <c r="I78" s="58">
        <v>2551402</v>
      </c>
      <c r="J78" s="58">
        <v>3580016</v>
      </c>
      <c r="K78" s="58">
        <v>7942049</v>
      </c>
      <c r="L78" s="58">
        <v>15600000</v>
      </c>
      <c r="M78" s="58">
        <v>21400000</v>
      </c>
      <c r="N78" s="58">
        <v>14200000</v>
      </c>
      <c r="O78" s="58">
        <v>12700000</v>
      </c>
      <c r="P78" s="58">
        <v>11800000</v>
      </c>
      <c r="Q78" s="58">
        <v>10200000</v>
      </c>
      <c r="R78" s="58">
        <v>8275273</v>
      </c>
      <c r="S78" s="58">
        <v>7261721</v>
      </c>
      <c r="T78" s="58">
        <v>7134535</v>
      </c>
      <c r="U78" s="58">
        <v>7211122</v>
      </c>
      <c r="V78" s="58">
        <v>8716487</v>
      </c>
      <c r="W78" s="58">
        <v>11000000</v>
      </c>
      <c r="X78" s="58">
        <v>14200000</v>
      </c>
      <c r="Y78" s="58">
        <v>14200000</v>
      </c>
      <c r="Z78" s="58">
        <v>12800000</v>
      </c>
      <c r="AA78" s="58">
        <v>11800000</v>
      </c>
      <c r="AB78" s="58">
        <v>10400000</v>
      </c>
      <c r="AC78" s="59">
        <v>7278752</v>
      </c>
      <c r="AD78" t="str">
        <f t="shared" si="1"/>
        <v>Spring</v>
      </c>
      <c r="AE78" t="str">
        <f>INDEX('Category Mapping'!$B$2:$B$29,MATCH('Source Data'!A78,'Category Mapping'!$A$2:$A$29,0))</f>
        <v>Weekday</v>
      </c>
      <c r="AF78" t="str">
        <f>INDEX('Category Mapping'!$C$2:$C$29,MATCH('Source Data'!A78,'Category Mapping'!$A$2:$A$29,0))</f>
        <v>Residential</v>
      </c>
      <c r="AG78" t="str">
        <f>INDEX('Category Mapping'!$D$2:$D$29,MATCH('Source Data'!A78,'Category Mapping'!$A$2:$A$29,0))</f>
        <v>Appliances</v>
      </c>
    </row>
    <row r="79" spans="1:33" x14ac:dyDescent="0.25">
      <c r="A79" s="54" t="s">
        <v>94</v>
      </c>
      <c r="B79" s="55">
        <v>2019</v>
      </c>
      <c r="C79" s="55">
        <v>19</v>
      </c>
      <c r="D79" s="55" t="s">
        <v>208</v>
      </c>
      <c r="E79" s="55">
        <v>5</v>
      </c>
      <c r="F79" s="55">
        <v>3775949</v>
      </c>
      <c r="G79" s="55">
        <v>2610302</v>
      </c>
      <c r="H79" s="55">
        <v>2370718</v>
      </c>
      <c r="I79" s="55">
        <v>2316991</v>
      </c>
      <c r="J79" s="55">
        <v>3251100</v>
      </c>
      <c r="K79" s="55">
        <v>7212369</v>
      </c>
      <c r="L79" s="55">
        <v>14100000</v>
      </c>
      <c r="M79" s="55">
        <v>19500000</v>
      </c>
      <c r="N79" s="55">
        <v>12900000</v>
      </c>
      <c r="O79" s="55">
        <v>11500000</v>
      </c>
      <c r="P79" s="55">
        <v>10700000</v>
      </c>
      <c r="Q79" s="55">
        <v>9235780</v>
      </c>
      <c r="R79" s="55">
        <v>7514977</v>
      </c>
      <c r="S79" s="55">
        <v>6594546</v>
      </c>
      <c r="T79" s="55">
        <v>6479045</v>
      </c>
      <c r="U79" s="55">
        <v>6548596</v>
      </c>
      <c r="V79" s="55">
        <v>7915655</v>
      </c>
      <c r="W79" s="55">
        <v>10000000</v>
      </c>
      <c r="X79" s="55">
        <v>12900000</v>
      </c>
      <c r="Y79" s="55">
        <v>12900000</v>
      </c>
      <c r="Z79" s="55">
        <v>11600000</v>
      </c>
      <c r="AA79" s="55">
        <v>10700000</v>
      </c>
      <c r="AB79" s="55">
        <v>9444075</v>
      </c>
      <c r="AC79" s="56">
        <v>6610012</v>
      </c>
      <c r="AD79" t="str">
        <f t="shared" si="1"/>
        <v>Spring</v>
      </c>
      <c r="AE79" t="str">
        <f>INDEX('Category Mapping'!$B$2:$B$29,MATCH('Source Data'!A79,'Category Mapping'!$A$2:$A$29,0))</f>
        <v>Weekday</v>
      </c>
      <c r="AF79" t="str">
        <f>INDEX('Category Mapping'!$C$2:$C$29,MATCH('Source Data'!A79,'Category Mapping'!$A$2:$A$29,0))</f>
        <v>Residential</v>
      </c>
      <c r="AG79" t="str">
        <f>INDEX('Category Mapping'!$D$2:$D$29,MATCH('Source Data'!A79,'Category Mapping'!$A$2:$A$29,0))</f>
        <v>Appliances</v>
      </c>
    </row>
    <row r="80" spans="1:33" x14ac:dyDescent="0.25">
      <c r="A80" s="57" t="s">
        <v>94</v>
      </c>
      <c r="B80" s="58">
        <v>2019</v>
      </c>
      <c r="C80" s="58">
        <v>19</v>
      </c>
      <c r="D80" s="58" t="s">
        <v>208</v>
      </c>
      <c r="E80" s="58">
        <v>6</v>
      </c>
      <c r="F80" s="58">
        <v>3643003</v>
      </c>
      <c r="G80" s="58">
        <v>2518397</v>
      </c>
      <c r="H80" s="58">
        <v>2287249</v>
      </c>
      <c r="I80" s="58">
        <v>2235413</v>
      </c>
      <c r="J80" s="58">
        <v>3136633</v>
      </c>
      <c r="K80" s="58">
        <v>6958432</v>
      </c>
      <c r="L80" s="58">
        <v>13600000</v>
      </c>
      <c r="M80" s="58">
        <v>18800000</v>
      </c>
      <c r="N80" s="58">
        <v>12400000</v>
      </c>
      <c r="O80" s="58">
        <v>11100000</v>
      </c>
      <c r="P80" s="58">
        <v>10300000</v>
      </c>
      <c r="Q80" s="58">
        <v>8910601</v>
      </c>
      <c r="R80" s="58">
        <v>7250386</v>
      </c>
      <c r="S80" s="58">
        <v>6362362</v>
      </c>
      <c r="T80" s="58">
        <v>6250927</v>
      </c>
      <c r="U80" s="58">
        <v>6318029</v>
      </c>
      <c r="V80" s="58">
        <v>7636956</v>
      </c>
      <c r="W80" s="58">
        <v>9669768</v>
      </c>
      <c r="X80" s="58">
        <v>12400000</v>
      </c>
      <c r="Y80" s="58">
        <v>12400000</v>
      </c>
      <c r="Z80" s="58">
        <v>11200000</v>
      </c>
      <c r="AA80" s="58">
        <v>10400000</v>
      </c>
      <c r="AB80" s="58">
        <v>9111562</v>
      </c>
      <c r="AC80" s="59">
        <v>6377283</v>
      </c>
      <c r="AD80" t="str">
        <f t="shared" si="1"/>
        <v>Summer</v>
      </c>
      <c r="AE80" t="str">
        <f>INDEX('Category Mapping'!$B$2:$B$29,MATCH('Source Data'!A80,'Category Mapping'!$A$2:$A$29,0))</f>
        <v>Weekday</v>
      </c>
      <c r="AF80" t="str">
        <f>INDEX('Category Mapping'!$C$2:$C$29,MATCH('Source Data'!A80,'Category Mapping'!$A$2:$A$29,0))</f>
        <v>Residential</v>
      </c>
      <c r="AG80" t="str">
        <f>INDEX('Category Mapping'!$D$2:$D$29,MATCH('Source Data'!A80,'Category Mapping'!$A$2:$A$29,0))</f>
        <v>Appliances</v>
      </c>
    </row>
    <row r="81" spans="1:33" x14ac:dyDescent="0.25">
      <c r="A81" s="54" t="s">
        <v>94</v>
      </c>
      <c r="B81" s="55">
        <v>2019</v>
      </c>
      <c r="C81" s="55">
        <v>19</v>
      </c>
      <c r="D81" s="55" t="s">
        <v>208</v>
      </c>
      <c r="E81" s="55">
        <v>7</v>
      </c>
      <c r="F81" s="55">
        <v>3620801</v>
      </c>
      <c r="G81" s="55">
        <v>2503049</v>
      </c>
      <c r="H81" s="55">
        <v>2273309</v>
      </c>
      <c r="I81" s="55">
        <v>2221789</v>
      </c>
      <c r="J81" s="55">
        <v>3117517</v>
      </c>
      <c r="K81" s="55">
        <v>6916023</v>
      </c>
      <c r="L81" s="55">
        <v>13600000</v>
      </c>
      <c r="M81" s="55">
        <v>18700000</v>
      </c>
      <c r="N81" s="55">
        <v>12300000</v>
      </c>
      <c r="O81" s="55">
        <v>11000000</v>
      </c>
      <c r="P81" s="55">
        <v>10300000</v>
      </c>
      <c r="Q81" s="55">
        <v>8856295</v>
      </c>
      <c r="R81" s="55">
        <v>7206198</v>
      </c>
      <c r="S81" s="55">
        <v>6323586</v>
      </c>
      <c r="T81" s="55">
        <v>6212831</v>
      </c>
      <c r="U81" s="55">
        <v>6279524</v>
      </c>
      <c r="V81" s="55">
        <v>7590412</v>
      </c>
      <c r="W81" s="55">
        <v>9610835</v>
      </c>
      <c r="X81" s="55">
        <v>12300000</v>
      </c>
      <c r="Y81" s="55">
        <v>12400000</v>
      </c>
      <c r="Z81" s="55">
        <v>11100000</v>
      </c>
      <c r="AA81" s="55">
        <v>10300000</v>
      </c>
      <c r="AB81" s="55">
        <v>9056031</v>
      </c>
      <c r="AC81" s="56">
        <v>6338416</v>
      </c>
      <c r="AD81" t="str">
        <f t="shared" si="1"/>
        <v>Summer</v>
      </c>
      <c r="AE81" t="str">
        <f>INDEX('Category Mapping'!$B$2:$B$29,MATCH('Source Data'!A81,'Category Mapping'!$A$2:$A$29,0))</f>
        <v>Weekday</v>
      </c>
      <c r="AF81" t="str">
        <f>INDEX('Category Mapping'!$C$2:$C$29,MATCH('Source Data'!A81,'Category Mapping'!$A$2:$A$29,0))</f>
        <v>Residential</v>
      </c>
      <c r="AG81" t="str">
        <f>INDEX('Category Mapping'!$D$2:$D$29,MATCH('Source Data'!A81,'Category Mapping'!$A$2:$A$29,0))</f>
        <v>Appliances</v>
      </c>
    </row>
    <row r="82" spans="1:33" x14ac:dyDescent="0.25">
      <c r="A82" s="57" t="s">
        <v>94</v>
      </c>
      <c r="B82" s="58">
        <v>2019</v>
      </c>
      <c r="C82" s="58">
        <v>19</v>
      </c>
      <c r="D82" s="58" t="s">
        <v>208</v>
      </c>
      <c r="E82" s="58">
        <v>8</v>
      </c>
      <c r="F82" s="58">
        <v>3621055</v>
      </c>
      <c r="G82" s="58">
        <v>2503224</v>
      </c>
      <c r="H82" s="58">
        <v>2273468</v>
      </c>
      <c r="I82" s="58">
        <v>2221945</v>
      </c>
      <c r="J82" s="58">
        <v>3117735</v>
      </c>
      <c r="K82" s="58">
        <v>6916508</v>
      </c>
      <c r="L82" s="58">
        <v>13600000</v>
      </c>
      <c r="M82" s="58">
        <v>18700000</v>
      </c>
      <c r="N82" s="58">
        <v>12300000</v>
      </c>
      <c r="O82" s="58">
        <v>11000000</v>
      </c>
      <c r="P82" s="58">
        <v>10300000</v>
      </c>
      <c r="Q82" s="58">
        <v>8856916</v>
      </c>
      <c r="R82" s="58">
        <v>7206703</v>
      </c>
      <c r="S82" s="58">
        <v>6324029</v>
      </c>
      <c r="T82" s="58">
        <v>6213267</v>
      </c>
      <c r="U82" s="58">
        <v>6279964</v>
      </c>
      <c r="V82" s="58">
        <v>7590945</v>
      </c>
      <c r="W82" s="58">
        <v>9611509</v>
      </c>
      <c r="X82" s="58">
        <v>12300000</v>
      </c>
      <c r="Y82" s="58">
        <v>12400000</v>
      </c>
      <c r="Z82" s="58">
        <v>11100000</v>
      </c>
      <c r="AA82" s="58">
        <v>10300000</v>
      </c>
      <c r="AB82" s="58">
        <v>9056667</v>
      </c>
      <c r="AC82" s="59">
        <v>6338861</v>
      </c>
      <c r="AD82" t="str">
        <f t="shared" si="1"/>
        <v>Summer</v>
      </c>
      <c r="AE82" t="str">
        <f>INDEX('Category Mapping'!$B$2:$B$29,MATCH('Source Data'!A82,'Category Mapping'!$A$2:$A$29,0))</f>
        <v>Weekday</v>
      </c>
      <c r="AF82" t="str">
        <f>INDEX('Category Mapping'!$C$2:$C$29,MATCH('Source Data'!A82,'Category Mapping'!$A$2:$A$29,0))</f>
        <v>Residential</v>
      </c>
      <c r="AG82" t="str">
        <f>INDEX('Category Mapping'!$D$2:$D$29,MATCH('Source Data'!A82,'Category Mapping'!$A$2:$A$29,0))</f>
        <v>Appliances</v>
      </c>
    </row>
    <row r="83" spans="1:33" x14ac:dyDescent="0.25">
      <c r="A83" s="54" t="s">
        <v>94</v>
      </c>
      <c r="B83" s="55">
        <v>2019</v>
      </c>
      <c r="C83" s="55">
        <v>19</v>
      </c>
      <c r="D83" s="55" t="s">
        <v>208</v>
      </c>
      <c r="E83" s="55">
        <v>9</v>
      </c>
      <c r="F83" s="55">
        <v>3671762</v>
      </c>
      <c r="G83" s="55">
        <v>2538278</v>
      </c>
      <c r="H83" s="55">
        <v>2305305</v>
      </c>
      <c r="I83" s="55">
        <v>2253060</v>
      </c>
      <c r="J83" s="55">
        <v>3161394</v>
      </c>
      <c r="K83" s="55">
        <v>7013363</v>
      </c>
      <c r="L83" s="55">
        <v>13700000</v>
      </c>
      <c r="M83" s="55">
        <v>18900000</v>
      </c>
      <c r="N83" s="55">
        <v>12500000</v>
      </c>
      <c r="O83" s="55">
        <v>11200000</v>
      </c>
      <c r="P83" s="55">
        <v>10400000</v>
      </c>
      <c r="Q83" s="55">
        <v>8980943</v>
      </c>
      <c r="R83" s="55">
        <v>7307622</v>
      </c>
      <c r="S83" s="55">
        <v>6412587</v>
      </c>
      <c r="T83" s="55">
        <v>6300274</v>
      </c>
      <c r="U83" s="55">
        <v>6367905</v>
      </c>
      <c r="V83" s="55">
        <v>7697244</v>
      </c>
      <c r="W83" s="55">
        <v>9746103</v>
      </c>
      <c r="X83" s="55">
        <v>12500000</v>
      </c>
      <c r="Y83" s="55">
        <v>12500000</v>
      </c>
      <c r="Z83" s="55">
        <v>11300000</v>
      </c>
      <c r="AA83" s="55">
        <v>10400000</v>
      </c>
      <c r="AB83" s="55">
        <v>9183491</v>
      </c>
      <c r="AC83" s="56">
        <v>6427627</v>
      </c>
      <c r="AD83" t="str">
        <f t="shared" si="1"/>
        <v>Fall</v>
      </c>
      <c r="AE83" t="str">
        <f>INDEX('Category Mapping'!$B$2:$B$29,MATCH('Source Data'!A83,'Category Mapping'!$A$2:$A$29,0))</f>
        <v>Weekday</v>
      </c>
      <c r="AF83" t="str">
        <f>INDEX('Category Mapping'!$C$2:$C$29,MATCH('Source Data'!A83,'Category Mapping'!$A$2:$A$29,0))</f>
        <v>Residential</v>
      </c>
      <c r="AG83" t="str">
        <f>INDEX('Category Mapping'!$D$2:$D$29,MATCH('Source Data'!A83,'Category Mapping'!$A$2:$A$29,0))</f>
        <v>Appliances</v>
      </c>
    </row>
    <row r="84" spans="1:33" x14ac:dyDescent="0.25">
      <c r="A84" s="57" t="s">
        <v>94</v>
      </c>
      <c r="B84" s="58">
        <v>2019</v>
      </c>
      <c r="C84" s="58">
        <v>19</v>
      </c>
      <c r="D84" s="58" t="s">
        <v>208</v>
      </c>
      <c r="E84" s="58">
        <v>10</v>
      </c>
      <c r="F84" s="58">
        <v>4010625</v>
      </c>
      <c r="G84" s="58">
        <v>2772533</v>
      </c>
      <c r="H84" s="58">
        <v>2518059</v>
      </c>
      <c r="I84" s="58">
        <v>2460992</v>
      </c>
      <c r="J84" s="58">
        <v>3453156</v>
      </c>
      <c r="K84" s="58">
        <v>7660618</v>
      </c>
      <c r="L84" s="58">
        <v>15000000</v>
      </c>
      <c r="M84" s="58">
        <v>20700000</v>
      </c>
      <c r="N84" s="58">
        <v>13700000</v>
      </c>
      <c r="O84" s="58">
        <v>12200000</v>
      </c>
      <c r="P84" s="58">
        <v>11400000</v>
      </c>
      <c r="Q84" s="58">
        <v>9809784</v>
      </c>
      <c r="R84" s="58">
        <v>7982034</v>
      </c>
      <c r="S84" s="58">
        <v>7004398</v>
      </c>
      <c r="T84" s="58">
        <v>6881719</v>
      </c>
      <c r="U84" s="58">
        <v>6955592</v>
      </c>
      <c r="V84" s="58">
        <v>8407613</v>
      </c>
      <c r="W84" s="58">
        <v>10600000</v>
      </c>
      <c r="X84" s="58">
        <v>13700000</v>
      </c>
      <c r="Y84" s="58">
        <v>13700000</v>
      </c>
      <c r="Z84" s="58">
        <v>12300000</v>
      </c>
      <c r="AA84" s="58">
        <v>11400000</v>
      </c>
      <c r="AB84" s="58">
        <v>10000000</v>
      </c>
      <c r="AC84" s="59">
        <v>7020825</v>
      </c>
      <c r="AD84" t="str">
        <f t="shared" si="1"/>
        <v>Fall</v>
      </c>
      <c r="AE84" t="str">
        <f>INDEX('Category Mapping'!$B$2:$B$29,MATCH('Source Data'!A84,'Category Mapping'!$A$2:$A$29,0))</f>
        <v>Weekday</v>
      </c>
      <c r="AF84" t="str">
        <f>INDEX('Category Mapping'!$C$2:$C$29,MATCH('Source Data'!A84,'Category Mapping'!$A$2:$A$29,0))</f>
        <v>Residential</v>
      </c>
      <c r="AG84" t="str">
        <f>INDEX('Category Mapping'!$D$2:$D$29,MATCH('Source Data'!A84,'Category Mapping'!$A$2:$A$29,0))</f>
        <v>Appliances</v>
      </c>
    </row>
    <row r="85" spans="1:33" x14ac:dyDescent="0.25">
      <c r="A85" s="54" t="s">
        <v>94</v>
      </c>
      <c r="B85" s="55">
        <v>2019</v>
      </c>
      <c r="C85" s="55">
        <v>19</v>
      </c>
      <c r="D85" s="55" t="s">
        <v>208</v>
      </c>
      <c r="E85" s="55">
        <v>11</v>
      </c>
      <c r="F85" s="55">
        <v>4494989</v>
      </c>
      <c r="G85" s="55">
        <v>3107372</v>
      </c>
      <c r="H85" s="55">
        <v>2822165</v>
      </c>
      <c r="I85" s="55">
        <v>2758206</v>
      </c>
      <c r="J85" s="55">
        <v>3870194</v>
      </c>
      <c r="K85" s="55">
        <v>8585792</v>
      </c>
      <c r="L85" s="55">
        <v>16800000</v>
      </c>
      <c r="M85" s="55">
        <v>23200000</v>
      </c>
      <c r="N85" s="55">
        <v>15300000</v>
      </c>
      <c r="O85" s="55">
        <v>13700000</v>
      </c>
      <c r="P85" s="55">
        <v>12700000</v>
      </c>
      <c r="Q85" s="55">
        <v>11000000</v>
      </c>
      <c r="R85" s="55">
        <v>8946025</v>
      </c>
      <c r="S85" s="55">
        <v>7850320</v>
      </c>
      <c r="T85" s="55">
        <v>7712825</v>
      </c>
      <c r="U85" s="55">
        <v>7795620</v>
      </c>
      <c r="V85" s="55">
        <v>9423002</v>
      </c>
      <c r="W85" s="55">
        <v>11900000</v>
      </c>
      <c r="X85" s="55">
        <v>15300000</v>
      </c>
      <c r="Y85" s="55">
        <v>15300000</v>
      </c>
      <c r="Z85" s="55">
        <v>13800000</v>
      </c>
      <c r="AA85" s="55">
        <v>12800000</v>
      </c>
      <c r="AB85" s="55">
        <v>11200000</v>
      </c>
      <c r="AC85" s="56">
        <v>7868731</v>
      </c>
      <c r="AD85" t="str">
        <f t="shared" si="1"/>
        <v>Winter</v>
      </c>
      <c r="AE85" t="str">
        <f>INDEX('Category Mapping'!$B$2:$B$29,MATCH('Source Data'!A85,'Category Mapping'!$A$2:$A$29,0))</f>
        <v>Weekday</v>
      </c>
      <c r="AF85" t="str">
        <f>INDEX('Category Mapping'!$C$2:$C$29,MATCH('Source Data'!A85,'Category Mapping'!$A$2:$A$29,0))</f>
        <v>Residential</v>
      </c>
      <c r="AG85" t="str">
        <f>INDEX('Category Mapping'!$D$2:$D$29,MATCH('Source Data'!A85,'Category Mapping'!$A$2:$A$29,0))</f>
        <v>Appliances</v>
      </c>
    </row>
    <row r="86" spans="1:33" x14ac:dyDescent="0.25">
      <c r="A86" s="57" t="s">
        <v>94</v>
      </c>
      <c r="B86" s="58">
        <v>2019</v>
      </c>
      <c r="C86" s="58">
        <v>19</v>
      </c>
      <c r="D86" s="58" t="s">
        <v>208</v>
      </c>
      <c r="E86" s="58">
        <v>12</v>
      </c>
      <c r="F86" s="58">
        <v>5042649</v>
      </c>
      <c r="G86" s="58">
        <v>3485968</v>
      </c>
      <c r="H86" s="58">
        <v>3166012</v>
      </c>
      <c r="I86" s="58">
        <v>3094260</v>
      </c>
      <c r="J86" s="58">
        <v>4341731</v>
      </c>
      <c r="K86" s="58">
        <v>9631867</v>
      </c>
      <c r="L86" s="58">
        <v>18900000</v>
      </c>
      <c r="M86" s="58">
        <v>26000000</v>
      </c>
      <c r="N86" s="58">
        <v>17200000</v>
      </c>
      <c r="O86" s="58">
        <v>15400000</v>
      </c>
      <c r="P86" s="58">
        <v>14300000</v>
      </c>
      <c r="Q86" s="58">
        <v>12300000</v>
      </c>
      <c r="R86" s="58">
        <v>10000000</v>
      </c>
      <c r="S86" s="58">
        <v>8806787</v>
      </c>
      <c r="T86" s="58">
        <v>8652539</v>
      </c>
      <c r="U86" s="58">
        <v>8745422</v>
      </c>
      <c r="V86" s="58">
        <v>10600000</v>
      </c>
      <c r="W86" s="58">
        <v>13400000</v>
      </c>
      <c r="X86" s="58">
        <v>17200000</v>
      </c>
      <c r="Y86" s="58">
        <v>17200000</v>
      </c>
      <c r="Z86" s="58">
        <v>15500000</v>
      </c>
      <c r="AA86" s="58">
        <v>14300000</v>
      </c>
      <c r="AB86" s="58">
        <v>12600000</v>
      </c>
      <c r="AC86" s="59">
        <v>8827441</v>
      </c>
      <c r="AD86" t="str">
        <f t="shared" si="1"/>
        <v>Winter</v>
      </c>
      <c r="AE86" t="str">
        <f>INDEX('Category Mapping'!$B$2:$B$29,MATCH('Source Data'!A86,'Category Mapping'!$A$2:$A$29,0))</f>
        <v>Weekday</v>
      </c>
      <c r="AF86" t="str">
        <f>INDEX('Category Mapping'!$C$2:$C$29,MATCH('Source Data'!A86,'Category Mapping'!$A$2:$A$29,0))</f>
        <v>Residential</v>
      </c>
      <c r="AG86" t="str">
        <f>INDEX('Category Mapping'!$D$2:$D$29,MATCH('Source Data'!A86,'Category Mapping'!$A$2:$A$29,0))</f>
        <v>Appliances</v>
      </c>
    </row>
    <row r="87" spans="1:33" x14ac:dyDescent="0.25">
      <c r="A87" s="54" t="s">
        <v>95</v>
      </c>
      <c r="B87" s="55">
        <v>2019</v>
      </c>
      <c r="C87" s="55">
        <v>19</v>
      </c>
      <c r="D87" s="55" t="s">
        <v>208</v>
      </c>
      <c r="E87" s="55">
        <v>1</v>
      </c>
      <c r="F87" s="55">
        <v>4556869</v>
      </c>
      <c r="G87" s="55">
        <v>2944436</v>
      </c>
      <c r="H87" s="55">
        <v>2454087</v>
      </c>
      <c r="I87" s="55">
        <v>2274738</v>
      </c>
      <c r="J87" s="55">
        <v>2344891</v>
      </c>
      <c r="K87" s="55">
        <v>3038123</v>
      </c>
      <c r="L87" s="55">
        <v>5350823</v>
      </c>
      <c r="M87" s="55">
        <v>8349451</v>
      </c>
      <c r="N87" s="55">
        <v>12700000</v>
      </c>
      <c r="O87" s="55">
        <v>17300000</v>
      </c>
      <c r="P87" s="55">
        <v>17800000</v>
      </c>
      <c r="Q87" s="55">
        <v>16400000</v>
      </c>
      <c r="R87" s="55">
        <v>14700000</v>
      </c>
      <c r="S87" s="55">
        <v>12600000</v>
      </c>
      <c r="T87" s="55">
        <v>11600000</v>
      </c>
      <c r="U87" s="55">
        <v>10200000</v>
      </c>
      <c r="V87" s="55">
        <v>10200000</v>
      </c>
      <c r="W87" s="55">
        <v>11700000</v>
      </c>
      <c r="X87" s="55">
        <v>13300000</v>
      </c>
      <c r="Y87" s="55">
        <v>12100000</v>
      </c>
      <c r="Z87" s="55">
        <v>11300000</v>
      </c>
      <c r="AA87" s="55">
        <v>9892092</v>
      </c>
      <c r="AB87" s="55">
        <v>8590929</v>
      </c>
      <c r="AC87" s="56">
        <v>6542610</v>
      </c>
      <c r="AD87" t="str">
        <f t="shared" si="1"/>
        <v>Winter</v>
      </c>
      <c r="AE87" t="str">
        <f>INDEX('Category Mapping'!$B$2:$B$29,MATCH('Source Data'!A87,'Category Mapping'!$A$2:$A$29,0))</f>
        <v>Weekend</v>
      </c>
      <c r="AF87" t="str">
        <f>INDEX('Category Mapping'!$C$2:$C$29,MATCH('Source Data'!A87,'Category Mapping'!$A$2:$A$29,0))</f>
        <v>Residential</v>
      </c>
      <c r="AG87" t="str">
        <f>INDEX('Category Mapping'!$D$2:$D$29,MATCH('Source Data'!A87,'Category Mapping'!$A$2:$A$29,0))</f>
        <v>Appliances</v>
      </c>
    </row>
    <row r="88" spans="1:33" x14ac:dyDescent="0.25">
      <c r="A88" s="57" t="s">
        <v>95</v>
      </c>
      <c r="B88" s="58">
        <v>2019</v>
      </c>
      <c r="C88" s="58">
        <v>19</v>
      </c>
      <c r="D88" s="58" t="s">
        <v>208</v>
      </c>
      <c r="E88" s="58">
        <v>2</v>
      </c>
      <c r="F88" s="58">
        <v>4274761</v>
      </c>
      <c r="G88" s="58">
        <v>2762150</v>
      </c>
      <c r="H88" s="58">
        <v>2302158</v>
      </c>
      <c r="I88" s="58">
        <v>2133912</v>
      </c>
      <c r="J88" s="58">
        <v>2199722</v>
      </c>
      <c r="K88" s="58">
        <v>2850038</v>
      </c>
      <c r="L88" s="58">
        <v>5019562</v>
      </c>
      <c r="M88" s="58">
        <v>7832549</v>
      </c>
      <c r="N88" s="58">
        <v>11900000</v>
      </c>
      <c r="O88" s="58">
        <v>16300000</v>
      </c>
      <c r="P88" s="58">
        <v>16700000</v>
      </c>
      <c r="Q88" s="58">
        <v>15400000</v>
      </c>
      <c r="R88" s="58">
        <v>13800000</v>
      </c>
      <c r="S88" s="58">
        <v>11900000</v>
      </c>
      <c r="T88" s="58">
        <v>10900000</v>
      </c>
      <c r="U88" s="58">
        <v>9528293</v>
      </c>
      <c r="V88" s="58">
        <v>9535652</v>
      </c>
      <c r="W88" s="58">
        <v>10900000</v>
      </c>
      <c r="X88" s="58">
        <v>12500000</v>
      </c>
      <c r="Y88" s="58">
        <v>11400000</v>
      </c>
      <c r="Z88" s="58">
        <v>10600000</v>
      </c>
      <c r="AA88" s="58">
        <v>9279688</v>
      </c>
      <c r="AB88" s="58">
        <v>8059077</v>
      </c>
      <c r="AC88" s="59">
        <v>6137567</v>
      </c>
      <c r="AD88" t="str">
        <f t="shared" si="1"/>
        <v>Winter</v>
      </c>
      <c r="AE88" t="str">
        <f>INDEX('Category Mapping'!$B$2:$B$29,MATCH('Source Data'!A88,'Category Mapping'!$A$2:$A$29,0))</f>
        <v>Weekend</v>
      </c>
      <c r="AF88" t="str">
        <f>INDEX('Category Mapping'!$C$2:$C$29,MATCH('Source Data'!A88,'Category Mapping'!$A$2:$A$29,0))</f>
        <v>Residential</v>
      </c>
      <c r="AG88" t="str">
        <f>INDEX('Category Mapping'!$D$2:$D$29,MATCH('Source Data'!A88,'Category Mapping'!$A$2:$A$29,0))</f>
        <v>Appliances</v>
      </c>
    </row>
    <row r="89" spans="1:33" x14ac:dyDescent="0.25">
      <c r="A89" s="54" t="s">
        <v>95</v>
      </c>
      <c r="B89" s="55">
        <v>2019</v>
      </c>
      <c r="C89" s="55">
        <v>19</v>
      </c>
      <c r="D89" s="55" t="s">
        <v>208</v>
      </c>
      <c r="E89" s="55">
        <v>3</v>
      </c>
      <c r="F89" s="55">
        <v>4036788</v>
      </c>
      <c r="G89" s="55">
        <v>2608383</v>
      </c>
      <c r="H89" s="55">
        <v>2173999</v>
      </c>
      <c r="I89" s="55">
        <v>2015119</v>
      </c>
      <c r="J89" s="55">
        <v>2077265</v>
      </c>
      <c r="K89" s="55">
        <v>2691378</v>
      </c>
      <c r="L89" s="55">
        <v>4740126</v>
      </c>
      <c r="M89" s="55">
        <v>7396517</v>
      </c>
      <c r="N89" s="55">
        <v>11300000</v>
      </c>
      <c r="O89" s="55">
        <v>15400000</v>
      </c>
      <c r="P89" s="55">
        <v>15800000</v>
      </c>
      <c r="Q89" s="55">
        <v>14500000</v>
      </c>
      <c r="R89" s="55">
        <v>13000000</v>
      </c>
      <c r="S89" s="55">
        <v>11200000</v>
      </c>
      <c r="T89" s="55">
        <v>10300000</v>
      </c>
      <c r="U89" s="55">
        <v>8997860</v>
      </c>
      <c r="V89" s="55">
        <v>9004809</v>
      </c>
      <c r="W89" s="55">
        <v>10300000</v>
      </c>
      <c r="X89" s="55">
        <v>11800000</v>
      </c>
      <c r="Y89" s="55">
        <v>10700000</v>
      </c>
      <c r="Z89" s="55">
        <v>10000000</v>
      </c>
      <c r="AA89" s="55">
        <v>8763094</v>
      </c>
      <c r="AB89" s="55">
        <v>7610435</v>
      </c>
      <c r="AC89" s="56">
        <v>5795893</v>
      </c>
      <c r="AD89" t="str">
        <f t="shared" si="1"/>
        <v>Spring</v>
      </c>
      <c r="AE89" t="str">
        <f>INDEX('Category Mapping'!$B$2:$B$29,MATCH('Source Data'!A89,'Category Mapping'!$A$2:$A$29,0))</f>
        <v>Weekend</v>
      </c>
      <c r="AF89" t="str">
        <f>INDEX('Category Mapping'!$C$2:$C$29,MATCH('Source Data'!A89,'Category Mapping'!$A$2:$A$29,0))</f>
        <v>Residential</v>
      </c>
      <c r="AG89" t="str">
        <f>INDEX('Category Mapping'!$D$2:$D$29,MATCH('Source Data'!A89,'Category Mapping'!$A$2:$A$29,0))</f>
        <v>Appliances</v>
      </c>
    </row>
    <row r="90" spans="1:33" x14ac:dyDescent="0.25">
      <c r="A90" s="57" t="s">
        <v>95</v>
      </c>
      <c r="B90" s="58">
        <v>2019</v>
      </c>
      <c r="C90" s="58">
        <v>19</v>
      </c>
      <c r="D90" s="58" t="s">
        <v>208</v>
      </c>
      <c r="E90" s="58">
        <v>4</v>
      </c>
      <c r="F90" s="58">
        <v>3582203</v>
      </c>
      <c r="G90" s="58">
        <v>2314652</v>
      </c>
      <c r="H90" s="58">
        <v>1929184</v>
      </c>
      <c r="I90" s="58">
        <v>1788195</v>
      </c>
      <c r="J90" s="58">
        <v>1843343</v>
      </c>
      <c r="K90" s="58">
        <v>2388301</v>
      </c>
      <c r="L90" s="58">
        <v>4206338</v>
      </c>
      <c r="M90" s="58">
        <v>6563592</v>
      </c>
      <c r="N90" s="58">
        <v>9998639</v>
      </c>
      <c r="O90" s="58">
        <v>13600000</v>
      </c>
      <c r="P90" s="58">
        <v>14000000</v>
      </c>
      <c r="Q90" s="58">
        <v>12900000</v>
      </c>
      <c r="R90" s="58">
        <v>11500000</v>
      </c>
      <c r="S90" s="58">
        <v>9931299</v>
      </c>
      <c r="T90" s="58">
        <v>9153983</v>
      </c>
      <c r="U90" s="58">
        <v>7984606</v>
      </c>
      <c r="V90" s="58">
        <v>7990773</v>
      </c>
      <c r="W90" s="58">
        <v>9172271</v>
      </c>
      <c r="X90" s="58">
        <v>10500000</v>
      </c>
      <c r="Y90" s="58">
        <v>9527472</v>
      </c>
      <c r="Z90" s="58">
        <v>8896673</v>
      </c>
      <c r="AA90" s="58">
        <v>7776278</v>
      </c>
      <c r="AB90" s="58">
        <v>6753420</v>
      </c>
      <c r="AC90" s="59">
        <v>5143214</v>
      </c>
      <c r="AD90" t="str">
        <f t="shared" si="1"/>
        <v>Spring</v>
      </c>
      <c r="AE90" t="str">
        <f>INDEX('Category Mapping'!$B$2:$B$29,MATCH('Source Data'!A90,'Category Mapping'!$A$2:$A$29,0))</f>
        <v>Weekend</v>
      </c>
      <c r="AF90" t="str">
        <f>INDEX('Category Mapping'!$C$2:$C$29,MATCH('Source Data'!A90,'Category Mapping'!$A$2:$A$29,0))</f>
        <v>Residential</v>
      </c>
      <c r="AG90" t="str">
        <f>INDEX('Category Mapping'!$D$2:$D$29,MATCH('Source Data'!A90,'Category Mapping'!$A$2:$A$29,0))</f>
        <v>Appliances</v>
      </c>
    </row>
    <row r="91" spans="1:33" x14ac:dyDescent="0.25">
      <c r="A91" s="54" t="s">
        <v>95</v>
      </c>
      <c r="B91" s="55">
        <v>2019</v>
      </c>
      <c r="C91" s="55">
        <v>19</v>
      </c>
      <c r="D91" s="55" t="s">
        <v>208</v>
      </c>
      <c r="E91" s="55">
        <v>5</v>
      </c>
      <c r="F91" s="55">
        <v>3253086</v>
      </c>
      <c r="G91" s="55">
        <v>2101992</v>
      </c>
      <c r="H91" s="55">
        <v>1751939</v>
      </c>
      <c r="I91" s="55">
        <v>1623904</v>
      </c>
      <c r="J91" s="55">
        <v>1673985</v>
      </c>
      <c r="K91" s="55">
        <v>2168874</v>
      </c>
      <c r="L91" s="55">
        <v>3819879</v>
      </c>
      <c r="M91" s="55">
        <v>5960558</v>
      </c>
      <c r="N91" s="55">
        <v>9080008</v>
      </c>
      <c r="O91" s="55">
        <v>12400000</v>
      </c>
      <c r="P91" s="55">
        <v>12700000</v>
      </c>
      <c r="Q91" s="55">
        <v>11700000</v>
      </c>
      <c r="R91" s="55">
        <v>10500000</v>
      </c>
      <c r="S91" s="55">
        <v>9018855</v>
      </c>
      <c r="T91" s="55">
        <v>8312956</v>
      </c>
      <c r="U91" s="55">
        <v>7251016</v>
      </c>
      <c r="V91" s="55">
        <v>7256617</v>
      </c>
      <c r="W91" s="55">
        <v>8329563</v>
      </c>
      <c r="X91" s="55">
        <v>9491665</v>
      </c>
      <c r="Y91" s="55">
        <v>8652130</v>
      </c>
      <c r="Z91" s="55">
        <v>8079287</v>
      </c>
      <c r="AA91" s="55">
        <v>7061828</v>
      </c>
      <c r="AB91" s="55">
        <v>6132946</v>
      </c>
      <c r="AC91" s="56">
        <v>4670679</v>
      </c>
      <c r="AD91" t="str">
        <f t="shared" si="1"/>
        <v>Spring</v>
      </c>
      <c r="AE91" t="str">
        <f>INDEX('Category Mapping'!$B$2:$B$29,MATCH('Source Data'!A91,'Category Mapping'!$A$2:$A$29,0))</f>
        <v>Weekend</v>
      </c>
      <c r="AF91" t="str">
        <f>INDEX('Category Mapping'!$C$2:$C$29,MATCH('Source Data'!A91,'Category Mapping'!$A$2:$A$29,0))</f>
        <v>Residential</v>
      </c>
      <c r="AG91" t="str">
        <f>INDEX('Category Mapping'!$D$2:$D$29,MATCH('Source Data'!A91,'Category Mapping'!$A$2:$A$29,0))</f>
        <v>Appliances</v>
      </c>
    </row>
    <row r="92" spans="1:33" x14ac:dyDescent="0.25">
      <c r="A92" s="57" t="s">
        <v>95</v>
      </c>
      <c r="B92" s="58">
        <v>2019</v>
      </c>
      <c r="C92" s="58">
        <v>19</v>
      </c>
      <c r="D92" s="58" t="s">
        <v>208</v>
      </c>
      <c r="E92" s="58">
        <v>6</v>
      </c>
      <c r="F92" s="58">
        <v>3138550</v>
      </c>
      <c r="G92" s="58">
        <v>2027984</v>
      </c>
      <c r="H92" s="58">
        <v>1690256</v>
      </c>
      <c r="I92" s="58">
        <v>1566728</v>
      </c>
      <c r="J92" s="58">
        <v>1615046</v>
      </c>
      <c r="K92" s="58">
        <v>2092511</v>
      </c>
      <c r="L92" s="58">
        <v>3685386</v>
      </c>
      <c r="M92" s="58">
        <v>5750695</v>
      </c>
      <c r="N92" s="58">
        <v>8760314</v>
      </c>
      <c r="O92" s="58">
        <v>11900000</v>
      </c>
      <c r="P92" s="58">
        <v>12300000</v>
      </c>
      <c r="Q92" s="58">
        <v>11300000</v>
      </c>
      <c r="R92" s="58">
        <v>10100000</v>
      </c>
      <c r="S92" s="58">
        <v>8701314</v>
      </c>
      <c r="T92" s="58">
        <v>8020269</v>
      </c>
      <c r="U92" s="58">
        <v>6995718</v>
      </c>
      <c r="V92" s="58">
        <v>7001122</v>
      </c>
      <c r="W92" s="58">
        <v>8036291</v>
      </c>
      <c r="X92" s="58">
        <v>9157477</v>
      </c>
      <c r="Y92" s="58">
        <v>8347501</v>
      </c>
      <c r="Z92" s="58">
        <v>7794826</v>
      </c>
      <c r="AA92" s="58">
        <v>6813191</v>
      </c>
      <c r="AB92" s="58">
        <v>5917013</v>
      </c>
      <c r="AC92" s="59">
        <v>4506231</v>
      </c>
      <c r="AD92" t="str">
        <f t="shared" si="1"/>
        <v>Summer</v>
      </c>
      <c r="AE92" t="str">
        <f>INDEX('Category Mapping'!$B$2:$B$29,MATCH('Source Data'!A92,'Category Mapping'!$A$2:$A$29,0))</f>
        <v>Weekend</v>
      </c>
      <c r="AF92" t="str">
        <f>INDEX('Category Mapping'!$C$2:$C$29,MATCH('Source Data'!A92,'Category Mapping'!$A$2:$A$29,0))</f>
        <v>Residential</v>
      </c>
      <c r="AG92" t="str">
        <f>INDEX('Category Mapping'!$D$2:$D$29,MATCH('Source Data'!A92,'Category Mapping'!$A$2:$A$29,0))</f>
        <v>Appliances</v>
      </c>
    </row>
    <row r="93" spans="1:33" x14ac:dyDescent="0.25">
      <c r="A93" s="54" t="s">
        <v>95</v>
      </c>
      <c r="B93" s="55">
        <v>2019</v>
      </c>
      <c r="C93" s="55">
        <v>19</v>
      </c>
      <c r="D93" s="55" t="s">
        <v>208</v>
      </c>
      <c r="E93" s="55">
        <v>7</v>
      </c>
      <c r="F93" s="55">
        <v>3119421</v>
      </c>
      <c r="G93" s="55">
        <v>2015624</v>
      </c>
      <c r="H93" s="55">
        <v>1679954</v>
      </c>
      <c r="I93" s="55">
        <v>1557180</v>
      </c>
      <c r="J93" s="55">
        <v>1605203</v>
      </c>
      <c r="K93" s="55">
        <v>2079758</v>
      </c>
      <c r="L93" s="55">
        <v>3662925</v>
      </c>
      <c r="M93" s="55">
        <v>5715647</v>
      </c>
      <c r="N93" s="55">
        <v>8706924</v>
      </c>
      <c r="O93" s="55">
        <v>11900000</v>
      </c>
      <c r="P93" s="55">
        <v>12200000</v>
      </c>
      <c r="Q93" s="55">
        <v>11200000</v>
      </c>
      <c r="R93" s="55">
        <v>10100000</v>
      </c>
      <c r="S93" s="55">
        <v>8648283</v>
      </c>
      <c r="T93" s="55">
        <v>7971389</v>
      </c>
      <c r="U93" s="55">
        <v>6953082</v>
      </c>
      <c r="V93" s="55">
        <v>6958453</v>
      </c>
      <c r="W93" s="55">
        <v>7987313</v>
      </c>
      <c r="X93" s="55">
        <v>9101666</v>
      </c>
      <c r="Y93" s="55">
        <v>8296626</v>
      </c>
      <c r="Z93" s="55">
        <v>7747320</v>
      </c>
      <c r="AA93" s="55">
        <v>6771668</v>
      </c>
      <c r="AB93" s="55">
        <v>5880952</v>
      </c>
      <c r="AC93" s="56">
        <v>4478767</v>
      </c>
      <c r="AD93" t="str">
        <f t="shared" si="1"/>
        <v>Summer</v>
      </c>
      <c r="AE93" t="str">
        <f>INDEX('Category Mapping'!$B$2:$B$29,MATCH('Source Data'!A93,'Category Mapping'!$A$2:$A$29,0))</f>
        <v>Weekend</v>
      </c>
      <c r="AF93" t="str">
        <f>INDEX('Category Mapping'!$C$2:$C$29,MATCH('Source Data'!A93,'Category Mapping'!$A$2:$A$29,0))</f>
        <v>Residential</v>
      </c>
      <c r="AG93" t="str">
        <f>INDEX('Category Mapping'!$D$2:$D$29,MATCH('Source Data'!A93,'Category Mapping'!$A$2:$A$29,0))</f>
        <v>Appliances</v>
      </c>
    </row>
    <row r="94" spans="1:33" x14ac:dyDescent="0.25">
      <c r="A94" s="57" t="s">
        <v>95</v>
      </c>
      <c r="B94" s="58">
        <v>2019</v>
      </c>
      <c r="C94" s="58">
        <v>19</v>
      </c>
      <c r="D94" s="58" t="s">
        <v>208</v>
      </c>
      <c r="E94" s="58">
        <v>8</v>
      </c>
      <c r="F94" s="58">
        <v>3119640</v>
      </c>
      <c r="G94" s="58">
        <v>2015766</v>
      </c>
      <c r="H94" s="58">
        <v>1680072</v>
      </c>
      <c r="I94" s="58">
        <v>1557289</v>
      </c>
      <c r="J94" s="58">
        <v>1605316</v>
      </c>
      <c r="K94" s="58">
        <v>2079904</v>
      </c>
      <c r="L94" s="58">
        <v>3663182</v>
      </c>
      <c r="M94" s="58">
        <v>5716048</v>
      </c>
      <c r="N94" s="58">
        <v>8707535</v>
      </c>
      <c r="O94" s="58">
        <v>11900000</v>
      </c>
      <c r="P94" s="58">
        <v>12200000</v>
      </c>
      <c r="Q94" s="58">
        <v>11200000</v>
      </c>
      <c r="R94" s="58">
        <v>10100000</v>
      </c>
      <c r="S94" s="58">
        <v>8648890</v>
      </c>
      <c r="T94" s="58">
        <v>7971948</v>
      </c>
      <c r="U94" s="58">
        <v>6953570</v>
      </c>
      <c r="V94" s="58">
        <v>6958941</v>
      </c>
      <c r="W94" s="58">
        <v>7987874</v>
      </c>
      <c r="X94" s="58">
        <v>9102305</v>
      </c>
      <c r="Y94" s="58">
        <v>8297209</v>
      </c>
      <c r="Z94" s="58">
        <v>7747864</v>
      </c>
      <c r="AA94" s="58">
        <v>6772143</v>
      </c>
      <c r="AB94" s="58">
        <v>5881364</v>
      </c>
      <c r="AC94" s="59">
        <v>4479082</v>
      </c>
      <c r="AD94" t="str">
        <f t="shared" si="1"/>
        <v>Summer</v>
      </c>
      <c r="AE94" t="str">
        <f>INDEX('Category Mapping'!$B$2:$B$29,MATCH('Source Data'!A94,'Category Mapping'!$A$2:$A$29,0))</f>
        <v>Weekend</v>
      </c>
      <c r="AF94" t="str">
        <f>INDEX('Category Mapping'!$C$2:$C$29,MATCH('Source Data'!A94,'Category Mapping'!$A$2:$A$29,0))</f>
        <v>Residential</v>
      </c>
      <c r="AG94" t="str">
        <f>INDEX('Category Mapping'!$D$2:$D$29,MATCH('Source Data'!A94,'Category Mapping'!$A$2:$A$29,0))</f>
        <v>Appliances</v>
      </c>
    </row>
    <row r="95" spans="1:33" x14ac:dyDescent="0.25">
      <c r="A95" s="54" t="s">
        <v>95</v>
      </c>
      <c r="B95" s="55">
        <v>2019</v>
      </c>
      <c r="C95" s="55">
        <v>19</v>
      </c>
      <c r="D95" s="55" t="s">
        <v>208</v>
      </c>
      <c r="E95" s="55">
        <v>9</v>
      </c>
      <c r="F95" s="55">
        <v>3163326</v>
      </c>
      <c r="G95" s="55">
        <v>2043993</v>
      </c>
      <c r="H95" s="55">
        <v>1703599</v>
      </c>
      <c r="I95" s="55">
        <v>1579096</v>
      </c>
      <c r="J95" s="55">
        <v>1627796</v>
      </c>
      <c r="K95" s="55">
        <v>2109030</v>
      </c>
      <c r="L95" s="55">
        <v>3714479</v>
      </c>
      <c r="M95" s="55">
        <v>5796092</v>
      </c>
      <c r="N95" s="55">
        <v>8829470</v>
      </c>
      <c r="O95" s="55">
        <v>12000000</v>
      </c>
      <c r="P95" s="55">
        <v>12400000</v>
      </c>
      <c r="Q95" s="55">
        <v>11400000</v>
      </c>
      <c r="R95" s="55">
        <v>10200000</v>
      </c>
      <c r="S95" s="55">
        <v>8770004</v>
      </c>
      <c r="T95" s="55">
        <v>8083582</v>
      </c>
      <c r="U95" s="55">
        <v>7050944</v>
      </c>
      <c r="V95" s="55">
        <v>7056390</v>
      </c>
      <c r="W95" s="55">
        <v>8099731</v>
      </c>
      <c r="X95" s="55">
        <v>9229768</v>
      </c>
      <c r="Y95" s="55">
        <v>8413398</v>
      </c>
      <c r="Z95" s="55">
        <v>7856360</v>
      </c>
      <c r="AA95" s="55">
        <v>6866976</v>
      </c>
      <c r="AB95" s="55">
        <v>5963723</v>
      </c>
      <c r="AC95" s="56">
        <v>4541804</v>
      </c>
      <c r="AD95" t="str">
        <f t="shared" si="1"/>
        <v>Fall</v>
      </c>
      <c r="AE95" t="str">
        <f>INDEX('Category Mapping'!$B$2:$B$29,MATCH('Source Data'!A95,'Category Mapping'!$A$2:$A$29,0))</f>
        <v>Weekend</v>
      </c>
      <c r="AF95" t="str">
        <f>INDEX('Category Mapping'!$C$2:$C$29,MATCH('Source Data'!A95,'Category Mapping'!$A$2:$A$29,0))</f>
        <v>Residential</v>
      </c>
      <c r="AG95" t="str">
        <f>INDEX('Category Mapping'!$D$2:$D$29,MATCH('Source Data'!A95,'Category Mapping'!$A$2:$A$29,0))</f>
        <v>Appliances</v>
      </c>
    </row>
    <row r="96" spans="1:33" x14ac:dyDescent="0.25">
      <c r="A96" s="57" t="s">
        <v>95</v>
      </c>
      <c r="B96" s="58">
        <v>2019</v>
      </c>
      <c r="C96" s="58">
        <v>19</v>
      </c>
      <c r="D96" s="58" t="s">
        <v>208</v>
      </c>
      <c r="E96" s="58">
        <v>10</v>
      </c>
      <c r="F96" s="58">
        <v>3455266</v>
      </c>
      <c r="G96" s="58">
        <v>2232631</v>
      </c>
      <c r="H96" s="58">
        <v>1860822</v>
      </c>
      <c r="I96" s="58">
        <v>1724829</v>
      </c>
      <c r="J96" s="58">
        <v>1778023</v>
      </c>
      <c r="K96" s="58">
        <v>2303670</v>
      </c>
      <c r="L96" s="58">
        <v>4057284</v>
      </c>
      <c r="M96" s="58">
        <v>6331007</v>
      </c>
      <c r="N96" s="58">
        <v>9644332</v>
      </c>
      <c r="O96" s="58">
        <v>13100000</v>
      </c>
      <c r="P96" s="58">
        <v>13500000</v>
      </c>
      <c r="Q96" s="58">
        <v>12500000</v>
      </c>
      <c r="R96" s="58">
        <v>11100000</v>
      </c>
      <c r="S96" s="58">
        <v>9579378</v>
      </c>
      <c r="T96" s="58">
        <v>8829607</v>
      </c>
      <c r="U96" s="58">
        <v>7701668</v>
      </c>
      <c r="V96" s="58">
        <v>7707616</v>
      </c>
      <c r="W96" s="58">
        <v>8847246</v>
      </c>
      <c r="X96" s="58">
        <v>10100000</v>
      </c>
      <c r="Y96" s="58">
        <v>9189861</v>
      </c>
      <c r="Z96" s="58">
        <v>8581415</v>
      </c>
      <c r="AA96" s="58">
        <v>7500722</v>
      </c>
      <c r="AB96" s="58">
        <v>6514109</v>
      </c>
      <c r="AC96" s="59">
        <v>4960962</v>
      </c>
      <c r="AD96" t="str">
        <f t="shared" si="1"/>
        <v>Fall</v>
      </c>
      <c r="AE96" t="str">
        <f>INDEX('Category Mapping'!$B$2:$B$29,MATCH('Source Data'!A96,'Category Mapping'!$A$2:$A$29,0))</f>
        <v>Weekend</v>
      </c>
      <c r="AF96" t="str">
        <f>INDEX('Category Mapping'!$C$2:$C$29,MATCH('Source Data'!A96,'Category Mapping'!$A$2:$A$29,0))</f>
        <v>Residential</v>
      </c>
      <c r="AG96" t="str">
        <f>INDEX('Category Mapping'!$D$2:$D$29,MATCH('Source Data'!A96,'Category Mapping'!$A$2:$A$29,0))</f>
        <v>Appliances</v>
      </c>
    </row>
    <row r="97" spans="1:33" x14ac:dyDescent="0.25">
      <c r="A97" s="54" t="s">
        <v>95</v>
      </c>
      <c r="B97" s="55">
        <v>2019</v>
      </c>
      <c r="C97" s="55">
        <v>19</v>
      </c>
      <c r="D97" s="55" t="s">
        <v>208</v>
      </c>
      <c r="E97" s="55">
        <v>11</v>
      </c>
      <c r="F97" s="55">
        <v>3872559</v>
      </c>
      <c r="G97" s="55">
        <v>2502266</v>
      </c>
      <c r="H97" s="55">
        <v>2085554</v>
      </c>
      <c r="I97" s="55">
        <v>1933137</v>
      </c>
      <c r="J97" s="55">
        <v>1992755</v>
      </c>
      <c r="K97" s="55">
        <v>2581885</v>
      </c>
      <c r="L97" s="55">
        <v>4547284</v>
      </c>
      <c r="M97" s="55">
        <v>7095604</v>
      </c>
      <c r="N97" s="55">
        <v>10800000</v>
      </c>
      <c r="O97" s="55">
        <v>14700000</v>
      </c>
      <c r="P97" s="55">
        <v>15200000</v>
      </c>
      <c r="Q97" s="55">
        <v>14000000</v>
      </c>
      <c r="R97" s="55">
        <v>12500000</v>
      </c>
      <c r="S97" s="55">
        <v>10700000</v>
      </c>
      <c r="T97" s="55">
        <v>9895960</v>
      </c>
      <c r="U97" s="55">
        <v>8631799</v>
      </c>
      <c r="V97" s="55">
        <v>8638466</v>
      </c>
      <c r="W97" s="55">
        <v>9915730</v>
      </c>
      <c r="X97" s="55">
        <v>11300000</v>
      </c>
      <c r="Y97" s="55">
        <v>10300000</v>
      </c>
      <c r="Z97" s="55">
        <v>9617794</v>
      </c>
      <c r="AA97" s="55">
        <v>8406585</v>
      </c>
      <c r="AB97" s="55">
        <v>7300819</v>
      </c>
      <c r="AC97" s="56">
        <v>5560098</v>
      </c>
      <c r="AD97" t="str">
        <f t="shared" si="1"/>
        <v>Winter</v>
      </c>
      <c r="AE97" t="str">
        <f>INDEX('Category Mapping'!$B$2:$B$29,MATCH('Source Data'!A97,'Category Mapping'!$A$2:$A$29,0))</f>
        <v>Weekend</v>
      </c>
      <c r="AF97" t="str">
        <f>INDEX('Category Mapping'!$C$2:$C$29,MATCH('Source Data'!A97,'Category Mapping'!$A$2:$A$29,0))</f>
        <v>Residential</v>
      </c>
      <c r="AG97" t="str">
        <f>INDEX('Category Mapping'!$D$2:$D$29,MATCH('Source Data'!A97,'Category Mapping'!$A$2:$A$29,0))</f>
        <v>Appliances</v>
      </c>
    </row>
    <row r="98" spans="1:33" x14ac:dyDescent="0.25">
      <c r="A98" s="57" t="s">
        <v>95</v>
      </c>
      <c r="B98" s="58">
        <v>2019</v>
      </c>
      <c r="C98" s="58">
        <v>19</v>
      </c>
      <c r="D98" s="58" t="s">
        <v>208</v>
      </c>
      <c r="E98" s="58">
        <v>12</v>
      </c>
      <c r="F98" s="58">
        <v>4344383</v>
      </c>
      <c r="G98" s="58">
        <v>2807137</v>
      </c>
      <c r="H98" s="58">
        <v>2339654</v>
      </c>
      <c r="I98" s="58">
        <v>2168667</v>
      </c>
      <c r="J98" s="58">
        <v>2235549</v>
      </c>
      <c r="K98" s="58">
        <v>2896456</v>
      </c>
      <c r="L98" s="58">
        <v>5101315</v>
      </c>
      <c r="M98" s="58">
        <v>7960118</v>
      </c>
      <c r="N98" s="58">
        <v>12100000</v>
      </c>
      <c r="O98" s="58">
        <v>16500000</v>
      </c>
      <c r="P98" s="58">
        <v>17000000</v>
      </c>
      <c r="Q98" s="58">
        <v>15700000</v>
      </c>
      <c r="R98" s="58">
        <v>14000000</v>
      </c>
      <c r="S98" s="58">
        <v>12000000</v>
      </c>
      <c r="T98" s="58">
        <v>11100000</v>
      </c>
      <c r="U98" s="58">
        <v>9683480</v>
      </c>
      <c r="V98" s="58">
        <v>9690959</v>
      </c>
      <c r="W98" s="58">
        <v>11100000</v>
      </c>
      <c r="X98" s="58">
        <v>12700000</v>
      </c>
      <c r="Y98" s="58">
        <v>11600000</v>
      </c>
      <c r="Z98" s="58">
        <v>10800000</v>
      </c>
      <c r="AA98" s="58">
        <v>9430826</v>
      </c>
      <c r="AB98" s="58">
        <v>8190335</v>
      </c>
      <c r="AC98" s="59">
        <v>6237529</v>
      </c>
      <c r="AD98" t="str">
        <f t="shared" si="1"/>
        <v>Winter</v>
      </c>
      <c r="AE98" t="str">
        <f>INDEX('Category Mapping'!$B$2:$B$29,MATCH('Source Data'!A98,'Category Mapping'!$A$2:$A$29,0))</f>
        <v>Weekend</v>
      </c>
      <c r="AF98" t="str">
        <f>INDEX('Category Mapping'!$C$2:$C$29,MATCH('Source Data'!A98,'Category Mapping'!$A$2:$A$29,0))</f>
        <v>Residential</v>
      </c>
      <c r="AG98" t="str">
        <f>INDEX('Category Mapping'!$D$2:$D$29,MATCH('Source Data'!A98,'Category Mapping'!$A$2:$A$29,0))</f>
        <v>Appliances</v>
      </c>
    </row>
    <row r="99" spans="1:33" x14ac:dyDescent="0.25">
      <c r="A99" s="54" t="s">
        <v>96</v>
      </c>
      <c r="B99" s="55">
        <v>2019</v>
      </c>
      <c r="C99" s="55">
        <v>19</v>
      </c>
      <c r="D99" s="55" t="s">
        <v>208</v>
      </c>
      <c r="E99" s="55">
        <v>1</v>
      </c>
      <c r="F99" s="55">
        <v>35427</v>
      </c>
      <c r="G99" s="55">
        <v>33406</v>
      </c>
      <c r="H99" s="55">
        <v>32562</v>
      </c>
      <c r="I99" s="55">
        <v>32086</v>
      </c>
      <c r="J99" s="55">
        <v>31984</v>
      </c>
      <c r="K99" s="55">
        <v>32984</v>
      </c>
      <c r="L99" s="55">
        <v>36559</v>
      </c>
      <c r="M99" s="55">
        <v>43614</v>
      </c>
      <c r="N99" s="55">
        <v>53983</v>
      </c>
      <c r="O99" s="55">
        <v>60605</v>
      </c>
      <c r="P99" s="55">
        <v>64047</v>
      </c>
      <c r="Q99" s="55">
        <v>64853</v>
      </c>
      <c r="R99" s="55">
        <v>62467</v>
      </c>
      <c r="S99" s="55">
        <v>63945</v>
      </c>
      <c r="T99" s="55">
        <v>65536</v>
      </c>
      <c r="U99" s="55">
        <v>65564</v>
      </c>
      <c r="V99" s="55">
        <v>64218</v>
      </c>
      <c r="W99" s="55">
        <v>61227</v>
      </c>
      <c r="X99" s="55">
        <v>58635</v>
      </c>
      <c r="Y99" s="55">
        <v>54937</v>
      </c>
      <c r="Z99" s="55">
        <v>51826</v>
      </c>
      <c r="AA99" s="55">
        <v>48653</v>
      </c>
      <c r="AB99" s="55">
        <v>44837</v>
      </c>
      <c r="AC99" s="56">
        <v>39625</v>
      </c>
      <c r="AD99" t="str">
        <f t="shared" si="1"/>
        <v>Winter</v>
      </c>
      <c r="AE99" t="str">
        <f>INDEX('Category Mapping'!$B$2:$B$29,MATCH('Source Data'!A99,'Category Mapping'!$A$2:$A$29,0))</f>
        <v>Weekday</v>
      </c>
      <c r="AF99" t="str">
        <f>INDEX('Category Mapping'!$C$2:$C$29,MATCH('Source Data'!A99,'Category Mapping'!$A$2:$A$29,0))</f>
        <v>Commercial</v>
      </c>
      <c r="AG99" t="str">
        <f>INDEX('Category Mapping'!$D$2:$D$29,MATCH('Source Data'!A99,'Category Mapping'!$A$2:$A$29,0))</f>
        <v>Cooling</v>
      </c>
    </row>
    <row r="100" spans="1:33" x14ac:dyDescent="0.25">
      <c r="A100" s="57" t="s">
        <v>96</v>
      </c>
      <c r="B100" s="58">
        <v>2019</v>
      </c>
      <c r="C100" s="58">
        <v>19</v>
      </c>
      <c r="D100" s="58" t="s">
        <v>208</v>
      </c>
      <c r="E100" s="58">
        <v>2</v>
      </c>
      <c r="F100" s="58">
        <v>39970</v>
      </c>
      <c r="G100" s="58">
        <v>37690</v>
      </c>
      <c r="H100" s="58">
        <v>36738</v>
      </c>
      <c r="I100" s="58">
        <v>36201</v>
      </c>
      <c r="J100" s="58">
        <v>36085</v>
      </c>
      <c r="K100" s="58">
        <v>37213</v>
      </c>
      <c r="L100" s="58">
        <v>41248</v>
      </c>
      <c r="M100" s="58">
        <v>49207</v>
      </c>
      <c r="N100" s="58">
        <v>60907</v>
      </c>
      <c r="O100" s="58">
        <v>68378</v>
      </c>
      <c r="P100" s="58">
        <v>72260</v>
      </c>
      <c r="Q100" s="58">
        <v>73170</v>
      </c>
      <c r="R100" s="58">
        <v>70478</v>
      </c>
      <c r="S100" s="58">
        <v>72146</v>
      </c>
      <c r="T100" s="58">
        <v>73941</v>
      </c>
      <c r="U100" s="58">
        <v>73972</v>
      </c>
      <c r="V100" s="58">
        <v>72454</v>
      </c>
      <c r="W100" s="58">
        <v>69079</v>
      </c>
      <c r="X100" s="58">
        <v>66155</v>
      </c>
      <c r="Y100" s="58">
        <v>61982</v>
      </c>
      <c r="Z100" s="58">
        <v>58472</v>
      </c>
      <c r="AA100" s="58">
        <v>54892</v>
      </c>
      <c r="AB100" s="58">
        <v>50587</v>
      </c>
      <c r="AC100" s="59">
        <v>44707</v>
      </c>
      <c r="AD100" t="str">
        <f t="shared" si="1"/>
        <v>Winter</v>
      </c>
      <c r="AE100" t="str">
        <f>INDEX('Category Mapping'!$B$2:$B$29,MATCH('Source Data'!A100,'Category Mapping'!$A$2:$A$29,0))</f>
        <v>Weekday</v>
      </c>
      <c r="AF100" t="str">
        <f>INDEX('Category Mapping'!$C$2:$C$29,MATCH('Source Data'!A100,'Category Mapping'!$A$2:$A$29,0))</f>
        <v>Commercial</v>
      </c>
      <c r="AG100" t="str">
        <f>INDEX('Category Mapping'!$D$2:$D$29,MATCH('Source Data'!A100,'Category Mapping'!$A$2:$A$29,0))</f>
        <v>Cooling</v>
      </c>
    </row>
    <row r="101" spans="1:33" x14ac:dyDescent="0.25">
      <c r="A101" s="54" t="s">
        <v>96</v>
      </c>
      <c r="B101" s="55">
        <v>2019</v>
      </c>
      <c r="C101" s="55">
        <v>19</v>
      </c>
      <c r="D101" s="55" t="s">
        <v>208</v>
      </c>
      <c r="E101" s="55">
        <v>3</v>
      </c>
      <c r="F101" s="55">
        <v>89980</v>
      </c>
      <c r="G101" s="55">
        <v>84846</v>
      </c>
      <c r="H101" s="55">
        <v>82703</v>
      </c>
      <c r="I101" s="55">
        <v>81495</v>
      </c>
      <c r="J101" s="55">
        <v>81234</v>
      </c>
      <c r="K101" s="55">
        <v>83774</v>
      </c>
      <c r="L101" s="55">
        <v>92856</v>
      </c>
      <c r="M101" s="55">
        <v>110773</v>
      </c>
      <c r="N101" s="55">
        <v>137111</v>
      </c>
      <c r="O101" s="55">
        <v>153929</v>
      </c>
      <c r="P101" s="55">
        <v>162670</v>
      </c>
      <c r="Q101" s="55">
        <v>164719</v>
      </c>
      <c r="R101" s="55">
        <v>158658</v>
      </c>
      <c r="S101" s="55">
        <v>162412</v>
      </c>
      <c r="T101" s="55">
        <v>166453</v>
      </c>
      <c r="U101" s="55">
        <v>166524</v>
      </c>
      <c r="V101" s="55">
        <v>163105</v>
      </c>
      <c r="W101" s="55">
        <v>155509</v>
      </c>
      <c r="X101" s="55">
        <v>148926</v>
      </c>
      <c r="Y101" s="55">
        <v>139532</v>
      </c>
      <c r="Z101" s="55">
        <v>131631</v>
      </c>
      <c r="AA101" s="55">
        <v>123572</v>
      </c>
      <c r="AB101" s="55">
        <v>113881</v>
      </c>
      <c r="AC101" s="56">
        <v>100643</v>
      </c>
      <c r="AD101" t="str">
        <f t="shared" si="1"/>
        <v>Spring</v>
      </c>
      <c r="AE101" t="str">
        <f>INDEX('Category Mapping'!$B$2:$B$29,MATCH('Source Data'!A101,'Category Mapping'!$A$2:$A$29,0))</f>
        <v>Weekday</v>
      </c>
      <c r="AF101" t="str">
        <f>INDEX('Category Mapping'!$C$2:$C$29,MATCH('Source Data'!A101,'Category Mapping'!$A$2:$A$29,0))</f>
        <v>Commercial</v>
      </c>
      <c r="AG101" t="str">
        <f>INDEX('Category Mapping'!$D$2:$D$29,MATCH('Source Data'!A101,'Category Mapping'!$A$2:$A$29,0))</f>
        <v>Cooling</v>
      </c>
    </row>
    <row r="102" spans="1:33" x14ac:dyDescent="0.25">
      <c r="A102" s="57" t="s">
        <v>96</v>
      </c>
      <c r="B102" s="58">
        <v>2019</v>
      </c>
      <c r="C102" s="58">
        <v>19</v>
      </c>
      <c r="D102" s="58" t="s">
        <v>208</v>
      </c>
      <c r="E102" s="58">
        <v>4</v>
      </c>
      <c r="F102" s="58">
        <v>425192</v>
      </c>
      <c r="G102" s="58">
        <v>400930</v>
      </c>
      <c r="H102" s="58">
        <v>390806</v>
      </c>
      <c r="I102" s="58">
        <v>385096</v>
      </c>
      <c r="J102" s="58">
        <v>383866</v>
      </c>
      <c r="K102" s="58">
        <v>395865</v>
      </c>
      <c r="L102" s="58">
        <v>438782</v>
      </c>
      <c r="M102" s="58">
        <v>523448</v>
      </c>
      <c r="N102" s="58">
        <v>647905</v>
      </c>
      <c r="O102" s="58">
        <v>727380</v>
      </c>
      <c r="P102" s="58">
        <v>768684</v>
      </c>
      <c r="Q102" s="58">
        <v>778365</v>
      </c>
      <c r="R102" s="58">
        <v>749794</v>
      </c>
      <c r="S102" s="58">
        <v>769890</v>
      </c>
      <c r="T102" s="58">
        <v>791062</v>
      </c>
      <c r="U102" s="58">
        <v>789317</v>
      </c>
      <c r="V102" s="58">
        <v>770811</v>
      </c>
      <c r="W102" s="58">
        <v>734843</v>
      </c>
      <c r="X102" s="58">
        <v>703736</v>
      </c>
      <c r="Y102" s="58">
        <v>659344</v>
      </c>
      <c r="Z102" s="58">
        <v>622011</v>
      </c>
      <c r="AA102" s="58">
        <v>583928</v>
      </c>
      <c r="AB102" s="58">
        <v>538132</v>
      </c>
      <c r="AC102" s="59">
        <v>475578</v>
      </c>
      <c r="AD102" t="str">
        <f t="shared" si="1"/>
        <v>Spring</v>
      </c>
      <c r="AE102" t="str">
        <f>INDEX('Category Mapping'!$B$2:$B$29,MATCH('Source Data'!A102,'Category Mapping'!$A$2:$A$29,0))</f>
        <v>Weekday</v>
      </c>
      <c r="AF102" t="str">
        <f>INDEX('Category Mapping'!$C$2:$C$29,MATCH('Source Data'!A102,'Category Mapping'!$A$2:$A$29,0))</f>
        <v>Commercial</v>
      </c>
      <c r="AG102" t="str">
        <f>INDEX('Category Mapping'!$D$2:$D$29,MATCH('Source Data'!A102,'Category Mapping'!$A$2:$A$29,0))</f>
        <v>Cooling</v>
      </c>
    </row>
    <row r="103" spans="1:33" x14ac:dyDescent="0.25">
      <c r="A103" s="54" t="s">
        <v>96</v>
      </c>
      <c r="B103" s="55">
        <v>2019</v>
      </c>
      <c r="C103" s="55">
        <v>19</v>
      </c>
      <c r="D103" s="55" t="s">
        <v>208</v>
      </c>
      <c r="E103" s="55">
        <v>5</v>
      </c>
      <c r="F103" s="55">
        <v>7378556</v>
      </c>
      <c r="G103" s="55">
        <v>6957531</v>
      </c>
      <c r="H103" s="55">
        <v>6781846</v>
      </c>
      <c r="I103" s="55">
        <v>6682746</v>
      </c>
      <c r="J103" s="55">
        <v>6661407</v>
      </c>
      <c r="K103" s="55">
        <v>6869632</v>
      </c>
      <c r="L103" s="55">
        <v>7614378</v>
      </c>
      <c r="M103" s="55">
        <v>9083633</v>
      </c>
      <c r="N103" s="55">
        <v>11300000</v>
      </c>
      <c r="O103" s="55">
        <v>13500000</v>
      </c>
      <c r="P103" s="55">
        <v>15300000</v>
      </c>
      <c r="Q103" s="55">
        <v>16600000</v>
      </c>
      <c r="R103" s="55">
        <v>17000000</v>
      </c>
      <c r="S103" s="55">
        <v>17800000</v>
      </c>
      <c r="T103" s="55">
        <v>18400000</v>
      </c>
      <c r="U103" s="55">
        <v>18200000</v>
      </c>
      <c r="V103" s="55">
        <v>17300000</v>
      </c>
      <c r="W103" s="55">
        <v>15800000</v>
      </c>
      <c r="X103" s="55">
        <v>14200000</v>
      </c>
      <c r="Y103" s="55">
        <v>12300000</v>
      </c>
      <c r="Z103" s="55">
        <v>10800000</v>
      </c>
      <c r="AA103" s="55">
        <v>10100000</v>
      </c>
      <c r="AB103" s="55">
        <v>9338463</v>
      </c>
      <c r="AC103" s="56">
        <v>8252918</v>
      </c>
      <c r="AD103" t="str">
        <f t="shared" si="1"/>
        <v>Spring</v>
      </c>
      <c r="AE103" t="str">
        <f>INDEX('Category Mapping'!$B$2:$B$29,MATCH('Source Data'!A103,'Category Mapping'!$A$2:$A$29,0))</f>
        <v>Weekday</v>
      </c>
      <c r="AF103" t="str">
        <f>INDEX('Category Mapping'!$C$2:$C$29,MATCH('Source Data'!A103,'Category Mapping'!$A$2:$A$29,0))</f>
        <v>Commercial</v>
      </c>
      <c r="AG103" t="str">
        <f>INDEX('Category Mapping'!$D$2:$D$29,MATCH('Source Data'!A103,'Category Mapping'!$A$2:$A$29,0))</f>
        <v>Cooling</v>
      </c>
    </row>
    <row r="104" spans="1:33" x14ac:dyDescent="0.25">
      <c r="A104" s="57" t="s">
        <v>96</v>
      </c>
      <c r="B104" s="58">
        <v>2019</v>
      </c>
      <c r="C104" s="58">
        <v>19</v>
      </c>
      <c r="D104" s="58" t="s">
        <v>208</v>
      </c>
      <c r="E104" s="58">
        <v>6</v>
      </c>
      <c r="F104" s="58">
        <v>67600000</v>
      </c>
      <c r="G104" s="58">
        <v>62800000</v>
      </c>
      <c r="H104" s="58">
        <v>61000000</v>
      </c>
      <c r="I104" s="58">
        <v>60400000</v>
      </c>
      <c r="J104" s="58">
        <v>61300000</v>
      </c>
      <c r="K104" s="58">
        <v>66400000</v>
      </c>
      <c r="L104" s="58">
        <v>79700000</v>
      </c>
      <c r="M104" s="58">
        <v>102000000</v>
      </c>
      <c r="N104" s="58">
        <v>131000000</v>
      </c>
      <c r="O104" s="58">
        <v>154000000</v>
      </c>
      <c r="P104" s="58">
        <v>170000000</v>
      </c>
      <c r="Q104" s="58">
        <v>180000000</v>
      </c>
      <c r="R104" s="58">
        <v>183000000</v>
      </c>
      <c r="S104" s="58">
        <v>190000000</v>
      </c>
      <c r="T104" s="58">
        <v>194000000</v>
      </c>
      <c r="U104" s="58">
        <v>193000000</v>
      </c>
      <c r="V104" s="58">
        <v>186000000</v>
      </c>
      <c r="W104" s="58">
        <v>174000000</v>
      </c>
      <c r="X104" s="58">
        <v>160000000</v>
      </c>
      <c r="Y104" s="58">
        <v>143000000</v>
      </c>
      <c r="Z104" s="58">
        <v>127000000</v>
      </c>
      <c r="AA104" s="58">
        <v>111000000</v>
      </c>
      <c r="AB104" s="58">
        <v>94800000</v>
      </c>
      <c r="AC104" s="59">
        <v>78400000</v>
      </c>
      <c r="AD104" t="str">
        <f t="shared" si="1"/>
        <v>Summer</v>
      </c>
      <c r="AE104" t="str">
        <f>INDEX('Category Mapping'!$B$2:$B$29,MATCH('Source Data'!A104,'Category Mapping'!$A$2:$A$29,0))</f>
        <v>Weekday</v>
      </c>
      <c r="AF104" t="str">
        <f>INDEX('Category Mapping'!$C$2:$C$29,MATCH('Source Data'!A104,'Category Mapping'!$A$2:$A$29,0))</f>
        <v>Commercial</v>
      </c>
      <c r="AG104" t="str">
        <f>INDEX('Category Mapping'!$D$2:$D$29,MATCH('Source Data'!A104,'Category Mapping'!$A$2:$A$29,0))</f>
        <v>Cooling</v>
      </c>
    </row>
    <row r="105" spans="1:33" x14ac:dyDescent="0.25">
      <c r="A105" s="54" t="s">
        <v>96</v>
      </c>
      <c r="B105" s="55">
        <v>2019</v>
      </c>
      <c r="C105" s="55">
        <v>19</v>
      </c>
      <c r="D105" s="55" t="s">
        <v>208</v>
      </c>
      <c r="E105" s="55">
        <v>7</v>
      </c>
      <c r="F105" s="55">
        <v>214000000</v>
      </c>
      <c r="G105" s="55">
        <v>199000000</v>
      </c>
      <c r="H105" s="55">
        <v>193000000</v>
      </c>
      <c r="I105" s="55">
        <v>194000000</v>
      </c>
      <c r="J105" s="55">
        <v>200000000</v>
      </c>
      <c r="K105" s="55">
        <v>214000000</v>
      </c>
      <c r="L105" s="55">
        <v>242000000</v>
      </c>
      <c r="M105" s="55">
        <v>287000000</v>
      </c>
      <c r="N105" s="55">
        <v>347000000</v>
      </c>
      <c r="O105" s="55">
        <v>391000000</v>
      </c>
      <c r="P105" s="55">
        <v>422000000</v>
      </c>
      <c r="Q105" s="55">
        <v>440000000</v>
      </c>
      <c r="R105" s="55">
        <v>441000000</v>
      </c>
      <c r="S105" s="55">
        <v>454000000</v>
      </c>
      <c r="T105" s="55">
        <v>463000000</v>
      </c>
      <c r="U105" s="55">
        <v>461000000</v>
      </c>
      <c r="V105" s="55">
        <v>448000000</v>
      </c>
      <c r="W105" s="55">
        <v>425000000</v>
      </c>
      <c r="X105" s="55">
        <v>400000000</v>
      </c>
      <c r="Y105" s="55">
        <v>368000000</v>
      </c>
      <c r="Z105" s="55">
        <v>338000000</v>
      </c>
      <c r="AA105" s="55">
        <v>307000000</v>
      </c>
      <c r="AB105" s="55">
        <v>276000000</v>
      </c>
      <c r="AC105" s="56">
        <v>241000000</v>
      </c>
      <c r="AD105" t="str">
        <f t="shared" si="1"/>
        <v>Summer</v>
      </c>
      <c r="AE105" t="str">
        <f>INDEX('Category Mapping'!$B$2:$B$29,MATCH('Source Data'!A105,'Category Mapping'!$A$2:$A$29,0))</f>
        <v>Weekday</v>
      </c>
      <c r="AF105" t="str">
        <f>INDEX('Category Mapping'!$C$2:$C$29,MATCH('Source Data'!A105,'Category Mapping'!$A$2:$A$29,0))</f>
        <v>Commercial</v>
      </c>
      <c r="AG105" t="str">
        <f>INDEX('Category Mapping'!$D$2:$D$29,MATCH('Source Data'!A105,'Category Mapping'!$A$2:$A$29,0))</f>
        <v>Cooling</v>
      </c>
    </row>
    <row r="106" spans="1:33" x14ac:dyDescent="0.25">
      <c r="A106" s="57" t="s">
        <v>96</v>
      </c>
      <c r="B106" s="58">
        <v>2019</v>
      </c>
      <c r="C106" s="58">
        <v>19</v>
      </c>
      <c r="D106" s="58" t="s">
        <v>208</v>
      </c>
      <c r="E106" s="58">
        <v>8</v>
      </c>
      <c r="F106" s="58">
        <v>237000000</v>
      </c>
      <c r="G106" s="58">
        <v>220000000</v>
      </c>
      <c r="H106" s="58">
        <v>213000000</v>
      </c>
      <c r="I106" s="58">
        <v>214000000</v>
      </c>
      <c r="J106" s="58">
        <v>222000000</v>
      </c>
      <c r="K106" s="58">
        <v>240000000</v>
      </c>
      <c r="L106" s="58">
        <v>274000000</v>
      </c>
      <c r="M106" s="58">
        <v>327000000</v>
      </c>
      <c r="N106" s="58">
        <v>397000000</v>
      </c>
      <c r="O106" s="58">
        <v>451000000</v>
      </c>
      <c r="P106" s="58">
        <v>489000000</v>
      </c>
      <c r="Q106" s="58">
        <v>511000000</v>
      </c>
      <c r="R106" s="58">
        <v>515000000</v>
      </c>
      <c r="S106" s="58">
        <v>530000000</v>
      </c>
      <c r="T106" s="58">
        <v>541000000</v>
      </c>
      <c r="U106" s="58">
        <v>538000000</v>
      </c>
      <c r="V106" s="58">
        <v>523000000</v>
      </c>
      <c r="W106" s="58">
        <v>494000000</v>
      </c>
      <c r="X106" s="58">
        <v>464000000</v>
      </c>
      <c r="Y106" s="58">
        <v>425000000</v>
      </c>
      <c r="Z106" s="58">
        <v>388000000</v>
      </c>
      <c r="AA106" s="58">
        <v>350000000</v>
      </c>
      <c r="AB106" s="58">
        <v>312000000</v>
      </c>
      <c r="AC106" s="59">
        <v>270000000</v>
      </c>
      <c r="AD106" t="str">
        <f t="shared" si="1"/>
        <v>Summer</v>
      </c>
      <c r="AE106" t="str">
        <f>INDEX('Category Mapping'!$B$2:$B$29,MATCH('Source Data'!A106,'Category Mapping'!$A$2:$A$29,0))</f>
        <v>Weekday</v>
      </c>
      <c r="AF106" t="str">
        <f>INDEX('Category Mapping'!$C$2:$C$29,MATCH('Source Data'!A106,'Category Mapping'!$A$2:$A$29,0))</f>
        <v>Commercial</v>
      </c>
      <c r="AG106" t="str">
        <f>INDEX('Category Mapping'!$D$2:$D$29,MATCH('Source Data'!A106,'Category Mapping'!$A$2:$A$29,0))</f>
        <v>Cooling</v>
      </c>
    </row>
    <row r="107" spans="1:33" x14ac:dyDescent="0.25">
      <c r="A107" s="54" t="s">
        <v>96</v>
      </c>
      <c r="B107" s="55">
        <v>2019</v>
      </c>
      <c r="C107" s="55">
        <v>19</v>
      </c>
      <c r="D107" s="55" t="s">
        <v>208</v>
      </c>
      <c r="E107" s="55">
        <v>9</v>
      </c>
      <c r="F107" s="55">
        <v>53900000</v>
      </c>
      <c r="G107" s="55">
        <v>50700000</v>
      </c>
      <c r="H107" s="55">
        <v>49400000</v>
      </c>
      <c r="I107" s="55">
        <v>48800000</v>
      </c>
      <c r="J107" s="55">
        <v>48800000</v>
      </c>
      <c r="K107" s="55">
        <v>50800000</v>
      </c>
      <c r="L107" s="55">
        <v>58100000</v>
      </c>
      <c r="M107" s="55">
        <v>73500000</v>
      </c>
      <c r="N107" s="55">
        <v>96200000</v>
      </c>
      <c r="O107" s="55">
        <v>114000000</v>
      </c>
      <c r="P107" s="55">
        <v>127000000</v>
      </c>
      <c r="Q107" s="55">
        <v>135000000</v>
      </c>
      <c r="R107" s="55">
        <v>137000000</v>
      </c>
      <c r="S107" s="55">
        <v>143000000</v>
      </c>
      <c r="T107" s="55">
        <v>146000000</v>
      </c>
      <c r="U107" s="55">
        <v>145000000</v>
      </c>
      <c r="V107" s="55">
        <v>140000000</v>
      </c>
      <c r="W107" s="55">
        <v>130000000</v>
      </c>
      <c r="X107" s="55">
        <v>119000000</v>
      </c>
      <c r="Y107" s="55">
        <v>106000000</v>
      </c>
      <c r="Z107" s="55">
        <v>93000000</v>
      </c>
      <c r="AA107" s="55">
        <v>80900000</v>
      </c>
      <c r="AB107" s="55">
        <v>70300000</v>
      </c>
      <c r="AC107" s="56">
        <v>60500000</v>
      </c>
      <c r="AD107" t="str">
        <f t="shared" si="1"/>
        <v>Fall</v>
      </c>
      <c r="AE107" t="str">
        <f>INDEX('Category Mapping'!$B$2:$B$29,MATCH('Source Data'!A107,'Category Mapping'!$A$2:$A$29,0))</f>
        <v>Weekday</v>
      </c>
      <c r="AF107" t="str">
        <f>INDEX('Category Mapping'!$C$2:$C$29,MATCH('Source Data'!A107,'Category Mapping'!$A$2:$A$29,0))</f>
        <v>Commercial</v>
      </c>
      <c r="AG107" t="str">
        <f>INDEX('Category Mapping'!$D$2:$D$29,MATCH('Source Data'!A107,'Category Mapping'!$A$2:$A$29,0))</f>
        <v>Cooling</v>
      </c>
    </row>
    <row r="108" spans="1:33" x14ac:dyDescent="0.25">
      <c r="A108" s="57" t="s">
        <v>96</v>
      </c>
      <c r="B108" s="58">
        <v>2019</v>
      </c>
      <c r="C108" s="58">
        <v>19</v>
      </c>
      <c r="D108" s="58" t="s">
        <v>208</v>
      </c>
      <c r="E108" s="58">
        <v>10</v>
      </c>
      <c r="F108" s="58">
        <v>1255669</v>
      </c>
      <c r="G108" s="58">
        <v>1184020</v>
      </c>
      <c r="H108" s="58">
        <v>1154122</v>
      </c>
      <c r="I108" s="58">
        <v>1137258</v>
      </c>
      <c r="J108" s="58">
        <v>1133626</v>
      </c>
      <c r="K108" s="58">
        <v>1169062</v>
      </c>
      <c r="L108" s="58">
        <v>1295801</v>
      </c>
      <c r="M108" s="58">
        <v>1545836</v>
      </c>
      <c r="N108" s="58">
        <v>1913596</v>
      </c>
      <c r="O108" s="58">
        <v>2150262</v>
      </c>
      <c r="P108" s="58">
        <v>2284313</v>
      </c>
      <c r="Q108" s="58">
        <v>2379330</v>
      </c>
      <c r="R108" s="58">
        <v>2397655</v>
      </c>
      <c r="S108" s="58">
        <v>2524426</v>
      </c>
      <c r="T108" s="58">
        <v>2607128</v>
      </c>
      <c r="U108" s="58">
        <v>2581799</v>
      </c>
      <c r="V108" s="58">
        <v>2459724</v>
      </c>
      <c r="W108" s="58">
        <v>2250802</v>
      </c>
      <c r="X108" s="58">
        <v>2092511</v>
      </c>
      <c r="Y108" s="58">
        <v>1949339</v>
      </c>
      <c r="Z108" s="58">
        <v>1837128</v>
      </c>
      <c r="AA108" s="58">
        <v>1724445</v>
      </c>
      <c r="AB108" s="58">
        <v>1589203</v>
      </c>
      <c r="AC108" s="59">
        <v>1404467</v>
      </c>
      <c r="AD108" t="str">
        <f t="shared" si="1"/>
        <v>Fall</v>
      </c>
      <c r="AE108" t="str">
        <f>INDEX('Category Mapping'!$B$2:$B$29,MATCH('Source Data'!A108,'Category Mapping'!$A$2:$A$29,0))</f>
        <v>Weekday</v>
      </c>
      <c r="AF108" t="str">
        <f>INDEX('Category Mapping'!$C$2:$C$29,MATCH('Source Data'!A108,'Category Mapping'!$A$2:$A$29,0))</f>
        <v>Commercial</v>
      </c>
      <c r="AG108" t="str">
        <f>INDEX('Category Mapping'!$D$2:$D$29,MATCH('Source Data'!A108,'Category Mapping'!$A$2:$A$29,0))</f>
        <v>Cooling</v>
      </c>
    </row>
    <row r="109" spans="1:33" x14ac:dyDescent="0.25">
      <c r="A109" s="54" t="s">
        <v>96</v>
      </c>
      <c r="B109" s="55">
        <v>2019</v>
      </c>
      <c r="C109" s="55">
        <v>19</v>
      </c>
      <c r="D109" s="55" t="s">
        <v>208</v>
      </c>
      <c r="E109" s="55">
        <v>11</v>
      </c>
      <c r="F109" s="55">
        <v>126316</v>
      </c>
      <c r="G109" s="55">
        <v>119108</v>
      </c>
      <c r="H109" s="55">
        <v>116100</v>
      </c>
      <c r="I109" s="55">
        <v>114404</v>
      </c>
      <c r="J109" s="55">
        <v>114038</v>
      </c>
      <c r="K109" s="55">
        <v>117603</v>
      </c>
      <c r="L109" s="55">
        <v>130353</v>
      </c>
      <c r="M109" s="55">
        <v>155505</v>
      </c>
      <c r="N109" s="55">
        <v>192479</v>
      </c>
      <c r="O109" s="55">
        <v>216089</v>
      </c>
      <c r="P109" s="55">
        <v>228360</v>
      </c>
      <c r="Q109" s="55">
        <v>231236</v>
      </c>
      <c r="R109" s="55">
        <v>222727</v>
      </c>
      <c r="S109" s="55">
        <v>227998</v>
      </c>
      <c r="T109" s="55">
        <v>233670</v>
      </c>
      <c r="U109" s="55">
        <v>233769</v>
      </c>
      <c r="V109" s="55">
        <v>228970</v>
      </c>
      <c r="W109" s="55">
        <v>218306</v>
      </c>
      <c r="X109" s="55">
        <v>209065</v>
      </c>
      <c r="Y109" s="55">
        <v>195877</v>
      </c>
      <c r="Z109" s="55">
        <v>184786</v>
      </c>
      <c r="AA109" s="55">
        <v>173472</v>
      </c>
      <c r="AB109" s="55">
        <v>159868</v>
      </c>
      <c r="AC109" s="56">
        <v>141284</v>
      </c>
      <c r="AD109" t="str">
        <f t="shared" si="1"/>
        <v>Winter</v>
      </c>
      <c r="AE109" t="str">
        <f>INDEX('Category Mapping'!$B$2:$B$29,MATCH('Source Data'!A109,'Category Mapping'!$A$2:$A$29,0))</f>
        <v>Weekday</v>
      </c>
      <c r="AF109" t="str">
        <f>INDEX('Category Mapping'!$C$2:$C$29,MATCH('Source Data'!A109,'Category Mapping'!$A$2:$A$29,0))</f>
        <v>Commercial</v>
      </c>
      <c r="AG109" t="str">
        <f>INDEX('Category Mapping'!$D$2:$D$29,MATCH('Source Data'!A109,'Category Mapping'!$A$2:$A$29,0))</f>
        <v>Cooling</v>
      </c>
    </row>
    <row r="110" spans="1:33" x14ac:dyDescent="0.25">
      <c r="A110" s="57" t="s">
        <v>96</v>
      </c>
      <c r="B110" s="58">
        <v>2019</v>
      </c>
      <c r="C110" s="58">
        <v>19</v>
      </c>
      <c r="D110" s="58" t="s">
        <v>208</v>
      </c>
      <c r="E110" s="58">
        <v>12</v>
      </c>
      <c r="F110" s="58">
        <v>47787</v>
      </c>
      <c r="G110" s="58">
        <v>45060</v>
      </c>
      <c r="H110" s="58">
        <v>43923</v>
      </c>
      <c r="I110" s="58">
        <v>43281</v>
      </c>
      <c r="J110" s="58">
        <v>43142</v>
      </c>
      <c r="K110" s="58">
        <v>44491</v>
      </c>
      <c r="L110" s="58">
        <v>49314</v>
      </c>
      <c r="M110" s="58">
        <v>58830</v>
      </c>
      <c r="N110" s="58">
        <v>72818</v>
      </c>
      <c r="O110" s="58">
        <v>81750</v>
      </c>
      <c r="P110" s="58">
        <v>86392</v>
      </c>
      <c r="Q110" s="58">
        <v>87480</v>
      </c>
      <c r="R110" s="58">
        <v>84261</v>
      </c>
      <c r="S110" s="58">
        <v>86255</v>
      </c>
      <c r="T110" s="58">
        <v>88401</v>
      </c>
      <c r="U110" s="58">
        <v>88438</v>
      </c>
      <c r="V110" s="58">
        <v>86623</v>
      </c>
      <c r="W110" s="58">
        <v>82589</v>
      </c>
      <c r="X110" s="58">
        <v>79092</v>
      </c>
      <c r="Y110" s="58">
        <v>74103</v>
      </c>
      <c r="Z110" s="58">
        <v>69908</v>
      </c>
      <c r="AA110" s="58">
        <v>65627</v>
      </c>
      <c r="AB110" s="58">
        <v>60480</v>
      </c>
      <c r="AC110" s="59">
        <v>53450</v>
      </c>
      <c r="AD110" t="str">
        <f t="shared" si="1"/>
        <v>Winter</v>
      </c>
      <c r="AE110" t="str">
        <f>INDEX('Category Mapping'!$B$2:$B$29,MATCH('Source Data'!A110,'Category Mapping'!$A$2:$A$29,0))</f>
        <v>Weekday</v>
      </c>
      <c r="AF110" t="str">
        <f>INDEX('Category Mapping'!$C$2:$C$29,MATCH('Source Data'!A110,'Category Mapping'!$A$2:$A$29,0))</f>
        <v>Commercial</v>
      </c>
      <c r="AG110" t="str">
        <f>INDEX('Category Mapping'!$D$2:$D$29,MATCH('Source Data'!A110,'Category Mapping'!$A$2:$A$29,0))</f>
        <v>Cooling</v>
      </c>
    </row>
    <row r="111" spans="1:33" x14ac:dyDescent="0.25">
      <c r="A111" s="54" t="s">
        <v>97</v>
      </c>
      <c r="B111" s="55">
        <v>2019</v>
      </c>
      <c r="C111" s="55">
        <v>19</v>
      </c>
      <c r="D111" s="55" t="s">
        <v>208</v>
      </c>
      <c r="E111" s="55">
        <v>1</v>
      </c>
      <c r="F111" s="55">
        <v>19231</v>
      </c>
      <c r="G111" s="55">
        <v>18822</v>
      </c>
      <c r="H111" s="55">
        <v>18651</v>
      </c>
      <c r="I111" s="55">
        <v>18555</v>
      </c>
      <c r="J111" s="55">
        <v>18534</v>
      </c>
      <c r="K111" s="55">
        <v>18737</v>
      </c>
      <c r="L111" s="55">
        <v>19460</v>
      </c>
      <c r="M111" s="55">
        <v>20888</v>
      </c>
      <c r="N111" s="55">
        <v>22986</v>
      </c>
      <c r="O111" s="55">
        <v>24327</v>
      </c>
      <c r="P111" s="55">
        <v>25023</v>
      </c>
      <c r="Q111" s="55">
        <v>25186</v>
      </c>
      <c r="R111" s="55">
        <v>25324</v>
      </c>
      <c r="S111" s="55">
        <v>25324</v>
      </c>
      <c r="T111" s="55">
        <v>25324</v>
      </c>
      <c r="U111" s="55">
        <v>25330</v>
      </c>
      <c r="V111" s="55">
        <v>25058</v>
      </c>
      <c r="W111" s="55">
        <v>24452</v>
      </c>
      <c r="X111" s="55">
        <v>23928</v>
      </c>
      <c r="Y111" s="55">
        <v>23179</v>
      </c>
      <c r="Z111" s="55">
        <v>22550</v>
      </c>
      <c r="AA111" s="55">
        <v>21908</v>
      </c>
      <c r="AB111" s="55">
        <v>21136</v>
      </c>
      <c r="AC111" s="56">
        <v>20081</v>
      </c>
      <c r="AD111" t="str">
        <f t="shared" si="1"/>
        <v>Winter</v>
      </c>
      <c r="AE111" t="str">
        <f>INDEX('Category Mapping'!$B$2:$B$29,MATCH('Source Data'!A111,'Category Mapping'!$A$2:$A$29,0))</f>
        <v>Weekend</v>
      </c>
      <c r="AF111" t="str">
        <f>INDEX('Category Mapping'!$C$2:$C$29,MATCH('Source Data'!A111,'Category Mapping'!$A$2:$A$29,0))</f>
        <v>Commercial</v>
      </c>
      <c r="AG111" t="str">
        <f>INDEX('Category Mapping'!$D$2:$D$29,MATCH('Source Data'!A111,'Category Mapping'!$A$2:$A$29,0))</f>
        <v>Cooling</v>
      </c>
    </row>
    <row r="112" spans="1:33" x14ac:dyDescent="0.25">
      <c r="A112" s="57" t="s">
        <v>97</v>
      </c>
      <c r="B112" s="58">
        <v>2019</v>
      </c>
      <c r="C112" s="58">
        <v>19</v>
      </c>
      <c r="D112" s="58" t="s">
        <v>208</v>
      </c>
      <c r="E112" s="58">
        <v>2</v>
      </c>
      <c r="F112" s="58">
        <v>21698</v>
      </c>
      <c r="G112" s="58">
        <v>21236</v>
      </c>
      <c r="H112" s="58">
        <v>21043</v>
      </c>
      <c r="I112" s="58">
        <v>20935</v>
      </c>
      <c r="J112" s="58">
        <v>20911</v>
      </c>
      <c r="K112" s="58">
        <v>21140</v>
      </c>
      <c r="L112" s="58">
        <v>21956</v>
      </c>
      <c r="M112" s="58">
        <v>23567</v>
      </c>
      <c r="N112" s="58">
        <v>25934</v>
      </c>
      <c r="O112" s="58">
        <v>27446</v>
      </c>
      <c r="P112" s="58">
        <v>28232</v>
      </c>
      <c r="Q112" s="58">
        <v>28416</v>
      </c>
      <c r="R112" s="58">
        <v>28572</v>
      </c>
      <c r="S112" s="58">
        <v>28572</v>
      </c>
      <c r="T112" s="58">
        <v>28572</v>
      </c>
      <c r="U112" s="58">
        <v>28578</v>
      </c>
      <c r="V112" s="58">
        <v>28271</v>
      </c>
      <c r="W112" s="58">
        <v>27588</v>
      </c>
      <c r="X112" s="58">
        <v>26996</v>
      </c>
      <c r="Y112" s="58">
        <v>26152</v>
      </c>
      <c r="Z112" s="58">
        <v>25442</v>
      </c>
      <c r="AA112" s="58">
        <v>24717</v>
      </c>
      <c r="AB112" s="58">
        <v>23846</v>
      </c>
      <c r="AC112" s="59">
        <v>22656</v>
      </c>
      <c r="AD112" t="str">
        <f t="shared" si="1"/>
        <v>Winter</v>
      </c>
      <c r="AE112" t="str">
        <f>INDEX('Category Mapping'!$B$2:$B$29,MATCH('Source Data'!A112,'Category Mapping'!$A$2:$A$29,0))</f>
        <v>Weekend</v>
      </c>
      <c r="AF112" t="str">
        <f>INDEX('Category Mapping'!$C$2:$C$29,MATCH('Source Data'!A112,'Category Mapping'!$A$2:$A$29,0))</f>
        <v>Commercial</v>
      </c>
      <c r="AG112" t="str">
        <f>INDEX('Category Mapping'!$D$2:$D$29,MATCH('Source Data'!A112,'Category Mapping'!$A$2:$A$29,0))</f>
        <v>Cooling</v>
      </c>
    </row>
    <row r="113" spans="1:33" x14ac:dyDescent="0.25">
      <c r="A113" s="54" t="s">
        <v>97</v>
      </c>
      <c r="B113" s="55">
        <v>2019</v>
      </c>
      <c r="C113" s="55">
        <v>19</v>
      </c>
      <c r="D113" s="55" t="s">
        <v>208</v>
      </c>
      <c r="E113" s="55">
        <v>3</v>
      </c>
      <c r="F113" s="55">
        <v>48845</v>
      </c>
      <c r="G113" s="55">
        <v>47806</v>
      </c>
      <c r="H113" s="55">
        <v>47372</v>
      </c>
      <c r="I113" s="55">
        <v>47128</v>
      </c>
      <c r="J113" s="55">
        <v>47075</v>
      </c>
      <c r="K113" s="55">
        <v>47589</v>
      </c>
      <c r="L113" s="55">
        <v>49427</v>
      </c>
      <c r="M113" s="55">
        <v>53053</v>
      </c>
      <c r="N113" s="55">
        <v>58383</v>
      </c>
      <c r="O113" s="55">
        <v>61786</v>
      </c>
      <c r="P113" s="55">
        <v>63555</v>
      </c>
      <c r="Q113" s="55">
        <v>63970</v>
      </c>
      <c r="R113" s="55">
        <v>64321</v>
      </c>
      <c r="S113" s="55">
        <v>64321</v>
      </c>
      <c r="T113" s="55">
        <v>64321</v>
      </c>
      <c r="U113" s="55">
        <v>64335</v>
      </c>
      <c r="V113" s="55">
        <v>63643</v>
      </c>
      <c r="W113" s="55">
        <v>62106</v>
      </c>
      <c r="X113" s="55">
        <v>60774</v>
      </c>
      <c r="Y113" s="55">
        <v>58872</v>
      </c>
      <c r="Z113" s="55">
        <v>57274</v>
      </c>
      <c r="AA113" s="55">
        <v>55643</v>
      </c>
      <c r="AB113" s="55">
        <v>53682</v>
      </c>
      <c r="AC113" s="56">
        <v>51003</v>
      </c>
      <c r="AD113" t="str">
        <f t="shared" si="1"/>
        <v>Spring</v>
      </c>
      <c r="AE113" t="str">
        <f>INDEX('Category Mapping'!$B$2:$B$29,MATCH('Source Data'!A113,'Category Mapping'!$A$2:$A$29,0))</f>
        <v>Weekend</v>
      </c>
      <c r="AF113" t="str">
        <f>INDEX('Category Mapping'!$C$2:$C$29,MATCH('Source Data'!A113,'Category Mapping'!$A$2:$A$29,0))</f>
        <v>Commercial</v>
      </c>
      <c r="AG113" t="str">
        <f>INDEX('Category Mapping'!$D$2:$D$29,MATCH('Source Data'!A113,'Category Mapping'!$A$2:$A$29,0))</f>
        <v>Cooling</v>
      </c>
    </row>
    <row r="114" spans="1:33" x14ac:dyDescent="0.25">
      <c r="A114" s="57" t="s">
        <v>97</v>
      </c>
      <c r="B114" s="58">
        <v>2019</v>
      </c>
      <c r="C114" s="58">
        <v>19</v>
      </c>
      <c r="D114" s="58" t="s">
        <v>208</v>
      </c>
      <c r="E114" s="58">
        <v>4</v>
      </c>
      <c r="F114" s="58">
        <v>230756</v>
      </c>
      <c r="G114" s="58">
        <v>225847</v>
      </c>
      <c r="H114" s="58">
        <v>223799</v>
      </c>
      <c r="I114" s="58">
        <v>222643</v>
      </c>
      <c r="J114" s="58">
        <v>222395</v>
      </c>
      <c r="K114" s="58">
        <v>224822</v>
      </c>
      <c r="L114" s="58">
        <v>233505</v>
      </c>
      <c r="M114" s="58">
        <v>250635</v>
      </c>
      <c r="N114" s="58">
        <v>275815</v>
      </c>
      <c r="O114" s="58">
        <v>291894</v>
      </c>
      <c r="P114" s="58">
        <v>300251</v>
      </c>
      <c r="Q114" s="58">
        <v>302210</v>
      </c>
      <c r="R114" s="58">
        <v>303911</v>
      </c>
      <c r="S114" s="58">
        <v>305340</v>
      </c>
      <c r="T114" s="58">
        <v>306600</v>
      </c>
      <c r="U114" s="58">
        <v>305407</v>
      </c>
      <c r="V114" s="58">
        <v>300710</v>
      </c>
      <c r="W114" s="58">
        <v>293404</v>
      </c>
      <c r="X114" s="58">
        <v>287111</v>
      </c>
      <c r="Y114" s="58">
        <v>278129</v>
      </c>
      <c r="Z114" s="58">
        <v>270576</v>
      </c>
      <c r="AA114" s="58">
        <v>262871</v>
      </c>
      <c r="AB114" s="58">
        <v>253606</v>
      </c>
      <c r="AC114" s="59">
        <v>240950</v>
      </c>
      <c r="AD114" t="str">
        <f t="shared" si="1"/>
        <v>Spring</v>
      </c>
      <c r="AE114" t="str">
        <f>INDEX('Category Mapping'!$B$2:$B$29,MATCH('Source Data'!A114,'Category Mapping'!$A$2:$A$29,0))</f>
        <v>Weekend</v>
      </c>
      <c r="AF114" t="str">
        <f>INDEX('Category Mapping'!$C$2:$C$29,MATCH('Source Data'!A114,'Category Mapping'!$A$2:$A$29,0))</f>
        <v>Commercial</v>
      </c>
      <c r="AG114" t="str">
        <f>INDEX('Category Mapping'!$D$2:$D$29,MATCH('Source Data'!A114,'Category Mapping'!$A$2:$A$29,0))</f>
        <v>Cooling</v>
      </c>
    </row>
    <row r="115" spans="1:33" x14ac:dyDescent="0.25">
      <c r="A115" s="54" t="s">
        <v>97</v>
      </c>
      <c r="B115" s="55">
        <v>2019</v>
      </c>
      <c r="C115" s="55">
        <v>19</v>
      </c>
      <c r="D115" s="55" t="s">
        <v>208</v>
      </c>
      <c r="E115" s="55">
        <v>5</v>
      </c>
      <c r="F115" s="55">
        <v>3838547</v>
      </c>
      <c r="G115" s="55">
        <v>3756893</v>
      </c>
      <c r="H115" s="55">
        <v>3722821</v>
      </c>
      <c r="I115" s="55">
        <v>3703601</v>
      </c>
      <c r="J115" s="55">
        <v>3699463</v>
      </c>
      <c r="K115" s="55">
        <v>3739846</v>
      </c>
      <c r="L115" s="55">
        <v>3884282</v>
      </c>
      <c r="M115" s="55">
        <v>4169228</v>
      </c>
      <c r="N115" s="55">
        <v>4612852</v>
      </c>
      <c r="O115" s="55">
        <v>5340502</v>
      </c>
      <c r="P115" s="55">
        <v>6149038</v>
      </c>
      <c r="Q115" s="55">
        <v>6820678</v>
      </c>
      <c r="R115" s="55">
        <v>7357973</v>
      </c>
      <c r="S115" s="55">
        <v>7680697</v>
      </c>
      <c r="T115" s="55">
        <v>7791332</v>
      </c>
      <c r="U115" s="55">
        <v>7681814</v>
      </c>
      <c r="V115" s="55">
        <v>7304727</v>
      </c>
      <c r="W115" s="55">
        <v>6674204</v>
      </c>
      <c r="X115" s="55">
        <v>5930455</v>
      </c>
      <c r="Y115" s="55">
        <v>5111525</v>
      </c>
      <c r="Z115" s="55">
        <v>4525707</v>
      </c>
      <c r="AA115" s="55">
        <v>4372776</v>
      </c>
      <c r="AB115" s="55">
        <v>4218651</v>
      </c>
      <c r="AC115" s="56">
        <v>4008120</v>
      </c>
      <c r="AD115" t="str">
        <f t="shared" si="1"/>
        <v>Spring</v>
      </c>
      <c r="AE115" t="str">
        <f>INDEX('Category Mapping'!$B$2:$B$29,MATCH('Source Data'!A115,'Category Mapping'!$A$2:$A$29,0))</f>
        <v>Weekend</v>
      </c>
      <c r="AF115" t="str">
        <f>INDEX('Category Mapping'!$C$2:$C$29,MATCH('Source Data'!A115,'Category Mapping'!$A$2:$A$29,0))</f>
        <v>Commercial</v>
      </c>
      <c r="AG115" t="str">
        <f>INDEX('Category Mapping'!$D$2:$D$29,MATCH('Source Data'!A115,'Category Mapping'!$A$2:$A$29,0))</f>
        <v>Cooling</v>
      </c>
    </row>
    <row r="116" spans="1:33" x14ac:dyDescent="0.25">
      <c r="A116" s="57" t="s">
        <v>97</v>
      </c>
      <c r="B116" s="58">
        <v>2019</v>
      </c>
      <c r="C116" s="58">
        <v>19</v>
      </c>
      <c r="D116" s="58" t="s">
        <v>208</v>
      </c>
      <c r="E116" s="58">
        <v>6</v>
      </c>
      <c r="F116" s="58">
        <v>33500000</v>
      </c>
      <c r="G116" s="58">
        <v>32200000</v>
      </c>
      <c r="H116" s="58">
        <v>31800000</v>
      </c>
      <c r="I116" s="58">
        <v>31700000</v>
      </c>
      <c r="J116" s="58">
        <v>32300000</v>
      </c>
      <c r="K116" s="58">
        <v>34400000</v>
      </c>
      <c r="L116" s="58">
        <v>39400000</v>
      </c>
      <c r="M116" s="58">
        <v>46700000</v>
      </c>
      <c r="N116" s="58">
        <v>55900000</v>
      </c>
      <c r="O116" s="58">
        <v>64000000</v>
      </c>
      <c r="P116" s="58">
        <v>70800000</v>
      </c>
      <c r="Q116" s="58">
        <v>75900000</v>
      </c>
      <c r="R116" s="58">
        <v>80000000</v>
      </c>
      <c r="S116" s="58">
        <v>82300000</v>
      </c>
      <c r="T116" s="58">
        <v>83100000</v>
      </c>
      <c r="U116" s="58">
        <v>82300000</v>
      </c>
      <c r="V116" s="58">
        <v>79500000</v>
      </c>
      <c r="W116" s="58">
        <v>74700000</v>
      </c>
      <c r="X116" s="58">
        <v>69000000</v>
      </c>
      <c r="Y116" s="58">
        <v>62100000</v>
      </c>
      <c r="Z116" s="58">
        <v>55200000</v>
      </c>
      <c r="AA116" s="58">
        <v>48400000</v>
      </c>
      <c r="AB116" s="58">
        <v>42200000</v>
      </c>
      <c r="AC116" s="59">
        <v>36600000</v>
      </c>
      <c r="AD116" t="str">
        <f t="shared" si="1"/>
        <v>Summer</v>
      </c>
      <c r="AE116" t="str">
        <f>INDEX('Category Mapping'!$B$2:$B$29,MATCH('Source Data'!A116,'Category Mapping'!$A$2:$A$29,0))</f>
        <v>Weekend</v>
      </c>
      <c r="AF116" t="str">
        <f>INDEX('Category Mapping'!$C$2:$C$29,MATCH('Source Data'!A116,'Category Mapping'!$A$2:$A$29,0))</f>
        <v>Commercial</v>
      </c>
      <c r="AG116" t="str">
        <f>INDEX('Category Mapping'!$D$2:$D$29,MATCH('Source Data'!A116,'Category Mapping'!$A$2:$A$29,0))</f>
        <v>Cooling</v>
      </c>
    </row>
    <row r="117" spans="1:33" x14ac:dyDescent="0.25">
      <c r="A117" s="54" t="s">
        <v>97</v>
      </c>
      <c r="B117" s="55">
        <v>2019</v>
      </c>
      <c r="C117" s="55">
        <v>19</v>
      </c>
      <c r="D117" s="55" t="s">
        <v>208</v>
      </c>
      <c r="E117" s="55">
        <v>7</v>
      </c>
      <c r="F117" s="55">
        <v>105000000</v>
      </c>
      <c r="G117" s="55">
        <v>100000000</v>
      </c>
      <c r="H117" s="55">
        <v>98700000</v>
      </c>
      <c r="I117" s="55">
        <v>99600000</v>
      </c>
      <c r="J117" s="55">
        <v>103000000</v>
      </c>
      <c r="K117" s="55">
        <v>109000000</v>
      </c>
      <c r="L117" s="55">
        <v>119000000</v>
      </c>
      <c r="M117" s="55">
        <v>133000000</v>
      </c>
      <c r="N117" s="55">
        <v>149000000</v>
      </c>
      <c r="O117" s="55">
        <v>164000000</v>
      </c>
      <c r="P117" s="55">
        <v>175000000</v>
      </c>
      <c r="Q117" s="55">
        <v>183000000</v>
      </c>
      <c r="R117" s="55">
        <v>190000000</v>
      </c>
      <c r="S117" s="55">
        <v>194000000</v>
      </c>
      <c r="T117" s="55">
        <v>195000000</v>
      </c>
      <c r="U117" s="55">
        <v>194000000</v>
      </c>
      <c r="V117" s="55">
        <v>189000000</v>
      </c>
      <c r="W117" s="55">
        <v>181000000</v>
      </c>
      <c r="X117" s="55">
        <v>171000000</v>
      </c>
      <c r="Y117" s="55">
        <v>160000000</v>
      </c>
      <c r="Z117" s="55">
        <v>148000000</v>
      </c>
      <c r="AA117" s="55">
        <v>136000000</v>
      </c>
      <c r="AB117" s="55">
        <v>125000000</v>
      </c>
      <c r="AC117" s="56">
        <v>114000000</v>
      </c>
      <c r="AD117" t="str">
        <f t="shared" si="1"/>
        <v>Summer</v>
      </c>
      <c r="AE117" t="str">
        <f>INDEX('Category Mapping'!$B$2:$B$29,MATCH('Source Data'!A117,'Category Mapping'!$A$2:$A$29,0))</f>
        <v>Weekend</v>
      </c>
      <c r="AF117" t="str">
        <f>INDEX('Category Mapping'!$C$2:$C$29,MATCH('Source Data'!A117,'Category Mapping'!$A$2:$A$29,0))</f>
        <v>Commercial</v>
      </c>
      <c r="AG117" t="str">
        <f>INDEX('Category Mapping'!$D$2:$D$29,MATCH('Source Data'!A117,'Category Mapping'!$A$2:$A$29,0))</f>
        <v>Cooling</v>
      </c>
    </row>
    <row r="118" spans="1:33" x14ac:dyDescent="0.25">
      <c r="A118" s="57" t="s">
        <v>97</v>
      </c>
      <c r="B118" s="58">
        <v>2019</v>
      </c>
      <c r="C118" s="58">
        <v>19</v>
      </c>
      <c r="D118" s="58" t="s">
        <v>208</v>
      </c>
      <c r="E118" s="58">
        <v>8</v>
      </c>
      <c r="F118" s="58">
        <v>117000000</v>
      </c>
      <c r="G118" s="58">
        <v>111000000</v>
      </c>
      <c r="H118" s="58">
        <v>108000000</v>
      </c>
      <c r="I118" s="58">
        <v>110000000</v>
      </c>
      <c r="J118" s="58">
        <v>114000000</v>
      </c>
      <c r="K118" s="58">
        <v>122000000</v>
      </c>
      <c r="L118" s="58">
        <v>134000000</v>
      </c>
      <c r="M118" s="58">
        <v>151000000</v>
      </c>
      <c r="N118" s="58">
        <v>171000000</v>
      </c>
      <c r="O118" s="58">
        <v>189000000</v>
      </c>
      <c r="P118" s="58">
        <v>203000000</v>
      </c>
      <c r="Q118" s="58">
        <v>214000000</v>
      </c>
      <c r="R118" s="58">
        <v>222000000</v>
      </c>
      <c r="S118" s="58">
        <v>227000000</v>
      </c>
      <c r="T118" s="58">
        <v>229000000</v>
      </c>
      <c r="U118" s="58">
        <v>227000000</v>
      </c>
      <c r="V118" s="58">
        <v>221000000</v>
      </c>
      <c r="W118" s="58">
        <v>211000000</v>
      </c>
      <c r="X118" s="58">
        <v>199000000</v>
      </c>
      <c r="Y118" s="58">
        <v>184000000</v>
      </c>
      <c r="Z118" s="58">
        <v>170000000</v>
      </c>
      <c r="AA118" s="58">
        <v>155000000</v>
      </c>
      <c r="AB118" s="58">
        <v>141000000</v>
      </c>
      <c r="AC118" s="59">
        <v>127000000</v>
      </c>
      <c r="AD118" t="str">
        <f t="shared" si="1"/>
        <v>Summer</v>
      </c>
      <c r="AE118" t="str">
        <f>INDEX('Category Mapping'!$B$2:$B$29,MATCH('Source Data'!A118,'Category Mapping'!$A$2:$A$29,0))</f>
        <v>Weekend</v>
      </c>
      <c r="AF118" t="str">
        <f>INDEX('Category Mapping'!$C$2:$C$29,MATCH('Source Data'!A118,'Category Mapping'!$A$2:$A$29,0))</f>
        <v>Commercial</v>
      </c>
      <c r="AG118" t="str">
        <f>INDEX('Category Mapping'!$D$2:$D$29,MATCH('Source Data'!A118,'Category Mapping'!$A$2:$A$29,0))</f>
        <v>Cooling</v>
      </c>
    </row>
    <row r="119" spans="1:33" x14ac:dyDescent="0.25">
      <c r="A119" s="54" t="s">
        <v>97</v>
      </c>
      <c r="B119" s="55">
        <v>2019</v>
      </c>
      <c r="C119" s="55">
        <v>19</v>
      </c>
      <c r="D119" s="55" t="s">
        <v>208</v>
      </c>
      <c r="E119" s="55">
        <v>9</v>
      </c>
      <c r="F119" s="55">
        <v>27100000</v>
      </c>
      <c r="G119" s="55">
        <v>26500000</v>
      </c>
      <c r="H119" s="55">
        <v>26200000</v>
      </c>
      <c r="I119" s="55">
        <v>26100000</v>
      </c>
      <c r="J119" s="55">
        <v>26200000</v>
      </c>
      <c r="K119" s="55">
        <v>26700000</v>
      </c>
      <c r="L119" s="55">
        <v>28900000</v>
      </c>
      <c r="M119" s="55">
        <v>33700000</v>
      </c>
      <c r="N119" s="55">
        <v>40700000</v>
      </c>
      <c r="O119" s="55">
        <v>47000000</v>
      </c>
      <c r="P119" s="55">
        <v>52400000</v>
      </c>
      <c r="Q119" s="55">
        <v>56600000</v>
      </c>
      <c r="R119" s="55">
        <v>59800000</v>
      </c>
      <c r="S119" s="55">
        <v>61700000</v>
      </c>
      <c r="T119" s="55">
        <v>62400000</v>
      </c>
      <c r="U119" s="55">
        <v>61700000</v>
      </c>
      <c r="V119" s="55">
        <v>59400000</v>
      </c>
      <c r="W119" s="55">
        <v>55600000</v>
      </c>
      <c r="X119" s="55">
        <v>51000000</v>
      </c>
      <c r="Y119" s="55">
        <v>45500000</v>
      </c>
      <c r="Z119" s="55">
        <v>40100000</v>
      </c>
      <c r="AA119" s="55">
        <v>35000000</v>
      </c>
      <c r="AB119" s="55">
        <v>31200000</v>
      </c>
      <c r="AC119" s="56">
        <v>28600000</v>
      </c>
      <c r="AD119" t="str">
        <f t="shared" si="1"/>
        <v>Fall</v>
      </c>
      <c r="AE119" t="str">
        <f>INDEX('Category Mapping'!$B$2:$B$29,MATCH('Source Data'!A119,'Category Mapping'!$A$2:$A$29,0))</f>
        <v>Weekend</v>
      </c>
      <c r="AF119" t="str">
        <f>INDEX('Category Mapping'!$C$2:$C$29,MATCH('Source Data'!A119,'Category Mapping'!$A$2:$A$29,0))</f>
        <v>Commercial</v>
      </c>
      <c r="AG119" t="str">
        <f>INDEX('Category Mapping'!$D$2:$D$29,MATCH('Source Data'!A119,'Category Mapping'!$A$2:$A$29,0))</f>
        <v>Cooling</v>
      </c>
    </row>
    <row r="120" spans="1:33" x14ac:dyDescent="0.25">
      <c r="A120" s="57" t="s">
        <v>97</v>
      </c>
      <c r="B120" s="58">
        <v>2019</v>
      </c>
      <c r="C120" s="58">
        <v>19</v>
      </c>
      <c r="D120" s="58" t="s">
        <v>208</v>
      </c>
      <c r="E120" s="58">
        <v>10</v>
      </c>
      <c r="F120" s="58">
        <v>673947</v>
      </c>
      <c r="G120" s="58">
        <v>659611</v>
      </c>
      <c r="H120" s="58">
        <v>653629</v>
      </c>
      <c r="I120" s="58">
        <v>650254</v>
      </c>
      <c r="J120" s="58">
        <v>649528</v>
      </c>
      <c r="K120" s="58">
        <v>656618</v>
      </c>
      <c r="L120" s="58">
        <v>681977</v>
      </c>
      <c r="M120" s="58">
        <v>732006</v>
      </c>
      <c r="N120" s="58">
        <v>805677</v>
      </c>
      <c r="O120" s="58">
        <v>853816</v>
      </c>
      <c r="P120" s="58">
        <v>885470</v>
      </c>
      <c r="Q120" s="58">
        <v>931064</v>
      </c>
      <c r="R120" s="58">
        <v>997681</v>
      </c>
      <c r="S120" s="58">
        <v>1042325</v>
      </c>
      <c r="T120" s="58">
        <v>1058118</v>
      </c>
      <c r="U120" s="58">
        <v>1042521</v>
      </c>
      <c r="V120" s="58">
        <v>988332</v>
      </c>
      <c r="W120" s="58">
        <v>905347</v>
      </c>
      <c r="X120" s="58">
        <v>847092</v>
      </c>
      <c r="Y120" s="58">
        <v>813614</v>
      </c>
      <c r="Z120" s="58">
        <v>790377</v>
      </c>
      <c r="AA120" s="58">
        <v>767744</v>
      </c>
      <c r="AB120" s="58">
        <v>740684</v>
      </c>
      <c r="AC120" s="59">
        <v>703720</v>
      </c>
      <c r="AD120" t="str">
        <f t="shared" si="1"/>
        <v>Fall</v>
      </c>
      <c r="AE120" t="str">
        <f>INDEX('Category Mapping'!$B$2:$B$29,MATCH('Source Data'!A120,'Category Mapping'!$A$2:$A$29,0))</f>
        <v>Weekend</v>
      </c>
      <c r="AF120" t="str">
        <f>INDEX('Category Mapping'!$C$2:$C$29,MATCH('Source Data'!A120,'Category Mapping'!$A$2:$A$29,0))</f>
        <v>Commercial</v>
      </c>
      <c r="AG120" t="str">
        <f>INDEX('Category Mapping'!$D$2:$D$29,MATCH('Source Data'!A120,'Category Mapping'!$A$2:$A$29,0))</f>
        <v>Cooling</v>
      </c>
    </row>
    <row r="121" spans="1:33" x14ac:dyDescent="0.25">
      <c r="A121" s="54" t="s">
        <v>97</v>
      </c>
      <c r="B121" s="55">
        <v>2019</v>
      </c>
      <c r="C121" s="55">
        <v>19</v>
      </c>
      <c r="D121" s="55" t="s">
        <v>208</v>
      </c>
      <c r="E121" s="55">
        <v>11</v>
      </c>
      <c r="F121" s="55">
        <v>68569</v>
      </c>
      <c r="G121" s="55">
        <v>67111</v>
      </c>
      <c r="H121" s="55">
        <v>66502</v>
      </c>
      <c r="I121" s="55">
        <v>66159</v>
      </c>
      <c r="J121" s="55">
        <v>66085</v>
      </c>
      <c r="K121" s="55">
        <v>66806</v>
      </c>
      <c r="L121" s="55">
        <v>69386</v>
      </c>
      <c r="M121" s="55">
        <v>74476</v>
      </c>
      <c r="N121" s="55">
        <v>81959</v>
      </c>
      <c r="O121" s="55">
        <v>86737</v>
      </c>
      <c r="P121" s="55">
        <v>89220</v>
      </c>
      <c r="Q121" s="55">
        <v>89802</v>
      </c>
      <c r="R121" s="55">
        <v>90294</v>
      </c>
      <c r="S121" s="55">
        <v>90294</v>
      </c>
      <c r="T121" s="55">
        <v>90294</v>
      </c>
      <c r="U121" s="55">
        <v>90314</v>
      </c>
      <c r="V121" s="55">
        <v>89343</v>
      </c>
      <c r="W121" s="55">
        <v>87185</v>
      </c>
      <c r="X121" s="55">
        <v>85315</v>
      </c>
      <c r="Y121" s="55">
        <v>82646</v>
      </c>
      <c r="Z121" s="55">
        <v>80402</v>
      </c>
      <c r="AA121" s="55">
        <v>78112</v>
      </c>
      <c r="AB121" s="55">
        <v>75359</v>
      </c>
      <c r="AC121" s="56">
        <v>71598</v>
      </c>
      <c r="AD121" t="str">
        <f t="shared" si="1"/>
        <v>Winter</v>
      </c>
      <c r="AE121" t="str">
        <f>INDEX('Category Mapping'!$B$2:$B$29,MATCH('Source Data'!A121,'Category Mapping'!$A$2:$A$29,0))</f>
        <v>Weekend</v>
      </c>
      <c r="AF121" t="str">
        <f>INDEX('Category Mapping'!$C$2:$C$29,MATCH('Source Data'!A121,'Category Mapping'!$A$2:$A$29,0))</f>
        <v>Commercial</v>
      </c>
      <c r="AG121" t="str">
        <f>INDEX('Category Mapping'!$D$2:$D$29,MATCH('Source Data'!A121,'Category Mapping'!$A$2:$A$29,0))</f>
        <v>Cooling</v>
      </c>
    </row>
    <row r="122" spans="1:33" x14ac:dyDescent="0.25">
      <c r="A122" s="57" t="s">
        <v>97</v>
      </c>
      <c r="B122" s="58">
        <v>2019</v>
      </c>
      <c r="C122" s="58">
        <v>19</v>
      </c>
      <c r="D122" s="58" t="s">
        <v>208</v>
      </c>
      <c r="E122" s="58">
        <v>12</v>
      </c>
      <c r="F122" s="58">
        <v>25941</v>
      </c>
      <c r="G122" s="58">
        <v>25389</v>
      </c>
      <c r="H122" s="58">
        <v>25159</v>
      </c>
      <c r="I122" s="58">
        <v>25029</v>
      </c>
      <c r="J122" s="58">
        <v>25001</v>
      </c>
      <c r="K122" s="58">
        <v>25274</v>
      </c>
      <c r="L122" s="58">
        <v>26250</v>
      </c>
      <c r="M122" s="58">
        <v>28176</v>
      </c>
      <c r="N122" s="58">
        <v>31006</v>
      </c>
      <c r="O122" s="58">
        <v>32814</v>
      </c>
      <c r="P122" s="58">
        <v>33753</v>
      </c>
      <c r="Q122" s="58">
        <v>33973</v>
      </c>
      <c r="R122" s="58">
        <v>34160</v>
      </c>
      <c r="S122" s="58">
        <v>34160</v>
      </c>
      <c r="T122" s="58">
        <v>34160</v>
      </c>
      <c r="U122" s="58">
        <v>34167</v>
      </c>
      <c r="V122" s="58">
        <v>33800</v>
      </c>
      <c r="W122" s="58">
        <v>32984</v>
      </c>
      <c r="X122" s="58">
        <v>32276</v>
      </c>
      <c r="Y122" s="58">
        <v>31266</v>
      </c>
      <c r="Z122" s="58">
        <v>30417</v>
      </c>
      <c r="AA122" s="58">
        <v>29551</v>
      </c>
      <c r="AB122" s="58">
        <v>28510</v>
      </c>
      <c r="AC122" s="59">
        <v>27087</v>
      </c>
      <c r="AD122" t="str">
        <f t="shared" si="1"/>
        <v>Winter</v>
      </c>
      <c r="AE122" t="str">
        <f>INDEX('Category Mapping'!$B$2:$B$29,MATCH('Source Data'!A122,'Category Mapping'!$A$2:$A$29,0))</f>
        <v>Weekend</v>
      </c>
      <c r="AF122" t="str">
        <f>INDEX('Category Mapping'!$C$2:$C$29,MATCH('Source Data'!A122,'Category Mapping'!$A$2:$A$29,0))</f>
        <v>Commercial</v>
      </c>
      <c r="AG122" t="str">
        <f>INDEX('Category Mapping'!$D$2:$D$29,MATCH('Source Data'!A122,'Category Mapping'!$A$2:$A$29,0))</f>
        <v>Cooling</v>
      </c>
    </row>
    <row r="123" spans="1:33" x14ac:dyDescent="0.25">
      <c r="A123" s="54" t="s">
        <v>98</v>
      </c>
      <c r="B123" s="55">
        <v>2019</v>
      </c>
      <c r="C123" s="55">
        <v>19</v>
      </c>
      <c r="D123" s="55" t="s">
        <v>208</v>
      </c>
      <c r="E123" s="55">
        <v>1</v>
      </c>
      <c r="F123" s="55">
        <v>42300000</v>
      </c>
      <c r="G123" s="55">
        <v>38600000</v>
      </c>
      <c r="H123" s="55">
        <v>34800000</v>
      </c>
      <c r="I123" s="55">
        <v>36300000</v>
      </c>
      <c r="J123" s="55">
        <v>38100000</v>
      </c>
      <c r="K123" s="55">
        <v>38800000</v>
      </c>
      <c r="L123" s="55">
        <v>56400000</v>
      </c>
      <c r="M123" s="55">
        <v>120000000</v>
      </c>
      <c r="N123" s="55">
        <v>127000000</v>
      </c>
      <c r="O123" s="55">
        <v>91800000</v>
      </c>
      <c r="P123" s="55">
        <v>76800000</v>
      </c>
      <c r="Q123" s="55">
        <v>67500000</v>
      </c>
      <c r="R123" s="55">
        <v>59800000</v>
      </c>
      <c r="S123" s="55">
        <v>56000000</v>
      </c>
      <c r="T123" s="55">
        <v>52500000</v>
      </c>
      <c r="U123" s="55">
        <v>50500000</v>
      </c>
      <c r="V123" s="55">
        <v>49500000</v>
      </c>
      <c r="W123" s="55">
        <v>50300000</v>
      </c>
      <c r="X123" s="55">
        <v>58200000</v>
      </c>
      <c r="Y123" s="55">
        <v>65400000</v>
      </c>
      <c r="Z123" s="55">
        <v>69600000</v>
      </c>
      <c r="AA123" s="55">
        <v>75200000</v>
      </c>
      <c r="AB123" s="55">
        <v>75300000</v>
      </c>
      <c r="AC123" s="56">
        <v>34600000</v>
      </c>
      <c r="AD123" t="str">
        <f t="shared" si="1"/>
        <v>Winter</v>
      </c>
      <c r="AE123" t="str">
        <f>INDEX('Category Mapping'!$B$2:$B$29,MATCH('Source Data'!A123,'Category Mapping'!$A$2:$A$29,0))</f>
        <v>Weekday</v>
      </c>
      <c r="AF123" t="str">
        <f>INDEX('Category Mapping'!$C$2:$C$29,MATCH('Source Data'!A123,'Category Mapping'!$A$2:$A$29,0))</f>
        <v>Commercial</v>
      </c>
      <c r="AG123" t="str">
        <f>INDEX('Category Mapping'!$D$2:$D$29,MATCH('Source Data'!A123,'Category Mapping'!$A$2:$A$29,0))</f>
        <v>Heating</v>
      </c>
    </row>
    <row r="124" spans="1:33" x14ac:dyDescent="0.25">
      <c r="A124" s="57" t="s">
        <v>98</v>
      </c>
      <c r="B124" s="58">
        <v>2019</v>
      </c>
      <c r="C124" s="58">
        <v>19</v>
      </c>
      <c r="D124" s="58" t="s">
        <v>208</v>
      </c>
      <c r="E124" s="58">
        <v>2</v>
      </c>
      <c r="F124" s="58">
        <v>34600000</v>
      </c>
      <c r="G124" s="58">
        <v>31600000</v>
      </c>
      <c r="H124" s="58">
        <v>28400000</v>
      </c>
      <c r="I124" s="58">
        <v>29400000</v>
      </c>
      <c r="J124" s="58">
        <v>31200000</v>
      </c>
      <c r="K124" s="58">
        <v>31500000</v>
      </c>
      <c r="L124" s="58">
        <v>47600000</v>
      </c>
      <c r="M124" s="58">
        <v>102000000</v>
      </c>
      <c r="N124" s="58">
        <v>106000000</v>
      </c>
      <c r="O124" s="58">
        <v>74700000</v>
      </c>
      <c r="P124" s="58">
        <v>61500000</v>
      </c>
      <c r="Q124" s="58">
        <v>53500000</v>
      </c>
      <c r="R124" s="58">
        <v>46800000</v>
      </c>
      <c r="S124" s="58">
        <v>43600000</v>
      </c>
      <c r="T124" s="58">
        <v>40700000</v>
      </c>
      <c r="U124" s="58">
        <v>39000000</v>
      </c>
      <c r="V124" s="58">
        <v>37900000</v>
      </c>
      <c r="W124" s="58">
        <v>37700000</v>
      </c>
      <c r="X124" s="58">
        <v>43800000</v>
      </c>
      <c r="Y124" s="58">
        <v>50800000</v>
      </c>
      <c r="Z124" s="58">
        <v>55400000</v>
      </c>
      <c r="AA124" s="58">
        <v>60900000</v>
      </c>
      <c r="AB124" s="58">
        <v>60700000</v>
      </c>
      <c r="AC124" s="59">
        <v>29800000</v>
      </c>
      <c r="AD124" t="str">
        <f t="shared" si="1"/>
        <v>Winter</v>
      </c>
      <c r="AE124" t="str">
        <f>INDEX('Category Mapping'!$B$2:$B$29,MATCH('Source Data'!A124,'Category Mapping'!$A$2:$A$29,0))</f>
        <v>Weekday</v>
      </c>
      <c r="AF124" t="str">
        <f>INDEX('Category Mapping'!$C$2:$C$29,MATCH('Source Data'!A124,'Category Mapping'!$A$2:$A$29,0))</f>
        <v>Commercial</v>
      </c>
      <c r="AG124" t="str">
        <f>INDEX('Category Mapping'!$D$2:$D$29,MATCH('Source Data'!A124,'Category Mapping'!$A$2:$A$29,0))</f>
        <v>Heating</v>
      </c>
    </row>
    <row r="125" spans="1:33" x14ac:dyDescent="0.25">
      <c r="A125" s="54" t="s">
        <v>98</v>
      </c>
      <c r="B125" s="55">
        <v>2019</v>
      </c>
      <c r="C125" s="55">
        <v>19</v>
      </c>
      <c r="D125" s="55" t="s">
        <v>208</v>
      </c>
      <c r="E125" s="55">
        <v>3</v>
      </c>
      <c r="F125" s="55">
        <v>29500000</v>
      </c>
      <c r="G125" s="55">
        <v>26200000</v>
      </c>
      <c r="H125" s="55">
        <v>25200000</v>
      </c>
      <c r="I125" s="55">
        <v>26000000</v>
      </c>
      <c r="J125" s="55">
        <v>26400000</v>
      </c>
      <c r="K125" s="55">
        <v>36900000</v>
      </c>
      <c r="L125" s="55">
        <v>64700000</v>
      </c>
      <c r="M125" s="55">
        <v>91200000</v>
      </c>
      <c r="N125" s="55">
        <v>75800000</v>
      </c>
      <c r="O125" s="55">
        <v>56100000</v>
      </c>
      <c r="P125" s="55">
        <v>46200000</v>
      </c>
      <c r="Q125" s="55">
        <v>39200000</v>
      </c>
      <c r="R125" s="55">
        <v>34900000</v>
      </c>
      <c r="S125" s="55">
        <v>32100000</v>
      </c>
      <c r="T125" s="55">
        <v>29900000</v>
      </c>
      <c r="U125" s="55">
        <v>28000000</v>
      </c>
      <c r="V125" s="55">
        <v>26300000</v>
      </c>
      <c r="W125" s="55">
        <v>27300000</v>
      </c>
      <c r="X125" s="55">
        <v>31600000</v>
      </c>
      <c r="Y125" s="55">
        <v>37600000</v>
      </c>
      <c r="Z125" s="55">
        <v>44100000</v>
      </c>
      <c r="AA125" s="55">
        <v>38800000</v>
      </c>
      <c r="AB125" s="55">
        <v>34200000</v>
      </c>
      <c r="AC125" s="56">
        <v>28600000</v>
      </c>
      <c r="AD125" t="str">
        <f t="shared" si="1"/>
        <v>Spring</v>
      </c>
      <c r="AE125" t="str">
        <f>INDEX('Category Mapping'!$B$2:$B$29,MATCH('Source Data'!A125,'Category Mapping'!$A$2:$A$29,0))</f>
        <v>Weekday</v>
      </c>
      <c r="AF125" t="str">
        <f>INDEX('Category Mapping'!$C$2:$C$29,MATCH('Source Data'!A125,'Category Mapping'!$A$2:$A$29,0))</f>
        <v>Commercial</v>
      </c>
      <c r="AG125" t="str">
        <f>INDEX('Category Mapping'!$D$2:$D$29,MATCH('Source Data'!A125,'Category Mapping'!$A$2:$A$29,0))</f>
        <v>Heating</v>
      </c>
    </row>
    <row r="126" spans="1:33" x14ac:dyDescent="0.25">
      <c r="A126" s="57" t="s">
        <v>98</v>
      </c>
      <c r="B126" s="58">
        <v>2019</v>
      </c>
      <c r="C126" s="58">
        <v>19</v>
      </c>
      <c r="D126" s="58" t="s">
        <v>208</v>
      </c>
      <c r="E126" s="58">
        <v>4</v>
      </c>
      <c r="F126" s="58">
        <v>19600000</v>
      </c>
      <c r="G126" s="58">
        <v>17500000</v>
      </c>
      <c r="H126" s="58">
        <v>17700000</v>
      </c>
      <c r="I126" s="58">
        <v>18000000</v>
      </c>
      <c r="J126" s="58">
        <v>17600000</v>
      </c>
      <c r="K126" s="58">
        <v>29300000</v>
      </c>
      <c r="L126" s="58">
        <v>54200000</v>
      </c>
      <c r="M126" s="58">
        <v>45500000</v>
      </c>
      <c r="N126" s="58">
        <v>30500000</v>
      </c>
      <c r="O126" s="58">
        <v>23900000</v>
      </c>
      <c r="P126" s="58">
        <v>19700000</v>
      </c>
      <c r="Q126" s="58">
        <v>16200000</v>
      </c>
      <c r="R126" s="58">
        <v>14600000</v>
      </c>
      <c r="S126" s="58">
        <v>13400000</v>
      </c>
      <c r="T126" s="58">
        <v>12500000</v>
      </c>
      <c r="U126" s="58">
        <v>11500000</v>
      </c>
      <c r="V126" s="58">
        <v>10400000</v>
      </c>
      <c r="W126" s="58">
        <v>11400000</v>
      </c>
      <c r="X126" s="58">
        <v>13000000</v>
      </c>
      <c r="Y126" s="58">
        <v>15600000</v>
      </c>
      <c r="Z126" s="58">
        <v>20000000</v>
      </c>
      <c r="AA126" s="58">
        <v>15100000</v>
      </c>
      <c r="AB126" s="58">
        <v>13800000</v>
      </c>
      <c r="AC126" s="59">
        <v>13800000</v>
      </c>
      <c r="AD126" t="str">
        <f t="shared" si="1"/>
        <v>Spring</v>
      </c>
      <c r="AE126" t="str">
        <f>INDEX('Category Mapping'!$B$2:$B$29,MATCH('Source Data'!A126,'Category Mapping'!$A$2:$A$29,0))</f>
        <v>Weekday</v>
      </c>
      <c r="AF126" t="str">
        <f>INDEX('Category Mapping'!$C$2:$C$29,MATCH('Source Data'!A126,'Category Mapping'!$A$2:$A$29,0))</f>
        <v>Commercial</v>
      </c>
      <c r="AG126" t="str">
        <f>INDEX('Category Mapping'!$D$2:$D$29,MATCH('Source Data'!A126,'Category Mapping'!$A$2:$A$29,0))</f>
        <v>Heating</v>
      </c>
    </row>
    <row r="127" spans="1:33" x14ac:dyDescent="0.25">
      <c r="A127" s="54" t="s">
        <v>98</v>
      </c>
      <c r="B127" s="55">
        <v>2019</v>
      </c>
      <c r="C127" s="55">
        <v>19</v>
      </c>
      <c r="D127" s="55" t="s">
        <v>208</v>
      </c>
      <c r="E127" s="55">
        <v>5</v>
      </c>
      <c r="F127" s="55">
        <v>4714881</v>
      </c>
      <c r="G127" s="55">
        <v>4432044</v>
      </c>
      <c r="H127" s="55">
        <v>4506486</v>
      </c>
      <c r="I127" s="55">
        <v>4578442</v>
      </c>
      <c r="J127" s="55">
        <v>4430885</v>
      </c>
      <c r="K127" s="55">
        <v>6988517</v>
      </c>
      <c r="L127" s="55">
        <v>17500000</v>
      </c>
      <c r="M127" s="55">
        <v>13700000</v>
      </c>
      <c r="N127" s="55">
        <v>8972358</v>
      </c>
      <c r="O127" s="55">
        <v>7068316</v>
      </c>
      <c r="P127" s="55">
        <v>5953044</v>
      </c>
      <c r="Q127" s="55">
        <v>4994629</v>
      </c>
      <c r="R127" s="55">
        <v>4550673</v>
      </c>
      <c r="S127" s="55">
        <v>4223149</v>
      </c>
      <c r="T127" s="55">
        <v>3957311</v>
      </c>
      <c r="U127" s="55">
        <v>3672823</v>
      </c>
      <c r="V127" s="55">
        <v>3356355</v>
      </c>
      <c r="W127" s="55">
        <v>3577938</v>
      </c>
      <c r="X127" s="55">
        <v>4031724</v>
      </c>
      <c r="Y127" s="55">
        <v>4715178</v>
      </c>
      <c r="Z127" s="55">
        <v>6253307</v>
      </c>
      <c r="AA127" s="55">
        <v>5546639</v>
      </c>
      <c r="AB127" s="55">
        <v>4273846</v>
      </c>
      <c r="AC127" s="56">
        <v>4533801</v>
      </c>
      <c r="AD127" t="str">
        <f t="shared" si="1"/>
        <v>Spring</v>
      </c>
      <c r="AE127" t="str">
        <f>INDEX('Category Mapping'!$B$2:$B$29,MATCH('Source Data'!A127,'Category Mapping'!$A$2:$A$29,0))</f>
        <v>Weekday</v>
      </c>
      <c r="AF127" t="str">
        <f>INDEX('Category Mapping'!$C$2:$C$29,MATCH('Source Data'!A127,'Category Mapping'!$A$2:$A$29,0))</f>
        <v>Commercial</v>
      </c>
      <c r="AG127" t="str">
        <f>INDEX('Category Mapping'!$D$2:$D$29,MATCH('Source Data'!A127,'Category Mapping'!$A$2:$A$29,0))</f>
        <v>Heating</v>
      </c>
    </row>
    <row r="128" spans="1:33" x14ac:dyDescent="0.25">
      <c r="A128" s="57" t="s">
        <v>98</v>
      </c>
      <c r="B128" s="58">
        <v>2019</v>
      </c>
      <c r="C128" s="58">
        <v>19</v>
      </c>
      <c r="D128" s="58" t="s">
        <v>208</v>
      </c>
      <c r="E128" s="58">
        <v>6</v>
      </c>
      <c r="F128" s="58">
        <v>1105477</v>
      </c>
      <c r="G128" s="58">
        <v>1104580</v>
      </c>
      <c r="H128" s="58">
        <v>1135704</v>
      </c>
      <c r="I128" s="58">
        <v>1164114</v>
      </c>
      <c r="J128" s="58">
        <v>1127001</v>
      </c>
      <c r="K128" s="58">
        <v>1640218</v>
      </c>
      <c r="L128" s="58">
        <v>2368709</v>
      </c>
      <c r="M128" s="58">
        <v>1902970</v>
      </c>
      <c r="N128" s="58">
        <v>1266102</v>
      </c>
      <c r="O128" s="58">
        <v>1007682</v>
      </c>
      <c r="P128" s="58">
        <v>866160</v>
      </c>
      <c r="Q128" s="58">
        <v>753706</v>
      </c>
      <c r="R128" s="58">
        <v>689861</v>
      </c>
      <c r="S128" s="58">
        <v>636455</v>
      </c>
      <c r="T128" s="58">
        <v>589596</v>
      </c>
      <c r="U128" s="58">
        <v>541806</v>
      </c>
      <c r="V128" s="58">
        <v>504816</v>
      </c>
      <c r="W128" s="58">
        <v>515053</v>
      </c>
      <c r="X128" s="58">
        <v>601351</v>
      </c>
      <c r="Y128" s="58">
        <v>701190</v>
      </c>
      <c r="Z128" s="58">
        <v>955758</v>
      </c>
      <c r="AA128" s="58">
        <v>1006258</v>
      </c>
      <c r="AB128" s="58">
        <v>971636</v>
      </c>
      <c r="AC128" s="59">
        <v>1039891</v>
      </c>
      <c r="AD128" t="str">
        <f t="shared" si="1"/>
        <v>Summer</v>
      </c>
      <c r="AE128" t="str">
        <f>INDEX('Category Mapping'!$B$2:$B$29,MATCH('Source Data'!A128,'Category Mapping'!$A$2:$A$29,0))</f>
        <v>Weekday</v>
      </c>
      <c r="AF128" t="str">
        <f>INDEX('Category Mapping'!$C$2:$C$29,MATCH('Source Data'!A128,'Category Mapping'!$A$2:$A$29,0))</f>
        <v>Commercial</v>
      </c>
      <c r="AG128" t="str">
        <f>INDEX('Category Mapping'!$D$2:$D$29,MATCH('Source Data'!A128,'Category Mapping'!$A$2:$A$29,0))</f>
        <v>Heating</v>
      </c>
    </row>
    <row r="129" spans="1:33" x14ac:dyDescent="0.25">
      <c r="A129" s="54" t="s">
        <v>98</v>
      </c>
      <c r="B129" s="55">
        <v>2019</v>
      </c>
      <c r="C129" s="55">
        <v>19</v>
      </c>
      <c r="D129" s="55" t="s">
        <v>208</v>
      </c>
      <c r="E129" s="55">
        <v>7</v>
      </c>
      <c r="F129" s="55">
        <v>198366</v>
      </c>
      <c r="G129" s="55">
        <v>198366</v>
      </c>
      <c r="H129" s="55">
        <v>198366</v>
      </c>
      <c r="I129" s="55">
        <v>198366</v>
      </c>
      <c r="J129" s="55">
        <v>198366</v>
      </c>
      <c r="K129" s="55">
        <v>198366</v>
      </c>
      <c r="L129" s="55">
        <v>198366</v>
      </c>
      <c r="M129" s="55">
        <v>198366</v>
      </c>
      <c r="N129" s="55">
        <v>198366</v>
      </c>
      <c r="O129" s="55">
        <v>198366</v>
      </c>
      <c r="P129" s="55">
        <v>198366</v>
      </c>
      <c r="Q129" s="55">
        <v>198366</v>
      </c>
      <c r="R129" s="55">
        <v>198366</v>
      </c>
      <c r="S129" s="55">
        <v>198366</v>
      </c>
      <c r="T129" s="55">
        <v>198366</v>
      </c>
      <c r="U129" s="55">
        <v>198366</v>
      </c>
      <c r="V129" s="55">
        <v>198366</v>
      </c>
      <c r="W129" s="55">
        <v>198366</v>
      </c>
      <c r="X129" s="55">
        <v>198366</v>
      </c>
      <c r="Y129" s="55">
        <v>198366</v>
      </c>
      <c r="Z129" s="55">
        <v>198366</v>
      </c>
      <c r="AA129" s="55">
        <v>198366</v>
      </c>
      <c r="AB129" s="55">
        <v>198366</v>
      </c>
      <c r="AC129" s="56">
        <v>198366</v>
      </c>
      <c r="AD129" t="str">
        <f t="shared" si="1"/>
        <v>Summer</v>
      </c>
      <c r="AE129" t="str">
        <f>INDEX('Category Mapping'!$B$2:$B$29,MATCH('Source Data'!A129,'Category Mapping'!$A$2:$A$29,0))</f>
        <v>Weekday</v>
      </c>
      <c r="AF129" t="str">
        <f>INDEX('Category Mapping'!$C$2:$C$29,MATCH('Source Data'!A129,'Category Mapping'!$A$2:$A$29,0))</f>
        <v>Commercial</v>
      </c>
      <c r="AG129" t="str">
        <f>INDEX('Category Mapping'!$D$2:$D$29,MATCH('Source Data'!A129,'Category Mapping'!$A$2:$A$29,0))</f>
        <v>Heating</v>
      </c>
    </row>
    <row r="130" spans="1:33" x14ac:dyDescent="0.25">
      <c r="A130" s="57" t="s">
        <v>98</v>
      </c>
      <c r="B130" s="58">
        <v>2019</v>
      </c>
      <c r="C130" s="58">
        <v>19</v>
      </c>
      <c r="D130" s="58" t="s">
        <v>208</v>
      </c>
      <c r="E130" s="58">
        <v>8</v>
      </c>
      <c r="F130" s="58">
        <v>207628</v>
      </c>
      <c r="G130" s="58">
        <v>207628</v>
      </c>
      <c r="H130" s="58">
        <v>207628</v>
      </c>
      <c r="I130" s="58">
        <v>207628</v>
      </c>
      <c r="J130" s="58">
        <v>207628</v>
      </c>
      <c r="K130" s="58">
        <v>207628</v>
      </c>
      <c r="L130" s="58">
        <v>207628</v>
      </c>
      <c r="M130" s="58">
        <v>207628</v>
      </c>
      <c r="N130" s="58">
        <v>207628</v>
      </c>
      <c r="O130" s="58">
        <v>207628</v>
      </c>
      <c r="P130" s="58">
        <v>207628</v>
      </c>
      <c r="Q130" s="58">
        <v>207628</v>
      </c>
      <c r="R130" s="58">
        <v>207628</v>
      </c>
      <c r="S130" s="58">
        <v>207628</v>
      </c>
      <c r="T130" s="58">
        <v>207628</v>
      </c>
      <c r="U130" s="58">
        <v>207628</v>
      </c>
      <c r="V130" s="58">
        <v>207628</v>
      </c>
      <c r="W130" s="58">
        <v>207628</v>
      </c>
      <c r="X130" s="58">
        <v>207628</v>
      </c>
      <c r="Y130" s="58">
        <v>207628</v>
      </c>
      <c r="Z130" s="58">
        <v>207628</v>
      </c>
      <c r="AA130" s="58">
        <v>207628</v>
      </c>
      <c r="AB130" s="58">
        <v>207628</v>
      </c>
      <c r="AC130" s="59">
        <v>207628</v>
      </c>
      <c r="AD130" t="str">
        <f t="shared" si="1"/>
        <v>Summer</v>
      </c>
      <c r="AE130" t="str">
        <f>INDEX('Category Mapping'!$B$2:$B$29,MATCH('Source Data'!A130,'Category Mapping'!$A$2:$A$29,0))</f>
        <v>Weekday</v>
      </c>
      <c r="AF130" t="str">
        <f>INDEX('Category Mapping'!$C$2:$C$29,MATCH('Source Data'!A130,'Category Mapping'!$A$2:$A$29,0))</f>
        <v>Commercial</v>
      </c>
      <c r="AG130" t="str">
        <f>INDEX('Category Mapping'!$D$2:$D$29,MATCH('Source Data'!A130,'Category Mapping'!$A$2:$A$29,0))</f>
        <v>Heating</v>
      </c>
    </row>
    <row r="131" spans="1:33" x14ac:dyDescent="0.25">
      <c r="A131" s="54" t="s">
        <v>98</v>
      </c>
      <c r="B131" s="55">
        <v>2019</v>
      </c>
      <c r="C131" s="55">
        <v>19</v>
      </c>
      <c r="D131" s="55" t="s">
        <v>208</v>
      </c>
      <c r="E131" s="55">
        <v>9</v>
      </c>
      <c r="F131" s="55">
        <v>2929728</v>
      </c>
      <c r="G131" s="55">
        <v>2850955</v>
      </c>
      <c r="H131" s="55">
        <v>2910694</v>
      </c>
      <c r="I131" s="55">
        <v>2966623</v>
      </c>
      <c r="J131" s="55">
        <v>2866526</v>
      </c>
      <c r="K131" s="55">
        <v>4346346</v>
      </c>
      <c r="L131" s="55">
        <v>4376276</v>
      </c>
      <c r="M131" s="55">
        <v>3866558</v>
      </c>
      <c r="N131" s="55">
        <v>2472873</v>
      </c>
      <c r="O131" s="55">
        <v>1832172</v>
      </c>
      <c r="P131" s="55">
        <v>1461359</v>
      </c>
      <c r="Q131" s="55">
        <v>1200085</v>
      </c>
      <c r="R131" s="55">
        <v>1078435</v>
      </c>
      <c r="S131" s="55">
        <v>984863</v>
      </c>
      <c r="T131" s="55">
        <v>914936</v>
      </c>
      <c r="U131" s="55">
        <v>850022</v>
      </c>
      <c r="V131" s="55">
        <v>800877</v>
      </c>
      <c r="W131" s="55">
        <v>854753</v>
      </c>
      <c r="X131" s="55">
        <v>1035695</v>
      </c>
      <c r="Y131" s="55">
        <v>1282673</v>
      </c>
      <c r="Z131" s="55">
        <v>1724551</v>
      </c>
      <c r="AA131" s="55">
        <v>1619485</v>
      </c>
      <c r="AB131" s="55">
        <v>2013487</v>
      </c>
      <c r="AC131" s="56">
        <v>2130997</v>
      </c>
      <c r="AD131" t="str">
        <f t="shared" si="1"/>
        <v>Fall</v>
      </c>
      <c r="AE131" t="str">
        <f>INDEX('Category Mapping'!$B$2:$B$29,MATCH('Source Data'!A131,'Category Mapping'!$A$2:$A$29,0))</f>
        <v>Weekday</v>
      </c>
      <c r="AF131" t="str">
        <f>INDEX('Category Mapping'!$C$2:$C$29,MATCH('Source Data'!A131,'Category Mapping'!$A$2:$A$29,0))</f>
        <v>Commercial</v>
      </c>
      <c r="AG131" t="str">
        <f>INDEX('Category Mapping'!$D$2:$D$29,MATCH('Source Data'!A131,'Category Mapping'!$A$2:$A$29,0))</f>
        <v>Heating</v>
      </c>
    </row>
    <row r="132" spans="1:33" x14ac:dyDescent="0.25">
      <c r="A132" s="57" t="s">
        <v>98</v>
      </c>
      <c r="B132" s="58">
        <v>2019</v>
      </c>
      <c r="C132" s="58">
        <v>19</v>
      </c>
      <c r="D132" s="58" t="s">
        <v>208</v>
      </c>
      <c r="E132" s="58">
        <v>10</v>
      </c>
      <c r="F132" s="58">
        <v>14200000</v>
      </c>
      <c r="G132" s="58">
        <v>12800000</v>
      </c>
      <c r="H132" s="58">
        <v>12900000</v>
      </c>
      <c r="I132" s="58">
        <v>13100000</v>
      </c>
      <c r="J132" s="58">
        <v>12700000</v>
      </c>
      <c r="K132" s="58">
        <v>21200000</v>
      </c>
      <c r="L132" s="58">
        <v>36600000</v>
      </c>
      <c r="M132" s="58">
        <v>33000000</v>
      </c>
      <c r="N132" s="58">
        <v>22700000</v>
      </c>
      <c r="O132" s="58">
        <v>17300000</v>
      </c>
      <c r="P132" s="58">
        <v>13900000</v>
      </c>
      <c r="Q132" s="58">
        <v>11300000</v>
      </c>
      <c r="R132" s="58">
        <v>10100000</v>
      </c>
      <c r="S132" s="58">
        <v>9208803</v>
      </c>
      <c r="T132" s="58">
        <v>8571802</v>
      </c>
      <c r="U132" s="58">
        <v>8010053</v>
      </c>
      <c r="V132" s="58">
        <v>7488322</v>
      </c>
      <c r="W132" s="58">
        <v>8693915</v>
      </c>
      <c r="X132" s="58">
        <v>10800000</v>
      </c>
      <c r="Y132" s="58">
        <v>12900000</v>
      </c>
      <c r="Z132" s="58">
        <v>15900000</v>
      </c>
      <c r="AA132" s="58">
        <v>11700000</v>
      </c>
      <c r="AB132" s="58">
        <v>10200000</v>
      </c>
      <c r="AC132" s="59">
        <v>10700000</v>
      </c>
      <c r="AD132" t="str">
        <f t="shared" ref="AD132:AD195" si="2">IF(AND(E132&gt;=3,E132&lt;=5),"Spring",IF(AND(E132&gt;=6,E132&lt;=8),"Summer",IF(AND(E132&gt;=9,E132&lt;=10),"Fall","Winter")))</f>
        <v>Fall</v>
      </c>
      <c r="AE132" t="str">
        <f>INDEX('Category Mapping'!$B$2:$B$29,MATCH('Source Data'!A132,'Category Mapping'!$A$2:$A$29,0))</f>
        <v>Weekday</v>
      </c>
      <c r="AF132" t="str">
        <f>INDEX('Category Mapping'!$C$2:$C$29,MATCH('Source Data'!A132,'Category Mapping'!$A$2:$A$29,0))</f>
        <v>Commercial</v>
      </c>
      <c r="AG132" t="str">
        <f>INDEX('Category Mapping'!$D$2:$D$29,MATCH('Source Data'!A132,'Category Mapping'!$A$2:$A$29,0))</f>
        <v>Heating</v>
      </c>
    </row>
    <row r="133" spans="1:33" x14ac:dyDescent="0.25">
      <c r="A133" s="54" t="s">
        <v>98</v>
      </c>
      <c r="B133" s="55">
        <v>2019</v>
      </c>
      <c r="C133" s="55">
        <v>19</v>
      </c>
      <c r="D133" s="55" t="s">
        <v>208</v>
      </c>
      <c r="E133" s="55">
        <v>11</v>
      </c>
      <c r="F133" s="55">
        <v>25300000</v>
      </c>
      <c r="G133" s="55">
        <v>23300000</v>
      </c>
      <c r="H133" s="55">
        <v>20700000</v>
      </c>
      <c r="I133" s="55">
        <v>21100000</v>
      </c>
      <c r="J133" s="55">
        <v>21600000</v>
      </c>
      <c r="K133" s="55">
        <v>22900000</v>
      </c>
      <c r="L133" s="55">
        <v>23800000</v>
      </c>
      <c r="M133" s="55">
        <v>75800000</v>
      </c>
      <c r="N133" s="55">
        <v>67200000</v>
      </c>
      <c r="O133" s="55">
        <v>46700000</v>
      </c>
      <c r="P133" s="55">
        <v>37600000</v>
      </c>
      <c r="Q133" s="55">
        <v>32100000</v>
      </c>
      <c r="R133" s="55">
        <v>27700000</v>
      </c>
      <c r="S133" s="55">
        <v>25800000</v>
      </c>
      <c r="T133" s="55">
        <v>24100000</v>
      </c>
      <c r="U133" s="55">
        <v>23300000</v>
      </c>
      <c r="V133" s="55">
        <v>23100000</v>
      </c>
      <c r="W133" s="55">
        <v>24300000</v>
      </c>
      <c r="X133" s="55">
        <v>29600000</v>
      </c>
      <c r="Y133" s="55">
        <v>34100000</v>
      </c>
      <c r="Z133" s="55">
        <v>37300000</v>
      </c>
      <c r="AA133" s="55">
        <v>39800000</v>
      </c>
      <c r="AB133" s="55">
        <v>39000000</v>
      </c>
      <c r="AC133" s="56">
        <v>23700000</v>
      </c>
      <c r="AD133" t="str">
        <f t="shared" si="2"/>
        <v>Winter</v>
      </c>
      <c r="AE133" t="str">
        <f>INDEX('Category Mapping'!$B$2:$B$29,MATCH('Source Data'!A133,'Category Mapping'!$A$2:$A$29,0))</f>
        <v>Weekday</v>
      </c>
      <c r="AF133" t="str">
        <f>INDEX('Category Mapping'!$C$2:$C$29,MATCH('Source Data'!A133,'Category Mapping'!$A$2:$A$29,0))</f>
        <v>Commercial</v>
      </c>
      <c r="AG133" t="str">
        <f>INDEX('Category Mapping'!$D$2:$D$29,MATCH('Source Data'!A133,'Category Mapping'!$A$2:$A$29,0))</f>
        <v>Heating</v>
      </c>
    </row>
    <row r="134" spans="1:33" x14ac:dyDescent="0.25">
      <c r="A134" s="57" t="s">
        <v>98</v>
      </c>
      <c r="B134" s="58">
        <v>2019</v>
      </c>
      <c r="C134" s="58">
        <v>19</v>
      </c>
      <c r="D134" s="58" t="s">
        <v>208</v>
      </c>
      <c r="E134" s="58">
        <v>12</v>
      </c>
      <c r="F134" s="58">
        <v>36800000</v>
      </c>
      <c r="G134" s="58">
        <v>33400000</v>
      </c>
      <c r="H134" s="58">
        <v>29900000</v>
      </c>
      <c r="I134" s="58">
        <v>30700000</v>
      </c>
      <c r="J134" s="58">
        <v>32400000</v>
      </c>
      <c r="K134" s="58">
        <v>32500000</v>
      </c>
      <c r="L134" s="58">
        <v>36800000</v>
      </c>
      <c r="M134" s="58">
        <v>107000000</v>
      </c>
      <c r="N134" s="58">
        <v>110000000</v>
      </c>
      <c r="O134" s="58">
        <v>78500000</v>
      </c>
      <c r="P134" s="58">
        <v>64800000</v>
      </c>
      <c r="Q134" s="58">
        <v>56500000</v>
      </c>
      <c r="R134" s="58">
        <v>49600000</v>
      </c>
      <c r="S134" s="58">
        <v>46600000</v>
      </c>
      <c r="T134" s="58">
        <v>43900000</v>
      </c>
      <c r="U134" s="58">
        <v>42500000</v>
      </c>
      <c r="V134" s="58">
        <v>42300000</v>
      </c>
      <c r="W134" s="58">
        <v>43800000</v>
      </c>
      <c r="X134" s="58">
        <v>51000000</v>
      </c>
      <c r="Y134" s="58">
        <v>57200000</v>
      </c>
      <c r="Z134" s="58">
        <v>60800000</v>
      </c>
      <c r="AA134" s="58">
        <v>65900000</v>
      </c>
      <c r="AB134" s="58">
        <v>65500000</v>
      </c>
      <c r="AC134" s="59">
        <v>31700000</v>
      </c>
      <c r="AD134" t="str">
        <f t="shared" si="2"/>
        <v>Winter</v>
      </c>
      <c r="AE134" t="str">
        <f>INDEX('Category Mapping'!$B$2:$B$29,MATCH('Source Data'!A134,'Category Mapping'!$A$2:$A$29,0))</f>
        <v>Weekday</v>
      </c>
      <c r="AF134" t="str">
        <f>INDEX('Category Mapping'!$C$2:$C$29,MATCH('Source Data'!A134,'Category Mapping'!$A$2:$A$29,0))</f>
        <v>Commercial</v>
      </c>
      <c r="AG134" t="str">
        <f>INDEX('Category Mapping'!$D$2:$D$29,MATCH('Source Data'!A134,'Category Mapping'!$A$2:$A$29,0))</f>
        <v>Heating</v>
      </c>
    </row>
    <row r="135" spans="1:33" x14ac:dyDescent="0.25">
      <c r="A135" s="54" t="s">
        <v>99</v>
      </c>
      <c r="B135" s="55">
        <v>2019</v>
      </c>
      <c r="C135" s="55">
        <v>19</v>
      </c>
      <c r="D135" s="55" t="s">
        <v>208</v>
      </c>
      <c r="E135" s="55">
        <v>1</v>
      </c>
      <c r="F135" s="55">
        <v>12800000</v>
      </c>
      <c r="G135" s="55">
        <v>12600000</v>
      </c>
      <c r="H135" s="55">
        <v>11400000</v>
      </c>
      <c r="I135" s="55">
        <v>12100000</v>
      </c>
      <c r="J135" s="55">
        <v>12500000</v>
      </c>
      <c r="K135" s="55">
        <v>13200000</v>
      </c>
      <c r="L135" s="55">
        <v>15400000</v>
      </c>
      <c r="M135" s="55">
        <v>29700000</v>
      </c>
      <c r="N135" s="55">
        <v>37900000</v>
      </c>
      <c r="O135" s="55">
        <v>31200000</v>
      </c>
      <c r="P135" s="55">
        <v>26600000</v>
      </c>
      <c r="Q135" s="55">
        <v>23700000</v>
      </c>
      <c r="R135" s="55">
        <v>21500000</v>
      </c>
      <c r="S135" s="55">
        <v>19900000</v>
      </c>
      <c r="T135" s="55">
        <v>18800000</v>
      </c>
      <c r="U135" s="55">
        <v>19400000</v>
      </c>
      <c r="V135" s="55">
        <v>19200000</v>
      </c>
      <c r="W135" s="55">
        <v>20700000</v>
      </c>
      <c r="X135" s="55">
        <v>23800000</v>
      </c>
      <c r="Y135" s="55">
        <v>16600000</v>
      </c>
      <c r="Z135" s="55">
        <v>16700000</v>
      </c>
      <c r="AA135" s="55">
        <v>18100000</v>
      </c>
      <c r="AB135" s="55">
        <v>18500000</v>
      </c>
      <c r="AC135" s="56">
        <v>15500000</v>
      </c>
      <c r="AD135" t="str">
        <f t="shared" si="2"/>
        <v>Winter</v>
      </c>
      <c r="AE135" t="str">
        <f>INDEX('Category Mapping'!$B$2:$B$29,MATCH('Source Data'!A135,'Category Mapping'!$A$2:$A$29,0))</f>
        <v>Weekend</v>
      </c>
      <c r="AF135" t="str">
        <f>INDEX('Category Mapping'!$C$2:$C$29,MATCH('Source Data'!A135,'Category Mapping'!$A$2:$A$29,0))</f>
        <v>Commercial</v>
      </c>
      <c r="AG135" t="str">
        <f>INDEX('Category Mapping'!$D$2:$D$29,MATCH('Source Data'!A135,'Category Mapping'!$A$2:$A$29,0))</f>
        <v>Heating</v>
      </c>
    </row>
    <row r="136" spans="1:33" x14ac:dyDescent="0.25">
      <c r="A136" s="57" t="s">
        <v>99</v>
      </c>
      <c r="B136" s="58">
        <v>2019</v>
      </c>
      <c r="C136" s="58">
        <v>19</v>
      </c>
      <c r="D136" s="58" t="s">
        <v>208</v>
      </c>
      <c r="E136" s="58">
        <v>2</v>
      </c>
      <c r="F136" s="58">
        <v>10900000</v>
      </c>
      <c r="G136" s="58">
        <v>10100000</v>
      </c>
      <c r="H136" s="58">
        <v>9070712</v>
      </c>
      <c r="I136" s="58">
        <v>9474688</v>
      </c>
      <c r="J136" s="58">
        <v>10000000</v>
      </c>
      <c r="K136" s="58">
        <v>10400000</v>
      </c>
      <c r="L136" s="58">
        <v>12600000</v>
      </c>
      <c r="M136" s="58">
        <v>25900000</v>
      </c>
      <c r="N136" s="58">
        <v>32700000</v>
      </c>
      <c r="O136" s="58">
        <v>25800000</v>
      </c>
      <c r="P136" s="58">
        <v>21700000</v>
      </c>
      <c r="Q136" s="58">
        <v>19000000</v>
      </c>
      <c r="R136" s="58">
        <v>17200000</v>
      </c>
      <c r="S136" s="58">
        <v>15700000</v>
      </c>
      <c r="T136" s="58">
        <v>14800000</v>
      </c>
      <c r="U136" s="58">
        <v>15100000</v>
      </c>
      <c r="V136" s="58">
        <v>14800000</v>
      </c>
      <c r="W136" s="58">
        <v>15600000</v>
      </c>
      <c r="X136" s="58">
        <v>18400000</v>
      </c>
      <c r="Y136" s="58">
        <v>12600000</v>
      </c>
      <c r="Z136" s="58">
        <v>13100000</v>
      </c>
      <c r="AA136" s="58">
        <v>14200000</v>
      </c>
      <c r="AB136" s="58">
        <v>14700000</v>
      </c>
      <c r="AC136" s="59">
        <v>12000000</v>
      </c>
      <c r="AD136" t="str">
        <f t="shared" si="2"/>
        <v>Winter</v>
      </c>
      <c r="AE136" t="str">
        <f>INDEX('Category Mapping'!$B$2:$B$29,MATCH('Source Data'!A136,'Category Mapping'!$A$2:$A$29,0))</f>
        <v>Weekend</v>
      </c>
      <c r="AF136" t="str">
        <f>INDEX('Category Mapping'!$C$2:$C$29,MATCH('Source Data'!A136,'Category Mapping'!$A$2:$A$29,0))</f>
        <v>Commercial</v>
      </c>
      <c r="AG136" t="str">
        <f>INDEX('Category Mapping'!$D$2:$D$29,MATCH('Source Data'!A136,'Category Mapping'!$A$2:$A$29,0))</f>
        <v>Heating</v>
      </c>
    </row>
    <row r="137" spans="1:33" x14ac:dyDescent="0.25">
      <c r="A137" s="54" t="s">
        <v>99</v>
      </c>
      <c r="B137" s="55">
        <v>2019</v>
      </c>
      <c r="C137" s="55">
        <v>19</v>
      </c>
      <c r="D137" s="55" t="s">
        <v>208</v>
      </c>
      <c r="E137" s="55">
        <v>3</v>
      </c>
      <c r="F137" s="55">
        <v>9077037</v>
      </c>
      <c r="G137" s="55">
        <v>8020362</v>
      </c>
      <c r="H137" s="55">
        <v>7708773</v>
      </c>
      <c r="I137" s="55">
        <v>7958585</v>
      </c>
      <c r="J137" s="55">
        <v>8207315</v>
      </c>
      <c r="K137" s="55">
        <v>9328540</v>
      </c>
      <c r="L137" s="55">
        <v>15900000</v>
      </c>
      <c r="M137" s="55">
        <v>23900000</v>
      </c>
      <c r="N137" s="55">
        <v>24100000</v>
      </c>
      <c r="O137" s="55">
        <v>19200000</v>
      </c>
      <c r="P137" s="55">
        <v>16100000</v>
      </c>
      <c r="Q137" s="55">
        <v>14200000</v>
      </c>
      <c r="R137" s="55">
        <v>12800000</v>
      </c>
      <c r="S137" s="55">
        <v>11800000</v>
      </c>
      <c r="T137" s="55">
        <v>11500000</v>
      </c>
      <c r="U137" s="55">
        <v>11200000</v>
      </c>
      <c r="V137" s="55">
        <v>11000000</v>
      </c>
      <c r="W137" s="55">
        <v>11900000</v>
      </c>
      <c r="X137" s="55">
        <v>12000000</v>
      </c>
      <c r="Y137" s="55">
        <v>10100000</v>
      </c>
      <c r="Z137" s="55">
        <v>11100000</v>
      </c>
      <c r="AA137" s="55">
        <v>11600000</v>
      </c>
      <c r="AB137" s="55">
        <v>10500000</v>
      </c>
      <c r="AC137" s="56">
        <v>9864752</v>
      </c>
      <c r="AD137" t="str">
        <f t="shared" si="2"/>
        <v>Spring</v>
      </c>
      <c r="AE137" t="str">
        <f>INDEX('Category Mapping'!$B$2:$B$29,MATCH('Source Data'!A137,'Category Mapping'!$A$2:$A$29,0))</f>
        <v>Weekend</v>
      </c>
      <c r="AF137" t="str">
        <f>INDEX('Category Mapping'!$C$2:$C$29,MATCH('Source Data'!A137,'Category Mapping'!$A$2:$A$29,0))</f>
        <v>Commercial</v>
      </c>
      <c r="AG137" t="str">
        <f>INDEX('Category Mapping'!$D$2:$D$29,MATCH('Source Data'!A137,'Category Mapping'!$A$2:$A$29,0))</f>
        <v>Heating</v>
      </c>
    </row>
    <row r="138" spans="1:33" x14ac:dyDescent="0.25">
      <c r="A138" s="57" t="s">
        <v>99</v>
      </c>
      <c r="B138" s="58">
        <v>2019</v>
      </c>
      <c r="C138" s="58">
        <v>19</v>
      </c>
      <c r="D138" s="58" t="s">
        <v>208</v>
      </c>
      <c r="E138" s="58">
        <v>4</v>
      </c>
      <c r="F138" s="58">
        <v>5218639</v>
      </c>
      <c r="G138" s="58">
        <v>4671067</v>
      </c>
      <c r="H138" s="58">
        <v>4745185</v>
      </c>
      <c r="I138" s="58">
        <v>4827337</v>
      </c>
      <c r="J138" s="58">
        <v>4816634</v>
      </c>
      <c r="K138" s="58">
        <v>5718600</v>
      </c>
      <c r="L138" s="58">
        <v>11500000</v>
      </c>
      <c r="M138" s="58">
        <v>12200000</v>
      </c>
      <c r="N138" s="58">
        <v>9939302</v>
      </c>
      <c r="O138" s="58">
        <v>8389465</v>
      </c>
      <c r="P138" s="58">
        <v>7215264</v>
      </c>
      <c r="Q138" s="58">
        <v>6421846</v>
      </c>
      <c r="R138" s="58">
        <v>5855516</v>
      </c>
      <c r="S138" s="58">
        <v>5505845</v>
      </c>
      <c r="T138" s="58">
        <v>5511896</v>
      </c>
      <c r="U138" s="58">
        <v>4972132</v>
      </c>
      <c r="V138" s="58">
        <v>4959262</v>
      </c>
      <c r="W138" s="58">
        <v>5502430</v>
      </c>
      <c r="X138" s="58">
        <v>4900848</v>
      </c>
      <c r="Y138" s="58">
        <v>5310237</v>
      </c>
      <c r="Z138" s="58">
        <v>6180292</v>
      </c>
      <c r="AA138" s="58">
        <v>6276157</v>
      </c>
      <c r="AB138" s="58">
        <v>5366521</v>
      </c>
      <c r="AC138" s="59">
        <v>5647324</v>
      </c>
      <c r="AD138" t="str">
        <f t="shared" si="2"/>
        <v>Spring</v>
      </c>
      <c r="AE138" t="str">
        <f>INDEX('Category Mapping'!$B$2:$B$29,MATCH('Source Data'!A138,'Category Mapping'!$A$2:$A$29,0))</f>
        <v>Weekend</v>
      </c>
      <c r="AF138" t="str">
        <f>INDEX('Category Mapping'!$C$2:$C$29,MATCH('Source Data'!A138,'Category Mapping'!$A$2:$A$29,0))</f>
        <v>Commercial</v>
      </c>
      <c r="AG138" t="str">
        <f>INDEX('Category Mapping'!$D$2:$D$29,MATCH('Source Data'!A138,'Category Mapping'!$A$2:$A$29,0))</f>
        <v>Heating</v>
      </c>
    </row>
    <row r="139" spans="1:33" x14ac:dyDescent="0.25">
      <c r="A139" s="54" t="s">
        <v>99</v>
      </c>
      <c r="B139" s="55">
        <v>2019</v>
      </c>
      <c r="C139" s="55">
        <v>19</v>
      </c>
      <c r="D139" s="55" t="s">
        <v>208</v>
      </c>
      <c r="E139" s="55">
        <v>5</v>
      </c>
      <c r="F139" s="55">
        <v>1846643</v>
      </c>
      <c r="G139" s="55">
        <v>1740361</v>
      </c>
      <c r="H139" s="55">
        <v>1771415</v>
      </c>
      <c r="I139" s="55">
        <v>1801019</v>
      </c>
      <c r="J139" s="55">
        <v>1783184</v>
      </c>
      <c r="K139" s="55">
        <v>2014466</v>
      </c>
      <c r="L139" s="55">
        <v>3118879</v>
      </c>
      <c r="M139" s="55">
        <v>3194588</v>
      </c>
      <c r="N139" s="55">
        <v>2603892</v>
      </c>
      <c r="O139" s="55">
        <v>2213333</v>
      </c>
      <c r="P139" s="55">
        <v>1929909</v>
      </c>
      <c r="Q139" s="55">
        <v>1746941</v>
      </c>
      <c r="R139" s="55">
        <v>1605981</v>
      </c>
      <c r="S139" s="55">
        <v>1515643</v>
      </c>
      <c r="T139" s="55">
        <v>1491386</v>
      </c>
      <c r="U139" s="55">
        <v>1315623</v>
      </c>
      <c r="V139" s="55">
        <v>1305995</v>
      </c>
      <c r="W139" s="55">
        <v>1421624</v>
      </c>
      <c r="X139" s="55">
        <v>1439540</v>
      </c>
      <c r="Y139" s="55">
        <v>1564760</v>
      </c>
      <c r="Z139" s="55">
        <v>1870970</v>
      </c>
      <c r="AA139" s="55">
        <v>1905023</v>
      </c>
      <c r="AB139" s="55">
        <v>1788147</v>
      </c>
      <c r="AC139" s="56">
        <v>1884670</v>
      </c>
      <c r="AD139" t="str">
        <f t="shared" si="2"/>
        <v>Spring</v>
      </c>
      <c r="AE139" t="str">
        <f>INDEX('Category Mapping'!$B$2:$B$29,MATCH('Source Data'!A139,'Category Mapping'!$A$2:$A$29,0))</f>
        <v>Weekend</v>
      </c>
      <c r="AF139" t="str">
        <f>INDEX('Category Mapping'!$C$2:$C$29,MATCH('Source Data'!A139,'Category Mapping'!$A$2:$A$29,0))</f>
        <v>Commercial</v>
      </c>
      <c r="AG139" t="str">
        <f>INDEX('Category Mapping'!$D$2:$D$29,MATCH('Source Data'!A139,'Category Mapping'!$A$2:$A$29,0))</f>
        <v>Heating</v>
      </c>
    </row>
    <row r="140" spans="1:33" x14ac:dyDescent="0.25">
      <c r="A140" s="57" t="s">
        <v>99</v>
      </c>
      <c r="B140" s="58">
        <v>2019</v>
      </c>
      <c r="C140" s="58">
        <v>19</v>
      </c>
      <c r="D140" s="58" t="s">
        <v>208</v>
      </c>
      <c r="E140" s="58">
        <v>6</v>
      </c>
      <c r="F140" s="58">
        <v>361235</v>
      </c>
      <c r="G140" s="58">
        <v>359435</v>
      </c>
      <c r="H140" s="58">
        <v>369213</v>
      </c>
      <c r="I140" s="58">
        <v>378101</v>
      </c>
      <c r="J140" s="58">
        <v>374486</v>
      </c>
      <c r="K140" s="58">
        <v>401454</v>
      </c>
      <c r="L140" s="58">
        <v>460355</v>
      </c>
      <c r="M140" s="58">
        <v>497764</v>
      </c>
      <c r="N140" s="58">
        <v>406445</v>
      </c>
      <c r="O140" s="58">
        <v>344482</v>
      </c>
      <c r="P140" s="58">
        <v>302390</v>
      </c>
      <c r="Q140" s="58">
        <v>276374</v>
      </c>
      <c r="R140" s="58">
        <v>256294</v>
      </c>
      <c r="S140" s="58">
        <v>242234</v>
      </c>
      <c r="T140" s="58">
        <v>233718</v>
      </c>
      <c r="U140" s="58">
        <v>200366</v>
      </c>
      <c r="V140" s="58">
        <v>197911</v>
      </c>
      <c r="W140" s="58">
        <v>212470</v>
      </c>
      <c r="X140" s="58">
        <v>236067</v>
      </c>
      <c r="Y140" s="58">
        <v>256749</v>
      </c>
      <c r="Z140" s="58">
        <v>316912</v>
      </c>
      <c r="AA140" s="58">
        <v>330915</v>
      </c>
      <c r="AB140" s="58">
        <v>344602</v>
      </c>
      <c r="AC140" s="59">
        <v>363914</v>
      </c>
      <c r="AD140" t="str">
        <f t="shared" si="2"/>
        <v>Summer</v>
      </c>
      <c r="AE140" t="str">
        <f>INDEX('Category Mapping'!$B$2:$B$29,MATCH('Source Data'!A140,'Category Mapping'!$A$2:$A$29,0))</f>
        <v>Weekend</v>
      </c>
      <c r="AF140" t="str">
        <f>INDEX('Category Mapping'!$C$2:$C$29,MATCH('Source Data'!A140,'Category Mapping'!$A$2:$A$29,0))</f>
        <v>Commercial</v>
      </c>
      <c r="AG140" t="str">
        <f>INDEX('Category Mapping'!$D$2:$D$29,MATCH('Source Data'!A140,'Category Mapping'!$A$2:$A$29,0))</f>
        <v>Heating</v>
      </c>
    </row>
    <row r="141" spans="1:33" x14ac:dyDescent="0.25">
      <c r="A141" s="54" t="s">
        <v>99</v>
      </c>
      <c r="B141" s="55">
        <v>2019</v>
      </c>
      <c r="C141" s="55">
        <v>19</v>
      </c>
      <c r="D141" s="55" t="s">
        <v>208</v>
      </c>
      <c r="E141" s="55">
        <v>7</v>
      </c>
      <c r="F141" s="55">
        <v>63323</v>
      </c>
      <c r="G141" s="55">
        <v>63323</v>
      </c>
      <c r="H141" s="55">
        <v>63323</v>
      </c>
      <c r="I141" s="55">
        <v>63323</v>
      </c>
      <c r="J141" s="55">
        <v>63323</v>
      </c>
      <c r="K141" s="55">
        <v>63323</v>
      </c>
      <c r="L141" s="55">
        <v>63323</v>
      </c>
      <c r="M141" s="55">
        <v>63323</v>
      </c>
      <c r="N141" s="55">
        <v>63323</v>
      </c>
      <c r="O141" s="55">
        <v>63323</v>
      </c>
      <c r="P141" s="55">
        <v>63323</v>
      </c>
      <c r="Q141" s="55">
        <v>63323</v>
      </c>
      <c r="R141" s="55">
        <v>63323</v>
      </c>
      <c r="S141" s="55">
        <v>63323</v>
      </c>
      <c r="T141" s="55">
        <v>63323</v>
      </c>
      <c r="U141" s="55">
        <v>63323</v>
      </c>
      <c r="V141" s="55">
        <v>63323</v>
      </c>
      <c r="W141" s="55">
        <v>63323</v>
      </c>
      <c r="X141" s="55">
        <v>63323</v>
      </c>
      <c r="Y141" s="55">
        <v>63323</v>
      </c>
      <c r="Z141" s="55">
        <v>63323</v>
      </c>
      <c r="AA141" s="55">
        <v>63323</v>
      </c>
      <c r="AB141" s="55">
        <v>63323</v>
      </c>
      <c r="AC141" s="56">
        <v>63323</v>
      </c>
      <c r="AD141" t="str">
        <f t="shared" si="2"/>
        <v>Summer</v>
      </c>
      <c r="AE141" t="str">
        <f>INDEX('Category Mapping'!$B$2:$B$29,MATCH('Source Data'!A141,'Category Mapping'!$A$2:$A$29,0))</f>
        <v>Weekend</v>
      </c>
      <c r="AF141" t="str">
        <f>INDEX('Category Mapping'!$C$2:$C$29,MATCH('Source Data'!A141,'Category Mapping'!$A$2:$A$29,0))</f>
        <v>Commercial</v>
      </c>
      <c r="AG141" t="str">
        <f>INDEX('Category Mapping'!$D$2:$D$29,MATCH('Source Data'!A141,'Category Mapping'!$A$2:$A$29,0))</f>
        <v>Heating</v>
      </c>
    </row>
    <row r="142" spans="1:33" x14ac:dyDescent="0.25">
      <c r="A142" s="57" t="s">
        <v>99</v>
      </c>
      <c r="B142" s="58">
        <v>2019</v>
      </c>
      <c r="C142" s="58">
        <v>19</v>
      </c>
      <c r="D142" s="58" t="s">
        <v>208</v>
      </c>
      <c r="E142" s="58">
        <v>8</v>
      </c>
      <c r="F142" s="58">
        <v>66279</v>
      </c>
      <c r="G142" s="58">
        <v>66279</v>
      </c>
      <c r="H142" s="58">
        <v>66279</v>
      </c>
      <c r="I142" s="58">
        <v>66279</v>
      </c>
      <c r="J142" s="58">
        <v>66279</v>
      </c>
      <c r="K142" s="58">
        <v>66279</v>
      </c>
      <c r="L142" s="58">
        <v>66279</v>
      </c>
      <c r="M142" s="58">
        <v>66279</v>
      </c>
      <c r="N142" s="58">
        <v>66279</v>
      </c>
      <c r="O142" s="58">
        <v>66279</v>
      </c>
      <c r="P142" s="58">
        <v>66279</v>
      </c>
      <c r="Q142" s="58">
        <v>66279</v>
      </c>
      <c r="R142" s="58">
        <v>66279</v>
      </c>
      <c r="S142" s="58">
        <v>66279</v>
      </c>
      <c r="T142" s="58">
        <v>66279</v>
      </c>
      <c r="U142" s="58">
        <v>66279</v>
      </c>
      <c r="V142" s="58">
        <v>66279</v>
      </c>
      <c r="W142" s="58">
        <v>66279</v>
      </c>
      <c r="X142" s="58">
        <v>66279</v>
      </c>
      <c r="Y142" s="58">
        <v>66279</v>
      </c>
      <c r="Z142" s="58">
        <v>66279</v>
      </c>
      <c r="AA142" s="58">
        <v>66279</v>
      </c>
      <c r="AB142" s="58">
        <v>66279</v>
      </c>
      <c r="AC142" s="59">
        <v>66279</v>
      </c>
      <c r="AD142" t="str">
        <f t="shared" si="2"/>
        <v>Summer</v>
      </c>
      <c r="AE142" t="str">
        <f>INDEX('Category Mapping'!$B$2:$B$29,MATCH('Source Data'!A142,'Category Mapping'!$A$2:$A$29,0))</f>
        <v>Weekend</v>
      </c>
      <c r="AF142" t="str">
        <f>INDEX('Category Mapping'!$C$2:$C$29,MATCH('Source Data'!A142,'Category Mapping'!$A$2:$A$29,0))</f>
        <v>Commercial</v>
      </c>
      <c r="AG142" t="str">
        <f>INDEX('Category Mapping'!$D$2:$D$29,MATCH('Source Data'!A142,'Category Mapping'!$A$2:$A$29,0))</f>
        <v>Heating</v>
      </c>
    </row>
    <row r="143" spans="1:33" x14ac:dyDescent="0.25">
      <c r="A143" s="54" t="s">
        <v>99</v>
      </c>
      <c r="B143" s="55">
        <v>2019</v>
      </c>
      <c r="C143" s="55">
        <v>19</v>
      </c>
      <c r="D143" s="55" t="s">
        <v>208</v>
      </c>
      <c r="E143" s="55">
        <v>9</v>
      </c>
      <c r="F143" s="55">
        <v>672124</v>
      </c>
      <c r="G143" s="55">
        <v>654407</v>
      </c>
      <c r="H143" s="55">
        <v>668802</v>
      </c>
      <c r="I143" s="55">
        <v>682439</v>
      </c>
      <c r="J143" s="55">
        <v>675184</v>
      </c>
      <c r="K143" s="55">
        <v>739429</v>
      </c>
      <c r="L143" s="55">
        <v>1060230</v>
      </c>
      <c r="M143" s="55">
        <v>1191046</v>
      </c>
      <c r="N143" s="55">
        <v>938552</v>
      </c>
      <c r="O143" s="55">
        <v>765618</v>
      </c>
      <c r="P143" s="55">
        <v>645849</v>
      </c>
      <c r="Q143" s="55">
        <v>572880</v>
      </c>
      <c r="R143" s="55">
        <v>521996</v>
      </c>
      <c r="S143" s="55">
        <v>489966</v>
      </c>
      <c r="T143" s="55">
        <v>479456</v>
      </c>
      <c r="U143" s="55">
        <v>410344</v>
      </c>
      <c r="V143" s="55">
        <v>414469</v>
      </c>
      <c r="W143" s="55">
        <v>461274</v>
      </c>
      <c r="X143" s="55">
        <v>486975</v>
      </c>
      <c r="Y143" s="55">
        <v>548997</v>
      </c>
      <c r="Z143" s="55">
        <v>660891</v>
      </c>
      <c r="AA143" s="55">
        <v>668574</v>
      </c>
      <c r="AB143" s="55">
        <v>659688</v>
      </c>
      <c r="AC143" s="56">
        <v>691034</v>
      </c>
      <c r="AD143" t="str">
        <f t="shared" si="2"/>
        <v>Fall</v>
      </c>
      <c r="AE143" t="str">
        <f>INDEX('Category Mapping'!$B$2:$B$29,MATCH('Source Data'!A143,'Category Mapping'!$A$2:$A$29,0))</f>
        <v>Weekend</v>
      </c>
      <c r="AF143" t="str">
        <f>INDEX('Category Mapping'!$C$2:$C$29,MATCH('Source Data'!A143,'Category Mapping'!$A$2:$A$29,0))</f>
        <v>Commercial</v>
      </c>
      <c r="AG143" t="str">
        <f>INDEX('Category Mapping'!$D$2:$D$29,MATCH('Source Data'!A143,'Category Mapping'!$A$2:$A$29,0))</f>
        <v>Heating</v>
      </c>
    </row>
    <row r="144" spans="1:33" x14ac:dyDescent="0.25">
      <c r="A144" s="57" t="s">
        <v>99</v>
      </c>
      <c r="B144" s="58">
        <v>2019</v>
      </c>
      <c r="C144" s="58">
        <v>19</v>
      </c>
      <c r="D144" s="58" t="s">
        <v>208</v>
      </c>
      <c r="E144" s="58">
        <v>10</v>
      </c>
      <c r="F144" s="58">
        <v>3815407</v>
      </c>
      <c r="G144" s="58">
        <v>3429233</v>
      </c>
      <c r="H144" s="58">
        <v>3474470</v>
      </c>
      <c r="I144" s="58">
        <v>3526275</v>
      </c>
      <c r="J144" s="58">
        <v>3503241</v>
      </c>
      <c r="K144" s="58">
        <v>4112008</v>
      </c>
      <c r="L144" s="58">
        <v>8072043</v>
      </c>
      <c r="M144" s="58">
        <v>8953361</v>
      </c>
      <c r="N144" s="58">
        <v>7366065</v>
      </c>
      <c r="O144" s="58">
        <v>6025122</v>
      </c>
      <c r="P144" s="58">
        <v>5080371</v>
      </c>
      <c r="Q144" s="58">
        <v>4508250</v>
      </c>
      <c r="R144" s="58">
        <v>4089644</v>
      </c>
      <c r="S144" s="58">
        <v>3841211</v>
      </c>
      <c r="T144" s="58">
        <v>3863725</v>
      </c>
      <c r="U144" s="58">
        <v>3514485</v>
      </c>
      <c r="V144" s="58">
        <v>3584994</v>
      </c>
      <c r="W144" s="58">
        <v>4156366</v>
      </c>
      <c r="X144" s="58">
        <v>3808006</v>
      </c>
      <c r="Y144" s="58">
        <v>4143169</v>
      </c>
      <c r="Z144" s="58">
        <v>4698174</v>
      </c>
      <c r="AA144" s="58">
        <v>4691097</v>
      </c>
      <c r="AB144" s="58">
        <v>4001268</v>
      </c>
      <c r="AC144" s="59">
        <v>4193277</v>
      </c>
      <c r="AD144" t="str">
        <f t="shared" si="2"/>
        <v>Fall</v>
      </c>
      <c r="AE144" t="str">
        <f>INDEX('Category Mapping'!$B$2:$B$29,MATCH('Source Data'!A144,'Category Mapping'!$A$2:$A$29,0))</f>
        <v>Weekend</v>
      </c>
      <c r="AF144" t="str">
        <f>INDEX('Category Mapping'!$C$2:$C$29,MATCH('Source Data'!A144,'Category Mapping'!$A$2:$A$29,0))</f>
        <v>Commercial</v>
      </c>
      <c r="AG144" t="str">
        <f>INDEX('Category Mapping'!$D$2:$D$29,MATCH('Source Data'!A144,'Category Mapping'!$A$2:$A$29,0))</f>
        <v>Heating</v>
      </c>
    </row>
    <row r="145" spans="1:33" x14ac:dyDescent="0.25">
      <c r="A145" s="54" t="s">
        <v>99</v>
      </c>
      <c r="B145" s="55">
        <v>2019</v>
      </c>
      <c r="C145" s="55">
        <v>19</v>
      </c>
      <c r="D145" s="55" t="s">
        <v>208</v>
      </c>
      <c r="E145" s="55">
        <v>11</v>
      </c>
      <c r="F145" s="55">
        <v>7804061</v>
      </c>
      <c r="G145" s="55">
        <v>7130356</v>
      </c>
      <c r="H145" s="55">
        <v>6449058</v>
      </c>
      <c r="I145" s="55">
        <v>6599931</v>
      </c>
      <c r="J145" s="55">
        <v>6785656</v>
      </c>
      <c r="K145" s="55">
        <v>7151769</v>
      </c>
      <c r="L145" s="55">
        <v>10600000</v>
      </c>
      <c r="M145" s="55">
        <v>17800000</v>
      </c>
      <c r="N145" s="55">
        <v>18500000</v>
      </c>
      <c r="O145" s="55">
        <v>15200000</v>
      </c>
      <c r="P145" s="55">
        <v>12900000</v>
      </c>
      <c r="Q145" s="55">
        <v>11400000</v>
      </c>
      <c r="R145" s="55">
        <v>10300000</v>
      </c>
      <c r="S145" s="55">
        <v>9477244</v>
      </c>
      <c r="T145" s="55">
        <v>9124239</v>
      </c>
      <c r="U145" s="55">
        <v>9168618</v>
      </c>
      <c r="V145" s="55">
        <v>9240321</v>
      </c>
      <c r="W145" s="55">
        <v>10400000</v>
      </c>
      <c r="X145" s="55">
        <v>11400000</v>
      </c>
      <c r="Y145" s="55">
        <v>9557101</v>
      </c>
      <c r="Z145" s="55">
        <v>9866798</v>
      </c>
      <c r="AA145" s="55">
        <v>10500000</v>
      </c>
      <c r="AB145" s="55">
        <v>10100000</v>
      </c>
      <c r="AC145" s="56">
        <v>8527650</v>
      </c>
      <c r="AD145" t="str">
        <f t="shared" si="2"/>
        <v>Winter</v>
      </c>
      <c r="AE145" t="str">
        <f>INDEX('Category Mapping'!$B$2:$B$29,MATCH('Source Data'!A145,'Category Mapping'!$A$2:$A$29,0))</f>
        <v>Weekend</v>
      </c>
      <c r="AF145" t="str">
        <f>INDEX('Category Mapping'!$C$2:$C$29,MATCH('Source Data'!A145,'Category Mapping'!$A$2:$A$29,0))</f>
        <v>Commercial</v>
      </c>
      <c r="AG145" t="str">
        <f>INDEX('Category Mapping'!$D$2:$D$29,MATCH('Source Data'!A145,'Category Mapping'!$A$2:$A$29,0))</f>
        <v>Heating</v>
      </c>
    </row>
    <row r="146" spans="1:33" x14ac:dyDescent="0.25">
      <c r="A146" s="57" t="s">
        <v>99</v>
      </c>
      <c r="B146" s="58">
        <v>2019</v>
      </c>
      <c r="C146" s="58">
        <v>19</v>
      </c>
      <c r="D146" s="58" t="s">
        <v>208</v>
      </c>
      <c r="E146" s="58">
        <v>12</v>
      </c>
      <c r="F146" s="58">
        <v>11000000</v>
      </c>
      <c r="G146" s="58">
        <v>10100000</v>
      </c>
      <c r="H146" s="58">
        <v>9042940</v>
      </c>
      <c r="I146" s="58">
        <v>9398065</v>
      </c>
      <c r="J146" s="58">
        <v>9912965</v>
      </c>
      <c r="K146" s="58">
        <v>10200000</v>
      </c>
      <c r="L146" s="58">
        <v>12400000</v>
      </c>
      <c r="M146" s="58">
        <v>26300000</v>
      </c>
      <c r="N146" s="58">
        <v>32800000</v>
      </c>
      <c r="O146" s="58">
        <v>26500000</v>
      </c>
      <c r="P146" s="58">
        <v>22500000</v>
      </c>
      <c r="Q146" s="58">
        <v>19900000</v>
      </c>
      <c r="R146" s="58">
        <v>18200000</v>
      </c>
      <c r="S146" s="58">
        <v>16900000</v>
      </c>
      <c r="T146" s="58">
        <v>16200000</v>
      </c>
      <c r="U146" s="58">
        <v>16800000</v>
      </c>
      <c r="V146" s="58">
        <v>16900000</v>
      </c>
      <c r="W146" s="58">
        <v>18600000</v>
      </c>
      <c r="X146" s="58">
        <v>21600000</v>
      </c>
      <c r="Y146" s="58">
        <v>14300000</v>
      </c>
      <c r="Z146" s="58">
        <v>14600000</v>
      </c>
      <c r="AA146" s="58">
        <v>15600000</v>
      </c>
      <c r="AB146" s="58">
        <v>16000000</v>
      </c>
      <c r="AC146" s="59">
        <v>13100000</v>
      </c>
      <c r="AD146" t="str">
        <f t="shared" si="2"/>
        <v>Winter</v>
      </c>
      <c r="AE146" t="str">
        <f>INDEX('Category Mapping'!$B$2:$B$29,MATCH('Source Data'!A146,'Category Mapping'!$A$2:$A$29,0))</f>
        <v>Weekend</v>
      </c>
      <c r="AF146" t="str">
        <f>INDEX('Category Mapping'!$C$2:$C$29,MATCH('Source Data'!A146,'Category Mapping'!$A$2:$A$29,0))</f>
        <v>Commercial</v>
      </c>
      <c r="AG146" t="str">
        <f>INDEX('Category Mapping'!$D$2:$D$29,MATCH('Source Data'!A146,'Category Mapping'!$A$2:$A$29,0))</f>
        <v>Heating</v>
      </c>
    </row>
    <row r="147" spans="1:33" x14ac:dyDescent="0.25">
      <c r="A147" s="54" t="s">
        <v>102</v>
      </c>
      <c r="B147" s="55">
        <v>2019</v>
      </c>
      <c r="C147" s="55">
        <v>19</v>
      </c>
      <c r="D147" s="55" t="s">
        <v>208</v>
      </c>
      <c r="E147" s="55">
        <v>1</v>
      </c>
      <c r="F147" s="55">
        <v>4724201</v>
      </c>
      <c r="G147" s="55">
        <v>3583468</v>
      </c>
      <c r="H147" s="55">
        <v>3174597</v>
      </c>
      <c r="I147" s="55">
        <v>3167300</v>
      </c>
      <c r="J147" s="55">
        <v>3692419</v>
      </c>
      <c r="K147" s="55">
        <v>5528259</v>
      </c>
      <c r="L147" s="55">
        <v>9097187</v>
      </c>
      <c r="M147" s="55">
        <v>13600000</v>
      </c>
      <c r="N147" s="55">
        <v>14300000</v>
      </c>
      <c r="O147" s="55">
        <v>12300000</v>
      </c>
      <c r="P147" s="55">
        <v>10600000</v>
      </c>
      <c r="Q147" s="55">
        <v>9201468</v>
      </c>
      <c r="R147" s="55">
        <v>8673664</v>
      </c>
      <c r="S147" s="55">
        <v>8708451</v>
      </c>
      <c r="T147" s="55">
        <v>8357538</v>
      </c>
      <c r="U147" s="55">
        <v>8037290</v>
      </c>
      <c r="V147" s="55">
        <v>6853234</v>
      </c>
      <c r="W147" s="55">
        <v>6835010</v>
      </c>
      <c r="X147" s="55">
        <v>9890533</v>
      </c>
      <c r="Y147" s="55">
        <v>9805135</v>
      </c>
      <c r="Z147" s="55">
        <v>8540297</v>
      </c>
      <c r="AA147" s="55">
        <v>10300000</v>
      </c>
      <c r="AB147" s="55">
        <v>9886906</v>
      </c>
      <c r="AC147" s="56">
        <v>6653606</v>
      </c>
      <c r="AD147" t="str">
        <f t="shared" si="2"/>
        <v>Winter</v>
      </c>
      <c r="AE147" t="str">
        <f>INDEX('Category Mapping'!$B$2:$B$29,MATCH('Source Data'!A147,'Category Mapping'!$A$2:$A$29,0))</f>
        <v>Weekday</v>
      </c>
      <c r="AF147" t="str">
        <f>INDEX('Category Mapping'!$C$2:$C$29,MATCH('Source Data'!A147,'Category Mapping'!$A$2:$A$29,0))</f>
        <v>Commercial</v>
      </c>
      <c r="AG147" t="str">
        <f>INDEX('Category Mapping'!$D$2:$D$29,MATCH('Source Data'!A147,'Category Mapping'!$A$2:$A$29,0))</f>
        <v>Appliances</v>
      </c>
    </row>
    <row r="148" spans="1:33" x14ac:dyDescent="0.25">
      <c r="A148" s="57" t="s">
        <v>102</v>
      </c>
      <c r="B148" s="58">
        <v>2019</v>
      </c>
      <c r="C148" s="58">
        <v>19</v>
      </c>
      <c r="D148" s="58" t="s">
        <v>208</v>
      </c>
      <c r="E148" s="58">
        <v>2</v>
      </c>
      <c r="F148" s="58">
        <v>4329240</v>
      </c>
      <c r="G148" s="58">
        <v>3283877</v>
      </c>
      <c r="H148" s="58">
        <v>2909189</v>
      </c>
      <c r="I148" s="58">
        <v>2902503</v>
      </c>
      <c r="J148" s="58">
        <v>3383719</v>
      </c>
      <c r="K148" s="58">
        <v>5066077</v>
      </c>
      <c r="L148" s="58">
        <v>8336630</v>
      </c>
      <c r="M148" s="58">
        <v>12400000</v>
      </c>
      <c r="N148" s="58">
        <v>13100000</v>
      </c>
      <c r="O148" s="58">
        <v>11300000</v>
      </c>
      <c r="P148" s="58">
        <v>9685073</v>
      </c>
      <c r="Q148" s="58">
        <v>8432192</v>
      </c>
      <c r="R148" s="58">
        <v>7948514</v>
      </c>
      <c r="S148" s="58">
        <v>7980394</v>
      </c>
      <c r="T148" s="58">
        <v>7658818</v>
      </c>
      <c r="U148" s="58">
        <v>7365343</v>
      </c>
      <c r="V148" s="58">
        <v>6280279</v>
      </c>
      <c r="W148" s="58">
        <v>6263579</v>
      </c>
      <c r="X148" s="58">
        <v>9063649</v>
      </c>
      <c r="Y148" s="58">
        <v>8985390</v>
      </c>
      <c r="Z148" s="58">
        <v>7826297</v>
      </c>
      <c r="AA148" s="58">
        <v>9468200</v>
      </c>
      <c r="AB148" s="58">
        <v>9060325</v>
      </c>
      <c r="AC148" s="59">
        <v>6097341</v>
      </c>
      <c r="AD148" t="str">
        <f t="shared" si="2"/>
        <v>Winter</v>
      </c>
      <c r="AE148" t="str">
        <f>INDEX('Category Mapping'!$B$2:$B$29,MATCH('Source Data'!A148,'Category Mapping'!$A$2:$A$29,0))</f>
        <v>Weekday</v>
      </c>
      <c r="AF148" t="str">
        <f>INDEX('Category Mapping'!$C$2:$C$29,MATCH('Source Data'!A148,'Category Mapping'!$A$2:$A$29,0))</f>
        <v>Commercial</v>
      </c>
      <c r="AG148" t="str">
        <f>INDEX('Category Mapping'!$D$2:$D$29,MATCH('Source Data'!A148,'Category Mapping'!$A$2:$A$29,0))</f>
        <v>Appliances</v>
      </c>
    </row>
    <row r="149" spans="1:33" x14ac:dyDescent="0.25">
      <c r="A149" s="54" t="s">
        <v>102</v>
      </c>
      <c r="B149" s="55">
        <v>2019</v>
      </c>
      <c r="C149" s="55">
        <v>19</v>
      </c>
      <c r="D149" s="55" t="s">
        <v>208</v>
      </c>
      <c r="E149" s="55">
        <v>3</v>
      </c>
      <c r="F149" s="55">
        <v>3996073</v>
      </c>
      <c r="G149" s="55">
        <v>3031158</v>
      </c>
      <c r="H149" s="55">
        <v>2685305</v>
      </c>
      <c r="I149" s="55">
        <v>2679133</v>
      </c>
      <c r="J149" s="55">
        <v>3123316</v>
      </c>
      <c r="K149" s="55">
        <v>4676204</v>
      </c>
      <c r="L149" s="55">
        <v>7695063</v>
      </c>
      <c r="M149" s="55">
        <v>11500000</v>
      </c>
      <c r="N149" s="55">
        <v>12100000</v>
      </c>
      <c r="O149" s="55">
        <v>10400000</v>
      </c>
      <c r="P149" s="55">
        <v>8939733</v>
      </c>
      <c r="Q149" s="55">
        <v>7783272</v>
      </c>
      <c r="R149" s="55">
        <v>7336816</v>
      </c>
      <c r="S149" s="55">
        <v>7366242</v>
      </c>
      <c r="T149" s="55">
        <v>7069414</v>
      </c>
      <c r="U149" s="55">
        <v>6798525</v>
      </c>
      <c r="V149" s="55">
        <v>5796965</v>
      </c>
      <c r="W149" s="55">
        <v>5781549</v>
      </c>
      <c r="X149" s="55">
        <v>8366133</v>
      </c>
      <c r="Y149" s="55">
        <v>8293897</v>
      </c>
      <c r="Z149" s="55">
        <v>7224004</v>
      </c>
      <c r="AA149" s="55">
        <v>8739551</v>
      </c>
      <c r="AB149" s="55">
        <v>8363065</v>
      </c>
      <c r="AC149" s="56">
        <v>5628105</v>
      </c>
      <c r="AD149" t="str">
        <f t="shared" si="2"/>
        <v>Spring</v>
      </c>
      <c r="AE149" t="str">
        <f>INDEX('Category Mapping'!$B$2:$B$29,MATCH('Source Data'!A149,'Category Mapping'!$A$2:$A$29,0))</f>
        <v>Weekday</v>
      </c>
      <c r="AF149" t="str">
        <f>INDEX('Category Mapping'!$C$2:$C$29,MATCH('Source Data'!A149,'Category Mapping'!$A$2:$A$29,0))</f>
        <v>Commercial</v>
      </c>
      <c r="AG149" t="str">
        <f>INDEX('Category Mapping'!$D$2:$D$29,MATCH('Source Data'!A149,'Category Mapping'!$A$2:$A$29,0))</f>
        <v>Appliances</v>
      </c>
    </row>
    <row r="150" spans="1:33" x14ac:dyDescent="0.25">
      <c r="A150" s="57" t="s">
        <v>102</v>
      </c>
      <c r="B150" s="58">
        <v>2019</v>
      </c>
      <c r="C150" s="58">
        <v>19</v>
      </c>
      <c r="D150" s="58" t="s">
        <v>208</v>
      </c>
      <c r="E150" s="58">
        <v>4</v>
      </c>
      <c r="F150" s="58">
        <v>3359641</v>
      </c>
      <c r="G150" s="58">
        <v>2548403</v>
      </c>
      <c r="H150" s="58">
        <v>2257632</v>
      </c>
      <c r="I150" s="58">
        <v>2252443</v>
      </c>
      <c r="J150" s="58">
        <v>2625884</v>
      </c>
      <c r="K150" s="58">
        <v>3931452</v>
      </c>
      <c r="L150" s="58">
        <v>6469515</v>
      </c>
      <c r="M150" s="58">
        <v>9655953</v>
      </c>
      <c r="N150" s="58">
        <v>10200000</v>
      </c>
      <c r="O150" s="58">
        <v>8739436</v>
      </c>
      <c r="P150" s="58">
        <v>7515954</v>
      </c>
      <c r="Q150" s="58">
        <v>6543675</v>
      </c>
      <c r="R150" s="58">
        <v>6168324</v>
      </c>
      <c r="S150" s="58">
        <v>6193064</v>
      </c>
      <c r="T150" s="58">
        <v>5943510</v>
      </c>
      <c r="U150" s="58">
        <v>5715763</v>
      </c>
      <c r="V150" s="58">
        <v>4873716</v>
      </c>
      <c r="W150" s="58">
        <v>4860756</v>
      </c>
      <c r="X150" s="58">
        <v>7033708</v>
      </c>
      <c r="Y150" s="58">
        <v>6972976</v>
      </c>
      <c r="Z150" s="58">
        <v>6073479</v>
      </c>
      <c r="AA150" s="58">
        <v>7347654</v>
      </c>
      <c r="AB150" s="58">
        <v>7031128</v>
      </c>
      <c r="AC150" s="59">
        <v>4731749</v>
      </c>
      <c r="AD150" t="str">
        <f t="shared" si="2"/>
        <v>Spring</v>
      </c>
      <c r="AE150" t="str">
        <f>INDEX('Category Mapping'!$B$2:$B$29,MATCH('Source Data'!A150,'Category Mapping'!$A$2:$A$29,0))</f>
        <v>Weekday</v>
      </c>
      <c r="AF150" t="str">
        <f>INDEX('Category Mapping'!$C$2:$C$29,MATCH('Source Data'!A150,'Category Mapping'!$A$2:$A$29,0))</f>
        <v>Commercial</v>
      </c>
      <c r="AG150" t="str">
        <f>INDEX('Category Mapping'!$D$2:$D$29,MATCH('Source Data'!A150,'Category Mapping'!$A$2:$A$29,0))</f>
        <v>Appliances</v>
      </c>
    </row>
    <row r="151" spans="1:33" x14ac:dyDescent="0.25">
      <c r="A151" s="54" t="s">
        <v>102</v>
      </c>
      <c r="B151" s="55">
        <v>2019</v>
      </c>
      <c r="C151" s="55">
        <v>19</v>
      </c>
      <c r="D151" s="55" t="s">
        <v>208</v>
      </c>
      <c r="E151" s="55">
        <v>5</v>
      </c>
      <c r="F151" s="55">
        <v>2898868</v>
      </c>
      <c r="G151" s="55">
        <v>2198891</v>
      </c>
      <c r="H151" s="55">
        <v>1947999</v>
      </c>
      <c r="I151" s="55">
        <v>1943522</v>
      </c>
      <c r="J151" s="55">
        <v>2265746</v>
      </c>
      <c r="K151" s="55">
        <v>3392255</v>
      </c>
      <c r="L151" s="55">
        <v>5582225</v>
      </c>
      <c r="M151" s="55">
        <v>8331645</v>
      </c>
      <c r="N151" s="55">
        <v>8773450</v>
      </c>
      <c r="O151" s="55">
        <v>7540828</v>
      </c>
      <c r="P151" s="55">
        <v>6485145</v>
      </c>
      <c r="Q151" s="55">
        <v>5646214</v>
      </c>
      <c r="R151" s="55">
        <v>5322342</v>
      </c>
      <c r="S151" s="55">
        <v>5343688</v>
      </c>
      <c r="T151" s="55">
        <v>5128361</v>
      </c>
      <c r="U151" s="55">
        <v>4931850</v>
      </c>
      <c r="V151" s="55">
        <v>4205289</v>
      </c>
      <c r="W151" s="55">
        <v>4194106</v>
      </c>
      <c r="X151" s="55">
        <v>6069039</v>
      </c>
      <c r="Y151" s="55">
        <v>6016637</v>
      </c>
      <c r="Z151" s="55">
        <v>5240505</v>
      </c>
      <c r="AA151" s="55">
        <v>6339927</v>
      </c>
      <c r="AB151" s="55">
        <v>6066814</v>
      </c>
      <c r="AC151" s="56">
        <v>4082792</v>
      </c>
      <c r="AD151" t="str">
        <f t="shared" si="2"/>
        <v>Spring</v>
      </c>
      <c r="AE151" t="str">
        <f>INDEX('Category Mapping'!$B$2:$B$29,MATCH('Source Data'!A151,'Category Mapping'!$A$2:$A$29,0))</f>
        <v>Weekday</v>
      </c>
      <c r="AF151" t="str">
        <f>INDEX('Category Mapping'!$C$2:$C$29,MATCH('Source Data'!A151,'Category Mapping'!$A$2:$A$29,0))</f>
        <v>Commercial</v>
      </c>
      <c r="AG151" t="str">
        <f>INDEX('Category Mapping'!$D$2:$D$29,MATCH('Source Data'!A151,'Category Mapping'!$A$2:$A$29,0))</f>
        <v>Appliances</v>
      </c>
    </row>
    <row r="152" spans="1:33" x14ac:dyDescent="0.25">
      <c r="A152" s="57" t="s">
        <v>102</v>
      </c>
      <c r="B152" s="58">
        <v>2019</v>
      </c>
      <c r="C152" s="58">
        <v>19</v>
      </c>
      <c r="D152" s="58" t="s">
        <v>208</v>
      </c>
      <c r="E152" s="58">
        <v>6</v>
      </c>
      <c r="F152" s="58">
        <v>2738514</v>
      </c>
      <c r="G152" s="58">
        <v>2077257</v>
      </c>
      <c r="H152" s="58">
        <v>1840243</v>
      </c>
      <c r="I152" s="58">
        <v>1836014</v>
      </c>
      <c r="J152" s="58">
        <v>2140413</v>
      </c>
      <c r="K152" s="58">
        <v>3204609</v>
      </c>
      <c r="L152" s="58">
        <v>5273438</v>
      </c>
      <c r="M152" s="58">
        <v>7870770</v>
      </c>
      <c r="N152" s="58">
        <v>8288136</v>
      </c>
      <c r="O152" s="58">
        <v>7123698</v>
      </c>
      <c r="P152" s="58">
        <v>6126412</v>
      </c>
      <c r="Q152" s="58">
        <v>5333887</v>
      </c>
      <c r="R152" s="58">
        <v>5027930</v>
      </c>
      <c r="S152" s="58">
        <v>5048096</v>
      </c>
      <c r="T152" s="58">
        <v>4844679</v>
      </c>
      <c r="U152" s="58">
        <v>4659038</v>
      </c>
      <c r="V152" s="58">
        <v>3972668</v>
      </c>
      <c r="W152" s="58">
        <v>3962104</v>
      </c>
      <c r="X152" s="58">
        <v>5733323</v>
      </c>
      <c r="Y152" s="58">
        <v>5683819</v>
      </c>
      <c r="Z152" s="58">
        <v>4950620</v>
      </c>
      <c r="AA152" s="58">
        <v>5989226</v>
      </c>
      <c r="AB152" s="58">
        <v>5731220</v>
      </c>
      <c r="AC152" s="59">
        <v>3856948</v>
      </c>
      <c r="AD152" t="str">
        <f t="shared" si="2"/>
        <v>Summer</v>
      </c>
      <c r="AE152" t="str">
        <f>INDEX('Category Mapping'!$B$2:$B$29,MATCH('Source Data'!A152,'Category Mapping'!$A$2:$A$29,0))</f>
        <v>Weekday</v>
      </c>
      <c r="AF152" t="str">
        <f>INDEX('Category Mapping'!$C$2:$C$29,MATCH('Source Data'!A152,'Category Mapping'!$A$2:$A$29,0))</f>
        <v>Commercial</v>
      </c>
      <c r="AG152" t="str">
        <f>INDEX('Category Mapping'!$D$2:$D$29,MATCH('Source Data'!A152,'Category Mapping'!$A$2:$A$29,0))</f>
        <v>Appliances</v>
      </c>
    </row>
    <row r="153" spans="1:33" x14ac:dyDescent="0.25">
      <c r="A153" s="54" t="s">
        <v>102</v>
      </c>
      <c r="B153" s="55">
        <v>2019</v>
      </c>
      <c r="C153" s="55">
        <v>19</v>
      </c>
      <c r="D153" s="55" t="s">
        <v>208</v>
      </c>
      <c r="E153" s="55">
        <v>7</v>
      </c>
      <c r="F153" s="55">
        <v>2711735</v>
      </c>
      <c r="G153" s="55">
        <v>2056944</v>
      </c>
      <c r="H153" s="55">
        <v>1822248</v>
      </c>
      <c r="I153" s="55">
        <v>1818060</v>
      </c>
      <c r="J153" s="55">
        <v>2119482</v>
      </c>
      <c r="K153" s="55">
        <v>3173272</v>
      </c>
      <c r="L153" s="55">
        <v>5221869</v>
      </c>
      <c r="M153" s="55">
        <v>7793803</v>
      </c>
      <c r="N153" s="55">
        <v>8207088</v>
      </c>
      <c r="O153" s="55">
        <v>7054036</v>
      </c>
      <c r="P153" s="55">
        <v>6066502</v>
      </c>
      <c r="Q153" s="55">
        <v>5281728</v>
      </c>
      <c r="R153" s="55">
        <v>4978763</v>
      </c>
      <c r="S153" s="55">
        <v>4998732</v>
      </c>
      <c r="T153" s="55">
        <v>4797304</v>
      </c>
      <c r="U153" s="55">
        <v>4613479</v>
      </c>
      <c r="V153" s="55">
        <v>3933820</v>
      </c>
      <c r="W153" s="55">
        <v>3923359</v>
      </c>
      <c r="X153" s="55">
        <v>5677258</v>
      </c>
      <c r="Y153" s="55">
        <v>5628238</v>
      </c>
      <c r="Z153" s="55">
        <v>4902209</v>
      </c>
      <c r="AA153" s="55">
        <v>5930659</v>
      </c>
      <c r="AB153" s="55">
        <v>5675176</v>
      </c>
      <c r="AC153" s="56">
        <v>3819231</v>
      </c>
      <c r="AD153" t="str">
        <f t="shared" si="2"/>
        <v>Summer</v>
      </c>
      <c r="AE153" t="str">
        <f>INDEX('Category Mapping'!$B$2:$B$29,MATCH('Source Data'!A153,'Category Mapping'!$A$2:$A$29,0))</f>
        <v>Weekday</v>
      </c>
      <c r="AF153" t="str">
        <f>INDEX('Category Mapping'!$C$2:$C$29,MATCH('Source Data'!A153,'Category Mapping'!$A$2:$A$29,0))</f>
        <v>Commercial</v>
      </c>
      <c r="AG153" t="str">
        <f>INDEX('Category Mapping'!$D$2:$D$29,MATCH('Source Data'!A153,'Category Mapping'!$A$2:$A$29,0))</f>
        <v>Appliances</v>
      </c>
    </row>
    <row r="154" spans="1:33" x14ac:dyDescent="0.25">
      <c r="A154" s="57" t="s">
        <v>102</v>
      </c>
      <c r="B154" s="58">
        <v>2019</v>
      </c>
      <c r="C154" s="58">
        <v>19</v>
      </c>
      <c r="D154" s="58" t="s">
        <v>208</v>
      </c>
      <c r="E154" s="58">
        <v>8</v>
      </c>
      <c r="F154" s="58">
        <v>2712041</v>
      </c>
      <c r="G154" s="58">
        <v>2057176</v>
      </c>
      <c r="H154" s="58">
        <v>1822453</v>
      </c>
      <c r="I154" s="58">
        <v>1818265</v>
      </c>
      <c r="J154" s="58">
        <v>2119722</v>
      </c>
      <c r="K154" s="58">
        <v>3173630</v>
      </c>
      <c r="L154" s="58">
        <v>5222459</v>
      </c>
      <c r="M154" s="58">
        <v>7794683</v>
      </c>
      <c r="N154" s="58">
        <v>8208014</v>
      </c>
      <c r="O154" s="58">
        <v>7054833</v>
      </c>
      <c r="P154" s="58">
        <v>6067187</v>
      </c>
      <c r="Q154" s="58">
        <v>5282324</v>
      </c>
      <c r="R154" s="58">
        <v>4979325</v>
      </c>
      <c r="S154" s="58">
        <v>4999296</v>
      </c>
      <c r="T154" s="58">
        <v>4797846</v>
      </c>
      <c r="U154" s="58">
        <v>4613999</v>
      </c>
      <c r="V154" s="58">
        <v>3934264</v>
      </c>
      <c r="W154" s="58">
        <v>3923802</v>
      </c>
      <c r="X154" s="58">
        <v>5677899</v>
      </c>
      <c r="Y154" s="58">
        <v>5628874</v>
      </c>
      <c r="Z154" s="58">
        <v>4902763</v>
      </c>
      <c r="AA154" s="58">
        <v>5931328</v>
      </c>
      <c r="AB154" s="58">
        <v>5675817</v>
      </c>
      <c r="AC154" s="59">
        <v>3819663</v>
      </c>
      <c r="AD154" t="str">
        <f t="shared" si="2"/>
        <v>Summer</v>
      </c>
      <c r="AE154" t="str">
        <f>INDEX('Category Mapping'!$B$2:$B$29,MATCH('Source Data'!A154,'Category Mapping'!$A$2:$A$29,0))</f>
        <v>Weekday</v>
      </c>
      <c r="AF154" t="str">
        <f>INDEX('Category Mapping'!$C$2:$C$29,MATCH('Source Data'!A154,'Category Mapping'!$A$2:$A$29,0))</f>
        <v>Commercial</v>
      </c>
      <c r="AG154" t="str">
        <f>INDEX('Category Mapping'!$D$2:$D$29,MATCH('Source Data'!A154,'Category Mapping'!$A$2:$A$29,0))</f>
        <v>Appliances</v>
      </c>
    </row>
    <row r="155" spans="1:33" x14ac:dyDescent="0.25">
      <c r="A155" s="54" t="s">
        <v>102</v>
      </c>
      <c r="B155" s="55">
        <v>2019</v>
      </c>
      <c r="C155" s="55">
        <v>19</v>
      </c>
      <c r="D155" s="55" t="s">
        <v>208</v>
      </c>
      <c r="E155" s="55">
        <v>9</v>
      </c>
      <c r="F155" s="55">
        <v>2773202</v>
      </c>
      <c r="G155" s="55">
        <v>2103569</v>
      </c>
      <c r="H155" s="55">
        <v>1863553</v>
      </c>
      <c r="I155" s="55">
        <v>1859270</v>
      </c>
      <c r="J155" s="55">
        <v>2167525</v>
      </c>
      <c r="K155" s="55">
        <v>3245201</v>
      </c>
      <c r="L155" s="55">
        <v>5340235</v>
      </c>
      <c r="M155" s="55">
        <v>7970467</v>
      </c>
      <c r="N155" s="55">
        <v>8393119</v>
      </c>
      <c r="O155" s="55">
        <v>7213932</v>
      </c>
      <c r="P155" s="55">
        <v>6204013</v>
      </c>
      <c r="Q155" s="55">
        <v>5401449</v>
      </c>
      <c r="R155" s="55">
        <v>5091617</v>
      </c>
      <c r="S155" s="55">
        <v>5112039</v>
      </c>
      <c r="T155" s="55">
        <v>4906045</v>
      </c>
      <c r="U155" s="55">
        <v>4718053</v>
      </c>
      <c r="V155" s="55">
        <v>4022988</v>
      </c>
      <c r="W155" s="55">
        <v>4012290</v>
      </c>
      <c r="X155" s="55">
        <v>5805945</v>
      </c>
      <c r="Y155" s="55">
        <v>5755814</v>
      </c>
      <c r="Z155" s="55">
        <v>5013329</v>
      </c>
      <c r="AA155" s="55">
        <v>6065090</v>
      </c>
      <c r="AB155" s="55">
        <v>5803816</v>
      </c>
      <c r="AC155" s="56">
        <v>3905803</v>
      </c>
      <c r="AD155" t="str">
        <f t="shared" si="2"/>
        <v>Fall</v>
      </c>
      <c r="AE155" t="str">
        <f>INDEX('Category Mapping'!$B$2:$B$29,MATCH('Source Data'!A155,'Category Mapping'!$A$2:$A$29,0))</f>
        <v>Weekday</v>
      </c>
      <c r="AF155" t="str">
        <f>INDEX('Category Mapping'!$C$2:$C$29,MATCH('Source Data'!A155,'Category Mapping'!$A$2:$A$29,0))</f>
        <v>Commercial</v>
      </c>
      <c r="AG155" t="str">
        <f>INDEX('Category Mapping'!$D$2:$D$29,MATCH('Source Data'!A155,'Category Mapping'!$A$2:$A$29,0))</f>
        <v>Appliances</v>
      </c>
    </row>
    <row r="156" spans="1:33" x14ac:dyDescent="0.25">
      <c r="A156" s="57" t="s">
        <v>102</v>
      </c>
      <c r="B156" s="58">
        <v>2019</v>
      </c>
      <c r="C156" s="58">
        <v>19</v>
      </c>
      <c r="D156" s="58" t="s">
        <v>208</v>
      </c>
      <c r="E156" s="58">
        <v>10</v>
      </c>
      <c r="F156" s="58">
        <v>3181925</v>
      </c>
      <c r="G156" s="58">
        <v>2413600</v>
      </c>
      <c r="H156" s="58">
        <v>2138209</v>
      </c>
      <c r="I156" s="58">
        <v>2133295</v>
      </c>
      <c r="J156" s="58">
        <v>2486982</v>
      </c>
      <c r="K156" s="58">
        <v>3723489</v>
      </c>
      <c r="L156" s="58">
        <v>6127296</v>
      </c>
      <c r="M156" s="58">
        <v>9145179</v>
      </c>
      <c r="N156" s="58">
        <v>9630124</v>
      </c>
      <c r="O156" s="58">
        <v>8277144</v>
      </c>
      <c r="P156" s="58">
        <v>7118381</v>
      </c>
      <c r="Q156" s="58">
        <v>6197533</v>
      </c>
      <c r="R156" s="58">
        <v>5842037</v>
      </c>
      <c r="S156" s="58">
        <v>5865467</v>
      </c>
      <c r="T156" s="58">
        <v>5629114</v>
      </c>
      <c r="U156" s="58">
        <v>5413415</v>
      </c>
      <c r="V156" s="58">
        <v>4615910</v>
      </c>
      <c r="W156" s="58">
        <v>4603635</v>
      </c>
      <c r="X156" s="58">
        <v>6661644</v>
      </c>
      <c r="Y156" s="58">
        <v>6604125</v>
      </c>
      <c r="Z156" s="58">
        <v>5752209</v>
      </c>
      <c r="AA156" s="58">
        <v>6958982</v>
      </c>
      <c r="AB156" s="58">
        <v>6659201</v>
      </c>
      <c r="AC156" s="59">
        <v>4481452</v>
      </c>
      <c r="AD156" t="str">
        <f t="shared" si="2"/>
        <v>Fall</v>
      </c>
      <c r="AE156" t="str">
        <f>INDEX('Category Mapping'!$B$2:$B$29,MATCH('Source Data'!A156,'Category Mapping'!$A$2:$A$29,0))</f>
        <v>Weekday</v>
      </c>
      <c r="AF156" t="str">
        <f>INDEX('Category Mapping'!$C$2:$C$29,MATCH('Source Data'!A156,'Category Mapping'!$A$2:$A$29,0))</f>
        <v>Commercial</v>
      </c>
      <c r="AG156" t="str">
        <f>INDEX('Category Mapping'!$D$2:$D$29,MATCH('Source Data'!A156,'Category Mapping'!$A$2:$A$29,0))</f>
        <v>Appliances</v>
      </c>
    </row>
    <row r="157" spans="1:33" x14ac:dyDescent="0.25">
      <c r="A157" s="54" t="s">
        <v>102</v>
      </c>
      <c r="B157" s="55">
        <v>2019</v>
      </c>
      <c r="C157" s="55">
        <v>19</v>
      </c>
      <c r="D157" s="55" t="s">
        <v>208</v>
      </c>
      <c r="E157" s="55">
        <v>11</v>
      </c>
      <c r="F157" s="55">
        <v>3766147</v>
      </c>
      <c r="G157" s="55">
        <v>2856752</v>
      </c>
      <c r="H157" s="55">
        <v>2530798</v>
      </c>
      <c r="I157" s="55">
        <v>2524982</v>
      </c>
      <c r="J157" s="55">
        <v>2943608</v>
      </c>
      <c r="K157" s="55">
        <v>4407145</v>
      </c>
      <c r="L157" s="55">
        <v>7252306</v>
      </c>
      <c r="M157" s="55">
        <v>10800000</v>
      </c>
      <c r="N157" s="55">
        <v>11400000</v>
      </c>
      <c r="O157" s="55">
        <v>9796881</v>
      </c>
      <c r="P157" s="55">
        <v>8425360</v>
      </c>
      <c r="Q157" s="55">
        <v>7335439</v>
      </c>
      <c r="R157" s="55">
        <v>6914672</v>
      </c>
      <c r="S157" s="55">
        <v>6942405</v>
      </c>
      <c r="T157" s="55">
        <v>6662655</v>
      </c>
      <c r="U157" s="55">
        <v>6407352</v>
      </c>
      <c r="V157" s="55">
        <v>5463420</v>
      </c>
      <c r="W157" s="55">
        <v>5448891</v>
      </c>
      <c r="X157" s="55">
        <v>7884764</v>
      </c>
      <c r="Y157" s="55">
        <v>7816684</v>
      </c>
      <c r="Z157" s="55">
        <v>6808351</v>
      </c>
      <c r="AA157" s="55">
        <v>8236696</v>
      </c>
      <c r="AB157" s="55">
        <v>7881873</v>
      </c>
      <c r="AC157" s="56">
        <v>5304275</v>
      </c>
      <c r="AD157" t="str">
        <f t="shared" si="2"/>
        <v>Winter</v>
      </c>
      <c r="AE157" t="str">
        <f>INDEX('Category Mapping'!$B$2:$B$29,MATCH('Source Data'!A157,'Category Mapping'!$A$2:$A$29,0))</f>
        <v>Weekday</v>
      </c>
      <c r="AF157" t="str">
        <f>INDEX('Category Mapping'!$C$2:$C$29,MATCH('Source Data'!A157,'Category Mapping'!$A$2:$A$29,0))</f>
        <v>Commercial</v>
      </c>
      <c r="AG157" t="str">
        <f>INDEX('Category Mapping'!$D$2:$D$29,MATCH('Source Data'!A157,'Category Mapping'!$A$2:$A$29,0))</f>
        <v>Appliances</v>
      </c>
    </row>
    <row r="158" spans="1:33" x14ac:dyDescent="0.25">
      <c r="A158" s="57" t="s">
        <v>102</v>
      </c>
      <c r="B158" s="58">
        <v>2019</v>
      </c>
      <c r="C158" s="58">
        <v>19</v>
      </c>
      <c r="D158" s="58" t="s">
        <v>208</v>
      </c>
      <c r="E158" s="58">
        <v>12</v>
      </c>
      <c r="F158" s="58">
        <v>4426714</v>
      </c>
      <c r="G158" s="58">
        <v>3357815</v>
      </c>
      <c r="H158" s="58">
        <v>2974690</v>
      </c>
      <c r="I158" s="58">
        <v>2967853</v>
      </c>
      <c r="J158" s="58">
        <v>3459904</v>
      </c>
      <c r="K158" s="58">
        <v>5180141</v>
      </c>
      <c r="L158" s="58">
        <v>8524331</v>
      </c>
      <c r="M158" s="58">
        <v>12700000</v>
      </c>
      <c r="N158" s="58">
        <v>13400000</v>
      </c>
      <c r="O158" s="58">
        <v>11500000</v>
      </c>
      <c r="P158" s="58">
        <v>9903134</v>
      </c>
      <c r="Q158" s="58">
        <v>8622045</v>
      </c>
      <c r="R158" s="58">
        <v>8127477</v>
      </c>
      <c r="S158" s="58">
        <v>8160074</v>
      </c>
      <c r="T158" s="58">
        <v>7831258</v>
      </c>
      <c r="U158" s="58">
        <v>7531176</v>
      </c>
      <c r="V158" s="58">
        <v>6421682</v>
      </c>
      <c r="W158" s="58">
        <v>6404605</v>
      </c>
      <c r="X158" s="58">
        <v>9267720</v>
      </c>
      <c r="Y158" s="58">
        <v>9187699</v>
      </c>
      <c r="Z158" s="58">
        <v>8002508</v>
      </c>
      <c r="AA158" s="58">
        <v>9681379</v>
      </c>
      <c r="AB158" s="58">
        <v>9264321</v>
      </c>
      <c r="AC158" s="59">
        <v>6234624</v>
      </c>
      <c r="AD158" t="str">
        <f t="shared" si="2"/>
        <v>Winter</v>
      </c>
      <c r="AE158" t="str">
        <f>INDEX('Category Mapping'!$B$2:$B$29,MATCH('Source Data'!A158,'Category Mapping'!$A$2:$A$29,0))</f>
        <v>Weekday</v>
      </c>
      <c r="AF158" t="str">
        <f>INDEX('Category Mapping'!$C$2:$C$29,MATCH('Source Data'!A158,'Category Mapping'!$A$2:$A$29,0))</f>
        <v>Commercial</v>
      </c>
      <c r="AG158" t="str">
        <f>INDEX('Category Mapping'!$D$2:$D$29,MATCH('Source Data'!A158,'Category Mapping'!$A$2:$A$29,0))</f>
        <v>Appliances</v>
      </c>
    </row>
    <row r="159" spans="1:33" x14ac:dyDescent="0.25">
      <c r="A159" s="54" t="s">
        <v>103</v>
      </c>
      <c r="B159" s="55">
        <v>2019</v>
      </c>
      <c r="C159" s="55">
        <v>19</v>
      </c>
      <c r="D159" s="55" t="s">
        <v>208</v>
      </c>
      <c r="E159" s="55">
        <v>1</v>
      </c>
      <c r="F159" s="55">
        <v>2575244</v>
      </c>
      <c r="G159" s="55">
        <v>1879370</v>
      </c>
      <c r="H159" s="55">
        <v>1664652</v>
      </c>
      <c r="I159" s="55">
        <v>1663161</v>
      </c>
      <c r="J159" s="55">
        <v>1928390</v>
      </c>
      <c r="K159" s="55">
        <v>2392000</v>
      </c>
      <c r="L159" s="55">
        <v>3176781</v>
      </c>
      <c r="M159" s="55">
        <v>4894543</v>
      </c>
      <c r="N159" s="55">
        <v>7341454</v>
      </c>
      <c r="O159" s="55">
        <v>7141541</v>
      </c>
      <c r="P159" s="55">
        <v>5729925</v>
      </c>
      <c r="Q159" s="55">
        <v>4791159</v>
      </c>
      <c r="R159" s="55">
        <v>3874275</v>
      </c>
      <c r="S159" s="55">
        <v>3500202</v>
      </c>
      <c r="T159" s="55">
        <v>3431864</v>
      </c>
      <c r="U159" s="55">
        <v>3384541</v>
      </c>
      <c r="V159" s="55">
        <v>2857083</v>
      </c>
      <c r="W159" s="55">
        <v>2787626</v>
      </c>
      <c r="X159" s="55">
        <v>3184290</v>
      </c>
      <c r="Y159" s="55">
        <v>3863115</v>
      </c>
      <c r="Z159" s="55">
        <v>4155762</v>
      </c>
      <c r="AA159" s="55">
        <v>4338858</v>
      </c>
      <c r="AB159" s="55">
        <v>5311091</v>
      </c>
      <c r="AC159" s="56">
        <v>4417758</v>
      </c>
      <c r="AD159" t="str">
        <f t="shared" si="2"/>
        <v>Winter</v>
      </c>
      <c r="AE159" t="str">
        <f>INDEX('Category Mapping'!$B$2:$B$29,MATCH('Source Data'!A159,'Category Mapping'!$A$2:$A$29,0))</f>
        <v>Weekend</v>
      </c>
      <c r="AF159" t="str">
        <f>INDEX('Category Mapping'!$C$2:$C$29,MATCH('Source Data'!A159,'Category Mapping'!$A$2:$A$29,0))</f>
        <v>Commercial</v>
      </c>
      <c r="AG159" t="str">
        <f>INDEX('Category Mapping'!$D$2:$D$29,MATCH('Source Data'!A159,'Category Mapping'!$A$2:$A$29,0))</f>
        <v>Appliances</v>
      </c>
    </row>
    <row r="160" spans="1:33" x14ac:dyDescent="0.25">
      <c r="A160" s="57" t="s">
        <v>103</v>
      </c>
      <c r="B160" s="58">
        <v>2019</v>
      </c>
      <c r="C160" s="58">
        <v>19</v>
      </c>
      <c r="D160" s="58" t="s">
        <v>208</v>
      </c>
      <c r="E160" s="58">
        <v>2</v>
      </c>
      <c r="F160" s="58">
        <v>2359944</v>
      </c>
      <c r="G160" s="58">
        <v>1722248</v>
      </c>
      <c r="H160" s="58">
        <v>1525481</v>
      </c>
      <c r="I160" s="58">
        <v>1524115</v>
      </c>
      <c r="J160" s="58">
        <v>1767169</v>
      </c>
      <c r="K160" s="58">
        <v>2192020</v>
      </c>
      <c r="L160" s="58">
        <v>2911191</v>
      </c>
      <c r="M160" s="58">
        <v>4485342</v>
      </c>
      <c r="N160" s="58">
        <v>6727682</v>
      </c>
      <c r="O160" s="58">
        <v>6544482</v>
      </c>
      <c r="P160" s="58">
        <v>5250883</v>
      </c>
      <c r="Q160" s="58">
        <v>4390601</v>
      </c>
      <c r="R160" s="58">
        <v>3550372</v>
      </c>
      <c r="S160" s="58">
        <v>3207572</v>
      </c>
      <c r="T160" s="58">
        <v>3144948</v>
      </c>
      <c r="U160" s="58">
        <v>3101581</v>
      </c>
      <c r="V160" s="58">
        <v>2618220</v>
      </c>
      <c r="W160" s="58">
        <v>2554571</v>
      </c>
      <c r="X160" s="58">
        <v>2918072</v>
      </c>
      <c r="Y160" s="58">
        <v>3540145</v>
      </c>
      <c r="Z160" s="58">
        <v>3808325</v>
      </c>
      <c r="AA160" s="58">
        <v>3976113</v>
      </c>
      <c r="AB160" s="58">
        <v>4867065</v>
      </c>
      <c r="AC160" s="59">
        <v>4048418</v>
      </c>
      <c r="AD160" t="str">
        <f t="shared" si="2"/>
        <v>Winter</v>
      </c>
      <c r="AE160" t="str">
        <f>INDEX('Category Mapping'!$B$2:$B$29,MATCH('Source Data'!A160,'Category Mapping'!$A$2:$A$29,0))</f>
        <v>Weekend</v>
      </c>
      <c r="AF160" t="str">
        <f>INDEX('Category Mapping'!$C$2:$C$29,MATCH('Source Data'!A160,'Category Mapping'!$A$2:$A$29,0))</f>
        <v>Commercial</v>
      </c>
      <c r="AG160" t="str">
        <f>INDEX('Category Mapping'!$D$2:$D$29,MATCH('Source Data'!A160,'Category Mapping'!$A$2:$A$29,0))</f>
        <v>Appliances</v>
      </c>
    </row>
    <row r="161" spans="1:33" x14ac:dyDescent="0.25">
      <c r="A161" s="54" t="s">
        <v>103</v>
      </c>
      <c r="B161" s="55">
        <v>2019</v>
      </c>
      <c r="C161" s="55">
        <v>19</v>
      </c>
      <c r="D161" s="55" t="s">
        <v>208</v>
      </c>
      <c r="E161" s="55">
        <v>3</v>
      </c>
      <c r="F161" s="55">
        <v>2178328</v>
      </c>
      <c r="G161" s="55">
        <v>1589708</v>
      </c>
      <c r="H161" s="55">
        <v>1408084</v>
      </c>
      <c r="I161" s="55">
        <v>1406823</v>
      </c>
      <c r="J161" s="55">
        <v>1631172</v>
      </c>
      <c r="K161" s="55">
        <v>2023328</v>
      </c>
      <c r="L161" s="55">
        <v>2687153</v>
      </c>
      <c r="M161" s="55">
        <v>4140161</v>
      </c>
      <c r="N161" s="55">
        <v>6209936</v>
      </c>
      <c r="O161" s="55">
        <v>6040835</v>
      </c>
      <c r="P161" s="55">
        <v>4846788</v>
      </c>
      <c r="Q161" s="55">
        <v>4052711</v>
      </c>
      <c r="R161" s="55">
        <v>3277144</v>
      </c>
      <c r="S161" s="55">
        <v>2960725</v>
      </c>
      <c r="T161" s="55">
        <v>2902920</v>
      </c>
      <c r="U161" s="55">
        <v>2862891</v>
      </c>
      <c r="V161" s="55">
        <v>2416728</v>
      </c>
      <c r="W161" s="55">
        <v>2357977</v>
      </c>
      <c r="X161" s="55">
        <v>2693504</v>
      </c>
      <c r="Y161" s="55">
        <v>3267704</v>
      </c>
      <c r="Z161" s="55">
        <v>3515246</v>
      </c>
      <c r="AA161" s="55">
        <v>3670121</v>
      </c>
      <c r="AB161" s="55">
        <v>4492507</v>
      </c>
      <c r="AC161" s="56">
        <v>3736862</v>
      </c>
      <c r="AD161" t="str">
        <f t="shared" si="2"/>
        <v>Spring</v>
      </c>
      <c r="AE161" t="str">
        <f>INDEX('Category Mapping'!$B$2:$B$29,MATCH('Source Data'!A161,'Category Mapping'!$A$2:$A$29,0))</f>
        <v>Weekend</v>
      </c>
      <c r="AF161" t="str">
        <f>INDEX('Category Mapping'!$C$2:$C$29,MATCH('Source Data'!A161,'Category Mapping'!$A$2:$A$29,0))</f>
        <v>Commercial</v>
      </c>
      <c r="AG161" t="str">
        <f>INDEX('Category Mapping'!$D$2:$D$29,MATCH('Source Data'!A161,'Category Mapping'!$A$2:$A$29,0))</f>
        <v>Appliances</v>
      </c>
    </row>
    <row r="162" spans="1:33" x14ac:dyDescent="0.25">
      <c r="A162" s="57" t="s">
        <v>103</v>
      </c>
      <c r="B162" s="58">
        <v>2019</v>
      </c>
      <c r="C162" s="58">
        <v>19</v>
      </c>
      <c r="D162" s="58" t="s">
        <v>208</v>
      </c>
      <c r="E162" s="58">
        <v>4</v>
      </c>
      <c r="F162" s="58">
        <v>1831399</v>
      </c>
      <c r="G162" s="58">
        <v>1336524</v>
      </c>
      <c r="H162" s="58">
        <v>1183827</v>
      </c>
      <c r="I162" s="58">
        <v>1182766</v>
      </c>
      <c r="J162" s="58">
        <v>1371385</v>
      </c>
      <c r="K162" s="58">
        <v>1701084</v>
      </c>
      <c r="L162" s="58">
        <v>2259186</v>
      </c>
      <c r="M162" s="58">
        <v>3480781</v>
      </c>
      <c r="N162" s="58">
        <v>5220916</v>
      </c>
      <c r="O162" s="58">
        <v>5078747</v>
      </c>
      <c r="P162" s="58">
        <v>4074868</v>
      </c>
      <c r="Q162" s="58">
        <v>3407259</v>
      </c>
      <c r="R162" s="58">
        <v>2755212</v>
      </c>
      <c r="S162" s="58">
        <v>2489188</v>
      </c>
      <c r="T162" s="58">
        <v>2440589</v>
      </c>
      <c r="U162" s="58">
        <v>2406935</v>
      </c>
      <c r="V162" s="58">
        <v>2031830</v>
      </c>
      <c r="W162" s="58">
        <v>1982436</v>
      </c>
      <c r="X162" s="58">
        <v>2264525</v>
      </c>
      <c r="Y162" s="58">
        <v>2747276</v>
      </c>
      <c r="Z162" s="58">
        <v>2955393</v>
      </c>
      <c r="AA162" s="58">
        <v>3085603</v>
      </c>
      <c r="AB162" s="58">
        <v>3777012</v>
      </c>
      <c r="AC162" s="59">
        <v>3141713</v>
      </c>
      <c r="AD162" t="str">
        <f t="shared" si="2"/>
        <v>Spring</v>
      </c>
      <c r="AE162" t="str">
        <f>INDEX('Category Mapping'!$B$2:$B$29,MATCH('Source Data'!A162,'Category Mapping'!$A$2:$A$29,0))</f>
        <v>Weekend</v>
      </c>
      <c r="AF162" t="str">
        <f>INDEX('Category Mapping'!$C$2:$C$29,MATCH('Source Data'!A162,'Category Mapping'!$A$2:$A$29,0))</f>
        <v>Commercial</v>
      </c>
      <c r="AG162" t="str">
        <f>INDEX('Category Mapping'!$D$2:$D$29,MATCH('Source Data'!A162,'Category Mapping'!$A$2:$A$29,0))</f>
        <v>Appliances</v>
      </c>
    </row>
    <row r="163" spans="1:33" x14ac:dyDescent="0.25">
      <c r="A163" s="54" t="s">
        <v>103</v>
      </c>
      <c r="B163" s="55">
        <v>2019</v>
      </c>
      <c r="C163" s="55">
        <v>19</v>
      </c>
      <c r="D163" s="55" t="s">
        <v>208</v>
      </c>
      <c r="E163" s="55">
        <v>5</v>
      </c>
      <c r="F163" s="55">
        <v>1580223</v>
      </c>
      <c r="G163" s="55">
        <v>1153221</v>
      </c>
      <c r="H163" s="55">
        <v>1021465</v>
      </c>
      <c r="I163" s="55">
        <v>1020550</v>
      </c>
      <c r="J163" s="55">
        <v>1183300</v>
      </c>
      <c r="K163" s="55">
        <v>1467781</v>
      </c>
      <c r="L163" s="55">
        <v>1949340</v>
      </c>
      <c r="M163" s="55">
        <v>3003394</v>
      </c>
      <c r="N163" s="55">
        <v>4504870</v>
      </c>
      <c r="O163" s="55">
        <v>4382199</v>
      </c>
      <c r="P163" s="55">
        <v>3516002</v>
      </c>
      <c r="Q163" s="55">
        <v>2939955</v>
      </c>
      <c r="R163" s="55">
        <v>2377337</v>
      </c>
      <c r="S163" s="55">
        <v>2147797</v>
      </c>
      <c r="T163" s="55">
        <v>2105864</v>
      </c>
      <c r="U163" s="55">
        <v>2076825</v>
      </c>
      <c r="V163" s="55">
        <v>1753166</v>
      </c>
      <c r="W163" s="55">
        <v>1710546</v>
      </c>
      <c r="X163" s="55">
        <v>1953947</v>
      </c>
      <c r="Y163" s="55">
        <v>2370488</v>
      </c>
      <c r="Z163" s="55">
        <v>2550063</v>
      </c>
      <c r="AA163" s="55">
        <v>2662414</v>
      </c>
      <c r="AB163" s="55">
        <v>3258997</v>
      </c>
      <c r="AC163" s="56">
        <v>2710829</v>
      </c>
      <c r="AD163" t="str">
        <f t="shared" si="2"/>
        <v>Spring</v>
      </c>
      <c r="AE163" t="str">
        <f>INDEX('Category Mapping'!$B$2:$B$29,MATCH('Source Data'!A163,'Category Mapping'!$A$2:$A$29,0))</f>
        <v>Weekend</v>
      </c>
      <c r="AF163" t="str">
        <f>INDEX('Category Mapping'!$C$2:$C$29,MATCH('Source Data'!A163,'Category Mapping'!$A$2:$A$29,0))</f>
        <v>Commercial</v>
      </c>
      <c r="AG163" t="str">
        <f>INDEX('Category Mapping'!$D$2:$D$29,MATCH('Source Data'!A163,'Category Mapping'!$A$2:$A$29,0))</f>
        <v>Appliances</v>
      </c>
    </row>
    <row r="164" spans="1:33" x14ac:dyDescent="0.25">
      <c r="A164" s="57" t="s">
        <v>103</v>
      </c>
      <c r="B164" s="58">
        <v>2019</v>
      </c>
      <c r="C164" s="58">
        <v>19</v>
      </c>
      <c r="D164" s="58" t="s">
        <v>208</v>
      </c>
      <c r="E164" s="58">
        <v>6</v>
      </c>
      <c r="F164" s="58">
        <v>1492811</v>
      </c>
      <c r="G164" s="58">
        <v>1089429</v>
      </c>
      <c r="H164" s="58">
        <v>964962</v>
      </c>
      <c r="I164" s="58">
        <v>964097</v>
      </c>
      <c r="J164" s="58">
        <v>1117845</v>
      </c>
      <c r="K164" s="58">
        <v>1386589</v>
      </c>
      <c r="L164" s="58">
        <v>1841510</v>
      </c>
      <c r="M164" s="58">
        <v>2837258</v>
      </c>
      <c r="N164" s="58">
        <v>4255678</v>
      </c>
      <c r="O164" s="58">
        <v>4139793</v>
      </c>
      <c r="P164" s="58">
        <v>3321510</v>
      </c>
      <c r="Q164" s="58">
        <v>2777328</v>
      </c>
      <c r="R164" s="58">
        <v>2245832</v>
      </c>
      <c r="S164" s="58">
        <v>2028989</v>
      </c>
      <c r="T164" s="58">
        <v>1989375</v>
      </c>
      <c r="U164" s="58">
        <v>1961943</v>
      </c>
      <c r="V164" s="58">
        <v>1656187</v>
      </c>
      <c r="W164" s="58">
        <v>1615925</v>
      </c>
      <c r="X164" s="58">
        <v>1845862</v>
      </c>
      <c r="Y164" s="58">
        <v>2239362</v>
      </c>
      <c r="Z164" s="58">
        <v>2409003</v>
      </c>
      <c r="AA164" s="58">
        <v>2515139</v>
      </c>
      <c r="AB164" s="58">
        <v>3078722</v>
      </c>
      <c r="AC164" s="59">
        <v>2560876</v>
      </c>
      <c r="AD164" t="str">
        <f t="shared" si="2"/>
        <v>Summer</v>
      </c>
      <c r="AE164" t="str">
        <f>INDEX('Category Mapping'!$B$2:$B$29,MATCH('Source Data'!A164,'Category Mapping'!$A$2:$A$29,0))</f>
        <v>Weekend</v>
      </c>
      <c r="AF164" t="str">
        <f>INDEX('Category Mapping'!$C$2:$C$29,MATCH('Source Data'!A164,'Category Mapping'!$A$2:$A$29,0))</f>
        <v>Commercial</v>
      </c>
      <c r="AG164" t="str">
        <f>INDEX('Category Mapping'!$D$2:$D$29,MATCH('Source Data'!A164,'Category Mapping'!$A$2:$A$29,0))</f>
        <v>Appliances</v>
      </c>
    </row>
    <row r="165" spans="1:33" x14ac:dyDescent="0.25">
      <c r="A165" s="54" t="s">
        <v>103</v>
      </c>
      <c r="B165" s="55">
        <v>2019</v>
      </c>
      <c r="C165" s="55">
        <v>19</v>
      </c>
      <c r="D165" s="55" t="s">
        <v>208</v>
      </c>
      <c r="E165" s="55">
        <v>7</v>
      </c>
      <c r="F165" s="55">
        <v>1478214</v>
      </c>
      <c r="G165" s="55">
        <v>1078776</v>
      </c>
      <c r="H165" s="55">
        <v>955526</v>
      </c>
      <c r="I165" s="55">
        <v>954670</v>
      </c>
      <c r="J165" s="55">
        <v>1106913</v>
      </c>
      <c r="K165" s="55">
        <v>1373030</v>
      </c>
      <c r="L165" s="55">
        <v>1823502</v>
      </c>
      <c r="M165" s="55">
        <v>2809513</v>
      </c>
      <c r="N165" s="55">
        <v>4214062</v>
      </c>
      <c r="O165" s="55">
        <v>4099310</v>
      </c>
      <c r="P165" s="55">
        <v>3289030</v>
      </c>
      <c r="Q165" s="55">
        <v>2750169</v>
      </c>
      <c r="R165" s="55">
        <v>2223870</v>
      </c>
      <c r="S165" s="55">
        <v>2009148</v>
      </c>
      <c r="T165" s="55">
        <v>1969921</v>
      </c>
      <c r="U165" s="55">
        <v>1942758</v>
      </c>
      <c r="V165" s="55">
        <v>1639992</v>
      </c>
      <c r="W165" s="55">
        <v>1600123</v>
      </c>
      <c r="X165" s="55">
        <v>1827812</v>
      </c>
      <c r="Y165" s="55">
        <v>2217463</v>
      </c>
      <c r="Z165" s="55">
        <v>2385446</v>
      </c>
      <c r="AA165" s="55">
        <v>2490544</v>
      </c>
      <c r="AB165" s="55">
        <v>3048615</v>
      </c>
      <c r="AC165" s="56">
        <v>2535834</v>
      </c>
      <c r="AD165" t="str">
        <f t="shared" si="2"/>
        <v>Summer</v>
      </c>
      <c r="AE165" t="str">
        <f>INDEX('Category Mapping'!$B$2:$B$29,MATCH('Source Data'!A165,'Category Mapping'!$A$2:$A$29,0))</f>
        <v>Weekend</v>
      </c>
      <c r="AF165" t="str">
        <f>INDEX('Category Mapping'!$C$2:$C$29,MATCH('Source Data'!A165,'Category Mapping'!$A$2:$A$29,0))</f>
        <v>Commercial</v>
      </c>
      <c r="AG165" t="str">
        <f>INDEX('Category Mapping'!$D$2:$D$29,MATCH('Source Data'!A165,'Category Mapping'!$A$2:$A$29,0))</f>
        <v>Appliances</v>
      </c>
    </row>
    <row r="166" spans="1:33" x14ac:dyDescent="0.25">
      <c r="A166" s="57" t="s">
        <v>103</v>
      </c>
      <c r="B166" s="58">
        <v>2019</v>
      </c>
      <c r="C166" s="58">
        <v>19</v>
      </c>
      <c r="D166" s="58" t="s">
        <v>208</v>
      </c>
      <c r="E166" s="58">
        <v>8</v>
      </c>
      <c r="F166" s="58">
        <v>1478380</v>
      </c>
      <c r="G166" s="58">
        <v>1078897</v>
      </c>
      <c r="H166" s="58">
        <v>955633</v>
      </c>
      <c r="I166" s="58">
        <v>954777</v>
      </c>
      <c r="J166" s="58">
        <v>1107038</v>
      </c>
      <c r="K166" s="58">
        <v>1373185</v>
      </c>
      <c r="L166" s="58">
        <v>1823708</v>
      </c>
      <c r="M166" s="58">
        <v>2809830</v>
      </c>
      <c r="N166" s="58">
        <v>4214538</v>
      </c>
      <c r="O166" s="58">
        <v>4099773</v>
      </c>
      <c r="P166" s="58">
        <v>3289401</v>
      </c>
      <c r="Q166" s="58">
        <v>2750480</v>
      </c>
      <c r="R166" s="58">
        <v>2224121</v>
      </c>
      <c r="S166" s="58">
        <v>2009375</v>
      </c>
      <c r="T166" s="58">
        <v>1970144</v>
      </c>
      <c r="U166" s="58">
        <v>1942977</v>
      </c>
      <c r="V166" s="58">
        <v>1640177</v>
      </c>
      <c r="W166" s="58">
        <v>1600304</v>
      </c>
      <c r="X166" s="58">
        <v>1828018</v>
      </c>
      <c r="Y166" s="58">
        <v>2217714</v>
      </c>
      <c r="Z166" s="58">
        <v>2385715</v>
      </c>
      <c r="AA166" s="58">
        <v>2490825</v>
      </c>
      <c r="AB166" s="58">
        <v>3048959</v>
      </c>
      <c r="AC166" s="59">
        <v>2536120</v>
      </c>
      <c r="AD166" t="str">
        <f t="shared" si="2"/>
        <v>Summer</v>
      </c>
      <c r="AE166" t="str">
        <f>INDEX('Category Mapping'!$B$2:$B$29,MATCH('Source Data'!A166,'Category Mapping'!$A$2:$A$29,0))</f>
        <v>Weekend</v>
      </c>
      <c r="AF166" t="str">
        <f>INDEX('Category Mapping'!$C$2:$C$29,MATCH('Source Data'!A166,'Category Mapping'!$A$2:$A$29,0))</f>
        <v>Commercial</v>
      </c>
      <c r="AG166" t="str">
        <f>INDEX('Category Mapping'!$D$2:$D$29,MATCH('Source Data'!A166,'Category Mapping'!$A$2:$A$29,0))</f>
        <v>Appliances</v>
      </c>
    </row>
    <row r="167" spans="1:33" x14ac:dyDescent="0.25">
      <c r="A167" s="54" t="s">
        <v>103</v>
      </c>
      <c r="B167" s="55">
        <v>2019</v>
      </c>
      <c r="C167" s="55">
        <v>19</v>
      </c>
      <c r="D167" s="55" t="s">
        <v>208</v>
      </c>
      <c r="E167" s="55">
        <v>9</v>
      </c>
      <c r="F167" s="55">
        <v>1511721</v>
      </c>
      <c r="G167" s="55">
        <v>1103228</v>
      </c>
      <c r="H167" s="55">
        <v>977185</v>
      </c>
      <c r="I167" s="55">
        <v>976309</v>
      </c>
      <c r="J167" s="55">
        <v>1132004</v>
      </c>
      <c r="K167" s="55">
        <v>1404153</v>
      </c>
      <c r="L167" s="55">
        <v>1864835</v>
      </c>
      <c r="M167" s="55">
        <v>2873197</v>
      </c>
      <c r="N167" s="55">
        <v>4309583</v>
      </c>
      <c r="O167" s="55">
        <v>4192230</v>
      </c>
      <c r="P167" s="55">
        <v>3363583</v>
      </c>
      <c r="Q167" s="55">
        <v>2812508</v>
      </c>
      <c r="R167" s="55">
        <v>2274279</v>
      </c>
      <c r="S167" s="55">
        <v>2054690</v>
      </c>
      <c r="T167" s="55">
        <v>2014574</v>
      </c>
      <c r="U167" s="55">
        <v>1986795</v>
      </c>
      <c r="V167" s="55">
        <v>1677166</v>
      </c>
      <c r="W167" s="55">
        <v>1636393</v>
      </c>
      <c r="X167" s="55">
        <v>1869243</v>
      </c>
      <c r="Y167" s="55">
        <v>2267727</v>
      </c>
      <c r="Z167" s="55">
        <v>2439517</v>
      </c>
      <c r="AA167" s="55">
        <v>2546998</v>
      </c>
      <c r="AB167" s="55">
        <v>3117719</v>
      </c>
      <c r="AC167" s="56">
        <v>2593314</v>
      </c>
      <c r="AD167" t="str">
        <f t="shared" si="2"/>
        <v>Fall</v>
      </c>
      <c r="AE167" t="str">
        <f>INDEX('Category Mapping'!$B$2:$B$29,MATCH('Source Data'!A167,'Category Mapping'!$A$2:$A$29,0))</f>
        <v>Weekend</v>
      </c>
      <c r="AF167" t="str">
        <f>INDEX('Category Mapping'!$C$2:$C$29,MATCH('Source Data'!A167,'Category Mapping'!$A$2:$A$29,0))</f>
        <v>Commercial</v>
      </c>
      <c r="AG167" t="str">
        <f>INDEX('Category Mapping'!$D$2:$D$29,MATCH('Source Data'!A167,'Category Mapping'!$A$2:$A$29,0))</f>
        <v>Appliances</v>
      </c>
    </row>
    <row r="168" spans="1:33" x14ac:dyDescent="0.25">
      <c r="A168" s="57" t="s">
        <v>103</v>
      </c>
      <c r="B168" s="58">
        <v>2019</v>
      </c>
      <c r="C168" s="58">
        <v>19</v>
      </c>
      <c r="D168" s="58" t="s">
        <v>208</v>
      </c>
      <c r="E168" s="58">
        <v>10</v>
      </c>
      <c r="F168" s="58">
        <v>1734523</v>
      </c>
      <c r="G168" s="58">
        <v>1265826</v>
      </c>
      <c r="H168" s="58">
        <v>1121205</v>
      </c>
      <c r="I168" s="58">
        <v>1120201</v>
      </c>
      <c r="J168" s="58">
        <v>1298842</v>
      </c>
      <c r="K168" s="58">
        <v>1611101</v>
      </c>
      <c r="L168" s="58">
        <v>2139681</v>
      </c>
      <c r="M168" s="58">
        <v>3296657</v>
      </c>
      <c r="N168" s="58">
        <v>4944743</v>
      </c>
      <c r="O168" s="58">
        <v>4810094</v>
      </c>
      <c r="P168" s="58">
        <v>3859319</v>
      </c>
      <c r="Q168" s="58">
        <v>3227024</v>
      </c>
      <c r="R168" s="58">
        <v>2609469</v>
      </c>
      <c r="S168" s="58">
        <v>2357517</v>
      </c>
      <c r="T168" s="58">
        <v>2311488</v>
      </c>
      <c r="U168" s="58">
        <v>2279615</v>
      </c>
      <c r="V168" s="58">
        <v>1924352</v>
      </c>
      <c r="W168" s="58">
        <v>1877570</v>
      </c>
      <c r="X168" s="58">
        <v>2144738</v>
      </c>
      <c r="Y168" s="58">
        <v>2601952</v>
      </c>
      <c r="Z168" s="58">
        <v>2799061</v>
      </c>
      <c r="AA168" s="58">
        <v>2922383</v>
      </c>
      <c r="AB168" s="58">
        <v>3577218</v>
      </c>
      <c r="AC168" s="59">
        <v>2975525</v>
      </c>
      <c r="AD168" t="str">
        <f t="shared" si="2"/>
        <v>Fall</v>
      </c>
      <c r="AE168" t="str">
        <f>INDEX('Category Mapping'!$B$2:$B$29,MATCH('Source Data'!A168,'Category Mapping'!$A$2:$A$29,0))</f>
        <v>Weekend</v>
      </c>
      <c r="AF168" t="str">
        <f>INDEX('Category Mapping'!$C$2:$C$29,MATCH('Source Data'!A168,'Category Mapping'!$A$2:$A$29,0))</f>
        <v>Commercial</v>
      </c>
      <c r="AG168" t="str">
        <f>INDEX('Category Mapping'!$D$2:$D$29,MATCH('Source Data'!A168,'Category Mapping'!$A$2:$A$29,0))</f>
        <v>Appliances</v>
      </c>
    </row>
    <row r="169" spans="1:33" x14ac:dyDescent="0.25">
      <c r="A169" s="54" t="s">
        <v>103</v>
      </c>
      <c r="B169" s="55">
        <v>2019</v>
      </c>
      <c r="C169" s="55">
        <v>19</v>
      </c>
      <c r="D169" s="55" t="s">
        <v>208</v>
      </c>
      <c r="E169" s="55">
        <v>11</v>
      </c>
      <c r="F169" s="55">
        <v>2052992</v>
      </c>
      <c r="G169" s="55">
        <v>1498239</v>
      </c>
      <c r="H169" s="55">
        <v>1327066</v>
      </c>
      <c r="I169" s="55">
        <v>1325877</v>
      </c>
      <c r="J169" s="55">
        <v>1537318</v>
      </c>
      <c r="K169" s="55">
        <v>1906910</v>
      </c>
      <c r="L169" s="55">
        <v>2532540</v>
      </c>
      <c r="M169" s="55">
        <v>3901945</v>
      </c>
      <c r="N169" s="55">
        <v>5852630</v>
      </c>
      <c r="O169" s="55">
        <v>5693259</v>
      </c>
      <c r="P169" s="55">
        <v>4567914</v>
      </c>
      <c r="Q169" s="55">
        <v>3819526</v>
      </c>
      <c r="R169" s="55">
        <v>3088584</v>
      </c>
      <c r="S169" s="55">
        <v>2790372</v>
      </c>
      <c r="T169" s="55">
        <v>2735892</v>
      </c>
      <c r="U169" s="55">
        <v>2698167</v>
      </c>
      <c r="V169" s="55">
        <v>2277675</v>
      </c>
      <c r="W169" s="55">
        <v>2222304</v>
      </c>
      <c r="X169" s="55">
        <v>2538526</v>
      </c>
      <c r="Y169" s="55">
        <v>3079687</v>
      </c>
      <c r="Z169" s="55">
        <v>3312986</v>
      </c>
      <c r="AA169" s="55">
        <v>3458950</v>
      </c>
      <c r="AB169" s="55">
        <v>4234018</v>
      </c>
      <c r="AC169" s="56">
        <v>3521851</v>
      </c>
      <c r="AD169" t="str">
        <f t="shared" si="2"/>
        <v>Winter</v>
      </c>
      <c r="AE169" t="str">
        <f>INDEX('Category Mapping'!$B$2:$B$29,MATCH('Source Data'!A169,'Category Mapping'!$A$2:$A$29,0))</f>
        <v>Weekend</v>
      </c>
      <c r="AF169" t="str">
        <f>INDEX('Category Mapping'!$C$2:$C$29,MATCH('Source Data'!A169,'Category Mapping'!$A$2:$A$29,0))</f>
        <v>Commercial</v>
      </c>
      <c r="AG169" t="str">
        <f>INDEX('Category Mapping'!$D$2:$D$29,MATCH('Source Data'!A169,'Category Mapping'!$A$2:$A$29,0))</f>
        <v>Appliances</v>
      </c>
    </row>
    <row r="170" spans="1:33" x14ac:dyDescent="0.25">
      <c r="A170" s="57" t="s">
        <v>103</v>
      </c>
      <c r="B170" s="58">
        <v>2019</v>
      </c>
      <c r="C170" s="58">
        <v>19</v>
      </c>
      <c r="D170" s="58" t="s">
        <v>208</v>
      </c>
      <c r="E170" s="58">
        <v>12</v>
      </c>
      <c r="F170" s="58">
        <v>2413079</v>
      </c>
      <c r="G170" s="58">
        <v>1761025</v>
      </c>
      <c r="H170" s="58">
        <v>1559828</v>
      </c>
      <c r="I170" s="58">
        <v>1558431</v>
      </c>
      <c r="J170" s="58">
        <v>1806958</v>
      </c>
      <c r="K170" s="58">
        <v>2241374</v>
      </c>
      <c r="L170" s="58">
        <v>2976737</v>
      </c>
      <c r="M170" s="58">
        <v>4586331</v>
      </c>
      <c r="N170" s="58">
        <v>6879158</v>
      </c>
      <c r="O170" s="58">
        <v>6691833</v>
      </c>
      <c r="P170" s="58">
        <v>5369108</v>
      </c>
      <c r="Q170" s="58">
        <v>4489456</v>
      </c>
      <c r="R170" s="58">
        <v>3630310</v>
      </c>
      <c r="S170" s="58">
        <v>3279791</v>
      </c>
      <c r="T170" s="58">
        <v>3215757</v>
      </c>
      <c r="U170" s="58">
        <v>3171414</v>
      </c>
      <c r="V170" s="58">
        <v>2677170</v>
      </c>
      <c r="W170" s="58">
        <v>2612087</v>
      </c>
      <c r="X170" s="58">
        <v>2983773</v>
      </c>
      <c r="Y170" s="58">
        <v>3619852</v>
      </c>
      <c r="Z170" s="58">
        <v>3894071</v>
      </c>
      <c r="AA170" s="58">
        <v>4065637</v>
      </c>
      <c r="AB170" s="58">
        <v>4976648</v>
      </c>
      <c r="AC170" s="59">
        <v>4139569</v>
      </c>
      <c r="AD170" t="str">
        <f t="shared" si="2"/>
        <v>Winter</v>
      </c>
      <c r="AE170" t="str">
        <f>INDEX('Category Mapping'!$B$2:$B$29,MATCH('Source Data'!A170,'Category Mapping'!$A$2:$A$29,0))</f>
        <v>Weekend</v>
      </c>
      <c r="AF170" t="str">
        <f>INDEX('Category Mapping'!$C$2:$C$29,MATCH('Source Data'!A170,'Category Mapping'!$A$2:$A$29,0))</f>
        <v>Commercial</v>
      </c>
      <c r="AG170" t="str">
        <f>INDEX('Category Mapping'!$D$2:$D$29,MATCH('Source Data'!A170,'Category Mapping'!$A$2:$A$29,0))</f>
        <v>Appliances</v>
      </c>
    </row>
    <row r="171" spans="1:33" x14ac:dyDescent="0.25">
      <c r="A171" s="14" t="s">
        <v>84</v>
      </c>
      <c r="B171" s="15">
        <v>2019</v>
      </c>
      <c r="C171" s="15">
        <v>19</v>
      </c>
      <c r="D171" s="15" t="s">
        <v>208</v>
      </c>
      <c r="E171" s="15">
        <v>1</v>
      </c>
      <c r="F171" s="30">
        <v>661000000</v>
      </c>
      <c r="G171" s="30">
        <v>660000000</v>
      </c>
      <c r="H171" s="30">
        <v>660000000</v>
      </c>
      <c r="I171" s="30">
        <v>660000000</v>
      </c>
      <c r="J171" s="30">
        <v>662000000</v>
      </c>
      <c r="K171" s="30">
        <v>666000000</v>
      </c>
      <c r="L171" s="30">
        <v>674000000</v>
      </c>
      <c r="M171" s="30">
        <v>681000000</v>
      </c>
      <c r="N171" s="30">
        <v>683000000</v>
      </c>
      <c r="O171" s="30">
        <v>682000000</v>
      </c>
      <c r="P171" s="30">
        <v>679000000</v>
      </c>
      <c r="Q171" s="30">
        <v>677000000</v>
      </c>
      <c r="R171" s="30">
        <v>675000000</v>
      </c>
      <c r="S171" s="30">
        <v>674000000</v>
      </c>
      <c r="T171" s="30">
        <v>675000000</v>
      </c>
      <c r="U171" s="30">
        <v>681000000</v>
      </c>
      <c r="V171" s="30">
        <v>687000000</v>
      </c>
      <c r="W171" s="30">
        <v>689000000</v>
      </c>
      <c r="X171" s="30">
        <v>685000000</v>
      </c>
      <c r="Y171" s="30">
        <v>681000000</v>
      </c>
      <c r="Z171" s="30">
        <v>677000000</v>
      </c>
      <c r="AA171" s="30">
        <v>671000000</v>
      </c>
      <c r="AB171" s="30">
        <v>665000000</v>
      </c>
      <c r="AC171" s="31">
        <v>662000000</v>
      </c>
      <c r="AD171" t="str">
        <f t="shared" si="2"/>
        <v>Winter</v>
      </c>
      <c r="AE171" t="str">
        <f>INDEX('Category Mapping'!$B$2:$B$29,MATCH('Source Data'!A171,'Category Mapping'!$A$2:$A$29,0))</f>
        <v>Weekday</v>
      </c>
      <c r="AF171" t="str">
        <f>INDEX('Category Mapping'!$C$2:$C$29,MATCH('Source Data'!A171,'Category Mapping'!$A$2:$A$29,0))</f>
        <v>Industry</v>
      </c>
      <c r="AG171" t="str">
        <f>INDEX('Category Mapping'!$D$2:$D$29,MATCH('Source Data'!A171,'Category Mapping'!$A$2:$A$29,0))</f>
        <v>Industry</v>
      </c>
    </row>
    <row r="172" spans="1:33" x14ac:dyDescent="0.25">
      <c r="A172" s="16" t="s">
        <v>84</v>
      </c>
      <c r="B172" s="17">
        <v>2019</v>
      </c>
      <c r="C172" s="17">
        <v>19</v>
      </c>
      <c r="D172" s="17" t="s">
        <v>208</v>
      </c>
      <c r="E172" s="17">
        <v>2</v>
      </c>
      <c r="F172" s="28">
        <v>663000000</v>
      </c>
      <c r="G172" s="28">
        <v>662000000</v>
      </c>
      <c r="H172" s="28">
        <v>662000000</v>
      </c>
      <c r="I172" s="28">
        <v>662000000</v>
      </c>
      <c r="J172" s="28">
        <v>664000000</v>
      </c>
      <c r="K172" s="28">
        <v>669000000</v>
      </c>
      <c r="L172" s="28">
        <v>677000000</v>
      </c>
      <c r="M172" s="28">
        <v>683000000</v>
      </c>
      <c r="N172" s="28">
        <v>685000000</v>
      </c>
      <c r="O172" s="28">
        <v>684000000</v>
      </c>
      <c r="P172" s="28">
        <v>681000000</v>
      </c>
      <c r="Q172" s="28">
        <v>679000000</v>
      </c>
      <c r="R172" s="28">
        <v>677000000</v>
      </c>
      <c r="S172" s="28">
        <v>676000000</v>
      </c>
      <c r="T172" s="28">
        <v>677000000</v>
      </c>
      <c r="U172" s="28">
        <v>683000000</v>
      </c>
      <c r="V172" s="28">
        <v>690000000</v>
      </c>
      <c r="W172" s="28">
        <v>691000000</v>
      </c>
      <c r="X172" s="28">
        <v>688000000</v>
      </c>
      <c r="Y172" s="28">
        <v>684000000</v>
      </c>
      <c r="Z172" s="28">
        <v>679000000</v>
      </c>
      <c r="AA172" s="28">
        <v>673000000</v>
      </c>
      <c r="AB172" s="28">
        <v>667000000</v>
      </c>
      <c r="AC172" s="29">
        <v>664000000</v>
      </c>
      <c r="AD172" t="str">
        <f t="shared" si="2"/>
        <v>Winter</v>
      </c>
      <c r="AE172" t="str">
        <f>INDEX('Category Mapping'!$B$2:$B$29,MATCH('Source Data'!A172,'Category Mapping'!$A$2:$A$29,0))</f>
        <v>Weekday</v>
      </c>
      <c r="AF172" t="str">
        <f>INDEX('Category Mapping'!$C$2:$C$29,MATCH('Source Data'!A172,'Category Mapping'!$A$2:$A$29,0))</f>
        <v>Industry</v>
      </c>
      <c r="AG172" t="str">
        <f>INDEX('Category Mapping'!$D$2:$D$29,MATCH('Source Data'!A172,'Category Mapping'!$A$2:$A$29,0))</f>
        <v>Industry</v>
      </c>
    </row>
    <row r="173" spans="1:33" x14ac:dyDescent="0.25">
      <c r="A173" s="14" t="s">
        <v>84</v>
      </c>
      <c r="B173" s="15">
        <v>2019</v>
      </c>
      <c r="C173" s="15">
        <v>19</v>
      </c>
      <c r="D173" s="15" t="s">
        <v>208</v>
      </c>
      <c r="E173" s="15">
        <v>3</v>
      </c>
      <c r="F173" s="30">
        <v>664000000</v>
      </c>
      <c r="G173" s="30">
        <v>663000000</v>
      </c>
      <c r="H173" s="30">
        <v>663000000</v>
      </c>
      <c r="I173" s="30">
        <v>663000000</v>
      </c>
      <c r="J173" s="30">
        <v>665000000</v>
      </c>
      <c r="K173" s="30">
        <v>670000000</v>
      </c>
      <c r="L173" s="30">
        <v>677000000</v>
      </c>
      <c r="M173" s="30">
        <v>684000000</v>
      </c>
      <c r="N173" s="30">
        <v>686000000</v>
      </c>
      <c r="O173" s="30">
        <v>685000000</v>
      </c>
      <c r="P173" s="30">
        <v>682000000</v>
      </c>
      <c r="Q173" s="30">
        <v>680000000</v>
      </c>
      <c r="R173" s="30">
        <v>678000000</v>
      </c>
      <c r="S173" s="30">
        <v>677000000</v>
      </c>
      <c r="T173" s="30">
        <v>678000000</v>
      </c>
      <c r="U173" s="30">
        <v>684000000</v>
      </c>
      <c r="V173" s="30">
        <v>691000000</v>
      </c>
      <c r="W173" s="30">
        <v>692000000</v>
      </c>
      <c r="X173" s="30">
        <v>689000000</v>
      </c>
      <c r="Y173" s="30">
        <v>685000000</v>
      </c>
      <c r="Z173" s="30">
        <v>680000000</v>
      </c>
      <c r="AA173" s="30">
        <v>674000000</v>
      </c>
      <c r="AB173" s="30">
        <v>668000000</v>
      </c>
      <c r="AC173" s="31">
        <v>665000000</v>
      </c>
      <c r="AD173" t="str">
        <f t="shared" si="2"/>
        <v>Spring</v>
      </c>
      <c r="AE173" t="str">
        <f>INDEX('Category Mapping'!$B$2:$B$29,MATCH('Source Data'!A173,'Category Mapping'!$A$2:$A$29,0))</f>
        <v>Weekday</v>
      </c>
      <c r="AF173" t="str">
        <f>INDEX('Category Mapping'!$C$2:$C$29,MATCH('Source Data'!A173,'Category Mapping'!$A$2:$A$29,0))</f>
        <v>Industry</v>
      </c>
      <c r="AG173" t="str">
        <f>INDEX('Category Mapping'!$D$2:$D$29,MATCH('Source Data'!A173,'Category Mapping'!$A$2:$A$29,0))</f>
        <v>Industry</v>
      </c>
    </row>
    <row r="174" spans="1:33" x14ac:dyDescent="0.25">
      <c r="A174" s="16" t="s">
        <v>84</v>
      </c>
      <c r="B174" s="17">
        <v>2019</v>
      </c>
      <c r="C174" s="17">
        <v>19</v>
      </c>
      <c r="D174" s="17" t="s">
        <v>208</v>
      </c>
      <c r="E174" s="17">
        <v>4</v>
      </c>
      <c r="F174" s="28">
        <v>638000000</v>
      </c>
      <c r="G174" s="28">
        <v>637000000</v>
      </c>
      <c r="H174" s="28">
        <v>637000000</v>
      </c>
      <c r="I174" s="28">
        <v>637000000</v>
      </c>
      <c r="J174" s="28">
        <v>639000000</v>
      </c>
      <c r="K174" s="28">
        <v>643000000</v>
      </c>
      <c r="L174" s="28">
        <v>650000000</v>
      </c>
      <c r="M174" s="28">
        <v>656000000</v>
      </c>
      <c r="N174" s="28">
        <v>658000000</v>
      </c>
      <c r="O174" s="28">
        <v>657000000</v>
      </c>
      <c r="P174" s="28">
        <v>654000000</v>
      </c>
      <c r="Q174" s="28">
        <v>652000000</v>
      </c>
      <c r="R174" s="28">
        <v>650000000</v>
      </c>
      <c r="S174" s="28">
        <v>650000000</v>
      </c>
      <c r="T174" s="28">
        <v>651000000</v>
      </c>
      <c r="U174" s="28">
        <v>656000000</v>
      </c>
      <c r="V174" s="28">
        <v>662000000</v>
      </c>
      <c r="W174" s="28">
        <v>663000000</v>
      </c>
      <c r="X174" s="28">
        <v>660000000</v>
      </c>
      <c r="Y174" s="28">
        <v>656000000</v>
      </c>
      <c r="Z174" s="28">
        <v>652000000</v>
      </c>
      <c r="AA174" s="28">
        <v>647000000</v>
      </c>
      <c r="AB174" s="28">
        <v>642000000</v>
      </c>
      <c r="AC174" s="29">
        <v>638000000</v>
      </c>
      <c r="AD174" t="str">
        <f t="shared" si="2"/>
        <v>Spring</v>
      </c>
      <c r="AE174" t="str">
        <f>INDEX('Category Mapping'!$B$2:$B$29,MATCH('Source Data'!A174,'Category Mapping'!$A$2:$A$29,0))</f>
        <v>Weekday</v>
      </c>
      <c r="AF174" t="str">
        <f>INDEX('Category Mapping'!$C$2:$C$29,MATCH('Source Data'!A174,'Category Mapping'!$A$2:$A$29,0))</f>
        <v>Industry</v>
      </c>
      <c r="AG174" t="str">
        <f>INDEX('Category Mapping'!$D$2:$D$29,MATCH('Source Data'!A174,'Category Mapping'!$A$2:$A$29,0))</f>
        <v>Industry</v>
      </c>
    </row>
    <row r="175" spans="1:33" x14ac:dyDescent="0.25">
      <c r="A175" s="14" t="s">
        <v>84</v>
      </c>
      <c r="B175" s="15">
        <v>2019</v>
      </c>
      <c r="C175" s="15">
        <v>19</v>
      </c>
      <c r="D175" s="15" t="s">
        <v>208</v>
      </c>
      <c r="E175" s="15">
        <v>5</v>
      </c>
      <c r="F175" s="30">
        <v>646000000</v>
      </c>
      <c r="G175" s="30">
        <v>645000000</v>
      </c>
      <c r="H175" s="30">
        <v>645000000</v>
      </c>
      <c r="I175" s="30">
        <v>645000000</v>
      </c>
      <c r="J175" s="30">
        <v>647000000</v>
      </c>
      <c r="K175" s="30">
        <v>652000000</v>
      </c>
      <c r="L175" s="30">
        <v>659000000</v>
      </c>
      <c r="M175" s="30">
        <v>665000000</v>
      </c>
      <c r="N175" s="30">
        <v>667000000</v>
      </c>
      <c r="O175" s="30">
        <v>666000000</v>
      </c>
      <c r="P175" s="30">
        <v>664000000</v>
      </c>
      <c r="Q175" s="30">
        <v>662000000</v>
      </c>
      <c r="R175" s="30">
        <v>659000000</v>
      </c>
      <c r="S175" s="30">
        <v>659000000</v>
      </c>
      <c r="T175" s="30">
        <v>660000000</v>
      </c>
      <c r="U175" s="30">
        <v>665000000</v>
      </c>
      <c r="V175" s="30">
        <v>672000000</v>
      </c>
      <c r="W175" s="30">
        <v>673000000</v>
      </c>
      <c r="X175" s="30">
        <v>670000000</v>
      </c>
      <c r="Y175" s="30">
        <v>666000000</v>
      </c>
      <c r="Z175" s="30">
        <v>661000000</v>
      </c>
      <c r="AA175" s="30">
        <v>656000000</v>
      </c>
      <c r="AB175" s="30">
        <v>650000000</v>
      </c>
      <c r="AC175" s="31">
        <v>647000000</v>
      </c>
      <c r="AD175" t="str">
        <f t="shared" si="2"/>
        <v>Spring</v>
      </c>
      <c r="AE175" t="str">
        <f>INDEX('Category Mapping'!$B$2:$B$29,MATCH('Source Data'!A175,'Category Mapping'!$A$2:$A$29,0))</f>
        <v>Weekday</v>
      </c>
      <c r="AF175" t="str">
        <f>INDEX('Category Mapping'!$C$2:$C$29,MATCH('Source Data'!A175,'Category Mapping'!$A$2:$A$29,0))</f>
        <v>Industry</v>
      </c>
      <c r="AG175" t="str">
        <f>INDEX('Category Mapping'!$D$2:$D$29,MATCH('Source Data'!A175,'Category Mapping'!$A$2:$A$29,0))</f>
        <v>Industry</v>
      </c>
    </row>
    <row r="176" spans="1:33" x14ac:dyDescent="0.25">
      <c r="A176" s="16" t="s">
        <v>84</v>
      </c>
      <c r="B176" s="17">
        <v>2019</v>
      </c>
      <c r="C176" s="17">
        <v>19</v>
      </c>
      <c r="D176" s="17" t="s">
        <v>208</v>
      </c>
      <c r="E176" s="17">
        <v>6</v>
      </c>
      <c r="F176" s="28">
        <v>659000000</v>
      </c>
      <c r="G176" s="28">
        <v>658000000</v>
      </c>
      <c r="H176" s="28">
        <v>658000000</v>
      </c>
      <c r="I176" s="28">
        <v>658000000</v>
      </c>
      <c r="J176" s="28">
        <v>660000000</v>
      </c>
      <c r="K176" s="28">
        <v>665000000</v>
      </c>
      <c r="L176" s="28">
        <v>673000000</v>
      </c>
      <c r="M176" s="28">
        <v>679000000</v>
      </c>
      <c r="N176" s="28">
        <v>682000000</v>
      </c>
      <c r="O176" s="28">
        <v>680000000</v>
      </c>
      <c r="P176" s="28">
        <v>678000000</v>
      </c>
      <c r="Q176" s="28">
        <v>675000000</v>
      </c>
      <c r="R176" s="28">
        <v>673000000</v>
      </c>
      <c r="S176" s="28">
        <v>673000000</v>
      </c>
      <c r="T176" s="28">
        <v>674000000</v>
      </c>
      <c r="U176" s="28">
        <v>680000000</v>
      </c>
      <c r="V176" s="28">
        <v>686000000</v>
      </c>
      <c r="W176" s="28">
        <v>688000000</v>
      </c>
      <c r="X176" s="28">
        <v>684000000</v>
      </c>
      <c r="Y176" s="28">
        <v>680000000</v>
      </c>
      <c r="Z176" s="28">
        <v>675000000</v>
      </c>
      <c r="AA176" s="28">
        <v>669000000</v>
      </c>
      <c r="AB176" s="28">
        <v>664000000</v>
      </c>
      <c r="AC176" s="29">
        <v>660000000</v>
      </c>
      <c r="AD176" t="str">
        <f t="shared" si="2"/>
        <v>Summer</v>
      </c>
      <c r="AE176" t="str">
        <f>INDEX('Category Mapping'!$B$2:$B$29,MATCH('Source Data'!A176,'Category Mapping'!$A$2:$A$29,0))</f>
        <v>Weekday</v>
      </c>
      <c r="AF176" t="str">
        <f>INDEX('Category Mapping'!$C$2:$C$29,MATCH('Source Data'!A176,'Category Mapping'!$A$2:$A$29,0))</f>
        <v>Industry</v>
      </c>
      <c r="AG176" t="str">
        <f>INDEX('Category Mapping'!$D$2:$D$29,MATCH('Source Data'!A176,'Category Mapping'!$A$2:$A$29,0))</f>
        <v>Industry</v>
      </c>
    </row>
    <row r="177" spans="1:33" x14ac:dyDescent="0.25">
      <c r="A177" s="14" t="s">
        <v>84</v>
      </c>
      <c r="B177" s="15">
        <v>2019</v>
      </c>
      <c r="C177" s="15">
        <v>19</v>
      </c>
      <c r="D177" s="15" t="s">
        <v>208</v>
      </c>
      <c r="E177" s="15">
        <v>7</v>
      </c>
      <c r="F177" s="30">
        <v>618000000</v>
      </c>
      <c r="G177" s="30">
        <v>617000000</v>
      </c>
      <c r="H177" s="30">
        <v>617000000</v>
      </c>
      <c r="I177" s="30">
        <v>617000000</v>
      </c>
      <c r="J177" s="30">
        <v>619000000</v>
      </c>
      <c r="K177" s="30">
        <v>623000000</v>
      </c>
      <c r="L177" s="30">
        <v>630000000</v>
      </c>
      <c r="M177" s="30">
        <v>637000000</v>
      </c>
      <c r="N177" s="30">
        <v>639000000</v>
      </c>
      <c r="O177" s="30">
        <v>638000000</v>
      </c>
      <c r="P177" s="30">
        <v>635000000</v>
      </c>
      <c r="Q177" s="30">
        <v>633000000</v>
      </c>
      <c r="R177" s="30">
        <v>631000000</v>
      </c>
      <c r="S177" s="30">
        <v>630000000</v>
      </c>
      <c r="T177" s="30">
        <v>631000000</v>
      </c>
      <c r="U177" s="30">
        <v>637000000</v>
      </c>
      <c r="V177" s="30">
        <v>643000000</v>
      </c>
      <c r="W177" s="30">
        <v>644000000</v>
      </c>
      <c r="X177" s="30">
        <v>641000000</v>
      </c>
      <c r="Y177" s="30">
        <v>637000000</v>
      </c>
      <c r="Z177" s="30">
        <v>633000000</v>
      </c>
      <c r="AA177" s="30">
        <v>627000000</v>
      </c>
      <c r="AB177" s="30">
        <v>622000000</v>
      </c>
      <c r="AC177" s="31">
        <v>619000000</v>
      </c>
      <c r="AD177" t="str">
        <f t="shared" si="2"/>
        <v>Summer</v>
      </c>
      <c r="AE177" t="str">
        <f>INDEX('Category Mapping'!$B$2:$B$29,MATCH('Source Data'!A177,'Category Mapping'!$A$2:$A$29,0))</f>
        <v>Weekday</v>
      </c>
      <c r="AF177" t="str">
        <f>INDEX('Category Mapping'!$C$2:$C$29,MATCH('Source Data'!A177,'Category Mapping'!$A$2:$A$29,0))</f>
        <v>Industry</v>
      </c>
      <c r="AG177" t="str">
        <f>INDEX('Category Mapping'!$D$2:$D$29,MATCH('Source Data'!A177,'Category Mapping'!$A$2:$A$29,0))</f>
        <v>Industry</v>
      </c>
    </row>
    <row r="178" spans="1:33" x14ac:dyDescent="0.25">
      <c r="A178" s="16" t="s">
        <v>84</v>
      </c>
      <c r="B178" s="17">
        <v>2019</v>
      </c>
      <c r="C178" s="17">
        <v>19</v>
      </c>
      <c r="D178" s="17" t="s">
        <v>208</v>
      </c>
      <c r="E178" s="17">
        <v>8</v>
      </c>
      <c r="F178" s="28">
        <v>652000000</v>
      </c>
      <c r="G178" s="28">
        <v>651000000</v>
      </c>
      <c r="H178" s="28">
        <v>651000000</v>
      </c>
      <c r="I178" s="28">
        <v>651000000</v>
      </c>
      <c r="J178" s="28">
        <v>653000000</v>
      </c>
      <c r="K178" s="28">
        <v>658000000</v>
      </c>
      <c r="L178" s="28">
        <v>666000000</v>
      </c>
      <c r="M178" s="28">
        <v>673000000</v>
      </c>
      <c r="N178" s="28">
        <v>675000000</v>
      </c>
      <c r="O178" s="28">
        <v>674000000</v>
      </c>
      <c r="P178" s="28">
        <v>671000000</v>
      </c>
      <c r="Q178" s="28">
        <v>669000000</v>
      </c>
      <c r="R178" s="28">
        <v>667000000</v>
      </c>
      <c r="S178" s="28">
        <v>666000000</v>
      </c>
      <c r="T178" s="28">
        <v>667000000</v>
      </c>
      <c r="U178" s="28">
        <v>673000000</v>
      </c>
      <c r="V178" s="28">
        <v>680000000</v>
      </c>
      <c r="W178" s="28">
        <v>682000000</v>
      </c>
      <c r="X178" s="28">
        <v>678000000</v>
      </c>
      <c r="Y178" s="28">
        <v>673000000</v>
      </c>
      <c r="Z178" s="28">
        <v>669000000</v>
      </c>
      <c r="AA178" s="28">
        <v>663000000</v>
      </c>
      <c r="AB178" s="28">
        <v>657000000</v>
      </c>
      <c r="AC178" s="29">
        <v>653000000</v>
      </c>
      <c r="AD178" t="str">
        <f t="shared" si="2"/>
        <v>Summer</v>
      </c>
      <c r="AE178" t="str">
        <f>INDEX('Category Mapping'!$B$2:$B$29,MATCH('Source Data'!A178,'Category Mapping'!$A$2:$A$29,0))</f>
        <v>Weekday</v>
      </c>
      <c r="AF178" t="str">
        <f>INDEX('Category Mapping'!$C$2:$C$29,MATCH('Source Data'!A178,'Category Mapping'!$A$2:$A$29,0))</f>
        <v>Industry</v>
      </c>
      <c r="AG178" t="str">
        <f>INDEX('Category Mapping'!$D$2:$D$29,MATCH('Source Data'!A178,'Category Mapping'!$A$2:$A$29,0))</f>
        <v>Industry</v>
      </c>
    </row>
    <row r="179" spans="1:33" x14ac:dyDescent="0.25">
      <c r="A179" s="14" t="s">
        <v>84</v>
      </c>
      <c r="B179" s="15">
        <v>2019</v>
      </c>
      <c r="C179" s="15">
        <v>19</v>
      </c>
      <c r="D179" s="15" t="s">
        <v>208</v>
      </c>
      <c r="E179" s="15">
        <v>9</v>
      </c>
      <c r="F179" s="30">
        <v>657000000</v>
      </c>
      <c r="G179" s="30">
        <v>656000000</v>
      </c>
      <c r="H179" s="30">
        <v>655000000</v>
      </c>
      <c r="I179" s="30">
        <v>656000000</v>
      </c>
      <c r="J179" s="30">
        <v>658000000</v>
      </c>
      <c r="K179" s="30">
        <v>662000000</v>
      </c>
      <c r="L179" s="30">
        <v>670000000</v>
      </c>
      <c r="M179" s="30">
        <v>677000000</v>
      </c>
      <c r="N179" s="30">
        <v>679000000</v>
      </c>
      <c r="O179" s="30">
        <v>678000000</v>
      </c>
      <c r="P179" s="30">
        <v>675000000</v>
      </c>
      <c r="Q179" s="30">
        <v>673000000</v>
      </c>
      <c r="R179" s="30">
        <v>671000000</v>
      </c>
      <c r="S179" s="30">
        <v>670000000</v>
      </c>
      <c r="T179" s="30">
        <v>671000000</v>
      </c>
      <c r="U179" s="30">
        <v>677000000</v>
      </c>
      <c r="V179" s="30">
        <v>683000000</v>
      </c>
      <c r="W179" s="30">
        <v>685000000</v>
      </c>
      <c r="X179" s="30">
        <v>681000000</v>
      </c>
      <c r="Y179" s="30">
        <v>677000000</v>
      </c>
      <c r="Z179" s="30">
        <v>672000000</v>
      </c>
      <c r="AA179" s="30">
        <v>667000000</v>
      </c>
      <c r="AB179" s="30">
        <v>661000000</v>
      </c>
      <c r="AC179" s="31">
        <v>657000000</v>
      </c>
      <c r="AD179" t="str">
        <f t="shared" si="2"/>
        <v>Fall</v>
      </c>
      <c r="AE179" t="str">
        <f>INDEX('Category Mapping'!$B$2:$B$29,MATCH('Source Data'!A179,'Category Mapping'!$A$2:$A$29,0))</f>
        <v>Weekday</v>
      </c>
      <c r="AF179" t="str">
        <f>INDEX('Category Mapping'!$C$2:$C$29,MATCH('Source Data'!A179,'Category Mapping'!$A$2:$A$29,0))</f>
        <v>Industry</v>
      </c>
      <c r="AG179" t="str">
        <f>INDEX('Category Mapping'!$D$2:$D$29,MATCH('Source Data'!A179,'Category Mapping'!$A$2:$A$29,0))</f>
        <v>Industry</v>
      </c>
    </row>
    <row r="180" spans="1:33" x14ac:dyDescent="0.25">
      <c r="A180" s="16" t="s">
        <v>84</v>
      </c>
      <c r="B180" s="17">
        <v>2019</v>
      </c>
      <c r="C180" s="17">
        <v>19</v>
      </c>
      <c r="D180" s="17" t="s">
        <v>208</v>
      </c>
      <c r="E180" s="17">
        <v>10</v>
      </c>
      <c r="F180" s="28">
        <v>653000000</v>
      </c>
      <c r="G180" s="28">
        <v>652000000</v>
      </c>
      <c r="H180" s="28">
        <v>652000000</v>
      </c>
      <c r="I180" s="28">
        <v>652000000</v>
      </c>
      <c r="J180" s="28">
        <v>654000000</v>
      </c>
      <c r="K180" s="28">
        <v>659000000</v>
      </c>
      <c r="L180" s="28">
        <v>666000000</v>
      </c>
      <c r="M180" s="28">
        <v>673000000</v>
      </c>
      <c r="N180" s="28">
        <v>675000000</v>
      </c>
      <c r="O180" s="28">
        <v>674000000</v>
      </c>
      <c r="P180" s="28">
        <v>671000000</v>
      </c>
      <c r="Q180" s="28">
        <v>669000000</v>
      </c>
      <c r="R180" s="28">
        <v>667000000</v>
      </c>
      <c r="S180" s="28">
        <v>666000000</v>
      </c>
      <c r="T180" s="28">
        <v>667000000</v>
      </c>
      <c r="U180" s="28">
        <v>673000000</v>
      </c>
      <c r="V180" s="28">
        <v>680000000</v>
      </c>
      <c r="W180" s="28">
        <v>681000000</v>
      </c>
      <c r="X180" s="28">
        <v>678000000</v>
      </c>
      <c r="Y180" s="28">
        <v>673000000</v>
      </c>
      <c r="Z180" s="28">
        <v>669000000</v>
      </c>
      <c r="AA180" s="28">
        <v>663000000</v>
      </c>
      <c r="AB180" s="28">
        <v>657000000</v>
      </c>
      <c r="AC180" s="29">
        <v>654000000</v>
      </c>
      <c r="AD180" t="str">
        <f t="shared" si="2"/>
        <v>Fall</v>
      </c>
      <c r="AE180" t="str">
        <f>INDEX('Category Mapping'!$B$2:$B$29,MATCH('Source Data'!A180,'Category Mapping'!$A$2:$A$29,0))</f>
        <v>Weekday</v>
      </c>
      <c r="AF180" t="str">
        <f>INDEX('Category Mapping'!$C$2:$C$29,MATCH('Source Data'!A180,'Category Mapping'!$A$2:$A$29,0))</f>
        <v>Industry</v>
      </c>
      <c r="AG180" t="str">
        <f>INDEX('Category Mapping'!$D$2:$D$29,MATCH('Source Data'!A180,'Category Mapping'!$A$2:$A$29,0))</f>
        <v>Industry</v>
      </c>
    </row>
    <row r="181" spans="1:33" x14ac:dyDescent="0.25">
      <c r="A181" s="14" t="s">
        <v>84</v>
      </c>
      <c r="B181" s="15">
        <v>2019</v>
      </c>
      <c r="C181" s="15">
        <v>19</v>
      </c>
      <c r="D181" s="15" t="s">
        <v>208</v>
      </c>
      <c r="E181" s="15">
        <v>11</v>
      </c>
      <c r="F181" s="30">
        <v>661000000</v>
      </c>
      <c r="G181" s="30">
        <v>660000000</v>
      </c>
      <c r="H181" s="30">
        <v>660000000</v>
      </c>
      <c r="I181" s="30">
        <v>660000000</v>
      </c>
      <c r="J181" s="30">
        <v>662000000</v>
      </c>
      <c r="K181" s="30">
        <v>667000000</v>
      </c>
      <c r="L181" s="30">
        <v>675000000</v>
      </c>
      <c r="M181" s="30">
        <v>681000000</v>
      </c>
      <c r="N181" s="30">
        <v>683000000</v>
      </c>
      <c r="O181" s="30">
        <v>682000000</v>
      </c>
      <c r="P181" s="30">
        <v>680000000</v>
      </c>
      <c r="Q181" s="30">
        <v>677000000</v>
      </c>
      <c r="R181" s="30">
        <v>675000000</v>
      </c>
      <c r="S181" s="30">
        <v>674000000</v>
      </c>
      <c r="T181" s="30">
        <v>675000000</v>
      </c>
      <c r="U181" s="30">
        <v>681000000</v>
      </c>
      <c r="V181" s="30">
        <v>688000000</v>
      </c>
      <c r="W181" s="30">
        <v>690000000</v>
      </c>
      <c r="X181" s="30">
        <v>686000000</v>
      </c>
      <c r="Y181" s="30">
        <v>682000000</v>
      </c>
      <c r="Z181" s="30">
        <v>677000000</v>
      </c>
      <c r="AA181" s="30">
        <v>671000000</v>
      </c>
      <c r="AB181" s="30">
        <v>665000000</v>
      </c>
      <c r="AC181" s="31">
        <v>662000000</v>
      </c>
      <c r="AD181" t="str">
        <f t="shared" si="2"/>
        <v>Winter</v>
      </c>
      <c r="AE181" t="str">
        <f>INDEX('Category Mapping'!$B$2:$B$29,MATCH('Source Data'!A181,'Category Mapping'!$A$2:$A$29,0))</f>
        <v>Weekday</v>
      </c>
      <c r="AF181" t="str">
        <f>INDEX('Category Mapping'!$C$2:$C$29,MATCH('Source Data'!A181,'Category Mapping'!$A$2:$A$29,0))</f>
        <v>Industry</v>
      </c>
      <c r="AG181" t="str">
        <f>INDEX('Category Mapping'!$D$2:$D$29,MATCH('Source Data'!A181,'Category Mapping'!$A$2:$A$29,0))</f>
        <v>Industry</v>
      </c>
    </row>
    <row r="182" spans="1:33" x14ac:dyDescent="0.25">
      <c r="A182" s="16" t="s">
        <v>84</v>
      </c>
      <c r="B182" s="17">
        <v>2019</v>
      </c>
      <c r="C182" s="17">
        <v>19</v>
      </c>
      <c r="D182" s="17" t="s">
        <v>208</v>
      </c>
      <c r="E182" s="17">
        <v>12</v>
      </c>
      <c r="F182" s="28">
        <v>621000000</v>
      </c>
      <c r="G182" s="28">
        <v>621000000</v>
      </c>
      <c r="H182" s="28">
        <v>620000000</v>
      </c>
      <c r="I182" s="28">
        <v>620000000</v>
      </c>
      <c r="J182" s="28">
        <v>622000000</v>
      </c>
      <c r="K182" s="28">
        <v>626000000</v>
      </c>
      <c r="L182" s="28">
        <v>633000000</v>
      </c>
      <c r="M182" s="28">
        <v>639000000</v>
      </c>
      <c r="N182" s="28">
        <v>641000000</v>
      </c>
      <c r="O182" s="28">
        <v>640000000</v>
      </c>
      <c r="P182" s="28">
        <v>637000000</v>
      </c>
      <c r="Q182" s="28">
        <v>635000000</v>
      </c>
      <c r="R182" s="28">
        <v>634000000</v>
      </c>
      <c r="S182" s="28">
        <v>633000000</v>
      </c>
      <c r="T182" s="28">
        <v>634000000</v>
      </c>
      <c r="U182" s="28">
        <v>639000000</v>
      </c>
      <c r="V182" s="28">
        <v>645000000</v>
      </c>
      <c r="W182" s="28">
        <v>646000000</v>
      </c>
      <c r="X182" s="28">
        <v>643000000</v>
      </c>
      <c r="Y182" s="28">
        <v>639000000</v>
      </c>
      <c r="Z182" s="28">
        <v>635000000</v>
      </c>
      <c r="AA182" s="28">
        <v>630000000</v>
      </c>
      <c r="AB182" s="28">
        <v>625000000</v>
      </c>
      <c r="AC182" s="29">
        <v>622000000</v>
      </c>
      <c r="AD182" t="str">
        <f t="shared" si="2"/>
        <v>Winter</v>
      </c>
      <c r="AE182" t="str">
        <f>INDEX('Category Mapping'!$B$2:$B$29,MATCH('Source Data'!A182,'Category Mapping'!$A$2:$A$29,0))</f>
        <v>Weekday</v>
      </c>
      <c r="AF182" t="str">
        <f>INDEX('Category Mapping'!$C$2:$C$29,MATCH('Source Data'!A182,'Category Mapping'!$A$2:$A$29,0))</f>
        <v>Industry</v>
      </c>
      <c r="AG182" t="str">
        <f>INDEX('Category Mapping'!$D$2:$D$29,MATCH('Source Data'!A182,'Category Mapping'!$A$2:$A$29,0))</f>
        <v>Industry</v>
      </c>
    </row>
    <row r="183" spans="1:33" x14ac:dyDescent="0.25">
      <c r="A183" s="14" t="s">
        <v>85</v>
      </c>
      <c r="B183" s="15">
        <v>2019</v>
      </c>
      <c r="C183" s="15">
        <v>19</v>
      </c>
      <c r="D183" s="15" t="s">
        <v>208</v>
      </c>
      <c r="E183" s="15">
        <v>1</v>
      </c>
      <c r="F183" s="30">
        <v>343000000</v>
      </c>
      <c r="G183" s="30">
        <v>342000000</v>
      </c>
      <c r="H183" s="30">
        <v>342000000</v>
      </c>
      <c r="I183" s="30">
        <v>343000000</v>
      </c>
      <c r="J183" s="30">
        <v>346000000</v>
      </c>
      <c r="K183" s="30">
        <v>349000000</v>
      </c>
      <c r="L183" s="30">
        <v>351000000</v>
      </c>
      <c r="M183" s="30">
        <v>351000000</v>
      </c>
      <c r="N183" s="30">
        <v>350000000</v>
      </c>
      <c r="O183" s="30">
        <v>349000000</v>
      </c>
      <c r="P183" s="30">
        <v>348000000</v>
      </c>
      <c r="Q183" s="30">
        <v>347000000</v>
      </c>
      <c r="R183" s="30">
        <v>347000000</v>
      </c>
      <c r="S183" s="30">
        <v>347000000</v>
      </c>
      <c r="T183" s="30">
        <v>349000000</v>
      </c>
      <c r="U183" s="30">
        <v>352000000</v>
      </c>
      <c r="V183" s="30">
        <v>357000000</v>
      </c>
      <c r="W183" s="30">
        <v>357000000</v>
      </c>
      <c r="X183" s="30">
        <v>356000000</v>
      </c>
      <c r="Y183" s="30">
        <v>354000000</v>
      </c>
      <c r="Z183" s="30">
        <v>352000000</v>
      </c>
      <c r="AA183" s="30">
        <v>349000000</v>
      </c>
      <c r="AB183" s="30">
        <v>346000000</v>
      </c>
      <c r="AC183" s="31">
        <v>344000000</v>
      </c>
      <c r="AD183" t="str">
        <f t="shared" si="2"/>
        <v>Winter</v>
      </c>
      <c r="AE183" t="str">
        <f>INDEX('Category Mapping'!$B$2:$B$29,MATCH('Source Data'!A183,'Category Mapping'!$A$2:$A$29,0))</f>
        <v>Weekend</v>
      </c>
      <c r="AF183" t="str">
        <f>INDEX('Category Mapping'!$C$2:$C$29,MATCH('Source Data'!A183,'Category Mapping'!$A$2:$A$29,0))</f>
        <v>Industry</v>
      </c>
      <c r="AG183" t="str">
        <f>INDEX('Category Mapping'!$D$2:$D$29,MATCH('Source Data'!A183,'Category Mapping'!$A$2:$A$29,0))</f>
        <v>Industry</v>
      </c>
    </row>
    <row r="184" spans="1:33" x14ac:dyDescent="0.25">
      <c r="A184" s="16" t="s">
        <v>85</v>
      </c>
      <c r="B184" s="17">
        <v>2019</v>
      </c>
      <c r="C184" s="17">
        <v>19</v>
      </c>
      <c r="D184" s="17" t="s">
        <v>208</v>
      </c>
      <c r="E184" s="17">
        <v>2</v>
      </c>
      <c r="F184" s="28">
        <v>344000000</v>
      </c>
      <c r="G184" s="28">
        <v>343000000</v>
      </c>
      <c r="H184" s="28">
        <v>343000000</v>
      </c>
      <c r="I184" s="28">
        <v>344000000</v>
      </c>
      <c r="J184" s="28">
        <v>347000000</v>
      </c>
      <c r="K184" s="28">
        <v>350000000</v>
      </c>
      <c r="L184" s="28">
        <v>352000000</v>
      </c>
      <c r="M184" s="28">
        <v>352000000</v>
      </c>
      <c r="N184" s="28">
        <v>352000000</v>
      </c>
      <c r="O184" s="28">
        <v>350000000</v>
      </c>
      <c r="P184" s="28">
        <v>349000000</v>
      </c>
      <c r="Q184" s="28">
        <v>349000000</v>
      </c>
      <c r="R184" s="28">
        <v>348000000</v>
      </c>
      <c r="S184" s="28">
        <v>349000000</v>
      </c>
      <c r="T184" s="28">
        <v>350000000</v>
      </c>
      <c r="U184" s="28">
        <v>354000000</v>
      </c>
      <c r="V184" s="28">
        <v>358000000</v>
      </c>
      <c r="W184" s="28">
        <v>359000000</v>
      </c>
      <c r="X184" s="28">
        <v>357000000</v>
      </c>
      <c r="Y184" s="28">
        <v>355000000</v>
      </c>
      <c r="Z184" s="28">
        <v>353000000</v>
      </c>
      <c r="AA184" s="28">
        <v>350000000</v>
      </c>
      <c r="AB184" s="28">
        <v>347000000</v>
      </c>
      <c r="AC184" s="29">
        <v>345000000</v>
      </c>
      <c r="AD184" t="str">
        <f t="shared" si="2"/>
        <v>Winter</v>
      </c>
      <c r="AE184" t="str">
        <f>INDEX('Category Mapping'!$B$2:$B$29,MATCH('Source Data'!A184,'Category Mapping'!$A$2:$A$29,0))</f>
        <v>Weekend</v>
      </c>
      <c r="AF184" t="str">
        <f>INDEX('Category Mapping'!$C$2:$C$29,MATCH('Source Data'!A184,'Category Mapping'!$A$2:$A$29,0))</f>
        <v>Industry</v>
      </c>
      <c r="AG184" t="str">
        <f>INDEX('Category Mapping'!$D$2:$D$29,MATCH('Source Data'!A184,'Category Mapping'!$A$2:$A$29,0))</f>
        <v>Industry</v>
      </c>
    </row>
    <row r="185" spans="1:33" x14ac:dyDescent="0.25">
      <c r="A185" s="14" t="s">
        <v>85</v>
      </c>
      <c r="B185" s="15">
        <v>2019</v>
      </c>
      <c r="C185" s="15">
        <v>19</v>
      </c>
      <c r="D185" s="15" t="s">
        <v>208</v>
      </c>
      <c r="E185" s="15">
        <v>3</v>
      </c>
      <c r="F185" s="30">
        <v>344000000</v>
      </c>
      <c r="G185" s="30">
        <v>344000000</v>
      </c>
      <c r="H185" s="30">
        <v>344000000</v>
      </c>
      <c r="I185" s="30">
        <v>345000000</v>
      </c>
      <c r="J185" s="30">
        <v>347000000</v>
      </c>
      <c r="K185" s="30">
        <v>351000000</v>
      </c>
      <c r="L185" s="30">
        <v>352000000</v>
      </c>
      <c r="M185" s="30">
        <v>353000000</v>
      </c>
      <c r="N185" s="30">
        <v>352000000</v>
      </c>
      <c r="O185" s="30">
        <v>351000000</v>
      </c>
      <c r="P185" s="30">
        <v>350000000</v>
      </c>
      <c r="Q185" s="30">
        <v>349000000</v>
      </c>
      <c r="R185" s="30">
        <v>349000000</v>
      </c>
      <c r="S185" s="30">
        <v>349000000</v>
      </c>
      <c r="T185" s="30">
        <v>350000000</v>
      </c>
      <c r="U185" s="30">
        <v>354000000</v>
      </c>
      <c r="V185" s="30">
        <v>358000000</v>
      </c>
      <c r="W185" s="30">
        <v>359000000</v>
      </c>
      <c r="X185" s="30">
        <v>358000000</v>
      </c>
      <c r="Y185" s="30">
        <v>356000000</v>
      </c>
      <c r="Z185" s="30">
        <v>353000000</v>
      </c>
      <c r="AA185" s="30">
        <v>350000000</v>
      </c>
      <c r="AB185" s="30">
        <v>347000000</v>
      </c>
      <c r="AC185" s="31">
        <v>345000000</v>
      </c>
      <c r="AD185" t="str">
        <f t="shared" si="2"/>
        <v>Spring</v>
      </c>
      <c r="AE185" t="str">
        <f>INDEX('Category Mapping'!$B$2:$B$29,MATCH('Source Data'!A185,'Category Mapping'!$A$2:$A$29,0))</f>
        <v>Weekend</v>
      </c>
      <c r="AF185" t="str">
        <f>INDEX('Category Mapping'!$C$2:$C$29,MATCH('Source Data'!A185,'Category Mapping'!$A$2:$A$29,0))</f>
        <v>Industry</v>
      </c>
      <c r="AG185" t="str">
        <f>INDEX('Category Mapping'!$D$2:$D$29,MATCH('Source Data'!A185,'Category Mapping'!$A$2:$A$29,0))</f>
        <v>Industry</v>
      </c>
    </row>
    <row r="186" spans="1:33" x14ac:dyDescent="0.25">
      <c r="A186" s="16" t="s">
        <v>85</v>
      </c>
      <c r="B186" s="17">
        <v>2019</v>
      </c>
      <c r="C186" s="17">
        <v>19</v>
      </c>
      <c r="D186" s="17" t="s">
        <v>208</v>
      </c>
      <c r="E186" s="17">
        <v>4</v>
      </c>
      <c r="F186" s="28">
        <v>331000000</v>
      </c>
      <c r="G186" s="28">
        <v>330000000</v>
      </c>
      <c r="H186" s="28">
        <v>331000000</v>
      </c>
      <c r="I186" s="28">
        <v>331000000</v>
      </c>
      <c r="J186" s="28">
        <v>333000000</v>
      </c>
      <c r="K186" s="28">
        <v>337000000</v>
      </c>
      <c r="L186" s="28">
        <v>338000000</v>
      </c>
      <c r="M186" s="28">
        <v>338000000</v>
      </c>
      <c r="N186" s="28">
        <v>338000000</v>
      </c>
      <c r="O186" s="28">
        <v>337000000</v>
      </c>
      <c r="P186" s="28">
        <v>336000000</v>
      </c>
      <c r="Q186" s="28">
        <v>335000000</v>
      </c>
      <c r="R186" s="28">
        <v>335000000</v>
      </c>
      <c r="S186" s="28">
        <v>335000000</v>
      </c>
      <c r="T186" s="28">
        <v>336000000</v>
      </c>
      <c r="U186" s="28">
        <v>340000000</v>
      </c>
      <c r="V186" s="28">
        <v>343000000</v>
      </c>
      <c r="W186" s="28">
        <v>344000000</v>
      </c>
      <c r="X186" s="28">
        <v>343000000</v>
      </c>
      <c r="Y186" s="28">
        <v>341000000</v>
      </c>
      <c r="Z186" s="28">
        <v>339000000</v>
      </c>
      <c r="AA186" s="28">
        <v>336000000</v>
      </c>
      <c r="AB186" s="28">
        <v>333000000</v>
      </c>
      <c r="AC186" s="29">
        <v>332000000</v>
      </c>
      <c r="AD186" t="str">
        <f t="shared" si="2"/>
        <v>Spring</v>
      </c>
      <c r="AE186" t="str">
        <f>INDEX('Category Mapping'!$B$2:$B$29,MATCH('Source Data'!A186,'Category Mapping'!$A$2:$A$29,0))</f>
        <v>Weekend</v>
      </c>
      <c r="AF186" t="str">
        <f>INDEX('Category Mapping'!$C$2:$C$29,MATCH('Source Data'!A186,'Category Mapping'!$A$2:$A$29,0))</f>
        <v>Industry</v>
      </c>
      <c r="AG186" t="str">
        <f>INDEX('Category Mapping'!$D$2:$D$29,MATCH('Source Data'!A186,'Category Mapping'!$A$2:$A$29,0))</f>
        <v>Industry</v>
      </c>
    </row>
    <row r="187" spans="1:33" x14ac:dyDescent="0.25">
      <c r="A187" s="14" t="s">
        <v>85</v>
      </c>
      <c r="B187" s="15">
        <v>2019</v>
      </c>
      <c r="C187" s="15">
        <v>19</v>
      </c>
      <c r="D187" s="15" t="s">
        <v>208</v>
      </c>
      <c r="E187" s="15">
        <v>5</v>
      </c>
      <c r="F187" s="30">
        <v>335000000</v>
      </c>
      <c r="G187" s="30">
        <v>335000000</v>
      </c>
      <c r="H187" s="30">
        <v>335000000</v>
      </c>
      <c r="I187" s="30">
        <v>335000000</v>
      </c>
      <c r="J187" s="30">
        <v>338000000</v>
      </c>
      <c r="K187" s="30">
        <v>341000000</v>
      </c>
      <c r="L187" s="30">
        <v>343000000</v>
      </c>
      <c r="M187" s="30">
        <v>343000000</v>
      </c>
      <c r="N187" s="30">
        <v>342000000</v>
      </c>
      <c r="O187" s="30">
        <v>341000000</v>
      </c>
      <c r="P187" s="30">
        <v>340000000</v>
      </c>
      <c r="Q187" s="30">
        <v>340000000</v>
      </c>
      <c r="R187" s="30">
        <v>339000000</v>
      </c>
      <c r="S187" s="30">
        <v>340000000</v>
      </c>
      <c r="T187" s="30">
        <v>341000000</v>
      </c>
      <c r="U187" s="30">
        <v>344000000</v>
      </c>
      <c r="V187" s="30">
        <v>349000000</v>
      </c>
      <c r="W187" s="30">
        <v>349000000</v>
      </c>
      <c r="X187" s="30">
        <v>348000000</v>
      </c>
      <c r="Y187" s="30">
        <v>346000000</v>
      </c>
      <c r="Z187" s="30">
        <v>344000000</v>
      </c>
      <c r="AA187" s="30">
        <v>341000000</v>
      </c>
      <c r="AB187" s="30">
        <v>338000000</v>
      </c>
      <c r="AC187" s="31">
        <v>336000000</v>
      </c>
      <c r="AD187" t="str">
        <f t="shared" si="2"/>
        <v>Spring</v>
      </c>
      <c r="AE187" t="str">
        <f>INDEX('Category Mapping'!$B$2:$B$29,MATCH('Source Data'!A187,'Category Mapping'!$A$2:$A$29,0))</f>
        <v>Weekend</v>
      </c>
      <c r="AF187" t="str">
        <f>INDEX('Category Mapping'!$C$2:$C$29,MATCH('Source Data'!A187,'Category Mapping'!$A$2:$A$29,0))</f>
        <v>Industry</v>
      </c>
      <c r="AG187" t="str">
        <f>INDEX('Category Mapping'!$D$2:$D$29,MATCH('Source Data'!A187,'Category Mapping'!$A$2:$A$29,0))</f>
        <v>Industry</v>
      </c>
    </row>
    <row r="188" spans="1:33" x14ac:dyDescent="0.25">
      <c r="A188" s="16" t="s">
        <v>85</v>
      </c>
      <c r="B188" s="17">
        <v>2019</v>
      </c>
      <c r="C188" s="17">
        <v>19</v>
      </c>
      <c r="D188" s="17" t="s">
        <v>208</v>
      </c>
      <c r="E188" s="17">
        <v>6</v>
      </c>
      <c r="F188" s="28">
        <v>342000000</v>
      </c>
      <c r="G188" s="28">
        <v>341000000</v>
      </c>
      <c r="H188" s="28">
        <v>342000000</v>
      </c>
      <c r="I188" s="28">
        <v>342000000</v>
      </c>
      <c r="J188" s="28">
        <v>345000000</v>
      </c>
      <c r="K188" s="28">
        <v>348000000</v>
      </c>
      <c r="L188" s="28">
        <v>350000000</v>
      </c>
      <c r="M188" s="28">
        <v>350000000</v>
      </c>
      <c r="N188" s="28">
        <v>350000000</v>
      </c>
      <c r="O188" s="28">
        <v>348000000</v>
      </c>
      <c r="P188" s="28">
        <v>347000000</v>
      </c>
      <c r="Q188" s="28">
        <v>347000000</v>
      </c>
      <c r="R188" s="28">
        <v>346000000</v>
      </c>
      <c r="S188" s="28">
        <v>347000000</v>
      </c>
      <c r="T188" s="28">
        <v>348000000</v>
      </c>
      <c r="U188" s="28">
        <v>352000000</v>
      </c>
      <c r="V188" s="28">
        <v>356000000</v>
      </c>
      <c r="W188" s="28">
        <v>357000000</v>
      </c>
      <c r="X188" s="28">
        <v>355000000</v>
      </c>
      <c r="Y188" s="28">
        <v>353000000</v>
      </c>
      <c r="Z188" s="28">
        <v>351000000</v>
      </c>
      <c r="AA188" s="28">
        <v>348000000</v>
      </c>
      <c r="AB188" s="28">
        <v>345000000</v>
      </c>
      <c r="AC188" s="29">
        <v>343000000</v>
      </c>
      <c r="AD188" t="str">
        <f t="shared" si="2"/>
        <v>Summer</v>
      </c>
      <c r="AE188" t="str">
        <f>INDEX('Category Mapping'!$B$2:$B$29,MATCH('Source Data'!A188,'Category Mapping'!$A$2:$A$29,0))</f>
        <v>Weekend</v>
      </c>
      <c r="AF188" t="str">
        <f>INDEX('Category Mapping'!$C$2:$C$29,MATCH('Source Data'!A188,'Category Mapping'!$A$2:$A$29,0))</f>
        <v>Industry</v>
      </c>
      <c r="AG188" t="str">
        <f>INDEX('Category Mapping'!$D$2:$D$29,MATCH('Source Data'!A188,'Category Mapping'!$A$2:$A$29,0))</f>
        <v>Industry</v>
      </c>
    </row>
    <row r="189" spans="1:33" x14ac:dyDescent="0.25">
      <c r="A189" s="14" t="s">
        <v>85</v>
      </c>
      <c r="B189" s="15">
        <v>2019</v>
      </c>
      <c r="C189" s="15">
        <v>19</v>
      </c>
      <c r="D189" s="15" t="s">
        <v>208</v>
      </c>
      <c r="E189" s="15">
        <v>7</v>
      </c>
      <c r="F189" s="30">
        <v>320000000</v>
      </c>
      <c r="G189" s="30">
        <v>320000000</v>
      </c>
      <c r="H189" s="30">
        <v>320000000</v>
      </c>
      <c r="I189" s="30">
        <v>321000000</v>
      </c>
      <c r="J189" s="30">
        <v>323000000</v>
      </c>
      <c r="K189" s="30">
        <v>327000000</v>
      </c>
      <c r="L189" s="30">
        <v>328000000</v>
      </c>
      <c r="M189" s="30">
        <v>328000000</v>
      </c>
      <c r="N189" s="30">
        <v>328000000</v>
      </c>
      <c r="O189" s="30">
        <v>326000000</v>
      </c>
      <c r="P189" s="30">
        <v>326000000</v>
      </c>
      <c r="Q189" s="30">
        <v>325000000</v>
      </c>
      <c r="R189" s="30">
        <v>325000000</v>
      </c>
      <c r="S189" s="30">
        <v>325000000</v>
      </c>
      <c r="T189" s="30">
        <v>326000000</v>
      </c>
      <c r="U189" s="30">
        <v>330000000</v>
      </c>
      <c r="V189" s="30">
        <v>334000000</v>
      </c>
      <c r="W189" s="30">
        <v>334000000</v>
      </c>
      <c r="X189" s="30">
        <v>333000000</v>
      </c>
      <c r="Y189" s="30">
        <v>331000000</v>
      </c>
      <c r="Z189" s="30">
        <v>329000000</v>
      </c>
      <c r="AA189" s="30">
        <v>326000000</v>
      </c>
      <c r="AB189" s="30">
        <v>323000000</v>
      </c>
      <c r="AC189" s="31">
        <v>321000000</v>
      </c>
      <c r="AD189" t="str">
        <f t="shared" si="2"/>
        <v>Summer</v>
      </c>
      <c r="AE189" t="str">
        <f>INDEX('Category Mapping'!$B$2:$B$29,MATCH('Source Data'!A189,'Category Mapping'!$A$2:$A$29,0))</f>
        <v>Weekend</v>
      </c>
      <c r="AF189" t="str">
        <f>INDEX('Category Mapping'!$C$2:$C$29,MATCH('Source Data'!A189,'Category Mapping'!$A$2:$A$29,0))</f>
        <v>Industry</v>
      </c>
      <c r="AG189" t="str">
        <f>INDEX('Category Mapping'!$D$2:$D$29,MATCH('Source Data'!A189,'Category Mapping'!$A$2:$A$29,0))</f>
        <v>Industry</v>
      </c>
    </row>
    <row r="190" spans="1:33" x14ac:dyDescent="0.25">
      <c r="A190" s="16" t="s">
        <v>85</v>
      </c>
      <c r="B190" s="17">
        <v>2019</v>
      </c>
      <c r="C190" s="17">
        <v>19</v>
      </c>
      <c r="D190" s="17" t="s">
        <v>208</v>
      </c>
      <c r="E190" s="17">
        <v>8</v>
      </c>
      <c r="F190" s="28">
        <v>338000000</v>
      </c>
      <c r="G190" s="28">
        <v>338000000</v>
      </c>
      <c r="H190" s="28">
        <v>338000000</v>
      </c>
      <c r="I190" s="28">
        <v>339000000</v>
      </c>
      <c r="J190" s="28">
        <v>341000000</v>
      </c>
      <c r="K190" s="28">
        <v>345000000</v>
      </c>
      <c r="L190" s="28">
        <v>347000000</v>
      </c>
      <c r="M190" s="28">
        <v>347000000</v>
      </c>
      <c r="N190" s="28">
        <v>346000000</v>
      </c>
      <c r="O190" s="28">
        <v>345000000</v>
      </c>
      <c r="P190" s="28">
        <v>344000000</v>
      </c>
      <c r="Q190" s="28">
        <v>343000000</v>
      </c>
      <c r="R190" s="28">
        <v>343000000</v>
      </c>
      <c r="S190" s="28">
        <v>343000000</v>
      </c>
      <c r="T190" s="28">
        <v>344000000</v>
      </c>
      <c r="U190" s="28">
        <v>348000000</v>
      </c>
      <c r="V190" s="28">
        <v>353000000</v>
      </c>
      <c r="W190" s="28">
        <v>354000000</v>
      </c>
      <c r="X190" s="28">
        <v>352000000</v>
      </c>
      <c r="Y190" s="28">
        <v>350000000</v>
      </c>
      <c r="Z190" s="28">
        <v>348000000</v>
      </c>
      <c r="AA190" s="28">
        <v>344000000</v>
      </c>
      <c r="AB190" s="28">
        <v>341000000</v>
      </c>
      <c r="AC190" s="29">
        <v>339000000</v>
      </c>
      <c r="AD190" t="str">
        <f t="shared" si="2"/>
        <v>Summer</v>
      </c>
      <c r="AE190" t="str">
        <f>INDEX('Category Mapping'!$B$2:$B$29,MATCH('Source Data'!A190,'Category Mapping'!$A$2:$A$29,0))</f>
        <v>Weekend</v>
      </c>
      <c r="AF190" t="str">
        <f>INDEX('Category Mapping'!$C$2:$C$29,MATCH('Source Data'!A190,'Category Mapping'!$A$2:$A$29,0))</f>
        <v>Industry</v>
      </c>
      <c r="AG190" t="str">
        <f>INDEX('Category Mapping'!$D$2:$D$29,MATCH('Source Data'!A190,'Category Mapping'!$A$2:$A$29,0))</f>
        <v>Industry</v>
      </c>
    </row>
    <row r="191" spans="1:33" x14ac:dyDescent="0.25">
      <c r="A191" s="14" t="s">
        <v>85</v>
      </c>
      <c r="B191" s="15">
        <v>2019</v>
      </c>
      <c r="C191" s="15">
        <v>19</v>
      </c>
      <c r="D191" s="15" t="s">
        <v>208</v>
      </c>
      <c r="E191" s="15">
        <v>9</v>
      </c>
      <c r="F191" s="30">
        <v>340000000</v>
      </c>
      <c r="G191" s="30">
        <v>340000000</v>
      </c>
      <c r="H191" s="30">
        <v>340000000</v>
      </c>
      <c r="I191" s="30">
        <v>341000000</v>
      </c>
      <c r="J191" s="30">
        <v>343000000</v>
      </c>
      <c r="K191" s="30">
        <v>347000000</v>
      </c>
      <c r="L191" s="30">
        <v>349000000</v>
      </c>
      <c r="M191" s="30">
        <v>349000000</v>
      </c>
      <c r="N191" s="30">
        <v>348000000</v>
      </c>
      <c r="O191" s="30">
        <v>347000000</v>
      </c>
      <c r="P191" s="30">
        <v>346000000</v>
      </c>
      <c r="Q191" s="30">
        <v>345000000</v>
      </c>
      <c r="R191" s="30">
        <v>345000000</v>
      </c>
      <c r="S191" s="30">
        <v>345000000</v>
      </c>
      <c r="T191" s="30">
        <v>346000000</v>
      </c>
      <c r="U191" s="30">
        <v>350000000</v>
      </c>
      <c r="V191" s="30">
        <v>354000000</v>
      </c>
      <c r="W191" s="30">
        <v>355000000</v>
      </c>
      <c r="X191" s="30">
        <v>354000000</v>
      </c>
      <c r="Y191" s="30">
        <v>352000000</v>
      </c>
      <c r="Z191" s="30">
        <v>350000000</v>
      </c>
      <c r="AA191" s="30">
        <v>346000000</v>
      </c>
      <c r="AB191" s="30">
        <v>343000000</v>
      </c>
      <c r="AC191" s="31">
        <v>342000000</v>
      </c>
      <c r="AD191" t="str">
        <f t="shared" si="2"/>
        <v>Fall</v>
      </c>
      <c r="AE191" t="str">
        <f>INDEX('Category Mapping'!$B$2:$B$29,MATCH('Source Data'!A191,'Category Mapping'!$A$2:$A$29,0))</f>
        <v>Weekend</v>
      </c>
      <c r="AF191" t="str">
        <f>INDEX('Category Mapping'!$C$2:$C$29,MATCH('Source Data'!A191,'Category Mapping'!$A$2:$A$29,0))</f>
        <v>Industry</v>
      </c>
      <c r="AG191" t="str">
        <f>INDEX('Category Mapping'!$D$2:$D$29,MATCH('Source Data'!A191,'Category Mapping'!$A$2:$A$29,0))</f>
        <v>Industry</v>
      </c>
    </row>
    <row r="192" spans="1:33" x14ac:dyDescent="0.25">
      <c r="A192" s="16" t="s">
        <v>85</v>
      </c>
      <c r="B192" s="17">
        <v>2019</v>
      </c>
      <c r="C192" s="17">
        <v>19</v>
      </c>
      <c r="D192" s="17" t="s">
        <v>208</v>
      </c>
      <c r="E192" s="17">
        <v>10</v>
      </c>
      <c r="F192" s="28">
        <v>339000000</v>
      </c>
      <c r="G192" s="28">
        <v>338000000</v>
      </c>
      <c r="H192" s="28">
        <v>338000000</v>
      </c>
      <c r="I192" s="28">
        <v>339000000</v>
      </c>
      <c r="J192" s="28">
        <v>342000000</v>
      </c>
      <c r="K192" s="28">
        <v>345000000</v>
      </c>
      <c r="L192" s="28">
        <v>347000000</v>
      </c>
      <c r="M192" s="28">
        <v>347000000</v>
      </c>
      <c r="N192" s="28">
        <v>346000000</v>
      </c>
      <c r="O192" s="28">
        <v>345000000</v>
      </c>
      <c r="P192" s="28">
        <v>344000000</v>
      </c>
      <c r="Q192" s="28">
        <v>343000000</v>
      </c>
      <c r="R192" s="28">
        <v>343000000</v>
      </c>
      <c r="S192" s="28">
        <v>343000000</v>
      </c>
      <c r="T192" s="28">
        <v>345000000</v>
      </c>
      <c r="U192" s="28">
        <v>348000000</v>
      </c>
      <c r="V192" s="28">
        <v>352000000</v>
      </c>
      <c r="W192" s="28">
        <v>353000000</v>
      </c>
      <c r="X192" s="28">
        <v>352000000</v>
      </c>
      <c r="Y192" s="28">
        <v>350000000</v>
      </c>
      <c r="Z192" s="28">
        <v>348000000</v>
      </c>
      <c r="AA192" s="28">
        <v>344000000</v>
      </c>
      <c r="AB192" s="28">
        <v>341000000</v>
      </c>
      <c r="AC192" s="29">
        <v>340000000</v>
      </c>
      <c r="AD192" t="str">
        <f t="shared" si="2"/>
        <v>Fall</v>
      </c>
      <c r="AE192" t="str">
        <f>INDEX('Category Mapping'!$B$2:$B$29,MATCH('Source Data'!A192,'Category Mapping'!$A$2:$A$29,0))</f>
        <v>Weekend</v>
      </c>
      <c r="AF192" t="str">
        <f>INDEX('Category Mapping'!$C$2:$C$29,MATCH('Source Data'!A192,'Category Mapping'!$A$2:$A$29,0))</f>
        <v>Industry</v>
      </c>
      <c r="AG192" t="str">
        <f>INDEX('Category Mapping'!$D$2:$D$29,MATCH('Source Data'!A192,'Category Mapping'!$A$2:$A$29,0))</f>
        <v>Industry</v>
      </c>
    </row>
    <row r="193" spans="1:33" x14ac:dyDescent="0.25">
      <c r="A193" s="14" t="s">
        <v>85</v>
      </c>
      <c r="B193" s="15">
        <v>2019</v>
      </c>
      <c r="C193" s="15">
        <v>19</v>
      </c>
      <c r="D193" s="15" t="s">
        <v>208</v>
      </c>
      <c r="E193" s="15">
        <v>11</v>
      </c>
      <c r="F193" s="30">
        <v>343000000</v>
      </c>
      <c r="G193" s="30">
        <v>342000000</v>
      </c>
      <c r="H193" s="30">
        <v>342000000</v>
      </c>
      <c r="I193" s="30">
        <v>343000000</v>
      </c>
      <c r="J193" s="30">
        <v>346000000</v>
      </c>
      <c r="K193" s="30">
        <v>349000000</v>
      </c>
      <c r="L193" s="30">
        <v>351000000</v>
      </c>
      <c r="M193" s="30">
        <v>351000000</v>
      </c>
      <c r="N193" s="30">
        <v>351000000</v>
      </c>
      <c r="O193" s="30">
        <v>349000000</v>
      </c>
      <c r="P193" s="30">
        <v>348000000</v>
      </c>
      <c r="Q193" s="30">
        <v>348000000</v>
      </c>
      <c r="R193" s="30">
        <v>347000000</v>
      </c>
      <c r="S193" s="30">
        <v>348000000</v>
      </c>
      <c r="T193" s="30">
        <v>349000000</v>
      </c>
      <c r="U193" s="30">
        <v>353000000</v>
      </c>
      <c r="V193" s="30">
        <v>357000000</v>
      </c>
      <c r="W193" s="30">
        <v>358000000</v>
      </c>
      <c r="X193" s="30">
        <v>356000000</v>
      </c>
      <c r="Y193" s="30">
        <v>354000000</v>
      </c>
      <c r="Z193" s="30">
        <v>352000000</v>
      </c>
      <c r="AA193" s="30">
        <v>349000000</v>
      </c>
      <c r="AB193" s="30">
        <v>346000000</v>
      </c>
      <c r="AC193" s="31">
        <v>344000000</v>
      </c>
      <c r="AD193" t="str">
        <f t="shared" si="2"/>
        <v>Winter</v>
      </c>
      <c r="AE193" t="str">
        <f>INDEX('Category Mapping'!$B$2:$B$29,MATCH('Source Data'!A193,'Category Mapping'!$A$2:$A$29,0))</f>
        <v>Weekend</v>
      </c>
      <c r="AF193" t="str">
        <f>INDEX('Category Mapping'!$C$2:$C$29,MATCH('Source Data'!A193,'Category Mapping'!$A$2:$A$29,0))</f>
        <v>Industry</v>
      </c>
      <c r="AG193" t="str">
        <f>INDEX('Category Mapping'!$D$2:$D$29,MATCH('Source Data'!A193,'Category Mapping'!$A$2:$A$29,0))</f>
        <v>Industry</v>
      </c>
    </row>
    <row r="194" spans="1:33" x14ac:dyDescent="0.25">
      <c r="A194" s="16" t="s">
        <v>85</v>
      </c>
      <c r="B194" s="17">
        <v>2019</v>
      </c>
      <c r="C194" s="17">
        <v>19</v>
      </c>
      <c r="D194" s="17" t="s">
        <v>208</v>
      </c>
      <c r="E194" s="17">
        <v>12</v>
      </c>
      <c r="F194" s="28">
        <v>322000000</v>
      </c>
      <c r="G194" s="28">
        <v>322000000</v>
      </c>
      <c r="H194" s="28">
        <v>322000000</v>
      </c>
      <c r="I194" s="28">
        <v>323000000</v>
      </c>
      <c r="J194" s="28">
        <v>325000000</v>
      </c>
      <c r="K194" s="28">
        <v>328000000</v>
      </c>
      <c r="L194" s="28">
        <v>329000000</v>
      </c>
      <c r="M194" s="28">
        <v>330000000</v>
      </c>
      <c r="N194" s="28">
        <v>329000000</v>
      </c>
      <c r="O194" s="28">
        <v>328000000</v>
      </c>
      <c r="P194" s="28">
        <v>327000000</v>
      </c>
      <c r="Q194" s="28">
        <v>326000000</v>
      </c>
      <c r="R194" s="28">
        <v>326000000</v>
      </c>
      <c r="S194" s="28">
        <v>326000000</v>
      </c>
      <c r="T194" s="28">
        <v>328000000</v>
      </c>
      <c r="U194" s="28">
        <v>331000000</v>
      </c>
      <c r="V194" s="28">
        <v>335000000</v>
      </c>
      <c r="W194" s="28">
        <v>335000000</v>
      </c>
      <c r="X194" s="28">
        <v>334000000</v>
      </c>
      <c r="Y194" s="28">
        <v>332000000</v>
      </c>
      <c r="Z194" s="28">
        <v>330000000</v>
      </c>
      <c r="AA194" s="28">
        <v>327000000</v>
      </c>
      <c r="AB194" s="28">
        <v>325000000</v>
      </c>
      <c r="AC194" s="29">
        <v>323000000</v>
      </c>
      <c r="AD194" t="str">
        <f t="shared" si="2"/>
        <v>Winter</v>
      </c>
      <c r="AE194" t="str">
        <f>INDEX('Category Mapping'!$B$2:$B$29,MATCH('Source Data'!A194,'Category Mapping'!$A$2:$A$29,0))</f>
        <v>Weekend</v>
      </c>
      <c r="AF194" t="str">
        <f>INDEX('Category Mapping'!$C$2:$C$29,MATCH('Source Data'!A194,'Category Mapping'!$A$2:$A$29,0))</f>
        <v>Industry</v>
      </c>
      <c r="AG194" t="str">
        <f>INDEX('Category Mapping'!$D$2:$D$29,MATCH('Source Data'!A194,'Category Mapping'!$A$2:$A$29,0))</f>
        <v>Industry</v>
      </c>
    </row>
    <row r="195" spans="1:33" x14ac:dyDescent="0.25">
      <c r="A195" s="14" t="s">
        <v>92</v>
      </c>
      <c r="B195" s="15">
        <v>2019</v>
      </c>
      <c r="C195" s="15">
        <v>19</v>
      </c>
      <c r="D195" s="15" t="s">
        <v>208</v>
      </c>
      <c r="E195" s="15">
        <v>1</v>
      </c>
      <c r="F195" s="30">
        <v>107000000</v>
      </c>
      <c r="G195" s="30">
        <v>86200000</v>
      </c>
      <c r="H195" s="30">
        <v>75600000</v>
      </c>
      <c r="I195" s="30">
        <v>69900000</v>
      </c>
      <c r="J195" s="30">
        <v>75000000</v>
      </c>
      <c r="K195" s="30">
        <v>105000000</v>
      </c>
      <c r="L195" s="30">
        <v>151000000</v>
      </c>
      <c r="M195" s="30">
        <v>173000000</v>
      </c>
      <c r="N195" s="30">
        <v>149000000</v>
      </c>
      <c r="O195" s="30">
        <v>142000000</v>
      </c>
      <c r="P195" s="30">
        <v>140000000</v>
      </c>
      <c r="Q195" s="30">
        <v>141000000</v>
      </c>
      <c r="R195" s="30">
        <v>137000000</v>
      </c>
      <c r="S195" s="30">
        <v>136000000</v>
      </c>
      <c r="T195" s="30">
        <v>140000000</v>
      </c>
      <c r="U195" s="30">
        <v>155000000</v>
      </c>
      <c r="V195" s="30">
        <v>214000000</v>
      </c>
      <c r="W195" s="30">
        <v>240000000</v>
      </c>
      <c r="X195" s="30">
        <v>243000000</v>
      </c>
      <c r="Y195" s="30">
        <v>242000000</v>
      </c>
      <c r="Z195" s="30">
        <v>241000000</v>
      </c>
      <c r="AA195" s="30">
        <v>226000000</v>
      </c>
      <c r="AB195" s="30">
        <v>170000000</v>
      </c>
      <c r="AC195" s="31">
        <v>130000000</v>
      </c>
      <c r="AD195" t="str">
        <f t="shared" si="2"/>
        <v>Winter</v>
      </c>
      <c r="AE195" t="str">
        <f>INDEX('Category Mapping'!$B$2:$B$29,MATCH('Source Data'!A195,'Category Mapping'!$A$2:$A$29,0))</f>
        <v>Weekday</v>
      </c>
      <c r="AF195" t="str">
        <f>INDEX('Category Mapping'!$C$2:$C$29,MATCH('Source Data'!A195,'Category Mapping'!$A$2:$A$29,0))</f>
        <v>Residential</v>
      </c>
      <c r="AG195" t="str">
        <f>INDEX('Category Mapping'!$D$2:$D$29,MATCH('Source Data'!A195,'Category Mapping'!$A$2:$A$29,0))</f>
        <v>Total</v>
      </c>
    </row>
    <row r="196" spans="1:33" x14ac:dyDescent="0.25">
      <c r="A196" s="16" t="s">
        <v>92</v>
      </c>
      <c r="B196" s="17">
        <v>2019</v>
      </c>
      <c r="C196" s="17">
        <v>19</v>
      </c>
      <c r="D196" s="17" t="s">
        <v>208</v>
      </c>
      <c r="E196" s="17">
        <v>2</v>
      </c>
      <c r="F196" s="28">
        <v>102000000</v>
      </c>
      <c r="G196" s="28">
        <v>81500000</v>
      </c>
      <c r="H196" s="28">
        <v>70900000</v>
      </c>
      <c r="I196" s="28">
        <v>65300000</v>
      </c>
      <c r="J196" s="28">
        <v>70200000</v>
      </c>
      <c r="K196" s="28">
        <v>99500000</v>
      </c>
      <c r="L196" s="28">
        <v>144000000</v>
      </c>
      <c r="M196" s="28">
        <v>150000000</v>
      </c>
      <c r="N196" s="28">
        <v>143000000</v>
      </c>
      <c r="O196" s="28">
        <v>137000000</v>
      </c>
      <c r="P196" s="28">
        <v>135000000</v>
      </c>
      <c r="Q196" s="28">
        <v>136000000</v>
      </c>
      <c r="R196" s="28">
        <v>132000000</v>
      </c>
      <c r="S196" s="28">
        <v>131000000</v>
      </c>
      <c r="T196" s="28">
        <v>135000000</v>
      </c>
      <c r="U196" s="28">
        <v>150000000</v>
      </c>
      <c r="V196" s="28">
        <v>187000000</v>
      </c>
      <c r="W196" s="28">
        <v>234000000</v>
      </c>
      <c r="X196" s="28">
        <v>236000000</v>
      </c>
      <c r="Y196" s="28">
        <v>235000000</v>
      </c>
      <c r="Z196" s="28">
        <v>233000000</v>
      </c>
      <c r="AA196" s="28">
        <v>219000000</v>
      </c>
      <c r="AB196" s="28">
        <v>164000000</v>
      </c>
      <c r="AC196" s="29">
        <v>125000000</v>
      </c>
      <c r="AD196" t="str">
        <f t="shared" ref="AD196:AD259" si="3">IF(AND(E196&gt;=3,E196&lt;=5),"Spring",IF(AND(E196&gt;=6,E196&lt;=8),"Summer",IF(AND(E196&gt;=9,E196&lt;=10),"Fall","Winter")))</f>
        <v>Winter</v>
      </c>
      <c r="AE196" t="str">
        <f>INDEX('Category Mapping'!$B$2:$B$29,MATCH('Source Data'!A196,'Category Mapping'!$A$2:$A$29,0))</f>
        <v>Weekday</v>
      </c>
      <c r="AF196" t="str">
        <f>INDEX('Category Mapping'!$C$2:$C$29,MATCH('Source Data'!A196,'Category Mapping'!$A$2:$A$29,0))</f>
        <v>Residential</v>
      </c>
      <c r="AG196" t="str">
        <f>INDEX('Category Mapping'!$D$2:$D$29,MATCH('Source Data'!A196,'Category Mapping'!$A$2:$A$29,0))</f>
        <v>Total</v>
      </c>
    </row>
    <row r="197" spans="1:33" x14ac:dyDescent="0.25">
      <c r="A197" s="14" t="s">
        <v>92</v>
      </c>
      <c r="B197" s="15">
        <v>2019</v>
      </c>
      <c r="C197" s="15">
        <v>19</v>
      </c>
      <c r="D197" s="15" t="s">
        <v>208</v>
      </c>
      <c r="E197" s="15">
        <v>3</v>
      </c>
      <c r="F197" s="30">
        <v>97400000</v>
      </c>
      <c r="G197" s="30">
        <v>76600000</v>
      </c>
      <c r="H197" s="30">
        <v>66100000</v>
      </c>
      <c r="I197" s="30">
        <v>60400000</v>
      </c>
      <c r="J197" s="30">
        <v>65100000</v>
      </c>
      <c r="K197" s="30">
        <v>93100000</v>
      </c>
      <c r="L197" s="30">
        <v>136000000</v>
      </c>
      <c r="M197" s="30">
        <v>138000000</v>
      </c>
      <c r="N197" s="30">
        <v>138000000</v>
      </c>
      <c r="O197" s="30">
        <v>132000000</v>
      </c>
      <c r="P197" s="30">
        <v>130000000</v>
      </c>
      <c r="Q197" s="30">
        <v>131000000</v>
      </c>
      <c r="R197" s="30">
        <v>128000000</v>
      </c>
      <c r="S197" s="30">
        <v>127000000</v>
      </c>
      <c r="T197" s="30">
        <v>131000000</v>
      </c>
      <c r="U197" s="30">
        <v>146000000</v>
      </c>
      <c r="V197" s="30">
        <v>174000000</v>
      </c>
      <c r="W197" s="30">
        <v>225000000</v>
      </c>
      <c r="X197" s="30">
        <v>227000000</v>
      </c>
      <c r="Y197" s="30">
        <v>225000000</v>
      </c>
      <c r="Z197" s="30">
        <v>223000000</v>
      </c>
      <c r="AA197" s="30">
        <v>210000000</v>
      </c>
      <c r="AB197" s="30">
        <v>157000000</v>
      </c>
      <c r="AC197" s="31">
        <v>119000000</v>
      </c>
      <c r="AD197" t="str">
        <f t="shared" si="3"/>
        <v>Spring</v>
      </c>
      <c r="AE197" t="str">
        <f>INDEX('Category Mapping'!$B$2:$B$29,MATCH('Source Data'!A197,'Category Mapping'!$A$2:$A$29,0))</f>
        <v>Weekday</v>
      </c>
      <c r="AF197" t="str">
        <f>INDEX('Category Mapping'!$C$2:$C$29,MATCH('Source Data'!A197,'Category Mapping'!$A$2:$A$29,0))</f>
        <v>Residential</v>
      </c>
      <c r="AG197" t="str">
        <f>INDEX('Category Mapping'!$D$2:$D$29,MATCH('Source Data'!A197,'Category Mapping'!$A$2:$A$29,0))</f>
        <v>Total</v>
      </c>
    </row>
    <row r="198" spans="1:33" x14ac:dyDescent="0.25">
      <c r="A198" s="16" t="s">
        <v>92</v>
      </c>
      <c r="B198" s="17">
        <v>2019</v>
      </c>
      <c r="C198" s="17">
        <v>19</v>
      </c>
      <c r="D198" s="17" t="s">
        <v>208</v>
      </c>
      <c r="E198" s="17">
        <v>4</v>
      </c>
      <c r="F198" s="28">
        <v>88900000</v>
      </c>
      <c r="G198" s="28">
        <v>68200000</v>
      </c>
      <c r="H198" s="28">
        <v>57600000</v>
      </c>
      <c r="I198" s="28">
        <v>52000000</v>
      </c>
      <c r="J198" s="28">
        <v>56600000</v>
      </c>
      <c r="K198" s="28">
        <v>82400000</v>
      </c>
      <c r="L198" s="28">
        <v>108000000</v>
      </c>
      <c r="M198" s="28">
        <v>126000000</v>
      </c>
      <c r="N198" s="28">
        <v>128000000</v>
      </c>
      <c r="O198" s="28">
        <v>125000000</v>
      </c>
      <c r="P198" s="28">
        <v>124000000</v>
      </c>
      <c r="Q198" s="28">
        <v>125000000</v>
      </c>
      <c r="R198" s="28">
        <v>122000000</v>
      </c>
      <c r="S198" s="28">
        <v>122000000</v>
      </c>
      <c r="T198" s="28">
        <v>126000000</v>
      </c>
      <c r="U198" s="28">
        <v>141000000</v>
      </c>
      <c r="V198" s="28">
        <v>167000000</v>
      </c>
      <c r="W198" s="28">
        <v>192000000</v>
      </c>
      <c r="X198" s="28">
        <v>218000000</v>
      </c>
      <c r="Y198" s="28">
        <v>215000000</v>
      </c>
      <c r="Z198" s="28">
        <v>213000000</v>
      </c>
      <c r="AA198" s="28">
        <v>200000000</v>
      </c>
      <c r="AB198" s="28">
        <v>148000000</v>
      </c>
      <c r="AC198" s="29">
        <v>111000000</v>
      </c>
      <c r="AD198" t="str">
        <f t="shared" si="3"/>
        <v>Spring</v>
      </c>
      <c r="AE198" t="str">
        <f>INDEX('Category Mapping'!$B$2:$B$29,MATCH('Source Data'!A198,'Category Mapping'!$A$2:$A$29,0))</f>
        <v>Weekday</v>
      </c>
      <c r="AF198" t="str">
        <f>INDEX('Category Mapping'!$C$2:$C$29,MATCH('Source Data'!A198,'Category Mapping'!$A$2:$A$29,0))</f>
        <v>Residential</v>
      </c>
      <c r="AG198" t="str">
        <f>INDEX('Category Mapping'!$D$2:$D$29,MATCH('Source Data'!A198,'Category Mapping'!$A$2:$A$29,0))</f>
        <v>Total</v>
      </c>
    </row>
    <row r="199" spans="1:33" x14ac:dyDescent="0.25">
      <c r="A199" s="14" t="s">
        <v>92</v>
      </c>
      <c r="B199" s="15">
        <v>2019</v>
      </c>
      <c r="C199" s="15">
        <v>19</v>
      </c>
      <c r="D199" s="15" t="s">
        <v>208</v>
      </c>
      <c r="E199" s="15">
        <v>5</v>
      </c>
      <c r="F199" s="30">
        <v>84000000</v>
      </c>
      <c r="G199" s="30">
        <v>63200000</v>
      </c>
      <c r="H199" s="30">
        <v>52600000</v>
      </c>
      <c r="I199" s="30">
        <v>47000000</v>
      </c>
      <c r="J199" s="30">
        <v>51700000</v>
      </c>
      <c r="K199" s="30">
        <v>73600000</v>
      </c>
      <c r="L199" s="30">
        <v>95400000</v>
      </c>
      <c r="M199" s="30">
        <v>117000000</v>
      </c>
      <c r="N199" s="30">
        <v>120000000</v>
      </c>
      <c r="O199" s="30">
        <v>120000000</v>
      </c>
      <c r="P199" s="30">
        <v>121000000</v>
      </c>
      <c r="Q199" s="30">
        <v>123000000</v>
      </c>
      <c r="R199" s="30">
        <v>122000000</v>
      </c>
      <c r="S199" s="30">
        <v>122000000</v>
      </c>
      <c r="T199" s="30">
        <v>127000000</v>
      </c>
      <c r="U199" s="30">
        <v>142000000</v>
      </c>
      <c r="V199" s="30">
        <v>168000000</v>
      </c>
      <c r="W199" s="30">
        <v>185000000</v>
      </c>
      <c r="X199" s="30">
        <v>210000000</v>
      </c>
      <c r="Y199" s="30">
        <v>208000000</v>
      </c>
      <c r="Z199" s="30">
        <v>203000000</v>
      </c>
      <c r="AA199" s="30">
        <v>191000000</v>
      </c>
      <c r="AB199" s="30">
        <v>141000000</v>
      </c>
      <c r="AC199" s="31">
        <v>106000000</v>
      </c>
      <c r="AD199" t="str">
        <f t="shared" si="3"/>
        <v>Spring</v>
      </c>
      <c r="AE199" t="str">
        <f>INDEX('Category Mapping'!$B$2:$B$29,MATCH('Source Data'!A199,'Category Mapping'!$A$2:$A$29,0))</f>
        <v>Weekday</v>
      </c>
      <c r="AF199" t="str">
        <f>INDEX('Category Mapping'!$C$2:$C$29,MATCH('Source Data'!A199,'Category Mapping'!$A$2:$A$29,0))</f>
        <v>Residential</v>
      </c>
      <c r="AG199" t="str">
        <f>INDEX('Category Mapping'!$D$2:$D$29,MATCH('Source Data'!A199,'Category Mapping'!$A$2:$A$29,0))</f>
        <v>Total</v>
      </c>
    </row>
    <row r="200" spans="1:33" x14ac:dyDescent="0.25">
      <c r="A200" s="16" t="s">
        <v>92</v>
      </c>
      <c r="B200" s="17">
        <v>2019</v>
      </c>
      <c r="C200" s="17">
        <v>19</v>
      </c>
      <c r="D200" s="17" t="s">
        <v>208</v>
      </c>
      <c r="E200" s="17">
        <v>6</v>
      </c>
      <c r="F200" s="28">
        <v>86600000</v>
      </c>
      <c r="G200" s="28">
        <v>64500000</v>
      </c>
      <c r="H200" s="28">
        <v>53600000</v>
      </c>
      <c r="I200" s="28">
        <v>48400000</v>
      </c>
      <c r="J200" s="28">
        <v>54300000</v>
      </c>
      <c r="K200" s="28">
        <v>73000000</v>
      </c>
      <c r="L200" s="28">
        <v>104000000</v>
      </c>
      <c r="M200" s="28">
        <v>129000000</v>
      </c>
      <c r="N200" s="28">
        <v>135000000</v>
      </c>
      <c r="O200" s="28">
        <v>138000000</v>
      </c>
      <c r="P200" s="28">
        <v>142000000</v>
      </c>
      <c r="Q200" s="28">
        <v>150000000</v>
      </c>
      <c r="R200" s="28">
        <v>154000000</v>
      </c>
      <c r="S200" s="28">
        <v>157000000</v>
      </c>
      <c r="T200" s="28">
        <v>164000000</v>
      </c>
      <c r="U200" s="28">
        <v>182000000</v>
      </c>
      <c r="V200" s="28">
        <v>210000000</v>
      </c>
      <c r="W200" s="28">
        <v>225000000</v>
      </c>
      <c r="X200" s="28">
        <v>237000000</v>
      </c>
      <c r="Y200" s="28">
        <v>247000000</v>
      </c>
      <c r="Z200" s="28">
        <v>236000000</v>
      </c>
      <c r="AA200" s="28">
        <v>215000000</v>
      </c>
      <c r="AB200" s="28">
        <v>156000000</v>
      </c>
      <c r="AC200" s="29">
        <v>112000000</v>
      </c>
      <c r="AD200" t="str">
        <f t="shared" si="3"/>
        <v>Summer</v>
      </c>
      <c r="AE200" t="str">
        <f>INDEX('Category Mapping'!$B$2:$B$29,MATCH('Source Data'!A200,'Category Mapping'!$A$2:$A$29,0))</f>
        <v>Weekday</v>
      </c>
      <c r="AF200" t="str">
        <f>INDEX('Category Mapping'!$C$2:$C$29,MATCH('Source Data'!A200,'Category Mapping'!$A$2:$A$29,0))</f>
        <v>Residential</v>
      </c>
      <c r="AG200" t="str">
        <f>INDEX('Category Mapping'!$D$2:$D$29,MATCH('Source Data'!A200,'Category Mapping'!$A$2:$A$29,0))</f>
        <v>Total</v>
      </c>
    </row>
    <row r="201" spans="1:33" x14ac:dyDescent="0.25">
      <c r="A201" s="14" t="s">
        <v>92</v>
      </c>
      <c r="B201" s="15">
        <v>2019</v>
      </c>
      <c r="C201" s="15">
        <v>19</v>
      </c>
      <c r="D201" s="15" t="s">
        <v>208</v>
      </c>
      <c r="E201" s="15">
        <v>7</v>
      </c>
      <c r="F201" s="30">
        <v>138000000</v>
      </c>
      <c r="G201" s="30">
        <v>112000000</v>
      </c>
      <c r="H201" s="30">
        <v>100000000</v>
      </c>
      <c r="I201" s="30">
        <v>96200000</v>
      </c>
      <c r="J201" s="30">
        <v>104000000</v>
      </c>
      <c r="K201" s="30">
        <v>124000000</v>
      </c>
      <c r="L201" s="30">
        <v>146000000</v>
      </c>
      <c r="M201" s="30">
        <v>162000000</v>
      </c>
      <c r="N201" s="30">
        <v>162000000</v>
      </c>
      <c r="O201" s="30">
        <v>161000000</v>
      </c>
      <c r="P201" s="30">
        <v>165000000</v>
      </c>
      <c r="Q201" s="30">
        <v>177000000</v>
      </c>
      <c r="R201" s="30">
        <v>183000000</v>
      </c>
      <c r="S201" s="30">
        <v>187000000</v>
      </c>
      <c r="T201" s="30">
        <v>195000000</v>
      </c>
      <c r="U201" s="30">
        <v>216000000</v>
      </c>
      <c r="V201" s="30">
        <v>247000000</v>
      </c>
      <c r="W201" s="30">
        <v>266000000</v>
      </c>
      <c r="X201" s="30">
        <v>285000000</v>
      </c>
      <c r="Y201" s="30">
        <v>295000000</v>
      </c>
      <c r="Z201" s="30">
        <v>288000000</v>
      </c>
      <c r="AA201" s="30">
        <v>269000000</v>
      </c>
      <c r="AB201" s="30">
        <v>211000000</v>
      </c>
      <c r="AC201" s="31">
        <v>167000000</v>
      </c>
      <c r="AD201" t="str">
        <f t="shared" si="3"/>
        <v>Summer</v>
      </c>
      <c r="AE201" t="str">
        <f>INDEX('Category Mapping'!$B$2:$B$29,MATCH('Source Data'!A201,'Category Mapping'!$A$2:$A$29,0))</f>
        <v>Weekday</v>
      </c>
      <c r="AF201" t="str">
        <f>INDEX('Category Mapping'!$C$2:$C$29,MATCH('Source Data'!A201,'Category Mapping'!$A$2:$A$29,0))</f>
        <v>Residential</v>
      </c>
      <c r="AG201" t="str">
        <f>INDEX('Category Mapping'!$D$2:$D$29,MATCH('Source Data'!A201,'Category Mapping'!$A$2:$A$29,0))</f>
        <v>Total</v>
      </c>
    </row>
    <row r="202" spans="1:33" x14ac:dyDescent="0.25">
      <c r="A202" s="16" t="s">
        <v>92</v>
      </c>
      <c r="B202" s="17">
        <v>2019</v>
      </c>
      <c r="C202" s="17">
        <v>19</v>
      </c>
      <c r="D202" s="17" t="s">
        <v>208</v>
      </c>
      <c r="E202" s="17">
        <v>8</v>
      </c>
      <c r="F202" s="28">
        <v>141000000</v>
      </c>
      <c r="G202" s="28">
        <v>114000000</v>
      </c>
      <c r="H202" s="28">
        <v>101000000</v>
      </c>
      <c r="I202" s="28">
        <v>98000000</v>
      </c>
      <c r="J202" s="28">
        <v>108000000</v>
      </c>
      <c r="K202" s="28">
        <v>135000000</v>
      </c>
      <c r="L202" s="28">
        <v>155000000</v>
      </c>
      <c r="M202" s="28">
        <v>169000000</v>
      </c>
      <c r="N202" s="28">
        <v>169000000</v>
      </c>
      <c r="O202" s="28">
        <v>169000000</v>
      </c>
      <c r="P202" s="28">
        <v>174000000</v>
      </c>
      <c r="Q202" s="28">
        <v>188000000</v>
      </c>
      <c r="R202" s="28">
        <v>196000000</v>
      </c>
      <c r="S202" s="28">
        <v>202000000</v>
      </c>
      <c r="T202" s="28">
        <v>211000000</v>
      </c>
      <c r="U202" s="28">
        <v>233000000</v>
      </c>
      <c r="V202" s="28">
        <v>264000000</v>
      </c>
      <c r="W202" s="28">
        <v>287000000</v>
      </c>
      <c r="X202" s="28">
        <v>317000000</v>
      </c>
      <c r="Y202" s="28">
        <v>311000000</v>
      </c>
      <c r="Z202" s="28">
        <v>302000000</v>
      </c>
      <c r="AA202" s="28">
        <v>280000000</v>
      </c>
      <c r="AB202" s="28">
        <v>219000000</v>
      </c>
      <c r="AC202" s="29">
        <v>172000000</v>
      </c>
      <c r="AD202" t="str">
        <f t="shared" si="3"/>
        <v>Summer</v>
      </c>
      <c r="AE202" t="str">
        <f>INDEX('Category Mapping'!$B$2:$B$29,MATCH('Source Data'!A202,'Category Mapping'!$A$2:$A$29,0))</f>
        <v>Weekday</v>
      </c>
      <c r="AF202" t="str">
        <f>INDEX('Category Mapping'!$C$2:$C$29,MATCH('Source Data'!A202,'Category Mapping'!$A$2:$A$29,0))</f>
        <v>Residential</v>
      </c>
      <c r="AG202" t="str">
        <f>INDEX('Category Mapping'!$D$2:$D$29,MATCH('Source Data'!A202,'Category Mapping'!$A$2:$A$29,0))</f>
        <v>Total</v>
      </c>
    </row>
    <row r="203" spans="1:33" x14ac:dyDescent="0.25">
      <c r="A203" s="14" t="s">
        <v>92</v>
      </c>
      <c r="B203" s="15">
        <v>2019</v>
      </c>
      <c r="C203" s="15">
        <v>19</v>
      </c>
      <c r="D203" s="15" t="s">
        <v>208</v>
      </c>
      <c r="E203" s="15">
        <v>9</v>
      </c>
      <c r="F203" s="30">
        <v>86400000</v>
      </c>
      <c r="G203" s="30">
        <v>65300000</v>
      </c>
      <c r="H203" s="30">
        <v>54600000</v>
      </c>
      <c r="I203" s="30">
        <v>49200000</v>
      </c>
      <c r="J203" s="30">
        <v>54200000</v>
      </c>
      <c r="K203" s="30">
        <v>78100000</v>
      </c>
      <c r="L203" s="30">
        <v>107000000</v>
      </c>
      <c r="M203" s="30">
        <v>124000000</v>
      </c>
      <c r="N203" s="30">
        <v>130000000</v>
      </c>
      <c r="O203" s="30">
        <v>133000000</v>
      </c>
      <c r="P203" s="30">
        <v>137000000</v>
      </c>
      <c r="Q203" s="30">
        <v>145000000</v>
      </c>
      <c r="R203" s="30">
        <v>148000000</v>
      </c>
      <c r="S203" s="30">
        <v>151000000</v>
      </c>
      <c r="T203" s="30">
        <v>158000000</v>
      </c>
      <c r="U203" s="30">
        <v>175000000</v>
      </c>
      <c r="V203" s="30">
        <v>202000000</v>
      </c>
      <c r="W203" s="30">
        <v>232000000</v>
      </c>
      <c r="X203" s="30">
        <v>248000000</v>
      </c>
      <c r="Y203" s="30">
        <v>238000000</v>
      </c>
      <c r="Z203" s="30">
        <v>228000000</v>
      </c>
      <c r="AA203" s="30">
        <v>206000000</v>
      </c>
      <c r="AB203" s="30">
        <v>148000000</v>
      </c>
      <c r="AC203" s="31">
        <v>109000000</v>
      </c>
      <c r="AD203" t="str">
        <f t="shared" si="3"/>
        <v>Fall</v>
      </c>
      <c r="AE203" t="str">
        <f>INDEX('Category Mapping'!$B$2:$B$29,MATCH('Source Data'!A203,'Category Mapping'!$A$2:$A$29,0))</f>
        <v>Weekday</v>
      </c>
      <c r="AF203" t="str">
        <f>INDEX('Category Mapping'!$C$2:$C$29,MATCH('Source Data'!A203,'Category Mapping'!$A$2:$A$29,0))</f>
        <v>Residential</v>
      </c>
      <c r="AG203" t="str">
        <f>INDEX('Category Mapping'!$D$2:$D$29,MATCH('Source Data'!A203,'Category Mapping'!$A$2:$A$29,0))</f>
        <v>Total</v>
      </c>
    </row>
    <row r="204" spans="1:33" x14ac:dyDescent="0.25">
      <c r="A204" s="16" t="s">
        <v>92</v>
      </c>
      <c r="B204" s="17">
        <v>2019</v>
      </c>
      <c r="C204" s="17">
        <v>19</v>
      </c>
      <c r="D204" s="17" t="s">
        <v>208</v>
      </c>
      <c r="E204" s="17">
        <v>10</v>
      </c>
      <c r="F204" s="28">
        <v>87500000</v>
      </c>
      <c r="G204" s="28">
        <v>66500000</v>
      </c>
      <c r="H204" s="28">
        <v>55900000</v>
      </c>
      <c r="I204" s="28">
        <v>50400000</v>
      </c>
      <c r="J204" s="28">
        <v>55300000</v>
      </c>
      <c r="K204" s="28">
        <v>81000000</v>
      </c>
      <c r="L204" s="28">
        <v>123000000</v>
      </c>
      <c r="M204" s="28">
        <v>125000000</v>
      </c>
      <c r="N204" s="28">
        <v>125000000</v>
      </c>
      <c r="O204" s="28">
        <v>123000000</v>
      </c>
      <c r="P204" s="28">
        <v>122000000</v>
      </c>
      <c r="Q204" s="28">
        <v>124000000</v>
      </c>
      <c r="R204" s="28">
        <v>121000000</v>
      </c>
      <c r="S204" s="28">
        <v>121000000</v>
      </c>
      <c r="T204" s="28">
        <v>125000000</v>
      </c>
      <c r="U204" s="28">
        <v>140000000</v>
      </c>
      <c r="V204" s="28">
        <v>170000000</v>
      </c>
      <c r="W204" s="28">
        <v>218000000</v>
      </c>
      <c r="X204" s="28">
        <v>218000000</v>
      </c>
      <c r="Y204" s="28">
        <v>215000000</v>
      </c>
      <c r="Z204" s="28">
        <v>213000000</v>
      </c>
      <c r="AA204" s="28">
        <v>200000000</v>
      </c>
      <c r="AB204" s="28">
        <v>147000000</v>
      </c>
      <c r="AC204" s="29">
        <v>110000000</v>
      </c>
      <c r="AD204" t="str">
        <f t="shared" si="3"/>
        <v>Fall</v>
      </c>
      <c r="AE204" t="str">
        <f>INDEX('Category Mapping'!$B$2:$B$29,MATCH('Source Data'!A204,'Category Mapping'!$A$2:$A$29,0))</f>
        <v>Weekday</v>
      </c>
      <c r="AF204" t="str">
        <f>INDEX('Category Mapping'!$C$2:$C$29,MATCH('Source Data'!A204,'Category Mapping'!$A$2:$A$29,0))</f>
        <v>Residential</v>
      </c>
      <c r="AG204" t="str">
        <f>INDEX('Category Mapping'!$D$2:$D$29,MATCH('Source Data'!A204,'Category Mapping'!$A$2:$A$29,0))</f>
        <v>Total</v>
      </c>
    </row>
    <row r="205" spans="1:33" x14ac:dyDescent="0.25">
      <c r="A205" s="14" t="s">
        <v>92</v>
      </c>
      <c r="B205" s="15">
        <v>2019</v>
      </c>
      <c r="C205" s="15">
        <v>19</v>
      </c>
      <c r="D205" s="15" t="s">
        <v>208</v>
      </c>
      <c r="E205" s="15">
        <v>11</v>
      </c>
      <c r="F205" s="30">
        <v>95700000</v>
      </c>
      <c r="G205" s="30">
        <v>74800000</v>
      </c>
      <c r="H205" s="30">
        <v>64300000</v>
      </c>
      <c r="I205" s="30">
        <v>58700000</v>
      </c>
      <c r="J205" s="30">
        <v>63600000</v>
      </c>
      <c r="K205" s="30">
        <v>91900000</v>
      </c>
      <c r="L205" s="30">
        <v>136000000</v>
      </c>
      <c r="M205" s="30">
        <v>145000000</v>
      </c>
      <c r="N205" s="30">
        <v>135000000</v>
      </c>
      <c r="O205" s="30">
        <v>130000000</v>
      </c>
      <c r="P205" s="30">
        <v>129000000</v>
      </c>
      <c r="Q205" s="30">
        <v>130000000</v>
      </c>
      <c r="R205" s="30">
        <v>127000000</v>
      </c>
      <c r="S205" s="30">
        <v>126000000</v>
      </c>
      <c r="T205" s="30">
        <v>130000000</v>
      </c>
      <c r="U205" s="30">
        <v>145000000</v>
      </c>
      <c r="V205" s="30">
        <v>188000000</v>
      </c>
      <c r="W205" s="30">
        <v>228000000</v>
      </c>
      <c r="X205" s="30">
        <v>230000000</v>
      </c>
      <c r="Y205" s="30">
        <v>228000000</v>
      </c>
      <c r="Z205" s="30">
        <v>226000000</v>
      </c>
      <c r="AA205" s="30">
        <v>212000000</v>
      </c>
      <c r="AB205" s="30">
        <v>157000000</v>
      </c>
      <c r="AC205" s="31">
        <v>118000000</v>
      </c>
      <c r="AD205" t="str">
        <f t="shared" si="3"/>
        <v>Winter</v>
      </c>
      <c r="AE205" t="str">
        <f>INDEX('Category Mapping'!$B$2:$B$29,MATCH('Source Data'!A205,'Category Mapping'!$A$2:$A$29,0))</f>
        <v>Weekday</v>
      </c>
      <c r="AF205" t="str">
        <f>INDEX('Category Mapping'!$C$2:$C$29,MATCH('Source Data'!A205,'Category Mapping'!$A$2:$A$29,0))</f>
        <v>Residential</v>
      </c>
      <c r="AG205" t="str">
        <f>INDEX('Category Mapping'!$D$2:$D$29,MATCH('Source Data'!A205,'Category Mapping'!$A$2:$A$29,0))</f>
        <v>Total</v>
      </c>
    </row>
    <row r="206" spans="1:33" x14ac:dyDescent="0.25">
      <c r="A206" s="16" t="s">
        <v>92</v>
      </c>
      <c r="B206" s="17">
        <v>2019</v>
      </c>
      <c r="C206" s="17">
        <v>19</v>
      </c>
      <c r="D206" s="17" t="s">
        <v>208</v>
      </c>
      <c r="E206" s="17">
        <v>12</v>
      </c>
      <c r="F206" s="28">
        <v>104000000</v>
      </c>
      <c r="G206" s="28">
        <v>82700000</v>
      </c>
      <c r="H206" s="28">
        <v>72100000</v>
      </c>
      <c r="I206" s="28">
        <v>66500000</v>
      </c>
      <c r="J206" s="28">
        <v>71600000</v>
      </c>
      <c r="K206" s="28">
        <v>101000000</v>
      </c>
      <c r="L206" s="28">
        <v>147000000</v>
      </c>
      <c r="M206" s="28">
        <v>172000000</v>
      </c>
      <c r="N206" s="28">
        <v>145000000</v>
      </c>
      <c r="O206" s="28">
        <v>139000000</v>
      </c>
      <c r="P206" s="28">
        <v>137000000</v>
      </c>
      <c r="Q206" s="28">
        <v>137000000</v>
      </c>
      <c r="R206" s="28">
        <v>134000000</v>
      </c>
      <c r="S206" s="28">
        <v>133000000</v>
      </c>
      <c r="T206" s="28">
        <v>137000000</v>
      </c>
      <c r="U206" s="28">
        <v>152000000</v>
      </c>
      <c r="V206" s="28">
        <v>216000000</v>
      </c>
      <c r="W206" s="28">
        <v>237000000</v>
      </c>
      <c r="X206" s="28">
        <v>240000000</v>
      </c>
      <c r="Y206" s="28">
        <v>239000000</v>
      </c>
      <c r="Z206" s="28">
        <v>237000000</v>
      </c>
      <c r="AA206" s="28">
        <v>222000000</v>
      </c>
      <c r="AB206" s="28">
        <v>166000000</v>
      </c>
      <c r="AC206" s="29">
        <v>127000000</v>
      </c>
      <c r="AD206" t="str">
        <f t="shared" si="3"/>
        <v>Winter</v>
      </c>
      <c r="AE206" t="str">
        <f>INDEX('Category Mapping'!$B$2:$B$29,MATCH('Source Data'!A206,'Category Mapping'!$A$2:$A$29,0))</f>
        <v>Weekday</v>
      </c>
      <c r="AF206" t="str">
        <f>INDEX('Category Mapping'!$C$2:$C$29,MATCH('Source Data'!A206,'Category Mapping'!$A$2:$A$29,0))</f>
        <v>Residential</v>
      </c>
      <c r="AG206" t="str">
        <f>INDEX('Category Mapping'!$D$2:$D$29,MATCH('Source Data'!A206,'Category Mapping'!$A$2:$A$29,0))</f>
        <v>Total</v>
      </c>
    </row>
    <row r="207" spans="1:33" x14ac:dyDescent="0.25">
      <c r="A207" s="14" t="s">
        <v>93</v>
      </c>
      <c r="B207" s="15">
        <v>2019</v>
      </c>
      <c r="C207" s="15">
        <v>19</v>
      </c>
      <c r="D207" s="15" t="s">
        <v>208</v>
      </c>
      <c r="E207" s="15">
        <v>1</v>
      </c>
      <c r="F207" s="30">
        <v>57000000</v>
      </c>
      <c r="G207" s="30">
        <v>47600000</v>
      </c>
      <c r="H207" s="30">
        <v>41000000</v>
      </c>
      <c r="I207" s="30">
        <v>36900000</v>
      </c>
      <c r="J207" s="30">
        <v>37500000</v>
      </c>
      <c r="K207" s="30">
        <v>42800000</v>
      </c>
      <c r="L207" s="30">
        <v>60000000</v>
      </c>
      <c r="M207" s="30">
        <v>80700000</v>
      </c>
      <c r="N207" s="30">
        <v>81900000</v>
      </c>
      <c r="O207" s="30">
        <v>98000000</v>
      </c>
      <c r="P207" s="30">
        <v>115000000</v>
      </c>
      <c r="Q207" s="30">
        <v>123000000</v>
      </c>
      <c r="R207" s="30">
        <v>114000000</v>
      </c>
      <c r="S207" s="30">
        <v>103000000</v>
      </c>
      <c r="T207" s="30">
        <v>106000000</v>
      </c>
      <c r="U207" s="30">
        <v>109000000</v>
      </c>
      <c r="V207" s="30">
        <v>134000000</v>
      </c>
      <c r="W207" s="30">
        <v>139000000</v>
      </c>
      <c r="X207" s="30">
        <v>140000000</v>
      </c>
      <c r="Y207" s="30">
        <v>135000000</v>
      </c>
      <c r="Z207" s="30">
        <v>130000000</v>
      </c>
      <c r="AA207" s="30">
        <v>117000000</v>
      </c>
      <c r="AB207" s="30">
        <v>93100000</v>
      </c>
      <c r="AC207" s="31">
        <v>71700000</v>
      </c>
      <c r="AD207" t="str">
        <f t="shared" si="3"/>
        <v>Winter</v>
      </c>
      <c r="AE207" t="str">
        <f>INDEX('Category Mapping'!$B$2:$B$29,MATCH('Source Data'!A207,'Category Mapping'!$A$2:$A$29,0))</f>
        <v>Weekend</v>
      </c>
      <c r="AF207" t="str">
        <f>INDEX('Category Mapping'!$C$2:$C$29,MATCH('Source Data'!A207,'Category Mapping'!$A$2:$A$29,0))</f>
        <v>Residential</v>
      </c>
      <c r="AG207" t="str">
        <f>INDEX('Category Mapping'!$D$2:$D$29,MATCH('Source Data'!A207,'Category Mapping'!$A$2:$A$29,0))</f>
        <v>Total</v>
      </c>
    </row>
    <row r="208" spans="1:33" x14ac:dyDescent="0.25">
      <c r="A208" s="16" t="s">
        <v>93</v>
      </c>
      <c r="B208" s="17">
        <v>2019</v>
      </c>
      <c r="C208" s="17">
        <v>19</v>
      </c>
      <c r="D208" s="17" t="s">
        <v>208</v>
      </c>
      <c r="E208" s="17">
        <v>2</v>
      </c>
      <c r="F208" s="28">
        <v>54200000</v>
      </c>
      <c r="G208" s="28">
        <v>44900000</v>
      </c>
      <c r="H208" s="28">
        <v>38300000</v>
      </c>
      <c r="I208" s="28">
        <v>34300000</v>
      </c>
      <c r="J208" s="28">
        <v>34800000</v>
      </c>
      <c r="K208" s="28">
        <v>40100000</v>
      </c>
      <c r="L208" s="28">
        <v>57000000</v>
      </c>
      <c r="M208" s="28">
        <v>68100000</v>
      </c>
      <c r="N208" s="28">
        <v>78400000</v>
      </c>
      <c r="O208" s="28">
        <v>94200000</v>
      </c>
      <c r="P208" s="28">
        <v>111000000</v>
      </c>
      <c r="Q208" s="28">
        <v>120000000</v>
      </c>
      <c r="R208" s="28">
        <v>111000000</v>
      </c>
      <c r="S208" s="28">
        <v>99100000</v>
      </c>
      <c r="T208" s="28">
        <v>102000000</v>
      </c>
      <c r="U208" s="28">
        <v>106000000</v>
      </c>
      <c r="V208" s="28">
        <v>118000000</v>
      </c>
      <c r="W208" s="28">
        <v>136000000</v>
      </c>
      <c r="X208" s="28">
        <v>135000000</v>
      </c>
      <c r="Y208" s="28">
        <v>130000000</v>
      </c>
      <c r="Z208" s="28">
        <v>125000000</v>
      </c>
      <c r="AA208" s="28">
        <v>113000000</v>
      </c>
      <c r="AB208" s="28">
        <v>89700000</v>
      </c>
      <c r="AC208" s="29">
        <v>68700000</v>
      </c>
      <c r="AD208" t="str">
        <f t="shared" si="3"/>
        <v>Winter</v>
      </c>
      <c r="AE208" t="str">
        <f>INDEX('Category Mapping'!$B$2:$B$29,MATCH('Source Data'!A208,'Category Mapping'!$A$2:$A$29,0))</f>
        <v>Weekend</v>
      </c>
      <c r="AF208" t="str">
        <f>INDEX('Category Mapping'!$C$2:$C$29,MATCH('Source Data'!A208,'Category Mapping'!$A$2:$A$29,0))</f>
        <v>Residential</v>
      </c>
      <c r="AG208" t="str">
        <f>INDEX('Category Mapping'!$D$2:$D$29,MATCH('Source Data'!A208,'Category Mapping'!$A$2:$A$29,0))</f>
        <v>Total</v>
      </c>
    </row>
    <row r="209" spans="1:33" x14ac:dyDescent="0.25">
      <c r="A209" s="14" t="s">
        <v>93</v>
      </c>
      <c r="B209" s="15">
        <v>2019</v>
      </c>
      <c r="C209" s="15">
        <v>19</v>
      </c>
      <c r="D209" s="15" t="s">
        <v>208</v>
      </c>
      <c r="E209" s="15">
        <v>3</v>
      </c>
      <c r="F209" s="30">
        <v>51300000</v>
      </c>
      <c r="G209" s="30">
        <v>42200000</v>
      </c>
      <c r="H209" s="30">
        <v>35600000</v>
      </c>
      <c r="I209" s="30">
        <v>31600000</v>
      </c>
      <c r="J209" s="30">
        <v>32100000</v>
      </c>
      <c r="K209" s="30">
        <v>37400000</v>
      </c>
      <c r="L209" s="30">
        <v>53500000</v>
      </c>
      <c r="M209" s="30">
        <v>61900000</v>
      </c>
      <c r="N209" s="30">
        <v>75100000</v>
      </c>
      <c r="O209" s="30">
        <v>90700000</v>
      </c>
      <c r="P209" s="30">
        <v>108000000</v>
      </c>
      <c r="Q209" s="30">
        <v>116000000</v>
      </c>
      <c r="R209" s="30">
        <v>107000000</v>
      </c>
      <c r="S209" s="30">
        <v>96200000</v>
      </c>
      <c r="T209" s="30">
        <v>99600000</v>
      </c>
      <c r="U209" s="30">
        <v>103000000</v>
      </c>
      <c r="V209" s="30">
        <v>110000000</v>
      </c>
      <c r="W209" s="30">
        <v>130000000</v>
      </c>
      <c r="X209" s="30">
        <v>130000000</v>
      </c>
      <c r="Y209" s="30">
        <v>125000000</v>
      </c>
      <c r="Z209" s="30">
        <v>120000000</v>
      </c>
      <c r="AA209" s="30">
        <v>108000000</v>
      </c>
      <c r="AB209" s="30">
        <v>85800000</v>
      </c>
      <c r="AC209" s="31">
        <v>65500000</v>
      </c>
      <c r="AD209" t="str">
        <f t="shared" si="3"/>
        <v>Spring</v>
      </c>
      <c r="AE209" t="str">
        <f>INDEX('Category Mapping'!$B$2:$B$29,MATCH('Source Data'!A209,'Category Mapping'!$A$2:$A$29,0))</f>
        <v>Weekend</v>
      </c>
      <c r="AF209" t="str">
        <f>INDEX('Category Mapping'!$C$2:$C$29,MATCH('Source Data'!A209,'Category Mapping'!$A$2:$A$29,0))</f>
        <v>Residential</v>
      </c>
      <c r="AG209" t="str">
        <f>INDEX('Category Mapping'!$D$2:$D$29,MATCH('Source Data'!A209,'Category Mapping'!$A$2:$A$29,0))</f>
        <v>Total</v>
      </c>
    </row>
    <row r="210" spans="1:33" x14ac:dyDescent="0.25">
      <c r="A210" s="16" t="s">
        <v>93</v>
      </c>
      <c r="B210" s="17">
        <v>2019</v>
      </c>
      <c r="C210" s="17">
        <v>19</v>
      </c>
      <c r="D210" s="17" t="s">
        <v>208</v>
      </c>
      <c r="E210" s="17">
        <v>4</v>
      </c>
      <c r="F210" s="28">
        <v>46400000</v>
      </c>
      <c r="G210" s="28">
        <v>37400000</v>
      </c>
      <c r="H210" s="28">
        <v>30900000</v>
      </c>
      <c r="I210" s="28">
        <v>26900000</v>
      </c>
      <c r="J210" s="28">
        <v>27500000</v>
      </c>
      <c r="K210" s="28">
        <v>32500000</v>
      </c>
      <c r="L210" s="28">
        <v>41900000</v>
      </c>
      <c r="M210" s="28">
        <v>56000000</v>
      </c>
      <c r="N210" s="28">
        <v>69200000</v>
      </c>
      <c r="O210" s="28">
        <v>84800000</v>
      </c>
      <c r="P210" s="28">
        <v>102000000</v>
      </c>
      <c r="Q210" s="28">
        <v>112000000</v>
      </c>
      <c r="R210" s="28">
        <v>103000000</v>
      </c>
      <c r="S210" s="28">
        <v>92300000</v>
      </c>
      <c r="T210" s="28">
        <v>96100000</v>
      </c>
      <c r="U210" s="28">
        <v>99400000</v>
      </c>
      <c r="V210" s="28">
        <v>105000000</v>
      </c>
      <c r="W210" s="28">
        <v>111000000</v>
      </c>
      <c r="X210" s="28">
        <v>125000000</v>
      </c>
      <c r="Y210" s="28">
        <v>119000000</v>
      </c>
      <c r="Z210" s="28">
        <v>114000000</v>
      </c>
      <c r="AA210" s="28">
        <v>102000000</v>
      </c>
      <c r="AB210" s="28">
        <v>80200000</v>
      </c>
      <c r="AC210" s="29">
        <v>60400000</v>
      </c>
      <c r="AD210" t="str">
        <f t="shared" si="3"/>
        <v>Spring</v>
      </c>
      <c r="AE210" t="str">
        <f>INDEX('Category Mapping'!$B$2:$B$29,MATCH('Source Data'!A210,'Category Mapping'!$A$2:$A$29,0))</f>
        <v>Weekend</v>
      </c>
      <c r="AF210" t="str">
        <f>INDEX('Category Mapping'!$C$2:$C$29,MATCH('Source Data'!A210,'Category Mapping'!$A$2:$A$29,0))</f>
        <v>Residential</v>
      </c>
      <c r="AG210" t="str">
        <f>INDEX('Category Mapping'!$D$2:$D$29,MATCH('Source Data'!A210,'Category Mapping'!$A$2:$A$29,0))</f>
        <v>Total</v>
      </c>
    </row>
    <row r="211" spans="1:33" x14ac:dyDescent="0.25">
      <c r="A211" s="14" t="s">
        <v>93</v>
      </c>
      <c r="B211" s="15">
        <v>2019</v>
      </c>
      <c r="C211" s="15">
        <v>19</v>
      </c>
      <c r="D211" s="15" t="s">
        <v>208</v>
      </c>
      <c r="E211" s="15">
        <v>5</v>
      </c>
      <c r="F211" s="30">
        <v>43500000</v>
      </c>
      <c r="G211" s="30">
        <v>34500000</v>
      </c>
      <c r="H211" s="30">
        <v>28000000</v>
      </c>
      <c r="I211" s="30">
        <v>24100000</v>
      </c>
      <c r="J211" s="30">
        <v>24700000</v>
      </c>
      <c r="K211" s="30">
        <v>28900000</v>
      </c>
      <c r="L211" s="30">
        <v>36900000</v>
      </c>
      <c r="M211" s="30">
        <v>51900000</v>
      </c>
      <c r="N211" s="30">
        <v>64500000</v>
      </c>
      <c r="O211" s="30">
        <v>80400000</v>
      </c>
      <c r="P211" s="30">
        <v>98600000</v>
      </c>
      <c r="Q211" s="30">
        <v>110000000</v>
      </c>
      <c r="R211" s="30">
        <v>102000000</v>
      </c>
      <c r="S211" s="30">
        <v>92100000</v>
      </c>
      <c r="T211" s="30">
        <v>95900000</v>
      </c>
      <c r="U211" s="30">
        <v>99400000</v>
      </c>
      <c r="V211" s="30">
        <v>105000000</v>
      </c>
      <c r="W211" s="30">
        <v>106000000</v>
      </c>
      <c r="X211" s="30">
        <v>119000000</v>
      </c>
      <c r="Y211" s="30">
        <v>115000000</v>
      </c>
      <c r="Z211" s="30">
        <v>108000000</v>
      </c>
      <c r="AA211" s="30">
        <v>97100000</v>
      </c>
      <c r="AB211" s="30">
        <v>76600000</v>
      </c>
      <c r="AC211" s="31">
        <v>57400000</v>
      </c>
      <c r="AD211" t="str">
        <f t="shared" si="3"/>
        <v>Spring</v>
      </c>
      <c r="AE211" t="str">
        <f>INDEX('Category Mapping'!$B$2:$B$29,MATCH('Source Data'!A211,'Category Mapping'!$A$2:$A$29,0))</f>
        <v>Weekend</v>
      </c>
      <c r="AF211" t="str">
        <f>INDEX('Category Mapping'!$C$2:$C$29,MATCH('Source Data'!A211,'Category Mapping'!$A$2:$A$29,0))</f>
        <v>Residential</v>
      </c>
      <c r="AG211" t="str">
        <f>INDEX('Category Mapping'!$D$2:$D$29,MATCH('Source Data'!A211,'Category Mapping'!$A$2:$A$29,0))</f>
        <v>Total</v>
      </c>
    </row>
    <row r="212" spans="1:33" x14ac:dyDescent="0.25">
      <c r="A212" s="16" t="s">
        <v>93</v>
      </c>
      <c r="B212" s="17">
        <v>2019</v>
      </c>
      <c r="C212" s="17">
        <v>19</v>
      </c>
      <c r="D212" s="17" t="s">
        <v>208</v>
      </c>
      <c r="E212" s="17">
        <v>6</v>
      </c>
      <c r="F212" s="28">
        <v>44500000</v>
      </c>
      <c r="G212" s="28">
        <v>34900000</v>
      </c>
      <c r="H212" s="28">
        <v>28300000</v>
      </c>
      <c r="I212" s="28">
        <v>24500000</v>
      </c>
      <c r="J212" s="28">
        <v>25800000</v>
      </c>
      <c r="K212" s="28">
        <v>29500000</v>
      </c>
      <c r="L212" s="28">
        <v>42300000</v>
      </c>
      <c r="M212" s="28">
        <v>61300000</v>
      </c>
      <c r="N212" s="28">
        <v>77000000</v>
      </c>
      <c r="O212" s="28">
        <v>94200000</v>
      </c>
      <c r="P212" s="28">
        <v>114000000</v>
      </c>
      <c r="Q212" s="28">
        <v>129000000</v>
      </c>
      <c r="R212" s="28">
        <v>123000000</v>
      </c>
      <c r="S212" s="28">
        <v>115000000</v>
      </c>
      <c r="T212" s="28">
        <v>119000000</v>
      </c>
      <c r="U212" s="28">
        <v>122000000</v>
      </c>
      <c r="V212" s="28">
        <v>127000000</v>
      </c>
      <c r="W212" s="28">
        <v>126000000</v>
      </c>
      <c r="X212" s="28">
        <v>131000000</v>
      </c>
      <c r="Y212" s="28">
        <v>132000000</v>
      </c>
      <c r="Z212" s="28">
        <v>122000000</v>
      </c>
      <c r="AA212" s="28">
        <v>107000000</v>
      </c>
      <c r="AB212" s="28">
        <v>82500000</v>
      </c>
      <c r="AC212" s="29">
        <v>60000000</v>
      </c>
      <c r="AD212" t="str">
        <f t="shared" si="3"/>
        <v>Summer</v>
      </c>
      <c r="AE212" t="str">
        <f>INDEX('Category Mapping'!$B$2:$B$29,MATCH('Source Data'!A212,'Category Mapping'!$A$2:$A$29,0))</f>
        <v>Weekend</v>
      </c>
      <c r="AF212" t="str">
        <f>INDEX('Category Mapping'!$C$2:$C$29,MATCH('Source Data'!A212,'Category Mapping'!$A$2:$A$29,0))</f>
        <v>Residential</v>
      </c>
      <c r="AG212" t="str">
        <f>INDEX('Category Mapping'!$D$2:$D$29,MATCH('Source Data'!A212,'Category Mapping'!$A$2:$A$29,0))</f>
        <v>Total</v>
      </c>
    </row>
    <row r="213" spans="1:33" x14ac:dyDescent="0.25">
      <c r="A213" s="14" t="s">
        <v>93</v>
      </c>
      <c r="B213" s="15">
        <v>2019</v>
      </c>
      <c r="C213" s="15">
        <v>19</v>
      </c>
      <c r="D213" s="15" t="s">
        <v>208</v>
      </c>
      <c r="E213" s="15">
        <v>7</v>
      </c>
      <c r="F213" s="30">
        <v>67900000</v>
      </c>
      <c r="G213" s="30">
        <v>56900000</v>
      </c>
      <c r="H213" s="30">
        <v>50000000</v>
      </c>
      <c r="I213" s="30">
        <v>46900000</v>
      </c>
      <c r="J213" s="30">
        <v>49900000</v>
      </c>
      <c r="K213" s="30">
        <v>55600000</v>
      </c>
      <c r="L213" s="30">
        <v>68100000</v>
      </c>
      <c r="M213" s="30">
        <v>86000000</v>
      </c>
      <c r="N213" s="30">
        <v>99700000</v>
      </c>
      <c r="O213" s="30">
        <v>114000000</v>
      </c>
      <c r="P213" s="30">
        <v>133000000</v>
      </c>
      <c r="Q213" s="30">
        <v>149000000</v>
      </c>
      <c r="R213" s="30">
        <v>145000000</v>
      </c>
      <c r="S213" s="30">
        <v>136000000</v>
      </c>
      <c r="T213" s="30">
        <v>141000000</v>
      </c>
      <c r="U213" s="30">
        <v>144000000</v>
      </c>
      <c r="V213" s="30">
        <v>148000000</v>
      </c>
      <c r="W213" s="30">
        <v>148000000</v>
      </c>
      <c r="X213" s="30">
        <v>156000000</v>
      </c>
      <c r="Y213" s="30">
        <v>156000000</v>
      </c>
      <c r="Z213" s="30">
        <v>147000000</v>
      </c>
      <c r="AA213" s="30">
        <v>132000000</v>
      </c>
      <c r="AB213" s="30">
        <v>108000000</v>
      </c>
      <c r="AC213" s="31">
        <v>84900000</v>
      </c>
      <c r="AD213" t="str">
        <f t="shared" si="3"/>
        <v>Summer</v>
      </c>
      <c r="AE213" t="str">
        <f>INDEX('Category Mapping'!$B$2:$B$29,MATCH('Source Data'!A213,'Category Mapping'!$A$2:$A$29,0))</f>
        <v>Weekend</v>
      </c>
      <c r="AF213" t="str">
        <f>INDEX('Category Mapping'!$C$2:$C$29,MATCH('Source Data'!A213,'Category Mapping'!$A$2:$A$29,0))</f>
        <v>Residential</v>
      </c>
      <c r="AG213" t="str">
        <f>INDEX('Category Mapping'!$D$2:$D$29,MATCH('Source Data'!A213,'Category Mapping'!$A$2:$A$29,0))</f>
        <v>Total</v>
      </c>
    </row>
    <row r="214" spans="1:33" x14ac:dyDescent="0.25">
      <c r="A214" s="16" t="s">
        <v>93</v>
      </c>
      <c r="B214" s="17">
        <v>2019</v>
      </c>
      <c r="C214" s="17">
        <v>19</v>
      </c>
      <c r="D214" s="17" t="s">
        <v>208</v>
      </c>
      <c r="E214" s="17">
        <v>8</v>
      </c>
      <c r="F214" s="28">
        <v>69200000</v>
      </c>
      <c r="G214" s="28">
        <v>57700000</v>
      </c>
      <c r="H214" s="28">
        <v>50500000</v>
      </c>
      <c r="I214" s="28">
        <v>47600000</v>
      </c>
      <c r="J214" s="28">
        <v>51200000</v>
      </c>
      <c r="K214" s="28">
        <v>60000000</v>
      </c>
      <c r="L214" s="28">
        <v>72600000</v>
      </c>
      <c r="M214" s="28">
        <v>90900000</v>
      </c>
      <c r="N214" s="28">
        <v>106000000</v>
      </c>
      <c r="O214" s="28">
        <v>121000000</v>
      </c>
      <c r="P214" s="28">
        <v>140000000</v>
      </c>
      <c r="Q214" s="28">
        <v>157000000</v>
      </c>
      <c r="R214" s="28">
        <v>154000000</v>
      </c>
      <c r="S214" s="28">
        <v>146000000</v>
      </c>
      <c r="T214" s="28">
        <v>151000000</v>
      </c>
      <c r="U214" s="28">
        <v>153000000</v>
      </c>
      <c r="V214" s="28">
        <v>158000000</v>
      </c>
      <c r="W214" s="28">
        <v>159000000</v>
      </c>
      <c r="X214" s="28">
        <v>172000000</v>
      </c>
      <c r="Y214" s="28">
        <v>164000000</v>
      </c>
      <c r="Z214" s="28">
        <v>154000000</v>
      </c>
      <c r="AA214" s="28">
        <v>137000000</v>
      </c>
      <c r="AB214" s="28">
        <v>111000000</v>
      </c>
      <c r="AC214" s="29">
        <v>87200000</v>
      </c>
      <c r="AD214" t="str">
        <f t="shared" si="3"/>
        <v>Summer</v>
      </c>
      <c r="AE214" t="str">
        <f>INDEX('Category Mapping'!$B$2:$B$29,MATCH('Source Data'!A214,'Category Mapping'!$A$2:$A$29,0))</f>
        <v>Weekend</v>
      </c>
      <c r="AF214" t="str">
        <f>INDEX('Category Mapping'!$C$2:$C$29,MATCH('Source Data'!A214,'Category Mapping'!$A$2:$A$29,0))</f>
        <v>Residential</v>
      </c>
      <c r="AG214" t="str">
        <f>INDEX('Category Mapping'!$D$2:$D$29,MATCH('Source Data'!A214,'Category Mapping'!$A$2:$A$29,0))</f>
        <v>Total</v>
      </c>
    </row>
    <row r="215" spans="1:33" x14ac:dyDescent="0.25">
      <c r="A215" s="14" t="s">
        <v>93</v>
      </c>
      <c r="B215" s="15">
        <v>2019</v>
      </c>
      <c r="C215" s="15">
        <v>19</v>
      </c>
      <c r="D215" s="15" t="s">
        <v>208</v>
      </c>
      <c r="E215" s="15">
        <v>9</v>
      </c>
      <c r="F215" s="30">
        <v>44600000</v>
      </c>
      <c r="G215" s="30">
        <v>35400000</v>
      </c>
      <c r="H215" s="30">
        <v>28900000</v>
      </c>
      <c r="I215" s="30">
        <v>25000000</v>
      </c>
      <c r="J215" s="30">
        <v>25800000</v>
      </c>
      <c r="K215" s="30">
        <v>30700000</v>
      </c>
      <c r="L215" s="30">
        <v>42400000</v>
      </c>
      <c r="M215" s="30">
        <v>56900000</v>
      </c>
      <c r="N215" s="30">
        <v>72900000</v>
      </c>
      <c r="O215" s="30">
        <v>90500000</v>
      </c>
      <c r="P215" s="30">
        <v>111000000</v>
      </c>
      <c r="Q215" s="30">
        <v>125000000</v>
      </c>
      <c r="R215" s="30">
        <v>120000000</v>
      </c>
      <c r="S215" s="30">
        <v>111000000</v>
      </c>
      <c r="T215" s="30">
        <v>115000000</v>
      </c>
      <c r="U215" s="30">
        <v>118000000</v>
      </c>
      <c r="V215" s="30">
        <v>123000000</v>
      </c>
      <c r="W215" s="30">
        <v>130000000</v>
      </c>
      <c r="X215" s="30">
        <v>138000000</v>
      </c>
      <c r="Y215" s="30">
        <v>129000000</v>
      </c>
      <c r="Z215" s="30">
        <v>119000000</v>
      </c>
      <c r="AA215" s="30">
        <v>104000000</v>
      </c>
      <c r="AB215" s="30">
        <v>79800000</v>
      </c>
      <c r="AC215" s="31">
        <v>58900000</v>
      </c>
      <c r="AD215" t="str">
        <f t="shared" si="3"/>
        <v>Fall</v>
      </c>
      <c r="AE215" t="str">
        <f>INDEX('Category Mapping'!$B$2:$B$29,MATCH('Source Data'!A215,'Category Mapping'!$A$2:$A$29,0))</f>
        <v>Weekend</v>
      </c>
      <c r="AF215" t="str">
        <f>INDEX('Category Mapping'!$C$2:$C$29,MATCH('Source Data'!A215,'Category Mapping'!$A$2:$A$29,0))</f>
        <v>Residential</v>
      </c>
      <c r="AG215" t="str">
        <f>INDEX('Category Mapping'!$D$2:$D$29,MATCH('Source Data'!A215,'Category Mapping'!$A$2:$A$29,0))</f>
        <v>Total</v>
      </c>
    </row>
    <row r="216" spans="1:33" x14ac:dyDescent="0.25">
      <c r="A216" s="16" t="s">
        <v>93</v>
      </c>
      <c r="B216" s="17">
        <v>2019</v>
      </c>
      <c r="C216" s="17">
        <v>19</v>
      </c>
      <c r="D216" s="17" t="s">
        <v>208</v>
      </c>
      <c r="E216" s="17">
        <v>10</v>
      </c>
      <c r="F216" s="28">
        <v>45500000</v>
      </c>
      <c r="G216" s="28">
        <v>36400000</v>
      </c>
      <c r="H216" s="28">
        <v>29800000</v>
      </c>
      <c r="I216" s="28">
        <v>25900000</v>
      </c>
      <c r="J216" s="28">
        <v>26600000</v>
      </c>
      <c r="K216" s="28">
        <v>31800000</v>
      </c>
      <c r="L216" s="28">
        <v>47900000</v>
      </c>
      <c r="M216" s="28">
        <v>56300000</v>
      </c>
      <c r="N216" s="28">
        <v>68000000</v>
      </c>
      <c r="O216" s="28">
        <v>83400000</v>
      </c>
      <c r="P216" s="28">
        <v>101000000</v>
      </c>
      <c r="Q216" s="28">
        <v>111000000</v>
      </c>
      <c r="R216" s="28">
        <v>103000000</v>
      </c>
      <c r="S216" s="28">
        <v>91900000</v>
      </c>
      <c r="T216" s="28">
        <v>95600000</v>
      </c>
      <c r="U216" s="28">
        <v>99100000</v>
      </c>
      <c r="V216" s="28">
        <v>107000000</v>
      </c>
      <c r="W216" s="28">
        <v>126000000</v>
      </c>
      <c r="X216" s="28">
        <v>125000000</v>
      </c>
      <c r="Y216" s="28">
        <v>119000000</v>
      </c>
      <c r="Z216" s="28">
        <v>114000000</v>
      </c>
      <c r="AA216" s="28">
        <v>102000000</v>
      </c>
      <c r="AB216" s="28">
        <v>80100000</v>
      </c>
      <c r="AC216" s="29">
        <v>59800000</v>
      </c>
      <c r="AD216" t="str">
        <f t="shared" si="3"/>
        <v>Fall</v>
      </c>
      <c r="AE216" t="str">
        <f>INDEX('Category Mapping'!$B$2:$B$29,MATCH('Source Data'!A216,'Category Mapping'!$A$2:$A$29,0))</f>
        <v>Weekend</v>
      </c>
      <c r="AF216" t="str">
        <f>INDEX('Category Mapping'!$C$2:$C$29,MATCH('Source Data'!A216,'Category Mapping'!$A$2:$A$29,0))</f>
        <v>Residential</v>
      </c>
      <c r="AG216" t="str">
        <f>INDEX('Category Mapping'!$D$2:$D$29,MATCH('Source Data'!A216,'Category Mapping'!$A$2:$A$29,0))</f>
        <v>Total</v>
      </c>
    </row>
    <row r="217" spans="1:33" x14ac:dyDescent="0.25">
      <c r="A217" s="14" t="s">
        <v>93</v>
      </c>
      <c r="B217" s="15">
        <v>2019</v>
      </c>
      <c r="C217" s="15">
        <v>19</v>
      </c>
      <c r="D217" s="15" t="s">
        <v>208</v>
      </c>
      <c r="E217" s="15">
        <v>11</v>
      </c>
      <c r="F217" s="30">
        <v>50400000</v>
      </c>
      <c r="G217" s="30">
        <v>41200000</v>
      </c>
      <c r="H217" s="30">
        <v>34600000</v>
      </c>
      <c r="I217" s="30">
        <v>30600000</v>
      </c>
      <c r="J217" s="30">
        <v>31200000</v>
      </c>
      <c r="K217" s="30">
        <v>36500000</v>
      </c>
      <c r="L217" s="30">
        <v>53200000</v>
      </c>
      <c r="M217" s="30">
        <v>66700000</v>
      </c>
      <c r="N217" s="30">
        <v>73700000</v>
      </c>
      <c r="O217" s="30">
        <v>89200000</v>
      </c>
      <c r="P217" s="30">
        <v>106000000</v>
      </c>
      <c r="Q217" s="30">
        <v>115000000</v>
      </c>
      <c r="R217" s="30">
        <v>107000000</v>
      </c>
      <c r="S217" s="30">
        <v>95600000</v>
      </c>
      <c r="T217" s="30">
        <v>99000000</v>
      </c>
      <c r="U217" s="30">
        <v>103000000</v>
      </c>
      <c r="V217" s="30">
        <v>118000000</v>
      </c>
      <c r="W217" s="30">
        <v>132000000</v>
      </c>
      <c r="X217" s="30">
        <v>131000000</v>
      </c>
      <c r="Y217" s="30">
        <v>126000000</v>
      </c>
      <c r="Z217" s="30">
        <v>121000000</v>
      </c>
      <c r="AA217" s="30">
        <v>109000000</v>
      </c>
      <c r="AB217" s="30">
        <v>85800000</v>
      </c>
      <c r="AC217" s="31">
        <v>64800000</v>
      </c>
      <c r="AD217" t="str">
        <f t="shared" si="3"/>
        <v>Winter</v>
      </c>
      <c r="AE217" t="str">
        <f>INDEX('Category Mapping'!$B$2:$B$29,MATCH('Source Data'!A217,'Category Mapping'!$A$2:$A$29,0))</f>
        <v>Weekend</v>
      </c>
      <c r="AF217" t="str">
        <f>INDEX('Category Mapping'!$C$2:$C$29,MATCH('Source Data'!A217,'Category Mapping'!$A$2:$A$29,0))</f>
        <v>Residential</v>
      </c>
      <c r="AG217" t="str">
        <f>INDEX('Category Mapping'!$D$2:$D$29,MATCH('Source Data'!A217,'Category Mapping'!$A$2:$A$29,0))</f>
        <v>Total</v>
      </c>
    </row>
    <row r="218" spans="1:33" x14ac:dyDescent="0.25">
      <c r="A218" s="16" t="s">
        <v>93</v>
      </c>
      <c r="B218" s="17">
        <v>2019</v>
      </c>
      <c r="C218" s="17">
        <v>19</v>
      </c>
      <c r="D218" s="17" t="s">
        <v>208</v>
      </c>
      <c r="E218" s="17">
        <v>12</v>
      </c>
      <c r="F218" s="28">
        <v>55000000</v>
      </c>
      <c r="G218" s="28">
        <v>45600000</v>
      </c>
      <c r="H218" s="28">
        <v>39000000</v>
      </c>
      <c r="I218" s="28">
        <v>35000000</v>
      </c>
      <c r="J218" s="28">
        <v>35500000</v>
      </c>
      <c r="K218" s="28">
        <v>40900000</v>
      </c>
      <c r="L218" s="28">
        <v>58000000</v>
      </c>
      <c r="M218" s="28">
        <v>80500000</v>
      </c>
      <c r="N218" s="28">
        <v>79500000</v>
      </c>
      <c r="O218" s="28">
        <v>95400000</v>
      </c>
      <c r="P218" s="28">
        <v>112000000</v>
      </c>
      <c r="Q218" s="28">
        <v>121000000</v>
      </c>
      <c r="R218" s="28">
        <v>112000000</v>
      </c>
      <c r="S218" s="28">
        <v>100000000</v>
      </c>
      <c r="T218" s="28">
        <v>104000000</v>
      </c>
      <c r="U218" s="28">
        <v>107000000</v>
      </c>
      <c r="V218" s="28">
        <v>135000000</v>
      </c>
      <c r="W218" s="28">
        <v>138000000</v>
      </c>
      <c r="X218" s="28">
        <v>137000000</v>
      </c>
      <c r="Y218" s="28">
        <v>132000000</v>
      </c>
      <c r="Z218" s="28">
        <v>127000000</v>
      </c>
      <c r="AA218" s="28">
        <v>114000000</v>
      </c>
      <c r="AB218" s="28">
        <v>91000000</v>
      </c>
      <c r="AC218" s="29">
        <v>69600000</v>
      </c>
      <c r="AD218" t="str">
        <f t="shared" si="3"/>
        <v>Winter</v>
      </c>
      <c r="AE218" t="str">
        <f>INDEX('Category Mapping'!$B$2:$B$29,MATCH('Source Data'!A218,'Category Mapping'!$A$2:$A$29,0))</f>
        <v>Weekend</v>
      </c>
      <c r="AF218" t="str">
        <f>INDEX('Category Mapping'!$C$2:$C$29,MATCH('Source Data'!A218,'Category Mapping'!$A$2:$A$29,0))</f>
        <v>Residential</v>
      </c>
      <c r="AG218" t="str">
        <f>INDEX('Category Mapping'!$D$2:$D$29,MATCH('Source Data'!A218,'Category Mapping'!$A$2:$A$29,0))</f>
        <v>Total</v>
      </c>
    </row>
    <row r="219" spans="1:33" x14ac:dyDescent="0.25">
      <c r="A219" s="14" t="s">
        <v>100</v>
      </c>
      <c r="B219" s="15">
        <v>2019</v>
      </c>
      <c r="C219" s="15">
        <v>19</v>
      </c>
      <c r="D219" s="15" t="s">
        <v>208</v>
      </c>
      <c r="E219" s="15">
        <v>1</v>
      </c>
      <c r="F219" s="30">
        <v>197000000</v>
      </c>
      <c r="G219" s="30">
        <v>190000000</v>
      </c>
      <c r="H219" s="30">
        <v>186000000</v>
      </c>
      <c r="I219" s="30">
        <v>194000000</v>
      </c>
      <c r="J219" s="30">
        <v>206000000</v>
      </c>
      <c r="K219" s="30">
        <v>235000000</v>
      </c>
      <c r="L219" s="30">
        <v>352000000</v>
      </c>
      <c r="M219" s="30">
        <v>527000000</v>
      </c>
      <c r="N219" s="30">
        <v>631000000</v>
      </c>
      <c r="O219" s="30">
        <v>621000000</v>
      </c>
      <c r="P219" s="30">
        <v>603000000</v>
      </c>
      <c r="Q219" s="30">
        <v>592000000</v>
      </c>
      <c r="R219" s="30">
        <v>576000000</v>
      </c>
      <c r="S219" s="30">
        <v>572000000</v>
      </c>
      <c r="T219" s="30">
        <v>568000000</v>
      </c>
      <c r="U219" s="30">
        <v>566000000</v>
      </c>
      <c r="V219" s="30">
        <v>548000000</v>
      </c>
      <c r="W219" s="30">
        <v>518000000</v>
      </c>
      <c r="X219" s="30">
        <v>504000000</v>
      </c>
      <c r="Y219" s="30">
        <v>439000000</v>
      </c>
      <c r="Z219" s="30">
        <v>380000000</v>
      </c>
      <c r="AA219" s="30">
        <v>327000000</v>
      </c>
      <c r="AB219" s="30">
        <v>287000000</v>
      </c>
      <c r="AC219" s="31">
        <v>219000000</v>
      </c>
      <c r="AD219" t="str">
        <f t="shared" si="3"/>
        <v>Winter</v>
      </c>
      <c r="AE219" t="str">
        <f>INDEX('Category Mapping'!$B$2:$B$29,MATCH('Source Data'!A219,'Category Mapping'!$A$2:$A$29,0))</f>
        <v>Weekday</v>
      </c>
      <c r="AF219" t="str">
        <f>INDEX('Category Mapping'!$C$2:$C$29,MATCH('Source Data'!A219,'Category Mapping'!$A$2:$A$29,0))</f>
        <v>Commercial</v>
      </c>
      <c r="AG219" t="str">
        <f>INDEX('Category Mapping'!$D$2:$D$29,MATCH('Source Data'!A219,'Category Mapping'!$A$2:$A$29,0))</f>
        <v>Total</v>
      </c>
    </row>
    <row r="220" spans="1:33" x14ac:dyDescent="0.25">
      <c r="A220" s="16" t="s">
        <v>100</v>
      </c>
      <c r="B220" s="17">
        <v>2019</v>
      </c>
      <c r="C220" s="17">
        <v>19</v>
      </c>
      <c r="D220" s="17" t="s">
        <v>208</v>
      </c>
      <c r="E220" s="17">
        <v>2</v>
      </c>
      <c r="F220" s="28">
        <v>188000000</v>
      </c>
      <c r="G220" s="28">
        <v>183000000</v>
      </c>
      <c r="H220" s="28">
        <v>179000000</v>
      </c>
      <c r="I220" s="28">
        <v>186000000</v>
      </c>
      <c r="J220" s="28">
        <v>198000000</v>
      </c>
      <c r="K220" s="28">
        <v>226000000</v>
      </c>
      <c r="L220" s="28">
        <v>341000000</v>
      </c>
      <c r="M220" s="28">
        <v>505000000</v>
      </c>
      <c r="N220" s="28">
        <v>606000000</v>
      </c>
      <c r="O220" s="28">
        <v>600000000</v>
      </c>
      <c r="P220" s="28">
        <v>584000000</v>
      </c>
      <c r="Q220" s="28">
        <v>574000000</v>
      </c>
      <c r="R220" s="28">
        <v>559000000</v>
      </c>
      <c r="S220" s="28">
        <v>556000000</v>
      </c>
      <c r="T220" s="28">
        <v>553000000</v>
      </c>
      <c r="U220" s="28">
        <v>551000000</v>
      </c>
      <c r="V220" s="28">
        <v>533000000</v>
      </c>
      <c r="W220" s="28">
        <v>503000000</v>
      </c>
      <c r="X220" s="28">
        <v>487000000</v>
      </c>
      <c r="Y220" s="28">
        <v>422000000</v>
      </c>
      <c r="Z220" s="28">
        <v>363000000</v>
      </c>
      <c r="AA220" s="28">
        <v>311000000</v>
      </c>
      <c r="AB220" s="28">
        <v>271000000</v>
      </c>
      <c r="AC220" s="29">
        <v>213000000</v>
      </c>
      <c r="AD220" t="str">
        <f t="shared" si="3"/>
        <v>Winter</v>
      </c>
      <c r="AE220" t="str">
        <f>INDEX('Category Mapping'!$B$2:$B$29,MATCH('Source Data'!A220,'Category Mapping'!$A$2:$A$29,0))</f>
        <v>Weekday</v>
      </c>
      <c r="AF220" t="str">
        <f>INDEX('Category Mapping'!$C$2:$C$29,MATCH('Source Data'!A220,'Category Mapping'!$A$2:$A$29,0))</f>
        <v>Commercial</v>
      </c>
      <c r="AG220" t="str">
        <f>INDEX('Category Mapping'!$D$2:$D$29,MATCH('Source Data'!A220,'Category Mapping'!$A$2:$A$29,0))</f>
        <v>Total</v>
      </c>
    </row>
    <row r="221" spans="1:33" x14ac:dyDescent="0.25">
      <c r="A221" s="14" t="s">
        <v>100</v>
      </c>
      <c r="B221" s="15">
        <v>2019</v>
      </c>
      <c r="C221" s="15">
        <v>19</v>
      </c>
      <c r="D221" s="15" t="s">
        <v>208</v>
      </c>
      <c r="E221" s="15">
        <v>3</v>
      </c>
      <c r="F221" s="30">
        <v>182000000</v>
      </c>
      <c r="G221" s="30">
        <v>177000000</v>
      </c>
      <c r="H221" s="30">
        <v>175000000</v>
      </c>
      <c r="I221" s="30">
        <v>182000000</v>
      </c>
      <c r="J221" s="30">
        <v>192000000</v>
      </c>
      <c r="K221" s="30">
        <v>231000000</v>
      </c>
      <c r="L221" s="30">
        <v>356000000</v>
      </c>
      <c r="M221" s="30">
        <v>491000000</v>
      </c>
      <c r="N221" s="30">
        <v>572000000</v>
      </c>
      <c r="O221" s="30">
        <v>577000000</v>
      </c>
      <c r="P221" s="30">
        <v>565000000</v>
      </c>
      <c r="Q221" s="30">
        <v>556000000</v>
      </c>
      <c r="R221" s="30">
        <v>543000000</v>
      </c>
      <c r="S221" s="30">
        <v>541000000</v>
      </c>
      <c r="T221" s="30">
        <v>538000000</v>
      </c>
      <c r="U221" s="30">
        <v>536000000</v>
      </c>
      <c r="V221" s="30">
        <v>518000000</v>
      </c>
      <c r="W221" s="30">
        <v>489000000</v>
      </c>
      <c r="X221" s="30">
        <v>472000000</v>
      </c>
      <c r="Y221" s="30">
        <v>406000000</v>
      </c>
      <c r="Z221" s="30">
        <v>350000000</v>
      </c>
      <c r="AA221" s="30">
        <v>287000000</v>
      </c>
      <c r="AB221" s="30">
        <v>243000000</v>
      </c>
      <c r="AC221" s="31">
        <v>211000000</v>
      </c>
      <c r="AD221" t="str">
        <f t="shared" si="3"/>
        <v>Spring</v>
      </c>
      <c r="AE221" t="str">
        <f>INDEX('Category Mapping'!$B$2:$B$29,MATCH('Source Data'!A221,'Category Mapping'!$A$2:$A$29,0))</f>
        <v>Weekday</v>
      </c>
      <c r="AF221" t="str">
        <f>INDEX('Category Mapping'!$C$2:$C$29,MATCH('Source Data'!A221,'Category Mapping'!$A$2:$A$29,0))</f>
        <v>Commercial</v>
      </c>
      <c r="AG221" t="str">
        <f>INDEX('Category Mapping'!$D$2:$D$29,MATCH('Source Data'!A221,'Category Mapping'!$A$2:$A$29,0))</f>
        <v>Total</v>
      </c>
    </row>
    <row r="222" spans="1:33" x14ac:dyDescent="0.25">
      <c r="A222" s="16" t="s">
        <v>100</v>
      </c>
      <c r="B222" s="17">
        <v>2019</v>
      </c>
      <c r="C222" s="17">
        <v>19</v>
      </c>
      <c r="D222" s="17" t="s">
        <v>208</v>
      </c>
      <c r="E222" s="17">
        <v>4</v>
      </c>
      <c r="F222" s="28">
        <v>172000000</v>
      </c>
      <c r="G222" s="28">
        <v>167000000</v>
      </c>
      <c r="H222" s="28">
        <v>167000000</v>
      </c>
      <c r="I222" s="28">
        <v>174000000</v>
      </c>
      <c r="J222" s="28">
        <v>183000000</v>
      </c>
      <c r="K222" s="28">
        <v>222000000</v>
      </c>
      <c r="L222" s="28">
        <v>343000000</v>
      </c>
      <c r="M222" s="28">
        <v>441000000</v>
      </c>
      <c r="N222" s="28">
        <v>522000000</v>
      </c>
      <c r="O222" s="28">
        <v>541000000</v>
      </c>
      <c r="P222" s="28">
        <v>535000000</v>
      </c>
      <c r="Q222" s="28">
        <v>530000000</v>
      </c>
      <c r="R222" s="28">
        <v>520000000</v>
      </c>
      <c r="S222" s="28">
        <v>519000000</v>
      </c>
      <c r="T222" s="28">
        <v>518000000</v>
      </c>
      <c r="U222" s="28">
        <v>517000000</v>
      </c>
      <c r="V222" s="28">
        <v>499000000</v>
      </c>
      <c r="W222" s="28">
        <v>471000000</v>
      </c>
      <c r="X222" s="28">
        <v>450000000</v>
      </c>
      <c r="Y222" s="28">
        <v>382000000</v>
      </c>
      <c r="Z222" s="28">
        <v>324000000</v>
      </c>
      <c r="AA222" s="28">
        <v>262000000</v>
      </c>
      <c r="AB222" s="28">
        <v>222000000</v>
      </c>
      <c r="AC222" s="29">
        <v>195000000</v>
      </c>
      <c r="AD222" t="str">
        <f t="shared" si="3"/>
        <v>Spring</v>
      </c>
      <c r="AE222" t="str">
        <f>INDEX('Category Mapping'!$B$2:$B$29,MATCH('Source Data'!A222,'Category Mapping'!$A$2:$A$29,0))</f>
        <v>Weekday</v>
      </c>
      <c r="AF222" t="str">
        <f>INDEX('Category Mapping'!$C$2:$C$29,MATCH('Source Data'!A222,'Category Mapping'!$A$2:$A$29,0))</f>
        <v>Commercial</v>
      </c>
      <c r="AG222" t="str">
        <f>INDEX('Category Mapping'!$D$2:$D$29,MATCH('Source Data'!A222,'Category Mapping'!$A$2:$A$29,0))</f>
        <v>Total</v>
      </c>
    </row>
    <row r="223" spans="1:33" x14ac:dyDescent="0.25">
      <c r="A223" s="14" t="s">
        <v>100</v>
      </c>
      <c r="B223" s="15">
        <v>2019</v>
      </c>
      <c r="C223" s="15">
        <v>19</v>
      </c>
      <c r="D223" s="15" t="s">
        <v>208</v>
      </c>
      <c r="E223" s="15">
        <v>5</v>
      </c>
      <c r="F223" s="30">
        <v>163000000</v>
      </c>
      <c r="G223" s="30">
        <v>160000000</v>
      </c>
      <c r="H223" s="30">
        <v>159000000</v>
      </c>
      <c r="I223" s="30">
        <v>166000000</v>
      </c>
      <c r="J223" s="30">
        <v>175000000</v>
      </c>
      <c r="K223" s="30">
        <v>205000000</v>
      </c>
      <c r="L223" s="30">
        <v>311000000</v>
      </c>
      <c r="M223" s="30">
        <v>415000000</v>
      </c>
      <c r="N223" s="30">
        <v>508000000</v>
      </c>
      <c r="O223" s="30">
        <v>534000000</v>
      </c>
      <c r="P223" s="30">
        <v>533000000</v>
      </c>
      <c r="Q223" s="30">
        <v>532000000</v>
      </c>
      <c r="R223" s="30">
        <v>523000000</v>
      </c>
      <c r="S223" s="30">
        <v>524000000</v>
      </c>
      <c r="T223" s="30">
        <v>524000000</v>
      </c>
      <c r="U223" s="30">
        <v>524000000</v>
      </c>
      <c r="V223" s="30">
        <v>506000000</v>
      </c>
      <c r="W223" s="30">
        <v>476000000</v>
      </c>
      <c r="X223" s="30">
        <v>452000000</v>
      </c>
      <c r="Y223" s="30">
        <v>380000000</v>
      </c>
      <c r="Z223" s="30">
        <v>318000000</v>
      </c>
      <c r="AA223" s="30">
        <v>260000000</v>
      </c>
      <c r="AB223" s="30">
        <v>219000000</v>
      </c>
      <c r="AC223" s="31">
        <v>193000000</v>
      </c>
      <c r="AD223" t="str">
        <f t="shared" si="3"/>
        <v>Spring</v>
      </c>
      <c r="AE223" t="str">
        <f>INDEX('Category Mapping'!$B$2:$B$29,MATCH('Source Data'!A223,'Category Mapping'!$A$2:$A$29,0))</f>
        <v>Weekday</v>
      </c>
      <c r="AF223" t="str">
        <f>INDEX('Category Mapping'!$C$2:$C$29,MATCH('Source Data'!A223,'Category Mapping'!$A$2:$A$29,0))</f>
        <v>Commercial</v>
      </c>
      <c r="AG223" t="str">
        <f>INDEX('Category Mapping'!$D$2:$D$29,MATCH('Source Data'!A223,'Category Mapping'!$A$2:$A$29,0))</f>
        <v>Total</v>
      </c>
    </row>
    <row r="224" spans="1:33" x14ac:dyDescent="0.25">
      <c r="A224" s="16" t="s">
        <v>100</v>
      </c>
      <c r="B224" s="17">
        <v>2019</v>
      </c>
      <c r="C224" s="17">
        <v>19</v>
      </c>
      <c r="D224" s="17" t="s">
        <v>208</v>
      </c>
      <c r="E224" s="17">
        <v>6</v>
      </c>
      <c r="F224" s="28">
        <v>220000000</v>
      </c>
      <c r="G224" s="28">
        <v>212000000</v>
      </c>
      <c r="H224" s="28">
        <v>210000000</v>
      </c>
      <c r="I224" s="28">
        <v>216000000</v>
      </c>
      <c r="J224" s="28">
        <v>226000000</v>
      </c>
      <c r="K224" s="28">
        <v>258000000</v>
      </c>
      <c r="L224" s="28">
        <v>368000000</v>
      </c>
      <c r="M224" s="28">
        <v>494000000</v>
      </c>
      <c r="N224" s="28">
        <v>619000000</v>
      </c>
      <c r="O224" s="28">
        <v>667000000</v>
      </c>
      <c r="P224" s="28">
        <v>681000000</v>
      </c>
      <c r="Q224" s="28">
        <v>690000000</v>
      </c>
      <c r="R224" s="28">
        <v>684000000</v>
      </c>
      <c r="S224" s="28">
        <v>691000000</v>
      </c>
      <c r="T224" s="28">
        <v>695000000</v>
      </c>
      <c r="U224" s="28">
        <v>694000000</v>
      </c>
      <c r="V224" s="28">
        <v>671000000</v>
      </c>
      <c r="W224" s="28">
        <v>630000000</v>
      </c>
      <c r="X224" s="28">
        <v>594000000</v>
      </c>
      <c r="Y224" s="28">
        <v>506000000</v>
      </c>
      <c r="Z224" s="28">
        <v>428000000</v>
      </c>
      <c r="AA224" s="28">
        <v>355000000</v>
      </c>
      <c r="AB224" s="28">
        <v>301000000</v>
      </c>
      <c r="AC224" s="29">
        <v>259000000</v>
      </c>
      <c r="AD224" t="str">
        <f t="shared" si="3"/>
        <v>Summer</v>
      </c>
      <c r="AE224" t="str">
        <f>INDEX('Category Mapping'!$B$2:$B$29,MATCH('Source Data'!A224,'Category Mapping'!$A$2:$A$29,0))</f>
        <v>Weekday</v>
      </c>
      <c r="AF224" t="str">
        <f>INDEX('Category Mapping'!$C$2:$C$29,MATCH('Source Data'!A224,'Category Mapping'!$A$2:$A$29,0))</f>
        <v>Commercial</v>
      </c>
      <c r="AG224" t="str">
        <f>INDEX('Category Mapping'!$D$2:$D$29,MATCH('Source Data'!A224,'Category Mapping'!$A$2:$A$29,0))</f>
        <v>Total</v>
      </c>
    </row>
    <row r="225" spans="1:33" x14ac:dyDescent="0.25">
      <c r="A225" s="14" t="s">
        <v>100</v>
      </c>
      <c r="B225" s="15">
        <v>2019</v>
      </c>
      <c r="C225" s="15">
        <v>19</v>
      </c>
      <c r="D225" s="15" t="s">
        <v>208</v>
      </c>
      <c r="E225" s="15">
        <v>7</v>
      </c>
      <c r="F225" s="30">
        <v>365000000</v>
      </c>
      <c r="G225" s="30">
        <v>348000000</v>
      </c>
      <c r="H225" s="30">
        <v>341000000</v>
      </c>
      <c r="I225" s="30">
        <v>348000000</v>
      </c>
      <c r="J225" s="30">
        <v>363000000</v>
      </c>
      <c r="K225" s="30">
        <v>405000000</v>
      </c>
      <c r="L225" s="30">
        <v>528000000</v>
      </c>
      <c r="M225" s="30">
        <v>678000000</v>
      </c>
      <c r="N225" s="30">
        <v>833000000</v>
      </c>
      <c r="O225" s="30">
        <v>904000000</v>
      </c>
      <c r="P225" s="30">
        <v>933000000</v>
      </c>
      <c r="Q225" s="30">
        <v>949000000</v>
      </c>
      <c r="R225" s="30">
        <v>942000000</v>
      </c>
      <c r="S225" s="30">
        <v>955000000</v>
      </c>
      <c r="T225" s="30">
        <v>964000000</v>
      </c>
      <c r="U225" s="30">
        <v>962000000</v>
      </c>
      <c r="V225" s="30">
        <v>934000000</v>
      </c>
      <c r="W225" s="30">
        <v>881000000</v>
      </c>
      <c r="X225" s="30">
        <v>834000000</v>
      </c>
      <c r="Y225" s="30">
        <v>731000000</v>
      </c>
      <c r="Z225" s="30">
        <v>639000000</v>
      </c>
      <c r="AA225" s="30">
        <v>551000000</v>
      </c>
      <c r="AB225" s="30">
        <v>481000000</v>
      </c>
      <c r="AC225" s="31">
        <v>421000000</v>
      </c>
      <c r="AD225" t="str">
        <f t="shared" si="3"/>
        <v>Summer</v>
      </c>
      <c r="AE225" t="str">
        <f>INDEX('Category Mapping'!$B$2:$B$29,MATCH('Source Data'!A225,'Category Mapping'!$A$2:$A$29,0))</f>
        <v>Weekday</v>
      </c>
      <c r="AF225" t="str">
        <f>INDEX('Category Mapping'!$C$2:$C$29,MATCH('Source Data'!A225,'Category Mapping'!$A$2:$A$29,0))</f>
        <v>Commercial</v>
      </c>
      <c r="AG225" t="str">
        <f>INDEX('Category Mapping'!$D$2:$D$29,MATCH('Source Data'!A225,'Category Mapping'!$A$2:$A$29,0))</f>
        <v>Total</v>
      </c>
    </row>
    <row r="226" spans="1:33" x14ac:dyDescent="0.25">
      <c r="A226" s="16" t="s">
        <v>100</v>
      </c>
      <c r="B226" s="17">
        <v>2019</v>
      </c>
      <c r="C226" s="17">
        <v>19</v>
      </c>
      <c r="D226" s="17" t="s">
        <v>208</v>
      </c>
      <c r="E226" s="17">
        <v>8</v>
      </c>
      <c r="F226" s="28">
        <v>389000000</v>
      </c>
      <c r="G226" s="28">
        <v>369000000</v>
      </c>
      <c r="H226" s="28">
        <v>361000000</v>
      </c>
      <c r="I226" s="28">
        <v>369000000</v>
      </c>
      <c r="J226" s="28">
        <v>386000000</v>
      </c>
      <c r="K226" s="28">
        <v>431000000</v>
      </c>
      <c r="L226" s="28">
        <v>561000000</v>
      </c>
      <c r="M226" s="28">
        <v>720000000</v>
      </c>
      <c r="N226" s="28">
        <v>886000000</v>
      </c>
      <c r="O226" s="28">
        <v>965000000</v>
      </c>
      <c r="P226" s="28">
        <v>1000000000</v>
      </c>
      <c r="Q226" s="28">
        <v>1020000000</v>
      </c>
      <c r="R226" s="28">
        <v>1020000000</v>
      </c>
      <c r="S226" s="28">
        <v>1030000000</v>
      </c>
      <c r="T226" s="28">
        <v>1040000000</v>
      </c>
      <c r="U226" s="28">
        <v>1040000000</v>
      </c>
      <c r="V226" s="28">
        <v>1010000000</v>
      </c>
      <c r="W226" s="28">
        <v>952000000</v>
      </c>
      <c r="X226" s="28">
        <v>898000000</v>
      </c>
      <c r="Y226" s="28">
        <v>788000000</v>
      </c>
      <c r="Z226" s="28">
        <v>689000000</v>
      </c>
      <c r="AA226" s="28">
        <v>595000000</v>
      </c>
      <c r="AB226" s="28">
        <v>518000000</v>
      </c>
      <c r="AC226" s="29">
        <v>450000000</v>
      </c>
      <c r="AD226" t="str">
        <f t="shared" si="3"/>
        <v>Summer</v>
      </c>
      <c r="AE226" t="str">
        <f>INDEX('Category Mapping'!$B$2:$B$29,MATCH('Source Data'!A226,'Category Mapping'!$A$2:$A$29,0))</f>
        <v>Weekday</v>
      </c>
      <c r="AF226" t="str">
        <f>INDEX('Category Mapping'!$C$2:$C$29,MATCH('Source Data'!A226,'Category Mapping'!$A$2:$A$29,0))</f>
        <v>Commercial</v>
      </c>
      <c r="AG226" t="str">
        <f>INDEX('Category Mapping'!$D$2:$D$29,MATCH('Source Data'!A226,'Category Mapping'!$A$2:$A$29,0))</f>
        <v>Total</v>
      </c>
    </row>
    <row r="227" spans="1:33" x14ac:dyDescent="0.25">
      <c r="A227" s="14" t="s">
        <v>100</v>
      </c>
      <c r="B227" s="15">
        <v>2019</v>
      </c>
      <c r="C227" s="15">
        <v>19</v>
      </c>
      <c r="D227" s="15" t="s">
        <v>208</v>
      </c>
      <c r="E227" s="15">
        <v>9</v>
      </c>
      <c r="F227" s="30">
        <v>208000000</v>
      </c>
      <c r="G227" s="30">
        <v>203000000</v>
      </c>
      <c r="H227" s="30">
        <v>201000000</v>
      </c>
      <c r="I227" s="30">
        <v>207000000</v>
      </c>
      <c r="J227" s="30">
        <v>216000000</v>
      </c>
      <c r="K227" s="30">
        <v>247000000</v>
      </c>
      <c r="L227" s="30">
        <v>350000000</v>
      </c>
      <c r="M227" s="30">
        <v>472000000</v>
      </c>
      <c r="N227" s="30">
        <v>589000000</v>
      </c>
      <c r="O227" s="30">
        <v>632000000</v>
      </c>
      <c r="P227" s="30">
        <v>643000000</v>
      </c>
      <c r="Q227" s="30">
        <v>649000000</v>
      </c>
      <c r="R227" s="30">
        <v>643000000</v>
      </c>
      <c r="S227" s="30">
        <v>648000000</v>
      </c>
      <c r="T227" s="30">
        <v>652000000</v>
      </c>
      <c r="U227" s="30">
        <v>651000000</v>
      </c>
      <c r="V227" s="30">
        <v>629000000</v>
      </c>
      <c r="W227" s="30">
        <v>590000000</v>
      </c>
      <c r="X227" s="30">
        <v>556000000</v>
      </c>
      <c r="Y227" s="30">
        <v>472000000</v>
      </c>
      <c r="Z227" s="30">
        <v>397000000</v>
      </c>
      <c r="AA227" s="30">
        <v>328000000</v>
      </c>
      <c r="AB227" s="30">
        <v>278000000</v>
      </c>
      <c r="AC227" s="31">
        <v>243000000</v>
      </c>
      <c r="AD227" t="str">
        <f t="shared" si="3"/>
        <v>Fall</v>
      </c>
      <c r="AE227" t="str">
        <f>INDEX('Category Mapping'!$B$2:$B$29,MATCH('Source Data'!A227,'Category Mapping'!$A$2:$A$29,0))</f>
        <v>Weekday</v>
      </c>
      <c r="AF227" t="str">
        <f>INDEX('Category Mapping'!$C$2:$C$29,MATCH('Source Data'!A227,'Category Mapping'!$A$2:$A$29,0))</f>
        <v>Commercial</v>
      </c>
      <c r="AG227" t="str">
        <f>INDEX('Category Mapping'!$D$2:$D$29,MATCH('Source Data'!A227,'Category Mapping'!$A$2:$A$29,0))</f>
        <v>Total</v>
      </c>
    </row>
    <row r="228" spans="1:33" x14ac:dyDescent="0.25">
      <c r="A228" s="16" t="s">
        <v>100</v>
      </c>
      <c r="B228" s="17">
        <v>2019</v>
      </c>
      <c r="C228" s="17">
        <v>19</v>
      </c>
      <c r="D228" s="17" t="s">
        <v>208</v>
      </c>
      <c r="E228" s="17">
        <v>10</v>
      </c>
      <c r="F228" s="28">
        <v>168000000</v>
      </c>
      <c r="G228" s="28">
        <v>164000000</v>
      </c>
      <c r="H228" s="28">
        <v>163000000</v>
      </c>
      <c r="I228" s="28">
        <v>170000000</v>
      </c>
      <c r="J228" s="28">
        <v>179000000</v>
      </c>
      <c r="K228" s="28">
        <v>215000000</v>
      </c>
      <c r="L228" s="28">
        <v>328000000</v>
      </c>
      <c r="M228" s="28">
        <v>433000000</v>
      </c>
      <c r="N228" s="28">
        <v>519000000</v>
      </c>
      <c r="O228" s="28">
        <v>540000000</v>
      </c>
      <c r="P228" s="28">
        <v>534000000</v>
      </c>
      <c r="Q228" s="28">
        <v>530000000</v>
      </c>
      <c r="R228" s="28">
        <v>521000000</v>
      </c>
      <c r="S228" s="28">
        <v>520000000</v>
      </c>
      <c r="T228" s="28">
        <v>519000000</v>
      </c>
      <c r="U228" s="28">
        <v>519000000</v>
      </c>
      <c r="V228" s="28">
        <v>502000000</v>
      </c>
      <c r="W228" s="28">
        <v>473000000</v>
      </c>
      <c r="X228" s="28">
        <v>452000000</v>
      </c>
      <c r="Y228" s="28">
        <v>382000000</v>
      </c>
      <c r="Z228" s="28">
        <v>322000000</v>
      </c>
      <c r="AA228" s="28">
        <v>260000000</v>
      </c>
      <c r="AB228" s="28">
        <v>219000000</v>
      </c>
      <c r="AC228" s="29">
        <v>193000000</v>
      </c>
      <c r="AD228" t="str">
        <f t="shared" si="3"/>
        <v>Fall</v>
      </c>
      <c r="AE228" t="str">
        <f>INDEX('Category Mapping'!$B$2:$B$29,MATCH('Source Data'!A228,'Category Mapping'!$A$2:$A$29,0))</f>
        <v>Weekday</v>
      </c>
      <c r="AF228" t="str">
        <f>INDEX('Category Mapping'!$C$2:$C$29,MATCH('Source Data'!A228,'Category Mapping'!$A$2:$A$29,0))</f>
        <v>Commercial</v>
      </c>
      <c r="AG228" t="str">
        <f>INDEX('Category Mapping'!$D$2:$D$29,MATCH('Source Data'!A228,'Category Mapping'!$A$2:$A$29,0))</f>
        <v>Total</v>
      </c>
    </row>
    <row r="229" spans="1:33" x14ac:dyDescent="0.25">
      <c r="A229" s="14" t="s">
        <v>100</v>
      </c>
      <c r="B229" s="15">
        <v>2019</v>
      </c>
      <c r="C229" s="15">
        <v>19</v>
      </c>
      <c r="D229" s="15" t="s">
        <v>208</v>
      </c>
      <c r="E229" s="15">
        <v>11</v>
      </c>
      <c r="F229" s="30">
        <v>179000000</v>
      </c>
      <c r="G229" s="30">
        <v>174000000</v>
      </c>
      <c r="H229" s="30">
        <v>171000000</v>
      </c>
      <c r="I229" s="30">
        <v>178000000</v>
      </c>
      <c r="J229" s="30">
        <v>188000000</v>
      </c>
      <c r="K229" s="30">
        <v>218000000</v>
      </c>
      <c r="L229" s="30">
        <v>317000000</v>
      </c>
      <c r="M229" s="30">
        <v>479000000</v>
      </c>
      <c r="N229" s="30">
        <v>567000000</v>
      </c>
      <c r="O229" s="30">
        <v>572000000</v>
      </c>
      <c r="P229" s="30">
        <v>560000000</v>
      </c>
      <c r="Q229" s="30">
        <v>553000000</v>
      </c>
      <c r="R229" s="30">
        <v>540000000</v>
      </c>
      <c r="S229" s="30">
        <v>539000000</v>
      </c>
      <c r="T229" s="30">
        <v>537000000</v>
      </c>
      <c r="U229" s="30">
        <v>536000000</v>
      </c>
      <c r="V229" s="30">
        <v>519000000</v>
      </c>
      <c r="W229" s="30">
        <v>490000000</v>
      </c>
      <c r="X229" s="30">
        <v>473000000</v>
      </c>
      <c r="Y229" s="30">
        <v>405000000</v>
      </c>
      <c r="Z229" s="30">
        <v>345000000</v>
      </c>
      <c r="AA229" s="30">
        <v>289000000</v>
      </c>
      <c r="AB229" s="30">
        <v>249000000</v>
      </c>
      <c r="AC229" s="31">
        <v>207000000</v>
      </c>
      <c r="AD229" t="str">
        <f t="shared" si="3"/>
        <v>Winter</v>
      </c>
      <c r="AE229" t="str">
        <f>INDEX('Category Mapping'!$B$2:$B$29,MATCH('Source Data'!A229,'Category Mapping'!$A$2:$A$29,0))</f>
        <v>Weekday</v>
      </c>
      <c r="AF229" t="str">
        <f>INDEX('Category Mapping'!$C$2:$C$29,MATCH('Source Data'!A229,'Category Mapping'!$A$2:$A$29,0))</f>
        <v>Commercial</v>
      </c>
      <c r="AG229" t="str">
        <f>INDEX('Category Mapping'!$D$2:$D$29,MATCH('Source Data'!A229,'Category Mapping'!$A$2:$A$29,0))</f>
        <v>Total</v>
      </c>
    </row>
    <row r="230" spans="1:33" x14ac:dyDescent="0.25">
      <c r="A230" s="16" t="s">
        <v>100</v>
      </c>
      <c r="B230" s="17">
        <v>2019</v>
      </c>
      <c r="C230" s="17">
        <v>19</v>
      </c>
      <c r="D230" s="17" t="s">
        <v>208</v>
      </c>
      <c r="E230" s="17">
        <v>12</v>
      </c>
      <c r="F230" s="28">
        <v>191000000</v>
      </c>
      <c r="G230" s="28">
        <v>185000000</v>
      </c>
      <c r="H230" s="28">
        <v>181000000</v>
      </c>
      <c r="I230" s="28">
        <v>188000000</v>
      </c>
      <c r="J230" s="28">
        <v>200000000</v>
      </c>
      <c r="K230" s="28">
        <v>229000000</v>
      </c>
      <c r="L230" s="28">
        <v>332000000</v>
      </c>
      <c r="M230" s="28">
        <v>513000000</v>
      </c>
      <c r="N230" s="28">
        <v>614000000</v>
      </c>
      <c r="O230" s="28">
        <v>608000000</v>
      </c>
      <c r="P230" s="28">
        <v>591000000</v>
      </c>
      <c r="Q230" s="28">
        <v>581000000</v>
      </c>
      <c r="R230" s="28">
        <v>566000000</v>
      </c>
      <c r="S230" s="28">
        <v>563000000</v>
      </c>
      <c r="T230" s="28">
        <v>560000000</v>
      </c>
      <c r="U230" s="28">
        <v>559000000</v>
      </c>
      <c r="V230" s="28">
        <v>541000000</v>
      </c>
      <c r="W230" s="28">
        <v>512000000</v>
      </c>
      <c r="X230" s="28">
        <v>497000000</v>
      </c>
      <c r="Y230" s="28">
        <v>431000000</v>
      </c>
      <c r="Z230" s="28">
        <v>371000000</v>
      </c>
      <c r="AA230" s="28">
        <v>317000000</v>
      </c>
      <c r="AB230" s="28">
        <v>277000000</v>
      </c>
      <c r="AC230" s="29">
        <v>216000000</v>
      </c>
      <c r="AD230" t="str">
        <f t="shared" si="3"/>
        <v>Winter</v>
      </c>
      <c r="AE230" t="str">
        <f>INDEX('Category Mapping'!$B$2:$B$29,MATCH('Source Data'!A230,'Category Mapping'!$A$2:$A$29,0))</f>
        <v>Weekday</v>
      </c>
      <c r="AF230" t="str">
        <f>INDEX('Category Mapping'!$C$2:$C$29,MATCH('Source Data'!A230,'Category Mapping'!$A$2:$A$29,0))</f>
        <v>Commercial</v>
      </c>
      <c r="AG230" t="str">
        <f>INDEX('Category Mapping'!$D$2:$D$29,MATCH('Source Data'!A230,'Category Mapping'!$A$2:$A$29,0))</f>
        <v>Total</v>
      </c>
    </row>
    <row r="231" spans="1:33" x14ac:dyDescent="0.25">
      <c r="A231" s="14" t="s">
        <v>101</v>
      </c>
      <c r="B231" s="15">
        <v>2019</v>
      </c>
      <c r="C231" s="15">
        <v>19</v>
      </c>
      <c r="D231" s="15" t="s">
        <v>208</v>
      </c>
      <c r="E231" s="15">
        <v>1</v>
      </c>
      <c r="F231" s="30">
        <v>91700000</v>
      </c>
      <c r="G231" s="30">
        <v>81500000</v>
      </c>
      <c r="H231" s="30">
        <v>79300000</v>
      </c>
      <c r="I231" s="30">
        <v>80700000</v>
      </c>
      <c r="J231" s="30">
        <v>82200000</v>
      </c>
      <c r="K231" s="30">
        <v>87800000</v>
      </c>
      <c r="L231" s="30">
        <v>99000000</v>
      </c>
      <c r="M231" s="30">
        <v>136000000</v>
      </c>
      <c r="N231" s="30">
        <v>159000000</v>
      </c>
      <c r="O231" s="30">
        <v>163000000</v>
      </c>
      <c r="P231" s="30">
        <v>156000000</v>
      </c>
      <c r="Q231" s="30">
        <v>153000000</v>
      </c>
      <c r="R231" s="30">
        <v>150000000</v>
      </c>
      <c r="S231" s="30">
        <v>144000000</v>
      </c>
      <c r="T231" s="30">
        <v>137000000</v>
      </c>
      <c r="U231" s="30">
        <v>129000000</v>
      </c>
      <c r="V231" s="30">
        <v>124000000</v>
      </c>
      <c r="W231" s="30">
        <v>126000000</v>
      </c>
      <c r="X231" s="30">
        <v>128000000</v>
      </c>
      <c r="Y231" s="30">
        <v>118000000</v>
      </c>
      <c r="Z231" s="30">
        <v>114000000</v>
      </c>
      <c r="AA231" s="30">
        <v>109000000</v>
      </c>
      <c r="AB231" s="30">
        <v>105000000</v>
      </c>
      <c r="AC231" s="31">
        <v>94600000</v>
      </c>
      <c r="AD231" t="str">
        <f t="shared" si="3"/>
        <v>Winter</v>
      </c>
      <c r="AE231" t="str">
        <f>INDEX('Category Mapping'!$B$2:$B$29,MATCH('Source Data'!A231,'Category Mapping'!$A$2:$A$29,0))</f>
        <v>Weekend</v>
      </c>
      <c r="AF231" t="str">
        <f>INDEX('Category Mapping'!$C$2:$C$29,MATCH('Source Data'!A231,'Category Mapping'!$A$2:$A$29,0))</f>
        <v>Commercial</v>
      </c>
      <c r="AG231" t="str">
        <f>INDEX('Category Mapping'!$D$2:$D$29,MATCH('Source Data'!A231,'Category Mapping'!$A$2:$A$29,0))</f>
        <v>Total</v>
      </c>
    </row>
    <row r="232" spans="1:33" x14ac:dyDescent="0.25">
      <c r="A232" s="16" t="s">
        <v>101</v>
      </c>
      <c r="B232" s="17">
        <v>2019</v>
      </c>
      <c r="C232" s="17">
        <v>19</v>
      </c>
      <c r="D232" s="17" t="s">
        <v>208</v>
      </c>
      <c r="E232" s="17">
        <v>2</v>
      </c>
      <c r="F232" s="28">
        <v>89400000</v>
      </c>
      <c r="G232" s="28">
        <v>78600000</v>
      </c>
      <c r="H232" s="28">
        <v>76700000</v>
      </c>
      <c r="I232" s="28">
        <v>77700000</v>
      </c>
      <c r="J232" s="28">
        <v>79400000</v>
      </c>
      <c r="K232" s="28">
        <v>84500000</v>
      </c>
      <c r="L232" s="28">
        <v>95700000</v>
      </c>
      <c r="M232" s="28">
        <v>131000000</v>
      </c>
      <c r="N232" s="28">
        <v>153000000</v>
      </c>
      <c r="O232" s="28">
        <v>157000000</v>
      </c>
      <c r="P232" s="28">
        <v>150000000</v>
      </c>
      <c r="Q232" s="28">
        <v>148000000</v>
      </c>
      <c r="R232" s="28">
        <v>145000000</v>
      </c>
      <c r="S232" s="28">
        <v>139000000</v>
      </c>
      <c r="T232" s="28">
        <v>132000000</v>
      </c>
      <c r="U232" s="28">
        <v>124000000</v>
      </c>
      <c r="V232" s="28">
        <v>119000000</v>
      </c>
      <c r="W232" s="28">
        <v>121000000</v>
      </c>
      <c r="X232" s="28">
        <v>122000000</v>
      </c>
      <c r="Y232" s="28">
        <v>114000000</v>
      </c>
      <c r="Z232" s="28">
        <v>109000000</v>
      </c>
      <c r="AA232" s="28">
        <v>104000000</v>
      </c>
      <c r="AB232" s="28">
        <v>101000000</v>
      </c>
      <c r="AC232" s="29">
        <v>90500000</v>
      </c>
      <c r="AD232" t="str">
        <f t="shared" si="3"/>
        <v>Winter</v>
      </c>
      <c r="AE232" t="str">
        <f>INDEX('Category Mapping'!$B$2:$B$29,MATCH('Source Data'!A232,'Category Mapping'!$A$2:$A$29,0))</f>
        <v>Weekend</v>
      </c>
      <c r="AF232" t="str">
        <f>INDEX('Category Mapping'!$C$2:$C$29,MATCH('Source Data'!A232,'Category Mapping'!$A$2:$A$29,0))</f>
        <v>Commercial</v>
      </c>
      <c r="AG232" t="str">
        <f>INDEX('Category Mapping'!$D$2:$D$29,MATCH('Source Data'!A232,'Category Mapping'!$A$2:$A$29,0))</f>
        <v>Total</v>
      </c>
    </row>
    <row r="233" spans="1:33" x14ac:dyDescent="0.25">
      <c r="A233" s="14" t="s">
        <v>101</v>
      </c>
      <c r="B233" s="15">
        <v>2019</v>
      </c>
      <c r="C233" s="15">
        <v>19</v>
      </c>
      <c r="D233" s="15" t="s">
        <v>208</v>
      </c>
      <c r="E233" s="15">
        <v>3</v>
      </c>
      <c r="F233" s="30">
        <v>87200000</v>
      </c>
      <c r="G233" s="30">
        <v>76200000</v>
      </c>
      <c r="H233" s="30">
        <v>75000000</v>
      </c>
      <c r="I233" s="30">
        <v>75900000</v>
      </c>
      <c r="J233" s="30">
        <v>77200000</v>
      </c>
      <c r="K233" s="30">
        <v>83100000</v>
      </c>
      <c r="L233" s="30">
        <v>98400000</v>
      </c>
      <c r="M233" s="30">
        <v>128000000</v>
      </c>
      <c r="N233" s="30">
        <v>143000000</v>
      </c>
      <c r="O233" s="30">
        <v>149000000</v>
      </c>
      <c r="P233" s="30">
        <v>144000000</v>
      </c>
      <c r="Q233" s="30">
        <v>142000000</v>
      </c>
      <c r="R233" s="30">
        <v>140000000</v>
      </c>
      <c r="S233" s="30">
        <v>134000000</v>
      </c>
      <c r="T233" s="30">
        <v>128000000</v>
      </c>
      <c r="U233" s="30">
        <v>120000000</v>
      </c>
      <c r="V233" s="30">
        <v>114000000</v>
      </c>
      <c r="W233" s="30">
        <v>116000000</v>
      </c>
      <c r="X233" s="30">
        <v>115000000</v>
      </c>
      <c r="Y233" s="30">
        <v>110000000</v>
      </c>
      <c r="Z233" s="30">
        <v>107000000</v>
      </c>
      <c r="AA233" s="30">
        <v>101000000</v>
      </c>
      <c r="AB233" s="30">
        <v>95800000</v>
      </c>
      <c r="AC233" s="31">
        <v>87800000</v>
      </c>
      <c r="AD233" t="str">
        <f t="shared" si="3"/>
        <v>Spring</v>
      </c>
      <c r="AE233" t="str">
        <f>INDEX('Category Mapping'!$B$2:$B$29,MATCH('Source Data'!A233,'Category Mapping'!$A$2:$A$29,0))</f>
        <v>Weekend</v>
      </c>
      <c r="AF233" t="str">
        <f>INDEX('Category Mapping'!$C$2:$C$29,MATCH('Source Data'!A233,'Category Mapping'!$A$2:$A$29,0))</f>
        <v>Commercial</v>
      </c>
      <c r="AG233" t="str">
        <f>INDEX('Category Mapping'!$D$2:$D$29,MATCH('Source Data'!A233,'Category Mapping'!$A$2:$A$29,0))</f>
        <v>Total</v>
      </c>
    </row>
    <row r="234" spans="1:33" x14ac:dyDescent="0.25">
      <c r="A234" s="16" t="s">
        <v>101</v>
      </c>
      <c r="B234" s="17">
        <v>2019</v>
      </c>
      <c r="C234" s="17">
        <v>19</v>
      </c>
      <c r="D234" s="17" t="s">
        <v>208</v>
      </c>
      <c r="E234" s="17">
        <v>4</v>
      </c>
      <c r="F234" s="28">
        <v>83000000</v>
      </c>
      <c r="G234" s="28">
        <v>72600000</v>
      </c>
      <c r="H234" s="28">
        <v>71800000</v>
      </c>
      <c r="I234" s="28">
        <v>72600000</v>
      </c>
      <c r="J234" s="28">
        <v>73500000</v>
      </c>
      <c r="K234" s="28">
        <v>79100000</v>
      </c>
      <c r="L234" s="28">
        <v>93500000</v>
      </c>
      <c r="M234" s="28">
        <v>116000000</v>
      </c>
      <c r="N234" s="28">
        <v>127000000</v>
      </c>
      <c r="O234" s="28">
        <v>137000000</v>
      </c>
      <c r="P234" s="28">
        <v>134000000</v>
      </c>
      <c r="Q234" s="28">
        <v>133000000</v>
      </c>
      <c r="R234" s="28">
        <v>132000000</v>
      </c>
      <c r="S234" s="28">
        <v>127000000</v>
      </c>
      <c r="T234" s="28">
        <v>122000000</v>
      </c>
      <c r="U234" s="28">
        <v>113000000</v>
      </c>
      <c r="V234" s="28">
        <v>108000000</v>
      </c>
      <c r="W234" s="28">
        <v>109000000</v>
      </c>
      <c r="X234" s="28">
        <v>107000000</v>
      </c>
      <c r="Y234" s="28">
        <v>105000000</v>
      </c>
      <c r="Z234" s="28">
        <v>101000000</v>
      </c>
      <c r="AA234" s="28">
        <v>95100000</v>
      </c>
      <c r="AB234" s="28">
        <v>89900000</v>
      </c>
      <c r="AC234" s="29">
        <v>83000000</v>
      </c>
      <c r="AD234" t="str">
        <f t="shared" si="3"/>
        <v>Spring</v>
      </c>
      <c r="AE234" t="str">
        <f>INDEX('Category Mapping'!$B$2:$B$29,MATCH('Source Data'!A234,'Category Mapping'!$A$2:$A$29,0))</f>
        <v>Weekend</v>
      </c>
      <c r="AF234" t="str">
        <f>INDEX('Category Mapping'!$C$2:$C$29,MATCH('Source Data'!A234,'Category Mapping'!$A$2:$A$29,0))</f>
        <v>Commercial</v>
      </c>
      <c r="AG234" t="str">
        <f>INDEX('Category Mapping'!$D$2:$D$29,MATCH('Source Data'!A234,'Category Mapping'!$A$2:$A$29,0))</f>
        <v>Total</v>
      </c>
    </row>
    <row r="235" spans="1:33" x14ac:dyDescent="0.25">
      <c r="A235" s="14" t="s">
        <v>101</v>
      </c>
      <c r="B235" s="15">
        <v>2019</v>
      </c>
      <c r="C235" s="15">
        <v>19</v>
      </c>
      <c r="D235" s="15" t="s">
        <v>208</v>
      </c>
      <c r="E235" s="15">
        <v>5</v>
      </c>
      <c r="F235" s="30">
        <v>82800000</v>
      </c>
      <c r="G235" s="30">
        <v>72900000</v>
      </c>
      <c r="H235" s="30">
        <v>72100000</v>
      </c>
      <c r="I235" s="30">
        <v>72700000</v>
      </c>
      <c r="J235" s="30">
        <v>73600000</v>
      </c>
      <c r="K235" s="30">
        <v>78500000</v>
      </c>
      <c r="L235" s="30">
        <v>88200000</v>
      </c>
      <c r="M235" s="30">
        <v>110000000</v>
      </c>
      <c r="N235" s="30">
        <v>123000000</v>
      </c>
      <c r="O235" s="30">
        <v>135000000</v>
      </c>
      <c r="P235" s="30">
        <v>133000000</v>
      </c>
      <c r="Q235" s="30">
        <v>134000000</v>
      </c>
      <c r="R235" s="30">
        <v>134000000</v>
      </c>
      <c r="S235" s="30">
        <v>130000000</v>
      </c>
      <c r="T235" s="30">
        <v>124000000</v>
      </c>
      <c r="U235" s="30">
        <v>116000000</v>
      </c>
      <c r="V235" s="30">
        <v>110000000</v>
      </c>
      <c r="W235" s="30">
        <v>111000000</v>
      </c>
      <c r="X235" s="30">
        <v>109000000</v>
      </c>
      <c r="Y235" s="30">
        <v>105000000</v>
      </c>
      <c r="Z235" s="30">
        <v>101000000</v>
      </c>
      <c r="AA235" s="30">
        <v>94200000</v>
      </c>
      <c r="AB235" s="30">
        <v>89600000</v>
      </c>
      <c r="AC235" s="31">
        <v>82400000</v>
      </c>
      <c r="AD235" t="str">
        <f t="shared" si="3"/>
        <v>Spring</v>
      </c>
      <c r="AE235" t="str">
        <f>INDEX('Category Mapping'!$B$2:$B$29,MATCH('Source Data'!A235,'Category Mapping'!$A$2:$A$29,0))</f>
        <v>Weekend</v>
      </c>
      <c r="AF235" t="str">
        <f>INDEX('Category Mapping'!$C$2:$C$29,MATCH('Source Data'!A235,'Category Mapping'!$A$2:$A$29,0))</f>
        <v>Commercial</v>
      </c>
      <c r="AG235" t="str">
        <f>INDEX('Category Mapping'!$D$2:$D$29,MATCH('Source Data'!A235,'Category Mapping'!$A$2:$A$29,0))</f>
        <v>Total</v>
      </c>
    </row>
    <row r="236" spans="1:33" x14ac:dyDescent="0.25">
      <c r="A236" s="16" t="s">
        <v>101</v>
      </c>
      <c r="B236" s="17">
        <v>2019</v>
      </c>
      <c r="C236" s="17">
        <v>19</v>
      </c>
      <c r="D236" s="17" t="s">
        <v>208</v>
      </c>
      <c r="E236" s="17">
        <v>6</v>
      </c>
      <c r="F236" s="28">
        <v>111000000</v>
      </c>
      <c r="G236" s="28">
        <v>99800000</v>
      </c>
      <c r="H236" s="28">
        <v>98600000</v>
      </c>
      <c r="I236" s="28">
        <v>99200000</v>
      </c>
      <c r="J236" s="28">
        <v>101000000</v>
      </c>
      <c r="K236" s="28">
        <v>107000000</v>
      </c>
      <c r="L236" s="28">
        <v>121000000</v>
      </c>
      <c r="M236" s="28">
        <v>149000000</v>
      </c>
      <c r="N236" s="28">
        <v>172000000</v>
      </c>
      <c r="O236" s="28">
        <v>191000000</v>
      </c>
      <c r="P236" s="28">
        <v>196000000</v>
      </c>
      <c r="Q236" s="28">
        <v>202000000</v>
      </c>
      <c r="R236" s="28">
        <v>205000000</v>
      </c>
      <c r="S236" s="28">
        <v>203000000</v>
      </c>
      <c r="T236" s="28">
        <v>198000000</v>
      </c>
      <c r="U236" s="28">
        <v>189000000</v>
      </c>
      <c r="V236" s="28">
        <v>181000000</v>
      </c>
      <c r="W236" s="28">
        <v>178000000</v>
      </c>
      <c r="X236" s="28">
        <v>171000000</v>
      </c>
      <c r="Y236" s="28">
        <v>161000000</v>
      </c>
      <c r="Z236" s="28">
        <v>149000000</v>
      </c>
      <c r="AA236" s="28">
        <v>136000000</v>
      </c>
      <c r="AB236" s="28">
        <v>126000000</v>
      </c>
      <c r="AC236" s="29">
        <v>113000000</v>
      </c>
      <c r="AD236" t="str">
        <f t="shared" si="3"/>
        <v>Summer</v>
      </c>
      <c r="AE236" t="str">
        <f>INDEX('Category Mapping'!$B$2:$B$29,MATCH('Source Data'!A236,'Category Mapping'!$A$2:$A$29,0))</f>
        <v>Weekend</v>
      </c>
      <c r="AF236" t="str">
        <f>INDEX('Category Mapping'!$C$2:$C$29,MATCH('Source Data'!A236,'Category Mapping'!$A$2:$A$29,0))</f>
        <v>Commercial</v>
      </c>
      <c r="AG236" t="str">
        <f>INDEX('Category Mapping'!$D$2:$D$29,MATCH('Source Data'!A236,'Category Mapping'!$A$2:$A$29,0))</f>
        <v>Total</v>
      </c>
    </row>
    <row r="237" spans="1:33" x14ac:dyDescent="0.25">
      <c r="A237" s="14" t="s">
        <v>101</v>
      </c>
      <c r="B237" s="15">
        <v>2019</v>
      </c>
      <c r="C237" s="15">
        <v>19</v>
      </c>
      <c r="D237" s="15" t="s">
        <v>208</v>
      </c>
      <c r="E237" s="15">
        <v>7</v>
      </c>
      <c r="F237" s="30">
        <v>182000000</v>
      </c>
      <c r="G237" s="30">
        <v>168000000</v>
      </c>
      <c r="H237" s="30">
        <v>165000000</v>
      </c>
      <c r="I237" s="30">
        <v>167000000</v>
      </c>
      <c r="J237" s="30">
        <v>171000000</v>
      </c>
      <c r="K237" s="30">
        <v>182000000</v>
      </c>
      <c r="L237" s="30">
        <v>200000000</v>
      </c>
      <c r="M237" s="30">
        <v>235000000</v>
      </c>
      <c r="N237" s="30">
        <v>265000000</v>
      </c>
      <c r="O237" s="30">
        <v>290000000</v>
      </c>
      <c r="P237" s="30">
        <v>300000000</v>
      </c>
      <c r="Q237" s="30">
        <v>309000000</v>
      </c>
      <c r="R237" s="30">
        <v>315000000</v>
      </c>
      <c r="S237" s="30">
        <v>314000000</v>
      </c>
      <c r="T237" s="30">
        <v>310000000</v>
      </c>
      <c r="U237" s="30">
        <v>300000000</v>
      </c>
      <c r="V237" s="30">
        <v>291000000</v>
      </c>
      <c r="W237" s="30">
        <v>284000000</v>
      </c>
      <c r="X237" s="30">
        <v>273000000</v>
      </c>
      <c r="Y237" s="30">
        <v>258000000</v>
      </c>
      <c r="Z237" s="30">
        <v>242000000</v>
      </c>
      <c r="AA237" s="30">
        <v>224000000</v>
      </c>
      <c r="AB237" s="30">
        <v>208000000</v>
      </c>
      <c r="AC237" s="31">
        <v>190000000</v>
      </c>
      <c r="AD237" t="str">
        <f t="shared" si="3"/>
        <v>Summer</v>
      </c>
      <c r="AE237" t="str">
        <f>INDEX('Category Mapping'!$B$2:$B$29,MATCH('Source Data'!A237,'Category Mapping'!$A$2:$A$29,0))</f>
        <v>Weekend</v>
      </c>
      <c r="AF237" t="str">
        <f>INDEX('Category Mapping'!$C$2:$C$29,MATCH('Source Data'!A237,'Category Mapping'!$A$2:$A$29,0))</f>
        <v>Commercial</v>
      </c>
      <c r="AG237" t="str">
        <f>INDEX('Category Mapping'!$D$2:$D$29,MATCH('Source Data'!A237,'Category Mapping'!$A$2:$A$29,0))</f>
        <v>Total</v>
      </c>
    </row>
    <row r="238" spans="1:33" x14ac:dyDescent="0.25">
      <c r="A238" s="16" t="s">
        <v>101</v>
      </c>
      <c r="B238" s="17">
        <v>2019</v>
      </c>
      <c r="C238" s="17">
        <v>19</v>
      </c>
      <c r="D238" s="17" t="s">
        <v>208</v>
      </c>
      <c r="E238" s="17">
        <v>8</v>
      </c>
      <c r="F238" s="28">
        <v>194000000</v>
      </c>
      <c r="G238" s="28">
        <v>178000000</v>
      </c>
      <c r="H238" s="28">
        <v>175000000</v>
      </c>
      <c r="I238" s="28">
        <v>177000000</v>
      </c>
      <c r="J238" s="28">
        <v>182000000</v>
      </c>
      <c r="K238" s="28">
        <v>195000000</v>
      </c>
      <c r="L238" s="28">
        <v>215000000</v>
      </c>
      <c r="M238" s="28">
        <v>254000000</v>
      </c>
      <c r="N238" s="28">
        <v>288000000</v>
      </c>
      <c r="O238" s="28">
        <v>316000000</v>
      </c>
      <c r="P238" s="28">
        <v>329000000</v>
      </c>
      <c r="Q238" s="28">
        <v>340000000</v>
      </c>
      <c r="R238" s="28">
        <v>348000000</v>
      </c>
      <c r="S238" s="28">
        <v>348000000</v>
      </c>
      <c r="T238" s="28">
        <v>344000000</v>
      </c>
      <c r="U238" s="28">
        <v>334000000</v>
      </c>
      <c r="V238" s="28">
        <v>323000000</v>
      </c>
      <c r="W238" s="28">
        <v>314000000</v>
      </c>
      <c r="X238" s="28">
        <v>301000000</v>
      </c>
      <c r="Y238" s="28">
        <v>283000000</v>
      </c>
      <c r="Z238" s="28">
        <v>264000000</v>
      </c>
      <c r="AA238" s="28">
        <v>243000000</v>
      </c>
      <c r="AB238" s="28">
        <v>224000000</v>
      </c>
      <c r="AC238" s="29">
        <v>204000000</v>
      </c>
      <c r="AD238" t="str">
        <f t="shared" si="3"/>
        <v>Summer</v>
      </c>
      <c r="AE238" t="str">
        <f>INDEX('Category Mapping'!$B$2:$B$29,MATCH('Source Data'!A238,'Category Mapping'!$A$2:$A$29,0))</f>
        <v>Weekend</v>
      </c>
      <c r="AF238" t="str">
        <f>INDEX('Category Mapping'!$C$2:$C$29,MATCH('Source Data'!A238,'Category Mapping'!$A$2:$A$29,0))</f>
        <v>Commercial</v>
      </c>
      <c r="AG238" t="str">
        <f>INDEX('Category Mapping'!$D$2:$D$29,MATCH('Source Data'!A238,'Category Mapping'!$A$2:$A$29,0))</f>
        <v>Total</v>
      </c>
    </row>
    <row r="239" spans="1:33" x14ac:dyDescent="0.25">
      <c r="A239" s="14" t="s">
        <v>101</v>
      </c>
      <c r="B239" s="15">
        <v>2019</v>
      </c>
      <c r="C239" s="15">
        <v>19</v>
      </c>
      <c r="D239" s="15" t="s">
        <v>208</v>
      </c>
      <c r="E239" s="15">
        <v>9</v>
      </c>
      <c r="F239" s="30">
        <v>105000000</v>
      </c>
      <c r="G239" s="30">
        <v>94700000</v>
      </c>
      <c r="H239" s="30">
        <v>93600000</v>
      </c>
      <c r="I239" s="30">
        <v>94200000</v>
      </c>
      <c r="J239" s="30">
        <v>95200000</v>
      </c>
      <c r="K239" s="30">
        <v>100000000</v>
      </c>
      <c r="L239" s="30">
        <v>111000000</v>
      </c>
      <c r="M239" s="30">
        <v>138000000</v>
      </c>
      <c r="N239" s="30">
        <v>158000000</v>
      </c>
      <c r="O239" s="30">
        <v>175000000</v>
      </c>
      <c r="P239" s="30">
        <v>179000000</v>
      </c>
      <c r="Q239" s="30">
        <v>183000000</v>
      </c>
      <c r="R239" s="30">
        <v>186000000</v>
      </c>
      <c r="S239" s="30">
        <v>183000000</v>
      </c>
      <c r="T239" s="30">
        <v>178000000</v>
      </c>
      <c r="U239" s="30">
        <v>169000000</v>
      </c>
      <c r="V239" s="30">
        <v>162000000</v>
      </c>
      <c r="W239" s="30">
        <v>159000000</v>
      </c>
      <c r="X239" s="30">
        <v>153000000</v>
      </c>
      <c r="Y239" s="30">
        <v>145000000</v>
      </c>
      <c r="Z239" s="30">
        <v>135000000</v>
      </c>
      <c r="AA239" s="30">
        <v>124000000</v>
      </c>
      <c r="AB239" s="30">
        <v>116000000</v>
      </c>
      <c r="AC239" s="31">
        <v>106000000</v>
      </c>
      <c r="AD239" t="str">
        <f t="shared" si="3"/>
        <v>Fall</v>
      </c>
      <c r="AE239" t="str">
        <f>INDEX('Category Mapping'!$B$2:$B$29,MATCH('Source Data'!A239,'Category Mapping'!$A$2:$A$29,0))</f>
        <v>Weekend</v>
      </c>
      <c r="AF239" t="str">
        <f>INDEX('Category Mapping'!$C$2:$C$29,MATCH('Source Data'!A239,'Category Mapping'!$A$2:$A$29,0))</f>
        <v>Commercial</v>
      </c>
      <c r="AG239" t="str">
        <f>INDEX('Category Mapping'!$D$2:$D$29,MATCH('Source Data'!A239,'Category Mapping'!$A$2:$A$29,0))</f>
        <v>Total</v>
      </c>
    </row>
    <row r="240" spans="1:33" x14ac:dyDescent="0.25">
      <c r="A240" s="16" t="s">
        <v>101</v>
      </c>
      <c r="B240" s="17">
        <v>2019</v>
      </c>
      <c r="C240" s="17">
        <v>19</v>
      </c>
      <c r="D240" s="17" t="s">
        <v>208</v>
      </c>
      <c r="E240" s="17">
        <v>10</v>
      </c>
      <c r="F240" s="28">
        <v>82200000</v>
      </c>
      <c r="G240" s="28">
        <v>72000000</v>
      </c>
      <c r="H240" s="28">
        <v>71200000</v>
      </c>
      <c r="I240" s="28">
        <v>71900000</v>
      </c>
      <c r="J240" s="28">
        <v>72800000</v>
      </c>
      <c r="K240" s="28">
        <v>78100000</v>
      </c>
      <c r="L240" s="28">
        <v>90800000</v>
      </c>
      <c r="M240" s="28">
        <v>113000000</v>
      </c>
      <c r="N240" s="28">
        <v>126000000</v>
      </c>
      <c r="O240" s="28">
        <v>135000000</v>
      </c>
      <c r="P240" s="28">
        <v>133000000</v>
      </c>
      <c r="Q240" s="28">
        <v>133000000</v>
      </c>
      <c r="R240" s="28">
        <v>132000000</v>
      </c>
      <c r="S240" s="28">
        <v>127000000</v>
      </c>
      <c r="T240" s="28">
        <v>121000000</v>
      </c>
      <c r="U240" s="28">
        <v>112000000</v>
      </c>
      <c r="V240" s="28">
        <v>107000000</v>
      </c>
      <c r="W240" s="28">
        <v>109000000</v>
      </c>
      <c r="X240" s="28">
        <v>107000000</v>
      </c>
      <c r="Y240" s="28">
        <v>105000000</v>
      </c>
      <c r="Z240" s="28">
        <v>101000000</v>
      </c>
      <c r="AA240" s="28">
        <v>94200000</v>
      </c>
      <c r="AB240" s="28">
        <v>89100000</v>
      </c>
      <c r="AC240" s="29">
        <v>82100000</v>
      </c>
      <c r="AD240" t="str">
        <f t="shared" si="3"/>
        <v>Fall</v>
      </c>
      <c r="AE240" t="str">
        <f>INDEX('Category Mapping'!$B$2:$B$29,MATCH('Source Data'!A240,'Category Mapping'!$A$2:$A$29,0))</f>
        <v>Weekend</v>
      </c>
      <c r="AF240" t="str">
        <f>INDEX('Category Mapping'!$C$2:$C$29,MATCH('Source Data'!A240,'Category Mapping'!$A$2:$A$29,0))</f>
        <v>Commercial</v>
      </c>
      <c r="AG240" t="str">
        <f>INDEX('Category Mapping'!$D$2:$D$29,MATCH('Source Data'!A240,'Category Mapping'!$A$2:$A$29,0))</f>
        <v>Total</v>
      </c>
    </row>
    <row r="241" spans="1:33" x14ac:dyDescent="0.25">
      <c r="A241" s="14" t="s">
        <v>101</v>
      </c>
      <c r="B241" s="15">
        <v>2019</v>
      </c>
      <c r="C241" s="15">
        <v>19</v>
      </c>
      <c r="D241" s="15" t="s">
        <v>208</v>
      </c>
      <c r="E241" s="15">
        <v>11</v>
      </c>
      <c r="F241" s="30">
        <v>86100000</v>
      </c>
      <c r="G241" s="30">
        <v>75500000</v>
      </c>
      <c r="H241" s="30">
        <v>74000000</v>
      </c>
      <c r="I241" s="30">
        <v>74800000</v>
      </c>
      <c r="J241" s="30">
        <v>76000000</v>
      </c>
      <c r="K241" s="30">
        <v>81200000</v>
      </c>
      <c r="L241" s="30">
        <v>93500000</v>
      </c>
      <c r="M241" s="30">
        <v>123000000</v>
      </c>
      <c r="N241" s="30">
        <v>138000000</v>
      </c>
      <c r="O241" s="30">
        <v>145000000</v>
      </c>
      <c r="P241" s="30">
        <v>141000000</v>
      </c>
      <c r="Q241" s="30">
        <v>140000000</v>
      </c>
      <c r="R241" s="30">
        <v>138000000</v>
      </c>
      <c r="S241" s="30">
        <v>132000000</v>
      </c>
      <c r="T241" s="30">
        <v>126000000</v>
      </c>
      <c r="U241" s="30">
        <v>118000000</v>
      </c>
      <c r="V241" s="30">
        <v>113000000</v>
      </c>
      <c r="W241" s="30">
        <v>115000000</v>
      </c>
      <c r="X241" s="30">
        <v>115000000</v>
      </c>
      <c r="Y241" s="30">
        <v>110000000</v>
      </c>
      <c r="Z241" s="30">
        <v>106000000</v>
      </c>
      <c r="AA241" s="30">
        <v>100000000</v>
      </c>
      <c r="AB241" s="30">
        <v>95500000</v>
      </c>
      <c r="AC241" s="31">
        <v>86600000</v>
      </c>
      <c r="AD241" t="str">
        <f t="shared" si="3"/>
        <v>Winter</v>
      </c>
      <c r="AE241" t="str">
        <f>INDEX('Category Mapping'!$B$2:$B$29,MATCH('Source Data'!A241,'Category Mapping'!$A$2:$A$29,0))</f>
        <v>Weekend</v>
      </c>
      <c r="AF241" t="str">
        <f>INDEX('Category Mapping'!$C$2:$C$29,MATCH('Source Data'!A241,'Category Mapping'!$A$2:$A$29,0))</f>
        <v>Commercial</v>
      </c>
      <c r="AG241" t="str">
        <f>INDEX('Category Mapping'!$D$2:$D$29,MATCH('Source Data'!A241,'Category Mapping'!$A$2:$A$29,0))</f>
        <v>Total</v>
      </c>
    </row>
    <row r="242" spans="1:33" x14ac:dyDescent="0.25">
      <c r="A242" s="16" t="s">
        <v>101</v>
      </c>
      <c r="B242" s="17">
        <v>2019</v>
      </c>
      <c r="C242" s="17">
        <v>19</v>
      </c>
      <c r="D242" s="17" t="s">
        <v>208</v>
      </c>
      <c r="E242" s="17">
        <v>12</v>
      </c>
      <c r="F242" s="28">
        <v>89800000</v>
      </c>
      <c r="G242" s="28">
        <v>78900000</v>
      </c>
      <c r="H242" s="28">
        <v>76900000</v>
      </c>
      <c r="I242" s="28">
        <v>77900000</v>
      </c>
      <c r="J242" s="28">
        <v>79500000</v>
      </c>
      <c r="K242" s="28">
        <v>84700000</v>
      </c>
      <c r="L242" s="28">
        <v>95900000</v>
      </c>
      <c r="M242" s="28">
        <v>132000000</v>
      </c>
      <c r="N242" s="28">
        <v>153000000</v>
      </c>
      <c r="O242" s="28">
        <v>158000000</v>
      </c>
      <c r="P242" s="28">
        <v>152000000</v>
      </c>
      <c r="Q242" s="28">
        <v>149000000</v>
      </c>
      <c r="R242" s="28">
        <v>147000000</v>
      </c>
      <c r="S242" s="28">
        <v>140000000</v>
      </c>
      <c r="T242" s="28">
        <v>134000000</v>
      </c>
      <c r="U242" s="28">
        <v>126000000</v>
      </c>
      <c r="V242" s="28">
        <v>121000000</v>
      </c>
      <c r="W242" s="28">
        <v>124000000</v>
      </c>
      <c r="X242" s="28">
        <v>126000000</v>
      </c>
      <c r="Y242" s="28">
        <v>116000000</v>
      </c>
      <c r="Z242" s="28">
        <v>112000000</v>
      </c>
      <c r="AA242" s="28">
        <v>106000000</v>
      </c>
      <c r="AB242" s="28">
        <v>102000000</v>
      </c>
      <c r="AC242" s="29">
        <v>91900000</v>
      </c>
      <c r="AD242" t="str">
        <f t="shared" si="3"/>
        <v>Winter</v>
      </c>
      <c r="AE242" t="str">
        <f>INDEX('Category Mapping'!$B$2:$B$29,MATCH('Source Data'!A242,'Category Mapping'!$A$2:$A$29,0))</f>
        <v>Weekend</v>
      </c>
      <c r="AF242" t="str">
        <f>INDEX('Category Mapping'!$C$2:$C$29,MATCH('Source Data'!A242,'Category Mapping'!$A$2:$A$29,0))</f>
        <v>Commercial</v>
      </c>
      <c r="AG242" t="str">
        <f>INDEX('Category Mapping'!$D$2:$D$29,MATCH('Source Data'!A242,'Category Mapping'!$A$2:$A$29,0))</f>
        <v>Total</v>
      </c>
    </row>
    <row r="243" spans="1:33" x14ac:dyDescent="0.25">
      <c r="A243" s="14" t="s">
        <v>104</v>
      </c>
      <c r="B243" s="15">
        <v>2019</v>
      </c>
      <c r="C243" s="15">
        <v>19</v>
      </c>
      <c r="D243" s="15" t="s">
        <v>208</v>
      </c>
      <c r="E243" s="15">
        <v>1</v>
      </c>
      <c r="F243" s="30">
        <v>1020000000</v>
      </c>
      <c r="G243" s="30">
        <v>992000000</v>
      </c>
      <c r="H243" s="30">
        <v>977000000</v>
      </c>
      <c r="I243" s="30">
        <v>980000000</v>
      </c>
      <c r="J243" s="30">
        <v>999000000</v>
      </c>
      <c r="K243" s="30">
        <v>1060000000</v>
      </c>
      <c r="L243" s="30">
        <v>1240000000</v>
      </c>
      <c r="M243" s="30">
        <v>1450000000</v>
      </c>
      <c r="N243" s="30">
        <v>1530000000</v>
      </c>
      <c r="O243" s="30">
        <v>1510000000</v>
      </c>
      <c r="P243" s="30">
        <v>1490000000</v>
      </c>
      <c r="Q243" s="30">
        <v>1470000000</v>
      </c>
      <c r="R243" s="30">
        <v>1450000000</v>
      </c>
      <c r="S243" s="30">
        <v>1450000000</v>
      </c>
      <c r="T243" s="30">
        <v>1450000000</v>
      </c>
      <c r="U243" s="30">
        <v>1470000000</v>
      </c>
      <c r="V243" s="30">
        <v>1520000000</v>
      </c>
      <c r="W243" s="30">
        <v>1520000000</v>
      </c>
      <c r="X243" s="30">
        <v>1500000000</v>
      </c>
      <c r="Y243" s="30">
        <v>1430000000</v>
      </c>
      <c r="Z243" s="30">
        <v>1360000000</v>
      </c>
      <c r="AA243" s="30">
        <v>1290000000</v>
      </c>
      <c r="AB243" s="30">
        <v>1180000000</v>
      </c>
      <c r="AC243" s="31">
        <v>1070000000</v>
      </c>
      <c r="AD243" t="str">
        <f t="shared" si="3"/>
        <v>Winter</v>
      </c>
      <c r="AE243" t="str">
        <f>INDEX('Category Mapping'!$B$2:$B$29,MATCH('Source Data'!A243,'Category Mapping'!$A$2:$A$29,0))</f>
        <v>Weekday</v>
      </c>
      <c r="AF243" t="str">
        <f>INDEX('Category Mapping'!$C$2:$C$29,MATCH('Source Data'!A243,'Category Mapping'!$A$2:$A$29,0))</f>
        <v>All Sectors</v>
      </c>
      <c r="AG243" t="str">
        <f>INDEX('Category Mapping'!$D$2:$D$29,MATCH('Source Data'!A243,'Category Mapping'!$A$2:$A$29,0))</f>
        <v>Total</v>
      </c>
    </row>
    <row r="244" spans="1:33" x14ac:dyDescent="0.25">
      <c r="A244" s="16" t="s">
        <v>104</v>
      </c>
      <c r="B244" s="17">
        <v>2019</v>
      </c>
      <c r="C244" s="17">
        <v>19</v>
      </c>
      <c r="D244" s="17" t="s">
        <v>208</v>
      </c>
      <c r="E244" s="17">
        <v>2</v>
      </c>
      <c r="F244" s="28">
        <v>1010000000</v>
      </c>
      <c r="G244" s="28">
        <v>982000000</v>
      </c>
      <c r="H244" s="28">
        <v>967000000</v>
      </c>
      <c r="I244" s="28">
        <v>969000000</v>
      </c>
      <c r="J244" s="28">
        <v>988000000</v>
      </c>
      <c r="K244" s="28">
        <v>1050000000</v>
      </c>
      <c r="L244" s="28">
        <v>1220000000</v>
      </c>
      <c r="M244" s="28">
        <v>1400000000</v>
      </c>
      <c r="N244" s="28">
        <v>1500000000</v>
      </c>
      <c r="O244" s="28">
        <v>1490000000</v>
      </c>
      <c r="P244" s="28">
        <v>1460000000</v>
      </c>
      <c r="Q244" s="28">
        <v>1450000000</v>
      </c>
      <c r="R244" s="28">
        <v>1430000000</v>
      </c>
      <c r="S244" s="28">
        <v>1430000000</v>
      </c>
      <c r="T244" s="28">
        <v>1430000000</v>
      </c>
      <c r="U244" s="28">
        <v>1450000000</v>
      </c>
      <c r="V244" s="28">
        <v>1480000000</v>
      </c>
      <c r="W244" s="28">
        <v>1500000000</v>
      </c>
      <c r="X244" s="28">
        <v>1480000000</v>
      </c>
      <c r="Y244" s="28">
        <v>1400000000</v>
      </c>
      <c r="Z244" s="28">
        <v>1340000000</v>
      </c>
      <c r="AA244" s="28">
        <v>1260000000</v>
      </c>
      <c r="AB244" s="28">
        <v>1160000000</v>
      </c>
      <c r="AC244" s="29">
        <v>1060000000</v>
      </c>
      <c r="AD244" t="str">
        <f t="shared" si="3"/>
        <v>Winter</v>
      </c>
      <c r="AE244" t="str">
        <f>INDEX('Category Mapping'!$B$2:$B$29,MATCH('Source Data'!A244,'Category Mapping'!$A$2:$A$29,0))</f>
        <v>Weekday</v>
      </c>
      <c r="AF244" t="str">
        <f>INDEX('Category Mapping'!$C$2:$C$29,MATCH('Source Data'!A244,'Category Mapping'!$A$2:$A$29,0))</f>
        <v>All Sectors</v>
      </c>
      <c r="AG244" t="str">
        <f>INDEX('Category Mapping'!$D$2:$D$29,MATCH('Source Data'!A244,'Category Mapping'!$A$2:$A$29,0))</f>
        <v>Total</v>
      </c>
    </row>
    <row r="245" spans="1:33" x14ac:dyDescent="0.25">
      <c r="A245" s="14" t="s">
        <v>104</v>
      </c>
      <c r="B245" s="15">
        <v>2019</v>
      </c>
      <c r="C245" s="15">
        <v>19</v>
      </c>
      <c r="D245" s="15" t="s">
        <v>208</v>
      </c>
      <c r="E245" s="15">
        <v>3</v>
      </c>
      <c r="F245" s="30">
        <v>1000000000</v>
      </c>
      <c r="G245" s="30">
        <v>972000000</v>
      </c>
      <c r="H245" s="30">
        <v>959000000</v>
      </c>
      <c r="I245" s="30">
        <v>961000000</v>
      </c>
      <c r="J245" s="30">
        <v>978000000</v>
      </c>
      <c r="K245" s="30">
        <v>1050000000</v>
      </c>
      <c r="L245" s="30">
        <v>1230000000</v>
      </c>
      <c r="M245" s="30">
        <v>1380000000</v>
      </c>
      <c r="N245" s="30">
        <v>1460000000</v>
      </c>
      <c r="O245" s="30">
        <v>1460000000</v>
      </c>
      <c r="P245" s="30">
        <v>1440000000</v>
      </c>
      <c r="Q245" s="30">
        <v>1430000000</v>
      </c>
      <c r="R245" s="30">
        <v>1410000000</v>
      </c>
      <c r="S245" s="30">
        <v>1410000000</v>
      </c>
      <c r="T245" s="30">
        <v>1410000000</v>
      </c>
      <c r="U245" s="30">
        <v>1430000000</v>
      </c>
      <c r="V245" s="30">
        <v>1450000000</v>
      </c>
      <c r="W245" s="30">
        <v>1470000000</v>
      </c>
      <c r="X245" s="30">
        <v>1450000000</v>
      </c>
      <c r="Y245" s="30">
        <v>1380000000</v>
      </c>
      <c r="Z245" s="30">
        <v>1320000000</v>
      </c>
      <c r="AA245" s="30">
        <v>1230000000</v>
      </c>
      <c r="AB245" s="30">
        <v>1130000000</v>
      </c>
      <c r="AC245" s="31">
        <v>1050000000</v>
      </c>
      <c r="AD245" t="str">
        <f t="shared" si="3"/>
        <v>Spring</v>
      </c>
      <c r="AE245" t="str">
        <f>INDEX('Category Mapping'!$B$2:$B$29,MATCH('Source Data'!A245,'Category Mapping'!$A$2:$A$29,0))</f>
        <v>Weekday</v>
      </c>
      <c r="AF245" t="str">
        <f>INDEX('Category Mapping'!$C$2:$C$29,MATCH('Source Data'!A245,'Category Mapping'!$A$2:$A$29,0))</f>
        <v>All Sectors</v>
      </c>
      <c r="AG245" t="str">
        <f>INDEX('Category Mapping'!$D$2:$D$29,MATCH('Source Data'!A245,'Category Mapping'!$A$2:$A$29,0))</f>
        <v>Total</v>
      </c>
    </row>
    <row r="246" spans="1:33" x14ac:dyDescent="0.25">
      <c r="A246" s="16" t="s">
        <v>104</v>
      </c>
      <c r="B246" s="17">
        <v>2019</v>
      </c>
      <c r="C246" s="17">
        <v>19</v>
      </c>
      <c r="D246" s="17" t="s">
        <v>208</v>
      </c>
      <c r="E246" s="17">
        <v>4</v>
      </c>
      <c r="F246" s="28">
        <v>954000000</v>
      </c>
      <c r="G246" s="28">
        <v>928000000</v>
      </c>
      <c r="H246" s="28">
        <v>917000000</v>
      </c>
      <c r="I246" s="28">
        <v>918000000</v>
      </c>
      <c r="J246" s="28">
        <v>933000000</v>
      </c>
      <c r="K246" s="28">
        <v>1000000000</v>
      </c>
      <c r="L246" s="28">
        <v>1160000000</v>
      </c>
      <c r="M246" s="28">
        <v>1290000000</v>
      </c>
      <c r="N246" s="28">
        <v>1370000000</v>
      </c>
      <c r="O246" s="28">
        <v>1390000000</v>
      </c>
      <c r="P246" s="28">
        <v>1380000000</v>
      </c>
      <c r="Q246" s="28">
        <v>1370000000</v>
      </c>
      <c r="R246" s="28">
        <v>1350000000</v>
      </c>
      <c r="S246" s="28">
        <v>1350000000</v>
      </c>
      <c r="T246" s="28">
        <v>1360000000</v>
      </c>
      <c r="U246" s="28">
        <v>1380000000</v>
      </c>
      <c r="V246" s="28">
        <v>1400000000</v>
      </c>
      <c r="W246" s="28">
        <v>1390000000</v>
      </c>
      <c r="X246" s="28">
        <v>1390000000</v>
      </c>
      <c r="Y246" s="28">
        <v>1320000000</v>
      </c>
      <c r="Z246" s="28">
        <v>1250000000</v>
      </c>
      <c r="AA246" s="28">
        <v>1170000000</v>
      </c>
      <c r="AB246" s="28">
        <v>1070000000</v>
      </c>
      <c r="AC246" s="29">
        <v>1000000000</v>
      </c>
      <c r="AD246" t="str">
        <f t="shared" si="3"/>
        <v>Spring</v>
      </c>
      <c r="AE246" t="str">
        <f>INDEX('Category Mapping'!$B$2:$B$29,MATCH('Source Data'!A246,'Category Mapping'!$A$2:$A$29,0))</f>
        <v>Weekday</v>
      </c>
      <c r="AF246" t="str">
        <f>INDEX('Category Mapping'!$C$2:$C$29,MATCH('Source Data'!A246,'Category Mapping'!$A$2:$A$29,0))</f>
        <v>All Sectors</v>
      </c>
      <c r="AG246" t="str">
        <f>INDEX('Category Mapping'!$D$2:$D$29,MATCH('Source Data'!A246,'Category Mapping'!$A$2:$A$29,0))</f>
        <v>Total</v>
      </c>
    </row>
    <row r="247" spans="1:33" x14ac:dyDescent="0.25">
      <c r="A247" s="14" t="s">
        <v>104</v>
      </c>
      <c r="B247" s="15">
        <v>2019</v>
      </c>
      <c r="C247" s="15">
        <v>19</v>
      </c>
      <c r="D247" s="15" t="s">
        <v>208</v>
      </c>
      <c r="E247" s="15">
        <v>5</v>
      </c>
      <c r="F247" s="30">
        <v>949000000</v>
      </c>
      <c r="G247" s="30">
        <v>924000000</v>
      </c>
      <c r="H247" s="30">
        <v>912000000</v>
      </c>
      <c r="I247" s="30">
        <v>913000000</v>
      </c>
      <c r="J247" s="30">
        <v>929000000</v>
      </c>
      <c r="K247" s="30">
        <v>985000000</v>
      </c>
      <c r="L247" s="30">
        <v>1120000000</v>
      </c>
      <c r="M247" s="30">
        <v>1260000000</v>
      </c>
      <c r="N247" s="30">
        <v>1360000000</v>
      </c>
      <c r="O247" s="30">
        <v>1380000000</v>
      </c>
      <c r="P247" s="30">
        <v>1380000000</v>
      </c>
      <c r="Q247" s="30">
        <v>1380000000</v>
      </c>
      <c r="R247" s="30">
        <v>1370000000</v>
      </c>
      <c r="S247" s="30">
        <v>1370000000</v>
      </c>
      <c r="T247" s="30">
        <v>1370000000</v>
      </c>
      <c r="U247" s="30">
        <v>1390000000</v>
      </c>
      <c r="V247" s="30">
        <v>1410000000</v>
      </c>
      <c r="W247" s="30">
        <v>1400000000</v>
      </c>
      <c r="X247" s="30">
        <v>1400000000</v>
      </c>
      <c r="Y247" s="30">
        <v>1320000000</v>
      </c>
      <c r="Z247" s="30">
        <v>1240000000</v>
      </c>
      <c r="AA247" s="30">
        <v>1170000000</v>
      </c>
      <c r="AB247" s="30">
        <v>1070000000</v>
      </c>
      <c r="AC247" s="31">
        <v>1000000000</v>
      </c>
      <c r="AD247" t="str">
        <f t="shared" si="3"/>
        <v>Spring</v>
      </c>
      <c r="AE247" t="str">
        <f>INDEX('Category Mapping'!$B$2:$B$29,MATCH('Source Data'!A247,'Category Mapping'!$A$2:$A$29,0))</f>
        <v>Weekday</v>
      </c>
      <c r="AF247" t="str">
        <f>INDEX('Category Mapping'!$C$2:$C$29,MATCH('Source Data'!A247,'Category Mapping'!$A$2:$A$29,0))</f>
        <v>All Sectors</v>
      </c>
      <c r="AG247" t="str">
        <f>INDEX('Category Mapping'!$D$2:$D$29,MATCH('Source Data'!A247,'Category Mapping'!$A$2:$A$29,0))</f>
        <v>Total</v>
      </c>
    </row>
    <row r="248" spans="1:33" x14ac:dyDescent="0.25">
      <c r="A248" s="16" t="s">
        <v>104</v>
      </c>
      <c r="B248" s="17">
        <v>2019</v>
      </c>
      <c r="C248" s="17">
        <v>19</v>
      </c>
      <c r="D248" s="17" t="s">
        <v>208</v>
      </c>
      <c r="E248" s="17">
        <v>6</v>
      </c>
      <c r="F248" s="28">
        <v>1020000000</v>
      </c>
      <c r="G248" s="28">
        <v>991000000</v>
      </c>
      <c r="H248" s="28">
        <v>977000000</v>
      </c>
      <c r="I248" s="28">
        <v>978000000</v>
      </c>
      <c r="J248" s="28">
        <v>996000000</v>
      </c>
      <c r="K248" s="28">
        <v>1050000000</v>
      </c>
      <c r="L248" s="28">
        <v>1200000000</v>
      </c>
      <c r="M248" s="28">
        <v>1370000000</v>
      </c>
      <c r="N248" s="28">
        <v>1500000000</v>
      </c>
      <c r="O248" s="28">
        <v>1550000000</v>
      </c>
      <c r="P248" s="28">
        <v>1560000000</v>
      </c>
      <c r="Q248" s="28">
        <v>1580000000</v>
      </c>
      <c r="R248" s="28">
        <v>1570000000</v>
      </c>
      <c r="S248" s="28">
        <v>1580000000</v>
      </c>
      <c r="T248" s="28">
        <v>1590000000</v>
      </c>
      <c r="U248" s="28">
        <v>1620000000</v>
      </c>
      <c r="V248" s="28">
        <v>1630000000</v>
      </c>
      <c r="W248" s="28">
        <v>1610000000</v>
      </c>
      <c r="X248" s="28">
        <v>1580000000</v>
      </c>
      <c r="Y248" s="28">
        <v>1490000000</v>
      </c>
      <c r="Z248" s="28">
        <v>1400000000</v>
      </c>
      <c r="AA248" s="28">
        <v>1300000000</v>
      </c>
      <c r="AB248" s="28">
        <v>1180000000</v>
      </c>
      <c r="AC248" s="29">
        <v>1090000000</v>
      </c>
      <c r="AD248" t="str">
        <f t="shared" si="3"/>
        <v>Summer</v>
      </c>
      <c r="AE248" t="str">
        <f>INDEX('Category Mapping'!$B$2:$B$29,MATCH('Source Data'!A248,'Category Mapping'!$A$2:$A$29,0))</f>
        <v>Weekday</v>
      </c>
      <c r="AF248" t="str">
        <f>INDEX('Category Mapping'!$C$2:$C$29,MATCH('Source Data'!A248,'Category Mapping'!$A$2:$A$29,0))</f>
        <v>All Sectors</v>
      </c>
      <c r="AG248" t="str">
        <f>INDEX('Category Mapping'!$D$2:$D$29,MATCH('Source Data'!A248,'Category Mapping'!$A$2:$A$29,0))</f>
        <v>Total</v>
      </c>
    </row>
    <row r="249" spans="1:33" x14ac:dyDescent="0.25">
      <c r="A249" s="14" t="s">
        <v>104</v>
      </c>
      <c r="B249" s="15">
        <v>2019</v>
      </c>
      <c r="C249" s="15">
        <v>19</v>
      </c>
      <c r="D249" s="15" t="s">
        <v>208</v>
      </c>
      <c r="E249" s="15">
        <v>7</v>
      </c>
      <c r="F249" s="30">
        <v>1180000000</v>
      </c>
      <c r="G249" s="30">
        <v>1130000000</v>
      </c>
      <c r="H249" s="30">
        <v>1110000000</v>
      </c>
      <c r="I249" s="30">
        <v>1120000000</v>
      </c>
      <c r="J249" s="30">
        <v>1140000000</v>
      </c>
      <c r="K249" s="30">
        <v>1210000000</v>
      </c>
      <c r="L249" s="30">
        <v>1360000000</v>
      </c>
      <c r="M249" s="30">
        <v>1540000000</v>
      </c>
      <c r="N249" s="30">
        <v>1700000000</v>
      </c>
      <c r="O249" s="30">
        <v>1770000000</v>
      </c>
      <c r="P249" s="30">
        <v>1790000000</v>
      </c>
      <c r="Q249" s="30">
        <v>1820000000</v>
      </c>
      <c r="R249" s="30">
        <v>1820000000</v>
      </c>
      <c r="S249" s="30">
        <v>1830000000</v>
      </c>
      <c r="T249" s="30">
        <v>1850000000</v>
      </c>
      <c r="U249" s="30">
        <v>1880000000</v>
      </c>
      <c r="V249" s="30">
        <v>1890000000</v>
      </c>
      <c r="W249" s="30">
        <v>1860000000</v>
      </c>
      <c r="X249" s="30">
        <v>1820000000</v>
      </c>
      <c r="Y249" s="30">
        <v>1720000000</v>
      </c>
      <c r="Z249" s="30">
        <v>1620000000</v>
      </c>
      <c r="AA249" s="30">
        <v>1510000000</v>
      </c>
      <c r="AB249" s="30">
        <v>1370000000</v>
      </c>
      <c r="AC249" s="31">
        <v>1260000000</v>
      </c>
      <c r="AD249" t="str">
        <f t="shared" si="3"/>
        <v>Summer</v>
      </c>
      <c r="AE249" t="str">
        <f>INDEX('Category Mapping'!$B$2:$B$29,MATCH('Source Data'!A249,'Category Mapping'!$A$2:$A$29,0))</f>
        <v>Weekday</v>
      </c>
      <c r="AF249" t="str">
        <f>INDEX('Category Mapping'!$C$2:$C$29,MATCH('Source Data'!A249,'Category Mapping'!$A$2:$A$29,0))</f>
        <v>All Sectors</v>
      </c>
      <c r="AG249" t="str">
        <f>INDEX('Category Mapping'!$D$2:$D$29,MATCH('Source Data'!A249,'Category Mapping'!$A$2:$A$29,0))</f>
        <v>Total</v>
      </c>
    </row>
    <row r="250" spans="1:33" x14ac:dyDescent="0.25">
      <c r="A250" s="16" t="s">
        <v>104</v>
      </c>
      <c r="B250" s="17">
        <v>2019</v>
      </c>
      <c r="C250" s="17">
        <v>19</v>
      </c>
      <c r="D250" s="17" t="s">
        <v>208</v>
      </c>
      <c r="E250" s="17">
        <v>8</v>
      </c>
      <c r="F250" s="28">
        <v>1240000000</v>
      </c>
      <c r="G250" s="28">
        <v>1190000000</v>
      </c>
      <c r="H250" s="28">
        <v>1170000000</v>
      </c>
      <c r="I250" s="28">
        <v>1170000000</v>
      </c>
      <c r="J250" s="28">
        <v>1200000000</v>
      </c>
      <c r="K250" s="28">
        <v>1280000000</v>
      </c>
      <c r="L250" s="28">
        <v>1440000000</v>
      </c>
      <c r="M250" s="28">
        <v>1630000000</v>
      </c>
      <c r="N250" s="28">
        <v>1800000000</v>
      </c>
      <c r="O250" s="28">
        <v>1870000000</v>
      </c>
      <c r="P250" s="28">
        <v>1910000000</v>
      </c>
      <c r="Q250" s="28">
        <v>1940000000</v>
      </c>
      <c r="R250" s="28">
        <v>1940000000</v>
      </c>
      <c r="S250" s="28">
        <v>1960000000</v>
      </c>
      <c r="T250" s="28">
        <v>1980000000</v>
      </c>
      <c r="U250" s="28">
        <v>2010000000</v>
      </c>
      <c r="V250" s="28">
        <v>2020000000</v>
      </c>
      <c r="W250" s="28">
        <v>1990000000</v>
      </c>
      <c r="X250" s="28">
        <v>1960000000</v>
      </c>
      <c r="Y250" s="28">
        <v>1840000000</v>
      </c>
      <c r="Z250" s="28">
        <v>1720000000</v>
      </c>
      <c r="AA250" s="28">
        <v>1600000000</v>
      </c>
      <c r="AB250" s="28">
        <v>1450000000</v>
      </c>
      <c r="AC250" s="29">
        <v>1330000000</v>
      </c>
      <c r="AD250" t="str">
        <f t="shared" si="3"/>
        <v>Summer</v>
      </c>
      <c r="AE250" t="str">
        <f>INDEX('Category Mapping'!$B$2:$B$29,MATCH('Source Data'!A250,'Category Mapping'!$A$2:$A$29,0))</f>
        <v>Weekday</v>
      </c>
      <c r="AF250" t="str">
        <f>INDEX('Category Mapping'!$C$2:$C$29,MATCH('Source Data'!A250,'Category Mapping'!$A$2:$A$29,0))</f>
        <v>All Sectors</v>
      </c>
      <c r="AG250" t="str">
        <f>INDEX('Category Mapping'!$D$2:$D$29,MATCH('Source Data'!A250,'Category Mapping'!$A$2:$A$29,0))</f>
        <v>Total</v>
      </c>
    </row>
    <row r="251" spans="1:33" x14ac:dyDescent="0.25">
      <c r="A251" s="14" t="s">
        <v>104</v>
      </c>
      <c r="B251" s="15">
        <v>2019</v>
      </c>
      <c r="C251" s="15">
        <v>19</v>
      </c>
      <c r="D251" s="15" t="s">
        <v>208</v>
      </c>
      <c r="E251" s="15">
        <v>9</v>
      </c>
      <c r="F251" s="30">
        <v>1010000000</v>
      </c>
      <c r="G251" s="30">
        <v>979000000</v>
      </c>
      <c r="H251" s="30">
        <v>966000000</v>
      </c>
      <c r="I251" s="30">
        <v>967000000</v>
      </c>
      <c r="J251" s="30">
        <v>983000000</v>
      </c>
      <c r="K251" s="30">
        <v>1040000000</v>
      </c>
      <c r="L251" s="30">
        <v>1190000000</v>
      </c>
      <c r="M251" s="30">
        <v>1340000000</v>
      </c>
      <c r="N251" s="30">
        <v>1460000000</v>
      </c>
      <c r="O251" s="30">
        <v>1510000000</v>
      </c>
      <c r="P251" s="30">
        <v>1520000000</v>
      </c>
      <c r="Q251" s="30">
        <v>1530000000</v>
      </c>
      <c r="R251" s="30">
        <v>1520000000</v>
      </c>
      <c r="S251" s="30">
        <v>1530000000</v>
      </c>
      <c r="T251" s="30">
        <v>1540000000</v>
      </c>
      <c r="U251" s="30">
        <v>1570000000</v>
      </c>
      <c r="V251" s="30">
        <v>1580000000</v>
      </c>
      <c r="W251" s="30">
        <v>1570000000</v>
      </c>
      <c r="X251" s="30">
        <v>1550000000</v>
      </c>
      <c r="Y251" s="30">
        <v>1450000000</v>
      </c>
      <c r="Z251" s="30">
        <v>1360000000</v>
      </c>
      <c r="AA251" s="30">
        <v>1260000000</v>
      </c>
      <c r="AB251" s="30">
        <v>1150000000</v>
      </c>
      <c r="AC251" s="31">
        <v>1070000000</v>
      </c>
      <c r="AD251" t="str">
        <f t="shared" si="3"/>
        <v>Fall</v>
      </c>
      <c r="AE251" t="str">
        <f>INDEX('Category Mapping'!$B$2:$B$29,MATCH('Source Data'!A251,'Category Mapping'!$A$2:$A$29,0))</f>
        <v>Weekday</v>
      </c>
      <c r="AF251" t="str">
        <f>INDEX('Category Mapping'!$C$2:$C$29,MATCH('Source Data'!A251,'Category Mapping'!$A$2:$A$29,0))</f>
        <v>All Sectors</v>
      </c>
      <c r="AG251" t="str">
        <f>INDEX('Category Mapping'!$D$2:$D$29,MATCH('Source Data'!A251,'Category Mapping'!$A$2:$A$29,0))</f>
        <v>Total</v>
      </c>
    </row>
    <row r="252" spans="1:33" x14ac:dyDescent="0.25">
      <c r="A252" s="16" t="s">
        <v>104</v>
      </c>
      <c r="B252" s="17">
        <v>2019</v>
      </c>
      <c r="C252" s="17">
        <v>19</v>
      </c>
      <c r="D252" s="17" t="s">
        <v>208</v>
      </c>
      <c r="E252" s="17">
        <v>10</v>
      </c>
      <c r="F252" s="28">
        <v>964000000</v>
      </c>
      <c r="G252" s="28">
        <v>938000000</v>
      </c>
      <c r="H252" s="28">
        <v>927000000</v>
      </c>
      <c r="I252" s="28">
        <v>928000000</v>
      </c>
      <c r="J252" s="28">
        <v>944000000</v>
      </c>
      <c r="K252" s="28">
        <v>1010000000</v>
      </c>
      <c r="L252" s="28">
        <v>1180000000</v>
      </c>
      <c r="M252" s="28">
        <v>1300000000</v>
      </c>
      <c r="N252" s="28">
        <v>1390000000</v>
      </c>
      <c r="O252" s="28">
        <v>1400000000</v>
      </c>
      <c r="P252" s="28">
        <v>1390000000</v>
      </c>
      <c r="Q252" s="28">
        <v>1390000000</v>
      </c>
      <c r="R252" s="28">
        <v>1370000000</v>
      </c>
      <c r="S252" s="28">
        <v>1370000000</v>
      </c>
      <c r="T252" s="28">
        <v>1370000000</v>
      </c>
      <c r="U252" s="28">
        <v>1400000000</v>
      </c>
      <c r="V252" s="28">
        <v>1420000000</v>
      </c>
      <c r="W252" s="28">
        <v>1440000000</v>
      </c>
      <c r="X252" s="28">
        <v>1410000000</v>
      </c>
      <c r="Y252" s="28">
        <v>1330000000</v>
      </c>
      <c r="Z252" s="28">
        <v>1270000000</v>
      </c>
      <c r="AA252" s="28">
        <v>1180000000</v>
      </c>
      <c r="AB252" s="28">
        <v>1090000000</v>
      </c>
      <c r="AC252" s="29">
        <v>1020000000</v>
      </c>
      <c r="AD252" t="str">
        <f t="shared" si="3"/>
        <v>Fall</v>
      </c>
      <c r="AE252" t="str">
        <f>INDEX('Category Mapping'!$B$2:$B$29,MATCH('Source Data'!A252,'Category Mapping'!$A$2:$A$29,0))</f>
        <v>Weekday</v>
      </c>
      <c r="AF252" t="str">
        <f>INDEX('Category Mapping'!$C$2:$C$29,MATCH('Source Data'!A252,'Category Mapping'!$A$2:$A$29,0))</f>
        <v>All Sectors</v>
      </c>
      <c r="AG252" t="str">
        <f>INDEX('Category Mapping'!$D$2:$D$29,MATCH('Source Data'!A252,'Category Mapping'!$A$2:$A$29,0))</f>
        <v>Total</v>
      </c>
    </row>
    <row r="253" spans="1:33" x14ac:dyDescent="0.25">
      <c r="A253" s="14" t="s">
        <v>104</v>
      </c>
      <c r="B253" s="15">
        <v>2019</v>
      </c>
      <c r="C253" s="15">
        <v>19</v>
      </c>
      <c r="D253" s="15" t="s">
        <v>208</v>
      </c>
      <c r="E253" s="15">
        <v>11</v>
      </c>
      <c r="F253" s="30">
        <v>992000000</v>
      </c>
      <c r="G253" s="30">
        <v>965000000</v>
      </c>
      <c r="H253" s="30">
        <v>951000000</v>
      </c>
      <c r="I253" s="30">
        <v>952000000</v>
      </c>
      <c r="J253" s="30">
        <v>970000000</v>
      </c>
      <c r="K253" s="30">
        <v>1030000000</v>
      </c>
      <c r="L253" s="30">
        <v>1190000000</v>
      </c>
      <c r="M253" s="30">
        <v>1370000000</v>
      </c>
      <c r="N253" s="30">
        <v>1450000000</v>
      </c>
      <c r="O253" s="30">
        <v>1450000000</v>
      </c>
      <c r="P253" s="30">
        <v>1430000000</v>
      </c>
      <c r="Q253" s="30">
        <v>1420000000</v>
      </c>
      <c r="R253" s="30">
        <v>1410000000</v>
      </c>
      <c r="S253" s="30">
        <v>1400000000</v>
      </c>
      <c r="T253" s="30">
        <v>1410000000</v>
      </c>
      <c r="U253" s="30">
        <v>1430000000</v>
      </c>
      <c r="V253" s="30">
        <v>1460000000</v>
      </c>
      <c r="W253" s="30">
        <v>1480000000</v>
      </c>
      <c r="X253" s="30">
        <v>1460000000</v>
      </c>
      <c r="Y253" s="30">
        <v>1380000000</v>
      </c>
      <c r="Z253" s="30">
        <v>1310000000</v>
      </c>
      <c r="AA253" s="30">
        <v>1230000000</v>
      </c>
      <c r="AB253" s="30">
        <v>1130000000</v>
      </c>
      <c r="AC253" s="31">
        <v>1040000000</v>
      </c>
      <c r="AD253" t="str">
        <f t="shared" si="3"/>
        <v>Winter</v>
      </c>
      <c r="AE253" t="str">
        <f>INDEX('Category Mapping'!$B$2:$B$29,MATCH('Source Data'!A253,'Category Mapping'!$A$2:$A$29,0))</f>
        <v>Weekday</v>
      </c>
      <c r="AF253" t="str">
        <f>INDEX('Category Mapping'!$C$2:$C$29,MATCH('Source Data'!A253,'Category Mapping'!$A$2:$A$29,0))</f>
        <v>All Sectors</v>
      </c>
      <c r="AG253" t="str">
        <f>INDEX('Category Mapping'!$D$2:$D$29,MATCH('Source Data'!A253,'Category Mapping'!$A$2:$A$29,0))</f>
        <v>Total</v>
      </c>
    </row>
    <row r="254" spans="1:33" x14ac:dyDescent="0.25">
      <c r="A254" s="16" t="s">
        <v>104</v>
      </c>
      <c r="B254" s="17">
        <v>2019</v>
      </c>
      <c r="C254" s="17">
        <v>19</v>
      </c>
      <c r="D254" s="17" t="s">
        <v>208</v>
      </c>
      <c r="E254" s="17">
        <v>12</v>
      </c>
      <c r="F254" s="28">
        <v>972000000</v>
      </c>
      <c r="G254" s="28">
        <v>944000000</v>
      </c>
      <c r="H254" s="28">
        <v>929000000</v>
      </c>
      <c r="I254" s="28">
        <v>931000000</v>
      </c>
      <c r="J254" s="28">
        <v>950000000</v>
      </c>
      <c r="K254" s="28">
        <v>1010000000</v>
      </c>
      <c r="L254" s="28">
        <v>1170000000</v>
      </c>
      <c r="M254" s="28">
        <v>1390000000</v>
      </c>
      <c r="N254" s="28">
        <v>1470000000</v>
      </c>
      <c r="O254" s="28">
        <v>1450000000</v>
      </c>
      <c r="P254" s="28">
        <v>1430000000</v>
      </c>
      <c r="Q254" s="28">
        <v>1420000000</v>
      </c>
      <c r="R254" s="28">
        <v>1400000000</v>
      </c>
      <c r="S254" s="28">
        <v>1390000000</v>
      </c>
      <c r="T254" s="28">
        <v>1390000000</v>
      </c>
      <c r="U254" s="28">
        <v>1410000000</v>
      </c>
      <c r="V254" s="28">
        <v>1470000000</v>
      </c>
      <c r="W254" s="28">
        <v>1460000000</v>
      </c>
      <c r="X254" s="28">
        <v>1450000000</v>
      </c>
      <c r="Y254" s="28">
        <v>1370000000</v>
      </c>
      <c r="Z254" s="28">
        <v>1310000000</v>
      </c>
      <c r="AA254" s="28">
        <v>1230000000</v>
      </c>
      <c r="AB254" s="28">
        <v>1130000000</v>
      </c>
      <c r="AC254" s="29">
        <v>1020000000</v>
      </c>
      <c r="AD254" t="str">
        <f>IF(AND(E254&gt;=3,E254&lt;=5),"Spring",IF(AND(E254&gt;=6,E254&lt;=8),"Summer",IF(AND(E254&gt;=9,E254&lt;=10),"Fall","Winter")))</f>
        <v>Winter</v>
      </c>
      <c r="AE254" t="str">
        <f>INDEX('Category Mapping'!$B$2:$B$29,MATCH('Source Data'!A254,'Category Mapping'!$A$2:$A$29,0))</f>
        <v>Weekday</v>
      </c>
      <c r="AF254" t="str">
        <f>INDEX('Category Mapping'!$C$2:$C$29,MATCH('Source Data'!A254,'Category Mapping'!$A$2:$A$29,0))</f>
        <v>All Sectors</v>
      </c>
      <c r="AG254" t="str">
        <f>INDEX('Category Mapping'!$D$2:$D$29,MATCH('Source Data'!A254,'Category Mapping'!$A$2:$A$29,0))</f>
        <v>Total</v>
      </c>
    </row>
    <row r="255" spans="1:33" x14ac:dyDescent="0.25">
      <c r="A255" s="14" t="s">
        <v>105</v>
      </c>
      <c r="B255" s="15">
        <v>2019</v>
      </c>
      <c r="C255" s="15">
        <v>19</v>
      </c>
      <c r="D255" s="15" t="s">
        <v>208</v>
      </c>
      <c r="E255" s="15">
        <v>1</v>
      </c>
      <c r="F255" s="30">
        <v>521000000</v>
      </c>
      <c r="G255" s="30">
        <v>501000000</v>
      </c>
      <c r="H255" s="30">
        <v>492000000</v>
      </c>
      <c r="I255" s="30">
        <v>490000000</v>
      </c>
      <c r="J255" s="30">
        <v>494000000</v>
      </c>
      <c r="K255" s="30">
        <v>509000000</v>
      </c>
      <c r="L255" s="30">
        <v>539000000</v>
      </c>
      <c r="M255" s="30">
        <v>598000000</v>
      </c>
      <c r="N255" s="30">
        <v>623000000</v>
      </c>
      <c r="O255" s="30">
        <v>642000000</v>
      </c>
      <c r="P255" s="30">
        <v>652000000</v>
      </c>
      <c r="Q255" s="30">
        <v>657000000</v>
      </c>
      <c r="R255" s="30">
        <v>644000000</v>
      </c>
      <c r="S255" s="30">
        <v>626000000</v>
      </c>
      <c r="T255" s="30">
        <v>623000000</v>
      </c>
      <c r="U255" s="30">
        <v>623000000</v>
      </c>
      <c r="V255" s="30">
        <v>647000000</v>
      </c>
      <c r="W255" s="30">
        <v>656000000</v>
      </c>
      <c r="X255" s="30">
        <v>656000000</v>
      </c>
      <c r="Y255" s="30">
        <v>640000000</v>
      </c>
      <c r="Z255" s="30">
        <v>628000000</v>
      </c>
      <c r="AA255" s="30">
        <v>606000000</v>
      </c>
      <c r="AB255" s="30">
        <v>576000000</v>
      </c>
      <c r="AC255" s="31">
        <v>540000000</v>
      </c>
      <c r="AD255" t="str">
        <f t="shared" si="3"/>
        <v>Winter</v>
      </c>
      <c r="AE255" t="str">
        <f>INDEX('Category Mapping'!$B$2:$B$29,MATCH('Source Data'!A255,'Category Mapping'!$A$2:$A$29,0))</f>
        <v>Weekend</v>
      </c>
      <c r="AF255" t="str">
        <f>INDEX('Category Mapping'!$C$2:$C$29,MATCH('Source Data'!A255,'Category Mapping'!$A$2:$A$29,0))</f>
        <v>All Sectors</v>
      </c>
      <c r="AG255" t="str">
        <f>INDEX('Category Mapping'!$D$2:$D$29,MATCH('Source Data'!A255,'Category Mapping'!$A$2:$A$29,0))</f>
        <v>Total</v>
      </c>
    </row>
    <row r="256" spans="1:33" x14ac:dyDescent="0.25">
      <c r="A256" s="16" t="s">
        <v>105</v>
      </c>
      <c r="B256" s="17">
        <v>2019</v>
      </c>
      <c r="C256" s="17">
        <v>19</v>
      </c>
      <c r="D256" s="17" t="s">
        <v>208</v>
      </c>
      <c r="E256" s="17">
        <v>2</v>
      </c>
      <c r="F256" s="28">
        <v>516000000</v>
      </c>
      <c r="G256" s="28">
        <v>496000000</v>
      </c>
      <c r="H256" s="28">
        <v>488000000</v>
      </c>
      <c r="I256" s="28">
        <v>485000000</v>
      </c>
      <c r="J256" s="28">
        <v>490000000</v>
      </c>
      <c r="K256" s="28">
        <v>504000000</v>
      </c>
      <c r="L256" s="28">
        <v>534000000</v>
      </c>
      <c r="M256" s="28">
        <v>582000000</v>
      </c>
      <c r="N256" s="28">
        <v>614000000</v>
      </c>
      <c r="O256" s="28">
        <v>633000000</v>
      </c>
      <c r="P256" s="28">
        <v>643000000</v>
      </c>
      <c r="Q256" s="28">
        <v>649000000</v>
      </c>
      <c r="R256" s="28">
        <v>636000000</v>
      </c>
      <c r="S256" s="28">
        <v>618000000</v>
      </c>
      <c r="T256" s="28">
        <v>616000000</v>
      </c>
      <c r="U256" s="28">
        <v>616000000</v>
      </c>
      <c r="V256" s="28">
        <v>627000000</v>
      </c>
      <c r="W256" s="28">
        <v>648000000</v>
      </c>
      <c r="X256" s="28">
        <v>647000000</v>
      </c>
      <c r="Y256" s="28">
        <v>632000000</v>
      </c>
      <c r="Z256" s="28">
        <v>620000000</v>
      </c>
      <c r="AA256" s="28">
        <v>599000000</v>
      </c>
      <c r="AB256" s="28">
        <v>569000000</v>
      </c>
      <c r="AC256" s="29">
        <v>534000000</v>
      </c>
      <c r="AD256" t="str">
        <f t="shared" si="3"/>
        <v>Winter</v>
      </c>
      <c r="AE256" t="str">
        <f>INDEX('Category Mapping'!$B$2:$B$29,MATCH('Source Data'!A256,'Category Mapping'!$A$2:$A$29,0))</f>
        <v>Weekend</v>
      </c>
      <c r="AF256" t="str">
        <f>INDEX('Category Mapping'!$C$2:$C$29,MATCH('Source Data'!A256,'Category Mapping'!$A$2:$A$29,0))</f>
        <v>All Sectors</v>
      </c>
      <c r="AG256" t="str">
        <f>INDEX('Category Mapping'!$D$2:$D$29,MATCH('Source Data'!A256,'Category Mapping'!$A$2:$A$29,0))</f>
        <v>Total</v>
      </c>
    </row>
    <row r="257" spans="1:33" x14ac:dyDescent="0.25">
      <c r="A257" s="14" t="s">
        <v>105</v>
      </c>
      <c r="B257" s="15">
        <v>2019</v>
      </c>
      <c r="C257" s="15">
        <v>19</v>
      </c>
      <c r="D257" s="15" t="s">
        <v>208</v>
      </c>
      <c r="E257" s="15">
        <v>3</v>
      </c>
      <c r="F257" s="30">
        <v>512000000</v>
      </c>
      <c r="G257" s="30">
        <v>491000000</v>
      </c>
      <c r="H257" s="30">
        <v>484000000</v>
      </c>
      <c r="I257" s="30">
        <v>481000000</v>
      </c>
      <c r="J257" s="30">
        <v>486000000</v>
      </c>
      <c r="K257" s="30">
        <v>500000000</v>
      </c>
      <c r="L257" s="30">
        <v>534000000</v>
      </c>
      <c r="M257" s="30">
        <v>574000000</v>
      </c>
      <c r="N257" s="30">
        <v>601000000</v>
      </c>
      <c r="O257" s="30">
        <v>622000000</v>
      </c>
      <c r="P257" s="30">
        <v>633000000</v>
      </c>
      <c r="Q257" s="30">
        <v>640000000</v>
      </c>
      <c r="R257" s="30">
        <v>628000000</v>
      </c>
      <c r="S257" s="30">
        <v>611000000</v>
      </c>
      <c r="T257" s="30">
        <v>610000000</v>
      </c>
      <c r="U257" s="30">
        <v>609000000</v>
      </c>
      <c r="V257" s="30">
        <v>615000000</v>
      </c>
      <c r="W257" s="30">
        <v>638000000</v>
      </c>
      <c r="X257" s="30">
        <v>635000000</v>
      </c>
      <c r="Y257" s="30">
        <v>624000000</v>
      </c>
      <c r="Z257" s="30">
        <v>613000000</v>
      </c>
      <c r="AA257" s="30">
        <v>591000000</v>
      </c>
      <c r="AB257" s="30">
        <v>561000000</v>
      </c>
      <c r="AC257" s="31">
        <v>529000000</v>
      </c>
      <c r="AD257" t="str">
        <f t="shared" si="3"/>
        <v>Spring</v>
      </c>
      <c r="AE257" t="str">
        <f>INDEX('Category Mapping'!$B$2:$B$29,MATCH('Source Data'!A257,'Category Mapping'!$A$2:$A$29,0))</f>
        <v>Weekend</v>
      </c>
      <c r="AF257" t="str">
        <f>INDEX('Category Mapping'!$C$2:$C$29,MATCH('Source Data'!A257,'Category Mapping'!$A$2:$A$29,0))</f>
        <v>All Sectors</v>
      </c>
      <c r="AG257" t="str">
        <f>INDEX('Category Mapping'!$D$2:$D$29,MATCH('Source Data'!A257,'Category Mapping'!$A$2:$A$29,0))</f>
        <v>Total</v>
      </c>
    </row>
    <row r="258" spans="1:33" x14ac:dyDescent="0.25">
      <c r="A258" s="16" t="s">
        <v>105</v>
      </c>
      <c r="B258" s="17">
        <v>2019</v>
      </c>
      <c r="C258" s="17">
        <v>19</v>
      </c>
      <c r="D258" s="17" t="s">
        <v>208</v>
      </c>
      <c r="E258" s="17">
        <v>4</v>
      </c>
      <c r="F258" s="28">
        <v>489000000</v>
      </c>
      <c r="G258" s="28">
        <v>469000000</v>
      </c>
      <c r="H258" s="28">
        <v>462000000</v>
      </c>
      <c r="I258" s="28">
        <v>460000000</v>
      </c>
      <c r="J258" s="28">
        <v>463000000</v>
      </c>
      <c r="K258" s="28">
        <v>477000000</v>
      </c>
      <c r="L258" s="28">
        <v>503000000</v>
      </c>
      <c r="M258" s="28">
        <v>541000000</v>
      </c>
      <c r="N258" s="28">
        <v>566000000</v>
      </c>
      <c r="O258" s="28">
        <v>590000000</v>
      </c>
      <c r="P258" s="28">
        <v>604000000</v>
      </c>
      <c r="Q258" s="28">
        <v>612000000</v>
      </c>
      <c r="R258" s="28">
        <v>602000000</v>
      </c>
      <c r="S258" s="28">
        <v>586000000</v>
      </c>
      <c r="T258" s="28">
        <v>586000000</v>
      </c>
      <c r="U258" s="28">
        <v>583000000</v>
      </c>
      <c r="V258" s="28">
        <v>589000000</v>
      </c>
      <c r="W258" s="28">
        <v>597000000</v>
      </c>
      <c r="X258" s="28">
        <v>607000000</v>
      </c>
      <c r="Y258" s="28">
        <v>598000000</v>
      </c>
      <c r="Z258" s="28">
        <v>586000000</v>
      </c>
      <c r="AA258" s="28">
        <v>565000000</v>
      </c>
      <c r="AB258" s="28">
        <v>535000000</v>
      </c>
      <c r="AC258" s="29">
        <v>505000000</v>
      </c>
      <c r="AD258" t="str">
        <f t="shared" si="3"/>
        <v>Spring</v>
      </c>
      <c r="AE258" t="str">
        <f>INDEX('Category Mapping'!$B$2:$B$29,MATCH('Source Data'!A258,'Category Mapping'!$A$2:$A$29,0))</f>
        <v>Weekend</v>
      </c>
      <c r="AF258" t="str">
        <f>INDEX('Category Mapping'!$C$2:$C$29,MATCH('Source Data'!A258,'Category Mapping'!$A$2:$A$29,0))</f>
        <v>All Sectors</v>
      </c>
      <c r="AG258" t="str">
        <f>INDEX('Category Mapping'!$D$2:$D$29,MATCH('Source Data'!A258,'Category Mapping'!$A$2:$A$29,0))</f>
        <v>Total</v>
      </c>
    </row>
    <row r="259" spans="1:33" x14ac:dyDescent="0.25">
      <c r="A259" s="14" t="s">
        <v>105</v>
      </c>
      <c r="B259" s="15">
        <v>2019</v>
      </c>
      <c r="C259" s="15">
        <v>19</v>
      </c>
      <c r="D259" s="15" t="s">
        <v>208</v>
      </c>
      <c r="E259" s="15">
        <v>5</v>
      </c>
      <c r="F259" s="30">
        <v>490000000</v>
      </c>
      <c r="G259" s="30">
        <v>471000000</v>
      </c>
      <c r="H259" s="30">
        <v>464000000</v>
      </c>
      <c r="I259" s="30">
        <v>461000000</v>
      </c>
      <c r="J259" s="30">
        <v>465000000</v>
      </c>
      <c r="K259" s="30">
        <v>477000000</v>
      </c>
      <c r="L259" s="30">
        <v>497000000</v>
      </c>
      <c r="M259" s="30">
        <v>535000000</v>
      </c>
      <c r="N259" s="30">
        <v>562000000</v>
      </c>
      <c r="O259" s="30">
        <v>588000000</v>
      </c>
      <c r="P259" s="30">
        <v>604000000</v>
      </c>
      <c r="Q259" s="30">
        <v>616000000</v>
      </c>
      <c r="R259" s="30">
        <v>608000000</v>
      </c>
      <c r="S259" s="30">
        <v>593000000</v>
      </c>
      <c r="T259" s="30">
        <v>593000000</v>
      </c>
      <c r="U259" s="30">
        <v>591000000</v>
      </c>
      <c r="V259" s="30">
        <v>596000000</v>
      </c>
      <c r="W259" s="30">
        <v>599000000</v>
      </c>
      <c r="X259" s="30">
        <v>608000000</v>
      </c>
      <c r="Y259" s="30">
        <v>598000000</v>
      </c>
      <c r="Z259" s="30">
        <v>585000000</v>
      </c>
      <c r="AA259" s="30">
        <v>564000000</v>
      </c>
      <c r="AB259" s="30">
        <v>536000000</v>
      </c>
      <c r="AC259" s="31">
        <v>506000000</v>
      </c>
      <c r="AD259" t="str">
        <f t="shared" si="3"/>
        <v>Spring</v>
      </c>
      <c r="AE259" t="str">
        <f>INDEX('Category Mapping'!$B$2:$B$29,MATCH('Source Data'!A259,'Category Mapping'!$A$2:$A$29,0))</f>
        <v>Weekend</v>
      </c>
      <c r="AF259" t="str">
        <f>INDEX('Category Mapping'!$C$2:$C$29,MATCH('Source Data'!A259,'Category Mapping'!$A$2:$A$29,0))</f>
        <v>All Sectors</v>
      </c>
      <c r="AG259" t="str">
        <f>INDEX('Category Mapping'!$D$2:$D$29,MATCH('Source Data'!A259,'Category Mapping'!$A$2:$A$29,0))</f>
        <v>Total</v>
      </c>
    </row>
    <row r="260" spans="1:33" x14ac:dyDescent="0.25">
      <c r="A260" s="16" t="s">
        <v>105</v>
      </c>
      <c r="B260" s="17">
        <v>2019</v>
      </c>
      <c r="C260" s="17">
        <v>19</v>
      </c>
      <c r="D260" s="17" t="s">
        <v>208</v>
      </c>
      <c r="E260" s="17">
        <v>6</v>
      </c>
      <c r="F260" s="28">
        <v>526000000</v>
      </c>
      <c r="G260" s="28">
        <v>505000000</v>
      </c>
      <c r="H260" s="28">
        <v>497000000</v>
      </c>
      <c r="I260" s="28">
        <v>495000000</v>
      </c>
      <c r="J260" s="28">
        <v>500000000</v>
      </c>
      <c r="K260" s="28">
        <v>514000000</v>
      </c>
      <c r="L260" s="28">
        <v>542000000</v>
      </c>
      <c r="M260" s="28">
        <v>591000000</v>
      </c>
      <c r="N260" s="28">
        <v>630000000</v>
      </c>
      <c r="O260" s="28">
        <v>665000000</v>
      </c>
      <c r="P260" s="28">
        <v>689000000</v>
      </c>
      <c r="Q260" s="28">
        <v>709000000</v>
      </c>
      <c r="R260" s="28">
        <v>707000000</v>
      </c>
      <c r="S260" s="28">
        <v>695000000</v>
      </c>
      <c r="T260" s="28">
        <v>696000000</v>
      </c>
      <c r="U260" s="28">
        <v>694000000</v>
      </c>
      <c r="V260" s="28">
        <v>696000000</v>
      </c>
      <c r="W260" s="28">
        <v>692000000</v>
      </c>
      <c r="X260" s="28">
        <v>689000000</v>
      </c>
      <c r="Y260" s="28">
        <v>678000000</v>
      </c>
      <c r="Z260" s="28">
        <v>655000000</v>
      </c>
      <c r="AA260" s="28">
        <v>623000000</v>
      </c>
      <c r="AB260" s="28">
        <v>585000000</v>
      </c>
      <c r="AC260" s="29">
        <v>546000000</v>
      </c>
      <c r="AD260" t="str">
        <f t="shared" ref="AD260:AD290" si="4">IF(AND(E260&gt;=3,E260&lt;=5),"Spring",IF(AND(E260&gt;=6,E260&lt;=8),"Summer",IF(AND(E260&gt;=9,E260&lt;=10),"Fall","Winter")))</f>
        <v>Summer</v>
      </c>
      <c r="AE260" t="str">
        <f>INDEX('Category Mapping'!$B$2:$B$29,MATCH('Source Data'!A260,'Category Mapping'!$A$2:$A$29,0))</f>
        <v>Weekend</v>
      </c>
      <c r="AF260" t="str">
        <f>INDEX('Category Mapping'!$C$2:$C$29,MATCH('Source Data'!A260,'Category Mapping'!$A$2:$A$29,0))</f>
        <v>All Sectors</v>
      </c>
      <c r="AG260" t="str">
        <f>INDEX('Category Mapping'!$D$2:$D$29,MATCH('Source Data'!A260,'Category Mapping'!$A$2:$A$29,0))</f>
        <v>Total</v>
      </c>
    </row>
    <row r="261" spans="1:33" x14ac:dyDescent="0.25">
      <c r="A261" s="14" t="s">
        <v>105</v>
      </c>
      <c r="B261" s="15">
        <v>2019</v>
      </c>
      <c r="C261" s="15">
        <v>19</v>
      </c>
      <c r="D261" s="15" t="s">
        <v>208</v>
      </c>
      <c r="E261" s="15">
        <v>7</v>
      </c>
      <c r="F261" s="30">
        <v>600000000</v>
      </c>
      <c r="G261" s="30">
        <v>574000000</v>
      </c>
      <c r="H261" s="30">
        <v>564000000</v>
      </c>
      <c r="I261" s="30">
        <v>563000000</v>
      </c>
      <c r="J261" s="30">
        <v>573000000</v>
      </c>
      <c r="K261" s="30">
        <v>593000000</v>
      </c>
      <c r="L261" s="30">
        <v>626000000</v>
      </c>
      <c r="M261" s="30">
        <v>680000000</v>
      </c>
      <c r="N261" s="30">
        <v>723000000</v>
      </c>
      <c r="O261" s="30">
        <v>763000000</v>
      </c>
      <c r="P261" s="30">
        <v>790000000</v>
      </c>
      <c r="Q261" s="30">
        <v>814000000</v>
      </c>
      <c r="R261" s="30">
        <v>816000000</v>
      </c>
      <c r="S261" s="30">
        <v>806000000</v>
      </c>
      <c r="T261" s="30">
        <v>808000000</v>
      </c>
      <c r="U261" s="30">
        <v>805000000</v>
      </c>
      <c r="V261" s="30">
        <v>804000000</v>
      </c>
      <c r="W261" s="30">
        <v>798000000</v>
      </c>
      <c r="X261" s="30">
        <v>793000000</v>
      </c>
      <c r="Y261" s="30">
        <v>778000000</v>
      </c>
      <c r="Z261" s="30">
        <v>750000000</v>
      </c>
      <c r="AA261" s="30">
        <v>714000000</v>
      </c>
      <c r="AB261" s="30">
        <v>671000000</v>
      </c>
      <c r="AC261" s="31">
        <v>626000000</v>
      </c>
      <c r="AD261" t="str">
        <f t="shared" si="4"/>
        <v>Summer</v>
      </c>
      <c r="AE261" t="str">
        <f>INDEX('Category Mapping'!$B$2:$B$29,MATCH('Source Data'!A261,'Category Mapping'!$A$2:$A$29,0))</f>
        <v>Weekend</v>
      </c>
      <c r="AF261" t="str">
        <f>INDEX('Category Mapping'!$C$2:$C$29,MATCH('Source Data'!A261,'Category Mapping'!$A$2:$A$29,0))</f>
        <v>All Sectors</v>
      </c>
      <c r="AG261" t="str">
        <f>INDEX('Category Mapping'!$D$2:$D$29,MATCH('Source Data'!A261,'Category Mapping'!$A$2:$A$29,0))</f>
        <v>Total</v>
      </c>
    </row>
    <row r="262" spans="1:33" x14ac:dyDescent="0.25">
      <c r="A262" s="16" t="s">
        <v>105</v>
      </c>
      <c r="B262" s="17">
        <v>2019</v>
      </c>
      <c r="C262" s="17">
        <v>19</v>
      </c>
      <c r="D262" s="17" t="s">
        <v>208</v>
      </c>
      <c r="E262" s="17">
        <v>8</v>
      </c>
      <c r="F262" s="28">
        <v>630000000</v>
      </c>
      <c r="G262" s="28">
        <v>602000000</v>
      </c>
      <c r="H262" s="28">
        <v>592000000</v>
      </c>
      <c r="I262" s="28">
        <v>592000000</v>
      </c>
      <c r="J262" s="28">
        <v>603000000</v>
      </c>
      <c r="K262" s="28">
        <v>628000000</v>
      </c>
      <c r="L262" s="28">
        <v>664000000</v>
      </c>
      <c r="M262" s="28">
        <v>722000000</v>
      </c>
      <c r="N262" s="28">
        <v>770000000</v>
      </c>
      <c r="O262" s="28">
        <v>813000000</v>
      </c>
      <c r="P262" s="28">
        <v>844000000</v>
      </c>
      <c r="Q262" s="28">
        <v>872000000</v>
      </c>
      <c r="R262" s="28">
        <v>876000000</v>
      </c>
      <c r="S262" s="28">
        <v>868000000</v>
      </c>
      <c r="T262" s="28">
        <v>870000000</v>
      </c>
      <c r="U262" s="28">
        <v>867000000</v>
      </c>
      <c r="V262" s="28">
        <v>865000000</v>
      </c>
      <c r="W262" s="28">
        <v>859000000</v>
      </c>
      <c r="X262" s="28">
        <v>857000000</v>
      </c>
      <c r="Y262" s="28">
        <v>829000000</v>
      </c>
      <c r="Z262" s="28">
        <v>797000000</v>
      </c>
      <c r="AA262" s="28">
        <v>756000000</v>
      </c>
      <c r="AB262" s="28">
        <v>709000000</v>
      </c>
      <c r="AC262" s="29">
        <v>660000000</v>
      </c>
      <c r="AD262" t="str">
        <f t="shared" si="4"/>
        <v>Summer</v>
      </c>
      <c r="AE262" t="str">
        <f>INDEX('Category Mapping'!$B$2:$B$29,MATCH('Source Data'!A262,'Category Mapping'!$A$2:$A$29,0))</f>
        <v>Weekend</v>
      </c>
      <c r="AF262" t="str">
        <f>INDEX('Category Mapping'!$C$2:$C$29,MATCH('Source Data'!A262,'Category Mapping'!$A$2:$A$29,0))</f>
        <v>All Sectors</v>
      </c>
      <c r="AG262" t="str">
        <f>INDEX('Category Mapping'!$D$2:$D$29,MATCH('Source Data'!A262,'Category Mapping'!$A$2:$A$29,0))</f>
        <v>Total</v>
      </c>
    </row>
    <row r="263" spans="1:33" x14ac:dyDescent="0.25">
      <c r="A263" s="14" t="s">
        <v>105</v>
      </c>
      <c r="B263" s="15">
        <v>2019</v>
      </c>
      <c r="C263" s="15">
        <v>19</v>
      </c>
      <c r="D263" s="15" t="s">
        <v>208</v>
      </c>
      <c r="E263" s="15">
        <v>9</v>
      </c>
      <c r="F263" s="30">
        <v>519000000</v>
      </c>
      <c r="G263" s="30">
        <v>499000000</v>
      </c>
      <c r="H263" s="30">
        <v>492000000</v>
      </c>
      <c r="I263" s="30">
        <v>489000000</v>
      </c>
      <c r="J263" s="30">
        <v>493000000</v>
      </c>
      <c r="K263" s="30">
        <v>507000000</v>
      </c>
      <c r="L263" s="30">
        <v>532000000</v>
      </c>
      <c r="M263" s="30">
        <v>574000000</v>
      </c>
      <c r="N263" s="30">
        <v>610000000</v>
      </c>
      <c r="O263" s="30">
        <v>644000000</v>
      </c>
      <c r="P263" s="30">
        <v>667000000</v>
      </c>
      <c r="Q263" s="30">
        <v>686000000</v>
      </c>
      <c r="R263" s="30">
        <v>683000000</v>
      </c>
      <c r="S263" s="30">
        <v>671000000</v>
      </c>
      <c r="T263" s="30">
        <v>671000000</v>
      </c>
      <c r="U263" s="30">
        <v>669000000</v>
      </c>
      <c r="V263" s="30">
        <v>671000000</v>
      </c>
      <c r="W263" s="30">
        <v>677000000</v>
      </c>
      <c r="X263" s="30">
        <v>677000000</v>
      </c>
      <c r="Y263" s="30">
        <v>658000000</v>
      </c>
      <c r="Z263" s="30">
        <v>636000000</v>
      </c>
      <c r="AA263" s="30">
        <v>606000000</v>
      </c>
      <c r="AB263" s="30">
        <v>571000000</v>
      </c>
      <c r="AC263" s="31">
        <v>536000000</v>
      </c>
      <c r="AD263" t="str">
        <f t="shared" si="4"/>
        <v>Fall</v>
      </c>
      <c r="AE263" t="str">
        <f>INDEX('Category Mapping'!$B$2:$B$29,MATCH('Source Data'!A263,'Category Mapping'!$A$2:$A$29,0))</f>
        <v>Weekend</v>
      </c>
      <c r="AF263" t="str">
        <f>INDEX('Category Mapping'!$C$2:$C$29,MATCH('Source Data'!A263,'Category Mapping'!$A$2:$A$29,0))</f>
        <v>All Sectors</v>
      </c>
      <c r="AG263" t="str">
        <f>INDEX('Category Mapping'!$D$2:$D$29,MATCH('Source Data'!A263,'Category Mapping'!$A$2:$A$29,0))</f>
        <v>Total</v>
      </c>
    </row>
    <row r="264" spans="1:33" x14ac:dyDescent="0.25">
      <c r="A264" s="16" t="s">
        <v>105</v>
      </c>
      <c r="B264" s="17">
        <v>2019</v>
      </c>
      <c r="C264" s="17">
        <v>19</v>
      </c>
      <c r="D264" s="17" t="s">
        <v>208</v>
      </c>
      <c r="E264" s="17">
        <v>10</v>
      </c>
      <c r="F264" s="28">
        <v>495000000</v>
      </c>
      <c r="G264" s="28">
        <v>476000000</v>
      </c>
      <c r="H264" s="28">
        <v>468000000</v>
      </c>
      <c r="I264" s="28">
        <v>466000000</v>
      </c>
      <c r="J264" s="28">
        <v>470000000</v>
      </c>
      <c r="K264" s="28">
        <v>484000000</v>
      </c>
      <c r="L264" s="28">
        <v>515000000</v>
      </c>
      <c r="M264" s="28">
        <v>547000000</v>
      </c>
      <c r="N264" s="28">
        <v>572000000</v>
      </c>
      <c r="O264" s="28">
        <v>596000000</v>
      </c>
      <c r="P264" s="28">
        <v>610000000</v>
      </c>
      <c r="Q264" s="28">
        <v>619000000</v>
      </c>
      <c r="R264" s="28">
        <v>610000000</v>
      </c>
      <c r="S264" s="28">
        <v>594000000</v>
      </c>
      <c r="T264" s="28">
        <v>593000000</v>
      </c>
      <c r="U264" s="28">
        <v>592000000</v>
      </c>
      <c r="V264" s="28">
        <v>600000000</v>
      </c>
      <c r="W264" s="28">
        <v>621000000</v>
      </c>
      <c r="X264" s="28">
        <v>617000000</v>
      </c>
      <c r="Y264" s="28">
        <v>607000000</v>
      </c>
      <c r="Z264" s="28">
        <v>595000000</v>
      </c>
      <c r="AA264" s="28">
        <v>573000000</v>
      </c>
      <c r="AB264" s="28">
        <v>543000000</v>
      </c>
      <c r="AC264" s="29">
        <v>512000000</v>
      </c>
      <c r="AD264" t="str">
        <f t="shared" si="4"/>
        <v>Fall</v>
      </c>
      <c r="AE264" t="str">
        <f>INDEX('Category Mapping'!$B$2:$B$29,MATCH('Source Data'!A264,'Category Mapping'!$A$2:$A$29,0))</f>
        <v>Weekend</v>
      </c>
      <c r="AF264" t="str">
        <f>INDEX('Category Mapping'!$C$2:$C$29,MATCH('Source Data'!A264,'Category Mapping'!$A$2:$A$29,0))</f>
        <v>All Sectors</v>
      </c>
      <c r="AG264" t="str">
        <f>INDEX('Category Mapping'!$D$2:$D$29,MATCH('Source Data'!A264,'Category Mapping'!$A$2:$A$29,0))</f>
        <v>Total</v>
      </c>
    </row>
    <row r="265" spans="1:33" x14ac:dyDescent="0.25">
      <c r="A265" s="14" t="s">
        <v>105</v>
      </c>
      <c r="B265" s="15">
        <v>2019</v>
      </c>
      <c r="C265" s="15">
        <v>19</v>
      </c>
      <c r="D265" s="15" t="s">
        <v>208</v>
      </c>
      <c r="E265" s="15">
        <v>11</v>
      </c>
      <c r="F265" s="30">
        <v>508000000</v>
      </c>
      <c r="G265" s="30">
        <v>488000000</v>
      </c>
      <c r="H265" s="30">
        <v>480000000</v>
      </c>
      <c r="I265" s="30">
        <v>478000000</v>
      </c>
      <c r="J265" s="30">
        <v>482000000</v>
      </c>
      <c r="K265" s="30">
        <v>496000000</v>
      </c>
      <c r="L265" s="30">
        <v>527000000</v>
      </c>
      <c r="M265" s="30">
        <v>571000000</v>
      </c>
      <c r="N265" s="30">
        <v>593000000</v>
      </c>
      <c r="O265" s="30">
        <v>616000000</v>
      </c>
      <c r="P265" s="30">
        <v>628000000</v>
      </c>
      <c r="Q265" s="30">
        <v>635000000</v>
      </c>
      <c r="R265" s="30">
        <v>624000000</v>
      </c>
      <c r="S265" s="30">
        <v>607000000</v>
      </c>
      <c r="T265" s="30">
        <v>606000000</v>
      </c>
      <c r="U265" s="30">
        <v>605000000</v>
      </c>
      <c r="V265" s="30">
        <v>621000000</v>
      </c>
      <c r="W265" s="30">
        <v>638000000</v>
      </c>
      <c r="X265" s="30">
        <v>635000000</v>
      </c>
      <c r="Y265" s="30">
        <v>624000000</v>
      </c>
      <c r="Z265" s="30">
        <v>612000000</v>
      </c>
      <c r="AA265" s="30">
        <v>590000000</v>
      </c>
      <c r="AB265" s="30">
        <v>559000000</v>
      </c>
      <c r="AC265" s="31">
        <v>526000000</v>
      </c>
      <c r="AD265" t="str">
        <f t="shared" si="4"/>
        <v>Winter</v>
      </c>
      <c r="AE265" t="str">
        <f>INDEX('Category Mapping'!$B$2:$B$29,MATCH('Source Data'!A265,'Category Mapping'!$A$2:$A$29,0))</f>
        <v>Weekend</v>
      </c>
      <c r="AF265" t="str">
        <f>INDEX('Category Mapping'!$C$2:$C$29,MATCH('Source Data'!A265,'Category Mapping'!$A$2:$A$29,0))</f>
        <v>All Sectors</v>
      </c>
      <c r="AG265" t="str">
        <f>INDEX('Category Mapping'!$D$2:$D$29,MATCH('Source Data'!A265,'Category Mapping'!$A$2:$A$29,0))</f>
        <v>Total</v>
      </c>
    </row>
    <row r="266" spans="1:33" x14ac:dyDescent="0.25">
      <c r="A266" s="16" t="s">
        <v>105</v>
      </c>
      <c r="B266" s="17">
        <v>2019</v>
      </c>
      <c r="C266" s="17">
        <v>19</v>
      </c>
      <c r="D266" s="17" t="s">
        <v>208</v>
      </c>
      <c r="E266" s="17">
        <v>12</v>
      </c>
      <c r="F266" s="28">
        <v>496000000</v>
      </c>
      <c r="G266" s="28">
        <v>476000000</v>
      </c>
      <c r="H266" s="28">
        <v>467000000</v>
      </c>
      <c r="I266" s="28">
        <v>465000000</v>
      </c>
      <c r="J266" s="28">
        <v>469000000</v>
      </c>
      <c r="K266" s="28">
        <v>483000000</v>
      </c>
      <c r="L266" s="28">
        <v>513000000</v>
      </c>
      <c r="M266" s="28">
        <v>573000000</v>
      </c>
      <c r="N266" s="28">
        <v>594000000</v>
      </c>
      <c r="O266" s="28">
        <v>614000000</v>
      </c>
      <c r="P266" s="28">
        <v>624000000</v>
      </c>
      <c r="Q266" s="28">
        <v>629000000</v>
      </c>
      <c r="R266" s="28">
        <v>618000000</v>
      </c>
      <c r="S266" s="28">
        <v>599000000</v>
      </c>
      <c r="T266" s="28">
        <v>597000000</v>
      </c>
      <c r="U266" s="28">
        <v>596000000</v>
      </c>
      <c r="V266" s="28">
        <v>624000000</v>
      </c>
      <c r="W266" s="28">
        <v>630000000</v>
      </c>
      <c r="X266" s="28">
        <v>630000000</v>
      </c>
      <c r="Y266" s="28">
        <v>613000000</v>
      </c>
      <c r="Z266" s="28">
        <v>602000000</v>
      </c>
      <c r="AA266" s="28">
        <v>580000000</v>
      </c>
      <c r="AB266" s="28">
        <v>550000000</v>
      </c>
      <c r="AC266" s="29">
        <v>515000000</v>
      </c>
      <c r="AD266" t="str">
        <f t="shared" si="4"/>
        <v>Winter</v>
      </c>
      <c r="AE266" t="str">
        <f>INDEX('Category Mapping'!$B$2:$B$29,MATCH('Source Data'!A266,'Category Mapping'!$A$2:$A$29,0))</f>
        <v>Weekend</v>
      </c>
      <c r="AF266" t="str">
        <f>INDEX('Category Mapping'!$C$2:$C$29,MATCH('Source Data'!A266,'Category Mapping'!$A$2:$A$29,0))</f>
        <v>All Sectors</v>
      </c>
      <c r="AG266" t="str">
        <f>INDEX('Category Mapping'!$D$2:$D$29,MATCH('Source Data'!A266,'Category Mapping'!$A$2:$A$29,0))</f>
        <v>Total</v>
      </c>
    </row>
    <row r="267" spans="1:33" x14ac:dyDescent="0.25">
      <c r="A267" s="14" t="s">
        <v>106</v>
      </c>
      <c r="B267" s="15">
        <v>2019</v>
      </c>
      <c r="C267" s="15">
        <v>19</v>
      </c>
      <c r="D267" s="15" t="s">
        <v>208</v>
      </c>
      <c r="E267" s="15">
        <v>1</v>
      </c>
      <c r="F267" s="30">
        <v>5047694</v>
      </c>
      <c r="G267" s="30">
        <v>4979874</v>
      </c>
      <c r="H267" s="30">
        <v>4962456</v>
      </c>
      <c r="I267" s="30">
        <v>4978492</v>
      </c>
      <c r="J267" s="30">
        <v>4961019</v>
      </c>
      <c r="K267" s="30">
        <v>5094226</v>
      </c>
      <c r="L267" s="30">
        <v>7632037</v>
      </c>
      <c r="M267" s="30">
        <v>16000000</v>
      </c>
      <c r="N267" s="30">
        <v>17400000</v>
      </c>
      <c r="O267" s="30">
        <v>15400000</v>
      </c>
      <c r="P267" s="30">
        <v>12400000</v>
      </c>
      <c r="Q267" s="30">
        <v>12500000</v>
      </c>
      <c r="R267" s="30">
        <v>12700000</v>
      </c>
      <c r="S267" s="30">
        <v>12600000</v>
      </c>
      <c r="T267" s="30">
        <v>12500000</v>
      </c>
      <c r="U267" s="30">
        <v>14800000</v>
      </c>
      <c r="V267" s="30">
        <v>17100000</v>
      </c>
      <c r="W267" s="30">
        <v>18000000</v>
      </c>
      <c r="X267" s="30">
        <v>16500000</v>
      </c>
      <c r="Y267" s="30">
        <v>13500000</v>
      </c>
      <c r="Z267" s="30">
        <v>12400000</v>
      </c>
      <c r="AA267" s="30">
        <v>11700000</v>
      </c>
      <c r="AB267" s="30">
        <v>11100000</v>
      </c>
      <c r="AC267" s="31">
        <v>7452133</v>
      </c>
      <c r="AD267" t="str">
        <f t="shared" si="4"/>
        <v>Winter</v>
      </c>
      <c r="AE267" t="str">
        <f>INDEX('Category Mapping'!$B$2:$B$29,MATCH('Source Data'!A267,'Category Mapping'!$A$2:$A$29,0))</f>
        <v>Weekday</v>
      </c>
      <c r="AF267" t="str">
        <f>INDEX('Category Mapping'!$C$2:$C$29,MATCH('Source Data'!A267,'Category Mapping'!$A$2:$A$29,0))</f>
        <v>Transportation</v>
      </c>
      <c r="AG267" t="str">
        <f>INDEX('Category Mapping'!$D$2:$D$29,MATCH('Source Data'!A267,'Category Mapping'!$A$2:$A$29,0))</f>
        <v>Transportation</v>
      </c>
    </row>
    <row r="268" spans="1:33" x14ac:dyDescent="0.25">
      <c r="A268" s="16" t="s">
        <v>106</v>
      </c>
      <c r="B268" s="17">
        <v>2019</v>
      </c>
      <c r="C268" s="17">
        <v>19</v>
      </c>
      <c r="D268" s="17" t="s">
        <v>208</v>
      </c>
      <c r="E268" s="17">
        <v>2</v>
      </c>
      <c r="F268" s="28">
        <v>4913547</v>
      </c>
      <c r="G268" s="28">
        <v>4845727</v>
      </c>
      <c r="H268" s="28">
        <v>4828309</v>
      </c>
      <c r="I268" s="28">
        <v>4844345</v>
      </c>
      <c r="J268" s="28">
        <v>4826872</v>
      </c>
      <c r="K268" s="28">
        <v>4960079</v>
      </c>
      <c r="L268" s="28">
        <v>7438962</v>
      </c>
      <c r="M268" s="28">
        <v>15600000</v>
      </c>
      <c r="N268" s="28">
        <v>17000000</v>
      </c>
      <c r="O268" s="28">
        <v>15100000</v>
      </c>
      <c r="P268" s="28">
        <v>12100000</v>
      </c>
      <c r="Q268" s="28">
        <v>12200000</v>
      </c>
      <c r="R268" s="28">
        <v>12400000</v>
      </c>
      <c r="S268" s="28">
        <v>12300000</v>
      </c>
      <c r="T268" s="28">
        <v>12200000</v>
      </c>
      <c r="U268" s="28">
        <v>14500000</v>
      </c>
      <c r="V268" s="28">
        <v>16700000</v>
      </c>
      <c r="W268" s="28">
        <v>17600000</v>
      </c>
      <c r="X268" s="28">
        <v>16200000</v>
      </c>
      <c r="Y268" s="28">
        <v>13200000</v>
      </c>
      <c r="Z268" s="28">
        <v>12100000</v>
      </c>
      <c r="AA268" s="28">
        <v>11400000</v>
      </c>
      <c r="AB268" s="28">
        <v>10800000</v>
      </c>
      <c r="AC268" s="29">
        <v>7259058</v>
      </c>
      <c r="AD268" t="str">
        <f t="shared" si="4"/>
        <v>Winter</v>
      </c>
      <c r="AE268" t="str">
        <f>INDEX('Category Mapping'!$B$2:$B$29,MATCH('Source Data'!A268,'Category Mapping'!$A$2:$A$29,0))</f>
        <v>Weekday</v>
      </c>
      <c r="AF268" t="str">
        <f>INDEX('Category Mapping'!$C$2:$C$29,MATCH('Source Data'!A268,'Category Mapping'!$A$2:$A$29,0))</f>
        <v>Transportation</v>
      </c>
      <c r="AG268" t="str">
        <f>INDEX('Category Mapping'!$D$2:$D$29,MATCH('Source Data'!A268,'Category Mapping'!$A$2:$A$29,0))</f>
        <v>Transportation</v>
      </c>
    </row>
    <row r="269" spans="1:33" x14ac:dyDescent="0.25">
      <c r="A269" s="14" t="s">
        <v>106</v>
      </c>
      <c r="B269" s="15">
        <v>2019</v>
      </c>
      <c r="C269" s="15">
        <v>19</v>
      </c>
      <c r="D269" s="15" t="s">
        <v>208</v>
      </c>
      <c r="E269" s="15">
        <v>3</v>
      </c>
      <c r="F269" s="30">
        <v>4779367</v>
      </c>
      <c r="G269" s="30">
        <v>4711547</v>
      </c>
      <c r="H269" s="30">
        <v>4694129</v>
      </c>
      <c r="I269" s="30">
        <v>4710164</v>
      </c>
      <c r="J269" s="30">
        <v>4692691</v>
      </c>
      <c r="K269" s="30">
        <v>4825898</v>
      </c>
      <c r="L269" s="30">
        <v>7245839</v>
      </c>
      <c r="M269" s="30">
        <v>15300000</v>
      </c>
      <c r="N269" s="30">
        <v>16600000</v>
      </c>
      <c r="O269" s="30">
        <v>14700000</v>
      </c>
      <c r="P269" s="30">
        <v>11900000</v>
      </c>
      <c r="Q269" s="30">
        <v>11900000</v>
      </c>
      <c r="R269" s="30">
        <v>12100000</v>
      </c>
      <c r="S269" s="30">
        <v>12100000</v>
      </c>
      <c r="T269" s="30">
        <v>11900000</v>
      </c>
      <c r="U269" s="30">
        <v>14100000</v>
      </c>
      <c r="V269" s="30">
        <v>16300000</v>
      </c>
      <c r="W269" s="30">
        <v>17200000</v>
      </c>
      <c r="X269" s="30">
        <v>15900000</v>
      </c>
      <c r="Y269" s="30">
        <v>12900000</v>
      </c>
      <c r="Z269" s="30">
        <v>11900000</v>
      </c>
      <c r="AA269" s="30">
        <v>11100000</v>
      </c>
      <c r="AB269" s="30">
        <v>10500000</v>
      </c>
      <c r="AC269" s="31">
        <v>7065935</v>
      </c>
      <c r="AD269" t="str">
        <f t="shared" si="4"/>
        <v>Spring</v>
      </c>
      <c r="AE269" t="str">
        <f>INDEX('Category Mapping'!$B$2:$B$29,MATCH('Source Data'!A269,'Category Mapping'!$A$2:$A$29,0))</f>
        <v>Weekday</v>
      </c>
      <c r="AF269" t="str">
        <f>INDEX('Category Mapping'!$C$2:$C$29,MATCH('Source Data'!A269,'Category Mapping'!$A$2:$A$29,0))</f>
        <v>Transportation</v>
      </c>
      <c r="AG269" t="str">
        <f>INDEX('Category Mapping'!$D$2:$D$29,MATCH('Source Data'!A269,'Category Mapping'!$A$2:$A$29,0))</f>
        <v>Transportation</v>
      </c>
    </row>
    <row r="270" spans="1:33" x14ac:dyDescent="0.25">
      <c r="A270" s="16" t="s">
        <v>106</v>
      </c>
      <c r="B270" s="17">
        <v>2019</v>
      </c>
      <c r="C270" s="17">
        <v>19</v>
      </c>
      <c r="D270" s="17" t="s">
        <v>208</v>
      </c>
      <c r="E270" s="17">
        <v>4</v>
      </c>
      <c r="F270" s="28">
        <v>4642425</v>
      </c>
      <c r="G270" s="28">
        <v>4574605</v>
      </c>
      <c r="H270" s="28">
        <v>4557187</v>
      </c>
      <c r="I270" s="28">
        <v>4573223</v>
      </c>
      <c r="J270" s="28">
        <v>4555750</v>
      </c>
      <c r="K270" s="28">
        <v>4688957</v>
      </c>
      <c r="L270" s="28">
        <v>7048742</v>
      </c>
      <c r="M270" s="28">
        <v>14900000</v>
      </c>
      <c r="N270" s="28">
        <v>16200000</v>
      </c>
      <c r="O270" s="28">
        <v>14400000</v>
      </c>
      <c r="P270" s="28">
        <v>11600000</v>
      </c>
      <c r="Q270" s="28">
        <v>11600000</v>
      </c>
      <c r="R270" s="28">
        <v>11800000</v>
      </c>
      <c r="S270" s="28">
        <v>11800000</v>
      </c>
      <c r="T270" s="28">
        <v>11600000</v>
      </c>
      <c r="U270" s="28">
        <v>13800000</v>
      </c>
      <c r="V270" s="28">
        <v>15900000</v>
      </c>
      <c r="W270" s="28">
        <v>16800000</v>
      </c>
      <c r="X270" s="28">
        <v>15500000</v>
      </c>
      <c r="Y270" s="28">
        <v>12700000</v>
      </c>
      <c r="Z270" s="28">
        <v>11600000</v>
      </c>
      <c r="AA270" s="28">
        <v>10800000</v>
      </c>
      <c r="AB270" s="28">
        <v>10200000</v>
      </c>
      <c r="AC270" s="29">
        <v>6868838</v>
      </c>
      <c r="AD270" t="str">
        <f t="shared" si="4"/>
        <v>Spring</v>
      </c>
      <c r="AE270" t="str">
        <f>INDEX('Category Mapping'!$B$2:$B$29,MATCH('Source Data'!A270,'Category Mapping'!$A$2:$A$29,0))</f>
        <v>Weekday</v>
      </c>
      <c r="AF270" t="str">
        <f>INDEX('Category Mapping'!$C$2:$C$29,MATCH('Source Data'!A270,'Category Mapping'!$A$2:$A$29,0))</f>
        <v>Transportation</v>
      </c>
      <c r="AG270" t="str">
        <f>INDEX('Category Mapping'!$D$2:$D$29,MATCH('Source Data'!A270,'Category Mapping'!$A$2:$A$29,0))</f>
        <v>Transportation</v>
      </c>
    </row>
    <row r="271" spans="1:33" x14ac:dyDescent="0.25">
      <c r="A271" s="14" t="s">
        <v>106</v>
      </c>
      <c r="B271" s="15">
        <v>2019</v>
      </c>
      <c r="C271" s="15">
        <v>19</v>
      </c>
      <c r="D271" s="15" t="s">
        <v>208</v>
      </c>
      <c r="E271" s="15">
        <v>5</v>
      </c>
      <c r="F271" s="30">
        <v>4497066</v>
      </c>
      <c r="G271" s="30">
        <v>4429246</v>
      </c>
      <c r="H271" s="30">
        <v>4411828</v>
      </c>
      <c r="I271" s="30">
        <v>4427863</v>
      </c>
      <c r="J271" s="30">
        <v>4410390</v>
      </c>
      <c r="K271" s="30">
        <v>4543597</v>
      </c>
      <c r="L271" s="30">
        <v>6839529</v>
      </c>
      <c r="M271" s="30">
        <v>14400000</v>
      </c>
      <c r="N271" s="30">
        <v>15800000</v>
      </c>
      <c r="O271" s="30">
        <v>14000000</v>
      </c>
      <c r="P271" s="30">
        <v>11300000</v>
      </c>
      <c r="Q271" s="30">
        <v>11300000</v>
      </c>
      <c r="R271" s="30">
        <v>11500000</v>
      </c>
      <c r="S271" s="30">
        <v>11500000</v>
      </c>
      <c r="T271" s="30">
        <v>11300000</v>
      </c>
      <c r="U271" s="30">
        <v>13400000</v>
      </c>
      <c r="V271" s="30">
        <v>15500000</v>
      </c>
      <c r="W271" s="30">
        <v>16400000</v>
      </c>
      <c r="X271" s="30">
        <v>15100000</v>
      </c>
      <c r="Y271" s="30">
        <v>12300000</v>
      </c>
      <c r="Z271" s="30">
        <v>11200000</v>
      </c>
      <c r="AA271" s="30">
        <v>10500000</v>
      </c>
      <c r="AB271" s="30">
        <v>9890570</v>
      </c>
      <c r="AC271" s="31">
        <v>6659625</v>
      </c>
      <c r="AD271" t="str">
        <f t="shared" si="4"/>
        <v>Spring</v>
      </c>
      <c r="AE271" t="str">
        <f>INDEX('Category Mapping'!$B$2:$B$29,MATCH('Source Data'!A271,'Category Mapping'!$A$2:$A$29,0))</f>
        <v>Weekday</v>
      </c>
      <c r="AF271" t="str">
        <f>INDEX('Category Mapping'!$C$2:$C$29,MATCH('Source Data'!A271,'Category Mapping'!$A$2:$A$29,0))</f>
        <v>Transportation</v>
      </c>
      <c r="AG271" t="str">
        <f>INDEX('Category Mapping'!$D$2:$D$29,MATCH('Source Data'!A271,'Category Mapping'!$A$2:$A$29,0))</f>
        <v>Transportation</v>
      </c>
    </row>
    <row r="272" spans="1:33" x14ac:dyDescent="0.25">
      <c r="A272" s="16" t="s">
        <v>106</v>
      </c>
      <c r="B272" s="17">
        <v>2019</v>
      </c>
      <c r="C272" s="17">
        <v>19</v>
      </c>
      <c r="D272" s="17" t="s">
        <v>208</v>
      </c>
      <c r="E272" s="17">
        <v>6</v>
      </c>
      <c r="F272" s="28">
        <v>4351740</v>
      </c>
      <c r="G272" s="28">
        <v>4283920</v>
      </c>
      <c r="H272" s="28">
        <v>4266502</v>
      </c>
      <c r="I272" s="28">
        <v>4282538</v>
      </c>
      <c r="J272" s="28">
        <v>4265065</v>
      </c>
      <c r="K272" s="28">
        <v>4398272</v>
      </c>
      <c r="L272" s="28">
        <v>6630364</v>
      </c>
      <c r="M272" s="28">
        <v>14000000</v>
      </c>
      <c r="N272" s="28">
        <v>15400000</v>
      </c>
      <c r="O272" s="28">
        <v>13600000</v>
      </c>
      <c r="P272" s="28">
        <v>10900000</v>
      </c>
      <c r="Q272" s="28">
        <v>11000000</v>
      </c>
      <c r="R272" s="28">
        <v>11200000</v>
      </c>
      <c r="S272" s="28">
        <v>11100000</v>
      </c>
      <c r="T272" s="28">
        <v>11000000</v>
      </c>
      <c r="U272" s="28">
        <v>13000000</v>
      </c>
      <c r="V272" s="28">
        <v>15100000</v>
      </c>
      <c r="W272" s="28">
        <v>16000000</v>
      </c>
      <c r="X272" s="28">
        <v>14800000</v>
      </c>
      <c r="Y272" s="28">
        <v>12000000</v>
      </c>
      <c r="Z272" s="28">
        <v>10900000</v>
      </c>
      <c r="AA272" s="28">
        <v>10200000</v>
      </c>
      <c r="AB272" s="28">
        <v>9578769</v>
      </c>
      <c r="AC272" s="29">
        <v>6450460</v>
      </c>
      <c r="AD272" t="str">
        <f t="shared" si="4"/>
        <v>Summer</v>
      </c>
      <c r="AE272" t="str">
        <f>INDEX('Category Mapping'!$B$2:$B$29,MATCH('Source Data'!A272,'Category Mapping'!$A$2:$A$29,0))</f>
        <v>Weekday</v>
      </c>
      <c r="AF272" t="str">
        <f>INDEX('Category Mapping'!$C$2:$C$29,MATCH('Source Data'!A272,'Category Mapping'!$A$2:$A$29,0))</f>
        <v>Transportation</v>
      </c>
      <c r="AG272" t="str">
        <f>INDEX('Category Mapping'!$D$2:$D$29,MATCH('Source Data'!A272,'Category Mapping'!$A$2:$A$29,0))</f>
        <v>Transportation</v>
      </c>
    </row>
    <row r="273" spans="1:33" x14ac:dyDescent="0.25">
      <c r="A273" s="14" t="s">
        <v>106</v>
      </c>
      <c r="B273" s="15">
        <v>2019</v>
      </c>
      <c r="C273" s="15">
        <v>19</v>
      </c>
      <c r="D273" s="15" t="s">
        <v>208</v>
      </c>
      <c r="E273" s="15">
        <v>7</v>
      </c>
      <c r="F273" s="30">
        <v>4242712</v>
      </c>
      <c r="G273" s="30">
        <v>4174892</v>
      </c>
      <c r="H273" s="30">
        <v>4157474</v>
      </c>
      <c r="I273" s="30">
        <v>4173510</v>
      </c>
      <c r="J273" s="30">
        <v>4156036</v>
      </c>
      <c r="K273" s="30">
        <v>4289243</v>
      </c>
      <c r="L273" s="30">
        <v>6473443</v>
      </c>
      <c r="M273" s="30">
        <v>13700000</v>
      </c>
      <c r="N273" s="30">
        <v>15100000</v>
      </c>
      <c r="O273" s="30">
        <v>13400000</v>
      </c>
      <c r="P273" s="30">
        <v>10700000</v>
      </c>
      <c r="Q273" s="30">
        <v>10700000</v>
      </c>
      <c r="R273" s="30">
        <v>11000000</v>
      </c>
      <c r="S273" s="30">
        <v>10900000</v>
      </c>
      <c r="T273" s="30">
        <v>10700000</v>
      </c>
      <c r="U273" s="30">
        <v>12700000</v>
      </c>
      <c r="V273" s="30">
        <v>14800000</v>
      </c>
      <c r="W273" s="30">
        <v>15700000</v>
      </c>
      <c r="X273" s="30">
        <v>14500000</v>
      </c>
      <c r="Y273" s="30">
        <v>11800000</v>
      </c>
      <c r="Z273" s="30">
        <v>10700000</v>
      </c>
      <c r="AA273" s="30">
        <v>9965456</v>
      </c>
      <c r="AB273" s="30">
        <v>9344846</v>
      </c>
      <c r="AC273" s="31">
        <v>6293539</v>
      </c>
      <c r="AD273" t="str">
        <f t="shared" si="4"/>
        <v>Summer</v>
      </c>
      <c r="AE273" t="str">
        <f>INDEX('Category Mapping'!$B$2:$B$29,MATCH('Source Data'!A273,'Category Mapping'!$A$2:$A$29,0))</f>
        <v>Weekday</v>
      </c>
      <c r="AF273" t="str">
        <f>INDEX('Category Mapping'!$C$2:$C$29,MATCH('Source Data'!A273,'Category Mapping'!$A$2:$A$29,0))</f>
        <v>Transportation</v>
      </c>
      <c r="AG273" t="str">
        <f>INDEX('Category Mapping'!$D$2:$D$29,MATCH('Source Data'!A273,'Category Mapping'!$A$2:$A$29,0))</f>
        <v>Transportation</v>
      </c>
    </row>
    <row r="274" spans="1:33" x14ac:dyDescent="0.25">
      <c r="A274" s="16" t="s">
        <v>106</v>
      </c>
      <c r="B274" s="17">
        <v>2019</v>
      </c>
      <c r="C274" s="17">
        <v>19</v>
      </c>
      <c r="D274" s="17" t="s">
        <v>208</v>
      </c>
      <c r="E274" s="17">
        <v>8</v>
      </c>
      <c r="F274" s="28">
        <v>4393661</v>
      </c>
      <c r="G274" s="28">
        <v>4325841</v>
      </c>
      <c r="H274" s="28">
        <v>4308423</v>
      </c>
      <c r="I274" s="28">
        <v>4324459</v>
      </c>
      <c r="J274" s="28">
        <v>4306986</v>
      </c>
      <c r="K274" s="28">
        <v>4440193</v>
      </c>
      <c r="L274" s="28">
        <v>6690700</v>
      </c>
      <c r="M274" s="28">
        <v>14100000</v>
      </c>
      <c r="N274" s="28">
        <v>15500000</v>
      </c>
      <c r="O274" s="28">
        <v>13700000</v>
      </c>
      <c r="P274" s="28">
        <v>11000000</v>
      </c>
      <c r="Q274" s="28">
        <v>11100000</v>
      </c>
      <c r="R274" s="28">
        <v>11300000</v>
      </c>
      <c r="S274" s="28">
        <v>11200000</v>
      </c>
      <c r="T274" s="28">
        <v>11100000</v>
      </c>
      <c r="U274" s="28">
        <v>13100000</v>
      </c>
      <c r="V274" s="28">
        <v>15200000</v>
      </c>
      <c r="W274" s="28">
        <v>16100000</v>
      </c>
      <c r="X274" s="28">
        <v>14900000</v>
      </c>
      <c r="Y274" s="28">
        <v>12100000</v>
      </c>
      <c r="Z274" s="28">
        <v>11000000</v>
      </c>
      <c r="AA274" s="28">
        <v>10300000</v>
      </c>
      <c r="AB274" s="28">
        <v>9668711</v>
      </c>
      <c r="AC274" s="29">
        <v>6510796</v>
      </c>
      <c r="AD274" t="str">
        <f t="shared" si="4"/>
        <v>Summer</v>
      </c>
      <c r="AE274" t="str">
        <f>INDEX('Category Mapping'!$B$2:$B$29,MATCH('Source Data'!A274,'Category Mapping'!$A$2:$A$29,0))</f>
        <v>Weekday</v>
      </c>
      <c r="AF274" t="str">
        <f>INDEX('Category Mapping'!$C$2:$C$29,MATCH('Source Data'!A274,'Category Mapping'!$A$2:$A$29,0))</f>
        <v>Transportation</v>
      </c>
      <c r="AG274" t="str">
        <f>INDEX('Category Mapping'!$D$2:$D$29,MATCH('Source Data'!A274,'Category Mapping'!$A$2:$A$29,0))</f>
        <v>Transportation</v>
      </c>
    </row>
    <row r="275" spans="1:33" x14ac:dyDescent="0.25">
      <c r="A275" s="14" t="s">
        <v>106</v>
      </c>
      <c r="B275" s="15">
        <v>2019</v>
      </c>
      <c r="C275" s="15">
        <v>19</v>
      </c>
      <c r="D275" s="15" t="s">
        <v>208</v>
      </c>
      <c r="E275" s="15">
        <v>9</v>
      </c>
      <c r="F275" s="30">
        <v>4594915</v>
      </c>
      <c r="G275" s="30">
        <v>4527095</v>
      </c>
      <c r="H275" s="30">
        <v>4509677</v>
      </c>
      <c r="I275" s="30">
        <v>4525713</v>
      </c>
      <c r="J275" s="30">
        <v>4508240</v>
      </c>
      <c r="K275" s="30">
        <v>4641447</v>
      </c>
      <c r="L275" s="30">
        <v>6980362</v>
      </c>
      <c r="M275" s="30">
        <v>14700000</v>
      </c>
      <c r="N275" s="30">
        <v>16100000</v>
      </c>
      <c r="O275" s="30">
        <v>14300000</v>
      </c>
      <c r="P275" s="30">
        <v>11500000</v>
      </c>
      <c r="Q275" s="30">
        <v>11500000</v>
      </c>
      <c r="R275" s="30">
        <v>11700000</v>
      </c>
      <c r="S275" s="30">
        <v>11700000</v>
      </c>
      <c r="T275" s="30">
        <v>11500000</v>
      </c>
      <c r="U275" s="30">
        <v>13700000</v>
      </c>
      <c r="V275" s="30">
        <v>15800000</v>
      </c>
      <c r="W275" s="30">
        <v>16700000</v>
      </c>
      <c r="X275" s="30">
        <v>15400000</v>
      </c>
      <c r="Y275" s="30">
        <v>12500000</v>
      </c>
      <c r="Z275" s="30">
        <v>11500000</v>
      </c>
      <c r="AA275" s="30">
        <v>10700000</v>
      </c>
      <c r="AB275" s="30">
        <v>10100000</v>
      </c>
      <c r="AC275" s="31">
        <v>6800458</v>
      </c>
      <c r="AD275" t="str">
        <f t="shared" si="4"/>
        <v>Fall</v>
      </c>
      <c r="AE275" t="str">
        <f>INDEX('Category Mapping'!$B$2:$B$29,MATCH('Source Data'!A275,'Category Mapping'!$A$2:$A$29,0))</f>
        <v>Weekday</v>
      </c>
      <c r="AF275" t="str">
        <f>INDEX('Category Mapping'!$C$2:$C$29,MATCH('Source Data'!A275,'Category Mapping'!$A$2:$A$29,0))</f>
        <v>Transportation</v>
      </c>
      <c r="AG275" t="str">
        <f>INDEX('Category Mapping'!$D$2:$D$29,MATCH('Source Data'!A275,'Category Mapping'!$A$2:$A$29,0))</f>
        <v>Transportation</v>
      </c>
    </row>
    <row r="276" spans="1:33" x14ac:dyDescent="0.25">
      <c r="A276" s="16" t="s">
        <v>106</v>
      </c>
      <c r="B276" s="17">
        <v>2019</v>
      </c>
      <c r="C276" s="17">
        <v>19</v>
      </c>
      <c r="D276" s="17" t="s">
        <v>208</v>
      </c>
      <c r="E276" s="17">
        <v>10</v>
      </c>
      <c r="F276" s="28">
        <v>4846474</v>
      </c>
      <c r="G276" s="28">
        <v>4778654</v>
      </c>
      <c r="H276" s="28">
        <v>4761236</v>
      </c>
      <c r="I276" s="28">
        <v>4777272</v>
      </c>
      <c r="J276" s="28">
        <v>4759799</v>
      </c>
      <c r="K276" s="28">
        <v>4893006</v>
      </c>
      <c r="L276" s="28">
        <v>7342425</v>
      </c>
      <c r="M276" s="28">
        <v>15400000</v>
      </c>
      <c r="N276" s="28">
        <v>16800000</v>
      </c>
      <c r="O276" s="28">
        <v>14900000</v>
      </c>
      <c r="P276" s="28">
        <v>12000000</v>
      </c>
      <c r="Q276" s="28">
        <v>12000000</v>
      </c>
      <c r="R276" s="28">
        <v>12300000</v>
      </c>
      <c r="S276" s="28">
        <v>12200000</v>
      </c>
      <c r="T276" s="28">
        <v>12000000</v>
      </c>
      <c r="U276" s="28">
        <v>14300000</v>
      </c>
      <c r="V276" s="28">
        <v>16500000</v>
      </c>
      <c r="W276" s="28">
        <v>17400000</v>
      </c>
      <c r="X276" s="28">
        <v>16000000</v>
      </c>
      <c r="Y276" s="28">
        <v>13100000</v>
      </c>
      <c r="Z276" s="28">
        <v>12000000</v>
      </c>
      <c r="AA276" s="28">
        <v>11300000</v>
      </c>
      <c r="AB276" s="28">
        <v>10600000</v>
      </c>
      <c r="AC276" s="29">
        <v>7162521</v>
      </c>
      <c r="AD276" t="str">
        <f t="shared" si="4"/>
        <v>Fall</v>
      </c>
      <c r="AE276" t="str">
        <f>INDEX('Category Mapping'!$B$2:$B$29,MATCH('Source Data'!A276,'Category Mapping'!$A$2:$A$29,0))</f>
        <v>Weekday</v>
      </c>
      <c r="AF276" t="str">
        <f>INDEX('Category Mapping'!$C$2:$C$29,MATCH('Source Data'!A276,'Category Mapping'!$A$2:$A$29,0))</f>
        <v>Transportation</v>
      </c>
      <c r="AG276" t="str">
        <f>INDEX('Category Mapping'!$D$2:$D$29,MATCH('Source Data'!A276,'Category Mapping'!$A$2:$A$29,0))</f>
        <v>Transportation</v>
      </c>
    </row>
    <row r="277" spans="1:33" x14ac:dyDescent="0.25">
      <c r="A277" s="14" t="s">
        <v>106</v>
      </c>
      <c r="B277" s="15">
        <v>2019</v>
      </c>
      <c r="C277" s="15">
        <v>19</v>
      </c>
      <c r="D277" s="15" t="s">
        <v>208</v>
      </c>
      <c r="E277" s="15">
        <v>11</v>
      </c>
      <c r="F277" s="30">
        <v>4905163</v>
      </c>
      <c r="G277" s="30">
        <v>4837343</v>
      </c>
      <c r="H277" s="30">
        <v>4819925</v>
      </c>
      <c r="I277" s="30">
        <v>4835961</v>
      </c>
      <c r="J277" s="30">
        <v>4818488</v>
      </c>
      <c r="K277" s="30">
        <v>4951695</v>
      </c>
      <c r="L277" s="30">
        <v>7426895</v>
      </c>
      <c r="M277" s="30">
        <v>15600000</v>
      </c>
      <c r="N277" s="30">
        <v>17000000</v>
      </c>
      <c r="O277" s="30">
        <v>15100000</v>
      </c>
      <c r="P277" s="30">
        <v>12100000</v>
      </c>
      <c r="Q277" s="30">
        <v>12200000</v>
      </c>
      <c r="R277" s="30">
        <v>12400000</v>
      </c>
      <c r="S277" s="30">
        <v>12300000</v>
      </c>
      <c r="T277" s="30">
        <v>12200000</v>
      </c>
      <c r="U277" s="30">
        <v>14500000</v>
      </c>
      <c r="V277" s="30">
        <v>16700000</v>
      </c>
      <c r="W277" s="30">
        <v>17600000</v>
      </c>
      <c r="X277" s="30">
        <v>16200000</v>
      </c>
      <c r="Y277" s="30">
        <v>13200000</v>
      </c>
      <c r="Z277" s="30">
        <v>12100000</v>
      </c>
      <c r="AA277" s="30">
        <v>11400000</v>
      </c>
      <c r="AB277" s="30">
        <v>10800000</v>
      </c>
      <c r="AC277" s="31">
        <v>7246991</v>
      </c>
      <c r="AD277" t="str">
        <f t="shared" si="4"/>
        <v>Winter</v>
      </c>
      <c r="AE277" t="str">
        <f>INDEX('Category Mapping'!$B$2:$B$29,MATCH('Source Data'!A277,'Category Mapping'!$A$2:$A$29,0))</f>
        <v>Weekday</v>
      </c>
      <c r="AF277" t="str">
        <f>INDEX('Category Mapping'!$C$2:$C$29,MATCH('Source Data'!A277,'Category Mapping'!$A$2:$A$29,0))</f>
        <v>Transportation</v>
      </c>
      <c r="AG277" t="str">
        <f>INDEX('Category Mapping'!$D$2:$D$29,MATCH('Source Data'!A277,'Category Mapping'!$A$2:$A$29,0))</f>
        <v>Transportation</v>
      </c>
    </row>
    <row r="278" spans="1:33" x14ac:dyDescent="0.25">
      <c r="A278" s="16" t="s">
        <v>106</v>
      </c>
      <c r="B278" s="17">
        <v>2019</v>
      </c>
      <c r="C278" s="17">
        <v>19</v>
      </c>
      <c r="D278" s="17" t="s">
        <v>208</v>
      </c>
      <c r="E278" s="17">
        <v>12</v>
      </c>
      <c r="F278" s="28">
        <v>4983415</v>
      </c>
      <c r="G278" s="28">
        <v>4915595</v>
      </c>
      <c r="H278" s="28">
        <v>4898177</v>
      </c>
      <c r="I278" s="28">
        <v>4914213</v>
      </c>
      <c r="J278" s="28">
        <v>4896740</v>
      </c>
      <c r="K278" s="28">
        <v>5029947</v>
      </c>
      <c r="L278" s="28">
        <v>7539522</v>
      </c>
      <c r="M278" s="28">
        <v>15800000</v>
      </c>
      <c r="N278" s="28">
        <v>17200000</v>
      </c>
      <c r="O278" s="28">
        <v>15300000</v>
      </c>
      <c r="P278" s="28">
        <v>12300000</v>
      </c>
      <c r="Q278" s="28">
        <v>12300000</v>
      </c>
      <c r="R278" s="28">
        <v>12500000</v>
      </c>
      <c r="S278" s="28">
        <v>12500000</v>
      </c>
      <c r="T278" s="28">
        <v>12300000</v>
      </c>
      <c r="U278" s="28">
        <v>14700000</v>
      </c>
      <c r="V278" s="28">
        <v>16900000</v>
      </c>
      <c r="W278" s="28">
        <v>17800000</v>
      </c>
      <c r="X278" s="28">
        <v>16400000</v>
      </c>
      <c r="Y278" s="28">
        <v>13400000</v>
      </c>
      <c r="Z278" s="28">
        <v>12300000</v>
      </c>
      <c r="AA278" s="28">
        <v>11600000</v>
      </c>
      <c r="AB278" s="28">
        <v>10900000</v>
      </c>
      <c r="AC278" s="29">
        <v>7359618</v>
      </c>
      <c r="AD278" t="str">
        <f t="shared" si="4"/>
        <v>Winter</v>
      </c>
      <c r="AE278" t="str">
        <f>INDEX('Category Mapping'!$B$2:$B$29,MATCH('Source Data'!A278,'Category Mapping'!$A$2:$A$29,0))</f>
        <v>Weekday</v>
      </c>
      <c r="AF278" t="str">
        <f>INDEX('Category Mapping'!$C$2:$C$29,MATCH('Source Data'!A278,'Category Mapping'!$A$2:$A$29,0))</f>
        <v>Transportation</v>
      </c>
      <c r="AG278" t="str">
        <f>INDEX('Category Mapping'!$D$2:$D$29,MATCH('Source Data'!A278,'Category Mapping'!$A$2:$A$29,0))</f>
        <v>Transportation</v>
      </c>
    </row>
    <row r="279" spans="1:33" x14ac:dyDescent="0.25">
      <c r="A279" s="14" t="s">
        <v>107</v>
      </c>
      <c r="B279" s="15">
        <v>2019</v>
      </c>
      <c r="C279" s="15">
        <v>19</v>
      </c>
      <c r="D279" s="15" t="s">
        <v>208</v>
      </c>
      <c r="E279" s="15">
        <v>1</v>
      </c>
      <c r="F279" s="30">
        <v>2776198</v>
      </c>
      <c r="G279" s="30">
        <v>2647378</v>
      </c>
      <c r="H279" s="30">
        <v>2612246</v>
      </c>
      <c r="I279" s="30">
        <v>2612246</v>
      </c>
      <c r="J279" s="30">
        <v>2600535</v>
      </c>
      <c r="K279" s="30">
        <v>2618101</v>
      </c>
      <c r="L279" s="30">
        <v>3244568</v>
      </c>
      <c r="M279" s="30">
        <v>4220775</v>
      </c>
      <c r="N279" s="30">
        <v>5032557</v>
      </c>
      <c r="O279" s="30">
        <v>5697415</v>
      </c>
      <c r="P279" s="30">
        <v>6029056</v>
      </c>
      <c r="Q279" s="30">
        <v>6210575</v>
      </c>
      <c r="R279" s="30">
        <v>6072164</v>
      </c>
      <c r="S279" s="30">
        <v>5776200</v>
      </c>
      <c r="T279" s="30">
        <v>5705935</v>
      </c>
      <c r="U279" s="30">
        <v>5600536</v>
      </c>
      <c r="V279" s="30">
        <v>6427805</v>
      </c>
      <c r="W279" s="30">
        <v>6433660</v>
      </c>
      <c r="X279" s="30">
        <v>6392672</v>
      </c>
      <c r="Y279" s="30">
        <v>6257996</v>
      </c>
      <c r="Z279" s="30">
        <v>6076477</v>
      </c>
      <c r="AA279" s="30">
        <v>5871536</v>
      </c>
      <c r="AB279" s="30">
        <v>5801271</v>
      </c>
      <c r="AC279" s="31">
        <v>3898252</v>
      </c>
      <c r="AD279" t="str">
        <f t="shared" si="4"/>
        <v>Winter</v>
      </c>
      <c r="AE279" t="str">
        <f>INDEX('Category Mapping'!$B$2:$B$29,MATCH('Source Data'!A279,'Category Mapping'!$A$2:$A$29,0))</f>
        <v>Weekend</v>
      </c>
      <c r="AF279" t="str">
        <f>INDEX('Category Mapping'!$C$2:$C$29,MATCH('Source Data'!A279,'Category Mapping'!$A$2:$A$29,0))</f>
        <v>Transportation</v>
      </c>
      <c r="AG279" t="str">
        <f>INDEX('Category Mapping'!$D$2:$D$29,MATCH('Source Data'!A279,'Category Mapping'!$A$2:$A$29,0))</f>
        <v>Transportation</v>
      </c>
    </row>
    <row r="280" spans="1:33" x14ac:dyDescent="0.25">
      <c r="A280" s="16" t="s">
        <v>107</v>
      </c>
      <c r="B280" s="17">
        <v>2019</v>
      </c>
      <c r="C280" s="17">
        <v>19</v>
      </c>
      <c r="D280" s="17" t="s">
        <v>208</v>
      </c>
      <c r="E280" s="17">
        <v>2</v>
      </c>
      <c r="F280" s="28">
        <v>2706245</v>
      </c>
      <c r="G280" s="28">
        <v>2577425</v>
      </c>
      <c r="H280" s="28">
        <v>2542292</v>
      </c>
      <c r="I280" s="28">
        <v>2542292</v>
      </c>
      <c r="J280" s="28">
        <v>2530581</v>
      </c>
      <c r="K280" s="28">
        <v>2548147</v>
      </c>
      <c r="L280" s="28">
        <v>3159272</v>
      </c>
      <c r="M280" s="28">
        <v>4110814</v>
      </c>
      <c r="N280" s="28">
        <v>4907150</v>
      </c>
      <c r="O280" s="28">
        <v>5561745</v>
      </c>
      <c r="P280" s="28">
        <v>5888276</v>
      </c>
      <c r="Q280" s="28">
        <v>6069795</v>
      </c>
      <c r="R280" s="28">
        <v>5936494</v>
      </c>
      <c r="S280" s="28">
        <v>5650793</v>
      </c>
      <c r="T280" s="28">
        <v>5580528</v>
      </c>
      <c r="U280" s="28">
        <v>5475129</v>
      </c>
      <c r="V280" s="28">
        <v>6277641</v>
      </c>
      <c r="W280" s="28">
        <v>6283497</v>
      </c>
      <c r="X280" s="28">
        <v>6242508</v>
      </c>
      <c r="Y280" s="28">
        <v>6107833</v>
      </c>
      <c r="Z280" s="28">
        <v>5926314</v>
      </c>
      <c r="AA280" s="28">
        <v>5721373</v>
      </c>
      <c r="AB280" s="28">
        <v>5651107</v>
      </c>
      <c r="AC280" s="29">
        <v>3797510</v>
      </c>
      <c r="AD280" t="str">
        <f t="shared" si="4"/>
        <v>Winter</v>
      </c>
      <c r="AE280" t="str">
        <f>INDEX('Category Mapping'!$B$2:$B$29,MATCH('Source Data'!A280,'Category Mapping'!$A$2:$A$29,0))</f>
        <v>Weekend</v>
      </c>
      <c r="AF280" t="str">
        <f>INDEX('Category Mapping'!$C$2:$C$29,MATCH('Source Data'!A280,'Category Mapping'!$A$2:$A$29,0))</f>
        <v>Transportation</v>
      </c>
      <c r="AG280" t="str">
        <f>INDEX('Category Mapping'!$D$2:$D$29,MATCH('Source Data'!A280,'Category Mapping'!$A$2:$A$29,0))</f>
        <v>Transportation</v>
      </c>
    </row>
    <row r="281" spans="1:33" x14ac:dyDescent="0.25">
      <c r="A281" s="14" t="s">
        <v>107</v>
      </c>
      <c r="B281" s="15">
        <v>2019</v>
      </c>
      <c r="C281" s="15">
        <v>19</v>
      </c>
      <c r="D281" s="15" t="s">
        <v>208</v>
      </c>
      <c r="E281" s="15">
        <v>3</v>
      </c>
      <c r="F281" s="30">
        <v>2636273</v>
      </c>
      <c r="G281" s="30">
        <v>2507453</v>
      </c>
      <c r="H281" s="30">
        <v>2472320</v>
      </c>
      <c r="I281" s="30">
        <v>2472320</v>
      </c>
      <c r="J281" s="30">
        <v>2460609</v>
      </c>
      <c r="K281" s="30">
        <v>2478176</v>
      </c>
      <c r="L281" s="30">
        <v>3073955</v>
      </c>
      <c r="M281" s="30">
        <v>4000825</v>
      </c>
      <c r="N281" s="30">
        <v>4781711</v>
      </c>
      <c r="O281" s="30">
        <v>5426040</v>
      </c>
      <c r="P281" s="30">
        <v>5747460</v>
      </c>
      <c r="Q281" s="30">
        <v>5928979</v>
      </c>
      <c r="R281" s="30">
        <v>5800789</v>
      </c>
      <c r="S281" s="30">
        <v>5525354</v>
      </c>
      <c r="T281" s="30">
        <v>5455089</v>
      </c>
      <c r="U281" s="30">
        <v>5349690</v>
      </c>
      <c r="V281" s="30">
        <v>6127439</v>
      </c>
      <c r="W281" s="30">
        <v>6133295</v>
      </c>
      <c r="X281" s="30">
        <v>6092306</v>
      </c>
      <c r="Y281" s="30">
        <v>5957631</v>
      </c>
      <c r="Z281" s="30">
        <v>5776112</v>
      </c>
      <c r="AA281" s="30">
        <v>5571171</v>
      </c>
      <c r="AB281" s="30">
        <v>5500905</v>
      </c>
      <c r="AC281" s="31">
        <v>3696743</v>
      </c>
      <c r="AD281" t="str">
        <f t="shared" si="4"/>
        <v>Spring</v>
      </c>
      <c r="AE281" t="str">
        <f>INDEX('Category Mapping'!$B$2:$B$29,MATCH('Source Data'!A281,'Category Mapping'!$A$2:$A$29,0))</f>
        <v>Weekend</v>
      </c>
      <c r="AF281" t="str">
        <f>INDEX('Category Mapping'!$C$2:$C$29,MATCH('Source Data'!A281,'Category Mapping'!$A$2:$A$29,0))</f>
        <v>Transportation</v>
      </c>
      <c r="AG281" t="str">
        <f>INDEX('Category Mapping'!$D$2:$D$29,MATCH('Source Data'!A281,'Category Mapping'!$A$2:$A$29,0))</f>
        <v>Transportation</v>
      </c>
    </row>
    <row r="282" spans="1:33" x14ac:dyDescent="0.25">
      <c r="A282" s="16" t="s">
        <v>107</v>
      </c>
      <c r="B282" s="17">
        <v>2019</v>
      </c>
      <c r="C282" s="17">
        <v>19</v>
      </c>
      <c r="D282" s="17" t="s">
        <v>208</v>
      </c>
      <c r="E282" s="17">
        <v>4</v>
      </c>
      <c r="F282" s="28">
        <v>2564862</v>
      </c>
      <c r="G282" s="28">
        <v>2436042</v>
      </c>
      <c r="H282" s="28">
        <v>2400909</v>
      </c>
      <c r="I282" s="28">
        <v>2400909</v>
      </c>
      <c r="J282" s="28">
        <v>2389198</v>
      </c>
      <c r="K282" s="28">
        <v>2406765</v>
      </c>
      <c r="L282" s="28">
        <v>2986883</v>
      </c>
      <c r="M282" s="28">
        <v>3888573</v>
      </c>
      <c r="N282" s="28">
        <v>4653691</v>
      </c>
      <c r="O282" s="28">
        <v>5287543</v>
      </c>
      <c r="P282" s="28">
        <v>5603747</v>
      </c>
      <c r="Q282" s="28">
        <v>5785266</v>
      </c>
      <c r="R282" s="28">
        <v>5662293</v>
      </c>
      <c r="S282" s="28">
        <v>5397334</v>
      </c>
      <c r="T282" s="28">
        <v>5327069</v>
      </c>
      <c r="U282" s="28">
        <v>5221671</v>
      </c>
      <c r="V282" s="28">
        <v>5974147</v>
      </c>
      <c r="W282" s="28">
        <v>5980002</v>
      </c>
      <c r="X282" s="28">
        <v>5939014</v>
      </c>
      <c r="Y282" s="28">
        <v>5804338</v>
      </c>
      <c r="Z282" s="28">
        <v>5622819</v>
      </c>
      <c r="AA282" s="28">
        <v>5417878</v>
      </c>
      <c r="AB282" s="28">
        <v>5347613</v>
      </c>
      <c r="AC282" s="29">
        <v>3593903</v>
      </c>
      <c r="AD282" t="str">
        <f t="shared" si="4"/>
        <v>Spring</v>
      </c>
      <c r="AE282" t="str">
        <f>INDEX('Category Mapping'!$B$2:$B$29,MATCH('Source Data'!A282,'Category Mapping'!$A$2:$A$29,0))</f>
        <v>Weekend</v>
      </c>
      <c r="AF282" t="str">
        <f>INDEX('Category Mapping'!$C$2:$C$29,MATCH('Source Data'!A282,'Category Mapping'!$A$2:$A$29,0))</f>
        <v>Transportation</v>
      </c>
      <c r="AG282" t="str">
        <f>INDEX('Category Mapping'!$D$2:$D$29,MATCH('Source Data'!A282,'Category Mapping'!$A$2:$A$29,0))</f>
        <v>Transportation</v>
      </c>
    </row>
    <row r="283" spans="1:33" x14ac:dyDescent="0.25">
      <c r="A283" s="14" t="s">
        <v>107</v>
      </c>
      <c r="B283" s="15">
        <v>2019</v>
      </c>
      <c r="C283" s="15">
        <v>19</v>
      </c>
      <c r="D283" s="15" t="s">
        <v>208</v>
      </c>
      <c r="E283" s="15">
        <v>5</v>
      </c>
      <c r="F283" s="30">
        <v>2489061</v>
      </c>
      <c r="G283" s="30">
        <v>2360241</v>
      </c>
      <c r="H283" s="30">
        <v>2325109</v>
      </c>
      <c r="I283" s="30">
        <v>2325109</v>
      </c>
      <c r="J283" s="30">
        <v>2313398</v>
      </c>
      <c r="K283" s="30">
        <v>2330964</v>
      </c>
      <c r="L283" s="30">
        <v>2894458</v>
      </c>
      <c r="M283" s="30">
        <v>3769421</v>
      </c>
      <c r="N283" s="30">
        <v>4517801</v>
      </c>
      <c r="O283" s="30">
        <v>5140532</v>
      </c>
      <c r="P283" s="30">
        <v>5451199</v>
      </c>
      <c r="Q283" s="30">
        <v>5632718</v>
      </c>
      <c r="R283" s="30">
        <v>5515282</v>
      </c>
      <c r="S283" s="30">
        <v>5261444</v>
      </c>
      <c r="T283" s="30">
        <v>5191179</v>
      </c>
      <c r="U283" s="30">
        <v>5085781</v>
      </c>
      <c r="V283" s="30">
        <v>5811431</v>
      </c>
      <c r="W283" s="30">
        <v>5817287</v>
      </c>
      <c r="X283" s="30">
        <v>5776298</v>
      </c>
      <c r="Y283" s="30">
        <v>5641623</v>
      </c>
      <c r="Z283" s="30">
        <v>5460104</v>
      </c>
      <c r="AA283" s="30">
        <v>5255163</v>
      </c>
      <c r="AB283" s="30">
        <v>5184897</v>
      </c>
      <c r="AC283" s="31">
        <v>3484740</v>
      </c>
      <c r="AD283" t="str">
        <f t="shared" si="4"/>
        <v>Spring</v>
      </c>
      <c r="AE283" t="str">
        <f>INDEX('Category Mapping'!$B$2:$B$29,MATCH('Source Data'!A283,'Category Mapping'!$A$2:$A$29,0))</f>
        <v>Weekend</v>
      </c>
      <c r="AF283" t="str">
        <f>INDEX('Category Mapping'!$C$2:$C$29,MATCH('Source Data'!A283,'Category Mapping'!$A$2:$A$29,0))</f>
        <v>Transportation</v>
      </c>
      <c r="AG283" t="str">
        <f>INDEX('Category Mapping'!$D$2:$D$29,MATCH('Source Data'!A283,'Category Mapping'!$A$2:$A$29,0))</f>
        <v>Transportation</v>
      </c>
    </row>
    <row r="284" spans="1:33" x14ac:dyDescent="0.25">
      <c r="A284" s="16" t="s">
        <v>107</v>
      </c>
      <c r="B284" s="17">
        <v>2019</v>
      </c>
      <c r="C284" s="17">
        <v>19</v>
      </c>
      <c r="D284" s="17" t="s">
        <v>208</v>
      </c>
      <c r="E284" s="17">
        <v>6</v>
      </c>
      <c r="F284" s="28">
        <v>2413278</v>
      </c>
      <c r="G284" s="28">
        <v>2284458</v>
      </c>
      <c r="H284" s="28">
        <v>2249325</v>
      </c>
      <c r="I284" s="28">
        <v>2249325</v>
      </c>
      <c r="J284" s="28">
        <v>2237614</v>
      </c>
      <c r="K284" s="28">
        <v>2255181</v>
      </c>
      <c r="L284" s="28">
        <v>2802054</v>
      </c>
      <c r="M284" s="28">
        <v>3650297</v>
      </c>
      <c r="N284" s="28">
        <v>4381943</v>
      </c>
      <c r="O284" s="28">
        <v>4993556</v>
      </c>
      <c r="P284" s="28">
        <v>5298687</v>
      </c>
      <c r="Q284" s="28">
        <v>5480206</v>
      </c>
      <c r="R284" s="28">
        <v>5368305</v>
      </c>
      <c r="S284" s="28">
        <v>5125587</v>
      </c>
      <c r="T284" s="28">
        <v>5055321</v>
      </c>
      <c r="U284" s="28">
        <v>4949923</v>
      </c>
      <c r="V284" s="28">
        <v>5648754</v>
      </c>
      <c r="W284" s="28">
        <v>5654609</v>
      </c>
      <c r="X284" s="28">
        <v>5613621</v>
      </c>
      <c r="Y284" s="28">
        <v>5478945</v>
      </c>
      <c r="Z284" s="28">
        <v>5297426</v>
      </c>
      <c r="AA284" s="28">
        <v>5092485</v>
      </c>
      <c r="AB284" s="28">
        <v>5022220</v>
      </c>
      <c r="AC284" s="29">
        <v>3375603</v>
      </c>
      <c r="AD284" t="str">
        <f t="shared" si="4"/>
        <v>Summer</v>
      </c>
      <c r="AE284" t="str">
        <f>INDEX('Category Mapping'!$B$2:$B$29,MATCH('Source Data'!A284,'Category Mapping'!$A$2:$A$29,0))</f>
        <v>Weekend</v>
      </c>
      <c r="AF284" t="str">
        <f>INDEX('Category Mapping'!$C$2:$C$29,MATCH('Source Data'!A284,'Category Mapping'!$A$2:$A$29,0))</f>
        <v>Transportation</v>
      </c>
      <c r="AG284" t="str">
        <f>INDEX('Category Mapping'!$D$2:$D$29,MATCH('Source Data'!A284,'Category Mapping'!$A$2:$A$29,0))</f>
        <v>Transportation</v>
      </c>
    </row>
    <row r="285" spans="1:33" x14ac:dyDescent="0.25">
      <c r="A285" s="14" t="s">
        <v>107</v>
      </c>
      <c r="B285" s="15">
        <v>2019</v>
      </c>
      <c r="C285" s="15">
        <v>19</v>
      </c>
      <c r="D285" s="15" t="s">
        <v>208</v>
      </c>
      <c r="E285" s="15">
        <v>7</v>
      </c>
      <c r="F285" s="30">
        <v>2356423</v>
      </c>
      <c r="G285" s="30">
        <v>2227603</v>
      </c>
      <c r="H285" s="30">
        <v>2192470</v>
      </c>
      <c r="I285" s="30">
        <v>2192470</v>
      </c>
      <c r="J285" s="30">
        <v>2180759</v>
      </c>
      <c r="K285" s="30">
        <v>2198326</v>
      </c>
      <c r="L285" s="30">
        <v>2732731</v>
      </c>
      <c r="M285" s="30">
        <v>3560926</v>
      </c>
      <c r="N285" s="30">
        <v>4280018</v>
      </c>
      <c r="O285" s="30">
        <v>4883289</v>
      </c>
      <c r="P285" s="30">
        <v>5184267</v>
      </c>
      <c r="Q285" s="30">
        <v>5365786</v>
      </c>
      <c r="R285" s="30">
        <v>5258039</v>
      </c>
      <c r="S285" s="30">
        <v>5023661</v>
      </c>
      <c r="T285" s="30">
        <v>4953396</v>
      </c>
      <c r="U285" s="30">
        <v>4847998</v>
      </c>
      <c r="V285" s="30">
        <v>5526708</v>
      </c>
      <c r="W285" s="30">
        <v>5532563</v>
      </c>
      <c r="X285" s="30">
        <v>5491575</v>
      </c>
      <c r="Y285" s="30">
        <v>5356899</v>
      </c>
      <c r="Z285" s="30">
        <v>5175380</v>
      </c>
      <c r="AA285" s="30">
        <v>4970439</v>
      </c>
      <c r="AB285" s="30">
        <v>4900174</v>
      </c>
      <c r="AC285" s="31">
        <v>3293725</v>
      </c>
      <c r="AD285" t="str">
        <f t="shared" si="4"/>
        <v>Summer</v>
      </c>
      <c r="AE285" t="str">
        <f>INDEX('Category Mapping'!$B$2:$B$29,MATCH('Source Data'!A285,'Category Mapping'!$A$2:$A$29,0))</f>
        <v>Weekend</v>
      </c>
      <c r="AF285" t="str">
        <f>INDEX('Category Mapping'!$C$2:$C$29,MATCH('Source Data'!A285,'Category Mapping'!$A$2:$A$29,0))</f>
        <v>Transportation</v>
      </c>
      <c r="AG285" t="str">
        <f>INDEX('Category Mapping'!$D$2:$D$29,MATCH('Source Data'!A285,'Category Mapping'!$A$2:$A$29,0))</f>
        <v>Transportation</v>
      </c>
    </row>
    <row r="286" spans="1:33" x14ac:dyDescent="0.25">
      <c r="A286" s="16" t="s">
        <v>107</v>
      </c>
      <c r="B286" s="17">
        <v>2019</v>
      </c>
      <c r="C286" s="17">
        <v>19</v>
      </c>
      <c r="D286" s="17" t="s">
        <v>208</v>
      </c>
      <c r="E286" s="17">
        <v>8</v>
      </c>
      <c r="F286" s="28">
        <v>2435138</v>
      </c>
      <c r="G286" s="28">
        <v>2306318</v>
      </c>
      <c r="H286" s="28">
        <v>2271186</v>
      </c>
      <c r="I286" s="28">
        <v>2271186</v>
      </c>
      <c r="J286" s="28">
        <v>2259475</v>
      </c>
      <c r="K286" s="28">
        <v>2277041</v>
      </c>
      <c r="L286" s="28">
        <v>2828709</v>
      </c>
      <c r="M286" s="28">
        <v>3684659</v>
      </c>
      <c r="N286" s="28">
        <v>4421133</v>
      </c>
      <c r="O286" s="28">
        <v>5035953</v>
      </c>
      <c r="P286" s="28">
        <v>5342681</v>
      </c>
      <c r="Q286" s="28">
        <v>5524200</v>
      </c>
      <c r="R286" s="28">
        <v>5410702</v>
      </c>
      <c r="S286" s="28">
        <v>5164776</v>
      </c>
      <c r="T286" s="28">
        <v>5094511</v>
      </c>
      <c r="U286" s="28">
        <v>4989113</v>
      </c>
      <c r="V286" s="28">
        <v>5695680</v>
      </c>
      <c r="W286" s="28">
        <v>5701535</v>
      </c>
      <c r="X286" s="28">
        <v>5660547</v>
      </c>
      <c r="Y286" s="28">
        <v>5525871</v>
      </c>
      <c r="Z286" s="28">
        <v>5344352</v>
      </c>
      <c r="AA286" s="28">
        <v>5139411</v>
      </c>
      <c r="AB286" s="28">
        <v>5069146</v>
      </c>
      <c r="AC286" s="29">
        <v>3407085</v>
      </c>
      <c r="AD286" t="str">
        <f t="shared" si="4"/>
        <v>Summer</v>
      </c>
      <c r="AE286" t="str">
        <f>INDEX('Category Mapping'!$B$2:$B$29,MATCH('Source Data'!A286,'Category Mapping'!$A$2:$A$29,0))</f>
        <v>Weekend</v>
      </c>
      <c r="AF286" t="str">
        <f>INDEX('Category Mapping'!$C$2:$C$29,MATCH('Source Data'!A286,'Category Mapping'!$A$2:$A$29,0))</f>
        <v>Transportation</v>
      </c>
      <c r="AG286" t="str">
        <f>INDEX('Category Mapping'!$D$2:$D$29,MATCH('Source Data'!A286,'Category Mapping'!$A$2:$A$29,0))</f>
        <v>Transportation</v>
      </c>
    </row>
    <row r="287" spans="1:33" x14ac:dyDescent="0.25">
      <c r="A287" s="14" t="s">
        <v>107</v>
      </c>
      <c r="B287" s="15">
        <v>2019</v>
      </c>
      <c r="C287" s="15">
        <v>19</v>
      </c>
      <c r="D287" s="15" t="s">
        <v>208</v>
      </c>
      <c r="E287" s="15">
        <v>9</v>
      </c>
      <c r="F287" s="30">
        <v>2540087</v>
      </c>
      <c r="G287" s="30">
        <v>2411267</v>
      </c>
      <c r="H287" s="30">
        <v>2376134</v>
      </c>
      <c r="I287" s="30">
        <v>2376134</v>
      </c>
      <c r="J287" s="30">
        <v>2364423</v>
      </c>
      <c r="K287" s="30">
        <v>2381990</v>
      </c>
      <c r="L287" s="30">
        <v>2956674</v>
      </c>
      <c r="M287" s="30">
        <v>3849629</v>
      </c>
      <c r="N287" s="30">
        <v>4609276</v>
      </c>
      <c r="O287" s="30">
        <v>5239493</v>
      </c>
      <c r="P287" s="30">
        <v>5553888</v>
      </c>
      <c r="Q287" s="30">
        <v>5735407</v>
      </c>
      <c r="R287" s="30">
        <v>5614242</v>
      </c>
      <c r="S287" s="30">
        <v>5352919</v>
      </c>
      <c r="T287" s="30">
        <v>5282654</v>
      </c>
      <c r="U287" s="30">
        <v>5177256</v>
      </c>
      <c r="V287" s="30">
        <v>5920964</v>
      </c>
      <c r="W287" s="30">
        <v>5926819</v>
      </c>
      <c r="X287" s="30">
        <v>5885831</v>
      </c>
      <c r="Y287" s="30">
        <v>5751155</v>
      </c>
      <c r="Z287" s="30">
        <v>5569636</v>
      </c>
      <c r="AA287" s="30">
        <v>5364695</v>
      </c>
      <c r="AB287" s="30">
        <v>5294430</v>
      </c>
      <c r="AC287" s="31">
        <v>3558223</v>
      </c>
      <c r="AD287" t="str">
        <f t="shared" si="4"/>
        <v>Fall</v>
      </c>
      <c r="AE287" t="str">
        <f>INDEX('Category Mapping'!$B$2:$B$29,MATCH('Source Data'!A287,'Category Mapping'!$A$2:$A$29,0))</f>
        <v>Weekend</v>
      </c>
      <c r="AF287" t="str">
        <f>INDEX('Category Mapping'!$C$2:$C$29,MATCH('Source Data'!A287,'Category Mapping'!$A$2:$A$29,0))</f>
        <v>Transportation</v>
      </c>
      <c r="AG287" t="str">
        <f>INDEX('Category Mapping'!$D$2:$D$29,MATCH('Source Data'!A287,'Category Mapping'!$A$2:$A$29,0))</f>
        <v>Transportation</v>
      </c>
    </row>
    <row r="288" spans="1:33" x14ac:dyDescent="0.25">
      <c r="A288" s="16" t="s">
        <v>107</v>
      </c>
      <c r="B288" s="17">
        <v>2019</v>
      </c>
      <c r="C288" s="17">
        <v>19</v>
      </c>
      <c r="D288" s="17" t="s">
        <v>208</v>
      </c>
      <c r="E288" s="17">
        <v>10</v>
      </c>
      <c r="F288" s="28">
        <v>2671268</v>
      </c>
      <c r="G288" s="28">
        <v>2542448</v>
      </c>
      <c r="H288" s="28">
        <v>2507315</v>
      </c>
      <c r="I288" s="28">
        <v>2507315</v>
      </c>
      <c r="J288" s="28">
        <v>2495604</v>
      </c>
      <c r="K288" s="28">
        <v>2513171</v>
      </c>
      <c r="L288" s="28">
        <v>3116625</v>
      </c>
      <c r="M288" s="28">
        <v>4055833</v>
      </c>
      <c r="N288" s="28">
        <v>4844446</v>
      </c>
      <c r="O288" s="28">
        <v>5493910</v>
      </c>
      <c r="P288" s="28">
        <v>5817886</v>
      </c>
      <c r="Q288" s="28">
        <v>5999405</v>
      </c>
      <c r="R288" s="28">
        <v>5868659</v>
      </c>
      <c r="S288" s="28">
        <v>5588090</v>
      </c>
      <c r="T288" s="28">
        <v>5517824</v>
      </c>
      <c r="U288" s="28">
        <v>5412426</v>
      </c>
      <c r="V288" s="28">
        <v>6202559</v>
      </c>
      <c r="W288" s="28">
        <v>6208415</v>
      </c>
      <c r="X288" s="28">
        <v>6167426</v>
      </c>
      <c r="Y288" s="28">
        <v>6032751</v>
      </c>
      <c r="Z288" s="28">
        <v>5851232</v>
      </c>
      <c r="AA288" s="28">
        <v>5646291</v>
      </c>
      <c r="AB288" s="28">
        <v>5576025</v>
      </c>
      <c r="AC288" s="29">
        <v>3747140</v>
      </c>
      <c r="AD288" t="str">
        <f t="shared" si="4"/>
        <v>Fall</v>
      </c>
      <c r="AE288" t="str">
        <f>INDEX('Category Mapping'!$B$2:$B$29,MATCH('Source Data'!A288,'Category Mapping'!$A$2:$A$29,0))</f>
        <v>Weekend</v>
      </c>
      <c r="AF288" t="str">
        <f>INDEX('Category Mapping'!$C$2:$C$29,MATCH('Source Data'!A288,'Category Mapping'!$A$2:$A$29,0))</f>
        <v>Transportation</v>
      </c>
      <c r="AG288" t="str">
        <f>INDEX('Category Mapping'!$D$2:$D$29,MATCH('Source Data'!A288,'Category Mapping'!$A$2:$A$29,0))</f>
        <v>Transportation</v>
      </c>
    </row>
    <row r="289" spans="1:33" x14ac:dyDescent="0.25">
      <c r="A289" s="14" t="s">
        <v>107</v>
      </c>
      <c r="B289" s="15">
        <v>2019</v>
      </c>
      <c r="C289" s="15">
        <v>19</v>
      </c>
      <c r="D289" s="15" t="s">
        <v>208</v>
      </c>
      <c r="E289" s="15">
        <v>11</v>
      </c>
      <c r="F289" s="30">
        <v>2701872</v>
      </c>
      <c r="G289" s="30">
        <v>2573052</v>
      </c>
      <c r="H289" s="30">
        <v>2537920</v>
      </c>
      <c r="I289" s="30">
        <v>2537920</v>
      </c>
      <c r="J289" s="30">
        <v>2526209</v>
      </c>
      <c r="K289" s="30">
        <v>2543775</v>
      </c>
      <c r="L289" s="30">
        <v>3153941</v>
      </c>
      <c r="M289" s="30">
        <v>4103941</v>
      </c>
      <c r="N289" s="30">
        <v>4899312</v>
      </c>
      <c r="O289" s="30">
        <v>5553265</v>
      </c>
      <c r="P289" s="30">
        <v>5879478</v>
      </c>
      <c r="Q289" s="30">
        <v>6060997</v>
      </c>
      <c r="R289" s="30">
        <v>5928015</v>
      </c>
      <c r="S289" s="30">
        <v>5642955</v>
      </c>
      <c r="T289" s="30">
        <v>5572690</v>
      </c>
      <c r="U289" s="30">
        <v>5467291</v>
      </c>
      <c r="V289" s="30">
        <v>6268256</v>
      </c>
      <c r="W289" s="30">
        <v>6274111</v>
      </c>
      <c r="X289" s="30">
        <v>6233123</v>
      </c>
      <c r="Y289" s="30">
        <v>6098447</v>
      </c>
      <c r="Z289" s="30">
        <v>5916928</v>
      </c>
      <c r="AA289" s="30">
        <v>5711987</v>
      </c>
      <c r="AB289" s="30">
        <v>5641722</v>
      </c>
      <c r="AC289" s="31">
        <v>3791214</v>
      </c>
      <c r="AD289" t="str">
        <f t="shared" si="4"/>
        <v>Winter</v>
      </c>
      <c r="AE289" t="str">
        <f>INDEX('Category Mapping'!$B$2:$B$29,MATCH('Source Data'!A289,'Category Mapping'!$A$2:$A$29,0))</f>
        <v>Weekend</v>
      </c>
      <c r="AF289" t="str">
        <f>INDEX('Category Mapping'!$C$2:$C$29,MATCH('Source Data'!A289,'Category Mapping'!$A$2:$A$29,0))</f>
        <v>Transportation</v>
      </c>
      <c r="AG289" t="str">
        <f>INDEX('Category Mapping'!$D$2:$D$29,MATCH('Source Data'!A289,'Category Mapping'!$A$2:$A$29,0))</f>
        <v>Transportation</v>
      </c>
    </row>
    <row r="290" spans="1:33" x14ac:dyDescent="0.25">
      <c r="A290" s="16" t="s">
        <v>107</v>
      </c>
      <c r="B290" s="17">
        <v>2019</v>
      </c>
      <c r="C290" s="17">
        <v>19</v>
      </c>
      <c r="D290" s="17" t="s">
        <v>208</v>
      </c>
      <c r="E290" s="17">
        <v>12</v>
      </c>
      <c r="F290" s="28">
        <v>2742679</v>
      </c>
      <c r="G290" s="28">
        <v>2613859</v>
      </c>
      <c r="H290" s="28">
        <v>2578726</v>
      </c>
      <c r="I290" s="28">
        <v>2578726</v>
      </c>
      <c r="J290" s="28">
        <v>2567015</v>
      </c>
      <c r="K290" s="28">
        <v>2584582</v>
      </c>
      <c r="L290" s="28">
        <v>3203697</v>
      </c>
      <c r="M290" s="28">
        <v>4168085</v>
      </c>
      <c r="N290" s="28">
        <v>4972466</v>
      </c>
      <c r="O290" s="28">
        <v>5632407</v>
      </c>
      <c r="P290" s="28">
        <v>5961600</v>
      </c>
      <c r="Q290" s="28">
        <v>6143119</v>
      </c>
      <c r="R290" s="28">
        <v>6007156</v>
      </c>
      <c r="S290" s="28">
        <v>5716110</v>
      </c>
      <c r="T290" s="28">
        <v>5645844</v>
      </c>
      <c r="U290" s="28">
        <v>5540446</v>
      </c>
      <c r="V290" s="28">
        <v>6355851</v>
      </c>
      <c r="W290" s="28">
        <v>6361707</v>
      </c>
      <c r="X290" s="28">
        <v>6320718</v>
      </c>
      <c r="Y290" s="28">
        <v>6186043</v>
      </c>
      <c r="Z290" s="28">
        <v>6004524</v>
      </c>
      <c r="AA290" s="28">
        <v>5799583</v>
      </c>
      <c r="AB290" s="28">
        <v>5729317</v>
      </c>
      <c r="AC290" s="29">
        <v>3849980</v>
      </c>
      <c r="AD290" t="str">
        <f t="shared" si="4"/>
        <v>Winter</v>
      </c>
      <c r="AE290" t="str">
        <f>INDEX('Category Mapping'!$B$2:$B$29,MATCH('Source Data'!A290,'Category Mapping'!$A$2:$A$29,0))</f>
        <v>Weekend</v>
      </c>
      <c r="AF290" t="str">
        <f>INDEX('Category Mapping'!$C$2:$C$29,MATCH('Source Data'!A290,'Category Mapping'!$A$2:$A$29,0))</f>
        <v>Transportation</v>
      </c>
      <c r="AG290" t="str">
        <f>INDEX('Category Mapping'!$D$2:$D$29,MATCH('Source Data'!A290,'Category Mapping'!$A$2:$A$29,0))</f>
        <v>Transportation</v>
      </c>
    </row>
    <row r="291" spans="1:33" x14ac:dyDescent="0.25">
      <c r="A291" s="43" t="s">
        <v>196</v>
      </c>
      <c r="B291" s="44"/>
      <c r="C291" s="44"/>
      <c r="D291" s="44"/>
      <c r="E291" s="44">
        <v>1</v>
      </c>
      <c r="F291" s="45">
        <f>SUMIFS(F$3:F$290,$AF$3:$AF$290,"*"&amp;"Residential"&amp;"*",$E$3:$E$290,$E291,$AG$3:$AG$290,"Total",$AE$3:$AE$290,"Weekday")-SUMIFS(F$3:F$290,$AF$3:$AF$290,"*"&amp;"Residential"&amp;"*",$E$3:$E$290,$E291,$AG$3:$AG$290,"&lt;&gt;"&amp;"Total",$AE$3:$AE$290,"Weekday")</f>
        <v>69297336</v>
      </c>
      <c r="G291" s="45">
        <f t="shared" ref="G291:AC302" si="5">SUMIFS(G$3:G$290,$AF$3:$AF$290,"*"&amp;"Residential"&amp;"*",$E$3:$E$290,$E291,$AG$3:$AG$290,"Total",$AE$3:$AE$290,"Weekday")-SUMIFS(G$3:G$290,$AF$3:$AF$290,"*"&amp;"Residential"&amp;"*",$E$3:$E$290,$E291,$AG$3:$AG$290,"&lt;&gt;"&amp;"Total",$AE$3:$AE$290,"Weekday")</f>
        <v>50630080</v>
      </c>
      <c r="H291" s="45">
        <f t="shared" si="5"/>
        <v>40365633</v>
      </c>
      <c r="I291" s="45">
        <f t="shared" si="5"/>
        <v>34640887</v>
      </c>
      <c r="J291" s="45">
        <f t="shared" si="5"/>
        <v>35632744</v>
      </c>
      <c r="K291" s="45">
        <f t="shared" si="5"/>
        <v>45687891</v>
      </c>
      <c r="L291" s="45">
        <f t="shared" si="5"/>
        <v>69590108</v>
      </c>
      <c r="M291" s="45">
        <f t="shared" si="5"/>
        <v>86892576</v>
      </c>
      <c r="N291" s="45">
        <f t="shared" si="5"/>
        <v>95694001</v>
      </c>
      <c r="O291" s="45">
        <f t="shared" si="5"/>
        <v>97194813</v>
      </c>
      <c r="P291" s="45">
        <f t="shared" si="5"/>
        <v>96794875</v>
      </c>
      <c r="Q291" s="45">
        <f t="shared" si="5"/>
        <v>98994268</v>
      </c>
      <c r="R291" s="45">
        <f t="shared" si="5"/>
        <v>96993778</v>
      </c>
      <c r="S291" s="45">
        <f t="shared" si="5"/>
        <v>97356051</v>
      </c>
      <c r="T291" s="45">
        <f t="shared" si="5"/>
        <v>101117559</v>
      </c>
      <c r="U291" s="45">
        <f t="shared" si="5"/>
        <v>114319515</v>
      </c>
      <c r="V291" s="45">
        <f t="shared" si="5"/>
        <v>138792007</v>
      </c>
      <c r="W291" s="45">
        <f t="shared" si="5"/>
        <v>151591239</v>
      </c>
      <c r="X291" s="45">
        <f t="shared" si="5"/>
        <v>143790274</v>
      </c>
      <c r="Y291" s="45">
        <f t="shared" si="5"/>
        <v>136689287</v>
      </c>
      <c r="Z291" s="45">
        <f t="shared" si="5"/>
        <v>135388404</v>
      </c>
      <c r="AA291" s="45">
        <f t="shared" si="5"/>
        <v>134487669</v>
      </c>
      <c r="AB291" s="45">
        <f t="shared" si="5"/>
        <v>104687145</v>
      </c>
      <c r="AC291" s="45">
        <f t="shared" si="5"/>
        <v>83927595</v>
      </c>
      <c r="AD291" t="str">
        <f t="shared" ref="AD291:AD323" si="6">IF(AND(E291&gt;=3,E291&lt;=5),"Spring",IF(AND(E291&gt;=6,E291&lt;=8),"Summer",IF(AND(E291&gt;=9,E291&lt;=10),"Fall","Winter")))</f>
        <v>Winter</v>
      </c>
      <c r="AE291" t="str">
        <f>INDEX('Category Mapping'!$B$2:$B$29,MATCH('Modified Source Data'!A291,'Category Mapping'!$A$2:$A$29,0))</f>
        <v>Weekday</v>
      </c>
      <c r="AF291" t="str">
        <f>INDEX('Category Mapping'!$C$2:$C$29,MATCH('Modified Source Data'!A291,'Category Mapping'!$A$2:$A$29,0))</f>
        <v>Residential</v>
      </c>
      <c r="AG291" t="str">
        <f>INDEX('Category Mapping'!$D$2:$D$29,MATCH('Modified Source Data'!A291,'Category Mapping'!$A$2:$A$29,0))</f>
        <v>Other</v>
      </c>
    </row>
    <row r="292" spans="1:33" x14ac:dyDescent="0.25">
      <c r="A292" s="43" t="s">
        <v>196</v>
      </c>
      <c r="B292" s="44"/>
      <c r="C292" s="44"/>
      <c r="D292" s="44"/>
      <c r="E292" s="44">
        <v>2</v>
      </c>
      <c r="F292" s="45">
        <f t="shared" ref="F292:U302" si="7">SUMIFS(F$3:F$290,$AF$3:$AF$290,"*"&amp;"Residential"&amp;"*",$E$3:$E$290,$E292,$AG$3:$AG$290,"Total",$AE$3:$AE$290,"Weekday")-SUMIFS(F$3:F$290,$AF$3:$AF$290,"*"&amp;"Residential"&amp;"*",$E$3:$E$290,$E292,$AG$3:$AG$290,"&lt;&gt;"&amp;"Total",$AE$3:$AE$290,"Weekday")</f>
        <v>68923071</v>
      </c>
      <c r="G292" s="45">
        <f t="shared" si="7"/>
        <v>50454721</v>
      </c>
      <c r="H292" s="45">
        <f t="shared" si="7"/>
        <v>40169491</v>
      </c>
      <c r="I292" s="45">
        <f t="shared" si="7"/>
        <v>34540084</v>
      </c>
      <c r="J292" s="45">
        <f t="shared" si="7"/>
        <v>35512992</v>
      </c>
      <c r="K292" s="45">
        <f t="shared" si="7"/>
        <v>45908830</v>
      </c>
      <c r="L292" s="45">
        <f t="shared" si="7"/>
        <v>69388839</v>
      </c>
      <c r="M292" s="45">
        <f t="shared" si="7"/>
        <v>86391624</v>
      </c>
      <c r="N292" s="45">
        <f t="shared" si="7"/>
        <v>95593231</v>
      </c>
      <c r="O292" s="45">
        <f t="shared" si="7"/>
        <v>97294148</v>
      </c>
      <c r="P292" s="45">
        <f t="shared" si="7"/>
        <v>96894218</v>
      </c>
      <c r="Q292" s="45">
        <f t="shared" si="7"/>
        <v>98993533</v>
      </c>
      <c r="R292" s="45">
        <f t="shared" si="7"/>
        <v>96817826</v>
      </c>
      <c r="S292" s="45">
        <f t="shared" si="7"/>
        <v>97027109</v>
      </c>
      <c r="T292" s="45">
        <f t="shared" si="7"/>
        <v>100878565</v>
      </c>
      <c r="U292" s="45">
        <f t="shared" si="7"/>
        <v>114086473</v>
      </c>
      <c r="V292" s="45">
        <f t="shared" si="5"/>
        <v>138790982</v>
      </c>
      <c r="W292" s="45">
        <f t="shared" si="5"/>
        <v>152090115</v>
      </c>
      <c r="X292" s="45">
        <f t="shared" si="5"/>
        <v>143889027</v>
      </c>
      <c r="Y292" s="45">
        <f t="shared" si="5"/>
        <v>136987913</v>
      </c>
      <c r="Z292" s="45">
        <f t="shared" si="5"/>
        <v>134686917</v>
      </c>
      <c r="AA292" s="45">
        <f t="shared" si="5"/>
        <v>134186087</v>
      </c>
      <c r="AB292" s="45">
        <f t="shared" si="5"/>
        <v>104385496</v>
      </c>
      <c r="AC292" s="45">
        <f t="shared" si="5"/>
        <v>83999125</v>
      </c>
      <c r="AD292" t="str">
        <f t="shared" si="6"/>
        <v>Winter</v>
      </c>
      <c r="AE292" t="str">
        <f>INDEX('Category Mapping'!$B$2:$B$29,MATCH('Modified Source Data'!A292,'Category Mapping'!$A$2:$A$29,0))</f>
        <v>Weekday</v>
      </c>
      <c r="AF292" t="str">
        <f>INDEX('Category Mapping'!$C$2:$C$29,MATCH('Modified Source Data'!A292,'Category Mapping'!$A$2:$A$29,0))</f>
        <v>Residential</v>
      </c>
      <c r="AG292" t="str">
        <f>INDEX('Category Mapping'!$D$2:$D$29,MATCH('Modified Source Data'!A292,'Category Mapping'!$A$2:$A$29,0))</f>
        <v>Other</v>
      </c>
    </row>
    <row r="293" spans="1:33" x14ac:dyDescent="0.25">
      <c r="A293" s="43" t="s">
        <v>196</v>
      </c>
      <c r="B293" s="44"/>
      <c r="C293" s="44"/>
      <c r="D293" s="44"/>
      <c r="E293" s="44">
        <v>3</v>
      </c>
      <c r="F293" s="45">
        <f t="shared" si="7"/>
        <v>69180410</v>
      </c>
      <c r="G293" s="45">
        <f t="shared" si="5"/>
        <v>50326516</v>
      </c>
      <c r="H293" s="45">
        <f t="shared" si="5"/>
        <v>40118876</v>
      </c>
      <c r="I293" s="45">
        <f t="shared" si="5"/>
        <v>34371409</v>
      </c>
      <c r="J293" s="45">
        <f t="shared" si="5"/>
        <v>35432229</v>
      </c>
      <c r="K293" s="45">
        <f t="shared" si="5"/>
        <v>45719343</v>
      </c>
      <c r="L293" s="45">
        <f t="shared" si="5"/>
        <v>69574875</v>
      </c>
      <c r="M293" s="45">
        <f t="shared" si="5"/>
        <v>86281145</v>
      </c>
      <c r="N293" s="45">
        <f t="shared" si="5"/>
        <v>96145363</v>
      </c>
      <c r="O293" s="45">
        <f t="shared" si="5"/>
        <v>97514205</v>
      </c>
      <c r="P293" s="45">
        <f t="shared" si="5"/>
        <v>97062849</v>
      </c>
      <c r="Q293" s="45">
        <f t="shared" si="5"/>
        <v>98585442</v>
      </c>
      <c r="R293" s="45">
        <f t="shared" si="5"/>
        <v>96858784</v>
      </c>
      <c r="S293" s="45">
        <f t="shared" si="5"/>
        <v>96800459</v>
      </c>
      <c r="T293" s="45">
        <f t="shared" si="5"/>
        <v>100443065</v>
      </c>
      <c r="U293" s="45">
        <f t="shared" si="5"/>
        <v>113955188</v>
      </c>
      <c r="V293" s="45">
        <f t="shared" si="5"/>
        <v>137657081</v>
      </c>
      <c r="W293" s="45">
        <f t="shared" si="5"/>
        <v>151777748</v>
      </c>
      <c r="X293" s="45">
        <f t="shared" si="5"/>
        <v>143875298</v>
      </c>
      <c r="Y293" s="45">
        <f t="shared" si="5"/>
        <v>136472790</v>
      </c>
      <c r="Z293" s="45">
        <f t="shared" si="5"/>
        <v>134170548</v>
      </c>
      <c r="AA293" s="45">
        <f t="shared" si="5"/>
        <v>133768680</v>
      </c>
      <c r="AB293" s="45">
        <f t="shared" si="5"/>
        <v>104067350</v>
      </c>
      <c r="AC293" s="45">
        <f t="shared" si="5"/>
        <v>83364021</v>
      </c>
      <c r="AD293" t="str">
        <f t="shared" si="6"/>
        <v>Spring</v>
      </c>
      <c r="AE293" t="str">
        <f>INDEX('Category Mapping'!$B$2:$B$29,MATCH('Modified Source Data'!A293,'Category Mapping'!$A$2:$A$29,0))</f>
        <v>Weekday</v>
      </c>
      <c r="AF293" t="str">
        <f>INDEX('Category Mapping'!$C$2:$C$29,MATCH('Modified Source Data'!A293,'Category Mapping'!$A$2:$A$29,0))</f>
        <v>Residential</v>
      </c>
      <c r="AG293" t="str">
        <f>INDEX('Category Mapping'!$D$2:$D$29,MATCH('Modified Source Data'!A293,'Category Mapping'!$A$2:$A$29,0))</f>
        <v>Other</v>
      </c>
    </row>
    <row r="294" spans="1:33" x14ac:dyDescent="0.25">
      <c r="A294" s="43" t="s">
        <v>196</v>
      </c>
      <c r="B294" s="44"/>
      <c r="C294" s="44"/>
      <c r="D294" s="44"/>
      <c r="E294" s="44">
        <v>4</v>
      </c>
      <c r="F294" s="45">
        <f t="shared" si="7"/>
        <v>68867012</v>
      </c>
      <c r="G294" s="45">
        <f t="shared" si="5"/>
        <v>50067436</v>
      </c>
      <c r="H294" s="45">
        <f t="shared" si="5"/>
        <v>39759439</v>
      </c>
      <c r="I294" s="45">
        <f t="shared" si="5"/>
        <v>34072674</v>
      </c>
      <c r="J294" s="45">
        <f t="shared" si="5"/>
        <v>35045550</v>
      </c>
      <c r="K294" s="45">
        <f t="shared" si="5"/>
        <v>45342123</v>
      </c>
      <c r="L294" s="45">
        <f t="shared" si="5"/>
        <v>69025106</v>
      </c>
      <c r="M294" s="45">
        <f t="shared" si="5"/>
        <v>86295880</v>
      </c>
      <c r="N294" s="45">
        <f t="shared" si="5"/>
        <v>95767605</v>
      </c>
      <c r="O294" s="45">
        <f t="shared" si="5"/>
        <v>97257957</v>
      </c>
      <c r="P294" s="45">
        <f t="shared" si="5"/>
        <v>96958637</v>
      </c>
      <c r="Q294" s="45">
        <f t="shared" si="5"/>
        <v>98376332</v>
      </c>
      <c r="R294" s="45">
        <f t="shared" si="5"/>
        <v>96517478</v>
      </c>
      <c r="S294" s="45">
        <f t="shared" si="5"/>
        <v>96860654</v>
      </c>
      <c r="T294" s="45">
        <f t="shared" si="5"/>
        <v>100090956</v>
      </c>
      <c r="U294" s="45">
        <f t="shared" si="5"/>
        <v>114241366</v>
      </c>
      <c r="V294" s="45">
        <f t="shared" si="5"/>
        <v>137862582</v>
      </c>
      <c r="W294" s="45">
        <f t="shared" si="5"/>
        <v>150578134</v>
      </c>
      <c r="X294" s="45">
        <f t="shared" si="5"/>
        <v>143121865</v>
      </c>
      <c r="Y294" s="45">
        <f t="shared" si="5"/>
        <v>135719109</v>
      </c>
      <c r="Z294" s="45">
        <f t="shared" si="5"/>
        <v>134127966</v>
      </c>
      <c r="AA294" s="45">
        <f t="shared" si="5"/>
        <v>133663363</v>
      </c>
      <c r="AB294" s="45">
        <f t="shared" si="5"/>
        <v>103962189</v>
      </c>
      <c r="AC294" s="45">
        <f t="shared" si="5"/>
        <v>83853546</v>
      </c>
      <c r="AD294" t="str">
        <f t="shared" si="6"/>
        <v>Spring</v>
      </c>
      <c r="AE294" t="str">
        <f>INDEX('Category Mapping'!$B$2:$B$29,MATCH('Modified Source Data'!A294,'Category Mapping'!$A$2:$A$29,0))</f>
        <v>Weekday</v>
      </c>
      <c r="AF294" t="str">
        <f>INDEX('Category Mapping'!$C$2:$C$29,MATCH('Modified Source Data'!A294,'Category Mapping'!$A$2:$A$29,0))</f>
        <v>Residential</v>
      </c>
      <c r="AG294" t="str">
        <f>INDEX('Category Mapping'!$D$2:$D$29,MATCH('Modified Source Data'!A294,'Category Mapping'!$A$2:$A$29,0))</f>
        <v>Other</v>
      </c>
    </row>
    <row r="295" spans="1:33" x14ac:dyDescent="0.25">
      <c r="A295" s="43" t="s">
        <v>196</v>
      </c>
      <c r="B295" s="44"/>
      <c r="C295" s="44"/>
      <c r="D295" s="44"/>
      <c r="E295" s="44">
        <v>5</v>
      </c>
      <c r="F295" s="45">
        <f t="shared" si="7"/>
        <v>68741217</v>
      </c>
      <c r="G295" s="45">
        <f t="shared" si="5"/>
        <v>49888809</v>
      </c>
      <c r="H295" s="45">
        <f t="shared" si="5"/>
        <v>39618516</v>
      </c>
      <c r="I295" s="45">
        <f t="shared" si="5"/>
        <v>33869476</v>
      </c>
      <c r="J295" s="45">
        <f t="shared" si="5"/>
        <v>34933797</v>
      </c>
      <c r="K295" s="45">
        <f t="shared" si="5"/>
        <v>45033735</v>
      </c>
      <c r="L295" s="45">
        <f t="shared" si="5"/>
        <v>68249710</v>
      </c>
      <c r="M295" s="45">
        <f t="shared" si="5"/>
        <v>85598038</v>
      </c>
      <c r="N295" s="45">
        <f t="shared" si="5"/>
        <v>95354292</v>
      </c>
      <c r="O295" s="45">
        <f t="shared" si="5"/>
        <v>96956220</v>
      </c>
      <c r="P295" s="45">
        <f t="shared" si="5"/>
        <v>97250920</v>
      </c>
      <c r="Q295" s="45">
        <f t="shared" si="5"/>
        <v>98038842</v>
      </c>
      <c r="R295" s="45">
        <f t="shared" si="5"/>
        <v>96583832</v>
      </c>
      <c r="S295" s="45">
        <f t="shared" si="5"/>
        <v>96289890</v>
      </c>
      <c r="T295" s="45">
        <f t="shared" si="5"/>
        <v>100588907</v>
      </c>
      <c r="U295" s="45">
        <f t="shared" si="5"/>
        <v>114179060</v>
      </c>
      <c r="V295" s="45">
        <f t="shared" si="5"/>
        <v>138024231</v>
      </c>
      <c r="W295" s="45">
        <f t="shared" si="5"/>
        <v>150487562</v>
      </c>
      <c r="X295" s="45">
        <f t="shared" si="5"/>
        <v>143526761</v>
      </c>
      <c r="Y295" s="45">
        <f t="shared" si="5"/>
        <v>136294767</v>
      </c>
      <c r="Z295" s="45">
        <f t="shared" si="5"/>
        <v>133711443</v>
      </c>
      <c r="AA295" s="45">
        <f t="shared" si="5"/>
        <v>132933914</v>
      </c>
      <c r="AB295" s="45">
        <f t="shared" si="5"/>
        <v>103062681</v>
      </c>
      <c r="AC295" s="45">
        <f t="shared" si="5"/>
        <v>83774873</v>
      </c>
      <c r="AD295" t="str">
        <f t="shared" si="6"/>
        <v>Spring</v>
      </c>
      <c r="AE295" t="str">
        <f>INDEX('Category Mapping'!$B$2:$B$29,MATCH('Modified Source Data'!A295,'Category Mapping'!$A$2:$A$29,0))</f>
        <v>Weekday</v>
      </c>
      <c r="AF295" t="str">
        <f>INDEX('Category Mapping'!$C$2:$C$29,MATCH('Modified Source Data'!A295,'Category Mapping'!$A$2:$A$29,0))</f>
        <v>Residential</v>
      </c>
      <c r="AG295" t="str">
        <f>INDEX('Category Mapping'!$D$2:$D$29,MATCH('Modified Source Data'!A295,'Category Mapping'!$A$2:$A$29,0))</f>
        <v>Other</v>
      </c>
    </row>
    <row r="296" spans="1:33" x14ac:dyDescent="0.25">
      <c r="A296" s="43" t="s">
        <v>196</v>
      </c>
      <c r="B296" s="44"/>
      <c r="C296" s="44"/>
      <c r="D296" s="44"/>
      <c r="E296" s="44">
        <v>6</v>
      </c>
      <c r="F296" s="45">
        <f t="shared" si="7"/>
        <v>68797444</v>
      </c>
      <c r="G296" s="45">
        <f t="shared" si="5"/>
        <v>49907234</v>
      </c>
      <c r="H296" s="45">
        <f t="shared" si="5"/>
        <v>39617767</v>
      </c>
      <c r="I296" s="45">
        <f t="shared" si="5"/>
        <v>33965074</v>
      </c>
      <c r="J296" s="45">
        <f t="shared" si="5"/>
        <v>35062786</v>
      </c>
      <c r="K296" s="45">
        <f t="shared" si="5"/>
        <v>45109089</v>
      </c>
      <c r="L296" s="45">
        <f t="shared" si="5"/>
        <v>68743107</v>
      </c>
      <c r="M296" s="45">
        <f t="shared" si="5"/>
        <v>85507951</v>
      </c>
      <c r="N296" s="45">
        <f t="shared" si="5"/>
        <v>95406568</v>
      </c>
      <c r="O296" s="45">
        <f t="shared" si="5"/>
        <v>97594907</v>
      </c>
      <c r="P296" s="45">
        <f t="shared" si="5"/>
        <v>97746888</v>
      </c>
      <c r="Q296" s="45">
        <f t="shared" si="5"/>
        <v>98850332</v>
      </c>
      <c r="R296" s="45">
        <f t="shared" si="5"/>
        <v>97417982</v>
      </c>
      <c r="S296" s="45">
        <f t="shared" si="5"/>
        <v>97403346</v>
      </c>
      <c r="T296" s="45">
        <f t="shared" si="5"/>
        <v>101509941</v>
      </c>
      <c r="U296" s="45">
        <f t="shared" si="5"/>
        <v>115327206</v>
      </c>
      <c r="V296" s="45">
        <f t="shared" si="5"/>
        <v>139589441</v>
      </c>
      <c r="W296" s="45">
        <f t="shared" si="5"/>
        <v>151535933</v>
      </c>
      <c r="X296" s="45">
        <f t="shared" si="5"/>
        <v>144382162</v>
      </c>
      <c r="Y296" s="45">
        <f t="shared" si="5"/>
        <v>137661403</v>
      </c>
      <c r="Z296" s="45">
        <f t="shared" si="5"/>
        <v>134656803</v>
      </c>
      <c r="AA296" s="45">
        <f t="shared" si="5"/>
        <v>133910650</v>
      </c>
      <c r="AB296" s="45">
        <f t="shared" si="5"/>
        <v>104197718</v>
      </c>
      <c r="AC296" s="45">
        <f t="shared" si="5"/>
        <v>83486791</v>
      </c>
      <c r="AD296" t="str">
        <f t="shared" si="6"/>
        <v>Summer</v>
      </c>
      <c r="AE296" t="str">
        <f>INDEX('Category Mapping'!$B$2:$B$29,MATCH('Modified Source Data'!A296,'Category Mapping'!$A$2:$A$29,0))</f>
        <v>Weekday</v>
      </c>
      <c r="AF296" t="str">
        <f>INDEX('Category Mapping'!$C$2:$C$29,MATCH('Modified Source Data'!A296,'Category Mapping'!$A$2:$A$29,0))</f>
        <v>Residential</v>
      </c>
      <c r="AG296" t="str">
        <f>INDEX('Category Mapping'!$D$2:$D$29,MATCH('Modified Source Data'!A296,'Category Mapping'!$A$2:$A$29,0))</f>
        <v>Other</v>
      </c>
    </row>
    <row r="297" spans="1:33" x14ac:dyDescent="0.25">
      <c r="A297" s="43" t="s">
        <v>196</v>
      </c>
      <c r="B297" s="44"/>
      <c r="C297" s="44"/>
      <c r="D297" s="44"/>
      <c r="E297" s="44">
        <v>7</v>
      </c>
      <c r="F297" s="45">
        <f t="shared" si="7"/>
        <v>70828034</v>
      </c>
      <c r="G297" s="45">
        <f t="shared" si="5"/>
        <v>51342299</v>
      </c>
      <c r="H297" s="45">
        <f t="shared" si="5"/>
        <v>41163334</v>
      </c>
      <c r="I297" s="45">
        <f t="shared" si="5"/>
        <v>35509490</v>
      </c>
      <c r="J297" s="45">
        <f t="shared" si="5"/>
        <v>36131318</v>
      </c>
      <c r="K297" s="45">
        <f t="shared" si="5"/>
        <v>46607779</v>
      </c>
      <c r="L297" s="45">
        <f t="shared" si="5"/>
        <v>69460458</v>
      </c>
      <c r="M297" s="45">
        <f t="shared" si="5"/>
        <v>87172466</v>
      </c>
      <c r="N297" s="45">
        <f t="shared" si="5"/>
        <v>96668137</v>
      </c>
      <c r="O297" s="45">
        <f t="shared" si="5"/>
        <v>97946727</v>
      </c>
      <c r="P297" s="45">
        <f t="shared" si="5"/>
        <v>98100902</v>
      </c>
      <c r="Q297" s="45">
        <f t="shared" si="5"/>
        <v>100371790</v>
      </c>
      <c r="R297" s="45">
        <f t="shared" si="5"/>
        <v>98628550</v>
      </c>
      <c r="S297" s="45">
        <f t="shared" si="5"/>
        <v>98710639</v>
      </c>
      <c r="T297" s="45">
        <f t="shared" si="5"/>
        <v>102420442</v>
      </c>
      <c r="U297" s="45">
        <f t="shared" si="5"/>
        <v>116550673</v>
      </c>
      <c r="V297" s="45">
        <f t="shared" si="5"/>
        <v>140836078</v>
      </c>
      <c r="W297" s="45">
        <f t="shared" si="5"/>
        <v>153111583</v>
      </c>
      <c r="X297" s="45">
        <f t="shared" si="5"/>
        <v>146017787</v>
      </c>
      <c r="Y297" s="45">
        <f t="shared" si="5"/>
        <v>138613702</v>
      </c>
      <c r="Z297" s="45">
        <f t="shared" si="5"/>
        <v>136512797</v>
      </c>
      <c r="AA297" s="45">
        <f t="shared" si="5"/>
        <v>135523392</v>
      </c>
      <c r="AB297" s="45">
        <f t="shared" si="5"/>
        <v>105786767</v>
      </c>
      <c r="AC297" s="45">
        <f t="shared" si="5"/>
        <v>85810419</v>
      </c>
      <c r="AD297" t="str">
        <f t="shared" si="6"/>
        <v>Summer</v>
      </c>
      <c r="AE297" t="str">
        <f>INDEX('Category Mapping'!$B$2:$B$29,MATCH('Modified Source Data'!A297,'Category Mapping'!$A$2:$A$29,0))</f>
        <v>Weekday</v>
      </c>
      <c r="AF297" t="str">
        <f>INDEX('Category Mapping'!$C$2:$C$29,MATCH('Modified Source Data'!A297,'Category Mapping'!$A$2:$A$29,0))</f>
        <v>Residential</v>
      </c>
      <c r="AG297" t="str">
        <f>INDEX('Category Mapping'!$D$2:$D$29,MATCH('Modified Source Data'!A297,'Category Mapping'!$A$2:$A$29,0))</f>
        <v>Other</v>
      </c>
    </row>
    <row r="298" spans="1:33" x14ac:dyDescent="0.25">
      <c r="A298" s="43" t="s">
        <v>196</v>
      </c>
      <c r="B298" s="44"/>
      <c r="C298" s="44"/>
      <c r="D298" s="44"/>
      <c r="E298" s="44">
        <v>8</v>
      </c>
      <c r="F298" s="45">
        <f t="shared" si="7"/>
        <v>70725391</v>
      </c>
      <c r="G298" s="45">
        <f t="shared" si="5"/>
        <v>51539545</v>
      </c>
      <c r="H298" s="45">
        <f t="shared" si="5"/>
        <v>40860598</v>
      </c>
      <c r="I298" s="45">
        <f t="shared" si="5"/>
        <v>35506753</v>
      </c>
      <c r="J298" s="45">
        <f t="shared" si="5"/>
        <v>37128711</v>
      </c>
      <c r="K298" s="45">
        <f t="shared" si="5"/>
        <v>46903737</v>
      </c>
      <c r="L298" s="45">
        <f t="shared" si="5"/>
        <v>70109712</v>
      </c>
      <c r="M298" s="45">
        <f t="shared" si="5"/>
        <v>87568196</v>
      </c>
      <c r="N298" s="45">
        <f t="shared" si="5"/>
        <v>96663904</v>
      </c>
      <c r="O298" s="45">
        <f t="shared" si="5"/>
        <v>98443751</v>
      </c>
      <c r="P298" s="45">
        <f t="shared" si="5"/>
        <v>98297900</v>
      </c>
      <c r="Q298" s="45">
        <f t="shared" si="5"/>
        <v>100168008</v>
      </c>
      <c r="R298" s="45">
        <f t="shared" si="5"/>
        <v>98324999</v>
      </c>
      <c r="S298" s="45">
        <f t="shared" si="5"/>
        <v>99207125</v>
      </c>
      <c r="T298" s="45">
        <f t="shared" si="5"/>
        <v>103016890</v>
      </c>
      <c r="U298" s="45">
        <f t="shared" si="5"/>
        <v>117046974</v>
      </c>
      <c r="V298" s="45">
        <f t="shared" si="5"/>
        <v>140532113</v>
      </c>
      <c r="W298" s="45">
        <f t="shared" si="5"/>
        <v>153107287</v>
      </c>
      <c r="X298" s="45">
        <f t="shared" si="5"/>
        <v>146613948</v>
      </c>
      <c r="Y298" s="45">
        <f t="shared" si="5"/>
        <v>138609673</v>
      </c>
      <c r="Z298" s="45">
        <f t="shared" si="5"/>
        <v>137008726</v>
      </c>
      <c r="AA298" s="45">
        <f t="shared" si="5"/>
        <v>135619815</v>
      </c>
      <c r="AB298" s="45">
        <f t="shared" si="5"/>
        <v>105783461</v>
      </c>
      <c r="AC298" s="45">
        <f t="shared" si="5"/>
        <v>85507585</v>
      </c>
      <c r="AD298" t="str">
        <f t="shared" si="6"/>
        <v>Summer</v>
      </c>
      <c r="AE298" t="str">
        <f>INDEX('Category Mapping'!$B$2:$B$29,MATCH('Modified Source Data'!A298,'Category Mapping'!$A$2:$A$29,0))</f>
        <v>Weekday</v>
      </c>
      <c r="AF298" t="str">
        <f>INDEX('Category Mapping'!$C$2:$C$29,MATCH('Modified Source Data'!A298,'Category Mapping'!$A$2:$A$29,0))</f>
        <v>Residential</v>
      </c>
      <c r="AG298" t="str">
        <f>INDEX('Category Mapping'!$D$2:$D$29,MATCH('Modified Source Data'!A298,'Category Mapping'!$A$2:$A$29,0))</f>
        <v>Other</v>
      </c>
    </row>
    <row r="299" spans="1:33" x14ac:dyDescent="0.25">
      <c r="A299" s="43" t="s">
        <v>196</v>
      </c>
      <c r="B299" s="44"/>
      <c r="C299" s="44"/>
      <c r="D299" s="44"/>
      <c r="E299" s="44">
        <v>9</v>
      </c>
      <c r="F299" s="45">
        <f t="shared" si="7"/>
        <v>68770365</v>
      </c>
      <c r="G299" s="45">
        <f t="shared" si="5"/>
        <v>49901822</v>
      </c>
      <c r="H299" s="45">
        <f t="shared" si="5"/>
        <v>39620443</v>
      </c>
      <c r="I299" s="45">
        <f t="shared" si="5"/>
        <v>33955951</v>
      </c>
      <c r="J299" s="45">
        <f t="shared" si="5"/>
        <v>35024615</v>
      </c>
      <c r="K299" s="45">
        <f t="shared" si="5"/>
        <v>45167723</v>
      </c>
      <c r="L299" s="45">
        <f t="shared" si="5"/>
        <v>68135228</v>
      </c>
      <c r="M299" s="45">
        <f t="shared" si="5"/>
        <v>86274607</v>
      </c>
      <c r="N299" s="45">
        <f t="shared" si="5"/>
        <v>95383040</v>
      </c>
      <c r="O299" s="45">
        <f t="shared" si="5"/>
        <v>97130861</v>
      </c>
      <c r="P299" s="45">
        <f t="shared" si="5"/>
        <v>97272845</v>
      </c>
      <c r="Q299" s="45">
        <f t="shared" si="5"/>
        <v>99061673</v>
      </c>
      <c r="R299" s="45">
        <f t="shared" si="5"/>
        <v>97015699</v>
      </c>
      <c r="S299" s="45">
        <f t="shared" si="5"/>
        <v>97305306</v>
      </c>
      <c r="T299" s="45">
        <f t="shared" si="5"/>
        <v>101707744</v>
      </c>
      <c r="U299" s="45">
        <f t="shared" si="5"/>
        <v>115208214</v>
      </c>
      <c r="V299" s="45">
        <f t="shared" si="5"/>
        <v>138940437</v>
      </c>
      <c r="W299" s="45">
        <f t="shared" si="5"/>
        <v>152149349</v>
      </c>
      <c r="X299" s="45">
        <f t="shared" si="5"/>
        <v>144747421</v>
      </c>
      <c r="Y299" s="45">
        <f t="shared" si="5"/>
        <v>136505065</v>
      </c>
      <c r="Z299" s="45">
        <f t="shared" si="5"/>
        <v>134995677</v>
      </c>
      <c r="AA299" s="45">
        <f t="shared" si="5"/>
        <v>133505550</v>
      </c>
      <c r="AB299" s="45">
        <f t="shared" si="5"/>
        <v>103264344</v>
      </c>
      <c r="AC299" s="45">
        <f t="shared" si="5"/>
        <v>83519863</v>
      </c>
      <c r="AD299" t="str">
        <f t="shared" si="6"/>
        <v>Fall</v>
      </c>
      <c r="AE299" t="str">
        <f>INDEX('Category Mapping'!$B$2:$B$29,MATCH('Modified Source Data'!A299,'Category Mapping'!$A$2:$A$29,0))</f>
        <v>Weekday</v>
      </c>
      <c r="AF299" t="str">
        <f>INDEX('Category Mapping'!$C$2:$C$29,MATCH('Modified Source Data'!A299,'Category Mapping'!$A$2:$A$29,0))</f>
        <v>Residential</v>
      </c>
      <c r="AG299" t="str">
        <f>INDEX('Category Mapping'!$D$2:$D$29,MATCH('Modified Source Data'!A299,'Category Mapping'!$A$2:$A$29,0))</f>
        <v>Other</v>
      </c>
    </row>
    <row r="300" spans="1:33" x14ac:dyDescent="0.25">
      <c r="A300" s="43" t="s">
        <v>196</v>
      </c>
      <c r="B300" s="44"/>
      <c r="C300" s="44"/>
      <c r="D300" s="44"/>
      <c r="E300" s="44">
        <v>10</v>
      </c>
      <c r="F300" s="45">
        <f t="shared" si="7"/>
        <v>68867906</v>
      </c>
      <c r="G300" s="45">
        <f t="shared" si="5"/>
        <v>50005982</v>
      </c>
      <c r="H300" s="45">
        <f t="shared" si="5"/>
        <v>39715679</v>
      </c>
      <c r="I300" s="45">
        <f t="shared" si="5"/>
        <v>34017510</v>
      </c>
      <c r="J300" s="45">
        <f t="shared" si="5"/>
        <v>35025420</v>
      </c>
      <c r="K300" s="45">
        <f t="shared" si="5"/>
        <v>45298891</v>
      </c>
      <c r="L300" s="45">
        <f t="shared" si="5"/>
        <v>68828663</v>
      </c>
      <c r="M300" s="45">
        <f t="shared" si="5"/>
        <v>85450896</v>
      </c>
      <c r="N300" s="45">
        <f t="shared" si="5"/>
        <v>95020301</v>
      </c>
      <c r="O300" s="45">
        <f t="shared" si="5"/>
        <v>96839854</v>
      </c>
      <c r="P300" s="45">
        <f t="shared" si="5"/>
        <v>96390925</v>
      </c>
      <c r="Q300" s="45">
        <f t="shared" si="5"/>
        <v>98469973</v>
      </c>
      <c r="R300" s="45">
        <f t="shared" si="5"/>
        <v>95955092</v>
      </c>
      <c r="S300" s="45">
        <f t="shared" si="5"/>
        <v>96336073</v>
      </c>
      <c r="T300" s="45">
        <f t="shared" si="5"/>
        <v>99866681</v>
      </c>
      <c r="U300" s="45">
        <f t="shared" si="5"/>
        <v>113584245</v>
      </c>
      <c r="V300" s="45">
        <f t="shared" si="5"/>
        <v>137938859</v>
      </c>
      <c r="W300" s="45">
        <f t="shared" si="5"/>
        <v>150830072</v>
      </c>
      <c r="X300" s="45">
        <f t="shared" si="5"/>
        <v>143201104</v>
      </c>
      <c r="Y300" s="45">
        <f t="shared" si="5"/>
        <v>135707250</v>
      </c>
      <c r="Z300" s="45">
        <f t="shared" si="5"/>
        <v>134159783</v>
      </c>
      <c r="AA300" s="45">
        <f t="shared" si="5"/>
        <v>133729636</v>
      </c>
      <c r="AB300" s="45">
        <f t="shared" si="5"/>
        <v>103539921</v>
      </c>
      <c r="AC300" s="45">
        <f t="shared" si="5"/>
        <v>83857743</v>
      </c>
      <c r="AD300" t="str">
        <f t="shared" si="6"/>
        <v>Fall</v>
      </c>
      <c r="AE300" t="str">
        <f>INDEX('Category Mapping'!$B$2:$B$29,MATCH('Modified Source Data'!A300,'Category Mapping'!$A$2:$A$29,0))</f>
        <v>Weekday</v>
      </c>
      <c r="AF300" t="str">
        <f>INDEX('Category Mapping'!$C$2:$C$29,MATCH('Modified Source Data'!A300,'Category Mapping'!$A$2:$A$29,0))</f>
        <v>Residential</v>
      </c>
      <c r="AG300" t="str">
        <f>INDEX('Category Mapping'!$D$2:$D$29,MATCH('Modified Source Data'!A300,'Category Mapping'!$A$2:$A$29,0))</f>
        <v>Other</v>
      </c>
    </row>
    <row r="301" spans="1:33" x14ac:dyDescent="0.25">
      <c r="A301" s="43" t="s">
        <v>196</v>
      </c>
      <c r="B301" s="44"/>
      <c r="C301" s="44"/>
      <c r="D301" s="44"/>
      <c r="E301" s="44">
        <v>11</v>
      </c>
      <c r="F301" s="45">
        <f t="shared" si="7"/>
        <v>69057315</v>
      </c>
      <c r="G301" s="45">
        <f t="shared" si="5"/>
        <v>50244664</v>
      </c>
      <c r="H301" s="45">
        <f t="shared" si="5"/>
        <v>40029687</v>
      </c>
      <c r="I301" s="45">
        <f t="shared" si="5"/>
        <v>34293620</v>
      </c>
      <c r="J301" s="45">
        <f t="shared" si="5"/>
        <v>35282850</v>
      </c>
      <c r="K301" s="45">
        <f t="shared" si="5"/>
        <v>45571033</v>
      </c>
      <c r="L301" s="45">
        <f t="shared" si="5"/>
        <v>69564729</v>
      </c>
      <c r="M301" s="45">
        <f t="shared" si="5"/>
        <v>85773531</v>
      </c>
      <c r="N301" s="45">
        <f t="shared" si="5"/>
        <v>95778609</v>
      </c>
      <c r="O301" s="45">
        <f t="shared" si="5"/>
        <v>97327068</v>
      </c>
      <c r="P301" s="45">
        <f t="shared" si="5"/>
        <v>97267543</v>
      </c>
      <c r="Q301" s="45">
        <f t="shared" si="5"/>
        <v>98531744</v>
      </c>
      <c r="R301" s="45">
        <f t="shared" si="5"/>
        <v>96618413</v>
      </c>
      <c r="S301" s="45">
        <f t="shared" si="5"/>
        <v>96538708</v>
      </c>
      <c r="T301" s="45">
        <f t="shared" si="5"/>
        <v>100239276</v>
      </c>
      <c r="U301" s="45">
        <f t="shared" si="5"/>
        <v>113615243</v>
      </c>
      <c r="V301" s="45">
        <f t="shared" si="5"/>
        <v>138248498</v>
      </c>
      <c r="W301" s="45">
        <f t="shared" si="5"/>
        <v>151168763</v>
      </c>
      <c r="X301" s="45">
        <f t="shared" si="5"/>
        <v>144065323</v>
      </c>
      <c r="Y301" s="45">
        <f t="shared" si="5"/>
        <v>136861802</v>
      </c>
      <c r="Z301" s="45">
        <f t="shared" si="5"/>
        <v>134458655</v>
      </c>
      <c r="AA301" s="45">
        <f t="shared" si="5"/>
        <v>134056032</v>
      </c>
      <c r="AB301" s="45">
        <f t="shared" si="5"/>
        <v>104154165</v>
      </c>
      <c r="AC301" s="45">
        <f t="shared" si="5"/>
        <v>83584174</v>
      </c>
      <c r="AD301" t="str">
        <f t="shared" si="6"/>
        <v>Winter</v>
      </c>
      <c r="AE301" t="str">
        <f>INDEX('Category Mapping'!$B$2:$B$29,MATCH('Modified Source Data'!A301,'Category Mapping'!$A$2:$A$29,0))</f>
        <v>Weekday</v>
      </c>
      <c r="AF301" t="str">
        <f>INDEX('Category Mapping'!$C$2:$C$29,MATCH('Modified Source Data'!A301,'Category Mapping'!$A$2:$A$29,0))</f>
        <v>Residential</v>
      </c>
      <c r="AG301" t="str">
        <f>INDEX('Category Mapping'!$D$2:$D$29,MATCH('Modified Source Data'!A301,'Category Mapping'!$A$2:$A$29,0))</f>
        <v>Other</v>
      </c>
    </row>
    <row r="302" spans="1:33" x14ac:dyDescent="0.25">
      <c r="A302" s="43" t="s">
        <v>196</v>
      </c>
      <c r="B302" s="44"/>
      <c r="C302" s="44"/>
      <c r="D302" s="44"/>
      <c r="E302" s="44">
        <v>12</v>
      </c>
      <c r="F302" s="45">
        <f t="shared" si="7"/>
        <v>69639307</v>
      </c>
      <c r="G302" s="45">
        <f t="shared" si="5"/>
        <v>50495886</v>
      </c>
      <c r="H302" s="45">
        <f t="shared" si="5"/>
        <v>40215773</v>
      </c>
      <c r="I302" s="45">
        <f t="shared" si="5"/>
        <v>34587515</v>
      </c>
      <c r="J302" s="45">
        <f t="shared" si="5"/>
        <v>35540505</v>
      </c>
      <c r="K302" s="45">
        <f t="shared" si="5"/>
        <v>45451799</v>
      </c>
      <c r="L302" s="45">
        <f t="shared" si="5"/>
        <v>69686657</v>
      </c>
      <c r="M302" s="45">
        <f t="shared" si="5"/>
        <v>86889986</v>
      </c>
      <c r="N302" s="45">
        <f t="shared" si="5"/>
        <v>95791908</v>
      </c>
      <c r="O302" s="45">
        <f t="shared" si="5"/>
        <v>97593004</v>
      </c>
      <c r="P302" s="45">
        <f t="shared" si="5"/>
        <v>97193087</v>
      </c>
      <c r="Q302" s="45">
        <f t="shared" si="5"/>
        <v>98292268</v>
      </c>
      <c r="R302" s="45">
        <f t="shared" si="5"/>
        <v>97091607</v>
      </c>
      <c r="S302" s="45">
        <f t="shared" si="5"/>
        <v>97284556</v>
      </c>
      <c r="T302" s="45">
        <f t="shared" si="5"/>
        <v>101138421</v>
      </c>
      <c r="U302" s="45">
        <f t="shared" si="5"/>
        <v>114244704</v>
      </c>
      <c r="V302" s="45">
        <f t="shared" si="5"/>
        <v>139189218</v>
      </c>
      <c r="W302" s="45">
        <f t="shared" si="5"/>
        <v>151588182</v>
      </c>
      <c r="X302" s="45">
        <f t="shared" ref="X302:AC302" si="8">SUMIFS(X$3:X$290,$AF$3:$AF$290,"*"&amp;"Residential"&amp;"*",$E$3:$E$290,$E302,$AG$3:$AG$290,"Total",$AE$3:$AE$290,"Weekday")-SUMIFS(X$3:X$290,$AF$3:$AF$290,"*"&amp;"Residential"&amp;"*",$E$3:$E$290,$E302,$AG$3:$AG$290,"&lt;&gt;"&amp;"Total",$AE$3:$AE$290,"Weekday")</f>
        <v>144186881</v>
      </c>
      <c r="Y302" s="45">
        <f t="shared" si="8"/>
        <v>137085549</v>
      </c>
      <c r="Z302" s="45">
        <f t="shared" si="8"/>
        <v>134884359</v>
      </c>
      <c r="AA302" s="45">
        <f t="shared" si="8"/>
        <v>133983366</v>
      </c>
      <c r="AB302" s="45">
        <f t="shared" si="8"/>
        <v>104182660</v>
      </c>
      <c r="AC302" s="45">
        <f t="shared" si="8"/>
        <v>84454742</v>
      </c>
      <c r="AD302" t="str">
        <f t="shared" si="6"/>
        <v>Winter</v>
      </c>
      <c r="AE302" t="str">
        <f>INDEX('Category Mapping'!$B$2:$B$29,MATCH('Modified Source Data'!A302,'Category Mapping'!$A$2:$A$29,0))</f>
        <v>Weekday</v>
      </c>
      <c r="AF302" t="str">
        <f>INDEX('Category Mapping'!$C$2:$C$29,MATCH('Modified Source Data'!A302,'Category Mapping'!$A$2:$A$29,0))</f>
        <v>Residential</v>
      </c>
      <c r="AG302" t="str">
        <f>INDEX('Category Mapping'!$D$2:$D$29,MATCH('Modified Source Data'!A302,'Category Mapping'!$A$2:$A$29,0))</f>
        <v>Other</v>
      </c>
    </row>
    <row r="303" spans="1:33" x14ac:dyDescent="0.25">
      <c r="A303" s="37" t="s">
        <v>197</v>
      </c>
      <c r="B303" s="38"/>
      <c r="C303" s="38"/>
      <c r="D303" s="38"/>
      <c r="E303" s="38">
        <v>1</v>
      </c>
      <c r="F303" s="39">
        <f>SUMIFS(F$3:F$290,$AF$3:$AF$290,"*"&amp;"Residential"&amp;"*",$E$3:$E$290,$E303,$AG$3:$AG$290,"Total",$AE$3:$AE$290,"Weekend")-SUMIFS(F$3:F$290,$AF$3:$AF$290,"*"&amp;"Residential"&amp;"*",$E$3:$E$290,$E303,$AG$3:$AG$290,"&lt;&gt;"&amp;"Total",$AE$3:$AE$290,"Weekend")</f>
        <v>33988375</v>
      </c>
      <c r="G303" s="39">
        <f t="shared" ref="G303:AC314" si="9">SUMIFS(G$3:G$290,$AF$3:$AF$290,"*"&amp;"Residential"&amp;"*",$E$3:$E$290,$E303,$AG$3:$AG$290,"Total",$AE$3:$AE$290,"Weekend")-SUMIFS(G$3:G$290,$AF$3:$AF$290,"*"&amp;"Residential"&amp;"*",$E$3:$E$290,$E303,$AG$3:$AG$290,"&lt;&gt;"&amp;"Total",$AE$3:$AE$290,"Weekend")</f>
        <v>26945730</v>
      </c>
      <c r="H303" s="39">
        <f t="shared" si="9"/>
        <v>21041185</v>
      </c>
      <c r="I303" s="39">
        <f t="shared" si="9"/>
        <v>17125415</v>
      </c>
      <c r="J303" s="39">
        <f t="shared" si="9"/>
        <v>17550583</v>
      </c>
      <c r="K303" s="39">
        <f t="shared" si="9"/>
        <v>19952693</v>
      </c>
      <c r="L303" s="39">
        <f t="shared" si="9"/>
        <v>28542974</v>
      </c>
      <c r="M303" s="39">
        <f t="shared" si="9"/>
        <v>39844783</v>
      </c>
      <c r="N303" s="39">
        <f t="shared" si="9"/>
        <v>47893579</v>
      </c>
      <c r="O303" s="39">
        <f t="shared" si="9"/>
        <v>59415608</v>
      </c>
      <c r="P303" s="39">
        <f t="shared" si="9"/>
        <v>76368307</v>
      </c>
      <c r="Q303" s="39">
        <f t="shared" si="9"/>
        <v>87178298</v>
      </c>
      <c r="R303" s="39">
        <f t="shared" si="9"/>
        <v>79782101</v>
      </c>
      <c r="S303" s="39">
        <f t="shared" si="9"/>
        <v>71093351</v>
      </c>
      <c r="T303" s="39">
        <f t="shared" si="9"/>
        <v>75285976</v>
      </c>
      <c r="U303" s="39">
        <f t="shared" si="9"/>
        <v>79564134</v>
      </c>
      <c r="V303" s="39">
        <f t="shared" si="9"/>
        <v>85795421</v>
      </c>
      <c r="W303" s="39">
        <f t="shared" si="9"/>
        <v>84495240</v>
      </c>
      <c r="X303" s="39">
        <f t="shared" si="9"/>
        <v>81394947</v>
      </c>
      <c r="Y303" s="39">
        <f t="shared" si="9"/>
        <v>75394630</v>
      </c>
      <c r="Z303" s="39">
        <f t="shared" si="9"/>
        <v>70894378</v>
      </c>
      <c r="AA303" s="39">
        <f t="shared" si="9"/>
        <v>65702047</v>
      </c>
      <c r="AB303" s="39">
        <f t="shared" si="9"/>
        <v>54502988</v>
      </c>
      <c r="AC303" s="39">
        <f t="shared" si="9"/>
        <v>43751117</v>
      </c>
      <c r="AD303" t="str">
        <f t="shared" si="6"/>
        <v>Winter</v>
      </c>
      <c r="AE303" t="str">
        <f>INDEX('Category Mapping'!$B$2:$B$29,MATCH('Modified Source Data'!A303,'Category Mapping'!$A$2:$A$29,0))</f>
        <v>Weekend</v>
      </c>
      <c r="AF303" t="str">
        <f>INDEX('Category Mapping'!$C$2:$C$29,MATCH('Modified Source Data'!A303,'Category Mapping'!$A$2:$A$29,0))</f>
        <v>Residential</v>
      </c>
      <c r="AG303" t="str">
        <f>INDEX('Category Mapping'!$D$2:$D$29,MATCH('Modified Source Data'!A303,'Category Mapping'!$A$2:$A$29,0))</f>
        <v>Other</v>
      </c>
    </row>
    <row r="304" spans="1:33" x14ac:dyDescent="0.25">
      <c r="A304" s="37" t="s">
        <v>197</v>
      </c>
      <c r="B304" s="38"/>
      <c r="C304" s="38"/>
      <c r="D304" s="38"/>
      <c r="E304" s="38">
        <v>2</v>
      </c>
      <c r="F304" s="39">
        <f t="shared" ref="F304:U314" si="10">SUMIFS(F$3:F$290,$AF$3:$AF$290,"*"&amp;"Residential"&amp;"*",$E$3:$E$290,$E304,$AG$3:$AG$290,"Total",$AE$3:$AE$290,"Weekend")-SUMIFS(F$3:F$290,$AF$3:$AF$290,"*"&amp;"Residential"&amp;"*",$E$3:$E$290,$E304,$AG$3:$AG$290,"&lt;&gt;"&amp;"Total",$AE$3:$AE$290,"Weekend")</f>
        <v>33924787</v>
      </c>
      <c r="G304" s="39">
        <f t="shared" si="10"/>
        <v>26874297</v>
      </c>
      <c r="H304" s="39">
        <f t="shared" si="10"/>
        <v>20871513</v>
      </c>
      <c r="I304" s="39">
        <f t="shared" si="10"/>
        <v>17107251</v>
      </c>
      <c r="J304" s="39">
        <f t="shared" si="10"/>
        <v>17428739</v>
      </c>
      <c r="K304" s="39">
        <f t="shared" si="10"/>
        <v>19852774</v>
      </c>
      <c r="L304" s="39">
        <f t="shared" si="10"/>
        <v>28473439</v>
      </c>
      <c r="M304" s="39">
        <f t="shared" si="10"/>
        <v>39613218</v>
      </c>
      <c r="N304" s="39">
        <f t="shared" si="10"/>
        <v>47785754</v>
      </c>
      <c r="O304" s="39">
        <f t="shared" si="10"/>
        <v>59214844</v>
      </c>
      <c r="P304" s="39">
        <f t="shared" si="10"/>
        <v>75968775</v>
      </c>
      <c r="Q304" s="39">
        <f t="shared" si="10"/>
        <v>87724411</v>
      </c>
      <c r="R304" s="39">
        <f t="shared" si="10"/>
        <v>80181388</v>
      </c>
      <c r="S304" s="39">
        <f t="shared" si="10"/>
        <v>70382325</v>
      </c>
      <c r="T304" s="39">
        <f t="shared" si="10"/>
        <v>74481532</v>
      </c>
      <c r="U304" s="39">
        <f t="shared" si="10"/>
        <v>79758317</v>
      </c>
      <c r="V304" s="39">
        <f t="shared" si="9"/>
        <v>86060414</v>
      </c>
      <c r="W304" s="39">
        <f t="shared" si="9"/>
        <v>85480643</v>
      </c>
      <c r="X304" s="39">
        <f t="shared" si="9"/>
        <v>80533804</v>
      </c>
      <c r="Y304" s="39">
        <f t="shared" si="9"/>
        <v>74393941</v>
      </c>
      <c r="Z304" s="39">
        <f t="shared" si="9"/>
        <v>69893657</v>
      </c>
      <c r="AA304" s="39">
        <f t="shared" si="9"/>
        <v>65513699</v>
      </c>
      <c r="AB304" s="39">
        <f t="shared" si="9"/>
        <v>54332815</v>
      </c>
      <c r="AC304" s="39">
        <f t="shared" si="9"/>
        <v>43629485</v>
      </c>
      <c r="AD304" t="str">
        <f t="shared" si="6"/>
        <v>Winter</v>
      </c>
      <c r="AE304" t="str">
        <f>INDEX('Category Mapping'!$B$2:$B$29,MATCH('Modified Source Data'!A304,'Category Mapping'!$A$2:$A$29,0))</f>
        <v>Weekend</v>
      </c>
      <c r="AF304" t="str">
        <f>INDEX('Category Mapping'!$C$2:$C$29,MATCH('Modified Source Data'!A304,'Category Mapping'!$A$2:$A$29,0))</f>
        <v>Residential</v>
      </c>
      <c r="AG304" t="str">
        <f>INDEX('Category Mapping'!$D$2:$D$29,MATCH('Modified Source Data'!A304,'Category Mapping'!$A$2:$A$29,0))</f>
        <v>Other</v>
      </c>
    </row>
    <row r="305" spans="1:33" x14ac:dyDescent="0.25">
      <c r="A305" s="37" t="s">
        <v>197</v>
      </c>
      <c r="B305" s="38"/>
      <c r="C305" s="38"/>
      <c r="D305" s="38"/>
      <c r="E305" s="38">
        <v>3</v>
      </c>
      <c r="F305" s="39">
        <f t="shared" si="10"/>
        <v>33815247</v>
      </c>
      <c r="G305" s="39">
        <f t="shared" si="9"/>
        <v>26819822</v>
      </c>
      <c r="H305" s="39">
        <f t="shared" si="9"/>
        <v>20778760</v>
      </c>
      <c r="I305" s="39">
        <f t="shared" si="9"/>
        <v>17002284</v>
      </c>
      <c r="J305" s="39">
        <f t="shared" si="9"/>
        <v>17341187</v>
      </c>
      <c r="K305" s="39">
        <f t="shared" si="9"/>
        <v>19805120</v>
      </c>
      <c r="L305" s="39">
        <f t="shared" si="9"/>
        <v>28394999</v>
      </c>
      <c r="M305" s="39">
        <f t="shared" si="9"/>
        <v>39515016</v>
      </c>
      <c r="N305" s="39">
        <f t="shared" si="9"/>
        <v>47674855</v>
      </c>
      <c r="O305" s="39">
        <f t="shared" si="9"/>
        <v>59206517</v>
      </c>
      <c r="P305" s="39">
        <f t="shared" si="9"/>
        <v>76427606</v>
      </c>
      <c r="Q305" s="39">
        <f t="shared" si="9"/>
        <v>87262166</v>
      </c>
      <c r="R305" s="39">
        <f t="shared" si="9"/>
        <v>79392733</v>
      </c>
      <c r="S305" s="39">
        <f t="shared" si="9"/>
        <v>70408187</v>
      </c>
      <c r="T305" s="39">
        <f t="shared" si="9"/>
        <v>74835829</v>
      </c>
      <c r="U305" s="39">
        <f t="shared" si="9"/>
        <v>79507889</v>
      </c>
      <c r="V305" s="39">
        <f t="shared" si="9"/>
        <v>85659672</v>
      </c>
      <c r="W305" s="39">
        <f t="shared" si="9"/>
        <v>84914356</v>
      </c>
      <c r="X305" s="39">
        <f t="shared" si="9"/>
        <v>80696330</v>
      </c>
      <c r="Y305" s="39">
        <f t="shared" si="9"/>
        <v>74746518</v>
      </c>
      <c r="Z305" s="39">
        <f t="shared" si="9"/>
        <v>70217371</v>
      </c>
      <c r="AA305" s="39">
        <f t="shared" si="9"/>
        <v>65152170</v>
      </c>
      <c r="AB305" s="39">
        <f t="shared" si="9"/>
        <v>54328799</v>
      </c>
      <c r="AC305" s="39">
        <f t="shared" si="9"/>
        <v>43517566</v>
      </c>
      <c r="AD305" t="str">
        <f t="shared" si="6"/>
        <v>Spring</v>
      </c>
      <c r="AE305" t="str">
        <f>INDEX('Category Mapping'!$B$2:$B$29,MATCH('Modified Source Data'!A305,'Category Mapping'!$A$2:$A$29,0))</f>
        <v>Weekend</v>
      </c>
      <c r="AF305" t="str">
        <f>INDEX('Category Mapping'!$C$2:$C$29,MATCH('Modified Source Data'!A305,'Category Mapping'!$A$2:$A$29,0))</f>
        <v>Residential</v>
      </c>
      <c r="AG305" t="str">
        <f>INDEX('Category Mapping'!$D$2:$D$29,MATCH('Modified Source Data'!A305,'Category Mapping'!$A$2:$A$29,0))</f>
        <v>Other</v>
      </c>
    </row>
    <row r="306" spans="1:33" x14ac:dyDescent="0.25">
      <c r="A306" s="37" t="s">
        <v>197</v>
      </c>
      <c r="B306" s="38"/>
      <c r="C306" s="38"/>
      <c r="D306" s="38"/>
      <c r="E306" s="38">
        <v>4</v>
      </c>
      <c r="F306" s="39">
        <f t="shared" si="10"/>
        <v>33664092</v>
      </c>
      <c r="G306" s="39">
        <f t="shared" si="9"/>
        <v>26657919</v>
      </c>
      <c r="H306" s="39">
        <f t="shared" si="9"/>
        <v>20687502</v>
      </c>
      <c r="I306" s="39">
        <f t="shared" si="9"/>
        <v>16869813</v>
      </c>
      <c r="J306" s="39">
        <f t="shared" si="9"/>
        <v>17254134</v>
      </c>
      <c r="K306" s="39">
        <f t="shared" si="9"/>
        <v>19661116</v>
      </c>
      <c r="L306" s="39">
        <f t="shared" si="9"/>
        <v>28068309</v>
      </c>
      <c r="M306" s="39">
        <f t="shared" si="9"/>
        <v>39349909</v>
      </c>
      <c r="N306" s="39">
        <f t="shared" si="9"/>
        <v>47500218</v>
      </c>
      <c r="O306" s="39">
        <f t="shared" si="9"/>
        <v>59176176</v>
      </c>
      <c r="P306" s="39">
        <f t="shared" si="9"/>
        <v>75921514</v>
      </c>
      <c r="Q306" s="39">
        <f t="shared" si="9"/>
        <v>87732995</v>
      </c>
      <c r="R306" s="39">
        <f t="shared" si="9"/>
        <v>79787986</v>
      </c>
      <c r="S306" s="39">
        <f t="shared" si="9"/>
        <v>70347405</v>
      </c>
      <c r="T306" s="39">
        <f t="shared" si="9"/>
        <v>74748161</v>
      </c>
      <c r="U306" s="39">
        <f t="shared" si="9"/>
        <v>79478220</v>
      </c>
      <c r="V306" s="39">
        <f t="shared" si="9"/>
        <v>85115055</v>
      </c>
      <c r="W306" s="39">
        <f t="shared" si="9"/>
        <v>84536192</v>
      </c>
      <c r="X306" s="39">
        <f t="shared" si="9"/>
        <v>80959091</v>
      </c>
      <c r="Y306" s="39">
        <f t="shared" si="9"/>
        <v>74398760</v>
      </c>
      <c r="Z306" s="39">
        <f t="shared" si="9"/>
        <v>70244702</v>
      </c>
      <c r="AA306" s="39">
        <f t="shared" si="9"/>
        <v>65167010</v>
      </c>
      <c r="AB306" s="39">
        <f t="shared" si="9"/>
        <v>54107272</v>
      </c>
      <c r="AC306" s="39">
        <f t="shared" si="9"/>
        <v>43317688</v>
      </c>
      <c r="AD306" t="str">
        <f t="shared" si="6"/>
        <v>Spring</v>
      </c>
      <c r="AE306" t="str">
        <f>INDEX('Category Mapping'!$B$2:$B$29,MATCH('Modified Source Data'!A306,'Category Mapping'!$A$2:$A$29,0))</f>
        <v>Weekend</v>
      </c>
      <c r="AF306" t="str">
        <f>INDEX('Category Mapping'!$C$2:$C$29,MATCH('Modified Source Data'!A306,'Category Mapping'!$A$2:$A$29,0))</f>
        <v>Residential</v>
      </c>
      <c r="AG306" t="str">
        <f>INDEX('Category Mapping'!$D$2:$D$29,MATCH('Modified Source Data'!A306,'Category Mapping'!$A$2:$A$29,0))</f>
        <v>Other</v>
      </c>
    </row>
    <row r="307" spans="1:33" x14ac:dyDescent="0.25">
      <c r="A307" s="37" t="s">
        <v>197</v>
      </c>
      <c r="B307" s="38"/>
      <c r="C307" s="38"/>
      <c r="D307" s="38"/>
      <c r="E307" s="38">
        <v>5</v>
      </c>
      <c r="F307" s="39">
        <f t="shared" si="10"/>
        <v>33602652</v>
      </c>
      <c r="G307" s="39">
        <f t="shared" si="9"/>
        <v>26550585</v>
      </c>
      <c r="H307" s="39">
        <f t="shared" si="9"/>
        <v>20573637</v>
      </c>
      <c r="I307" s="39">
        <f t="shared" si="9"/>
        <v>16805795</v>
      </c>
      <c r="J307" s="39">
        <f t="shared" si="9"/>
        <v>17098787</v>
      </c>
      <c r="K307" s="39">
        <f t="shared" si="9"/>
        <v>19508563</v>
      </c>
      <c r="L307" s="39">
        <f t="shared" si="9"/>
        <v>27884979</v>
      </c>
      <c r="M307" s="39">
        <f t="shared" si="9"/>
        <v>39242030</v>
      </c>
      <c r="N307" s="39">
        <f t="shared" si="9"/>
        <v>47390410</v>
      </c>
      <c r="O307" s="39">
        <f t="shared" si="9"/>
        <v>59001599</v>
      </c>
      <c r="P307" s="39">
        <f t="shared" si="9"/>
        <v>75936194</v>
      </c>
      <c r="Q307" s="39">
        <f t="shared" si="9"/>
        <v>87255496</v>
      </c>
      <c r="R307" s="39">
        <f t="shared" si="9"/>
        <v>79267751</v>
      </c>
      <c r="S307" s="39">
        <f t="shared" si="9"/>
        <v>70315526</v>
      </c>
      <c r="T307" s="39">
        <f t="shared" si="9"/>
        <v>74741871</v>
      </c>
      <c r="U307" s="39">
        <f t="shared" si="9"/>
        <v>79470980</v>
      </c>
      <c r="V307" s="39">
        <f t="shared" si="9"/>
        <v>85322384</v>
      </c>
      <c r="W307" s="39">
        <f t="shared" si="9"/>
        <v>84243370</v>
      </c>
      <c r="X307" s="39">
        <f t="shared" si="9"/>
        <v>80298186</v>
      </c>
      <c r="Y307" s="39">
        <f t="shared" si="9"/>
        <v>74814716</v>
      </c>
      <c r="Z307" s="39">
        <f t="shared" si="9"/>
        <v>69445150</v>
      </c>
      <c r="AA307" s="39">
        <f t="shared" si="9"/>
        <v>64762614</v>
      </c>
      <c r="AB307" s="39">
        <f t="shared" si="9"/>
        <v>54051888</v>
      </c>
      <c r="AC307" s="39">
        <f t="shared" si="9"/>
        <v>43262568</v>
      </c>
      <c r="AD307" t="str">
        <f t="shared" si="6"/>
        <v>Spring</v>
      </c>
      <c r="AE307" t="str">
        <f>INDEX('Category Mapping'!$B$2:$B$29,MATCH('Modified Source Data'!A307,'Category Mapping'!$A$2:$A$29,0))</f>
        <v>Weekend</v>
      </c>
      <c r="AF307" t="str">
        <f>INDEX('Category Mapping'!$C$2:$C$29,MATCH('Modified Source Data'!A307,'Category Mapping'!$A$2:$A$29,0))</f>
        <v>Residential</v>
      </c>
      <c r="AG307" t="str">
        <f>INDEX('Category Mapping'!$D$2:$D$29,MATCH('Modified Source Data'!A307,'Category Mapping'!$A$2:$A$29,0))</f>
        <v>Other</v>
      </c>
    </row>
    <row r="308" spans="1:33" x14ac:dyDescent="0.25">
      <c r="A308" s="37" t="s">
        <v>197</v>
      </c>
      <c r="B308" s="38"/>
      <c r="C308" s="38"/>
      <c r="D308" s="38"/>
      <c r="E308" s="38">
        <v>6</v>
      </c>
      <c r="F308" s="39">
        <f t="shared" si="10"/>
        <v>33683055</v>
      </c>
      <c r="G308" s="39">
        <f t="shared" si="9"/>
        <v>26547128</v>
      </c>
      <c r="H308" s="39">
        <f t="shared" si="9"/>
        <v>20575932</v>
      </c>
      <c r="I308" s="39">
        <f t="shared" si="9"/>
        <v>16770020</v>
      </c>
      <c r="J308" s="39">
        <f t="shared" si="9"/>
        <v>17183065</v>
      </c>
      <c r="K308" s="39">
        <f t="shared" si="9"/>
        <v>19510217</v>
      </c>
      <c r="L308" s="39">
        <f t="shared" si="9"/>
        <v>28150864</v>
      </c>
      <c r="M308" s="39">
        <f t="shared" si="9"/>
        <v>39555748</v>
      </c>
      <c r="N308" s="39">
        <f t="shared" si="9"/>
        <v>47747355</v>
      </c>
      <c r="O308" s="39">
        <f t="shared" si="9"/>
        <v>59467104</v>
      </c>
      <c r="P308" s="39">
        <f t="shared" si="9"/>
        <v>76426006</v>
      </c>
      <c r="Q308" s="39">
        <f t="shared" si="9"/>
        <v>88270489</v>
      </c>
      <c r="R308" s="39">
        <f t="shared" si="9"/>
        <v>79814919</v>
      </c>
      <c r="S308" s="39">
        <f t="shared" si="9"/>
        <v>71423354</v>
      </c>
      <c r="T308" s="39">
        <f t="shared" si="9"/>
        <v>75684362</v>
      </c>
      <c r="U308" s="39">
        <f t="shared" si="9"/>
        <v>80290043</v>
      </c>
      <c r="V308" s="39">
        <f t="shared" si="9"/>
        <v>86478781</v>
      </c>
      <c r="W308" s="39">
        <f t="shared" si="9"/>
        <v>85415385</v>
      </c>
      <c r="X308" s="39">
        <f t="shared" si="9"/>
        <v>81420162</v>
      </c>
      <c r="Y308" s="39">
        <f t="shared" si="9"/>
        <v>75023192</v>
      </c>
      <c r="Z308" s="39">
        <f t="shared" si="9"/>
        <v>69776696</v>
      </c>
      <c r="AA308" s="39">
        <f t="shared" si="9"/>
        <v>65184757</v>
      </c>
      <c r="AB308" s="39">
        <f t="shared" si="9"/>
        <v>54273958</v>
      </c>
      <c r="AC308" s="39">
        <f t="shared" si="9"/>
        <v>43363802</v>
      </c>
      <c r="AD308" t="str">
        <f t="shared" si="6"/>
        <v>Summer</v>
      </c>
      <c r="AE308" t="str">
        <f>INDEX('Category Mapping'!$B$2:$B$29,MATCH('Modified Source Data'!A308,'Category Mapping'!$A$2:$A$29,0))</f>
        <v>Weekend</v>
      </c>
      <c r="AF308" t="str">
        <f>INDEX('Category Mapping'!$C$2:$C$29,MATCH('Modified Source Data'!A308,'Category Mapping'!$A$2:$A$29,0))</f>
        <v>Residential</v>
      </c>
      <c r="AG308" t="str">
        <f>INDEX('Category Mapping'!$D$2:$D$29,MATCH('Modified Source Data'!A308,'Category Mapping'!$A$2:$A$29,0))</f>
        <v>Other</v>
      </c>
    </row>
    <row r="309" spans="1:33" x14ac:dyDescent="0.25">
      <c r="A309" s="37" t="s">
        <v>197</v>
      </c>
      <c r="B309" s="38"/>
      <c r="C309" s="38"/>
      <c r="D309" s="38"/>
      <c r="E309" s="38">
        <v>7</v>
      </c>
      <c r="F309" s="39">
        <f t="shared" si="10"/>
        <v>34451553</v>
      </c>
      <c r="G309" s="39">
        <f t="shared" si="9"/>
        <v>27158126</v>
      </c>
      <c r="H309" s="39">
        <f t="shared" si="9"/>
        <v>21268104</v>
      </c>
      <c r="I309" s="39">
        <f t="shared" si="9"/>
        <v>17495035</v>
      </c>
      <c r="J309" s="39">
        <f t="shared" si="9"/>
        <v>17988174</v>
      </c>
      <c r="K309" s="39">
        <f t="shared" si="9"/>
        <v>20369102</v>
      </c>
      <c r="L309" s="39">
        <f t="shared" si="9"/>
        <v>28883863</v>
      </c>
      <c r="M309" s="39">
        <f t="shared" si="9"/>
        <v>40275274</v>
      </c>
      <c r="N309" s="39">
        <f t="shared" si="9"/>
        <v>48500485</v>
      </c>
      <c r="O309" s="39">
        <f t="shared" si="9"/>
        <v>59569909</v>
      </c>
      <c r="P309" s="39">
        <f t="shared" si="9"/>
        <v>76829334</v>
      </c>
      <c r="Q309" s="39">
        <f t="shared" si="9"/>
        <v>88725049</v>
      </c>
      <c r="R309" s="39">
        <f t="shared" si="9"/>
        <v>81072733</v>
      </c>
      <c r="S309" s="39">
        <f t="shared" si="9"/>
        <v>71334076</v>
      </c>
      <c r="T309" s="39">
        <f t="shared" si="9"/>
        <v>76589914</v>
      </c>
      <c r="U309" s="39">
        <f t="shared" si="9"/>
        <v>81289591</v>
      </c>
      <c r="V309" s="39">
        <f t="shared" si="9"/>
        <v>86480983</v>
      </c>
      <c r="W309" s="39">
        <f t="shared" si="9"/>
        <v>85528371</v>
      </c>
      <c r="X309" s="39">
        <f t="shared" si="9"/>
        <v>81954582</v>
      </c>
      <c r="Y309" s="39">
        <f t="shared" si="9"/>
        <v>75558256</v>
      </c>
      <c r="Z309" s="39">
        <f t="shared" si="9"/>
        <v>70807725</v>
      </c>
      <c r="AA309" s="39">
        <f t="shared" si="9"/>
        <v>65688576</v>
      </c>
      <c r="AB309" s="39">
        <f t="shared" si="9"/>
        <v>55288113</v>
      </c>
      <c r="AC309" s="39">
        <f t="shared" si="9"/>
        <v>44148749</v>
      </c>
      <c r="AD309" t="str">
        <f t="shared" si="6"/>
        <v>Summer</v>
      </c>
      <c r="AE309" t="str">
        <f>INDEX('Category Mapping'!$B$2:$B$29,MATCH('Modified Source Data'!A309,'Category Mapping'!$A$2:$A$29,0))</f>
        <v>Weekend</v>
      </c>
      <c r="AF309" t="str">
        <f>INDEX('Category Mapping'!$C$2:$C$29,MATCH('Modified Source Data'!A309,'Category Mapping'!$A$2:$A$29,0))</f>
        <v>Residential</v>
      </c>
      <c r="AG309" t="str">
        <f>INDEX('Category Mapping'!$D$2:$D$29,MATCH('Modified Source Data'!A309,'Category Mapping'!$A$2:$A$29,0))</f>
        <v>Other</v>
      </c>
    </row>
    <row r="310" spans="1:33" x14ac:dyDescent="0.25">
      <c r="A310" s="37" t="s">
        <v>197</v>
      </c>
      <c r="B310" s="38"/>
      <c r="C310" s="38"/>
      <c r="D310" s="38"/>
      <c r="E310" s="38">
        <v>8</v>
      </c>
      <c r="F310" s="39">
        <f t="shared" si="10"/>
        <v>34404294</v>
      </c>
      <c r="G310" s="39">
        <f t="shared" si="9"/>
        <v>27317174</v>
      </c>
      <c r="H310" s="39">
        <f t="shared" si="9"/>
        <v>21228528</v>
      </c>
      <c r="I310" s="39">
        <f t="shared" si="9"/>
        <v>17455501</v>
      </c>
      <c r="J310" s="39">
        <f t="shared" si="9"/>
        <v>17946627</v>
      </c>
      <c r="K310" s="39">
        <f t="shared" si="9"/>
        <v>20518091</v>
      </c>
      <c r="L310" s="39">
        <f t="shared" si="9"/>
        <v>29035697</v>
      </c>
      <c r="M310" s="39">
        <f t="shared" si="9"/>
        <v>40431090</v>
      </c>
      <c r="N310" s="39">
        <f t="shared" si="9"/>
        <v>49246751</v>
      </c>
      <c r="O310" s="39">
        <f t="shared" si="9"/>
        <v>60514911</v>
      </c>
      <c r="P310" s="39">
        <f t="shared" si="9"/>
        <v>77074016</v>
      </c>
      <c r="Q310" s="39">
        <f t="shared" si="9"/>
        <v>88767055</v>
      </c>
      <c r="R310" s="39">
        <f t="shared" si="9"/>
        <v>81012748</v>
      </c>
      <c r="S310" s="39">
        <f t="shared" si="9"/>
        <v>71673559</v>
      </c>
      <c r="T310" s="39">
        <f t="shared" si="9"/>
        <v>76830069</v>
      </c>
      <c r="U310" s="39">
        <f t="shared" si="9"/>
        <v>80829670</v>
      </c>
      <c r="V310" s="39">
        <f t="shared" si="9"/>
        <v>87319459</v>
      </c>
      <c r="W310" s="39">
        <f t="shared" si="9"/>
        <v>85967942</v>
      </c>
      <c r="X310" s="39">
        <f t="shared" si="9"/>
        <v>81651901</v>
      </c>
      <c r="Y310" s="39">
        <f t="shared" si="9"/>
        <v>76155566</v>
      </c>
      <c r="Z310" s="39">
        <f t="shared" si="9"/>
        <v>71405082</v>
      </c>
      <c r="AA310" s="39">
        <f t="shared" si="9"/>
        <v>65786245</v>
      </c>
      <c r="AB310" s="39">
        <f t="shared" si="9"/>
        <v>54686257</v>
      </c>
      <c r="AC310" s="39">
        <f t="shared" si="9"/>
        <v>44179329</v>
      </c>
      <c r="AD310" t="str">
        <f t="shared" si="6"/>
        <v>Summer</v>
      </c>
      <c r="AE310" t="str">
        <f>INDEX('Category Mapping'!$B$2:$B$29,MATCH('Modified Source Data'!A310,'Category Mapping'!$A$2:$A$29,0))</f>
        <v>Weekend</v>
      </c>
      <c r="AF310" t="str">
        <f>INDEX('Category Mapping'!$C$2:$C$29,MATCH('Modified Source Data'!A310,'Category Mapping'!$A$2:$A$29,0))</f>
        <v>Residential</v>
      </c>
      <c r="AG310" t="str">
        <f>INDEX('Category Mapping'!$D$2:$D$29,MATCH('Modified Source Data'!A310,'Category Mapping'!$A$2:$A$29,0))</f>
        <v>Other</v>
      </c>
    </row>
    <row r="311" spans="1:33" x14ac:dyDescent="0.25">
      <c r="A311" s="37" t="s">
        <v>197</v>
      </c>
      <c r="B311" s="38"/>
      <c r="C311" s="38"/>
      <c r="D311" s="38"/>
      <c r="E311" s="38">
        <v>9</v>
      </c>
      <c r="F311" s="39">
        <f t="shared" si="10"/>
        <v>33667465</v>
      </c>
      <c r="G311" s="39">
        <f t="shared" si="9"/>
        <v>26549427</v>
      </c>
      <c r="H311" s="39">
        <f t="shared" si="9"/>
        <v>20604127</v>
      </c>
      <c r="I311" s="39">
        <f t="shared" si="9"/>
        <v>16787283</v>
      </c>
      <c r="J311" s="39">
        <f t="shared" si="9"/>
        <v>17137904</v>
      </c>
      <c r="K311" s="39">
        <f t="shared" si="9"/>
        <v>19538976</v>
      </c>
      <c r="L311" s="39">
        <f t="shared" si="9"/>
        <v>28025391</v>
      </c>
      <c r="M311" s="39">
        <f t="shared" si="9"/>
        <v>39335397</v>
      </c>
      <c r="N311" s="39">
        <f t="shared" si="9"/>
        <v>47708531</v>
      </c>
      <c r="O311" s="39">
        <f t="shared" si="9"/>
        <v>59258454</v>
      </c>
      <c r="P311" s="39">
        <f t="shared" si="9"/>
        <v>76714018</v>
      </c>
      <c r="Q311" s="39">
        <f t="shared" si="9"/>
        <v>87794297</v>
      </c>
      <c r="R311" s="39">
        <f t="shared" si="9"/>
        <v>80517969</v>
      </c>
      <c r="S311" s="39">
        <f t="shared" si="9"/>
        <v>71158506</v>
      </c>
      <c r="T311" s="39">
        <f t="shared" si="9"/>
        <v>75431385</v>
      </c>
      <c r="U311" s="39">
        <f t="shared" si="9"/>
        <v>80043620</v>
      </c>
      <c r="V311" s="39">
        <f t="shared" si="9"/>
        <v>86315597</v>
      </c>
      <c r="W311" s="39">
        <f t="shared" si="9"/>
        <v>84962502</v>
      </c>
      <c r="X311" s="39">
        <f t="shared" si="9"/>
        <v>81316515</v>
      </c>
      <c r="Y311" s="39">
        <f t="shared" si="9"/>
        <v>75018713</v>
      </c>
      <c r="Z311" s="39">
        <f t="shared" si="9"/>
        <v>69796953</v>
      </c>
      <c r="AA311" s="39">
        <f t="shared" si="9"/>
        <v>65245250</v>
      </c>
      <c r="AB311" s="39">
        <f t="shared" si="9"/>
        <v>54167999</v>
      </c>
      <c r="AC311" s="39">
        <f t="shared" si="9"/>
        <v>43277965</v>
      </c>
      <c r="AD311" t="str">
        <f t="shared" si="6"/>
        <v>Fall</v>
      </c>
      <c r="AE311" t="str">
        <f>INDEX('Category Mapping'!$B$2:$B$29,MATCH('Modified Source Data'!A311,'Category Mapping'!$A$2:$A$29,0))</f>
        <v>Weekend</v>
      </c>
      <c r="AF311" t="str">
        <f>INDEX('Category Mapping'!$C$2:$C$29,MATCH('Modified Source Data'!A311,'Category Mapping'!$A$2:$A$29,0))</f>
        <v>Residential</v>
      </c>
      <c r="AG311" t="str">
        <f>INDEX('Category Mapping'!$D$2:$D$29,MATCH('Modified Source Data'!A311,'Category Mapping'!$A$2:$A$29,0))</f>
        <v>Other</v>
      </c>
    </row>
    <row r="312" spans="1:33" x14ac:dyDescent="0.25">
      <c r="A312" s="37" t="s">
        <v>197</v>
      </c>
      <c r="B312" s="38"/>
      <c r="C312" s="38"/>
      <c r="D312" s="38"/>
      <c r="E312" s="38">
        <v>10</v>
      </c>
      <c r="F312" s="39">
        <f t="shared" si="10"/>
        <v>33629243</v>
      </c>
      <c r="G312" s="39">
        <f t="shared" si="9"/>
        <v>26634075</v>
      </c>
      <c r="H312" s="39">
        <f t="shared" si="9"/>
        <v>20581628</v>
      </c>
      <c r="I312" s="39">
        <f t="shared" si="9"/>
        <v>16837982</v>
      </c>
      <c r="J312" s="39">
        <f t="shared" si="9"/>
        <v>17200341</v>
      </c>
      <c r="K312" s="39">
        <f t="shared" si="9"/>
        <v>19570073</v>
      </c>
      <c r="L312" s="39">
        <f t="shared" si="9"/>
        <v>28231405</v>
      </c>
      <c r="M312" s="39">
        <f t="shared" si="9"/>
        <v>39349845</v>
      </c>
      <c r="N312" s="39">
        <f t="shared" si="9"/>
        <v>47495055</v>
      </c>
      <c r="O312" s="39">
        <f t="shared" si="9"/>
        <v>59114014</v>
      </c>
      <c r="P312" s="39">
        <f t="shared" si="9"/>
        <v>76221040</v>
      </c>
      <c r="Q312" s="39">
        <f t="shared" si="9"/>
        <v>87400768</v>
      </c>
      <c r="R312" s="39">
        <f t="shared" si="9"/>
        <v>80091871</v>
      </c>
      <c r="S312" s="39">
        <f t="shared" si="9"/>
        <v>70257726</v>
      </c>
      <c r="T312" s="39">
        <f t="shared" si="9"/>
        <v>74723037</v>
      </c>
      <c r="U312" s="39">
        <f t="shared" si="9"/>
        <v>79421185</v>
      </c>
      <c r="V312" s="39">
        <f t="shared" si="9"/>
        <v>85371251</v>
      </c>
      <c r="W312" s="39">
        <f t="shared" si="9"/>
        <v>84489650</v>
      </c>
      <c r="X312" s="39">
        <f t="shared" si="9"/>
        <v>80765519</v>
      </c>
      <c r="Y312" s="39">
        <f t="shared" si="9"/>
        <v>74122830</v>
      </c>
      <c r="Z312" s="39">
        <f t="shared" si="9"/>
        <v>69951084</v>
      </c>
      <c r="AA312" s="39">
        <f t="shared" si="9"/>
        <v>64909529</v>
      </c>
      <c r="AB312" s="39">
        <f t="shared" si="9"/>
        <v>54137024</v>
      </c>
      <c r="AC312" s="39">
        <f t="shared" si="9"/>
        <v>43298739</v>
      </c>
      <c r="AD312" t="str">
        <f t="shared" si="6"/>
        <v>Fall</v>
      </c>
      <c r="AE312" t="str">
        <f>INDEX('Category Mapping'!$B$2:$B$29,MATCH('Modified Source Data'!A312,'Category Mapping'!$A$2:$A$29,0))</f>
        <v>Weekend</v>
      </c>
      <c r="AF312" t="str">
        <f>INDEX('Category Mapping'!$C$2:$C$29,MATCH('Modified Source Data'!A312,'Category Mapping'!$A$2:$A$29,0))</f>
        <v>Residential</v>
      </c>
      <c r="AG312" t="str">
        <f>INDEX('Category Mapping'!$D$2:$D$29,MATCH('Modified Source Data'!A312,'Category Mapping'!$A$2:$A$29,0))</f>
        <v>Other</v>
      </c>
    </row>
    <row r="313" spans="1:33" x14ac:dyDescent="0.25">
      <c r="A313" s="37" t="s">
        <v>197</v>
      </c>
      <c r="B313" s="38"/>
      <c r="C313" s="38"/>
      <c r="D313" s="38"/>
      <c r="E313" s="38">
        <v>11</v>
      </c>
      <c r="F313" s="39">
        <f t="shared" si="10"/>
        <v>33827026</v>
      </c>
      <c r="G313" s="39">
        <f t="shared" si="9"/>
        <v>26788683</v>
      </c>
      <c r="H313" s="39">
        <f t="shared" si="9"/>
        <v>20758414</v>
      </c>
      <c r="I313" s="39">
        <f t="shared" si="9"/>
        <v>16966820</v>
      </c>
      <c r="J313" s="39">
        <f t="shared" si="9"/>
        <v>17353672</v>
      </c>
      <c r="K313" s="39">
        <f t="shared" si="9"/>
        <v>19725839</v>
      </c>
      <c r="L313" s="39">
        <f t="shared" si="9"/>
        <v>28319863</v>
      </c>
      <c r="M313" s="39">
        <f t="shared" si="9"/>
        <v>39600038</v>
      </c>
      <c r="N313" s="39">
        <f t="shared" si="9"/>
        <v>47712350</v>
      </c>
      <c r="O313" s="39">
        <f t="shared" si="9"/>
        <v>59277386</v>
      </c>
      <c r="P313" s="39">
        <f t="shared" si="9"/>
        <v>75569091</v>
      </c>
      <c r="Q313" s="39">
        <f t="shared" si="9"/>
        <v>86941547</v>
      </c>
      <c r="R313" s="39">
        <f t="shared" si="9"/>
        <v>80025571</v>
      </c>
      <c r="S313" s="39">
        <f t="shared" si="9"/>
        <v>70441262</v>
      </c>
      <c r="T313" s="39">
        <f t="shared" si="9"/>
        <v>74775280</v>
      </c>
      <c r="U313" s="39">
        <f t="shared" si="9"/>
        <v>80008827</v>
      </c>
      <c r="V313" s="39">
        <f t="shared" si="9"/>
        <v>85606278</v>
      </c>
      <c r="W313" s="39">
        <f t="shared" si="9"/>
        <v>84847432</v>
      </c>
      <c r="X313" s="39">
        <f t="shared" si="9"/>
        <v>80546426</v>
      </c>
      <c r="Y313" s="39">
        <f t="shared" si="9"/>
        <v>74411449</v>
      </c>
      <c r="Z313" s="39">
        <f t="shared" si="9"/>
        <v>69926667</v>
      </c>
      <c r="AA313" s="39">
        <f t="shared" si="9"/>
        <v>65377210</v>
      </c>
      <c r="AB313" s="39">
        <f t="shared" si="9"/>
        <v>54356796</v>
      </c>
      <c r="AC313" s="39">
        <f t="shared" si="9"/>
        <v>43403233</v>
      </c>
      <c r="AD313" t="str">
        <f t="shared" si="6"/>
        <v>Winter</v>
      </c>
      <c r="AE313" t="str">
        <f>INDEX('Category Mapping'!$B$2:$B$29,MATCH('Modified Source Data'!A313,'Category Mapping'!$A$2:$A$29,0))</f>
        <v>Weekend</v>
      </c>
      <c r="AF313" t="str">
        <f>INDEX('Category Mapping'!$C$2:$C$29,MATCH('Modified Source Data'!A313,'Category Mapping'!$A$2:$A$29,0))</f>
        <v>Residential</v>
      </c>
      <c r="AG313" t="str">
        <f>INDEX('Category Mapping'!$D$2:$D$29,MATCH('Modified Source Data'!A313,'Category Mapping'!$A$2:$A$29,0))</f>
        <v>Other</v>
      </c>
    </row>
    <row r="314" spans="1:33" x14ac:dyDescent="0.25">
      <c r="A314" s="37" t="s">
        <v>197</v>
      </c>
      <c r="B314" s="38"/>
      <c r="C314" s="38"/>
      <c r="D314" s="38"/>
      <c r="E314" s="38">
        <v>12</v>
      </c>
      <c r="F314" s="39">
        <f t="shared" si="10"/>
        <v>34007527</v>
      </c>
      <c r="G314" s="39">
        <f t="shared" si="9"/>
        <v>26925930</v>
      </c>
      <c r="H314" s="39">
        <f t="shared" si="9"/>
        <v>20941406</v>
      </c>
      <c r="I314" s="39">
        <f t="shared" si="9"/>
        <v>17176158</v>
      </c>
      <c r="J314" s="39">
        <f t="shared" si="9"/>
        <v>17473836</v>
      </c>
      <c r="K314" s="39">
        <f t="shared" si="9"/>
        <v>19924203</v>
      </c>
      <c r="L314" s="39">
        <f t="shared" si="9"/>
        <v>28390318</v>
      </c>
      <c r="M314" s="39">
        <f t="shared" si="9"/>
        <v>39932104</v>
      </c>
      <c r="N314" s="39">
        <f t="shared" si="9"/>
        <v>47825606</v>
      </c>
      <c r="O314" s="39">
        <f t="shared" si="9"/>
        <v>59345472</v>
      </c>
      <c r="P314" s="39">
        <f t="shared" si="9"/>
        <v>75797868</v>
      </c>
      <c r="Q314" s="39">
        <f t="shared" si="9"/>
        <v>87461072</v>
      </c>
      <c r="R314" s="39">
        <f t="shared" si="9"/>
        <v>79983927</v>
      </c>
      <c r="S314" s="39">
        <f t="shared" si="9"/>
        <v>70172910</v>
      </c>
      <c r="T314" s="39">
        <f t="shared" si="9"/>
        <v>75272377</v>
      </c>
      <c r="U314" s="39">
        <f t="shared" si="9"/>
        <v>79597163</v>
      </c>
      <c r="V314" s="39">
        <f t="shared" si="9"/>
        <v>85901696</v>
      </c>
      <c r="W314" s="39">
        <f t="shared" si="9"/>
        <v>85490184</v>
      </c>
      <c r="X314" s="39">
        <f t="shared" ref="X314:AC314" si="11">SUMIFS(X$3:X$290,$AF$3:$AF$290,"*"&amp;"Residential"&amp;"*",$E$3:$E$290,$E314,$AG$3:$AG$290,"Total",$AE$3:$AE$290,"Weekend")-SUMIFS(X$3:X$290,$AF$3:$AF$290,"*"&amp;"Residential"&amp;"*",$E$3:$E$290,$E314,$AG$3:$AG$290,"&lt;&gt;"&amp;"Total",$AE$3:$AE$290,"Weekend")</f>
        <v>80593184</v>
      </c>
      <c r="Y314" s="39">
        <f t="shared" si="11"/>
        <v>74392757</v>
      </c>
      <c r="Z314" s="39">
        <f t="shared" si="11"/>
        <v>69992416</v>
      </c>
      <c r="AA314" s="39">
        <f t="shared" si="11"/>
        <v>64861268</v>
      </c>
      <c r="AB314" s="39">
        <f t="shared" si="11"/>
        <v>54419488</v>
      </c>
      <c r="AC314" s="39">
        <f t="shared" si="11"/>
        <v>43595912</v>
      </c>
      <c r="AD314" t="str">
        <f t="shared" si="6"/>
        <v>Winter</v>
      </c>
      <c r="AE314" t="str">
        <f>INDEX('Category Mapping'!$B$2:$B$29,MATCH('Modified Source Data'!A314,'Category Mapping'!$A$2:$A$29,0))</f>
        <v>Weekend</v>
      </c>
      <c r="AF314" t="str">
        <f>INDEX('Category Mapping'!$C$2:$C$29,MATCH('Modified Source Data'!A314,'Category Mapping'!$A$2:$A$29,0))</f>
        <v>Residential</v>
      </c>
      <c r="AG314" t="str">
        <f>INDEX('Category Mapping'!$D$2:$D$29,MATCH('Modified Source Data'!A314,'Category Mapping'!$A$2:$A$29,0))</f>
        <v>Other</v>
      </c>
    </row>
    <row r="315" spans="1:33" x14ac:dyDescent="0.25">
      <c r="A315" s="46" t="s">
        <v>198</v>
      </c>
      <c r="B315" s="47"/>
      <c r="C315" s="47"/>
      <c r="D315" s="47"/>
      <c r="E315" s="47">
        <v>1</v>
      </c>
      <c r="F315" s="48">
        <f>SUMIFS(F$3:F$290,$AF$3:$AF$290,"*"&amp;"Commercial"&amp;"*",$E$3:$E$290,$E315,$AG$3:$AG$290,"Total",$AE$3:$AE$290,"Weekday")-SUMIFS(F$3:F$290,$AF$3:$AF$290,"*"&amp;"Commercial"&amp;"*",$E$3:$E$290,$E315,$AG$3:$AG$290,"&lt;&gt;"&amp;"Total",$AE$3:$AE$290,"Weekday")</f>
        <v>149940372</v>
      </c>
      <c r="G315" s="48">
        <f t="shared" ref="G315:AC326" si="12">SUMIFS(G$3:G$290,$AF$3:$AF$290,"*"&amp;"Commercial"&amp;"*",$E$3:$E$290,$E315,$AG$3:$AG$290,"Total",$AE$3:$AE$290,"Weekday")-SUMIFS(G$3:G$290,$AF$3:$AF$290,"*"&amp;"Commercial"&amp;"*",$E$3:$E$290,$E315,$AG$3:$AG$290,"&lt;&gt;"&amp;"Total",$AE$3:$AE$290,"Weekday")</f>
        <v>147783126</v>
      </c>
      <c r="H315" s="48">
        <f t="shared" si="12"/>
        <v>147992841</v>
      </c>
      <c r="I315" s="48">
        <f t="shared" si="12"/>
        <v>154500614</v>
      </c>
      <c r="J315" s="48">
        <f t="shared" si="12"/>
        <v>164175597</v>
      </c>
      <c r="K315" s="48">
        <f t="shared" si="12"/>
        <v>190638757</v>
      </c>
      <c r="L315" s="48">
        <f t="shared" si="12"/>
        <v>286466254</v>
      </c>
      <c r="M315" s="48">
        <f t="shared" si="12"/>
        <v>393356386</v>
      </c>
      <c r="N315" s="48">
        <f t="shared" si="12"/>
        <v>489646017</v>
      </c>
      <c r="O315" s="48">
        <f t="shared" si="12"/>
        <v>516839395</v>
      </c>
      <c r="P315" s="48">
        <f t="shared" si="12"/>
        <v>515535953</v>
      </c>
      <c r="Q315" s="48">
        <f t="shared" si="12"/>
        <v>515233679</v>
      </c>
      <c r="R315" s="48">
        <f t="shared" si="12"/>
        <v>507463869</v>
      </c>
      <c r="S315" s="48">
        <f t="shared" si="12"/>
        <v>507227604</v>
      </c>
      <c r="T315" s="48">
        <f t="shared" si="12"/>
        <v>507076926</v>
      </c>
      <c r="U315" s="48">
        <f t="shared" si="12"/>
        <v>507397146</v>
      </c>
      <c r="V315" s="48">
        <f t="shared" si="12"/>
        <v>491582548</v>
      </c>
      <c r="W315" s="48">
        <f t="shared" si="12"/>
        <v>460803763</v>
      </c>
      <c r="X315" s="48">
        <f t="shared" si="12"/>
        <v>435850832</v>
      </c>
      <c r="Y315" s="48">
        <f t="shared" si="12"/>
        <v>363739928</v>
      </c>
      <c r="Z315" s="48">
        <f t="shared" si="12"/>
        <v>301807877</v>
      </c>
      <c r="AA315" s="48">
        <f t="shared" si="12"/>
        <v>241451347</v>
      </c>
      <c r="AB315" s="48">
        <f t="shared" si="12"/>
        <v>201768257</v>
      </c>
      <c r="AC315" s="48">
        <f t="shared" si="12"/>
        <v>177706769</v>
      </c>
      <c r="AD315" t="str">
        <f t="shared" si="6"/>
        <v>Winter</v>
      </c>
      <c r="AE315" t="str">
        <f>INDEX('Category Mapping'!$B$2:$B$29,MATCH('Modified Source Data'!A315,'Category Mapping'!$A$2:$A$29,0))</f>
        <v>Weekday</v>
      </c>
      <c r="AF315" t="str">
        <f>INDEX('Category Mapping'!$C$2:$C$29,MATCH('Modified Source Data'!A315,'Category Mapping'!$A$2:$A$29,0))</f>
        <v>Commercial</v>
      </c>
      <c r="AG315" t="str">
        <f>INDEX('Category Mapping'!$D$2:$D$29,MATCH('Modified Source Data'!A315,'Category Mapping'!$A$2:$A$29,0))</f>
        <v>Lighting</v>
      </c>
    </row>
    <row r="316" spans="1:33" x14ac:dyDescent="0.25">
      <c r="A316" s="46" t="s">
        <v>198</v>
      </c>
      <c r="B316" s="47"/>
      <c r="C316" s="47"/>
      <c r="D316" s="47"/>
      <c r="E316" s="47">
        <v>2</v>
      </c>
      <c r="F316" s="48">
        <f t="shared" ref="F316:U326" si="13">SUMIFS(F$3:F$290,$AF$3:$AF$290,"*"&amp;"Commercial"&amp;"*",$E$3:$E$290,$E316,$AG$3:$AG$290,"Total",$AE$3:$AE$290,"Weekday")-SUMIFS(F$3:F$290,$AF$3:$AF$290,"*"&amp;"Commercial"&amp;"*",$E$3:$E$290,$E316,$AG$3:$AG$290,"&lt;&gt;"&amp;"Total",$AE$3:$AE$290,"Weekday")</f>
        <v>149030790</v>
      </c>
      <c r="G316" s="48">
        <f t="shared" si="13"/>
        <v>148078433</v>
      </c>
      <c r="H316" s="48">
        <f t="shared" si="13"/>
        <v>147654073</v>
      </c>
      <c r="I316" s="48">
        <f t="shared" si="13"/>
        <v>153661296</v>
      </c>
      <c r="J316" s="48">
        <f t="shared" si="13"/>
        <v>163380196</v>
      </c>
      <c r="K316" s="48">
        <f t="shared" si="13"/>
        <v>189396710</v>
      </c>
      <c r="L316" s="48">
        <f t="shared" si="13"/>
        <v>285022122</v>
      </c>
      <c r="M316" s="48">
        <f t="shared" si="13"/>
        <v>390550793</v>
      </c>
      <c r="N316" s="48">
        <f t="shared" si="13"/>
        <v>486839093</v>
      </c>
      <c r="O316" s="48">
        <f t="shared" si="13"/>
        <v>513931622</v>
      </c>
      <c r="P316" s="48">
        <f t="shared" si="13"/>
        <v>512742667</v>
      </c>
      <c r="Q316" s="48">
        <f t="shared" si="13"/>
        <v>511994638</v>
      </c>
      <c r="R316" s="48">
        <f t="shared" si="13"/>
        <v>504181008</v>
      </c>
      <c r="S316" s="48">
        <f t="shared" si="13"/>
        <v>504347460</v>
      </c>
      <c r="T316" s="48">
        <f t="shared" si="13"/>
        <v>504567241</v>
      </c>
      <c r="U316" s="48">
        <f t="shared" si="13"/>
        <v>504560685</v>
      </c>
      <c r="V316" s="48">
        <f t="shared" si="12"/>
        <v>488747267</v>
      </c>
      <c r="W316" s="48">
        <f t="shared" si="12"/>
        <v>458967342</v>
      </c>
      <c r="X316" s="48">
        <f t="shared" si="12"/>
        <v>434070196</v>
      </c>
      <c r="Y316" s="48">
        <f t="shared" si="12"/>
        <v>362152628</v>
      </c>
      <c r="Z316" s="48">
        <f t="shared" si="12"/>
        <v>299715231</v>
      </c>
      <c r="AA316" s="48">
        <f t="shared" si="12"/>
        <v>240576908</v>
      </c>
      <c r="AB316" s="48">
        <f t="shared" si="12"/>
        <v>201189088</v>
      </c>
      <c r="AC316" s="48">
        <f t="shared" si="12"/>
        <v>177057952</v>
      </c>
      <c r="AD316" t="str">
        <f t="shared" si="6"/>
        <v>Winter</v>
      </c>
      <c r="AE316" t="str">
        <f>INDEX('Category Mapping'!$B$2:$B$29,MATCH('Modified Source Data'!A316,'Category Mapping'!$A$2:$A$29,0))</f>
        <v>Weekday</v>
      </c>
      <c r="AF316" t="str">
        <f>INDEX('Category Mapping'!$C$2:$C$29,MATCH('Modified Source Data'!A316,'Category Mapping'!$A$2:$A$29,0))</f>
        <v>Commercial</v>
      </c>
      <c r="AG316" t="str">
        <f>INDEX('Category Mapping'!$D$2:$D$29,MATCH('Modified Source Data'!A316,'Category Mapping'!$A$2:$A$29,0))</f>
        <v>Lighting</v>
      </c>
    </row>
    <row r="317" spans="1:33" x14ac:dyDescent="0.25">
      <c r="A317" s="46" t="s">
        <v>198</v>
      </c>
      <c r="B317" s="47"/>
      <c r="C317" s="47"/>
      <c r="D317" s="47"/>
      <c r="E317" s="47">
        <v>3</v>
      </c>
      <c r="F317" s="48">
        <f t="shared" si="13"/>
        <v>148413947</v>
      </c>
      <c r="G317" s="48">
        <f t="shared" si="12"/>
        <v>147683996</v>
      </c>
      <c r="H317" s="48">
        <f t="shared" si="12"/>
        <v>147031992</v>
      </c>
      <c r="I317" s="48">
        <f t="shared" si="12"/>
        <v>153239372</v>
      </c>
      <c r="J317" s="48">
        <f t="shared" si="12"/>
        <v>162395450</v>
      </c>
      <c r="K317" s="48">
        <f t="shared" si="12"/>
        <v>189340022</v>
      </c>
      <c r="L317" s="48">
        <f t="shared" si="12"/>
        <v>283512081</v>
      </c>
      <c r="M317" s="48">
        <f t="shared" si="12"/>
        <v>388189227</v>
      </c>
      <c r="N317" s="48">
        <f t="shared" si="12"/>
        <v>483962889</v>
      </c>
      <c r="O317" s="48">
        <f t="shared" si="12"/>
        <v>510346071</v>
      </c>
      <c r="P317" s="48">
        <f t="shared" si="12"/>
        <v>509697597</v>
      </c>
      <c r="Q317" s="48">
        <f t="shared" si="12"/>
        <v>508852009</v>
      </c>
      <c r="R317" s="48">
        <f t="shared" si="12"/>
        <v>500604526</v>
      </c>
      <c r="S317" s="48">
        <f t="shared" si="12"/>
        <v>501371346</v>
      </c>
      <c r="T317" s="48">
        <f t="shared" si="12"/>
        <v>500864133</v>
      </c>
      <c r="U317" s="48">
        <f t="shared" si="12"/>
        <v>501034951</v>
      </c>
      <c r="V317" s="48">
        <f t="shared" si="12"/>
        <v>485739930</v>
      </c>
      <c r="W317" s="48">
        <f t="shared" si="12"/>
        <v>455762942</v>
      </c>
      <c r="X317" s="48">
        <f t="shared" si="12"/>
        <v>431884941</v>
      </c>
      <c r="Y317" s="48">
        <f t="shared" si="12"/>
        <v>359966571</v>
      </c>
      <c r="Z317" s="48">
        <f t="shared" si="12"/>
        <v>298544365</v>
      </c>
      <c r="AA317" s="48">
        <f t="shared" si="12"/>
        <v>239336877</v>
      </c>
      <c r="AB317" s="48">
        <f t="shared" si="12"/>
        <v>200323054</v>
      </c>
      <c r="AC317" s="48">
        <f t="shared" si="12"/>
        <v>176671252</v>
      </c>
      <c r="AD317" t="str">
        <f t="shared" si="6"/>
        <v>Spring</v>
      </c>
      <c r="AE317" t="str">
        <f>INDEX('Category Mapping'!$B$2:$B$29,MATCH('Modified Source Data'!A317,'Category Mapping'!$A$2:$A$29,0))</f>
        <v>Weekday</v>
      </c>
      <c r="AF317" t="str">
        <f>INDEX('Category Mapping'!$C$2:$C$29,MATCH('Modified Source Data'!A317,'Category Mapping'!$A$2:$A$29,0))</f>
        <v>Commercial</v>
      </c>
      <c r="AG317" t="str">
        <f>INDEX('Category Mapping'!$D$2:$D$29,MATCH('Modified Source Data'!A317,'Category Mapping'!$A$2:$A$29,0))</f>
        <v>Lighting</v>
      </c>
    </row>
    <row r="318" spans="1:33" x14ac:dyDescent="0.25">
      <c r="A318" s="46" t="s">
        <v>198</v>
      </c>
      <c r="B318" s="47"/>
      <c r="C318" s="47"/>
      <c r="D318" s="47"/>
      <c r="E318" s="47">
        <v>4</v>
      </c>
      <c r="F318" s="48">
        <f t="shared" si="13"/>
        <v>148615167</v>
      </c>
      <c r="G318" s="48">
        <f t="shared" si="12"/>
        <v>146550667</v>
      </c>
      <c r="H318" s="48">
        <f t="shared" si="12"/>
        <v>146651562</v>
      </c>
      <c r="I318" s="48">
        <f t="shared" si="12"/>
        <v>153362461</v>
      </c>
      <c r="J318" s="48">
        <f t="shared" si="12"/>
        <v>162390250</v>
      </c>
      <c r="K318" s="48">
        <f t="shared" si="12"/>
        <v>188372683</v>
      </c>
      <c r="L318" s="48">
        <f t="shared" si="12"/>
        <v>281891703</v>
      </c>
      <c r="M318" s="48">
        <f t="shared" si="12"/>
        <v>385320599</v>
      </c>
      <c r="N318" s="48">
        <f t="shared" si="12"/>
        <v>480652095</v>
      </c>
      <c r="O318" s="48">
        <f t="shared" si="12"/>
        <v>507633184</v>
      </c>
      <c r="P318" s="48">
        <f t="shared" si="12"/>
        <v>507015362</v>
      </c>
      <c r="Q318" s="48">
        <f t="shared" si="12"/>
        <v>506477960</v>
      </c>
      <c r="R318" s="48">
        <f t="shared" si="12"/>
        <v>498481882</v>
      </c>
      <c r="S318" s="48">
        <f t="shared" si="12"/>
        <v>498637046</v>
      </c>
      <c r="T318" s="48">
        <f t="shared" si="12"/>
        <v>498765428</v>
      </c>
      <c r="U318" s="48">
        <f t="shared" si="12"/>
        <v>498994920</v>
      </c>
      <c r="V318" s="48">
        <f t="shared" si="12"/>
        <v>482955473</v>
      </c>
      <c r="W318" s="48">
        <f t="shared" si="12"/>
        <v>454004401</v>
      </c>
      <c r="X318" s="48">
        <f t="shared" si="12"/>
        <v>429262556</v>
      </c>
      <c r="Y318" s="48">
        <f t="shared" si="12"/>
        <v>358767680</v>
      </c>
      <c r="Z318" s="48">
        <f t="shared" si="12"/>
        <v>297304510</v>
      </c>
      <c r="AA318" s="48">
        <f t="shared" si="12"/>
        <v>238968418</v>
      </c>
      <c r="AB318" s="48">
        <f t="shared" si="12"/>
        <v>200630740</v>
      </c>
      <c r="AC318" s="48">
        <f t="shared" si="12"/>
        <v>175992673</v>
      </c>
      <c r="AD318" t="str">
        <f t="shared" si="6"/>
        <v>Spring</v>
      </c>
      <c r="AE318" t="str">
        <f>INDEX('Category Mapping'!$B$2:$B$29,MATCH('Modified Source Data'!A318,'Category Mapping'!$A$2:$A$29,0))</f>
        <v>Weekday</v>
      </c>
      <c r="AF318" t="str">
        <f>INDEX('Category Mapping'!$C$2:$C$29,MATCH('Modified Source Data'!A318,'Category Mapping'!$A$2:$A$29,0))</f>
        <v>Commercial</v>
      </c>
      <c r="AG318" t="str">
        <f>INDEX('Category Mapping'!$D$2:$D$29,MATCH('Modified Source Data'!A318,'Category Mapping'!$A$2:$A$29,0))</f>
        <v>Lighting</v>
      </c>
    </row>
    <row r="319" spans="1:33" x14ac:dyDescent="0.25">
      <c r="A319" s="46" t="s">
        <v>198</v>
      </c>
      <c r="B319" s="47"/>
      <c r="C319" s="47"/>
      <c r="D319" s="47"/>
      <c r="E319" s="47">
        <v>5</v>
      </c>
      <c r="F319" s="48">
        <f t="shared" si="13"/>
        <v>148007695</v>
      </c>
      <c r="G319" s="48">
        <f t="shared" si="12"/>
        <v>146411534</v>
      </c>
      <c r="H319" s="48">
        <f t="shared" si="12"/>
        <v>145763669</v>
      </c>
      <c r="I319" s="48">
        <f t="shared" si="12"/>
        <v>152795290</v>
      </c>
      <c r="J319" s="48">
        <f t="shared" si="12"/>
        <v>161641962</v>
      </c>
      <c r="K319" s="48">
        <f t="shared" si="12"/>
        <v>187749596</v>
      </c>
      <c r="L319" s="48">
        <f t="shared" si="12"/>
        <v>280303397</v>
      </c>
      <c r="M319" s="48">
        <f t="shared" si="12"/>
        <v>383884722</v>
      </c>
      <c r="N319" s="48">
        <f t="shared" si="12"/>
        <v>478954192</v>
      </c>
      <c r="O319" s="48">
        <f t="shared" si="12"/>
        <v>505890856</v>
      </c>
      <c r="P319" s="48">
        <f t="shared" si="12"/>
        <v>505261811</v>
      </c>
      <c r="Q319" s="48">
        <f t="shared" si="12"/>
        <v>504759157</v>
      </c>
      <c r="R319" s="48">
        <f t="shared" si="12"/>
        <v>496126985</v>
      </c>
      <c r="S319" s="48">
        <f t="shared" si="12"/>
        <v>496633163</v>
      </c>
      <c r="T319" s="48">
        <f t="shared" si="12"/>
        <v>496514328</v>
      </c>
      <c r="U319" s="48">
        <f t="shared" si="12"/>
        <v>497195327</v>
      </c>
      <c r="V319" s="48">
        <f t="shared" si="12"/>
        <v>481138356</v>
      </c>
      <c r="W319" s="48">
        <f t="shared" si="12"/>
        <v>452427956</v>
      </c>
      <c r="X319" s="48">
        <f t="shared" si="12"/>
        <v>427699237</v>
      </c>
      <c r="Y319" s="48">
        <f t="shared" si="12"/>
        <v>356968185</v>
      </c>
      <c r="Z319" s="48">
        <f t="shared" si="12"/>
        <v>295706188</v>
      </c>
      <c r="AA319" s="48">
        <f t="shared" si="12"/>
        <v>238013434</v>
      </c>
      <c r="AB319" s="48">
        <f t="shared" si="12"/>
        <v>199320877</v>
      </c>
      <c r="AC319" s="48">
        <f t="shared" si="12"/>
        <v>176130489</v>
      </c>
      <c r="AD319" t="str">
        <f t="shared" si="6"/>
        <v>Spring</v>
      </c>
      <c r="AE319" t="str">
        <f>INDEX('Category Mapping'!$B$2:$B$29,MATCH('Modified Source Data'!A319,'Category Mapping'!$A$2:$A$29,0))</f>
        <v>Weekday</v>
      </c>
      <c r="AF319" t="str">
        <f>INDEX('Category Mapping'!$C$2:$C$29,MATCH('Modified Source Data'!A319,'Category Mapping'!$A$2:$A$29,0))</f>
        <v>Commercial</v>
      </c>
      <c r="AG319" t="str">
        <f>INDEX('Category Mapping'!$D$2:$D$29,MATCH('Modified Source Data'!A319,'Category Mapping'!$A$2:$A$29,0))</f>
        <v>Lighting</v>
      </c>
    </row>
    <row r="320" spans="1:33" x14ac:dyDescent="0.25">
      <c r="A320" s="46" t="s">
        <v>198</v>
      </c>
      <c r="B320" s="47"/>
      <c r="C320" s="47"/>
      <c r="D320" s="47"/>
      <c r="E320" s="47">
        <v>6</v>
      </c>
      <c r="F320" s="48">
        <f t="shared" si="13"/>
        <v>148556009</v>
      </c>
      <c r="G320" s="48">
        <f t="shared" si="12"/>
        <v>146018163</v>
      </c>
      <c r="H320" s="48">
        <f t="shared" si="12"/>
        <v>146024053</v>
      </c>
      <c r="I320" s="48">
        <f t="shared" si="12"/>
        <v>152599872</v>
      </c>
      <c r="J320" s="48">
        <f t="shared" si="12"/>
        <v>161432586</v>
      </c>
      <c r="K320" s="48">
        <f t="shared" si="12"/>
        <v>186755173</v>
      </c>
      <c r="L320" s="48">
        <f t="shared" si="12"/>
        <v>280657853</v>
      </c>
      <c r="M320" s="48">
        <f t="shared" si="12"/>
        <v>382226260</v>
      </c>
      <c r="N320" s="48">
        <f t="shared" si="12"/>
        <v>478445762</v>
      </c>
      <c r="O320" s="48">
        <f t="shared" si="12"/>
        <v>504868620</v>
      </c>
      <c r="P320" s="48">
        <f t="shared" si="12"/>
        <v>504007428</v>
      </c>
      <c r="Q320" s="48">
        <f t="shared" si="12"/>
        <v>503912407</v>
      </c>
      <c r="R320" s="48">
        <f t="shared" si="12"/>
        <v>495282209</v>
      </c>
      <c r="S320" s="48">
        <f t="shared" si="12"/>
        <v>495315449</v>
      </c>
      <c r="T320" s="48">
        <f t="shared" si="12"/>
        <v>495565725</v>
      </c>
      <c r="U320" s="48">
        <f t="shared" si="12"/>
        <v>495799156</v>
      </c>
      <c r="V320" s="48">
        <f t="shared" si="12"/>
        <v>480522516</v>
      </c>
      <c r="W320" s="48">
        <f t="shared" si="12"/>
        <v>451522843</v>
      </c>
      <c r="X320" s="48">
        <f t="shared" si="12"/>
        <v>427665326</v>
      </c>
      <c r="Y320" s="48">
        <f t="shared" si="12"/>
        <v>356614991</v>
      </c>
      <c r="Z320" s="48">
        <f t="shared" si="12"/>
        <v>295093622</v>
      </c>
      <c r="AA320" s="48">
        <f t="shared" si="12"/>
        <v>237004516</v>
      </c>
      <c r="AB320" s="48">
        <f t="shared" si="12"/>
        <v>199497144</v>
      </c>
      <c r="AC320" s="48">
        <f t="shared" si="12"/>
        <v>175703161</v>
      </c>
      <c r="AD320" t="str">
        <f t="shared" si="6"/>
        <v>Summer</v>
      </c>
      <c r="AE320" t="str">
        <f>INDEX('Category Mapping'!$B$2:$B$29,MATCH('Modified Source Data'!A320,'Category Mapping'!$A$2:$A$29,0))</f>
        <v>Weekday</v>
      </c>
      <c r="AF320" t="str">
        <f>INDEX('Category Mapping'!$C$2:$C$29,MATCH('Modified Source Data'!A320,'Category Mapping'!$A$2:$A$29,0))</f>
        <v>Commercial</v>
      </c>
      <c r="AG320" t="str">
        <f>INDEX('Category Mapping'!$D$2:$D$29,MATCH('Modified Source Data'!A320,'Category Mapping'!$A$2:$A$29,0))</f>
        <v>Lighting</v>
      </c>
    </row>
    <row r="321" spans="1:33" x14ac:dyDescent="0.25">
      <c r="A321" s="46" t="s">
        <v>198</v>
      </c>
      <c r="B321" s="47"/>
      <c r="C321" s="47"/>
      <c r="D321" s="47"/>
      <c r="E321" s="47">
        <v>7</v>
      </c>
      <c r="F321" s="48">
        <f t="shared" si="13"/>
        <v>148089899</v>
      </c>
      <c r="G321" s="48">
        <f t="shared" si="12"/>
        <v>146744690</v>
      </c>
      <c r="H321" s="48">
        <f t="shared" si="12"/>
        <v>145979386</v>
      </c>
      <c r="I321" s="48">
        <f t="shared" si="12"/>
        <v>151983574</v>
      </c>
      <c r="J321" s="48">
        <f t="shared" si="12"/>
        <v>160682152</v>
      </c>
      <c r="K321" s="48">
        <f t="shared" si="12"/>
        <v>187628362</v>
      </c>
      <c r="L321" s="48">
        <f t="shared" si="12"/>
        <v>280579765</v>
      </c>
      <c r="M321" s="48">
        <f t="shared" si="12"/>
        <v>383007831</v>
      </c>
      <c r="N321" s="48">
        <f t="shared" si="12"/>
        <v>477594546</v>
      </c>
      <c r="O321" s="48">
        <f t="shared" si="12"/>
        <v>505747598</v>
      </c>
      <c r="P321" s="48">
        <f t="shared" si="12"/>
        <v>504735132</v>
      </c>
      <c r="Q321" s="48">
        <f t="shared" si="12"/>
        <v>503519906</v>
      </c>
      <c r="R321" s="48">
        <f t="shared" si="12"/>
        <v>495822871</v>
      </c>
      <c r="S321" s="48">
        <f t="shared" si="12"/>
        <v>495802902</v>
      </c>
      <c r="T321" s="48">
        <f t="shared" si="12"/>
        <v>496004330</v>
      </c>
      <c r="U321" s="48">
        <f t="shared" si="12"/>
        <v>496188155</v>
      </c>
      <c r="V321" s="48">
        <f t="shared" si="12"/>
        <v>481867814</v>
      </c>
      <c r="W321" s="48">
        <f t="shared" si="12"/>
        <v>451878275</v>
      </c>
      <c r="X321" s="48">
        <f t="shared" si="12"/>
        <v>428124376</v>
      </c>
      <c r="Y321" s="48">
        <f t="shared" si="12"/>
        <v>357173396</v>
      </c>
      <c r="Z321" s="48">
        <f t="shared" si="12"/>
        <v>295899425</v>
      </c>
      <c r="AA321" s="48">
        <f t="shared" si="12"/>
        <v>237870975</v>
      </c>
      <c r="AB321" s="48">
        <f t="shared" si="12"/>
        <v>199126458</v>
      </c>
      <c r="AC321" s="48">
        <f t="shared" si="12"/>
        <v>175982403</v>
      </c>
      <c r="AD321" t="str">
        <f t="shared" si="6"/>
        <v>Summer</v>
      </c>
      <c r="AE321" t="str">
        <f>INDEX('Category Mapping'!$B$2:$B$29,MATCH('Modified Source Data'!A321,'Category Mapping'!$A$2:$A$29,0))</f>
        <v>Weekday</v>
      </c>
      <c r="AF321" t="str">
        <f>INDEX('Category Mapping'!$C$2:$C$29,MATCH('Modified Source Data'!A321,'Category Mapping'!$A$2:$A$29,0))</f>
        <v>Commercial</v>
      </c>
      <c r="AG321" t="str">
        <f>INDEX('Category Mapping'!$D$2:$D$29,MATCH('Modified Source Data'!A321,'Category Mapping'!$A$2:$A$29,0))</f>
        <v>Lighting</v>
      </c>
    </row>
    <row r="322" spans="1:33" x14ac:dyDescent="0.25">
      <c r="A322" s="46" t="s">
        <v>198</v>
      </c>
      <c r="B322" s="47"/>
      <c r="C322" s="47"/>
      <c r="D322" s="47"/>
      <c r="E322" s="47">
        <v>8</v>
      </c>
      <c r="F322" s="48">
        <f t="shared" si="13"/>
        <v>149080331</v>
      </c>
      <c r="G322" s="48">
        <f t="shared" si="12"/>
        <v>146735196</v>
      </c>
      <c r="H322" s="48">
        <f t="shared" si="12"/>
        <v>145969919</v>
      </c>
      <c r="I322" s="48">
        <f t="shared" si="12"/>
        <v>152974107</v>
      </c>
      <c r="J322" s="48">
        <f t="shared" si="12"/>
        <v>161672650</v>
      </c>
      <c r="K322" s="48">
        <f t="shared" si="12"/>
        <v>187618742</v>
      </c>
      <c r="L322" s="48">
        <f t="shared" si="12"/>
        <v>281569913</v>
      </c>
      <c r="M322" s="48">
        <f t="shared" si="12"/>
        <v>384997689</v>
      </c>
      <c r="N322" s="48">
        <f t="shared" si="12"/>
        <v>480584358</v>
      </c>
      <c r="O322" s="48">
        <f t="shared" si="12"/>
        <v>506737539</v>
      </c>
      <c r="P322" s="48">
        <f t="shared" si="12"/>
        <v>504725185</v>
      </c>
      <c r="Q322" s="48">
        <f t="shared" si="12"/>
        <v>503510048</v>
      </c>
      <c r="R322" s="48">
        <f t="shared" si="12"/>
        <v>499813047</v>
      </c>
      <c r="S322" s="48">
        <f t="shared" si="12"/>
        <v>494793076</v>
      </c>
      <c r="T322" s="48">
        <f t="shared" si="12"/>
        <v>493994526</v>
      </c>
      <c r="U322" s="48">
        <f t="shared" si="12"/>
        <v>497178373</v>
      </c>
      <c r="V322" s="48">
        <f t="shared" si="12"/>
        <v>482858108</v>
      </c>
      <c r="W322" s="48">
        <f t="shared" si="12"/>
        <v>453868570</v>
      </c>
      <c r="X322" s="48">
        <f t="shared" si="12"/>
        <v>428114473</v>
      </c>
      <c r="Y322" s="48">
        <f t="shared" si="12"/>
        <v>357163498</v>
      </c>
      <c r="Z322" s="48">
        <f t="shared" si="12"/>
        <v>295889609</v>
      </c>
      <c r="AA322" s="48">
        <f t="shared" si="12"/>
        <v>238861044</v>
      </c>
      <c r="AB322" s="48">
        <f t="shared" si="12"/>
        <v>200116555</v>
      </c>
      <c r="AC322" s="48">
        <f t="shared" si="12"/>
        <v>175972709</v>
      </c>
      <c r="AD322" t="str">
        <f t="shared" si="6"/>
        <v>Summer</v>
      </c>
      <c r="AE322" t="str">
        <f>INDEX('Category Mapping'!$B$2:$B$29,MATCH('Modified Source Data'!A322,'Category Mapping'!$A$2:$A$29,0))</f>
        <v>Weekday</v>
      </c>
      <c r="AF322" t="str">
        <f>INDEX('Category Mapping'!$C$2:$C$29,MATCH('Modified Source Data'!A322,'Category Mapping'!$A$2:$A$29,0))</f>
        <v>Commercial</v>
      </c>
      <c r="AG322" t="str">
        <f>INDEX('Category Mapping'!$D$2:$D$29,MATCH('Modified Source Data'!A322,'Category Mapping'!$A$2:$A$29,0))</f>
        <v>Lighting</v>
      </c>
    </row>
    <row r="323" spans="1:33" x14ac:dyDescent="0.25">
      <c r="A323" s="46" t="s">
        <v>198</v>
      </c>
      <c r="B323" s="47"/>
      <c r="C323" s="47"/>
      <c r="D323" s="47"/>
      <c r="E323" s="47">
        <v>9</v>
      </c>
      <c r="F323" s="48">
        <f t="shared" si="13"/>
        <v>148397070</v>
      </c>
      <c r="G323" s="48">
        <f t="shared" si="12"/>
        <v>147345476</v>
      </c>
      <c r="H323" s="48">
        <f t="shared" si="12"/>
        <v>146825753</v>
      </c>
      <c r="I323" s="48">
        <f t="shared" si="12"/>
        <v>153374107</v>
      </c>
      <c r="J323" s="48">
        <f t="shared" si="12"/>
        <v>162165949</v>
      </c>
      <c r="K323" s="48">
        <f t="shared" si="12"/>
        <v>188608453</v>
      </c>
      <c r="L323" s="48">
        <f t="shared" si="12"/>
        <v>282183489</v>
      </c>
      <c r="M323" s="48">
        <f t="shared" si="12"/>
        <v>386662975</v>
      </c>
      <c r="N323" s="48">
        <f t="shared" si="12"/>
        <v>481934008</v>
      </c>
      <c r="O323" s="48">
        <f t="shared" si="12"/>
        <v>508953896</v>
      </c>
      <c r="P323" s="48">
        <f t="shared" si="12"/>
        <v>508334628</v>
      </c>
      <c r="Q323" s="48">
        <f t="shared" si="12"/>
        <v>507398466</v>
      </c>
      <c r="R323" s="48">
        <f t="shared" si="12"/>
        <v>499829948</v>
      </c>
      <c r="S323" s="48">
        <f t="shared" si="12"/>
        <v>498903098</v>
      </c>
      <c r="T323" s="48">
        <f t="shared" si="12"/>
        <v>500179019</v>
      </c>
      <c r="U323" s="48">
        <f t="shared" si="12"/>
        <v>500431925</v>
      </c>
      <c r="V323" s="48">
        <f t="shared" si="12"/>
        <v>484176135</v>
      </c>
      <c r="W323" s="48">
        <f t="shared" si="12"/>
        <v>455132957</v>
      </c>
      <c r="X323" s="48">
        <f t="shared" si="12"/>
        <v>430158360</v>
      </c>
      <c r="Y323" s="48">
        <f t="shared" si="12"/>
        <v>358961513</v>
      </c>
      <c r="Z323" s="48">
        <f t="shared" si="12"/>
        <v>297262120</v>
      </c>
      <c r="AA323" s="48">
        <f t="shared" si="12"/>
        <v>239415425</v>
      </c>
      <c r="AB323" s="48">
        <f t="shared" si="12"/>
        <v>199882697</v>
      </c>
      <c r="AC323" s="48">
        <f t="shared" si="12"/>
        <v>176463200</v>
      </c>
      <c r="AD323" t="str">
        <f t="shared" si="6"/>
        <v>Fall</v>
      </c>
      <c r="AE323" t="str">
        <f>INDEX('Category Mapping'!$B$2:$B$29,MATCH('Modified Source Data'!A323,'Category Mapping'!$A$2:$A$29,0))</f>
        <v>Weekday</v>
      </c>
      <c r="AF323" t="str">
        <f>INDEX('Category Mapping'!$C$2:$C$29,MATCH('Modified Source Data'!A323,'Category Mapping'!$A$2:$A$29,0))</f>
        <v>Commercial</v>
      </c>
      <c r="AG323" t="str">
        <f>INDEX('Category Mapping'!$D$2:$D$29,MATCH('Modified Source Data'!A323,'Category Mapping'!$A$2:$A$29,0))</f>
        <v>Lighting</v>
      </c>
    </row>
    <row r="324" spans="1:33" x14ac:dyDescent="0.25">
      <c r="A324" s="46" t="s">
        <v>198</v>
      </c>
      <c r="B324" s="47"/>
      <c r="C324" s="47"/>
      <c r="D324" s="47"/>
      <c r="E324" s="47">
        <v>10</v>
      </c>
      <c r="F324" s="48">
        <f t="shared" si="13"/>
        <v>149362406</v>
      </c>
      <c r="G324" s="48">
        <f t="shared" si="12"/>
        <v>147602380</v>
      </c>
      <c r="H324" s="48">
        <f t="shared" si="12"/>
        <v>146807669</v>
      </c>
      <c r="I324" s="48">
        <f t="shared" si="12"/>
        <v>153629447</v>
      </c>
      <c r="J324" s="48">
        <f t="shared" si="12"/>
        <v>162679392</v>
      </c>
      <c r="K324" s="48">
        <f t="shared" si="12"/>
        <v>188907449</v>
      </c>
      <c r="L324" s="48">
        <f t="shared" si="12"/>
        <v>283976903</v>
      </c>
      <c r="M324" s="48">
        <f t="shared" si="12"/>
        <v>389308985</v>
      </c>
      <c r="N324" s="48">
        <f t="shared" si="12"/>
        <v>484756280</v>
      </c>
      <c r="O324" s="48">
        <f t="shared" si="12"/>
        <v>512272594</v>
      </c>
      <c r="P324" s="48">
        <f t="shared" si="12"/>
        <v>510697306</v>
      </c>
      <c r="Q324" s="48">
        <f t="shared" si="12"/>
        <v>510123137</v>
      </c>
      <c r="R324" s="48">
        <f t="shared" si="12"/>
        <v>502660308</v>
      </c>
      <c r="S324" s="48">
        <f t="shared" si="12"/>
        <v>502401304</v>
      </c>
      <c r="T324" s="48">
        <f t="shared" si="12"/>
        <v>502191956</v>
      </c>
      <c r="U324" s="48">
        <f t="shared" si="12"/>
        <v>502994733</v>
      </c>
      <c r="V324" s="48">
        <f t="shared" si="12"/>
        <v>487436044</v>
      </c>
      <c r="W324" s="48">
        <f t="shared" si="12"/>
        <v>457451648</v>
      </c>
      <c r="X324" s="48">
        <f t="shared" si="12"/>
        <v>432445845</v>
      </c>
      <c r="Y324" s="48">
        <f t="shared" si="12"/>
        <v>360546536</v>
      </c>
      <c r="Z324" s="48">
        <f t="shared" si="12"/>
        <v>298510663</v>
      </c>
      <c r="AA324" s="48">
        <f t="shared" si="12"/>
        <v>239616573</v>
      </c>
      <c r="AB324" s="48">
        <f t="shared" si="12"/>
        <v>200551596</v>
      </c>
      <c r="AC324" s="48">
        <f t="shared" si="12"/>
        <v>176414081</v>
      </c>
      <c r="AD324" t="str">
        <f t="shared" ref="AD324:AD338" si="14">IF(AND(E324&gt;=3,E324&lt;=5),"Spring",IF(AND(E324&gt;=6,E324&lt;=8),"Summer",IF(AND(E324&gt;=9,E324&lt;=10),"Fall","Winter")))</f>
        <v>Fall</v>
      </c>
      <c r="AE324" t="str">
        <f>INDEX('Category Mapping'!$B$2:$B$29,MATCH('Modified Source Data'!A324,'Category Mapping'!$A$2:$A$29,0))</f>
        <v>Weekday</v>
      </c>
      <c r="AF324" t="str">
        <f>INDEX('Category Mapping'!$C$2:$C$29,MATCH('Modified Source Data'!A324,'Category Mapping'!$A$2:$A$29,0))</f>
        <v>Commercial</v>
      </c>
      <c r="AG324" t="str">
        <f>INDEX('Category Mapping'!$D$2:$D$29,MATCH('Modified Source Data'!A324,'Category Mapping'!$A$2:$A$29,0))</f>
        <v>Lighting</v>
      </c>
    </row>
    <row r="325" spans="1:33" x14ac:dyDescent="0.25">
      <c r="A325" s="46" t="s">
        <v>198</v>
      </c>
      <c r="B325" s="47"/>
      <c r="C325" s="47"/>
      <c r="D325" s="47"/>
      <c r="E325" s="47">
        <v>11</v>
      </c>
      <c r="F325" s="48">
        <f t="shared" si="13"/>
        <v>149807537</v>
      </c>
      <c r="G325" s="48">
        <f t="shared" si="12"/>
        <v>147724140</v>
      </c>
      <c r="H325" s="48">
        <f t="shared" si="12"/>
        <v>147653102</v>
      </c>
      <c r="I325" s="48">
        <f t="shared" si="12"/>
        <v>154260614</v>
      </c>
      <c r="J325" s="48">
        <f t="shared" si="12"/>
        <v>163342354</v>
      </c>
      <c r="K325" s="48">
        <f t="shared" si="12"/>
        <v>190575252</v>
      </c>
      <c r="L325" s="48">
        <f t="shared" si="12"/>
        <v>285817341</v>
      </c>
      <c r="M325" s="48">
        <f t="shared" si="12"/>
        <v>392244495</v>
      </c>
      <c r="N325" s="48">
        <f t="shared" si="12"/>
        <v>488207521</v>
      </c>
      <c r="O325" s="48">
        <f t="shared" si="12"/>
        <v>515287030</v>
      </c>
      <c r="P325" s="48">
        <f t="shared" si="12"/>
        <v>513746280</v>
      </c>
      <c r="Q325" s="48">
        <f t="shared" si="12"/>
        <v>513333325</v>
      </c>
      <c r="R325" s="48">
        <f t="shared" si="12"/>
        <v>505162601</v>
      </c>
      <c r="S325" s="48">
        <f t="shared" si="12"/>
        <v>506029597</v>
      </c>
      <c r="T325" s="48">
        <f t="shared" si="12"/>
        <v>506003675</v>
      </c>
      <c r="U325" s="48">
        <f t="shared" si="12"/>
        <v>506058879</v>
      </c>
      <c r="V325" s="48">
        <f t="shared" si="12"/>
        <v>490207610</v>
      </c>
      <c r="W325" s="48">
        <f t="shared" si="12"/>
        <v>460032803</v>
      </c>
      <c r="X325" s="48">
        <f t="shared" si="12"/>
        <v>435306171</v>
      </c>
      <c r="Y325" s="48">
        <f t="shared" si="12"/>
        <v>362887439</v>
      </c>
      <c r="Z325" s="48">
        <f t="shared" si="12"/>
        <v>300706863</v>
      </c>
      <c r="AA325" s="48">
        <f t="shared" si="12"/>
        <v>240789832</v>
      </c>
      <c r="AB325" s="48">
        <f t="shared" si="12"/>
        <v>201958259</v>
      </c>
      <c r="AC325" s="48">
        <f t="shared" si="12"/>
        <v>177854441</v>
      </c>
      <c r="AD325" t="str">
        <f t="shared" si="14"/>
        <v>Winter</v>
      </c>
      <c r="AE325" t="str">
        <f>INDEX('Category Mapping'!$B$2:$B$29,MATCH('Modified Source Data'!A325,'Category Mapping'!$A$2:$A$29,0))</f>
        <v>Weekday</v>
      </c>
      <c r="AF325" t="str">
        <f>INDEX('Category Mapping'!$C$2:$C$29,MATCH('Modified Source Data'!A325,'Category Mapping'!$A$2:$A$29,0))</f>
        <v>Commercial</v>
      </c>
      <c r="AG325" t="str">
        <f>INDEX('Category Mapping'!$D$2:$D$29,MATCH('Modified Source Data'!A325,'Category Mapping'!$A$2:$A$29,0))</f>
        <v>Lighting</v>
      </c>
    </row>
    <row r="326" spans="1:33" x14ac:dyDescent="0.25">
      <c r="A326" s="46" t="s">
        <v>198</v>
      </c>
      <c r="B326" s="47"/>
      <c r="C326" s="47"/>
      <c r="D326" s="47"/>
      <c r="E326" s="47">
        <v>12</v>
      </c>
      <c r="F326" s="48">
        <f t="shared" si="13"/>
        <v>149725499</v>
      </c>
      <c r="G326" s="48">
        <f t="shared" si="12"/>
        <v>148197125</v>
      </c>
      <c r="H326" s="48">
        <f t="shared" si="12"/>
        <v>148081387</v>
      </c>
      <c r="I326" s="48">
        <f t="shared" si="12"/>
        <v>154288866</v>
      </c>
      <c r="J326" s="48">
        <f t="shared" si="12"/>
        <v>164096954</v>
      </c>
      <c r="K326" s="48">
        <f t="shared" si="12"/>
        <v>191275368</v>
      </c>
      <c r="L326" s="48">
        <f t="shared" si="12"/>
        <v>286626355</v>
      </c>
      <c r="M326" s="48">
        <f t="shared" si="12"/>
        <v>393241170</v>
      </c>
      <c r="N326" s="48">
        <f t="shared" si="12"/>
        <v>490527182</v>
      </c>
      <c r="O326" s="48">
        <f t="shared" si="12"/>
        <v>517918250</v>
      </c>
      <c r="P326" s="48">
        <f t="shared" si="12"/>
        <v>516210474</v>
      </c>
      <c r="Q326" s="48">
        <f t="shared" si="12"/>
        <v>515790475</v>
      </c>
      <c r="R326" s="48">
        <f t="shared" si="12"/>
        <v>508188262</v>
      </c>
      <c r="S326" s="48">
        <f t="shared" si="12"/>
        <v>508153671</v>
      </c>
      <c r="T326" s="48">
        <f t="shared" si="12"/>
        <v>508180341</v>
      </c>
      <c r="U326" s="48">
        <f t="shared" si="12"/>
        <v>508880386</v>
      </c>
      <c r="V326" s="48">
        <f t="shared" si="12"/>
        <v>492191695</v>
      </c>
      <c r="W326" s="48">
        <f t="shared" si="12"/>
        <v>461712806</v>
      </c>
      <c r="X326" s="48">
        <f t="shared" ref="X326:AC326" si="15">SUMIFS(X$3:X$290,$AF$3:$AF$290,"*"&amp;"Commercial"&amp;"*",$E$3:$E$290,$E326,$AG$3:$AG$290,"Total",$AE$3:$AE$290,"Weekday")-SUMIFS(X$3:X$290,$AF$3:$AF$290,"*"&amp;"Commercial"&amp;"*",$E$3:$E$290,$E326,$AG$3:$AG$290,"&lt;&gt;"&amp;"Total",$AE$3:$AE$290,"Weekday")</f>
        <v>436653188</v>
      </c>
      <c r="Y326" s="48">
        <f t="shared" si="15"/>
        <v>364538198</v>
      </c>
      <c r="Z326" s="48">
        <f t="shared" si="15"/>
        <v>302127584</v>
      </c>
      <c r="AA326" s="48">
        <f t="shared" si="15"/>
        <v>241352994</v>
      </c>
      <c r="AB326" s="48">
        <f t="shared" si="15"/>
        <v>202175199</v>
      </c>
      <c r="AC326" s="48">
        <f t="shared" si="15"/>
        <v>178011926</v>
      </c>
      <c r="AD326" t="str">
        <f t="shared" si="14"/>
        <v>Winter</v>
      </c>
      <c r="AE326" t="str">
        <f>INDEX('Category Mapping'!$B$2:$B$29,MATCH('Modified Source Data'!A326,'Category Mapping'!$A$2:$A$29,0))</f>
        <v>Weekday</v>
      </c>
      <c r="AF326" t="str">
        <f>INDEX('Category Mapping'!$C$2:$C$29,MATCH('Modified Source Data'!A326,'Category Mapping'!$A$2:$A$29,0))</f>
        <v>Commercial</v>
      </c>
      <c r="AG326" t="str">
        <f>INDEX('Category Mapping'!$D$2:$D$29,MATCH('Modified Source Data'!A326,'Category Mapping'!$A$2:$A$29,0))</f>
        <v>Lighting</v>
      </c>
    </row>
    <row r="327" spans="1:33" x14ac:dyDescent="0.25">
      <c r="A327" s="40" t="s">
        <v>199</v>
      </c>
      <c r="B327" s="41"/>
      <c r="C327" s="41"/>
      <c r="D327" s="41"/>
      <c r="E327" s="41">
        <v>1</v>
      </c>
      <c r="F327" s="42">
        <f>SUMIFS(F$3:F$290,$AF$3:$AF$290,"*"&amp;"Commercial"&amp;"*",$E$3:$E$290,$E327,$AG$3:$AG$290,"Total",$AE$3:$AE$290,"Weekend")-SUMIFS(F$3:F$290,$AF$3:$AF$290,"*"&amp;"Commercial"&amp;"*",$E$3:$E$290,$E327,$AG$3:$AG$290,"&lt;&gt;"&amp;"Total",$AE$3:$AE$290,"Weekend")</f>
        <v>76305525</v>
      </c>
      <c r="G327" s="42">
        <f t="shared" ref="G327:AC338" si="16">SUMIFS(G$3:G$290,$AF$3:$AF$290,"*"&amp;"Commercial"&amp;"*",$E$3:$E$290,$E327,$AG$3:$AG$290,"Total",$AE$3:$AE$290,"Weekend")-SUMIFS(G$3:G$290,$AF$3:$AF$290,"*"&amp;"Commercial"&amp;"*",$E$3:$E$290,$E327,$AG$3:$AG$290,"&lt;&gt;"&amp;"Total",$AE$3:$AE$290,"Weekend")</f>
        <v>67001808</v>
      </c>
      <c r="H327" s="42">
        <f t="shared" si="16"/>
        <v>66216697</v>
      </c>
      <c r="I327" s="42">
        <f t="shared" si="16"/>
        <v>66918284</v>
      </c>
      <c r="J327" s="42">
        <f t="shared" si="16"/>
        <v>67753076</v>
      </c>
      <c r="K327" s="42">
        <f t="shared" si="16"/>
        <v>72189263</v>
      </c>
      <c r="L327" s="42">
        <f t="shared" si="16"/>
        <v>80403759</v>
      </c>
      <c r="M327" s="42">
        <f t="shared" si="16"/>
        <v>101384569</v>
      </c>
      <c r="N327" s="42">
        <f t="shared" si="16"/>
        <v>113735560</v>
      </c>
      <c r="O327" s="42">
        <f t="shared" si="16"/>
        <v>124634132</v>
      </c>
      <c r="P327" s="42">
        <f t="shared" si="16"/>
        <v>123645052</v>
      </c>
      <c r="Q327" s="42">
        <f t="shared" si="16"/>
        <v>124483655</v>
      </c>
      <c r="R327" s="42">
        <f t="shared" si="16"/>
        <v>124600401</v>
      </c>
      <c r="S327" s="42">
        <f t="shared" si="16"/>
        <v>120574474</v>
      </c>
      <c r="T327" s="42">
        <f t="shared" si="16"/>
        <v>114742812</v>
      </c>
      <c r="U327" s="42">
        <f t="shared" si="16"/>
        <v>106190129</v>
      </c>
      <c r="V327" s="42">
        <f t="shared" si="16"/>
        <v>101917859</v>
      </c>
      <c r="W327" s="42">
        <f t="shared" si="16"/>
        <v>102487922</v>
      </c>
      <c r="X327" s="42">
        <f t="shared" si="16"/>
        <v>100991782</v>
      </c>
      <c r="Y327" s="42">
        <f t="shared" si="16"/>
        <v>97513706</v>
      </c>
      <c r="Z327" s="42">
        <f t="shared" si="16"/>
        <v>93121688</v>
      </c>
      <c r="AA327" s="42">
        <f t="shared" si="16"/>
        <v>86539234</v>
      </c>
      <c r="AB327" s="42">
        <f t="shared" si="16"/>
        <v>81167773</v>
      </c>
      <c r="AC327" s="42">
        <f t="shared" si="16"/>
        <v>74662161</v>
      </c>
      <c r="AD327" t="str">
        <f t="shared" si="14"/>
        <v>Winter</v>
      </c>
      <c r="AE327" t="str">
        <f>INDEX('Category Mapping'!$B$2:$B$29,MATCH('Modified Source Data'!A327,'Category Mapping'!$A$2:$A$29,0))</f>
        <v>Weekend</v>
      </c>
      <c r="AF327" t="str">
        <f>INDEX('Category Mapping'!$C$2:$C$29,MATCH('Modified Source Data'!A327,'Category Mapping'!$A$2:$A$29,0))</f>
        <v>Commercial</v>
      </c>
      <c r="AG327" t="str">
        <f>INDEX('Category Mapping'!$D$2:$D$29,MATCH('Modified Source Data'!A327,'Category Mapping'!$A$2:$A$29,0))</f>
        <v>Lighting</v>
      </c>
    </row>
    <row r="328" spans="1:33" x14ac:dyDescent="0.25">
      <c r="A328" s="40" t="s">
        <v>199</v>
      </c>
      <c r="B328" s="41"/>
      <c r="C328" s="41"/>
      <c r="D328" s="41"/>
      <c r="E328" s="41">
        <v>2</v>
      </c>
      <c r="F328" s="42">
        <f t="shared" ref="F328:U338" si="17">SUMIFS(F$3:F$290,$AF$3:$AF$290,"*"&amp;"Commercial"&amp;"*",$E$3:$E$290,$E328,$AG$3:$AG$290,"Total",$AE$3:$AE$290,"Weekend")-SUMIFS(F$3:F$290,$AF$3:$AF$290,"*"&amp;"Commercial"&amp;"*",$E$3:$E$290,$E328,$AG$3:$AG$290,"&lt;&gt;"&amp;"Total",$AE$3:$AE$290,"Weekend")</f>
        <v>76118358</v>
      </c>
      <c r="G328" s="42">
        <f t="shared" si="17"/>
        <v>66756516</v>
      </c>
      <c r="H328" s="42">
        <f t="shared" si="17"/>
        <v>66082764</v>
      </c>
      <c r="I328" s="42">
        <f t="shared" si="17"/>
        <v>66680262</v>
      </c>
      <c r="J328" s="42">
        <f t="shared" si="17"/>
        <v>67611920</v>
      </c>
      <c r="K328" s="42">
        <f t="shared" si="17"/>
        <v>71886840</v>
      </c>
      <c r="L328" s="42">
        <f t="shared" si="17"/>
        <v>80166853</v>
      </c>
      <c r="M328" s="42">
        <f t="shared" si="17"/>
        <v>100591091</v>
      </c>
      <c r="N328" s="42">
        <f t="shared" si="17"/>
        <v>113546384</v>
      </c>
      <c r="O328" s="42">
        <f t="shared" si="17"/>
        <v>124628072</v>
      </c>
      <c r="P328" s="42">
        <f t="shared" si="17"/>
        <v>123020885</v>
      </c>
      <c r="Q328" s="42">
        <f t="shared" si="17"/>
        <v>124580983</v>
      </c>
      <c r="R328" s="42">
        <f t="shared" si="17"/>
        <v>124221056</v>
      </c>
      <c r="S328" s="42">
        <f t="shared" si="17"/>
        <v>120063856</v>
      </c>
      <c r="T328" s="42">
        <f t="shared" si="17"/>
        <v>114026480</v>
      </c>
      <c r="U328" s="42">
        <f t="shared" si="17"/>
        <v>105769841</v>
      </c>
      <c r="V328" s="42">
        <f t="shared" si="16"/>
        <v>101553509</v>
      </c>
      <c r="W328" s="42">
        <f t="shared" si="16"/>
        <v>102817841</v>
      </c>
      <c r="X328" s="42">
        <f t="shared" si="16"/>
        <v>100654932</v>
      </c>
      <c r="Y328" s="42">
        <f t="shared" si="16"/>
        <v>97833703</v>
      </c>
      <c r="Z328" s="42">
        <f t="shared" si="16"/>
        <v>92066233</v>
      </c>
      <c r="AA328" s="42">
        <f t="shared" si="16"/>
        <v>85799170</v>
      </c>
      <c r="AB328" s="42">
        <f t="shared" si="16"/>
        <v>81409089</v>
      </c>
      <c r="AC328" s="42">
        <f t="shared" si="16"/>
        <v>74428926</v>
      </c>
      <c r="AD328" t="str">
        <f t="shared" si="14"/>
        <v>Winter</v>
      </c>
      <c r="AE328" t="str">
        <f>INDEX('Category Mapping'!$B$2:$B$29,MATCH('Modified Source Data'!A328,'Category Mapping'!$A$2:$A$29,0))</f>
        <v>Weekend</v>
      </c>
      <c r="AF328" t="str">
        <f>INDEX('Category Mapping'!$C$2:$C$29,MATCH('Modified Source Data'!A328,'Category Mapping'!$A$2:$A$29,0))</f>
        <v>Commercial</v>
      </c>
      <c r="AG328" t="str">
        <f>INDEX('Category Mapping'!$D$2:$D$29,MATCH('Modified Source Data'!A328,'Category Mapping'!$A$2:$A$29,0))</f>
        <v>Lighting</v>
      </c>
    </row>
    <row r="329" spans="1:33" x14ac:dyDescent="0.25">
      <c r="A329" s="40" t="s">
        <v>199</v>
      </c>
      <c r="B329" s="41"/>
      <c r="C329" s="41"/>
      <c r="D329" s="41"/>
      <c r="E329" s="41">
        <v>3</v>
      </c>
      <c r="F329" s="42">
        <f t="shared" si="17"/>
        <v>75895790</v>
      </c>
      <c r="G329" s="42">
        <f t="shared" si="16"/>
        <v>66542124</v>
      </c>
      <c r="H329" s="42">
        <f t="shared" si="16"/>
        <v>65835771</v>
      </c>
      <c r="I329" s="42">
        <f t="shared" si="16"/>
        <v>66487464</v>
      </c>
      <c r="J329" s="42">
        <f t="shared" si="16"/>
        <v>67314438</v>
      </c>
      <c r="K329" s="42">
        <f t="shared" si="16"/>
        <v>71700543</v>
      </c>
      <c r="L329" s="42">
        <f t="shared" si="16"/>
        <v>79763420</v>
      </c>
      <c r="M329" s="42">
        <f t="shared" si="16"/>
        <v>99906786</v>
      </c>
      <c r="N329" s="42">
        <f t="shared" si="16"/>
        <v>112631681</v>
      </c>
      <c r="O329" s="42">
        <f t="shared" si="16"/>
        <v>123697379</v>
      </c>
      <c r="P329" s="42">
        <f t="shared" si="16"/>
        <v>122989657</v>
      </c>
      <c r="Q329" s="42">
        <f t="shared" si="16"/>
        <v>123683319</v>
      </c>
      <c r="R329" s="42">
        <f t="shared" si="16"/>
        <v>123858535</v>
      </c>
      <c r="S329" s="42">
        <f t="shared" si="16"/>
        <v>119174954</v>
      </c>
      <c r="T329" s="42">
        <f t="shared" si="16"/>
        <v>113532759</v>
      </c>
      <c r="U329" s="42">
        <f t="shared" si="16"/>
        <v>105872774</v>
      </c>
      <c r="V329" s="42">
        <f t="shared" si="16"/>
        <v>100519629</v>
      </c>
      <c r="W329" s="42">
        <f t="shared" si="16"/>
        <v>101679917</v>
      </c>
      <c r="X329" s="42">
        <f t="shared" si="16"/>
        <v>100245722</v>
      </c>
      <c r="Y329" s="42">
        <f t="shared" si="16"/>
        <v>96573424</v>
      </c>
      <c r="Z329" s="42">
        <f t="shared" si="16"/>
        <v>92327480</v>
      </c>
      <c r="AA329" s="42">
        <f t="shared" si="16"/>
        <v>85674236</v>
      </c>
      <c r="AB329" s="42">
        <f t="shared" si="16"/>
        <v>80753811</v>
      </c>
      <c r="AC329" s="42">
        <f t="shared" si="16"/>
        <v>74147383</v>
      </c>
      <c r="AD329" t="str">
        <f t="shared" si="14"/>
        <v>Spring</v>
      </c>
      <c r="AE329" t="str">
        <f>INDEX('Category Mapping'!$B$2:$B$29,MATCH('Modified Source Data'!A329,'Category Mapping'!$A$2:$A$29,0))</f>
        <v>Weekend</v>
      </c>
      <c r="AF329" t="str">
        <f>INDEX('Category Mapping'!$C$2:$C$29,MATCH('Modified Source Data'!A329,'Category Mapping'!$A$2:$A$29,0))</f>
        <v>Commercial</v>
      </c>
      <c r="AG329" t="str">
        <f>INDEX('Category Mapping'!$D$2:$D$29,MATCH('Modified Source Data'!A329,'Category Mapping'!$A$2:$A$29,0))</f>
        <v>Lighting</v>
      </c>
    </row>
    <row r="330" spans="1:33" x14ac:dyDescent="0.25">
      <c r="A330" s="40" t="s">
        <v>199</v>
      </c>
      <c r="B330" s="41"/>
      <c r="C330" s="41"/>
      <c r="D330" s="41"/>
      <c r="E330" s="41">
        <v>4</v>
      </c>
      <c r="F330" s="42">
        <f t="shared" si="17"/>
        <v>75719206</v>
      </c>
      <c r="G330" s="42">
        <f t="shared" si="16"/>
        <v>66366562</v>
      </c>
      <c r="H330" s="42">
        <f t="shared" si="16"/>
        <v>65647189</v>
      </c>
      <c r="I330" s="42">
        <f t="shared" si="16"/>
        <v>66367254</v>
      </c>
      <c r="J330" s="42">
        <f t="shared" si="16"/>
        <v>67089586</v>
      </c>
      <c r="K330" s="42">
        <f t="shared" si="16"/>
        <v>71455494</v>
      </c>
      <c r="L330" s="42">
        <f t="shared" si="16"/>
        <v>79507309</v>
      </c>
      <c r="M330" s="42">
        <f t="shared" si="16"/>
        <v>100068584</v>
      </c>
      <c r="N330" s="42">
        <f t="shared" si="16"/>
        <v>111563967</v>
      </c>
      <c r="O330" s="42">
        <f t="shared" si="16"/>
        <v>123239894</v>
      </c>
      <c r="P330" s="42">
        <f t="shared" si="16"/>
        <v>122409617</v>
      </c>
      <c r="Q330" s="42">
        <f t="shared" si="16"/>
        <v>122868685</v>
      </c>
      <c r="R330" s="42">
        <f t="shared" si="16"/>
        <v>123085361</v>
      </c>
      <c r="S330" s="42">
        <f t="shared" si="16"/>
        <v>118699627</v>
      </c>
      <c r="T330" s="42">
        <f t="shared" si="16"/>
        <v>113740915</v>
      </c>
      <c r="U330" s="42">
        <f t="shared" si="16"/>
        <v>105315526</v>
      </c>
      <c r="V330" s="42">
        <f t="shared" si="16"/>
        <v>100708198</v>
      </c>
      <c r="W330" s="42">
        <f t="shared" si="16"/>
        <v>101221730</v>
      </c>
      <c r="X330" s="42">
        <f t="shared" si="16"/>
        <v>99547516</v>
      </c>
      <c r="Y330" s="42">
        <f t="shared" si="16"/>
        <v>96664358</v>
      </c>
      <c r="Z330" s="42">
        <f t="shared" si="16"/>
        <v>91593739</v>
      </c>
      <c r="AA330" s="42">
        <f t="shared" si="16"/>
        <v>85475369</v>
      </c>
      <c r="AB330" s="42">
        <f t="shared" si="16"/>
        <v>80502861</v>
      </c>
      <c r="AC330" s="42">
        <f t="shared" si="16"/>
        <v>73970013</v>
      </c>
      <c r="AD330" t="str">
        <f t="shared" si="14"/>
        <v>Spring</v>
      </c>
      <c r="AE330" t="str">
        <f>INDEX('Category Mapping'!$B$2:$B$29,MATCH('Modified Source Data'!A330,'Category Mapping'!$A$2:$A$29,0))</f>
        <v>Weekend</v>
      </c>
      <c r="AF330" t="str">
        <f>INDEX('Category Mapping'!$C$2:$C$29,MATCH('Modified Source Data'!A330,'Category Mapping'!$A$2:$A$29,0))</f>
        <v>Commercial</v>
      </c>
      <c r="AG330" t="str">
        <f>INDEX('Category Mapping'!$D$2:$D$29,MATCH('Modified Source Data'!A330,'Category Mapping'!$A$2:$A$29,0))</f>
        <v>Lighting</v>
      </c>
    </row>
    <row r="331" spans="1:33" x14ac:dyDescent="0.25">
      <c r="A331" s="40" t="s">
        <v>199</v>
      </c>
      <c r="B331" s="41"/>
      <c r="C331" s="41"/>
      <c r="D331" s="41"/>
      <c r="E331" s="41">
        <v>5</v>
      </c>
      <c r="F331" s="42">
        <f t="shared" si="17"/>
        <v>75534587</v>
      </c>
      <c r="G331" s="42">
        <f t="shared" si="16"/>
        <v>66249525</v>
      </c>
      <c r="H331" s="42">
        <f t="shared" si="16"/>
        <v>65584299</v>
      </c>
      <c r="I331" s="42">
        <f t="shared" si="16"/>
        <v>66174830</v>
      </c>
      <c r="J331" s="42">
        <f t="shared" si="16"/>
        <v>66934053</v>
      </c>
      <c r="K331" s="42">
        <f t="shared" si="16"/>
        <v>71277907</v>
      </c>
      <c r="L331" s="42">
        <f t="shared" si="16"/>
        <v>79247499</v>
      </c>
      <c r="M331" s="42">
        <f t="shared" si="16"/>
        <v>99632790</v>
      </c>
      <c r="N331" s="42">
        <f t="shared" si="16"/>
        <v>111278386</v>
      </c>
      <c r="O331" s="42">
        <f t="shared" si="16"/>
        <v>123063966</v>
      </c>
      <c r="P331" s="42">
        <f t="shared" si="16"/>
        <v>121405051</v>
      </c>
      <c r="Q331" s="42">
        <f t="shared" si="16"/>
        <v>122492426</v>
      </c>
      <c r="R331" s="42">
        <f t="shared" si="16"/>
        <v>122658709</v>
      </c>
      <c r="S331" s="42">
        <f t="shared" si="16"/>
        <v>118655863</v>
      </c>
      <c r="T331" s="42">
        <f t="shared" si="16"/>
        <v>112611418</v>
      </c>
      <c r="U331" s="42">
        <f t="shared" si="16"/>
        <v>104925738</v>
      </c>
      <c r="V331" s="42">
        <f t="shared" si="16"/>
        <v>99636112</v>
      </c>
      <c r="W331" s="42">
        <f t="shared" si="16"/>
        <v>101193626</v>
      </c>
      <c r="X331" s="42">
        <f t="shared" si="16"/>
        <v>99676058</v>
      </c>
      <c r="Y331" s="42">
        <f t="shared" si="16"/>
        <v>95953227</v>
      </c>
      <c r="Z331" s="42">
        <f t="shared" si="16"/>
        <v>92053260</v>
      </c>
      <c r="AA331" s="42">
        <f t="shared" si="16"/>
        <v>85259787</v>
      </c>
      <c r="AB331" s="42">
        <f t="shared" si="16"/>
        <v>80334205</v>
      </c>
      <c r="AC331" s="42">
        <f t="shared" si="16"/>
        <v>73796381</v>
      </c>
      <c r="AD331" t="str">
        <f t="shared" si="14"/>
        <v>Spring</v>
      </c>
      <c r="AE331" t="str">
        <f>INDEX('Category Mapping'!$B$2:$B$29,MATCH('Modified Source Data'!A331,'Category Mapping'!$A$2:$A$29,0))</f>
        <v>Weekend</v>
      </c>
      <c r="AF331" t="str">
        <f>INDEX('Category Mapping'!$C$2:$C$29,MATCH('Modified Source Data'!A331,'Category Mapping'!$A$2:$A$29,0))</f>
        <v>Commercial</v>
      </c>
      <c r="AG331" t="str">
        <f>INDEX('Category Mapping'!$D$2:$D$29,MATCH('Modified Source Data'!A331,'Category Mapping'!$A$2:$A$29,0))</f>
        <v>Lighting</v>
      </c>
    </row>
    <row r="332" spans="1:33" x14ac:dyDescent="0.25">
      <c r="A332" s="40" t="s">
        <v>199</v>
      </c>
      <c r="B332" s="41"/>
      <c r="C332" s="41"/>
      <c r="D332" s="41"/>
      <c r="E332" s="41">
        <v>6</v>
      </c>
      <c r="F332" s="42">
        <f t="shared" si="17"/>
        <v>75645954</v>
      </c>
      <c r="G332" s="42">
        <f t="shared" si="16"/>
        <v>66151136</v>
      </c>
      <c r="H332" s="42">
        <f t="shared" si="16"/>
        <v>65465825</v>
      </c>
      <c r="I332" s="42">
        <f t="shared" si="16"/>
        <v>66157802</v>
      </c>
      <c r="J332" s="42">
        <f t="shared" si="16"/>
        <v>67207669</v>
      </c>
      <c r="K332" s="42">
        <f t="shared" si="16"/>
        <v>70811957</v>
      </c>
      <c r="L332" s="42">
        <f t="shared" si="16"/>
        <v>79298135</v>
      </c>
      <c r="M332" s="42">
        <f t="shared" si="16"/>
        <v>98964978</v>
      </c>
      <c r="N332" s="42">
        <f t="shared" si="16"/>
        <v>111437877</v>
      </c>
      <c r="O332" s="42">
        <f t="shared" si="16"/>
        <v>122515725</v>
      </c>
      <c r="P332" s="42">
        <f t="shared" si="16"/>
        <v>121576100</v>
      </c>
      <c r="Q332" s="42">
        <f t="shared" si="16"/>
        <v>123046298</v>
      </c>
      <c r="R332" s="42">
        <f t="shared" si="16"/>
        <v>122497874</v>
      </c>
      <c r="S332" s="42">
        <f t="shared" si="16"/>
        <v>118428777</v>
      </c>
      <c r="T332" s="42">
        <f t="shared" si="16"/>
        <v>112676907</v>
      </c>
      <c r="U332" s="42">
        <f t="shared" si="16"/>
        <v>104537691</v>
      </c>
      <c r="V332" s="42">
        <f t="shared" si="16"/>
        <v>99645902</v>
      </c>
      <c r="W332" s="42">
        <f t="shared" si="16"/>
        <v>101471605</v>
      </c>
      <c r="X332" s="42">
        <f t="shared" si="16"/>
        <v>99918071</v>
      </c>
      <c r="Y332" s="42">
        <f t="shared" si="16"/>
        <v>96403889</v>
      </c>
      <c r="Z332" s="42">
        <f t="shared" si="16"/>
        <v>91074085</v>
      </c>
      <c r="AA332" s="42">
        <f t="shared" si="16"/>
        <v>84753946</v>
      </c>
      <c r="AB332" s="42">
        <f t="shared" si="16"/>
        <v>80376676</v>
      </c>
      <c r="AC332" s="42">
        <f t="shared" si="16"/>
        <v>73475210</v>
      </c>
      <c r="AD332" t="str">
        <f t="shared" si="14"/>
        <v>Summer</v>
      </c>
      <c r="AE332" t="str">
        <f>INDEX('Category Mapping'!$B$2:$B$29,MATCH('Modified Source Data'!A332,'Category Mapping'!$A$2:$A$29,0))</f>
        <v>Weekend</v>
      </c>
      <c r="AF332" t="str">
        <f>INDEX('Category Mapping'!$C$2:$C$29,MATCH('Modified Source Data'!A332,'Category Mapping'!$A$2:$A$29,0))</f>
        <v>Commercial</v>
      </c>
      <c r="AG332" t="str">
        <f>INDEX('Category Mapping'!$D$2:$D$29,MATCH('Modified Source Data'!A332,'Category Mapping'!$A$2:$A$29,0))</f>
        <v>Lighting</v>
      </c>
    </row>
    <row r="333" spans="1:33" x14ac:dyDescent="0.25">
      <c r="A333" s="40" t="s">
        <v>199</v>
      </c>
      <c r="B333" s="41"/>
      <c r="C333" s="41"/>
      <c r="D333" s="41"/>
      <c r="E333" s="41">
        <v>7</v>
      </c>
      <c r="F333" s="42">
        <f t="shared" si="17"/>
        <v>75458463</v>
      </c>
      <c r="G333" s="42">
        <f t="shared" si="16"/>
        <v>66857901</v>
      </c>
      <c r="H333" s="42">
        <f t="shared" si="16"/>
        <v>65281151</v>
      </c>
      <c r="I333" s="42">
        <f t="shared" si="16"/>
        <v>66382007</v>
      </c>
      <c r="J333" s="42">
        <f t="shared" si="16"/>
        <v>66829764</v>
      </c>
      <c r="K333" s="42">
        <f t="shared" si="16"/>
        <v>71563647</v>
      </c>
      <c r="L333" s="42">
        <f t="shared" si="16"/>
        <v>79113175</v>
      </c>
      <c r="M333" s="42">
        <f t="shared" si="16"/>
        <v>99127164</v>
      </c>
      <c r="N333" s="42">
        <f t="shared" si="16"/>
        <v>111722615</v>
      </c>
      <c r="O333" s="42">
        <f t="shared" si="16"/>
        <v>121837367</v>
      </c>
      <c r="P333" s="42">
        <f t="shared" si="16"/>
        <v>121647647</v>
      </c>
      <c r="Q333" s="42">
        <f t="shared" si="16"/>
        <v>123186508</v>
      </c>
      <c r="R333" s="42">
        <f t="shared" si="16"/>
        <v>122712807</v>
      </c>
      <c r="S333" s="42">
        <f t="shared" si="16"/>
        <v>117927529</v>
      </c>
      <c r="T333" s="42">
        <f t="shared" si="16"/>
        <v>112966756</v>
      </c>
      <c r="U333" s="42">
        <f t="shared" si="16"/>
        <v>103993919</v>
      </c>
      <c r="V333" s="42">
        <f t="shared" si="16"/>
        <v>100296685</v>
      </c>
      <c r="W333" s="42">
        <f t="shared" si="16"/>
        <v>101336554</v>
      </c>
      <c r="X333" s="42">
        <f t="shared" si="16"/>
        <v>100108865</v>
      </c>
      <c r="Y333" s="42">
        <f t="shared" si="16"/>
        <v>95719214</v>
      </c>
      <c r="Z333" s="42">
        <f t="shared" si="16"/>
        <v>91551231</v>
      </c>
      <c r="AA333" s="42">
        <f t="shared" si="16"/>
        <v>85446133</v>
      </c>
      <c r="AB333" s="42">
        <f t="shared" si="16"/>
        <v>79888062</v>
      </c>
      <c r="AC333" s="42">
        <f t="shared" si="16"/>
        <v>73400843</v>
      </c>
      <c r="AD333" t="str">
        <f t="shared" si="14"/>
        <v>Summer</v>
      </c>
      <c r="AE333" t="str">
        <f>INDEX('Category Mapping'!$B$2:$B$29,MATCH('Modified Source Data'!A333,'Category Mapping'!$A$2:$A$29,0))</f>
        <v>Weekend</v>
      </c>
      <c r="AF333" t="str">
        <f>INDEX('Category Mapping'!$C$2:$C$29,MATCH('Modified Source Data'!A333,'Category Mapping'!$A$2:$A$29,0))</f>
        <v>Commercial</v>
      </c>
      <c r="AG333" t="str">
        <f>INDEX('Category Mapping'!$D$2:$D$29,MATCH('Modified Source Data'!A333,'Category Mapping'!$A$2:$A$29,0))</f>
        <v>Lighting</v>
      </c>
    </row>
    <row r="334" spans="1:33" x14ac:dyDescent="0.25">
      <c r="A334" s="40" t="s">
        <v>199</v>
      </c>
      <c r="B334" s="41"/>
      <c r="C334" s="41"/>
      <c r="D334" s="41"/>
      <c r="E334" s="41">
        <v>8</v>
      </c>
      <c r="F334" s="42">
        <f t="shared" si="17"/>
        <v>75455341</v>
      </c>
      <c r="G334" s="42">
        <f t="shared" si="16"/>
        <v>65854824</v>
      </c>
      <c r="H334" s="42">
        <f t="shared" si="16"/>
        <v>65978088</v>
      </c>
      <c r="I334" s="42">
        <f t="shared" si="16"/>
        <v>65978944</v>
      </c>
      <c r="J334" s="42">
        <f t="shared" si="16"/>
        <v>66826683</v>
      </c>
      <c r="K334" s="42">
        <f t="shared" si="16"/>
        <v>71560536</v>
      </c>
      <c r="L334" s="42">
        <f t="shared" si="16"/>
        <v>79110013</v>
      </c>
      <c r="M334" s="42">
        <f t="shared" si="16"/>
        <v>100123891</v>
      </c>
      <c r="N334" s="42">
        <f t="shared" si="16"/>
        <v>112719183</v>
      </c>
      <c r="O334" s="42">
        <f t="shared" si="16"/>
        <v>122833948</v>
      </c>
      <c r="P334" s="42">
        <f t="shared" si="16"/>
        <v>122644320</v>
      </c>
      <c r="Q334" s="42">
        <f t="shared" si="16"/>
        <v>123183241</v>
      </c>
      <c r="R334" s="42">
        <f t="shared" si="16"/>
        <v>123709600</v>
      </c>
      <c r="S334" s="42">
        <f t="shared" si="16"/>
        <v>118924346</v>
      </c>
      <c r="T334" s="42">
        <f t="shared" si="16"/>
        <v>112963577</v>
      </c>
      <c r="U334" s="42">
        <f t="shared" si="16"/>
        <v>104990744</v>
      </c>
      <c r="V334" s="42">
        <f t="shared" si="16"/>
        <v>100293544</v>
      </c>
      <c r="W334" s="42">
        <f t="shared" si="16"/>
        <v>101333417</v>
      </c>
      <c r="X334" s="42">
        <f t="shared" si="16"/>
        <v>100105703</v>
      </c>
      <c r="Y334" s="42">
        <f t="shared" si="16"/>
        <v>96716007</v>
      </c>
      <c r="Z334" s="42">
        <f t="shared" si="16"/>
        <v>91548006</v>
      </c>
      <c r="AA334" s="42">
        <f t="shared" si="16"/>
        <v>85442896</v>
      </c>
      <c r="AB334" s="42">
        <f t="shared" si="16"/>
        <v>79884762</v>
      </c>
      <c r="AC334" s="42">
        <f t="shared" si="16"/>
        <v>74397601</v>
      </c>
      <c r="AD334" t="str">
        <f t="shared" si="14"/>
        <v>Summer</v>
      </c>
      <c r="AE334" t="str">
        <f>INDEX('Category Mapping'!$B$2:$B$29,MATCH('Modified Source Data'!A334,'Category Mapping'!$A$2:$A$29,0))</f>
        <v>Weekend</v>
      </c>
      <c r="AF334" t="str">
        <f>INDEX('Category Mapping'!$C$2:$C$29,MATCH('Modified Source Data'!A334,'Category Mapping'!$A$2:$A$29,0))</f>
        <v>Commercial</v>
      </c>
      <c r="AG334" t="str">
        <f>INDEX('Category Mapping'!$D$2:$D$29,MATCH('Modified Source Data'!A334,'Category Mapping'!$A$2:$A$29,0))</f>
        <v>Lighting</v>
      </c>
    </row>
    <row r="335" spans="1:33" x14ac:dyDescent="0.25">
      <c r="A335" s="40" t="s">
        <v>199</v>
      </c>
      <c r="B335" s="41"/>
      <c r="C335" s="41"/>
      <c r="D335" s="41"/>
      <c r="E335" s="41">
        <v>9</v>
      </c>
      <c r="F335" s="42">
        <f t="shared" si="17"/>
        <v>75716155</v>
      </c>
      <c r="G335" s="42">
        <f t="shared" si="16"/>
        <v>66442365</v>
      </c>
      <c r="H335" s="42">
        <f t="shared" si="16"/>
        <v>65754013</v>
      </c>
      <c r="I335" s="42">
        <f t="shared" si="16"/>
        <v>66441252</v>
      </c>
      <c r="J335" s="42">
        <f t="shared" si="16"/>
        <v>67192812</v>
      </c>
      <c r="K335" s="42">
        <f t="shared" si="16"/>
        <v>71156418</v>
      </c>
      <c r="L335" s="42">
        <f t="shared" si="16"/>
        <v>79174935</v>
      </c>
      <c r="M335" s="42">
        <f t="shared" si="16"/>
        <v>100235757</v>
      </c>
      <c r="N335" s="42">
        <f t="shared" si="16"/>
        <v>112051865</v>
      </c>
      <c r="O335" s="42">
        <f t="shared" si="16"/>
        <v>123042152</v>
      </c>
      <c r="P335" s="42">
        <f t="shared" si="16"/>
        <v>122590568</v>
      </c>
      <c r="Q335" s="42">
        <f t="shared" si="16"/>
        <v>123014612</v>
      </c>
      <c r="R335" s="42">
        <f t="shared" si="16"/>
        <v>123403725</v>
      </c>
      <c r="S335" s="42">
        <f t="shared" si="16"/>
        <v>118755344</v>
      </c>
      <c r="T335" s="42">
        <f t="shared" si="16"/>
        <v>113105970</v>
      </c>
      <c r="U335" s="42">
        <f t="shared" si="16"/>
        <v>104902861</v>
      </c>
      <c r="V335" s="42">
        <f t="shared" si="16"/>
        <v>100508365</v>
      </c>
      <c r="W335" s="42">
        <f t="shared" si="16"/>
        <v>101302333</v>
      </c>
      <c r="X335" s="42">
        <f t="shared" si="16"/>
        <v>99643782</v>
      </c>
      <c r="Y335" s="42">
        <f t="shared" si="16"/>
        <v>96683276</v>
      </c>
      <c r="Z335" s="42">
        <f t="shared" si="16"/>
        <v>91799592</v>
      </c>
      <c r="AA335" s="42">
        <f t="shared" si="16"/>
        <v>85784428</v>
      </c>
      <c r="AB335" s="42">
        <f t="shared" si="16"/>
        <v>81022593</v>
      </c>
      <c r="AC335" s="42">
        <f t="shared" si="16"/>
        <v>74115652</v>
      </c>
      <c r="AD335" t="str">
        <f t="shared" si="14"/>
        <v>Fall</v>
      </c>
      <c r="AE335" t="str">
        <f>INDEX('Category Mapping'!$B$2:$B$29,MATCH('Modified Source Data'!A335,'Category Mapping'!$A$2:$A$29,0))</f>
        <v>Weekend</v>
      </c>
      <c r="AF335" t="str">
        <f>INDEX('Category Mapping'!$C$2:$C$29,MATCH('Modified Source Data'!A335,'Category Mapping'!$A$2:$A$29,0))</f>
        <v>Commercial</v>
      </c>
      <c r="AG335" t="str">
        <f>INDEX('Category Mapping'!$D$2:$D$29,MATCH('Modified Source Data'!A335,'Category Mapping'!$A$2:$A$29,0))</f>
        <v>Lighting</v>
      </c>
    </row>
    <row r="336" spans="1:33" x14ac:dyDescent="0.25">
      <c r="A336" s="40" t="s">
        <v>199</v>
      </c>
      <c r="B336" s="41"/>
      <c r="C336" s="41"/>
      <c r="D336" s="41"/>
      <c r="E336" s="41">
        <v>10</v>
      </c>
      <c r="F336" s="42">
        <f t="shared" si="17"/>
        <v>75976123</v>
      </c>
      <c r="G336" s="42">
        <f t="shared" si="16"/>
        <v>66645330</v>
      </c>
      <c r="H336" s="42">
        <f t="shared" si="16"/>
        <v>65950696</v>
      </c>
      <c r="I336" s="42">
        <f t="shared" si="16"/>
        <v>66603270</v>
      </c>
      <c r="J336" s="42">
        <f t="shared" si="16"/>
        <v>67348389</v>
      </c>
      <c r="K336" s="42">
        <f t="shared" si="16"/>
        <v>71720273</v>
      </c>
      <c r="L336" s="42">
        <f t="shared" si="16"/>
        <v>79906299</v>
      </c>
      <c r="M336" s="42">
        <f t="shared" si="16"/>
        <v>100017976</v>
      </c>
      <c r="N336" s="42">
        <f t="shared" si="16"/>
        <v>112883515</v>
      </c>
      <c r="O336" s="42">
        <f t="shared" si="16"/>
        <v>123310968</v>
      </c>
      <c r="P336" s="42">
        <f t="shared" si="16"/>
        <v>123174840</v>
      </c>
      <c r="Q336" s="42">
        <f t="shared" si="16"/>
        <v>124333662</v>
      </c>
      <c r="R336" s="42">
        <f t="shared" si="16"/>
        <v>124303206</v>
      </c>
      <c r="S336" s="42">
        <f t="shared" si="16"/>
        <v>119758947</v>
      </c>
      <c r="T336" s="42">
        <f t="shared" si="16"/>
        <v>113766669</v>
      </c>
      <c r="U336" s="42">
        <f t="shared" si="16"/>
        <v>105163379</v>
      </c>
      <c r="V336" s="42">
        <f t="shared" si="16"/>
        <v>100502322</v>
      </c>
      <c r="W336" s="42">
        <f t="shared" si="16"/>
        <v>102060717</v>
      </c>
      <c r="X336" s="42">
        <f t="shared" si="16"/>
        <v>100200164</v>
      </c>
      <c r="Y336" s="42">
        <f t="shared" si="16"/>
        <v>97441265</v>
      </c>
      <c r="Z336" s="42">
        <f t="shared" si="16"/>
        <v>92712388</v>
      </c>
      <c r="AA336" s="42">
        <f t="shared" si="16"/>
        <v>85818776</v>
      </c>
      <c r="AB336" s="42">
        <f t="shared" si="16"/>
        <v>80780830</v>
      </c>
      <c r="AC336" s="42">
        <f t="shared" si="16"/>
        <v>74227478</v>
      </c>
      <c r="AD336" t="str">
        <f t="shared" si="14"/>
        <v>Fall</v>
      </c>
      <c r="AE336" t="str">
        <f>INDEX('Category Mapping'!$B$2:$B$29,MATCH('Modified Source Data'!A336,'Category Mapping'!$A$2:$A$29,0))</f>
        <v>Weekend</v>
      </c>
      <c r="AF336" t="str">
        <f>INDEX('Category Mapping'!$C$2:$C$29,MATCH('Modified Source Data'!A336,'Category Mapping'!$A$2:$A$29,0))</f>
        <v>Commercial</v>
      </c>
      <c r="AG336" t="str">
        <f>INDEX('Category Mapping'!$D$2:$D$29,MATCH('Modified Source Data'!A336,'Category Mapping'!$A$2:$A$29,0))</f>
        <v>Lighting</v>
      </c>
    </row>
    <row r="337" spans="1:33" x14ac:dyDescent="0.25">
      <c r="A337" s="40" t="s">
        <v>199</v>
      </c>
      <c r="B337" s="41"/>
      <c r="C337" s="41"/>
      <c r="D337" s="41"/>
      <c r="E337" s="41">
        <v>11</v>
      </c>
      <c r="F337" s="42">
        <f t="shared" si="17"/>
        <v>76174378</v>
      </c>
      <c r="G337" s="42">
        <f t="shared" si="16"/>
        <v>66804294</v>
      </c>
      <c r="H337" s="42">
        <f t="shared" si="16"/>
        <v>66157374</v>
      </c>
      <c r="I337" s="42">
        <f t="shared" si="16"/>
        <v>66808033</v>
      </c>
      <c r="J337" s="42">
        <f t="shared" si="16"/>
        <v>67610941</v>
      </c>
      <c r="K337" s="42">
        <f t="shared" si="16"/>
        <v>72074515</v>
      </c>
      <c r="L337" s="42">
        <f t="shared" si="16"/>
        <v>80298074</v>
      </c>
      <c r="M337" s="42">
        <f t="shared" si="16"/>
        <v>101223579</v>
      </c>
      <c r="N337" s="42">
        <f t="shared" si="16"/>
        <v>113565411</v>
      </c>
      <c r="O337" s="42">
        <f t="shared" si="16"/>
        <v>124020004</v>
      </c>
      <c r="P337" s="42">
        <f t="shared" si="16"/>
        <v>123442866</v>
      </c>
      <c r="Q337" s="42">
        <f t="shared" si="16"/>
        <v>124690672</v>
      </c>
      <c r="R337" s="42">
        <f t="shared" si="16"/>
        <v>124521122</v>
      </c>
      <c r="S337" s="42">
        <f t="shared" si="16"/>
        <v>119642090</v>
      </c>
      <c r="T337" s="42">
        <f t="shared" si="16"/>
        <v>114049575</v>
      </c>
      <c r="U337" s="42">
        <f t="shared" si="16"/>
        <v>106042901</v>
      </c>
      <c r="V337" s="42">
        <f t="shared" si="16"/>
        <v>101392661</v>
      </c>
      <c r="W337" s="42">
        <f t="shared" si="16"/>
        <v>102290511</v>
      </c>
      <c r="X337" s="42">
        <f t="shared" si="16"/>
        <v>100976159</v>
      </c>
      <c r="Y337" s="42">
        <f t="shared" si="16"/>
        <v>97280566</v>
      </c>
      <c r="Z337" s="42">
        <f t="shared" si="16"/>
        <v>92739814</v>
      </c>
      <c r="AA337" s="42">
        <f t="shared" si="16"/>
        <v>85962938</v>
      </c>
      <c r="AB337" s="42">
        <f t="shared" si="16"/>
        <v>81090623</v>
      </c>
      <c r="AC337" s="42">
        <f t="shared" si="16"/>
        <v>74478901</v>
      </c>
      <c r="AD337" t="str">
        <f t="shared" si="14"/>
        <v>Winter</v>
      </c>
      <c r="AE337" t="str">
        <f>INDEX('Category Mapping'!$B$2:$B$29,MATCH('Modified Source Data'!A337,'Category Mapping'!$A$2:$A$29,0))</f>
        <v>Weekend</v>
      </c>
      <c r="AF337" t="str">
        <f>INDEX('Category Mapping'!$C$2:$C$29,MATCH('Modified Source Data'!A337,'Category Mapping'!$A$2:$A$29,0))</f>
        <v>Commercial</v>
      </c>
      <c r="AG337" t="str">
        <f>INDEX('Category Mapping'!$D$2:$D$29,MATCH('Modified Source Data'!A337,'Category Mapping'!$A$2:$A$29,0))</f>
        <v>Lighting</v>
      </c>
    </row>
    <row r="338" spans="1:33" x14ac:dyDescent="0.25">
      <c r="A338" s="40" t="s">
        <v>199</v>
      </c>
      <c r="B338" s="41"/>
      <c r="C338" s="41"/>
      <c r="D338" s="41"/>
      <c r="E338" s="41">
        <v>12</v>
      </c>
      <c r="F338" s="42">
        <f t="shared" si="17"/>
        <v>76360980</v>
      </c>
      <c r="G338" s="42">
        <f t="shared" si="16"/>
        <v>67013586</v>
      </c>
      <c r="H338" s="42">
        <f t="shared" si="16"/>
        <v>66272073</v>
      </c>
      <c r="I338" s="42">
        <f t="shared" si="16"/>
        <v>66918475</v>
      </c>
      <c r="J338" s="42">
        <f t="shared" si="16"/>
        <v>67755076</v>
      </c>
      <c r="K338" s="42">
        <f t="shared" si="16"/>
        <v>72233352</v>
      </c>
      <c r="L338" s="42">
        <f t="shared" si="16"/>
        <v>80497013</v>
      </c>
      <c r="M338" s="42">
        <f t="shared" si="16"/>
        <v>101085493</v>
      </c>
      <c r="N338" s="42">
        <f t="shared" si="16"/>
        <v>113289836</v>
      </c>
      <c r="O338" s="42">
        <f t="shared" si="16"/>
        <v>124775353</v>
      </c>
      <c r="P338" s="42">
        <f t="shared" si="16"/>
        <v>124097139</v>
      </c>
      <c r="Q338" s="42">
        <f t="shared" si="16"/>
        <v>124576571</v>
      </c>
      <c r="R338" s="42">
        <f t="shared" si="16"/>
        <v>125135530</v>
      </c>
      <c r="S338" s="42">
        <f t="shared" si="16"/>
        <v>119786049</v>
      </c>
      <c r="T338" s="42">
        <f t="shared" si="16"/>
        <v>114550083</v>
      </c>
      <c r="U338" s="42">
        <f t="shared" si="16"/>
        <v>105994419</v>
      </c>
      <c r="V338" s="42">
        <f t="shared" si="16"/>
        <v>101389030</v>
      </c>
      <c r="W338" s="42">
        <f t="shared" si="16"/>
        <v>102754929</v>
      </c>
      <c r="X338" s="42">
        <f t="shared" ref="X338:AC338" si="18">SUMIFS(X$3:X$290,$AF$3:$AF$290,"*"&amp;"Commercial"&amp;"*",$E$3:$E$290,$E338,$AG$3:$AG$290,"Total",$AE$3:$AE$290,"Weekend")-SUMIFS(X$3:X$290,$AF$3:$AF$290,"*"&amp;"Commercial"&amp;"*",$E$3:$E$290,$E338,$AG$3:$AG$290,"&lt;&gt;"&amp;"Total",$AE$3:$AE$290,"Weekend")</f>
        <v>101383951</v>
      </c>
      <c r="Y338" s="42">
        <f t="shared" si="18"/>
        <v>98048882</v>
      </c>
      <c r="Z338" s="42">
        <f t="shared" si="18"/>
        <v>93475512</v>
      </c>
      <c r="AA338" s="42">
        <f t="shared" si="18"/>
        <v>86304812</v>
      </c>
      <c r="AB338" s="42">
        <f t="shared" si="18"/>
        <v>80994842</v>
      </c>
      <c r="AC338" s="42">
        <f t="shared" si="18"/>
        <v>74633344</v>
      </c>
      <c r="AD338" t="str">
        <f t="shared" si="14"/>
        <v>Winter</v>
      </c>
      <c r="AE338" t="str">
        <f>INDEX('Category Mapping'!$B$2:$B$29,MATCH('Modified Source Data'!A338,'Category Mapping'!$A$2:$A$29,0))</f>
        <v>Weekend</v>
      </c>
      <c r="AF338" t="str">
        <f>INDEX('Category Mapping'!$C$2:$C$29,MATCH('Modified Source Data'!A338,'Category Mapping'!$A$2:$A$29,0))</f>
        <v>Commercial</v>
      </c>
      <c r="AG338" t="str">
        <f>INDEX('Category Mapping'!$D$2:$D$29,MATCH('Modified Source Data'!A338,'Category Mapping'!$A$2:$A$29,0))</f>
        <v>Lighting</v>
      </c>
    </row>
    <row r="341" spans="1:33" x14ac:dyDescent="0.25">
      <c r="F341" s="11"/>
    </row>
  </sheetData>
  <autoFilter ref="A2:AG338" xr:uid="{60250058-43D6-4757-A82C-F4E11CFA513B}"/>
  <mergeCells count="2">
    <mergeCell ref="A1:AC1"/>
    <mergeCell ref="AD1:A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CBAC3-5E59-4E76-9D94-B6DAF7B0EF33}">
  <dimension ref="A1:Z791"/>
  <sheetViews>
    <sheetView zoomScale="85" zoomScaleNormal="85" workbookViewId="0">
      <pane xSplit="3" topLeftCell="L1" activePane="topRight" state="frozen"/>
      <selection pane="topRight" activeCell="W3" sqref="W3"/>
    </sheetView>
  </sheetViews>
  <sheetFormatPr defaultColWidth="12.5703125" defaultRowHeight="15" outlineLevelRow="1" x14ac:dyDescent="0.25"/>
  <cols>
    <col min="2" max="2" width="5.28515625" bestFit="1" customWidth="1"/>
    <col min="3" max="3" width="7.140625" bestFit="1" customWidth="1"/>
    <col min="6" max="6" width="12.5703125" customWidth="1"/>
    <col min="25" max="25" width="13.5703125" style="19" customWidth="1"/>
  </cols>
  <sheetData>
    <row r="1" spans="1:25" x14ac:dyDescent="0.25">
      <c r="A1" s="64" t="s">
        <v>194</v>
      </c>
      <c r="B1" s="64"/>
      <c r="C1" s="64"/>
      <c r="D1" s="64"/>
      <c r="E1" s="64"/>
      <c r="F1" s="64"/>
      <c r="G1" s="64"/>
      <c r="H1" s="64"/>
      <c r="I1" s="64"/>
      <c r="J1" s="64"/>
      <c r="K1" s="64"/>
      <c r="L1" s="64"/>
      <c r="M1" s="64"/>
      <c r="N1" s="64"/>
      <c r="O1" s="64"/>
      <c r="P1" s="64"/>
      <c r="Q1" s="64"/>
      <c r="R1" s="64"/>
      <c r="S1" s="64"/>
      <c r="T1" s="64"/>
      <c r="U1" s="64"/>
      <c r="V1" s="64"/>
      <c r="W1" s="64"/>
      <c r="X1" s="64"/>
      <c r="Y1" s="64"/>
    </row>
    <row r="2" spans="1:25" outlineLevel="1" x14ac:dyDescent="0.25">
      <c r="E2" t="s">
        <v>31</v>
      </c>
      <c r="F2" t="s">
        <v>31</v>
      </c>
      <c r="G2" t="s">
        <v>31</v>
      </c>
      <c r="H2" t="s">
        <v>31</v>
      </c>
      <c r="I2" t="s">
        <v>31</v>
      </c>
      <c r="J2" t="s">
        <v>31</v>
      </c>
      <c r="K2" t="s">
        <v>30</v>
      </c>
      <c r="L2" t="s">
        <v>30</v>
      </c>
      <c r="M2" t="s">
        <v>30</v>
      </c>
      <c r="N2" t="s">
        <v>30</v>
      </c>
      <c r="O2" t="s">
        <v>30</v>
      </c>
      <c r="P2" t="s">
        <v>30</v>
      </c>
      <c r="Q2" t="s">
        <v>32</v>
      </c>
      <c r="R2" t="s">
        <v>32</v>
      </c>
      <c r="S2" t="s">
        <v>32</v>
      </c>
      <c r="T2" t="s">
        <v>32</v>
      </c>
      <c r="U2" t="s">
        <v>32</v>
      </c>
      <c r="V2" t="s">
        <v>32</v>
      </c>
      <c r="W2" t="s">
        <v>109</v>
      </c>
      <c r="X2" t="s">
        <v>109</v>
      </c>
      <c r="Y2" s="19" t="s">
        <v>109</v>
      </c>
    </row>
    <row r="3" spans="1:25" s="5" customFormat="1" ht="43.5" customHeight="1" outlineLevel="1" x14ac:dyDescent="0.25">
      <c r="A3" s="5" t="s">
        <v>35</v>
      </c>
      <c r="B3" s="63" t="s">
        <v>29</v>
      </c>
      <c r="C3" s="63"/>
      <c r="D3" s="5" t="s">
        <v>190</v>
      </c>
      <c r="E3" s="5" t="s">
        <v>42</v>
      </c>
      <c r="F3" s="5" t="s">
        <v>43</v>
      </c>
      <c r="G3" s="5" t="s">
        <v>135</v>
      </c>
      <c r="H3" s="5" t="s">
        <v>112</v>
      </c>
      <c r="I3" s="5" t="s">
        <v>113</v>
      </c>
      <c r="J3" s="5" t="s">
        <v>136</v>
      </c>
      <c r="K3" s="5" t="s">
        <v>42</v>
      </c>
      <c r="L3" s="5" t="s">
        <v>43</v>
      </c>
      <c r="M3" s="5" t="s">
        <v>135</v>
      </c>
      <c r="N3" s="5" t="s">
        <v>112</v>
      </c>
      <c r="O3" s="5" t="s">
        <v>113</v>
      </c>
      <c r="P3" s="5" t="s">
        <v>136</v>
      </c>
      <c r="Q3" s="5" t="s">
        <v>119</v>
      </c>
      <c r="R3" s="5" t="s">
        <v>120</v>
      </c>
      <c r="S3" s="5" t="s">
        <v>121</v>
      </c>
      <c r="T3" s="5" t="s">
        <v>122</v>
      </c>
      <c r="U3" s="5" t="s">
        <v>123</v>
      </c>
      <c r="V3" s="5" t="s">
        <v>124</v>
      </c>
      <c r="W3" s="5" t="s">
        <v>109</v>
      </c>
      <c r="X3" s="5" t="s">
        <v>125</v>
      </c>
      <c r="Y3" s="23" t="s">
        <v>126</v>
      </c>
    </row>
    <row r="4" spans="1:25" outlineLevel="1" x14ac:dyDescent="0.25">
      <c r="A4" t="s">
        <v>37</v>
      </c>
      <c r="B4" t="s">
        <v>147</v>
      </c>
      <c r="C4" s="7" t="s">
        <v>34</v>
      </c>
      <c r="D4" t="s">
        <v>117</v>
      </c>
      <c r="E4" s="25" cm="1">
        <f t="array" ref="E4">SUMIFS(INDEX(Load,,MATCH('Summarized Modified Source Data'!$B4,Hour,0)),Season,'Summarized Modified Source Data'!$A4,Sector,'Summarized Modified Source Data'!E$2,Subsector,'Summarized Modified Source Data'!E$3,TimeOfWeek,$D4)</f>
        <v>65300000</v>
      </c>
      <c r="F4" s="25">
        <f>SUMIFS(INDEX(Load,,MATCH('Summarized Modified Source Data'!$B4,Hour,0)),Season,'Summarized Modified Source Data'!$A4,Sector,'Summarized Modified Source Data'!F$2,Subsector,'Summarized Modified Source Data'!F$3,TimeOfWeek,$D4)</f>
        <v>94210</v>
      </c>
      <c r="G4" s="25">
        <f>SUMIFS(INDEX(Load,,MATCH('Summarized Modified Source Data'!$B4,Hour,0)),Season,'Summarized Modified Source Data'!$A4,Sector,'Summarized Modified Source Data'!G$2,Subsector,'Summarized Modified Source Data'!G$3,TimeOfWeek,$D4)</f>
        <v>0</v>
      </c>
      <c r="H4" s="25">
        <f>SUMIFS(INDEX(Load,,MATCH('Summarized Modified Source Data'!$B4,Hour,0)),Season,'Summarized Modified Source Data'!$A4,Sector,'Summarized Modified Source Data'!H$2,Subsector,'Summarized Modified Source Data'!H$3,TimeOfWeek,$D4)</f>
        <v>46600000</v>
      </c>
      <c r="I4" s="25">
        <f>SUMIFS(INDEX(Load,,MATCH('Summarized Modified Source Data'!$B4,Hour,0)),Season,'Summarized Modified Source Data'!$A4,Sector,'Summarized Modified Source Data'!I$2,Subsector,"Total",TimeOfWeek,$D4)-SUM(E4:H4)</f>
        <v>296705790</v>
      </c>
      <c r="J4" s="25">
        <f>I4</f>
        <v>296705790</v>
      </c>
      <c r="K4" s="25">
        <f>SUMIFS(INDEX(Load,,MATCH('Summarized Modified Source Data'!$B4,Hour,0)),Season,'Summarized Modified Source Data'!$A4,Sector,'Summarized Modified Source Data'!K$2,Subsector,'Summarized Modified Source Data'!K$3,TimeOfWeek,$D4)</f>
        <v>139000000</v>
      </c>
      <c r="L4" s="25">
        <f>SUMIFS(INDEX(Load,,MATCH('Summarized Modified Source Data'!$B4,Hour,0)),Season,'Summarized Modified Source Data'!$A4,Sector,'Summarized Modified Source Data'!L$2,Subsector,'Summarized Modified Source Data'!L$3,TimeOfWeek,$D4)</f>
        <v>249500</v>
      </c>
      <c r="M4" s="25">
        <f>SUMIFS(INDEX(Load,,MATCH('Summarized Modified Source Data'!$B4,Hour,0)),Season,'Summarized Modified Source Data'!$A4,Sector,'Summarized Modified Source Data'!M$2,Subsector,'Summarized Modified Source Data'!M$3,TimeOfWeek,$D4)</f>
        <v>0</v>
      </c>
      <c r="N4" s="25">
        <f>O4</f>
        <v>615750500</v>
      </c>
      <c r="O4" s="25">
        <f>SUMIFS(INDEX(Load,,MATCH('Summarized Modified Source Data'!$B4,Hour,0)),Season,'Summarized Modified Source Data'!$A4,Sector,'Summarized Modified Source Data'!O$2,Subsector,"Total",TimeOfWeek,$D4)-SUM(K4:M4)</f>
        <v>615750500</v>
      </c>
      <c r="P4" s="25">
        <f>O4</f>
        <v>615750500</v>
      </c>
      <c r="Q4" s="33" cm="1">
        <f t="array" ref="Q4">SUMIFS(INDEX(Load,,MATCH('Summarized Modified Source Data'!$B4,Hour,0)),Season,'Summarized Modified Source Data'!$A4,Sector,'Summarized Modified Source Data'!Q$2,TimeOfWeek,$D4)*LDVs</f>
        <v>5634853.3824388282</v>
      </c>
      <c r="R4" s="33" cm="1">
        <f t="array" ref="R4">SUMIFS(INDEX(Load,,MATCH('Summarized Modified Source Data'!$B4,Hour,0)),Season,'Summarized Modified Source Data'!$A4,Sector,'Summarized Modified Source Data'!R$2,TimeOfWeek,$D4)*HDVs</f>
        <v>2655175.9725005492</v>
      </c>
      <c r="S4" s="33">
        <f>SUMIFS(INDEX(Load,,MATCH('Summarized Modified Source Data'!$B4,Hour,0)),Season,'Summarized Modified Source Data'!$A4,Sector,'Summarized Modified Source Data'!S$2,TimeOfWeek,$D4)*Aircraft</f>
        <v>0</v>
      </c>
      <c r="T4" s="33">
        <f>SUMIFS(INDEX(Load,,MATCH('Summarized Modified Source Data'!$B4,Hour,0)),Season,'Summarized Modified Source Data'!$A4,Sector,'Summarized Modified Source Data'!T$2,TimeOfWeek,$D4)*Rail</f>
        <v>11559789.645060623</v>
      </c>
      <c r="U4" s="33">
        <f>SUMIFS(INDEX(Load,,MATCH('Summarized Modified Source Data'!$B4,Hour,0)),Season,'Summarized Modified Source Data'!$A4,Sector,'Summarized Modified Source Data'!U$2,TimeOfWeek,$D4)*Ships</f>
        <v>0</v>
      </c>
      <c r="V4" s="33">
        <f>SUMIFS(INDEX(Load,,MATCH('Summarized Modified Source Data'!$B4,Hour,0)),Season,'Summarized Modified Source Data'!$A4,Sector,'Summarized Modified Source Data'!V$2,TimeOfWeek,$D4)*Motorbikes</f>
        <v>0</v>
      </c>
      <c r="W4" s="25">
        <f>SUMIFS(INDEX(Load,,MATCH('Summarized Modified Source Data'!$B4,Hour,0)),Season,'Summarized Modified Source Data'!$A4,Sector,'Summarized Modified Source Data'!W$2,Subsector,'Summarized Modified Source Data'!W$3,TimeOfWeek,$D4)</f>
        <v>2606000000</v>
      </c>
      <c r="X4" s="25">
        <f>SUMIFS(INDEX(Load,,MATCH('Summarized Modified Source Data'!$B4,Hour,0)),Season,'Summarized Modified Source Data'!$A4,Sector,'Summarized Modified Source Data'!X$2,Subsector,'Summarized Modified Source Data'!X$3,TimeOfWeek,$D4)</f>
        <v>0</v>
      </c>
      <c r="Y4" s="25">
        <f>SUMIFS(INDEX(Load,,MATCH('Summarized Modified Source Data'!$B4,Hour,0)),Season,'Summarized Modified Source Data'!$A4,Sector,'Summarized Modified Source Data'!Y$2,Subsector,'Summarized Modified Source Data'!Y$3,TimeOfWeek,$D4)</f>
        <v>0</v>
      </c>
    </row>
    <row r="5" spans="1:25" outlineLevel="1" x14ac:dyDescent="0.25">
      <c r="A5" t="s">
        <v>37</v>
      </c>
      <c r="B5" t="s">
        <v>148</v>
      </c>
      <c r="C5" s="7" t="s">
        <v>0</v>
      </c>
      <c r="D5" t="s">
        <v>117</v>
      </c>
      <c r="E5" s="25">
        <f>SUMIFS(INDEX(Load,,MATCH('Summarized Modified Source Data'!$B5,Hour,0)),Season,'Summarized Modified Source Data'!$A5,Sector,'Summarized Modified Source Data'!E$2,Subsector,'Summarized Modified Source Data'!E$3,TimeOfWeek,$D5)</f>
        <v>66700000</v>
      </c>
      <c r="F5" s="25">
        <f>SUMIFS(INDEX(Load,,MATCH('Summarized Modified Source Data'!$B5,Hour,0)),Season,'Summarized Modified Source Data'!$A5,Sector,'Summarized Modified Source Data'!F$2,Subsector,'Summarized Modified Source Data'!F$3,TimeOfWeek,$D5)</f>
        <v>94739</v>
      </c>
      <c r="G5" s="25">
        <f>SUMIFS(INDEX(Load,,MATCH('Summarized Modified Source Data'!$B5,Hour,0)),Season,'Summarized Modified Source Data'!$A5,Sector,'Summarized Modified Source Data'!G$2,Subsector,'Summarized Modified Source Data'!G$3,TimeOfWeek,$D5)</f>
        <v>0</v>
      </c>
      <c r="H5" s="25">
        <f>SUMIFS(INDEX(Load,,MATCH('Summarized Modified Source Data'!$B5,Hour,0)),Season,'Summarized Modified Source Data'!$A5,Sector,'Summarized Modified Source Data'!H$2,Subsector,'Summarized Modified Source Data'!H$3,TimeOfWeek,$D5)</f>
        <v>42900000</v>
      </c>
      <c r="I5" s="25">
        <f>SUMIFS(INDEX(Load,,MATCH('Summarized Modified Source Data'!$B5,Hour,0)),Season,'Summarized Modified Source Data'!$A5,Sector,'Summarized Modified Source Data'!I$2,Subsector,'Summarized Modified Source Data'!I$3,TimeOfWeek,$D5)</f>
        <v>13679910</v>
      </c>
      <c r="J5" s="25">
        <f t="shared" ref="J5:J68" si="0">I5</f>
        <v>13679910</v>
      </c>
      <c r="K5" s="25">
        <f>SUMIFS(INDEX(Load,,MATCH('Summarized Modified Source Data'!$B5,Hour,0)),Season,'Summarized Modified Source Data'!$A5,Sector,'Summarized Modified Source Data'!K$2,Subsector,'Summarized Modified Source Data'!K$3,TimeOfWeek,$D5)</f>
        <v>126900000</v>
      </c>
      <c r="L5" s="25">
        <f>SUMIFS(INDEX(Load,,MATCH('Summarized Modified Source Data'!$B5,Hour,0)),Season,'Summarized Modified Source Data'!$A5,Sector,'Summarized Modified Source Data'!L$2,Subsector,'Summarized Modified Source Data'!L$3,TimeOfWeek,$D5)</f>
        <v>235264</v>
      </c>
      <c r="M5" s="25">
        <f>SUMIFS(INDEX(Load,,MATCH('Summarized Modified Source Data'!$B5,Hour,0)),Season,'Summarized Modified Source Data'!$A5,Sector,'Summarized Modified Source Data'!M$2,Subsector,'Summarized Modified Source Data'!M$3,TimeOfWeek,$D5)</f>
        <v>0</v>
      </c>
      <c r="N5" s="25">
        <f t="shared" ref="N5:N68" si="1">O5</f>
        <v>604864736</v>
      </c>
      <c r="O5" s="25">
        <f>SUMIFS(INDEX(Load,,MATCH('Summarized Modified Source Data'!$B5,Hour,0)),Season,'Summarized Modified Source Data'!$A5,Sector,'Summarized Modified Source Data'!O$2,Subsector,"Total",TimeOfWeek,$D5)-SUM(K5:M5)</f>
        <v>604864736</v>
      </c>
      <c r="P5" s="25">
        <f t="shared" ref="P5:P68" si="2">O5</f>
        <v>604864736</v>
      </c>
      <c r="Q5" s="33" cm="1">
        <f t="array" ref="Q5">SUMIFS(INDEX(Load,,MATCH('Summarized Modified Source Data'!$B5,Hour,0)),Season,'Summarized Modified Source Data'!$A5,Sector,'Summarized Modified Source Data'!Q$2,TimeOfWeek,$D5)*LDVs</f>
        <v>5557843.9635827672</v>
      </c>
      <c r="R5" s="33" cm="1">
        <f t="array" ref="R5">SUMIFS(INDEX(Load,,MATCH('Summarized Modified Source Data'!$B5,Hour,0)),Season,'Summarized Modified Source Data'!$A5,Sector,'Summarized Modified Source Data'!R$2,TimeOfWeek,$D5)*HDVs</f>
        <v>2618888.6825348348</v>
      </c>
      <c r="S5" s="33">
        <f>SUMIFS(INDEX(Load,,MATCH('Summarized Modified Source Data'!$B5,Hour,0)),Season,'Summarized Modified Source Data'!$A5,Sector,'Summarized Modified Source Data'!S$2,TimeOfWeek,$D5)*Aircraft</f>
        <v>0</v>
      </c>
      <c r="T5" s="33">
        <f>SUMIFS(INDEX(Load,,MATCH('Summarized Modified Source Data'!$B5,Hour,0)),Season,'Summarized Modified Source Data'!$A5,Sector,'Summarized Modified Source Data'!T$2,TimeOfWeek,$D5)*Rail</f>
        <v>11401806.353882398</v>
      </c>
      <c r="U5" s="33">
        <f>SUMIFS(INDEX(Load,,MATCH('Summarized Modified Source Data'!$B5,Hour,0)),Season,'Summarized Modified Source Data'!$A5,Sector,'Summarized Modified Source Data'!U$2,TimeOfWeek,$D5)*Ships</f>
        <v>0</v>
      </c>
      <c r="V5" s="33">
        <f>SUMIFS(INDEX(Load,,MATCH('Summarized Modified Source Data'!$B5,Hour,0)),Season,'Summarized Modified Source Data'!$A5,Sector,'Summarized Modified Source Data'!V$2,TimeOfWeek,$D5)*Motorbikes</f>
        <v>0</v>
      </c>
      <c r="W5" s="25">
        <f>SUMIFS(INDEX(Load,,MATCH('Summarized Modified Source Data'!$B5,Hour,0)),Season,'Summarized Modified Source Data'!$A5,Sector,'Summarized Modified Source Data'!W$2,Subsector,'Summarized Modified Source Data'!W$3,TimeOfWeek,$D5)</f>
        <v>2603000000</v>
      </c>
      <c r="X5" s="25">
        <f>SUMIFS(INDEX(Load,,MATCH('Summarized Modified Source Data'!$B5,Hour,0)),Season,'Summarized Modified Source Data'!$A5,Sector,'Summarized Modified Source Data'!X$2,Subsector,'Summarized Modified Source Data'!X$3,TimeOfWeek,$D5)</f>
        <v>0</v>
      </c>
      <c r="Y5" s="25">
        <f>SUMIFS(INDEX(Load,,MATCH('Summarized Modified Source Data'!$B5,Hour,0)),Season,'Summarized Modified Source Data'!$A5,Sector,'Summarized Modified Source Data'!Y$2,Subsector,'Summarized Modified Source Data'!Y$3,TimeOfWeek,$D5)</f>
        <v>0</v>
      </c>
    </row>
    <row r="6" spans="1:25" outlineLevel="1" x14ac:dyDescent="0.25">
      <c r="A6" t="s">
        <v>37</v>
      </c>
      <c r="B6" t="s">
        <v>149</v>
      </c>
      <c r="C6" s="7" t="s">
        <v>1</v>
      </c>
      <c r="D6" t="s">
        <v>117</v>
      </c>
      <c r="E6" s="25">
        <f>SUMIFS(INDEX(Load,,MATCH('Summarized Modified Source Data'!$B6,Hour,0)),Season,'Summarized Modified Source Data'!$A6,Sector,'Summarized Modified Source Data'!E$2,Subsector,'Summarized Modified Source Data'!E$3,TimeOfWeek,$D6)</f>
        <v>67100000</v>
      </c>
      <c r="F6" s="25">
        <f>SUMIFS(INDEX(Load,,MATCH('Summarized Modified Source Data'!$B6,Hour,0)),Season,'Summarized Modified Source Data'!$A6,Sector,'Summarized Modified Source Data'!F$2,Subsector,'Summarized Modified Source Data'!F$3,TimeOfWeek,$D6)</f>
        <v>95102</v>
      </c>
      <c r="G6" s="25">
        <f>SUMIFS(INDEX(Load,,MATCH('Summarized Modified Source Data'!$B6,Hour,0)),Season,'Summarized Modified Source Data'!$A6,Sector,'Summarized Modified Source Data'!G$2,Subsector,'Summarized Modified Source Data'!G$3,TimeOfWeek,$D6)</f>
        <v>0</v>
      </c>
      <c r="H6" s="25">
        <f>SUMIFS(INDEX(Load,,MATCH('Summarized Modified Source Data'!$B6,Hour,0)),Season,'Summarized Modified Source Data'!$A6,Sector,'Summarized Modified Source Data'!H$2,Subsector,'Summarized Modified Source Data'!H$3,TimeOfWeek,$D6)</f>
        <v>42500000</v>
      </c>
      <c r="I6" s="25">
        <f>SUMIFS(INDEX(Load,,MATCH('Summarized Modified Source Data'!$B6,Hour,0)),Season,'Summarized Modified Source Data'!$A6,Sector,'Summarized Modified Source Data'!I$2,Subsector,'Summarized Modified Source Data'!I$3,TimeOfWeek,$D6)</f>
        <v>12424314</v>
      </c>
      <c r="J6" s="25">
        <f t="shared" si="0"/>
        <v>12424314</v>
      </c>
      <c r="K6" s="25">
        <f>SUMIFS(INDEX(Load,,MATCH('Summarized Modified Source Data'!$B6,Hour,0)),Season,'Summarized Modified Source Data'!$A6,Sector,'Summarized Modified Source Data'!K$2,Subsector,'Summarized Modified Source Data'!K$3,TimeOfWeek,$D6)</f>
        <v>113800000</v>
      </c>
      <c r="L6" s="25">
        <f>SUMIFS(INDEX(Load,,MATCH('Summarized Modified Source Data'!$B6,Hour,0)),Season,'Summarized Modified Source Data'!$A6,Sector,'Summarized Modified Source Data'!L$2,Subsector,'Summarized Modified Source Data'!L$3,TimeOfWeek,$D6)</f>
        <v>229323</v>
      </c>
      <c r="M6" s="25">
        <f>SUMIFS(INDEX(Load,,MATCH('Summarized Modified Source Data'!$B6,Hour,0)),Season,'Summarized Modified Source Data'!$A6,Sector,'Summarized Modified Source Data'!M$2,Subsector,'Summarized Modified Source Data'!M$3,TimeOfWeek,$D6)</f>
        <v>0</v>
      </c>
      <c r="N6" s="25">
        <f t="shared" si="1"/>
        <v>602970677</v>
      </c>
      <c r="O6" s="25">
        <f>SUMIFS(INDEX(Load,,MATCH('Summarized Modified Source Data'!$B6,Hour,0)),Season,'Summarized Modified Source Data'!$A6,Sector,'Summarized Modified Source Data'!O$2,Subsector,"Total",TimeOfWeek,$D6)-SUM(K6:M6)</f>
        <v>602970677</v>
      </c>
      <c r="P6" s="25">
        <f t="shared" si="2"/>
        <v>602970677</v>
      </c>
      <c r="Q6" s="33" cm="1">
        <f t="array" ref="Q6">SUMIFS(INDEX(Load,,MATCH('Summarized Modified Source Data'!$B6,Hour,0)),Season,'Summarized Modified Source Data'!$A6,Sector,'Summarized Modified Source Data'!Q$2,TimeOfWeek,$D6)*LDVs</f>
        <v>5538065.8736736719</v>
      </c>
      <c r="R6" s="33" cm="1">
        <f t="array" ref="R6">SUMIFS(INDEX(Load,,MATCH('Summarized Modified Source Data'!$B6,Hour,0)),Season,'Summarized Modified Source Data'!$A6,Sector,'Summarized Modified Source Data'!R$2,TimeOfWeek,$D6)*HDVs</f>
        <v>2609569.130535088</v>
      </c>
      <c r="S6" s="33">
        <f>SUMIFS(INDEX(Load,,MATCH('Summarized Modified Source Data'!$B6,Hour,0)),Season,'Summarized Modified Source Data'!$A6,Sector,'Summarized Modified Source Data'!S$2,TimeOfWeek,$D6)*Aircraft</f>
        <v>0</v>
      </c>
      <c r="T6" s="33">
        <f>SUMIFS(INDEX(Load,,MATCH('Summarized Modified Source Data'!$B6,Hour,0)),Season,'Summarized Modified Source Data'!$A6,Sector,'Summarized Modified Source Data'!T$2,TimeOfWeek,$D6)*Rail</f>
        <v>11361231.99579124</v>
      </c>
      <c r="U6" s="33">
        <f>SUMIFS(INDEX(Load,,MATCH('Summarized Modified Source Data'!$B6,Hour,0)),Season,'Summarized Modified Source Data'!$A6,Sector,'Summarized Modified Source Data'!U$2,TimeOfWeek,$D6)*Ships</f>
        <v>0</v>
      </c>
      <c r="V6" s="33">
        <f>SUMIFS(INDEX(Load,,MATCH('Summarized Modified Source Data'!$B6,Hour,0)),Season,'Summarized Modified Source Data'!$A6,Sector,'Summarized Modified Source Data'!V$2,TimeOfWeek,$D6)*Motorbikes</f>
        <v>0</v>
      </c>
      <c r="W6" s="25">
        <f>SUMIFS(INDEX(Load,,MATCH('Summarized Modified Source Data'!$B6,Hour,0)),Season,'Summarized Modified Source Data'!$A6,Sector,'Summarized Modified Source Data'!W$2,Subsector,'Summarized Modified Source Data'!W$3,TimeOfWeek,$D6)</f>
        <v>2602000000</v>
      </c>
      <c r="X6" s="25">
        <f>SUMIFS(INDEX(Load,,MATCH('Summarized Modified Source Data'!$B6,Hour,0)),Season,'Summarized Modified Source Data'!$A6,Sector,'Summarized Modified Source Data'!X$2,Subsector,'Summarized Modified Source Data'!X$3,TimeOfWeek,$D6)</f>
        <v>0</v>
      </c>
      <c r="Y6" s="25">
        <f>SUMIFS(INDEX(Load,,MATCH('Summarized Modified Source Data'!$B6,Hour,0)),Season,'Summarized Modified Source Data'!$A6,Sector,'Summarized Modified Source Data'!Y$2,Subsector,'Summarized Modified Source Data'!Y$3,TimeOfWeek,$D6)</f>
        <v>0</v>
      </c>
    </row>
    <row r="7" spans="1:25" outlineLevel="1" x14ac:dyDescent="0.25">
      <c r="A7" t="s">
        <v>37</v>
      </c>
      <c r="B7" t="s">
        <v>150</v>
      </c>
      <c r="C7" s="7" t="s">
        <v>2</v>
      </c>
      <c r="D7" t="s">
        <v>117</v>
      </c>
      <c r="E7" s="25">
        <f>SUMIFS(INDEX(Load,,MATCH('Summarized Modified Source Data'!$B7,Hour,0)),Season,'Summarized Modified Source Data'!$A7,Sector,'Summarized Modified Source Data'!E$2,Subsector,'Summarized Modified Source Data'!E$3,TimeOfWeek,$D7)</f>
        <v>66700000</v>
      </c>
      <c r="F7" s="25">
        <f>SUMIFS(INDEX(Load,,MATCH('Summarized Modified Source Data'!$B7,Hour,0)),Season,'Summarized Modified Source Data'!$A7,Sector,'Summarized Modified Source Data'!F$2,Subsector,'Summarized Modified Source Data'!F$3,TimeOfWeek,$D7)</f>
        <v>95154</v>
      </c>
      <c r="G7" s="25">
        <f>SUMIFS(INDEX(Load,,MATCH('Summarized Modified Source Data'!$B7,Hour,0)),Season,'Summarized Modified Source Data'!$A7,Sector,'Summarized Modified Source Data'!G$2,Subsector,'Summarized Modified Source Data'!G$3,TimeOfWeek,$D7)</f>
        <v>0</v>
      </c>
      <c r="H7" s="25">
        <f>SUMIFS(INDEX(Load,,MATCH('Summarized Modified Source Data'!$B7,Hour,0)),Season,'Summarized Modified Source Data'!$A7,Sector,'Summarized Modified Source Data'!H$2,Subsector,'Summarized Modified Source Data'!H$3,TimeOfWeek,$D7)</f>
        <v>43400000</v>
      </c>
      <c r="I7" s="25">
        <f>SUMIFS(INDEX(Load,,MATCH('Summarized Modified Source Data'!$B7,Hour,0)),Season,'Summarized Modified Source Data'!$A7,Sector,'Summarized Modified Source Data'!I$2,Subsector,'Summarized Modified Source Data'!I$3,TimeOfWeek,$D7)</f>
        <v>12142740</v>
      </c>
      <c r="J7" s="25">
        <f t="shared" si="0"/>
        <v>12142740</v>
      </c>
      <c r="K7" s="25">
        <f>SUMIFS(INDEX(Load,,MATCH('Summarized Modified Source Data'!$B7,Hour,0)),Season,'Summarized Modified Source Data'!$A7,Sector,'Summarized Modified Source Data'!K$2,Subsector,'Summarized Modified Source Data'!K$3,TimeOfWeek,$D7)</f>
        <v>117500000</v>
      </c>
      <c r="L7" s="25">
        <f>SUMIFS(INDEX(Load,,MATCH('Summarized Modified Source Data'!$B7,Hour,0)),Season,'Summarized Modified Source Data'!$A7,Sector,'Summarized Modified Source Data'!L$2,Subsector,'Summarized Modified Source Data'!L$3,TimeOfWeek,$D7)</f>
        <v>225972</v>
      </c>
      <c r="M7" s="25">
        <f>SUMIFS(INDEX(Load,,MATCH('Summarized Modified Source Data'!$B7,Hour,0)),Season,'Summarized Modified Source Data'!$A7,Sector,'Summarized Modified Source Data'!M$2,Subsector,'Summarized Modified Source Data'!M$3,TimeOfWeek,$D7)</f>
        <v>0</v>
      </c>
      <c r="N7" s="25">
        <f t="shared" si="1"/>
        <v>628274028</v>
      </c>
      <c r="O7" s="25">
        <f>SUMIFS(INDEX(Load,,MATCH('Summarized Modified Source Data'!$B7,Hour,0)),Season,'Summarized Modified Source Data'!$A7,Sector,'Summarized Modified Source Data'!O$2,Subsector,"Total",TimeOfWeek,$D7)-SUM(K7:M7)</f>
        <v>628274028</v>
      </c>
      <c r="P7" s="25">
        <f t="shared" si="2"/>
        <v>628274028</v>
      </c>
      <c r="Q7" s="33" cm="1">
        <f t="array" ref="Q7">SUMIFS(INDEX(Load,,MATCH('Summarized Modified Source Data'!$B7,Hour,0)),Season,'Summarized Modified Source Data'!$A7,Sector,'Summarized Modified Source Data'!Q$2,TimeOfWeek,$D7)*LDVs</f>
        <v>5556274.7064777976</v>
      </c>
      <c r="R7" s="33" cm="1">
        <f t="array" ref="R7">SUMIFS(INDEX(Load,,MATCH('Summarized Modified Source Data'!$B7,Hour,0)),Season,'Summarized Modified Source Data'!$A7,Sector,'Summarized Modified Source Data'!R$2,TimeOfWeek,$D7)*HDVs</f>
        <v>2618149.2393804169</v>
      </c>
      <c r="S7" s="33">
        <f>SUMIFS(INDEX(Load,,MATCH('Summarized Modified Source Data'!$B7,Hour,0)),Season,'Summarized Modified Source Data'!$A7,Sector,'Summarized Modified Source Data'!S$2,TimeOfWeek,$D7)*Aircraft</f>
        <v>0</v>
      </c>
      <c r="T7" s="33">
        <f>SUMIFS(INDEX(Load,,MATCH('Summarized Modified Source Data'!$B7,Hour,0)),Season,'Summarized Modified Source Data'!$A7,Sector,'Summarized Modified Source Data'!T$2,TimeOfWeek,$D7)*Rail</f>
        <v>11398587.054141786</v>
      </c>
      <c r="U7" s="33">
        <f>SUMIFS(INDEX(Load,,MATCH('Summarized Modified Source Data'!$B7,Hour,0)),Season,'Summarized Modified Source Data'!$A7,Sector,'Summarized Modified Source Data'!U$2,TimeOfWeek,$D7)*Ships</f>
        <v>0</v>
      </c>
      <c r="V7" s="33">
        <f>SUMIFS(INDEX(Load,,MATCH('Summarized Modified Source Data'!$B7,Hour,0)),Season,'Summarized Modified Source Data'!$A7,Sector,'Summarized Modified Source Data'!V$2,TimeOfWeek,$D7)*Motorbikes</f>
        <v>0</v>
      </c>
      <c r="W7" s="25">
        <f>SUMIFS(INDEX(Load,,MATCH('Summarized Modified Source Data'!$B7,Hour,0)),Season,'Summarized Modified Source Data'!$A7,Sector,'Summarized Modified Source Data'!W$2,Subsector,'Summarized Modified Source Data'!W$3,TimeOfWeek,$D7)</f>
        <v>2602000000</v>
      </c>
      <c r="X7" s="25">
        <f>SUMIFS(INDEX(Load,,MATCH('Summarized Modified Source Data'!$B7,Hour,0)),Season,'Summarized Modified Source Data'!$A7,Sector,'Summarized Modified Source Data'!X$2,Subsector,'Summarized Modified Source Data'!X$3,TimeOfWeek,$D7)</f>
        <v>0</v>
      </c>
      <c r="Y7" s="25">
        <f>SUMIFS(INDEX(Load,,MATCH('Summarized Modified Source Data'!$B7,Hour,0)),Season,'Summarized Modified Source Data'!$A7,Sector,'Summarized Modified Source Data'!Y$2,Subsector,'Summarized Modified Source Data'!Y$3,TimeOfWeek,$D7)</f>
        <v>0</v>
      </c>
    </row>
    <row r="8" spans="1:25" outlineLevel="1" x14ac:dyDescent="0.25">
      <c r="A8" t="s">
        <v>37</v>
      </c>
      <c r="B8" t="s">
        <v>151</v>
      </c>
      <c r="C8" s="7" t="s">
        <v>3</v>
      </c>
      <c r="D8" t="s">
        <v>117</v>
      </c>
      <c r="E8" s="25">
        <f>SUMIFS(INDEX(Load,,MATCH('Summarized Modified Source Data'!$B8,Hour,0)),Season,'Summarized Modified Source Data'!$A8,Sector,'Summarized Modified Source Data'!E$2,Subsector,'Summarized Modified Source Data'!E$3,TimeOfWeek,$D8)</f>
        <v>65300000</v>
      </c>
      <c r="F8" s="25">
        <f>SUMIFS(INDEX(Load,,MATCH('Summarized Modified Source Data'!$B8,Hour,0)),Season,'Summarized Modified Source Data'!$A8,Sector,'Summarized Modified Source Data'!F$2,Subsector,'Summarized Modified Source Data'!F$3,TimeOfWeek,$D8)</f>
        <v>92747</v>
      </c>
      <c r="G8" s="25">
        <f>SUMIFS(INDEX(Load,,MATCH('Summarized Modified Source Data'!$B8,Hour,0)),Season,'Summarized Modified Source Data'!$A8,Sector,'Summarized Modified Source Data'!G$2,Subsector,'Summarized Modified Source Data'!G$3,TimeOfWeek,$D8)</f>
        <v>0</v>
      </c>
      <c r="H8" s="25">
        <f>SUMIFS(INDEX(Load,,MATCH('Summarized Modified Source Data'!$B8,Hour,0)),Season,'Summarized Modified Source Data'!$A8,Sector,'Summarized Modified Source Data'!H$2,Subsector,'Summarized Modified Source Data'!H$3,TimeOfWeek,$D8)</f>
        <v>56000000</v>
      </c>
      <c r="I8" s="25">
        <f>SUMIFS(INDEX(Load,,MATCH('Summarized Modified Source Data'!$B8,Hour,0)),Season,'Summarized Modified Source Data'!$A8,Sector,'Summarized Modified Source Data'!I$2,Subsector,'Summarized Modified Source Data'!I$3,TimeOfWeek,$D8)</f>
        <v>17038162</v>
      </c>
      <c r="J8" s="25">
        <f t="shared" si="0"/>
        <v>17038162</v>
      </c>
      <c r="K8" s="25">
        <f>SUMIFS(INDEX(Load,,MATCH('Summarized Modified Source Data'!$B8,Hour,0)),Season,'Summarized Modified Source Data'!$A8,Sector,'Summarized Modified Source Data'!K$2,Subsector,'Summarized Modified Source Data'!K$3,TimeOfWeek,$D8)</f>
        <v>123300000</v>
      </c>
      <c r="L8" s="25">
        <f>SUMIFS(INDEX(Load,,MATCH('Summarized Modified Source Data'!$B8,Hour,0)),Season,'Summarized Modified Source Data'!$A8,Sector,'Summarized Modified Source Data'!L$2,Subsector,'Summarized Modified Source Data'!L$3,TimeOfWeek,$D8)</f>
        <v>225249</v>
      </c>
      <c r="M8" s="25">
        <f>SUMIFS(INDEX(Load,,MATCH('Summarized Modified Source Data'!$B8,Hour,0)),Season,'Summarized Modified Source Data'!$A8,Sector,'Summarized Modified Source Data'!M$2,Subsector,'Summarized Modified Source Data'!M$3,TimeOfWeek,$D8)</f>
        <v>0</v>
      </c>
      <c r="N8" s="25">
        <f t="shared" si="1"/>
        <v>668474751</v>
      </c>
      <c r="O8" s="25">
        <f>SUMIFS(INDEX(Load,,MATCH('Summarized Modified Source Data'!$B8,Hour,0)),Season,'Summarized Modified Source Data'!$A8,Sector,'Summarized Modified Source Data'!O$2,Subsector,"Total",TimeOfWeek,$D8)-SUM(K8:M8)</f>
        <v>668474751</v>
      </c>
      <c r="P8" s="25">
        <f t="shared" si="2"/>
        <v>668474751</v>
      </c>
      <c r="Q8" s="33" cm="1">
        <f t="array" ref="Q8">SUMIFS(INDEX(Load,,MATCH('Summarized Modified Source Data'!$B8,Hour,0)),Season,'Summarized Modified Source Data'!$A8,Sector,'Summarized Modified Source Data'!Q$2,TimeOfWeek,$D8)*LDVs</f>
        <v>5536434.1642237138</v>
      </c>
      <c r="R8" s="33" cm="1">
        <f t="array" ref="R8">SUMIFS(INDEX(Load,,MATCH('Summarized Modified Source Data'!$B8,Hour,0)),Season,'Summarized Modified Source Data'!$A8,Sector,'Summarized Modified Source Data'!R$2,TimeOfWeek,$D8)*HDVs</f>
        <v>2608800.2594693149</v>
      </c>
      <c r="S8" s="33">
        <f>SUMIFS(INDEX(Load,,MATCH('Summarized Modified Source Data'!$B8,Hour,0)),Season,'Summarized Modified Source Data'!$A8,Sector,'Summarized Modified Source Data'!S$2,TimeOfWeek,$D8)*Aircraft</f>
        <v>0</v>
      </c>
      <c r="T8" s="33">
        <f>SUMIFS(INDEX(Load,,MATCH('Summarized Modified Source Data'!$B8,Hour,0)),Season,'Summarized Modified Source Data'!$A8,Sector,'Summarized Modified Source Data'!T$2,TimeOfWeek,$D8)*Rail</f>
        <v>11357884.576306971</v>
      </c>
      <c r="U8" s="33">
        <f>SUMIFS(INDEX(Load,,MATCH('Summarized Modified Source Data'!$B8,Hour,0)),Season,'Summarized Modified Source Data'!$A8,Sector,'Summarized Modified Source Data'!U$2,TimeOfWeek,$D8)*Ships</f>
        <v>0</v>
      </c>
      <c r="V8" s="33">
        <f>SUMIFS(INDEX(Load,,MATCH('Summarized Modified Source Data'!$B8,Hour,0)),Season,'Summarized Modified Source Data'!$A8,Sector,'Summarized Modified Source Data'!V$2,TimeOfWeek,$D8)*Motorbikes</f>
        <v>0</v>
      </c>
      <c r="W8" s="25">
        <f>SUMIFS(INDEX(Load,,MATCH('Summarized Modified Source Data'!$B8,Hour,0)),Season,'Summarized Modified Source Data'!$A8,Sector,'Summarized Modified Source Data'!W$2,Subsector,'Summarized Modified Source Data'!W$3,TimeOfWeek,$D8)</f>
        <v>2610000000</v>
      </c>
      <c r="X8" s="25">
        <f>SUMIFS(INDEX(Load,,MATCH('Summarized Modified Source Data'!$B8,Hour,0)),Season,'Summarized Modified Source Data'!$A8,Sector,'Summarized Modified Source Data'!X$2,Subsector,'Summarized Modified Source Data'!X$3,TimeOfWeek,$D8)</f>
        <v>0</v>
      </c>
      <c r="Y8" s="25">
        <f>SUMIFS(INDEX(Load,,MATCH('Summarized Modified Source Data'!$B8,Hour,0)),Season,'Summarized Modified Source Data'!$A8,Sector,'Summarized Modified Source Data'!Y$2,Subsector,'Summarized Modified Source Data'!Y$3,TimeOfWeek,$D8)</f>
        <v>0</v>
      </c>
    </row>
    <row r="9" spans="1:25" outlineLevel="1" x14ac:dyDescent="0.25">
      <c r="A9" t="s">
        <v>37</v>
      </c>
      <c r="B9" t="s">
        <v>152</v>
      </c>
      <c r="C9" s="7" t="s">
        <v>4</v>
      </c>
      <c r="D9" t="s">
        <v>117</v>
      </c>
      <c r="E9" s="25">
        <f>SUMIFS(INDEX(Load,,MATCH('Summarized Modified Source Data'!$B9,Hour,0)),Season,'Summarized Modified Source Data'!$A9,Sector,'Summarized Modified Source Data'!E$2,Subsector,'Summarized Modified Source Data'!E$3,TimeOfWeek,$D9)</f>
        <v>80700000</v>
      </c>
      <c r="F9" s="25">
        <f>SUMIFS(INDEX(Load,,MATCH('Summarized Modified Source Data'!$B9,Hour,0)),Season,'Summarized Modified Source Data'!$A9,Sector,'Summarized Modified Source Data'!F$2,Subsector,'Summarized Modified Source Data'!F$3,TimeOfWeek,$D9)</f>
        <v>85280</v>
      </c>
      <c r="G9" s="25">
        <f>SUMIFS(INDEX(Load,,MATCH('Summarized Modified Source Data'!$B9,Hour,0)),Season,'Summarized Modified Source Data'!$A9,Sector,'Summarized Modified Source Data'!G$2,Subsector,'Summarized Modified Source Data'!G$3,TimeOfWeek,$D9)</f>
        <v>0</v>
      </c>
      <c r="H9" s="25">
        <f>SUMIFS(INDEX(Load,,MATCH('Summarized Modified Source Data'!$B9,Hour,0)),Season,'Summarized Modified Source Data'!$A9,Sector,'Summarized Modified Source Data'!H$2,Subsector,'Summarized Modified Source Data'!H$3,TimeOfWeek,$D9)</f>
        <v>96200000</v>
      </c>
      <c r="I9" s="25">
        <f>SUMIFS(INDEX(Load,,MATCH('Summarized Modified Source Data'!$B9,Hour,0)),Season,'Summarized Modified Source Data'!$A9,Sector,'Summarized Modified Source Data'!I$2,Subsector,'Summarized Modified Source Data'!I$3,TimeOfWeek,$D9)</f>
        <v>37795167</v>
      </c>
      <c r="J9" s="25">
        <f t="shared" si="0"/>
        <v>37795167</v>
      </c>
      <c r="K9" s="25">
        <f>SUMIFS(INDEX(Load,,MATCH('Summarized Modified Source Data'!$B9,Hour,0)),Season,'Summarized Modified Source Data'!$A9,Sector,'Summarized Modified Source Data'!K$2,Subsector,'Summarized Modified Source Data'!K$3,TimeOfWeek,$D9)</f>
        <v>125700000</v>
      </c>
      <c r="L9" s="25">
        <f>SUMIFS(INDEX(Load,,MATCH('Summarized Modified Source Data'!$B9,Hour,0)),Season,'Summarized Modified Source Data'!$A9,Sector,'Summarized Modified Source Data'!L$2,Subsector,'Summarized Modified Source Data'!L$3,TimeOfWeek,$D9)</f>
        <v>232291</v>
      </c>
      <c r="M9" s="25">
        <f>SUMIFS(INDEX(Load,,MATCH('Summarized Modified Source Data'!$B9,Hour,0)),Season,'Summarized Modified Source Data'!$A9,Sector,'Summarized Modified Source Data'!M$2,Subsector,'Summarized Modified Source Data'!M$3,TimeOfWeek,$D9)</f>
        <v>0</v>
      </c>
      <c r="N9" s="25">
        <f t="shared" si="1"/>
        <v>782067709</v>
      </c>
      <c r="O9" s="25">
        <f>SUMIFS(INDEX(Load,,MATCH('Summarized Modified Source Data'!$B9,Hour,0)),Season,'Summarized Modified Source Data'!$A9,Sector,'Summarized Modified Source Data'!O$2,Subsector,"Total",TimeOfWeek,$D9)-SUM(K9:M9)</f>
        <v>782067709</v>
      </c>
      <c r="P9" s="25">
        <f t="shared" si="2"/>
        <v>782067709</v>
      </c>
      <c r="Q9" s="33" cm="1">
        <f t="array" ref="Q9">SUMIFS(INDEX(Load,,MATCH('Summarized Modified Source Data'!$B9,Hour,0)),Season,'Summarized Modified Source Data'!$A9,Sector,'Summarized Modified Source Data'!Q$2,TimeOfWeek,$D9)*LDVs</f>
        <v>5687690.3372930055</v>
      </c>
      <c r="R9" s="33" cm="1">
        <f t="array" ref="R9">SUMIFS(INDEX(Load,,MATCH('Summarized Modified Source Data'!$B9,Hour,0)),Season,'Summarized Modified Source Data'!$A9,Sector,'Summarized Modified Source Data'!R$2,TimeOfWeek,$D9)*HDVs</f>
        <v>2680073.0556129734</v>
      </c>
      <c r="S9" s="33">
        <f>SUMIFS(INDEX(Load,,MATCH('Summarized Modified Source Data'!$B9,Hour,0)),Season,'Summarized Modified Source Data'!$A9,Sector,'Summarized Modified Source Data'!S$2,TimeOfWeek,$D9)*Aircraft</f>
        <v>0</v>
      </c>
      <c r="T9" s="33">
        <f>SUMIFS(INDEX(Load,,MATCH('Summarized Modified Source Data'!$B9,Hour,0)),Season,'Summarized Modified Source Data'!$A9,Sector,'Summarized Modified Source Data'!T$2,TimeOfWeek,$D9)*Rail</f>
        <v>11668183.607094022</v>
      </c>
      <c r="U9" s="33">
        <f>SUMIFS(INDEX(Load,,MATCH('Summarized Modified Source Data'!$B9,Hour,0)),Season,'Summarized Modified Source Data'!$A9,Sector,'Summarized Modified Source Data'!U$2,TimeOfWeek,$D9)*Ships</f>
        <v>0</v>
      </c>
      <c r="V9" s="33">
        <f>SUMIFS(INDEX(Load,,MATCH('Summarized Modified Source Data'!$B9,Hour,0)),Season,'Summarized Modified Source Data'!$A9,Sector,'Summarized Modified Source Data'!V$2,TimeOfWeek,$D9)*Motorbikes</f>
        <v>0</v>
      </c>
      <c r="W9" s="25">
        <f>SUMIFS(INDEX(Load,,MATCH('Summarized Modified Source Data'!$B9,Hour,0)),Season,'Summarized Modified Source Data'!$A9,Sector,'Summarized Modified Source Data'!W$2,Subsector,'Summarized Modified Source Data'!W$3,TimeOfWeek,$D9)</f>
        <v>2628000000</v>
      </c>
      <c r="X9" s="25">
        <f>SUMIFS(INDEX(Load,,MATCH('Summarized Modified Source Data'!$B9,Hour,0)),Season,'Summarized Modified Source Data'!$A9,Sector,'Summarized Modified Source Data'!X$2,Subsector,'Summarized Modified Source Data'!X$3,TimeOfWeek,$D9)</f>
        <v>0</v>
      </c>
      <c r="Y9" s="25">
        <f>SUMIFS(INDEX(Load,,MATCH('Summarized Modified Source Data'!$B9,Hour,0)),Season,'Summarized Modified Source Data'!$A9,Sector,'Summarized Modified Source Data'!Y$2,Subsector,'Summarized Modified Source Data'!Y$3,TimeOfWeek,$D9)</f>
        <v>0</v>
      </c>
    </row>
    <row r="10" spans="1:25" outlineLevel="1" x14ac:dyDescent="0.25">
      <c r="A10" t="s">
        <v>37</v>
      </c>
      <c r="B10" t="s">
        <v>153</v>
      </c>
      <c r="C10" s="7" t="s">
        <v>5</v>
      </c>
      <c r="D10" t="s">
        <v>117</v>
      </c>
      <c r="E10" s="25">
        <f>SUMIFS(INDEX(Load,,MATCH('Summarized Modified Source Data'!$B10,Hour,0)),Season,'Summarized Modified Source Data'!$A10,Sector,'Summarized Modified Source Data'!E$2,Subsector,'Summarized Modified Source Data'!E$3,TimeOfWeek,$D10)</f>
        <v>85200000</v>
      </c>
      <c r="F10" s="25">
        <f>SUMIFS(INDEX(Load,,MATCH('Summarized Modified Source Data'!$B10,Hour,0)),Season,'Summarized Modified Source Data'!$A10,Sector,'Summarized Modified Source Data'!F$2,Subsector,'Summarized Modified Source Data'!F$3,TimeOfWeek,$D10)</f>
        <v>69667</v>
      </c>
      <c r="G10" s="25">
        <f>SUMIFS(INDEX(Load,,MATCH('Summarized Modified Source Data'!$B10,Hour,0)),Season,'Summarized Modified Source Data'!$A10,Sector,'Summarized Modified Source Data'!G$2,Subsector,'Summarized Modified Source Data'!G$3,TimeOfWeek,$D10)</f>
        <v>0</v>
      </c>
      <c r="H10" s="25">
        <f>SUMIFS(INDEX(Load,,MATCH('Summarized Modified Source Data'!$B10,Hour,0)),Season,'Summarized Modified Source Data'!$A10,Sector,'Summarized Modified Source Data'!H$2,Subsector,'Summarized Modified Source Data'!H$3,TimeOfWeek,$D10)</f>
        <v>140400000</v>
      </c>
      <c r="I10" s="25">
        <f>SUMIFS(INDEX(Load,,MATCH('Summarized Modified Source Data'!$B10,Hour,0)),Season,'Summarized Modified Source Data'!$A10,Sector,'Summarized Modified Source Data'!I$2,Subsector,'Summarized Modified Source Data'!I$3,TimeOfWeek,$D10)</f>
        <v>74100000</v>
      </c>
      <c r="J10" s="25">
        <f t="shared" si="0"/>
        <v>74100000</v>
      </c>
      <c r="K10" s="25">
        <f>SUMIFS(INDEX(Load,,MATCH('Summarized Modified Source Data'!$B10,Hour,0)),Season,'Summarized Modified Source Data'!$A10,Sector,'Summarized Modified Source Data'!K$2,Subsector,'Summarized Modified Source Data'!K$3,TimeOfWeek,$D10)</f>
        <v>164600000</v>
      </c>
      <c r="L10" s="25">
        <f>SUMIFS(INDEX(Load,,MATCH('Summarized Modified Source Data'!$B10,Hour,0)),Season,'Summarized Modified Source Data'!$A10,Sector,'Summarized Modified Source Data'!L$2,Subsector,'Summarized Modified Source Data'!L$3,TimeOfWeek,$D10)</f>
        <v>257474</v>
      </c>
      <c r="M10" s="25">
        <f>SUMIFS(INDEX(Load,,MATCH('Summarized Modified Source Data'!$B10,Hour,0)),Season,'Summarized Modified Source Data'!$A10,Sector,'Summarized Modified Source Data'!M$2,Subsector,'Summarized Modified Source Data'!M$3,TimeOfWeek,$D10)</f>
        <v>0</v>
      </c>
      <c r="N10" s="25">
        <f t="shared" si="1"/>
        <v>1177142526</v>
      </c>
      <c r="O10" s="25">
        <f>SUMIFS(INDEX(Load,,MATCH('Summarized Modified Source Data'!$B10,Hour,0)),Season,'Summarized Modified Source Data'!$A10,Sector,'Summarized Modified Source Data'!O$2,Subsector,"Total",TimeOfWeek,$D10)-SUM(K10:M10)</f>
        <v>1177142526</v>
      </c>
      <c r="P10" s="25">
        <f t="shared" si="2"/>
        <v>1177142526</v>
      </c>
      <c r="Q10" s="33" cm="1">
        <f t="array" ref="Q10">SUMIFS(INDEX(Load,,MATCH('Summarized Modified Source Data'!$B10,Hour,0)),Season,'Summarized Modified Source Data'!$A10,Sector,'Summarized Modified Source Data'!Q$2,TimeOfWeek,$D10)*LDVs</f>
        <v>8526850.302631082</v>
      </c>
      <c r="R10" s="33" cm="1">
        <f t="array" ref="R10">SUMIFS(INDEX(Load,,MATCH('Summarized Modified Source Data'!$B10,Hour,0)),Season,'Summarized Modified Source Data'!$A10,Sector,'Summarized Modified Source Data'!R$2,TimeOfWeek,$D10)*HDVs</f>
        <v>4017901.8881332646</v>
      </c>
      <c r="S10" s="33">
        <f>SUMIFS(INDEX(Load,,MATCH('Summarized Modified Source Data'!$B10,Hour,0)),Season,'Summarized Modified Source Data'!$A10,Sector,'Summarized Modified Source Data'!S$2,TimeOfWeek,$D10)*Aircraft</f>
        <v>0</v>
      </c>
      <c r="T10" s="33">
        <f>SUMIFS(INDEX(Load,,MATCH('Summarized Modified Source Data'!$B10,Hour,0)),Season,'Summarized Modified Source Data'!$A10,Sector,'Summarized Modified Source Data'!T$2,TimeOfWeek,$D10)*Rail</f>
        <v>17492663.809235655</v>
      </c>
      <c r="U10" s="33">
        <f>SUMIFS(INDEX(Load,,MATCH('Summarized Modified Source Data'!$B10,Hour,0)),Season,'Summarized Modified Source Data'!$A10,Sector,'Summarized Modified Source Data'!U$2,TimeOfWeek,$D10)*Ships</f>
        <v>0</v>
      </c>
      <c r="V10" s="33">
        <f>SUMIFS(INDEX(Load,,MATCH('Summarized Modified Source Data'!$B10,Hour,0)),Season,'Summarized Modified Source Data'!$A10,Sector,'Summarized Modified Source Data'!V$2,TimeOfWeek,$D10)*Motorbikes</f>
        <v>0</v>
      </c>
      <c r="W10" s="25">
        <f>SUMIFS(INDEX(Load,,MATCH('Summarized Modified Source Data'!$B10,Hour,0)),Season,'Summarized Modified Source Data'!$A10,Sector,'Summarized Modified Source Data'!W$2,Subsector,'Summarized Modified Source Data'!W$3,TimeOfWeek,$D10)</f>
        <v>2659000000</v>
      </c>
      <c r="X10" s="25">
        <f>SUMIFS(INDEX(Load,,MATCH('Summarized Modified Source Data'!$B10,Hour,0)),Season,'Summarized Modified Source Data'!$A10,Sector,'Summarized Modified Source Data'!X$2,Subsector,'Summarized Modified Source Data'!X$3,TimeOfWeek,$D10)</f>
        <v>0</v>
      </c>
      <c r="Y10" s="25">
        <f>SUMIFS(INDEX(Load,,MATCH('Summarized Modified Source Data'!$B10,Hour,0)),Season,'Summarized Modified Source Data'!$A10,Sector,'Summarized Modified Source Data'!Y$2,Subsector,'Summarized Modified Source Data'!Y$3,TimeOfWeek,$D10)</f>
        <v>0</v>
      </c>
    </row>
    <row r="11" spans="1:25" outlineLevel="1" x14ac:dyDescent="0.25">
      <c r="A11" t="s">
        <v>37</v>
      </c>
      <c r="B11" t="s">
        <v>154</v>
      </c>
      <c r="C11" s="7" t="s">
        <v>6</v>
      </c>
      <c r="D11" t="s">
        <v>117</v>
      </c>
      <c r="E11" s="25">
        <f>SUMIFS(INDEX(Load,,MATCH('Summarized Modified Source Data'!$B11,Hour,0)),Season,'Summarized Modified Source Data'!$A11,Sector,'Summarized Modified Source Data'!E$2,Subsector,'Summarized Modified Source Data'!E$3,TimeOfWeek,$D11)</f>
        <v>82900000</v>
      </c>
      <c r="F11" s="25">
        <f>SUMIFS(INDEX(Load,,MATCH('Summarized Modified Source Data'!$B11,Hour,0)),Season,'Summarized Modified Source Data'!$A11,Sector,'Summarized Modified Source Data'!F$2,Subsector,'Summarized Modified Source Data'!F$3,TimeOfWeek,$D11)</f>
        <v>52283</v>
      </c>
      <c r="G11" s="25">
        <f>SUMIFS(INDEX(Load,,MATCH('Summarized Modified Source Data'!$B11,Hour,0)),Season,'Summarized Modified Source Data'!$A11,Sector,'Summarized Modified Source Data'!G$2,Subsector,'Summarized Modified Source Data'!G$3,TimeOfWeek,$D11)</f>
        <v>0</v>
      </c>
      <c r="H11" s="25">
        <f>SUMIFS(INDEX(Load,,MATCH('Summarized Modified Source Data'!$B11,Hour,0)),Season,'Summarized Modified Source Data'!$A11,Sector,'Summarized Modified Source Data'!H$2,Subsector,'Summarized Modified Source Data'!H$3,TimeOfWeek,$D11)</f>
        <v>109000000</v>
      </c>
      <c r="I11" s="25">
        <f>SUMIFS(INDEX(Load,,MATCH('Summarized Modified Source Data'!$B11,Hour,0)),Season,'Summarized Modified Source Data'!$A11,Sector,'Summarized Modified Source Data'!I$2,Subsector,'Summarized Modified Source Data'!I$3,TimeOfWeek,$D11)</f>
        <v>102100000</v>
      </c>
      <c r="J11" s="25">
        <f t="shared" si="0"/>
        <v>102100000</v>
      </c>
      <c r="K11" s="25">
        <f>SUMIFS(INDEX(Load,,MATCH('Summarized Modified Source Data'!$B11,Hour,0)),Season,'Summarized Modified Source Data'!$A11,Sector,'Summarized Modified Source Data'!K$2,Subsector,'Summarized Modified Source Data'!K$3,TimeOfWeek,$D11)</f>
        <v>404800000</v>
      </c>
      <c r="L11" s="25">
        <f>SUMIFS(INDEX(Load,,MATCH('Summarized Modified Source Data'!$B11,Hour,0)),Season,'Summarized Modified Source Data'!$A11,Sector,'Summarized Modified Source Data'!L$2,Subsector,'Summarized Modified Source Data'!L$3,TimeOfWeek,$D11)</f>
        <v>307156</v>
      </c>
      <c r="M11" s="25">
        <f>SUMIFS(INDEX(Load,,MATCH('Summarized Modified Source Data'!$B11,Hour,0)),Season,'Summarized Modified Source Data'!$A11,Sector,'Summarized Modified Source Data'!M$2,Subsector,'Summarized Modified Source Data'!M$3,TimeOfWeek,$D11)</f>
        <v>0</v>
      </c>
      <c r="N11" s="25">
        <f t="shared" si="1"/>
        <v>1618892844</v>
      </c>
      <c r="O11" s="25">
        <f>SUMIFS(INDEX(Load,,MATCH('Summarized Modified Source Data'!$B11,Hour,0)),Season,'Summarized Modified Source Data'!$A11,Sector,'Summarized Modified Source Data'!O$2,Subsector,"Total",TimeOfWeek,$D11)-SUM(K11:M11)</f>
        <v>1618892844</v>
      </c>
      <c r="P11" s="25">
        <f t="shared" si="2"/>
        <v>1618892844</v>
      </c>
      <c r="Q11" s="33" cm="1">
        <f t="array" ref="Q11">SUMIFS(INDEX(Load,,MATCH('Summarized Modified Source Data'!$B11,Hour,0)),Season,'Summarized Modified Source Data'!$A11,Sector,'Summarized Modified Source Data'!Q$2,TimeOfWeek,$D11)*LDVs</f>
        <v>17884080.610188246</v>
      </c>
      <c r="R11" s="33" cm="1">
        <f t="array" ref="R11">SUMIFS(INDEX(Load,,MATCH('Summarized Modified Source Data'!$B11,Hour,0)),Season,'Summarized Modified Source Data'!$A11,Sector,'Summarized Modified Source Data'!R$2,TimeOfWeek,$D11)*HDVs</f>
        <v>8427083.7062813826</v>
      </c>
      <c r="S11" s="33">
        <f>SUMIFS(INDEX(Load,,MATCH('Summarized Modified Source Data'!$B11,Hour,0)),Season,'Summarized Modified Source Data'!$A11,Sector,'Summarized Modified Source Data'!S$2,TimeOfWeek,$D11)*Aircraft</f>
        <v>0</v>
      </c>
      <c r="T11" s="33">
        <f>SUMIFS(INDEX(Load,,MATCH('Summarized Modified Source Data'!$B11,Hour,0)),Season,'Summarized Modified Source Data'!$A11,Sector,'Summarized Modified Source Data'!T$2,TimeOfWeek,$D11)*Rail</f>
        <v>36688835.683530375</v>
      </c>
      <c r="U11" s="33">
        <f>SUMIFS(INDEX(Load,,MATCH('Summarized Modified Source Data'!$B11,Hour,0)),Season,'Summarized Modified Source Data'!$A11,Sector,'Summarized Modified Source Data'!U$2,TimeOfWeek,$D11)*Ships</f>
        <v>0</v>
      </c>
      <c r="V11" s="33">
        <f>SUMIFS(INDEX(Load,,MATCH('Summarized Modified Source Data'!$B11,Hour,0)),Season,'Summarized Modified Source Data'!$A11,Sector,'Summarized Modified Source Data'!V$2,TimeOfWeek,$D11)*Motorbikes</f>
        <v>0</v>
      </c>
      <c r="W11" s="25">
        <f>SUMIFS(INDEX(Load,,MATCH('Summarized Modified Source Data'!$B11,Hour,0)),Season,'Summarized Modified Source Data'!$A11,Sector,'Summarized Modified Source Data'!W$2,Subsector,'Summarized Modified Source Data'!W$3,TimeOfWeek,$D11)</f>
        <v>2684000000</v>
      </c>
      <c r="X11" s="25">
        <f>SUMIFS(INDEX(Load,,MATCH('Summarized Modified Source Data'!$B11,Hour,0)),Season,'Summarized Modified Source Data'!$A11,Sector,'Summarized Modified Source Data'!X$2,Subsector,'Summarized Modified Source Data'!X$3,TimeOfWeek,$D11)</f>
        <v>0</v>
      </c>
      <c r="Y11" s="25">
        <f>SUMIFS(INDEX(Load,,MATCH('Summarized Modified Source Data'!$B11,Hour,0)),Season,'Summarized Modified Source Data'!$A11,Sector,'Summarized Modified Source Data'!Y$2,Subsector,'Summarized Modified Source Data'!Y$3,TimeOfWeek,$D11)</f>
        <v>0</v>
      </c>
    </row>
    <row r="12" spans="1:25" outlineLevel="1" x14ac:dyDescent="0.25">
      <c r="A12" t="s">
        <v>37</v>
      </c>
      <c r="B12" t="s">
        <v>155</v>
      </c>
      <c r="C12" s="7" t="s">
        <v>7</v>
      </c>
      <c r="D12" t="s">
        <v>117</v>
      </c>
      <c r="E12" s="25">
        <f>SUMIFS(INDEX(Load,,MATCH('Summarized Modified Source Data'!$B12,Hour,0)),Season,'Summarized Modified Source Data'!$A12,Sector,'Summarized Modified Source Data'!E$2,Subsector,'Summarized Modified Source Data'!E$3,TimeOfWeek,$D12)</f>
        <v>79100000</v>
      </c>
      <c r="F12" s="25">
        <f>SUMIFS(INDEX(Load,,MATCH('Summarized Modified Source Data'!$B12,Hour,0)),Season,'Summarized Modified Source Data'!$A12,Sector,'Summarized Modified Source Data'!F$2,Subsector,'Summarized Modified Source Data'!F$3,TimeOfWeek,$D12)</f>
        <v>42251</v>
      </c>
      <c r="G12" s="25">
        <f>SUMIFS(INDEX(Load,,MATCH('Summarized Modified Source Data'!$B12,Hour,0)),Season,'Summarized Modified Source Data'!$A12,Sector,'Summarized Modified Source Data'!G$2,Subsector,'Summarized Modified Source Data'!G$3,TimeOfWeek,$D12)</f>
        <v>0</v>
      </c>
      <c r="H12" s="25">
        <f>SUMIFS(INDEX(Load,,MATCH('Summarized Modified Source Data'!$B12,Hour,0)),Season,'Summarized Modified Source Data'!$A12,Sector,'Summarized Modified Source Data'!H$2,Subsector,'Summarized Modified Source Data'!H$3,TimeOfWeek,$D12)</f>
        <v>42600000</v>
      </c>
      <c r="I12" s="25">
        <f>SUMIFS(INDEX(Load,,MATCH('Summarized Modified Source Data'!$B12,Hour,0)),Season,'Summarized Modified Source Data'!$A12,Sector,'Summarized Modified Source Data'!I$2,Subsector,'Summarized Modified Source Data'!I$3,TimeOfWeek,$D12)</f>
        <v>67400000</v>
      </c>
      <c r="J12" s="25">
        <f t="shared" si="0"/>
        <v>67400000</v>
      </c>
      <c r="K12" s="25">
        <f>SUMIFS(INDEX(Load,,MATCH('Summarized Modified Source Data'!$B12,Hour,0)),Season,'Summarized Modified Source Data'!$A12,Sector,'Summarized Modified Source Data'!K$2,Subsector,'Summarized Modified Source Data'!K$3,TimeOfWeek,$D12)</f>
        <v>410200000</v>
      </c>
      <c r="L12" s="25">
        <f>SUMIFS(INDEX(Load,,MATCH('Summarized Modified Source Data'!$B12,Hour,0)),Season,'Summarized Modified Source Data'!$A12,Sector,'Summarized Modified Source Data'!L$2,Subsector,'Summarized Modified Source Data'!L$3,TimeOfWeek,$D12)</f>
        <v>380187</v>
      </c>
      <c r="M12" s="25">
        <f>SUMIFS(INDEX(Load,,MATCH('Summarized Modified Source Data'!$B12,Hour,0)),Season,'Summarized Modified Source Data'!$A12,Sector,'Summarized Modified Source Data'!M$2,Subsector,'Summarized Modified Source Data'!M$3,TimeOfWeek,$D12)</f>
        <v>0</v>
      </c>
      <c r="N12" s="25">
        <f t="shared" si="1"/>
        <v>2007419813</v>
      </c>
      <c r="O12" s="25">
        <f>SUMIFS(INDEX(Load,,MATCH('Summarized Modified Source Data'!$B12,Hour,0)),Season,'Summarized Modified Source Data'!$A12,Sector,'Summarized Modified Source Data'!O$2,Subsector,"Total",TimeOfWeek,$D12)-SUM(K12:M12)</f>
        <v>2007419813</v>
      </c>
      <c r="P12" s="25">
        <f t="shared" si="2"/>
        <v>2007419813</v>
      </c>
      <c r="Q12" s="33" cm="1">
        <f t="array" ref="Q12">SUMIFS(INDEX(Load,,MATCH('Summarized Modified Source Data'!$B12,Hour,0)),Season,'Summarized Modified Source Data'!$A12,Sector,'Summarized Modified Source Data'!Q$2,TimeOfWeek,$D12)*LDVs</f>
        <v>19473776.664427198</v>
      </c>
      <c r="R12" s="33" cm="1">
        <f t="array" ref="R12">SUMIFS(INDEX(Load,,MATCH('Summarized Modified Source Data'!$B12,Hour,0)),Season,'Summarized Modified Source Data'!$A12,Sector,'Summarized Modified Source Data'!R$2,TimeOfWeek,$D12)*HDVs</f>
        <v>9176157.8135063946</v>
      </c>
      <c r="S12" s="33">
        <f>SUMIFS(INDEX(Load,,MATCH('Summarized Modified Source Data'!$B12,Hour,0)),Season,'Summarized Modified Source Data'!$A12,Sector,'Summarized Modified Source Data'!S$2,TimeOfWeek,$D12)*Aircraft</f>
        <v>0</v>
      </c>
      <c r="T12" s="33">
        <f>SUMIFS(INDEX(Load,,MATCH('Summarized Modified Source Data'!$B12,Hour,0)),Season,'Summarized Modified Source Data'!$A12,Sector,'Summarized Modified Source Data'!T$2,TimeOfWeek,$D12)*Rail</f>
        <v>39950065.522066407</v>
      </c>
      <c r="U12" s="33">
        <f>SUMIFS(INDEX(Load,,MATCH('Summarized Modified Source Data'!$B12,Hour,0)),Season,'Summarized Modified Source Data'!$A12,Sector,'Summarized Modified Source Data'!U$2,TimeOfWeek,$D12)*Ships</f>
        <v>0</v>
      </c>
      <c r="V12" s="33">
        <f>SUMIFS(INDEX(Load,,MATCH('Summarized Modified Source Data'!$B12,Hour,0)),Season,'Summarized Modified Source Data'!$A12,Sector,'Summarized Modified Source Data'!V$2,TimeOfWeek,$D12)*Motorbikes</f>
        <v>0</v>
      </c>
      <c r="W12" s="25">
        <f>SUMIFS(INDEX(Load,,MATCH('Summarized Modified Source Data'!$B12,Hour,0)),Season,'Summarized Modified Source Data'!$A12,Sector,'Summarized Modified Source Data'!W$2,Subsector,'Summarized Modified Source Data'!W$3,TimeOfWeek,$D12)</f>
        <v>2692000000</v>
      </c>
      <c r="X12" s="25">
        <f>SUMIFS(INDEX(Load,,MATCH('Summarized Modified Source Data'!$B12,Hour,0)),Season,'Summarized Modified Source Data'!$A12,Sector,'Summarized Modified Source Data'!X$2,Subsector,'Summarized Modified Source Data'!X$3,TimeOfWeek,$D12)</f>
        <v>0</v>
      </c>
      <c r="Y12" s="25">
        <f>SUMIFS(INDEX(Load,,MATCH('Summarized Modified Source Data'!$B12,Hour,0)),Season,'Summarized Modified Source Data'!$A12,Sector,'Summarized Modified Source Data'!Y$2,Subsector,'Summarized Modified Source Data'!Y$3,TimeOfWeek,$D12)</f>
        <v>0</v>
      </c>
    </row>
    <row r="13" spans="1:25" outlineLevel="1" x14ac:dyDescent="0.25">
      <c r="A13" t="s">
        <v>37</v>
      </c>
      <c r="B13" t="s">
        <v>156</v>
      </c>
      <c r="C13" s="7" t="s">
        <v>8</v>
      </c>
      <c r="D13" t="s">
        <v>117</v>
      </c>
      <c r="E13" s="25">
        <f>SUMIFS(INDEX(Load,,MATCH('Summarized Modified Source Data'!$B13,Hour,0)),Season,'Summarized Modified Source Data'!$A13,Sector,'Summarized Modified Source Data'!E$2,Subsector,'Summarized Modified Source Data'!E$3,TimeOfWeek,$D13)</f>
        <v>57254439</v>
      </c>
      <c r="F13" s="25">
        <f>SUMIFS(INDEX(Load,,MATCH('Summarized Modified Source Data'!$B13,Hour,0)),Season,'Summarized Modified Source Data'!$A13,Sector,'Summarized Modified Source Data'!F$2,Subsector,'Summarized Modified Source Data'!F$3,TimeOfWeek,$D13)</f>
        <v>36528</v>
      </c>
      <c r="G13" s="25">
        <f>SUMIFS(INDEX(Load,,MATCH('Summarized Modified Source Data'!$B13,Hour,0)),Season,'Summarized Modified Source Data'!$A13,Sector,'Summarized Modified Source Data'!G$2,Subsector,'Summarized Modified Source Data'!G$3,TimeOfWeek,$D13)</f>
        <v>0</v>
      </c>
      <c r="H13" s="25">
        <f>SUMIFS(INDEX(Load,,MATCH('Summarized Modified Source Data'!$B13,Hour,0)),Season,'Summarized Modified Source Data'!$A13,Sector,'Summarized Modified Source Data'!H$2,Subsector,'Summarized Modified Source Data'!H$3,TimeOfWeek,$D13)</f>
        <v>41000000</v>
      </c>
      <c r="I13" s="25">
        <f>SUMIFS(INDEX(Load,,MATCH('Summarized Modified Source Data'!$B13,Hour,0)),Season,'Summarized Modified Source Data'!$A13,Sector,'Summarized Modified Source Data'!I$2,Subsector,'Summarized Modified Source Data'!I$3,TimeOfWeek,$D13)</f>
        <v>60300000</v>
      </c>
      <c r="J13" s="25">
        <f t="shared" si="0"/>
        <v>60300000</v>
      </c>
      <c r="K13" s="25">
        <f>SUMIFS(INDEX(Load,,MATCH('Summarized Modified Source Data'!$B13,Hour,0)),Season,'Summarized Modified Source Data'!$A13,Sector,'Summarized Modified Source Data'!K$2,Subsector,'Summarized Modified Source Data'!K$3,TimeOfWeek,$D13)</f>
        <v>291700000</v>
      </c>
      <c r="L13" s="25">
        <f>SUMIFS(INDEX(Load,,MATCH('Summarized Modified Source Data'!$B13,Hour,0)),Season,'Summarized Modified Source Data'!$A13,Sector,'Summarized Modified Source Data'!L$2,Subsector,'Summarized Modified Source Data'!L$3,TimeOfWeek,$D13)</f>
        <v>426822</v>
      </c>
      <c r="M13" s="25">
        <f>SUMIFS(INDEX(Load,,MATCH('Summarized Modified Source Data'!$B13,Hour,0)),Season,'Summarized Modified Source Data'!$A13,Sector,'Summarized Modified Source Data'!M$2,Subsector,'Summarized Modified Source Data'!M$3,TimeOfWeek,$D13)</f>
        <v>0</v>
      </c>
      <c r="N13" s="25">
        <f t="shared" si="1"/>
        <v>2108873178</v>
      </c>
      <c r="O13" s="25">
        <f>SUMIFS(INDEX(Load,,MATCH('Summarized Modified Source Data'!$B13,Hour,0)),Season,'Summarized Modified Source Data'!$A13,Sector,'Summarized Modified Source Data'!O$2,Subsector,"Total",TimeOfWeek,$D13)-SUM(K13:M13)</f>
        <v>2108873178</v>
      </c>
      <c r="P13" s="25">
        <f t="shared" si="2"/>
        <v>2108873178</v>
      </c>
      <c r="Q13" s="33" cm="1">
        <f t="array" ref="Q13">SUMIFS(INDEX(Load,,MATCH('Summarized Modified Source Data'!$B13,Hour,0)),Season,'Summarized Modified Source Data'!$A13,Sector,'Summarized Modified Source Data'!Q$2,TimeOfWeek,$D13)*LDVs</f>
        <v>17287944.589848638</v>
      </c>
      <c r="R13" s="33" cm="1">
        <f t="array" ref="R13">SUMIFS(INDEX(Load,,MATCH('Summarized Modified Source Data'!$B13,Hour,0)),Season,'Summarized Modified Source Data'!$A13,Sector,'Summarized Modified Source Data'!R$2,TimeOfWeek,$D13)*HDVs</f>
        <v>8146180.9160720026</v>
      </c>
      <c r="S13" s="33">
        <f>SUMIFS(INDEX(Load,,MATCH('Summarized Modified Source Data'!$B13,Hour,0)),Season,'Summarized Modified Source Data'!$A13,Sector,'Summarized Modified Source Data'!S$2,TimeOfWeek,$D13)*Aircraft</f>
        <v>0</v>
      </c>
      <c r="T13" s="33">
        <f>SUMIFS(INDEX(Load,,MATCH('Summarized Modified Source Data'!$B13,Hour,0)),Season,'Summarized Modified Source Data'!$A13,Sector,'Summarized Modified Source Data'!T$2,TimeOfWeek,$D13)*Rail</f>
        <v>35465874.494079359</v>
      </c>
      <c r="U13" s="33">
        <f>SUMIFS(INDEX(Load,,MATCH('Summarized Modified Source Data'!$B13,Hour,0)),Season,'Summarized Modified Source Data'!$A13,Sector,'Summarized Modified Source Data'!U$2,TimeOfWeek,$D13)*Ships</f>
        <v>0</v>
      </c>
      <c r="V13" s="33">
        <f>SUMIFS(INDEX(Load,,MATCH('Summarized Modified Source Data'!$B13,Hour,0)),Season,'Summarized Modified Source Data'!$A13,Sector,'Summarized Modified Source Data'!V$2,TimeOfWeek,$D13)*Motorbikes</f>
        <v>0</v>
      </c>
      <c r="W13" s="25">
        <f>SUMIFS(INDEX(Load,,MATCH('Summarized Modified Source Data'!$B13,Hour,0)),Season,'Summarized Modified Source Data'!$A13,Sector,'Summarized Modified Source Data'!W$2,Subsector,'Summarized Modified Source Data'!W$3,TimeOfWeek,$D13)</f>
        <v>2688000000</v>
      </c>
      <c r="X13" s="25">
        <f>SUMIFS(INDEX(Load,,MATCH('Summarized Modified Source Data'!$B13,Hour,0)),Season,'Summarized Modified Source Data'!$A13,Sector,'Summarized Modified Source Data'!X$2,Subsector,'Summarized Modified Source Data'!X$3,TimeOfWeek,$D13)</f>
        <v>0</v>
      </c>
      <c r="Y13" s="25">
        <f>SUMIFS(INDEX(Load,,MATCH('Summarized Modified Source Data'!$B13,Hour,0)),Season,'Summarized Modified Source Data'!$A13,Sector,'Summarized Modified Source Data'!Y$2,Subsector,'Summarized Modified Source Data'!Y$3,TimeOfWeek,$D13)</f>
        <v>0</v>
      </c>
    </row>
    <row r="14" spans="1:25" outlineLevel="1" x14ac:dyDescent="0.25">
      <c r="A14" t="s">
        <v>37</v>
      </c>
      <c r="B14" t="s">
        <v>157</v>
      </c>
      <c r="C14" s="7" t="s">
        <v>9</v>
      </c>
      <c r="D14" t="s">
        <v>117</v>
      </c>
      <c r="E14" s="25">
        <f>SUMIFS(INDEX(Load,,MATCH('Summarized Modified Source Data'!$B14,Hour,0)),Season,'Summarized Modified Source Data'!$A14,Sector,'Summarized Modified Source Data'!E$2,Subsector,'Summarized Modified Source Data'!E$3,TimeOfWeek,$D14)</f>
        <v>55014184</v>
      </c>
      <c r="F14" s="25">
        <f>SUMIFS(INDEX(Load,,MATCH('Summarized Modified Source Data'!$B14,Hour,0)),Season,'Summarized Modified Source Data'!$A14,Sector,'Summarized Modified Source Data'!F$2,Subsector,'Summarized Modified Source Data'!F$3,TimeOfWeek,$D14)</f>
        <v>36093</v>
      </c>
      <c r="G14" s="25">
        <f>SUMIFS(INDEX(Load,,MATCH('Summarized Modified Source Data'!$B14,Hour,0)),Season,'Summarized Modified Source Data'!$A14,Sector,'Summarized Modified Source Data'!G$2,Subsector,'Summarized Modified Source Data'!G$3,TimeOfWeek,$D14)</f>
        <v>0</v>
      </c>
      <c r="H14" s="25">
        <f>SUMIFS(INDEX(Load,,MATCH('Summarized Modified Source Data'!$B14,Hour,0)),Season,'Summarized Modified Source Data'!$A14,Sector,'Summarized Modified Source Data'!H$2,Subsector,'Summarized Modified Source Data'!H$3,TimeOfWeek,$D14)</f>
        <v>41700000</v>
      </c>
      <c r="I14" s="25">
        <f>SUMIFS(INDEX(Load,,MATCH('Summarized Modified Source Data'!$B14,Hour,0)),Season,'Summarized Modified Source Data'!$A14,Sector,'Summarized Modified Source Data'!I$2,Subsector,'Summarized Modified Source Data'!I$3,TimeOfWeek,$D14)</f>
        <v>56100000</v>
      </c>
      <c r="J14" s="25">
        <f t="shared" si="0"/>
        <v>56100000</v>
      </c>
      <c r="K14" s="25">
        <f>SUMIFS(INDEX(Load,,MATCH('Summarized Modified Source Data'!$B14,Hour,0)),Season,'Summarized Modified Source Data'!$A14,Sector,'Summarized Modified Source Data'!K$2,Subsector,'Summarized Modified Source Data'!K$3,TimeOfWeek,$D14)</f>
        <v>240700000</v>
      </c>
      <c r="L14" s="25">
        <f>SUMIFS(INDEX(Load,,MATCH('Summarized Modified Source Data'!$B14,Hour,0)),Season,'Summarized Modified Source Data'!$A14,Sector,'Summarized Modified Source Data'!L$2,Subsector,'Summarized Modified Source Data'!L$3,TimeOfWeek,$D14)</f>
        <v>451059</v>
      </c>
      <c r="M14" s="25">
        <f>SUMIFS(INDEX(Load,,MATCH('Summarized Modified Source Data'!$B14,Hour,0)),Season,'Summarized Modified Source Data'!$A14,Sector,'Summarized Modified Source Data'!M$2,Subsector,'Summarized Modified Source Data'!M$3,TimeOfWeek,$D14)</f>
        <v>0</v>
      </c>
      <c r="N14" s="25">
        <f t="shared" si="1"/>
        <v>2096848941</v>
      </c>
      <c r="O14" s="25">
        <f>SUMIFS(INDEX(Load,,MATCH('Summarized Modified Source Data'!$B14,Hour,0)),Season,'Summarized Modified Source Data'!$A14,Sector,'Summarized Modified Source Data'!O$2,Subsector,"Total",TimeOfWeek,$D14)-SUM(K14:M14)</f>
        <v>2096848941</v>
      </c>
      <c r="P14" s="25">
        <f t="shared" si="2"/>
        <v>2096848941</v>
      </c>
      <c r="Q14" s="33" cm="1">
        <f t="array" ref="Q14">SUMIFS(INDEX(Load,,MATCH('Summarized Modified Source Data'!$B14,Hour,0)),Season,'Summarized Modified Source Data'!$A14,Sector,'Summarized Modified Source Data'!Q$2,TimeOfWeek,$D14)*LDVs</f>
        <v>13881453.045050876</v>
      </c>
      <c r="R14" s="33" cm="1">
        <f t="array" ref="R14">SUMIFS(INDEX(Load,,MATCH('Summarized Modified Source Data'!$B14,Hour,0)),Season,'Summarized Modified Source Data'!$A14,Sector,'Summarized Modified Source Data'!R$2,TimeOfWeek,$D14)*HDVs</f>
        <v>6541022.1148755485</v>
      </c>
      <c r="S14" s="33">
        <f>SUMIFS(INDEX(Load,,MATCH('Summarized Modified Source Data'!$B14,Hour,0)),Season,'Summarized Modified Source Data'!$A14,Sector,'Summarized Modified Source Data'!S$2,TimeOfWeek,$D14)*Aircraft</f>
        <v>0</v>
      </c>
      <c r="T14" s="33">
        <f>SUMIFS(INDEX(Load,,MATCH('Summarized Modified Source Data'!$B14,Hour,0)),Season,'Summarized Modified Source Data'!$A14,Sector,'Summarized Modified Source Data'!T$2,TimeOfWeek,$D14)*Rail</f>
        <v>28477524.840073574</v>
      </c>
      <c r="U14" s="33">
        <f>SUMIFS(INDEX(Load,,MATCH('Summarized Modified Source Data'!$B14,Hour,0)),Season,'Summarized Modified Source Data'!$A14,Sector,'Summarized Modified Source Data'!U$2,TimeOfWeek,$D14)*Ships</f>
        <v>0</v>
      </c>
      <c r="V14" s="33">
        <f>SUMIFS(INDEX(Load,,MATCH('Summarized Modified Source Data'!$B14,Hour,0)),Season,'Summarized Modified Source Data'!$A14,Sector,'Summarized Modified Source Data'!V$2,TimeOfWeek,$D14)*Motorbikes</f>
        <v>0</v>
      </c>
      <c r="W14" s="25">
        <f>SUMIFS(INDEX(Load,,MATCH('Summarized Modified Source Data'!$B14,Hour,0)),Season,'Summarized Modified Source Data'!$A14,Sector,'Summarized Modified Source Data'!W$2,Subsector,'Summarized Modified Source Data'!W$3,TimeOfWeek,$D14)</f>
        <v>2677000000</v>
      </c>
      <c r="X14" s="25">
        <f>SUMIFS(INDEX(Load,,MATCH('Summarized Modified Source Data'!$B14,Hour,0)),Season,'Summarized Modified Source Data'!$A14,Sector,'Summarized Modified Source Data'!X$2,Subsector,'Summarized Modified Source Data'!X$3,TimeOfWeek,$D14)</f>
        <v>0</v>
      </c>
      <c r="Y14" s="25">
        <f>SUMIFS(INDEX(Load,,MATCH('Summarized Modified Source Data'!$B14,Hour,0)),Season,'Summarized Modified Source Data'!$A14,Sector,'Summarized Modified Source Data'!Y$2,Subsector,'Summarized Modified Source Data'!Y$3,TimeOfWeek,$D14)</f>
        <v>0</v>
      </c>
    </row>
    <row r="15" spans="1:25" outlineLevel="1" x14ac:dyDescent="0.25">
      <c r="A15" t="s">
        <v>37</v>
      </c>
      <c r="B15" t="s">
        <v>158</v>
      </c>
      <c r="C15" s="7" t="s">
        <v>10</v>
      </c>
      <c r="D15" t="s">
        <v>117</v>
      </c>
      <c r="E15" s="25">
        <f>SUMIFS(INDEX(Load,,MATCH('Summarized Modified Source Data'!$B15,Hour,0)),Season,'Summarized Modified Source Data'!$A15,Sector,'Summarized Modified Source Data'!E$2,Subsector,'Summarized Modified Source Data'!E$3,TimeOfWeek,$D15)</f>
        <v>55147819</v>
      </c>
      <c r="F15" s="25">
        <f>SUMIFS(INDEX(Load,,MATCH('Summarized Modified Source Data'!$B15,Hour,0)),Season,'Summarized Modified Source Data'!$A15,Sector,'Summarized Modified Source Data'!F$2,Subsector,'Summarized Modified Source Data'!F$3,TimeOfWeek,$D15)</f>
        <v>40368</v>
      </c>
      <c r="G15" s="25">
        <f>SUMIFS(INDEX(Load,,MATCH('Summarized Modified Source Data'!$B15,Hour,0)),Season,'Summarized Modified Source Data'!$A15,Sector,'Summarized Modified Source Data'!G$2,Subsector,'Summarized Modified Source Data'!G$3,TimeOfWeek,$D15)</f>
        <v>0</v>
      </c>
      <c r="H15" s="25">
        <f>SUMIFS(INDEX(Load,,MATCH('Summarized Modified Source Data'!$B15,Hour,0)),Season,'Summarized Modified Source Data'!$A15,Sector,'Summarized Modified Source Data'!H$2,Subsector,'Summarized Modified Source Data'!H$3,TimeOfWeek,$D15)</f>
        <v>45700000</v>
      </c>
      <c r="I15" s="25">
        <f>SUMIFS(INDEX(Load,,MATCH('Summarized Modified Source Data'!$B15,Hour,0)),Season,'Summarized Modified Source Data'!$A15,Sector,'Summarized Modified Source Data'!I$2,Subsector,'Summarized Modified Source Data'!I$3,TimeOfWeek,$D15)</f>
        <v>48300000</v>
      </c>
      <c r="J15" s="25">
        <f t="shared" si="0"/>
        <v>48300000</v>
      </c>
      <c r="K15" s="25">
        <f>SUMIFS(INDEX(Load,,MATCH('Summarized Modified Source Data'!$B15,Hour,0)),Season,'Summarized Modified Source Data'!$A15,Sector,'Summarized Modified Source Data'!K$2,Subsector,'Summarized Modified Source Data'!K$3,TimeOfWeek,$D15)</f>
        <v>209600000</v>
      </c>
      <c r="L15" s="25">
        <f>SUMIFS(INDEX(Load,,MATCH('Summarized Modified Source Data'!$B15,Hour,0)),Season,'Summarized Modified Source Data'!$A15,Sector,'Summarized Modified Source Data'!L$2,Subsector,'Summarized Modified Source Data'!L$3,TimeOfWeek,$D15)</f>
        <v>456739</v>
      </c>
      <c r="M15" s="25">
        <f>SUMIFS(INDEX(Load,,MATCH('Summarized Modified Source Data'!$B15,Hour,0)),Season,'Summarized Modified Source Data'!$A15,Sector,'Summarized Modified Source Data'!M$2,Subsector,'Summarized Modified Source Data'!M$3,TimeOfWeek,$D15)</f>
        <v>0</v>
      </c>
      <c r="N15" s="25">
        <f t="shared" si="1"/>
        <v>2089943261</v>
      </c>
      <c r="O15" s="25">
        <f>SUMIFS(INDEX(Load,,MATCH('Summarized Modified Source Data'!$B15,Hour,0)),Season,'Summarized Modified Source Data'!$A15,Sector,'Summarized Modified Source Data'!O$2,Subsector,"Total",TimeOfWeek,$D15)-SUM(K15:M15)</f>
        <v>2089943261</v>
      </c>
      <c r="P15" s="25">
        <f t="shared" si="2"/>
        <v>2089943261</v>
      </c>
      <c r="Q15" s="33" cm="1">
        <f t="array" ref="Q15">SUMIFS(INDEX(Load,,MATCH('Summarized Modified Source Data'!$B15,Hour,0)),Season,'Summarized Modified Source Data'!$A15,Sector,'Summarized Modified Source Data'!Q$2,TimeOfWeek,$D15)*LDVs</f>
        <v>13966615.333670819</v>
      </c>
      <c r="R15" s="33" cm="1">
        <f t="array" ref="R15">SUMIFS(INDEX(Load,,MATCH('Summarized Modified Source Data'!$B15,Hour,0)),Season,'Summarized Modified Source Data'!$A15,Sector,'Summarized Modified Source Data'!R$2,TimeOfWeek,$D15)*HDVs</f>
        <v>6581151.0849054605</v>
      </c>
      <c r="S15" s="33">
        <f>SUMIFS(INDEX(Load,,MATCH('Summarized Modified Source Data'!$B15,Hour,0)),Season,'Summarized Modified Source Data'!$A15,Sector,'Summarized Modified Source Data'!S$2,TimeOfWeek,$D15)*Aircraft</f>
        <v>0</v>
      </c>
      <c r="T15" s="33">
        <f>SUMIFS(INDEX(Load,,MATCH('Summarized Modified Source Data'!$B15,Hour,0)),Season,'Summarized Modified Source Data'!$A15,Sector,'Summarized Modified Source Data'!T$2,TimeOfWeek,$D15)*Rail</f>
        <v>28652233.581423718</v>
      </c>
      <c r="U15" s="33">
        <f>SUMIFS(INDEX(Load,,MATCH('Summarized Modified Source Data'!$B15,Hour,0)),Season,'Summarized Modified Source Data'!$A15,Sector,'Summarized Modified Source Data'!U$2,TimeOfWeek,$D15)*Ships</f>
        <v>0</v>
      </c>
      <c r="V15" s="33">
        <f>SUMIFS(INDEX(Load,,MATCH('Summarized Modified Source Data'!$B15,Hour,0)),Season,'Summarized Modified Source Data'!$A15,Sector,'Summarized Modified Source Data'!V$2,TimeOfWeek,$D15)*Motorbikes</f>
        <v>0</v>
      </c>
      <c r="W15" s="25">
        <f>SUMIFS(INDEX(Load,,MATCH('Summarized Modified Source Data'!$B15,Hour,0)),Season,'Summarized Modified Source Data'!$A15,Sector,'Summarized Modified Source Data'!W$2,Subsector,'Summarized Modified Source Data'!W$3,TimeOfWeek,$D15)</f>
        <v>2668000000</v>
      </c>
      <c r="X15" s="25">
        <f>SUMIFS(INDEX(Load,,MATCH('Summarized Modified Source Data'!$B15,Hour,0)),Season,'Summarized Modified Source Data'!$A15,Sector,'Summarized Modified Source Data'!X$2,Subsector,'Summarized Modified Source Data'!X$3,TimeOfWeek,$D15)</f>
        <v>0</v>
      </c>
      <c r="Y15" s="25">
        <f>SUMIFS(INDEX(Load,,MATCH('Summarized Modified Source Data'!$B15,Hour,0)),Season,'Summarized Modified Source Data'!$A15,Sector,'Summarized Modified Source Data'!Y$2,Subsector,'Summarized Modified Source Data'!Y$3,TimeOfWeek,$D15)</f>
        <v>0</v>
      </c>
    </row>
    <row r="16" spans="1:25" outlineLevel="1" x14ac:dyDescent="0.25">
      <c r="A16" t="s">
        <v>37</v>
      </c>
      <c r="B16" t="s">
        <v>159</v>
      </c>
      <c r="C16" s="7" t="s">
        <v>11</v>
      </c>
      <c r="D16" t="s">
        <v>117</v>
      </c>
      <c r="E16" s="25">
        <f>SUMIFS(INDEX(Load,,MATCH('Summarized Modified Source Data'!$B16,Hour,0)),Season,'Summarized Modified Source Data'!$A16,Sector,'Summarized Modified Source Data'!E$2,Subsector,'Summarized Modified Source Data'!E$3,TimeOfWeek,$D16)</f>
        <v>54913377</v>
      </c>
      <c r="F16" s="25">
        <f>SUMIFS(INDEX(Load,,MATCH('Summarized Modified Source Data'!$B16,Hour,0)),Season,'Summarized Modified Source Data'!$A16,Sector,'Summarized Modified Source Data'!F$2,Subsector,'Summarized Modified Source Data'!F$3,TimeOfWeek,$D16)</f>
        <v>43820</v>
      </c>
      <c r="G16" s="25">
        <f>SUMIFS(INDEX(Load,,MATCH('Summarized Modified Source Data'!$B16,Hour,0)),Season,'Summarized Modified Source Data'!$A16,Sector,'Summarized Modified Source Data'!G$2,Subsector,'Summarized Modified Source Data'!G$3,TimeOfWeek,$D16)</f>
        <v>0</v>
      </c>
      <c r="H16" s="25">
        <f>SUMIFS(INDEX(Load,,MATCH('Summarized Modified Source Data'!$B16,Hour,0)),Season,'Summarized Modified Source Data'!$A16,Sector,'Summarized Modified Source Data'!H$2,Subsector,'Summarized Modified Source Data'!H$3,TimeOfWeek,$D16)</f>
        <v>48200000</v>
      </c>
      <c r="I16" s="25">
        <f>SUMIFS(INDEX(Load,,MATCH('Summarized Modified Source Data'!$B16,Hour,0)),Season,'Summarized Modified Source Data'!$A16,Sector,'Summarized Modified Source Data'!I$2,Subsector,'Summarized Modified Source Data'!I$3,TimeOfWeek,$D16)</f>
        <v>39321179</v>
      </c>
      <c r="J16" s="25">
        <f t="shared" si="0"/>
        <v>39321179</v>
      </c>
      <c r="K16" s="25">
        <f>SUMIFS(INDEX(Load,,MATCH('Summarized Modified Source Data'!$B16,Hour,0)),Season,'Summarized Modified Source Data'!$A16,Sector,'Summarized Modified Source Data'!K$2,Subsector,'Summarized Modified Source Data'!K$3,TimeOfWeek,$D16)</f>
        <v>183900000</v>
      </c>
      <c r="L16" s="25">
        <f>SUMIFS(INDEX(Load,,MATCH('Summarized Modified Source Data'!$B16,Hour,0)),Season,'Summarized Modified Source Data'!$A16,Sector,'Summarized Modified Source Data'!L$2,Subsector,'Summarized Modified Source Data'!L$3,TimeOfWeek,$D16)</f>
        <v>439933</v>
      </c>
      <c r="M16" s="25">
        <f>SUMIFS(INDEX(Load,,MATCH('Summarized Modified Source Data'!$B16,Hour,0)),Season,'Summarized Modified Source Data'!$A16,Sector,'Summarized Modified Source Data'!M$2,Subsector,'Summarized Modified Source Data'!M$3,TimeOfWeek,$D16)</f>
        <v>0</v>
      </c>
      <c r="N16" s="25">
        <f t="shared" si="1"/>
        <v>2056660067</v>
      </c>
      <c r="O16" s="25">
        <f>SUMIFS(INDEX(Load,,MATCH('Summarized Modified Source Data'!$B16,Hour,0)),Season,'Summarized Modified Source Data'!$A16,Sector,'Summarized Modified Source Data'!O$2,Subsector,"Total",TimeOfWeek,$D16)-SUM(K16:M16)</f>
        <v>2056660067</v>
      </c>
      <c r="P16" s="25">
        <f t="shared" si="2"/>
        <v>2056660067</v>
      </c>
      <c r="Q16" s="33" cm="1">
        <f t="array" ref="Q16">SUMIFS(INDEX(Load,,MATCH('Summarized Modified Source Data'!$B16,Hour,0)),Season,'Summarized Modified Source Data'!$A16,Sector,'Summarized Modified Source Data'!Q$2,TimeOfWeek,$D16)*LDVs</f>
        <v>14193714.76999067</v>
      </c>
      <c r="R16" s="33" cm="1">
        <f t="array" ref="R16">SUMIFS(INDEX(Load,,MATCH('Summarized Modified Source Data'!$B16,Hour,0)),Season,'Summarized Modified Source Data'!$A16,Sector,'Summarized Modified Source Data'!R$2,TimeOfWeek,$D16)*HDVs</f>
        <v>6688161.6716518905</v>
      </c>
      <c r="S16" s="33">
        <f>SUMIFS(INDEX(Load,,MATCH('Summarized Modified Source Data'!$B16,Hour,0)),Season,'Summarized Modified Source Data'!$A16,Sector,'Summarized Modified Source Data'!S$2,TimeOfWeek,$D16)*Aircraft</f>
        <v>0</v>
      </c>
      <c r="T16" s="33">
        <f>SUMIFS(INDEX(Load,,MATCH('Summarized Modified Source Data'!$B16,Hour,0)),Season,'Summarized Modified Source Data'!$A16,Sector,'Summarized Modified Source Data'!T$2,TimeOfWeek,$D16)*Rail</f>
        <v>29118123.55835744</v>
      </c>
      <c r="U16" s="33">
        <f>SUMIFS(INDEX(Load,,MATCH('Summarized Modified Source Data'!$B16,Hour,0)),Season,'Summarized Modified Source Data'!$A16,Sector,'Summarized Modified Source Data'!U$2,TimeOfWeek,$D16)*Ships</f>
        <v>0</v>
      </c>
      <c r="V16" s="33">
        <f>SUMIFS(INDEX(Load,,MATCH('Summarized Modified Source Data'!$B16,Hour,0)),Season,'Summarized Modified Source Data'!$A16,Sector,'Summarized Modified Source Data'!V$2,TimeOfWeek,$D16)*Motorbikes</f>
        <v>0</v>
      </c>
      <c r="W16" s="25">
        <f>SUMIFS(INDEX(Load,,MATCH('Summarized Modified Source Data'!$B16,Hour,0)),Season,'Summarized Modified Source Data'!$A16,Sector,'Summarized Modified Source Data'!W$2,Subsector,'Summarized Modified Source Data'!W$3,TimeOfWeek,$D16)</f>
        <v>2661000000</v>
      </c>
      <c r="X16" s="25">
        <f>SUMIFS(INDEX(Load,,MATCH('Summarized Modified Source Data'!$B16,Hour,0)),Season,'Summarized Modified Source Data'!$A16,Sector,'Summarized Modified Source Data'!X$2,Subsector,'Summarized Modified Source Data'!X$3,TimeOfWeek,$D16)</f>
        <v>0</v>
      </c>
      <c r="Y16" s="25">
        <f>SUMIFS(INDEX(Load,,MATCH('Summarized Modified Source Data'!$B16,Hour,0)),Season,'Summarized Modified Source Data'!$A16,Sector,'Summarized Modified Source Data'!Y$2,Subsector,'Summarized Modified Source Data'!Y$3,TimeOfWeek,$D16)</f>
        <v>0</v>
      </c>
    </row>
    <row r="17" spans="1:25" outlineLevel="1" x14ac:dyDescent="0.25">
      <c r="A17" t="s">
        <v>37</v>
      </c>
      <c r="B17" t="s">
        <v>160</v>
      </c>
      <c r="C17" s="7" t="s">
        <v>12</v>
      </c>
      <c r="D17" t="s">
        <v>117</v>
      </c>
      <c r="E17" s="25">
        <f>SUMIFS(INDEX(Load,,MATCH('Summarized Modified Source Data'!$B17,Hour,0)),Season,'Summarized Modified Source Data'!$A17,Sector,'Summarized Modified Source Data'!E$2,Subsector,'Summarized Modified Source Data'!E$3,TimeOfWeek,$D17)</f>
        <v>54288088</v>
      </c>
      <c r="F17" s="25">
        <f>SUMIFS(INDEX(Load,,MATCH('Summarized Modified Source Data'!$B17,Hour,0)),Season,'Summarized Modified Source Data'!$A17,Sector,'Summarized Modified Source Data'!F$2,Subsector,'Summarized Modified Source Data'!F$3,TimeOfWeek,$D17)</f>
        <v>45200</v>
      </c>
      <c r="G17" s="25">
        <f>SUMIFS(INDEX(Load,,MATCH('Summarized Modified Source Data'!$B17,Hour,0)),Season,'Summarized Modified Source Data'!$A17,Sector,'Summarized Modified Source Data'!G$2,Subsector,'Summarized Modified Source Data'!G$3,TimeOfWeek,$D17)</f>
        <v>0</v>
      </c>
      <c r="H17" s="25">
        <f>SUMIFS(INDEX(Load,,MATCH('Summarized Modified Source Data'!$B17,Hour,0)),Season,'Summarized Modified Source Data'!$A17,Sector,'Summarized Modified Source Data'!H$2,Subsector,'Summarized Modified Source Data'!H$3,TimeOfWeek,$D17)</f>
        <v>48900000</v>
      </c>
      <c r="I17" s="25">
        <f>SUMIFS(INDEX(Load,,MATCH('Summarized Modified Source Data'!$B17,Hour,0)),Season,'Summarized Modified Source Data'!$A17,Sector,'Summarized Modified Source Data'!I$2,Subsector,'Summarized Modified Source Data'!I$3,TimeOfWeek,$D17)</f>
        <v>34560288</v>
      </c>
      <c r="J17" s="25">
        <f t="shared" si="0"/>
        <v>34560288</v>
      </c>
      <c r="K17" s="25">
        <f>SUMIFS(INDEX(Load,,MATCH('Summarized Modified Source Data'!$B17,Hour,0)),Season,'Summarized Modified Source Data'!$A17,Sector,'Summarized Modified Source Data'!K$2,Subsector,'Summarized Modified Source Data'!K$3,TimeOfWeek,$D17)</f>
        <v>172000000</v>
      </c>
      <c r="L17" s="25">
        <f>SUMIFS(INDEX(Load,,MATCH('Summarized Modified Source Data'!$B17,Hour,0)),Season,'Summarized Modified Source Data'!$A17,Sector,'Summarized Modified Source Data'!L$2,Subsector,'Summarized Modified Source Data'!L$3,TimeOfWeek,$D17)</f>
        <v>450344</v>
      </c>
      <c r="M17" s="25">
        <f>SUMIFS(INDEX(Load,,MATCH('Summarized Modified Source Data'!$B17,Hour,0)),Season,'Summarized Modified Source Data'!$A17,Sector,'Summarized Modified Source Data'!M$2,Subsector,'Summarized Modified Source Data'!M$3,TimeOfWeek,$D17)</f>
        <v>0</v>
      </c>
      <c r="N17" s="25">
        <f t="shared" si="1"/>
        <v>2057549656</v>
      </c>
      <c r="O17" s="25">
        <f>SUMIFS(INDEX(Load,,MATCH('Summarized Modified Source Data'!$B17,Hour,0)),Season,'Summarized Modified Source Data'!$A17,Sector,'Summarized Modified Source Data'!O$2,Subsector,"Total",TimeOfWeek,$D17)-SUM(K17:M17)</f>
        <v>2057549656</v>
      </c>
      <c r="P17" s="25">
        <f t="shared" si="2"/>
        <v>2057549656</v>
      </c>
      <c r="Q17" s="33" cm="1">
        <f t="array" ref="Q17">SUMIFS(INDEX(Load,,MATCH('Summarized Modified Source Data'!$B17,Hour,0)),Season,'Summarized Modified Source Data'!$A17,Sector,'Summarized Modified Source Data'!Q$2,TimeOfWeek,$D17)*LDVs</f>
        <v>14108552.481370727</v>
      </c>
      <c r="R17" s="33" cm="1">
        <f t="array" ref="R17">SUMIFS(INDEX(Load,,MATCH('Summarized Modified Source Data'!$B17,Hour,0)),Season,'Summarized Modified Source Data'!$A17,Sector,'Summarized Modified Source Data'!R$2,TimeOfWeek,$D17)*HDVs</f>
        <v>6648032.7016219795</v>
      </c>
      <c r="S17" s="33">
        <f>SUMIFS(INDEX(Load,,MATCH('Summarized Modified Source Data'!$B17,Hour,0)),Season,'Summarized Modified Source Data'!$A17,Sector,'Summarized Modified Source Data'!S$2,TimeOfWeek,$D17)*Aircraft</f>
        <v>0</v>
      </c>
      <c r="T17" s="33">
        <f>SUMIFS(INDEX(Load,,MATCH('Summarized Modified Source Data'!$B17,Hour,0)),Season,'Summarized Modified Source Data'!$A17,Sector,'Summarized Modified Source Data'!T$2,TimeOfWeek,$D17)*Rail</f>
        <v>28943414.817007296</v>
      </c>
      <c r="U17" s="33">
        <f>SUMIFS(INDEX(Load,,MATCH('Summarized Modified Source Data'!$B17,Hour,0)),Season,'Summarized Modified Source Data'!$A17,Sector,'Summarized Modified Source Data'!U$2,TimeOfWeek,$D17)*Ships</f>
        <v>0</v>
      </c>
      <c r="V17" s="33">
        <f>SUMIFS(INDEX(Load,,MATCH('Summarized Modified Source Data'!$B17,Hour,0)),Season,'Summarized Modified Source Data'!$A17,Sector,'Summarized Modified Source Data'!V$2,TimeOfWeek,$D17)*Motorbikes</f>
        <v>0</v>
      </c>
      <c r="W17" s="25">
        <f>SUMIFS(INDEX(Load,,MATCH('Summarized Modified Source Data'!$B17,Hour,0)),Season,'Summarized Modified Source Data'!$A17,Sector,'Summarized Modified Source Data'!W$2,Subsector,'Summarized Modified Source Data'!W$3,TimeOfWeek,$D17)</f>
        <v>2657000000</v>
      </c>
      <c r="X17" s="25">
        <f>SUMIFS(INDEX(Load,,MATCH('Summarized Modified Source Data'!$B17,Hour,0)),Season,'Summarized Modified Source Data'!$A17,Sector,'Summarized Modified Source Data'!X$2,Subsector,'Summarized Modified Source Data'!X$3,TimeOfWeek,$D17)</f>
        <v>0</v>
      </c>
      <c r="Y17" s="25">
        <f>SUMIFS(INDEX(Load,,MATCH('Summarized Modified Source Data'!$B17,Hour,0)),Season,'Summarized Modified Source Data'!$A17,Sector,'Summarized Modified Source Data'!Y$2,Subsector,'Summarized Modified Source Data'!Y$3,TimeOfWeek,$D17)</f>
        <v>0</v>
      </c>
    </row>
    <row r="18" spans="1:25" outlineLevel="1" x14ac:dyDescent="0.25">
      <c r="A18" t="s">
        <v>37</v>
      </c>
      <c r="B18" t="s">
        <v>161</v>
      </c>
      <c r="C18" s="7" t="s">
        <v>13</v>
      </c>
      <c r="D18" t="s">
        <v>117</v>
      </c>
      <c r="E18" s="25">
        <f>SUMIFS(INDEX(Load,,MATCH('Summarized Modified Source Data'!$B18,Hour,0)),Season,'Summarized Modified Source Data'!$A18,Sector,'Summarized Modified Source Data'!E$2,Subsector,'Summarized Modified Source Data'!E$3,TimeOfWeek,$D18)</f>
        <v>54524004</v>
      </c>
      <c r="F18" s="25">
        <f>SUMIFS(INDEX(Load,,MATCH('Summarized Modified Source Data'!$B18,Hour,0)),Season,'Summarized Modified Source Data'!$A18,Sector,'Summarized Modified Source Data'!F$2,Subsector,'Summarized Modified Source Data'!F$3,TimeOfWeek,$D18)</f>
        <v>47198</v>
      </c>
      <c r="G18" s="25">
        <f>SUMIFS(INDEX(Load,,MATCH('Summarized Modified Source Data'!$B18,Hour,0)),Season,'Summarized Modified Source Data'!$A18,Sector,'Summarized Modified Source Data'!G$2,Subsector,'Summarized Modified Source Data'!G$3,TimeOfWeek,$D18)</f>
        <v>0</v>
      </c>
      <c r="H18" s="25">
        <f>SUMIFS(INDEX(Load,,MATCH('Summarized Modified Source Data'!$B18,Hour,0)),Season,'Summarized Modified Source Data'!$A18,Sector,'Summarized Modified Source Data'!H$2,Subsector,'Summarized Modified Source Data'!H$3,TimeOfWeek,$D18)</f>
        <v>50100000</v>
      </c>
      <c r="I18" s="25">
        <f>SUMIFS(INDEX(Load,,MATCH('Summarized Modified Source Data'!$B18,Hour,0)),Season,'Summarized Modified Source Data'!$A18,Sector,'Summarized Modified Source Data'!I$2,Subsector,'Summarized Modified Source Data'!I$3,TimeOfWeek,$D18)</f>
        <v>33954977</v>
      </c>
      <c r="J18" s="25">
        <f t="shared" si="0"/>
        <v>33954977</v>
      </c>
      <c r="K18" s="25">
        <f>SUMIFS(INDEX(Load,,MATCH('Summarized Modified Source Data'!$B18,Hour,0)),Season,'Summarized Modified Source Data'!$A18,Sector,'Summarized Modified Source Data'!K$2,Subsector,'Summarized Modified Source Data'!K$3,TimeOfWeek,$D18)</f>
        <v>161200000</v>
      </c>
      <c r="L18" s="25">
        <f>SUMIFS(INDEX(Load,,MATCH('Summarized Modified Source Data'!$B18,Hour,0)),Season,'Summarized Modified Source Data'!$A18,Sector,'Summarized Modified Source Data'!L$2,Subsector,'Summarized Modified Source Data'!L$3,TimeOfWeek,$D18)</f>
        <v>461548</v>
      </c>
      <c r="M18" s="25">
        <f>SUMIFS(INDEX(Load,,MATCH('Summarized Modified Source Data'!$B18,Hour,0)),Season,'Summarized Modified Source Data'!$A18,Sector,'Summarized Modified Source Data'!M$2,Subsector,'Summarized Modified Source Data'!M$3,TimeOfWeek,$D18)</f>
        <v>0</v>
      </c>
      <c r="N18" s="25">
        <f t="shared" si="1"/>
        <v>2056338452</v>
      </c>
      <c r="O18" s="25">
        <f>SUMIFS(INDEX(Load,,MATCH('Summarized Modified Source Data'!$B18,Hour,0)),Season,'Summarized Modified Source Data'!$A18,Sector,'Summarized Modified Source Data'!O$2,Subsector,"Total",TimeOfWeek,$D18)-SUM(K18:M18)</f>
        <v>2056338452</v>
      </c>
      <c r="P18" s="25">
        <f t="shared" si="2"/>
        <v>2056338452</v>
      </c>
      <c r="Q18" s="33" cm="1">
        <f t="array" ref="Q18">SUMIFS(INDEX(Load,,MATCH('Summarized Modified Source Data'!$B18,Hour,0)),Season,'Summarized Modified Source Data'!$A18,Sector,'Summarized Modified Source Data'!Q$2,TimeOfWeek,$D18)*LDVs</f>
        <v>13966615.333670819</v>
      </c>
      <c r="R18" s="33" cm="1">
        <f t="array" ref="R18">SUMIFS(INDEX(Load,,MATCH('Summarized Modified Source Data'!$B18,Hour,0)),Season,'Summarized Modified Source Data'!$A18,Sector,'Summarized Modified Source Data'!R$2,TimeOfWeek,$D18)*HDVs</f>
        <v>6581151.0849054605</v>
      </c>
      <c r="S18" s="33">
        <f>SUMIFS(INDEX(Load,,MATCH('Summarized Modified Source Data'!$B18,Hour,0)),Season,'Summarized Modified Source Data'!$A18,Sector,'Summarized Modified Source Data'!S$2,TimeOfWeek,$D18)*Aircraft</f>
        <v>0</v>
      </c>
      <c r="T18" s="33">
        <f>SUMIFS(INDEX(Load,,MATCH('Summarized Modified Source Data'!$B18,Hour,0)),Season,'Summarized Modified Source Data'!$A18,Sector,'Summarized Modified Source Data'!T$2,TimeOfWeek,$D18)*Rail</f>
        <v>28652233.581423718</v>
      </c>
      <c r="U18" s="33">
        <f>SUMIFS(INDEX(Load,,MATCH('Summarized Modified Source Data'!$B18,Hour,0)),Season,'Summarized Modified Source Data'!$A18,Sector,'Summarized Modified Source Data'!U$2,TimeOfWeek,$D18)*Ships</f>
        <v>0</v>
      </c>
      <c r="V18" s="33">
        <f>SUMIFS(INDEX(Load,,MATCH('Summarized Modified Source Data'!$B18,Hour,0)),Season,'Summarized Modified Source Data'!$A18,Sector,'Summarized Modified Source Data'!V$2,TimeOfWeek,$D18)*Motorbikes</f>
        <v>0</v>
      </c>
      <c r="W18" s="25">
        <f>SUMIFS(INDEX(Load,,MATCH('Summarized Modified Source Data'!$B18,Hour,0)),Season,'Summarized Modified Source Data'!$A18,Sector,'Summarized Modified Source Data'!W$2,Subsector,'Summarized Modified Source Data'!W$3,TimeOfWeek,$D18)</f>
        <v>2661000000</v>
      </c>
      <c r="X18" s="25">
        <f>SUMIFS(INDEX(Load,,MATCH('Summarized Modified Source Data'!$B18,Hour,0)),Season,'Summarized Modified Source Data'!$A18,Sector,'Summarized Modified Source Data'!X$2,Subsector,'Summarized Modified Source Data'!X$3,TimeOfWeek,$D18)</f>
        <v>0</v>
      </c>
      <c r="Y18" s="25">
        <f>SUMIFS(INDEX(Load,,MATCH('Summarized Modified Source Data'!$B18,Hour,0)),Season,'Summarized Modified Source Data'!$A18,Sector,'Summarized Modified Source Data'!Y$2,Subsector,'Summarized Modified Source Data'!Y$3,TimeOfWeek,$D18)</f>
        <v>0</v>
      </c>
    </row>
    <row r="19" spans="1:25" outlineLevel="1" x14ac:dyDescent="0.25">
      <c r="A19" t="s">
        <v>37</v>
      </c>
      <c r="B19" t="s">
        <v>162</v>
      </c>
      <c r="C19" s="7" t="s">
        <v>14</v>
      </c>
      <c r="D19" t="s">
        <v>117</v>
      </c>
      <c r="E19" s="25">
        <f>SUMIFS(INDEX(Load,,MATCH('Summarized Modified Source Data'!$B19,Hour,0)),Season,'Summarized Modified Source Data'!$A19,Sector,'Summarized Modified Source Data'!E$2,Subsector,'Summarized Modified Source Data'!E$3,TimeOfWeek,$D19)</f>
        <v>57063037</v>
      </c>
      <c r="F19" s="25">
        <f>SUMIFS(INDEX(Load,,MATCH('Summarized Modified Source Data'!$B19,Hour,0)),Season,'Summarized Modified Source Data'!$A19,Sector,'Summarized Modified Source Data'!F$2,Subsector,'Summarized Modified Source Data'!F$3,TimeOfWeek,$D19)</f>
        <v>51553</v>
      </c>
      <c r="G19" s="25">
        <f>SUMIFS(INDEX(Load,,MATCH('Summarized Modified Source Data'!$B19,Hour,0)),Season,'Summarized Modified Source Data'!$A19,Sector,'Summarized Modified Source Data'!G$2,Subsector,'Summarized Modified Source Data'!G$3,TimeOfWeek,$D19)</f>
        <v>0</v>
      </c>
      <c r="H19" s="25">
        <f>SUMIFS(INDEX(Load,,MATCH('Summarized Modified Source Data'!$B19,Hour,0)),Season,'Summarized Modified Source Data'!$A19,Sector,'Summarized Modified Source Data'!H$2,Subsector,'Summarized Modified Source Data'!H$3,TimeOfWeek,$D19)</f>
        <v>54300000</v>
      </c>
      <c r="I19" s="25">
        <f>SUMIFS(INDEX(Load,,MATCH('Summarized Modified Source Data'!$B19,Hour,0)),Season,'Summarized Modified Source Data'!$A19,Sector,'Summarized Modified Source Data'!I$2,Subsector,'Summarized Modified Source Data'!I$3,TimeOfWeek,$D19)</f>
        <v>34319475</v>
      </c>
      <c r="J19" s="25">
        <f t="shared" si="0"/>
        <v>34319475</v>
      </c>
      <c r="K19" s="25">
        <f>SUMIFS(INDEX(Load,,MATCH('Summarized Modified Source Data'!$B19,Hour,0)),Season,'Summarized Modified Source Data'!$A19,Sector,'Summarized Modified Source Data'!K$2,Subsector,'Summarized Modified Source Data'!K$3,TimeOfWeek,$D19)</f>
        <v>155300000</v>
      </c>
      <c r="L19" s="25">
        <f>SUMIFS(INDEX(Load,,MATCH('Summarized Modified Source Data'!$B19,Hour,0)),Season,'Summarized Modified Source Data'!$A19,Sector,'Summarized Modified Source Data'!L$2,Subsector,'Summarized Modified Source Data'!L$3,TimeOfWeek,$D19)</f>
        <v>461743</v>
      </c>
      <c r="M19" s="25">
        <f>SUMIFS(INDEX(Load,,MATCH('Summarized Modified Source Data'!$B19,Hour,0)),Season,'Summarized Modified Source Data'!$A19,Sector,'Summarized Modified Source Data'!M$2,Subsector,'Summarized Modified Source Data'!M$3,TimeOfWeek,$D19)</f>
        <v>0</v>
      </c>
      <c r="N19" s="25">
        <f t="shared" si="1"/>
        <v>2056238257</v>
      </c>
      <c r="O19" s="25">
        <f>SUMIFS(INDEX(Load,,MATCH('Summarized Modified Source Data'!$B19,Hour,0)),Season,'Summarized Modified Source Data'!$A19,Sector,'Summarized Modified Source Data'!O$2,Subsector,"Total",TimeOfWeek,$D19)-SUM(K19:M19)</f>
        <v>2056238257</v>
      </c>
      <c r="P19" s="25">
        <f t="shared" si="2"/>
        <v>2056238257</v>
      </c>
      <c r="Q19" s="33" cm="1">
        <f t="array" ref="Q19">SUMIFS(INDEX(Load,,MATCH('Summarized Modified Source Data'!$B19,Hour,0)),Season,'Summarized Modified Source Data'!$A19,Sector,'Summarized Modified Source Data'!Q$2,TimeOfWeek,$D19)*LDVs</f>
        <v>16606646.280889085</v>
      </c>
      <c r="R19" s="33" cm="1">
        <f t="array" ref="R19">SUMIFS(INDEX(Load,,MATCH('Summarized Modified Source Data'!$B19,Hour,0)),Season,'Summarized Modified Source Data'!$A19,Sector,'Summarized Modified Source Data'!R$2,TimeOfWeek,$D19)*HDVs</f>
        <v>7825149.1558327116</v>
      </c>
      <c r="S19" s="33">
        <f>SUMIFS(INDEX(Load,,MATCH('Summarized Modified Source Data'!$B19,Hour,0)),Season,'Summarized Modified Source Data'!$A19,Sector,'Summarized Modified Source Data'!S$2,TimeOfWeek,$D19)*Aircraft</f>
        <v>0</v>
      </c>
      <c r="T19" s="33">
        <f>SUMIFS(INDEX(Load,,MATCH('Summarized Modified Source Data'!$B19,Hour,0)),Season,'Summarized Modified Source Data'!$A19,Sector,'Summarized Modified Source Data'!T$2,TimeOfWeek,$D19)*Rail</f>
        <v>34068204.563278206</v>
      </c>
      <c r="U19" s="33">
        <f>SUMIFS(INDEX(Load,,MATCH('Summarized Modified Source Data'!$B19,Hour,0)),Season,'Summarized Modified Source Data'!$A19,Sector,'Summarized Modified Source Data'!U$2,TimeOfWeek,$D19)*Ships</f>
        <v>0</v>
      </c>
      <c r="V19" s="33">
        <f>SUMIFS(INDEX(Load,,MATCH('Summarized Modified Source Data'!$B19,Hour,0)),Season,'Summarized Modified Source Data'!$A19,Sector,'Summarized Modified Source Data'!V$2,TimeOfWeek,$D19)*Motorbikes</f>
        <v>0</v>
      </c>
      <c r="W19" s="25">
        <f>SUMIFS(INDEX(Load,,MATCH('Summarized Modified Source Data'!$B19,Hour,0)),Season,'Summarized Modified Source Data'!$A19,Sector,'Summarized Modified Source Data'!W$2,Subsector,'Summarized Modified Source Data'!W$3,TimeOfWeek,$D19)</f>
        <v>2684000000</v>
      </c>
      <c r="X19" s="25">
        <f>SUMIFS(INDEX(Load,,MATCH('Summarized Modified Source Data'!$B19,Hour,0)),Season,'Summarized Modified Source Data'!$A19,Sector,'Summarized Modified Source Data'!X$2,Subsector,'Summarized Modified Source Data'!X$3,TimeOfWeek,$D19)</f>
        <v>0</v>
      </c>
      <c r="Y19" s="25">
        <f>SUMIFS(INDEX(Load,,MATCH('Summarized Modified Source Data'!$B19,Hour,0)),Season,'Summarized Modified Source Data'!$A19,Sector,'Summarized Modified Source Data'!Y$2,Subsector,'Summarized Modified Source Data'!Y$3,TimeOfWeek,$D19)</f>
        <v>0</v>
      </c>
    </row>
    <row r="20" spans="1:25" outlineLevel="1" x14ac:dyDescent="0.25">
      <c r="A20" t="s">
        <v>37</v>
      </c>
      <c r="B20" t="s">
        <v>163</v>
      </c>
      <c r="C20" s="7" t="s">
        <v>15</v>
      </c>
      <c r="D20" t="s">
        <v>117</v>
      </c>
      <c r="E20" s="25">
        <f>SUMIFS(INDEX(Load,,MATCH('Summarized Modified Source Data'!$B20,Hour,0)),Season,'Summarized Modified Source Data'!$A20,Sector,'Summarized Modified Source Data'!E$2,Subsector,'Summarized Modified Source Data'!E$3,TimeOfWeek,$D20)</f>
        <v>60600000</v>
      </c>
      <c r="F20" s="25">
        <f>SUMIFS(INDEX(Load,,MATCH('Summarized Modified Source Data'!$B20,Hour,0)),Season,'Summarized Modified Source Data'!$A20,Sector,'Summarized Modified Source Data'!F$2,Subsector,'Summarized Modified Source Data'!F$3,TimeOfWeek,$D20)</f>
        <v>56293</v>
      </c>
      <c r="G20" s="25">
        <f>SUMIFS(INDEX(Load,,MATCH('Summarized Modified Source Data'!$B20,Hour,0)),Season,'Summarized Modified Source Data'!$A20,Sector,'Summarized Modified Source Data'!G$2,Subsector,'Summarized Modified Source Data'!G$3,TimeOfWeek,$D20)</f>
        <v>0</v>
      </c>
      <c r="H20" s="25">
        <f>SUMIFS(INDEX(Load,,MATCH('Summarized Modified Source Data'!$B20,Hour,0)),Season,'Summarized Modified Source Data'!$A20,Sector,'Summarized Modified Source Data'!H$2,Subsector,'Summarized Modified Source Data'!H$3,TimeOfWeek,$D20)</f>
        <v>147800000</v>
      </c>
      <c r="I20" s="25">
        <f>SUMIFS(INDEX(Load,,MATCH('Summarized Modified Source Data'!$B20,Hour,0)),Season,'Summarized Modified Source Data'!$A20,Sector,'Summarized Modified Source Data'!I$2,Subsector,'Summarized Modified Source Data'!I$3,TimeOfWeek,$D20)</f>
        <v>41523002</v>
      </c>
      <c r="J20" s="25">
        <f t="shared" si="0"/>
        <v>41523002</v>
      </c>
      <c r="K20" s="25">
        <f>SUMIFS(INDEX(Load,,MATCH('Summarized Modified Source Data'!$B20,Hour,0)),Season,'Summarized Modified Source Data'!$A20,Sector,'Summarized Modified Source Data'!K$2,Subsector,'Summarized Modified Source Data'!K$3,TimeOfWeek,$D20)</f>
        <v>152800000</v>
      </c>
      <c r="L20" s="25">
        <f>SUMIFS(INDEX(Load,,MATCH('Summarized Modified Source Data'!$B20,Hour,0)),Season,'Summarized Modified Source Data'!$A20,Sector,'Summarized Modified Source Data'!L$2,Subsector,'Summarized Modified Source Data'!L$3,TimeOfWeek,$D20)</f>
        <v>452265</v>
      </c>
      <c r="M20" s="25">
        <f>SUMIFS(INDEX(Load,,MATCH('Summarized Modified Source Data'!$B20,Hour,0)),Season,'Summarized Modified Source Data'!$A20,Sector,'Summarized Modified Source Data'!M$2,Subsector,'Summarized Modified Source Data'!M$3,TimeOfWeek,$D20)</f>
        <v>0</v>
      </c>
      <c r="N20" s="25">
        <f t="shared" si="1"/>
        <v>1987747735</v>
      </c>
      <c r="O20" s="25">
        <f>SUMIFS(INDEX(Load,,MATCH('Summarized Modified Source Data'!$B20,Hour,0)),Season,'Summarized Modified Source Data'!$A20,Sector,'Summarized Modified Source Data'!O$2,Subsector,"Total",TimeOfWeek,$D20)-SUM(K20:M20)</f>
        <v>1987747735</v>
      </c>
      <c r="P20" s="25">
        <f t="shared" si="2"/>
        <v>1987747735</v>
      </c>
      <c r="Q20" s="33" cm="1">
        <f t="array" ref="Q20">SUMIFS(INDEX(Load,,MATCH('Summarized Modified Source Data'!$B20,Hour,0)),Season,'Summarized Modified Source Data'!$A20,Sector,'Summarized Modified Source Data'!Q$2,TimeOfWeek,$D20)*LDVs</f>
        <v>19133127.509947423</v>
      </c>
      <c r="R20" s="33" cm="1">
        <f t="array" ref="R20">SUMIFS(INDEX(Load,,MATCH('Summarized Modified Source Data'!$B20,Hour,0)),Season,'Summarized Modified Source Data'!$A20,Sector,'Summarized Modified Source Data'!R$2,TimeOfWeek,$D20)*HDVs</f>
        <v>9015641.9333867487</v>
      </c>
      <c r="S20" s="33">
        <f>SUMIFS(INDEX(Load,,MATCH('Summarized Modified Source Data'!$B20,Hour,0)),Season,'Summarized Modified Source Data'!$A20,Sector,'Summarized Modified Source Data'!S$2,TimeOfWeek,$D20)*Aircraft</f>
        <v>0</v>
      </c>
      <c r="T20" s="33">
        <f>SUMIFS(INDEX(Load,,MATCH('Summarized Modified Source Data'!$B20,Hour,0)),Season,'Summarized Modified Source Data'!$A20,Sector,'Summarized Modified Source Data'!T$2,TimeOfWeek,$D20)*Rail</f>
        <v>39251230.55666583</v>
      </c>
      <c r="U20" s="33">
        <f>SUMIFS(INDEX(Load,,MATCH('Summarized Modified Source Data'!$B20,Hour,0)),Season,'Summarized Modified Source Data'!$A20,Sector,'Summarized Modified Source Data'!U$2,TimeOfWeek,$D20)*Ships</f>
        <v>0</v>
      </c>
      <c r="V20" s="33">
        <f>SUMIFS(INDEX(Load,,MATCH('Summarized Modified Source Data'!$B20,Hour,0)),Season,'Summarized Modified Source Data'!$A20,Sector,'Summarized Modified Source Data'!V$2,TimeOfWeek,$D20)*Motorbikes</f>
        <v>0</v>
      </c>
      <c r="W20" s="25">
        <f>SUMIFS(INDEX(Load,,MATCH('Summarized Modified Source Data'!$B20,Hour,0)),Season,'Summarized Modified Source Data'!$A20,Sector,'Summarized Modified Source Data'!W$2,Subsector,'Summarized Modified Source Data'!W$3,TimeOfWeek,$D20)</f>
        <v>2710000000</v>
      </c>
      <c r="X20" s="25">
        <f>SUMIFS(INDEX(Load,,MATCH('Summarized Modified Source Data'!$B20,Hour,0)),Season,'Summarized Modified Source Data'!$A20,Sector,'Summarized Modified Source Data'!X$2,Subsector,'Summarized Modified Source Data'!X$3,TimeOfWeek,$D20)</f>
        <v>0</v>
      </c>
      <c r="Y20" s="25">
        <f>SUMIFS(INDEX(Load,,MATCH('Summarized Modified Source Data'!$B20,Hour,0)),Season,'Summarized Modified Source Data'!$A20,Sector,'Summarized Modified Source Data'!Y$2,Subsector,'Summarized Modified Source Data'!Y$3,TimeOfWeek,$D20)</f>
        <v>0</v>
      </c>
    </row>
    <row r="21" spans="1:25" outlineLevel="1" x14ac:dyDescent="0.25">
      <c r="A21" t="s">
        <v>37</v>
      </c>
      <c r="B21" t="s">
        <v>164</v>
      </c>
      <c r="C21" s="7" t="s">
        <v>16</v>
      </c>
      <c r="D21" t="s">
        <v>117</v>
      </c>
      <c r="E21" s="25">
        <f>SUMIFS(INDEX(Load,,MATCH('Summarized Modified Source Data'!$B21,Hour,0)),Season,'Summarized Modified Source Data'!$A21,Sector,'Summarized Modified Source Data'!E$2,Subsector,'Summarized Modified Source Data'!E$3,TimeOfWeek,$D21)</f>
        <v>65000000</v>
      </c>
      <c r="F21" s="25">
        <f>SUMIFS(INDEX(Load,,MATCH('Summarized Modified Source Data'!$B21,Hour,0)),Season,'Summarized Modified Source Data'!$A21,Sector,'Summarized Modified Source Data'!F$2,Subsector,'Summarized Modified Source Data'!F$3,TimeOfWeek,$D21)</f>
        <v>61701</v>
      </c>
      <c r="G21" s="25">
        <f>SUMIFS(INDEX(Load,,MATCH('Summarized Modified Source Data'!$B21,Hour,0)),Season,'Summarized Modified Source Data'!$A21,Sector,'Summarized Modified Source Data'!G$2,Subsector,'Summarized Modified Source Data'!G$3,TimeOfWeek,$D21)</f>
        <v>0</v>
      </c>
      <c r="H21" s="25">
        <f>SUMIFS(INDEX(Load,,MATCH('Summarized Modified Source Data'!$B21,Hour,0)),Season,'Summarized Modified Source Data'!$A21,Sector,'Summarized Modified Source Data'!H$2,Subsector,'Summarized Modified Source Data'!H$3,TimeOfWeek,$D21)</f>
        <v>215000000</v>
      </c>
      <c r="I21" s="25">
        <f>SUMIFS(INDEX(Load,,MATCH('Summarized Modified Source Data'!$B21,Hour,0)),Season,'Summarized Modified Source Data'!$A21,Sector,'Summarized Modified Source Data'!I$2,Subsector,'Summarized Modified Source Data'!I$3,TimeOfWeek,$D21)</f>
        <v>52500000</v>
      </c>
      <c r="J21" s="25">
        <f t="shared" si="0"/>
        <v>52500000</v>
      </c>
      <c r="K21" s="25">
        <f>SUMIFS(INDEX(Load,,MATCH('Summarized Modified Source Data'!$B21,Hour,0)),Season,'Summarized Modified Source Data'!$A21,Sector,'Summarized Modified Source Data'!K$2,Subsector,'Summarized Modified Source Data'!K$3,TimeOfWeek,$D21)</f>
        <v>156100000</v>
      </c>
      <c r="L21" s="25">
        <f>SUMIFS(INDEX(Load,,MATCH('Summarized Modified Source Data'!$B21,Hour,0)),Season,'Summarized Modified Source Data'!$A21,Sector,'Summarized Modified Source Data'!L$2,Subsector,'Summarized Modified Source Data'!L$3,TimeOfWeek,$D21)</f>
        <v>431201</v>
      </c>
      <c r="M21" s="25">
        <f>SUMIFS(INDEX(Load,,MATCH('Summarized Modified Source Data'!$B21,Hour,0)),Season,'Summarized Modified Source Data'!$A21,Sector,'Summarized Modified Source Data'!M$2,Subsector,'Summarized Modified Source Data'!M$3,TimeOfWeek,$D21)</f>
        <v>0</v>
      </c>
      <c r="N21" s="25">
        <f t="shared" si="1"/>
        <v>1866468799</v>
      </c>
      <c r="O21" s="25">
        <f>SUMIFS(INDEX(Load,,MATCH('Summarized Modified Source Data'!$B21,Hour,0)),Season,'Summarized Modified Source Data'!$A21,Sector,'Summarized Modified Source Data'!O$2,Subsector,"Total",TimeOfWeek,$D21)-SUM(K21:M21)</f>
        <v>1866468799</v>
      </c>
      <c r="P21" s="25">
        <f t="shared" si="2"/>
        <v>1866468799</v>
      </c>
      <c r="Q21" s="33" cm="1">
        <f t="array" ref="Q21">SUMIFS(INDEX(Load,,MATCH('Summarized Modified Source Data'!$B21,Hour,0)),Season,'Summarized Modified Source Data'!$A21,Sector,'Summarized Modified Source Data'!Q$2,TimeOfWeek,$D21)*LDVs</f>
        <v>20155074.973386753</v>
      </c>
      <c r="R21" s="33" cm="1">
        <f t="array" ref="R21">SUMIFS(INDEX(Load,,MATCH('Summarized Modified Source Data'!$B21,Hour,0)),Season,'Summarized Modified Source Data'!$A21,Sector,'Summarized Modified Source Data'!R$2,TimeOfWeek,$D21)*HDVs</f>
        <v>9497189.5737456847</v>
      </c>
      <c r="S21" s="33">
        <f>SUMIFS(INDEX(Load,,MATCH('Summarized Modified Source Data'!$B21,Hour,0)),Season,'Summarized Modified Source Data'!$A21,Sector,'Summarized Modified Source Data'!S$2,TimeOfWeek,$D21)*Aircraft</f>
        <v>0</v>
      </c>
      <c r="T21" s="33">
        <f>SUMIFS(INDEX(Load,,MATCH('Summarized Modified Source Data'!$B21,Hour,0)),Season,'Summarized Modified Source Data'!$A21,Sector,'Summarized Modified Source Data'!T$2,TimeOfWeek,$D21)*Rail</f>
        <v>41347735.452867568</v>
      </c>
      <c r="U21" s="33">
        <f>SUMIFS(INDEX(Load,,MATCH('Summarized Modified Source Data'!$B21,Hour,0)),Season,'Summarized Modified Source Data'!$A21,Sector,'Summarized Modified Source Data'!U$2,TimeOfWeek,$D21)*Ships</f>
        <v>0</v>
      </c>
      <c r="V21" s="33">
        <f>SUMIFS(INDEX(Load,,MATCH('Summarized Modified Source Data'!$B21,Hour,0)),Season,'Summarized Modified Source Data'!$A21,Sector,'Summarized Modified Source Data'!V$2,TimeOfWeek,$D21)*Motorbikes</f>
        <v>0</v>
      </c>
      <c r="W21" s="25">
        <f>SUMIFS(INDEX(Load,,MATCH('Summarized Modified Source Data'!$B21,Hour,0)),Season,'Summarized Modified Source Data'!$A21,Sector,'Summarized Modified Source Data'!W$2,Subsector,'Summarized Modified Source Data'!W$3,TimeOfWeek,$D21)</f>
        <v>2716000000</v>
      </c>
      <c r="X21" s="25">
        <f>SUMIFS(INDEX(Load,,MATCH('Summarized Modified Source Data'!$B21,Hour,0)),Season,'Summarized Modified Source Data'!$A21,Sector,'Summarized Modified Source Data'!X$2,Subsector,'Summarized Modified Source Data'!X$3,TimeOfWeek,$D21)</f>
        <v>0</v>
      </c>
      <c r="Y21" s="25">
        <f>SUMIFS(INDEX(Load,,MATCH('Summarized Modified Source Data'!$B21,Hour,0)),Season,'Summarized Modified Source Data'!$A21,Sector,'Summarized Modified Source Data'!Y$2,Subsector,'Summarized Modified Source Data'!Y$3,TimeOfWeek,$D21)</f>
        <v>0</v>
      </c>
    </row>
    <row r="22" spans="1:25" outlineLevel="1" x14ac:dyDescent="0.25">
      <c r="A22" t="s">
        <v>37</v>
      </c>
      <c r="B22" t="s">
        <v>165</v>
      </c>
      <c r="C22" s="7" t="s">
        <v>17</v>
      </c>
      <c r="D22" t="s">
        <v>117</v>
      </c>
      <c r="E22" s="25">
        <f>SUMIFS(INDEX(Load,,MATCH('Summarized Modified Source Data'!$B22,Hour,0)),Season,'Summarized Modified Source Data'!$A22,Sector,'Summarized Modified Source Data'!E$2,Subsector,'Summarized Modified Source Data'!E$3,TimeOfWeek,$D22)</f>
        <v>70300000</v>
      </c>
      <c r="F22" s="25">
        <f>SUMIFS(INDEX(Load,,MATCH('Summarized Modified Source Data'!$B22,Hour,0)),Season,'Summarized Modified Source Data'!$A22,Sector,'Summarized Modified Source Data'!F$2,Subsector,'Summarized Modified Source Data'!F$3,TimeOfWeek,$D22)</f>
        <v>68495</v>
      </c>
      <c r="G22" s="25">
        <f>SUMIFS(INDEX(Load,,MATCH('Summarized Modified Source Data'!$B22,Hour,0)),Season,'Summarized Modified Source Data'!$A22,Sector,'Summarized Modified Source Data'!G$2,Subsector,'Summarized Modified Source Data'!G$3,TimeOfWeek,$D22)</f>
        <v>0</v>
      </c>
      <c r="H22" s="25">
        <f>SUMIFS(INDEX(Load,,MATCH('Summarized Modified Source Data'!$B22,Hour,0)),Season,'Summarized Modified Source Data'!$A22,Sector,'Summarized Modified Source Data'!H$2,Subsector,'Summarized Modified Source Data'!H$3,TimeOfWeek,$D22)</f>
        <v>235300000</v>
      </c>
      <c r="I22" s="25">
        <f>SUMIFS(INDEX(Load,,MATCH('Summarized Modified Source Data'!$B22,Hour,0)),Season,'Summarized Modified Source Data'!$A22,Sector,'Summarized Modified Source Data'!I$2,Subsector,'Summarized Modified Source Data'!I$3,TimeOfWeek,$D22)</f>
        <v>67400000</v>
      </c>
      <c r="J22" s="25">
        <f t="shared" si="0"/>
        <v>67400000</v>
      </c>
      <c r="K22" s="25">
        <f>SUMIFS(INDEX(Load,,MATCH('Summarized Modified Source Data'!$B22,Hour,0)),Season,'Summarized Modified Source Data'!$A22,Sector,'Summarized Modified Source Data'!K$2,Subsector,'Summarized Modified Source Data'!K$3,TimeOfWeek,$D22)</f>
        <v>182600000</v>
      </c>
      <c r="L22" s="25">
        <f>SUMIFS(INDEX(Load,,MATCH('Summarized Modified Source Data'!$B22,Hour,0)),Season,'Summarized Modified Source Data'!$A22,Sector,'Summarized Modified Source Data'!L$2,Subsector,'Summarized Modified Source Data'!L$3,TimeOfWeek,$D22)</f>
        <v>412947</v>
      </c>
      <c r="M22" s="25">
        <f>SUMIFS(INDEX(Load,,MATCH('Summarized Modified Source Data'!$B22,Hour,0)),Season,'Summarized Modified Source Data'!$A22,Sector,'Summarized Modified Source Data'!M$2,Subsector,'Summarized Modified Source Data'!M$3,TimeOfWeek,$D22)</f>
        <v>0</v>
      </c>
      <c r="N22" s="25">
        <f t="shared" si="1"/>
        <v>1777987053</v>
      </c>
      <c r="O22" s="25">
        <f>SUMIFS(INDEX(Load,,MATCH('Summarized Modified Source Data'!$B22,Hour,0)),Season,'Summarized Modified Source Data'!$A22,Sector,'Summarized Modified Source Data'!O$2,Subsector,"Total",TimeOfWeek,$D22)-SUM(K22:M22)</f>
        <v>1777987053</v>
      </c>
      <c r="P22" s="25">
        <f t="shared" si="2"/>
        <v>1777987053</v>
      </c>
      <c r="Q22" s="33" cm="1">
        <f t="array" ref="Q22">SUMIFS(INDEX(Load,,MATCH('Summarized Modified Source Data'!$B22,Hour,0)),Season,'Summarized Modified Source Data'!$A22,Sector,'Summarized Modified Source Data'!Q$2,TimeOfWeek,$D22)*LDVs</f>
        <v>18536991.489607815</v>
      </c>
      <c r="R22" s="33" cm="1">
        <f t="array" ref="R22">SUMIFS(INDEX(Load,,MATCH('Summarized Modified Source Data'!$B22,Hour,0)),Season,'Summarized Modified Source Data'!$A22,Sector,'Summarized Modified Source Data'!R$2,TimeOfWeek,$D22)*HDVs</f>
        <v>8734739.1431773696</v>
      </c>
      <c r="S22" s="33">
        <f>SUMIFS(INDEX(Load,,MATCH('Summarized Modified Source Data'!$B22,Hour,0)),Season,'Summarized Modified Source Data'!$A22,Sector,'Summarized Modified Source Data'!S$2,TimeOfWeek,$D22)*Aircraft</f>
        <v>0</v>
      </c>
      <c r="T22" s="33">
        <f>SUMIFS(INDEX(Load,,MATCH('Summarized Modified Source Data'!$B22,Hour,0)),Season,'Summarized Modified Source Data'!$A22,Sector,'Summarized Modified Source Data'!T$2,TimeOfWeek,$D22)*Rail</f>
        <v>38028269.367214814</v>
      </c>
      <c r="U22" s="33">
        <f>SUMIFS(INDEX(Load,,MATCH('Summarized Modified Source Data'!$B22,Hour,0)),Season,'Summarized Modified Source Data'!$A22,Sector,'Summarized Modified Source Data'!U$2,TimeOfWeek,$D22)*Ships</f>
        <v>0</v>
      </c>
      <c r="V22" s="33">
        <f>SUMIFS(INDEX(Load,,MATCH('Summarized Modified Source Data'!$B22,Hour,0)),Season,'Summarized Modified Source Data'!$A22,Sector,'Summarized Modified Source Data'!V$2,TimeOfWeek,$D22)*Motorbikes</f>
        <v>0</v>
      </c>
      <c r="W22" s="25">
        <f>SUMIFS(INDEX(Load,,MATCH('Summarized Modified Source Data'!$B22,Hour,0)),Season,'Summarized Modified Source Data'!$A22,Sector,'Summarized Modified Source Data'!W$2,Subsector,'Summarized Modified Source Data'!W$3,TimeOfWeek,$D22)</f>
        <v>2702000000</v>
      </c>
      <c r="X22" s="25">
        <f>SUMIFS(INDEX(Load,,MATCH('Summarized Modified Source Data'!$B22,Hour,0)),Season,'Summarized Modified Source Data'!$A22,Sector,'Summarized Modified Source Data'!X$2,Subsector,'Summarized Modified Source Data'!X$3,TimeOfWeek,$D22)</f>
        <v>0</v>
      </c>
      <c r="Y22" s="25">
        <f>SUMIFS(INDEX(Load,,MATCH('Summarized Modified Source Data'!$B22,Hour,0)),Season,'Summarized Modified Source Data'!$A22,Sector,'Summarized Modified Source Data'!Y$2,Subsector,'Summarized Modified Source Data'!Y$3,TimeOfWeek,$D22)</f>
        <v>0</v>
      </c>
    </row>
    <row r="23" spans="1:25" outlineLevel="1" x14ac:dyDescent="0.25">
      <c r="A23" t="s">
        <v>37</v>
      </c>
      <c r="B23" t="s">
        <v>166</v>
      </c>
      <c r="C23" s="7" t="s">
        <v>18</v>
      </c>
      <c r="D23" t="s">
        <v>117</v>
      </c>
      <c r="E23" s="25">
        <f>SUMIFS(INDEX(Load,,MATCH('Summarized Modified Source Data'!$B23,Hour,0)),Season,'Summarized Modified Source Data'!$A23,Sector,'Summarized Modified Source Data'!E$2,Subsector,'Summarized Modified Source Data'!E$3,TimeOfWeek,$D23)</f>
        <v>75600000</v>
      </c>
      <c r="F23" s="25">
        <f>SUMIFS(INDEX(Load,,MATCH('Summarized Modified Source Data'!$B23,Hour,0)),Season,'Summarized Modified Source Data'!$A23,Sector,'Summarized Modified Source Data'!F$2,Subsector,'Summarized Modified Source Data'!F$3,TimeOfWeek,$D23)</f>
        <v>75449</v>
      </c>
      <c r="G23" s="25">
        <f>SUMIFS(INDEX(Load,,MATCH('Summarized Modified Source Data'!$B23,Hour,0)),Season,'Summarized Modified Source Data'!$A23,Sector,'Summarized Modified Source Data'!G$2,Subsector,'Summarized Modified Source Data'!G$3,TimeOfWeek,$D23)</f>
        <v>0</v>
      </c>
      <c r="H23" s="25">
        <f>SUMIFS(INDEX(Load,,MATCH('Summarized Modified Source Data'!$B23,Hour,0)),Season,'Summarized Modified Source Data'!$A23,Sector,'Summarized Modified Source Data'!H$2,Subsector,'Summarized Modified Source Data'!H$3,TimeOfWeek,$D23)</f>
        <v>253300000</v>
      </c>
      <c r="I23" s="25">
        <f>SUMIFS(INDEX(Load,,MATCH('Summarized Modified Source Data'!$B23,Hour,0)),Season,'Summarized Modified Source Data'!$A23,Sector,'Summarized Modified Source Data'!I$2,Subsector,'Summarized Modified Source Data'!I$3,TimeOfWeek,$D23)</f>
        <v>67400000</v>
      </c>
      <c r="J23" s="25">
        <f t="shared" si="0"/>
        <v>67400000</v>
      </c>
      <c r="K23" s="25">
        <f>SUMIFS(INDEX(Load,,MATCH('Summarized Modified Source Data'!$B23,Hour,0)),Season,'Summarized Modified Source Data'!$A23,Sector,'Summarized Modified Source Data'!K$2,Subsector,'Summarized Modified Source Data'!K$3,TimeOfWeek,$D23)</f>
        <v>207500000</v>
      </c>
      <c r="L23" s="25">
        <f>SUMIFS(INDEX(Load,,MATCH('Summarized Modified Source Data'!$B23,Hour,0)),Season,'Summarized Modified Source Data'!$A23,Sector,'Summarized Modified Source Data'!L$2,Subsector,'Summarized Modified Source Data'!L$3,TimeOfWeek,$D23)</f>
        <v>386899</v>
      </c>
      <c r="M23" s="25">
        <f>SUMIFS(INDEX(Load,,MATCH('Summarized Modified Source Data'!$B23,Hour,0)),Season,'Summarized Modified Source Data'!$A23,Sector,'Summarized Modified Source Data'!M$2,Subsector,'Summarized Modified Source Data'!M$3,TimeOfWeek,$D23)</f>
        <v>0</v>
      </c>
      <c r="N23" s="25">
        <f t="shared" si="1"/>
        <v>1489113101</v>
      </c>
      <c r="O23" s="25">
        <f>SUMIFS(INDEX(Load,,MATCH('Summarized Modified Source Data'!$B23,Hour,0)),Season,'Summarized Modified Source Data'!$A23,Sector,'Summarized Modified Source Data'!O$2,Subsector,"Total",TimeOfWeek,$D23)-SUM(K23:M23)</f>
        <v>1489113101</v>
      </c>
      <c r="P23" s="25">
        <f t="shared" si="2"/>
        <v>1489113101</v>
      </c>
      <c r="Q23" s="33" cm="1">
        <f t="array" ref="Q23">SUMIFS(INDEX(Load,,MATCH('Summarized Modified Source Data'!$B23,Hour,0)),Season,'Summarized Modified Source Data'!$A23,Sector,'Summarized Modified Source Data'!Q$2,TimeOfWeek,$D23)*LDVs</f>
        <v>15130499.944810055</v>
      </c>
      <c r="R23" s="33" cm="1">
        <f t="array" ref="R23">SUMIFS(INDEX(Load,,MATCH('Summarized Modified Source Data'!$B23,Hour,0)),Season,'Summarized Modified Source Data'!$A23,Sector,'Summarized Modified Source Data'!R$2,TimeOfWeek,$D23)*HDVs</f>
        <v>7129580.3419809155</v>
      </c>
      <c r="S23" s="33">
        <f>SUMIFS(INDEX(Load,,MATCH('Summarized Modified Source Data'!$B23,Hour,0)),Season,'Summarized Modified Source Data'!$A23,Sector,'Summarized Modified Source Data'!S$2,TimeOfWeek,$D23)*Aircraft</f>
        <v>0</v>
      </c>
      <c r="T23" s="33">
        <f>SUMIFS(INDEX(Load,,MATCH('Summarized Modified Source Data'!$B23,Hour,0)),Season,'Summarized Modified Source Data'!$A23,Sector,'Summarized Modified Source Data'!T$2,TimeOfWeek,$D23)*Rail</f>
        <v>31039919.713209029</v>
      </c>
      <c r="U23" s="33">
        <f>SUMIFS(INDEX(Load,,MATCH('Summarized Modified Source Data'!$B23,Hour,0)),Season,'Summarized Modified Source Data'!$A23,Sector,'Summarized Modified Source Data'!U$2,TimeOfWeek,$D23)*Ships</f>
        <v>0</v>
      </c>
      <c r="V23" s="33">
        <f>SUMIFS(INDEX(Load,,MATCH('Summarized Modified Source Data'!$B23,Hour,0)),Season,'Summarized Modified Source Data'!$A23,Sector,'Summarized Modified Source Data'!V$2,TimeOfWeek,$D23)*Motorbikes</f>
        <v>0</v>
      </c>
      <c r="W23" s="25">
        <f>SUMIFS(INDEX(Load,,MATCH('Summarized Modified Source Data'!$B23,Hour,0)),Season,'Summarized Modified Source Data'!$A23,Sector,'Summarized Modified Source Data'!W$2,Subsector,'Summarized Modified Source Data'!W$3,TimeOfWeek,$D23)</f>
        <v>2686000000</v>
      </c>
      <c r="X23" s="25">
        <f>SUMIFS(INDEX(Load,,MATCH('Summarized Modified Source Data'!$B23,Hour,0)),Season,'Summarized Modified Source Data'!$A23,Sector,'Summarized Modified Source Data'!X$2,Subsector,'Summarized Modified Source Data'!X$3,TimeOfWeek,$D23)</f>
        <v>0</v>
      </c>
      <c r="Y23" s="25">
        <f>SUMIFS(INDEX(Load,,MATCH('Summarized Modified Source Data'!$B23,Hour,0)),Season,'Summarized Modified Source Data'!$A23,Sector,'Summarized Modified Source Data'!Y$2,Subsector,'Summarized Modified Source Data'!Y$3,TimeOfWeek,$D23)</f>
        <v>0</v>
      </c>
    </row>
    <row r="24" spans="1:25" outlineLevel="1" x14ac:dyDescent="0.25">
      <c r="A24" t="s">
        <v>37</v>
      </c>
      <c r="B24" t="s">
        <v>167</v>
      </c>
      <c r="C24" s="7" t="s">
        <v>19</v>
      </c>
      <c r="D24" t="s">
        <v>117</v>
      </c>
      <c r="E24" s="25">
        <f>SUMIFS(INDEX(Load,,MATCH('Summarized Modified Source Data'!$B24,Hour,0)),Season,'Summarized Modified Source Data'!$A24,Sector,'Summarized Modified Source Data'!E$2,Subsector,'Summarized Modified Source Data'!E$3,TimeOfWeek,$D24)</f>
        <v>79500000</v>
      </c>
      <c r="F24" s="25">
        <f>SUMIFS(INDEX(Load,,MATCH('Summarized Modified Source Data'!$B24,Hour,0)),Season,'Summarized Modified Source Data'!$A24,Sector,'Summarized Modified Source Data'!F$2,Subsector,'Summarized Modified Source Data'!F$3,TimeOfWeek,$D24)</f>
        <v>81665</v>
      </c>
      <c r="G24" s="25">
        <f>SUMIFS(INDEX(Load,,MATCH('Summarized Modified Source Data'!$B24,Hour,0)),Season,'Summarized Modified Source Data'!$A24,Sector,'Summarized Modified Source Data'!G$2,Subsector,'Summarized Modified Source Data'!G$3,TimeOfWeek,$D24)</f>
        <v>0</v>
      </c>
      <c r="H24" s="25">
        <f>SUMIFS(INDEX(Load,,MATCH('Summarized Modified Source Data'!$B24,Hour,0)),Season,'Summarized Modified Source Data'!$A24,Sector,'Summarized Modified Source Data'!H$2,Subsector,'Summarized Modified Source Data'!H$3,TimeOfWeek,$D24)</f>
        <v>257300000</v>
      </c>
      <c r="I24" s="25">
        <f>SUMIFS(INDEX(Load,,MATCH('Summarized Modified Source Data'!$B24,Hour,0)),Season,'Summarized Modified Source Data'!$A24,Sector,'Summarized Modified Source Data'!I$2,Subsector,'Summarized Modified Source Data'!I$3,TimeOfWeek,$D24)</f>
        <v>60700000</v>
      </c>
      <c r="J24" s="25">
        <f t="shared" si="0"/>
        <v>60700000</v>
      </c>
      <c r="K24" s="25">
        <f>SUMIFS(INDEX(Load,,MATCH('Summarized Modified Source Data'!$B24,Hour,0)),Season,'Summarized Modified Source Data'!$A24,Sector,'Summarized Modified Source Data'!K$2,Subsector,'Summarized Modified Source Data'!K$3,TimeOfWeek,$D24)</f>
        <v>223100000</v>
      </c>
      <c r="L24" s="25">
        <f>SUMIFS(INDEX(Load,,MATCH('Summarized Modified Source Data'!$B24,Hour,0)),Season,'Summarized Modified Source Data'!$A24,Sector,'Summarized Modified Source Data'!L$2,Subsector,'Summarized Modified Source Data'!L$3,TimeOfWeek,$D24)</f>
        <v>364992</v>
      </c>
      <c r="M24" s="25">
        <f>SUMIFS(INDEX(Load,,MATCH('Summarized Modified Source Data'!$B24,Hour,0)),Season,'Summarized Modified Source Data'!$A24,Sector,'Summarized Modified Source Data'!M$2,Subsector,'Summarized Modified Source Data'!M$3,TimeOfWeek,$D24)</f>
        <v>0</v>
      </c>
      <c r="N24" s="25">
        <f t="shared" si="1"/>
        <v>1235535008</v>
      </c>
      <c r="O24" s="25">
        <f>SUMIFS(INDEX(Load,,MATCH('Summarized Modified Source Data'!$B24,Hour,0)),Season,'Summarized Modified Source Data'!$A24,Sector,'Summarized Modified Source Data'!O$2,Subsector,"Total",TimeOfWeek,$D24)-SUM(K24:M24)</f>
        <v>1235535008</v>
      </c>
      <c r="P24" s="25">
        <f t="shared" si="2"/>
        <v>1235535008</v>
      </c>
      <c r="Q24" s="33" cm="1">
        <f t="array" ref="Q24">SUMIFS(INDEX(Load,,MATCH('Summarized Modified Source Data'!$B24,Hour,0)),Season,'Summarized Modified Source Data'!$A24,Sector,'Summarized Modified Source Data'!Q$2,TimeOfWeek,$D24)*LDVs</f>
        <v>13881453.045050876</v>
      </c>
      <c r="R24" s="33" cm="1">
        <f t="array" ref="R24">SUMIFS(INDEX(Load,,MATCH('Summarized Modified Source Data'!$B24,Hour,0)),Season,'Summarized Modified Source Data'!$A24,Sector,'Summarized Modified Source Data'!R$2,TimeOfWeek,$D24)*HDVs</f>
        <v>6541022.1148755485</v>
      </c>
      <c r="S24" s="33">
        <f>SUMIFS(INDEX(Load,,MATCH('Summarized Modified Source Data'!$B24,Hour,0)),Season,'Summarized Modified Source Data'!$A24,Sector,'Summarized Modified Source Data'!S$2,TimeOfWeek,$D24)*Aircraft</f>
        <v>0</v>
      </c>
      <c r="T24" s="33">
        <f>SUMIFS(INDEX(Load,,MATCH('Summarized Modified Source Data'!$B24,Hour,0)),Season,'Summarized Modified Source Data'!$A24,Sector,'Summarized Modified Source Data'!T$2,TimeOfWeek,$D24)*Rail</f>
        <v>28477524.840073574</v>
      </c>
      <c r="U24" s="33">
        <f>SUMIFS(INDEX(Load,,MATCH('Summarized Modified Source Data'!$B24,Hour,0)),Season,'Summarized Modified Source Data'!$A24,Sector,'Summarized Modified Source Data'!U$2,TimeOfWeek,$D24)*Ships</f>
        <v>0</v>
      </c>
      <c r="V24" s="33">
        <f>SUMIFS(INDEX(Load,,MATCH('Summarized Modified Source Data'!$B24,Hour,0)),Season,'Summarized Modified Source Data'!$A24,Sector,'Summarized Modified Source Data'!V$2,TimeOfWeek,$D24)*Motorbikes</f>
        <v>0</v>
      </c>
      <c r="W24" s="25">
        <f>SUMIFS(INDEX(Load,,MATCH('Summarized Modified Source Data'!$B24,Hour,0)),Season,'Summarized Modified Source Data'!$A24,Sector,'Summarized Modified Source Data'!W$2,Subsector,'Summarized Modified Source Data'!W$3,TimeOfWeek,$D24)</f>
        <v>2668000000</v>
      </c>
      <c r="X24" s="25">
        <f>SUMIFS(INDEX(Load,,MATCH('Summarized Modified Source Data'!$B24,Hour,0)),Season,'Summarized Modified Source Data'!$A24,Sector,'Summarized Modified Source Data'!X$2,Subsector,'Summarized Modified Source Data'!X$3,TimeOfWeek,$D24)</f>
        <v>0</v>
      </c>
      <c r="Y24" s="25">
        <f>SUMIFS(INDEX(Load,,MATCH('Summarized Modified Source Data'!$B24,Hour,0)),Season,'Summarized Modified Source Data'!$A24,Sector,'Summarized Modified Source Data'!Y$2,Subsector,'Summarized Modified Source Data'!Y$3,TimeOfWeek,$D24)</f>
        <v>0</v>
      </c>
    </row>
    <row r="25" spans="1:25" outlineLevel="1" x14ac:dyDescent="0.25">
      <c r="A25" t="s">
        <v>37</v>
      </c>
      <c r="B25" t="s">
        <v>168</v>
      </c>
      <c r="C25" s="7" t="s">
        <v>20</v>
      </c>
      <c r="D25" t="s">
        <v>117</v>
      </c>
      <c r="E25" s="25">
        <f>SUMIFS(INDEX(Load,,MATCH('Summarized Modified Source Data'!$B25,Hour,0)),Season,'Summarized Modified Source Data'!$A25,Sector,'Summarized Modified Source Data'!E$2,Subsector,'Summarized Modified Source Data'!E$3,TimeOfWeek,$D25)</f>
        <v>75300000</v>
      </c>
      <c r="F25" s="25">
        <f>SUMIFS(INDEX(Load,,MATCH('Summarized Modified Source Data'!$B25,Hour,0)),Season,'Summarized Modified Source Data'!$A25,Sector,'Summarized Modified Source Data'!F$2,Subsector,'Summarized Modified Source Data'!F$3,TimeOfWeek,$D25)</f>
        <v>86846</v>
      </c>
      <c r="G25" s="25">
        <f>SUMIFS(INDEX(Load,,MATCH('Summarized Modified Source Data'!$B25,Hour,0)),Season,'Summarized Modified Source Data'!$A25,Sector,'Summarized Modified Source Data'!G$2,Subsector,'Summarized Modified Source Data'!G$3,TimeOfWeek,$D25)</f>
        <v>0</v>
      </c>
      <c r="H25" s="25">
        <f>SUMIFS(INDEX(Load,,MATCH('Summarized Modified Source Data'!$B25,Hour,0)),Season,'Summarized Modified Source Data'!$A25,Sector,'Summarized Modified Source Data'!H$2,Subsector,'Summarized Modified Source Data'!H$3,TimeOfWeek,$D25)</f>
        <v>210700000</v>
      </c>
      <c r="I25" s="25">
        <f>SUMIFS(INDEX(Load,,MATCH('Summarized Modified Source Data'!$B25,Hour,0)),Season,'Summarized Modified Source Data'!$A25,Sector,'Summarized Modified Source Data'!I$2,Subsector,'Summarized Modified Source Data'!I$3,TimeOfWeek,$D25)</f>
        <v>56200000</v>
      </c>
      <c r="J25" s="25">
        <f t="shared" si="0"/>
        <v>56200000</v>
      </c>
      <c r="K25" s="25">
        <f>SUMIFS(INDEX(Load,,MATCH('Summarized Modified Source Data'!$B25,Hour,0)),Season,'Summarized Modified Source Data'!$A25,Sector,'Summarized Modified Source Data'!K$2,Subsector,'Summarized Modified Source Data'!K$3,TimeOfWeek,$D25)</f>
        <v>241800000</v>
      </c>
      <c r="L25" s="25">
        <f>SUMIFS(INDEX(Load,,MATCH('Summarized Modified Source Data'!$B25,Hour,0)),Season,'Summarized Modified Source Data'!$A25,Sector,'Summarized Modified Source Data'!L$2,Subsector,'Summarized Modified Source Data'!L$3,TimeOfWeek,$D25)</f>
        <v>342644</v>
      </c>
      <c r="M25" s="25">
        <f>SUMIFS(INDEX(Load,,MATCH('Summarized Modified Source Data'!$B25,Hour,0)),Season,'Summarized Modified Source Data'!$A25,Sector,'Summarized Modified Source Data'!M$2,Subsector,'Summarized Modified Source Data'!M$3,TimeOfWeek,$D25)</f>
        <v>0</v>
      </c>
      <c r="N25" s="25">
        <f t="shared" si="1"/>
        <v>1001857356</v>
      </c>
      <c r="O25" s="25">
        <f>SUMIFS(INDEX(Load,,MATCH('Summarized Modified Source Data'!$B25,Hour,0)),Season,'Summarized Modified Source Data'!$A25,Sector,'Summarized Modified Source Data'!O$2,Subsector,"Total",TimeOfWeek,$D25)-SUM(K25:M25)</f>
        <v>1001857356</v>
      </c>
      <c r="P25" s="25">
        <f t="shared" si="2"/>
        <v>1001857356</v>
      </c>
      <c r="Q25" s="33" cm="1">
        <f t="array" ref="Q25">SUMIFS(INDEX(Load,,MATCH('Summarized Modified Source Data'!$B25,Hour,0)),Season,'Summarized Modified Source Data'!$A25,Sector,'Summarized Modified Source Data'!Q$2,TimeOfWeek,$D25)*LDVs</f>
        <v>13086605.017931398</v>
      </c>
      <c r="R25" s="33" cm="1">
        <f t="array" ref="R25">SUMIFS(INDEX(Load,,MATCH('Summarized Modified Source Data'!$B25,Hour,0)),Season,'Summarized Modified Source Data'!$A25,Sector,'Summarized Modified Source Data'!R$2,TimeOfWeek,$D25)*HDVs</f>
        <v>6166485.0612630434</v>
      </c>
      <c r="S25" s="33">
        <f>SUMIFS(INDEX(Load,,MATCH('Summarized Modified Source Data'!$B25,Hour,0)),Season,'Summarized Modified Source Data'!$A25,Sector,'Summarized Modified Source Data'!S$2,TimeOfWeek,$D25)*Aircraft</f>
        <v>0</v>
      </c>
      <c r="T25" s="33">
        <f>SUMIFS(INDEX(Load,,MATCH('Summarized Modified Source Data'!$B25,Hour,0)),Season,'Summarized Modified Source Data'!$A25,Sector,'Summarized Modified Source Data'!T$2,TimeOfWeek,$D25)*Rail</f>
        <v>26846909.920805559</v>
      </c>
      <c r="U25" s="33">
        <f>SUMIFS(INDEX(Load,,MATCH('Summarized Modified Source Data'!$B25,Hour,0)),Season,'Summarized Modified Source Data'!$A25,Sector,'Summarized Modified Source Data'!U$2,TimeOfWeek,$D25)*Ships</f>
        <v>0</v>
      </c>
      <c r="V25" s="33">
        <f>SUMIFS(INDEX(Load,,MATCH('Summarized Modified Source Data'!$B25,Hour,0)),Season,'Summarized Modified Source Data'!$A25,Sector,'Summarized Modified Source Data'!V$2,TimeOfWeek,$D25)*Motorbikes</f>
        <v>0</v>
      </c>
      <c r="W25" s="25">
        <f>SUMIFS(INDEX(Load,,MATCH('Summarized Modified Source Data'!$B25,Hour,0)),Season,'Summarized Modified Source Data'!$A25,Sector,'Summarized Modified Source Data'!W$2,Subsector,'Summarized Modified Source Data'!W$3,TimeOfWeek,$D25)</f>
        <v>2645000000</v>
      </c>
      <c r="X25" s="25">
        <f>SUMIFS(INDEX(Load,,MATCH('Summarized Modified Source Data'!$B25,Hour,0)),Season,'Summarized Modified Source Data'!$A25,Sector,'Summarized Modified Source Data'!X$2,Subsector,'Summarized Modified Source Data'!X$3,TimeOfWeek,$D25)</f>
        <v>0</v>
      </c>
      <c r="Y25" s="25">
        <f>SUMIFS(INDEX(Load,,MATCH('Summarized Modified Source Data'!$B25,Hour,0)),Season,'Summarized Modified Source Data'!$A25,Sector,'Summarized Modified Source Data'!Y$2,Subsector,'Summarized Modified Source Data'!Y$3,TimeOfWeek,$D25)</f>
        <v>0</v>
      </c>
    </row>
    <row r="26" spans="1:25" outlineLevel="1" x14ac:dyDescent="0.25">
      <c r="A26" t="s">
        <v>37</v>
      </c>
      <c r="B26" t="s">
        <v>169</v>
      </c>
      <c r="C26" s="7" t="s">
        <v>21</v>
      </c>
      <c r="D26" t="s">
        <v>117</v>
      </c>
      <c r="E26" s="25">
        <f>SUMIFS(INDEX(Load,,MATCH('Summarized Modified Source Data'!$B26,Hour,0)),Season,'Summarized Modified Source Data'!$A26,Sector,'Summarized Modified Source Data'!E$2,Subsector,'Summarized Modified Source Data'!E$3,TimeOfWeek,$D26)</f>
        <v>64900000</v>
      </c>
      <c r="F26" s="25">
        <f>SUMIFS(INDEX(Load,,MATCH('Summarized Modified Source Data'!$B26,Hour,0)),Season,'Summarized Modified Source Data'!$A26,Sector,'Summarized Modified Source Data'!F$2,Subsector,'Summarized Modified Source Data'!F$3,TimeOfWeek,$D26)</f>
        <v>90534</v>
      </c>
      <c r="G26" s="25">
        <f>SUMIFS(INDEX(Load,,MATCH('Summarized Modified Source Data'!$B26,Hour,0)),Season,'Summarized Modified Source Data'!$A26,Sector,'Summarized Modified Source Data'!G$2,Subsector,'Summarized Modified Source Data'!G$3,TimeOfWeek,$D26)</f>
        <v>0</v>
      </c>
      <c r="H26" s="25">
        <f>SUMIFS(INDEX(Load,,MATCH('Summarized Modified Source Data'!$B26,Hour,0)),Season,'Summarized Modified Source Data'!$A26,Sector,'Summarized Modified Source Data'!H$2,Subsector,'Summarized Modified Source Data'!H$3,TimeOfWeek,$D26)</f>
        <v>125200000</v>
      </c>
      <c r="I26" s="25">
        <f>SUMIFS(INDEX(Load,,MATCH('Summarized Modified Source Data'!$B26,Hour,0)),Season,'Summarized Modified Source Data'!$A26,Sector,'Summarized Modified Source Data'!I$2,Subsector,'Summarized Modified Source Data'!I$3,TimeOfWeek,$D26)</f>
        <v>49400000</v>
      </c>
      <c r="J26" s="25">
        <f t="shared" si="0"/>
        <v>49400000</v>
      </c>
      <c r="K26" s="25">
        <f>SUMIFS(INDEX(Load,,MATCH('Summarized Modified Source Data'!$B26,Hour,0)),Season,'Summarized Modified Source Data'!$A26,Sector,'Summarized Modified Source Data'!K$2,Subsector,'Summarized Modified Source Data'!K$3,TimeOfWeek,$D26)</f>
        <v>240500000</v>
      </c>
      <c r="L26" s="25">
        <f>SUMIFS(INDEX(Load,,MATCH('Summarized Modified Source Data'!$B26,Hour,0)),Season,'Summarized Modified Source Data'!$A26,Sector,'Summarized Modified Source Data'!L$2,Subsector,'Summarized Modified Source Data'!L$3,TimeOfWeek,$D26)</f>
        <v>315772</v>
      </c>
      <c r="M26" s="25">
        <f>SUMIFS(INDEX(Load,,MATCH('Summarized Modified Source Data'!$B26,Hour,0)),Season,'Summarized Modified Source Data'!$A26,Sector,'Summarized Modified Source Data'!M$2,Subsector,'Summarized Modified Source Data'!M$3,TimeOfWeek,$D26)</f>
        <v>0</v>
      </c>
      <c r="N26" s="25">
        <f t="shared" si="1"/>
        <v>843184228</v>
      </c>
      <c r="O26" s="25">
        <f>SUMIFS(INDEX(Load,,MATCH('Summarized Modified Source Data'!$B26,Hour,0)),Season,'Summarized Modified Source Data'!$A26,Sector,'Summarized Modified Source Data'!O$2,Subsector,"Total",TimeOfWeek,$D26)-SUM(K26:M26)</f>
        <v>843184228</v>
      </c>
      <c r="P26" s="25">
        <f t="shared" si="2"/>
        <v>843184228</v>
      </c>
      <c r="Q26" s="33" cm="1">
        <f t="array" ref="Q26">SUMIFS(INDEX(Load,,MATCH('Summarized Modified Source Data'!$B26,Hour,0)),Season,'Summarized Modified Source Data'!$A26,Sector,'Summarized Modified Source Data'!Q$2,TimeOfWeek,$D26)*LDVs</f>
        <v>12376919.279431865</v>
      </c>
      <c r="R26" s="33" cm="1">
        <f t="array" ref="R26">SUMIFS(INDEX(Load,,MATCH('Summarized Modified Source Data'!$B26,Hour,0)),Season,'Summarized Modified Source Data'!$A26,Sector,'Summarized Modified Source Data'!R$2,TimeOfWeek,$D26)*HDVs</f>
        <v>5832076.9776804484</v>
      </c>
      <c r="S26" s="33">
        <f>SUMIFS(INDEX(Load,,MATCH('Summarized Modified Source Data'!$B26,Hour,0)),Season,'Summarized Modified Source Data'!$A26,Sector,'Summarized Modified Source Data'!S$2,TimeOfWeek,$D26)*Aircraft</f>
        <v>0</v>
      </c>
      <c r="T26" s="33">
        <f>SUMIFS(INDEX(Load,,MATCH('Summarized Modified Source Data'!$B26,Hour,0)),Season,'Summarized Modified Source Data'!$A26,Sector,'Summarized Modified Source Data'!T$2,TimeOfWeek,$D26)*Rail</f>
        <v>25391003.742887687</v>
      </c>
      <c r="U26" s="33">
        <f>SUMIFS(INDEX(Load,,MATCH('Summarized Modified Source Data'!$B26,Hour,0)),Season,'Summarized Modified Source Data'!$A26,Sector,'Summarized Modified Source Data'!U$2,TimeOfWeek,$D26)*Ships</f>
        <v>0</v>
      </c>
      <c r="V26" s="33">
        <f>SUMIFS(INDEX(Load,,MATCH('Summarized Modified Source Data'!$B26,Hour,0)),Season,'Summarized Modified Source Data'!$A26,Sector,'Summarized Modified Source Data'!V$2,TimeOfWeek,$D26)*Motorbikes</f>
        <v>0</v>
      </c>
      <c r="W26" s="25">
        <f>SUMIFS(INDEX(Load,,MATCH('Summarized Modified Source Data'!$B26,Hour,0)),Season,'Summarized Modified Source Data'!$A26,Sector,'Summarized Modified Source Data'!W$2,Subsector,'Summarized Modified Source Data'!W$3,TimeOfWeek,$D26)</f>
        <v>2622000000</v>
      </c>
      <c r="X26" s="25">
        <f>SUMIFS(INDEX(Load,,MATCH('Summarized Modified Source Data'!$B26,Hour,0)),Season,'Summarized Modified Source Data'!$A26,Sector,'Summarized Modified Source Data'!X$2,Subsector,'Summarized Modified Source Data'!X$3,TimeOfWeek,$D26)</f>
        <v>0</v>
      </c>
      <c r="Y26" s="25">
        <f>SUMIFS(INDEX(Load,,MATCH('Summarized Modified Source Data'!$B26,Hour,0)),Season,'Summarized Modified Source Data'!$A26,Sector,'Summarized Modified Source Data'!Y$2,Subsector,'Summarized Modified Source Data'!Y$3,TimeOfWeek,$D26)</f>
        <v>0</v>
      </c>
    </row>
    <row r="27" spans="1:25" outlineLevel="1" x14ac:dyDescent="0.25">
      <c r="A27" t="s">
        <v>37</v>
      </c>
      <c r="B27" t="s">
        <v>170</v>
      </c>
      <c r="C27" s="7" t="s">
        <v>22</v>
      </c>
      <c r="D27" t="s">
        <v>117</v>
      </c>
      <c r="E27" s="25">
        <f>SUMIFS(INDEX(Load,,MATCH('Summarized Modified Source Data'!$B27,Hour,0)),Season,'Summarized Modified Source Data'!$A27,Sector,'Summarized Modified Source Data'!E$2,Subsector,'Summarized Modified Source Data'!E$3,TimeOfWeek,$D27)</f>
        <v>63400000</v>
      </c>
      <c r="F27" s="25">
        <f>SUMIFS(INDEX(Load,,MATCH('Summarized Modified Source Data'!$B27,Hour,0)),Season,'Summarized Modified Source Data'!$A27,Sector,'Summarized Modified Source Data'!F$2,Subsector,'Summarized Modified Source Data'!F$3,TimeOfWeek,$D27)</f>
        <v>93023</v>
      </c>
      <c r="G27" s="25">
        <f>SUMIFS(INDEX(Load,,MATCH('Summarized Modified Source Data'!$B27,Hour,0)),Season,'Summarized Modified Source Data'!$A27,Sector,'Summarized Modified Source Data'!G$2,Subsector,'Summarized Modified Source Data'!G$3,TimeOfWeek,$D27)</f>
        <v>0</v>
      </c>
      <c r="H27" s="25">
        <f>SUMIFS(INDEX(Load,,MATCH('Summarized Modified Source Data'!$B27,Hour,0)),Season,'Summarized Modified Source Data'!$A27,Sector,'Summarized Modified Source Data'!H$2,Subsector,'Summarized Modified Source Data'!H$3,TimeOfWeek,$D27)</f>
        <v>65900000</v>
      </c>
      <c r="I27" s="25">
        <f>SUMIFS(INDEX(Load,,MATCH('Summarized Modified Source Data'!$B27,Hour,0)),Season,'Summarized Modified Source Data'!$A27,Sector,'Summarized Modified Source Data'!I$2,Subsector,'Summarized Modified Source Data'!I$3,TimeOfWeek,$D27)</f>
        <v>34641341</v>
      </c>
      <c r="J27" s="25">
        <f t="shared" si="0"/>
        <v>34641341</v>
      </c>
      <c r="K27" s="25">
        <f>SUMIFS(INDEX(Load,,MATCH('Summarized Modified Source Data'!$B27,Hour,0)),Season,'Summarized Modified Source Data'!$A27,Sector,'Summarized Modified Source Data'!K$2,Subsector,'Summarized Modified Source Data'!K$3,TimeOfWeek,$D27)</f>
        <v>119800000</v>
      </c>
      <c r="L27" s="25">
        <f>SUMIFS(INDEX(Load,,MATCH('Summarized Modified Source Data'!$B27,Hour,0)),Season,'Summarized Modified Source Data'!$A27,Sector,'Summarized Modified Source Data'!L$2,Subsector,'Summarized Modified Source Data'!L$3,TimeOfWeek,$D27)</f>
        <v>279066</v>
      </c>
      <c r="M27" s="25">
        <f>SUMIFS(INDEX(Load,,MATCH('Summarized Modified Source Data'!$B27,Hour,0)),Season,'Summarized Modified Source Data'!$A27,Sector,'Summarized Modified Source Data'!M$2,Subsector,'Summarized Modified Source Data'!M$3,TimeOfWeek,$D27)</f>
        <v>0</v>
      </c>
      <c r="N27" s="25">
        <f t="shared" si="1"/>
        <v>734920934</v>
      </c>
      <c r="O27" s="25">
        <f>SUMIFS(INDEX(Load,,MATCH('Summarized Modified Source Data'!$B27,Hour,0)),Season,'Summarized Modified Source Data'!$A27,Sector,'Summarized Modified Source Data'!O$2,Subsector,"Total",TimeOfWeek,$D27)-SUM(K27:M27)</f>
        <v>734920934</v>
      </c>
      <c r="P27" s="25">
        <f t="shared" si="2"/>
        <v>734920934</v>
      </c>
      <c r="Q27" s="33" cm="1">
        <f t="array" ref="Q27">SUMIFS(INDEX(Load,,MATCH('Summarized Modified Source Data'!$B27,Hour,0)),Season,'Summarized Modified Source Data'!$A27,Sector,'Summarized Modified Source Data'!Q$2,TimeOfWeek,$D27)*LDVs</f>
        <v>8322569.8176726494</v>
      </c>
      <c r="R27" s="33" cm="1">
        <f t="array" ref="R27">SUMIFS(INDEX(Load,,MATCH('Summarized Modified Source Data'!$B27,Hour,0)),Season,'Summarized Modified Source Data'!$A27,Sector,'Summarized Modified Source Data'!R$2,TimeOfWeek,$D27)*HDVs</f>
        <v>3921643.725143116</v>
      </c>
      <c r="S27" s="33">
        <f>SUMIFS(INDEX(Load,,MATCH('Summarized Modified Source Data'!$B27,Hour,0)),Season,'Summarized Modified Source Data'!$A27,Sector,'Summarized Modified Source Data'!S$2,TimeOfWeek,$D27)*Aircraft</f>
        <v>0</v>
      </c>
      <c r="T27" s="33">
        <f>SUMIFS(INDEX(Load,,MATCH('Summarized Modified Source Data'!$B27,Hour,0)),Season,'Summarized Modified Source Data'!$A27,Sector,'Summarized Modified Source Data'!T$2,TimeOfWeek,$D27)*Rail</f>
        <v>17073586.457184236</v>
      </c>
      <c r="U27" s="33">
        <f>SUMIFS(INDEX(Load,,MATCH('Summarized Modified Source Data'!$B27,Hour,0)),Season,'Summarized Modified Source Data'!$A27,Sector,'Summarized Modified Source Data'!U$2,TimeOfWeek,$D27)*Ships</f>
        <v>0</v>
      </c>
      <c r="V27" s="33">
        <f>SUMIFS(INDEX(Load,,MATCH('Summarized Modified Source Data'!$B27,Hour,0)),Season,'Summarized Modified Source Data'!$A27,Sector,'Summarized Modified Source Data'!V$2,TimeOfWeek,$D27)*Motorbikes</f>
        <v>0</v>
      </c>
      <c r="W27" s="25">
        <f>SUMIFS(INDEX(Load,,MATCH('Summarized Modified Source Data'!$B27,Hour,0)),Season,'Summarized Modified Source Data'!$A27,Sector,'Summarized Modified Source Data'!W$2,Subsector,'Summarized Modified Source Data'!W$3,TimeOfWeek,$D27)</f>
        <v>2610000000</v>
      </c>
      <c r="X27" s="25">
        <f>SUMIFS(INDEX(Load,,MATCH('Summarized Modified Source Data'!$B27,Hour,0)),Season,'Summarized Modified Source Data'!$A27,Sector,'Summarized Modified Source Data'!X$2,Subsector,'Summarized Modified Source Data'!X$3,TimeOfWeek,$D27)</f>
        <v>0</v>
      </c>
      <c r="Y27" s="25">
        <f>SUMIFS(INDEX(Load,,MATCH('Summarized Modified Source Data'!$B27,Hour,0)),Season,'Summarized Modified Source Data'!$A27,Sector,'Summarized Modified Source Data'!Y$2,Subsector,'Summarized Modified Source Data'!Y$3,TimeOfWeek,$D27)</f>
        <v>0</v>
      </c>
    </row>
    <row r="28" spans="1:25" outlineLevel="1" x14ac:dyDescent="0.25">
      <c r="A28" t="s">
        <v>38</v>
      </c>
      <c r="B28" t="s">
        <v>147</v>
      </c>
      <c r="C28" s="7" t="s">
        <v>34</v>
      </c>
      <c r="D28" t="s">
        <v>117</v>
      </c>
      <c r="E28" s="25">
        <f>SUMIFS(INDEX(Load,,MATCH('Summarized Modified Source Data'!$B28,Hour,0)),Season,'Summarized Modified Source Data'!$A28,Sector,'Summarized Modified Source Data'!E$2,Subsector,'Summarized Modified Source Data'!E$3,TimeOfWeek,$D28)</f>
        <v>19947864</v>
      </c>
      <c r="F28" s="25">
        <f>SUMIFS(INDEX(Load,,MATCH('Summarized Modified Source Data'!$B28,Hour,0)),Season,'Summarized Modified Source Data'!$A28,Sector,'Summarized Modified Source Data'!F$2,Subsector,'Summarized Modified Source Data'!F$3,TimeOfWeek,$D28)</f>
        <v>76306</v>
      </c>
      <c r="G28" s="25">
        <f>SUMIFS(INDEX(Load,,MATCH('Summarized Modified Source Data'!$B28,Hour,0)),Season,'Summarized Modified Source Data'!$A28,Sector,'Summarized Modified Source Data'!G$2,Subsector,'Summarized Modified Source Data'!G$3,TimeOfWeek,$D28)</f>
        <v>0</v>
      </c>
      <c r="H28" s="25">
        <f>SUMIFS(INDEX(Load,,MATCH('Summarized Modified Source Data'!$B28,Hour,0)),Season,'Summarized Modified Source Data'!$A28,Sector,'Summarized Modified Source Data'!H$2,Subsector,'Summarized Modified Source Data'!H$3,TimeOfWeek,$D28)</f>
        <v>30867663</v>
      </c>
      <c r="I28" s="25">
        <f>SUMIFS(INDEX(Load,,MATCH('Summarized Modified Source Data'!$B28,Hour,0)),Season,'Summarized Modified Source Data'!$A28,Sector,'Summarized Modified Source Data'!I$2,Subsector,'Summarized Modified Source Data'!I$3,TimeOfWeek,$D28)</f>
        <v>12619528</v>
      </c>
      <c r="J28" s="25">
        <f t="shared" si="0"/>
        <v>12619528</v>
      </c>
      <c r="K28" s="25">
        <f>SUMIFS(INDEX(Load,,MATCH('Summarized Modified Source Data'!$B28,Hour,0)),Season,'Summarized Modified Source Data'!$A28,Sector,'Summarized Modified Source Data'!K$2,Subsector,'Summarized Modified Source Data'!K$3,TimeOfWeek,$D28)</f>
        <v>53814881</v>
      </c>
      <c r="L28" s="25">
        <f>SUMIFS(INDEX(Load,,MATCH('Summarized Modified Source Data'!$B28,Hour,0)),Season,'Summarized Modified Source Data'!$A28,Sector,'Summarized Modified Source Data'!L$2,Subsector,'Summarized Modified Source Data'!L$3,TimeOfWeek,$D28)</f>
        <v>7893728</v>
      </c>
      <c r="M28" s="25">
        <f>SUMIFS(INDEX(Load,,MATCH('Summarized Modified Source Data'!$B28,Hour,0)),Season,'Summarized Modified Source Data'!$A28,Sector,'Summarized Modified Source Data'!M$2,Subsector,'Summarized Modified Source Data'!M$3,TimeOfWeek,$D28)</f>
        <v>0</v>
      </c>
      <c r="N28" s="25">
        <f t="shared" si="1"/>
        <v>455291391</v>
      </c>
      <c r="O28" s="25">
        <f>SUMIFS(INDEX(Load,,MATCH('Summarized Modified Source Data'!$B28,Hour,0)),Season,'Summarized Modified Source Data'!$A28,Sector,'Summarized Modified Source Data'!O$2,Subsector,"Total",TimeOfWeek,$D28)-SUM(K28:M28)</f>
        <v>455291391</v>
      </c>
      <c r="P28" s="25">
        <f t="shared" si="2"/>
        <v>455291391</v>
      </c>
      <c r="Q28" s="33" cm="1">
        <f t="array" ref="Q28">SUMIFS(INDEX(Load,,MATCH('Summarized Modified Source Data'!$B28,Hour,0)),Season,'Summarized Modified Source Data'!$A28,Sector,'Summarized Modified Source Data'!Q$2,TimeOfWeek,$D28)*LDVs</f>
        <v>3951206.0075200559</v>
      </c>
      <c r="R28" s="33" cm="1">
        <f t="array" ref="R28">SUMIFS(INDEX(Load,,MATCH('Summarized Modified Source Data'!$B28,Hour,0)),Season,'Summarized Modified Source Data'!$A28,Sector,'Summarized Modified Source Data'!R$2,TimeOfWeek,$D28)*HDVs</f>
        <v>1861831.4517753057</v>
      </c>
      <c r="S28" s="33">
        <f>SUMIFS(INDEX(Load,,MATCH('Summarized Modified Source Data'!$B28,Hour,0)),Season,'Summarized Modified Source Data'!$A28,Sector,'Summarized Modified Source Data'!S$2,TimeOfWeek,$D28)*Aircraft</f>
        <v>0</v>
      </c>
      <c r="T28" s="33">
        <f>SUMIFS(INDEX(Load,,MATCH('Summarized Modified Source Data'!$B28,Hour,0)),Season,'Summarized Modified Source Data'!$A28,Sector,'Summarized Modified Source Data'!T$2,TimeOfWeek,$D28)*Rail</f>
        <v>8105820.5407046387</v>
      </c>
      <c r="U28" s="33">
        <f>SUMIFS(INDEX(Load,,MATCH('Summarized Modified Source Data'!$B28,Hour,0)),Season,'Summarized Modified Source Data'!$A28,Sector,'Summarized Modified Source Data'!U$2,TimeOfWeek,$D28)*Ships</f>
        <v>0</v>
      </c>
      <c r="V28" s="33">
        <f>SUMIFS(INDEX(Load,,MATCH('Summarized Modified Source Data'!$B28,Hour,0)),Season,'Summarized Modified Source Data'!$A28,Sector,'Summarized Modified Source Data'!V$2,TimeOfWeek,$D28)*Motorbikes</f>
        <v>0</v>
      </c>
      <c r="W28" s="25">
        <f>SUMIFS(INDEX(Load,,MATCH('Summarized Modified Source Data'!$B28,Hour,0)),Season,'Summarized Modified Source Data'!$A28,Sector,'Summarized Modified Source Data'!W$2,Subsector,'Summarized Modified Source Data'!W$3,TimeOfWeek,$D28)</f>
        <v>1948000000</v>
      </c>
      <c r="X28" s="25">
        <f>SUMIFS(INDEX(Load,,MATCH('Summarized Modified Source Data'!$B28,Hour,0)),Season,'Summarized Modified Source Data'!$A28,Sector,'Summarized Modified Source Data'!X$2,Subsector,'Summarized Modified Source Data'!X$3,TimeOfWeek,$D28)</f>
        <v>0</v>
      </c>
      <c r="Y28" s="25">
        <f>SUMIFS(INDEX(Load,,MATCH('Summarized Modified Source Data'!$B28,Hour,0)),Season,'Summarized Modified Source Data'!$A28,Sector,'Summarized Modified Source Data'!Y$2,Subsector,'Summarized Modified Source Data'!Y$3,TimeOfWeek,$D28)</f>
        <v>0</v>
      </c>
    </row>
    <row r="29" spans="1:25" outlineLevel="1" x14ac:dyDescent="0.25">
      <c r="A29" t="s">
        <v>38</v>
      </c>
      <c r="B29" t="s">
        <v>148</v>
      </c>
      <c r="C29" s="7" t="s">
        <v>0</v>
      </c>
      <c r="D29" t="s">
        <v>117</v>
      </c>
      <c r="E29" s="25">
        <f>SUMIFS(INDEX(Load,,MATCH('Summarized Modified Source Data'!$B29,Hour,0)),Season,'Summarized Modified Source Data'!$A29,Sector,'Summarized Modified Source Data'!E$2,Subsector,'Summarized Modified Source Data'!E$3,TimeOfWeek,$D29)</f>
        <v>20440996</v>
      </c>
      <c r="F29" s="25">
        <f>SUMIFS(INDEX(Load,,MATCH('Summarized Modified Source Data'!$B29,Hour,0)),Season,'Summarized Modified Source Data'!$A29,Sector,'Summarized Modified Source Data'!F$2,Subsector,'Summarized Modified Source Data'!F$3,TimeOfWeek,$D29)</f>
        <v>76734</v>
      </c>
      <c r="G29" s="25">
        <f>SUMIFS(INDEX(Load,,MATCH('Summarized Modified Source Data'!$B29,Hour,0)),Season,'Summarized Modified Source Data'!$A29,Sector,'Summarized Modified Source Data'!G$2,Subsector,'Summarized Modified Source Data'!G$3,TimeOfWeek,$D29)</f>
        <v>0</v>
      </c>
      <c r="H29" s="25">
        <f>SUMIFS(INDEX(Load,,MATCH('Summarized Modified Source Data'!$B29,Hour,0)),Season,'Summarized Modified Source Data'!$A29,Sector,'Summarized Modified Source Data'!H$2,Subsector,'Summarized Modified Source Data'!H$3,TimeOfWeek,$D29)</f>
        <v>28475668</v>
      </c>
      <c r="I29" s="25">
        <f>SUMIFS(INDEX(Load,,MATCH('Summarized Modified Source Data'!$B29,Hour,0)),Season,'Summarized Modified Source Data'!$A29,Sector,'Summarized Modified Source Data'!I$2,Subsector,'Summarized Modified Source Data'!I$3,TimeOfWeek,$D29)</f>
        <v>8723841</v>
      </c>
      <c r="J29" s="25">
        <f t="shared" si="0"/>
        <v>8723841</v>
      </c>
      <c r="K29" s="25">
        <f>SUMIFS(INDEX(Load,,MATCH('Summarized Modified Source Data'!$B29,Hour,0)),Season,'Summarized Modified Source Data'!$A29,Sector,'Summarized Modified Source Data'!K$2,Subsector,'Summarized Modified Source Data'!K$3,TimeOfWeek,$D29)</f>
        <v>48132044</v>
      </c>
      <c r="L29" s="25">
        <f>SUMIFS(INDEX(Load,,MATCH('Summarized Modified Source Data'!$B29,Hour,0)),Season,'Summarized Modified Source Data'!$A29,Sector,'Summarized Modified Source Data'!L$2,Subsector,'Summarized Modified Source Data'!L$3,TimeOfWeek,$D29)</f>
        <v>7443307</v>
      </c>
      <c r="M29" s="25">
        <f>SUMIFS(INDEX(Load,,MATCH('Summarized Modified Source Data'!$B29,Hour,0)),Season,'Summarized Modified Source Data'!$A29,Sector,'Summarized Modified Source Data'!M$2,Subsector,'Summarized Modified Source Data'!M$3,TimeOfWeek,$D29)</f>
        <v>0</v>
      </c>
      <c r="N29" s="25">
        <f t="shared" si="1"/>
        <v>448424649</v>
      </c>
      <c r="O29" s="25">
        <f>SUMIFS(INDEX(Load,,MATCH('Summarized Modified Source Data'!$B29,Hour,0)),Season,'Summarized Modified Source Data'!$A29,Sector,'Summarized Modified Source Data'!O$2,Subsector,"Total",TimeOfWeek,$D29)-SUM(K29:M29)</f>
        <v>448424649</v>
      </c>
      <c r="P29" s="25">
        <f t="shared" si="2"/>
        <v>448424649</v>
      </c>
      <c r="Q29" s="33" cm="1">
        <f t="array" ref="Q29">SUMIFS(INDEX(Load,,MATCH('Summarized Modified Source Data'!$B29,Hour,0)),Season,'Summarized Modified Source Data'!$A29,Sector,'Summarized Modified Source Data'!Q$2,TimeOfWeek,$D29)*LDVs</f>
        <v>3893448.9433780098</v>
      </c>
      <c r="R29" s="33" cm="1">
        <f t="array" ref="R29">SUMIFS(INDEX(Load,,MATCH('Summarized Modified Source Data'!$B29,Hour,0)),Season,'Summarized Modified Source Data'!$A29,Sector,'Summarized Modified Source Data'!R$2,TimeOfWeek,$D29)*HDVs</f>
        <v>1834615.9843010199</v>
      </c>
      <c r="S29" s="33">
        <f>SUMIFS(INDEX(Load,,MATCH('Summarized Modified Source Data'!$B29,Hour,0)),Season,'Summarized Modified Source Data'!$A29,Sector,'Summarized Modified Source Data'!S$2,TimeOfWeek,$D29)*Aircraft</f>
        <v>0</v>
      </c>
      <c r="T29" s="33">
        <f>SUMIFS(INDEX(Load,,MATCH('Summarized Modified Source Data'!$B29,Hour,0)),Season,'Summarized Modified Source Data'!$A29,Sector,'Summarized Modified Source Data'!T$2,TimeOfWeek,$D29)*Rail</f>
        <v>7987333.0723209698</v>
      </c>
      <c r="U29" s="33">
        <f>SUMIFS(INDEX(Load,,MATCH('Summarized Modified Source Data'!$B29,Hour,0)),Season,'Summarized Modified Source Data'!$A29,Sector,'Summarized Modified Source Data'!U$2,TimeOfWeek,$D29)*Ships</f>
        <v>0</v>
      </c>
      <c r="V29" s="33">
        <f>SUMIFS(INDEX(Load,,MATCH('Summarized Modified Source Data'!$B29,Hour,0)),Season,'Summarized Modified Source Data'!$A29,Sector,'Summarized Modified Source Data'!V$2,TimeOfWeek,$D29)*Motorbikes</f>
        <v>0</v>
      </c>
      <c r="W29" s="25">
        <f>SUMIFS(INDEX(Load,,MATCH('Summarized Modified Source Data'!$B29,Hour,0)),Season,'Summarized Modified Source Data'!$A29,Sector,'Summarized Modified Source Data'!W$2,Subsector,'Summarized Modified Source Data'!W$3,TimeOfWeek,$D29)</f>
        <v>1945000000</v>
      </c>
      <c r="X29" s="25">
        <f>SUMIFS(INDEX(Load,,MATCH('Summarized Modified Source Data'!$B29,Hour,0)),Season,'Summarized Modified Source Data'!$A29,Sector,'Summarized Modified Source Data'!X$2,Subsector,'Summarized Modified Source Data'!X$3,TimeOfWeek,$D29)</f>
        <v>0</v>
      </c>
      <c r="Y29" s="25">
        <f>SUMIFS(INDEX(Load,,MATCH('Summarized Modified Source Data'!$B29,Hour,0)),Season,'Summarized Modified Source Data'!$A29,Sector,'Summarized Modified Source Data'!Y$2,Subsector,'Summarized Modified Source Data'!Y$3,TimeOfWeek,$D29)</f>
        <v>0</v>
      </c>
    </row>
    <row r="30" spans="1:25" outlineLevel="1" x14ac:dyDescent="0.25">
      <c r="A30" t="s">
        <v>38</v>
      </c>
      <c r="B30" t="s">
        <v>149</v>
      </c>
      <c r="C30" s="7" t="s">
        <v>1</v>
      </c>
      <c r="D30" t="s">
        <v>117</v>
      </c>
      <c r="E30" s="25">
        <f>SUMIFS(INDEX(Load,,MATCH('Summarized Modified Source Data'!$B30,Hour,0)),Season,'Summarized Modified Source Data'!$A30,Sector,'Summarized Modified Source Data'!E$2,Subsector,'Summarized Modified Source Data'!E$3,TimeOfWeek,$D30)</f>
        <v>20606773</v>
      </c>
      <c r="F30" s="25">
        <f>SUMIFS(INDEX(Load,,MATCH('Summarized Modified Source Data'!$B30,Hour,0)),Season,'Summarized Modified Source Data'!$A30,Sector,'Summarized Modified Source Data'!F$2,Subsector,'Summarized Modified Source Data'!F$3,TimeOfWeek,$D30)</f>
        <v>77028</v>
      </c>
      <c r="G30" s="25">
        <f>SUMIFS(INDEX(Load,,MATCH('Summarized Modified Source Data'!$B30,Hour,0)),Season,'Summarized Modified Source Data'!$A30,Sector,'Summarized Modified Source Data'!G$2,Subsector,'Summarized Modified Source Data'!G$3,TimeOfWeek,$D30)</f>
        <v>0</v>
      </c>
      <c r="H30" s="25">
        <f>SUMIFS(INDEX(Load,,MATCH('Summarized Modified Source Data'!$B30,Hour,0)),Season,'Summarized Modified Source Data'!$A30,Sector,'Summarized Modified Source Data'!H$2,Subsector,'Summarized Modified Source Data'!H$3,TimeOfWeek,$D30)</f>
        <v>28196235</v>
      </c>
      <c r="I30" s="25">
        <f>SUMIFS(INDEX(Load,,MATCH('Summarized Modified Source Data'!$B30,Hour,0)),Season,'Summarized Modified Source Data'!$A30,Sector,'Summarized Modified Source Data'!I$2,Subsector,'Summarized Modified Source Data'!I$3,TimeOfWeek,$D30)</f>
        <v>7923133</v>
      </c>
      <c r="J30" s="25">
        <f t="shared" si="0"/>
        <v>7923133</v>
      </c>
      <c r="K30" s="25">
        <f>SUMIFS(INDEX(Load,,MATCH('Summarized Modified Source Data'!$B30,Hour,0)),Season,'Summarized Modified Source Data'!$A30,Sector,'Summarized Modified Source Data'!K$2,Subsector,'Summarized Modified Source Data'!K$3,TimeOfWeek,$D30)</f>
        <v>47406486</v>
      </c>
      <c r="L30" s="25">
        <f>SUMIFS(INDEX(Load,,MATCH('Summarized Modified Source Data'!$B30,Hour,0)),Season,'Summarized Modified Source Data'!$A30,Sector,'Summarized Modified Source Data'!L$2,Subsector,'Summarized Modified Source Data'!L$3,TimeOfWeek,$D30)</f>
        <v>7255355</v>
      </c>
      <c r="M30" s="25">
        <f>SUMIFS(INDEX(Load,,MATCH('Summarized Modified Source Data'!$B30,Hour,0)),Season,'Summarized Modified Source Data'!$A30,Sector,'Summarized Modified Source Data'!M$2,Subsector,'Summarized Modified Source Data'!M$3,TimeOfWeek,$D30)</f>
        <v>0</v>
      </c>
      <c r="N30" s="25">
        <f t="shared" si="1"/>
        <v>446338159</v>
      </c>
      <c r="O30" s="25">
        <f>SUMIFS(INDEX(Load,,MATCH('Summarized Modified Source Data'!$B30,Hour,0)),Season,'Summarized Modified Source Data'!$A30,Sector,'Summarized Modified Source Data'!O$2,Subsector,"Total",TimeOfWeek,$D30)-SUM(K30:M30)</f>
        <v>446338159</v>
      </c>
      <c r="P30" s="25">
        <f t="shared" si="2"/>
        <v>446338159</v>
      </c>
      <c r="Q30" s="33" cm="1">
        <f t="array" ref="Q30">SUMIFS(INDEX(Load,,MATCH('Summarized Modified Source Data'!$B30,Hour,0)),Season,'Summarized Modified Source Data'!$A30,Sector,'Summarized Modified Source Data'!Q$2,TimeOfWeek,$D30)*LDVs</f>
        <v>3878615.3759461879</v>
      </c>
      <c r="R30" s="33" cm="1">
        <f t="array" ref="R30">SUMIFS(INDEX(Load,,MATCH('Summarized Modified Source Data'!$B30,Hour,0)),Season,'Summarized Modified Source Data'!$A30,Sector,'Summarized Modified Source Data'!R$2,TimeOfWeek,$D30)*HDVs</f>
        <v>1827626.32030121</v>
      </c>
      <c r="S30" s="33">
        <f>SUMIFS(INDEX(Load,,MATCH('Summarized Modified Source Data'!$B30,Hour,0)),Season,'Summarized Modified Source Data'!$A30,Sector,'Summarized Modified Source Data'!S$2,TimeOfWeek,$D30)*Aircraft</f>
        <v>0</v>
      </c>
      <c r="T30" s="33">
        <f>SUMIFS(INDEX(Load,,MATCH('Summarized Modified Source Data'!$B30,Hour,0)),Season,'Summarized Modified Source Data'!$A30,Sector,'Summarized Modified Source Data'!T$2,TimeOfWeek,$D30)*Rail</f>
        <v>7956902.3037526021</v>
      </c>
      <c r="U30" s="33">
        <f>SUMIFS(INDEX(Load,,MATCH('Summarized Modified Source Data'!$B30,Hour,0)),Season,'Summarized Modified Source Data'!$A30,Sector,'Summarized Modified Source Data'!U$2,TimeOfWeek,$D30)*Ships</f>
        <v>0</v>
      </c>
      <c r="V30" s="33">
        <f>SUMIFS(INDEX(Load,,MATCH('Summarized Modified Source Data'!$B30,Hour,0)),Season,'Summarized Modified Source Data'!$A30,Sector,'Summarized Modified Source Data'!V$2,TimeOfWeek,$D30)*Motorbikes</f>
        <v>0</v>
      </c>
      <c r="W30" s="25">
        <f>SUMIFS(INDEX(Load,,MATCH('Summarized Modified Source Data'!$B30,Hour,0)),Season,'Summarized Modified Source Data'!$A30,Sector,'Summarized Modified Source Data'!W$2,Subsector,'Summarized Modified Source Data'!W$3,TimeOfWeek,$D30)</f>
        <v>1945000000</v>
      </c>
      <c r="X30" s="25">
        <f>SUMIFS(INDEX(Load,,MATCH('Summarized Modified Source Data'!$B30,Hour,0)),Season,'Summarized Modified Source Data'!$A30,Sector,'Summarized Modified Source Data'!X$2,Subsector,'Summarized Modified Source Data'!X$3,TimeOfWeek,$D30)</f>
        <v>0</v>
      </c>
      <c r="Y30" s="25">
        <f>SUMIFS(INDEX(Load,,MATCH('Summarized Modified Source Data'!$B30,Hour,0)),Season,'Summarized Modified Source Data'!$A30,Sector,'Summarized Modified Source Data'!Y$2,Subsector,'Summarized Modified Source Data'!Y$3,TimeOfWeek,$D30)</f>
        <v>0</v>
      </c>
    </row>
    <row r="31" spans="1:25" outlineLevel="1" x14ac:dyDescent="0.25">
      <c r="A31" t="s">
        <v>38</v>
      </c>
      <c r="B31" t="s">
        <v>150</v>
      </c>
      <c r="C31" s="7" t="s">
        <v>2</v>
      </c>
      <c r="D31" t="s">
        <v>117</v>
      </c>
      <c r="E31" s="25">
        <f>SUMIFS(INDEX(Load,,MATCH('Summarized Modified Source Data'!$B31,Hour,0)),Season,'Summarized Modified Source Data'!$A31,Sector,'Summarized Modified Source Data'!E$2,Subsector,'Summarized Modified Source Data'!E$3,TimeOfWeek,$D31)</f>
        <v>20440996</v>
      </c>
      <c r="F31" s="25">
        <f>SUMIFS(INDEX(Load,,MATCH('Summarized Modified Source Data'!$B31,Hour,0)),Season,'Summarized Modified Source Data'!$A31,Sector,'Summarized Modified Source Data'!F$2,Subsector,'Summarized Modified Source Data'!F$3,TimeOfWeek,$D31)</f>
        <v>77072</v>
      </c>
      <c r="G31" s="25">
        <f>SUMIFS(INDEX(Load,,MATCH('Summarized Modified Source Data'!$B31,Hour,0)),Season,'Summarized Modified Source Data'!$A31,Sector,'Summarized Modified Source Data'!G$2,Subsector,'Summarized Modified Source Data'!G$3,TimeOfWeek,$D31)</f>
        <v>0</v>
      </c>
      <c r="H31" s="25">
        <f>SUMIFS(INDEX(Load,,MATCH('Summarized Modified Source Data'!$B31,Hour,0)),Season,'Summarized Modified Source Data'!$A31,Sector,'Summarized Modified Source Data'!H$2,Subsector,'Summarized Modified Source Data'!H$3,TimeOfWeek,$D31)</f>
        <v>28824803</v>
      </c>
      <c r="I31" s="25">
        <f>SUMIFS(INDEX(Load,,MATCH('Summarized Modified Source Data'!$B31,Hour,0)),Season,'Summarized Modified Source Data'!$A31,Sector,'Summarized Modified Source Data'!I$2,Subsector,'Summarized Modified Source Data'!I$3,TimeOfWeek,$D31)</f>
        <v>7743570</v>
      </c>
      <c r="J31" s="25">
        <f t="shared" si="0"/>
        <v>7743570</v>
      </c>
      <c r="K31" s="25">
        <f>SUMIFS(INDEX(Load,,MATCH('Summarized Modified Source Data'!$B31,Hour,0)),Season,'Summarized Modified Source Data'!$A31,Sector,'Summarized Modified Source Data'!K$2,Subsector,'Summarized Modified Source Data'!K$3,TimeOfWeek,$D31)</f>
        <v>48578442</v>
      </c>
      <c r="L31" s="25">
        <f>SUMIFS(INDEX(Load,,MATCH('Summarized Modified Source Data'!$B31,Hour,0)),Season,'Summarized Modified Source Data'!$A31,Sector,'Summarized Modified Source Data'!L$2,Subsector,'Summarized Modified Source Data'!L$3,TimeOfWeek,$D31)</f>
        <v>7149337</v>
      </c>
      <c r="M31" s="25">
        <f>SUMIFS(INDEX(Load,,MATCH('Summarized Modified Source Data'!$B31,Hour,0)),Season,'Summarized Modified Source Data'!$A31,Sector,'Summarized Modified Source Data'!M$2,Subsector,'Summarized Modified Source Data'!M$3,TimeOfWeek,$D31)</f>
        <v>0</v>
      </c>
      <c r="N31" s="25">
        <f t="shared" si="1"/>
        <v>466272221</v>
      </c>
      <c r="O31" s="25">
        <f>SUMIFS(INDEX(Load,,MATCH('Summarized Modified Source Data'!$B31,Hour,0)),Season,'Summarized Modified Source Data'!$A31,Sector,'Summarized Modified Source Data'!O$2,Subsector,"Total",TimeOfWeek,$D31)-SUM(K31:M31)</f>
        <v>466272221</v>
      </c>
      <c r="P31" s="25">
        <f t="shared" si="2"/>
        <v>466272221</v>
      </c>
      <c r="Q31" s="33" cm="1">
        <f t="array" ref="Q31">SUMIFS(INDEX(Load,,MATCH('Summarized Modified Source Data'!$B31,Hour,0)),Season,'Summarized Modified Source Data'!$A31,Sector,'Summarized Modified Source Data'!Q$2,TimeOfWeek,$D31)*LDVs</f>
        <v>3892271.4328006916</v>
      </c>
      <c r="R31" s="33" cm="1">
        <f t="array" ref="R31">SUMIFS(INDEX(Load,,MATCH('Summarized Modified Source Data'!$B31,Hour,0)),Season,'Summarized Modified Source Data'!$A31,Sector,'Summarized Modified Source Data'!R$2,TimeOfWeek,$D31)*HDVs</f>
        <v>1834061.1344087396</v>
      </c>
      <c r="S31" s="33">
        <f>SUMIFS(INDEX(Load,,MATCH('Summarized Modified Source Data'!$B31,Hour,0)),Season,'Summarized Modified Source Data'!$A31,Sector,'Summarized Modified Source Data'!S$2,TimeOfWeek,$D31)*Aircraft</f>
        <v>0</v>
      </c>
      <c r="T31" s="33">
        <f>SUMIFS(INDEX(Load,,MATCH('Summarized Modified Source Data'!$B31,Hour,0)),Season,'Summarized Modified Source Data'!$A31,Sector,'Summarized Modified Source Data'!T$2,TimeOfWeek,$D31)*Rail</f>
        <v>7984917.432790569</v>
      </c>
      <c r="U31" s="33">
        <f>SUMIFS(INDEX(Load,,MATCH('Summarized Modified Source Data'!$B31,Hour,0)),Season,'Summarized Modified Source Data'!$A31,Sector,'Summarized Modified Source Data'!U$2,TimeOfWeek,$D31)*Ships</f>
        <v>0</v>
      </c>
      <c r="V31" s="33">
        <f>SUMIFS(INDEX(Load,,MATCH('Summarized Modified Source Data'!$B31,Hour,0)),Season,'Summarized Modified Source Data'!$A31,Sector,'Summarized Modified Source Data'!V$2,TimeOfWeek,$D31)*Motorbikes</f>
        <v>0</v>
      </c>
      <c r="W31" s="25">
        <f>SUMIFS(INDEX(Load,,MATCH('Summarized Modified Source Data'!$B31,Hour,0)),Season,'Summarized Modified Source Data'!$A31,Sector,'Summarized Modified Source Data'!W$2,Subsector,'Summarized Modified Source Data'!W$3,TimeOfWeek,$D31)</f>
        <v>1945000000</v>
      </c>
      <c r="X31" s="25">
        <f>SUMIFS(INDEX(Load,,MATCH('Summarized Modified Source Data'!$B31,Hour,0)),Season,'Summarized Modified Source Data'!$A31,Sector,'Summarized Modified Source Data'!X$2,Subsector,'Summarized Modified Source Data'!X$3,TimeOfWeek,$D31)</f>
        <v>0</v>
      </c>
      <c r="Y31" s="25">
        <f>SUMIFS(INDEX(Load,,MATCH('Summarized Modified Source Data'!$B31,Hour,0)),Season,'Summarized Modified Source Data'!$A31,Sector,'Summarized Modified Source Data'!Y$2,Subsector,'Summarized Modified Source Data'!Y$3,TimeOfWeek,$D31)</f>
        <v>0</v>
      </c>
    </row>
    <row r="32" spans="1:25" outlineLevel="1" x14ac:dyDescent="0.25">
      <c r="A32" t="s">
        <v>38</v>
      </c>
      <c r="B32" t="s">
        <v>151</v>
      </c>
      <c r="C32" s="7" t="s">
        <v>3</v>
      </c>
      <c r="D32" t="s">
        <v>117</v>
      </c>
      <c r="E32" s="25">
        <f>SUMIFS(INDEX(Load,,MATCH('Summarized Modified Source Data'!$B32,Hour,0)),Season,'Summarized Modified Source Data'!$A32,Sector,'Summarized Modified Source Data'!E$2,Subsector,'Summarized Modified Source Data'!E$3,TimeOfWeek,$D32)</f>
        <v>19947864</v>
      </c>
      <c r="F32" s="25">
        <f>SUMIFS(INDEX(Load,,MATCH('Summarized Modified Source Data'!$B32,Hour,0)),Season,'Summarized Modified Source Data'!$A32,Sector,'Summarized Modified Source Data'!F$2,Subsector,'Summarized Modified Source Data'!F$3,TimeOfWeek,$D32)</f>
        <v>75121</v>
      </c>
      <c r="G32" s="25">
        <f>SUMIFS(INDEX(Load,,MATCH('Summarized Modified Source Data'!$B32,Hour,0)),Season,'Summarized Modified Source Data'!$A32,Sector,'Summarized Modified Source Data'!G$2,Subsector,'Summarized Modified Source Data'!G$3,TimeOfWeek,$D32)</f>
        <v>0</v>
      </c>
      <c r="H32" s="25">
        <f>SUMIFS(INDEX(Load,,MATCH('Summarized Modified Source Data'!$B32,Hour,0)),Season,'Summarized Modified Source Data'!$A32,Sector,'Summarized Modified Source Data'!H$2,Subsector,'Summarized Modified Source Data'!H$3,TimeOfWeek,$D32)</f>
        <v>37100000</v>
      </c>
      <c r="I32" s="25">
        <f>SUMIFS(INDEX(Load,,MATCH('Summarized Modified Source Data'!$B32,Hour,0)),Season,'Summarized Modified Source Data'!$A32,Sector,'Summarized Modified Source Data'!I$2,Subsector,'Summarized Modified Source Data'!I$3,TimeOfWeek,$D32)</f>
        <v>10865439</v>
      </c>
      <c r="J32" s="25">
        <f t="shared" si="0"/>
        <v>10865439</v>
      </c>
      <c r="K32" s="25">
        <f>SUMIFS(INDEX(Load,,MATCH('Summarized Modified Source Data'!$B32,Hour,0)),Season,'Summarized Modified Source Data'!$A32,Sector,'Summarized Modified Source Data'!K$2,Subsector,'Summarized Modified Source Data'!K$3,TimeOfWeek,$D32)</f>
        <v>48430885</v>
      </c>
      <c r="L32" s="25">
        <f>SUMIFS(INDEX(Load,,MATCH('Summarized Modified Source Data'!$B32,Hour,0)),Season,'Summarized Modified Source Data'!$A32,Sector,'Summarized Modified Source Data'!L$2,Subsector,'Summarized Modified Source Data'!L$3,TimeOfWeek,$D32)</f>
        <v>7126507</v>
      </c>
      <c r="M32" s="25">
        <f>SUMIFS(INDEX(Load,,MATCH('Summarized Modified Source Data'!$B32,Hour,0)),Season,'Summarized Modified Source Data'!$A32,Sector,'Summarized Modified Source Data'!M$2,Subsector,'Summarized Modified Source Data'!M$3,TimeOfWeek,$D32)</f>
        <v>0</v>
      </c>
      <c r="N32" s="25">
        <f t="shared" si="1"/>
        <v>494442608</v>
      </c>
      <c r="O32" s="25">
        <f>SUMIFS(INDEX(Load,,MATCH('Summarized Modified Source Data'!$B32,Hour,0)),Season,'Summarized Modified Source Data'!$A32,Sector,'Summarized Modified Source Data'!O$2,Subsector,"Total",TimeOfWeek,$D32)-SUM(K32:M32)</f>
        <v>494442608</v>
      </c>
      <c r="P32" s="25">
        <f t="shared" si="2"/>
        <v>494442608</v>
      </c>
      <c r="Q32" s="33" cm="1">
        <f t="array" ref="Q32">SUMIFS(INDEX(Load,,MATCH('Summarized Modified Source Data'!$B32,Hour,0)),Season,'Summarized Modified Source Data'!$A32,Sector,'Summarized Modified Source Data'!Q$2,TimeOfWeek,$D32)*LDVs</f>
        <v>3877391.0261101285</v>
      </c>
      <c r="R32" s="33" cm="1">
        <f t="array" ref="R32">SUMIFS(INDEX(Load,,MATCH('Summarized Modified Source Data'!$B32,Hour,0)),Season,'Summarized Modified Source Data'!$A32,Sector,'Summarized Modified Source Data'!R$2,TimeOfWeek,$D32)*HDVs</f>
        <v>1827049.3994754131</v>
      </c>
      <c r="S32" s="33">
        <f>SUMIFS(INDEX(Load,,MATCH('Summarized Modified Source Data'!$B32,Hour,0)),Season,'Summarized Modified Source Data'!$A32,Sector,'Summarized Modified Source Data'!S$2,TimeOfWeek,$D32)*Aircraft</f>
        <v>0</v>
      </c>
      <c r="T32" s="33">
        <f>SUMIFS(INDEX(Load,,MATCH('Summarized Modified Source Data'!$B32,Hour,0)),Season,'Summarized Modified Source Data'!$A32,Sector,'Summarized Modified Source Data'!T$2,TimeOfWeek,$D32)*Rail</f>
        <v>7954390.5744144581</v>
      </c>
      <c r="U32" s="33">
        <f>SUMIFS(INDEX(Load,,MATCH('Summarized Modified Source Data'!$B32,Hour,0)),Season,'Summarized Modified Source Data'!$A32,Sector,'Summarized Modified Source Data'!U$2,TimeOfWeek,$D32)*Ships</f>
        <v>0</v>
      </c>
      <c r="V32" s="33">
        <f>SUMIFS(INDEX(Load,,MATCH('Summarized Modified Source Data'!$B32,Hour,0)),Season,'Summarized Modified Source Data'!$A32,Sector,'Summarized Modified Source Data'!V$2,TimeOfWeek,$D32)*Motorbikes</f>
        <v>0</v>
      </c>
      <c r="W32" s="25">
        <f>SUMIFS(INDEX(Load,,MATCH('Summarized Modified Source Data'!$B32,Hour,0)),Season,'Summarized Modified Source Data'!$A32,Sector,'Summarized Modified Source Data'!W$2,Subsector,'Summarized Modified Source Data'!W$3,TimeOfWeek,$D32)</f>
        <v>1951000000</v>
      </c>
      <c r="X32" s="25">
        <f>SUMIFS(INDEX(Load,,MATCH('Summarized Modified Source Data'!$B32,Hour,0)),Season,'Summarized Modified Source Data'!$A32,Sector,'Summarized Modified Source Data'!X$2,Subsector,'Summarized Modified Source Data'!X$3,TimeOfWeek,$D32)</f>
        <v>0</v>
      </c>
      <c r="Y32" s="25">
        <f>SUMIFS(INDEX(Load,,MATCH('Summarized Modified Source Data'!$B32,Hour,0)),Season,'Summarized Modified Source Data'!$A32,Sector,'Summarized Modified Source Data'!Y$2,Subsector,'Summarized Modified Source Data'!Y$3,TimeOfWeek,$D32)</f>
        <v>0</v>
      </c>
    </row>
    <row r="33" spans="1:25" outlineLevel="1" x14ac:dyDescent="0.25">
      <c r="A33" t="s">
        <v>38</v>
      </c>
      <c r="B33" t="s">
        <v>152</v>
      </c>
      <c r="C33" s="7" t="s">
        <v>4</v>
      </c>
      <c r="D33" t="s">
        <v>117</v>
      </c>
      <c r="E33" s="25">
        <f>SUMIFS(INDEX(Load,,MATCH('Summarized Modified Source Data'!$B33,Hour,0)),Season,'Summarized Modified Source Data'!$A33,Sector,'Summarized Modified Source Data'!E$2,Subsector,'Summarized Modified Source Data'!E$3,TimeOfWeek,$D33)</f>
        <v>26531407</v>
      </c>
      <c r="F33" s="25">
        <f>SUMIFS(INDEX(Load,,MATCH('Summarized Modified Source Data'!$B33,Hour,0)),Season,'Summarized Modified Source Data'!$A33,Sector,'Summarized Modified Source Data'!F$2,Subsector,'Summarized Modified Source Data'!F$3,TimeOfWeek,$D33)</f>
        <v>69072</v>
      </c>
      <c r="G33" s="25">
        <f>SUMIFS(INDEX(Load,,MATCH('Summarized Modified Source Data'!$B33,Hour,0)),Season,'Summarized Modified Source Data'!$A33,Sector,'Summarized Modified Source Data'!G$2,Subsector,'Summarized Modified Source Data'!G$3,TimeOfWeek,$D33)</f>
        <v>0</v>
      </c>
      <c r="H33" s="25">
        <f>SUMIFS(INDEX(Load,,MATCH('Summarized Modified Source Data'!$B33,Hour,0)),Season,'Summarized Modified Source Data'!$A33,Sector,'Summarized Modified Source Data'!H$2,Subsector,'Summarized Modified Source Data'!H$3,TimeOfWeek,$D33)</f>
        <v>62300000</v>
      </c>
      <c r="I33" s="25">
        <f>SUMIFS(INDEX(Load,,MATCH('Summarized Modified Source Data'!$B33,Hour,0)),Season,'Summarized Modified Source Data'!$A33,Sector,'Summarized Modified Source Data'!I$2,Subsector,'Summarized Modified Source Data'!I$3,TimeOfWeek,$D33)</f>
        <v>24104320</v>
      </c>
      <c r="J33" s="25">
        <f t="shared" si="0"/>
        <v>24104320</v>
      </c>
      <c r="K33" s="25">
        <f>SUMIFS(INDEX(Load,,MATCH('Summarized Modified Source Data'!$B33,Hour,0)),Season,'Summarized Modified Source Data'!$A33,Sector,'Summarized Modified Source Data'!K$2,Subsector,'Summarized Modified Source Data'!K$3,TimeOfWeek,$D33)</f>
        <v>73188517</v>
      </c>
      <c r="L33" s="25">
        <f>SUMIFS(INDEX(Load,,MATCH('Summarized Modified Source Data'!$B33,Hour,0)),Season,'Summarized Modified Source Data'!$A33,Sector,'Summarized Modified Source Data'!L$2,Subsector,'Summarized Modified Source Data'!L$3,TimeOfWeek,$D33)</f>
        <v>7349271</v>
      </c>
      <c r="M33" s="25">
        <f>SUMIFS(INDEX(Load,,MATCH('Summarized Modified Source Data'!$B33,Hour,0)),Season,'Summarized Modified Source Data'!$A33,Sector,'Summarized Modified Source Data'!M$2,Subsector,'Summarized Modified Source Data'!M$3,TimeOfWeek,$D33)</f>
        <v>0</v>
      </c>
      <c r="N33" s="25">
        <f t="shared" si="1"/>
        <v>577462212</v>
      </c>
      <c r="O33" s="25">
        <f>SUMIFS(INDEX(Load,,MATCH('Summarized Modified Source Data'!$B33,Hour,0)),Season,'Summarized Modified Source Data'!$A33,Sector,'Summarized Modified Source Data'!O$2,Subsector,"Total",TimeOfWeek,$D33)-SUM(K33:M33)</f>
        <v>577462212</v>
      </c>
      <c r="P33" s="25">
        <f t="shared" si="2"/>
        <v>577462212</v>
      </c>
      <c r="Q33" s="33" cm="1">
        <f t="array" ref="Q33">SUMIFS(INDEX(Load,,MATCH('Summarized Modified Source Data'!$B33,Hour,0)),Season,'Summarized Modified Source Data'!$A33,Sector,'Summarized Modified Source Data'!Q$2,TimeOfWeek,$D33)*LDVs</f>
        <v>3990833.1559120975</v>
      </c>
      <c r="R33" s="33" cm="1">
        <f t="array" ref="R33">SUMIFS(INDEX(Load,,MATCH('Summarized Modified Source Data'!$B33,Hour,0)),Season,'Summarized Modified Source Data'!$A33,Sector,'Summarized Modified Source Data'!R$2,TimeOfWeek,$D33)*HDVs</f>
        <v>1880503.9965831572</v>
      </c>
      <c r="S33" s="33">
        <f>SUMIFS(INDEX(Load,,MATCH('Summarized Modified Source Data'!$B33,Hour,0)),Season,'Summarized Modified Source Data'!$A33,Sector,'Summarized Modified Source Data'!S$2,TimeOfWeek,$D33)*Aircraft</f>
        <v>0</v>
      </c>
      <c r="T33" s="33">
        <f>SUMIFS(INDEX(Load,,MATCH('Summarized Modified Source Data'!$B33,Hour,0)),Season,'Summarized Modified Source Data'!$A33,Sector,'Summarized Modified Source Data'!T$2,TimeOfWeek,$D33)*Rail</f>
        <v>8187114.8475047452</v>
      </c>
      <c r="U33" s="33">
        <f>SUMIFS(INDEX(Load,,MATCH('Summarized Modified Source Data'!$B33,Hour,0)),Season,'Summarized Modified Source Data'!$A33,Sector,'Summarized Modified Source Data'!U$2,TimeOfWeek,$D33)*Ships</f>
        <v>0</v>
      </c>
      <c r="V33" s="33">
        <f>SUMIFS(INDEX(Load,,MATCH('Summarized Modified Source Data'!$B33,Hour,0)),Season,'Summarized Modified Source Data'!$A33,Sector,'Summarized Modified Source Data'!V$2,TimeOfWeek,$D33)*Motorbikes</f>
        <v>0</v>
      </c>
      <c r="W33" s="25">
        <f>SUMIFS(INDEX(Load,,MATCH('Summarized Modified Source Data'!$B33,Hour,0)),Season,'Summarized Modified Source Data'!$A33,Sector,'Summarized Modified Source Data'!W$2,Subsector,'Summarized Modified Source Data'!W$3,TimeOfWeek,$D33)</f>
        <v>1965000000</v>
      </c>
      <c r="X33" s="25">
        <f>SUMIFS(INDEX(Load,,MATCH('Summarized Modified Source Data'!$B33,Hour,0)),Season,'Summarized Modified Source Data'!$A33,Sector,'Summarized Modified Source Data'!X$2,Subsector,'Summarized Modified Source Data'!X$3,TimeOfWeek,$D33)</f>
        <v>0</v>
      </c>
      <c r="Y33" s="25">
        <f>SUMIFS(INDEX(Load,,MATCH('Summarized Modified Source Data'!$B33,Hour,0)),Season,'Summarized Modified Source Data'!$A33,Sector,'Summarized Modified Source Data'!Y$2,Subsector,'Summarized Modified Source Data'!Y$3,TimeOfWeek,$D33)</f>
        <v>0</v>
      </c>
    </row>
    <row r="34" spans="1:25" outlineLevel="1" x14ac:dyDescent="0.25">
      <c r="A34" t="s">
        <v>38</v>
      </c>
      <c r="B34" t="s">
        <v>153</v>
      </c>
      <c r="C34" s="7" t="s">
        <v>5</v>
      </c>
      <c r="D34" t="s">
        <v>117</v>
      </c>
      <c r="E34" s="25">
        <f>SUMIFS(INDEX(Load,,MATCH('Summarized Modified Source Data'!$B34,Hour,0)),Season,'Summarized Modified Source Data'!$A34,Sector,'Summarized Modified Source Data'!E$2,Subsector,'Summarized Modified Source Data'!E$3,TimeOfWeek,$D34)</f>
        <v>28693882</v>
      </c>
      <c r="F34" s="25">
        <f>SUMIFS(INDEX(Load,,MATCH('Summarized Modified Source Data'!$B34,Hour,0)),Season,'Summarized Modified Source Data'!$A34,Sector,'Summarized Modified Source Data'!F$2,Subsector,'Summarized Modified Source Data'!F$3,TimeOfWeek,$D34)</f>
        <v>56427</v>
      </c>
      <c r="G34" s="25">
        <f>SUMIFS(INDEX(Load,,MATCH('Summarized Modified Source Data'!$B34,Hour,0)),Season,'Summarized Modified Source Data'!$A34,Sector,'Summarized Modified Source Data'!G$2,Subsector,'Summarized Modified Source Data'!G$3,TimeOfWeek,$D34)</f>
        <v>0</v>
      </c>
      <c r="H34" s="25">
        <f>SUMIFS(INDEX(Load,,MATCH('Summarized Modified Source Data'!$B34,Hour,0)),Season,'Summarized Modified Source Data'!$A34,Sector,'Summarized Modified Source Data'!H$2,Subsector,'Summarized Modified Source Data'!H$3,TimeOfWeek,$D34)</f>
        <v>56600000</v>
      </c>
      <c r="I34" s="25">
        <f>SUMIFS(INDEX(Load,,MATCH('Summarized Modified Source Data'!$B34,Hour,0)),Season,'Summarized Modified Source Data'!$A34,Sector,'Summarized Modified Source Data'!I$2,Subsector,'Summarized Modified Source Data'!I$3,TimeOfWeek,$D34)</f>
        <v>47200000</v>
      </c>
      <c r="J34" s="25">
        <f t="shared" si="0"/>
        <v>47200000</v>
      </c>
      <c r="K34" s="25">
        <f>SUMIFS(INDEX(Load,,MATCH('Summarized Modified Source Data'!$B34,Hour,0)),Season,'Summarized Modified Source Data'!$A34,Sector,'Summarized Modified Source Data'!K$2,Subsector,'Summarized Modified Source Data'!K$3,TimeOfWeek,$D34)</f>
        <v>136400000</v>
      </c>
      <c r="L34" s="25">
        <f>SUMIFS(INDEX(Load,,MATCH('Summarized Modified Source Data'!$B34,Hour,0)),Season,'Summarized Modified Source Data'!$A34,Sector,'Summarized Modified Source Data'!L$2,Subsector,'Summarized Modified Source Data'!L$3,TimeOfWeek,$D34)</f>
        <v>8146016</v>
      </c>
      <c r="M34" s="25">
        <f>SUMIFS(INDEX(Load,,MATCH('Summarized Modified Source Data'!$B34,Hour,0)),Season,'Summarized Modified Source Data'!$A34,Sector,'Summarized Modified Source Data'!M$2,Subsector,'Summarized Modified Source Data'!M$3,TimeOfWeek,$D34)</f>
        <v>0</v>
      </c>
      <c r="N34" s="25">
        <f t="shared" si="1"/>
        <v>865453984</v>
      </c>
      <c r="O34" s="25">
        <f>SUMIFS(INDEX(Load,,MATCH('Summarized Modified Source Data'!$B34,Hour,0)),Season,'Summarized Modified Source Data'!$A34,Sector,'Summarized Modified Source Data'!O$2,Subsector,"Total",TimeOfWeek,$D34)-SUM(K34:M34)</f>
        <v>865453984</v>
      </c>
      <c r="P34" s="25">
        <f t="shared" si="2"/>
        <v>865453984</v>
      </c>
      <c r="Q34" s="33" cm="1">
        <f t="array" ref="Q34">SUMIFS(INDEX(Load,,MATCH('Summarized Modified Source Data'!$B34,Hour,0)),Season,'Summarized Modified Source Data'!$A34,Sector,'Summarized Modified Source Data'!Q$2,TimeOfWeek,$D34)*LDVs</f>
        <v>5999430.5851521501</v>
      </c>
      <c r="R34" s="33" cm="1">
        <f t="array" ref="R34">SUMIFS(INDEX(Load,,MATCH('Summarized Modified Source Data'!$B34,Hour,0)),Season,'Summarized Modified Source Data'!$A34,Sector,'Summarized Modified Source Data'!R$2,TimeOfWeek,$D34)*HDVs</f>
        <v>2826966.8893294986</v>
      </c>
      <c r="S34" s="33">
        <f>SUMIFS(INDEX(Load,,MATCH('Summarized Modified Source Data'!$B34,Hour,0)),Season,'Summarized Modified Source Data'!$A34,Sector,'Summarized Modified Source Data'!S$2,TimeOfWeek,$D34)*Aircraft</f>
        <v>0</v>
      </c>
      <c r="T34" s="33">
        <f>SUMIFS(INDEX(Load,,MATCH('Summarized Modified Source Data'!$B34,Hour,0)),Season,'Summarized Modified Source Data'!$A34,Sector,'Summarized Modified Source Data'!T$2,TimeOfWeek,$D34)*Rail</f>
        <v>12307712.52551835</v>
      </c>
      <c r="U34" s="33">
        <f>SUMIFS(INDEX(Load,,MATCH('Summarized Modified Source Data'!$B34,Hour,0)),Season,'Summarized Modified Source Data'!$A34,Sector,'Summarized Modified Source Data'!U$2,TimeOfWeek,$D34)*Ships</f>
        <v>0</v>
      </c>
      <c r="V34" s="33">
        <f>SUMIFS(INDEX(Load,,MATCH('Summarized Modified Source Data'!$B34,Hour,0)),Season,'Summarized Modified Source Data'!$A34,Sector,'Summarized Modified Source Data'!V$2,TimeOfWeek,$D34)*Motorbikes</f>
        <v>0</v>
      </c>
      <c r="W34" s="25">
        <f>SUMIFS(INDEX(Load,,MATCH('Summarized Modified Source Data'!$B34,Hour,0)),Season,'Summarized Modified Source Data'!$A34,Sector,'Summarized Modified Source Data'!W$2,Subsector,'Summarized Modified Source Data'!W$3,TimeOfWeek,$D34)</f>
        <v>1986000000</v>
      </c>
      <c r="X34" s="25">
        <f>SUMIFS(INDEX(Load,,MATCH('Summarized Modified Source Data'!$B34,Hour,0)),Season,'Summarized Modified Source Data'!$A34,Sector,'Summarized Modified Source Data'!X$2,Subsector,'Summarized Modified Source Data'!X$3,TimeOfWeek,$D34)</f>
        <v>0</v>
      </c>
      <c r="Y34" s="25">
        <f>SUMIFS(INDEX(Load,,MATCH('Summarized Modified Source Data'!$B34,Hour,0)),Season,'Summarized Modified Source Data'!$A34,Sector,'Summarized Modified Source Data'!Y$2,Subsector,'Summarized Modified Source Data'!Y$3,TimeOfWeek,$D34)</f>
        <v>0</v>
      </c>
    </row>
    <row r="35" spans="1:25" outlineLevel="1" x14ac:dyDescent="0.25">
      <c r="A35" t="s">
        <v>38</v>
      </c>
      <c r="B35" t="s">
        <v>154</v>
      </c>
      <c r="C35" s="7" t="s">
        <v>6</v>
      </c>
      <c r="D35" t="s">
        <v>117</v>
      </c>
      <c r="E35" s="25">
        <f>SUMIFS(INDEX(Load,,MATCH('Summarized Modified Source Data'!$B35,Hour,0)),Season,'Summarized Modified Source Data'!$A35,Sector,'Summarized Modified Source Data'!E$2,Subsector,'Summarized Modified Source Data'!E$3,TimeOfWeek,$D35)</f>
        <v>28231195</v>
      </c>
      <c r="F35" s="25">
        <f>SUMIFS(INDEX(Load,,MATCH('Summarized Modified Source Data'!$B35,Hour,0)),Season,'Summarized Modified Source Data'!$A35,Sector,'Summarized Modified Source Data'!F$2,Subsector,'Summarized Modified Source Data'!F$3,TimeOfWeek,$D35)</f>
        <v>42346</v>
      </c>
      <c r="G35" s="25">
        <f>SUMIFS(INDEX(Load,,MATCH('Summarized Modified Source Data'!$B35,Hour,0)),Season,'Summarized Modified Source Data'!$A35,Sector,'Summarized Modified Source Data'!G$2,Subsector,'Summarized Modified Source Data'!G$3,TimeOfWeek,$D35)</f>
        <v>0</v>
      </c>
      <c r="H35" s="25">
        <f>SUMIFS(INDEX(Load,,MATCH('Summarized Modified Source Data'!$B35,Hour,0)),Season,'Summarized Modified Source Data'!$A35,Sector,'Summarized Modified Source Data'!H$2,Subsector,'Summarized Modified Source Data'!H$3,TimeOfWeek,$D35)</f>
        <v>29551396</v>
      </c>
      <c r="I35" s="25">
        <f>SUMIFS(INDEX(Load,,MATCH('Summarized Modified Source Data'!$B35,Hour,0)),Season,'Summarized Modified Source Data'!$A35,Sector,'Summarized Modified Source Data'!I$2,Subsector,'Summarized Modified Source Data'!I$3,TimeOfWeek,$D35)</f>
        <v>65000000</v>
      </c>
      <c r="J35" s="25">
        <f t="shared" si="0"/>
        <v>65000000</v>
      </c>
      <c r="K35" s="25">
        <f>SUMIFS(INDEX(Load,,MATCH('Summarized Modified Source Data'!$B35,Hour,0)),Season,'Summarized Modified Source Data'!$A35,Sector,'Summarized Modified Source Data'!K$2,Subsector,'Summarized Modified Source Data'!K$3,TimeOfWeek,$D35)</f>
        <v>150400000</v>
      </c>
      <c r="L35" s="25">
        <f>SUMIFS(INDEX(Load,,MATCH('Summarized Modified Source Data'!$B35,Hour,0)),Season,'Summarized Modified Source Data'!$A35,Sector,'Summarized Modified Source Data'!L$2,Subsector,'Summarized Modified Source Data'!L$3,TimeOfWeek,$D35)</f>
        <v>9717854</v>
      </c>
      <c r="M35" s="25">
        <f>SUMIFS(INDEX(Load,,MATCH('Summarized Modified Source Data'!$B35,Hour,0)),Season,'Summarized Modified Source Data'!$A35,Sector,'Summarized Modified Source Data'!M$2,Subsector,'Summarized Modified Source Data'!M$3,TimeOfWeek,$D35)</f>
        <v>0</v>
      </c>
      <c r="N35" s="25">
        <f t="shared" si="1"/>
        <v>1186882146</v>
      </c>
      <c r="O35" s="25">
        <f>SUMIFS(INDEX(Load,,MATCH('Summarized Modified Source Data'!$B35,Hour,0)),Season,'Summarized Modified Source Data'!$A35,Sector,'Summarized Modified Source Data'!O$2,Subsector,"Total",TimeOfWeek,$D35)-SUM(K35:M35)</f>
        <v>1186882146</v>
      </c>
      <c r="P35" s="25">
        <f t="shared" si="2"/>
        <v>1186882146</v>
      </c>
      <c r="Q35" s="33" cm="1">
        <f t="array" ref="Q35">SUMIFS(INDEX(Load,,MATCH('Summarized Modified Source Data'!$B35,Hour,0)),Season,'Summarized Modified Source Data'!$A35,Sector,'Summarized Modified Source Data'!Q$2,TimeOfWeek,$D35)*LDVs</f>
        <v>12660793.574831678</v>
      </c>
      <c r="R35" s="33" cm="1">
        <f t="array" ref="R35">SUMIFS(INDEX(Load,,MATCH('Summarized Modified Source Data'!$B35,Hour,0)),Season,'Summarized Modified Source Data'!$A35,Sector,'Summarized Modified Source Data'!R$2,TimeOfWeek,$D35)*HDVs</f>
        <v>5965840.2111134864</v>
      </c>
      <c r="S35" s="33">
        <f>SUMIFS(INDEX(Load,,MATCH('Summarized Modified Source Data'!$B35,Hour,0)),Season,'Summarized Modified Source Data'!$A35,Sector,'Summarized Modified Source Data'!S$2,TimeOfWeek,$D35)*Aircraft</f>
        <v>0</v>
      </c>
      <c r="T35" s="33">
        <f>SUMIFS(INDEX(Load,,MATCH('Summarized Modified Source Data'!$B35,Hour,0)),Season,'Summarized Modified Source Data'!$A35,Sector,'Summarized Modified Source Data'!T$2,TimeOfWeek,$D35)*Rail</f>
        <v>25973366.214054834</v>
      </c>
      <c r="U35" s="33">
        <f>SUMIFS(INDEX(Load,,MATCH('Summarized Modified Source Data'!$B35,Hour,0)),Season,'Summarized Modified Source Data'!$A35,Sector,'Summarized Modified Source Data'!U$2,TimeOfWeek,$D35)*Ships</f>
        <v>0</v>
      </c>
      <c r="V35" s="33">
        <f>SUMIFS(INDEX(Load,,MATCH('Summarized Modified Source Data'!$B35,Hour,0)),Season,'Summarized Modified Source Data'!$A35,Sector,'Summarized Modified Source Data'!V$2,TimeOfWeek,$D35)*Motorbikes</f>
        <v>0</v>
      </c>
      <c r="W35" s="25">
        <f>SUMIFS(INDEX(Load,,MATCH('Summarized Modified Source Data'!$B35,Hour,0)),Season,'Summarized Modified Source Data'!$A35,Sector,'Summarized Modified Source Data'!W$2,Subsector,'Summarized Modified Source Data'!W$3,TimeOfWeek,$D35)</f>
        <v>2005000000</v>
      </c>
      <c r="X35" s="25">
        <f>SUMIFS(INDEX(Load,,MATCH('Summarized Modified Source Data'!$B35,Hour,0)),Season,'Summarized Modified Source Data'!$A35,Sector,'Summarized Modified Source Data'!X$2,Subsector,'Summarized Modified Source Data'!X$3,TimeOfWeek,$D35)</f>
        <v>0</v>
      </c>
      <c r="Y35" s="25">
        <f>SUMIFS(INDEX(Load,,MATCH('Summarized Modified Source Data'!$B35,Hour,0)),Season,'Summarized Modified Source Data'!$A35,Sector,'Summarized Modified Source Data'!Y$2,Subsector,'Summarized Modified Source Data'!Y$3,TimeOfWeek,$D35)</f>
        <v>0</v>
      </c>
    </row>
    <row r="36" spans="1:25" outlineLevel="1" x14ac:dyDescent="0.25">
      <c r="A36" t="s">
        <v>38</v>
      </c>
      <c r="B36" t="s">
        <v>155</v>
      </c>
      <c r="C36" s="7" t="s">
        <v>7</v>
      </c>
      <c r="D36" t="s">
        <v>117</v>
      </c>
      <c r="E36" s="25">
        <f>SUMIFS(INDEX(Load,,MATCH('Summarized Modified Source Data'!$B36,Hour,0)),Season,'Summarized Modified Source Data'!$A36,Sector,'Summarized Modified Source Data'!E$2,Subsector,'Summarized Modified Source Data'!E$3,TimeOfWeek,$D36)</f>
        <v>27244389</v>
      </c>
      <c r="F36" s="25">
        <f>SUMIFS(INDEX(Load,,MATCH('Summarized Modified Source Data'!$B36,Hour,0)),Season,'Summarized Modified Source Data'!$A36,Sector,'Summarized Modified Source Data'!F$2,Subsector,'Summarized Modified Source Data'!F$3,TimeOfWeek,$D36)</f>
        <v>91068</v>
      </c>
      <c r="G36" s="25">
        <f>SUMIFS(INDEX(Load,,MATCH('Summarized Modified Source Data'!$B36,Hour,0)),Season,'Summarized Modified Source Data'!$A36,Sector,'Summarized Modified Source Data'!G$2,Subsector,'Summarized Modified Source Data'!G$3,TimeOfWeek,$D36)</f>
        <v>0</v>
      </c>
      <c r="H36" s="25">
        <f>SUMIFS(INDEX(Load,,MATCH('Summarized Modified Source Data'!$B36,Hour,0)),Season,'Summarized Modified Source Data'!$A36,Sector,'Summarized Modified Source Data'!H$2,Subsector,'Summarized Modified Source Data'!H$3,TimeOfWeek,$D36)</f>
        <v>28297283</v>
      </c>
      <c r="I36" s="25">
        <f>SUMIFS(INDEX(Load,,MATCH('Summarized Modified Source Data'!$B36,Hour,0)),Season,'Summarized Modified Source Data'!$A36,Sector,'Summarized Modified Source Data'!I$2,Subsector,'Summarized Modified Source Data'!I$3,TimeOfWeek,$D36)</f>
        <v>43100000</v>
      </c>
      <c r="J36" s="25">
        <f t="shared" si="0"/>
        <v>43100000</v>
      </c>
      <c r="K36" s="25">
        <f>SUMIFS(INDEX(Load,,MATCH('Summarized Modified Source Data'!$B36,Hour,0)),Season,'Summarized Modified Source Data'!$A36,Sector,'Summarized Modified Source Data'!K$2,Subsector,'Summarized Modified Source Data'!K$3,TimeOfWeek,$D36)</f>
        <v>115272358</v>
      </c>
      <c r="L36" s="25">
        <f>SUMIFS(INDEX(Load,,MATCH('Summarized Modified Source Data'!$B36,Hour,0)),Season,'Summarized Modified Source Data'!$A36,Sector,'Summarized Modified Source Data'!L$2,Subsector,'Summarized Modified Source Data'!L$3,TimeOfWeek,$D36)</f>
        <v>12085016</v>
      </c>
      <c r="M36" s="25">
        <f>SUMIFS(INDEX(Load,,MATCH('Summarized Modified Source Data'!$B36,Hour,0)),Season,'Summarized Modified Source Data'!$A36,Sector,'Summarized Modified Source Data'!M$2,Subsector,'Summarized Modified Source Data'!M$3,TimeOfWeek,$D36)</f>
        <v>0</v>
      </c>
      <c r="N36" s="25">
        <f t="shared" si="1"/>
        <v>1474642626</v>
      </c>
      <c r="O36" s="25">
        <f>SUMIFS(INDEX(Load,,MATCH('Summarized Modified Source Data'!$B36,Hour,0)),Season,'Summarized Modified Source Data'!$A36,Sector,'Summarized Modified Source Data'!O$2,Subsector,"Total",TimeOfWeek,$D36)-SUM(K36:M36)</f>
        <v>1474642626</v>
      </c>
      <c r="P36" s="25">
        <f t="shared" si="2"/>
        <v>1474642626</v>
      </c>
      <c r="Q36" s="33" cm="1">
        <f t="array" ref="Q36">SUMIFS(INDEX(Load,,MATCH('Summarized Modified Source Data'!$B36,Hour,0)),Season,'Summarized Modified Source Data'!$A36,Sector,'Summarized Modified Source Data'!Q$2,TimeOfWeek,$D36)*LDVs</f>
        <v>13796290.756430931</v>
      </c>
      <c r="R36" s="33" cm="1">
        <f t="array" ref="R36">SUMIFS(INDEX(Load,,MATCH('Summarized Modified Source Data'!$B36,Hour,0)),Season,'Summarized Modified Source Data'!$A36,Sector,'Summarized Modified Source Data'!R$2,TimeOfWeek,$D36)*HDVs</f>
        <v>6500893.1448456375</v>
      </c>
      <c r="S36" s="33">
        <f>SUMIFS(INDEX(Load,,MATCH('Summarized Modified Source Data'!$B36,Hour,0)),Season,'Summarized Modified Source Data'!$A36,Sector,'Summarized Modified Source Data'!S$2,TimeOfWeek,$D36)*Aircraft</f>
        <v>0</v>
      </c>
      <c r="T36" s="33">
        <f>SUMIFS(INDEX(Load,,MATCH('Summarized Modified Source Data'!$B36,Hour,0)),Season,'Summarized Modified Source Data'!$A36,Sector,'Summarized Modified Source Data'!T$2,TimeOfWeek,$D36)*Rail</f>
        <v>28302816.09872343</v>
      </c>
      <c r="U36" s="33">
        <f>SUMIFS(INDEX(Load,,MATCH('Summarized Modified Source Data'!$B36,Hour,0)),Season,'Summarized Modified Source Data'!$A36,Sector,'Summarized Modified Source Data'!U$2,TimeOfWeek,$D36)*Ships</f>
        <v>0</v>
      </c>
      <c r="V36" s="33">
        <f>SUMIFS(INDEX(Load,,MATCH('Summarized Modified Source Data'!$B36,Hour,0)),Season,'Summarized Modified Source Data'!$A36,Sector,'Summarized Modified Source Data'!V$2,TimeOfWeek,$D36)*Motorbikes</f>
        <v>0</v>
      </c>
      <c r="W36" s="25">
        <f>SUMIFS(INDEX(Load,,MATCH('Summarized Modified Source Data'!$B36,Hour,0)),Season,'Summarized Modified Source Data'!$A36,Sector,'Summarized Modified Source Data'!W$2,Subsector,'Summarized Modified Source Data'!W$3,TimeOfWeek,$D36)</f>
        <v>2011000000</v>
      </c>
      <c r="X36" s="25">
        <f>SUMIFS(INDEX(Load,,MATCH('Summarized Modified Source Data'!$B36,Hour,0)),Season,'Summarized Modified Source Data'!$A36,Sector,'Summarized Modified Source Data'!X$2,Subsector,'Summarized Modified Source Data'!X$3,TimeOfWeek,$D36)</f>
        <v>0</v>
      </c>
      <c r="Y36" s="25">
        <f>SUMIFS(INDEX(Load,,MATCH('Summarized Modified Source Data'!$B36,Hour,0)),Season,'Summarized Modified Source Data'!$A36,Sector,'Summarized Modified Source Data'!Y$2,Subsector,'Summarized Modified Source Data'!Y$3,TimeOfWeek,$D36)</f>
        <v>0</v>
      </c>
    </row>
    <row r="37" spans="1:25" outlineLevel="1" x14ac:dyDescent="0.25">
      <c r="A37" t="s">
        <v>38</v>
      </c>
      <c r="B37" t="s">
        <v>156</v>
      </c>
      <c r="C37" s="7" t="s">
        <v>8</v>
      </c>
      <c r="D37" t="s">
        <v>117</v>
      </c>
      <c r="E37" s="25">
        <f>SUMIFS(INDEX(Load,,MATCH('Summarized Modified Source Data'!$B37,Hour,0)),Season,'Summarized Modified Source Data'!$A37,Sector,'Summarized Modified Source Data'!E$2,Subsector,'Summarized Modified Source Data'!E$3,TimeOfWeek,$D37)</f>
        <v>18527277</v>
      </c>
      <c r="F37" s="25">
        <f>SUMIFS(INDEX(Load,,MATCH('Summarized Modified Source Data'!$B37,Hour,0)),Season,'Summarized Modified Source Data'!$A37,Sector,'Summarized Modified Source Data'!F$2,Subsector,'Summarized Modified Source Data'!F$3,TimeOfWeek,$D37)</f>
        <v>1023763</v>
      </c>
      <c r="G37" s="25">
        <f>SUMIFS(INDEX(Load,,MATCH('Summarized Modified Source Data'!$B37,Hour,0)),Season,'Summarized Modified Source Data'!$A37,Sector,'Summarized Modified Source Data'!G$2,Subsector,'Summarized Modified Source Data'!G$3,TimeOfWeek,$D37)</f>
        <v>0</v>
      </c>
      <c r="H37" s="25">
        <f>SUMIFS(INDEX(Load,,MATCH('Summarized Modified Source Data'!$B37,Hour,0)),Season,'Summarized Modified Source Data'!$A37,Sector,'Summarized Modified Source Data'!H$2,Subsector,'Summarized Modified Source Data'!H$3,TimeOfWeek,$D37)</f>
        <v>27220578</v>
      </c>
      <c r="I37" s="25">
        <f>SUMIFS(INDEX(Load,,MATCH('Summarized Modified Source Data'!$B37,Hour,0)),Season,'Summarized Modified Source Data'!$A37,Sector,'Summarized Modified Source Data'!I$2,Subsector,'Summarized Modified Source Data'!I$3,TimeOfWeek,$D37)</f>
        <v>38500000</v>
      </c>
      <c r="J37" s="25">
        <f t="shared" si="0"/>
        <v>38500000</v>
      </c>
      <c r="K37" s="25">
        <f>SUMIFS(INDEX(Load,,MATCH('Summarized Modified Source Data'!$B37,Hour,0)),Season,'Summarized Modified Source Data'!$A37,Sector,'Summarized Modified Source Data'!K$2,Subsector,'Summarized Modified Source Data'!K$3,TimeOfWeek,$D37)</f>
        <v>87068316</v>
      </c>
      <c r="L37" s="25">
        <f>SUMIFS(INDEX(Load,,MATCH('Summarized Modified Source Data'!$B37,Hour,0)),Season,'Summarized Modified Source Data'!$A37,Sector,'Summarized Modified Source Data'!L$2,Subsector,'Summarized Modified Source Data'!L$3,TimeOfWeek,$D37)</f>
        <v>14381309</v>
      </c>
      <c r="M37" s="25">
        <f>SUMIFS(INDEX(Load,,MATCH('Summarized Modified Source Data'!$B37,Hour,0)),Season,'Summarized Modified Source Data'!$A37,Sector,'Summarized Modified Source Data'!M$2,Subsector,'Summarized Modified Source Data'!M$3,TimeOfWeek,$D37)</f>
        <v>0</v>
      </c>
      <c r="N37" s="25">
        <f t="shared" si="1"/>
        <v>1550550375</v>
      </c>
      <c r="O37" s="25">
        <f>SUMIFS(INDEX(Load,,MATCH('Summarized Modified Source Data'!$B37,Hour,0)),Season,'Summarized Modified Source Data'!$A37,Sector,'Summarized Modified Source Data'!O$2,Subsector,"Total",TimeOfWeek,$D37)-SUM(K37:M37)</f>
        <v>1550550375</v>
      </c>
      <c r="P37" s="25">
        <f t="shared" si="2"/>
        <v>1550550375</v>
      </c>
      <c r="Q37" s="33" cm="1">
        <f t="array" ref="Q37">SUMIFS(INDEX(Load,,MATCH('Summarized Modified Source Data'!$B37,Hour,0)),Season,'Summarized Modified Source Data'!$A37,Sector,'Summarized Modified Source Data'!Q$2,TimeOfWeek,$D37)*LDVs</f>
        <v>12234982.131731957</v>
      </c>
      <c r="R37" s="33" cm="1">
        <f t="array" ref="R37">SUMIFS(INDEX(Load,,MATCH('Summarized Modified Source Data'!$B37,Hour,0)),Season,'Summarized Modified Source Data'!$A37,Sector,'Summarized Modified Source Data'!R$2,TimeOfWeek,$D37)*HDVs</f>
        <v>5765195.3609639294</v>
      </c>
      <c r="S37" s="33">
        <f>SUMIFS(INDEX(Load,,MATCH('Summarized Modified Source Data'!$B37,Hour,0)),Season,'Summarized Modified Source Data'!$A37,Sector,'Summarized Modified Source Data'!S$2,TimeOfWeek,$D37)*Aircraft</f>
        <v>0</v>
      </c>
      <c r="T37" s="33">
        <f>SUMIFS(INDEX(Load,,MATCH('Summarized Modified Source Data'!$B37,Hour,0)),Season,'Summarized Modified Source Data'!$A37,Sector,'Summarized Modified Source Data'!T$2,TimeOfWeek,$D37)*Rail</f>
        <v>25099822.507304113</v>
      </c>
      <c r="U37" s="33">
        <f>SUMIFS(INDEX(Load,,MATCH('Summarized Modified Source Data'!$B37,Hour,0)),Season,'Summarized Modified Source Data'!$A37,Sector,'Summarized Modified Source Data'!U$2,TimeOfWeek,$D37)*Ships</f>
        <v>0</v>
      </c>
      <c r="V37" s="33">
        <f>SUMIFS(INDEX(Load,,MATCH('Summarized Modified Source Data'!$B37,Hour,0)),Season,'Summarized Modified Source Data'!$A37,Sector,'Summarized Modified Source Data'!V$2,TimeOfWeek,$D37)*Motorbikes</f>
        <v>0</v>
      </c>
      <c r="W37" s="25">
        <f>SUMIFS(INDEX(Load,,MATCH('Summarized Modified Source Data'!$B37,Hour,0)),Season,'Summarized Modified Source Data'!$A37,Sector,'Summarized Modified Source Data'!W$2,Subsector,'Summarized Modified Source Data'!W$3,TimeOfWeek,$D37)</f>
        <v>2008000000</v>
      </c>
      <c r="X37" s="25">
        <f>SUMIFS(INDEX(Load,,MATCH('Summarized Modified Source Data'!$B37,Hour,0)),Season,'Summarized Modified Source Data'!$A37,Sector,'Summarized Modified Source Data'!X$2,Subsector,'Summarized Modified Source Data'!X$3,TimeOfWeek,$D37)</f>
        <v>0</v>
      </c>
      <c r="Y37" s="25">
        <f>SUMIFS(INDEX(Load,,MATCH('Summarized Modified Source Data'!$B37,Hour,0)),Season,'Summarized Modified Source Data'!$A37,Sector,'Summarized Modified Source Data'!Y$2,Subsector,'Summarized Modified Source Data'!Y$3,TimeOfWeek,$D37)</f>
        <v>0</v>
      </c>
    </row>
    <row r="38" spans="1:25" outlineLevel="1" x14ac:dyDescent="0.25">
      <c r="A38" t="s">
        <v>38</v>
      </c>
      <c r="B38" t="s">
        <v>157</v>
      </c>
      <c r="C38" s="7" t="s">
        <v>9</v>
      </c>
      <c r="D38" t="s">
        <v>117</v>
      </c>
      <c r="E38" s="25">
        <f>SUMIFS(INDEX(Load,,MATCH('Summarized Modified Source Data'!$B38,Hour,0)),Season,'Summarized Modified Source Data'!$A38,Sector,'Summarized Modified Source Data'!E$2,Subsector,'Summarized Modified Source Data'!E$3,TimeOfWeek,$D38)</f>
        <v>17891970</v>
      </c>
      <c r="F38" s="25">
        <f>SUMIFS(INDEX(Load,,MATCH('Summarized Modified Source Data'!$B38,Hour,0)),Season,'Summarized Modified Source Data'!$A38,Sector,'Summarized Modified Source Data'!F$2,Subsector,'Summarized Modified Source Data'!F$3,TimeOfWeek,$D38)</f>
        <v>2370268</v>
      </c>
      <c r="G38" s="25">
        <f>SUMIFS(INDEX(Load,,MATCH('Summarized Modified Source Data'!$B38,Hour,0)),Season,'Summarized Modified Source Data'!$A38,Sector,'Summarized Modified Source Data'!G$2,Subsector,'Summarized Modified Source Data'!G$3,TimeOfWeek,$D38)</f>
        <v>0</v>
      </c>
      <c r="H38" s="25">
        <f>SUMIFS(INDEX(Load,,MATCH('Summarized Modified Source Data'!$B38,Hour,0)),Season,'Summarized Modified Source Data'!$A38,Sector,'Summarized Modified Source Data'!H$2,Subsector,'Summarized Modified Source Data'!H$3,TimeOfWeek,$D38)</f>
        <v>27665356</v>
      </c>
      <c r="I38" s="25">
        <f>SUMIFS(INDEX(Load,,MATCH('Summarized Modified Source Data'!$B38,Hour,0)),Season,'Summarized Modified Source Data'!$A38,Sector,'Summarized Modified Source Data'!I$2,Subsector,'Summarized Modified Source Data'!I$3,TimeOfWeek,$D38)</f>
        <v>35800000</v>
      </c>
      <c r="J38" s="25">
        <f t="shared" si="0"/>
        <v>35800000</v>
      </c>
      <c r="K38" s="25">
        <f>SUMIFS(INDEX(Load,,MATCH('Summarized Modified Source Data'!$B38,Hour,0)),Season,'Summarized Modified Source Data'!$A38,Sector,'Summarized Modified Source Data'!K$2,Subsector,'Summarized Modified Source Data'!K$3,TimeOfWeek,$D38)</f>
        <v>71853044</v>
      </c>
      <c r="L38" s="25">
        <f>SUMIFS(INDEX(Load,,MATCH('Summarized Modified Source Data'!$B38,Hour,0)),Season,'Summarized Modified Source Data'!$A38,Sector,'Summarized Modified Source Data'!L$2,Subsector,'Summarized Modified Source Data'!L$3,TimeOfWeek,$D38)</f>
        <v>16231354</v>
      </c>
      <c r="M38" s="25">
        <f>SUMIFS(INDEX(Load,,MATCH('Summarized Modified Source Data'!$B38,Hour,0)),Season,'Summarized Modified Source Data'!$A38,Sector,'Summarized Modified Source Data'!M$2,Subsector,'Summarized Modified Source Data'!M$3,TimeOfWeek,$D38)</f>
        <v>0</v>
      </c>
      <c r="N38" s="25">
        <f t="shared" si="1"/>
        <v>1544915602</v>
      </c>
      <c r="O38" s="25">
        <f>SUMIFS(INDEX(Load,,MATCH('Summarized Modified Source Data'!$B38,Hour,0)),Season,'Summarized Modified Source Data'!$A38,Sector,'Summarized Modified Source Data'!O$2,Subsector,"Total",TimeOfWeek,$D38)-SUM(K38:M38)</f>
        <v>1544915602</v>
      </c>
      <c r="P38" s="25">
        <f t="shared" si="2"/>
        <v>1544915602</v>
      </c>
      <c r="Q38" s="33" cm="1">
        <f t="array" ref="Q38">SUMIFS(INDEX(Load,,MATCH('Summarized Modified Source Data'!$B38,Hour,0)),Season,'Summarized Modified Source Data'!$A38,Sector,'Summarized Modified Source Data'!Q$2,TimeOfWeek,$D38)*LDVs</f>
        <v>9878825.4799135067</v>
      </c>
      <c r="R38" s="33" cm="1">
        <f t="array" ref="R38">SUMIFS(INDEX(Load,,MATCH('Summarized Modified Source Data'!$B38,Hour,0)),Season,'Summarized Modified Source Data'!$A38,Sector,'Summarized Modified Source Data'!R$2,TimeOfWeek,$D38)*HDVs</f>
        <v>4654960.5234697154</v>
      </c>
      <c r="S38" s="33">
        <f>SUMIFS(INDEX(Load,,MATCH('Summarized Modified Source Data'!$B38,Hour,0)),Season,'Summarized Modified Source Data'!$A38,Sector,'Summarized Modified Source Data'!S$2,TimeOfWeek,$D38)*Aircraft</f>
        <v>0</v>
      </c>
      <c r="T38" s="33">
        <f>SUMIFS(INDEX(Load,,MATCH('Summarized Modified Source Data'!$B38,Hour,0)),Season,'Summarized Modified Source Data'!$A38,Sector,'Summarized Modified Source Data'!T$2,TimeOfWeek,$D38)*Rail</f>
        <v>20266213.996616777</v>
      </c>
      <c r="U38" s="33">
        <f>SUMIFS(INDEX(Load,,MATCH('Summarized Modified Source Data'!$B38,Hour,0)),Season,'Summarized Modified Source Data'!$A38,Sector,'Summarized Modified Source Data'!U$2,TimeOfWeek,$D38)*Ships</f>
        <v>0</v>
      </c>
      <c r="V38" s="33">
        <f>SUMIFS(INDEX(Load,,MATCH('Summarized Modified Source Data'!$B38,Hour,0)),Season,'Summarized Modified Source Data'!$A38,Sector,'Summarized Modified Source Data'!V$2,TimeOfWeek,$D38)*Motorbikes</f>
        <v>0</v>
      </c>
      <c r="W38" s="25">
        <f>SUMIFS(INDEX(Load,,MATCH('Summarized Modified Source Data'!$B38,Hour,0)),Season,'Summarized Modified Source Data'!$A38,Sector,'Summarized Modified Source Data'!W$2,Subsector,'Summarized Modified Source Data'!W$3,TimeOfWeek,$D38)</f>
        <v>2000000000</v>
      </c>
      <c r="X38" s="25">
        <f>SUMIFS(INDEX(Load,,MATCH('Summarized Modified Source Data'!$B38,Hour,0)),Season,'Summarized Modified Source Data'!$A38,Sector,'Summarized Modified Source Data'!X$2,Subsector,'Summarized Modified Source Data'!X$3,TimeOfWeek,$D38)</f>
        <v>0</v>
      </c>
      <c r="Y38" s="25">
        <f>SUMIFS(INDEX(Load,,MATCH('Summarized Modified Source Data'!$B38,Hour,0)),Season,'Summarized Modified Source Data'!$A38,Sector,'Summarized Modified Source Data'!Y$2,Subsector,'Summarized Modified Source Data'!Y$3,TimeOfWeek,$D38)</f>
        <v>0</v>
      </c>
    </row>
    <row r="39" spans="1:25" outlineLevel="1" x14ac:dyDescent="0.25">
      <c r="A39" t="s">
        <v>38</v>
      </c>
      <c r="B39" t="s">
        <v>158</v>
      </c>
      <c r="C39" s="7" t="s">
        <v>10</v>
      </c>
      <c r="D39" t="s">
        <v>117</v>
      </c>
      <c r="E39" s="25">
        <f>SUMIFS(INDEX(Load,,MATCH('Summarized Modified Source Data'!$B39,Hour,0)),Season,'Summarized Modified Source Data'!$A39,Sector,'Summarized Modified Source Data'!E$2,Subsector,'Summarized Modified Source Data'!E$3,TimeOfWeek,$D39)</f>
        <v>18679181</v>
      </c>
      <c r="F39" s="25">
        <f>SUMIFS(INDEX(Load,,MATCH('Summarized Modified Source Data'!$B39,Hour,0)),Season,'Summarized Modified Source Data'!$A39,Sector,'Summarized Modified Source Data'!F$2,Subsector,'Summarized Modified Source Data'!F$3,TimeOfWeek,$D39)</f>
        <v>4101353</v>
      </c>
      <c r="G39" s="25">
        <f>SUMIFS(INDEX(Load,,MATCH('Summarized Modified Source Data'!$B39,Hour,0)),Season,'Summarized Modified Source Data'!$A39,Sector,'Summarized Modified Source Data'!G$2,Subsector,'Summarized Modified Source Data'!G$3,TimeOfWeek,$D39)</f>
        <v>0</v>
      </c>
      <c r="H39" s="25">
        <f>SUMIFS(INDEX(Load,,MATCH('Summarized Modified Source Data'!$B39,Hour,0)),Season,'Summarized Modified Source Data'!$A39,Sector,'Summarized Modified Source Data'!H$2,Subsector,'Summarized Modified Source Data'!H$3,TimeOfWeek,$D39)</f>
        <v>30283070</v>
      </c>
      <c r="I39" s="25">
        <f>SUMIFS(INDEX(Load,,MATCH('Summarized Modified Source Data'!$B39,Hour,0)),Season,'Summarized Modified Source Data'!$A39,Sector,'Summarized Modified Source Data'!I$2,Subsector,'Summarized Modified Source Data'!I$3,TimeOfWeek,$D39)</f>
        <v>30935780</v>
      </c>
      <c r="J39" s="25">
        <f t="shared" si="0"/>
        <v>30935780</v>
      </c>
      <c r="K39" s="25">
        <f>SUMIFS(INDEX(Load,,MATCH('Summarized Modified Source Data'!$B39,Hour,0)),Season,'Summarized Modified Source Data'!$A39,Sector,'Summarized Modified Source Data'!K$2,Subsector,'Summarized Modified Source Data'!K$3,TimeOfWeek,$D39)</f>
        <v>60394629</v>
      </c>
      <c r="L39" s="25">
        <f>SUMIFS(INDEX(Load,,MATCH('Summarized Modified Source Data'!$B39,Hour,0)),Season,'Summarized Modified Source Data'!$A39,Sector,'Summarized Modified Source Data'!L$2,Subsector,'Summarized Modified Source Data'!L$3,TimeOfWeek,$D39)</f>
        <v>17543084</v>
      </c>
      <c r="M39" s="25">
        <f>SUMIFS(INDEX(Load,,MATCH('Summarized Modified Source Data'!$B39,Hour,0)),Season,'Summarized Modified Source Data'!$A39,Sector,'Summarized Modified Source Data'!M$2,Subsector,'Summarized Modified Source Data'!M$3,TimeOfWeek,$D39)</f>
        <v>0</v>
      </c>
      <c r="N39" s="25">
        <f t="shared" si="1"/>
        <v>1540062287</v>
      </c>
      <c r="O39" s="25">
        <f>SUMIFS(INDEX(Load,,MATCH('Summarized Modified Source Data'!$B39,Hour,0)),Season,'Summarized Modified Source Data'!$A39,Sector,'Summarized Modified Source Data'!O$2,Subsector,"Total",TimeOfWeek,$D39)-SUM(K39:M39)</f>
        <v>1540062287</v>
      </c>
      <c r="P39" s="25">
        <f t="shared" si="2"/>
        <v>1540062287</v>
      </c>
      <c r="Q39" s="33" cm="1">
        <f t="array" ref="Q39">SUMIFS(INDEX(Load,,MATCH('Summarized Modified Source Data'!$B39,Hour,0)),Season,'Summarized Modified Source Data'!$A39,Sector,'Summarized Modified Source Data'!Q$2,TimeOfWeek,$D39)*LDVs</f>
        <v>9878825.4799135067</v>
      </c>
      <c r="R39" s="33" cm="1">
        <f t="array" ref="R39">SUMIFS(INDEX(Load,,MATCH('Summarized Modified Source Data'!$B39,Hour,0)),Season,'Summarized Modified Source Data'!$A39,Sector,'Summarized Modified Source Data'!R$2,TimeOfWeek,$D39)*HDVs</f>
        <v>4654960.5234697154</v>
      </c>
      <c r="S39" s="33">
        <f>SUMIFS(INDEX(Load,,MATCH('Summarized Modified Source Data'!$B39,Hour,0)),Season,'Summarized Modified Source Data'!$A39,Sector,'Summarized Modified Source Data'!S$2,TimeOfWeek,$D39)*Aircraft</f>
        <v>0</v>
      </c>
      <c r="T39" s="33">
        <f>SUMIFS(INDEX(Load,,MATCH('Summarized Modified Source Data'!$B39,Hour,0)),Season,'Summarized Modified Source Data'!$A39,Sector,'Summarized Modified Source Data'!T$2,TimeOfWeek,$D39)*Rail</f>
        <v>20266213.996616777</v>
      </c>
      <c r="U39" s="33">
        <f>SUMIFS(INDEX(Load,,MATCH('Summarized Modified Source Data'!$B39,Hour,0)),Season,'Summarized Modified Source Data'!$A39,Sector,'Summarized Modified Source Data'!U$2,TimeOfWeek,$D39)*Ships</f>
        <v>0</v>
      </c>
      <c r="V39" s="33">
        <f>SUMIFS(INDEX(Load,,MATCH('Summarized Modified Source Data'!$B39,Hour,0)),Season,'Summarized Modified Source Data'!$A39,Sector,'Summarized Modified Source Data'!V$2,TimeOfWeek,$D39)*Motorbikes</f>
        <v>0</v>
      </c>
      <c r="W39" s="25">
        <f>SUMIFS(INDEX(Load,,MATCH('Summarized Modified Source Data'!$B39,Hour,0)),Season,'Summarized Modified Source Data'!$A39,Sector,'Summarized Modified Source Data'!W$2,Subsector,'Summarized Modified Source Data'!W$3,TimeOfWeek,$D39)</f>
        <v>1994000000</v>
      </c>
      <c r="X39" s="25">
        <f>SUMIFS(INDEX(Load,,MATCH('Summarized Modified Source Data'!$B39,Hour,0)),Season,'Summarized Modified Source Data'!$A39,Sector,'Summarized Modified Source Data'!X$2,Subsector,'Summarized Modified Source Data'!X$3,TimeOfWeek,$D39)</f>
        <v>0</v>
      </c>
      <c r="Y39" s="25">
        <f>SUMIFS(INDEX(Load,,MATCH('Summarized Modified Source Data'!$B39,Hour,0)),Season,'Summarized Modified Source Data'!$A39,Sector,'Summarized Modified Source Data'!Y$2,Subsector,'Summarized Modified Source Data'!Y$3,TimeOfWeek,$D39)</f>
        <v>0</v>
      </c>
    </row>
    <row r="40" spans="1:25" outlineLevel="1" x14ac:dyDescent="0.25">
      <c r="A40" t="s">
        <v>38</v>
      </c>
      <c r="B40" t="s">
        <v>159</v>
      </c>
      <c r="C40" s="7" t="s">
        <v>11</v>
      </c>
      <c r="D40" t="s">
        <v>117</v>
      </c>
      <c r="E40" s="25">
        <f>SUMIFS(INDEX(Load,,MATCH('Summarized Modified Source Data'!$B40,Hour,0)),Season,'Summarized Modified Source Data'!$A40,Sector,'Summarized Modified Source Data'!E$2,Subsector,'Summarized Modified Source Data'!E$3,TimeOfWeek,$D40)</f>
        <v>19216309</v>
      </c>
      <c r="F40" s="25">
        <f>SUMIFS(INDEX(Load,,MATCH('Summarized Modified Source Data'!$B40,Hour,0)),Season,'Summarized Modified Source Data'!$A40,Sector,'Summarized Modified Source Data'!F$2,Subsector,'Summarized Modified Source Data'!F$3,TimeOfWeek,$D40)</f>
        <v>5707935</v>
      </c>
      <c r="G40" s="25">
        <f>SUMIFS(INDEX(Load,,MATCH('Summarized Modified Source Data'!$B40,Hour,0)),Season,'Summarized Modified Source Data'!$A40,Sector,'Summarized Modified Source Data'!G$2,Subsector,'Summarized Modified Source Data'!G$3,TimeOfWeek,$D40)</f>
        <v>0</v>
      </c>
      <c r="H40" s="25">
        <f>SUMIFS(INDEX(Load,,MATCH('Summarized Modified Source Data'!$B40,Hour,0)),Season,'Summarized Modified Source Data'!$A40,Sector,'Summarized Modified Source Data'!H$2,Subsector,'Summarized Modified Source Data'!H$3,TimeOfWeek,$D40)</f>
        <v>32000000</v>
      </c>
      <c r="I40" s="25">
        <f>SUMIFS(INDEX(Load,,MATCH('Summarized Modified Source Data'!$B40,Hour,0)),Season,'Summarized Modified Source Data'!$A40,Sector,'Summarized Modified Source Data'!I$2,Subsector,'Summarized Modified Source Data'!I$3,TimeOfWeek,$D40)</f>
        <v>25115662</v>
      </c>
      <c r="J40" s="25">
        <f t="shared" si="0"/>
        <v>25115662</v>
      </c>
      <c r="K40" s="25">
        <f>SUMIFS(INDEX(Load,,MATCH('Summarized Modified Source Data'!$B40,Hour,0)),Season,'Summarized Modified Source Data'!$A40,Sector,'Summarized Modified Source Data'!K$2,Subsector,'Summarized Modified Source Data'!K$3,TimeOfWeek,$D40)</f>
        <v>54050673</v>
      </c>
      <c r="L40" s="25">
        <f>SUMIFS(INDEX(Load,,MATCH('Summarized Modified Source Data'!$B40,Hour,0)),Season,'Summarized Modified Source Data'!$A40,Sector,'Summarized Modified Source Data'!L$2,Subsector,'Summarized Modified Source Data'!L$3,TimeOfWeek,$D40)</f>
        <v>17908452</v>
      </c>
      <c r="M40" s="25">
        <f>SUMIFS(INDEX(Load,,MATCH('Summarized Modified Source Data'!$B40,Hour,0)),Season,'Summarized Modified Source Data'!$A40,Sector,'Summarized Modified Source Data'!M$2,Subsector,'Summarized Modified Source Data'!M$3,TimeOfWeek,$D40)</f>
        <v>0</v>
      </c>
      <c r="N40" s="25">
        <f t="shared" si="1"/>
        <v>1514040875</v>
      </c>
      <c r="O40" s="25">
        <f>SUMIFS(INDEX(Load,,MATCH('Summarized Modified Source Data'!$B40,Hour,0)),Season,'Summarized Modified Source Data'!$A40,Sector,'Summarized Modified Source Data'!O$2,Subsector,"Total",TimeOfWeek,$D40)-SUM(K40:M40)</f>
        <v>1514040875</v>
      </c>
      <c r="P40" s="25">
        <f t="shared" si="2"/>
        <v>1514040875</v>
      </c>
      <c r="Q40" s="33" cm="1">
        <f t="array" ref="Q40">SUMIFS(INDEX(Load,,MATCH('Summarized Modified Source Data'!$B40,Hour,0)),Season,'Summarized Modified Source Data'!$A40,Sector,'Summarized Modified Source Data'!Q$2,TimeOfWeek,$D40)*LDVs</f>
        <v>10049150.057153394</v>
      </c>
      <c r="R40" s="33" cm="1">
        <f t="array" ref="R40">SUMIFS(INDEX(Load,,MATCH('Summarized Modified Source Data'!$B40,Hour,0)),Season,'Summarized Modified Source Data'!$A40,Sector,'Summarized Modified Source Data'!R$2,TimeOfWeek,$D40)*HDVs</f>
        <v>4735218.4635295384</v>
      </c>
      <c r="S40" s="33">
        <f>SUMIFS(INDEX(Load,,MATCH('Summarized Modified Source Data'!$B40,Hour,0)),Season,'Summarized Modified Source Data'!$A40,Sector,'Summarized Modified Source Data'!S$2,TimeOfWeek,$D40)*Aircraft</f>
        <v>0</v>
      </c>
      <c r="T40" s="33">
        <f>SUMIFS(INDEX(Load,,MATCH('Summarized Modified Source Data'!$B40,Hour,0)),Season,'Summarized Modified Source Data'!$A40,Sector,'Summarized Modified Source Data'!T$2,TimeOfWeek,$D40)*Rail</f>
        <v>20615631.479317065</v>
      </c>
      <c r="U40" s="33">
        <f>SUMIFS(INDEX(Load,,MATCH('Summarized Modified Source Data'!$B40,Hour,0)),Season,'Summarized Modified Source Data'!$A40,Sector,'Summarized Modified Source Data'!U$2,TimeOfWeek,$D40)*Ships</f>
        <v>0</v>
      </c>
      <c r="V40" s="33">
        <f>SUMIFS(INDEX(Load,,MATCH('Summarized Modified Source Data'!$B40,Hour,0)),Season,'Summarized Modified Source Data'!$A40,Sector,'Summarized Modified Source Data'!V$2,TimeOfWeek,$D40)*Motorbikes</f>
        <v>0</v>
      </c>
      <c r="W40" s="25">
        <f>SUMIFS(INDEX(Load,,MATCH('Summarized Modified Source Data'!$B40,Hour,0)),Season,'Summarized Modified Source Data'!$A40,Sector,'Summarized Modified Source Data'!W$2,Subsector,'Summarized Modified Source Data'!W$3,TimeOfWeek,$D40)</f>
        <v>1987000000</v>
      </c>
      <c r="X40" s="25">
        <f>SUMIFS(INDEX(Load,,MATCH('Summarized Modified Source Data'!$B40,Hour,0)),Season,'Summarized Modified Source Data'!$A40,Sector,'Summarized Modified Source Data'!X$2,Subsector,'Summarized Modified Source Data'!X$3,TimeOfWeek,$D40)</f>
        <v>0</v>
      </c>
      <c r="Y40" s="25">
        <f>SUMIFS(INDEX(Load,,MATCH('Summarized Modified Source Data'!$B40,Hour,0)),Season,'Summarized Modified Source Data'!$A40,Sector,'Summarized Modified Source Data'!Y$2,Subsector,'Summarized Modified Source Data'!Y$3,TimeOfWeek,$D40)</f>
        <v>0</v>
      </c>
    </row>
    <row r="41" spans="1:25" outlineLevel="1" x14ac:dyDescent="0.25">
      <c r="A41" t="s">
        <v>38</v>
      </c>
      <c r="B41" t="s">
        <v>160</v>
      </c>
      <c r="C41" s="7" t="s">
        <v>12</v>
      </c>
      <c r="D41" t="s">
        <v>117</v>
      </c>
      <c r="E41" s="25">
        <f>SUMIFS(INDEX(Load,,MATCH('Summarized Modified Source Data'!$B41,Hour,0)),Season,'Summarized Modified Source Data'!$A41,Sector,'Summarized Modified Source Data'!E$2,Subsector,'Summarized Modified Source Data'!E$3,TimeOfWeek,$D41)</f>
        <v>19383021</v>
      </c>
      <c r="F41" s="25">
        <f>SUMIFS(INDEX(Load,,MATCH('Summarized Modified Source Data'!$B41,Hour,0)),Season,'Summarized Modified Source Data'!$A41,Sector,'Summarized Modified Source Data'!F$2,Subsector,'Summarized Modified Source Data'!F$3,TimeOfWeek,$D41)</f>
        <v>7226469</v>
      </c>
      <c r="G41" s="25">
        <f>SUMIFS(INDEX(Load,,MATCH('Summarized Modified Source Data'!$B41,Hour,0)),Season,'Summarized Modified Source Data'!$A41,Sector,'Summarized Modified Source Data'!G$2,Subsector,'Summarized Modified Source Data'!G$3,TimeOfWeek,$D41)</f>
        <v>0</v>
      </c>
      <c r="H41" s="25">
        <f>SUMIFS(INDEX(Load,,MATCH('Summarized Modified Source Data'!$B41,Hour,0)),Season,'Summarized Modified Source Data'!$A41,Sector,'Summarized Modified Source Data'!H$2,Subsector,'Summarized Modified Source Data'!H$3,TimeOfWeek,$D41)</f>
        <v>32400000</v>
      </c>
      <c r="I41" s="25">
        <f>SUMIFS(INDEX(Load,,MATCH('Summarized Modified Source Data'!$B41,Hour,0)),Season,'Summarized Modified Source Data'!$A41,Sector,'Summarized Modified Source Data'!I$2,Subsector,'Summarized Modified Source Data'!I$3,TimeOfWeek,$D41)</f>
        <v>22039507</v>
      </c>
      <c r="J41" s="25">
        <f t="shared" si="0"/>
        <v>22039507</v>
      </c>
      <c r="K41" s="25">
        <f>SUMIFS(INDEX(Load,,MATCH('Summarized Modified Source Data'!$B41,Hour,0)),Season,'Summarized Modified Source Data'!$A41,Sector,'Summarized Modified Source Data'!K$2,Subsector,'Summarized Modified Source Data'!K$3,TimeOfWeek,$D41)</f>
        <v>49723149</v>
      </c>
      <c r="L41" s="25">
        <f>SUMIFS(INDEX(Load,,MATCH('Summarized Modified Source Data'!$B41,Hour,0)),Season,'Summarized Modified Source Data'!$A41,Sector,'Summarized Modified Source Data'!L$2,Subsector,'Summarized Modified Source Data'!L$3,TimeOfWeek,$D41)</f>
        <v>18732302</v>
      </c>
      <c r="M41" s="25">
        <f>SUMIFS(INDEX(Load,,MATCH('Summarized Modified Source Data'!$B41,Hour,0)),Season,'Summarized Modified Source Data'!$A41,Sector,'Summarized Modified Source Data'!M$2,Subsector,'Summarized Modified Source Data'!M$3,TimeOfWeek,$D41)</f>
        <v>0</v>
      </c>
      <c r="N41" s="25">
        <f t="shared" si="1"/>
        <v>1515544549</v>
      </c>
      <c r="O41" s="25">
        <f>SUMIFS(INDEX(Load,,MATCH('Summarized Modified Source Data'!$B41,Hour,0)),Season,'Summarized Modified Source Data'!$A41,Sector,'Summarized Modified Source Data'!O$2,Subsector,"Total",TimeOfWeek,$D41)-SUM(K41:M41)</f>
        <v>1515544549</v>
      </c>
      <c r="P41" s="25">
        <f t="shared" si="2"/>
        <v>1515544549</v>
      </c>
      <c r="Q41" s="33" cm="1">
        <f t="array" ref="Q41">SUMIFS(INDEX(Load,,MATCH('Summarized Modified Source Data'!$B41,Hour,0)),Season,'Summarized Modified Source Data'!$A41,Sector,'Summarized Modified Source Data'!Q$2,TimeOfWeek,$D41)*LDVs</f>
        <v>10049150.057153394</v>
      </c>
      <c r="R41" s="33" cm="1">
        <f t="array" ref="R41">SUMIFS(INDEX(Load,,MATCH('Summarized Modified Source Data'!$B41,Hour,0)),Season,'Summarized Modified Source Data'!$A41,Sector,'Summarized Modified Source Data'!R$2,TimeOfWeek,$D41)*HDVs</f>
        <v>4735218.4635295384</v>
      </c>
      <c r="S41" s="33">
        <f>SUMIFS(INDEX(Load,,MATCH('Summarized Modified Source Data'!$B41,Hour,0)),Season,'Summarized Modified Source Data'!$A41,Sector,'Summarized Modified Source Data'!S$2,TimeOfWeek,$D41)*Aircraft</f>
        <v>0</v>
      </c>
      <c r="T41" s="33">
        <f>SUMIFS(INDEX(Load,,MATCH('Summarized Modified Source Data'!$B41,Hour,0)),Season,'Summarized Modified Source Data'!$A41,Sector,'Summarized Modified Source Data'!T$2,TimeOfWeek,$D41)*Rail</f>
        <v>20615631.479317065</v>
      </c>
      <c r="U41" s="33">
        <f>SUMIFS(INDEX(Load,,MATCH('Summarized Modified Source Data'!$B41,Hour,0)),Season,'Summarized Modified Source Data'!$A41,Sector,'Summarized Modified Source Data'!U$2,TimeOfWeek,$D41)*Ships</f>
        <v>0</v>
      </c>
      <c r="V41" s="33">
        <f>SUMIFS(INDEX(Load,,MATCH('Summarized Modified Source Data'!$B41,Hour,0)),Season,'Summarized Modified Source Data'!$A41,Sector,'Summarized Modified Source Data'!V$2,TimeOfWeek,$D41)*Motorbikes</f>
        <v>0</v>
      </c>
      <c r="W41" s="25">
        <f>SUMIFS(INDEX(Load,,MATCH('Summarized Modified Source Data'!$B41,Hour,0)),Season,'Summarized Modified Source Data'!$A41,Sector,'Summarized Modified Source Data'!W$2,Subsector,'Summarized Modified Source Data'!W$3,TimeOfWeek,$D41)</f>
        <v>1986000000</v>
      </c>
      <c r="X41" s="25">
        <f>SUMIFS(INDEX(Load,,MATCH('Summarized Modified Source Data'!$B41,Hour,0)),Season,'Summarized Modified Source Data'!$A41,Sector,'Summarized Modified Source Data'!X$2,Subsector,'Summarized Modified Source Data'!X$3,TimeOfWeek,$D41)</f>
        <v>0</v>
      </c>
      <c r="Y41" s="25">
        <f>SUMIFS(INDEX(Load,,MATCH('Summarized Modified Source Data'!$B41,Hour,0)),Season,'Summarized Modified Source Data'!$A41,Sector,'Summarized Modified Source Data'!Y$2,Subsector,'Summarized Modified Source Data'!Y$3,TimeOfWeek,$D41)</f>
        <v>0</v>
      </c>
    </row>
    <row r="42" spans="1:25" outlineLevel="1" x14ac:dyDescent="0.25">
      <c r="A42" t="s">
        <v>38</v>
      </c>
      <c r="B42" t="s">
        <v>161</v>
      </c>
      <c r="C42" s="7" t="s">
        <v>13</v>
      </c>
      <c r="D42" t="s">
        <v>117</v>
      </c>
      <c r="E42" s="25">
        <f>SUMIFS(INDEX(Load,,MATCH('Summarized Modified Source Data'!$B42,Hour,0)),Season,'Summarized Modified Source Data'!$A42,Sector,'Summarized Modified Source Data'!E$2,Subsector,'Summarized Modified Source Data'!E$3,TimeOfWeek,$D42)</f>
        <v>19704387</v>
      </c>
      <c r="F42" s="25">
        <f>SUMIFS(INDEX(Load,,MATCH('Summarized Modified Source Data'!$B42,Hour,0)),Season,'Summarized Modified Source Data'!$A42,Sector,'Summarized Modified Source Data'!F$2,Subsector,'Summarized Modified Source Data'!F$3,TimeOfWeek,$D42)</f>
        <v>8319192</v>
      </c>
      <c r="G42" s="25">
        <f>SUMIFS(INDEX(Load,,MATCH('Summarized Modified Source Data'!$B42,Hour,0)),Season,'Summarized Modified Source Data'!$A42,Sector,'Summarized Modified Source Data'!G$2,Subsector,'Summarized Modified Source Data'!G$3,TimeOfWeek,$D42)</f>
        <v>0</v>
      </c>
      <c r="H42" s="25">
        <f>SUMIFS(INDEX(Load,,MATCH('Summarized Modified Source Data'!$B42,Hour,0)),Season,'Summarized Modified Source Data'!$A42,Sector,'Summarized Modified Source Data'!H$2,Subsector,'Summarized Modified Source Data'!H$3,TimeOfWeek,$D42)</f>
        <v>33200000</v>
      </c>
      <c r="I42" s="25">
        <f>SUMIFS(INDEX(Load,,MATCH('Summarized Modified Source Data'!$B42,Hour,0)),Season,'Summarized Modified Source Data'!$A42,Sector,'Summarized Modified Source Data'!I$2,Subsector,'Summarized Modified Source Data'!I$3,TimeOfWeek,$D42)</f>
        <v>21653493</v>
      </c>
      <c r="J42" s="25">
        <f t="shared" si="0"/>
        <v>21653493</v>
      </c>
      <c r="K42" s="25">
        <f>SUMIFS(INDEX(Load,,MATCH('Summarized Modified Source Data'!$B42,Hour,0)),Season,'Summarized Modified Source Data'!$A42,Sector,'Summarized Modified Source Data'!K$2,Subsector,'Summarized Modified Source Data'!K$3,TimeOfWeek,$D42)</f>
        <v>46357311</v>
      </c>
      <c r="L42" s="25">
        <f>SUMIFS(INDEX(Load,,MATCH('Summarized Modified Source Data'!$B42,Hour,0)),Season,'Summarized Modified Source Data'!$A42,Sector,'Summarized Modified Source Data'!L$2,Subsector,'Summarized Modified Source Data'!L$3,TimeOfWeek,$D42)</f>
        <v>19357515</v>
      </c>
      <c r="M42" s="25">
        <f>SUMIFS(INDEX(Load,,MATCH('Summarized Modified Source Data'!$B42,Hour,0)),Season,'Summarized Modified Source Data'!$A42,Sector,'Summarized Modified Source Data'!M$2,Subsector,'Summarized Modified Source Data'!M$3,TimeOfWeek,$D42)</f>
        <v>0</v>
      </c>
      <c r="N42" s="25">
        <f t="shared" si="1"/>
        <v>1514285174</v>
      </c>
      <c r="O42" s="25">
        <f>SUMIFS(INDEX(Load,,MATCH('Summarized Modified Source Data'!$B42,Hour,0)),Season,'Summarized Modified Source Data'!$A42,Sector,'Summarized Modified Source Data'!O$2,Subsector,"Total",TimeOfWeek,$D42)-SUM(K42:M42)</f>
        <v>1514285174</v>
      </c>
      <c r="P42" s="25">
        <f t="shared" si="2"/>
        <v>1514285174</v>
      </c>
      <c r="Q42" s="33" cm="1">
        <f t="array" ref="Q42">SUMIFS(INDEX(Load,,MATCH('Summarized Modified Source Data'!$B42,Hour,0)),Season,'Summarized Modified Source Data'!$A42,Sector,'Summarized Modified Source Data'!Q$2,TimeOfWeek,$D42)*LDVs</f>
        <v>9878825.4799135067</v>
      </c>
      <c r="R42" s="33" cm="1">
        <f t="array" ref="R42">SUMIFS(INDEX(Load,,MATCH('Summarized Modified Source Data'!$B42,Hour,0)),Season,'Summarized Modified Source Data'!$A42,Sector,'Summarized Modified Source Data'!R$2,TimeOfWeek,$D42)*HDVs</f>
        <v>4654960.5234697154</v>
      </c>
      <c r="S42" s="33">
        <f>SUMIFS(INDEX(Load,,MATCH('Summarized Modified Source Data'!$B42,Hour,0)),Season,'Summarized Modified Source Data'!$A42,Sector,'Summarized Modified Source Data'!S$2,TimeOfWeek,$D42)*Aircraft</f>
        <v>0</v>
      </c>
      <c r="T42" s="33">
        <f>SUMIFS(INDEX(Load,,MATCH('Summarized Modified Source Data'!$B42,Hour,0)),Season,'Summarized Modified Source Data'!$A42,Sector,'Summarized Modified Source Data'!T$2,TimeOfWeek,$D42)*Rail</f>
        <v>20266213.996616777</v>
      </c>
      <c r="U42" s="33">
        <f>SUMIFS(INDEX(Load,,MATCH('Summarized Modified Source Data'!$B42,Hour,0)),Season,'Summarized Modified Source Data'!$A42,Sector,'Summarized Modified Source Data'!U$2,TimeOfWeek,$D42)*Ships</f>
        <v>0</v>
      </c>
      <c r="V42" s="33">
        <f>SUMIFS(INDEX(Load,,MATCH('Summarized Modified Source Data'!$B42,Hour,0)),Season,'Summarized Modified Source Data'!$A42,Sector,'Summarized Modified Source Data'!V$2,TimeOfWeek,$D42)*Motorbikes</f>
        <v>0</v>
      </c>
      <c r="W42" s="25">
        <f>SUMIFS(INDEX(Load,,MATCH('Summarized Modified Source Data'!$B42,Hour,0)),Season,'Summarized Modified Source Data'!$A42,Sector,'Summarized Modified Source Data'!W$2,Subsector,'Summarized Modified Source Data'!W$3,TimeOfWeek,$D42)</f>
        <v>1989000000</v>
      </c>
      <c r="X42" s="25">
        <f>SUMIFS(INDEX(Load,,MATCH('Summarized Modified Source Data'!$B42,Hour,0)),Season,'Summarized Modified Source Data'!$A42,Sector,'Summarized Modified Source Data'!X$2,Subsector,'Summarized Modified Source Data'!X$3,TimeOfWeek,$D42)</f>
        <v>0</v>
      </c>
      <c r="Y42" s="25">
        <f>SUMIFS(INDEX(Load,,MATCH('Summarized Modified Source Data'!$B42,Hour,0)),Season,'Summarized Modified Source Data'!$A42,Sector,'Summarized Modified Source Data'!Y$2,Subsector,'Summarized Modified Source Data'!Y$3,TimeOfWeek,$D42)</f>
        <v>0</v>
      </c>
    </row>
    <row r="43" spans="1:25" outlineLevel="1" x14ac:dyDescent="0.25">
      <c r="A43" t="s">
        <v>38</v>
      </c>
      <c r="B43" t="s">
        <v>162</v>
      </c>
      <c r="C43" s="7" t="s">
        <v>14</v>
      </c>
      <c r="D43" t="s">
        <v>117</v>
      </c>
      <c r="E43" s="25">
        <f>SUMIFS(INDEX(Load,,MATCH('Summarized Modified Source Data'!$B43,Hour,0)),Season,'Summarized Modified Source Data'!$A43,Sector,'Summarized Modified Source Data'!E$2,Subsector,'Summarized Modified Source Data'!E$3,TimeOfWeek,$D43)</f>
        <v>20596418</v>
      </c>
      <c r="F43" s="25">
        <f>SUMIFS(INDEX(Load,,MATCH('Summarized Modified Source Data'!$B43,Hour,0)),Season,'Summarized Modified Source Data'!$A43,Sector,'Summarized Modified Source Data'!F$2,Subsector,'Summarized Modified Source Data'!F$3,TimeOfWeek,$D43)</f>
        <v>8242030</v>
      </c>
      <c r="G43" s="25">
        <f>SUMIFS(INDEX(Load,,MATCH('Summarized Modified Source Data'!$B43,Hour,0)),Season,'Summarized Modified Source Data'!$A43,Sector,'Summarized Modified Source Data'!G$2,Subsector,'Summarized Modified Source Data'!G$3,TimeOfWeek,$D43)</f>
        <v>0</v>
      </c>
      <c r="H43" s="25">
        <f>SUMIFS(INDEX(Load,,MATCH('Summarized Modified Source Data'!$B43,Hour,0)),Season,'Summarized Modified Source Data'!$A43,Sector,'Summarized Modified Source Data'!H$2,Subsector,'Summarized Modified Source Data'!H$3,TimeOfWeek,$D43)</f>
        <v>35900000</v>
      </c>
      <c r="I43" s="25">
        <f>SUMIFS(INDEX(Load,,MATCH('Summarized Modified Source Data'!$B43,Hour,0)),Season,'Summarized Modified Source Data'!$A43,Sector,'Summarized Modified Source Data'!I$2,Subsector,'Summarized Modified Source Data'!I$3,TimeOfWeek,$D43)</f>
        <v>21885938</v>
      </c>
      <c r="J43" s="25">
        <f t="shared" si="0"/>
        <v>21885938</v>
      </c>
      <c r="K43" s="25">
        <f>SUMIFS(INDEX(Load,,MATCH('Summarized Modified Source Data'!$B43,Hour,0)),Season,'Summarized Modified Source Data'!$A43,Sector,'Summarized Modified Source Data'!K$2,Subsector,'Summarized Modified Source Data'!K$3,TimeOfWeek,$D43)</f>
        <v>43172823</v>
      </c>
      <c r="L43" s="25">
        <f>SUMIFS(INDEX(Load,,MATCH('Summarized Modified Source Data'!$B43,Hour,0)),Season,'Summarized Modified Source Data'!$A43,Sector,'Summarized Modified Source Data'!L$2,Subsector,'Summarized Modified Source Data'!L$3,TimeOfWeek,$D43)</f>
        <v>19155841</v>
      </c>
      <c r="M43" s="25">
        <f>SUMIFS(INDEX(Load,,MATCH('Summarized Modified Source Data'!$B43,Hour,0)),Season,'Summarized Modified Source Data'!$A43,Sector,'Summarized Modified Source Data'!M$2,Subsector,'Summarized Modified Source Data'!M$3,TimeOfWeek,$D43)</f>
        <v>0</v>
      </c>
      <c r="N43" s="25">
        <f t="shared" si="1"/>
        <v>1514671336</v>
      </c>
      <c r="O43" s="25">
        <f>SUMIFS(INDEX(Load,,MATCH('Summarized Modified Source Data'!$B43,Hour,0)),Season,'Summarized Modified Source Data'!$A43,Sector,'Summarized Modified Source Data'!O$2,Subsector,"Total",TimeOfWeek,$D43)-SUM(K43:M43)</f>
        <v>1514671336</v>
      </c>
      <c r="P43" s="25">
        <f t="shared" si="2"/>
        <v>1514671336</v>
      </c>
      <c r="Q43" s="33" cm="1">
        <f t="array" ref="Q43">SUMIFS(INDEX(Load,,MATCH('Summarized Modified Source Data'!$B43,Hour,0)),Season,'Summarized Modified Source Data'!$A43,Sector,'Summarized Modified Source Data'!Q$2,TimeOfWeek,$D43)*LDVs</f>
        <v>11724008.400012294</v>
      </c>
      <c r="R43" s="33" cm="1">
        <f t="array" ref="R43">SUMIFS(INDEX(Load,,MATCH('Summarized Modified Source Data'!$B43,Hour,0)),Season,'Summarized Modified Source Data'!$A43,Sector,'Summarized Modified Source Data'!R$2,TimeOfWeek,$D43)*HDVs</f>
        <v>5524421.5407844614</v>
      </c>
      <c r="S43" s="33">
        <f>SUMIFS(INDEX(Load,,MATCH('Summarized Modified Source Data'!$B43,Hour,0)),Season,'Summarized Modified Source Data'!$A43,Sector,'Summarized Modified Source Data'!S$2,TimeOfWeek,$D43)*Aircraft</f>
        <v>0</v>
      </c>
      <c r="T43" s="33">
        <f>SUMIFS(INDEX(Load,,MATCH('Summarized Modified Source Data'!$B43,Hour,0)),Season,'Summarized Modified Source Data'!$A43,Sector,'Summarized Modified Source Data'!T$2,TimeOfWeek,$D43)*Rail</f>
        <v>24051570.059203245</v>
      </c>
      <c r="U43" s="33">
        <f>SUMIFS(INDEX(Load,,MATCH('Summarized Modified Source Data'!$B43,Hour,0)),Season,'Summarized Modified Source Data'!$A43,Sector,'Summarized Modified Source Data'!U$2,TimeOfWeek,$D43)*Ships</f>
        <v>0</v>
      </c>
      <c r="V43" s="33">
        <f>SUMIFS(INDEX(Load,,MATCH('Summarized Modified Source Data'!$B43,Hour,0)),Season,'Summarized Modified Source Data'!$A43,Sector,'Summarized Modified Source Data'!V$2,TimeOfWeek,$D43)*Motorbikes</f>
        <v>0</v>
      </c>
      <c r="W43" s="25">
        <f>SUMIFS(INDEX(Load,,MATCH('Summarized Modified Source Data'!$B43,Hour,0)),Season,'Summarized Modified Source Data'!$A43,Sector,'Summarized Modified Source Data'!W$2,Subsector,'Summarized Modified Source Data'!W$3,TimeOfWeek,$D43)</f>
        <v>2005000000</v>
      </c>
      <c r="X43" s="25">
        <f>SUMIFS(INDEX(Load,,MATCH('Summarized Modified Source Data'!$B43,Hour,0)),Season,'Summarized Modified Source Data'!$A43,Sector,'Summarized Modified Source Data'!X$2,Subsector,'Summarized Modified Source Data'!X$3,TimeOfWeek,$D43)</f>
        <v>0</v>
      </c>
      <c r="Y43" s="25">
        <f>SUMIFS(INDEX(Load,,MATCH('Summarized Modified Source Data'!$B43,Hour,0)),Season,'Summarized Modified Source Data'!$A43,Sector,'Summarized Modified Source Data'!Y$2,Subsector,'Summarized Modified Source Data'!Y$3,TimeOfWeek,$D43)</f>
        <v>0</v>
      </c>
    </row>
    <row r="44" spans="1:25" outlineLevel="1" x14ac:dyDescent="0.25">
      <c r="A44" t="s">
        <v>38</v>
      </c>
      <c r="B44" t="s">
        <v>163</v>
      </c>
      <c r="C44" s="7" t="s">
        <v>15</v>
      </c>
      <c r="D44" t="s">
        <v>117</v>
      </c>
      <c r="E44" s="25">
        <f>SUMIFS(INDEX(Load,,MATCH('Summarized Modified Source Data'!$B44,Hour,0)),Season,'Summarized Modified Source Data'!$A44,Sector,'Summarized Modified Source Data'!E$2,Subsector,'Summarized Modified Source Data'!E$3,TimeOfWeek,$D44)</f>
        <v>21668811</v>
      </c>
      <c r="F44" s="25">
        <f>SUMIFS(INDEX(Load,,MATCH('Summarized Modified Source Data'!$B44,Hour,0)),Season,'Summarized Modified Source Data'!$A44,Sector,'Summarized Modified Source Data'!F$2,Subsector,'Summarized Modified Source Data'!F$3,TimeOfWeek,$D44)</f>
        <v>7332536</v>
      </c>
      <c r="G44" s="25">
        <f>SUMIFS(INDEX(Load,,MATCH('Summarized Modified Source Data'!$B44,Hour,0)),Season,'Summarized Modified Source Data'!$A44,Sector,'Summarized Modified Source Data'!G$2,Subsector,'Summarized Modified Source Data'!G$3,TimeOfWeek,$D44)</f>
        <v>0</v>
      </c>
      <c r="H44" s="25">
        <f>SUMIFS(INDEX(Load,,MATCH('Summarized Modified Source Data'!$B44,Hour,0)),Season,'Summarized Modified Source Data'!$A44,Sector,'Summarized Modified Source Data'!H$2,Subsector,'Summarized Modified Source Data'!H$3,TimeOfWeek,$D44)</f>
        <v>40000000</v>
      </c>
      <c r="I44" s="25">
        <f>SUMIFS(INDEX(Load,,MATCH('Summarized Modified Source Data'!$B44,Hour,0)),Season,'Summarized Modified Source Data'!$A44,Sector,'Summarized Modified Source Data'!I$2,Subsector,'Summarized Modified Source Data'!I$3,TimeOfWeek,$D44)</f>
        <v>26454759</v>
      </c>
      <c r="J44" s="25">
        <f t="shared" si="0"/>
        <v>26454759</v>
      </c>
      <c r="K44" s="25">
        <f>SUMIFS(INDEX(Load,,MATCH('Summarized Modified Source Data'!$B44,Hour,0)),Season,'Summarized Modified Source Data'!$A44,Sector,'Summarized Modified Source Data'!K$2,Subsector,'Summarized Modified Source Data'!K$3,TimeOfWeek,$D44)</f>
        <v>40056355</v>
      </c>
      <c r="L44" s="25">
        <f>SUMIFS(INDEX(Load,,MATCH('Summarized Modified Source Data'!$B44,Hour,0)),Season,'Summarized Modified Source Data'!$A44,Sector,'Summarized Modified Source Data'!L$2,Subsector,'Summarized Modified Source Data'!L$3,TimeOfWeek,$D44)</f>
        <v>18233916</v>
      </c>
      <c r="M44" s="25">
        <f>SUMIFS(INDEX(Load,,MATCH('Summarized Modified Source Data'!$B44,Hour,0)),Season,'Summarized Modified Source Data'!$A44,Sector,'Summarized Modified Source Data'!M$2,Subsector,'Summarized Modified Source Data'!M$3,TimeOfWeek,$D44)</f>
        <v>0</v>
      </c>
      <c r="N44" s="25">
        <f t="shared" si="1"/>
        <v>1464709729</v>
      </c>
      <c r="O44" s="25">
        <f>SUMIFS(INDEX(Load,,MATCH('Summarized Modified Source Data'!$B44,Hour,0)),Season,'Summarized Modified Source Data'!$A44,Sector,'Summarized Modified Source Data'!O$2,Subsector,"Total",TimeOfWeek,$D44)-SUM(K44:M44)</f>
        <v>1464709729</v>
      </c>
      <c r="P44" s="25">
        <f t="shared" si="2"/>
        <v>1464709729</v>
      </c>
      <c r="Q44" s="33" cm="1">
        <f t="array" ref="Q44">SUMIFS(INDEX(Load,,MATCH('Summarized Modified Source Data'!$B44,Hour,0)),Season,'Summarized Modified Source Data'!$A44,Sector,'Summarized Modified Source Data'!Q$2,TimeOfWeek,$D44)*LDVs</f>
        <v>13540803.890571099</v>
      </c>
      <c r="R44" s="33" cm="1">
        <f t="array" ref="R44">SUMIFS(INDEX(Load,,MATCH('Summarized Modified Source Data'!$B44,Hour,0)),Season,'Summarized Modified Source Data'!$A44,Sector,'Summarized Modified Source Data'!R$2,TimeOfWeek,$D44)*HDVs</f>
        <v>6380506.2347559035</v>
      </c>
      <c r="S44" s="33">
        <f>SUMIFS(INDEX(Load,,MATCH('Summarized Modified Source Data'!$B44,Hour,0)),Season,'Summarized Modified Source Data'!$A44,Sector,'Summarized Modified Source Data'!S$2,TimeOfWeek,$D44)*Aircraft</f>
        <v>0</v>
      </c>
      <c r="T44" s="33">
        <f>SUMIFS(INDEX(Load,,MATCH('Summarized Modified Source Data'!$B44,Hour,0)),Season,'Summarized Modified Source Data'!$A44,Sector,'Summarized Modified Source Data'!T$2,TimeOfWeek,$D44)*Rail</f>
        <v>27778689.874672998</v>
      </c>
      <c r="U44" s="33">
        <f>SUMIFS(INDEX(Load,,MATCH('Summarized Modified Source Data'!$B44,Hour,0)),Season,'Summarized Modified Source Data'!$A44,Sector,'Summarized Modified Source Data'!U$2,TimeOfWeek,$D44)*Ships</f>
        <v>0</v>
      </c>
      <c r="V44" s="33">
        <f>SUMIFS(INDEX(Load,,MATCH('Summarized Modified Source Data'!$B44,Hour,0)),Season,'Summarized Modified Source Data'!$A44,Sector,'Summarized Modified Source Data'!V$2,TimeOfWeek,$D44)*Motorbikes</f>
        <v>0</v>
      </c>
      <c r="W44" s="25">
        <f>SUMIFS(INDEX(Load,,MATCH('Summarized Modified Source Data'!$B44,Hour,0)),Season,'Summarized Modified Source Data'!$A44,Sector,'Summarized Modified Source Data'!W$2,Subsector,'Summarized Modified Source Data'!W$3,TimeOfWeek,$D44)</f>
        <v>2025000000</v>
      </c>
      <c r="X44" s="25">
        <f>SUMIFS(INDEX(Load,,MATCH('Summarized Modified Source Data'!$B44,Hour,0)),Season,'Summarized Modified Source Data'!$A44,Sector,'Summarized Modified Source Data'!X$2,Subsector,'Summarized Modified Source Data'!X$3,TimeOfWeek,$D44)</f>
        <v>0</v>
      </c>
      <c r="Y44" s="25">
        <f>SUMIFS(INDEX(Load,,MATCH('Summarized Modified Source Data'!$B44,Hour,0)),Season,'Summarized Modified Source Data'!$A44,Sector,'Summarized Modified Source Data'!Y$2,Subsector,'Summarized Modified Source Data'!Y$3,TimeOfWeek,$D44)</f>
        <v>0</v>
      </c>
    </row>
    <row r="45" spans="1:25" outlineLevel="1" x14ac:dyDescent="0.25">
      <c r="A45" t="s">
        <v>38</v>
      </c>
      <c r="B45" t="s">
        <v>164</v>
      </c>
      <c r="C45" s="7" t="s">
        <v>16</v>
      </c>
      <c r="D45" t="s">
        <v>117</v>
      </c>
      <c r="E45" s="25">
        <f>SUMIFS(INDEX(Load,,MATCH('Summarized Modified Source Data'!$B45,Hour,0)),Season,'Summarized Modified Source Data'!$A45,Sector,'Summarized Modified Source Data'!E$2,Subsector,'Summarized Modified Source Data'!E$3,TimeOfWeek,$D45)</f>
        <v>22887809</v>
      </c>
      <c r="F45" s="25">
        <f>SUMIFS(INDEX(Load,,MATCH('Summarized Modified Source Data'!$B45,Hour,0)),Season,'Summarized Modified Source Data'!$A45,Sector,'Summarized Modified Source Data'!F$2,Subsector,'Summarized Modified Source Data'!F$3,TimeOfWeek,$D45)</f>
        <v>6268747</v>
      </c>
      <c r="G45" s="25">
        <f>SUMIFS(INDEX(Load,,MATCH('Summarized Modified Source Data'!$B45,Hour,0)),Season,'Summarized Modified Source Data'!$A45,Sector,'Summarized Modified Source Data'!G$2,Subsector,'Summarized Modified Source Data'!G$3,TimeOfWeek,$D45)</f>
        <v>0</v>
      </c>
      <c r="H45" s="25">
        <f>SUMIFS(INDEX(Load,,MATCH('Summarized Modified Source Data'!$B45,Hour,0)),Season,'Summarized Modified Source Data'!$A45,Sector,'Summarized Modified Source Data'!H$2,Subsector,'Summarized Modified Source Data'!H$3,TimeOfWeek,$D45)</f>
        <v>86600000</v>
      </c>
      <c r="I45" s="25">
        <f>SUMIFS(INDEX(Load,,MATCH('Summarized Modified Source Data'!$B45,Hour,0)),Season,'Summarized Modified Source Data'!$A45,Sector,'Summarized Modified Source Data'!I$2,Subsector,'Summarized Modified Source Data'!I$3,TimeOfWeek,$D45)</f>
        <v>33400000</v>
      </c>
      <c r="J45" s="25">
        <f t="shared" si="0"/>
        <v>33400000</v>
      </c>
      <c r="K45" s="25">
        <f>SUMIFS(INDEX(Load,,MATCH('Summarized Modified Source Data'!$B45,Hour,0)),Season,'Summarized Modified Source Data'!$A45,Sector,'Summarized Modified Source Data'!K$2,Subsector,'Summarized Modified Source Data'!K$3,TimeOfWeek,$D45)</f>
        <v>42277938</v>
      </c>
      <c r="L45" s="25">
        <f>SUMIFS(INDEX(Load,,MATCH('Summarized Modified Source Data'!$B45,Hour,0)),Season,'Summarized Modified Source Data'!$A45,Sector,'Summarized Modified Source Data'!L$2,Subsector,'Summarized Modified Source Data'!L$3,TimeOfWeek,$D45)</f>
        <v>16690352</v>
      </c>
      <c r="M45" s="25">
        <f>SUMIFS(INDEX(Load,,MATCH('Summarized Modified Source Data'!$B45,Hour,0)),Season,'Summarized Modified Source Data'!$A45,Sector,'Summarized Modified Source Data'!M$2,Subsector,'Summarized Modified Source Data'!M$3,TimeOfWeek,$D45)</f>
        <v>0</v>
      </c>
      <c r="N45" s="25">
        <f t="shared" si="1"/>
        <v>1377031710</v>
      </c>
      <c r="O45" s="25">
        <f>SUMIFS(INDEX(Load,,MATCH('Summarized Modified Source Data'!$B45,Hour,0)),Season,'Summarized Modified Source Data'!$A45,Sector,'Summarized Modified Source Data'!O$2,Subsector,"Total",TimeOfWeek,$D45)-SUM(K45:M45)</f>
        <v>1377031710</v>
      </c>
      <c r="P45" s="25">
        <f t="shared" si="2"/>
        <v>1377031710</v>
      </c>
      <c r="Q45" s="33" cm="1">
        <f t="array" ref="Q45">SUMIFS(INDEX(Load,,MATCH('Summarized Modified Source Data'!$B45,Hour,0)),Season,'Summarized Modified Source Data'!$A45,Sector,'Summarized Modified Source Data'!Q$2,TimeOfWeek,$D45)*LDVs</f>
        <v>14307264.488150595</v>
      </c>
      <c r="R45" s="33" cm="1">
        <f t="array" ref="R45">SUMIFS(INDEX(Load,,MATCH('Summarized Modified Source Data'!$B45,Hour,0)),Season,'Summarized Modified Source Data'!$A45,Sector,'Summarized Modified Source Data'!R$2,TimeOfWeek,$D45)*HDVs</f>
        <v>6741666.9650251055</v>
      </c>
      <c r="S45" s="33">
        <f>SUMIFS(INDEX(Load,,MATCH('Summarized Modified Source Data'!$B45,Hour,0)),Season,'Summarized Modified Source Data'!$A45,Sector,'Summarized Modified Source Data'!S$2,TimeOfWeek,$D45)*Aircraft</f>
        <v>0</v>
      </c>
      <c r="T45" s="33">
        <f>SUMIFS(INDEX(Load,,MATCH('Summarized Modified Source Data'!$B45,Hour,0)),Season,'Summarized Modified Source Data'!$A45,Sector,'Summarized Modified Source Data'!T$2,TimeOfWeek,$D45)*Rail</f>
        <v>29351068.546824299</v>
      </c>
      <c r="U45" s="33">
        <f>SUMIFS(INDEX(Load,,MATCH('Summarized Modified Source Data'!$B45,Hour,0)),Season,'Summarized Modified Source Data'!$A45,Sector,'Summarized Modified Source Data'!U$2,TimeOfWeek,$D45)*Ships</f>
        <v>0</v>
      </c>
      <c r="V45" s="33">
        <f>SUMIFS(INDEX(Load,,MATCH('Summarized Modified Source Data'!$B45,Hour,0)),Season,'Summarized Modified Source Data'!$A45,Sector,'Summarized Modified Source Data'!V$2,TimeOfWeek,$D45)*Motorbikes</f>
        <v>0</v>
      </c>
      <c r="W45" s="25">
        <f>SUMIFS(INDEX(Load,,MATCH('Summarized Modified Source Data'!$B45,Hour,0)),Season,'Summarized Modified Source Data'!$A45,Sector,'Summarized Modified Source Data'!W$2,Subsector,'Summarized Modified Source Data'!W$3,TimeOfWeek,$D45)</f>
        <v>2028000000</v>
      </c>
      <c r="X45" s="25">
        <f>SUMIFS(INDEX(Load,,MATCH('Summarized Modified Source Data'!$B45,Hour,0)),Season,'Summarized Modified Source Data'!$A45,Sector,'Summarized Modified Source Data'!X$2,Subsector,'Summarized Modified Source Data'!X$3,TimeOfWeek,$D45)</f>
        <v>0</v>
      </c>
      <c r="Y45" s="25">
        <f>SUMIFS(INDEX(Load,,MATCH('Summarized Modified Source Data'!$B45,Hour,0)),Season,'Summarized Modified Source Data'!$A45,Sector,'Summarized Modified Source Data'!Y$2,Subsector,'Summarized Modified Source Data'!Y$3,TimeOfWeek,$D45)</f>
        <v>0</v>
      </c>
    </row>
    <row r="46" spans="1:25" outlineLevel="1" x14ac:dyDescent="0.25">
      <c r="A46" t="s">
        <v>38</v>
      </c>
      <c r="B46" t="s">
        <v>165</v>
      </c>
      <c r="C46" s="7" t="s">
        <v>17</v>
      </c>
      <c r="D46" t="s">
        <v>117</v>
      </c>
      <c r="E46" s="25">
        <f>SUMIFS(INDEX(Load,,MATCH('Summarized Modified Source Data'!$B46,Hour,0)),Season,'Summarized Modified Source Data'!$A46,Sector,'Summarized Modified Source Data'!E$2,Subsector,'Summarized Modified Source Data'!E$3,TimeOfWeek,$D46)</f>
        <v>24378099</v>
      </c>
      <c r="F46" s="25">
        <f>SUMIFS(INDEX(Load,,MATCH('Summarized Modified Source Data'!$B46,Hour,0)),Season,'Summarized Modified Source Data'!$A46,Sector,'Summarized Modified Source Data'!F$2,Subsector,'Summarized Modified Source Data'!F$3,TimeOfWeek,$D46)</f>
        <v>4497977</v>
      </c>
      <c r="G46" s="25">
        <f>SUMIFS(INDEX(Load,,MATCH('Summarized Modified Source Data'!$B46,Hour,0)),Season,'Summarized Modified Source Data'!$A46,Sector,'Summarized Modified Source Data'!G$2,Subsector,'Summarized Modified Source Data'!G$3,TimeOfWeek,$D46)</f>
        <v>0</v>
      </c>
      <c r="H46" s="25">
        <f>SUMIFS(INDEX(Load,,MATCH('Summarized Modified Source Data'!$B46,Hour,0)),Season,'Summarized Modified Source Data'!$A46,Sector,'Summarized Modified Source Data'!H$2,Subsector,'Summarized Modified Source Data'!H$3,TimeOfWeek,$D46)</f>
        <v>152500000</v>
      </c>
      <c r="I46" s="25">
        <f>SUMIFS(INDEX(Load,,MATCH('Summarized Modified Source Data'!$B46,Hour,0)),Season,'Summarized Modified Source Data'!$A46,Sector,'Summarized Modified Source Data'!I$2,Subsector,'Summarized Modified Source Data'!I$3,TimeOfWeek,$D46)</f>
        <v>43100000</v>
      </c>
      <c r="J46" s="25">
        <f t="shared" si="0"/>
        <v>43100000</v>
      </c>
      <c r="K46" s="25">
        <f>SUMIFS(INDEX(Load,,MATCH('Summarized Modified Source Data'!$B46,Hour,0)),Season,'Summarized Modified Source Data'!$A46,Sector,'Summarized Modified Source Data'!K$2,Subsector,'Summarized Modified Source Data'!K$3,TimeOfWeek,$D46)</f>
        <v>48631724</v>
      </c>
      <c r="L46" s="25">
        <f>SUMIFS(INDEX(Load,,MATCH('Summarized Modified Source Data'!$B46,Hour,0)),Season,'Summarized Modified Source Data'!$A46,Sector,'Summarized Modified Source Data'!L$2,Subsector,'Summarized Modified Source Data'!L$3,TimeOfWeek,$D46)</f>
        <v>15052662</v>
      </c>
      <c r="M46" s="25">
        <f>SUMIFS(INDEX(Load,,MATCH('Summarized Modified Source Data'!$B46,Hour,0)),Season,'Summarized Modified Source Data'!$A46,Sector,'Summarized Modified Source Data'!M$2,Subsector,'Summarized Modified Source Data'!M$3,TimeOfWeek,$D46)</f>
        <v>0</v>
      </c>
      <c r="N46" s="25">
        <f t="shared" si="1"/>
        <v>1310315614</v>
      </c>
      <c r="O46" s="25">
        <f>SUMIFS(INDEX(Load,,MATCH('Summarized Modified Source Data'!$B46,Hour,0)),Season,'Summarized Modified Source Data'!$A46,Sector,'Summarized Modified Source Data'!O$2,Subsector,"Total",TimeOfWeek,$D46)-SUM(K46:M46)</f>
        <v>1310315614</v>
      </c>
      <c r="P46" s="25">
        <f t="shared" si="2"/>
        <v>1310315614</v>
      </c>
      <c r="Q46" s="33" cm="1">
        <f t="array" ref="Q46">SUMIFS(INDEX(Load,,MATCH('Summarized Modified Source Data'!$B46,Hour,0)),Season,'Summarized Modified Source Data'!$A46,Sector,'Summarized Modified Source Data'!Q$2,TimeOfWeek,$D46)*LDVs</f>
        <v>13200154.736091323</v>
      </c>
      <c r="R46" s="33" cm="1">
        <f t="array" ref="R46">SUMIFS(INDEX(Load,,MATCH('Summarized Modified Source Data'!$B46,Hour,0)),Season,'Summarized Modified Source Data'!$A46,Sector,'Summarized Modified Source Data'!R$2,TimeOfWeek,$D46)*HDVs</f>
        <v>6219990.3546362584</v>
      </c>
      <c r="S46" s="33">
        <f>SUMIFS(INDEX(Load,,MATCH('Summarized Modified Source Data'!$B46,Hour,0)),Season,'Summarized Modified Source Data'!$A46,Sector,'Summarized Modified Source Data'!S$2,TimeOfWeek,$D46)*Aircraft</f>
        <v>0</v>
      </c>
      <c r="T46" s="33">
        <f>SUMIFS(INDEX(Load,,MATCH('Summarized Modified Source Data'!$B46,Hour,0)),Season,'Summarized Modified Source Data'!$A46,Sector,'Summarized Modified Source Data'!T$2,TimeOfWeek,$D46)*Rail</f>
        <v>27079854.909272417</v>
      </c>
      <c r="U46" s="33">
        <f>SUMIFS(INDEX(Load,,MATCH('Summarized Modified Source Data'!$B46,Hour,0)),Season,'Summarized Modified Source Data'!$A46,Sector,'Summarized Modified Source Data'!U$2,TimeOfWeek,$D46)*Ships</f>
        <v>0</v>
      </c>
      <c r="V46" s="33">
        <f>SUMIFS(INDEX(Load,,MATCH('Summarized Modified Source Data'!$B46,Hour,0)),Season,'Summarized Modified Source Data'!$A46,Sector,'Summarized Modified Source Data'!V$2,TimeOfWeek,$D46)*Motorbikes</f>
        <v>0</v>
      </c>
      <c r="W46" s="25">
        <f>SUMIFS(INDEX(Load,,MATCH('Summarized Modified Source Data'!$B46,Hour,0)),Season,'Summarized Modified Source Data'!$A46,Sector,'Summarized Modified Source Data'!W$2,Subsector,'Summarized Modified Source Data'!W$3,TimeOfWeek,$D46)</f>
        <v>2019000000</v>
      </c>
      <c r="X46" s="25">
        <f>SUMIFS(INDEX(Load,,MATCH('Summarized Modified Source Data'!$B46,Hour,0)),Season,'Summarized Modified Source Data'!$A46,Sector,'Summarized Modified Source Data'!X$2,Subsector,'Summarized Modified Source Data'!X$3,TimeOfWeek,$D46)</f>
        <v>0</v>
      </c>
      <c r="Y46" s="25">
        <f>SUMIFS(INDEX(Load,,MATCH('Summarized Modified Source Data'!$B46,Hour,0)),Season,'Summarized Modified Source Data'!$A46,Sector,'Summarized Modified Source Data'!Y$2,Subsector,'Summarized Modified Source Data'!Y$3,TimeOfWeek,$D46)</f>
        <v>0</v>
      </c>
    </row>
    <row r="47" spans="1:25" outlineLevel="1" x14ac:dyDescent="0.25">
      <c r="A47" t="s">
        <v>38</v>
      </c>
      <c r="B47" t="s">
        <v>166</v>
      </c>
      <c r="C47" s="7" t="s">
        <v>18</v>
      </c>
      <c r="D47" t="s">
        <v>117</v>
      </c>
      <c r="E47" s="25">
        <f>SUMIFS(INDEX(Load,,MATCH('Summarized Modified Source Data'!$B47,Hour,0)),Season,'Summarized Modified Source Data'!$A47,Sector,'Summarized Modified Source Data'!E$2,Subsector,'Summarized Modified Source Data'!E$3,TimeOfWeek,$D47)</f>
        <v>26298656</v>
      </c>
      <c r="F47" s="25">
        <f>SUMIFS(INDEX(Load,,MATCH('Summarized Modified Source Data'!$B47,Hour,0)),Season,'Summarized Modified Source Data'!$A47,Sector,'Summarized Modified Source Data'!F$2,Subsector,'Summarized Modified Source Data'!F$3,TimeOfWeek,$D47)</f>
        <v>2114678</v>
      </c>
      <c r="G47" s="25">
        <f>SUMIFS(INDEX(Load,,MATCH('Summarized Modified Source Data'!$B47,Hour,0)),Season,'Summarized Modified Source Data'!$A47,Sector,'Summarized Modified Source Data'!G$2,Subsector,'Summarized Modified Source Data'!G$3,TimeOfWeek,$D47)</f>
        <v>0</v>
      </c>
      <c r="H47" s="25">
        <f>SUMIFS(INDEX(Load,,MATCH('Summarized Modified Source Data'!$B47,Hour,0)),Season,'Summarized Modified Source Data'!$A47,Sector,'Summarized Modified Source Data'!H$2,Subsector,'Summarized Modified Source Data'!H$3,TimeOfWeek,$D47)</f>
        <v>168000000</v>
      </c>
      <c r="I47" s="25">
        <f>SUMIFS(INDEX(Load,,MATCH('Summarized Modified Source Data'!$B47,Hour,0)),Season,'Summarized Modified Source Data'!$A47,Sector,'Summarized Modified Source Data'!I$2,Subsector,'Summarized Modified Source Data'!I$3,TimeOfWeek,$D47)</f>
        <v>43100000</v>
      </c>
      <c r="J47" s="25">
        <f t="shared" si="0"/>
        <v>43100000</v>
      </c>
      <c r="K47" s="25">
        <f>SUMIFS(INDEX(Load,,MATCH('Summarized Modified Source Data'!$B47,Hour,0)),Season,'Summarized Modified Source Data'!$A47,Sector,'Summarized Modified Source Data'!K$2,Subsector,'Summarized Modified Source Data'!K$3,TimeOfWeek,$D47)</f>
        <v>57915178</v>
      </c>
      <c r="L47" s="25">
        <f>SUMIFS(INDEX(Load,,MATCH('Summarized Modified Source Data'!$B47,Hour,0)),Season,'Summarized Modified Source Data'!$A47,Sector,'Summarized Modified Source Data'!L$2,Subsector,'Summarized Modified Source Data'!L$3,TimeOfWeek,$D47)</f>
        <v>13098876</v>
      </c>
      <c r="M47" s="25">
        <f>SUMIFS(INDEX(Load,,MATCH('Summarized Modified Source Data'!$B47,Hour,0)),Season,'Summarized Modified Source Data'!$A47,Sector,'Summarized Modified Source Data'!M$2,Subsector,'Summarized Modified Source Data'!M$3,TimeOfWeek,$D47)</f>
        <v>0</v>
      </c>
      <c r="N47" s="25">
        <f t="shared" si="1"/>
        <v>1096985946</v>
      </c>
      <c r="O47" s="25">
        <f>SUMIFS(INDEX(Load,,MATCH('Summarized Modified Source Data'!$B47,Hour,0)),Season,'Summarized Modified Source Data'!$A47,Sector,'Summarized Modified Source Data'!O$2,Subsector,"Total",TimeOfWeek,$D47)-SUM(K47:M47)</f>
        <v>1096985946</v>
      </c>
      <c r="P47" s="25">
        <f t="shared" si="2"/>
        <v>1096985946</v>
      </c>
      <c r="Q47" s="33" cm="1">
        <f t="array" ref="Q47">SUMIFS(INDEX(Load,,MATCH('Summarized Modified Source Data'!$B47,Hour,0)),Season,'Summarized Modified Source Data'!$A47,Sector,'Summarized Modified Source Data'!Q$2,TimeOfWeek,$D47)*LDVs</f>
        <v>10758835.795652928</v>
      </c>
      <c r="R47" s="33" cm="1">
        <f t="array" ref="R47">SUMIFS(INDEX(Load,,MATCH('Summarized Modified Source Data'!$B47,Hour,0)),Season,'Summarized Modified Source Data'!$A47,Sector,'Summarized Modified Source Data'!R$2,TimeOfWeek,$D47)*HDVs</f>
        <v>5069626.5471121334</v>
      </c>
      <c r="S47" s="33">
        <f>SUMIFS(INDEX(Load,,MATCH('Summarized Modified Source Data'!$B47,Hour,0)),Season,'Summarized Modified Source Data'!$A47,Sector,'Summarized Modified Source Data'!S$2,TimeOfWeek,$D47)*Aircraft</f>
        <v>0</v>
      </c>
      <c r="T47" s="33">
        <f>SUMIFS(INDEX(Load,,MATCH('Summarized Modified Source Data'!$B47,Hour,0)),Season,'Summarized Modified Source Data'!$A47,Sector,'Summarized Modified Source Data'!T$2,TimeOfWeek,$D47)*Rail</f>
        <v>22071537.657234941</v>
      </c>
      <c r="U47" s="33">
        <f>SUMIFS(INDEX(Load,,MATCH('Summarized Modified Source Data'!$B47,Hour,0)),Season,'Summarized Modified Source Data'!$A47,Sector,'Summarized Modified Source Data'!U$2,TimeOfWeek,$D47)*Ships</f>
        <v>0</v>
      </c>
      <c r="V47" s="33">
        <f>SUMIFS(INDEX(Load,,MATCH('Summarized Modified Source Data'!$B47,Hour,0)),Season,'Summarized Modified Source Data'!$A47,Sector,'Summarized Modified Source Data'!V$2,TimeOfWeek,$D47)*Motorbikes</f>
        <v>0</v>
      </c>
      <c r="W47" s="25">
        <f>SUMIFS(INDEX(Load,,MATCH('Summarized Modified Source Data'!$B47,Hour,0)),Season,'Summarized Modified Source Data'!$A47,Sector,'Summarized Modified Source Data'!W$2,Subsector,'Summarized Modified Source Data'!W$3,TimeOfWeek,$D47)</f>
        <v>2007000000</v>
      </c>
      <c r="X47" s="25">
        <f>SUMIFS(INDEX(Load,,MATCH('Summarized Modified Source Data'!$B47,Hour,0)),Season,'Summarized Modified Source Data'!$A47,Sector,'Summarized Modified Source Data'!X$2,Subsector,'Summarized Modified Source Data'!X$3,TimeOfWeek,$D47)</f>
        <v>0</v>
      </c>
      <c r="Y47" s="25">
        <f>SUMIFS(INDEX(Load,,MATCH('Summarized Modified Source Data'!$B47,Hour,0)),Season,'Summarized Modified Source Data'!$A47,Sector,'Summarized Modified Source Data'!Y$2,Subsector,'Summarized Modified Source Data'!Y$3,TimeOfWeek,$D47)</f>
        <v>0</v>
      </c>
    </row>
    <row r="48" spans="1:25" outlineLevel="1" x14ac:dyDescent="0.25">
      <c r="A48" t="s">
        <v>38</v>
      </c>
      <c r="B48" t="s">
        <v>167</v>
      </c>
      <c r="C48" s="7" t="s">
        <v>19</v>
      </c>
      <c r="D48" t="s">
        <v>117</v>
      </c>
      <c r="E48" s="25">
        <f>SUMIFS(INDEX(Load,,MATCH('Summarized Modified Source Data'!$B48,Hour,0)),Season,'Summarized Modified Source Data'!$A48,Sector,'Summarized Modified Source Data'!E$2,Subsector,'Summarized Modified Source Data'!E$3,TimeOfWeek,$D48)</f>
        <v>27414025</v>
      </c>
      <c r="F48" s="25">
        <f>SUMIFS(INDEX(Load,,MATCH('Summarized Modified Source Data'!$B48,Hour,0)),Season,'Summarized Modified Source Data'!$A48,Sector,'Summarized Modified Source Data'!F$2,Subsector,'Summarized Modified Source Data'!F$3,TimeOfWeek,$D48)</f>
        <v>176018</v>
      </c>
      <c r="G48" s="25">
        <f>SUMIFS(INDEX(Load,,MATCH('Summarized Modified Source Data'!$B48,Hour,0)),Season,'Summarized Modified Source Data'!$A48,Sector,'Summarized Modified Source Data'!G$2,Subsector,'Summarized Modified Source Data'!G$3,TimeOfWeek,$D48)</f>
        <v>0</v>
      </c>
      <c r="H48" s="25">
        <f>SUMIFS(INDEX(Load,,MATCH('Summarized Modified Source Data'!$B48,Hour,0)),Season,'Summarized Modified Source Data'!$A48,Sector,'Summarized Modified Source Data'!H$2,Subsector,'Summarized Modified Source Data'!H$3,TimeOfWeek,$D48)</f>
        <v>170600000</v>
      </c>
      <c r="I48" s="25">
        <f>SUMIFS(INDEX(Load,,MATCH('Summarized Modified Source Data'!$B48,Hour,0)),Season,'Summarized Modified Source Data'!$A48,Sector,'Summarized Modified Source Data'!I$2,Subsector,'Summarized Modified Source Data'!I$3,TimeOfWeek,$D48)</f>
        <v>38800000</v>
      </c>
      <c r="J48" s="25">
        <f t="shared" si="0"/>
        <v>38800000</v>
      </c>
      <c r="K48" s="25">
        <f>SUMIFS(INDEX(Load,,MATCH('Summarized Modified Source Data'!$B48,Hour,0)),Season,'Summarized Modified Source Data'!$A48,Sector,'Summarized Modified Source Data'!K$2,Subsector,'Summarized Modified Source Data'!K$3,TimeOfWeek,$D48)</f>
        <v>70353307</v>
      </c>
      <c r="L48" s="25">
        <f>SUMIFS(INDEX(Load,,MATCH('Summarized Modified Source Data'!$B48,Hour,0)),Season,'Summarized Modified Source Data'!$A48,Sector,'Summarized Modified Source Data'!L$2,Subsector,'Summarized Modified Source Data'!L$3,TimeOfWeek,$D48)</f>
        <v>11553642</v>
      </c>
      <c r="M48" s="25">
        <f>SUMIFS(INDEX(Load,,MATCH('Summarized Modified Source Data'!$B48,Hour,0)),Season,'Summarized Modified Source Data'!$A48,Sector,'Summarized Modified Source Data'!M$2,Subsector,'Summarized Modified Source Data'!M$3,TimeOfWeek,$D48)</f>
        <v>0</v>
      </c>
      <c r="N48" s="25">
        <f t="shared" si="1"/>
        <v>910093051</v>
      </c>
      <c r="O48" s="25">
        <f>SUMIFS(INDEX(Load,,MATCH('Summarized Modified Source Data'!$B48,Hour,0)),Season,'Summarized Modified Source Data'!$A48,Sector,'Summarized Modified Source Data'!O$2,Subsector,"Total",TimeOfWeek,$D48)-SUM(K48:M48)</f>
        <v>910093051</v>
      </c>
      <c r="P48" s="25">
        <f t="shared" si="2"/>
        <v>910093051</v>
      </c>
      <c r="Q48" s="33" cm="1">
        <f t="array" ref="Q48">SUMIFS(INDEX(Load,,MATCH('Summarized Modified Source Data'!$B48,Hour,0)),Season,'Summarized Modified Source Data'!$A48,Sector,'Summarized Modified Source Data'!Q$2,TimeOfWeek,$D48)*LDVs</f>
        <v>9850438.0503735244</v>
      </c>
      <c r="R48" s="33" cm="1">
        <f t="array" ref="R48">SUMIFS(INDEX(Load,,MATCH('Summarized Modified Source Data'!$B48,Hour,0)),Season,'Summarized Modified Source Data'!$A48,Sector,'Summarized Modified Source Data'!R$2,TimeOfWeek,$D48)*HDVs</f>
        <v>4641584.2001264123</v>
      </c>
      <c r="S48" s="33">
        <f>SUMIFS(INDEX(Load,,MATCH('Summarized Modified Source Data'!$B48,Hour,0)),Season,'Summarized Modified Source Data'!$A48,Sector,'Summarized Modified Source Data'!S$2,TimeOfWeek,$D48)*Aircraft</f>
        <v>0</v>
      </c>
      <c r="T48" s="33">
        <f>SUMIFS(INDEX(Load,,MATCH('Summarized Modified Source Data'!$B48,Hour,0)),Season,'Summarized Modified Source Data'!$A48,Sector,'Summarized Modified Source Data'!T$2,TimeOfWeek,$D48)*Rail</f>
        <v>20207977.749500062</v>
      </c>
      <c r="U48" s="33">
        <f>SUMIFS(INDEX(Load,,MATCH('Summarized Modified Source Data'!$B48,Hour,0)),Season,'Summarized Modified Source Data'!$A48,Sector,'Summarized Modified Source Data'!U$2,TimeOfWeek,$D48)*Ships</f>
        <v>0</v>
      </c>
      <c r="V48" s="33">
        <f>SUMIFS(INDEX(Load,,MATCH('Summarized Modified Source Data'!$B48,Hour,0)),Season,'Summarized Modified Source Data'!$A48,Sector,'Summarized Modified Source Data'!V$2,TimeOfWeek,$D48)*Motorbikes</f>
        <v>0</v>
      </c>
      <c r="W48" s="25">
        <f>SUMIFS(INDEX(Load,,MATCH('Summarized Modified Source Data'!$B48,Hour,0)),Season,'Summarized Modified Source Data'!$A48,Sector,'Summarized Modified Source Data'!W$2,Subsector,'Summarized Modified Source Data'!W$3,TimeOfWeek,$D48)</f>
        <v>1993000000</v>
      </c>
      <c r="X48" s="25">
        <f>SUMIFS(INDEX(Load,,MATCH('Summarized Modified Source Data'!$B48,Hour,0)),Season,'Summarized Modified Source Data'!$A48,Sector,'Summarized Modified Source Data'!X$2,Subsector,'Summarized Modified Source Data'!X$3,TimeOfWeek,$D48)</f>
        <v>0</v>
      </c>
      <c r="Y48" s="25">
        <f>SUMIFS(INDEX(Load,,MATCH('Summarized Modified Source Data'!$B48,Hour,0)),Season,'Summarized Modified Source Data'!$A48,Sector,'Summarized Modified Source Data'!Y$2,Subsector,'Summarized Modified Source Data'!Y$3,TimeOfWeek,$D48)</f>
        <v>0</v>
      </c>
    </row>
    <row r="49" spans="1:25" outlineLevel="1" x14ac:dyDescent="0.25">
      <c r="A49" t="s">
        <v>38</v>
      </c>
      <c r="B49" t="s">
        <v>168</v>
      </c>
      <c r="C49" s="7" t="s">
        <v>20</v>
      </c>
      <c r="D49" t="s">
        <v>117</v>
      </c>
      <c r="E49" s="25">
        <f>SUMIFS(INDEX(Load,,MATCH('Summarized Modified Source Data'!$B49,Hour,0)),Season,'Summarized Modified Source Data'!$A49,Sector,'Summarized Modified Source Data'!E$2,Subsector,'Summarized Modified Source Data'!E$3,TimeOfWeek,$D49)</f>
        <v>25063702</v>
      </c>
      <c r="F49" s="25">
        <f>SUMIFS(INDEX(Load,,MATCH('Summarized Modified Source Data'!$B49,Hour,0)),Season,'Summarized Modified Source Data'!$A49,Sector,'Summarized Modified Source Data'!F$2,Subsector,'Summarized Modified Source Data'!F$3,TimeOfWeek,$D49)</f>
        <v>70341</v>
      </c>
      <c r="G49" s="25">
        <f>SUMIFS(INDEX(Load,,MATCH('Summarized Modified Source Data'!$B49,Hour,0)),Season,'Summarized Modified Source Data'!$A49,Sector,'Summarized Modified Source Data'!G$2,Subsector,'Summarized Modified Source Data'!G$3,TimeOfWeek,$D49)</f>
        <v>0</v>
      </c>
      <c r="H49" s="25">
        <f>SUMIFS(INDEX(Load,,MATCH('Summarized Modified Source Data'!$B49,Hour,0)),Season,'Summarized Modified Source Data'!$A49,Sector,'Summarized Modified Source Data'!H$2,Subsector,'Summarized Modified Source Data'!H$3,TimeOfWeek,$D49)</f>
        <v>139700000</v>
      </c>
      <c r="I49" s="25">
        <f>SUMIFS(INDEX(Load,,MATCH('Summarized Modified Source Data'!$B49,Hour,0)),Season,'Summarized Modified Source Data'!$A49,Sector,'Summarized Modified Source Data'!I$2,Subsector,'Summarized Modified Source Data'!I$3,TimeOfWeek,$D49)</f>
        <v>35800000</v>
      </c>
      <c r="J49" s="25">
        <f t="shared" si="0"/>
        <v>35800000</v>
      </c>
      <c r="K49" s="25">
        <f>SUMIFS(INDEX(Load,,MATCH('Summarized Modified Source Data'!$B49,Hour,0)),Season,'Summarized Modified Source Data'!$A49,Sector,'Summarized Modified Source Data'!K$2,Subsector,'Summarized Modified Source Data'!K$3,TimeOfWeek,$D49)</f>
        <v>59446639</v>
      </c>
      <c r="L49" s="25">
        <f>SUMIFS(INDEX(Load,,MATCH('Summarized Modified Source Data'!$B49,Hour,0)),Season,'Summarized Modified Source Data'!$A49,Sector,'Summarized Modified Source Data'!L$2,Subsector,'Summarized Modified Source Data'!L$3,TimeOfWeek,$D49)</f>
        <v>10807500</v>
      </c>
      <c r="M49" s="25">
        <f>SUMIFS(INDEX(Load,,MATCH('Summarized Modified Source Data'!$B49,Hour,0)),Season,'Summarized Modified Source Data'!$A49,Sector,'Summarized Modified Source Data'!M$2,Subsector,'Summarized Modified Source Data'!M$3,TimeOfWeek,$D49)</f>
        <v>0</v>
      </c>
      <c r="N49" s="25">
        <f t="shared" si="1"/>
        <v>738745861</v>
      </c>
      <c r="O49" s="25">
        <f>SUMIFS(INDEX(Load,,MATCH('Summarized Modified Source Data'!$B49,Hour,0)),Season,'Summarized Modified Source Data'!$A49,Sector,'Summarized Modified Source Data'!O$2,Subsector,"Total",TimeOfWeek,$D49)-SUM(K49:M49)</f>
        <v>738745861</v>
      </c>
      <c r="P49" s="25">
        <f t="shared" si="2"/>
        <v>738745861</v>
      </c>
      <c r="Q49" s="33" cm="1">
        <f t="array" ref="Q49">SUMIFS(INDEX(Load,,MATCH('Summarized Modified Source Data'!$B49,Hour,0)),Season,'Summarized Modified Source Data'!$A49,Sector,'Summarized Modified Source Data'!Q$2,TimeOfWeek,$D49)*LDVs</f>
        <v>9197527.1709539536</v>
      </c>
      <c r="R49" s="33" cm="1">
        <f t="array" ref="R49">SUMIFS(INDEX(Load,,MATCH('Summarized Modified Source Data'!$B49,Hour,0)),Season,'Summarized Modified Source Data'!$A49,Sector,'Summarized Modified Source Data'!R$2,TimeOfWeek,$D49)*HDVs</f>
        <v>4333928.7632304253</v>
      </c>
      <c r="S49" s="33">
        <f>SUMIFS(INDEX(Load,,MATCH('Summarized Modified Source Data'!$B49,Hour,0)),Season,'Summarized Modified Source Data'!$A49,Sector,'Summarized Modified Source Data'!S$2,TimeOfWeek,$D49)*Aircraft</f>
        <v>0</v>
      </c>
      <c r="T49" s="33">
        <f>SUMIFS(INDEX(Load,,MATCH('Summarized Modified Source Data'!$B49,Hour,0)),Season,'Summarized Modified Source Data'!$A49,Sector,'Summarized Modified Source Data'!T$2,TimeOfWeek,$D49)*Rail</f>
        <v>18868544.06581562</v>
      </c>
      <c r="U49" s="33">
        <f>SUMIFS(INDEX(Load,,MATCH('Summarized Modified Source Data'!$B49,Hour,0)),Season,'Summarized Modified Source Data'!$A49,Sector,'Summarized Modified Source Data'!U$2,TimeOfWeek,$D49)*Ships</f>
        <v>0</v>
      </c>
      <c r="V49" s="33">
        <f>SUMIFS(INDEX(Load,,MATCH('Summarized Modified Source Data'!$B49,Hour,0)),Season,'Summarized Modified Source Data'!$A49,Sector,'Summarized Modified Source Data'!V$2,TimeOfWeek,$D49)*Motorbikes</f>
        <v>0</v>
      </c>
      <c r="W49" s="25">
        <f>SUMIFS(INDEX(Load,,MATCH('Summarized Modified Source Data'!$B49,Hour,0)),Season,'Summarized Modified Source Data'!$A49,Sector,'Summarized Modified Source Data'!W$2,Subsector,'Summarized Modified Source Data'!W$3,TimeOfWeek,$D49)</f>
        <v>1977000000</v>
      </c>
      <c r="X49" s="25">
        <f>SUMIFS(INDEX(Load,,MATCH('Summarized Modified Source Data'!$B49,Hour,0)),Season,'Summarized Modified Source Data'!$A49,Sector,'Summarized Modified Source Data'!X$2,Subsector,'Summarized Modified Source Data'!X$3,TimeOfWeek,$D49)</f>
        <v>0</v>
      </c>
      <c r="Y49" s="25">
        <f>SUMIFS(INDEX(Load,,MATCH('Summarized Modified Source Data'!$B49,Hour,0)),Season,'Summarized Modified Source Data'!$A49,Sector,'Summarized Modified Source Data'!Y$2,Subsector,'Summarized Modified Source Data'!Y$3,TimeOfWeek,$D49)</f>
        <v>0</v>
      </c>
    </row>
    <row r="50" spans="1:25" outlineLevel="1" x14ac:dyDescent="0.25">
      <c r="A50" t="s">
        <v>38</v>
      </c>
      <c r="B50" t="s">
        <v>169</v>
      </c>
      <c r="C50" s="7" t="s">
        <v>21</v>
      </c>
      <c r="D50" t="s">
        <v>117</v>
      </c>
      <c r="E50" s="25">
        <f>SUMIFS(INDEX(Load,,MATCH('Summarized Modified Source Data'!$B50,Hour,0)),Season,'Summarized Modified Source Data'!$A50,Sector,'Summarized Modified Source Data'!E$2,Subsector,'Summarized Modified Source Data'!E$3,TimeOfWeek,$D50)</f>
        <v>20190377</v>
      </c>
      <c r="F50" s="25">
        <f>SUMIFS(INDEX(Load,,MATCH('Summarized Modified Source Data'!$B50,Hour,0)),Season,'Summarized Modified Source Data'!$A50,Sector,'Summarized Modified Source Data'!F$2,Subsector,'Summarized Modified Source Data'!F$3,TimeOfWeek,$D50)</f>
        <v>73328</v>
      </c>
      <c r="G50" s="25">
        <f>SUMIFS(INDEX(Load,,MATCH('Summarized Modified Source Data'!$B50,Hour,0)),Season,'Summarized Modified Source Data'!$A50,Sector,'Summarized Modified Source Data'!G$2,Subsector,'Summarized Modified Source Data'!G$3,TimeOfWeek,$D50)</f>
        <v>0</v>
      </c>
      <c r="H50" s="25">
        <f>SUMIFS(INDEX(Load,,MATCH('Summarized Modified Source Data'!$B50,Hour,0)),Season,'Summarized Modified Source Data'!$A50,Sector,'Summarized Modified Source Data'!H$2,Subsector,'Summarized Modified Source Data'!H$3,TimeOfWeek,$D50)</f>
        <v>83100000</v>
      </c>
      <c r="I50" s="25">
        <f>SUMIFS(INDEX(Load,,MATCH('Summarized Modified Source Data'!$B50,Hour,0)),Season,'Summarized Modified Source Data'!$A50,Sector,'Summarized Modified Source Data'!I$2,Subsector,'Summarized Modified Source Data'!I$3,TimeOfWeek,$D50)</f>
        <v>31544075</v>
      </c>
      <c r="J50" s="25">
        <f t="shared" si="0"/>
        <v>31544075</v>
      </c>
      <c r="K50" s="25">
        <f>SUMIFS(INDEX(Load,,MATCH('Summarized Modified Source Data'!$B50,Hour,0)),Season,'Summarized Modified Source Data'!$A50,Sector,'Summarized Modified Source Data'!K$2,Subsector,'Summarized Modified Source Data'!K$3,TimeOfWeek,$D50)</f>
        <v>52273846</v>
      </c>
      <c r="L50" s="25">
        <f>SUMIFS(INDEX(Load,,MATCH('Summarized Modified Source Data'!$B50,Hour,0)),Season,'Summarized Modified Source Data'!$A50,Sector,'Summarized Modified Source Data'!L$2,Subsector,'Summarized Modified Source Data'!L$3,TimeOfWeek,$D50)</f>
        <v>9990476</v>
      </c>
      <c r="M50" s="25">
        <f>SUMIFS(INDEX(Load,,MATCH('Summarized Modified Source Data'!$B50,Hour,0)),Season,'Summarized Modified Source Data'!$A50,Sector,'Summarized Modified Source Data'!M$2,Subsector,'Summarized Modified Source Data'!M$3,TimeOfWeek,$D50)</f>
        <v>0</v>
      </c>
      <c r="N50" s="25">
        <f t="shared" si="1"/>
        <v>621735678</v>
      </c>
      <c r="O50" s="25">
        <f>SUMIFS(INDEX(Load,,MATCH('Summarized Modified Source Data'!$B50,Hour,0)),Season,'Summarized Modified Source Data'!$A50,Sector,'Summarized Modified Source Data'!O$2,Subsector,"Total",TimeOfWeek,$D50)-SUM(K50:M50)</f>
        <v>621735678</v>
      </c>
      <c r="P50" s="25">
        <f t="shared" si="2"/>
        <v>621735678</v>
      </c>
      <c r="Q50" s="33" cm="1">
        <f t="array" ref="Q50">SUMIFS(INDEX(Load,,MATCH('Summarized Modified Source Data'!$B50,Hour,0)),Season,'Summarized Modified Source Data'!$A50,Sector,'Summarized Modified Source Data'!Q$2,TimeOfWeek,$D50)*LDVs</f>
        <v>8683876.5046286695</v>
      </c>
      <c r="R50" s="33" cm="1">
        <f t="array" ref="R50">SUMIFS(INDEX(Load,,MATCH('Summarized Modified Source Data'!$B50,Hour,0)),Season,'Summarized Modified Source Data'!$A50,Sector,'Summarized Modified Source Data'!R$2,TimeOfWeek,$D50)*HDVs</f>
        <v>4091893.5557596833</v>
      </c>
      <c r="S50" s="33">
        <f>SUMIFS(INDEX(Load,,MATCH('Summarized Modified Source Data'!$B50,Hour,0)),Season,'Summarized Modified Source Data'!$A50,Sector,'Summarized Modified Source Data'!S$2,TimeOfWeek,$D50)*Aircraft</f>
        <v>0</v>
      </c>
      <c r="T50" s="33">
        <f>SUMIFS(INDEX(Load,,MATCH('Summarized Modified Source Data'!$B50,Hour,0)),Season,'Summarized Modified Source Data'!$A50,Sector,'Summarized Modified Source Data'!T$2,TimeOfWeek,$D50)*Rail</f>
        <v>17814799.939611647</v>
      </c>
      <c r="U50" s="33">
        <f>SUMIFS(INDEX(Load,,MATCH('Summarized Modified Source Data'!$B50,Hour,0)),Season,'Summarized Modified Source Data'!$A50,Sector,'Summarized Modified Source Data'!U$2,TimeOfWeek,$D50)*Ships</f>
        <v>0</v>
      </c>
      <c r="V50" s="33">
        <f>SUMIFS(INDEX(Load,,MATCH('Summarized Modified Source Data'!$B50,Hour,0)),Season,'Summarized Modified Source Data'!$A50,Sector,'Summarized Modified Source Data'!V$2,TimeOfWeek,$D50)*Motorbikes</f>
        <v>0</v>
      </c>
      <c r="W50" s="25">
        <f>SUMIFS(INDEX(Load,,MATCH('Summarized Modified Source Data'!$B50,Hour,0)),Season,'Summarized Modified Source Data'!$A50,Sector,'Summarized Modified Source Data'!W$2,Subsector,'Summarized Modified Source Data'!W$3,TimeOfWeek,$D50)</f>
        <v>1960000000</v>
      </c>
      <c r="X50" s="25">
        <f>SUMIFS(INDEX(Load,,MATCH('Summarized Modified Source Data'!$B50,Hour,0)),Season,'Summarized Modified Source Data'!$A50,Sector,'Summarized Modified Source Data'!X$2,Subsector,'Summarized Modified Source Data'!X$3,TimeOfWeek,$D50)</f>
        <v>0</v>
      </c>
      <c r="Y50" s="25">
        <f>SUMIFS(INDEX(Load,,MATCH('Summarized Modified Source Data'!$B50,Hour,0)),Season,'Summarized Modified Source Data'!$A50,Sector,'Summarized Modified Source Data'!Y$2,Subsector,'Summarized Modified Source Data'!Y$3,TimeOfWeek,$D50)</f>
        <v>0</v>
      </c>
    </row>
    <row r="51" spans="1:25" outlineLevel="1" x14ac:dyDescent="0.25">
      <c r="A51" t="s">
        <v>38</v>
      </c>
      <c r="B51" t="s">
        <v>170</v>
      </c>
      <c r="C51" s="7" t="s">
        <v>22</v>
      </c>
      <c r="D51" t="s">
        <v>117</v>
      </c>
      <c r="E51" s="25">
        <f>SUMIFS(INDEX(Load,,MATCH('Summarized Modified Source Data'!$B51,Hour,0)),Season,'Summarized Modified Source Data'!$A51,Sector,'Summarized Modified Source Data'!E$2,Subsector,'Summarized Modified Source Data'!E$3,TimeOfWeek,$D51)</f>
        <v>19141021</v>
      </c>
      <c r="F51" s="25">
        <f>SUMIFS(INDEX(Load,,MATCH('Summarized Modified Source Data'!$B51,Hour,0)),Season,'Summarized Modified Source Data'!$A51,Sector,'Summarized Modified Source Data'!F$2,Subsector,'Summarized Modified Source Data'!F$3,TimeOfWeek,$D51)</f>
        <v>75344</v>
      </c>
      <c r="G51" s="25">
        <f>SUMIFS(INDEX(Load,,MATCH('Summarized Modified Source Data'!$B51,Hour,0)),Season,'Summarized Modified Source Data'!$A51,Sector,'Summarized Modified Source Data'!G$2,Subsector,'Summarized Modified Source Data'!G$3,TimeOfWeek,$D51)</f>
        <v>0</v>
      </c>
      <c r="H51" s="25">
        <f>SUMIFS(INDEX(Load,,MATCH('Summarized Modified Source Data'!$B51,Hour,0)),Season,'Summarized Modified Source Data'!$A51,Sector,'Summarized Modified Source Data'!H$2,Subsector,'Summarized Modified Source Data'!H$3,TimeOfWeek,$D51)</f>
        <v>43700000</v>
      </c>
      <c r="I51" s="25">
        <f>SUMIFS(INDEX(Load,,MATCH('Summarized Modified Source Data'!$B51,Hour,0)),Season,'Summarized Modified Source Data'!$A51,Sector,'Summarized Modified Source Data'!I$2,Subsector,'Summarized Modified Source Data'!I$3,TimeOfWeek,$D51)</f>
        <v>22091195</v>
      </c>
      <c r="J51" s="25">
        <f t="shared" si="0"/>
        <v>22091195</v>
      </c>
      <c r="K51" s="25">
        <f>SUMIFS(INDEX(Load,,MATCH('Summarized Modified Source Data'!$B51,Hour,0)),Season,'Summarized Modified Source Data'!$A51,Sector,'Summarized Modified Source Data'!K$2,Subsector,'Summarized Modified Source Data'!K$3,TimeOfWeek,$D51)</f>
        <v>46933801</v>
      </c>
      <c r="L51" s="25">
        <f>SUMIFS(INDEX(Load,,MATCH('Summarized Modified Source Data'!$B51,Hour,0)),Season,'Summarized Modified Source Data'!$A51,Sector,'Summarized Modified Source Data'!L$2,Subsector,'Summarized Modified Source Data'!L$3,TimeOfWeek,$D51)</f>
        <v>8829139</v>
      </c>
      <c r="M51" s="25">
        <f>SUMIFS(INDEX(Load,,MATCH('Summarized Modified Source Data'!$B51,Hour,0)),Season,'Summarized Modified Source Data'!$A51,Sector,'Summarized Modified Source Data'!M$2,Subsector,'Summarized Modified Source Data'!M$3,TimeOfWeek,$D51)</f>
        <v>0</v>
      </c>
      <c r="N51" s="25">
        <f t="shared" si="1"/>
        <v>543237060</v>
      </c>
      <c r="O51" s="25">
        <f>SUMIFS(INDEX(Load,,MATCH('Summarized Modified Source Data'!$B51,Hour,0)),Season,'Summarized Modified Source Data'!$A51,Sector,'Summarized Modified Source Data'!O$2,Subsector,"Total",TimeOfWeek,$D51)-SUM(K51:M51)</f>
        <v>543237060</v>
      </c>
      <c r="P51" s="25">
        <f t="shared" si="2"/>
        <v>543237060</v>
      </c>
      <c r="Q51" s="33" cm="1">
        <f t="array" ref="Q51">SUMIFS(INDEX(Load,,MATCH('Summarized Modified Source Data'!$B51,Hour,0)),Season,'Summarized Modified Source Data'!$A51,Sector,'Summarized Modified Source Data'!Q$2,TimeOfWeek,$D51)*LDVs</f>
        <v>5846220.2214333266</v>
      </c>
      <c r="R51" s="33" cm="1">
        <f t="array" ref="R51">SUMIFS(INDEX(Load,,MATCH('Summarized Modified Source Data'!$B51,Hour,0)),Season,'Summarized Modified Source Data'!$A51,Sector,'Summarized Modified Source Data'!R$2,TimeOfWeek,$D51)*HDVs</f>
        <v>2754773.2670868868</v>
      </c>
      <c r="S51" s="33">
        <f>SUMIFS(INDEX(Load,,MATCH('Summarized Modified Source Data'!$B51,Hour,0)),Season,'Summarized Modified Source Data'!$A51,Sector,'Summarized Modified Source Data'!S$2,TimeOfWeek,$D51)*Aircraft</f>
        <v>0</v>
      </c>
      <c r="T51" s="33">
        <f>SUMIFS(INDEX(Load,,MATCH('Summarized Modified Source Data'!$B51,Hour,0)),Season,'Summarized Modified Source Data'!$A51,Sector,'Summarized Modified Source Data'!T$2,TimeOfWeek,$D51)*Rail</f>
        <v>11993404.511479788</v>
      </c>
      <c r="U51" s="33">
        <f>SUMIFS(INDEX(Load,,MATCH('Summarized Modified Source Data'!$B51,Hour,0)),Season,'Summarized Modified Source Data'!$A51,Sector,'Summarized Modified Source Data'!U$2,TimeOfWeek,$D51)*Ships</f>
        <v>0</v>
      </c>
      <c r="V51" s="33">
        <f>SUMIFS(INDEX(Load,,MATCH('Summarized Modified Source Data'!$B51,Hour,0)),Season,'Summarized Modified Source Data'!$A51,Sector,'Summarized Modified Source Data'!V$2,TimeOfWeek,$D51)*Motorbikes</f>
        <v>0</v>
      </c>
      <c r="W51" s="25">
        <f>SUMIFS(INDEX(Load,,MATCH('Summarized Modified Source Data'!$B51,Hour,0)),Season,'Summarized Modified Source Data'!$A51,Sector,'Summarized Modified Source Data'!W$2,Subsector,'Summarized Modified Source Data'!W$3,TimeOfWeek,$D51)</f>
        <v>1950000000</v>
      </c>
      <c r="X51" s="25">
        <f>SUMIFS(INDEX(Load,,MATCH('Summarized Modified Source Data'!$B51,Hour,0)),Season,'Summarized Modified Source Data'!$A51,Sector,'Summarized Modified Source Data'!X$2,Subsector,'Summarized Modified Source Data'!X$3,TimeOfWeek,$D51)</f>
        <v>0</v>
      </c>
      <c r="Y51" s="25">
        <f>SUMIFS(INDEX(Load,,MATCH('Summarized Modified Source Data'!$B51,Hour,0)),Season,'Summarized Modified Source Data'!$A51,Sector,'Summarized Modified Source Data'!Y$2,Subsector,'Summarized Modified Source Data'!Y$3,TimeOfWeek,$D51)</f>
        <v>0</v>
      </c>
    </row>
    <row r="52" spans="1:25" outlineLevel="1" x14ac:dyDescent="0.25">
      <c r="A52" t="s">
        <v>39</v>
      </c>
      <c r="B52" t="s">
        <v>147</v>
      </c>
      <c r="C52" s="7" t="s">
        <v>34</v>
      </c>
      <c r="D52" t="s">
        <v>117</v>
      </c>
      <c r="E52" s="25">
        <f>SUMIFS(INDEX(Load,,MATCH('Summarized Modified Source Data'!$B52,Hour,0)),Season,'Summarized Modified Source Data'!$A52,Sector,'Summarized Modified Source Data'!E$2,Subsector,'Summarized Modified Source Data'!E$3,TimeOfWeek,$D52)</f>
        <v>364759</v>
      </c>
      <c r="F52" s="25">
        <f>SUMIFS(INDEX(Load,,MATCH('Summarized Modified Source Data'!$B52,Hour,0)),Season,'Summarized Modified Source Data'!$A52,Sector,'Summarized Modified Source Data'!F$2,Subsector,'Summarized Modified Source Data'!F$3,TimeOfWeek,$D52)</f>
        <v>113699513</v>
      </c>
      <c r="G52" s="25">
        <f>SUMIFS(INDEX(Load,,MATCH('Summarized Modified Source Data'!$B52,Hour,0)),Season,'Summarized Modified Source Data'!$A52,Sector,'Summarized Modified Source Data'!G$2,Subsector,'Summarized Modified Source Data'!G$3,TimeOfWeek,$D52)</f>
        <v>0</v>
      </c>
      <c r="H52" s="25">
        <f>SUMIFS(INDEX(Load,,MATCH('Summarized Modified Source Data'!$B52,Hour,0)),Season,'Summarized Modified Source Data'!$A52,Sector,'Summarized Modified Source Data'!H$2,Subsector,'Summarized Modified Source Data'!H$3,TimeOfWeek,$D52)</f>
        <v>30300000</v>
      </c>
      <c r="I52" s="25">
        <f>SUMIFS(INDEX(Load,,MATCH('Summarized Modified Source Data'!$B52,Hour,0)),Season,'Summarized Modified Source Data'!$A52,Sector,'Summarized Modified Source Data'!I$2,Subsector,'Summarized Modified Source Data'!I$3,TimeOfWeek,$D52)</f>
        <v>10884859</v>
      </c>
      <c r="J52" s="25">
        <f t="shared" si="0"/>
        <v>10884859</v>
      </c>
      <c r="K52" s="25">
        <f>SUMIFS(INDEX(Load,,MATCH('Summarized Modified Source Data'!$B52,Hour,0)),Season,'Summarized Modified Source Data'!$A52,Sector,'Summarized Modified Source Data'!K$2,Subsector,'Summarized Modified Source Data'!K$3,TimeOfWeek,$D52)</f>
        <v>1511471</v>
      </c>
      <c r="L52" s="25">
        <f>SUMIFS(INDEX(Load,,MATCH('Summarized Modified Source Data'!$B52,Hour,0)),Season,'Summarized Modified Source Data'!$A52,Sector,'Summarized Modified Source Data'!L$2,Subsector,'Summarized Modified Source Data'!L$3,TimeOfWeek,$D52)</f>
        <v>518600000</v>
      </c>
      <c r="M52" s="25">
        <f>SUMIFS(INDEX(Load,,MATCH('Summarized Modified Source Data'!$B52,Hour,0)),Season,'Summarized Modified Source Data'!$A52,Sector,'Summarized Modified Source Data'!M$2,Subsector,'Summarized Modified Source Data'!M$3,TimeOfWeek,$D52)</f>
        <v>0</v>
      </c>
      <c r="N52" s="25">
        <f t="shared" si="1"/>
        <v>453888529</v>
      </c>
      <c r="O52" s="25">
        <f>SUMIFS(INDEX(Load,,MATCH('Summarized Modified Source Data'!$B52,Hour,0)),Season,'Summarized Modified Source Data'!$A52,Sector,'Summarized Modified Source Data'!O$2,Subsector,"Total",TimeOfWeek,$D52)-SUM(K52:M52)</f>
        <v>453888529</v>
      </c>
      <c r="P52" s="25">
        <f t="shared" si="2"/>
        <v>453888529</v>
      </c>
      <c r="Q52" s="33" cm="1">
        <f t="array" ref="Q52">SUMIFS(INDEX(Load,,MATCH('Summarized Modified Source Data'!$B52,Hour,0)),Season,'Summarized Modified Source Data'!$A52,Sector,'Summarized Modified Source Data'!Q$2,TimeOfWeek,$D52)*LDVs</f>
        <v>3686991.4264481566</v>
      </c>
      <c r="R52" s="33" cm="1">
        <f t="array" ref="R52">SUMIFS(INDEX(Load,,MATCH('Summarized Modified Source Data'!$B52,Hour,0)),Season,'Summarized Modified Source Data'!$A52,Sector,'Summarized Modified Source Data'!R$2,TimeOfWeek,$D52)*HDVs</f>
        <v>1737331.9910736729</v>
      </c>
      <c r="S52" s="33">
        <f>SUMIFS(INDEX(Load,,MATCH('Summarized Modified Source Data'!$B52,Hour,0)),Season,'Summarized Modified Source Data'!$A52,Sector,'Summarized Modified Source Data'!S$2,TimeOfWeek,$D52)*Aircraft</f>
        <v>0</v>
      </c>
      <c r="T52" s="33">
        <f>SUMIFS(INDEX(Load,,MATCH('Summarized Modified Source Data'!$B52,Hour,0)),Season,'Summarized Modified Source Data'!$A52,Sector,'Summarized Modified Source Data'!T$2,TimeOfWeek,$D52)*Rail</f>
        <v>7563789.5824781703</v>
      </c>
      <c r="U52" s="33">
        <f>SUMIFS(INDEX(Load,,MATCH('Summarized Modified Source Data'!$B52,Hour,0)),Season,'Summarized Modified Source Data'!$A52,Sector,'Summarized Modified Source Data'!U$2,TimeOfWeek,$D52)*Ships</f>
        <v>0</v>
      </c>
      <c r="V52" s="33">
        <f>SUMIFS(INDEX(Load,,MATCH('Summarized Modified Source Data'!$B52,Hour,0)),Season,'Summarized Modified Source Data'!$A52,Sector,'Summarized Modified Source Data'!V$2,TimeOfWeek,$D52)*Motorbikes</f>
        <v>0</v>
      </c>
      <c r="W52" s="25">
        <f>SUMIFS(INDEX(Load,,MATCH('Summarized Modified Source Data'!$B52,Hour,0)),Season,'Summarized Modified Source Data'!$A52,Sector,'Summarized Modified Source Data'!W$2,Subsector,'Summarized Modified Source Data'!W$3,TimeOfWeek,$D52)</f>
        <v>1929000000</v>
      </c>
      <c r="X52" s="25">
        <f>SUMIFS(INDEX(Load,,MATCH('Summarized Modified Source Data'!$B52,Hour,0)),Season,'Summarized Modified Source Data'!$A52,Sector,'Summarized Modified Source Data'!X$2,Subsector,'Summarized Modified Source Data'!X$3,TimeOfWeek,$D52)</f>
        <v>0</v>
      </c>
      <c r="Y52" s="25">
        <f>SUMIFS(INDEX(Load,,MATCH('Summarized Modified Source Data'!$B52,Hour,0)),Season,'Summarized Modified Source Data'!$A52,Sector,'Summarized Modified Source Data'!Y$2,Subsector,'Summarized Modified Source Data'!Y$3,TimeOfWeek,$D52)</f>
        <v>0</v>
      </c>
    </row>
    <row r="53" spans="1:25" outlineLevel="1" x14ac:dyDescent="0.25">
      <c r="A53" t="s">
        <v>39</v>
      </c>
      <c r="B53" t="s">
        <v>148</v>
      </c>
      <c r="C53" s="7" t="s">
        <v>0</v>
      </c>
      <c r="D53" t="s">
        <v>117</v>
      </c>
      <c r="E53" s="25">
        <f>SUMIFS(INDEX(Load,,MATCH('Summarized Modified Source Data'!$B53,Hour,0)),Season,'Summarized Modified Source Data'!$A53,Sector,'Summarized Modified Source Data'!E$2,Subsector,'Summarized Modified Source Data'!E$3,TimeOfWeek,$D53)</f>
        <v>364759</v>
      </c>
      <c r="F53" s="25">
        <f>SUMIFS(INDEX(Load,,MATCH('Summarized Modified Source Data'!$B53,Hour,0)),Season,'Summarized Modified Source Data'!$A53,Sector,'Summarized Modified Source Data'!F$2,Subsector,'Summarized Modified Source Data'!F$3,TimeOfWeek,$D53)</f>
        <v>101902986</v>
      </c>
      <c r="G53" s="25">
        <f>SUMIFS(INDEX(Load,,MATCH('Summarized Modified Source Data'!$B53,Hour,0)),Season,'Summarized Modified Source Data'!$A53,Sector,'Summarized Modified Source Data'!G$2,Subsector,'Summarized Modified Source Data'!G$3,TimeOfWeek,$D53)</f>
        <v>0</v>
      </c>
      <c r="H53" s="25">
        <f>SUMIFS(INDEX(Load,,MATCH('Summarized Modified Source Data'!$B53,Hour,0)),Season,'Summarized Modified Source Data'!$A53,Sector,'Summarized Modified Source Data'!H$2,Subsector,'Summarized Modified Source Data'!H$3,TimeOfWeek,$D53)</f>
        <v>27918507</v>
      </c>
      <c r="I53" s="25">
        <f>SUMIFS(INDEX(Load,,MATCH('Summarized Modified Source Data'!$B53,Hour,0)),Season,'Summarized Modified Source Data'!$A53,Sector,'Summarized Modified Source Data'!I$2,Subsector,'Summarized Modified Source Data'!I$3,TimeOfWeek,$D53)</f>
        <v>7524670</v>
      </c>
      <c r="J53" s="25">
        <f t="shared" si="0"/>
        <v>7524670</v>
      </c>
      <c r="K53" s="25">
        <f>SUMIFS(INDEX(Load,,MATCH('Summarized Modified Source Data'!$B53,Hour,0)),Season,'Summarized Modified Source Data'!$A53,Sector,'Summarized Modified Source Data'!K$2,Subsector,'Summarized Modified Source Data'!K$3,TimeOfWeek,$D53)</f>
        <v>1510574</v>
      </c>
      <c r="L53" s="25">
        <f>SUMIFS(INDEX(Load,,MATCH('Summarized Modified Source Data'!$B53,Hour,0)),Season,'Summarized Modified Source Data'!$A53,Sector,'Summarized Modified Source Data'!L$2,Subsector,'Summarized Modified Source Data'!L$3,TimeOfWeek,$D53)</f>
        <v>481800000</v>
      </c>
      <c r="M53" s="25">
        <f>SUMIFS(INDEX(Load,,MATCH('Summarized Modified Source Data'!$B53,Hour,0)),Season,'Summarized Modified Source Data'!$A53,Sector,'Summarized Modified Source Data'!M$2,Subsector,'Summarized Modified Source Data'!M$3,TimeOfWeek,$D53)</f>
        <v>0</v>
      </c>
      <c r="N53" s="25">
        <f t="shared" si="1"/>
        <v>445689426</v>
      </c>
      <c r="O53" s="25">
        <f>SUMIFS(INDEX(Load,,MATCH('Summarized Modified Source Data'!$B53,Hour,0)),Season,'Summarized Modified Source Data'!$A53,Sector,'Summarized Modified Source Data'!O$2,Subsector,"Total",TimeOfWeek,$D53)-SUM(K53:M53)</f>
        <v>445689426</v>
      </c>
      <c r="P53" s="25">
        <f t="shared" si="2"/>
        <v>445689426</v>
      </c>
      <c r="Q53" s="33" cm="1">
        <f t="array" ref="Q53">SUMIFS(INDEX(Load,,MATCH('Summarized Modified Source Data'!$B53,Hour,0)),Season,'Summarized Modified Source Data'!$A53,Sector,'Summarized Modified Source Data'!Q$2,TimeOfWeek,$D53)*LDVs</f>
        <v>3629234.3623061106</v>
      </c>
      <c r="R53" s="33" cm="1">
        <f t="array" ref="R53">SUMIFS(INDEX(Load,,MATCH('Summarized Modified Source Data'!$B53,Hour,0)),Season,'Summarized Modified Source Data'!$A53,Sector,'Summarized Modified Source Data'!R$2,TimeOfWeek,$D53)*HDVs</f>
        <v>1710116.5235993871</v>
      </c>
      <c r="S53" s="33">
        <f>SUMIFS(INDEX(Load,,MATCH('Summarized Modified Source Data'!$B53,Hour,0)),Season,'Summarized Modified Source Data'!$A53,Sector,'Summarized Modified Source Data'!S$2,TimeOfWeek,$D53)*Aircraft</f>
        <v>0</v>
      </c>
      <c r="T53" s="33">
        <f>SUMIFS(INDEX(Load,,MATCH('Summarized Modified Source Data'!$B53,Hour,0)),Season,'Summarized Modified Source Data'!$A53,Sector,'Summarized Modified Source Data'!T$2,TimeOfWeek,$D53)*Rail</f>
        <v>7445302.1140945023</v>
      </c>
      <c r="U53" s="33">
        <f>SUMIFS(INDEX(Load,,MATCH('Summarized Modified Source Data'!$B53,Hour,0)),Season,'Summarized Modified Source Data'!$A53,Sector,'Summarized Modified Source Data'!U$2,TimeOfWeek,$D53)*Ships</f>
        <v>0</v>
      </c>
      <c r="V53" s="33">
        <f>SUMIFS(INDEX(Load,,MATCH('Summarized Modified Source Data'!$B53,Hour,0)),Season,'Summarized Modified Source Data'!$A53,Sector,'Summarized Modified Source Data'!V$2,TimeOfWeek,$D53)*Motorbikes</f>
        <v>0</v>
      </c>
      <c r="W53" s="25">
        <f>SUMIFS(INDEX(Load,,MATCH('Summarized Modified Source Data'!$B53,Hour,0)),Season,'Summarized Modified Source Data'!$A53,Sector,'Summarized Modified Source Data'!W$2,Subsector,'Summarized Modified Source Data'!W$3,TimeOfWeek,$D53)</f>
        <v>1926000000</v>
      </c>
      <c r="X53" s="25">
        <f>SUMIFS(INDEX(Load,,MATCH('Summarized Modified Source Data'!$B53,Hour,0)),Season,'Summarized Modified Source Data'!$A53,Sector,'Summarized Modified Source Data'!X$2,Subsector,'Summarized Modified Source Data'!X$3,TimeOfWeek,$D53)</f>
        <v>0</v>
      </c>
      <c r="Y53" s="25">
        <f>SUMIFS(INDEX(Load,,MATCH('Summarized Modified Source Data'!$B53,Hour,0)),Season,'Summarized Modified Source Data'!$A53,Sector,'Summarized Modified Source Data'!Y$2,Subsector,'Summarized Modified Source Data'!Y$3,TimeOfWeek,$D53)</f>
        <v>0</v>
      </c>
    </row>
    <row r="54" spans="1:25" outlineLevel="1" x14ac:dyDescent="0.25">
      <c r="A54" t="s">
        <v>39</v>
      </c>
      <c r="B54" t="s">
        <v>149</v>
      </c>
      <c r="C54" s="7" t="s">
        <v>1</v>
      </c>
      <c r="D54" t="s">
        <v>117</v>
      </c>
      <c r="E54" s="25">
        <f>SUMIFS(INDEX(Load,,MATCH('Summarized Modified Source Data'!$B54,Hour,0)),Season,'Summarized Modified Source Data'!$A54,Sector,'Summarized Modified Source Data'!E$2,Subsector,'Summarized Modified Source Data'!E$3,TimeOfWeek,$D54)</f>
        <v>364759</v>
      </c>
      <c r="F54" s="25">
        <f>SUMIFS(INDEX(Load,,MATCH('Summarized Modified Source Data'!$B54,Hour,0)),Season,'Summarized Modified Source Data'!$A54,Sector,'Summarized Modified Source Data'!F$2,Subsector,'Summarized Modified Source Data'!F$3,TimeOfWeek,$D54)</f>
        <v>98114972</v>
      </c>
      <c r="G54" s="25">
        <f>SUMIFS(INDEX(Load,,MATCH('Summarized Modified Source Data'!$B54,Hour,0)),Season,'Summarized Modified Source Data'!$A54,Sector,'Summarized Modified Source Data'!G$2,Subsector,'Summarized Modified Source Data'!G$3,TimeOfWeek,$D54)</f>
        <v>0</v>
      </c>
      <c r="H54" s="25">
        <f>SUMIFS(INDEX(Load,,MATCH('Summarized Modified Source Data'!$B54,Hour,0)),Season,'Summarized Modified Source Data'!$A54,Sector,'Summarized Modified Source Data'!H$2,Subsector,'Summarized Modified Source Data'!H$3,TimeOfWeek,$D54)</f>
        <v>27644544</v>
      </c>
      <c r="I54" s="25">
        <f>SUMIFS(INDEX(Load,,MATCH('Summarized Modified Source Data'!$B54,Hour,0)),Season,'Summarized Modified Source Data'!$A54,Sector,'Summarized Modified Source Data'!I$2,Subsector,'Summarized Modified Source Data'!I$3,TimeOfWeek,$D54)</f>
        <v>6834026</v>
      </c>
      <c r="J54" s="25">
        <f t="shared" si="0"/>
        <v>6834026</v>
      </c>
      <c r="K54" s="25">
        <f>SUMIFS(INDEX(Load,,MATCH('Summarized Modified Source Data'!$B54,Hour,0)),Season,'Summarized Modified Source Data'!$A54,Sector,'Summarized Modified Source Data'!K$2,Subsector,'Summarized Modified Source Data'!K$3,TimeOfWeek,$D54)</f>
        <v>1541698</v>
      </c>
      <c r="L54" s="25">
        <f>SUMIFS(INDEX(Load,,MATCH('Summarized Modified Source Data'!$B54,Hour,0)),Season,'Summarized Modified Source Data'!$A54,Sector,'Summarized Modified Source Data'!L$2,Subsector,'Summarized Modified Source Data'!L$3,TimeOfWeek,$D54)</f>
        <v>467000000</v>
      </c>
      <c r="M54" s="25">
        <f>SUMIFS(INDEX(Load,,MATCH('Summarized Modified Source Data'!$B54,Hour,0)),Season,'Summarized Modified Source Data'!$A54,Sector,'Summarized Modified Source Data'!M$2,Subsector,'Summarized Modified Source Data'!M$3,TimeOfWeek,$D54)</f>
        <v>0</v>
      </c>
      <c r="N54" s="25">
        <f t="shared" si="1"/>
        <v>443458302</v>
      </c>
      <c r="O54" s="25">
        <f>SUMIFS(INDEX(Load,,MATCH('Summarized Modified Source Data'!$B54,Hour,0)),Season,'Summarized Modified Source Data'!$A54,Sector,'Summarized Modified Source Data'!O$2,Subsector,"Total",TimeOfWeek,$D54)-SUM(K54:M54)</f>
        <v>443458302</v>
      </c>
      <c r="P54" s="25">
        <f t="shared" si="2"/>
        <v>443458302</v>
      </c>
      <c r="Q54" s="33" cm="1">
        <f t="array" ref="Q54">SUMIFS(INDEX(Load,,MATCH('Summarized Modified Source Data'!$B54,Hour,0)),Season,'Summarized Modified Source Data'!$A54,Sector,'Summarized Modified Source Data'!Q$2,TimeOfWeek,$D54)*LDVs</f>
        <v>3614400.7948742886</v>
      </c>
      <c r="R54" s="33" cm="1">
        <f t="array" ref="R54">SUMIFS(INDEX(Load,,MATCH('Summarized Modified Source Data'!$B54,Hour,0)),Season,'Summarized Modified Source Data'!$A54,Sector,'Summarized Modified Source Data'!R$2,TimeOfWeek,$D54)*HDVs</f>
        <v>1703126.8595995773</v>
      </c>
      <c r="S54" s="33">
        <f>SUMIFS(INDEX(Load,,MATCH('Summarized Modified Source Data'!$B54,Hour,0)),Season,'Summarized Modified Source Data'!$A54,Sector,'Summarized Modified Source Data'!S$2,TimeOfWeek,$D54)*Aircraft</f>
        <v>0</v>
      </c>
      <c r="T54" s="33">
        <f>SUMIFS(INDEX(Load,,MATCH('Summarized Modified Source Data'!$B54,Hour,0)),Season,'Summarized Modified Source Data'!$A54,Sector,'Summarized Modified Source Data'!T$2,TimeOfWeek,$D54)*Rail</f>
        <v>7414871.3455261337</v>
      </c>
      <c r="U54" s="33">
        <f>SUMIFS(INDEX(Load,,MATCH('Summarized Modified Source Data'!$B54,Hour,0)),Season,'Summarized Modified Source Data'!$A54,Sector,'Summarized Modified Source Data'!U$2,TimeOfWeek,$D54)*Ships</f>
        <v>0</v>
      </c>
      <c r="V54" s="33">
        <f>SUMIFS(INDEX(Load,,MATCH('Summarized Modified Source Data'!$B54,Hour,0)),Season,'Summarized Modified Source Data'!$A54,Sector,'Summarized Modified Source Data'!V$2,TimeOfWeek,$D54)*Motorbikes</f>
        <v>0</v>
      </c>
      <c r="W54" s="25">
        <f>SUMIFS(INDEX(Load,,MATCH('Summarized Modified Source Data'!$B54,Hour,0)),Season,'Summarized Modified Source Data'!$A54,Sector,'Summarized Modified Source Data'!W$2,Subsector,'Summarized Modified Source Data'!W$3,TimeOfWeek,$D54)</f>
        <v>1926000000</v>
      </c>
      <c r="X54" s="25">
        <f>SUMIFS(INDEX(Load,,MATCH('Summarized Modified Source Data'!$B54,Hour,0)),Season,'Summarized Modified Source Data'!$A54,Sector,'Summarized Modified Source Data'!X$2,Subsector,'Summarized Modified Source Data'!X$3,TimeOfWeek,$D54)</f>
        <v>0</v>
      </c>
      <c r="Y54" s="25">
        <f>SUMIFS(INDEX(Load,,MATCH('Summarized Modified Source Data'!$B54,Hour,0)),Season,'Summarized Modified Source Data'!$A54,Sector,'Summarized Modified Source Data'!Y$2,Subsector,'Summarized Modified Source Data'!Y$3,TimeOfWeek,$D54)</f>
        <v>0</v>
      </c>
    </row>
    <row r="55" spans="1:25" outlineLevel="1" x14ac:dyDescent="0.25">
      <c r="A55" t="s">
        <v>39</v>
      </c>
      <c r="B55" t="s">
        <v>150</v>
      </c>
      <c r="C55" s="7" t="s">
        <v>2</v>
      </c>
      <c r="D55" t="s">
        <v>117</v>
      </c>
      <c r="E55" s="25">
        <f>SUMIFS(INDEX(Load,,MATCH('Summarized Modified Source Data'!$B55,Hour,0)),Season,'Summarized Modified Source Data'!$A55,Sector,'Summarized Modified Source Data'!E$2,Subsector,'Summarized Modified Source Data'!E$3,TimeOfWeek,$D55)</f>
        <v>364759</v>
      </c>
      <c r="F55" s="25">
        <f>SUMIFS(INDEX(Load,,MATCH('Summarized Modified Source Data'!$B55,Hour,0)),Season,'Summarized Modified Source Data'!$A55,Sector,'Summarized Modified Source Data'!F$2,Subsector,'Summarized Modified Source Data'!F$3,TimeOfWeek,$D55)</f>
        <v>102313965</v>
      </c>
      <c r="G55" s="25">
        <f>SUMIFS(INDEX(Load,,MATCH('Summarized Modified Source Data'!$B55,Hour,0)),Season,'Summarized Modified Source Data'!$A55,Sector,'Summarized Modified Source Data'!G$2,Subsector,'Summarized Modified Source Data'!G$3,TimeOfWeek,$D55)</f>
        <v>0</v>
      </c>
      <c r="H55" s="25">
        <f>SUMIFS(INDEX(Load,,MATCH('Summarized Modified Source Data'!$B55,Hour,0)),Season,'Summarized Modified Source Data'!$A55,Sector,'Summarized Modified Source Data'!H$2,Subsector,'Summarized Modified Source Data'!H$3,TimeOfWeek,$D55)</f>
        <v>28260812</v>
      </c>
      <c r="I55" s="25">
        <f>SUMIFS(INDEX(Load,,MATCH('Summarized Modified Source Data'!$B55,Hour,0)),Season,'Summarized Modified Source Data'!$A55,Sector,'Summarized Modified Source Data'!I$2,Subsector,'Summarized Modified Source Data'!I$3,TimeOfWeek,$D55)</f>
        <v>6679147</v>
      </c>
      <c r="J55" s="25">
        <f t="shared" si="0"/>
        <v>6679147</v>
      </c>
      <c r="K55" s="25">
        <f>SUMIFS(INDEX(Load,,MATCH('Summarized Modified Source Data'!$B55,Hour,0)),Season,'Summarized Modified Source Data'!$A55,Sector,'Summarized Modified Source Data'!K$2,Subsector,'Summarized Modified Source Data'!K$3,TimeOfWeek,$D55)</f>
        <v>1570108</v>
      </c>
      <c r="L55" s="25">
        <f>SUMIFS(INDEX(Load,,MATCH('Summarized Modified Source Data'!$B55,Hour,0)),Season,'Summarized Modified Source Data'!$A55,Sector,'Summarized Modified Source Data'!L$2,Subsector,'Summarized Modified Source Data'!L$3,TimeOfWeek,$D55)</f>
        <v>468400000</v>
      </c>
      <c r="M55" s="25">
        <f>SUMIFS(INDEX(Load,,MATCH('Summarized Modified Source Data'!$B55,Hour,0)),Season,'Summarized Modified Source Data'!$A55,Sector,'Summarized Modified Source Data'!M$2,Subsector,'Summarized Modified Source Data'!M$3,TimeOfWeek,$D55)</f>
        <v>0</v>
      </c>
      <c r="N55" s="25">
        <f t="shared" si="1"/>
        <v>463029892</v>
      </c>
      <c r="O55" s="25">
        <f>SUMIFS(INDEX(Load,,MATCH('Summarized Modified Source Data'!$B55,Hour,0)),Season,'Summarized Modified Source Data'!$A55,Sector,'Summarized Modified Source Data'!O$2,Subsector,"Total",TimeOfWeek,$D55)-SUM(K55:M55)</f>
        <v>463029892</v>
      </c>
      <c r="P55" s="25">
        <f t="shared" si="2"/>
        <v>463029892</v>
      </c>
      <c r="Q55" s="33" cm="1">
        <f t="array" ref="Q55">SUMIFS(INDEX(Load,,MATCH('Summarized Modified Source Data'!$B55,Hour,0)),Season,'Summarized Modified Source Data'!$A55,Sector,'Summarized Modified Source Data'!Q$2,TimeOfWeek,$D55)*LDVs</f>
        <v>3628057.4194773831</v>
      </c>
      <c r="R55" s="33" cm="1">
        <f t="array" ref="R55">SUMIFS(INDEX(Load,,MATCH('Summarized Modified Source Data'!$B55,Hour,0)),Season,'Summarized Modified Source Data'!$A55,Sector,'Summarized Modified Source Data'!R$2,TimeOfWeek,$D55)*HDVs</f>
        <v>1709561.9412335737</v>
      </c>
      <c r="S55" s="33">
        <f>SUMIFS(INDEX(Load,,MATCH('Summarized Modified Source Data'!$B55,Hour,0)),Season,'Summarized Modified Source Data'!$A55,Sector,'Summarized Modified Source Data'!S$2,TimeOfWeek,$D55)*Aircraft</f>
        <v>0</v>
      </c>
      <c r="T55" s="33">
        <f>SUMIFS(INDEX(Load,,MATCH('Summarized Modified Source Data'!$B55,Hour,0)),Season,'Summarized Modified Source Data'!$A55,Sector,'Summarized Modified Source Data'!T$2,TimeOfWeek,$D55)*Rail</f>
        <v>7442887.6392890429</v>
      </c>
      <c r="U55" s="33">
        <f>SUMIFS(INDEX(Load,,MATCH('Summarized Modified Source Data'!$B55,Hour,0)),Season,'Summarized Modified Source Data'!$A55,Sector,'Summarized Modified Source Data'!U$2,TimeOfWeek,$D55)*Ships</f>
        <v>0</v>
      </c>
      <c r="V55" s="33">
        <f>SUMIFS(INDEX(Load,,MATCH('Summarized Modified Source Data'!$B55,Hour,0)),Season,'Summarized Modified Source Data'!$A55,Sector,'Summarized Modified Source Data'!V$2,TimeOfWeek,$D55)*Motorbikes</f>
        <v>0</v>
      </c>
      <c r="W55" s="25">
        <f>SUMIFS(INDEX(Load,,MATCH('Summarized Modified Source Data'!$B55,Hour,0)),Season,'Summarized Modified Source Data'!$A55,Sector,'Summarized Modified Source Data'!W$2,Subsector,'Summarized Modified Source Data'!W$3,TimeOfWeek,$D55)</f>
        <v>1926000000</v>
      </c>
      <c r="X55" s="25">
        <f>SUMIFS(INDEX(Load,,MATCH('Summarized Modified Source Data'!$B55,Hour,0)),Season,'Summarized Modified Source Data'!$A55,Sector,'Summarized Modified Source Data'!X$2,Subsector,'Summarized Modified Source Data'!X$3,TimeOfWeek,$D55)</f>
        <v>0</v>
      </c>
      <c r="Y55" s="25">
        <f>SUMIFS(INDEX(Load,,MATCH('Summarized Modified Source Data'!$B55,Hour,0)),Season,'Summarized Modified Source Data'!$A55,Sector,'Summarized Modified Source Data'!Y$2,Subsector,'Summarized Modified Source Data'!Y$3,TimeOfWeek,$D55)</f>
        <v>0</v>
      </c>
    </row>
    <row r="56" spans="1:25" outlineLevel="1" x14ac:dyDescent="0.25">
      <c r="A56" t="s">
        <v>39</v>
      </c>
      <c r="B56" t="s">
        <v>151</v>
      </c>
      <c r="C56" s="7" t="s">
        <v>3</v>
      </c>
      <c r="D56" t="s">
        <v>117</v>
      </c>
      <c r="E56" s="25">
        <f>SUMIFS(INDEX(Load,,MATCH('Summarized Modified Source Data'!$B56,Hour,0)),Season,'Summarized Modified Source Data'!$A56,Sector,'Summarized Modified Source Data'!E$2,Subsector,'Summarized Modified Source Data'!E$3,TimeOfWeek,$D56)</f>
        <v>364759</v>
      </c>
      <c r="F56" s="25">
        <f>SUMIFS(INDEX(Load,,MATCH('Summarized Modified Source Data'!$B56,Hour,0)),Season,'Summarized Modified Source Data'!$A56,Sector,'Summarized Modified Source Data'!F$2,Subsector,'Summarized Modified Source Data'!F$3,TimeOfWeek,$D56)</f>
        <v>111940541</v>
      </c>
      <c r="G56" s="25">
        <f>SUMIFS(INDEX(Load,,MATCH('Summarized Modified Source Data'!$B56,Hour,0)),Season,'Summarized Modified Source Data'!$A56,Sector,'Summarized Modified Source Data'!G$2,Subsector,'Summarized Modified Source Data'!G$3,TimeOfWeek,$D56)</f>
        <v>0</v>
      </c>
      <c r="H56" s="25">
        <f>SUMIFS(INDEX(Load,,MATCH('Summarized Modified Source Data'!$B56,Hour,0)),Season,'Summarized Modified Source Data'!$A56,Sector,'Summarized Modified Source Data'!H$2,Subsector,'Summarized Modified Source Data'!H$3,TimeOfWeek,$D56)</f>
        <v>36300000</v>
      </c>
      <c r="I56" s="25">
        <f>SUMIFS(INDEX(Load,,MATCH('Summarized Modified Source Data'!$B56,Hour,0)),Season,'Summarized Modified Source Data'!$A56,Sector,'Summarized Modified Source Data'!I$2,Subsector,'Summarized Modified Source Data'!I$3,TimeOfWeek,$D56)</f>
        <v>9371885</v>
      </c>
      <c r="J56" s="25">
        <f t="shared" si="0"/>
        <v>9371885</v>
      </c>
      <c r="K56" s="25">
        <f>SUMIFS(INDEX(Load,,MATCH('Summarized Modified Source Data'!$B56,Hour,0)),Season,'Summarized Modified Source Data'!$A56,Sector,'Summarized Modified Source Data'!K$2,Subsector,'Summarized Modified Source Data'!K$3,TimeOfWeek,$D56)</f>
        <v>1532995</v>
      </c>
      <c r="L56" s="25">
        <f>SUMIFS(INDEX(Load,,MATCH('Summarized Modified Source Data'!$B56,Hour,0)),Season,'Summarized Modified Source Data'!$A56,Sector,'Summarized Modified Source Data'!L$2,Subsector,'Summarized Modified Source Data'!L$3,TimeOfWeek,$D56)</f>
        <v>483300000</v>
      </c>
      <c r="M56" s="25">
        <f>SUMIFS(INDEX(Load,,MATCH('Summarized Modified Source Data'!$B56,Hour,0)),Season,'Summarized Modified Source Data'!$A56,Sector,'Summarized Modified Source Data'!M$2,Subsector,'Summarized Modified Source Data'!M$3,TimeOfWeek,$D56)</f>
        <v>0</v>
      </c>
      <c r="N56" s="25">
        <f t="shared" si="1"/>
        <v>490167005</v>
      </c>
      <c r="O56" s="25">
        <f>SUMIFS(INDEX(Load,,MATCH('Summarized Modified Source Data'!$B56,Hour,0)),Season,'Summarized Modified Source Data'!$A56,Sector,'Summarized Modified Source Data'!O$2,Subsector,"Total",TimeOfWeek,$D56)-SUM(K56:M56)</f>
        <v>490167005</v>
      </c>
      <c r="P56" s="25">
        <f t="shared" si="2"/>
        <v>490167005</v>
      </c>
      <c r="Q56" s="33" cm="1">
        <f t="array" ref="Q56">SUMIFS(INDEX(Load,,MATCH('Summarized Modified Source Data'!$B56,Hour,0)),Season,'Summarized Modified Source Data'!$A56,Sector,'Summarized Modified Source Data'!Q$2,TimeOfWeek,$D56)*LDVs</f>
        <v>3613176.7289125249</v>
      </c>
      <c r="R56" s="33" cm="1">
        <f t="array" ref="R56">SUMIFS(INDEX(Load,,MATCH('Summarized Modified Source Data'!$B56,Hour,0)),Season,'Summarized Modified Source Data'!$A56,Sector,'Summarized Modified Source Data'!R$2,TimeOfWeek,$D56)*HDVs</f>
        <v>1702550.0725370138</v>
      </c>
      <c r="S56" s="33">
        <f>SUMIFS(INDEX(Load,,MATCH('Summarized Modified Source Data'!$B56,Hour,0)),Season,'Summarized Modified Source Data'!$A56,Sector,'Summarized Modified Source Data'!S$2,TimeOfWeek,$D56)*Aircraft</f>
        <v>0</v>
      </c>
      <c r="T56" s="33">
        <f>SUMIFS(INDEX(Load,,MATCH('Summarized Modified Source Data'!$B56,Hour,0)),Season,'Summarized Modified Source Data'!$A56,Sector,'Summarized Modified Source Data'!T$2,TimeOfWeek,$D56)*Rail</f>
        <v>7412360.1985504609</v>
      </c>
      <c r="U56" s="33">
        <f>SUMIFS(INDEX(Load,,MATCH('Summarized Modified Source Data'!$B56,Hour,0)),Season,'Summarized Modified Source Data'!$A56,Sector,'Summarized Modified Source Data'!U$2,TimeOfWeek,$D56)*Ships</f>
        <v>0</v>
      </c>
      <c r="V56" s="33">
        <f>SUMIFS(INDEX(Load,,MATCH('Summarized Modified Source Data'!$B56,Hour,0)),Season,'Summarized Modified Source Data'!$A56,Sector,'Summarized Modified Source Data'!V$2,TimeOfWeek,$D56)*Motorbikes</f>
        <v>0</v>
      </c>
      <c r="W56" s="25">
        <f>SUMIFS(INDEX(Load,,MATCH('Summarized Modified Source Data'!$B56,Hour,0)),Season,'Summarized Modified Source Data'!$A56,Sector,'Summarized Modified Source Data'!W$2,Subsector,'Summarized Modified Source Data'!W$3,TimeOfWeek,$D56)</f>
        <v>1932000000</v>
      </c>
      <c r="X56" s="25">
        <f>SUMIFS(INDEX(Load,,MATCH('Summarized Modified Source Data'!$B56,Hour,0)),Season,'Summarized Modified Source Data'!$A56,Sector,'Summarized Modified Source Data'!X$2,Subsector,'Summarized Modified Source Data'!X$3,TimeOfWeek,$D56)</f>
        <v>0</v>
      </c>
      <c r="Y56" s="25">
        <f>SUMIFS(INDEX(Load,,MATCH('Summarized Modified Source Data'!$B56,Hour,0)),Season,'Summarized Modified Source Data'!$A56,Sector,'Summarized Modified Source Data'!Y$2,Subsector,'Summarized Modified Source Data'!Y$3,TimeOfWeek,$D56)</f>
        <v>0</v>
      </c>
    </row>
    <row r="57" spans="1:25" outlineLevel="1" x14ac:dyDescent="0.25">
      <c r="A57" t="s">
        <v>39</v>
      </c>
      <c r="B57" t="s">
        <v>152</v>
      </c>
      <c r="C57" s="7" t="s">
        <v>4</v>
      </c>
      <c r="D57" t="s">
        <v>117</v>
      </c>
      <c r="E57" s="25">
        <f>SUMIFS(INDEX(Load,,MATCH('Summarized Modified Source Data'!$B57,Hour,0)),Season,'Summarized Modified Source Data'!$A57,Sector,'Summarized Modified Source Data'!E$2,Subsector,'Summarized Modified Source Data'!E$3,TimeOfWeek,$D57)</f>
        <v>543217</v>
      </c>
      <c r="F57" s="25">
        <f>SUMIFS(INDEX(Load,,MATCH('Summarized Modified Source Data'!$B57,Hour,0)),Season,'Summarized Modified Source Data'!$A57,Sector,'Summarized Modified Source Data'!F$2,Subsector,'Summarized Modified Source Data'!F$3,TimeOfWeek,$D57)</f>
        <v>122745215</v>
      </c>
      <c r="G57" s="25">
        <f>SUMIFS(INDEX(Load,,MATCH('Summarized Modified Source Data'!$B57,Hour,0)),Season,'Summarized Modified Source Data'!$A57,Sector,'Summarized Modified Source Data'!G$2,Subsector,'Summarized Modified Source Data'!G$3,TimeOfWeek,$D57)</f>
        <v>0</v>
      </c>
      <c r="H57" s="25">
        <f>SUMIFS(INDEX(Load,,MATCH('Summarized Modified Source Data'!$B57,Hour,0)),Season,'Summarized Modified Source Data'!$A57,Sector,'Summarized Modified Source Data'!H$2,Subsector,'Summarized Modified Source Data'!H$3,TimeOfWeek,$D57)</f>
        <v>49300000</v>
      </c>
      <c r="I57" s="25">
        <f>SUMIFS(INDEX(Load,,MATCH('Summarized Modified Source Data'!$B57,Hour,0)),Season,'Summarized Modified Source Data'!$A57,Sector,'Summarized Modified Source Data'!I$2,Subsector,'Summarized Modified Source Data'!I$3,TimeOfWeek,$D57)</f>
        <v>20790963</v>
      </c>
      <c r="J57" s="25">
        <f t="shared" si="0"/>
        <v>20790963</v>
      </c>
      <c r="K57" s="25">
        <f>SUMIFS(INDEX(Load,,MATCH('Summarized Modified Source Data'!$B57,Hour,0)),Season,'Summarized Modified Source Data'!$A57,Sector,'Summarized Modified Source Data'!K$2,Subsector,'Summarized Modified Source Data'!K$3,TimeOfWeek,$D57)</f>
        <v>2046212</v>
      </c>
      <c r="L57" s="25">
        <f>SUMIFS(INDEX(Load,,MATCH('Summarized Modified Source Data'!$B57,Hour,0)),Season,'Summarized Modified Source Data'!$A57,Sector,'Summarized Modified Source Data'!L$2,Subsector,'Summarized Modified Source Data'!L$3,TimeOfWeek,$D57)</f>
        <v>520400000</v>
      </c>
      <c r="M57" s="25">
        <f>SUMIFS(INDEX(Load,,MATCH('Summarized Modified Source Data'!$B57,Hour,0)),Season,'Summarized Modified Source Data'!$A57,Sector,'Summarized Modified Source Data'!M$2,Subsector,'Summarized Modified Source Data'!M$3,TimeOfWeek,$D57)</f>
        <v>0</v>
      </c>
      <c r="N57" s="25">
        <f t="shared" si="1"/>
        <v>571553788</v>
      </c>
      <c r="O57" s="25">
        <f>SUMIFS(INDEX(Load,,MATCH('Summarized Modified Source Data'!$B57,Hour,0)),Season,'Summarized Modified Source Data'!$A57,Sector,'Summarized Modified Source Data'!O$2,Subsector,"Total",TimeOfWeek,$D57)-SUM(K57:M57)</f>
        <v>571553788</v>
      </c>
      <c r="P57" s="25">
        <f t="shared" si="2"/>
        <v>571553788</v>
      </c>
      <c r="Q57" s="33" cm="1">
        <f t="array" ref="Q57">SUMIFS(INDEX(Load,,MATCH('Summarized Modified Source Data'!$B57,Hour,0)),Season,'Summarized Modified Source Data'!$A57,Sector,'Summarized Modified Source Data'!Q$2,TimeOfWeek,$D57)*LDVs</f>
        <v>3726618.8587144935</v>
      </c>
      <c r="R57" s="33" cm="1">
        <f t="array" ref="R57">SUMIFS(INDEX(Load,,MATCH('Summarized Modified Source Data'!$B57,Hour,0)),Season,'Summarized Modified Source Data'!$A57,Sector,'Summarized Modified Source Data'!R$2,TimeOfWeek,$D57)*HDVs</f>
        <v>1756004.6696447579</v>
      </c>
      <c r="S57" s="33">
        <f>SUMIFS(INDEX(Load,,MATCH('Summarized Modified Source Data'!$B57,Hour,0)),Season,'Summarized Modified Source Data'!$A57,Sector,'Summarized Modified Source Data'!S$2,TimeOfWeek,$D57)*Aircraft</f>
        <v>0</v>
      </c>
      <c r="T57" s="33">
        <f>SUMIFS(INDEX(Load,,MATCH('Summarized Modified Source Data'!$B57,Hour,0)),Season,'Summarized Modified Source Data'!$A57,Sector,'Summarized Modified Source Data'!T$2,TimeOfWeek,$D57)*Rail</f>
        <v>7645084.4716407489</v>
      </c>
      <c r="U57" s="33">
        <f>SUMIFS(INDEX(Load,,MATCH('Summarized Modified Source Data'!$B57,Hour,0)),Season,'Summarized Modified Source Data'!$A57,Sector,'Summarized Modified Source Data'!U$2,TimeOfWeek,$D57)*Ships</f>
        <v>0</v>
      </c>
      <c r="V57" s="33">
        <f>SUMIFS(INDEX(Load,,MATCH('Summarized Modified Source Data'!$B57,Hour,0)),Season,'Summarized Modified Source Data'!$A57,Sector,'Summarized Modified Source Data'!V$2,TimeOfWeek,$D57)*Motorbikes</f>
        <v>0</v>
      </c>
      <c r="W57" s="25">
        <f>SUMIFS(INDEX(Load,,MATCH('Summarized Modified Source Data'!$B57,Hour,0)),Season,'Summarized Modified Source Data'!$A57,Sector,'Summarized Modified Source Data'!W$2,Subsector,'Summarized Modified Source Data'!W$3,TimeOfWeek,$D57)</f>
        <v>1946000000</v>
      </c>
      <c r="X57" s="25">
        <f>SUMIFS(INDEX(Load,,MATCH('Summarized Modified Source Data'!$B57,Hour,0)),Season,'Summarized Modified Source Data'!$A57,Sector,'Summarized Modified Source Data'!X$2,Subsector,'Summarized Modified Source Data'!X$3,TimeOfWeek,$D57)</f>
        <v>0</v>
      </c>
      <c r="Y57" s="25">
        <f>SUMIFS(INDEX(Load,,MATCH('Summarized Modified Source Data'!$B57,Hour,0)),Season,'Summarized Modified Source Data'!$A57,Sector,'Summarized Modified Source Data'!Y$2,Subsector,'Summarized Modified Source Data'!Y$3,TimeOfWeek,$D57)</f>
        <v>0</v>
      </c>
    </row>
    <row r="58" spans="1:25" outlineLevel="1" x14ac:dyDescent="0.25">
      <c r="A58" t="s">
        <v>39</v>
      </c>
      <c r="B58" t="s">
        <v>153</v>
      </c>
      <c r="C58" s="7" t="s">
        <v>5</v>
      </c>
      <c r="D58" t="s">
        <v>117</v>
      </c>
      <c r="E58" s="25">
        <f>SUMIFS(INDEX(Load,,MATCH('Summarized Modified Source Data'!$B58,Hour,0)),Season,'Summarized Modified Source Data'!$A58,Sector,'Summarized Modified Source Data'!E$2,Subsector,'Summarized Modified Source Data'!E$3,TimeOfWeek,$D58)</f>
        <v>614954</v>
      </c>
      <c r="F58" s="25">
        <f>SUMIFS(INDEX(Load,,MATCH('Summarized Modified Source Data'!$B58,Hour,0)),Season,'Summarized Modified Source Data'!$A58,Sector,'Summarized Modified Source Data'!F$2,Subsector,'Summarized Modified Source Data'!F$3,TimeOfWeek,$D58)</f>
        <v>124200000</v>
      </c>
      <c r="G58" s="25">
        <f>SUMIFS(INDEX(Load,,MATCH('Summarized Modified Source Data'!$B58,Hour,0)),Season,'Summarized Modified Source Data'!$A58,Sector,'Summarized Modified Source Data'!G$2,Subsector,'Summarized Modified Source Data'!G$3,TimeOfWeek,$D58)</f>
        <v>0</v>
      </c>
      <c r="H58" s="25">
        <f>SUMIFS(INDEX(Load,,MATCH('Summarized Modified Source Data'!$B58,Hour,0)),Season,'Summarized Modified Source Data'!$A58,Sector,'Summarized Modified Source Data'!H$2,Subsector,'Summarized Modified Source Data'!H$3,TimeOfWeek,$D58)</f>
        <v>31071769</v>
      </c>
      <c r="I58" s="25">
        <f>SUMIFS(INDEX(Load,,MATCH('Summarized Modified Source Data'!$B58,Hour,0)),Season,'Summarized Modified Source Data'!$A58,Sector,'Summarized Modified Source Data'!I$2,Subsector,'Summarized Modified Source Data'!I$3,TimeOfWeek,$D58)</f>
        <v>40800000</v>
      </c>
      <c r="J58" s="25">
        <f t="shared" si="0"/>
        <v>40800000</v>
      </c>
      <c r="K58" s="25">
        <f>SUMIFS(INDEX(Load,,MATCH('Summarized Modified Source Data'!$B58,Hour,0)),Season,'Summarized Modified Source Data'!$A58,Sector,'Summarized Modified Source Data'!K$2,Subsector,'Summarized Modified Source Data'!K$3,TimeOfWeek,$D58)</f>
        <v>2774703</v>
      </c>
      <c r="L58" s="25">
        <f>SUMIFS(INDEX(Load,,MATCH('Summarized Modified Source Data'!$B58,Hour,0)),Season,'Summarized Modified Source Data'!$A58,Sector,'Summarized Modified Source Data'!L$2,Subsector,'Summarized Modified Source Data'!L$3,TimeOfWeek,$D58)</f>
        <v>595700000</v>
      </c>
      <c r="M58" s="25">
        <f>SUMIFS(INDEX(Load,,MATCH('Summarized Modified Source Data'!$B58,Hour,0)),Season,'Summarized Modified Source Data'!$A58,Sector,'Summarized Modified Source Data'!M$2,Subsector,'Summarized Modified Source Data'!M$3,TimeOfWeek,$D58)</f>
        <v>0</v>
      </c>
      <c r="N58" s="25">
        <f t="shared" si="1"/>
        <v>858525297</v>
      </c>
      <c r="O58" s="25">
        <f>SUMIFS(INDEX(Load,,MATCH('Summarized Modified Source Data'!$B58,Hour,0)),Season,'Summarized Modified Source Data'!$A58,Sector,'Summarized Modified Source Data'!O$2,Subsector,"Total",TimeOfWeek,$D58)-SUM(K58:M58)</f>
        <v>858525297</v>
      </c>
      <c r="P58" s="25">
        <f t="shared" si="2"/>
        <v>858525297</v>
      </c>
      <c r="Q58" s="33" cm="1">
        <f t="array" ref="Q58">SUMIFS(INDEX(Load,,MATCH('Summarized Modified Source Data'!$B58,Hour,0)),Season,'Summarized Modified Source Data'!$A58,Sector,'Summarized Modified Source Data'!Q$2,TimeOfWeek,$D58)*LDVs</f>
        <v>5619151.7274116743</v>
      </c>
      <c r="R58" s="33" cm="1">
        <f t="array" ref="R58">SUMIFS(INDEX(Load,,MATCH('Summarized Modified Source Data'!$B58,Hour,0)),Season,'Summarized Modified Source Data'!$A58,Sector,'Summarized Modified Source Data'!R$2,TimeOfWeek,$D58)*HDVs</f>
        <v>2647777.2605329012</v>
      </c>
      <c r="S58" s="33">
        <f>SUMIFS(INDEX(Load,,MATCH('Summarized Modified Source Data'!$B58,Hour,0)),Season,'Summarized Modified Source Data'!$A58,Sector,'Summarized Modified Source Data'!S$2,TimeOfWeek,$D58)*Aircraft</f>
        <v>0</v>
      </c>
      <c r="T58" s="33">
        <f>SUMIFS(INDEX(Load,,MATCH('Summarized Modified Source Data'!$B58,Hour,0)),Season,'Summarized Modified Source Data'!$A58,Sector,'Summarized Modified Source Data'!T$2,TimeOfWeek,$D58)*Rail</f>
        <v>11527578.012055425</v>
      </c>
      <c r="U58" s="33">
        <f>SUMIFS(INDEX(Load,,MATCH('Summarized Modified Source Data'!$B58,Hour,0)),Season,'Summarized Modified Source Data'!$A58,Sector,'Summarized Modified Source Data'!U$2,TimeOfWeek,$D58)*Ships</f>
        <v>0</v>
      </c>
      <c r="V58" s="33">
        <f>SUMIFS(INDEX(Load,,MATCH('Summarized Modified Source Data'!$B58,Hour,0)),Season,'Summarized Modified Source Data'!$A58,Sector,'Summarized Modified Source Data'!V$2,TimeOfWeek,$D58)*Motorbikes</f>
        <v>0</v>
      </c>
      <c r="W58" s="25">
        <f>SUMIFS(INDEX(Load,,MATCH('Summarized Modified Source Data'!$B58,Hour,0)),Season,'Summarized Modified Source Data'!$A58,Sector,'Summarized Modified Source Data'!W$2,Subsector,'Summarized Modified Source Data'!W$3,TimeOfWeek,$D58)</f>
        <v>1969000000</v>
      </c>
      <c r="X58" s="25">
        <f>SUMIFS(INDEX(Load,,MATCH('Summarized Modified Source Data'!$B58,Hour,0)),Season,'Summarized Modified Source Data'!$A58,Sector,'Summarized Modified Source Data'!X$2,Subsector,'Summarized Modified Source Data'!X$3,TimeOfWeek,$D58)</f>
        <v>0</v>
      </c>
      <c r="Y58" s="25">
        <f>SUMIFS(INDEX(Load,,MATCH('Summarized Modified Source Data'!$B58,Hour,0)),Season,'Summarized Modified Source Data'!$A58,Sector,'Summarized Modified Source Data'!Y$2,Subsector,'Summarized Modified Source Data'!Y$3,TimeOfWeek,$D58)</f>
        <v>0</v>
      </c>
    </row>
    <row r="59" spans="1:25" outlineLevel="1" x14ac:dyDescent="0.25">
      <c r="A59" t="s">
        <v>39</v>
      </c>
      <c r="B59" t="s">
        <v>154</v>
      </c>
      <c r="C59" s="7" t="s">
        <v>6</v>
      </c>
      <c r="D59" t="s">
        <v>117</v>
      </c>
      <c r="E59" s="25">
        <f>SUMIFS(INDEX(Load,,MATCH('Summarized Modified Source Data'!$B59,Hour,0)),Season,'Summarized Modified Source Data'!$A59,Sector,'Summarized Modified Source Data'!E$2,Subsector,'Summarized Modified Source Data'!E$3,TimeOfWeek,$D59)</f>
        <v>622635</v>
      </c>
      <c r="F59" s="25">
        <f>SUMIFS(INDEX(Load,,MATCH('Summarized Modified Source Data'!$B59,Hour,0)),Season,'Summarized Modified Source Data'!$A59,Sector,'Summarized Modified Source Data'!F$2,Subsector,'Summarized Modified Source Data'!F$3,TimeOfWeek,$D59)</f>
        <v>114600000</v>
      </c>
      <c r="G59" s="25">
        <f>SUMIFS(INDEX(Load,,MATCH('Summarized Modified Source Data'!$B59,Hour,0)),Season,'Summarized Modified Source Data'!$A59,Sector,'Summarized Modified Source Data'!G$2,Subsector,'Summarized Modified Source Data'!G$3,TimeOfWeek,$D59)</f>
        <v>0</v>
      </c>
      <c r="H59" s="25">
        <f>SUMIFS(INDEX(Load,,MATCH('Summarized Modified Source Data'!$B59,Hour,0)),Season,'Summarized Modified Source Data'!$A59,Sector,'Summarized Modified Source Data'!H$2,Subsector,'Summarized Modified Source Data'!H$3,TimeOfWeek,$D59)</f>
        <v>28328752</v>
      </c>
      <c r="I59" s="25">
        <f>SUMIFS(INDEX(Load,,MATCH('Summarized Modified Source Data'!$B59,Hour,0)),Season,'Summarized Modified Source Data'!$A59,Sector,'Summarized Modified Source Data'!I$2,Subsector,'Summarized Modified Source Data'!I$3,TimeOfWeek,$D59)</f>
        <v>56200000</v>
      </c>
      <c r="J59" s="25">
        <f t="shared" si="0"/>
        <v>56200000</v>
      </c>
      <c r="K59" s="25">
        <f>SUMIFS(INDEX(Load,,MATCH('Summarized Modified Source Data'!$B59,Hour,0)),Season,'Summarized Modified Source Data'!$A59,Sector,'Summarized Modified Source Data'!K$2,Subsector,'Summarized Modified Source Data'!K$3,TimeOfWeek,$D59)</f>
        <v>2308964</v>
      </c>
      <c r="L59" s="25">
        <f>SUMIFS(INDEX(Load,,MATCH('Summarized Modified Source Data'!$B59,Hour,0)),Season,'Summarized Modified Source Data'!$A59,Sector,'Summarized Modified Source Data'!L$2,Subsector,'Summarized Modified Source Data'!L$3,TimeOfWeek,$D59)</f>
        <v>716000000</v>
      </c>
      <c r="M59" s="25">
        <f>SUMIFS(INDEX(Load,,MATCH('Summarized Modified Source Data'!$B59,Hour,0)),Season,'Summarized Modified Source Data'!$A59,Sector,'Summarized Modified Source Data'!M$2,Subsector,'Summarized Modified Source Data'!M$3,TimeOfWeek,$D59)</f>
        <v>0</v>
      </c>
      <c r="N59" s="25">
        <f t="shared" si="1"/>
        <v>1173691036</v>
      </c>
      <c r="O59" s="25">
        <f>SUMIFS(INDEX(Load,,MATCH('Summarized Modified Source Data'!$B59,Hour,0)),Season,'Summarized Modified Source Data'!$A59,Sector,'Summarized Modified Source Data'!O$2,Subsector,"Total",TimeOfWeek,$D59)-SUM(K59:M59)</f>
        <v>1173691036</v>
      </c>
      <c r="P59" s="25">
        <f t="shared" si="2"/>
        <v>1173691036</v>
      </c>
      <c r="Q59" s="33" cm="1">
        <f t="array" ref="Q59">SUMIFS(INDEX(Load,,MATCH('Summarized Modified Source Data'!$B59,Hour,0)),Season,'Summarized Modified Source Data'!$A59,Sector,'Summarized Modified Source Data'!Q$2,TimeOfWeek,$D59)*LDVs</f>
        <v>11865945.547712199</v>
      </c>
      <c r="R59" s="33" cm="1">
        <f t="array" ref="R59">SUMIFS(INDEX(Load,,MATCH('Summarized Modified Source Data'!$B59,Hour,0)),Season,'Summarized Modified Source Data'!$A59,Sector,'Summarized Modified Source Data'!R$2,TimeOfWeek,$D59)*HDVs</f>
        <v>5591303.1575009804</v>
      </c>
      <c r="S59" s="33">
        <f>SUMIFS(INDEX(Load,,MATCH('Summarized Modified Source Data'!$B59,Hour,0)),Season,'Summarized Modified Source Data'!$A59,Sector,'Summarized Modified Source Data'!S$2,TimeOfWeek,$D59)*Aircraft</f>
        <v>0</v>
      </c>
      <c r="T59" s="33">
        <f>SUMIFS(INDEX(Load,,MATCH('Summarized Modified Source Data'!$B59,Hour,0)),Season,'Summarized Modified Source Data'!$A59,Sector,'Summarized Modified Source Data'!T$2,TimeOfWeek,$D59)*Rail</f>
        <v>24342751.294786818</v>
      </c>
      <c r="U59" s="33">
        <f>SUMIFS(INDEX(Load,,MATCH('Summarized Modified Source Data'!$B59,Hour,0)),Season,'Summarized Modified Source Data'!$A59,Sector,'Summarized Modified Source Data'!U$2,TimeOfWeek,$D59)*Ships</f>
        <v>0</v>
      </c>
      <c r="V59" s="33">
        <f>SUMIFS(INDEX(Load,,MATCH('Summarized Modified Source Data'!$B59,Hour,0)),Season,'Summarized Modified Source Data'!$A59,Sector,'Summarized Modified Source Data'!V$2,TimeOfWeek,$D59)*Motorbikes</f>
        <v>0</v>
      </c>
      <c r="W59" s="25">
        <f>SUMIFS(INDEX(Load,,MATCH('Summarized Modified Source Data'!$B59,Hour,0)),Season,'Summarized Modified Source Data'!$A59,Sector,'Summarized Modified Source Data'!W$2,Subsector,'Summarized Modified Source Data'!W$3,TimeOfWeek,$D59)</f>
        <v>1989000000</v>
      </c>
      <c r="X59" s="25">
        <f>SUMIFS(INDEX(Load,,MATCH('Summarized Modified Source Data'!$B59,Hour,0)),Season,'Summarized Modified Source Data'!$A59,Sector,'Summarized Modified Source Data'!X$2,Subsector,'Summarized Modified Source Data'!X$3,TimeOfWeek,$D59)</f>
        <v>0</v>
      </c>
      <c r="Y59" s="25">
        <f>SUMIFS(INDEX(Load,,MATCH('Summarized Modified Source Data'!$B59,Hour,0)),Season,'Summarized Modified Source Data'!$A59,Sector,'Summarized Modified Source Data'!Y$2,Subsector,'Summarized Modified Source Data'!Y$3,TimeOfWeek,$D59)</f>
        <v>0</v>
      </c>
    </row>
    <row r="60" spans="1:25" outlineLevel="1" x14ac:dyDescent="0.25">
      <c r="A60" t="s">
        <v>39</v>
      </c>
      <c r="B60" t="s">
        <v>155</v>
      </c>
      <c r="C60" s="7" t="s">
        <v>7</v>
      </c>
      <c r="D60" t="s">
        <v>117</v>
      </c>
      <c r="E60" s="25">
        <f>SUMIFS(INDEX(Load,,MATCH('Summarized Modified Source Data'!$B60,Hour,0)),Season,'Summarized Modified Source Data'!$A60,Sector,'Summarized Modified Source Data'!E$2,Subsector,'Summarized Modified Source Data'!E$3,TimeOfWeek,$D60)</f>
        <v>617779</v>
      </c>
      <c r="F60" s="25">
        <f>SUMIFS(INDEX(Load,,MATCH('Summarized Modified Source Data'!$B60,Hour,0)),Season,'Summarized Modified Source Data'!$A60,Sector,'Summarized Modified Source Data'!F$2,Subsector,'Summarized Modified Source Data'!F$3,TimeOfWeek,$D60)</f>
        <v>111900000</v>
      </c>
      <c r="G60" s="25">
        <f>SUMIFS(INDEX(Load,,MATCH('Summarized Modified Source Data'!$B60,Hour,0)),Season,'Summarized Modified Source Data'!$A60,Sector,'Summarized Modified Source Data'!G$2,Subsector,'Summarized Modified Source Data'!G$3,TimeOfWeek,$D60)</f>
        <v>0</v>
      </c>
      <c r="H60" s="25">
        <f>SUMIFS(INDEX(Load,,MATCH('Summarized Modified Source Data'!$B60,Hour,0)),Season,'Summarized Modified Source Data'!$A60,Sector,'Summarized Modified Source Data'!H$2,Subsector,'Summarized Modified Source Data'!H$3,TimeOfWeek,$D60)</f>
        <v>27743612</v>
      </c>
      <c r="I60" s="25">
        <f>SUMIFS(INDEX(Load,,MATCH('Summarized Modified Source Data'!$B60,Hour,0)),Season,'Summarized Modified Source Data'!$A60,Sector,'Summarized Modified Source Data'!I$2,Subsector,'Summarized Modified Source Data'!I$3,TimeOfWeek,$D60)</f>
        <v>37000000</v>
      </c>
      <c r="J60" s="25">
        <f t="shared" si="0"/>
        <v>37000000</v>
      </c>
      <c r="K60" s="25">
        <f>SUMIFS(INDEX(Load,,MATCH('Summarized Modified Source Data'!$B60,Hour,0)),Season,'Summarized Modified Source Data'!$A60,Sector,'Summarized Modified Source Data'!K$2,Subsector,'Summarized Modified Source Data'!K$3,TimeOfWeek,$D60)</f>
        <v>1672096</v>
      </c>
      <c r="L60" s="25">
        <f>SUMIFS(INDEX(Load,,MATCH('Summarized Modified Source Data'!$B60,Hour,0)),Season,'Summarized Modified Source Data'!$A60,Sector,'Summarized Modified Source Data'!L$2,Subsector,'Summarized Modified Source Data'!L$3,TimeOfWeek,$D60)</f>
        <v>875000000</v>
      </c>
      <c r="M60" s="25">
        <f>SUMIFS(INDEX(Load,,MATCH('Summarized Modified Source Data'!$B60,Hour,0)),Season,'Summarized Modified Source Data'!$A60,Sector,'Summarized Modified Source Data'!M$2,Subsector,'Summarized Modified Source Data'!M$3,TimeOfWeek,$D60)</f>
        <v>0</v>
      </c>
      <c r="N60" s="25">
        <f t="shared" si="1"/>
        <v>1461327904</v>
      </c>
      <c r="O60" s="25">
        <f>SUMIFS(INDEX(Load,,MATCH('Summarized Modified Source Data'!$B60,Hour,0)),Season,'Summarized Modified Source Data'!$A60,Sector,'Summarized Modified Source Data'!O$2,Subsector,"Total",TimeOfWeek,$D60)-SUM(K60:M60)</f>
        <v>1461327904</v>
      </c>
      <c r="P60" s="25">
        <f t="shared" si="2"/>
        <v>1461327904</v>
      </c>
      <c r="Q60" s="33" cm="1">
        <f t="array" ref="Q60">SUMIFS(INDEX(Load,,MATCH('Summarized Modified Source Data'!$B60,Hour,0)),Season,'Summarized Modified Source Data'!$A60,Sector,'Summarized Modified Source Data'!Q$2,TimeOfWeek,$D60)*LDVs</f>
        <v>13058217.588391416</v>
      </c>
      <c r="R60" s="33" cm="1">
        <f t="array" ref="R60">SUMIFS(INDEX(Load,,MATCH('Summarized Modified Source Data'!$B60,Hour,0)),Season,'Summarized Modified Source Data'!$A60,Sector,'Summarized Modified Source Data'!R$2,TimeOfWeek,$D60)*HDVs</f>
        <v>6153108.7379197394</v>
      </c>
      <c r="S60" s="33">
        <f>SUMIFS(INDEX(Load,,MATCH('Summarized Modified Source Data'!$B60,Hour,0)),Season,'Summarized Modified Source Data'!$A60,Sector,'Summarized Modified Source Data'!S$2,TimeOfWeek,$D60)*Aircraft</f>
        <v>0</v>
      </c>
      <c r="T60" s="33">
        <f>SUMIFS(INDEX(Load,,MATCH('Summarized Modified Source Data'!$B60,Hour,0)),Season,'Summarized Modified Source Data'!$A60,Sector,'Summarized Modified Source Data'!T$2,TimeOfWeek,$D60)*Rail</f>
        <v>26788673.673688844</v>
      </c>
      <c r="U60" s="33">
        <f>SUMIFS(INDEX(Load,,MATCH('Summarized Modified Source Data'!$B60,Hour,0)),Season,'Summarized Modified Source Data'!$A60,Sector,'Summarized Modified Source Data'!U$2,TimeOfWeek,$D60)*Ships</f>
        <v>0</v>
      </c>
      <c r="V60" s="33">
        <f>SUMIFS(INDEX(Load,,MATCH('Summarized Modified Source Data'!$B60,Hour,0)),Season,'Summarized Modified Source Data'!$A60,Sector,'Summarized Modified Source Data'!V$2,TimeOfWeek,$D60)*Motorbikes</f>
        <v>0</v>
      </c>
      <c r="W60" s="25">
        <f>SUMIFS(INDEX(Load,,MATCH('Summarized Modified Source Data'!$B60,Hour,0)),Season,'Summarized Modified Source Data'!$A60,Sector,'Summarized Modified Source Data'!W$2,Subsector,'Summarized Modified Source Data'!W$3,TimeOfWeek,$D60)</f>
        <v>1996000000</v>
      </c>
      <c r="X60" s="25">
        <f>SUMIFS(INDEX(Load,,MATCH('Summarized Modified Source Data'!$B60,Hour,0)),Season,'Summarized Modified Source Data'!$A60,Sector,'Summarized Modified Source Data'!X$2,Subsector,'Summarized Modified Source Data'!X$3,TimeOfWeek,$D60)</f>
        <v>0</v>
      </c>
      <c r="Y60" s="25">
        <f>SUMIFS(INDEX(Load,,MATCH('Summarized Modified Source Data'!$B60,Hour,0)),Season,'Summarized Modified Source Data'!$A60,Sector,'Summarized Modified Source Data'!Y$2,Subsector,'Summarized Modified Source Data'!Y$3,TimeOfWeek,$D60)</f>
        <v>0</v>
      </c>
    </row>
    <row r="61" spans="1:25" outlineLevel="1" x14ac:dyDescent="0.25">
      <c r="A61" t="s">
        <v>39</v>
      </c>
      <c r="B61" t="s">
        <v>156</v>
      </c>
      <c r="C61" s="7" t="s">
        <v>8</v>
      </c>
      <c r="D61" t="s">
        <v>117</v>
      </c>
      <c r="E61" s="25">
        <f>SUMIFS(INDEX(Load,,MATCH('Summarized Modified Source Data'!$B61,Hour,0)),Season,'Summarized Modified Source Data'!$A61,Sector,'Summarized Modified Source Data'!E$2,Subsector,'Summarized Modified Source Data'!E$3,TimeOfWeek,$D61)</f>
        <v>426639</v>
      </c>
      <c r="F61" s="25">
        <f>SUMIFS(INDEX(Load,,MATCH('Summarized Modified Source Data'!$B61,Hour,0)),Season,'Summarized Modified Source Data'!$A61,Sector,'Summarized Modified Source Data'!F$2,Subsector,'Summarized Modified Source Data'!F$3,TimeOfWeek,$D61)</f>
        <v>113800000</v>
      </c>
      <c r="G61" s="25">
        <f>SUMIFS(INDEX(Load,,MATCH('Summarized Modified Source Data'!$B61,Hour,0)),Season,'Summarized Modified Source Data'!$A61,Sector,'Summarized Modified Source Data'!G$2,Subsector,'Summarized Modified Source Data'!G$3,TimeOfWeek,$D61)</f>
        <v>0</v>
      </c>
      <c r="H61" s="25">
        <f>SUMIFS(INDEX(Load,,MATCH('Summarized Modified Source Data'!$B61,Hour,0)),Season,'Summarized Modified Source Data'!$A61,Sector,'Summarized Modified Source Data'!H$2,Subsector,'Summarized Modified Source Data'!H$3,TimeOfWeek,$D61)</f>
        <v>26687976</v>
      </c>
      <c r="I61" s="25">
        <f>SUMIFS(INDEX(Load,,MATCH('Summarized Modified Source Data'!$B61,Hour,0)),Season,'Summarized Modified Source Data'!$A61,Sector,'Summarized Modified Source Data'!I$2,Subsector,'Summarized Modified Source Data'!I$3,TimeOfWeek,$D61)</f>
        <v>33100000</v>
      </c>
      <c r="J61" s="25">
        <f t="shared" si="0"/>
        <v>33100000</v>
      </c>
      <c r="K61" s="25">
        <f>SUMIFS(INDEX(Load,,MATCH('Summarized Modified Source Data'!$B61,Hour,0)),Season,'Summarized Modified Source Data'!$A61,Sector,'Summarized Modified Source Data'!K$2,Subsector,'Summarized Modified Source Data'!K$3,TimeOfWeek,$D61)</f>
        <v>1413676</v>
      </c>
      <c r="L61" s="25">
        <f>SUMIFS(INDEX(Load,,MATCH('Summarized Modified Source Data'!$B61,Hour,0)),Season,'Summarized Modified Source Data'!$A61,Sector,'Summarized Modified Source Data'!L$2,Subsector,'Summarized Modified Source Data'!L$3,TimeOfWeek,$D61)</f>
        <v>996000000</v>
      </c>
      <c r="M61" s="25">
        <f>SUMIFS(INDEX(Load,,MATCH('Summarized Modified Source Data'!$B61,Hour,0)),Season,'Summarized Modified Source Data'!$A61,Sector,'Summarized Modified Source Data'!M$2,Subsector,'Summarized Modified Source Data'!M$3,TimeOfWeek,$D61)</f>
        <v>0</v>
      </c>
      <c r="N61" s="25">
        <f t="shared" si="1"/>
        <v>1538586324</v>
      </c>
      <c r="O61" s="25">
        <f>SUMIFS(INDEX(Load,,MATCH('Summarized Modified Source Data'!$B61,Hour,0)),Season,'Summarized Modified Source Data'!$A61,Sector,'Summarized Modified Source Data'!O$2,Subsector,"Total",TimeOfWeek,$D61)-SUM(K61:M61)</f>
        <v>1538586324</v>
      </c>
      <c r="P61" s="25">
        <f t="shared" si="2"/>
        <v>1538586324</v>
      </c>
      <c r="Q61" s="33" cm="1">
        <f t="array" ref="Q61">SUMIFS(INDEX(Load,,MATCH('Summarized Modified Source Data'!$B61,Hour,0)),Season,'Summarized Modified Source Data'!$A61,Sector,'Summarized Modified Source Data'!Q$2,TimeOfWeek,$D61)*LDVs</f>
        <v>11553683.822772406</v>
      </c>
      <c r="R61" s="33" cm="1">
        <f t="array" ref="R61">SUMIFS(INDEX(Load,,MATCH('Summarized Modified Source Data'!$B61,Hour,0)),Season,'Summarized Modified Source Data'!$A61,Sector,'Summarized Modified Source Data'!R$2,TimeOfWeek,$D61)*HDVs</f>
        <v>5444163.6007246384</v>
      </c>
      <c r="S61" s="33">
        <f>SUMIFS(INDEX(Load,,MATCH('Summarized Modified Source Data'!$B61,Hour,0)),Season,'Summarized Modified Source Data'!$A61,Sector,'Summarized Modified Source Data'!S$2,TimeOfWeek,$D61)*Aircraft</f>
        <v>0</v>
      </c>
      <c r="T61" s="33">
        <f>SUMIFS(INDEX(Load,,MATCH('Summarized Modified Source Data'!$B61,Hour,0)),Season,'Summarized Modified Source Data'!$A61,Sector,'Summarized Modified Source Data'!T$2,TimeOfWeek,$D61)*Rail</f>
        <v>23702152.576502956</v>
      </c>
      <c r="U61" s="33">
        <f>SUMIFS(INDEX(Load,,MATCH('Summarized Modified Source Data'!$B61,Hour,0)),Season,'Summarized Modified Source Data'!$A61,Sector,'Summarized Modified Source Data'!U$2,TimeOfWeek,$D61)*Ships</f>
        <v>0</v>
      </c>
      <c r="V61" s="33">
        <f>SUMIFS(INDEX(Load,,MATCH('Summarized Modified Source Data'!$B61,Hour,0)),Season,'Summarized Modified Source Data'!$A61,Sector,'Summarized Modified Source Data'!V$2,TimeOfWeek,$D61)*Motorbikes</f>
        <v>0</v>
      </c>
      <c r="W61" s="25">
        <f>SUMIFS(INDEX(Load,,MATCH('Summarized Modified Source Data'!$B61,Hour,0)),Season,'Summarized Modified Source Data'!$A61,Sector,'Summarized Modified Source Data'!W$2,Subsector,'Summarized Modified Source Data'!W$3,TimeOfWeek,$D61)</f>
        <v>1992000000</v>
      </c>
      <c r="X61" s="25">
        <f>SUMIFS(INDEX(Load,,MATCH('Summarized Modified Source Data'!$B61,Hour,0)),Season,'Summarized Modified Source Data'!$A61,Sector,'Summarized Modified Source Data'!X$2,Subsector,'Summarized Modified Source Data'!X$3,TimeOfWeek,$D61)</f>
        <v>0</v>
      </c>
      <c r="Y61" s="25">
        <f>SUMIFS(INDEX(Load,,MATCH('Summarized Modified Source Data'!$B61,Hour,0)),Season,'Summarized Modified Source Data'!$A61,Sector,'Summarized Modified Source Data'!Y$2,Subsector,'Summarized Modified Source Data'!Y$3,TimeOfWeek,$D61)</f>
        <v>0</v>
      </c>
    </row>
    <row r="62" spans="1:25" outlineLevel="1" x14ac:dyDescent="0.25">
      <c r="A62" t="s">
        <v>39</v>
      </c>
      <c r="B62" t="s">
        <v>157</v>
      </c>
      <c r="C62" s="7" t="s">
        <v>9</v>
      </c>
      <c r="D62" t="s">
        <v>117</v>
      </c>
      <c r="E62" s="25">
        <f>SUMIFS(INDEX(Load,,MATCH('Summarized Modified Source Data'!$B62,Hour,0)),Season,'Summarized Modified Source Data'!$A62,Sector,'Summarized Modified Source Data'!E$2,Subsector,'Summarized Modified Source Data'!E$3,TimeOfWeek,$D62)</f>
        <v>430259</v>
      </c>
      <c r="F62" s="25">
        <f>SUMIFS(INDEX(Load,,MATCH('Summarized Modified Source Data'!$B62,Hour,0)),Season,'Summarized Modified Source Data'!$A62,Sector,'Summarized Modified Source Data'!F$2,Subsector,'Summarized Modified Source Data'!F$3,TimeOfWeek,$D62)</f>
        <v>128400000</v>
      </c>
      <c r="G62" s="25">
        <f>SUMIFS(INDEX(Load,,MATCH('Summarized Modified Source Data'!$B62,Hour,0)),Season,'Summarized Modified Source Data'!$A62,Sector,'Summarized Modified Source Data'!G$2,Subsector,'Summarized Modified Source Data'!G$3,TimeOfWeek,$D62)</f>
        <v>0</v>
      </c>
      <c r="H62" s="25">
        <f>SUMIFS(INDEX(Load,,MATCH('Summarized Modified Source Data'!$B62,Hour,0)),Season,'Summarized Modified Source Data'!$A62,Sector,'Summarized Modified Source Data'!H$2,Subsector,'Summarized Modified Source Data'!H$3,TimeOfWeek,$D62)</f>
        <v>27124051</v>
      </c>
      <c r="I62" s="25">
        <f>SUMIFS(INDEX(Load,,MATCH('Summarized Modified Source Data'!$B62,Hour,0)),Season,'Summarized Modified Source Data'!$A62,Sector,'Summarized Modified Source Data'!I$2,Subsector,'Summarized Modified Source Data'!I$3,TimeOfWeek,$D62)</f>
        <v>30900000</v>
      </c>
      <c r="J62" s="25">
        <f t="shared" si="0"/>
        <v>30900000</v>
      </c>
      <c r="K62" s="25">
        <f>SUMIFS(INDEX(Load,,MATCH('Summarized Modified Source Data'!$B62,Hour,0)),Season,'Summarized Modified Source Data'!$A62,Sector,'Summarized Modified Source Data'!K$2,Subsector,'Summarized Modified Source Data'!K$3,TimeOfWeek,$D62)</f>
        <v>1272154</v>
      </c>
      <c r="L62" s="25">
        <f>SUMIFS(INDEX(Load,,MATCH('Summarized Modified Source Data'!$B62,Hour,0)),Season,'Summarized Modified Source Data'!$A62,Sector,'Summarized Modified Source Data'!L$2,Subsector,'Summarized Modified Source Data'!L$3,TimeOfWeek,$D62)</f>
        <v>1081000000</v>
      </c>
      <c r="M62" s="25">
        <f>SUMIFS(INDEX(Load,,MATCH('Summarized Modified Source Data'!$B62,Hour,0)),Season,'Summarized Modified Source Data'!$A62,Sector,'Summarized Modified Source Data'!M$2,Subsector,'Summarized Modified Source Data'!M$3,TimeOfWeek,$D62)</f>
        <v>0</v>
      </c>
      <c r="N62" s="25">
        <f t="shared" si="1"/>
        <v>1531727846</v>
      </c>
      <c r="O62" s="25">
        <f>SUMIFS(INDEX(Load,,MATCH('Summarized Modified Source Data'!$B62,Hour,0)),Season,'Summarized Modified Source Data'!$A62,Sector,'Summarized Modified Source Data'!O$2,Subsector,"Total",TimeOfWeek,$D62)-SUM(K62:M62)</f>
        <v>1531727846</v>
      </c>
      <c r="P62" s="25">
        <f t="shared" si="2"/>
        <v>1531727846</v>
      </c>
      <c r="Q62" s="33" cm="1">
        <f t="array" ref="Q62">SUMIFS(INDEX(Load,,MATCH('Summarized Modified Source Data'!$B62,Hour,0)),Season,'Summarized Modified Source Data'!$A62,Sector,'Summarized Modified Source Data'!Q$2,TimeOfWeek,$D62)*LDVs</f>
        <v>9254302.0300339162</v>
      </c>
      <c r="R62" s="33" cm="1">
        <f t="array" ref="R62">SUMIFS(INDEX(Load,,MATCH('Summarized Modified Source Data'!$B62,Hour,0)),Season,'Summarized Modified Source Data'!$A62,Sector,'Summarized Modified Source Data'!R$2,TimeOfWeek,$D62)*HDVs</f>
        <v>4360681.4099170323</v>
      </c>
      <c r="S62" s="33">
        <f>SUMIFS(INDEX(Load,,MATCH('Summarized Modified Source Data'!$B62,Hour,0)),Season,'Summarized Modified Source Data'!$A62,Sector,'Summarized Modified Source Data'!S$2,TimeOfWeek,$D62)*Aircraft</f>
        <v>0</v>
      </c>
      <c r="T62" s="33">
        <f>SUMIFS(INDEX(Load,,MATCH('Summarized Modified Source Data'!$B62,Hour,0)),Season,'Summarized Modified Source Data'!$A62,Sector,'Summarized Modified Source Data'!T$2,TimeOfWeek,$D62)*Rail</f>
        <v>18985016.56004905</v>
      </c>
      <c r="U62" s="33">
        <f>SUMIFS(INDEX(Load,,MATCH('Summarized Modified Source Data'!$B62,Hour,0)),Season,'Summarized Modified Source Data'!$A62,Sector,'Summarized Modified Source Data'!U$2,TimeOfWeek,$D62)*Ships</f>
        <v>0</v>
      </c>
      <c r="V62" s="33">
        <f>SUMIFS(INDEX(Load,,MATCH('Summarized Modified Source Data'!$B62,Hour,0)),Season,'Summarized Modified Source Data'!$A62,Sector,'Summarized Modified Source Data'!V$2,TimeOfWeek,$D62)*Motorbikes</f>
        <v>0</v>
      </c>
      <c r="W62" s="25">
        <f>SUMIFS(INDEX(Load,,MATCH('Summarized Modified Source Data'!$B62,Hour,0)),Season,'Summarized Modified Source Data'!$A62,Sector,'Summarized Modified Source Data'!W$2,Subsector,'Summarized Modified Source Data'!W$3,TimeOfWeek,$D62)</f>
        <v>1984000000</v>
      </c>
      <c r="X62" s="25">
        <f>SUMIFS(INDEX(Load,,MATCH('Summarized Modified Source Data'!$B62,Hour,0)),Season,'Summarized Modified Source Data'!$A62,Sector,'Summarized Modified Source Data'!X$2,Subsector,'Summarized Modified Source Data'!X$3,TimeOfWeek,$D62)</f>
        <v>0</v>
      </c>
      <c r="Y62" s="25">
        <f>SUMIFS(INDEX(Load,,MATCH('Summarized Modified Source Data'!$B62,Hour,0)),Season,'Summarized Modified Source Data'!$A62,Sector,'Summarized Modified Source Data'!Y$2,Subsector,'Summarized Modified Source Data'!Y$3,TimeOfWeek,$D62)</f>
        <v>0</v>
      </c>
    </row>
    <row r="63" spans="1:25" outlineLevel="1" x14ac:dyDescent="0.25">
      <c r="A63" t="s">
        <v>39</v>
      </c>
      <c r="B63" t="s">
        <v>158</v>
      </c>
      <c r="C63" s="7" t="s">
        <v>10</v>
      </c>
      <c r="D63" t="s">
        <v>117</v>
      </c>
      <c r="E63" s="25">
        <f>SUMIFS(INDEX(Load,,MATCH('Summarized Modified Source Data'!$B63,Hour,0)),Season,'Summarized Modified Source Data'!$A63,Sector,'Summarized Modified Source Data'!E$2,Subsector,'Summarized Modified Source Data'!E$3,TimeOfWeek,$D63)</f>
        <v>451917</v>
      </c>
      <c r="F63" s="25">
        <f>SUMIFS(INDEX(Load,,MATCH('Summarized Modified Source Data'!$B63,Hour,0)),Season,'Summarized Modified Source Data'!$A63,Sector,'Summarized Modified Source Data'!F$2,Subsector,'Summarized Modified Source Data'!F$3,TimeOfWeek,$D63)</f>
        <v>158800000</v>
      </c>
      <c r="G63" s="25">
        <f>SUMIFS(INDEX(Load,,MATCH('Summarized Modified Source Data'!$B63,Hour,0)),Season,'Summarized Modified Source Data'!$A63,Sector,'Summarized Modified Source Data'!G$2,Subsector,'Summarized Modified Source Data'!G$3,TimeOfWeek,$D63)</f>
        <v>0</v>
      </c>
      <c r="H63" s="25">
        <f>SUMIFS(INDEX(Load,,MATCH('Summarized Modified Source Data'!$B63,Hour,0)),Season,'Summarized Modified Source Data'!$A63,Sector,'Summarized Modified Source Data'!H$2,Subsector,'Summarized Modified Source Data'!H$3,TimeOfWeek,$D63)</f>
        <v>29734141</v>
      </c>
      <c r="I63" s="25">
        <f>SUMIFS(INDEX(Load,,MATCH('Summarized Modified Source Data'!$B63,Hour,0)),Season,'Summarized Modified Source Data'!$A63,Sector,'Summarized Modified Source Data'!I$2,Subsector,'Summarized Modified Source Data'!I$3,TimeOfWeek,$D63)</f>
        <v>26623812</v>
      </c>
      <c r="J63" s="25">
        <f t="shared" si="0"/>
        <v>26623812</v>
      </c>
      <c r="K63" s="25">
        <f>SUMIFS(INDEX(Load,,MATCH('Summarized Modified Source Data'!$B63,Hour,0)),Season,'Summarized Modified Source Data'!$A63,Sector,'Summarized Modified Source Data'!K$2,Subsector,'Summarized Modified Source Data'!K$3,TimeOfWeek,$D63)</f>
        <v>1159700</v>
      </c>
      <c r="L63" s="25">
        <f>SUMIFS(INDEX(Load,,MATCH('Summarized Modified Source Data'!$B63,Hour,0)),Season,'Summarized Modified Source Data'!$A63,Sector,'Summarized Modified Source Data'!L$2,Subsector,'Summarized Modified Source Data'!L$3,TimeOfWeek,$D63)</f>
        <v>1131000000</v>
      </c>
      <c r="M63" s="25">
        <f>SUMIFS(INDEX(Load,,MATCH('Summarized Modified Source Data'!$B63,Hour,0)),Season,'Summarized Modified Source Data'!$A63,Sector,'Summarized Modified Source Data'!M$2,Subsector,'Summarized Modified Source Data'!M$3,TimeOfWeek,$D63)</f>
        <v>0</v>
      </c>
      <c r="N63" s="25">
        <f t="shared" si="1"/>
        <v>1526840300</v>
      </c>
      <c r="O63" s="25">
        <f>SUMIFS(INDEX(Load,,MATCH('Summarized Modified Source Data'!$B63,Hour,0)),Season,'Summarized Modified Source Data'!$A63,Sector,'Summarized Modified Source Data'!O$2,Subsector,"Total",TimeOfWeek,$D63)-SUM(K63:M63)</f>
        <v>1526840300</v>
      </c>
      <c r="P63" s="25">
        <f t="shared" si="2"/>
        <v>1526840300</v>
      </c>
      <c r="Q63" s="33" cm="1">
        <f t="array" ref="Q63">SUMIFS(INDEX(Load,,MATCH('Summarized Modified Source Data'!$B63,Hour,0)),Season,'Summarized Modified Source Data'!$A63,Sector,'Summarized Modified Source Data'!Q$2,TimeOfWeek,$D63)*LDVs</f>
        <v>9311076.8891138788</v>
      </c>
      <c r="R63" s="33" cm="1">
        <f t="array" ref="R63">SUMIFS(INDEX(Load,,MATCH('Summarized Modified Source Data'!$B63,Hour,0)),Season,'Summarized Modified Source Data'!$A63,Sector,'Summarized Modified Source Data'!R$2,TimeOfWeek,$D63)*HDVs</f>
        <v>4387434.0566036403</v>
      </c>
      <c r="S63" s="33">
        <f>SUMIFS(INDEX(Load,,MATCH('Summarized Modified Source Data'!$B63,Hour,0)),Season,'Summarized Modified Source Data'!$A63,Sector,'Summarized Modified Source Data'!S$2,TimeOfWeek,$D63)*Aircraft</f>
        <v>0</v>
      </c>
      <c r="T63" s="33">
        <f>SUMIFS(INDEX(Load,,MATCH('Summarized Modified Source Data'!$B63,Hour,0)),Season,'Summarized Modified Source Data'!$A63,Sector,'Summarized Modified Source Data'!T$2,TimeOfWeek,$D63)*Rail</f>
        <v>19101489.054282479</v>
      </c>
      <c r="U63" s="33">
        <f>SUMIFS(INDEX(Load,,MATCH('Summarized Modified Source Data'!$B63,Hour,0)),Season,'Summarized Modified Source Data'!$A63,Sector,'Summarized Modified Source Data'!U$2,TimeOfWeek,$D63)*Ships</f>
        <v>0</v>
      </c>
      <c r="V63" s="33">
        <f>SUMIFS(INDEX(Load,,MATCH('Summarized Modified Source Data'!$B63,Hour,0)),Season,'Summarized Modified Source Data'!$A63,Sector,'Summarized Modified Source Data'!V$2,TimeOfWeek,$D63)*Motorbikes</f>
        <v>0</v>
      </c>
      <c r="W63" s="25">
        <f>SUMIFS(INDEX(Load,,MATCH('Summarized Modified Source Data'!$B63,Hour,0)),Season,'Summarized Modified Source Data'!$A63,Sector,'Summarized Modified Source Data'!W$2,Subsector,'Summarized Modified Source Data'!W$3,TimeOfWeek,$D63)</f>
        <v>1977000000</v>
      </c>
      <c r="X63" s="25">
        <f>SUMIFS(INDEX(Load,,MATCH('Summarized Modified Source Data'!$B63,Hour,0)),Season,'Summarized Modified Source Data'!$A63,Sector,'Summarized Modified Source Data'!X$2,Subsector,'Summarized Modified Source Data'!X$3,TimeOfWeek,$D63)</f>
        <v>0</v>
      </c>
      <c r="Y63" s="25">
        <f>SUMIFS(INDEX(Load,,MATCH('Summarized Modified Source Data'!$B63,Hour,0)),Season,'Summarized Modified Source Data'!$A63,Sector,'Summarized Modified Source Data'!Y$2,Subsector,'Summarized Modified Source Data'!Y$3,TimeOfWeek,$D63)</f>
        <v>0</v>
      </c>
    </row>
    <row r="64" spans="1:25" outlineLevel="1" x14ac:dyDescent="0.25">
      <c r="A64" t="s">
        <v>39</v>
      </c>
      <c r="B64" t="s">
        <v>159</v>
      </c>
      <c r="C64" s="7" t="s">
        <v>11</v>
      </c>
      <c r="D64" t="s">
        <v>117</v>
      </c>
      <c r="E64" s="25">
        <f>SUMIFS(INDEX(Load,,MATCH('Summarized Modified Source Data'!$B64,Hour,0)),Season,'Summarized Modified Source Data'!$A64,Sector,'Summarized Modified Source Data'!E$2,Subsector,'Summarized Modified Source Data'!E$3,TimeOfWeek,$D64)</f>
        <v>465182</v>
      </c>
      <c r="F64" s="25">
        <f>SUMIFS(INDEX(Load,,MATCH('Summarized Modified Source Data'!$B64,Hour,0)),Season,'Summarized Modified Source Data'!$A64,Sector,'Summarized Modified Source Data'!F$2,Subsector,'Summarized Modified Source Data'!F$3,TimeOfWeek,$D64)</f>
        <v>185300000</v>
      </c>
      <c r="G64" s="25">
        <f>SUMIFS(INDEX(Load,,MATCH('Summarized Modified Source Data'!$B64,Hour,0)),Season,'Summarized Modified Source Data'!$A64,Sector,'Summarized Modified Source Data'!G$2,Subsector,'Summarized Modified Source Data'!G$3,TimeOfWeek,$D64)</f>
        <v>0</v>
      </c>
      <c r="H64" s="25">
        <f>SUMIFS(INDEX(Load,,MATCH('Summarized Modified Source Data'!$B64,Hour,0)),Season,'Summarized Modified Source Data'!$A64,Sector,'Summarized Modified Source Data'!H$2,Subsector,'Summarized Modified Source Data'!H$3,TimeOfWeek,$D64)</f>
        <v>31200000</v>
      </c>
      <c r="I64" s="25">
        <f>SUMIFS(INDEX(Load,,MATCH('Summarized Modified Source Data'!$B64,Hour,0)),Season,'Summarized Modified Source Data'!$A64,Sector,'Summarized Modified Source Data'!I$2,Subsector,'Summarized Modified Source Data'!I$3,TimeOfWeek,$D64)</f>
        <v>21663287</v>
      </c>
      <c r="J64" s="25">
        <f t="shared" si="0"/>
        <v>21663287</v>
      </c>
      <c r="K64" s="25">
        <f>SUMIFS(INDEX(Load,,MATCH('Summarized Modified Source Data'!$B64,Hour,0)),Season,'Summarized Modified Source Data'!$A64,Sector,'Summarized Modified Source Data'!K$2,Subsector,'Summarized Modified Source Data'!K$3,TimeOfWeek,$D64)</f>
        <v>1095855</v>
      </c>
      <c r="L64" s="25">
        <f>SUMIFS(INDEX(Load,,MATCH('Summarized Modified Source Data'!$B64,Hour,0)),Season,'Summarized Modified Source Data'!$A64,Sector,'Summarized Modified Source Data'!L$2,Subsector,'Summarized Modified Source Data'!L$3,TimeOfWeek,$D64)</f>
        <v>1139000000</v>
      </c>
      <c r="M64" s="25">
        <f>SUMIFS(INDEX(Load,,MATCH('Summarized Modified Source Data'!$B64,Hour,0)),Season,'Summarized Modified Source Data'!$A64,Sector,'Summarized Modified Source Data'!M$2,Subsector,'Summarized Modified Source Data'!M$3,TimeOfWeek,$D64)</f>
        <v>0</v>
      </c>
      <c r="N64" s="25">
        <f t="shared" si="1"/>
        <v>1505904145</v>
      </c>
      <c r="O64" s="25">
        <f>SUMIFS(INDEX(Load,,MATCH('Summarized Modified Source Data'!$B64,Hour,0)),Season,'Summarized Modified Source Data'!$A64,Sector,'Summarized Modified Source Data'!O$2,Subsector,"Total",TimeOfWeek,$D64)-SUM(K64:M64)</f>
        <v>1505904145</v>
      </c>
      <c r="P64" s="25">
        <f t="shared" si="2"/>
        <v>1505904145</v>
      </c>
      <c r="Q64" s="33" cm="1">
        <f t="array" ref="Q64">SUMIFS(INDEX(Load,,MATCH('Summarized Modified Source Data'!$B64,Hour,0)),Season,'Summarized Modified Source Data'!$A64,Sector,'Summarized Modified Source Data'!Q$2,TimeOfWeek,$D64)*LDVs</f>
        <v>9509788.8958937488</v>
      </c>
      <c r="R64" s="33" cm="1">
        <f t="array" ref="R64">SUMIFS(INDEX(Load,,MATCH('Summarized Modified Source Data'!$B64,Hour,0)),Season,'Summarized Modified Source Data'!$A64,Sector,'Summarized Modified Source Data'!R$2,TimeOfWeek,$D64)*HDVs</f>
        <v>4481068.3200067664</v>
      </c>
      <c r="S64" s="33">
        <f>SUMIFS(INDEX(Load,,MATCH('Summarized Modified Source Data'!$B64,Hour,0)),Season,'Summarized Modified Source Data'!$A64,Sector,'Summarized Modified Source Data'!S$2,TimeOfWeek,$D64)*Aircraft</f>
        <v>0</v>
      </c>
      <c r="T64" s="33">
        <f>SUMIFS(INDEX(Load,,MATCH('Summarized Modified Source Data'!$B64,Hour,0)),Season,'Summarized Modified Source Data'!$A64,Sector,'Summarized Modified Source Data'!T$2,TimeOfWeek,$D64)*Rail</f>
        <v>19509142.784099486</v>
      </c>
      <c r="U64" s="33">
        <f>SUMIFS(INDEX(Load,,MATCH('Summarized Modified Source Data'!$B64,Hour,0)),Season,'Summarized Modified Source Data'!$A64,Sector,'Summarized Modified Source Data'!U$2,TimeOfWeek,$D64)*Ships</f>
        <v>0</v>
      </c>
      <c r="V64" s="33">
        <f>SUMIFS(INDEX(Load,,MATCH('Summarized Modified Source Data'!$B64,Hour,0)),Season,'Summarized Modified Source Data'!$A64,Sector,'Summarized Modified Source Data'!V$2,TimeOfWeek,$D64)*Motorbikes</f>
        <v>0</v>
      </c>
      <c r="W64" s="25">
        <f>SUMIFS(INDEX(Load,,MATCH('Summarized Modified Source Data'!$B64,Hour,0)),Season,'Summarized Modified Source Data'!$A64,Sector,'Summarized Modified Source Data'!W$2,Subsector,'Summarized Modified Source Data'!W$3,TimeOfWeek,$D64)</f>
        <v>1971000000</v>
      </c>
      <c r="X64" s="25">
        <f>SUMIFS(INDEX(Load,,MATCH('Summarized Modified Source Data'!$B64,Hour,0)),Season,'Summarized Modified Source Data'!$A64,Sector,'Summarized Modified Source Data'!X$2,Subsector,'Summarized Modified Source Data'!X$3,TimeOfWeek,$D64)</f>
        <v>0</v>
      </c>
      <c r="Y64" s="25">
        <f>SUMIFS(INDEX(Load,,MATCH('Summarized Modified Source Data'!$B64,Hour,0)),Season,'Summarized Modified Source Data'!$A64,Sector,'Summarized Modified Source Data'!Y$2,Subsector,'Summarized Modified Source Data'!Y$3,TimeOfWeek,$D64)</f>
        <v>0</v>
      </c>
    </row>
    <row r="65" spans="1:25" outlineLevel="1" x14ac:dyDescent="0.25">
      <c r="A65" t="s">
        <v>39</v>
      </c>
      <c r="B65" t="s">
        <v>160</v>
      </c>
      <c r="C65" s="7" t="s">
        <v>12</v>
      </c>
      <c r="D65" t="s">
        <v>117</v>
      </c>
      <c r="E65" s="25">
        <f>SUMIFS(INDEX(Load,,MATCH('Summarized Modified Source Data'!$B65,Hour,0)),Season,'Summarized Modified Source Data'!$A65,Sector,'Summarized Modified Source Data'!E$2,Subsector,'Summarized Modified Source Data'!E$3,TimeOfWeek,$D65)</f>
        <v>468913</v>
      </c>
      <c r="F65" s="25">
        <f>SUMIFS(INDEX(Load,,MATCH('Summarized Modified Source Data'!$B65,Hour,0)),Season,'Summarized Modified Source Data'!$A65,Sector,'Summarized Modified Source Data'!F$2,Subsector,'Summarized Modified Source Data'!F$3,TimeOfWeek,$D65)</f>
        <v>199400000</v>
      </c>
      <c r="G65" s="25">
        <f>SUMIFS(INDEX(Load,,MATCH('Summarized Modified Source Data'!$B65,Hour,0)),Season,'Summarized Modified Source Data'!$A65,Sector,'Summarized Modified Source Data'!G$2,Subsector,'Summarized Modified Source Data'!G$3,TimeOfWeek,$D65)</f>
        <v>0</v>
      </c>
      <c r="H65" s="25">
        <f>SUMIFS(INDEX(Load,,MATCH('Summarized Modified Source Data'!$B65,Hour,0)),Season,'Summarized Modified Source Data'!$A65,Sector,'Summarized Modified Source Data'!H$2,Subsector,'Summarized Modified Source Data'!H$3,TimeOfWeek,$D65)</f>
        <v>31800000</v>
      </c>
      <c r="I65" s="25">
        <f>SUMIFS(INDEX(Load,,MATCH('Summarized Modified Source Data'!$B65,Hour,0)),Season,'Summarized Modified Source Data'!$A65,Sector,'Summarized Modified Source Data'!I$2,Subsector,'Summarized Modified Source Data'!I$3,TimeOfWeek,$D65)</f>
        <v>19009977</v>
      </c>
      <c r="J65" s="25">
        <f t="shared" si="0"/>
        <v>19009977</v>
      </c>
      <c r="K65" s="25">
        <f>SUMIFS(INDEX(Load,,MATCH('Summarized Modified Source Data'!$B65,Hour,0)),Season,'Summarized Modified Source Data'!$A65,Sector,'Summarized Modified Source Data'!K$2,Subsector,'Summarized Modified Source Data'!K$3,TimeOfWeek,$D65)</f>
        <v>1042449</v>
      </c>
      <c r="L65" s="25">
        <f>SUMIFS(INDEX(Load,,MATCH('Summarized Modified Source Data'!$B65,Hour,0)),Season,'Summarized Modified Source Data'!$A65,Sector,'Summarized Modified Source Data'!L$2,Subsector,'Summarized Modified Source Data'!L$3,TimeOfWeek,$D65)</f>
        <v>1174000000</v>
      </c>
      <c r="M65" s="25">
        <f>SUMIFS(INDEX(Load,,MATCH('Summarized Modified Source Data'!$B65,Hour,0)),Season,'Summarized Modified Source Data'!$A65,Sector,'Summarized Modified Source Data'!M$2,Subsector,'Summarized Modified Source Data'!M$3,TimeOfWeek,$D65)</f>
        <v>0</v>
      </c>
      <c r="N65" s="25">
        <f t="shared" si="1"/>
        <v>1500957551</v>
      </c>
      <c r="O65" s="25">
        <f>SUMIFS(INDEX(Load,,MATCH('Summarized Modified Source Data'!$B65,Hour,0)),Season,'Summarized Modified Source Data'!$A65,Sector,'Summarized Modified Source Data'!O$2,Subsector,"Total",TimeOfWeek,$D65)-SUM(K65:M65)</f>
        <v>1500957551</v>
      </c>
      <c r="P65" s="25">
        <f t="shared" si="2"/>
        <v>1500957551</v>
      </c>
      <c r="Q65" s="33" cm="1">
        <f t="array" ref="Q65">SUMIFS(INDEX(Load,,MATCH('Summarized Modified Source Data'!$B65,Hour,0)),Season,'Summarized Modified Source Data'!$A65,Sector,'Summarized Modified Source Data'!Q$2,TimeOfWeek,$D65)*LDVs</f>
        <v>9424626.6072738059</v>
      </c>
      <c r="R65" s="33" cm="1">
        <f t="array" ref="R65">SUMIFS(INDEX(Load,,MATCH('Summarized Modified Source Data'!$B65,Hour,0)),Season,'Summarized Modified Source Data'!$A65,Sector,'Summarized Modified Source Data'!R$2,TimeOfWeek,$D65)*HDVs</f>
        <v>4440939.3499768553</v>
      </c>
      <c r="S65" s="33">
        <f>SUMIFS(INDEX(Load,,MATCH('Summarized Modified Source Data'!$B65,Hour,0)),Season,'Summarized Modified Source Data'!$A65,Sector,'Summarized Modified Source Data'!S$2,TimeOfWeek,$D65)*Aircraft</f>
        <v>0</v>
      </c>
      <c r="T65" s="33">
        <f>SUMIFS(INDEX(Load,,MATCH('Summarized Modified Source Data'!$B65,Hour,0)),Season,'Summarized Modified Source Data'!$A65,Sector,'Summarized Modified Source Data'!T$2,TimeOfWeek,$D65)*Rail</f>
        <v>19334434.042749342</v>
      </c>
      <c r="U65" s="33">
        <f>SUMIFS(INDEX(Load,,MATCH('Summarized Modified Source Data'!$B65,Hour,0)),Season,'Summarized Modified Source Data'!$A65,Sector,'Summarized Modified Source Data'!U$2,TimeOfWeek,$D65)*Ships</f>
        <v>0</v>
      </c>
      <c r="V65" s="33">
        <f>SUMIFS(INDEX(Load,,MATCH('Summarized Modified Source Data'!$B65,Hour,0)),Season,'Summarized Modified Source Data'!$A65,Sector,'Summarized Modified Source Data'!V$2,TimeOfWeek,$D65)*Motorbikes</f>
        <v>0</v>
      </c>
      <c r="W65" s="25">
        <f>SUMIFS(INDEX(Load,,MATCH('Summarized Modified Source Data'!$B65,Hour,0)),Season,'Summarized Modified Source Data'!$A65,Sector,'Summarized Modified Source Data'!W$2,Subsector,'Summarized Modified Source Data'!W$3,TimeOfWeek,$D65)</f>
        <v>1969000000</v>
      </c>
      <c r="X65" s="25">
        <f>SUMIFS(INDEX(Load,,MATCH('Summarized Modified Source Data'!$B65,Hour,0)),Season,'Summarized Modified Source Data'!$A65,Sector,'Summarized Modified Source Data'!X$2,Subsector,'Summarized Modified Source Data'!X$3,TimeOfWeek,$D65)</f>
        <v>0</v>
      </c>
      <c r="Y65" s="25">
        <f>SUMIFS(INDEX(Load,,MATCH('Summarized Modified Source Data'!$B65,Hour,0)),Season,'Summarized Modified Source Data'!$A65,Sector,'Summarized Modified Source Data'!Y$2,Subsector,'Summarized Modified Source Data'!Y$3,TimeOfWeek,$D65)</f>
        <v>0</v>
      </c>
    </row>
    <row r="66" spans="1:25" outlineLevel="1" x14ac:dyDescent="0.25">
      <c r="A66" t="s">
        <v>39</v>
      </c>
      <c r="B66" t="s">
        <v>161</v>
      </c>
      <c r="C66" s="7" t="s">
        <v>13</v>
      </c>
      <c r="D66" t="s">
        <v>117</v>
      </c>
      <c r="E66" s="25">
        <f>SUMIFS(INDEX(Load,,MATCH('Summarized Modified Source Data'!$B66,Hour,0)),Season,'Summarized Modified Source Data'!$A66,Sector,'Summarized Modified Source Data'!E$2,Subsector,'Summarized Modified Source Data'!E$3,TimeOfWeek,$D66)</f>
        <v>475702</v>
      </c>
      <c r="F66" s="25">
        <f>SUMIFS(INDEX(Load,,MATCH('Summarized Modified Source Data'!$B66,Hour,0)),Season,'Summarized Modified Source Data'!$A66,Sector,'Summarized Modified Source Data'!F$2,Subsector,'Summarized Modified Source Data'!F$3,TimeOfWeek,$D66)</f>
        <v>211200000</v>
      </c>
      <c r="G66" s="25">
        <f>SUMIFS(INDEX(Load,,MATCH('Summarized Modified Source Data'!$B66,Hour,0)),Season,'Summarized Modified Source Data'!$A66,Sector,'Summarized Modified Source Data'!G$2,Subsector,'Summarized Modified Source Data'!G$3,TimeOfWeek,$D66)</f>
        <v>0</v>
      </c>
      <c r="H66" s="25">
        <f>SUMIFS(INDEX(Load,,MATCH('Summarized Modified Source Data'!$B66,Hour,0)),Season,'Summarized Modified Source Data'!$A66,Sector,'Summarized Modified Source Data'!H$2,Subsector,'Summarized Modified Source Data'!H$3,TimeOfWeek,$D66)</f>
        <v>32700000</v>
      </c>
      <c r="I66" s="25">
        <f>SUMIFS(INDEX(Load,,MATCH('Summarized Modified Source Data'!$B66,Hour,0)),Season,'Summarized Modified Source Data'!$A66,Sector,'Summarized Modified Source Data'!I$2,Subsector,'Summarized Modified Source Data'!I$3,TimeOfWeek,$D66)</f>
        <v>18677025</v>
      </c>
      <c r="J66" s="25">
        <f t="shared" si="0"/>
        <v>18677025</v>
      </c>
      <c r="K66" s="25">
        <f>SUMIFS(INDEX(Load,,MATCH('Summarized Modified Source Data'!$B66,Hour,0)),Season,'Summarized Modified Source Data'!$A66,Sector,'Summarized Modified Source Data'!K$2,Subsector,'Summarized Modified Source Data'!K$3,TimeOfWeek,$D66)</f>
        <v>995590</v>
      </c>
      <c r="L66" s="25">
        <f>SUMIFS(INDEX(Load,,MATCH('Summarized Modified Source Data'!$B66,Hour,0)),Season,'Summarized Modified Source Data'!$A66,Sector,'Summarized Modified Source Data'!L$2,Subsector,'Summarized Modified Source Data'!L$3,TimeOfWeek,$D66)</f>
        <v>1198000000</v>
      </c>
      <c r="M66" s="25">
        <f>SUMIFS(INDEX(Load,,MATCH('Summarized Modified Source Data'!$B66,Hour,0)),Season,'Summarized Modified Source Data'!$A66,Sector,'Summarized Modified Source Data'!M$2,Subsector,'Summarized Modified Source Data'!M$3,TimeOfWeek,$D66)</f>
        <v>0</v>
      </c>
      <c r="N66" s="25">
        <f t="shared" si="1"/>
        <v>1500004410</v>
      </c>
      <c r="O66" s="25">
        <f>SUMIFS(INDEX(Load,,MATCH('Summarized Modified Source Data'!$B66,Hour,0)),Season,'Summarized Modified Source Data'!$A66,Sector,'Summarized Modified Source Data'!O$2,Subsector,"Total",TimeOfWeek,$D66)-SUM(K66:M66)</f>
        <v>1500004410</v>
      </c>
      <c r="P66" s="25">
        <f t="shared" si="2"/>
        <v>1500004410</v>
      </c>
      <c r="Q66" s="33" cm="1">
        <f t="array" ref="Q66">SUMIFS(INDEX(Load,,MATCH('Summarized Modified Source Data'!$B66,Hour,0)),Season,'Summarized Modified Source Data'!$A66,Sector,'Summarized Modified Source Data'!Q$2,TimeOfWeek,$D66)*LDVs</f>
        <v>9311076.8891138788</v>
      </c>
      <c r="R66" s="33" cm="1">
        <f t="array" ref="R66">SUMIFS(INDEX(Load,,MATCH('Summarized Modified Source Data'!$B66,Hour,0)),Season,'Summarized Modified Source Data'!$A66,Sector,'Summarized Modified Source Data'!R$2,TimeOfWeek,$D66)*HDVs</f>
        <v>4387434.0566036403</v>
      </c>
      <c r="S66" s="33">
        <f>SUMIFS(INDEX(Load,,MATCH('Summarized Modified Source Data'!$B66,Hour,0)),Season,'Summarized Modified Source Data'!$A66,Sector,'Summarized Modified Source Data'!S$2,TimeOfWeek,$D66)*Aircraft</f>
        <v>0</v>
      </c>
      <c r="T66" s="33">
        <f>SUMIFS(INDEX(Load,,MATCH('Summarized Modified Source Data'!$B66,Hour,0)),Season,'Summarized Modified Source Data'!$A66,Sector,'Summarized Modified Source Data'!T$2,TimeOfWeek,$D66)*Rail</f>
        <v>19101489.054282479</v>
      </c>
      <c r="U66" s="33">
        <f>SUMIFS(INDEX(Load,,MATCH('Summarized Modified Source Data'!$B66,Hour,0)),Season,'Summarized Modified Source Data'!$A66,Sector,'Summarized Modified Source Data'!U$2,TimeOfWeek,$D66)*Ships</f>
        <v>0</v>
      </c>
      <c r="V66" s="33">
        <f>SUMIFS(INDEX(Load,,MATCH('Summarized Modified Source Data'!$B66,Hour,0)),Season,'Summarized Modified Source Data'!$A66,Sector,'Summarized Modified Source Data'!V$2,TimeOfWeek,$D66)*Motorbikes</f>
        <v>0</v>
      </c>
      <c r="W66" s="25">
        <f>SUMIFS(INDEX(Load,,MATCH('Summarized Modified Source Data'!$B66,Hour,0)),Season,'Summarized Modified Source Data'!$A66,Sector,'Summarized Modified Source Data'!W$2,Subsector,'Summarized Modified Source Data'!W$3,TimeOfWeek,$D66)</f>
        <v>1972000000</v>
      </c>
      <c r="X66" s="25">
        <f>SUMIFS(INDEX(Load,,MATCH('Summarized Modified Source Data'!$B66,Hour,0)),Season,'Summarized Modified Source Data'!$A66,Sector,'Summarized Modified Source Data'!X$2,Subsector,'Summarized Modified Source Data'!X$3,TimeOfWeek,$D66)</f>
        <v>0</v>
      </c>
      <c r="Y66" s="25">
        <f>SUMIFS(INDEX(Load,,MATCH('Summarized Modified Source Data'!$B66,Hour,0)),Season,'Summarized Modified Source Data'!$A66,Sector,'Summarized Modified Source Data'!Y$2,Subsector,'Summarized Modified Source Data'!Y$3,TimeOfWeek,$D66)</f>
        <v>0</v>
      </c>
    </row>
    <row r="67" spans="1:25" outlineLevel="1" x14ac:dyDescent="0.25">
      <c r="A67" t="s">
        <v>39</v>
      </c>
      <c r="B67" t="s">
        <v>162</v>
      </c>
      <c r="C67" s="7" t="s">
        <v>14</v>
      </c>
      <c r="D67" t="s">
        <v>117</v>
      </c>
      <c r="E67" s="25">
        <f>SUMIFS(INDEX(Load,,MATCH('Summarized Modified Source Data'!$B67,Hour,0)),Season,'Summarized Modified Source Data'!$A67,Sector,'Summarized Modified Source Data'!E$2,Subsector,'Summarized Modified Source Data'!E$3,TimeOfWeek,$D67)</f>
        <v>497630</v>
      </c>
      <c r="F67" s="25">
        <f>SUMIFS(INDEX(Load,,MATCH('Summarized Modified Source Data'!$B67,Hour,0)),Season,'Summarized Modified Source Data'!$A67,Sector,'Summarized Modified Source Data'!F$2,Subsector,'Summarized Modified Source Data'!F$3,TimeOfWeek,$D67)</f>
        <v>227500000</v>
      </c>
      <c r="G67" s="25">
        <f>SUMIFS(INDEX(Load,,MATCH('Summarized Modified Source Data'!$B67,Hour,0)),Season,'Summarized Modified Source Data'!$A67,Sector,'Summarized Modified Source Data'!G$2,Subsector,'Summarized Modified Source Data'!G$3,TimeOfWeek,$D67)</f>
        <v>0</v>
      </c>
      <c r="H67" s="25">
        <f>SUMIFS(INDEX(Load,,MATCH('Summarized Modified Source Data'!$B67,Hour,0)),Season,'Summarized Modified Source Data'!$A67,Sector,'Summarized Modified Source Data'!H$2,Subsector,'Summarized Modified Source Data'!H$3,TimeOfWeek,$D67)</f>
        <v>35200000</v>
      </c>
      <c r="I67" s="25">
        <f>SUMIFS(INDEX(Load,,MATCH('Summarized Modified Source Data'!$B67,Hour,0)),Season,'Summarized Modified Source Data'!$A67,Sector,'Summarized Modified Source Data'!I$2,Subsector,'Summarized Modified Source Data'!I$3,TimeOfWeek,$D67)</f>
        <v>18877517</v>
      </c>
      <c r="J67" s="25">
        <f t="shared" si="0"/>
        <v>18877517</v>
      </c>
      <c r="K67" s="25">
        <f>SUMIFS(INDEX(Load,,MATCH('Summarized Modified Source Data'!$B67,Hour,0)),Season,'Summarized Modified Source Data'!$A67,Sector,'Summarized Modified Source Data'!K$2,Subsector,'Summarized Modified Source Data'!K$3,TimeOfWeek,$D67)</f>
        <v>947800</v>
      </c>
      <c r="L67" s="25">
        <f>SUMIFS(INDEX(Load,,MATCH('Summarized Modified Source Data'!$B67,Hour,0)),Season,'Summarized Modified Source Data'!$A67,Sector,'Summarized Modified Source Data'!L$2,Subsector,'Summarized Modified Source Data'!L$3,TimeOfWeek,$D67)</f>
        <v>1192000000</v>
      </c>
      <c r="M67" s="25">
        <f>SUMIFS(INDEX(Load,,MATCH('Summarized Modified Source Data'!$B67,Hour,0)),Season,'Summarized Modified Source Data'!$A67,Sector,'Summarized Modified Source Data'!M$2,Subsector,'Summarized Modified Source Data'!M$3,TimeOfWeek,$D67)</f>
        <v>0</v>
      </c>
      <c r="N67" s="25">
        <f t="shared" si="1"/>
        <v>1503052200</v>
      </c>
      <c r="O67" s="25">
        <f>SUMIFS(INDEX(Load,,MATCH('Summarized Modified Source Data'!$B67,Hour,0)),Season,'Summarized Modified Source Data'!$A67,Sector,'Summarized Modified Source Data'!O$2,Subsector,"Total",TimeOfWeek,$D67)-SUM(K67:M67)</f>
        <v>1503052200</v>
      </c>
      <c r="P67" s="25">
        <f t="shared" si="2"/>
        <v>1503052200</v>
      </c>
      <c r="Q67" s="33" cm="1">
        <f t="array" ref="Q67">SUMIFS(INDEX(Load,,MATCH('Summarized Modified Source Data'!$B67,Hour,0)),Season,'Summarized Modified Source Data'!$A67,Sector,'Summarized Modified Source Data'!Q$2,TimeOfWeek,$D67)*LDVs</f>
        <v>11014322.66151276</v>
      </c>
      <c r="R67" s="33" cm="1">
        <f t="array" ref="R67">SUMIFS(INDEX(Load,,MATCH('Summarized Modified Source Data'!$B67,Hour,0)),Season,'Summarized Modified Source Data'!$A67,Sector,'Summarized Modified Source Data'!R$2,TimeOfWeek,$D67)*HDVs</f>
        <v>5190013.4572018674</v>
      </c>
      <c r="S67" s="33">
        <f>SUMIFS(INDEX(Load,,MATCH('Summarized Modified Source Data'!$B67,Hour,0)),Season,'Summarized Modified Source Data'!$A67,Sector,'Summarized Modified Source Data'!S$2,TimeOfWeek,$D67)*Aircraft</f>
        <v>0</v>
      </c>
      <c r="T67" s="33">
        <f>SUMIFS(INDEX(Load,,MATCH('Summarized Modified Source Data'!$B67,Hour,0)),Season,'Summarized Modified Source Data'!$A67,Sector,'Summarized Modified Source Data'!T$2,TimeOfWeek,$D67)*Rail</f>
        <v>22595663.881285373</v>
      </c>
      <c r="U67" s="33">
        <f>SUMIFS(INDEX(Load,,MATCH('Summarized Modified Source Data'!$B67,Hour,0)),Season,'Summarized Modified Source Data'!$A67,Sector,'Summarized Modified Source Data'!U$2,TimeOfWeek,$D67)*Ships</f>
        <v>0</v>
      </c>
      <c r="V67" s="33">
        <f>SUMIFS(INDEX(Load,,MATCH('Summarized Modified Source Data'!$B67,Hour,0)),Season,'Summarized Modified Source Data'!$A67,Sector,'Summarized Modified Source Data'!V$2,TimeOfWeek,$D67)*Motorbikes</f>
        <v>0</v>
      </c>
      <c r="W67" s="25">
        <f>SUMIFS(INDEX(Load,,MATCH('Summarized Modified Source Data'!$B67,Hour,0)),Season,'Summarized Modified Source Data'!$A67,Sector,'Summarized Modified Source Data'!W$2,Subsector,'Summarized Modified Source Data'!W$3,TimeOfWeek,$D67)</f>
        <v>1990000000</v>
      </c>
      <c r="X67" s="25">
        <f>SUMIFS(INDEX(Load,,MATCH('Summarized Modified Source Data'!$B67,Hour,0)),Season,'Summarized Modified Source Data'!$A67,Sector,'Summarized Modified Source Data'!X$2,Subsector,'Summarized Modified Source Data'!X$3,TimeOfWeek,$D67)</f>
        <v>0</v>
      </c>
      <c r="Y67" s="25">
        <f>SUMIFS(INDEX(Load,,MATCH('Summarized Modified Source Data'!$B67,Hour,0)),Season,'Summarized Modified Source Data'!$A67,Sector,'Summarized Modified Source Data'!Y$2,Subsector,'Summarized Modified Source Data'!Y$3,TimeOfWeek,$D67)</f>
        <v>0</v>
      </c>
    </row>
    <row r="68" spans="1:25" outlineLevel="1" x14ac:dyDescent="0.25">
      <c r="A68" t="s">
        <v>39</v>
      </c>
      <c r="B68" t="s">
        <v>163</v>
      </c>
      <c r="C68" s="7" t="s">
        <v>15</v>
      </c>
      <c r="D68" t="s">
        <v>117</v>
      </c>
      <c r="E68" s="25">
        <f>SUMIFS(INDEX(Load,,MATCH('Summarized Modified Source Data'!$B68,Hour,0)),Season,'Summarized Modified Source Data'!$A68,Sector,'Summarized Modified Source Data'!E$2,Subsector,'Summarized Modified Source Data'!E$3,TimeOfWeek,$D68)</f>
        <v>524055</v>
      </c>
      <c r="F68" s="25">
        <f>SUMIFS(INDEX(Load,,MATCH('Summarized Modified Source Data'!$B68,Hour,0)),Season,'Summarized Modified Source Data'!$A68,Sector,'Summarized Modified Source Data'!F$2,Subsector,'Summarized Modified Source Data'!F$3,TimeOfWeek,$D68)</f>
        <v>238300000</v>
      </c>
      <c r="G68" s="25">
        <f>SUMIFS(INDEX(Load,,MATCH('Summarized Modified Source Data'!$B68,Hour,0)),Season,'Summarized Modified Source Data'!$A68,Sector,'Summarized Modified Source Data'!G$2,Subsector,'Summarized Modified Source Data'!G$3,TimeOfWeek,$D68)</f>
        <v>0</v>
      </c>
      <c r="H68" s="25">
        <f>SUMIFS(INDEX(Load,,MATCH('Summarized Modified Source Data'!$B68,Hour,0)),Season,'Summarized Modified Source Data'!$A68,Sector,'Summarized Modified Source Data'!H$2,Subsector,'Summarized Modified Source Data'!H$3,TimeOfWeek,$D68)</f>
        <v>38400000</v>
      </c>
      <c r="I68" s="25">
        <f>SUMIFS(INDEX(Load,,MATCH('Summarized Modified Source Data'!$B68,Hour,0)),Season,'Summarized Modified Source Data'!$A68,Sector,'Summarized Modified Source Data'!I$2,Subsector,'Summarized Modified Source Data'!I$3,TimeOfWeek,$D68)</f>
        <v>22818313</v>
      </c>
      <c r="J68" s="25">
        <f t="shared" si="0"/>
        <v>22818313</v>
      </c>
      <c r="K68" s="25">
        <f>SUMIFS(INDEX(Load,,MATCH('Summarized Modified Source Data'!$B68,Hour,0)),Season,'Summarized Modified Source Data'!$A68,Sector,'Summarized Modified Source Data'!K$2,Subsector,'Summarized Modified Source Data'!K$3,TimeOfWeek,$D68)</f>
        <v>910810</v>
      </c>
      <c r="L68" s="25">
        <f>SUMIFS(INDEX(Load,,MATCH('Summarized Modified Source Data'!$B68,Hour,0)),Season,'Summarized Modified Source Data'!$A68,Sector,'Summarized Modified Source Data'!L$2,Subsector,'Summarized Modified Source Data'!L$3,TimeOfWeek,$D68)</f>
        <v>1157000000</v>
      </c>
      <c r="M68" s="25">
        <f>SUMIFS(INDEX(Load,,MATCH('Summarized Modified Source Data'!$B68,Hour,0)),Season,'Summarized Modified Source Data'!$A68,Sector,'Summarized Modified Source Data'!M$2,Subsector,'Summarized Modified Source Data'!M$3,TimeOfWeek,$D68)</f>
        <v>0</v>
      </c>
      <c r="N68" s="25">
        <f t="shared" si="1"/>
        <v>1457089190</v>
      </c>
      <c r="O68" s="25">
        <f>SUMIFS(INDEX(Load,,MATCH('Summarized Modified Source Data'!$B68,Hour,0)),Season,'Summarized Modified Source Data'!$A68,Sector,'Summarized Modified Source Data'!O$2,Subsector,"Total",TimeOfWeek,$D68)-SUM(K68:M68)</f>
        <v>1457089190</v>
      </c>
      <c r="P68" s="25">
        <f t="shared" si="2"/>
        <v>1457089190</v>
      </c>
      <c r="Q68" s="33" cm="1">
        <f t="array" ref="Q68">SUMIFS(INDEX(Load,,MATCH('Summarized Modified Source Data'!$B68,Hour,0)),Season,'Summarized Modified Source Data'!$A68,Sector,'Summarized Modified Source Data'!Q$2,TimeOfWeek,$D68)*LDVs</f>
        <v>12802730.722531585</v>
      </c>
      <c r="R68" s="33" cm="1">
        <f t="array" ref="R68">SUMIFS(INDEX(Load,,MATCH('Summarized Modified Source Data'!$B68,Hour,0)),Season,'Summarized Modified Source Data'!$A68,Sector,'Summarized Modified Source Data'!R$2,TimeOfWeek,$D68)*HDVs</f>
        <v>6032721.8278300054</v>
      </c>
      <c r="S68" s="33">
        <f>SUMIFS(INDEX(Load,,MATCH('Summarized Modified Source Data'!$B68,Hour,0)),Season,'Summarized Modified Source Data'!$A68,Sector,'Summarized Modified Source Data'!S$2,TimeOfWeek,$D68)*Aircraft</f>
        <v>0</v>
      </c>
      <c r="T68" s="33">
        <f>SUMIFS(INDEX(Load,,MATCH('Summarized Modified Source Data'!$B68,Hour,0)),Season,'Summarized Modified Source Data'!$A68,Sector,'Summarized Modified Source Data'!T$2,TimeOfWeek,$D68)*Rail</f>
        <v>26264547.449638411</v>
      </c>
      <c r="U68" s="33">
        <f>SUMIFS(INDEX(Load,,MATCH('Summarized Modified Source Data'!$B68,Hour,0)),Season,'Summarized Modified Source Data'!$A68,Sector,'Summarized Modified Source Data'!U$2,TimeOfWeek,$D68)*Ships</f>
        <v>0</v>
      </c>
      <c r="V68" s="33">
        <f>SUMIFS(INDEX(Load,,MATCH('Summarized Modified Source Data'!$B68,Hour,0)),Season,'Summarized Modified Source Data'!$A68,Sector,'Summarized Modified Source Data'!V$2,TimeOfWeek,$D68)*Motorbikes</f>
        <v>0</v>
      </c>
      <c r="W68" s="25">
        <f>SUMIFS(INDEX(Load,,MATCH('Summarized Modified Source Data'!$B68,Hour,0)),Season,'Summarized Modified Source Data'!$A68,Sector,'Summarized Modified Source Data'!W$2,Subsector,'Summarized Modified Source Data'!W$3,TimeOfWeek,$D68)</f>
        <v>2009000000</v>
      </c>
      <c r="X68" s="25">
        <f>SUMIFS(INDEX(Load,,MATCH('Summarized Modified Source Data'!$B68,Hour,0)),Season,'Summarized Modified Source Data'!$A68,Sector,'Summarized Modified Source Data'!X$2,Subsector,'Summarized Modified Source Data'!X$3,TimeOfWeek,$D68)</f>
        <v>0</v>
      </c>
      <c r="Y68" s="25">
        <f>SUMIFS(INDEX(Load,,MATCH('Summarized Modified Source Data'!$B68,Hour,0)),Season,'Summarized Modified Source Data'!$A68,Sector,'Summarized Modified Source Data'!Y$2,Subsector,'Summarized Modified Source Data'!Y$3,TimeOfWeek,$D68)</f>
        <v>0</v>
      </c>
    </row>
    <row r="69" spans="1:25" outlineLevel="1" x14ac:dyDescent="0.25">
      <c r="A69" t="s">
        <v>39</v>
      </c>
      <c r="B69" t="s">
        <v>164</v>
      </c>
      <c r="C69" s="7" t="s">
        <v>16</v>
      </c>
      <c r="D69" t="s">
        <v>117</v>
      </c>
      <c r="E69" s="25">
        <f>SUMIFS(INDEX(Load,,MATCH('Summarized Modified Source Data'!$B69,Hour,0)),Season,'Summarized Modified Source Data'!$A69,Sector,'Summarized Modified Source Data'!E$2,Subsector,'Summarized Modified Source Data'!E$3,TimeOfWeek,$D69)</f>
        <v>553085</v>
      </c>
      <c r="F69" s="25">
        <f>SUMIFS(INDEX(Load,,MATCH('Summarized Modified Source Data'!$B69,Hour,0)),Season,'Summarized Modified Source Data'!$A69,Sector,'Summarized Modified Source Data'!F$2,Subsector,'Summarized Modified Source Data'!F$3,TimeOfWeek,$D69)</f>
        <v>243300000</v>
      </c>
      <c r="G69" s="25">
        <f>SUMIFS(INDEX(Load,,MATCH('Summarized Modified Source Data'!$B69,Hour,0)),Season,'Summarized Modified Source Data'!$A69,Sector,'Summarized Modified Source Data'!G$2,Subsector,'Summarized Modified Source Data'!G$3,TimeOfWeek,$D69)</f>
        <v>0</v>
      </c>
      <c r="H69" s="25">
        <f>SUMIFS(INDEX(Load,,MATCH('Summarized Modified Source Data'!$B69,Hour,0)),Season,'Summarized Modified Source Data'!$A69,Sector,'Summarized Modified Source Data'!H$2,Subsector,'Summarized Modified Source Data'!H$3,TimeOfWeek,$D69)</f>
        <v>47500000</v>
      </c>
      <c r="I69" s="25">
        <f>SUMIFS(INDEX(Load,,MATCH('Summarized Modified Source Data'!$B69,Hour,0)),Season,'Summarized Modified Source Data'!$A69,Sector,'Summarized Modified Source Data'!I$2,Subsector,'Summarized Modified Source Data'!I$3,TimeOfWeek,$D69)</f>
        <v>28892112</v>
      </c>
      <c r="J69" s="25">
        <f t="shared" ref="J69:J132" si="3">I69</f>
        <v>28892112</v>
      </c>
      <c r="K69" s="25">
        <f>SUMIFS(INDEX(Load,,MATCH('Summarized Modified Source Data'!$B69,Hour,0)),Season,'Summarized Modified Source Data'!$A69,Sector,'Summarized Modified Source Data'!K$2,Subsector,'Summarized Modified Source Data'!K$3,TimeOfWeek,$D69)</f>
        <v>921047</v>
      </c>
      <c r="L69" s="25">
        <f>SUMIFS(INDEX(Load,,MATCH('Summarized Modified Source Data'!$B69,Hour,0)),Season,'Summarized Modified Source Data'!$A69,Sector,'Summarized Modified Source Data'!L$2,Subsector,'Summarized Modified Source Data'!L$3,TimeOfWeek,$D69)</f>
        <v>1093000000</v>
      </c>
      <c r="M69" s="25">
        <f>SUMIFS(INDEX(Load,,MATCH('Summarized Modified Source Data'!$B69,Hour,0)),Season,'Summarized Modified Source Data'!$A69,Sector,'Summarized Modified Source Data'!M$2,Subsector,'Summarized Modified Source Data'!M$3,TimeOfWeek,$D69)</f>
        <v>0</v>
      </c>
      <c r="N69" s="25">
        <f t="shared" ref="N69:N132" si="4">O69</f>
        <v>1369078953</v>
      </c>
      <c r="O69" s="25">
        <f>SUMIFS(INDEX(Load,,MATCH('Summarized Modified Source Data'!$B69,Hour,0)),Season,'Summarized Modified Source Data'!$A69,Sector,'Summarized Modified Source Data'!O$2,Subsector,"Total",TimeOfWeek,$D69)-SUM(K69:M69)</f>
        <v>1369078953</v>
      </c>
      <c r="P69" s="25">
        <f t="shared" ref="P69:P132" si="5">O69</f>
        <v>1369078953</v>
      </c>
      <c r="Q69" s="33" cm="1">
        <f t="array" ref="Q69">SUMIFS(INDEX(Load,,MATCH('Summarized Modified Source Data'!$B69,Hour,0)),Season,'Summarized Modified Source Data'!$A69,Sector,'Summarized Modified Source Data'!Q$2,TimeOfWeek,$D69)*LDVs</f>
        <v>13569191.320111081</v>
      </c>
      <c r="R69" s="33" cm="1">
        <f t="array" ref="R69">SUMIFS(INDEX(Load,,MATCH('Summarized Modified Source Data'!$B69,Hour,0)),Season,'Summarized Modified Source Data'!$A69,Sector,'Summarized Modified Source Data'!R$2,TimeOfWeek,$D69)*HDVs</f>
        <v>6393882.5580992075</v>
      </c>
      <c r="S69" s="33">
        <f>SUMIFS(INDEX(Load,,MATCH('Summarized Modified Source Data'!$B69,Hour,0)),Season,'Summarized Modified Source Data'!$A69,Sector,'Summarized Modified Source Data'!S$2,TimeOfWeek,$D69)*Aircraft</f>
        <v>0</v>
      </c>
      <c r="T69" s="33">
        <f>SUMIFS(INDEX(Load,,MATCH('Summarized Modified Source Data'!$B69,Hour,0)),Season,'Summarized Modified Source Data'!$A69,Sector,'Summarized Modified Source Data'!T$2,TimeOfWeek,$D69)*Rail</f>
        <v>27836926.121789712</v>
      </c>
      <c r="U69" s="33">
        <f>SUMIFS(INDEX(Load,,MATCH('Summarized Modified Source Data'!$B69,Hour,0)),Season,'Summarized Modified Source Data'!$A69,Sector,'Summarized Modified Source Data'!U$2,TimeOfWeek,$D69)*Ships</f>
        <v>0</v>
      </c>
      <c r="V69" s="33">
        <f>SUMIFS(INDEX(Load,,MATCH('Summarized Modified Source Data'!$B69,Hour,0)),Season,'Summarized Modified Source Data'!$A69,Sector,'Summarized Modified Source Data'!V$2,TimeOfWeek,$D69)*Motorbikes</f>
        <v>0</v>
      </c>
      <c r="W69" s="25">
        <f>SUMIFS(INDEX(Load,,MATCH('Summarized Modified Source Data'!$B69,Hour,0)),Season,'Summarized Modified Source Data'!$A69,Sector,'Summarized Modified Source Data'!W$2,Subsector,'Summarized Modified Source Data'!W$3,TimeOfWeek,$D69)</f>
        <v>2014000000</v>
      </c>
      <c r="X69" s="25">
        <f>SUMIFS(INDEX(Load,,MATCH('Summarized Modified Source Data'!$B69,Hour,0)),Season,'Summarized Modified Source Data'!$A69,Sector,'Summarized Modified Source Data'!X$2,Subsector,'Summarized Modified Source Data'!X$3,TimeOfWeek,$D69)</f>
        <v>0</v>
      </c>
      <c r="Y69" s="25">
        <f>SUMIFS(INDEX(Load,,MATCH('Summarized Modified Source Data'!$B69,Hour,0)),Season,'Summarized Modified Source Data'!$A69,Sector,'Summarized Modified Source Data'!Y$2,Subsector,'Summarized Modified Source Data'!Y$3,TimeOfWeek,$D69)</f>
        <v>0</v>
      </c>
    </row>
    <row r="70" spans="1:25" outlineLevel="1" x14ac:dyDescent="0.25">
      <c r="A70" t="s">
        <v>39</v>
      </c>
      <c r="B70" t="s">
        <v>165</v>
      </c>
      <c r="C70" s="7" t="s">
        <v>17</v>
      </c>
      <c r="D70" t="s">
        <v>117</v>
      </c>
      <c r="E70" s="25">
        <f>SUMIFS(INDEX(Load,,MATCH('Summarized Modified Source Data'!$B70,Hour,0)),Season,'Summarized Modified Source Data'!$A70,Sector,'Summarized Modified Source Data'!E$2,Subsector,'Summarized Modified Source Data'!E$3,TimeOfWeek,$D70)</f>
        <v>586103</v>
      </c>
      <c r="F70" s="25">
        <f>SUMIFS(INDEX(Load,,MATCH('Summarized Modified Source Data'!$B70,Hour,0)),Season,'Summarized Modified Source Data'!$A70,Sector,'Summarized Modified Source Data'!F$2,Subsector,'Summarized Modified Source Data'!F$3,TimeOfWeek,$D70)</f>
        <v>243600000</v>
      </c>
      <c r="G70" s="25">
        <f>SUMIFS(INDEX(Load,,MATCH('Summarized Modified Source Data'!$B70,Hour,0)),Season,'Summarized Modified Source Data'!$A70,Sector,'Summarized Modified Source Data'!G$2,Subsector,'Summarized Modified Source Data'!G$3,TimeOfWeek,$D70)</f>
        <v>0</v>
      </c>
      <c r="H70" s="25">
        <f>SUMIFS(INDEX(Load,,MATCH('Summarized Modified Source Data'!$B70,Hour,0)),Season,'Summarized Modified Source Data'!$A70,Sector,'Summarized Modified Source Data'!H$2,Subsector,'Summarized Modified Source Data'!H$3,TimeOfWeek,$D70)</f>
        <v>120800000</v>
      </c>
      <c r="I70" s="25">
        <f>SUMIFS(INDEX(Load,,MATCH('Summarized Modified Source Data'!$B70,Hour,0)),Season,'Summarized Modified Source Data'!$A70,Sector,'Summarized Modified Source Data'!I$2,Subsector,'Summarized Modified Source Data'!I$3,TimeOfWeek,$D70)</f>
        <v>37000000</v>
      </c>
      <c r="J70" s="25">
        <f t="shared" si="3"/>
        <v>37000000</v>
      </c>
      <c r="K70" s="25">
        <f>SUMIFS(INDEX(Load,,MATCH('Summarized Modified Source Data'!$B70,Hour,0)),Season,'Summarized Modified Source Data'!$A70,Sector,'Summarized Modified Source Data'!K$2,Subsector,'Summarized Modified Source Data'!K$3,TimeOfWeek,$D70)</f>
        <v>1007345</v>
      </c>
      <c r="L70" s="25">
        <f>SUMIFS(INDEX(Load,,MATCH('Summarized Modified Source Data'!$B70,Hour,0)),Season,'Summarized Modified Source Data'!$A70,Sector,'Summarized Modified Source Data'!L$2,Subsector,'Summarized Modified Source Data'!L$3,TimeOfWeek,$D70)</f>
        <v>1024000000</v>
      </c>
      <c r="M70" s="25">
        <f>SUMIFS(INDEX(Load,,MATCH('Summarized Modified Source Data'!$B70,Hour,0)),Season,'Summarized Modified Source Data'!$A70,Sector,'Summarized Modified Source Data'!M$2,Subsector,'Summarized Modified Source Data'!M$3,TimeOfWeek,$D70)</f>
        <v>0</v>
      </c>
      <c r="N70" s="25">
        <f t="shared" si="4"/>
        <v>1300992655</v>
      </c>
      <c r="O70" s="25">
        <f>SUMIFS(INDEX(Load,,MATCH('Summarized Modified Source Data'!$B70,Hour,0)),Season,'Summarized Modified Source Data'!$A70,Sector,'Summarized Modified Source Data'!O$2,Subsector,"Total",TimeOfWeek,$D70)-SUM(K70:M70)</f>
        <v>1300992655</v>
      </c>
      <c r="P70" s="25">
        <f t="shared" si="5"/>
        <v>1300992655</v>
      </c>
      <c r="Q70" s="33" cm="1">
        <f t="array" ref="Q70">SUMIFS(INDEX(Load,,MATCH('Summarized Modified Source Data'!$B70,Hour,0)),Season,'Summarized Modified Source Data'!$A70,Sector,'Summarized Modified Source Data'!Q$2,TimeOfWeek,$D70)*LDVs</f>
        <v>12547243.856671752</v>
      </c>
      <c r="R70" s="33" cm="1">
        <f t="array" ref="R70">SUMIFS(INDEX(Load,,MATCH('Summarized Modified Source Data'!$B70,Hour,0)),Season,'Summarized Modified Source Data'!$A70,Sector,'Summarized Modified Source Data'!R$2,TimeOfWeek,$D70)*HDVs</f>
        <v>5912334.9177402714</v>
      </c>
      <c r="S70" s="33">
        <f>SUMIFS(INDEX(Load,,MATCH('Summarized Modified Source Data'!$B70,Hour,0)),Season,'Summarized Modified Source Data'!$A70,Sector,'Summarized Modified Source Data'!S$2,TimeOfWeek,$D70)*Aircraft</f>
        <v>0</v>
      </c>
      <c r="T70" s="33">
        <f>SUMIFS(INDEX(Load,,MATCH('Summarized Modified Source Data'!$B70,Hour,0)),Season,'Summarized Modified Source Data'!$A70,Sector,'Summarized Modified Source Data'!T$2,TimeOfWeek,$D70)*Rail</f>
        <v>25740421.225587975</v>
      </c>
      <c r="U70" s="33">
        <f>SUMIFS(INDEX(Load,,MATCH('Summarized Modified Source Data'!$B70,Hour,0)),Season,'Summarized Modified Source Data'!$A70,Sector,'Summarized Modified Source Data'!U$2,TimeOfWeek,$D70)*Ships</f>
        <v>0</v>
      </c>
      <c r="V70" s="33">
        <f>SUMIFS(INDEX(Load,,MATCH('Summarized Modified Source Data'!$B70,Hour,0)),Season,'Summarized Modified Source Data'!$A70,Sector,'Summarized Modified Source Data'!V$2,TimeOfWeek,$D70)*Motorbikes</f>
        <v>0</v>
      </c>
      <c r="W70" s="25">
        <f>SUMIFS(INDEX(Load,,MATCH('Summarized Modified Source Data'!$B70,Hour,0)),Season,'Summarized Modified Source Data'!$A70,Sector,'Summarized Modified Source Data'!W$2,Subsector,'Summarized Modified Source Data'!W$3,TimeOfWeek,$D70)</f>
        <v>2003000000</v>
      </c>
      <c r="X70" s="25">
        <f>SUMIFS(INDEX(Load,,MATCH('Summarized Modified Source Data'!$B70,Hour,0)),Season,'Summarized Modified Source Data'!$A70,Sector,'Summarized Modified Source Data'!X$2,Subsector,'Summarized Modified Source Data'!X$3,TimeOfWeek,$D70)</f>
        <v>0</v>
      </c>
      <c r="Y70" s="25">
        <f>SUMIFS(INDEX(Load,,MATCH('Summarized Modified Source Data'!$B70,Hour,0)),Season,'Summarized Modified Source Data'!$A70,Sector,'Summarized Modified Source Data'!Y$2,Subsector,'Summarized Modified Source Data'!Y$3,TimeOfWeek,$D70)</f>
        <v>0</v>
      </c>
    </row>
    <row r="71" spans="1:25" outlineLevel="1" x14ac:dyDescent="0.25">
      <c r="A71" t="s">
        <v>39</v>
      </c>
      <c r="B71" t="s">
        <v>166</v>
      </c>
      <c r="C71" s="7" t="s">
        <v>18</v>
      </c>
      <c r="D71" t="s">
        <v>117</v>
      </c>
      <c r="E71" s="25">
        <f>SUMIFS(INDEX(Load,,MATCH('Summarized Modified Source Data'!$B71,Hour,0)),Season,'Summarized Modified Source Data'!$A71,Sector,'Summarized Modified Source Data'!E$2,Subsector,'Summarized Modified Source Data'!E$3,TimeOfWeek,$D71)</f>
        <v>615222</v>
      </c>
      <c r="F71" s="25">
        <f>SUMIFS(INDEX(Load,,MATCH('Summarized Modified Source Data'!$B71,Hour,0)),Season,'Summarized Modified Source Data'!$A71,Sector,'Summarized Modified Source Data'!F$2,Subsector,'Summarized Modified Source Data'!F$3,TimeOfWeek,$D71)</f>
        <v>235600000</v>
      </c>
      <c r="G71" s="25">
        <f>SUMIFS(INDEX(Load,,MATCH('Summarized Modified Source Data'!$B71,Hour,0)),Season,'Summarized Modified Source Data'!$A71,Sector,'Summarized Modified Source Data'!G$2,Subsector,'Summarized Modified Source Data'!G$3,TimeOfWeek,$D71)</f>
        <v>0</v>
      </c>
      <c r="H71" s="25">
        <f>SUMIFS(INDEX(Load,,MATCH('Summarized Modified Source Data'!$B71,Hour,0)),Season,'Summarized Modified Source Data'!$A71,Sector,'Summarized Modified Source Data'!H$2,Subsector,'Summarized Modified Source Data'!H$3,TimeOfWeek,$D71)</f>
        <v>164700000</v>
      </c>
      <c r="I71" s="25">
        <f>SUMIFS(INDEX(Load,,MATCH('Summarized Modified Source Data'!$B71,Hour,0)),Season,'Summarized Modified Source Data'!$A71,Sector,'Summarized Modified Source Data'!I$2,Subsector,'Summarized Modified Source Data'!I$3,TimeOfWeek,$D71)</f>
        <v>37200000</v>
      </c>
      <c r="J71" s="25">
        <f t="shared" si="3"/>
        <v>37200000</v>
      </c>
      <c r="K71" s="25">
        <f>SUMIFS(INDEX(Load,,MATCH('Summarized Modified Source Data'!$B71,Hour,0)),Season,'Summarized Modified Source Data'!$A71,Sector,'Summarized Modified Source Data'!K$2,Subsector,'Summarized Modified Source Data'!K$3,TimeOfWeek,$D71)</f>
        <v>1107184</v>
      </c>
      <c r="L71" s="25">
        <f>SUMIFS(INDEX(Load,,MATCH('Summarized Modified Source Data'!$B71,Hour,0)),Season,'Summarized Modified Source Data'!$A71,Sector,'Summarized Modified Source Data'!L$2,Subsector,'Summarized Modified Source Data'!L$3,TimeOfWeek,$D71)</f>
        <v>936000000</v>
      </c>
      <c r="M71" s="25">
        <f>SUMIFS(INDEX(Load,,MATCH('Summarized Modified Source Data'!$B71,Hour,0)),Season,'Summarized Modified Source Data'!$A71,Sector,'Summarized Modified Source Data'!M$2,Subsector,'Summarized Modified Source Data'!M$3,TimeOfWeek,$D71)</f>
        <v>0</v>
      </c>
      <c r="N71" s="25">
        <f t="shared" si="4"/>
        <v>1087892816</v>
      </c>
      <c r="O71" s="25">
        <f>SUMIFS(INDEX(Load,,MATCH('Summarized Modified Source Data'!$B71,Hour,0)),Season,'Summarized Modified Source Data'!$A71,Sector,'Summarized Modified Source Data'!O$2,Subsector,"Total",TimeOfWeek,$D71)-SUM(K71:M71)</f>
        <v>1087892816</v>
      </c>
      <c r="P71" s="25">
        <f t="shared" si="5"/>
        <v>1087892816</v>
      </c>
      <c r="Q71" s="33" cm="1">
        <f t="array" ref="Q71">SUMIFS(INDEX(Load,,MATCH('Summarized Modified Source Data'!$B71,Hour,0)),Season,'Summarized Modified Source Data'!$A71,Sector,'Summarized Modified Source Data'!Q$2,TimeOfWeek,$D71)*LDVs</f>
        <v>10191087.204853302</v>
      </c>
      <c r="R71" s="33" cm="1">
        <f t="array" ref="R71">SUMIFS(INDEX(Load,,MATCH('Summarized Modified Source Data'!$B71,Hour,0)),Season,'Summarized Modified Source Data'!$A71,Sector,'Summarized Modified Source Data'!R$2,TimeOfWeek,$D71)*HDVs</f>
        <v>4802100.0802460574</v>
      </c>
      <c r="S71" s="33">
        <f>SUMIFS(INDEX(Load,,MATCH('Summarized Modified Source Data'!$B71,Hour,0)),Season,'Summarized Modified Source Data'!$A71,Sector,'Summarized Modified Source Data'!S$2,TimeOfWeek,$D71)*Aircraft</f>
        <v>0</v>
      </c>
      <c r="T71" s="33">
        <f>SUMIFS(INDEX(Load,,MATCH('Summarized Modified Source Data'!$B71,Hour,0)),Season,'Summarized Modified Source Data'!$A71,Sector,'Summarized Modified Source Data'!T$2,TimeOfWeek,$D71)*Rail</f>
        <v>20906812.714900643</v>
      </c>
      <c r="U71" s="33">
        <f>SUMIFS(INDEX(Load,,MATCH('Summarized Modified Source Data'!$B71,Hour,0)),Season,'Summarized Modified Source Data'!$A71,Sector,'Summarized Modified Source Data'!U$2,TimeOfWeek,$D71)*Ships</f>
        <v>0</v>
      </c>
      <c r="V71" s="33">
        <f>SUMIFS(INDEX(Load,,MATCH('Summarized Modified Source Data'!$B71,Hour,0)),Season,'Summarized Modified Source Data'!$A71,Sector,'Summarized Modified Source Data'!V$2,TimeOfWeek,$D71)*Motorbikes</f>
        <v>0</v>
      </c>
      <c r="W71" s="25">
        <f>SUMIFS(INDEX(Load,,MATCH('Summarized Modified Source Data'!$B71,Hour,0)),Season,'Summarized Modified Source Data'!$A71,Sector,'Summarized Modified Source Data'!W$2,Subsector,'Summarized Modified Source Data'!W$3,TimeOfWeek,$D71)</f>
        <v>1990000000</v>
      </c>
      <c r="X71" s="25">
        <f>SUMIFS(INDEX(Load,,MATCH('Summarized Modified Source Data'!$B71,Hour,0)),Season,'Summarized Modified Source Data'!$A71,Sector,'Summarized Modified Source Data'!X$2,Subsector,'Summarized Modified Source Data'!X$3,TimeOfWeek,$D71)</f>
        <v>0</v>
      </c>
      <c r="Y71" s="25">
        <f>SUMIFS(INDEX(Load,,MATCH('Summarized Modified Source Data'!$B71,Hour,0)),Season,'Summarized Modified Source Data'!$A71,Sector,'Summarized Modified Source Data'!Y$2,Subsector,'Summarized Modified Source Data'!Y$3,TimeOfWeek,$D71)</f>
        <v>0</v>
      </c>
    </row>
    <row r="72" spans="1:25" outlineLevel="1" x14ac:dyDescent="0.25">
      <c r="A72" t="s">
        <v>39</v>
      </c>
      <c r="B72" t="s">
        <v>167</v>
      </c>
      <c r="C72" s="7" t="s">
        <v>19</v>
      </c>
      <c r="D72" t="s">
        <v>117</v>
      </c>
      <c r="E72" s="25">
        <f>SUMIFS(INDEX(Load,,MATCH('Summarized Modified Source Data'!$B72,Hour,0)),Season,'Summarized Modified Source Data'!$A72,Sector,'Summarized Modified Source Data'!E$2,Subsector,'Summarized Modified Source Data'!E$3,TimeOfWeek,$D72)</f>
        <v>621674</v>
      </c>
      <c r="F72" s="25">
        <f>SUMIFS(INDEX(Load,,MATCH('Summarized Modified Source Data'!$B72,Hour,0)),Season,'Summarized Modified Source Data'!$A72,Sector,'Summarized Modified Source Data'!F$2,Subsector,'Summarized Modified Source Data'!F$3,TimeOfWeek,$D72)</f>
        <v>216400000</v>
      </c>
      <c r="G72" s="25">
        <f>SUMIFS(INDEX(Load,,MATCH('Summarized Modified Source Data'!$B72,Hour,0)),Season,'Summarized Modified Source Data'!$A72,Sector,'Summarized Modified Source Data'!G$2,Subsector,'Summarized Modified Source Data'!G$3,TimeOfWeek,$D72)</f>
        <v>0</v>
      </c>
      <c r="H72" s="25">
        <f>SUMIFS(INDEX(Load,,MATCH('Summarized Modified Source Data'!$B72,Hour,0)),Season,'Summarized Modified Source Data'!$A72,Sector,'Summarized Modified Source Data'!H$2,Subsector,'Summarized Modified Source Data'!H$3,TimeOfWeek,$D72)</f>
        <v>167400000</v>
      </c>
      <c r="I72" s="25">
        <f>SUMIFS(INDEX(Load,,MATCH('Summarized Modified Source Data'!$B72,Hour,0)),Season,'Summarized Modified Source Data'!$A72,Sector,'Summarized Modified Source Data'!I$2,Subsector,'Summarized Modified Source Data'!I$3,TimeOfWeek,$D72)</f>
        <v>33400000</v>
      </c>
      <c r="J72" s="25">
        <f t="shared" si="3"/>
        <v>33400000</v>
      </c>
      <c r="K72" s="25">
        <f>SUMIFS(INDEX(Load,,MATCH('Summarized Modified Source Data'!$B72,Hour,0)),Season,'Summarized Modified Source Data'!$A72,Sector,'Summarized Modified Source Data'!K$2,Subsector,'Summarized Modified Source Data'!K$3,TimeOfWeek,$D72)</f>
        <v>1361752</v>
      </c>
      <c r="L72" s="25">
        <f>SUMIFS(INDEX(Load,,MATCH('Summarized Modified Source Data'!$B72,Hour,0)),Season,'Summarized Modified Source Data'!$A72,Sector,'Summarized Modified Source Data'!L$2,Subsector,'Summarized Modified Source Data'!L$3,TimeOfWeek,$D72)</f>
        <v>853000000</v>
      </c>
      <c r="M72" s="25">
        <f>SUMIFS(INDEX(Load,,MATCH('Summarized Modified Source Data'!$B72,Hour,0)),Season,'Summarized Modified Source Data'!$A72,Sector,'Summarized Modified Source Data'!M$2,Subsector,'Summarized Modified Source Data'!M$3,TimeOfWeek,$D72)</f>
        <v>0</v>
      </c>
      <c r="N72" s="25">
        <f t="shared" si="4"/>
        <v>901638248</v>
      </c>
      <c r="O72" s="25">
        <f>SUMIFS(INDEX(Load,,MATCH('Summarized Modified Source Data'!$B72,Hour,0)),Season,'Summarized Modified Source Data'!$A72,Sector,'Summarized Modified Source Data'!O$2,Subsector,"Total",TimeOfWeek,$D72)-SUM(K72:M72)</f>
        <v>901638248</v>
      </c>
      <c r="P72" s="25">
        <f t="shared" si="5"/>
        <v>901638248</v>
      </c>
      <c r="Q72" s="33" cm="1">
        <f t="array" ref="Q72">SUMIFS(INDEX(Load,,MATCH('Summarized Modified Source Data'!$B72,Hour,0)),Season,'Summarized Modified Source Data'!$A72,Sector,'Summarized Modified Source Data'!Q$2,TimeOfWeek,$D72)*LDVs</f>
        <v>9254302.0300339162</v>
      </c>
      <c r="R72" s="33" cm="1">
        <f t="array" ref="R72">SUMIFS(INDEX(Load,,MATCH('Summarized Modified Source Data'!$B72,Hour,0)),Season,'Summarized Modified Source Data'!$A72,Sector,'Summarized Modified Source Data'!R$2,TimeOfWeek,$D72)*HDVs</f>
        <v>4360681.4099170323</v>
      </c>
      <c r="S72" s="33">
        <f>SUMIFS(INDEX(Load,,MATCH('Summarized Modified Source Data'!$B72,Hour,0)),Season,'Summarized Modified Source Data'!$A72,Sector,'Summarized Modified Source Data'!S$2,TimeOfWeek,$D72)*Aircraft</f>
        <v>0</v>
      </c>
      <c r="T72" s="33">
        <f>SUMIFS(INDEX(Load,,MATCH('Summarized Modified Source Data'!$B72,Hour,0)),Season,'Summarized Modified Source Data'!$A72,Sector,'Summarized Modified Source Data'!T$2,TimeOfWeek,$D72)*Rail</f>
        <v>18985016.56004905</v>
      </c>
      <c r="U72" s="33">
        <f>SUMIFS(INDEX(Load,,MATCH('Summarized Modified Source Data'!$B72,Hour,0)),Season,'Summarized Modified Source Data'!$A72,Sector,'Summarized Modified Source Data'!U$2,TimeOfWeek,$D72)*Ships</f>
        <v>0</v>
      </c>
      <c r="V72" s="33">
        <f>SUMIFS(INDEX(Load,,MATCH('Summarized Modified Source Data'!$B72,Hour,0)),Season,'Summarized Modified Source Data'!$A72,Sector,'Summarized Modified Source Data'!V$2,TimeOfWeek,$D72)*Motorbikes</f>
        <v>0</v>
      </c>
      <c r="W72" s="25">
        <f>SUMIFS(INDEX(Load,,MATCH('Summarized Modified Source Data'!$B72,Hour,0)),Season,'Summarized Modified Source Data'!$A72,Sector,'Summarized Modified Source Data'!W$2,Subsector,'Summarized Modified Source Data'!W$3,TimeOfWeek,$D72)</f>
        <v>1977000000</v>
      </c>
      <c r="X72" s="25">
        <f>SUMIFS(INDEX(Load,,MATCH('Summarized Modified Source Data'!$B72,Hour,0)),Season,'Summarized Modified Source Data'!$A72,Sector,'Summarized Modified Source Data'!X$2,Subsector,'Summarized Modified Source Data'!X$3,TimeOfWeek,$D72)</f>
        <v>0</v>
      </c>
      <c r="Y72" s="25">
        <f>SUMIFS(INDEX(Load,,MATCH('Summarized Modified Source Data'!$B72,Hour,0)),Season,'Summarized Modified Source Data'!$A72,Sector,'Summarized Modified Source Data'!Y$2,Subsector,'Summarized Modified Source Data'!Y$3,TimeOfWeek,$D72)</f>
        <v>0</v>
      </c>
    </row>
    <row r="73" spans="1:25" outlineLevel="1" x14ac:dyDescent="0.25">
      <c r="A73" t="s">
        <v>39</v>
      </c>
      <c r="B73" t="s">
        <v>168</v>
      </c>
      <c r="C73" s="7" t="s">
        <v>20</v>
      </c>
      <c r="D73" t="s">
        <v>117</v>
      </c>
      <c r="E73" s="25">
        <f>SUMIFS(INDEX(Load,,MATCH('Summarized Modified Source Data'!$B73,Hour,0)),Season,'Summarized Modified Source Data'!$A73,Sector,'Summarized Modified Source Data'!E$2,Subsector,'Summarized Modified Source Data'!E$3,TimeOfWeek,$D73)</f>
        <v>546143</v>
      </c>
      <c r="F73" s="25">
        <f>SUMIFS(INDEX(Load,,MATCH('Summarized Modified Source Data'!$B73,Hour,0)),Season,'Summarized Modified Source Data'!$A73,Sector,'Summarized Modified Source Data'!F$2,Subsector,'Summarized Modified Source Data'!F$3,TimeOfWeek,$D73)</f>
        <v>190500000</v>
      </c>
      <c r="G73" s="25">
        <f>SUMIFS(INDEX(Load,,MATCH('Summarized Modified Source Data'!$B73,Hour,0)),Season,'Summarized Modified Source Data'!$A73,Sector,'Summarized Modified Source Data'!G$2,Subsector,'Summarized Modified Source Data'!G$3,TimeOfWeek,$D73)</f>
        <v>0</v>
      </c>
      <c r="H73" s="25">
        <f>SUMIFS(INDEX(Load,,MATCH('Summarized Modified Source Data'!$B73,Hour,0)),Season,'Summarized Modified Source Data'!$A73,Sector,'Summarized Modified Source Data'!H$2,Subsector,'Summarized Modified Source Data'!H$3,TimeOfWeek,$D73)</f>
        <v>136900000</v>
      </c>
      <c r="I73" s="25">
        <f>SUMIFS(INDEX(Load,,MATCH('Summarized Modified Source Data'!$B73,Hour,0)),Season,'Summarized Modified Source Data'!$A73,Sector,'Summarized Modified Source Data'!I$2,Subsector,'Summarized Modified Source Data'!I$3,TimeOfWeek,$D73)</f>
        <v>31000000</v>
      </c>
      <c r="J73" s="25">
        <f t="shared" si="3"/>
        <v>31000000</v>
      </c>
      <c r="K73" s="25">
        <f>SUMIFS(INDEX(Load,,MATCH('Summarized Modified Source Data'!$B73,Hour,0)),Season,'Summarized Modified Source Data'!$A73,Sector,'Summarized Modified Source Data'!K$2,Subsector,'Summarized Modified Source Data'!K$3,TimeOfWeek,$D73)</f>
        <v>1412252</v>
      </c>
      <c r="L73" s="25">
        <f>SUMIFS(INDEX(Load,,MATCH('Summarized Modified Source Data'!$B73,Hour,0)),Season,'Summarized Modified Source Data'!$A73,Sector,'Summarized Modified Source Data'!L$2,Subsector,'Summarized Modified Source Data'!L$3,TimeOfWeek,$D73)</f>
        <v>768000000</v>
      </c>
      <c r="M73" s="25">
        <f>SUMIFS(INDEX(Load,,MATCH('Summarized Modified Source Data'!$B73,Hour,0)),Season,'Summarized Modified Source Data'!$A73,Sector,'Summarized Modified Source Data'!M$2,Subsector,'Summarized Modified Source Data'!M$3,TimeOfWeek,$D73)</f>
        <v>0</v>
      </c>
      <c r="N73" s="25">
        <f t="shared" si="4"/>
        <v>731587748</v>
      </c>
      <c r="O73" s="25">
        <f>SUMIFS(INDEX(Load,,MATCH('Summarized Modified Source Data'!$B73,Hour,0)),Season,'Summarized Modified Source Data'!$A73,Sector,'Summarized Modified Source Data'!O$2,Subsector,"Total",TimeOfWeek,$D73)-SUM(K73:M73)</f>
        <v>731587748</v>
      </c>
      <c r="P73" s="25">
        <f t="shared" si="5"/>
        <v>731587748</v>
      </c>
      <c r="Q73" s="33" cm="1">
        <f t="array" ref="Q73">SUMIFS(INDEX(Load,,MATCH('Summarized Modified Source Data'!$B73,Hour,0)),Season,'Summarized Modified Source Data'!$A73,Sector,'Summarized Modified Source Data'!Q$2,TimeOfWeek,$D73)*LDVs</f>
        <v>8648359.8560340181</v>
      </c>
      <c r="R73" s="33" cm="1">
        <f t="array" ref="R73">SUMIFS(INDEX(Load,,MATCH('Summarized Modified Source Data'!$B73,Hour,0)),Season,'Summarized Modified Source Data'!$A73,Sector,'Summarized Modified Source Data'!R$2,TimeOfWeek,$D73)*HDVs</f>
        <v>4075157.9025719422</v>
      </c>
      <c r="S73" s="33">
        <f>SUMIFS(INDEX(Load,,MATCH('Summarized Modified Source Data'!$B73,Hour,0)),Season,'Summarized Modified Source Data'!$A73,Sector,'Summarized Modified Source Data'!S$2,TimeOfWeek,$D73)*Aircraft</f>
        <v>0</v>
      </c>
      <c r="T73" s="33">
        <f>SUMIFS(INDEX(Load,,MATCH('Summarized Modified Source Data'!$B73,Hour,0)),Season,'Summarized Modified Source Data'!$A73,Sector,'Summarized Modified Source Data'!T$2,TimeOfWeek,$D73)*Rail</f>
        <v>17741938.241394039</v>
      </c>
      <c r="U73" s="33">
        <f>SUMIFS(INDEX(Load,,MATCH('Summarized Modified Source Data'!$B73,Hour,0)),Season,'Summarized Modified Source Data'!$A73,Sector,'Summarized Modified Source Data'!U$2,TimeOfWeek,$D73)*Ships</f>
        <v>0</v>
      </c>
      <c r="V73" s="33">
        <f>SUMIFS(INDEX(Load,,MATCH('Summarized Modified Source Data'!$B73,Hour,0)),Season,'Summarized Modified Source Data'!$A73,Sector,'Summarized Modified Source Data'!V$2,TimeOfWeek,$D73)*Motorbikes</f>
        <v>0</v>
      </c>
      <c r="W73" s="25">
        <f>SUMIFS(INDEX(Load,,MATCH('Summarized Modified Source Data'!$B73,Hour,0)),Season,'Summarized Modified Source Data'!$A73,Sector,'Summarized Modified Source Data'!W$2,Subsector,'Summarized Modified Source Data'!W$3,TimeOfWeek,$D73)</f>
        <v>1959000000</v>
      </c>
      <c r="X73" s="25">
        <f>SUMIFS(INDEX(Load,,MATCH('Summarized Modified Source Data'!$B73,Hour,0)),Season,'Summarized Modified Source Data'!$A73,Sector,'Summarized Modified Source Data'!X$2,Subsector,'Summarized Modified Source Data'!X$3,TimeOfWeek,$D73)</f>
        <v>0</v>
      </c>
      <c r="Y73" s="25">
        <f>SUMIFS(INDEX(Load,,MATCH('Summarized Modified Source Data'!$B73,Hour,0)),Season,'Summarized Modified Source Data'!$A73,Sector,'Summarized Modified Source Data'!Y$2,Subsector,'Summarized Modified Source Data'!Y$3,TimeOfWeek,$D73)</f>
        <v>0</v>
      </c>
    </row>
    <row r="74" spans="1:25" outlineLevel="1" x14ac:dyDescent="0.25">
      <c r="A74" t="s">
        <v>39</v>
      </c>
      <c r="B74" t="s">
        <v>169</v>
      </c>
      <c r="C74" s="7" t="s">
        <v>21</v>
      </c>
      <c r="D74" t="s">
        <v>117</v>
      </c>
      <c r="E74" s="25">
        <f>SUMIFS(INDEX(Load,,MATCH('Summarized Modified Source Data'!$B74,Hour,0)),Season,'Summarized Modified Source Data'!$A74,Sector,'Summarized Modified Source Data'!E$2,Subsector,'Summarized Modified Source Data'!E$3,TimeOfWeek,$D74)</f>
        <v>407794</v>
      </c>
      <c r="F74" s="25">
        <f>SUMIFS(INDEX(Load,,MATCH('Summarized Modified Source Data'!$B74,Hour,0)),Season,'Summarized Modified Source Data'!$A74,Sector,'Summarized Modified Source Data'!F$2,Subsector,'Summarized Modified Source Data'!F$3,TimeOfWeek,$D74)</f>
        <v>161300000</v>
      </c>
      <c r="G74" s="25">
        <f>SUMIFS(INDEX(Load,,MATCH('Summarized Modified Source Data'!$B74,Hour,0)),Season,'Summarized Modified Source Data'!$A74,Sector,'Summarized Modified Source Data'!G$2,Subsector,'Summarized Modified Source Data'!G$3,TimeOfWeek,$D74)</f>
        <v>0</v>
      </c>
      <c r="H74" s="25">
        <f>SUMIFS(INDEX(Load,,MATCH('Summarized Modified Source Data'!$B74,Hour,0)),Season,'Summarized Modified Source Data'!$A74,Sector,'Summarized Modified Source Data'!H$2,Subsector,'Summarized Modified Source Data'!H$3,TimeOfWeek,$D74)</f>
        <v>81300000</v>
      </c>
      <c r="I74" s="25">
        <f>SUMIFS(INDEX(Load,,MATCH('Summarized Modified Source Data'!$B74,Hour,0)),Season,'Summarized Modified Source Data'!$A74,Sector,'Summarized Modified Source Data'!I$2,Subsector,'Summarized Modified Source Data'!I$3,TimeOfWeek,$D74)</f>
        <v>27224260</v>
      </c>
      <c r="J74" s="25">
        <f t="shared" si="3"/>
        <v>27224260</v>
      </c>
      <c r="K74" s="25">
        <f>SUMIFS(INDEX(Load,,MATCH('Summarized Modified Source Data'!$B74,Hour,0)),Season,'Summarized Modified Source Data'!$A74,Sector,'Summarized Modified Source Data'!K$2,Subsector,'Summarized Modified Source Data'!K$3,TimeOfWeek,$D74)</f>
        <v>1377630</v>
      </c>
      <c r="L74" s="25">
        <f>SUMIFS(INDEX(Load,,MATCH('Summarized Modified Source Data'!$B74,Hour,0)),Season,'Summarized Modified Source Data'!$A74,Sector,'Summarized Modified Source Data'!L$2,Subsector,'Summarized Modified Source Data'!L$3,TimeOfWeek,$D74)</f>
        <v>682800000</v>
      </c>
      <c r="M74" s="25">
        <f>SUMIFS(INDEX(Load,,MATCH('Summarized Modified Source Data'!$B74,Hour,0)),Season,'Summarized Modified Source Data'!$A74,Sector,'Summarized Modified Source Data'!M$2,Subsector,'Summarized Modified Source Data'!M$3,TimeOfWeek,$D74)</f>
        <v>0</v>
      </c>
      <c r="N74" s="25">
        <f t="shared" si="4"/>
        <v>615822370</v>
      </c>
      <c r="O74" s="25">
        <f>SUMIFS(INDEX(Load,,MATCH('Summarized Modified Source Data'!$B74,Hour,0)),Season,'Summarized Modified Source Data'!$A74,Sector,'Summarized Modified Source Data'!O$2,Subsector,"Total",TimeOfWeek,$D74)-SUM(K74:M74)</f>
        <v>615822370</v>
      </c>
      <c r="P74" s="25">
        <f t="shared" si="5"/>
        <v>615822370</v>
      </c>
      <c r="Q74" s="33" cm="1">
        <f t="array" ref="Q74">SUMIFS(INDEX(Load,,MATCH('Summarized Modified Source Data'!$B74,Hour,0)),Season,'Summarized Modified Source Data'!$A74,Sector,'Summarized Modified Source Data'!Q$2,TimeOfWeek,$D74)*LDVs</f>
        <v>8116626.397091765</v>
      </c>
      <c r="R74" s="33" cm="1">
        <f t="array" ref="R74">SUMIFS(INDEX(Load,,MATCH('Summarized Modified Source Data'!$B74,Hour,0)),Season,'Summarized Modified Source Data'!$A74,Sector,'Summarized Modified Source Data'!R$2,TimeOfWeek,$D74)*HDVs</f>
        <v>3824601.9771315162</v>
      </c>
      <c r="S74" s="33">
        <f>SUMIFS(INDEX(Load,,MATCH('Summarized Modified Source Data'!$B74,Hour,0)),Season,'Summarized Modified Source Data'!$A74,Sector,'Summarized Modified Source Data'!S$2,TimeOfWeek,$D74)*Aircraft</f>
        <v>0</v>
      </c>
      <c r="T74" s="33">
        <f>SUMIFS(INDEX(Load,,MATCH('Summarized Modified Source Data'!$B74,Hour,0)),Season,'Summarized Modified Source Data'!$A74,Sector,'Summarized Modified Source Data'!T$2,TimeOfWeek,$D74)*Rail</f>
        <v>16651097.625776719</v>
      </c>
      <c r="U74" s="33">
        <f>SUMIFS(INDEX(Load,,MATCH('Summarized Modified Source Data'!$B74,Hour,0)),Season,'Summarized Modified Source Data'!$A74,Sector,'Summarized Modified Source Data'!U$2,TimeOfWeek,$D74)*Ships</f>
        <v>0</v>
      </c>
      <c r="V74" s="33">
        <f>SUMIFS(INDEX(Load,,MATCH('Summarized Modified Source Data'!$B74,Hour,0)),Season,'Summarized Modified Source Data'!$A74,Sector,'Summarized Modified Source Data'!V$2,TimeOfWeek,$D74)*Motorbikes</f>
        <v>0</v>
      </c>
      <c r="W74" s="25">
        <f>SUMIFS(INDEX(Load,,MATCH('Summarized Modified Source Data'!$B74,Hour,0)),Season,'Summarized Modified Source Data'!$A74,Sector,'Summarized Modified Source Data'!W$2,Subsector,'Summarized Modified Source Data'!W$3,TimeOfWeek,$D74)</f>
        <v>1943000000</v>
      </c>
      <c r="X74" s="25">
        <f>SUMIFS(INDEX(Load,,MATCH('Summarized Modified Source Data'!$B74,Hour,0)),Season,'Summarized Modified Source Data'!$A74,Sector,'Summarized Modified Source Data'!X$2,Subsector,'Summarized Modified Source Data'!X$3,TimeOfWeek,$D74)</f>
        <v>0</v>
      </c>
      <c r="Y74" s="25">
        <f>SUMIFS(INDEX(Load,,MATCH('Summarized Modified Source Data'!$B74,Hour,0)),Season,'Summarized Modified Source Data'!$A74,Sector,'Summarized Modified Source Data'!Y$2,Subsector,'Summarized Modified Source Data'!Y$3,TimeOfWeek,$D74)</f>
        <v>0</v>
      </c>
    </row>
    <row r="75" spans="1:25" outlineLevel="1" x14ac:dyDescent="0.25">
      <c r="A75" t="s">
        <v>39</v>
      </c>
      <c r="B75" t="s">
        <v>170</v>
      </c>
      <c r="C75" s="7" t="s">
        <v>22</v>
      </c>
      <c r="D75" t="s">
        <v>117</v>
      </c>
      <c r="E75" s="25">
        <f>SUMIFS(INDEX(Load,,MATCH('Summarized Modified Source Data'!$B75,Hour,0)),Season,'Summarized Modified Source Data'!$A75,Sector,'Summarized Modified Source Data'!E$2,Subsector,'Summarized Modified Source Data'!E$3,TimeOfWeek,$D75)</f>
        <v>364759</v>
      </c>
      <c r="F75" s="25">
        <f>SUMIFS(INDEX(Load,,MATCH('Summarized Modified Source Data'!$B75,Hour,0)),Season,'Summarized Modified Source Data'!$A75,Sector,'Summarized Modified Source Data'!F$2,Subsector,'Summarized Modified Source Data'!F$3,TimeOfWeek,$D75)</f>
        <v>133875886</v>
      </c>
      <c r="G75" s="25">
        <f>SUMIFS(INDEX(Load,,MATCH('Summarized Modified Source Data'!$B75,Hour,0)),Season,'Summarized Modified Source Data'!$A75,Sector,'Summarized Modified Source Data'!G$2,Subsector,'Summarized Modified Source Data'!G$3,TimeOfWeek,$D75)</f>
        <v>0</v>
      </c>
      <c r="H75" s="25">
        <f>SUMIFS(INDEX(Load,,MATCH('Summarized Modified Source Data'!$B75,Hour,0)),Season,'Summarized Modified Source Data'!$A75,Sector,'Summarized Modified Source Data'!H$2,Subsector,'Summarized Modified Source Data'!H$3,TimeOfWeek,$D75)</f>
        <v>42900000</v>
      </c>
      <c r="I75" s="25">
        <f>SUMIFS(INDEX(Load,,MATCH('Summarized Modified Source Data'!$B75,Hour,0)),Season,'Summarized Modified Source Data'!$A75,Sector,'Summarized Modified Source Data'!I$2,Subsector,'Summarized Modified Source Data'!I$3,TimeOfWeek,$D75)</f>
        <v>19054560</v>
      </c>
      <c r="J75" s="25">
        <f t="shared" si="3"/>
        <v>19054560</v>
      </c>
      <c r="K75" s="25">
        <f>SUMIFS(INDEX(Load,,MATCH('Summarized Modified Source Data'!$B75,Hour,0)),Season,'Summarized Modified Source Data'!$A75,Sector,'Summarized Modified Source Data'!K$2,Subsector,'Summarized Modified Source Data'!K$3,TimeOfWeek,$D75)</f>
        <v>1445885</v>
      </c>
      <c r="L75" s="25">
        <f>SUMIFS(INDEX(Load,,MATCH('Summarized Modified Source Data'!$B75,Hour,0)),Season,'Summarized Modified Source Data'!$A75,Sector,'Summarized Modified Source Data'!L$2,Subsector,'Summarized Modified Source Data'!L$3,TimeOfWeek,$D75)</f>
        <v>589400000</v>
      </c>
      <c r="M75" s="25">
        <f>SUMIFS(INDEX(Load,,MATCH('Summarized Modified Source Data'!$B75,Hour,0)),Season,'Summarized Modified Source Data'!$A75,Sector,'Summarized Modified Source Data'!M$2,Subsector,'Summarized Modified Source Data'!M$3,TimeOfWeek,$D75)</f>
        <v>0</v>
      </c>
      <c r="N75" s="25">
        <f t="shared" si="4"/>
        <v>539154115</v>
      </c>
      <c r="O75" s="25">
        <f>SUMIFS(INDEX(Load,,MATCH('Summarized Modified Source Data'!$B75,Hour,0)),Season,'Summarized Modified Source Data'!$A75,Sector,'Summarized Modified Source Data'!O$2,Subsector,"Total",TimeOfWeek,$D75)-SUM(K75:M75)</f>
        <v>539154115</v>
      </c>
      <c r="P75" s="25">
        <f t="shared" si="5"/>
        <v>539154115</v>
      </c>
      <c r="Q75" s="33" cm="1">
        <f t="array" ref="Q75">SUMIFS(INDEX(Load,,MATCH('Summarized Modified Source Data'!$B75,Hour,0)),Season,'Summarized Modified Source Data'!$A75,Sector,'Summarized Modified Source Data'!Q$2,TimeOfWeek,$D75)*LDVs</f>
        <v>5465941.3636928499</v>
      </c>
      <c r="R75" s="33" cm="1">
        <f t="array" ref="R75">SUMIFS(INDEX(Load,,MATCH('Summarized Modified Source Data'!$B75,Hour,0)),Season,'Summarized Modified Source Data'!$A75,Sector,'Summarized Modified Source Data'!R$2,TimeOfWeek,$D75)*HDVs</f>
        <v>2575583.6382902893</v>
      </c>
      <c r="S75" s="33">
        <f>SUMIFS(INDEX(Load,,MATCH('Summarized Modified Source Data'!$B75,Hour,0)),Season,'Summarized Modified Source Data'!$A75,Sector,'Summarized Modified Source Data'!S$2,TimeOfWeek,$D75)*Aircraft</f>
        <v>0</v>
      </c>
      <c r="T75" s="33">
        <f>SUMIFS(INDEX(Load,,MATCH('Summarized Modified Source Data'!$B75,Hour,0)),Season,'Summarized Modified Source Data'!$A75,Sector,'Summarized Modified Source Data'!T$2,TimeOfWeek,$D75)*Rail</f>
        <v>11213269.99801686</v>
      </c>
      <c r="U75" s="33">
        <f>SUMIFS(INDEX(Load,,MATCH('Summarized Modified Source Data'!$B75,Hour,0)),Season,'Summarized Modified Source Data'!$A75,Sector,'Summarized Modified Source Data'!U$2,TimeOfWeek,$D75)*Ships</f>
        <v>0</v>
      </c>
      <c r="V75" s="33">
        <f>SUMIFS(INDEX(Load,,MATCH('Summarized Modified Source Data'!$B75,Hour,0)),Season,'Summarized Modified Source Data'!$A75,Sector,'Summarized Modified Source Data'!V$2,TimeOfWeek,$D75)*Motorbikes</f>
        <v>0</v>
      </c>
      <c r="W75" s="25">
        <f>SUMIFS(INDEX(Load,,MATCH('Summarized Modified Source Data'!$B75,Hour,0)),Season,'Summarized Modified Source Data'!$A75,Sector,'Summarized Modified Source Data'!W$2,Subsector,'Summarized Modified Source Data'!W$3,TimeOfWeek,$D75)</f>
        <v>1932000000</v>
      </c>
      <c r="X75" s="25">
        <f>SUMIFS(INDEX(Load,,MATCH('Summarized Modified Source Data'!$B75,Hour,0)),Season,'Summarized Modified Source Data'!$A75,Sector,'Summarized Modified Source Data'!X$2,Subsector,'Summarized Modified Source Data'!X$3,TimeOfWeek,$D75)</f>
        <v>0</v>
      </c>
      <c r="Y75" s="25">
        <f>SUMIFS(INDEX(Load,,MATCH('Summarized Modified Source Data'!$B75,Hour,0)),Season,'Summarized Modified Source Data'!$A75,Sector,'Summarized Modified Source Data'!Y$2,Subsector,'Summarized Modified Source Data'!Y$3,TimeOfWeek,$D75)</f>
        <v>0</v>
      </c>
    </row>
    <row r="76" spans="1:25" outlineLevel="1" x14ac:dyDescent="0.25">
      <c r="A76" t="s">
        <v>40</v>
      </c>
      <c r="B76" t="s">
        <v>147</v>
      </c>
      <c r="C76" s="7" t="s">
        <v>34</v>
      </c>
      <c r="D76" t="s">
        <v>117</v>
      </c>
      <c r="E76" s="25">
        <f>SUMIFS(INDEX(Load,,MATCH('Summarized Modified Source Data'!$B76,Hour,0)),Season,'Summarized Modified Source Data'!$A76,Sector,'Summarized Modified Source Data'!E$2,Subsector,'Summarized Modified Source Data'!E$3,TimeOfWeek,$D76)</f>
        <v>4249167</v>
      </c>
      <c r="F76" s="25">
        <f>SUMIFS(INDEX(Load,,MATCH('Summarized Modified Source Data'!$B76,Hour,0)),Season,'Summarized Modified Source Data'!$A76,Sector,'Summarized Modified Source Data'!F$2,Subsector,'Summarized Modified Source Data'!F$3,TimeOfWeek,$D76)</f>
        <v>2830175</v>
      </c>
      <c r="G76" s="25">
        <f>SUMIFS(INDEX(Load,,MATCH('Summarized Modified Source Data'!$B76,Hour,0)),Season,'Summarized Modified Source Data'!$A76,Sector,'Summarized Modified Source Data'!G$2,Subsector,'Summarized Modified Source Data'!G$3,TimeOfWeek,$D76)</f>
        <v>0</v>
      </c>
      <c r="H76" s="25">
        <f>SUMIFS(INDEX(Load,,MATCH('Summarized Modified Source Data'!$B76,Hour,0)),Season,'Summarized Modified Source Data'!$A76,Sector,'Summarized Modified Source Data'!H$2,Subsector,'Summarized Modified Source Data'!H$3,TimeOfWeek,$D76)</f>
        <v>21500000</v>
      </c>
      <c r="I76" s="25">
        <f>SUMIFS(INDEX(Load,,MATCH('Summarized Modified Source Data'!$B76,Hour,0)),Season,'Summarized Modified Source Data'!$A76,Sector,'Summarized Modified Source Data'!I$2,Subsector,'Summarized Modified Source Data'!I$3,TimeOfWeek,$D76)</f>
        <v>7682387</v>
      </c>
      <c r="J76" s="25">
        <f t="shared" si="3"/>
        <v>7682387</v>
      </c>
      <c r="K76" s="25">
        <f>SUMIFS(INDEX(Load,,MATCH('Summarized Modified Source Data'!$B76,Hour,0)),Season,'Summarized Modified Source Data'!$A76,Sector,'Summarized Modified Source Data'!K$2,Subsector,'Summarized Modified Source Data'!K$3,TimeOfWeek,$D76)</f>
        <v>17129728</v>
      </c>
      <c r="L76" s="25">
        <f>SUMIFS(INDEX(Load,,MATCH('Summarized Modified Source Data'!$B76,Hour,0)),Season,'Summarized Modified Source Data'!$A76,Sector,'Summarized Modified Source Data'!L$2,Subsector,'Summarized Modified Source Data'!L$3,TimeOfWeek,$D76)</f>
        <v>55155669</v>
      </c>
      <c r="M76" s="25">
        <f>SUMIFS(INDEX(Load,,MATCH('Summarized Modified Source Data'!$B76,Hour,0)),Season,'Summarized Modified Source Data'!$A76,Sector,'Summarized Modified Source Data'!M$2,Subsector,'Summarized Modified Source Data'!M$3,TimeOfWeek,$D76)</f>
        <v>0</v>
      </c>
      <c r="N76" s="25">
        <f t="shared" si="4"/>
        <v>303714603</v>
      </c>
      <c r="O76" s="25">
        <f>SUMIFS(INDEX(Load,,MATCH('Summarized Modified Source Data'!$B76,Hour,0)),Season,'Summarized Modified Source Data'!$A76,Sector,'Summarized Modified Source Data'!O$2,Subsector,"Total",TimeOfWeek,$D76)-SUM(K76:M76)</f>
        <v>303714603</v>
      </c>
      <c r="P76" s="25">
        <f t="shared" si="5"/>
        <v>303714603</v>
      </c>
      <c r="Q76" s="33" cm="1">
        <f t="array" ref="Q76">SUMIFS(INDEX(Load,,MATCH('Summarized Modified Source Data'!$B76,Hour,0)),Season,'Summarized Modified Source Data'!$A76,Sector,'Summarized Modified Source Data'!Q$2,TimeOfWeek,$D76)*LDVs</f>
        <v>2680167.6499705487</v>
      </c>
      <c r="R76" s="33" cm="1">
        <f t="array" ref="R76">SUMIFS(INDEX(Load,,MATCH('Summarized Modified Source Data'!$B76,Hour,0)),Season,'Summarized Modified Source Data'!$A76,Sector,'Summarized Modified Source Data'!R$2,TimeOfWeek,$D76)*HDVs</f>
        <v>1262910.7207391155</v>
      </c>
      <c r="S76" s="33">
        <f>SUMIFS(INDEX(Load,,MATCH('Summarized Modified Source Data'!$B76,Hour,0)),Season,'Summarized Modified Source Data'!$A76,Sector,'Summarized Modified Source Data'!S$2,TimeOfWeek,$D76)*Aircraft</f>
        <v>0</v>
      </c>
      <c r="T76" s="33">
        <f>SUMIFS(INDEX(Load,,MATCH('Summarized Modified Source Data'!$B76,Hour,0)),Season,'Summarized Modified Source Data'!$A76,Sector,'Summarized Modified Source Data'!T$2,TimeOfWeek,$D76)*Rail</f>
        <v>5498310.6292903358</v>
      </c>
      <c r="U76" s="33">
        <f>SUMIFS(INDEX(Load,,MATCH('Summarized Modified Source Data'!$B76,Hour,0)),Season,'Summarized Modified Source Data'!$A76,Sector,'Summarized Modified Source Data'!U$2,TimeOfWeek,$D76)*Ships</f>
        <v>0</v>
      </c>
      <c r="V76" s="33">
        <f>SUMIFS(INDEX(Load,,MATCH('Summarized Modified Source Data'!$B76,Hour,0)),Season,'Summarized Modified Source Data'!$A76,Sector,'Summarized Modified Source Data'!V$2,TimeOfWeek,$D76)*Motorbikes</f>
        <v>0</v>
      </c>
      <c r="W76" s="25">
        <f>SUMIFS(INDEX(Load,,MATCH('Summarized Modified Source Data'!$B76,Hour,0)),Season,'Summarized Modified Source Data'!$A76,Sector,'Summarized Modified Source Data'!W$2,Subsector,'Summarized Modified Source Data'!W$3,TimeOfWeek,$D76)</f>
        <v>1310000000</v>
      </c>
      <c r="X76" s="25">
        <f>SUMIFS(INDEX(Load,,MATCH('Summarized Modified Source Data'!$B76,Hour,0)),Season,'Summarized Modified Source Data'!$A76,Sector,'Summarized Modified Source Data'!X$2,Subsector,'Summarized Modified Source Data'!X$3,TimeOfWeek,$D76)</f>
        <v>0</v>
      </c>
      <c r="Y76" s="25">
        <f>SUMIFS(INDEX(Load,,MATCH('Summarized Modified Source Data'!$B76,Hour,0)),Season,'Summarized Modified Source Data'!$A76,Sector,'Summarized Modified Source Data'!Y$2,Subsector,'Summarized Modified Source Data'!Y$3,TimeOfWeek,$D76)</f>
        <v>0</v>
      </c>
    </row>
    <row r="77" spans="1:25" outlineLevel="1" x14ac:dyDescent="0.25">
      <c r="A77" t="s">
        <v>40</v>
      </c>
      <c r="B77" t="s">
        <v>148</v>
      </c>
      <c r="C77" s="7" t="s">
        <v>0</v>
      </c>
      <c r="D77" t="s">
        <v>117</v>
      </c>
      <c r="E77" s="25">
        <f>SUMIFS(INDEX(Load,,MATCH('Summarized Modified Source Data'!$B77,Hour,0)),Season,'Summarized Modified Source Data'!$A77,Sector,'Summarized Modified Source Data'!E$2,Subsector,'Summarized Modified Source Data'!E$3,TimeOfWeek,$D77)</f>
        <v>4249167</v>
      </c>
      <c r="F77" s="25">
        <f>SUMIFS(INDEX(Load,,MATCH('Summarized Modified Source Data'!$B77,Hour,0)),Season,'Summarized Modified Source Data'!$A77,Sector,'Summarized Modified Source Data'!F$2,Subsector,'Summarized Modified Source Data'!F$3,TimeOfWeek,$D77)</f>
        <v>2552651</v>
      </c>
      <c r="G77" s="25">
        <f>SUMIFS(INDEX(Load,,MATCH('Summarized Modified Source Data'!$B77,Hour,0)),Season,'Summarized Modified Source Data'!$A77,Sector,'Summarized Modified Source Data'!G$2,Subsector,'Summarized Modified Source Data'!G$3,TimeOfWeek,$D77)</f>
        <v>0</v>
      </c>
      <c r="H77" s="25">
        <f>SUMIFS(INDEX(Load,,MATCH('Summarized Modified Source Data'!$B77,Hour,0)),Season,'Summarized Modified Source Data'!$A77,Sector,'Summarized Modified Source Data'!H$2,Subsector,'Summarized Modified Source Data'!H$3,TimeOfWeek,$D77)</f>
        <v>19779567</v>
      </c>
      <c r="I77" s="25">
        <f>SUMIFS(INDEX(Load,,MATCH('Summarized Modified Source Data'!$B77,Hour,0)),Season,'Summarized Modified Source Data'!$A77,Sector,'Summarized Modified Source Data'!I$2,Subsector,'Summarized Modified Source Data'!I$3,TimeOfWeek,$D77)</f>
        <v>5310811</v>
      </c>
      <c r="J77" s="25">
        <f t="shared" si="3"/>
        <v>5310811</v>
      </c>
      <c r="K77" s="25">
        <f>SUMIFS(INDEX(Load,,MATCH('Summarized Modified Source Data'!$B77,Hour,0)),Season,'Summarized Modified Source Data'!$A77,Sector,'Summarized Modified Source Data'!K$2,Subsector,'Summarized Modified Source Data'!K$3,TimeOfWeek,$D77)</f>
        <v>15650955</v>
      </c>
      <c r="L77" s="25">
        <f>SUMIFS(INDEX(Load,,MATCH('Summarized Modified Source Data'!$B77,Hour,0)),Season,'Summarized Modified Source Data'!$A77,Sector,'Summarized Modified Source Data'!L$2,Subsector,'Summarized Modified Source Data'!L$3,TimeOfWeek,$D77)</f>
        <v>51884020</v>
      </c>
      <c r="M77" s="25">
        <f>SUMIFS(INDEX(Load,,MATCH('Summarized Modified Source Data'!$B77,Hour,0)),Season,'Summarized Modified Source Data'!$A77,Sector,'Summarized Modified Source Data'!M$2,Subsector,'Summarized Modified Source Data'!M$3,TimeOfWeek,$D77)</f>
        <v>0</v>
      </c>
      <c r="N77" s="25">
        <f t="shared" si="4"/>
        <v>299465025</v>
      </c>
      <c r="O77" s="25">
        <f>SUMIFS(INDEX(Load,,MATCH('Summarized Modified Source Data'!$B77,Hour,0)),Season,'Summarized Modified Source Data'!$A77,Sector,'Summarized Modified Source Data'!O$2,Subsector,"Total",TimeOfWeek,$D77)-SUM(K77:M77)</f>
        <v>299465025</v>
      </c>
      <c r="P77" s="25">
        <f t="shared" si="5"/>
        <v>299465025</v>
      </c>
      <c r="Q77" s="33" cm="1">
        <f t="array" ref="Q77">SUMIFS(INDEX(Load,,MATCH('Summarized Modified Source Data'!$B77,Hour,0)),Season,'Summarized Modified Source Data'!$A77,Sector,'Summarized Modified Source Data'!Q$2,TimeOfWeek,$D77)*LDVs</f>
        <v>2641662.9405425182</v>
      </c>
      <c r="R77" s="33" cm="1">
        <f t="array" ref="R77">SUMIFS(INDEX(Load,,MATCH('Summarized Modified Source Data'!$B77,Hour,0)),Season,'Summarized Modified Source Data'!$A77,Sector,'Summarized Modified Source Data'!R$2,TimeOfWeek,$D77)*HDVs</f>
        <v>1244767.0757562581</v>
      </c>
      <c r="S77" s="33">
        <f>SUMIFS(INDEX(Load,,MATCH('Summarized Modified Source Data'!$B77,Hour,0)),Season,'Summarized Modified Source Data'!$A77,Sector,'Summarized Modified Source Data'!S$2,TimeOfWeek,$D77)*Aircraft</f>
        <v>0</v>
      </c>
      <c r="T77" s="33">
        <f>SUMIFS(INDEX(Load,,MATCH('Summarized Modified Source Data'!$B77,Hour,0)),Season,'Summarized Modified Source Data'!$A77,Sector,'Summarized Modified Source Data'!T$2,TimeOfWeek,$D77)*Rail</f>
        <v>5419318.9837012235</v>
      </c>
      <c r="U77" s="33">
        <f>SUMIFS(INDEX(Load,,MATCH('Summarized Modified Source Data'!$B77,Hour,0)),Season,'Summarized Modified Source Data'!$A77,Sector,'Summarized Modified Source Data'!U$2,TimeOfWeek,$D77)*Ships</f>
        <v>0</v>
      </c>
      <c r="V77" s="33">
        <f>SUMIFS(INDEX(Load,,MATCH('Summarized Modified Source Data'!$B77,Hour,0)),Season,'Summarized Modified Source Data'!$A77,Sector,'Summarized Modified Source Data'!V$2,TimeOfWeek,$D77)*Motorbikes</f>
        <v>0</v>
      </c>
      <c r="W77" s="25">
        <f>SUMIFS(INDEX(Load,,MATCH('Summarized Modified Source Data'!$B77,Hour,0)),Season,'Summarized Modified Source Data'!$A77,Sector,'Summarized Modified Source Data'!W$2,Subsector,'Summarized Modified Source Data'!W$3,TimeOfWeek,$D77)</f>
        <v>1308000000</v>
      </c>
      <c r="X77" s="25">
        <f>SUMIFS(INDEX(Load,,MATCH('Summarized Modified Source Data'!$B77,Hour,0)),Season,'Summarized Modified Source Data'!$A77,Sector,'Summarized Modified Source Data'!X$2,Subsector,'Summarized Modified Source Data'!X$3,TimeOfWeek,$D77)</f>
        <v>0</v>
      </c>
      <c r="Y77" s="25">
        <f>SUMIFS(INDEX(Load,,MATCH('Summarized Modified Source Data'!$B77,Hour,0)),Season,'Summarized Modified Source Data'!$A77,Sector,'Summarized Modified Source Data'!Y$2,Subsector,'Summarized Modified Source Data'!Y$3,TimeOfWeek,$D77)</f>
        <v>0</v>
      </c>
    </row>
    <row r="78" spans="1:25" outlineLevel="1" x14ac:dyDescent="0.25">
      <c r="A78" t="s">
        <v>40</v>
      </c>
      <c r="B78" t="s">
        <v>149</v>
      </c>
      <c r="C78" s="7" t="s">
        <v>1</v>
      </c>
      <c r="D78" t="s">
        <v>117</v>
      </c>
      <c r="E78" s="25">
        <f>SUMIFS(INDEX(Load,,MATCH('Summarized Modified Source Data'!$B78,Hour,0)),Season,'Summarized Modified Source Data'!$A78,Sector,'Summarized Modified Source Data'!E$2,Subsector,'Summarized Modified Source Data'!E$3,TimeOfWeek,$D78)</f>
        <v>4249167</v>
      </c>
      <c r="F78" s="25">
        <f>SUMIFS(INDEX(Load,,MATCH('Summarized Modified Source Data'!$B78,Hour,0)),Season,'Summarized Modified Source Data'!$A78,Sector,'Summarized Modified Source Data'!F$2,Subsector,'Summarized Modified Source Data'!F$3,TimeOfWeek,$D78)</f>
        <v>2462982</v>
      </c>
      <c r="G78" s="25">
        <f>SUMIFS(INDEX(Load,,MATCH('Summarized Modified Source Data'!$B78,Hour,0)),Season,'Summarized Modified Source Data'!$A78,Sector,'Summarized Modified Source Data'!G$2,Subsector,'Summarized Modified Source Data'!G$3,TimeOfWeek,$D78)</f>
        <v>0</v>
      </c>
      <c r="H78" s="25">
        <f>SUMIFS(INDEX(Load,,MATCH('Summarized Modified Source Data'!$B78,Hour,0)),Season,'Summarized Modified Source Data'!$A78,Sector,'Summarized Modified Source Data'!H$2,Subsector,'Summarized Modified Source Data'!H$3,TimeOfWeek,$D78)</f>
        <v>19628365</v>
      </c>
      <c r="I78" s="25">
        <f>SUMIFS(INDEX(Load,,MATCH('Summarized Modified Source Data'!$B78,Hour,0)),Season,'Summarized Modified Source Data'!$A78,Sector,'Summarized Modified Source Data'!I$2,Subsector,'Summarized Modified Source Data'!I$3,TimeOfWeek,$D78)</f>
        <v>4823364</v>
      </c>
      <c r="J78" s="25">
        <f t="shared" si="3"/>
        <v>4823364</v>
      </c>
      <c r="K78" s="25">
        <f>SUMIFS(INDEX(Load,,MATCH('Summarized Modified Source Data'!$B78,Hour,0)),Season,'Summarized Modified Source Data'!$A78,Sector,'Summarized Modified Source Data'!K$2,Subsector,'Summarized Modified Source Data'!K$3,TimeOfWeek,$D78)</f>
        <v>15810694</v>
      </c>
      <c r="L78" s="25">
        <f>SUMIFS(INDEX(Load,,MATCH('Summarized Modified Source Data'!$B78,Hour,0)),Season,'Summarized Modified Source Data'!$A78,Sector,'Summarized Modified Source Data'!L$2,Subsector,'Summarized Modified Source Data'!L$3,TimeOfWeek,$D78)</f>
        <v>50554122</v>
      </c>
      <c r="M78" s="25">
        <f>SUMIFS(INDEX(Load,,MATCH('Summarized Modified Source Data'!$B78,Hour,0)),Season,'Summarized Modified Source Data'!$A78,Sector,'Summarized Modified Source Data'!M$2,Subsector,'Summarized Modified Source Data'!M$3,TimeOfWeek,$D78)</f>
        <v>0</v>
      </c>
      <c r="N78" s="25">
        <f t="shared" si="4"/>
        <v>297635184</v>
      </c>
      <c r="O78" s="25">
        <f>SUMIFS(INDEX(Load,,MATCH('Summarized Modified Source Data'!$B78,Hour,0)),Season,'Summarized Modified Source Data'!$A78,Sector,'Summarized Modified Source Data'!O$2,Subsector,"Total",TimeOfWeek,$D78)-SUM(K78:M78)</f>
        <v>297635184</v>
      </c>
      <c r="P78" s="25">
        <f t="shared" si="5"/>
        <v>297635184</v>
      </c>
      <c r="Q78" s="33" cm="1">
        <f t="array" ref="Q78">SUMIFS(INDEX(Load,,MATCH('Summarized Modified Source Data'!$B78,Hour,0)),Season,'Summarized Modified Source Data'!$A78,Sector,'Summarized Modified Source Data'!Q$2,TimeOfWeek,$D78)*LDVs</f>
        <v>2631773.8955879705</v>
      </c>
      <c r="R78" s="33" cm="1">
        <f t="array" ref="R78">SUMIFS(INDEX(Load,,MATCH('Summarized Modified Source Data'!$B78,Hour,0)),Season,'Summarized Modified Source Data'!$A78,Sector,'Summarized Modified Source Data'!R$2,TimeOfWeek,$D78)*HDVs</f>
        <v>1240107.2997563849</v>
      </c>
      <c r="S78" s="33">
        <f>SUMIFS(INDEX(Load,,MATCH('Summarized Modified Source Data'!$B78,Hour,0)),Season,'Summarized Modified Source Data'!$A78,Sector,'Summarized Modified Source Data'!S$2,TimeOfWeek,$D78)*Aircraft</f>
        <v>0</v>
      </c>
      <c r="T78" s="33">
        <f>SUMIFS(INDEX(Load,,MATCH('Summarized Modified Source Data'!$B78,Hour,0)),Season,'Summarized Modified Source Data'!$A78,Sector,'Summarized Modified Source Data'!T$2,TimeOfWeek,$D78)*Rail</f>
        <v>5399031.804655645</v>
      </c>
      <c r="U78" s="33">
        <f>SUMIFS(INDEX(Load,,MATCH('Summarized Modified Source Data'!$B78,Hour,0)),Season,'Summarized Modified Source Data'!$A78,Sector,'Summarized Modified Source Data'!U$2,TimeOfWeek,$D78)*Ships</f>
        <v>0</v>
      </c>
      <c r="V78" s="33">
        <f>SUMIFS(INDEX(Load,,MATCH('Summarized Modified Source Data'!$B78,Hour,0)),Season,'Summarized Modified Source Data'!$A78,Sector,'Summarized Modified Source Data'!V$2,TimeOfWeek,$D78)*Motorbikes</f>
        <v>0</v>
      </c>
      <c r="W78" s="25">
        <f>SUMIFS(INDEX(Load,,MATCH('Summarized Modified Source Data'!$B78,Hour,0)),Season,'Summarized Modified Source Data'!$A78,Sector,'Summarized Modified Source Data'!W$2,Subsector,'Summarized Modified Source Data'!W$3,TimeOfWeek,$D78)</f>
        <v>1307000000</v>
      </c>
      <c r="X78" s="25">
        <f>SUMIFS(INDEX(Load,,MATCH('Summarized Modified Source Data'!$B78,Hour,0)),Season,'Summarized Modified Source Data'!$A78,Sector,'Summarized Modified Source Data'!X$2,Subsector,'Summarized Modified Source Data'!X$3,TimeOfWeek,$D78)</f>
        <v>0</v>
      </c>
      <c r="Y78" s="25">
        <f>SUMIFS(INDEX(Load,,MATCH('Summarized Modified Source Data'!$B78,Hour,0)),Season,'Summarized Modified Source Data'!$A78,Sector,'Summarized Modified Source Data'!Y$2,Subsector,'Summarized Modified Source Data'!Y$3,TimeOfWeek,$D78)</f>
        <v>0</v>
      </c>
    </row>
    <row r="79" spans="1:25" outlineLevel="1" x14ac:dyDescent="0.25">
      <c r="A79" t="s">
        <v>40</v>
      </c>
      <c r="B79" t="s">
        <v>150</v>
      </c>
      <c r="C79" s="7" t="s">
        <v>2</v>
      </c>
      <c r="D79" t="s">
        <v>117</v>
      </c>
      <c r="E79" s="25">
        <f>SUMIFS(INDEX(Load,,MATCH('Summarized Modified Source Data'!$B79,Hour,0)),Season,'Summarized Modified Source Data'!$A79,Sector,'Summarized Modified Source Data'!E$2,Subsector,'Summarized Modified Source Data'!E$3,TimeOfWeek,$D79)</f>
        <v>4249167</v>
      </c>
      <c r="F79" s="25">
        <f>SUMIFS(INDEX(Load,,MATCH('Summarized Modified Source Data'!$B79,Hour,0)),Season,'Summarized Modified Source Data'!$A79,Sector,'Summarized Modified Source Data'!F$2,Subsector,'Summarized Modified Source Data'!F$3,TimeOfWeek,$D79)</f>
        <v>2563848</v>
      </c>
      <c r="G79" s="25">
        <f>SUMIFS(INDEX(Load,,MATCH('Summarized Modified Source Data'!$B79,Hour,0)),Season,'Summarized Modified Source Data'!$A79,Sector,'Summarized Modified Source Data'!G$2,Subsector,'Summarized Modified Source Data'!G$3,TimeOfWeek,$D79)</f>
        <v>0</v>
      </c>
      <c r="H79" s="25">
        <f>SUMIFS(INDEX(Load,,MATCH('Summarized Modified Source Data'!$B79,Hour,0)),Season,'Summarized Modified Source Data'!$A79,Sector,'Summarized Modified Source Data'!H$2,Subsector,'Summarized Modified Source Data'!H$3,TimeOfWeek,$D79)</f>
        <v>20099472</v>
      </c>
      <c r="I79" s="25">
        <f>SUMIFS(INDEX(Load,,MATCH('Summarized Modified Source Data'!$B79,Hour,0)),Season,'Summarized Modified Source Data'!$A79,Sector,'Summarized Modified Source Data'!I$2,Subsector,'Summarized Modified Source Data'!I$3,TimeOfWeek,$D79)</f>
        <v>4714052</v>
      </c>
      <c r="J79" s="25">
        <f t="shared" si="3"/>
        <v>4714052</v>
      </c>
      <c r="K79" s="25">
        <f>SUMIFS(INDEX(Load,,MATCH('Summarized Modified Source Data'!$B79,Hour,0)),Season,'Summarized Modified Source Data'!$A79,Sector,'Summarized Modified Source Data'!K$2,Subsector,'Summarized Modified Source Data'!K$3,TimeOfWeek,$D79)</f>
        <v>16066623</v>
      </c>
      <c r="L79" s="25">
        <f>SUMIFS(INDEX(Load,,MATCH('Summarized Modified Source Data'!$B79,Hour,0)),Season,'Summarized Modified Source Data'!$A79,Sector,'Summarized Modified Source Data'!L$2,Subsector,'Summarized Modified Source Data'!L$3,TimeOfWeek,$D79)</f>
        <v>49937258</v>
      </c>
      <c r="M79" s="25">
        <f>SUMIFS(INDEX(Load,,MATCH('Summarized Modified Source Data'!$B79,Hour,0)),Season,'Summarized Modified Source Data'!$A79,Sector,'Summarized Modified Source Data'!M$2,Subsector,'Summarized Modified Source Data'!M$3,TimeOfWeek,$D79)</f>
        <v>0</v>
      </c>
      <c r="N79" s="25">
        <f t="shared" si="4"/>
        <v>310996119</v>
      </c>
      <c r="O79" s="25">
        <f>SUMIFS(INDEX(Load,,MATCH('Summarized Modified Source Data'!$B79,Hour,0)),Season,'Summarized Modified Source Data'!$A79,Sector,'Summarized Modified Source Data'!O$2,Subsector,"Total",TimeOfWeek,$D79)-SUM(K79:M79)</f>
        <v>310996119</v>
      </c>
      <c r="P79" s="25">
        <f t="shared" si="5"/>
        <v>310996119</v>
      </c>
      <c r="Q79" s="33" cm="1">
        <f t="array" ref="Q79">SUMIFS(INDEX(Load,,MATCH('Summarized Modified Source Data'!$B79,Hour,0)),Season,'Summarized Modified Source Data'!$A79,Sector,'Summarized Modified Source Data'!Q$2,TimeOfWeek,$D79)*LDVs</f>
        <v>2640878.3119900329</v>
      </c>
      <c r="R79" s="33" cm="1">
        <f t="array" ref="R79">SUMIFS(INDEX(Load,,MATCH('Summarized Modified Source Data'!$B79,Hour,0)),Season,'Summarized Modified Source Data'!$A79,Sector,'Summarized Modified Source Data'!R$2,TimeOfWeek,$D79)*HDVs</f>
        <v>1244397.3541790491</v>
      </c>
      <c r="S79" s="33">
        <f>SUMIFS(INDEX(Load,,MATCH('Summarized Modified Source Data'!$B79,Hour,0)),Season,'Summarized Modified Source Data'!$A79,Sector,'Summarized Modified Source Data'!S$2,TimeOfWeek,$D79)*Aircraft</f>
        <v>0</v>
      </c>
      <c r="T79" s="33">
        <f>SUMIFS(INDEX(Load,,MATCH('Summarized Modified Source Data'!$B79,Hour,0)),Season,'Summarized Modified Source Data'!$A79,Sector,'Summarized Modified Source Data'!T$2,TimeOfWeek,$D79)*Rail</f>
        <v>5417709.3338309173</v>
      </c>
      <c r="U79" s="33">
        <f>SUMIFS(INDEX(Load,,MATCH('Summarized Modified Source Data'!$B79,Hour,0)),Season,'Summarized Modified Source Data'!$A79,Sector,'Summarized Modified Source Data'!U$2,TimeOfWeek,$D79)*Ships</f>
        <v>0</v>
      </c>
      <c r="V79" s="33">
        <f>SUMIFS(INDEX(Load,,MATCH('Summarized Modified Source Data'!$B79,Hour,0)),Season,'Summarized Modified Source Data'!$A79,Sector,'Summarized Modified Source Data'!V$2,TimeOfWeek,$D79)*Motorbikes</f>
        <v>0</v>
      </c>
      <c r="W79" s="25">
        <f>SUMIFS(INDEX(Load,,MATCH('Summarized Modified Source Data'!$B79,Hour,0)),Season,'Summarized Modified Source Data'!$A79,Sector,'Summarized Modified Source Data'!W$2,Subsector,'Summarized Modified Source Data'!W$3,TimeOfWeek,$D79)</f>
        <v>1308000000</v>
      </c>
      <c r="X79" s="25">
        <f>SUMIFS(INDEX(Load,,MATCH('Summarized Modified Source Data'!$B79,Hour,0)),Season,'Summarized Modified Source Data'!$A79,Sector,'Summarized Modified Source Data'!X$2,Subsector,'Summarized Modified Source Data'!X$3,TimeOfWeek,$D79)</f>
        <v>0</v>
      </c>
      <c r="Y79" s="25">
        <f>SUMIFS(INDEX(Load,,MATCH('Summarized Modified Source Data'!$B79,Hour,0)),Season,'Summarized Modified Source Data'!$A79,Sector,'Summarized Modified Source Data'!Y$2,Subsector,'Summarized Modified Source Data'!Y$3,TimeOfWeek,$D79)</f>
        <v>0</v>
      </c>
    </row>
    <row r="80" spans="1:25" outlineLevel="1" x14ac:dyDescent="0.25">
      <c r="A80" t="s">
        <v>40</v>
      </c>
      <c r="B80" t="s">
        <v>151</v>
      </c>
      <c r="C80" s="7" t="s">
        <v>3</v>
      </c>
      <c r="D80" t="s">
        <v>117</v>
      </c>
      <c r="E80" s="25">
        <f>SUMIFS(INDEX(Load,,MATCH('Summarized Modified Source Data'!$B80,Hour,0)),Season,'Summarized Modified Source Data'!$A80,Sector,'Summarized Modified Source Data'!E$2,Subsector,'Summarized Modified Source Data'!E$3,TimeOfWeek,$D80)</f>
        <v>4249167</v>
      </c>
      <c r="F80" s="25">
        <f>SUMIFS(INDEX(Load,,MATCH('Summarized Modified Source Data'!$B80,Hour,0)),Season,'Summarized Modified Source Data'!$A80,Sector,'Summarized Modified Source Data'!F$2,Subsector,'Summarized Modified Source Data'!F$3,TimeOfWeek,$D80)</f>
        <v>2786248</v>
      </c>
      <c r="G80" s="25">
        <f>SUMIFS(INDEX(Load,,MATCH('Summarized Modified Source Data'!$B80,Hour,0)),Season,'Summarized Modified Source Data'!$A80,Sector,'Summarized Modified Source Data'!G$2,Subsector,'Summarized Modified Source Data'!G$3,TimeOfWeek,$D80)</f>
        <v>0</v>
      </c>
      <c r="H80" s="25">
        <f>SUMIFS(INDEX(Load,,MATCH('Summarized Modified Source Data'!$B80,Hour,0)),Season,'Summarized Modified Source Data'!$A80,Sector,'Summarized Modified Source Data'!H$2,Subsector,'Summarized Modified Source Data'!H$3,TimeOfWeek,$D80)</f>
        <v>25800000</v>
      </c>
      <c r="I80" s="25">
        <f>SUMIFS(INDEX(Load,,MATCH('Summarized Modified Source Data'!$B80,Hour,0)),Season,'Summarized Modified Source Data'!$A80,Sector,'Summarized Modified Source Data'!I$2,Subsector,'Summarized Modified Source Data'!I$3,TimeOfWeek,$D80)</f>
        <v>6614550</v>
      </c>
      <c r="J80" s="25">
        <f t="shared" si="3"/>
        <v>6614550</v>
      </c>
      <c r="K80" s="25">
        <f>SUMIFS(INDEX(Load,,MATCH('Summarized Modified Source Data'!$B80,Hour,0)),Season,'Summarized Modified Source Data'!$A80,Sector,'Summarized Modified Source Data'!K$2,Subsector,'Summarized Modified Source Data'!K$3,TimeOfWeek,$D80)</f>
        <v>15566526</v>
      </c>
      <c r="L80" s="25">
        <f>SUMIFS(INDEX(Load,,MATCH('Summarized Modified Source Data'!$B80,Hour,0)),Season,'Summarized Modified Source Data'!$A80,Sector,'Summarized Modified Source Data'!L$2,Subsector,'Summarized Modified Source Data'!L$3,TimeOfWeek,$D80)</f>
        <v>49933626</v>
      </c>
      <c r="M80" s="25">
        <f>SUMIFS(INDEX(Load,,MATCH('Summarized Modified Source Data'!$B80,Hour,0)),Season,'Summarized Modified Source Data'!$A80,Sector,'Summarized Modified Source Data'!M$2,Subsector,'Summarized Modified Source Data'!M$3,TimeOfWeek,$D80)</f>
        <v>0</v>
      </c>
      <c r="N80" s="25">
        <f t="shared" si="4"/>
        <v>329499848</v>
      </c>
      <c r="O80" s="25">
        <f>SUMIFS(INDEX(Load,,MATCH('Summarized Modified Source Data'!$B80,Hour,0)),Season,'Summarized Modified Source Data'!$A80,Sector,'Summarized Modified Source Data'!O$2,Subsector,"Total",TimeOfWeek,$D80)-SUM(K80:M80)</f>
        <v>329499848</v>
      </c>
      <c r="P80" s="25">
        <f t="shared" si="5"/>
        <v>329499848</v>
      </c>
      <c r="Q80" s="33" cm="1">
        <f t="array" ref="Q80">SUMIFS(INDEX(Load,,MATCH('Summarized Modified Source Data'!$B80,Hour,0)),Season,'Summarized Modified Source Data'!$A80,Sector,'Summarized Modified Source Data'!Q$2,TimeOfWeek,$D80)*LDVs</f>
        <v>2630958.040862991</v>
      </c>
      <c r="R80" s="33" cm="1">
        <f t="array" ref="R80">SUMIFS(INDEX(Load,,MATCH('Summarized Modified Source Data'!$B80,Hour,0)),Season,'Summarized Modified Source Data'!$A80,Sector,'Summarized Modified Source Data'!R$2,TimeOfWeek,$D80)*HDVs</f>
        <v>1239722.8642234984</v>
      </c>
      <c r="S80" s="33">
        <f>SUMIFS(INDEX(Load,,MATCH('Summarized Modified Source Data'!$B80,Hour,0)),Season,'Summarized Modified Source Data'!$A80,Sector,'Summarized Modified Source Data'!S$2,TimeOfWeek,$D80)*Aircraft</f>
        <v>0</v>
      </c>
      <c r="T80" s="33">
        <f>SUMIFS(INDEX(Load,,MATCH('Summarized Modified Source Data'!$B80,Hour,0)),Season,'Summarized Modified Source Data'!$A80,Sector,'Summarized Modified Source Data'!T$2,TimeOfWeek,$D80)*Rail</f>
        <v>5397358.0949135106</v>
      </c>
      <c r="U80" s="33">
        <f>SUMIFS(INDEX(Load,,MATCH('Summarized Modified Source Data'!$B80,Hour,0)),Season,'Summarized Modified Source Data'!$A80,Sector,'Summarized Modified Source Data'!U$2,TimeOfWeek,$D80)*Ships</f>
        <v>0</v>
      </c>
      <c r="V80" s="33">
        <f>SUMIFS(INDEX(Load,,MATCH('Summarized Modified Source Data'!$B80,Hour,0)),Season,'Summarized Modified Source Data'!$A80,Sector,'Summarized Modified Source Data'!V$2,TimeOfWeek,$D80)*Motorbikes</f>
        <v>0</v>
      </c>
      <c r="W80" s="25">
        <f>SUMIFS(INDEX(Load,,MATCH('Summarized Modified Source Data'!$B80,Hour,0)),Season,'Summarized Modified Source Data'!$A80,Sector,'Summarized Modified Source Data'!W$2,Subsector,'Summarized Modified Source Data'!W$3,TimeOfWeek,$D80)</f>
        <v>1312000000</v>
      </c>
      <c r="X80" s="25">
        <f>SUMIFS(INDEX(Load,,MATCH('Summarized Modified Source Data'!$B80,Hour,0)),Season,'Summarized Modified Source Data'!$A80,Sector,'Summarized Modified Source Data'!X$2,Subsector,'Summarized Modified Source Data'!X$3,TimeOfWeek,$D80)</f>
        <v>0</v>
      </c>
      <c r="Y80" s="25">
        <f>SUMIFS(INDEX(Load,,MATCH('Summarized Modified Source Data'!$B80,Hour,0)),Season,'Summarized Modified Source Data'!$A80,Sector,'Summarized Modified Source Data'!Y$2,Subsector,'Summarized Modified Source Data'!Y$3,TimeOfWeek,$D80)</f>
        <v>0</v>
      </c>
    </row>
    <row r="81" spans="1:25" outlineLevel="1" x14ac:dyDescent="0.25">
      <c r="A81" t="s">
        <v>40</v>
      </c>
      <c r="B81" t="s">
        <v>152</v>
      </c>
      <c r="C81" s="7" t="s">
        <v>4</v>
      </c>
      <c r="D81" t="s">
        <v>117</v>
      </c>
      <c r="E81" s="25">
        <f>SUMIFS(INDEX(Load,,MATCH('Summarized Modified Source Data'!$B81,Hour,0)),Season,'Summarized Modified Source Data'!$A81,Sector,'Summarized Modified Source Data'!E$2,Subsector,'Summarized Modified Source Data'!E$3,TimeOfWeek,$D81)</f>
        <v>6328058</v>
      </c>
      <c r="F81" s="25">
        <f>SUMIFS(INDEX(Load,,MATCH('Summarized Modified Source Data'!$B81,Hour,0)),Season,'Summarized Modified Source Data'!$A81,Sector,'Summarized Modified Source Data'!F$2,Subsector,'Summarized Modified Source Data'!F$3,TimeOfWeek,$D81)</f>
        <v>3231347</v>
      </c>
      <c r="G81" s="25">
        <f>SUMIFS(INDEX(Load,,MATCH('Summarized Modified Source Data'!$B81,Hour,0)),Season,'Summarized Modified Source Data'!$A81,Sector,'Summarized Modified Source Data'!G$2,Subsector,'Summarized Modified Source Data'!G$3,TimeOfWeek,$D81)</f>
        <v>0</v>
      </c>
      <c r="H81" s="25">
        <f>SUMIFS(INDEX(Load,,MATCH('Summarized Modified Source Data'!$B81,Hour,0)),Season,'Summarized Modified Source Data'!$A81,Sector,'Summarized Modified Source Data'!H$2,Subsector,'Summarized Modified Source Data'!H$3,TimeOfWeek,$D81)</f>
        <v>44400000</v>
      </c>
      <c r="I81" s="25">
        <f>SUMIFS(INDEX(Load,,MATCH('Summarized Modified Source Data'!$B81,Hour,0)),Season,'Summarized Modified Source Data'!$A81,Sector,'Summarized Modified Source Data'!I$2,Subsector,'Summarized Modified Source Data'!I$3,TimeOfWeek,$D81)</f>
        <v>14673981</v>
      </c>
      <c r="J81" s="25">
        <f t="shared" si="3"/>
        <v>14673981</v>
      </c>
      <c r="K81" s="25">
        <f>SUMIFS(INDEX(Load,,MATCH('Summarized Modified Source Data'!$B81,Hour,0)),Season,'Summarized Modified Source Data'!$A81,Sector,'Summarized Modified Source Data'!K$2,Subsector,'Summarized Modified Source Data'!K$3,TimeOfWeek,$D81)</f>
        <v>25546346</v>
      </c>
      <c r="L81" s="25">
        <f>SUMIFS(INDEX(Load,,MATCH('Summarized Modified Source Data'!$B81,Hour,0)),Season,'Summarized Modified Source Data'!$A81,Sector,'Summarized Modified Source Data'!L$2,Subsector,'Summarized Modified Source Data'!L$3,TimeOfWeek,$D81)</f>
        <v>51969062</v>
      </c>
      <c r="M81" s="25">
        <f>SUMIFS(INDEX(Load,,MATCH('Summarized Modified Source Data'!$B81,Hour,0)),Season,'Summarized Modified Source Data'!$A81,Sector,'Summarized Modified Source Data'!M$2,Subsector,'Summarized Modified Source Data'!M$3,TimeOfWeek,$D81)</f>
        <v>0</v>
      </c>
      <c r="N81" s="25">
        <f t="shared" si="4"/>
        <v>384484592</v>
      </c>
      <c r="O81" s="25">
        <f>SUMIFS(INDEX(Load,,MATCH('Summarized Modified Source Data'!$B81,Hour,0)),Season,'Summarized Modified Source Data'!$A81,Sector,'Summarized Modified Source Data'!O$2,Subsector,"Total",TimeOfWeek,$D81)-SUM(K81:M81)</f>
        <v>384484592</v>
      </c>
      <c r="P81" s="25">
        <f t="shared" si="5"/>
        <v>384484592</v>
      </c>
      <c r="Q81" s="33" cm="1">
        <f t="array" ref="Q81">SUMIFS(INDEX(Load,,MATCH('Summarized Modified Source Data'!$B81,Hour,0)),Season,'Summarized Modified Source Data'!$A81,Sector,'Summarized Modified Source Data'!Q$2,TimeOfWeek,$D81)*LDVs</f>
        <v>2706586.1273976369</v>
      </c>
      <c r="R81" s="33" cm="1">
        <f t="array" ref="R81">SUMIFS(INDEX(Load,,MATCH('Summarized Modified Source Data'!$B81,Hour,0)),Season,'Summarized Modified Source Data'!$A81,Sector,'Summarized Modified Source Data'!R$2,TimeOfWeek,$D81)*HDVs</f>
        <v>1275359.2622953276</v>
      </c>
      <c r="S81" s="33">
        <f>SUMIFS(INDEX(Load,,MATCH('Summarized Modified Source Data'!$B81,Hour,0)),Season,'Summarized Modified Source Data'!$A81,Sector,'Summarized Modified Source Data'!S$2,TimeOfWeek,$D81)*Aircraft</f>
        <v>0</v>
      </c>
      <c r="T81" s="33">
        <f>SUMIFS(INDEX(Load,,MATCH('Summarized Modified Source Data'!$B81,Hour,0)),Season,'Summarized Modified Source Data'!$A81,Sector,'Summarized Modified Source Data'!T$2,TimeOfWeek,$D81)*Rail</f>
        <v>5552507.610307035</v>
      </c>
      <c r="U81" s="33">
        <f>SUMIFS(INDEX(Load,,MATCH('Summarized Modified Source Data'!$B81,Hour,0)),Season,'Summarized Modified Source Data'!$A81,Sector,'Summarized Modified Source Data'!U$2,TimeOfWeek,$D81)*Ships</f>
        <v>0</v>
      </c>
      <c r="V81" s="33">
        <f>SUMIFS(INDEX(Load,,MATCH('Summarized Modified Source Data'!$B81,Hour,0)),Season,'Summarized Modified Source Data'!$A81,Sector,'Summarized Modified Source Data'!V$2,TimeOfWeek,$D81)*Motorbikes</f>
        <v>0</v>
      </c>
      <c r="W81" s="25">
        <f>SUMIFS(INDEX(Load,,MATCH('Summarized Modified Source Data'!$B81,Hour,0)),Season,'Summarized Modified Source Data'!$A81,Sector,'Summarized Modified Source Data'!W$2,Subsector,'Summarized Modified Source Data'!W$3,TimeOfWeek,$D81)</f>
        <v>1321000000</v>
      </c>
      <c r="X81" s="25">
        <f>SUMIFS(INDEX(Load,,MATCH('Summarized Modified Source Data'!$B81,Hour,0)),Season,'Summarized Modified Source Data'!$A81,Sector,'Summarized Modified Source Data'!X$2,Subsector,'Summarized Modified Source Data'!X$3,TimeOfWeek,$D81)</f>
        <v>0</v>
      </c>
      <c r="Y81" s="25">
        <f>SUMIFS(INDEX(Load,,MATCH('Summarized Modified Source Data'!$B81,Hour,0)),Season,'Summarized Modified Source Data'!$A81,Sector,'Summarized Modified Source Data'!Y$2,Subsector,'Summarized Modified Source Data'!Y$3,TimeOfWeek,$D81)</f>
        <v>0</v>
      </c>
    </row>
    <row r="82" spans="1:25" outlineLevel="1" x14ac:dyDescent="0.25">
      <c r="A82" t="s">
        <v>40</v>
      </c>
      <c r="B82" t="s">
        <v>153</v>
      </c>
      <c r="C82" s="7" t="s">
        <v>5</v>
      </c>
      <c r="D82" t="s">
        <v>117</v>
      </c>
      <c r="E82" s="25">
        <f>SUMIFS(INDEX(Load,,MATCH('Summarized Modified Source Data'!$B82,Hour,0)),Season,'Summarized Modified Source Data'!$A82,Sector,'Summarized Modified Source Data'!E$2,Subsector,'Summarized Modified Source Data'!E$3,TimeOfWeek,$D82)</f>
        <v>7163738</v>
      </c>
      <c r="F82" s="25">
        <f>SUMIFS(INDEX(Load,,MATCH('Summarized Modified Source Data'!$B82,Hour,0)),Season,'Summarized Modified Source Data'!$A82,Sector,'Summarized Modified Source Data'!F$2,Subsector,'Summarized Modified Source Data'!F$3,TimeOfWeek,$D82)</f>
        <v>4972371</v>
      </c>
      <c r="G82" s="25">
        <f>SUMIFS(INDEX(Load,,MATCH('Summarized Modified Source Data'!$B82,Hour,0)),Season,'Summarized Modified Source Data'!$A82,Sector,'Summarized Modified Source Data'!G$2,Subsector,'Summarized Modified Source Data'!G$3,TimeOfWeek,$D82)</f>
        <v>0</v>
      </c>
      <c r="H82" s="25">
        <f>SUMIFS(INDEX(Load,,MATCH('Summarized Modified Source Data'!$B82,Hour,0)),Season,'Summarized Modified Source Data'!$A82,Sector,'Summarized Modified Source Data'!H$2,Subsector,'Summarized Modified Source Data'!H$3,TimeOfWeek,$D82)</f>
        <v>52200000</v>
      </c>
      <c r="I82" s="25">
        <f>SUMIFS(INDEX(Load,,MATCH('Summarized Modified Source Data'!$B82,Hour,0)),Season,'Summarized Modified Source Data'!$A82,Sector,'Summarized Modified Source Data'!I$2,Subsector,'Summarized Modified Source Data'!I$3,TimeOfWeek,$D82)</f>
        <v>28700000</v>
      </c>
      <c r="J82" s="25">
        <f t="shared" si="3"/>
        <v>28700000</v>
      </c>
      <c r="K82" s="25">
        <f>SUMIFS(INDEX(Load,,MATCH('Summarized Modified Source Data'!$B82,Hour,0)),Season,'Summarized Modified Source Data'!$A82,Sector,'Summarized Modified Source Data'!K$2,Subsector,'Summarized Modified Source Data'!K$3,TimeOfWeek,$D82)</f>
        <v>40976276</v>
      </c>
      <c r="L82" s="25">
        <f>SUMIFS(INDEX(Load,,MATCH('Summarized Modified Source Data'!$B82,Hour,0)),Season,'Summarized Modified Source Data'!$A82,Sector,'Summarized Modified Source Data'!L$2,Subsector,'Summarized Modified Source Data'!L$3,TimeOfWeek,$D82)</f>
        <v>59395801</v>
      </c>
      <c r="M82" s="25">
        <f>SUMIFS(INDEX(Load,,MATCH('Summarized Modified Source Data'!$B82,Hour,0)),Season,'Summarized Modified Source Data'!$A82,Sector,'Summarized Modified Source Data'!M$2,Subsector,'Summarized Modified Source Data'!M$3,TimeOfWeek,$D82)</f>
        <v>0</v>
      </c>
      <c r="N82" s="25">
        <f t="shared" si="4"/>
        <v>577627923</v>
      </c>
      <c r="O82" s="25">
        <f>SUMIFS(INDEX(Load,,MATCH('Summarized Modified Source Data'!$B82,Hour,0)),Season,'Summarized Modified Source Data'!$A82,Sector,'Summarized Modified Source Data'!O$2,Subsector,"Total",TimeOfWeek,$D82)-SUM(K82:M82)</f>
        <v>577627923</v>
      </c>
      <c r="P82" s="25">
        <f t="shared" si="5"/>
        <v>577627923</v>
      </c>
      <c r="Q82" s="33" cm="1">
        <f t="array" ref="Q82">SUMIFS(INDEX(Load,,MATCH('Summarized Modified Source Data'!$B82,Hour,0)),Season,'Summarized Modified Source Data'!$A82,Sector,'Summarized Modified Source Data'!Q$2,TimeOfWeek,$D82)*LDVs</f>
        <v>4065871.0677866074</v>
      </c>
      <c r="R82" s="33" cm="1">
        <f t="array" ref="R82">SUMIFS(INDEX(Load,,MATCH('Summarized Modified Source Data'!$B82,Hour,0)),Season,'Summarized Modified Source Data'!$A82,Sector,'Summarized Modified Source Data'!R$2,TimeOfWeek,$D82)*HDVs</f>
        <v>1915862.3008926793</v>
      </c>
      <c r="S82" s="33">
        <f>SUMIFS(INDEX(Load,,MATCH('Summarized Modified Source Data'!$B82,Hour,0)),Season,'Summarized Modified Source Data'!$A82,Sector,'Summarized Modified Source Data'!S$2,TimeOfWeek,$D82)*Aircraft</f>
        <v>0</v>
      </c>
      <c r="T82" s="33">
        <f>SUMIFS(INDEX(Load,,MATCH('Summarized Modified Source Data'!$B82,Hour,0)),Season,'Summarized Modified Source Data'!$A82,Sector,'Summarized Modified Source Data'!T$2,TimeOfWeek,$D82)*Rail</f>
        <v>8341053.6313207131</v>
      </c>
      <c r="U82" s="33">
        <f>SUMIFS(INDEX(Load,,MATCH('Summarized Modified Source Data'!$B82,Hour,0)),Season,'Summarized Modified Source Data'!$A82,Sector,'Summarized Modified Source Data'!U$2,TimeOfWeek,$D82)*Ships</f>
        <v>0</v>
      </c>
      <c r="V82" s="33">
        <f>SUMIFS(INDEX(Load,,MATCH('Summarized Modified Source Data'!$B82,Hour,0)),Season,'Summarized Modified Source Data'!$A82,Sector,'Summarized Modified Source Data'!V$2,TimeOfWeek,$D82)*Motorbikes</f>
        <v>0</v>
      </c>
      <c r="W82" s="25">
        <f>SUMIFS(INDEX(Load,,MATCH('Summarized Modified Source Data'!$B82,Hour,0)),Season,'Summarized Modified Source Data'!$A82,Sector,'Summarized Modified Source Data'!W$2,Subsector,'Summarized Modified Source Data'!W$3,TimeOfWeek,$D82)</f>
        <v>1336000000</v>
      </c>
      <c r="X82" s="25">
        <f>SUMIFS(INDEX(Load,,MATCH('Summarized Modified Source Data'!$B82,Hour,0)),Season,'Summarized Modified Source Data'!$A82,Sector,'Summarized Modified Source Data'!X$2,Subsector,'Summarized Modified Source Data'!X$3,TimeOfWeek,$D82)</f>
        <v>0</v>
      </c>
      <c r="Y82" s="25">
        <f>SUMIFS(INDEX(Load,,MATCH('Summarized Modified Source Data'!$B82,Hour,0)),Season,'Summarized Modified Source Data'!$A82,Sector,'Summarized Modified Source Data'!Y$2,Subsector,'Summarized Modified Source Data'!Y$3,TimeOfWeek,$D82)</f>
        <v>0</v>
      </c>
    </row>
    <row r="83" spans="1:25" outlineLevel="1" x14ac:dyDescent="0.25">
      <c r="A83" t="s">
        <v>40</v>
      </c>
      <c r="B83" t="s">
        <v>154</v>
      </c>
      <c r="C83" s="7" t="s">
        <v>6</v>
      </c>
      <c r="D83" t="s">
        <v>117</v>
      </c>
      <c r="E83" s="25">
        <f>SUMIFS(INDEX(Load,,MATCH('Summarized Modified Source Data'!$B83,Hour,0)),Season,'Summarized Modified Source Data'!$A83,Sector,'Summarized Modified Source Data'!E$2,Subsector,'Summarized Modified Source Data'!E$3,TimeOfWeek,$D83)</f>
        <v>7253214</v>
      </c>
      <c r="F83" s="25">
        <f>SUMIFS(INDEX(Load,,MATCH('Summarized Modified Source Data'!$B83,Hour,0)),Season,'Summarized Modified Source Data'!$A83,Sector,'Summarized Modified Source Data'!F$2,Subsector,'Summarized Modified Source Data'!F$3,TimeOfWeek,$D83)</f>
        <v>7998012</v>
      </c>
      <c r="G83" s="25">
        <f>SUMIFS(INDEX(Load,,MATCH('Summarized Modified Source Data'!$B83,Hour,0)),Season,'Summarized Modified Source Data'!$A83,Sector,'Summarized Modified Source Data'!G$2,Subsector,'Summarized Modified Source Data'!G$3,TimeOfWeek,$D83)</f>
        <v>0</v>
      </c>
      <c r="H83" s="25">
        <f>SUMIFS(INDEX(Load,,MATCH('Summarized Modified Source Data'!$B83,Hour,0)),Season,'Summarized Modified Source Data'!$A83,Sector,'Summarized Modified Source Data'!H$2,Subsector,'Summarized Modified Source Data'!H$3,TimeOfWeek,$D83)</f>
        <v>22423271</v>
      </c>
      <c r="I83" s="25">
        <f>SUMIFS(INDEX(Load,,MATCH('Summarized Modified Source Data'!$B83,Hour,0)),Season,'Summarized Modified Source Data'!$A83,Sector,'Summarized Modified Source Data'!I$2,Subsector,'Summarized Modified Source Data'!I$3,TimeOfWeek,$D83)</f>
        <v>39600000</v>
      </c>
      <c r="J83" s="25">
        <f t="shared" si="3"/>
        <v>39600000</v>
      </c>
      <c r="K83" s="25">
        <f>SUMIFS(INDEX(Load,,MATCH('Summarized Modified Source Data'!$B83,Hour,0)),Season,'Summarized Modified Source Data'!$A83,Sector,'Summarized Modified Source Data'!K$2,Subsector,'Summarized Modified Source Data'!K$3,TimeOfWeek,$D83)</f>
        <v>36866558</v>
      </c>
      <c r="L83" s="25">
        <f>SUMIFS(INDEX(Load,,MATCH('Summarized Modified Source Data'!$B83,Hour,0)),Season,'Summarized Modified Source Data'!$A83,Sector,'Summarized Modified Source Data'!L$2,Subsector,'Summarized Modified Source Data'!L$3,TimeOfWeek,$D83)</f>
        <v>75045836</v>
      </c>
      <c r="M83" s="25">
        <f>SUMIFS(INDEX(Load,,MATCH('Summarized Modified Source Data'!$B83,Hour,0)),Season,'Summarized Modified Source Data'!$A83,Sector,'Summarized Modified Source Data'!M$2,Subsector,'Summarized Modified Source Data'!M$3,TimeOfWeek,$D83)</f>
        <v>0</v>
      </c>
      <c r="N83" s="25">
        <f t="shared" si="4"/>
        <v>793087606</v>
      </c>
      <c r="O83" s="25">
        <f>SUMIFS(INDEX(Load,,MATCH('Summarized Modified Source Data'!$B83,Hour,0)),Season,'Summarized Modified Source Data'!$A83,Sector,'Summarized Modified Source Data'!O$2,Subsector,"Total",TimeOfWeek,$D83)-SUM(K83:M83)</f>
        <v>793087606</v>
      </c>
      <c r="P83" s="25">
        <f t="shared" si="5"/>
        <v>793087606</v>
      </c>
      <c r="Q83" s="33" cm="1">
        <f t="array" ref="Q83">SUMIFS(INDEX(Load,,MATCH('Summarized Modified Source Data'!$B83,Hour,0)),Season,'Summarized Modified Source Data'!$A83,Sector,'Summarized Modified Source Data'!Q$2,TimeOfWeek,$D83)*LDVs</f>
        <v>8544616.2915343828</v>
      </c>
      <c r="R83" s="33" cm="1">
        <f t="array" ref="R83">SUMIFS(INDEX(Load,,MATCH('Summarized Modified Source Data'!$B83,Hour,0)),Season,'Summarized Modified Source Data'!$A83,Sector,'Summarized Modified Source Data'!R$2,TimeOfWeek,$D83)*HDVs</f>
        <v>4026273.3263344383</v>
      </c>
      <c r="S83" s="33">
        <f>SUMIFS(INDEX(Load,,MATCH('Summarized Modified Source Data'!$B83,Hour,0)),Season,'Summarized Modified Source Data'!$A83,Sector,'Summarized Modified Source Data'!S$2,TimeOfWeek,$D83)*Aircraft</f>
        <v>0</v>
      </c>
      <c r="T83" s="33">
        <f>SUMIFS(INDEX(Load,,MATCH('Summarized Modified Source Data'!$B83,Hour,0)),Season,'Summarized Modified Source Data'!$A83,Sector,'Summarized Modified Source Data'!T$2,TimeOfWeek,$D83)*Rail</f>
        <v>17529110.382131178</v>
      </c>
      <c r="U83" s="33">
        <f>SUMIFS(INDEX(Load,,MATCH('Summarized Modified Source Data'!$B83,Hour,0)),Season,'Summarized Modified Source Data'!$A83,Sector,'Summarized Modified Source Data'!U$2,TimeOfWeek,$D83)*Ships</f>
        <v>0</v>
      </c>
      <c r="V83" s="33">
        <f>SUMIFS(INDEX(Load,,MATCH('Summarized Modified Source Data'!$B83,Hour,0)),Season,'Summarized Modified Source Data'!$A83,Sector,'Summarized Modified Source Data'!V$2,TimeOfWeek,$D83)*Motorbikes</f>
        <v>0</v>
      </c>
      <c r="W83" s="25">
        <f>SUMIFS(INDEX(Load,,MATCH('Summarized Modified Source Data'!$B83,Hour,0)),Season,'Summarized Modified Source Data'!$A83,Sector,'Summarized Modified Source Data'!W$2,Subsector,'Summarized Modified Source Data'!W$3,TimeOfWeek,$D83)</f>
        <v>1350000000</v>
      </c>
      <c r="X83" s="25">
        <f>SUMIFS(INDEX(Load,,MATCH('Summarized Modified Source Data'!$B83,Hour,0)),Season,'Summarized Modified Source Data'!$A83,Sector,'Summarized Modified Source Data'!X$2,Subsector,'Summarized Modified Source Data'!X$3,TimeOfWeek,$D83)</f>
        <v>0</v>
      </c>
      <c r="Y83" s="25">
        <f>SUMIFS(INDEX(Load,,MATCH('Summarized Modified Source Data'!$B83,Hour,0)),Season,'Summarized Modified Source Data'!$A83,Sector,'Summarized Modified Source Data'!Y$2,Subsector,'Summarized Modified Source Data'!Y$3,TimeOfWeek,$D83)</f>
        <v>0</v>
      </c>
    </row>
    <row r="84" spans="1:25" outlineLevel="1" x14ac:dyDescent="0.25">
      <c r="A84" t="s">
        <v>40</v>
      </c>
      <c r="B84" t="s">
        <v>155</v>
      </c>
      <c r="C84" s="7" t="s">
        <v>7</v>
      </c>
      <c r="D84" t="s">
        <v>117</v>
      </c>
      <c r="E84" s="25">
        <f>SUMIFS(INDEX(Load,,MATCH('Summarized Modified Source Data'!$B84,Hour,0)),Season,'Summarized Modified Source Data'!$A84,Sector,'Summarized Modified Source Data'!E$2,Subsector,'Summarized Modified Source Data'!E$3,TimeOfWeek,$D84)</f>
        <v>7196650</v>
      </c>
      <c r="F84" s="25">
        <f>SUMIFS(INDEX(Load,,MATCH('Summarized Modified Source Data'!$B84,Hour,0)),Season,'Summarized Modified Source Data'!$A84,Sector,'Summarized Modified Source Data'!F$2,Subsector,'Summarized Modified Source Data'!F$3,TimeOfWeek,$D84)</f>
        <v>11501301</v>
      </c>
      <c r="G84" s="25">
        <f>SUMIFS(INDEX(Load,,MATCH('Summarized Modified Source Data'!$B84,Hour,0)),Season,'Summarized Modified Source Data'!$A84,Sector,'Summarized Modified Source Data'!G$2,Subsector,'Summarized Modified Source Data'!G$3,TimeOfWeek,$D84)</f>
        <v>0</v>
      </c>
      <c r="H84" s="25">
        <f>SUMIFS(INDEX(Load,,MATCH('Summarized Modified Source Data'!$B84,Hour,0)),Season,'Summarized Modified Source Data'!$A84,Sector,'Summarized Modified Source Data'!H$2,Subsector,'Summarized Modified Source Data'!H$3,TimeOfWeek,$D84)</f>
        <v>19698708</v>
      </c>
      <c r="I84" s="25">
        <f>SUMIFS(INDEX(Load,,MATCH('Summarized Modified Source Data'!$B84,Hour,0)),Season,'Summarized Modified Source Data'!$A84,Sector,'Summarized Modified Source Data'!I$2,Subsector,'Summarized Modified Source Data'!I$3,TimeOfWeek,$D84)</f>
        <v>26200000</v>
      </c>
      <c r="J84" s="25">
        <f t="shared" si="3"/>
        <v>26200000</v>
      </c>
      <c r="K84" s="25">
        <f>SUMIFS(INDEX(Load,,MATCH('Summarized Modified Source Data'!$B84,Hour,0)),Season,'Summarized Modified Source Data'!$A84,Sector,'Summarized Modified Source Data'!K$2,Subsector,'Summarized Modified Source Data'!K$3,TimeOfWeek,$D84)</f>
        <v>25172873</v>
      </c>
      <c r="L84" s="25">
        <f>SUMIFS(INDEX(Load,,MATCH('Summarized Modified Source Data'!$B84,Hour,0)),Season,'Summarized Modified Source Data'!$A84,Sector,'Summarized Modified Source Data'!L$2,Subsector,'Summarized Modified Source Data'!L$3,TimeOfWeek,$D84)</f>
        <v>98113596</v>
      </c>
      <c r="M84" s="25">
        <f>SUMIFS(INDEX(Load,,MATCH('Summarized Modified Source Data'!$B84,Hour,0)),Season,'Summarized Modified Source Data'!$A84,Sector,'Summarized Modified Source Data'!M$2,Subsector,'Summarized Modified Source Data'!M$3,TimeOfWeek,$D84)</f>
        <v>0</v>
      </c>
      <c r="N84" s="25">
        <f t="shared" si="4"/>
        <v>984713531</v>
      </c>
      <c r="O84" s="25">
        <f>SUMIFS(INDEX(Load,,MATCH('Summarized Modified Source Data'!$B84,Hour,0)),Season,'Summarized Modified Source Data'!$A84,Sector,'Summarized Modified Source Data'!O$2,Subsector,"Total",TimeOfWeek,$D84)-SUM(K84:M84)</f>
        <v>984713531</v>
      </c>
      <c r="P84" s="25">
        <f t="shared" si="5"/>
        <v>984713531</v>
      </c>
      <c r="Q84" s="33" cm="1">
        <f t="array" ref="Q84">SUMIFS(INDEX(Load,,MATCH('Summarized Modified Source Data'!$B84,Hour,0)),Season,'Summarized Modified Source Data'!$A84,Sector,'Summarized Modified Source Data'!Q$2,TimeOfWeek,$D84)*LDVs</f>
        <v>9339464.3186538611</v>
      </c>
      <c r="R84" s="33" cm="1">
        <f t="array" ref="R84">SUMIFS(INDEX(Load,,MATCH('Summarized Modified Source Data'!$B84,Hour,0)),Season,'Summarized Modified Source Data'!$A84,Sector,'Summarized Modified Source Data'!R$2,TimeOfWeek,$D84)*HDVs</f>
        <v>4400810.3799469443</v>
      </c>
      <c r="S84" s="33">
        <f>SUMIFS(INDEX(Load,,MATCH('Summarized Modified Source Data'!$B84,Hour,0)),Season,'Summarized Modified Source Data'!$A84,Sector,'Summarized Modified Source Data'!S$2,TimeOfWeek,$D84)*Aircraft</f>
        <v>0</v>
      </c>
      <c r="T84" s="33">
        <f>SUMIFS(INDEX(Load,,MATCH('Summarized Modified Source Data'!$B84,Hour,0)),Season,'Summarized Modified Source Data'!$A84,Sector,'Summarized Modified Source Data'!T$2,TimeOfWeek,$D84)*Rail</f>
        <v>19159725.301399194</v>
      </c>
      <c r="U84" s="33">
        <f>SUMIFS(INDEX(Load,,MATCH('Summarized Modified Source Data'!$B84,Hour,0)),Season,'Summarized Modified Source Data'!$A84,Sector,'Summarized Modified Source Data'!U$2,TimeOfWeek,$D84)*Ships</f>
        <v>0</v>
      </c>
      <c r="V84" s="33">
        <f>SUMIFS(INDEX(Load,,MATCH('Summarized Modified Source Data'!$B84,Hour,0)),Season,'Summarized Modified Source Data'!$A84,Sector,'Summarized Modified Source Data'!V$2,TimeOfWeek,$D84)*Motorbikes</f>
        <v>0</v>
      </c>
      <c r="W84" s="25">
        <f>SUMIFS(INDEX(Load,,MATCH('Summarized Modified Source Data'!$B84,Hour,0)),Season,'Summarized Modified Source Data'!$A84,Sector,'Summarized Modified Source Data'!W$2,Subsector,'Summarized Modified Source Data'!W$3,TimeOfWeek,$D84)</f>
        <v>1354000000</v>
      </c>
      <c r="X84" s="25">
        <f>SUMIFS(INDEX(Load,,MATCH('Summarized Modified Source Data'!$B84,Hour,0)),Season,'Summarized Modified Source Data'!$A84,Sector,'Summarized Modified Source Data'!X$2,Subsector,'Summarized Modified Source Data'!X$3,TimeOfWeek,$D84)</f>
        <v>0</v>
      </c>
      <c r="Y84" s="25">
        <f>SUMIFS(INDEX(Load,,MATCH('Summarized Modified Source Data'!$B84,Hour,0)),Season,'Summarized Modified Source Data'!$A84,Sector,'Summarized Modified Source Data'!Y$2,Subsector,'Summarized Modified Source Data'!Y$3,TimeOfWeek,$D84)</f>
        <v>0</v>
      </c>
    </row>
    <row r="85" spans="1:25" outlineLevel="1" x14ac:dyDescent="0.25">
      <c r="A85" t="s">
        <v>40</v>
      </c>
      <c r="B85" t="s">
        <v>156</v>
      </c>
      <c r="C85" s="7" t="s">
        <v>8</v>
      </c>
      <c r="D85" t="s">
        <v>117</v>
      </c>
      <c r="E85" s="25">
        <f>SUMIFS(INDEX(Load,,MATCH('Summarized Modified Source Data'!$B85,Hour,0)),Season,'Summarized Modified Source Data'!$A85,Sector,'Summarized Modified Source Data'!E$2,Subsector,'Summarized Modified Source Data'!E$3,TimeOfWeek,$D85)</f>
        <v>4970020</v>
      </c>
      <c r="F85" s="25">
        <f>SUMIFS(INDEX(Load,,MATCH('Summarized Modified Source Data'!$B85,Hour,0)),Season,'Summarized Modified Source Data'!$A85,Sector,'Summarized Modified Source Data'!F$2,Subsector,'Summarized Modified Source Data'!F$3,TimeOfWeek,$D85)</f>
        <v>14710087</v>
      </c>
      <c r="G85" s="25">
        <f>SUMIFS(INDEX(Load,,MATCH('Summarized Modified Source Data'!$B85,Hour,0)),Season,'Summarized Modified Source Data'!$A85,Sector,'Summarized Modified Source Data'!G$2,Subsector,'Summarized Modified Source Data'!G$3,TimeOfWeek,$D85)</f>
        <v>0</v>
      </c>
      <c r="H85" s="25">
        <f>SUMIFS(INDEX(Load,,MATCH('Summarized Modified Source Data'!$B85,Hour,0)),Season,'Summarized Modified Source Data'!$A85,Sector,'Summarized Modified Source Data'!H$2,Subsector,'Summarized Modified Source Data'!H$3,TimeOfWeek,$D85)</f>
        <v>18949178</v>
      </c>
      <c r="I85" s="25">
        <f>SUMIFS(INDEX(Load,,MATCH('Summarized Modified Source Data'!$B85,Hour,0)),Season,'Summarized Modified Source Data'!$A85,Sector,'Summarized Modified Source Data'!I$2,Subsector,'Summarized Modified Source Data'!I$3,TimeOfWeek,$D85)</f>
        <v>23400000</v>
      </c>
      <c r="J85" s="25">
        <f t="shared" si="3"/>
        <v>23400000</v>
      </c>
      <c r="K85" s="25">
        <f>SUMIFS(INDEX(Load,,MATCH('Summarized Modified Source Data'!$B85,Hour,0)),Season,'Summarized Modified Source Data'!$A85,Sector,'Summarized Modified Source Data'!K$2,Subsector,'Summarized Modified Source Data'!K$3,TimeOfWeek,$D85)</f>
        <v>19132172</v>
      </c>
      <c r="L85" s="25">
        <f>SUMIFS(INDEX(Load,,MATCH('Summarized Modified Source Data'!$B85,Hour,0)),Season,'Summarized Modified Source Data'!$A85,Sector,'Summarized Modified Source Data'!L$2,Subsector,'Summarized Modified Source Data'!L$3,TimeOfWeek,$D85)</f>
        <v>116150262</v>
      </c>
      <c r="M85" s="25">
        <f>SUMIFS(INDEX(Load,,MATCH('Summarized Modified Source Data'!$B85,Hour,0)),Season,'Summarized Modified Source Data'!$A85,Sector,'Summarized Modified Source Data'!M$2,Subsector,'Summarized Modified Source Data'!M$3,TimeOfWeek,$D85)</f>
        <v>0</v>
      </c>
      <c r="N85" s="25">
        <f t="shared" si="4"/>
        <v>1036717566</v>
      </c>
      <c r="O85" s="25">
        <f>SUMIFS(INDEX(Load,,MATCH('Summarized Modified Source Data'!$B85,Hour,0)),Season,'Summarized Modified Source Data'!$A85,Sector,'Summarized Modified Source Data'!O$2,Subsector,"Total",TimeOfWeek,$D85)-SUM(K85:M85)</f>
        <v>1036717566</v>
      </c>
      <c r="P85" s="25">
        <f t="shared" si="5"/>
        <v>1036717566</v>
      </c>
      <c r="Q85" s="33" cm="1">
        <f t="array" ref="Q85">SUMIFS(INDEX(Load,,MATCH('Summarized Modified Source Data'!$B85,Hour,0)),Season,'Summarized Modified Source Data'!$A85,Sector,'Summarized Modified Source Data'!Q$2,TimeOfWeek,$D85)*LDVs</f>
        <v>8289129.4256745512</v>
      </c>
      <c r="R85" s="33" cm="1">
        <f t="array" ref="R85">SUMIFS(INDEX(Load,,MATCH('Summarized Modified Source Data'!$B85,Hour,0)),Season,'Summarized Modified Source Data'!$A85,Sector,'Summarized Modified Source Data'!R$2,TimeOfWeek,$D85)*HDVs</f>
        <v>3905886.4162447038</v>
      </c>
      <c r="S85" s="33">
        <f>SUMIFS(INDEX(Load,,MATCH('Summarized Modified Source Data'!$B85,Hour,0)),Season,'Summarized Modified Source Data'!$A85,Sector,'Summarized Modified Source Data'!S$2,TimeOfWeek,$D85)*Aircraft</f>
        <v>0</v>
      </c>
      <c r="T85" s="33">
        <f>SUMIFS(INDEX(Load,,MATCH('Summarized Modified Source Data'!$B85,Hour,0)),Season,'Summarized Modified Source Data'!$A85,Sector,'Summarized Modified Source Data'!T$2,TimeOfWeek,$D85)*Rail</f>
        <v>17004984.158080745</v>
      </c>
      <c r="U85" s="33">
        <f>SUMIFS(INDEX(Load,,MATCH('Summarized Modified Source Data'!$B85,Hour,0)),Season,'Summarized Modified Source Data'!$A85,Sector,'Summarized Modified Source Data'!U$2,TimeOfWeek,$D85)*Ships</f>
        <v>0</v>
      </c>
      <c r="V85" s="33">
        <f>SUMIFS(INDEX(Load,,MATCH('Summarized Modified Source Data'!$B85,Hour,0)),Season,'Summarized Modified Source Data'!$A85,Sector,'Summarized Modified Source Data'!V$2,TimeOfWeek,$D85)*Motorbikes</f>
        <v>0</v>
      </c>
      <c r="W85" s="25">
        <f>SUMIFS(INDEX(Load,,MATCH('Summarized Modified Source Data'!$B85,Hour,0)),Season,'Summarized Modified Source Data'!$A85,Sector,'Summarized Modified Source Data'!W$2,Subsector,'Summarized Modified Source Data'!W$3,TimeOfWeek,$D85)</f>
        <v>1352000000</v>
      </c>
      <c r="X85" s="25">
        <f>SUMIFS(INDEX(Load,,MATCH('Summarized Modified Source Data'!$B85,Hour,0)),Season,'Summarized Modified Source Data'!$A85,Sector,'Summarized Modified Source Data'!X$2,Subsector,'Summarized Modified Source Data'!X$3,TimeOfWeek,$D85)</f>
        <v>0</v>
      </c>
      <c r="Y85" s="25">
        <f>SUMIFS(INDEX(Load,,MATCH('Summarized Modified Source Data'!$B85,Hour,0)),Season,'Summarized Modified Source Data'!$A85,Sector,'Summarized Modified Source Data'!Y$2,Subsector,'Summarized Modified Source Data'!Y$3,TimeOfWeek,$D85)</f>
        <v>0</v>
      </c>
    </row>
    <row r="86" spans="1:25" outlineLevel="1" x14ac:dyDescent="0.25">
      <c r="A86" t="s">
        <v>40</v>
      </c>
      <c r="B86" t="s">
        <v>157</v>
      </c>
      <c r="C86" s="7" t="s">
        <v>9</v>
      </c>
      <c r="D86" t="s">
        <v>117</v>
      </c>
      <c r="E86" s="25">
        <f>SUMIFS(INDEX(Load,,MATCH('Summarized Modified Source Data'!$B86,Hour,0)),Season,'Summarized Modified Source Data'!$A86,Sector,'Summarized Modified Source Data'!E$2,Subsector,'Summarized Modified Source Data'!E$3,TimeOfWeek,$D86)</f>
        <v>5012175</v>
      </c>
      <c r="F86" s="25">
        <f>SUMIFS(INDEX(Load,,MATCH('Summarized Modified Source Data'!$B86,Hour,0)),Season,'Summarized Modified Source Data'!$A86,Sector,'Summarized Modified Source Data'!F$2,Subsector,'Summarized Modified Source Data'!F$3,TimeOfWeek,$D86)</f>
        <v>19265252</v>
      </c>
      <c r="G86" s="25">
        <f>SUMIFS(INDEX(Load,,MATCH('Summarized Modified Source Data'!$B86,Hour,0)),Season,'Summarized Modified Source Data'!$A86,Sector,'Summarized Modified Source Data'!G$2,Subsector,'Summarized Modified Source Data'!G$3,TimeOfWeek,$D86)</f>
        <v>0</v>
      </c>
      <c r="H86" s="25">
        <f>SUMIFS(INDEX(Load,,MATCH('Summarized Modified Source Data'!$B86,Hour,0)),Season,'Summarized Modified Source Data'!$A86,Sector,'Summarized Modified Source Data'!H$2,Subsector,'Summarized Modified Source Data'!H$3,TimeOfWeek,$D86)</f>
        <v>19258803</v>
      </c>
      <c r="I86" s="25">
        <f>SUMIFS(INDEX(Load,,MATCH('Summarized Modified Source Data'!$B86,Hour,0)),Season,'Summarized Modified Source Data'!$A86,Sector,'Summarized Modified Source Data'!I$2,Subsector,'Summarized Modified Source Data'!I$3,TimeOfWeek,$D86)</f>
        <v>21800000</v>
      </c>
      <c r="J86" s="25">
        <f t="shared" si="3"/>
        <v>21800000</v>
      </c>
      <c r="K86" s="25">
        <f>SUMIFS(INDEX(Load,,MATCH('Summarized Modified Source Data'!$B86,Hour,0)),Season,'Summarized Modified Source Data'!$A86,Sector,'Summarized Modified Source Data'!K$2,Subsector,'Summarized Modified Source Data'!K$3,TimeOfWeek,$D86)</f>
        <v>15361359</v>
      </c>
      <c r="L86" s="25">
        <f>SUMIFS(INDEX(Load,,MATCH('Summarized Modified Source Data'!$B86,Hour,0)),Season,'Summarized Modified Source Data'!$A86,Sector,'Summarized Modified Source Data'!L$2,Subsector,'Summarized Modified Source Data'!L$3,TimeOfWeek,$D86)</f>
        <v>129284313</v>
      </c>
      <c r="M86" s="25">
        <f>SUMIFS(INDEX(Load,,MATCH('Summarized Modified Source Data'!$B86,Hour,0)),Season,'Summarized Modified Source Data'!$A86,Sector,'Summarized Modified Source Data'!M$2,Subsector,'Summarized Modified Source Data'!M$3,TimeOfWeek,$D86)</f>
        <v>0</v>
      </c>
      <c r="N86" s="25">
        <f t="shared" si="4"/>
        <v>1032354328</v>
      </c>
      <c r="O86" s="25">
        <f>SUMIFS(INDEX(Load,,MATCH('Summarized Modified Source Data'!$B86,Hour,0)),Season,'Summarized Modified Source Data'!$A86,Sector,'Summarized Modified Source Data'!O$2,Subsector,"Total",TimeOfWeek,$D86)-SUM(K86:M86)</f>
        <v>1032354328</v>
      </c>
      <c r="P86" s="25">
        <f t="shared" si="5"/>
        <v>1032354328</v>
      </c>
      <c r="Q86" s="33" cm="1">
        <f t="array" ref="Q86">SUMIFS(INDEX(Load,,MATCH('Summarized Modified Source Data'!$B86,Hour,0)),Season,'Summarized Modified Source Data'!$A86,Sector,'Summarized Modified Source Data'!Q$2,TimeOfWeek,$D86)*LDVs</f>
        <v>6671045.9418956153</v>
      </c>
      <c r="R86" s="33" cm="1">
        <f t="array" ref="R86">SUMIFS(INDEX(Load,,MATCH('Summarized Modified Source Data'!$B86,Hour,0)),Season,'Summarized Modified Source Data'!$A86,Sector,'Summarized Modified Source Data'!R$2,TimeOfWeek,$D86)*HDVs</f>
        <v>3143435.9856763887</v>
      </c>
      <c r="S86" s="33">
        <f>SUMIFS(INDEX(Load,,MATCH('Summarized Modified Source Data'!$B86,Hour,0)),Season,'Summarized Modified Source Data'!$A86,Sector,'Summarized Modified Source Data'!S$2,TimeOfWeek,$D86)*Aircraft</f>
        <v>0</v>
      </c>
      <c r="T86" s="33">
        <f>SUMIFS(INDEX(Load,,MATCH('Summarized Modified Source Data'!$B86,Hour,0)),Season,'Summarized Modified Source Data'!$A86,Sector,'Summarized Modified Source Data'!T$2,TimeOfWeek,$D86)*Rail</f>
        <v>13685518.072427997</v>
      </c>
      <c r="U86" s="33">
        <f>SUMIFS(INDEX(Load,,MATCH('Summarized Modified Source Data'!$B86,Hour,0)),Season,'Summarized Modified Source Data'!$A86,Sector,'Summarized Modified Source Data'!U$2,TimeOfWeek,$D86)*Ships</f>
        <v>0</v>
      </c>
      <c r="V86" s="33">
        <f>SUMIFS(INDEX(Load,,MATCH('Summarized Modified Source Data'!$B86,Hour,0)),Season,'Summarized Modified Source Data'!$A86,Sector,'Summarized Modified Source Data'!V$2,TimeOfWeek,$D86)*Motorbikes</f>
        <v>0</v>
      </c>
      <c r="W86" s="25">
        <f>SUMIFS(INDEX(Load,,MATCH('Summarized Modified Source Data'!$B86,Hour,0)),Season,'Summarized Modified Source Data'!$A86,Sector,'Summarized Modified Source Data'!W$2,Subsector,'Summarized Modified Source Data'!W$3,TimeOfWeek,$D86)</f>
        <v>1346000000</v>
      </c>
      <c r="X86" s="25">
        <f>SUMIFS(INDEX(Load,,MATCH('Summarized Modified Source Data'!$B86,Hour,0)),Season,'Summarized Modified Source Data'!$A86,Sector,'Summarized Modified Source Data'!X$2,Subsector,'Summarized Modified Source Data'!X$3,TimeOfWeek,$D86)</f>
        <v>0</v>
      </c>
      <c r="Y86" s="25">
        <f>SUMIFS(INDEX(Load,,MATCH('Summarized Modified Source Data'!$B86,Hour,0)),Season,'Summarized Modified Source Data'!$A86,Sector,'Summarized Modified Source Data'!Y$2,Subsector,'Summarized Modified Source Data'!Y$3,TimeOfWeek,$D86)</f>
        <v>0</v>
      </c>
    </row>
    <row r="87" spans="1:25" outlineLevel="1" x14ac:dyDescent="0.25">
      <c r="A87" t="s">
        <v>40</v>
      </c>
      <c r="B87" t="s">
        <v>158</v>
      </c>
      <c r="C87" s="7" t="s">
        <v>10</v>
      </c>
      <c r="D87" t="s">
        <v>117</v>
      </c>
      <c r="E87" s="25">
        <f>SUMIFS(INDEX(Load,,MATCH('Summarized Modified Source Data'!$B87,Hour,0)),Season,'Summarized Modified Source Data'!$A87,Sector,'Summarized Modified Source Data'!E$2,Subsector,'Summarized Modified Source Data'!E$3,TimeOfWeek,$D87)</f>
        <v>5264486</v>
      </c>
      <c r="F87" s="25">
        <f>SUMIFS(INDEX(Load,,MATCH('Summarized Modified Source Data'!$B87,Hour,0)),Season,'Summarized Modified Source Data'!$A87,Sector,'Summarized Modified Source Data'!F$2,Subsector,'Summarized Modified Source Data'!F$3,TimeOfWeek,$D87)</f>
        <v>26313141</v>
      </c>
      <c r="G87" s="25">
        <f>SUMIFS(INDEX(Load,,MATCH('Summarized Modified Source Data'!$B87,Hour,0)),Season,'Summarized Modified Source Data'!$A87,Sector,'Summarized Modified Source Data'!G$2,Subsector,'Summarized Modified Source Data'!G$3,TimeOfWeek,$D87)</f>
        <v>0</v>
      </c>
      <c r="H87" s="25">
        <f>SUMIFS(INDEX(Load,,MATCH('Summarized Modified Source Data'!$B87,Hour,0)),Season,'Summarized Modified Source Data'!$A87,Sector,'Summarized Modified Source Data'!H$2,Subsector,'Summarized Modified Source Data'!H$3,TimeOfWeek,$D87)</f>
        <v>21100000</v>
      </c>
      <c r="I87" s="25">
        <f>SUMIFS(INDEX(Load,,MATCH('Summarized Modified Source Data'!$B87,Hour,0)),Season,'Summarized Modified Source Data'!$A87,Sector,'Summarized Modified Source Data'!I$2,Subsector,'Summarized Modified Source Data'!I$3,TimeOfWeek,$D87)</f>
        <v>18790727</v>
      </c>
      <c r="J87" s="25">
        <f t="shared" si="3"/>
        <v>18790727</v>
      </c>
      <c r="K87" s="25">
        <f>SUMIFS(INDEX(Load,,MATCH('Summarized Modified Source Data'!$B87,Hour,0)),Season,'Summarized Modified Source Data'!$A87,Sector,'Summarized Modified Source Data'!K$2,Subsector,'Summarized Modified Source Data'!K$3,TimeOfWeek,$D87)</f>
        <v>12500085</v>
      </c>
      <c r="L87" s="25">
        <f>SUMIFS(INDEX(Load,,MATCH('Summarized Modified Source Data'!$B87,Hour,0)),Season,'Summarized Modified Source Data'!$A87,Sector,'Summarized Modified Source Data'!L$2,Subsector,'Summarized Modified Source Data'!L$3,TimeOfWeek,$D87)</f>
        <v>137379330</v>
      </c>
      <c r="M87" s="25">
        <f>SUMIFS(INDEX(Load,,MATCH('Summarized Modified Source Data'!$B87,Hour,0)),Season,'Summarized Modified Source Data'!$A87,Sector,'Summarized Modified Source Data'!M$2,Subsector,'Summarized Modified Source Data'!M$3,TimeOfWeek,$D87)</f>
        <v>0</v>
      </c>
      <c r="N87" s="25">
        <f t="shared" si="4"/>
        <v>1029120585</v>
      </c>
      <c r="O87" s="25">
        <f>SUMIFS(INDEX(Load,,MATCH('Summarized Modified Source Data'!$B87,Hour,0)),Season,'Summarized Modified Source Data'!$A87,Sector,'Summarized Modified Source Data'!O$2,Subsector,"Total",TimeOfWeek,$D87)-SUM(K87:M87)</f>
        <v>1029120585</v>
      </c>
      <c r="P87" s="25">
        <f t="shared" si="5"/>
        <v>1029120585</v>
      </c>
      <c r="Q87" s="33" cm="1">
        <f t="array" ref="Q87">SUMIFS(INDEX(Load,,MATCH('Summarized Modified Source Data'!$B87,Hour,0)),Season,'Summarized Modified Source Data'!$A87,Sector,'Summarized Modified Source Data'!Q$2,TimeOfWeek,$D87)*LDVs</f>
        <v>6671045.9418956153</v>
      </c>
      <c r="R87" s="33" cm="1">
        <f t="array" ref="R87">SUMIFS(INDEX(Load,,MATCH('Summarized Modified Source Data'!$B87,Hour,0)),Season,'Summarized Modified Source Data'!$A87,Sector,'Summarized Modified Source Data'!R$2,TimeOfWeek,$D87)*HDVs</f>
        <v>3143435.9856763887</v>
      </c>
      <c r="S87" s="33">
        <f>SUMIFS(INDEX(Load,,MATCH('Summarized Modified Source Data'!$B87,Hour,0)),Season,'Summarized Modified Source Data'!$A87,Sector,'Summarized Modified Source Data'!S$2,TimeOfWeek,$D87)*Aircraft</f>
        <v>0</v>
      </c>
      <c r="T87" s="33">
        <f>SUMIFS(INDEX(Load,,MATCH('Summarized Modified Source Data'!$B87,Hour,0)),Season,'Summarized Modified Source Data'!$A87,Sector,'Summarized Modified Source Data'!T$2,TimeOfWeek,$D87)*Rail</f>
        <v>13685518.072427997</v>
      </c>
      <c r="U87" s="33">
        <f>SUMIFS(INDEX(Load,,MATCH('Summarized Modified Source Data'!$B87,Hour,0)),Season,'Summarized Modified Source Data'!$A87,Sector,'Summarized Modified Source Data'!U$2,TimeOfWeek,$D87)*Ships</f>
        <v>0</v>
      </c>
      <c r="V87" s="33">
        <f>SUMIFS(INDEX(Load,,MATCH('Summarized Modified Source Data'!$B87,Hour,0)),Season,'Summarized Modified Source Data'!$A87,Sector,'Summarized Modified Source Data'!V$2,TimeOfWeek,$D87)*Motorbikes</f>
        <v>0</v>
      </c>
      <c r="W87" s="25">
        <f>SUMIFS(INDEX(Load,,MATCH('Summarized Modified Source Data'!$B87,Hour,0)),Season,'Summarized Modified Source Data'!$A87,Sector,'Summarized Modified Source Data'!W$2,Subsector,'Summarized Modified Source Data'!W$3,TimeOfWeek,$D87)</f>
        <v>1342000000</v>
      </c>
      <c r="X87" s="25">
        <f>SUMIFS(INDEX(Load,,MATCH('Summarized Modified Source Data'!$B87,Hour,0)),Season,'Summarized Modified Source Data'!$A87,Sector,'Summarized Modified Source Data'!X$2,Subsector,'Summarized Modified Source Data'!X$3,TimeOfWeek,$D87)</f>
        <v>0</v>
      </c>
      <c r="Y87" s="25">
        <f>SUMIFS(INDEX(Load,,MATCH('Summarized Modified Source Data'!$B87,Hour,0)),Season,'Summarized Modified Source Data'!$A87,Sector,'Summarized Modified Source Data'!Y$2,Subsector,'Summarized Modified Source Data'!Y$3,TimeOfWeek,$D87)</f>
        <v>0</v>
      </c>
    </row>
    <row r="88" spans="1:25" outlineLevel="1" x14ac:dyDescent="0.25">
      <c r="A88" t="s">
        <v>40</v>
      </c>
      <c r="B88" t="s">
        <v>159</v>
      </c>
      <c r="C88" s="7" t="s">
        <v>11</v>
      </c>
      <c r="D88" t="s">
        <v>117</v>
      </c>
      <c r="E88" s="25">
        <f>SUMIFS(INDEX(Load,,MATCH('Summarized Modified Source Data'!$B88,Hour,0)),Season,'Summarized Modified Source Data'!$A88,Sector,'Summarized Modified Source Data'!E$2,Subsector,'Summarized Modified Source Data'!E$3,TimeOfWeek,$D88)</f>
        <v>5419001</v>
      </c>
      <c r="F88" s="25">
        <f>SUMIFS(INDEX(Load,,MATCH('Summarized Modified Source Data'!$B88,Hour,0)),Season,'Summarized Modified Source Data'!$A88,Sector,'Summarized Modified Source Data'!F$2,Subsector,'Summarized Modified Source Data'!F$3,TimeOfWeek,$D88)</f>
        <v>33020552</v>
      </c>
      <c r="G88" s="25">
        <f>SUMIFS(INDEX(Load,,MATCH('Summarized Modified Source Data'!$B88,Hour,0)),Season,'Summarized Modified Source Data'!$A88,Sector,'Summarized Modified Source Data'!G$2,Subsector,'Summarized Modified Source Data'!G$3,TimeOfWeek,$D88)</f>
        <v>0</v>
      </c>
      <c r="H88" s="25">
        <f>SUMIFS(INDEX(Load,,MATCH('Summarized Modified Source Data'!$B88,Hour,0)),Season,'Summarized Modified Source Data'!$A88,Sector,'Summarized Modified Source Data'!H$2,Subsector,'Summarized Modified Source Data'!H$3,TimeOfWeek,$D88)</f>
        <v>22300000</v>
      </c>
      <c r="I88" s="25">
        <f>SUMIFS(INDEX(Load,,MATCH('Summarized Modified Source Data'!$B88,Hour,0)),Season,'Summarized Modified Source Data'!$A88,Sector,'Summarized Modified Source Data'!I$2,Subsector,'Summarized Modified Source Data'!I$3,TimeOfWeek,$D88)</f>
        <v>15289656</v>
      </c>
      <c r="J88" s="25">
        <f t="shared" si="3"/>
        <v>15289656</v>
      </c>
      <c r="K88" s="25">
        <f>SUMIFS(INDEX(Load,,MATCH('Summarized Modified Source Data'!$B88,Hour,0)),Season,'Summarized Modified Source Data'!$A88,Sector,'Summarized Modified Source Data'!K$2,Subsector,'Summarized Modified Source Data'!K$3,TimeOfWeek,$D88)</f>
        <v>11178435</v>
      </c>
      <c r="L88" s="25">
        <f>SUMIFS(INDEX(Load,,MATCH('Summarized Modified Source Data'!$B88,Hour,0)),Season,'Summarized Modified Source Data'!$A88,Sector,'Summarized Modified Source Data'!L$2,Subsector,'Summarized Modified Source Data'!L$3,TimeOfWeek,$D88)</f>
        <v>139397655</v>
      </c>
      <c r="M88" s="25">
        <f>SUMIFS(INDEX(Load,,MATCH('Summarized Modified Source Data'!$B88,Hour,0)),Season,'Summarized Modified Source Data'!$A88,Sector,'Summarized Modified Source Data'!M$2,Subsector,'Summarized Modified Source Data'!M$3,TimeOfWeek,$D88)</f>
        <v>0</v>
      </c>
      <c r="N88" s="25">
        <f t="shared" si="4"/>
        <v>1013423910</v>
      </c>
      <c r="O88" s="25">
        <f>SUMIFS(INDEX(Load,,MATCH('Summarized Modified Source Data'!$B88,Hour,0)),Season,'Summarized Modified Source Data'!$A88,Sector,'Summarized Modified Source Data'!O$2,Subsector,"Total",TimeOfWeek,$D88)-SUM(K88:M88)</f>
        <v>1013423910</v>
      </c>
      <c r="P88" s="25">
        <f t="shared" si="5"/>
        <v>1013423910</v>
      </c>
      <c r="Q88" s="33" cm="1">
        <f t="array" ref="Q88">SUMIFS(INDEX(Load,,MATCH('Summarized Modified Source Data'!$B88,Hour,0)),Season,'Summarized Modified Source Data'!$A88,Sector,'Summarized Modified Source Data'!Q$2,TimeOfWeek,$D88)*LDVs</f>
        <v>6812983.0895955218</v>
      </c>
      <c r="R88" s="33" cm="1">
        <f t="array" ref="R88">SUMIFS(INDEX(Load,,MATCH('Summarized Modified Source Data'!$B88,Hour,0)),Season,'Summarized Modified Source Data'!$A88,Sector,'Summarized Modified Source Data'!R$2,TimeOfWeek,$D88)*HDVs</f>
        <v>3210317.6023929073</v>
      </c>
      <c r="S88" s="33">
        <f>SUMIFS(INDEX(Load,,MATCH('Summarized Modified Source Data'!$B88,Hour,0)),Season,'Summarized Modified Source Data'!$A88,Sector,'Summarized Modified Source Data'!S$2,TimeOfWeek,$D88)*Aircraft</f>
        <v>0</v>
      </c>
      <c r="T88" s="33">
        <f>SUMIFS(INDEX(Load,,MATCH('Summarized Modified Source Data'!$B88,Hour,0)),Season,'Summarized Modified Source Data'!$A88,Sector,'Summarized Modified Source Data'!T$2,TimeOfWeek,$D88)*Rail</f>
        <v>13976699.308011571</v>
      </c>
      <c r="U88" s="33">
        <f>SUMIFS(INDEX(Load,,MATCH('Summarized Modified Source Data'!$B88,Hour,0)),Season,'Summarized Modified Source Data'!$A88,Sector,'Summarized Modified Source Data'!U$2,TimeOfWeek,$D88)*Ships</f>
        <v>0</v>
      </c>
      <c r="V88" s="33">
        <f>SUMIFS(INDEX(Load,,MATCH('Summarized Modified Source Data'!$B88,Hour,0)),Season,'Summarized Modified Source Data'!$A88,Sector,'Summarized Modified Source Data'!V$2,TimeOfWeek,$D88)*Motorbikes</f>
        <v>0</v>
      </c>
      <c r="W88" s="25">
        <f>SUMIFS(INDEX(Load,,MATCH('Summarized Modified Source Data'!$B88,Hour,0)),Season,'Summarized Modified Source Data'!$A88,Sector,'Summarized Modified Source Data'!W$2,Subsector,'Summarized Modified Source Data'!W$3,TimeOfWeek,$D88)</f>
        <v>1338000000</v>
      </c>
      <c r="X88" s="25">
        <f>SUMIFS(INDEX(Load,,MATCH('Summarized Modified Source Data'!$B88,Hour,0)),Season,'Summarized Modified Source Data'!$A88,Sector,'Summarized Modified Source Data'!X$2,Subsector,'Summarized Modified Source Data'!X$3,TimeOfWeek,$D88)</f>
        <v>0</v>
      </c>
      <c r="Y88" s="25">
        <f>SUMIFS(INDEX(Load,,MATCH('Summarized Modified Source Data'!$B88,Hour,0)),Season,'Summarized Modified Source Data'!$A88,Sector,'Summarized Modified Source Data'!Y$2,Subsector,'Summarized Modified Source Data'!Y$3,TimeOfWeek,$D88)</f>
        <v>0</v>
      </c>
    </row>
    <row r="89" spans="1:25" outlineLevel="1" x14ac:dyDescent="0.25">
      <c r="A89" t="s">
        <v>40</v>
      </c>
      <c r="B89" t="s">
        <v>160</v>
      </c>
      <c r="C89" s="7" t="s">
        <v>12</v>
      </c>
      <c r="D89" t="s">
        <v>117</v>
      </c>
      <c r="E89" s="25">
        <f>SUMIFS(INDEX(Load,,MATCH('Summarized Modified Source Data'!$B89,Hour,0)),Season,'Summarized Modified Source Data'!$A89,Sector,'Summarized Modified Source Data'!E$2,Subsector,'Summarized Modified Source Data'!E$3,TimeOfWeek,$D89)</f>
        <v>5462471</v>
      </c>
      <c r="F89" s="25">
        <f>SUMIFS(INDEX(Load,,MATCH('Summarized Modified Source Data'!$B89,Hour,0)),Season,'Summarized Modified Source Data'!$A89,Sector,'Summarized Modified Source Data'!F$2,Subsector,'Summarized Modified Source Data'!F$3,TimeOfWeek,$D89)</f>
        <v>36979165</v>
      </c>
      <c r="G89" s="25">
        <f>SUMIFS(INDEX(Load,,MATCH('Summarized Modified Source Data'!$B89,Hour,0)),Season,'Summarized Modified Source Data'!$A89,Sector,'Summarized Modified Source Data'!G$2,Subsector,'Summarized Modified Source Data'!G$3,TimeOfWeek,$D89)</f>
        <v>0</v>
      </c>
      <c r="H89" s="25">
        <f>SUMIFS(INDEX(Load,,MATCH('Summarized Modified Source Data'!$B89,Hour,0)),Season,'Summarized Modified Source Data'!$A89,Sector,'Summarized Modified Source Data'!H$2,Subsector,'Summarized Modified Source Data'!H$3,TimeOfWeek,$D89)</f>
        <v>22500000</v>
      </c>
      <c r="I89" s="25">
        <f>SUMIFS(INDEX(Load,,MATCH('Summarized Modified Source Data'!$B89,Hour,0)),Season,'Summarized Modified Source Data'!$A89,Sector,'Summarized Modified Source Data'!I$2,Subsector,'Summarized Modified Source Data'!I$3,TimeOfWeek,$D89)</f>
        <v>13416985</v>
      </c>
      <c r="J89" s="25">
        <f t="shared" si="3"/>
        <v>13416985</v>
      </c>
      <c r="K89" s="25">
        <f>SUMIFS(INDEX(Load,,MATCH('Summarized Modified Source Data'!$B89,Hour,0)),Season,'Summarized Modified Source Data'!$A89,Sector,'Summarized Modified Source Data'!K$2,Subsector,'Summarized Modified Source Data'!K$3,TimeOfWeek,$D89)</f>
        <v>10193666</v>
      </c>
      <c r="L89" s="25">
        <f>SUMIFS(INDEX(Load,,MATCH('Summarized Modified Source Data'!$B89,Hour,0)),Season,'Summarized Modified Source Data'!$A89,Sector,'Summarized Modified Source Data'!L$2,Subsector,'Summarized Modified Source Data'!L$3,TimeOfWeek,$D89)</f>
        <v>145524426</v>
      </c>
      <c r="M89" s="25">
        <f>SUMIFS(INDEX(Load,,MATCH('Summarized Modified Source Data'!$B89,Hour,0)),Season,'Summarized Modified Source Data'!$A89,Sector,'Summarized Modified Source Data'!M$2,Subsector,'Summarized Modified Source Data'!M$3,TimeOfWeek,$D89)</f>
        <v>0</v>
      </c>
      <c r="N89" s="25">
        <f t="shared" si="4"/>
        <v>1012281908</v>
      </c>
      <c r="O89" s="25">
        <f>SUMIFS(INDEX(Load,,MATCH('Summarized Modified Source Data'!$B89,Hour,0)),Season,'Summarized Modified Source Data'!$A89,Sector,'Summarized Modified Source Data'!O$2,Subsector,"Total",TimeOfWeek,$D89)-SUM(K89:M89)</f>
        <v>1012281908</v>
      </c>
      <c r="P89" s="25">
        <f t="shared" si="5"/>
        <v>1012281908</v>
      </c>
      <c r="Q89" s="33" cm="1">
        <f t="array" ref="Q89">SUMIFS(INDEX(Load,,MATCH('Summarized Modified Source Data'!$B89,Hour,0)),Season,'Summarized Modified Source Data'!$A89,Sector,'Summarized Modified Source Data'!Q$2,TimeOfWeek,$D89)*LDVs</f>
        <v>6784595.6600555405</v>
      </c>
      <c r="R89" s="33" cm="1">
        <f t="array" ref="R89">SUMIFS(INDEX(Load,,MATCH('Summarized Modified Source Data'!$B89,Hour,0)),Season,'Summarized Modified Source Data'!$A89,Sector,'Summarized Modified Source Data'!R$2,TimeOfWeek,$D89)*HDVs</f>
        <v>3196941.2790496037</v>
      </c>
      <c r="S89" s="33">
        <f>SUMIFS(INDEX(Load,,MATCH('Summarized Modified Source Data'!$B89,Hour,0)),Season,'Summarized Modified Source Data'!$A89,Sector,'Summarized Modified Source Data'!S$2,TimeOfWeek,$D89)*Aircraft</f>
        <v>0</v>
      </c>
      <c r="T89" s="33">
        <f>SUMIFS(INDEX(Load,,MATCH('Summarized Modified Source Data'!$B89,Hour,0)),Season,'Summarized Modified Source Data'!$A89,Sector,'Summarized Modified Source Data'!T$2,TimeOfWeek,$D89)*Rail</f>
        <v>13918463.060894856</v>
      </c>
      <c r="U89" s="33">
        <f>SUMIFS(INDEX(Load,,MATCH('Summarized Modified Source Data'!$B89,Hour,0)),Season,'Summarized Modified Source Data'!$A89,Sector,'Summarized Modified Source Data'!U$2,TimeOfWeek,$D89)*Ships</f>
        <v>0</v>
      </c>
      <c r="V89" s="33">
        <f>SUMIFS(INDEX(Load,,MATCH('Summarized Modified Source Data'!$B89,Hour,0)),Season,'Summarized Modified Source Data'!$A89,Sector,'Summarized Modified Source Data'!V$2,TimeOfWeek,$D89)*Motorbikes</f>
        <v>0</v>
      </c>
      <c r="W89" s="25">
        <f>SUMIFS(INDEX(Load,,MATCH('Summarized Modified Source Data'!$B89,Hour,0)),Season,'Summarized Modified Source Data'!$A89,Sector,'Summarized Modified Source Data'!W$2,Subsector,'Summarized Modified Source Data'!W$3,TimeOfWeek,$D89)</f>
        <v>1336000000</v>
      </c>
      <c r="X89" s="25">
        <f>SUMIFS(INDEX(Load,,MATCH('Summarized Modified Source Data'!$B89,Hour,0)),Season,'Summarized Modified Source Data'!$A89,Sector,'Summarized Modified Source Data'!X$2,Subsector,'Summarized Modified Source Data'!X$3,TimeOfWeek,$D89)</f>
        <v>0</v>
      </c>
      <c r="Y89" s="25">
        <f>SUMIFS(INDEX(Load,,MATCH('Summarized Modified Source Data'!$B89,Hour,0)),Season,'Summarized Modified Source Data'!$A89,Sector,'Summarized Modified Source Data'!Y$2,Subsector,'Summarized Modified Source Data'!Y$3,TimeOfWeek,$D89)</f>
        <v>0</v>
      </c>
    </row>
    <row r="90" spans="1:25" outlineLevel="1" x14ac:dyDescent="0.25">
      <c r="A90" t="s">
        <v>40</v>
      </c>
      <c r="B90" t="s">
        <v>161</v>
      </c>
      <c r="C90" s="7" t="s">
        <v>13</v>
      </c>
      <c r="D90" t="s">
        <v>117</v>
      </c>
      <c r="E90" s="25">
        <f>SUMIFS(INDEX(Load,,MATCH('Summarized Modified Source Data'!$B90,Hour,0)),Season,'Summarized Modified Source Data'!$A90,Sector,'Summarized Modified Source Data'!E$2,Subsector,'Summarized Modified Source Data'!E$3,TimeOfWeek,$D90)</f>
        <v>5541554</v>
      </c>
      <c r="F90" s="25">
        <f>SUMIFS(INDEX(Load,,MATCH('Summarized Modified Source Data'!$B90,Hour,0)),Season,'Summarized Modified Source Data'!$A90,Sector,'Summarized Modified Source Data'!F$2,Subsector,'Summarized Modified Source Data'!F$3,TimeOfWeek,$D90)</f>
        <v>39602028</v>
      </c>
      <c r="G90" s="25">
        <f>SUMIFS(INDEX(Load,,MATCH('Summarized Modified Source Data'!$B90,Hour,0)),Season,'Summarized Modified Source Data'!$A90,Sector,'Summarized Modified Source Data'!G$2,Subsector,'Summarized Modified Source Data'!G$3,TimeOfWeek,$D90)</f>
        <v>0</v>
      </c>
      <c r="H90" s="25">
        <f>SUMIFS(INDEX(Load,,MATCH('Summarized Modified Source Data'!$B90,Hour,0)),Season,'Summarized Modified Source Data'!$A90,Sector,'Summarized Modified Source Data'!H$2,Subsector,'Summarized Modified Source Data'!H$3,TimeOfWeek,$D90)</f>
        <v>23100000</v>
      </c>
      <c r="I90" s="25">
        <f>SUMIFS(INDEX(Load,,MATCH('Summarized Modified Source Data'!$B90,Hour,0)),Season,'Summarized Modified Source Data'!$A90,Sector,'Summarized Modified Source Data'!I$2,Subsector,'Summarized Modified Source Data'!I$3,TimeOfWeek,$D90)</f>
        <v>13181993</v>
      </c>
      <c r="J90" s="25">
        <f t="shared" si="3"/>
        <v>13181993</v>
      </c>
      <c r="K90" s="25">
        <f>SUMIFS(INDEX(Load,,MATCH('Summarized Modified Source Data'!$B90,Hour,0)),Season,'Summarized Modified Source Data'!$A90,Sector,'Summarized Modified Source Data'!K$2,Subsector,'Summarized Modified Source Data'!K$3,TimeOfWeek,$D90)</f>
        <v>9486738</v>
      </c>
      <c r="L90" s="25">
        <f>SUMIFS(INDEX(Load,,MATCH('Summarized Modified Source Data'!$B90,Hour,0)),Season,'Summarized Modified Source Data'!$A90,Sector,'Summarized Modified Source Data'!L$2,Subsector,'Summarized Modified Source Data'!L$3,TimeOfWeek,$D90)</f>
        <v>148607128</v>
      </c>
      <c r="M90" s="25">
        <f>SUMIFS(INDEX(Load,,MATCH('Summarized Modified Source Data'!$B90,Hour,0)),Season,'Summarized Modified Source Data'!$A90,Sector,'Summarized Modified Source Data'!M$2,Subsector,'Summarized Modified Source Data'!M$3,TimeOfWeek,$D90)</f>
        <v>0</v>
      </c>
      <c r="N90" s="25">
        <f t="shared" si="4"/>
        <v>1012906134</v>
      </c>
      <c r="O90" s="25">
        <f>SUMIFS(INDEX(Load,,MATCH('Summarized Modified Source Data'!$B90,Hour,0)),Season,'Summarized Modified Source Data'!$A90,Sector,'Summarized Modified Source Data'!O$2,Subsector,"Total",TimeOfWeek,$D90)-SUM(K90:M90)</f>
        <v>1012906134</v>
      </c>
      <c r="P90" s="25">
        <f t="shared" si="5"/>
        <v>1012906134</v>
      </c>
      <c r="Q90" s="33" cm="1">
        <f t="array" ref="Q90">SUMIFS(INDEX(Load,,MATCH('Summarized Modified Source Data'!$B90,Hour,0)),Season,'Summarized Modified Source Data'!$A90,Sector,'Summarized Modified Source Data'!Q$2,TimeOfWeek,$D90)*LDVs</f>
        <v>6671045.9418956153</v>
      </c>
      <c r="R90" s="33" cm="1">
        <f t="array" ref="R90">SUMIFS(INDEX(Load,,MATCH('Summarized Modified Source Data'!$B90,Hour,0)),Season,'Summarized Modified Source Data'!$A90,Sector,'Summarized Modified Source Data'!R$2,TimeOfWeek,$D90)*HDVs</f>
        <v>3143435.9856763887</v>
      </c>
      <c r="S90" s="33">
        <f>SUMIFS(INDEX(Load,,MATCH('Summarized Modified Source Data'!$B90,Hour,0)),Season,'Summarized Modified Source Data'!$A90,Sector,'Summarized Modified Source Data'!S$2,TimeOfWeek,$D90)*Aircraft</f>
        <v>0</v>
      </c>
      <c r="T90" s="33">
        <f>SUMIFS(INDEX(Load,,MATCH('Summarized Modified Source Data'!$B90,Hour,0)),Season,'Summarized Modified Source Data'!$A90,Sector,'Summarized Modified Source Data'!T$2,TimeOfWeek,$D90)*Rail</f>
        <v>13685518.072427997</v>
      </c>
      <c r="U90" s="33">
        <f>SUMIFS(INDEX(Load,,MATCH('Summarized Modified Source Data'!$B90,Hour,0)),Season,'Summarized Modified Source Data'!$A90,Sector,'Summarized Modified Source Data'!U$2,TimeOfWeek,$D90)*Ships</f>
        <v>0</v>
      </c>
      <c r="V90" s="33">
        <f>SUMIFS(INDEX(Load,,MATCH('Summarized Modified Source Data'!$B90,Hour,0)),Season,'Summarized Modified Source Data'!$A90,Sector,'Summarized Modified Source Data'!V$2,TimeOfWeek,$D90)*Motorbikes</f>
        <v>0</v>
      </c>
      <c r="W90" s="25">
        <f>SUMIFS(INDEX(Load,,MATCH('Summarized Modified Source Data'!$B90,Hour,0)),Season,'Summarized Modified Source Data'!$A90,Sector,'Summarized Modified Source Data'!W$2,Subsector,'Summarized Modified Source Data'!W$3,TimeOfWeek,$D90)</f>
        <v>1338000000</v>
      </c>
      <c r="X90" s="25">
        <f>SUMIFS(INDEX(Load,,MATCH('Summarized Modified Source Data'!$B90,Hour,0)),Season,'Summarized Modified Source Data'!$A90,Sector,'Summarized Modified Source Data'!X$2,Subsector,'Summarized Modified Source Data'!X$3,TimeOfWeek,$D90)</f>
        <v>0</v>
      </c>
      <c r="Y90" s="25">
        <f>SUMIFS(INDEX(Load,,MATCH('Summarized Modified Source Data'!$B90,Hour,0)),Season,'Summarized Modified Source Data'!$A90,Sector,'Summarized Modified Source Data'!Y$2,Subsector,'Summarized Modified Source Data'!Y$3,TimeOfWeek,$D90)</f>
        <v>0</v>
      </c>
    </row>
    <row r="91" spans="1:25" outlineLevel="1" x14ac:dyDescent="0.25">
      <c r="A91" t="s">
        <v>40</v>
      </c>
      <c r="B91" t="s">
        <v>162</v>
      </c>
      <c r="C91" s="7" t="s">
        <v>14</v>
      </c>
      <c r="D91" t="s">
        <v>117</v>
      </c>
      <c r="E91" s="25">
        <f>SUMIFS(INDEX(Load,,MATCH('Summarized Modified Source Data'!$B91,Hour,0)),Season,'Summarized Modified Source Data'!$A91,Sector,'Summarized Modified Source Data'!E$2,Subsector,'Summarized Modified Source Data'!E$3,TimeOfWeek,$D91)</f>
        <v>5797007</v>
      </c>
      <c r="F91" s="25">
        <f>SUMIFS(INDEX(Load,,MATCH('Summarized Modified Source Data'!$B91,Hour,0)),Season,'Summarized Modified Source Data'!$A91,Sector,'Summarized Modified Source Data'!F$2,Subsector,'Summarized Modified Source Data'!F$3,TimeOfWeek,$D91)</f>
        <v>42087037</v>
      </c>
      <c r="G91" s="25">
        <f>SUMIFS(INDEX(Load,,MATCH('Summarized Modified Source Data'!$B91,Hour,0)),Season,'Summarized Modified Source Data'!$A91,Sector,'Summarized Modified Source Data'!G$2,Subsector,'Summarized Modified Source Data'!G$3,TimeOfWeek,$D91)</f>
        <v>0</v>
      </c>
      <c r="H91" s="25">
        <f>SUMIFS(INDEX(Load,,MATCH('Summarized Modified Source Data'!$B91,Hour,0)),Season,'Summarized Modified Source Data'!$A91,Sector,'Summarized Modified Source Data'!H$2,Subsector,'Summarized Modified Source Data'!H$3,TimeOfWeek,$D91)</f>
        <v>25000000</v>
      </c>
      <c r="I91" s="25">
        <f>SUMIFS(INDEX(Load,,MATCH('Summarized Modified Source Data'!$B91,Hour,0)),Season,'Summarized Modified Source Data'!$A91,Sector,'Summarized Modified Source Data'!I$2,Subsector,'Summarized Modified Source Data'!I$3,TimeOfWeek,$D91)</f>
        <v>13323497</v>
      </c>
      <c r="J91" s="25">
        <f t="shared" si="3"/>
        <v>13323497</v>
      </c>
      <c r="K91" s="25">
        <f>SUMIFS(INDEX(Load,,MATCH('Summarized Modified Source Data'!$B91,Hour,0)),Season,'Summarized Modified Source Data'!$A91,Sector,'Summarized Modified Source Data'!K$2,Subsector,'Summarized Modified Source Data'!K$3,TimeOfWeek,$D91)</f>
        <v>8860075</v>
      </c>
      <c r="L91" s="25">
        <f>SUMIFS(INDEX(Load,,MATCH('Summarized Modified Source Data'!$B91,Hour,0)),Season,'Summarized Modified Source Data'!$A91,Sector,'Summarized Modified Source Data'!L$2,Subsector,'Summarized Modified Source Data'!L$3,TimeOfWeek,$D91)</f>
        <v>147581799</v>
      </c>
      <c r="M91" s="25">
        <f>SUMIFS(INDEX(Load,,MATCH('Summarized Modified Source Data'!$B91,Hour,0)),Season,'Summarized Modified Source Data'!$A91,Sector,'Summarized Modified Source Data'!M$2,Subsector,'Summarized Modified Source Data'!M$3,TimeOfWeek,$D91)</f>
        <v>0</v>
      </c>
      <c r="N91" s="25">
        <f t="shared" si="4"/>
        <v>1013558126</v>
      </c>
      <c r="O91" s="25">
        <f>SUMIFS(INDEX(Load,,MATCH('Summarized Modified Source Data'!$B91,Hour,0)),Season,'Summarized Modified Source Data'!$A91,Sector,'Summarized Modified Source Data'!O$2,Subsector,"Total",TimeOfWeek,$D91)-SUM(K91:M91)</f>
        <v>1013558126</v>
      </c>
      <c r="P91" s="25">
        <f t="shared" si="5"/>
        <v>1013558126</v>
      </c>
      <c r="Q91" s="33" cm="1">
        <f t="array" ref="Q91">SUMIFS(INDEX(Load,,MATCH('Summarized Modified Source Data'!$B91,Hour,0)),Season,'Summarized Modified Source Data'!$A91,Sector,'Summarized Modified Source Data'!Q$2,TimeOfWeek,$D91)*LDVs</f>
        <v>7948480.2711947756</v>
      </c>
      <c r="R91" s="33" cm="1">
        <f t="array" ref="R91">SUMIFS(INDEX(Load,,MATCH('Summarized Modified Source Data'!$B91,Hour,0)),Season,'Summarized Modified Source Data'!$A91,Sector,'Summarized Modified Source Data'!R$2,TimeOfWeek,$D91)*HDVs</f>
        <v>3745370.5361250588</v>
      </c>
      <c r="S91" s="33">
        <f>SUMIFS(INDEX(Load,,MATCH('Summarized Modified Source Data'!$B91,Hour,0)),Season,'Summarized Modified Source Data'!$A91,Sector,'Summarized Modified Source Data'!S$2,TimeOfWeek,$D91)*Aircraft</f>
        <v>0</v>
      </c>
      <c r="T91" s="33">
        <f>SUMIFS(INDEX(Load,,MATCH('Summarized Modified Source Data'!$B91,Hour,0)),Season,'Summarized Modified Source Data'!$A91,Sector,'Summarized Modified Source Data'!T$2,TimeOfWeek,$D91)*Rail</f>
        <v>16306149.192680165</v>
      </c>
      <c r="U91" s="33">
        <f>SUMIFS(INDEX(Load,,MATCH('Summarized Modified Source Data'!$B91,Hour,0)),Season,'Summarized Modified Source Data'!$A91,Sector,'Summarized Modified Source Data'!U$2,TimeOfWeek,$D91)*Ships</f>
        <v>0</v>
      </c>
      <c r="V91" s="33">
        <f>SUMIFS(INDEX(Load,,MATCH('Summarized Modified Source Data'!$B91,Hour,0)),Season,'Summarized Modified Source Data'!$A91,Sector,'Summarized Modified Source Data'!V$2,TimeOfWeek,$D91)*Motorbikes</f>
        <v>0</v>
      </c>
      <c r="W91" s="25">
        <f>SUMIFS(INDEX(Load,,MATCH('Summarized Modified Source Data'!$B91,Hour,0)),Season,'Summarized Modified Source Data'!$A91,Sector,'Summarized Modified Source Data'!W$2,Subsector,'Summarized Modified Source Data'!W$3,TimeOfWeek,$D91)</f>
        <v>1350000000</v>
      </c>
      <c r="X91" s="25">
        <f>SUMIFS(INDEX(Load,,MATCH('Summarized Modified Source Data'!$B91,Hour,0)),Season,'Summarized Modified Source Data'!$A91,Sector,'Summarized Modified Source Data'!X$2,Subsector,'Summarized Modified Source Data'!X$3,TimeOfWeek,$D91)</f>
        <v>0</v>
      </c>
      <c r="Y91" s="25">
        <f>SUMIFS(INDEX(Load,,MATCH('Summarized Modified Source Data'!$B91,Hour,0)),Season,'Summarized Modified Source Data'!$A91,Sector,'Summarized Modified Source Data'!Y$2,Subsector,'Summarized Modified Source Data'!Y$3,TimeOfWeek,$D91)</f>
        <v>0</v>
      </c>
    </row>
    <row r="92" spans="1:25" outlineLevel="1" x14ac:dyDescent="0.25">
      <c r="A92" t="s">
        <v>40</v>
      </c>
      <c r="B92" t="s">
        <v>163</v>
      </c>
      <c r="C92" s="7" t="s">
        <v>15</v>
      </c>
      <c r="D92" t="s">
        <v>117</v>
      </c>
      <c r="E92" s="25">
        <f>SUMIFS(INDEX(Load,,MATCH('Summarized Modified Source Data'!$B92,Hour,0)),Season,'Summarized Modified Source Data'!$A92,Sector,'Summarized Modified Source Data'!E$2,Subsector,'Summarized Modified Source Data'!E$3,TimeOfWeek,$D92)</f>
        <v>6104824</v>
      </c>
      <c r="F92" s="25">
        <f>SUMIFS(INDEX(Load,,MATCH('Summarized Modified Source Data'!$B92,Hour,0)),Season,'Summarized Modified Source Data'!$A92,Sector,'Summarized Modified Source Data'!F$2,Subsector,'Summarized Modified Source Data'!F$3,TimeOfWeek,$D92)</f>
        <v>42411023</v>
      </c>
      <c r="G92" s="25">
        <f>SUMIFS(INDEX(Load,,MATCH('Summarized Modified Source Data'!$B92,Hour,0)),Season,'Summarized Modified Source Data'!$A92,Sector,'Summarized Modified Source Data'!G$2,Subsector,'Summarized Modified Source Data'!G$3,TimeOfWeek,$D92)</f>
        <v>0</v>
      </c>
      <c r="H92" s="25">
        <f>SUMIFS(INDEX(Load,,MATCH('Summarized Modified Source Data'!$B92,Hour,0)),Season,'Summarized Modified Source Data'!$A92,Sector,'Summarized Modified Source Data'!H$2,Subsector,'Summarized Modified Source Data'!H$3,TimeOfWeek,$D92)</f>
        <v>30500000</v>
      </c>
      <c r="I92" s="25">
        <f>SUMIFS(INDEX(Load,,MATCH('Summarized Modified Source Data'!$B92,Hour,0)),Season,'Summarized Modified Source Data'!$A92,Sector,'Summarized Modified Source Data'!I$2,Subsector,'Summarized Modified Source Data'!I$3,TimeOfWeek,$D92)</f>
        <v>16104857</v>
      </c>
      <c r="J92" s="25">
        <f t="shared" si="3"/>
        <v>16104857</v>
      </c>
      <c r="K92" s="25">
        <f>SUMIFS(INDEX(Load,,MATCH('Summarized Modified Source Data'!$B92,Hour,0)),Season,'Summarized Modified Source Data'!$A92,Sector,'Summarized Modified Source Data'!K$2,Subsector,'Summarized Modified Source Data'!K$3,TimeOfWeek,$D92)</f>
        <v>8289199</v>
      </c>
      <c r="L92" s="25">
        <f>SUMIFS(INDEX(Load,,MATCH('Summarized Modified Source Data'!$B92,Hour,0)),Season,'Summarized Modified Source Data'!$A92,Sector,'Summarized Modified Source Data'!L$2,Subsector,'Summarized Modified Source Data'!L$3,TimeOfWeek,$D92)</f>
        <v>142459724</v>
      </c>
      <c r="M92" s="25">
        <f>SUMIFS(INDEX(Load,,MATCH('Summarized Modified Source Data'!$B92,Hour,0)),Season,'Summarized Modified Source Data'!$A92,Sector,'Summarized Modified Source Data'!M$2,Subsector,'Summarized Modified Source Data'!M$3,TimeOfWeek,$D92)</f>
        <v>0</v>
      </c>
      <c r="N92" s="25">
        <f t="shared" si="4"/>
        <v>980251077</v>
      </c>
      <c r="O92" s="25">
        <f>SUMIFS(INDEX(Load,,MATCH('Summarized Modified Source Data'!$B92,Hour,0)),Season,'Summarized Modified Source Data'!$A92,Sector,'Summarized Modified Source Data'!O$2,Subsector,"Total",TimeOfWeek,$D92)-SUM(K92:M92)</f>
        <v>980251077</v>
      </c>
      <c r="P92" s="25">
        <f t="shared" si="5"/>
        <v>980251077</v>
      </c>
      <c r="Q92" s="33" cm="1">
        <f t="array" ref="Q92">SUMIFS(INDEX(Load,,MATCH('Summarized Modified Source Data'!$B92,Hour,0)),Season,'Summarized Modified Source Data'!$A92,Sector,'Summarized Modified Source Data'!Q$2,TimeOfWeek,$D92)*LDVs</f>
        <v>9169139.7414139733</v>
      </c>
      <c r="R92" s="33" cm="1">
        <f t="array" ref="R92">SUMIFS(INDEX(Load,,MATCH('Summarized Modified Source Data'!$B92,Hour,0)),Season,'Summarized Modified Source Data'!$A92,Sector,'Summarized Modified Source Data'!R$2,TimeOfWeek,$D92)*HDVs</f>
        <v>4320552.4398871213</v>
      </c>
      <c r="S92" s="33">
        <f>SUMIFS(INDEX(Load,,MATCH('Summarized Modified Source Data'!$B92,Hour,0)),Season,'Summarized Modified Source Data'!$A92,Sector,'Summarized Modified Source Data'!S$2,TimeOfWeek,$D92)*Aircraft</f>
        <v>0</v>
      </c>
      <c r="T92" s="33">
        <f>SUMIFS(INDEX(Load,,MATCH('Summarized Modified Source Data'!$B92,Hour,0)),Season,'Summarized Modified Source Data'!$A92,Sector,'Summarized Modified Source Data'!T$2,TimeOfWeek,$D92)*Rail</f>
        <v>18810307.818698905</v>
      </c>
      <c r="U92" s="33">
        <f>SUMIFS(INDEX(Load,,MATCH('Summarized Modified Source Data'!$B92,Hour,0)),Season,'Summarized Modified Source Data'!$A92,Sector,'Summarized Modified Source Data'!U$2,TimeOfWeek,$D92)*Ships</f>
        <v>0</v>
      </c>
      <c r="V92" s="33">
        <f>SUMIFS(INDEX(Load,,MATCH('Summarized Modified Source Data'!$B92,Hour,0)),Season,'Summarized Modified Source Data'!$A92,Sector,'Summarized Modified Source Data'!V$2,TimeOfWeek,$D92)*Motorbikes</f>
        <v>0</v>
      </c>
      <c r="W92" s="25">
        <f>SUMIFS(INDEX(Load,,MATCH('Summarized Modified Source Data'!$B92,Hour,0)),Season,'Summarized Modified Source Data'!$A92,Sector,'Summarized Modified Source Data'!W$2,Subsector,'Summarized Modified Source Data'!W$3,TimeOfWeek,$D92)</f>
        <v>1363000000</v>
      </c>
      <c r="X92" s="25">
        <f>SUMIFS(INDEX(Load,,MATCH('Summarized Modified Source Data'!$B92,Hour,0)),Season,'Summarized Modified Source Data'!$A92,Sector,'Summarized Modified Source Data'!X$2,Subsector,'Summarized Modified Source Data'!X$3,TimeOfWeek,$D92)</f>
        <v>0</v>
      </c>
      <c r="Y92" s="25">
        <f>SUMIFS(INDEX(Load,,MATCH('Summarized Modified Source Data'!$B92,Hour,0)),Season,'Summarized Modified Source Data'!$A92,Sector,'Summarized Modified Source Data'!Y$2,Subsector,'Summarized Modified Source Data'!Y$3,TimeOfWeek,$D92)</f>
        <v>0</v>
      </c>
    </row>
    <row r="93" spans="1:25" outlineLevel="1" x14ac:dyDescent="0.25">
      <c r="A93" t="s">
        <v>40</v>
      </c>
      <c r="B93" t="s">
        <v>164</v>
      </c>
      <c r="C93" s="7" t="s">
        <v>16</v>
      </c>
      <c r="D93" t="s">
        <v>117</v>
      </c>
      <c r="E93" s="25">
        <f>SUMIFS(INDEX(Load,,MATCH('Summarized Modified Source Data'!$B93,Hour,0)),Season,'Summarized Modified Source Data'!$A93,Sector,'Summarized Modified Source Data'!E$2,Subsector,'Summarized Modified Source Data'!E$3,TimeOfWeek,$D93)</f>
        <v>6443008</v>
      </c>
      <c r="F93" s="25">
        <f>SUMIFS(INDEX(Load,,MATCH('Summarized Modified Source Data'!$B93,Hour,0)),Season,'Summarized Modified Source Data'!$A93,Sector,'Summarized Modified Source Data'!F$2,Subsector,'Summarized Modified Source Data'!F$3,TimeOfWeek,$D93)</f>
        <v>40331468</v>
      </c>
      <c r="G93" s="25">
        <f>SUMIFS(INDEX(Load,,MATCH('Summarized Modified Source Data'!$B93,Hour,0)),Season,'Summarized Modified Source Data'!$A93,Sector,'Summarized Modified Source Data'!G$2,Subsector,'Summarized Modified Source Data'!G$3,TimeOfWeek,$D93)</f>
        <v>0</v>
      </c>
      <c r="H93" s="25">
        <f>SUMIFS(INDEX(Load,,MATCH('Summarized Modified Source Data'!$B93,Hour,0)),Season,'Summarized Modified Source Data'!$A93,Sector,'Summarized Modified Source Data'!H$2,Subsector,'Summarized Modified Source Data'!H$3,TimeOfWeek,$D93)</f>
        <v>79900000</v>
      </c>
      <c r="I93" s="25">
        <f>SUMIFS(INDEX(Load,,MATCH('Summarized Modified Source Data'!$B93,Hour,0)),Season,'Summarized Modified Source Data'!$A93,Sector,'Summarized Modified Source Data'!I$2,Subsector,'Summarized Modified Source Data'!I$3,TimeOfWeek,$D93)</f>
        <v>20346103</v>
      </c>
      <c r="J93" s="25">
        <f t="shared" si="3"/>
        <v>20346103</v>
      </c>
      <c r="K93" s="25">
        <f>SUMIFS(INDEX(Load,,MATCH('Summarized Modified Source Data'!$B93,Hour,0)),Season,'Summarized Modified Source Data'!$A93,Sector,'Summarized Modified Source Data'!K$2,Subsector,'Summarized Modified Source Data'!K$3,TimeOfWeek,$D93)</f>
        <v>9548668</v>
      </c>
      <c r="L93" s="25">
        <f>SUMIFS(INDEX(Load,,MATCH('Summarized Modified Source Data'!$B93,Hour,0)),Season,'Summarized Modified Source Data'!$A93,Sector,'Summarized Modified Source Data'!L$2,Subsector,'Summarized Modified Source Data'!L$3,TimeOfWeek,$D93)</f>
        <v>132250802</v>
      </c>
      <c r="M93" s="25">
        <f>SUMIFS(INDEX(Load,,MATCH('Summarized Modified Source Data'!$B93,Hour,0)),Season,'Summarized Modified Source Data'!$A93,Sector,'Summarized Modified Source Data'!M$2,Subsector,'Summarized Modified Source Data'!M$3,TimeOfWeek,$D93)</f>
        <v>0</v>
      </c>
      <c r="N93" s="25">
        <f t="shared" si="4"/>
        <v>921200530</v>
      </c>
      <c r="O93" s="25">
        <f>SUMIFS(INDEX(Load,,MATCH('Summarized Modified Source Data'!$B93,Hour,0)),Season,'Summarized Modified Source Data'!$A93,Sector,'Summarized Modified Source Data'!O$2,Subsector,"Total",TimeOfWeek,$D93)-SUM(K93:M93)</f>
        <v>921200530</v>
      </c>
      <c r="P93" s="25">
        <f t="shared" si="5"/>
        <v>921200530</v>
      </c>
      <c r="Q93" s="33" cm="1">
        <f t="array" ref="Q93">SUMIFS(INDEX(Load,,MATCH('Summarized Modified Source Data'!$B93,Hour,0)),Season,'Summarized Modified Source Data'!$A93,Sector,'Summarized Modified Source Data'!Q$2,TimeOfWeek,$D93)*LDVs</f>
        <v>9680113.4731336366</v>
      </c>
      <c r="R93" s="33" cm="1">
        <f t="array" ref="R93">SUMIFS(INDEX(Load,,MATCH('Summarized Modified Source Data'!$B93,Hour,0)),Season,'Summarized Modified Source Data'!$A93,Sector,'Summarized Modified Source Data'!R$2,TimeOfWeek,$D93)*HDVs</f>
        <v>4561326.2600665893</v>
      </c>
      <c r="S93" s="33">
        <f>SUMIFS(INDEX(Load,,MATCH('Summarized Modified Source Data'!$B93,Hour,0)),Season,'Summarized Modified Source Data'!$A93,Sector,'Summarized Modified Source Data'!S$2,TimeOfWeek,$D93)*Aircraft</f>
        <v>0</v>
      </c>
      <c r="T93" s="33">
        <f>SUMIFS(INDEX(Load,,MATCH('Summarized Modified Source Data'!$B93,Hour,0)),Season,'Summarized Modified Source Data'!$A93,Sector,'Summarized Modified Source Data'!T$2,TimeOfWeek,$D93)*Rail</f>
        <v>19858560.266799774</v>
      </c>
      <c r="U93" s="33">
        <f>SUMIFS(INDEX(Load,,MATCH('Summarized Modified Source Data'!$B93,Hour,0)),Season,'Summarized Modified Source Data'!$A93,Sector,'Summarized Modified Source Data'!U$2,TimeOfWeek,$D93)*Ships</f>
        <v>0</v>
      </c>
      <c r="V93" s="33">
        <f>SUMIFS(INDEX(Load,,MATCH('Summarized Modified Source Data'!$B93,Hour,0)),Season,'Summarized Modified Source Data'!$A93,Sector,'Summarized Modified Source Data'!V$2,TimeOfWeek,$D93)*Motorbikes</f>
        <v>0</v>
      </c>
      <c r="W93" s="25">
        <f>SUMIFS(INDEX(Load,,MATCH('Summarized Modified Source Data'!$B93,Hour,0)),Season,'Summarized Modified Source Data'!$A93,Sector,'Summarized Modified Source Data'!W$2,Subsector,'Summarized Modified Source Data'!W$3,TimeOfWeek,$D93)</f>
        <v>1366000000</v>
      </c>
      <c r="X93" s="25">
        <f>SUMIFS(INDEX(Load,,MATCH('Summarized Modified Source Data'!$B93,Hour,0)),Season,'Summarized Modified Source Data'!$A93,Sector,'Summarized Modified Source Data'!X$2,Subsector,'Summarized Modified Source Data'!X$3,TimeOfWeek,$D93)</f>
        <v>0</v>
      </c>
      <c r="Y93" s="25">
        <f>SUMIFS(INDEX(Load,,MATCH('Summarized Modified Source Data'!$B93,Hour,0)),Season,'Summarized Modified Source Data'!$A93,Sector,'Summarized Modified Source Data'!Y$2,Subsector,'Summarized Modified Source Data'!Y$3,TimeOfWeek,$D93)</f>
        <v>0</v>
      </c>
    </row>
    <row r="94" spans="1:25" outlineLevel="1" x14ac:dyDescent="0.25">
      <c r="A94" t="s">
        <v>40</v>
      </c>
      <c r="B94" t="s">
        <v>165</v>
      </c>
      <c r="C94" s="7" t="s">
        <v>17</v>
      </c>
      <c r="D94" t="s">
        <v>117</v>
      </c>
      <c r="E94" s="25">
        <f>SUMIFS(INDEX(Load,,MATCH('Summarized Modified Source Data'!$B94,Hour,0)),Season,'Summarized Modified Source Data'!$A94,Sector,'Summarized Modified Source Data'!E$2,Subsector,'Summarized Modified Source Data'!E$3,TimeOfWeek,$D94)</f>
        <v>6827648</v>
      </c>
      <c r="F94" s="25">
        <f>SUMIFS(INDEX(Load,,MATCH('Summarized Modified Source Data'!$B94,Hour,0)),Season,'Summarized Modified Source Data'!$A94,Sector,'Summarized Modified Source Data'!F$2,Subsector,'Summarized Modified Source Data'!F$3,TimeOfWeek,$D94)</f>
        <v>36423827</v>
      </c>
      <c r="G94" s="25">
        <f>SUMIFS(INDEX(Load,,MATCH('Summarized Modified Source Data'!$B94,Hour,0)),Season,'Summarized Modified Source Data'!$A94,Sector,'Summarized Modified Source Data'!G$2,Subsector,'Summarized Modified Source Data'!G$3,TimeOfWeek,$D94)</f>
        <v>0</v>
      </c>
      <c r="H94" s="25">
        <f>SUMIFS(INDEX(Load,,MATCH('Summarized Modified Source Data'!$B94,Hour,0)),Season,'Summarized Modified Source Data'!$A94,Sector,'Summarized Modified Source Data'!H$2,Subsector,'Summarized Modified Source Data'!H$3,TimeOfWeek,$D94)</f>
        <v>108600000</v>
      </c>
      <c r="I94" s="25">
        <f>SUMIFS(INDEX(Load,,MATCH('Summarized Modified Source Data'!$B94,Hour,0)),Season,'Summarized Modified Source Data'!$A94,Sector,'Summarized Modified Source Data'!I$2,Subsector,'Summarized Modified Source Data'!I$3,TimeOfWeek,$D94)</f>
        <v>26200000</v>
      </c>
      <c r="J94" s="25">
        <f t="shared" si="3"/>
        <v>26200000</v>
      </c>
      <c r="K94" s="25">
        <f>SUMIFS(INDEX(Load,,MATCH('Summarized Modified Source Data'!$B94,Hour,0)),Season,'Summarized Modified Source Data'!$A94,Sector,'Summarized Modified Source Data'!K$2,Subsector,'Summarized Modified Source Data'!K$3,TimeOfWeek,$D94)</f>
        <v>11835695</v>
      </c>
      <c r="L94" s="25">
        <f>SUMIFS(INDEX(Load,,MATCH('Summarized Modified Source Data'!$B94,Hour,0)),Season,'Summarized Modified Source Data'!$A94,Sector,'Summarized Modified Source Data'!L$2,Subsector,'Summarized Modified Source Data'!L$3,TimeOfWeek,$D94)</f>
        <v>121092511</v>
      </c>
      <c r="M94" s="25">
        <f>SUMIFS(INDEX(Load,,MATCH('Summarized Modified Source Data'!$B94,Hour,0)),Season,'Summarized Modified Source Data'!$A94,Sector,'Summarized Modified Source Data'!M$2,Subsector,'Summarized Modified Source Data'!M$3,TimeOfWeek,$D94)</f>
        <v>0</v>
      </c>
      <c r="N94" s="25">
        <f t="shared" si="4"/>
        <v>875071794</v>
      </c>
      <c r="O94" s="25">
        <f>SUMIFS(INDEX(Load,,MATCH('Summarized Modified Source Data'!$B94,Hour,0)),Season,'Summarized Modified Source Data'!$A94,Sector,'Summarized Modified Source Data'!O$2,Subsector,"Total",TimeOfWeek,$D94)-SUM(K94:M94)</f>
        <v>875071794</v>
      </c>
      <c r="P94" s="25">
        <f t="shared" si="5"/>
        <v>875071794</v>
      </c>
      <c r="Q94" s="33" cm="1">
        <f t="array" ref="Q94">SUMIFS(INDEX(Load,,MATCH('Summarized Modified Source Data'!$B94,Hour,0)),Season,'Summarized Modified Source Data'!$A94,Sector,'Summarized Modified Source Data'!Q$2,TimeOfWeek,$D94)*LDVs</f>
        <v>8913652.8755541407</v>
      </c>
      <c r="R94" s="33" cm="1">
        <f t="array" ref="R94">SUMIFS(INDEX(Load,,MATCH('Summarized Modified Source Data'!$B94,Hour,0)),Season,'Summarized Modified Source Data'!$A94,Sector,'Summarized Modified Source Data'!R$2,TimeOfWeek,$D94)*HDVs</f>
        <v>4200165.5297973873</v>
      </c>
      <c r="S94" s="33">
        <f>SUMIFS(INDEX(Load,,MATCH('Summarized Modified Source Data'!$B94,Hour,0)),Season,'Summarized Modified Source Data'!$A94,Sector,'Summarized Modified Source Data'!S$2,TimeOfWeek,$D94)*Aircraft</f>
        <v>0</v>
      </c>
      <c r="T94" s="33">
        <f>SUMIFS(INDEX(Load,,MATCH('Summarized Modified Source Data'!$B94,Hour,0)),Season,'Summarized Modified Source Data'!$A94,Sector,'Summarized Modified Source Data'!T$2,TimeOfWeek,$D94)*Rail</f>
        <v>18286181.594648473</v>
      </c>
      <c r="U94" s="33">
        <f>SUMIFS(INDEX(Load,,MATCH('Summarized Modified Source Data'!$B94,Hour,0)),Season,'Summarized Modified Source Data'!$A94,Sector,'Summarized Modified Source Data'!U$2,TimeOfWeek,$D94)*Ships</f>
        <v>0</v>
      </c>
      <c r="V94" s="33">
        <f>SUMIFS(INDEX(Load,,MATCH('Summarized Modified Source Data'!$B94,Hour,0)),Season,'Summarized Modified Source Data'!$A94,Sector,'Summarized Modified Source Data'!V$2,TimeOfWeek,$D94)*Motorbikes</f>
        <v>0</v>
      </c>
      <c r="W94" s="25">
        <f>SUMIFS(INDEX(Load,,MATCH('Summarized Modified Source Data'!$B94,Hour,0)),Season,'Summarized Modified Source Data'!$A94,Sector,'Summarized Modified Source Data'!W$2,Subsector,'Summarized Modified Source Data'!W$3,TimeOfWeek,$D94)</f>
        <v>1359000000</v>
      </c>
      <c r="X94" s="25">
        <f>SUMIFS(INDEX(Load,,MATCH('Summarized Modified Source Data'!$B94,Hour,0)),Season,'Summarized Modified Source Data'!$A94,Sector,'Summarized Modified Source Data'!X$2,Subsector,'Summarized Modified Source Data'!X$3,TimeOfWeek,$D94)</f>
        <v>0</v>
      </c>
      <c r="Y94" s="25">
        <f>SUMIFS(INDEX(Load,,MATCH('Summarized Modified Source Data'!$B94,Hour,0)),Season,'Summarized Modified Source Data'!$A94,Sector,'Summarized Modified Source Data'!Y$2,Subsector,'Summarized Modified Source Data'!Y$3,TimeOfWeek,$D94)</f>
        <v>0</v>
      </c>
    </row>
    <row r="95" spans="1:25" outlineLevel="1" x14ac:dyDescent="0.25">
      <c r="A95" t="s">
        <v>40</v>
      </c>
      <c r="B95" t="s">
        <v>166</v>
      </c>
      <c r="C95" s="7" t="s">
        <v>18</v>
      </c>
      <c r="D95" t="s">
        <v>117</v>
      </c>
      <c r="E95" s="25">
        <f>SUMIFS(INDEX(Load,,MATCH('Summarized Modified Source Data'!$B95,Hour,0)),Season,'Summarized Modified Source Data'!$A95,Sector,'Summarized Modified Source Data'!E$2,Subsector,'Summarized Modified Source Data'!E$3,TimeOfWeek,$D95)</f>
        <v>7166848</v>
      </c>
      <c r="F95" s="25">
        <f>SUMIFS(INDEX(Load,,MATCH('Summarized Modified Source Data'!$B95,Hour,0)),Season,'Summarized Modified Source Data'!$A95,Sector,'Summarized Modified Source Data'!F$2,Subsector,'Summarized Modified Source Data'!F$3,TimeOfWeek,$D95)</f>
        <v>30420837</v>
      </c>
      <c r="G95" s="25">
        <f>SUMIFS(INDEX(Load,,MATCH('Summarized Modified Source Data'!$B95,Hour,0)),Season,'Summarized Modified Source Data'!$A95,Sector,'Summarized Modified Source Data'!G$2,Subsector,'Summarized Modified Source Data'!G$3,TimeOfWeek,$D95)</f>
        <v>0</v>
      </c>
      <c r="H95" s="25">
        <f>SUMIFS(INDEX(Load,,MATCH('Summarized Modified Source Data'!$B95,Hour,0)),Season,'Summarized Modified Source Data'!$A95,Sector,'Summarized Modified Source Data'!H$2,Subsector,'Summarized Modified Source Data'!H$3,TimeOfWeek,$D95)</f>
        <v>117000000</v>
      </c>
      <c r="I95" s="25">
        <f>SUMIFS(INDEX(Load,,MATCH('Summarized Modified Source Data'!$B95,Hour,0)),Season,'Summarized Modified Source Data'!$A95,Sector,'Summarized Modified Source Data'!I$2,Subsector,'Summarized Modified Source Data'!I$3,TimeOfWeek,$D95)</f>
        <v>26200000</v>
      </c>
      <c r="J95" s="25">
        <f t="shared" si="3"/>
        <v>26200000</v>
      </c>
      <c r="K95" s="25">
        <f>SUMIFS(INDEX(Load,,MATCH('Summarized Modified Source Data'!$B95,Hour,0)),Season,'Summarized Modified Source Data'!$A95,Sector,'Summarized Modified Source Data'!K$2,Subsector,'Summarized Modified Source Data'!K$3,TimeOfWeek,$D95)</f>
        <v>14182673</v>
      </c>
      <c r="L95" s="25">
        <f>SUMIFS(INDEX(Load,,MATCH('Summarized Modified Source Data'!$B95,Hour,0)),Season,'Summarized Modified Source Data'!$A95,Sector,'Summarized Modified Source Data'!L$2,Subsector,'Summarized Modified Source Data'!L$3,TimeOfWeek,$D95)</f>
        <v>107949339</v>
      </c>
      <c r="M95" s="25">
        <f>SUMIFS(INDEX(Load,,MATCH('Summarized Modified Source Data'!$B95,Hour,0)),Season,'Summarized Modified Source Data'!$A95,Sector,'Summarized Modified Source Data'!M$2,Subsector,'Summarized Modified Source Data'!M$3,TimeOfWeek,$D95)</f>
        <v>0</v>
      </c>
      <c r="N95" s="25">
        <f t="shared" si="4"/>
        <v>731867988</v>
      </c>
      <c r="O95" s="25">
        <f>SUMIFS(INDEX(Load,,MATCH('Summarized Modified Source Data'!$B95,Hour,0)),Season,'Summarized Modified Source Data'!$A95,Sector,'Summarized Modified Source Data'!O$2,Subsector,"Total",TimeOfWeek,$D95)-SUM(K95:M95)</f>
        <v>731867988</v>
      </c>
      <c r="P95" s="25">
        <f t="shared" si="5"/>
        <v>731867988</v>
      </c>
      <c r="Q95" s="33" cm="1">
        <f t="array" ref="Q95">SUMIFS(INDEX(Load,,MATCH('Summarized Modified Source Data'!$B95,Hour,0)),Season,'Summarized Modified Source Data'!$A95,Sector,'Summarized Modified Source Data'!Q$2,TimeOfWeek,$D95)*LDVs</f>
        <v>7267181.9622352235</v>
      </c>
      <c r="R95" s="33" cm="1">
        <f t="array" ref="R95">SUMIFS(INDEX(Load,,MATCH('Summarized Modified Source Data'!$B95,Hour,0)),Season,'Summarized Modified Source Data'!$A95,Sector,'Summarized Modified Source Data'!R$2,TimeOfWeek,$D95)*HDVs</f>
        <v>3424338.7758857678</v>
      </c>
      <c r="S95" s="33">
        <f>SUMIFS(INDEX(Load,,MATCH('Summarized Modified Source Data'!$B95,Hour,0)),Season,'Summarized Modified Source Data'!$A95,Sector,'Summarized Modified Source Data'!S$2,TimeOfWeek,$D95)*Aircraft</f>
        <v>0</v>
      </c>
      <c r="T95" s="33">
        <f>SUMIFS(INDEX(Load,,MATCH('Summarized Modified Source Data'!$B95,Hour,0)),Season,'Summarized Modified Source Data'!$A95,Sector,'Summarized Modified Source Data'!T$2,TimeOfWeek,$D95)*Rail</f>
        <v>14908479.261879008</v>
      </c>
      <c r="U95" s="33">
        <f>SUMIFS(INDEX(Load,,MATCH('Summarized Modified Source Data'!$B95,Hour,0)),Season,'Summarized Modified Source Data'!$A95,Sector,'Summarized Modified Source Data'!U$2,TimeOfWeek,$D95)*Ships</f>
        <v>0</v>
      </c>
      <c r="V95" s="33">
        <f>SUMIFS(INDEX(Load,,MATCH('Summarized Modified Source Data'!$B95,Hour,0)),Season,'Summarized Modified Source Data'!$A95,Sector,'Summarized Modified Source Data'!V$2,TimeOfWeek,$D95)*Motorbikes</f>
        <v>0</v>
      </c>
      <c r="W95" s="25">
        <f>SUMIFS(INDEX(Load,,MATCH('Summarized Modified Source Data'!$B95,Hour,0)),Season,'Summarized Modified Source Data'!$A95,Sector,'Summarized Modified Source Data'!W$2,Subsector,'Summarized Modified Source Data'!W$3,TimeOfWeek,$D95)</f>
        <v>1350000000</v>
      </c>
      <c r="X95" s="25">
        <f>SUMIFS(INDEX(Load,,MATCH('Summarized Modified Source Data'!$B95,Hour,0)),Season,'Summarized Modified Source Data'!$A95,Sector,'Summarized Modified Source Data'!X$2,Subsector,'Summarized Modified Source Data'!X$3,TimeOfWeek,$D95)</f>
        <v>0</v>
      </c>
      <c r="Y95" s="25">
        <f>SUMIFS(INDEX(Load,,MATCH('Summarized Modified Source Data'!$B95,Hour,0)),Season,'Summarized Modified Source Data'!$A95,Sector,'Summarized Modified Source Data'!Y$2,Subsector,'Summarized Modified Source Data'!Y$3,TimeOfWeek,$D95)</f>
        <v>0</v>
      </c>
    </row>
    <row r="96" spans="1:25" outlineLevel="1" x14ac:dyDescent="0.25">
      <c r="A96" t="s">
        <v>40</v>
      </c>
      <c r="B96" t="s">
        <v>167</v>
      </c>
      <c r="C96" s="7" t="s">
        <v>19</v>
      </c>
      <c r="D96" t="s">
        <v>117</v>
      </c>
      <c r="E96" s="25">
        <f>SUMIFS(INDEX(Load,,MATCH('Summarized Modified Source Data'!$B96,Hour,0)),Season,'Summarized Modified Source Data'!$A96,Sector,'Summarized Modified Source Data'!E$2,Subsector,'Summarized Modified Source Data'!E$3,TimeOfWeek,$D96)</f>
        <v>7242025</v>
      </c>
      <c r="F96" s="25">
        <f>SUMIFS(INDEX(Load,,MATCH('Summarized Modified Source Data'!$B96,Hour,0)),Season,'Summarized Modified Source Data'!$A96,Sector,'Summarized Modified Source Data'!F$2,Subsector,'Summarized Modified Source Data'!F$3,TimeOfWeek,$D96)</f>
        <v>22202515</v>
      </c>
      <c r="G96" s="25">
        <f>SUMIFS(INDEX(Load,,MATCH('Summarized Modified Source Data'!$B96,Hour,0)),Season,'Summarized Modified Source Data'!$A96,Sector,'Summarized Modified Source Data'!G$2,Subsector,'Summarized Modified Source Data'!G$3,TimeOfWeek,$D96)</f>
        <v>0</v>
      </c>
      <c r="H96" s="25">
        <f>SUMIFS(INDEX(Load,,MATCH('Summarized Modified Source Data'!$B96,Hour,0)),Season,'Summarized Modified Source Data'!$A96,Sector,'Summarized Modified Source Data'!H$2,Subsector,'Summarized Modified Source Data'!H$3,TimeOfWeek,$D96)</f>
        <v>118800000</v>
      </c>
      <c r="I96" s="25">
        <f>SUMIFS(INDEX(Load,,MATCH('Summarized Modified Source Data'!$B96,Hour,0)),Season,'Summarized Modified Source Data'!$A96,Sector,'Summarized Modified Source Data'!I$2,Subsector,'Summarized Modified Source Data'!I$3,TimeOfWeek,$D96)</f>
        <v>23600000</v>
      </c>
      <c r="J96" s="25">
        <f t="shared" si="3"/>
        <v>23600000</v>
      </c>
      <c r="K96" s="25">
        <f>SUMIFS(INDEX(Load,,MATCH('Summarized Modified Source Data'!$B96,Hour,0)),Season,'Summarized Modified Source Data'!$A96,Sector,'Summarized Modified Source Data'!K$2,Subsector,'Summarized Modified Source Data'!K$3,TimeOfWeek,$D96)</f>
        <v>17624551</v>
      </c>
      <c r="L96" s="25">
        <f>SUMIFS(INDEX(Load,,MATCH('Summarized Modified Source Data'!$B96,Hour,0)),Season,'Summarized Modified Source Data'!$A96,Sector,'Summarized Modified Source Data'!L$2,Subsector,'Summarized Modified Source Data'!L$3,TimeOfWeek,$D96)</f>
        <v>94837128</v>
      </c>
      <c r="M96" s="25">
        <f>SUMIFS(INDEX(Load,,MATCH('Summarized Modified Source Data'!$B96,Hour,0)),Season,'Summarized Modified Source Data'!$A96,Sector,'Summarized Modified Source Data'!M$2,Subsector,'Summarized Modified Source Data'!M$3,TimeOfWeek,$D96)</f>
        <v>0</v>
      </c>
      <c r="N96" s="25">
        <f t="shared" si="4"/>
        <v>606538321</v>
      </c>
      <c r="O96" s="25">
        <f>SUMIFS(INDEX(Load,,MATCH('Summarized Modified Source Data'!$B96,Hour,0)),Season,'Summarized Modified Source Data'!$A96,Sector,'Summarized Modified Source Data'!O$2,Subsector,"Total",TimeOfWeek,$D96)-SUM(K96:M96)</f>
        <v>606538321</v>
      </c>
      <c r="P96" s="25">
        <f t="shared" si="5"/>
        <v>606538321</v>
      </c>
      <c r="Q96" s="33" cm="1">
        <f t="array" ref="Q96">SUMIFS(INDEX(Load,,MATCH('Summarized Modified Source Data'!$B96,Hour,0)),Season,'Summarized Modified Source Data'!$A96,Sector,'Summarized Modified Source Data'!Q$2,TimeOfWeek,$D96)*LDVs</f>
        <v>6671045.9418956153</v>
      </c>
      <c r="R96" s="33" cm="1">
        <f t="array" ref="R96">SUMIFS(INDEX(Load,,MATCH('Summarized Modified Source Data'!$B96,Hour,0)),Season,'Summarized Modified Source Data'!$A96,Sector,'Summarized Modified Source Data'!R$2,TimeOfWeek,$D96)*HDVs</f>
        <v>3143435.9856763887</v>
      </c>
      <c r="S96" s="33">
        <f>SUMIFS(INDEX(Load,,MATCH('Summarized Modified Source Data'!$B96,Hour,0)),Season,'Summarized Modified Source Data'!$A96,Sector,'Summarized Modified Source Data'!S$2,TimeOfWeek,$D96)*Aircraft</f>
        <v>0</v>
      </c>
      <c r="T96" s="33">
        <f>SUMIFS(INDEX(Load,,MATCH('Summarized Modified Source Data'!$B96,Hour,0)),Season,'Summarized Modified Source Data'!$A96,Sector,'Summarized Modified Source Data'!T$2,TimeOfWeek,$D96)*Rail</f>
        <v>13685518.072427997</v>
      </c>
      <c r="U96" s="33">
        <f>SUMIFS(INDEX(Load,,MATCH('Summarized Modified Source Data'!$B96,Hour,0)),Season,'Summarized Modified Source Data'!$A96,Sector,'Summarized Modified Source Data'!U$2,TimeOfWeek,$D96)*Ships</f>
        <v>0</v>
      </c>
      <c r="V96" s="33">
        <f>SUMIFS(INDEX(Load,,MATCH('Summarized Modified Source Data'!$B96,Hour,0)),Season,'Summarized Modified Source Data'!$A96,Sector,'Summarized Modified Source Data'!V$2,TimeOfWeek,$D96)*Motorbikes</f>
        <v>0</v>
      </c>
      <c r="W96" s="25">
        <f>SUMIFS(INDEX(Load,,MATCH('Summarized Modified Source Data'!$B96,Hour,0)),Season,'Summarized Modified Source Data'!$A96,Sector,'Summarized Modified Source Data'!W$2,Subsector,'Summarized Modified Source Data'!W$3,TimeOfWeek,$D96)</f>
        <v>1341000000</v>
      </c>
      <c r="X96" s="25">
        <f>SUMIFS(INDEX(Load,,MATCH('Summarized Modified Source Data'!$B96,Hour,0)),Season,'Summarized Modified Source Data'!$A96,Sector,'Summarized Modified Source Data'!X$2,Subsector,'Summarized Modified Source Data'!X$3,TimeOfWeek,$D96)</f>
        <v>0</v>
      </c>
      <c r="Y96" s="25">
        <f>SUMIFS(INDEX(Load,,MATCH('Summarized Modified Source Data'!$B96,Hour,0)),Season,'Summarized Modified Source Data'!$A96,Sector,'Summarized Modified Source Data'!Y$2,Subsector,'Summarized Modified Source Data'!Y$3,TimeOfWeek,$D96)</f>
        <v>0</v>
      </c>
    </row>
    <row r="97" spans="1:25" outlineLevel="1" x14ac:dyDescent="0.25">
      <c r="A97" t="s">
        <v>40</v>
      </c>
      <c r="B97" t="s">
        <v>168</v>
      </c>
      <c r="C97" s="7" t="s">
        <v>20</v>
      </c>
      <c r="D97" t="s">
        <v>117</v>
      </c>
      <c r="E97" s="25">
        <f>SUMIFS(INDEX(Load,,MATCH('Summarized Modified Source Data'!$B97,Hour,0)),Season,'Summarized Modified Source Data'!$A97,Sector,'Summarized Modified Source Data'!E$2,Subsector,'Summarized Modified Source Data'!E$3,TimeOfWeek,$D97)</f>
        <v>6362139</v>
      </c>
      <c r="F97" s="25">
        <f>SUMIFS(INDEX(Load,,MATCH('Summarized Modified Source Data'!$B97,Hour,0)),Season,'Summarized Modified Source Data'!$A97,Sector,'Summarized Modified Source Data'!F$2,Subsector,'Summarized Modified Source Data'!F$3,TimeOfWeek,$D97)</f>
        <v>13302675</v>
      </c>
      <c r="G97" s="25">
        <f>SUMIFS(INDEX(Load,,MATCH('Summarized Modified Source Data'!$B97,Hour,0)),Season,'Summarized Modified Source Data'!$A97,Sector,'Summarized Modified Source Data'!G$2,Subsector,'Summarized Modified Source Data'!G$3,TimeOfWeek,$D97)</f>
        <v>0</v>
      </c>
      <c r="H97" s="25">
        <f>SUMIFS(INDEX(Load,,MATCH('Summarized Modified Source Data'!$B97,Hour,0)),Season,'Summarized Modified Source Data'!$A97,Sector,'Summarized Modified Source Data'!H$2,Subsector,'Summarized Modified Source Data'!H$3,TimeOfWeek,$D97)</f>
        <v>97300000</v>
      </c>
      <c r="I97" s="25">
        <f>SUMIFS(INDEX(Load,,MATCH('Summarized Modified Source Data'!$B97,Hour,0)),Season,'Summarized Modified Source Data'!$A97,Sector,'Summarized Modified Source Data'!I$2,Subsector,'Summarized Modified Source Data'!I$3,TimeOfWeek,$D97)</f>
        <v>21800000</v>
      </c>
      <c r="J97" s="25">
        <f t="shared" si="3"/>
        <v>21800000</v>
      </c>
      <c r="K97" s="25">
        <f>SUMIFS(INDEX(Load,,MATCH('Summarized Modified Source Data'!$B97,Hour,0)),Season,'Summarized Modified Source Data'!$A97,Sector,'Summarized Modified Source Data'!K$2,Subsector,'Summarized Modified Source Data'!K$3,TimeOfWeek,$D97)</f>
        <v>13319485</v>
      </c>
      <c r="L97" s="25">
        <f>SUMIFS(INDEX(Load,,MATCH('Summarized Modified Source Data'!$B97,Hour,0)),Season,'Summarized Modified Source Data'!$A97,Sector,'Summarized Modified Source Data'!L$2,Subsector,'Summarized Modified Source Data'!L$3,TimeOfWeek,$D97)</f>
        <v>82624445</v>
      </c>
      <c r="M97" s="25">
        <f>SUMIFS(INDEX(Load,,MATCH('Summarized Modified Source Data'!$B97,Hour,0)),Season,'Summarized Modified Source Data'!$A97,Sector,'Summarized Modified Source Data'!M$2,Subsector,'Summarized Modified Source Data'!M$3,TimeOfWeek,$D97)</f>
        <v>0</v>
      </c>
      <c r="N97" s="25">
        <f t="shared" si="4"/>
        <v>492056070</v>
      </c>
      <c r="O97" s="25">
        <f>SUMIFS(INDEX(Load,,MATCH('Summarized Modified Source Data'!$B97,Hour,0)),Season,'Summarized Modified Source Data'!$A97,Sector,'Summarized Modified Source Data'!O$2,Subsector,"Total",TimeOfWeek,$D97)-SUM(K97:M97)</f>
        <v>492056070</v>
      </c>
      <c r="P97" s="25">
        <f t="shared" si="5"/>
        <v>492056070</v>
      </c>
      <c r="Q97" s="33" cm="1">
        <f t="array" ref="Q97">SUMIFS(INDEX(Load,,MATCH('Summarized Modified Source Data'!$B97,Hour,0)),Season,'Summarized Modified Source Data'!$A97,Sector,'Summarized Modified Source Data'!Q$2,TimeOfWeek,$D97)*LDVs</f>
        <v>6245234.4987958949</v>
      </c>
      <c r="R97" s="33" cm="1">
        <f t="array" ref="R97">SUMIFS(INDEX(Load,,MATCH('Summarized Modified Source Data'!$B97,Hour,0)),Season,'Summarized Modified Source Data'!$A97,Sector,'Summarized Modified Source Data'!R$2,TimeOfWeek,$D97)*HDVs</f>
        <v>2942791.1355268317</v>
      </c>
      <c r="S97" s="33">
        <f>SUMIFS(INDEX(Load,,MATCH('Summarized Modified Source Data'!$B97,Hour,0)),Season,'Summarized Modified Source Data'!$A97,Sector,'Summarized Modified Source Data'!S$2,TimeOfWeek,$D97)*Aircraft</f>
        <v>0</v>
      </c>
      <c r="T97" s="33">
        <f>SUMIFS(INDEX(Load,,MATCH('Summarized Modified Source Data'!$B97,Hour,0)),Season,'Summarized Modified Source Data'!$A97,Sector,'Summarized Modified Source Data'!T$2,TimeOfWeek,$D97)*Rail</f>
        <v>12811974.365677273</v>
      </c>
      <c r="U97" s="33">
        <f>SUMIFS(INDEX(Load,,MATCH('Summarized Modified Source Data'!$B97,Hour,0)),Season,'Summarized Modified Source Data'!$A97,Sector,'Summarized Modified Source Data'!U$2,TimeOfWeek,$D97)*Ships</f>
        <v>0</v>
      </c>
      <c r="V97" s="33">
        <f>SUMIFS(INDEX(Load,,MATCH('Summarized Modified Source Data'!$B97,Hour,0)),Season,'Summarized Modified Source Data'!$A97,Sector,'Summarized Modified Source Data'!V$2,TimeOfWeek,$D97)*Motorbikes</f>
        <v>0</v>
      </c>
      <c r="W97" s="25">
        <f>SUMIFS(INDEX(Load,,MATCH('Summarized Modified Source Data'!$B97,Hour,0)),Season,'Summarized Modified Source Data'!$A97,Sector,'Summarized Modified Source Data'!W$2,Subsector,'Summarized Modified Source Data'!W$3,TimeOfWeek,$D97)</f>
        <v>1330000000</v>
      </c>
      <c r="X97" s="25">
        <f>SUMIFS(INDEX(Load,,MATCH('Summarized Modified Source Data'!$B97,Hour,0)),Season,'Summarized Modified Source Data'!$A97,Sector,'Summarized Modified Source Data'!X$2,Subsector,'Summarized Modified Source Data'!X$3,TimeOfWeek,$D97)</f>
        <v>0</v>
      </c>
      <c r="Y97" s="25">
        <f>SUMIFS(INDEX(Load,,MATCH('Summarized Modified Source Data'!$B97,Hour,0)),Season,'Summarized Modified Source Data'!$A97,Sector,'Summarized Modified Source Data'!Y$2,Subsector,'Summarized Modified Source Data'!Y$3,TimeOfWeek,$D97)</f>
        <v>0</v>
      </c>
    </row>
    <row r="98" spans="1:25" outlineLevel="1" x14ac:dyDescent="0.25">
      <c r="A98" t="s">
        <v>40</v>
      </c>
      <c r="B98" t="s">
        <v>169</v>
      </c>
      <c r="C98" s="7" t="s">
        <v>21</v>
      </c>
      <c r="D98" t="s">
        <v>117</v>
      </c>
      <c r="E98" s="25">
        <f>SUMIFS(INDEX(Load,,MATCH('Summarized Modified Source Data'!$B98,Hour,0)),Season,'Summarized Modified Source Data'!$A98,Sector,'Summarized Modified Source Data'!E$2,Subsector,'Summarized Modified Source Data'!E$3,TimeOfWeek,$D98)</f>
        <v>4750492</v>
      </c>
      <c r="F98" s="25">
        <f>SUMIFS(INDEX(Load,,MATCH('Summarized Modified Source Data'!$B98,Hour,0)),Season,'Summarized Modified Source Data'!$A98,Sector,'Summarized Modified Source Data'!F$2,Subsector,'Summarized Modified Source Data'!F$3,TimeOfWeek,$D98)</f>
        <v>6461752</v>
      </c>
      <c r="G98" s="25">
        <f>SUMIFS(INDEX(Load,,MATCH('Summarized Modified Source Data'!$B98,Hour,0)),Season,'Summarized Modified Source Data'!$A98,Sector,'Summarized Modified Source Data'!G$2,Subsector,'Summarized Modified Source Data'!G$3,TimeOfWeek,$D98)</f>
        <v>0</v>
      </c>
      <c r="H98" s="25">
        <f>SUMIFS(INDEX(Load,,MATCH('Summarized Modified Source Data'!$B98,Hour,0)),Season,'Summarized Modified Source Data'!$A98,Sector,'Summarized Modified Source Data'!H$2,Subsector,'Summarized Modified Source Data'!H$3,TimeOfWeek,$D98)</f>
        <v>57800000</v>
      </c>
      <c r="I98" s="25">
        <f>SUMIFS(INDEX(Load,,MATCH('Summarized Modified Source Data'!$B98,Hour,0)),Season,'Summarized Modified Source Data'!$A98,Sector,'Summarized Modified Source Data'!I$2,Subsector,'Summarized Modified Source Data'!I$3,TimeOfWeek,$D98)</f>
        <v>19183491</v>
      </c>
      <c r="J98" s="25">
        <f t="shared" si="3"/>
        <v>19183491</v>
      </c>
      <c r="K98" s="25">
        <f>SUMIFS(INDEX(Load,,MATCH('Summarized Modified Source Data'!$B98,Hour,0)),Season,'Summarized Modified Source Data'!$A98,Sector,'Summarized Modified Source Data'!K$2,Subsector,'Summarized Modified Source Data'!K$3,TimeOfWeek,$D98)</f>
        <v>12213487</v>
      </c>
      <c r="L98" s="25">
        <f>SUMIFS(INDEX(Load,,MATCH('Summarized Modified Source Data'!$B98,Hour,0)),Season,'Summarized Modified Source Data'!$A98,Sector,'Summarized Modified Source Data'!L$2,Subsector,'Summarized Modified Source Data'!L$3,TimeOfWeek,$D98)</f>
        <v>71889203</v>
      </c>
      <c r="M98" s="25">
        <f>SUMIFS(INDEX(Load,,MATCH('Summarized Modified Source Data'!$B98,Hour,0)),Season,'Summarized Modified Source Data'!$A98,Sector,'Summarized Modified Source Data'!M$2,Subsector,'Summarized Modified Source Data'!M$3,TimeOfWeek,$D98)</f>
        <v>0</v>
      </c>
      <c r="N98" s="25">
        <f t="shared" si="4"/>
        <v>412897310</v>
      </c>
      <c r="O98" s="25">
        <f>SUMIFS(INDEX(Load,,MATCH('Summarized Modified Source Data'!$B98,Hour,0)),Season,'Summarized Modified Source Data'!$A98,Sector,'Summarized Modified Source Data'!O$2,Subsector,"Total",TimeOfWeek,$D98)-SUM(K98:M98)</f>
        <v>412897310</v>
      </c>
      <c r="P98" s="25">
        <f t="shared" si="5"/>
        <v>412897310</v>
      </c>
      <c r="Q98" s="33" cm="1">
        <f t="array" ref="Q98">SUMIFS(INDEX(Load,,MATCH('Summarized Modified Source Data'!$B98,Hour,0)),Season,'Summarized Modified Source Data'!$A98,Sector,'Summarized Modified Source Data'!Q$2,TimeOfWeek,$D98)*LDVs</f>
        <v>5876197.9147761371</v>
      </c>
      <c r="R98" s="33" cm="1">
        <f t="array" ref="R98">SUMIFS(INDEX(Load,,MATCH('Summarized Modified Source Data'!$B98,Hour,0)),Season,'Summarized Modified Source Data'!$A98,Sector,'Summarized Modified Source Data'!R$2,TimeOfWeek,$D98)*HDVs</f>
        <v>2768898.9320638827</v>
      </c>
      <c r="S98" s="33">
        <f>SUMIFS(INDEX(Load,,MATCH('Summarized Modified Source Data'!$B98,Hour,0)),Season,'Summarized Modified Source Data'!$A98,Sector,'Summarized Modified Source Data'!S$2,TimeOfWeek,$D98)*Aircraft</f>
        <v>0</v>
      </c>
      <c r="T98" s="33">
        <f>SUMIFS(INDEX(Load,,MATCH('Summarized Modified Source Data'!$B98,Hour,0)),Season,'Summarized Modified Source Data'!$A98,Sector,'Summarized Modified Source Data'!T$2,TimeOfWeek,$D98)*Rail</f>
        <v>12054903.15315998</v>
      </c>
      <c r="U98" s="33">
        <f>SUMIFS(INDEX(Load,,MATCH('Summarized Modified Source Data'!$B98,Hour,0)),Season,'Summarized Modified Source Data'!$A98,Sector,'Summarized Modified Source Data'!U$2,TimeOfWeek,$D98)*Ships</f>
        <v>0</v>
      </c>
      <c r="V98" s="33">
        <f>SUMIFS(INDEX(Load,,MATCH('Summarized Modified Source Data'!$B98,Hour,0)),Season,'Summarized Modified Source Data'!$A98,Sector,'Summarized Modified Source Data'!V$2,TimeOfWeek,$D98)*Motorbikes</f>
        <v>0</v>
      </c>
      <c r="W98" s="25">
        <f>SUMIFS(INDEX(Load,,MATCH('Summarized Modified Source Data'!$B98,Hour,0)),Season,'Summarized Modified Source Data'!$A98,Sector,'Summarized Modified Source Data'!W$2,Subsector,'Summarized Modified Source Data'!W$3,TimeOfWeek,$D98)</f>
        <v>1318000000</v>
      </c>
      <c r="X98" s="25">
        <f>SUMIFS(INDEX(Load,,MATCH('Summarized Modified Source Data'!$B98,Hour,0)),Season,'Summarized Modified Source Data'!$A98,Sector,'Summarized Modified Source Data'!X$2,Subsector,'Summarized Modified Source Data'!X$3,TimeOfWeek,$D98)</f>
        <v>0</v>
      </c>
      <c r="Y98" s="25">
        <f>SUMIFS(INDEX(Load,,MATCH('Summarized Modified Source Data'!$B98,Hour,0)),Season,'Summarized Modified Source Data'!$A98,Sector,'Summarized Modified Source Data'!Y$2,Subsector,'Summarized Modified Source Data'!Y$3,TimeOfWeek,$D98)</f>
        <v>0</v>
      </c>
    </row>
    <row r="99" spans="1:25" outlineLevel="1" x14ac:dyDescent="0.25">
      <c r="A99" t="s">
        <v>40</v>
      </c>
      <c r="B99" t="s">
        <v>170</v>
      </c>
      <c r="C99" s="7" t="s">
        <v>22</v>
      </c>
      <c r="D99" t="s">
        <v>117</v>
      </c>
      <c r="E99" s="25">
        <f>SUMIFS(INDEX(Load,,MATCH('Summarized Modified Source Data'!$B99,Hour,0)),Season,'Summarized Modified Source Data'!$A99,Sector,'Summarized Modified Source Data'!E$2,Subsector,'Summarized Modified Source Data'!E$3,TimeOfWeek,$D99)</f>
        <v>4249167</v>
      </c>
      <c r="F99" s="25">
        <f>SUMIFS(INDEX(Load,,MATCH('Summarized Modified Source Data'!$B99,Hour,0)),Season,'Summarized Modified Source Data'!$A99,Sector,'Summarized Modified Source Data'!F$2,Subsector,'Summarized Modified Source Data'!F$3,TimeOfWeek,$D99)</f>
        <v>3524775</v>
      </c>
      <c r="G99" s="25">
        <f>SUMIFS(INDEX(Load,,MATCH('Summarized Modified Source Data'!$B99,Hour,0)),Season,'Summarized Modified Source Data'!$A99,Sector,'Summarized Modified Source Data'!G$2,Subsector,'Summarized Modified Source Data'!G$3,TimeOfWeek,$D99)</f>
        <v>0</v>
      </c>
      <c r="H99" s="25">
        <f>SUMIFS(INDEX(Load,,MATCH('Summarized Modified Source Data'!$B99,Hour,0)),Season,'Summarized Modified Source Data'!$A99,Sector,'Summarized Modified Source Data'!H$2,Subsector,'Summarized Modified Source Data'!H$3,TimeOfWeek,$D99)</f>
        <v>30400000</v>
      </c>
      <c r="I99" s="25">
        <f>SUMIFS(INDEX(Load,,MATCH('Summarized Modified Source Data'!$B99,Hour,0)),Season,'Summarized Modified Source Data'!$A99,Sector,'Summarized Modified Source Data'!I$2,Subsector,'Summarized Modified Source Data'!I$3,TimeOfWeek,$D99)</f>
        <v>13448452</v>
      </c>
      <c r="J99" s="25">
        <f t="shared" si="3"/>
        <v>13448452</v>
      </c>
      <c r="K99" s="25">
        <f>SUMIFS(INDEX(Load,,MATCH('Summarized Modified Source Data'!$B99,Hour,0)),Season,'Summarized Modified Source Data'!$A99,Sector,'Summarized Modified Source Data'!K$2,Subsector,'Summarized Modified Source Data'!K$3,TimeOfWeek,$D99)</f>
        <v>12830997</v>
      </c>
      <c r="L99" s="25">
        <f>SUMIFS(INDEX(Load,,MATCH('Summarized Modified Source Data'!$B99,Hour,0)),Season,'Summarized Modified Source Data'!$A99,Sector,'Summarized Modified Source Data'!L$2,Subsector,'Summarized Modified Source Data'!L$3,TimeOfWeek,$D99)</f>
        <v>61904467</v>
      </c>
      <c r="M99" s="25">
        <f>SUMIFS(INDEX(Load,,MATCH('Summarized Modified Source Data'!$B99,Hour,0)),Season,'Summarized Modified Source Data'!$A99,Sector,'Summarized Modified Source Data'!M$2,Subsector,'Summarized Modified Source Data'!M$3,TimeOfWeek,$D99)</f>
        <v>0</v>
      </c>
      <c r="N99" s="25">
        <f t="shared" si="4"/>
        <v>361264536</v>
      </c>
      <c r="O99" s="25">
        <f>SUMIFS(INDEX(Load,,MATCH('Summarized Modified Source Data'!$B99,Hour,0)),Season,'Summarized Modified Source Data'!$A99,Sector,'Summarized Modified Source Data'!O$2,Subsector,"Total",TimeOfWeek,$D99)-SUM(K99:M99)</f>
        <v>361264536</v>
      </c>
      <c r="P99" s="25">
        <f t="shared" si="5"/>
        <v>361264536</v>
      </c>
      <c r="Q99" s="33" cm="1">
        <f t="array" ref="Q99">SUMIFS(INDEX(Load,,MATCH('Summarized Modified Source Data'!$B99,Hour,0)),Season,'Summarized Modified Source Data'!$A99,Sector,'Summarized Modified Source Data'!Q$2,TimeOfWeek,$D99)*LDVs</f>
        <v>3963730.8253073911</v>
      </c>
      <c r="R99" s="33" cm="1">
        <f t="array" ref="R99">SUMIFS(INDEX(Load,,MATCH('Summarized Modified Source Data'!$B99,Hour,0)),Season,'Summarized Modified Source Data'!$A99,Sector,'Summarized Modified Source Data'!R$2,TimeOfWeek,$D99)*HDVs</f>
        <v>1867733.2193976049</v>
      </c>
      <c r="S99" s="33">
        <f>SUMIFS(INDEX(Load,,MATCH('Summarized Modified Source Data'!$B99,Hour,0)),Season,'Summarized Modified Source Data'!$A99,Sector,'Summarized Modified Source Data'!S$2,TimeOfWeek,$D99)*Aircraft</f>
        <v>0</v>
      </c>
      <c r="T99" s="33">
        <f>SUMIFS(INDEX(Load,,MATCH('Summarized Modified Source Data'!$B99,Hour,0)),Season,'Summarized Modified Source Data'!$A99,Sector,'Summarized Modified Source Data'!T$2,TimeOfWeek,$D99)*Rail</f>
        <v>8131514.955295004</v>
      </c>
      <c r="U99" s="33">
        <f>SUMIFS(INDEX(Load,,MATCH('Summarized Modified Source Data'!$B99,Hour,0)),Season,'Summarized Modified Source Data'!$A99,Sector,'Summarized Modified Source Data'!U$2,TimeOfWeek,$D99)*Ships</f>
        <v>0</v>
      </c>
      <c r="V99" s="33">
        <f>SUMIFS(INDEX(Load,,MATCH('Summarized Modified Source Data'!$B99,Hour,0)),Season,'Summarized Modified Source Data'!$A99,Sector,'Summarized Modified Source Data'!V$2,TimeOfWeek,$D99)*Motorbikes</f>
        <v>0</v>
      </c>
      <c r="W99" s="25">
        <f>SUMIFS(INDEX(Load,,MATCH('Summarized Modified Source Data'!$B99,Hour,0)),Season,'Summarized Modified Source Data'!$A99,Sector,'Summarized Modified Source Data'!W$2,Subsector,'Summarized Modified Source Data'!W$3,TimeOfWeek,$D99)</f>
        <v>1311000000</v>
      </c>
      <c r="X99" s="25">
        <f>SUMIFS(INDEX(Load,,MATCH('Summarized Modified Source Data'!$B99,Hour,0)),Season,'Summarized Modified Source Data'!$A99,Sector,'Summarized Modified Source Data'!X$2,Subsector,'Summarized Modified Source Data'!X$3,TimeOfWeek,$D99)</f>
        <v>0</v>
      </c>
      <c r="Y99" s="25">
        <f>SUMIFS(INDEX(Load,,MATCH('Summarized Modified Source Data'!$B99,Hour,0)),Season,'Summarized Modified Source Data'!$A99,Sector,'Summarized Modified Source Data'!Y$2,Subsector,'Summarized Modified Source Data'!Y$3,TimeOfWeek,$D99)</f>
        <v>0</v>
      </c>
    </row>
    <row r="100" spans="1:25" outlineLevel="1" x14ac:dyDescent="0.25">
      <c r="A100" t="s">
        <v>37</v>
      </c>
      <c r="B100" t="s">
        <v>147</v>
      </c>
      <c r="C100" s="7" t="s">
        <v>34</v>
      </c>
      <c r="D100" t="s">
        <v>114</v>
      </c>
      <c r="E100" s="25">
        <f>SUMIFS(INDEX(Load,,MATCH('Summarized Modified Source Data'!$B100,Hour,0)),Season,'Summarized Modified Source Data'!$A100,Sector,'Summarized Modified Source Data'!E$2,Subsector,'Summarized Modified Source Data'!E$3,TimeOfWeek,$D100)</f>
        <v>36103483</v>
      </c>
      <c r="F100" s="25">
        <f>SUMIFS(INDEX(Load,,MATCH('Summarized Modified Source Data'!$B100,Hour,0)),Season,'Summarized Modified Source Data'!$A100,Sector,'Summarized Modified Source Data'!F$2,Subsector,'Summarized Modified Source Data'!F$3,TimeOfWeek,$D100)</f>
        <v>45100</v>
      </c>
      <c r="G100" s="25">
        <f>SUMIFS(INDEX(Load,,MATCH('Summarized Modified Source Data'!$B100,Hour,0)),Season,'Summarized Modified Source Data'!$A100,Sector,'Summarized Modified Source Data'!G$2,Subsector,'Summarized Modified Source Data'!G$3,TimeOfWeek,$D100)</f>
        <v>0</v>
      </c>
      <c r="H100" s="25">
        <f>SUMIFS(INDEX(Load,,MATCH('Summarized Modified Source Data'!$B100,Hour,0)),Season,'Summarized Modified Source Data'!$A100,Sector,'Summarized Modified Source Data'!H$2,Subsector,'Summarized Modified Source Data'!H$3,TimeOfWeek,$D100)</f>
        <v>27655130</v>
      </c>
      <c r="I100" s="25">
        <f>SUMIFS(INDEX(Load,,MATCH('Summarized Modified Source Data'!$B100,Hour,0)),Season,'Summarized Modified Source Data'!$A100,Sector,'Summarized Modified Source Data'!I$2,Subsector,'Summarized Modified Source Data'!I$3,TimeOfWeek,$D100)</f>
        <v>17048572</v>
      </c>
      <c r="J100" s="25">
        <f t="shared" si="3"/>
        <v>17048572</v>
      </c>
      <c r="K100" s="25">
        <f>SUMIFS(INDEX(Load,,MATCH('Summarized Modified Source Data'!$B100,Hour,0)),Season,'Summarized Modified Source Data'!$A100,Sector,'Summarized Modified Source Data'!K$2,Subsector,'Summarized Modified Source Data'!K$3,TimeOfWeek,$D100)</f>
        <v>42504061</v>
      </c>
      <c r="L100" s="25">
        <f>SUMIFS(INDEX(Load,,MATCH('Summarized Modified Source Data'!$B100,Hour,0)),Season,'Summarized Modified Source Data'!$A100,Sector,'Summarized Modified Source Data'!L$2,Subsector,'Summarized Modified Source Data'!L$3,TimeOfWeek,$D100)</f>
        <v>135439</v>
      </c>
      <c r="M100" s="25">
        <f>SUMIFS(INDEX(Load,,MATCH('Summarized Modified Source Data'!$B100,Hour,0)),Season,'Summarized Modified Source Data'!$A100,Sector,'Summarized Modified Source Data'!M$2,Subsector,'Summarized Modified Source Data'!M$3,TimeOfWeek,$D100)</f>
        <v>0</v>
      </c>
      <c r="N100" s="25">
        <f t="shared" si="4"/>
        <v>314360500</v>
      </c>
      <c r="O100" s="25">
        <f>SUMIFS(INDEX(Load,,MATCH('Summarized Modified Source Data'!$B100,Hour,0)),Season,'Summarized Modified Source Data'!$A100,Sector,'Summarized Modified Source Data'!O$2,Subsector,"Total",TimeOfWeek,$D100)-SUM(K100:M100)</f>
        <v>314360500</v>
      </c>
      <c r="P100" s="25">
        <f t="shared" si="5"/>
        <v>314360500</v>
      </c>
      <c r="Q100" s="33" cm="1">
        <f t="array" ref="Q100">SUMIFS(INDEX(Load,,MATCH('Summarized Modified Source Data'!$B100,Hour,0)),Season,'Summarized Modified Source Data'!$A100,Sector,'Summarized Modified Source Data'!Q$2,TimeOfWeek,$D100)*LDVs</f>
        <v>3101892.7225879887</v>
      </c>
      <c r="R100" s="33" cm="1">
        <f t="array" ref="R100">SUMIFS(INDEX(Load,,MATCH('Summarized Modified Source Data'!$B100,Hour,0)),Season,'Summarized Modified Source Data'!$A100,Sector,'Summarized Modified Source Data'!R$2,TimeOfWeek,$D100)*HDVs</f>
        <v>1461630.0491434035</v>
      </c>
      <c r="S100" s="33">
        <f>SUMIFS(INDEX(Load,,MATCH('Summarized Modified Source Data'!$B100,Hour,0)),Season,'Summarized Modified Source Data'!$A100,Sector,'Summarized Modified Source Data'!S$2,TimeOfWeek,$D100)*Aircraft</f>
        <v>0</v>
      </c>
      <c r="T100" s="33">
        <f>SUMIFS(INDEX(Load,,MATCH('Summarized Modified Source Data'!$B100,Hour,0)),Season,'Summarized Modified Source Data'!$A100,Sector,'Summarized Modified Source Data'!T$2,TimeOfWeek,$D100)*Rail</f>
        <v>6363471.2282686075</v>
      </c>
      <c r="U100" s="33">
        <f>SUMIFS(INDEX(Load,,MATCH('Summarized Modified Source Data'!$B100,Hour,0)),Season,'Summarized Modified Source Data'!$A100,Sector,'Summarized Modified Source Data'!U$2,TimeOfWeek,$D100)*Ships</f>
        <v>0</v>
      </c>
      <c r="V100" s="33">
        <f>SUMIFS(INDEX(Load,,MATCH('Summarized Modified Source Data'!$B100,Hour,0)),Season,'Summarized Modified Source Data'!$A100,Sector,'Summarized Modified Source Data'!V$2,TimeOfWeek,$D100)*Motorbikes</f>
        <v>0</v>
      </c>
      <c r="W100" s="25">
        <f>SUMIFS(INDEX(Load,,MATCH('Summarized Modified Source Data'!$B100,Hour,0)),Season,'Summarized Modified Source Data'!$A100,Sector,'Summarized Modified Source Data'!W$2,Subsector,'Summarized Modified Source Data'!W$3,TimeOfWeek,$D100)</f>
        <v>1352000000</v>
      </c>
      <c r="X100" s="25">
        <f>SUMIFS(INDEX(Load,,MATCH('Summarized Modified Source Data'!$B100,Hour,0)),Season,'Summarized Modified Source Data'!$A100,Sector,'Summarized Modified Source Data'!X$2,Subsector,'Summarized Modified Source Data'!X$3,TimeOfWeek,$D100)</f>
        <v>0</v>
      </c>
      <c r="Y100" s="25">
        <f>SUMIFS(INDEX(Load,,MATCH('Summarized Modified Source Data'!$B100,Hour,0)),Season,'Summarized Modified Source Data'!$A100,Sector,'Summarized Modified Source Data'!Y$2,Subsector,'Summarized Modified Source Data'!Y$3,TimeOfWeek,$D100)</f>
        <v>0</v>
      </c>
    </row>
    <row r="101" spans="1:25" outlineLevel="1" x14ac:dyDescent="0.25">
      <c r="A101" t="s">
        <v>37</v>
      </c>
      <c r="B101" t="s">
        <v>148</v>
      </c>
      <c r="C101" s="7" t="s">
        <v>0</v>
      </c>
      <c r="D101" t="s">
        <v>114</v>
      </c>
      <c r="E101" s="25">
        <f>SUMIFS(INDEX(Load,,MATCH('Summarized Modified Source Data'!$B101,Hour,0)),Season,'Summarized Modified Source Data'!$A101,Sector,'Summarized Modified Source Data'!E$2,Subsector,'Summarized Modified Source Data'!E$3,TimeOfWeek,$D101)</f>
        <v>36809722</v>
      </c>
      <c r="F101" s="25">
        <f>SUMIFS(INDEX(Load,,MATCH('Summarized Modified Source Data'!$B101,Hour,0)),Season,'Summarized Modified Source Data'!$A101,Sector,'Summarized Modified Source Data'!F$2,Subsector,'Summarized Modified Source Data'!F$3,TimeOfWeek,$D101)</f>
        <v>45790</v>
      </c>
      <c r="G101" s="25">
        <f>SUMIFS(INDEX(Load,,MATCH('Summarized Modified Source Data'!$B101,Hour,0)),Season,'Summarized Modified Source Data'!$A101,Sector,'Summarized Modified Source Data'!G$2,Subsector,'Summarized Modified Source Data'!G$3,TimeOfWeek,$D101)</f>
        <v>0</v>
      </c>
      <c r="H101" s="25">
        <f>SUMIFS(INDEX(Load,,MATCH('Summarized Modified Source Data'!$B101,Hour,0)),Season,'Summarized Modified Source Data'!$A101,Sector,'Summarized Modified Source Data'!H$2,Subsector,'Summarized Modified Source Data'!H$3,TimeOfWeek,$D101)</f>
        <v>23893859</v>
      </c>
      <c r="I101" s="25">
        <f>SUMIFS(INDEX(Load,,MATCH('Summarized Modified Source Data'!$B101,Hour,0)),Season,'Summarized Modified Source Data'!$A101,Sector,'Summarized Modified Source Data'!I$2,Subsector,'Summarized Modified Source Data'!I$3,TimeOfWeek,$D101)</f>
        <v>11015989</v>
      </c>
      <c r="J101" s="25">
        <f t="shared" si="3"/>
        <v>11015989</v>
      </c>
      <c r="K101" s="25">
        <f>SUMIFS(INDEX(Load,,MATCH('Summarized Modified Source Data'!$B101,Hour,0)),Season,'Summarized Modified Source Data'!$A101,Sector,'Summarized Modified Source Data'!K$2,Subsector,'Summarized Modified Source Data'!K$3,TimeOfWeek,$D101)</f>
        <v>39930356</v>
      </c>
      <c r="L101" s="25">
        <f>SUMIFS(INDEX(Load,,MATCH('Summarized Modified Source Data'!$B101,Hour,0)),Season,'Summarized Modified Source Data'!$A101,Sector,'Summarized Modified Source Data'!L$2,Subsector,'Summarized Modified Source Data'!L$3,TimeOfWeek,$D101)</f>
        <v>132558</v>
      </c>
      <c r="M101" s="25">
        <f>SUMIFS(INDEX(Load,,MATCH('Summarized Modified Source Data'!$B101,Hour,0)),Season,'Summarized Modified Source Data'!$A101,Sector,'Summarized Modified Source Data'!M$2,Subsector,'Summarized Modified Source Data'!M$3,TimeOfWeek,$D101)</f>
        <v>0</v>
      </c>
      <c r="N101" s="25">
        <f t="shared" si="4"/>
        <v>274437086</v>
      </c>
      <c r="O101" s="25">
        <f>SUMIFS(INDEX(Load,,MATCH('Summarized Modified Source Data'!$B101,Hour,0)),Season,'Summarized Modified Source Data'!$A101,Sector,'Summarized Modified Source Data'!O$2,Subsector,"Total",TimeOfWeek,$D101)-SUM(K101:M101)</f>
        <v>274437086</v>
      </c>
      <c r="P101" s="25">
        <f t="shared" si="5"/>
        <v>274437086</v>
      </c>
      <c r="Q101" s="33" cm="1">
        <f t="array" ref="Q101">SUMIFS(INDEX(Load,,MATCH('Summarized Modified Source Data'!$B101,Hour,0)),Season,'Summarized Modified Source Data'!$A101,Sector,'Summarized Modified Source Data'!Q$2,TimeOfWeek,$D101)*LDVs</f>
        <v>2955617.9756543729</v>
      </c>
      <c r="R101" s="33" cm="1">
        <f t="array" ref="R101">SUMIFS(INDEX(Load,,MATCH('Summarized Modified Source Data'!$B101,Hour,0)),Season,'Summarized Modified Source Data'!$A101,Sector,'Summarized Modified Source Data'!R$2,TimeOfWeek,$D101)*HDVs</f>
        <v>1392704.5302200278</v>
      </c>
      <c r="S101" s="33">
        <f>SUMIFS(INDEX(Load,,MATCH('Summarized Modified Source Data'!$B101,Hour,0)),Season,'Summarized Modified Source Data'!$A101,Sector,'Summarized Modified Source Data'!S$2,TimeOfWeek,$D101)*Aircraft</f>
        <v>0</v>
      </c>
      <c r="T101" s="33">
        <f>SUMIFS(INDEX(Load,,MATCH('Summarized Modified Source Data'!$B101,Hour,0)),Season,'Summarized Modified Source Data'!$A101,Sector,'Summarized Modified Source Data'!T$2,TimeOfWeek,$D101)*Rail</f>
        <v>6063391.494125599</v>
      </c>
      <c r="U101" s="33">
        <f>SUMIFS(INDEX(Load,,MATCH('Summarized Modified Source Data'!$B101,Hour,0)),Season,'Summarized Modified Source Data'!$A101,Sector,'Summarized Modified Source Data'!U$2,TimeOfWeek,$D101)*Ships</f>
        <v>0</v>
      </c>
      <c r="V101" s="33">
        <f>SUMIFS(INDEX(Load,,MATCH('Summarized Modified Source Data'!$B101,Hour,0)),Season,'Summarized Modified Source Data'!$A101,Sector,'Summarized Modified Source Data'!V$2,TimeOfWeek,$D101)*Motorbikes</f>
        <v>0</v>
      </c>
      <c r="W101" s="25">
        <f>SUMIFS(INDEX(Load,,MATCH('Summarized Modified Source Data'!$B101,Hour,0)),Season,'Summarized Modified Source Data'!$A101,Sector,'Summarized Modified Source Data'!W$2,Subsector,'Summarized Modified Source Data'!W$3,TimeOfWeek,$D101)</f>
        <v>1349000000</v>
      </c>
      <c r="X101" s="25">
        <f>SUMIFS(INDEX(Load,,MATCH('Summarized Modified Source Data'!$B101,Hour,0)),Season,'Summarized Modified Source Data'!$A101,Sector,'Summarized Modified Source Data'!X$2,Subsector,'Summarized Modified Source Data'!X$3,TimeOfWeek,$D101)</f>
        <v>0</v>
      </c>
      <c r="Y101" s="25">
        <f>SUMIFS(INDEX(Load,,MATCH('Summarized Modified Source Data'!$B101,Hour,0)),Season,'Summarized Modified Source Data'!$A101,Sector,'Summarized Modified Source Data'!Y$2,Subsector,'Summarized Modified Source Data'!Y$3,TimeOfWeek,$D101)</f>
        <v>0</v>
      </c>
    </row>
    <row r="102" spans="1:25" outlineLevel="1" x14ac:dyDescent="0.25">
      <c r="A102" t="s">
        <v>37</v>
      </c>
      <c r="B102" t="s">
        <v>149</v>
      </c>
      <c r="C102" s="7" t="s">
        <v>1</v>
      </c>
      <c r="D102" t="s">
        <v>114</v>
      </c>
      <c r="E102" s="25">
        <f>SUMIFS(INDEX(Load,,MATCH('Summarized Modified Source Data'!$B102,Hour,0)),Season,'Summarized Modified Source Data'!$A102,Sector,'Summarized Modified Source Data'!E$2,Subsector,'Summarized Modified Source Data'!E$3,TimeOfWeek,$D102)</f>
        <v>36982460</v>
      </c>
      <c r="F102" s="25">
        <f>SUMIFS(INDEX(Load,,MATCH('Summarized Modified Source Data'!$B102,Hour,0)),Season,'Summarized Modified Source Data'!$A102,Sector,'Summarized Modified Source Data'!F$2,Subsector,'Summarized Modified Source Data'!F$3,TimeOfWeek,$D102)</f>
        <v>46397</v>
      </c>
      <c r="G102" s="25">
        <f>SUMIFS(INDEX(Load,,MATCH('Summarized Modified Source Data'!$B102,Hour,0)),Season,'Summarized Modified Source Data'!$A102,Sector,'Summarized Modified Source Data'!G$2,Subsector,'Summarized Modified Source Data'!G$3,TimeOfWeek,$D102)</f>
        <v>0</v>
      </c>
      <c r="H102" s="25">
        <f>SUMIFS(INDEX(Load,,MATCH('Summarized Modified Source Data'!$B102,Hour,0)),Season,'Summarized Modified Source Data'!$A102,Sector,'Summarized Modified Source Data'!H$2,Subsector,'Summarized Modified Source Data'!H$3,TimeOfWeek,$D102)</f>
        <v>23077172</v>
      </c>
      <c r="I102" s="25">
        <f>SUMIFS(INDEX(Load,,MATCH('Summarized Modified Source Data'!$B102,Hour,0)),Season,'Summarized Modified Source Data'!$A102,Sector,'Summarized Modified Source Data'!I$2,Subsector,'Summarized Modified Source Data'!I$3,TimeOfWeek,$D102)</f>
        <v>9181453</v>
      </c>
      <c r="J102" s="25">
        <f t="shared" si="3"/>
        <v>9181453</v>
      </c>
      <c r="K102" s="25">
        <f>SUMIFS(INDEX(Load,,MATCH('Summarized Modified Source Data'!$B102,Hour,0)),Season,'Summarized Modified Source Data'!$A102,Sector,'Summarized Modified Source Data'!K$2,Subsector,'Summarized Modified Source Data'!K$3,TimeOfWeek,$D102)</f>
        <v>35962710</v>
      </c>
      <c r="L102" s="25">
        <f>SUMIFS(INDEX(Load,,MATCH('Summarized Modified Source Data'!$B102,Hour,0)),Season,'Summarized Modified Source Data'!$A102,Sector,'Summarized Modified Source Data'!L$2,Subsector,'Summarized Modified Source Data'!L$3,TimeOfWeek,$D102)</f>
        <v>131355</v>
      </c>
      <c r="M102" s="25">
        <f>SUMIFS(INDEX(Load,,MATCH('Summarized Modified Source Data'!$B102,Hour,0)),Season,'Summarized Modified Source Data'!$A102,Sector,'Summarized Modified Source Data'!M$2,Subsector,'Summarized Modified Source Data'!M$3,TimeOfWeek,$D102)</f>
        <v>0</v>
      </c>
      <c r="N102" s="25">
        <f t="shared" si="4"/>
        <v>270805935</v>
      </c>
      <c r="O102" s="25">
        <f>SUMIFS(INDEX(Load,,MATCH('Summarized Modified Source Data'!$B102,Hour,0)),Season,'Summarized Modified Source Data'!$A102,Sector,'Summarized Modified Source Data'!O$2,Subsector,"Total",TimeOfWeek,$D102)-SUM(K102:M102)</f>
        <v>270805935</v>
      </c>
      <c r="P102" s="25">
        <f t="shared" si="5"/>
        <v>270805935</v>
      </c>
      <c r="Q102" s="33" cm="1">
        <f t="array" ref="Q102">SUMIFS(INDEX(Load,,MATCH('Summarized Modified Source Data'!$B102,Hour,0)),Season,'Summarized Modified Source Data'!$A102,Sector,'Summarized Modified Source Data'!Q$2,TimeOfWeek,$D102)*LDVs</f>
        <v>2915725.1209218372</v>
      </c>
      <c r="R102" s="33" cm="1">
        <f t="array" ref="R102">SUMIFS(INDEX(Load,,MATCH('Summarized Modified Source Data'!$B102,Hour,0)),Season,'Summarized Modified Source Data'!$A102,Sector,'Summarized Modified Source Data'!R$2,TimeOfWeek,$D102)*HDVs</f>
        <v>1373906.7830256829</v>
      </c>
      <c r="S102" s="33">
        <f>SUMIFS(INDEX(Load,,MATCH('Summarized Modified Source Data'!$B102,Hour,0)),Season,'Summarized Modified Source Data'!$A102,Sector,'Summarized Modified Source Data'!S$2,TimeOfWeek,$D102)*Aircraft</f>
        <v>0</v>
      </c>
      <c r="T102" s="33">
        <f>SUMIFS(INDEX(Load,,MATCH('Summarized Modified Source Data'!$B102,Hour,0)),Season,'Summarized Modified Source Data'!$A102,Sector,'Summarized Modified Source Data'!T$2,TimeOfWeek,$D102)*Rail</f>
        <v>5981552.0960524799</v>
      </c>
      <c r="U102" s="33">
        <f>SUMIFS(INDEX(Load,,MATCH('Summarized Modified Source Data'!$B102,Hour,0)),Season,'Summarized Modified Source Data'!$A102,Sector,'Summarized Modified Source Data'!U$2,TimeOfWeek,$D102)*Ships</f>
        <v>0</v>
      </c>
      <c r="V102" s="33">
        <f>SUMIFS(INDEX(Load,,MATCH('Summarized Modified Source Data'!$B102,Hour,0)),Season,'Summarized Modified Source Data'!$A102,Sector,'Summarized Modified Source Data'!V$2,TimeOfWeek,$D102)*Motorbikes</f>
        <v>0</v>
      </c>
      <c r="W102" s="25">
        <f>SUMIFS(INDEX(Load,,MATCH('Summarized Modified Source Data'!$B102,Hour,0)),Season,'Summarized Modified Source Data'!$A102,Sector,'Summarized Modified Source Data'!W$2,Subsector,'Summarized Modified Source Data'!W$3,TimeOfWeek,$D102)</f>
        <v>1349000000</v>
      </c>
      <c r="X102" s="25">
        <f>SUMIFS(INDEX(Load,,MATCH('Summarized Modified Source Data'!$B102,Hour,0)),Season,'Summarized Modified Source Data'!$A102,Sector,'Summarized Modified Source Data'!X$2,Subsector,'Summarized Modified Source Data'!X$3,TimeOfWeek,$D102)</f>
        <v>0</v>
      </c>
      <c r="Y102" s="25">
        <f>SUMIFS(INDEX(Load,,MATCH('Summarized Modified Source Data'!$B102,Hour,0)),Season,'Summarized Modified Source Data'!$A102,Sector,'Summarized Modified Source Data'!Y$2,Subsector,'Summarized Modified Source Data'!Y$3,TimeOfWeek,$D102)</f>
        <v>0</v>
      </c>
    </row>
    <row r="103" spans="1:25" outlineLevel="1" x14ac:dyDescent="0.25">
      <c r="A103" t="s">
        <v>37</v>
      </c>
      <c r="B103" t="s">
        <v>150</v>
      </c>
      <c r="C103" s="7" t="s">
        <v>2</v>
      </c>
      <c r="D103" t="s">
        <v>114</v>
      </c>
      <c r="E103" s="25">
        <f>SUMIFS(INDEX(Load,,MATCH('Summarized Modified Source Data'!$B103,Hour,0)),Season,'Summarized Modified Source Data'!$A103,Sector,'Summarized Modified Source Data'!E$2,Subsector,'Summarized Modified Source Data'!E$3,TimeOfWeek,$D103)</f>
        <v>36809722</v>
      </c>
      <c r="F103" s="25">
        <f>SUMIFS(INDEX(Load,,MATCH('Summarized Modified Source Data'!$B103,Hour,0)),Season,'Summarized Modified Source Data'!$A103,Sector,'Summarized Modified Source Data'!F$2,Subsector,'Summarized Modified Source Data'!F$3,TimeOfWeek,$D103)</f>
        <v>46487</v>
      </c>
      <c r="G103" s="25">
        <f>SUMIFS(INDEX(Load,,MATCH('Summarized Modified Source Data'!$B103,Hour,0)),Season,'Summarized Modified Source Data'!$A103,Sector,'Summarized Modified Source Data'!G$2,Subsector,'Summarized Modified Source Data'!G$3,TimeOfWeek,$D103)</f>
        <v>0</v>
      </c>
      <c r="H103" s="25">
        <f>SUMIFS(INDEX(Load,,MATCH('Summarized Modified Source Data'!$B103,Hour,0)),Season,'Summarized Modified Source Data'!$A103,Sector,'Summarized Modified Source Data'!H$2,Subsector,'Summarized Modified Source Data'!H$3,TimeOfWeek,$D103)</f>
        <v>23057693</v>
      </c>
      <c r="I103" s="25">
        <f>SUMIFS(INDEX(Load,,MATCH('Summarized Modified Source Data'!$B103,Hour,0)),Season,'Summarized Modified Source Data'!$A103,Sector,'Summarized Modified Source Data'!I$2,Subsector,'Summarized Modified Source Data'!I$3,TimeOfWeek,$D103)</f>
        <v>8510454</v>
      </c>
      <c r="J103" s="25">
        <f t="shared" si="3"/>
        <v>8510454</v>
      </c>
      <c r="K103" s="25">
        <f>SUMIFS(INDEX(Load,,MATCH('Summarized Modified Source Data'!$B103,Hour,0)),Season,'Summarized Modified Source Data'!$A103,Sector,'Summarized Modified Source Data'!K$2,Subsector,'Summarized Modified Source Data'!K$3,TimeOfWeek,$D103)</f>
        <v>37572684</v>
      </c>
      <c r="L103" s="25">
        <f>SUMIFS(INDEX(Load,,MATCH('Summarized Modified Source Data'!$B103,Hour,0)),Season,'Summarized Modified Source Data'!$A103,Sector,'Summarized Modified Source Data'!L$2,Subsector,'Summarized Modified Source Data'!L$3,TimeOfWeek,$D103)</f>
        <v>130678</v>
      </c>
      <c r="M103" s="25">
        <f>SUMIFS(INDEX(Load,,MATCH('Summarized Modified Source Data'!$B103,Hour,0)),Season,'Summarized Modified Source Data'!$A103,Sector,'Summarized Modified Source Data'!M$2,Subsector,'Summarized Modified Source Data'!M$3,TimeOfWeek,$D103)</f>
        <v>0</v>
      </c>
      <c r="N103" s="25">
        <f t="shared" si="4"/>
        <v>273396638</v>
      </c>
      <c r="O103" s="25">
        <f>SUMIFS(INDEX(Load,,MATCH('Summarized Modified Source Data'!$B103,Hour,0)),Season,'Summarized Modified Source Data'!$A103,Sector,'Summarized Modified Source Data'!O$2,Subsector,"Total",TimeOfWeek,$D103)-SUM(K103:M103)</f>
        <v>273396638</v>
      </c>
      <c r="P103" s="25">
        <f t="shared" si="5"/>
        <v>273396638</v>
      </c>
      <c r="Q103" s="33" cm="1">
        <f t="array" ref="Q103">SUMIFS(INDEX(Load,,MATCH('Summarized Modified Source Data'!$B103,Hour,0)),Season,'Summarized Modified Source Data'!$A103,Sector,'Summarized Modified Source Data'!Q$2,TimeOfWeek,$D103)*LDVs</f>
        <v>2915725.1209218372</v>
      </c>
      <c r="R103" s="33" cm="1">
        <f t="array" ref="R103">SUMIFS(INDEX(Load,,MATCH('Summarized Modified Source Data'!$B103,Hour,0)),Season,'Summarized Modified Source Data'!$A103,Sector,'Summarized Modified Source Data'!R$2,TimeOfWeek,$D103)*HDVs</f>
        <v>1373906.7830256829</v>
      </c>
      <c r="S103" s="33">
        <f>SUMIFS(INDEX(Load,,MATCH('Summarized Modified Source Data'!$B103,Hour,0)),Season,'Summarized Modified Source Data'!$A103,Sector,'Summarized Modified Source Data'!S$2,TimeOfWeek,$D103)*Aircraft</f>
        <v>0</v>
      </c>
      <c r="T103" s="33">
        <f>SUMIFS(INDEX(Load,,MATCH('Summarized Modified Source Data'!$B103,Hour,0)),Season,'Summarized Modified Source Data'!$A103,Sector,'Summarized Modified Source Data'!T$2,TimeOfWeek,$D103)*Rail</f>
        <v>5981552.0960524799</v>
      </c>
      <c r="U103" s="33">
        <f>SUMIFS(INDEX(Load,,MATCH('Summarized Modified Source Data'!$B103,Hour,0)),Season,'Summarized Modified Source Data'!$A103,Sector,'Summarized Modified Source Data'!U$2,TimeOfWeek,$D103)*Ships</f>
        <v>0</v>
      </c>
      <c r="V103" s="33">
        <f>SUMIFS(INDEX(Load,,MATCH('Summarized Modified Source Data'!$B103,Hour,0)),Season,'Summarized Modified Source Data'!$A103,Sector,'Summarized Modified Source Data'!V$2,TimeOfWeek,$D103)*Motorbikes</f>
        <v>0</v>
      </c>
      <c r="W103" s="25">
        <f>SUMIFS(INDEX(Load,,MATCH('Summarized Modified Source Data'!$B103,Hour,0)),Season,'Summarized Modified Source Data'!$A103,Sector,'Summarized Modified Source Data'!W$2,Subsector,'Summarized Modified Source Data'!W$3,TimeOfWeek,$D103)</f>
        <v>1353000000</v>
      </c>
      <c r="X103" s="25">
        <f>SUMIFS(INDEX(Load,,MATCH('Summarized Modified Source Data'!$B103,Hour,0)),Season,'Summarized Modified Source Data'!$A103,Sector,'Summarized Modified Source Data'!X$2,Subsector,'Summarized Modified Source Data'!X$3,TimeOfWeek,$D103)</f>
        <v>0</v>
      </c>
      <c r="Y103" s="25">
        <f>SUMIFS(INDEX(Load,,MATCH('Summarized Modified Source Data'!$B103,Hour,0)),Season,'Summarized Modified Source Data'!$A103,Sector,'Summarized Modified Source Data'!Y$2,Subsector,'Summarized Modified Source Data'!Y$3,TimeOfWeek,$D103)</f>
        <v>0</v>
      </c>
    </row>
    <row r="104" spans="1:25" outlineLevel="1" x14ac:dyDescent="0.25">
      <c r="A104" t="s">
        <v>37</v>
      </c>
      <c r="B104" t="s">
        <v>151</v>
      </c>
      <c r="C104" s="7" t="s">
        <v>3</v>
      </c>
      <c r="D104" t="s">
        <v>114</v>
      </c>
      <c r="E104" s="25">
        <f>SUMIFS(INDEX(Load,,MATCH('Summarized Modified Source Data'!$B104,Hour,0)),Season,'Summarized Modified Source Data'!$A104,Sector,'Summarized Modified Source Data'!E$2,Subsector,'Summarized Modified Source Data'!E$3,TimeOfWeek,$D104)</f>
        <v>36103483</v>
      </c>
      <c r="F104" s="25">
        <f>SUMIFS(INDEX(Load,,MATCH('Summarized Modified Source Data'!$B104,Hour,0)),Season,'Summarized Modified Source Data'!$A104,Sector,'Summarized Modified Source Data'!F$2,Subsector,'Summarized Modified Source Data'!F$3,TimeOfWeek,$D104)</f>
        <v>46336</v>
      </c>
      <c r="G104" s="25">
        <f>SUMIFS(INDEX(Load,,MATCH('Summarized Modified Source Data'!$B104,Hour,0)),Season,'Summarized Modified Source Data'!$A104,Sector,'Summarized Modified Source Data'!G$2,Subsector,'Summarized Modified Source Data'!G$3,TimeOfWeek,$D104)</f>
        <v>0</v>
      </c>
      <c r="H104" s="25">
        <f>SUMIFS(INDEX(Load,,MATCH('Summarized Modified Source Data'!$B104,Hour,0)),Season,'Summarized Modified Source Data'!$A104,Sector,'Summarized Modified Source Data'!H$2,Subsector,'Summarized Modified Source Data'!H$3,TimeOfWeek,$D104)</f>
        <v>24270434</v>
      </c>
      <c r="I104" s="25">
        <f>SUMIFS(INDEX(Load,,MATCH('Summarized Modified Source Data'!$B104,Hour,0)),Season,'Summarized Modified Source Data'!$A104,Sector,'Summarized Modified Source Data'!I$2,Subsector,'Summarized Modified Source Data'!I$3,TimeOfWeek,$D104)</f>
        <v>8772917</v>
      </c>
      <c r="J104" s="25">
        <f t="shared" si="3"/>
        <v>8772917</v>
      </c>
      <c r="K104" s="25">
        <f>SUMIFS(INDEX(Load,,MATCH('Summarized Modified Source Data'!$B104,Hour,0)),Season,'Summarized Modified Source Data'!$A104,Sector,'Summarized Modified Source Data'!K$2,Subsector,'Summarized Modified Source Data'!K$3,TimeOfWeek,$D104)</f>
        <v>39198621</v>
      </c>
      <c r="L104" s="25">
        <f>SUMIFS(INDEX(Load,,MATCH('Summarized Modified Source Data'!$B104,Hour,0)),Season,'Summarized Modified Source Data'!$A104,Sector,'Summarized Modified Source Data'!L$2,Subsector,'Summarized Modified Source Data'!L$3,TimeOfWeek,$D104)</f>
        <v>130531</v>
      </c>
      <c r="M104" s="25">
        <f>SUMIFS(INDEX(Load,,MATCH('Summarized Modified Source Data'!$B104,Hour,0)),Season,'Summarized Modified Source Data'!$A104,Sector,'Summarized Modified Source Data'!M$2,Subsector,'Summarized Modified Source Data'!M$3,TimeOfWeek,$D104)</f>
        <v>0</v>
      </c>
      <c r="N104" s="25">
        <f t="shared" si="4"/>
        <v>277770848</v>
      </c>
      <c r="O104" s="25">
        <f>SUMIFS(INDEX(Load,,MATCH('Summarized Modified Source Data'!$B104,Hour,0)),Season,'Summarized Modified Source Data'!$A104,Sector,'Summarized Modified Source Data'!O$2,Subsector,"Total",TimeOfWeek,$D104)-SUM(K104:M104)</f>
        <v>277770848</v>
      </c>
      <c r="P104" s="25">
        <f t="shared" si="5"/>
        <v>277770848</v>
      </c>
      <c r="Q104" s="33" cm="1">
        <f t="array" ref="Q104">SUMIFS(INDEX(Load,,MATCH('Summarized Modified Source Data'!$B104,Hour,0)),Season,'Summarized Modified Source Data'!$A104,Sector,'Summarized Modified Source Data'!Q$2,TimeOfWeek,$D104)*LDVs</f>
        <v>2902427.3134281281</v>
      </c>
      <c r="R104" s="33" cm="1">
        <f t="array" ref="R104">SUMIFS(INDEX(Load,,MATCH('Summarized Modified Source Data'!$B104,Hour,0)),Season,'Summarized Modified Source Data'!$A104,Sector,'Summarized Modified Source Data'!R$2,TimeOfWeek,$D104)*HDVs</f>
        <v>1367640.7781187459</v>
      </c>
      <c r="S104" s="33">
        <f>SUMIFS(INDEX(Load,,MATCH('Summarized Modified Source Data'!$B104,Hour,0)),Season,'Summarized Modified Source Data'!$A104,Sector,'Summarized Modified Source Data'!S$2,TimeOfWeek,$D104)*Aircraft</f>
        <v>0</v>
      </c>
      <c r="T104" s="33">
        <f>SUMIFS(INDEX(Load,,MATCH('Summarized Modified Source Data'!$B104,Hour,0)),Season,'Summarized Modified Source Data'!$A104,Sector,'Summarized Modified Source Data'!T$2,TimeOfWeek,$D104)*Rail</f>
        <v>5954271.9084531264</v>
      </c>
      <c r="U104" s="33">
        <f>SUMIFS(INDEX(Load,,MATCH('Summarized Modified Source Data'!$B104,Hour,0)),Season,'Summarized Modified Source Data'!$A104,Sector,'Summarized Modified Source Data'!U$2,TimeOfWeek,$D104)*Ships</f>
        <v>0</v>
      </c>
      <c r="V104" s="33">
        <f>SUMIFS(INDEX(Load,,MATCH('Summarized Modified Source Data'!$B104,Hour,0)),Season,'Summarized Modified Source Data'!$A104,Sector,'Summarized Modified Source Data'!V$2,TimeOfWeek,$D104)*Motorbikes</f>
        <v>0</v>
      </c>
      <c r="W104" s="25">
        <f>SUMIFS(INDEX(Load,,MATCH('Summarized Modified Source Data'!$B104,Hour,0)),Season,'Summarized Modified Source Data'!$A104,Sector,'Summarized Modified Source Data'!W$2,Subsector,'Summarized Modified Source Data'!W$3,TimeOfWeek,$D104)</f>
        <v>1364000000</v>
      </c>
      <c r="X104" s="25">
        <f>SUMIFS(INDEX(Load,,MATCH('Summarized Modified Source Data'!$B104,Hour,0)),Season,'Summarized Modified Source Data'!$A104,Sector,'Summarized Modified Source Data'!X$2,Subsector,'Summarized Modified Source Data'!X$3,TimeOfWeek,$D104)</f>
        <v>0</v>
      </c>
      <c r="Y104" s="25">
        <f>SUMIFS(INDEX(Load,,MATCH('Summarized Modified Source Data'!$B104,Hour,0)),Season,'Summarized Modified Source Data'!$A104,Sector,'Summarized Modified Source Data'!Y$2,Subsector,'Summarized Modified Source Data'!Y$3,TimeOfWeek,$D104)</f>
        <v>0</v>
      </c>
    </row>
    <row r="105" spans="1:25" outlineLevel="1" x14ac:dyDescent="0.25">
      <c r="A105" t="s">
        <v>37</v>
      </c>
      <c r="B105" t="s">
        <v>152</v>
      </c>
      <c r="C105" s="7" t="s">
        <v>4</v>
      </c>
      <c r="D105" t="s">
        <v>114</v>
      </c>
      <c r="E105" s="25">
        <f>SUMIFS(INDEX(Load,,MATCH('Summarized Modified Source Data'!$B105,Hour,0)),Season,'Summarized Modified Source Data'!$A105,Sector,'Summarized Modified Source Data'!E$2,Subsector,'Summarized Modified Source Data'!E$3,TimeOfWeek,$D105)</f>
        <v>37978867</v>
      </c>
      <c r="F105" s="25">
        <f>SUMIFS(INDEX(Load,,MATCH('Summarized Modified Source Data'!$B105,Hour,0)),Season,'Summarized Modified Source Data'!$A105,Sector,'Summarized Modified Source Data'!F$2,Subsector,'Summarized Modified Source Data'!F$3,TimeOfWeek,$D105)</f>
        <v>45507</v>
      </c>
      <c r="G105" s="25">
        <f>SUMIFS(INDEX(Load,,MATCH('Summarized Modified Source Data'!$B105,Hour,0)),Season,'Summarized Modified Source Data'!$A105,Sector,'Summarized Modified Source Data'!G$2,Subsector,'Summarized Modified Source Data'!G$3,TimeOfWeek,$D105)</f>
        <v>0</v>
      </c>
      <c r="H105" s="25">
        <f>SUMIFS(INDEX(Load,,MATCH('Summarized Modified Source Data'!$B105,Hour,0)),Season,'Summarized Modified Source Data'!$A105,Sector,'Summarized Modified Source Data'!H$2,Subsector,'Summarized Modified Source Data'!H$3,TimeOfWeek,$D105)</f>
        <v>31453615</v>
      </c>
      <c r="I105" s="25">
        <f>SUMIFS(INDEX(Load,,MATCH('Summarized Modified Source Data'!$B105,Hour,0)),Season,'Summarized Modified Source Data'!$A105,Sector,'Summarized Modified Source Data'!I$2,Subsector,'Summarized Modified Source Data'!I$3,TimeOfWeek,$D105)</f>
        <v>11366502</v>
      </c>
      <c r="J105" s="25">
        <f t="shared" si="3"/>
        <v>11366502</v>
      </c>
      <c r="K105" s="25">
        <f>SUMIFS(INDEX(Load,,MATCH('Summarized Modified Source Data'!$B105,Hour,0)),Season,'Summarized Modified Source Data'!$A105,Sector,'Summarized Modified Source Data'!K$2,Subsector,'Summarized Modified Source Data'!K$3,TimeOfWeek,$D105)</f>
        <v>40951769</v>
      </c>
      <c r="L105" s="25">
        <f>SUMIFS(INDEX(Load,,MATCH('Summarized Modified Source Data'!$B105,Hour,0)),Season,'Summarized Modified Source Data'!$A105,Sector,'Summarized Modified Source Data'!L$2,Subsector,'Summarized Modified Source Data'!L$3,TimeOfWeek,$D105)</f>
        <v>131957</v>
      </c>
      <c r="M105" s="25">
        <f>SUMIFS(INDEX(Load,,MATCH('Summarized Modified Source Data'!$B105,Hour,0)),Season,'Summarized Modified Source Data'!$A105,Sector,'Summarized Modified Source Data'!M$2,Subsector,'Summarized Modified Source Data'!M$3,TimeOfWeek,$D105)</f>
        <v>0</v>
      </c>
      <c r="N105" s="25">
        <f t="shared" si="4"/>
        <v>297116274</v>
      </c>
      <c r="O105" s="25">
        <f>SUMIFS(INDEX(Load,,MATCH('Summarized Modified Source Data'!$B105,Hour,0)),Season,'Summarized Modified Source Data'!$A105,Sector,'Summarized Modified Source Data'!O$2,Subsector,"Total",TimeOfWeek,$D105)-SUM(K105:M105)</f>
        <v>297116274</v>
      </c>
      <c r="P105" s="25">
        <f t="shared" si="5"/>
        <v>297116274</v>
      </c>
      <c r="Q105" s="33" cm="1">
        <f t="array" ref="Q105">SUMIFS(INDEX(Load,,MATCH('Summarized Modified Source Data'!$B105,Hour,0)),Season,'Summarized Modified Source Data'!$A105,Sector,'Summarized Modified Source Data'!Q$2,TimeOfWeek,$D105)*LDVs</f>
        <v>2922373.740794396</v>
      </c>
      <c r="R105" s="33" cm="1">
        <f t="array" ref="R105">SUMIFS(INDEX(Load,,MATCH('Summarized Modified Source Data'!$B105,Hour,0)),Season,'Summarized Modified Source Data'!$A105,Sector,'Summarized Modified Source Data'!R$2,TimeOfWeek,$D105)*HDVs</f>
        <v>1377039.6517159182</v>
      </c>
      <c r="S105" s="33">
        <f>SUMIFS(INDEX(Load,,MATCH('Summarized Modified Source Data'!$B105,Hour,0)),Season,'Summarized Modified Source Data'!$A105,Sector,'Summarized Modified Source Data'!S$2,TimeOfWeek,$D105)*Aircraft</f>
        <v>0</v>
      </c>
      <c r="T105" s="33">
        <f>SUMIFS(INDEX(Load,,MATCH('Summarized Modified Source Data'!$B105,Hour,0)),Season,'Summarized Modified Source Data'!$A105,Sector,'Summarized Modified Source Data'!T$2,TimeOfWeek,$D105)*Rail</f>
        <v>5995191.6074896855</v>
      </c>
      <c r="U105" s="33">
        <f>SUMIFS(INDEX(Load,,MATCH('Summarized Modified Source Data'!$B105,Hour,0)),Season,'Summarized Modified Source Data'!$A105,Sector,'Summarized Modified Source Data'!U$2,TimeOfWeek,$D105)*Ships</f>
        <v>0</v>
      </c>
      <c r="V105" s="33">
        <f>SUMIFS(INDEX(Load,,MATCH('Summarized Modified Source Data'!$B105,Hour,0)),Season,'Summarized Modified Source Data'!$A105,Sector,'Summarized Modified Source Data'!V$2,TimeOfWeek,$D105)*Motorbikes</f>
        <v>0</v>
      </c>
      <c r="W105" s="25">
        <f>SUMIFS(INDEX(Load,,MATCH('Summarized Modified Source Data'!$B105,Hour,0)),Season,'Summarized Modified Source Data'!$A105,Sector,'Summarized Modified Source Data'!W$2,Subsector,'Summarized Modified Source Data'!W$3,TimeOfWeek,$D105)</f>
        <v>1376000000</v>
      </c>
      <c r="X105" s="25">
        <f>SUMIFS(INDEX(Load,,MATCH('Summarized Modified Source Data'!$B105,Hour,0)),Season,'Summarized Modified Source Data'!$A105,Sector,'Summarized Modified Source Data'!X$2,Subsector,'Summarized Modified Source Data'!X$3,TimeOfWeek,$D105)</f>
        <v>0</v>
      </c>
      <c r="Y105" s="25">
        <f>SUMIFS(INDEX(Load,,MATCH('Summarized Modified Source Data'!$B105,Hour,0)),Season,'Summarized Modified Source Data'!$A105,Sector,'Summarized Modified Source Data'!Y$2,Subsector,'Summarized Modified Source Data'!Y$3,TimeOfWeek,$D105)</f>
        <v>0</v>
      </c>
    </row>
    <row r="106" spans="1:25" outlineLevel="1" x14ac:dyDescent="0.25">
      <c r="A106" t="s">
        <v>37</v>
      </c>
      <c r="B106" t="s">
        <v>153</v>
      </c>
      <c r="C106" s="7" t="s">
        <v>5</v>
      </c>
      <c r="D106" t="s">
        <v>114</v>
      </c>
      <c r="E106" s="25">
        <f>SUMIFS(INDEX(Load,,MATCH('Summarized Modified Source Data'!$B106,Hour,0)),Season,'Summarized Modified Source Data'!$A106,Sector,'Summarized Modified Source Data'!E$2,Subsector,'Summarized Modified Source Data'!E$3,TimeOfWeek,$D106)</f>
        <v>40110736</v>
      </c>
      <c r="F106" s="25">
        <f>SUMIFS(INDEX(Load,,MATCH('Summarized Modified Source Data'!$B106,Hour,0)),Season,'Summarized Modified Source Data'!$A106,Sector,'Summarized Modified Source Data'!F$2,Subsector,'Summarized Modified Source Data'!F$3,TimeOfWeek,$D106)</f>
        <v>43686</v>
      </c>
      <c r="G106" s="25">
        <f>SUMIFS(INDEX(Load,,MATCH('Summarized Modified Source Data'!$B106,Hour,0)),Season,'Summarized Modified Source Data'!$A106,Sector,'Summarized Modified Source Data'!G$2,Subsector,'Summarized Modified Source Data'!G$3,TimeOfWeek,$D106)</f>
        <v>0</v>
      </c>
      <c r="H106" s="25">
        <f>SUMIFS(INDEX(Load,,MATCH('Summarized Modified Source Data'!$B106,Hour,0)),Season,'Summarized Modified Source Data'!$A106,Sector,'Summarized Modified Source Data'!H$2,Subsector,'Summarized Modified Source Data'!H$3,TimeOfWeek,$D106)</f>
        <v>54300000</v>
      </c>
      <c r="I106" s="25">
        <f>SUMIFS(INDEX(Load,,MATCH('Summarized Modified Source Data'!$B106,Hour,0)),Season,'Summarized Modified Source Data'!$A106,Sector,'Summarized Modified Source Data'!I$2,Subsector,'Summarized Modified Source Data'!I$3,TimeOfWeek,$D106)</f>
        <v>20018984</v>
      </c>
      <c r="J106" s="25">
        <f t="shared" si="3"/>
        <v>20018984</v>
      </c>
      <c r="K106" s="25">
        <f>SUMIFS(INDEX(Load,,MATCH('Summarized Modified Source Data'!$B106,Hour,0)),Season,'Summarized Modified Source Data'!$A106,Sector,'Summarized Modified Source Data'!K$2,Subsector,'Summarized Modified Source Data'!K$3,TimeOfWeek,$D106)</f>
        <v>51000000</v>
      </c>
      <c r="L106" s="25">
        <f>SUMIFS(INDEX(Load,,MATCH('Summarized Modified Source Data'!$B106,Hour,0)),Season,'Summarized Modified Source Data'!$A106,Sector,'Summarized Modified Source Data'!L$2,Subsector,'Summarized Modified Source Data'!L$3,TimeOfWeek,$D106)</f>
        <v>137052</v>
      </c>
      <c r="M106" s="25">
        <f>SUMIFS(INDEX(Load,,MATCH('Summarized Modified Source Data'!$B106,Hour,0)),Season,'Summarized Modified Source Data'!$A106,Sector,'Summarized Modified Source Data'!M$2,Subsector,'Summarized Modified Source Data'!M$3,TimeOfWeek,$D106)</f>
        <v>0</v>
      </c>
      <c r="N106" s="25">
        <f t="shared" si="4"/>
        <v>332962948</v>
      </c>
      <c r="O106" s="25">
        <f>SUMIFS(INDEX(Load,,MATCH('Summarized Modified Source Data'!$B106,Hour,0)),Season,'Summarized Modified Source Data'!$A106,Sector,'Summarized Modified Source Data'!O$2,Subsector,"Total",TimeOfWeek,$D106)-SUM(K106:M106)</f>
        <v>332962948</v>
      </c>
      <c r="P106" s="25">
        <f t="shared" si="5"/>
        <v>332962948</v>
      </c>
      <c r="Q106" s="33" cm="1">
        <f t="array" ref="Q106">SUMIFS(INDEX(Load,,MATCH('Summarized Modified Source Data'!$B106,Hour,0)),Season,'Summarized Modified Source Data'!$A106,Sector,'Summarized Modified Source Data'!Q$2,TimeOfWeek,$D106)*LDVs</f>
        <v>3622655.5755102201</v>
      </c>
      <c r="R106" s="33" cm="1">
        <f t="array" ref="R106">SUMIFS(INDEX(Load,,MATCH('Summarized Modified Source Data'!$B106,Hour,0)),Season,'Summarized Modified Source Data'!$A106,Sector,'Summarized Modified Source Data'!R$2,TimeOfWeek,$D106)*HDVs</f>
        <v>1707016.5606645765</v>
      </c>
      <c r="S106" s="33">
        <f>SUMIFS(INDEX(Load,,MATCH('Summarized Modified Source Data'!$B106,Hour,0)),Season,'Summarized Modified Source Data'!$A106,Sector,'Summarized Modified Source Data'!S$2,TimeOfWeek,$D106)*Aircraft</f>
        <v>0</v>
      </c>
      <c r="T106" s="33">
        <f>SUMIFS(INDEX(Load,,MATCH('Summarized Modified Source Data'!$B106,Hour,0)),Season,'Summarized Modified Source Data'!$A106,Sector,'Summarized Modified Source Data'!T$2,TimeOfWeek,$D106)*Rail</f>
        <v>7431805.8638252039</v>
      </c>
      <c r="U106" s="33">
        <f>SUMIFS(INDEX(Load,,MATCH('Summarized Modified Source Data'!$B106,Hour,0)),Season,'Summarized Modified Source Data'!$A106,Sector,'Summarized Modified Source Data'!U$2,TimeOfWeek,$D106)*Ships</f>
        <v>0</v>
      </c>
      <c r="V106" s="33">
        <f>SUMIFS(INDEX(Load,,MATCH('Summarized Modified Source Data'!$B106,Hour,0)),Season,'Summarized Modified Source Data'!$A106,Sector,'Summarized Modified Source Data'!V$2,TimeOfWeek,$D106)*Motorbikes</f>
        <v>0</v>
      </c>
      <c r="W106" s="25">
        <f>SUMIFS(INDEX(Load,,MATCH('Summarized Modified Source Data'!$B106,Hour,0)),Season,'Summarized Modified Source Data'!$A106,Sector,'Summarized Modified Source Data'!W$2,Subsector,'Summarized Modified Source Data'!W$3,TimeOfWeek,$D106)</f>
        <v>1383000000</v>
      </c>
      <c r="X106" s="25">
        <f>SUMIFS(INDEX(Load,,MATCH('Summarized Modified Source Data'!$B106,Hour,0)),Season,'Summarized Modified Source Data'!$A106,Sector,'Summarized Modified Source Data'!X$2,Subsector,'Summarized Modified Source Data'!X$3,TimeOfWeek,$D106)</f>
        <v>0</v>
      </c>
      <c r="Y106" s="25">
        <f>SUMIFS(INDEX(Load,,MATCH('Summarized Modified Source Data'!$B106,Hour,0)),Season,'Summarized Modified Source Data'!$A106,Sector,'Summarized Modified Source Data'!Y$2,Subsector,'Summarized Modified Source Data'!Y$3,TimeOfWeek,$D106)</f>
        <v>0</v>
      </c>
    </row>
    <row r="107" spans="1:25" outlineLevel="1" x14ac:dyDescent="0.25">
      <c r="A107" t="s">
        <v>37</v>
      </c>
      <c r="B107" t="s">
        <v>154</v>
      </c>
      <c r="C107" s="7" t="s">
        <v>6</v>
      </c>
      <c r="D107" t="s">
        <v>114</v>
      </c>
      <c r="E107" s="25">
        <f>SUMIFS(INDEX(Load,,MATCH('Summarized Modified Source Data'!$B107,Hour,0)),Season,'Summarized Modified Source Data'!$A107,Sector,'Summarized Modified Source Data'!E$2,Subsector,'Summarized Modified Source Data'!E$3,TimeOfWeek,$D107)</f>
        <v>42883799</v>
      </c>
      <c r="F107" s="25">
        <f>SUMIFS(INDEX(Load,,MATCH('Summarized Modified Source Data'!$B107,Hour,0)),Season,'Summarized Modified Source Data'!$A107,Sector,'Summarized Modified Source Data'!F$2,Subsector,'Summarized Modified Source Data'!F$3,TimeOfWeek,$D107)</f>
        <v>40608</v>
      </c>
      <c r="G107" s="25">
        <f>SUMIFS(INDEX(Load,,MATCH('Summarized Modified Source Data'!$B107,Hour,0)),Season,'Summarized Modified Source Data'!$A107,Sector,'Summarized Modified Source Data'!G$2,Subsector,'Summarized Modified Source Data'!G$3,TimeOfWeek,$D107)</f>
        <v>0</v>
      </c>
      <c r="H107" s="25">
        <f>SUMIFS(INDEX(Load,,MATCH('Summarized Modified Source Data'!$B107,Hour,0)),Season,'Summarized Modified Source Data'!$A107,Sector,'Summarized Modified Source Data'!H$2,Subsector,'Summarized Modified Source Data'!H$3,TimeOfWeek,$D107)</f>
        <v>62847728</v>
      </c>
      <c r="I107" s="25">
        <f>SUMIFS(INDEX(Load,,MATCH('Summarized Modified Source Data'!$B107,Hour,0)),Season,'Summarized Modified Source Data'!$A107,Sector,'Summarized Modified Source Data'!I$2,Subsector,'Summarized Modified Source Data'!I$3,TimeOfWeek,$D107)</f>
        <v>31237722</v>
      </c>
      <c r="J107" s="25">
        <f t="shared" si="3"/>
        <v>31237722</v>
      </c>
      <c r="K107" s="25">
        <f>SUMIFS(INDEX(Load,,MATCH('Summarized Modified Source Data'!$B107,Hour,0)),Season,'Summarized Modified Source Data'!$A107,Sector,'Summarized Modified Source Data'!K$2,Subsector,'Summarized Modified Source Data'!K$3,TimeOfWeek,$D107)</f>
        <v>99700000</v>
      </c>
      <c r="L107" s="25">
        <f>SUMIFS(INDEX(Load,,MATCH('Summarized Modified Source Data'!$B107,Hour,0)),Season,'Summarized Modified Source Data'!$A107,Sector,'Summarized Modified Source Data'!L$2,Subsector,'Summarized Modified Source Data'!L$3,TimeOfWeek,$D107)</f>
        <v>147107</v>
      </c>
      <c r="M107" s="25">
        <f>SUMIFS(INDEX(Load,,MATCH('Summarized Modified Source Data'!$B107,Hour,0)),Season,'Summarized Modified Source Data'!$A107,Sector,'Summarized Modified Source Data'!M$2,Subsector,'Summarized Modified Source Data'!M$3,TimeOfWeek,$D107)</f>
        <v>0</v>
      </c>
      <c r="N107" s="25">
        <f t="shared" si="4"/>
        <v>422152893</v>
      </c>
      <c r="O107" s="25">
        <f>SUMIFS(INDEX(Load,,MATCH('Summarized Modified Source Data'!$B107,Hour,0)),Season,'Summarized Modified Source Data'!$A107,Sector,'Summarized Modified Source Data'!O$2,Subsector,"Total",TimeOfWeek,$D107)-SUM(K107:M107)</f>
        <v>422152893</v>
      </c>
      <c r="P107" s="25">
        <f t="shared" si="5"/>
        <v>422152893</v>
      </c>
      <c r="Q107" s="33" cm="1">
        <f t="array" ref="Q107">SUMIFS(INDEX(Load,,MATCH('Summarized Modified Source Data'!$B107,Hour,0)),Season,'Summarized Modified Source Data'!$A107,Sector,'Summarized Modified Source Data'!Q$2,TimeOfWeek,$D107)*LDVs</f>
        <v>4713339.5092147728</v>
      </c>
      <c r="R107" s="33" cm="1">
        <f t="array" ref="R107">SUMIFS(INDEX(Load,,MATCH('Summarized Modified Source Data'!$B107,Hour,0)),Season,'Summarized Modified Source Data'!$A107,Sector,'Summarized Modified Source Data'!R$2,TimeOfWeek,$D107)*HDVs</f>
        <v>2220953.2290772879</v>
      </c>
      <c r="S107" s="33">
        <f>SUMIFS(INDEX(Load,,MATCH('Summarized Modified Source Data'!$B107,Hour,0)),Season,'Summarized Modified Source Data'!$A107,Sector,'Summarized Modified Source Data'!S$2,TimeOfWeek,$D107)*Aircraft</f>
        <v>0</v>
      </c>
      <c r="T107" s="33">
        <f>SUMIFS(INDEX(Load,,MATCH('Summarized Modified Source Data'!$B107,Hour,0)),Season,'Summarized Modified Source Data'!$A107,Sector,'Summarized Modified Source Data'!T$2,TimeOfWeek,$D107)*Rail</f>
        <v>9669322.2617079392</v>
      </c>
      <c r="U107" s="33">
        <f>SUMIFS(INDEX(Load,,MATCH('Summarized Modified Source Data'!$B107,Hour,0)),Season,'Summarized Modified Source Data'!$A107,Sector,'Summarized Modified Source Data'!U$2,TimeOfWeek,$D107)*Ships</f>
        <v>0</v>
      </c>
      <c r="V107" s="33">
        <f>SUMIFS(INDEX(Load,,MATCH('Summarized Modified Source Data'!$B107,Hour,0)),Season,'Summarized Modified Source Data'!$A107,Sector,'Summarized Modified Source Data'!V$2,TimeOfWeek,$D107)*Motorbikes</f>
        <v>0</v>
      </c>
      <c r="W107" s="25">
        <f>SUMIFS(INDEX(Load,,MATCH('Summarized Modified Source Data'!$B107,Hour,0)),Season,'Summarized Modified Source Data'!$A107,Sector,'Summarized Modified Source Data'!W$2,Subsector,'Summarized Modified Source Data'!W$3,TimeOfWeek,$D107)</f>
        <v>1384000000</v>
      </c>
      <c r="X107" s="25">
        <f>SUMIFS(INDEX(Load,,MATCH('Summarized Modified Source Data'!$B107,Hour,0)),Season,'Summarized Modified Source Data'!$A107,Sector,'Summarized Modified Source Data'!X$2,Subsector,'Summarized Modified Source Data'!X$3,TimeOfWeek,$D107)</f>
        <v>0</v>
      </c>
      <c r="Y107" s="25">
        <f>SUMIFS(INDEX(Load,,MATCH('Summarized Modified Source Data'!$B107,Hour,0)),Season,'Summarized Modified Source Data'!$A107,Sector,'Summarized Modified Source Data'!Y$2,Subsector,'Summarized Modified Source Data'!Y$3,TimeOfWeek,$D107)</f>
        <v>0</v>
      </c>
    </row>
    <row r="108" spans="1:25" outlineLevel="1" x14ac:dyDescent="0.25">
      <c r="A108" t="s">
        <v>37</v>
      </c>
      <c r="B108" t="s">
        <v>155</v>
      </c>
      <c r="C108" s="7" t="s">
        <v>7</v>
      </c>
      <c r="D108" t="s">
        <v>114</v>
      </c>
      <c r="E108" s="25">
        <f>SUMIFS(INDEX(Load,,MATCH('Summarized Modified Source Data'!$B108,Hour,0)),Season,'Summarized Modified Source Data'!$A108,Sector,'Summarized Modified Source Data'!E$2,Subsector,'Summarized Modified Source Data'!E$3,TimeOfWeek,$D108)</f>
        <v>44094595</v>
      </c>
      <c r="F108" s="25">
        <f>SUMIFS(INDEX(Load,,MATCH('Summarized Modified Source Data'!$B108,Hour,0)),Season,'Summarized Modified Source Data'!$A108,Sector,'Summarized Modified Source Data'!F$2,Subsector,'Summarized Modified Source Data'!F$3,TimeOfWeek,$D108)</f>
        <v>36324</v>
      </c>
      <c r="G108" s="25">
        <f>SUMIFS(INDEX(Load,,MATCH('Summarized Modified Source Data'!$B108,Hour,0)),Season,'Summarized Modified Source Data'!$A108,Sector,'Summarized Modified Source Data'!G$2,Subsector,'Summarized Modified Source Data'!G$3,TimeOfWeek,$D108)</f>
        <v>0</v>
      </c>
      <c r="H108" s="25">
        <f>SUMIFS(INDEX(Load,,MATCH('Summarized Modified Source Data'!$B108,Hour,0)),Season,'Summarized Modified Source Data'!$A108,Sector,'Summarized Modified Source Data'!H$2,Subsector,'Summarized Modified Source Data'!H$3,TimeOfWeek,$D108)</f>
        <v>30651792</v>
      </c>
      <c r="I108" s="25">
        <f>SUMIFS(INDEX(Load,,MATCH('Summarized Modified Source Data'!$B108,Hour,0)),Season,'Summarized Modified Source Data'!$A108,Sector,'Summarized Modified Source Data'!I$2,Subsector,'Summarized Modified Source Data'!I$3,TimeOfWeek,$D108)</f>
        <v>47500000</v>
      </c>
      <c r="J108" s="25">
        <f t="shared" si="3"/>
        <v>47500000</v>
      </c>
      <c r="K108" s="25">
        <f>SUMIFS(INDEX(Load,,MATCH('Summarized Modified Source Data'!$B108,Hour,0)),Season,'Summarized Modified Source Data'!$A108,Sector,'Summarized Modified Source Data'!K$2,Subsector,'Summarized Modified Source Data'!K$3,TimeOfWeek,$D108)</f>
        <v>121900000</v>
      </c>
      <c r="L108" s="25">
        <f>SUMIFS(INDEX(Load,,MATCH('Summarized Modified Source Data'!$B108,Hour,0)),Season,'Summarized Modified Source Data'!$A108,Sector,'Summarized Modified Source Data'!L$2,Subsector,'Summarized Modified Source Data'!L$3,TimeOfWeek,$D108)</f>
        <v>161885</v>
      </c>
      <c r="M108" s="25">
        <f>SUMIFS(INDEX(Load,,MATCH('Summarized Modified Source Data'!$B108,Hour,0)),Season,'Summarized Modified Source Data'!$A108,Sector,'Summarized Modified Source Data'!M$2,Subsector,'Summarized Modified Source Data'!M$3,TimeOfWeek,$D108)</f>
        <v>0</v>
      </c>
      <c r="N108" s="25">
        <f t="shared" si="4"/>
        <v>480938115</v>
      </c>
      <c r="O108" s="25">
        <f>SUMIFS(INDEX(Load,,MATCH('Summarized Modified Source Data'!$B108,Hour,0)),Season,'Summarized Modified Source Data'!$A108,Sector,'Summarized Modified Source Data'!O$2,Subsector,"Total",TimeOfWeek,$D108)-SUM(K108:M108)</f>
        <v>480938115</v>
      </c>
      <c r="P108" s="25">
        <f t="shared" si="5"/>
        <v>480938115</v>
      </c>
      <c r="Q108" s="33" cm="1">
        <f t="array" ref="Q108">SUMIFS(INDEX(Load,,MATCH('Summarized Modified Source Data'!$B108,Hour,0)),Season,'Summarized Modified Source Data'!$A108,Sector,'Summarized Modified Source Data'!Q$2,TimeOfWeek,$D108)*LDVs</f>
        <v>5623971.3451989722</v>
      </c>
      <c r="R108" s="33" cm="1">
        <f t="array" ref="R108">SUMIFS(INDEX(Load,,MATCH('Summarized Modified Source Data'!$B108,Hour,0)),Season,'Summarized Modified Source Data'!$A108,Sector,'Summarized Modified Source Data'!R$2,TimeOfWeek,$D108)*HDVs</f>
        <v>2650048.2927101268</v>
      </c>
      <c r="S108" s="33">
        <f>SUMIFS(INDEX(Load,,MATCH('Summarized Modified Source Data'!$B108,Hour,0)),Season,'Summarized Modified Source Data'!$A108,Sector,'Summarized Modified Source Data'!S$2,TimeOfWeek,$D108)*Aircraft</f>
        <v>0</v>
      </c>
      <c r="T108" s="33">
        <f>SUMIFS(INDEX(Load,,MATCH('Summarized Modified Source Data'!$B108,Hour,0)),Season,'Summarized Modified Source Data'!$A108,Sector,'Summarized Modified Source Data'!T$2,TimeOfWeek,$D108)*Rail</f>
        <v>11537465.362090901</v>
      </c>
      <c r="U108" s="33">
        <f>SUMIFS(INDEX(Load,,MATCH('Summarized Modified Source Data'!$B108,Hour,0)),Season,'Summarized Modified Source Data'!$A108,Sector,'Summarized Modified Source Data'!U$2,TimeOfWeek,$D108)*Ships</f>
        <v>0</v>
      </c>
      <c r="V108" s="33">
        <f>SUMIFS(INDEX(Load,,MATCH('Summarized Modified Source Data'!$B108,Hour,0)),Season,'Summarized Modified Source Data'!$A108,Sector,'Summarized Modified Source Data'!V$2,TimeOfWeek,$D108)*Motorbikes</f>
        <v>0</v>
      </c>
      <c r="W108" s="25">
        <f>SUMIFS(INDEX(Load,,MATCH('Summarized Modified Source Data'!$B108,Hour,0)),Season,'Summarized Modified Source Data'!$A108,Sector,'Summarized Modified Source Data'!W$2,Subsector,'Summarized Modified Source Data'!W$3,TimeOfWeek,$D108)</f>
        <v>1382000000</v>
      </c>
      <c r="X108" s="25">
        <f>SUMIFS(INDEX(Load,,MATCH('Summarized Modified Source Data'!$B108,Hour,0)),Season,'Summarized Modified Source Data'!$A108,Sector,'Summarized Modified Source Data'!X$2,Subsector,'Summarized Modified Source Data'!X$3,TimeOfWeek,$D108)</f>
        <v>0</v>
      </c>
      <c r="Y108" s="25">
        <f>SUMIFS(INDEX(Load,,MATCH('Summarized Modified Source Data'!$B108,Hour,0)),Season,'Summarized Modified Source Data'!$A108,Sector,'Summarized Modified Source Data'!Y$2,Subsector,'Summarized Modified Source Data'!Y$3,TimeOfWeek,$D108)</f>
        <v>0</v>
      </c>
    </row>
    <row r="109" spans="1:25" outlineLevel="1" x14ac:dyDescent="0.25">
      <c r="A109" t="s">
        <v>37</v>
      </c>
      <c r="B109" t="s">
        <v>156</v>
      </c>
      <c r="C109" s="7" t="s">
        <v>8</v>
      </c>
      <c r="D109" t="s">
        <v>114</v>
      </c>
      <c r="E109" s="25">
        <f>SUMIFS(INDEX(Load,,MATCH('Summarized Modified Source Data'!$B109,Hour,0)),Season,'Summarized Modified Source Data'!$A109,Sector,'Summarized Modified Source Data'!E$2,Subsector,'Summarized Modified Source Data'!E$3,TimeOfWeek,$D109)</f>
        <v>42954250</v>
      </c>
      <c r="F109" s="25">
        <f>SUMIFS(INDEX(Load,,MATCH('Summarized Modified Source Data'!$B109,Hour,0)),Season,'Summarized Modified Source Data'!$A109,Sector,'Summarized Modified Source Data'!F$2,Subsector,'Summarized Modified Source Data'!F$3,TimeOfWeek,$D109)</f>
        <v>31659</v>
      </c>
      <c r="G109" s="25">
        <f>SUMIFS(INDEX(Load,,MATCH('Summarized Modified Source Data'!$B109,Hour,0)),Season,'Summarized Modified Source Data'!$A109,Sector,'Summarized Modified Source Data'!G$2,Subsector,'Summarized Modified Source Data'!G$3,TimeOfWeek,$D109)</f>
        <v>0</v>
      </c>
      <c r="H109" s="25">
        <f>SUMIFS(INDEX(Load,,MATCH('Summarized Modified Source Data'!$B109,Hour,0)),Season,'Summarized Modified Source Data'!$A109,Sector,'Summarized Modified Source Data'!H$2,Subsector,'Summarized Modified Source Data'!H$3,TimeOfWeek,$D109)</f>
        <v>31760781</v>
      </c>
      <c r="I109" s="25">
        <f>SUMIFS(INDEX(Load,,MATCH('Summarized Modified Source Data'!$B109,Hour,0)),Season,'Summarized Modified Source Data'!$A109,Sector,'Summarized Modified Source Data'!I$2,Subsector,'Summarized Modified Source Data'!I$3,TimeOfWeek,$D109)</f>
        <v>64800000</v>
      </c>
      <c r="J109" s="25">
        <f t="shared" si="3"/>
        <v>64800000</v>
      </c>
      <c r="K109" s="25">
        <f>SUMIFS(INDEX(Load,,MATCH('Summarized Modified Source Data'!$B109,Hour,0)),Season,'Summarized Modified Source Data'!$A109,Sector,'Summarized Modified Source Data'!K$2,Subsector,'Summarized Modified Source Data'!K$3,TimeOfWeek,$D109)</f>
        <v>98700000</v>
      </c>
      <c r="L109" s="25">
        <f>SUMIFS(INDEX(Load,,MATCH('Summarized Modified Source Data'!$B109,Hour,0)),Season,'Summarized Modified Source Data'!$A109,Sector,'Summarized Modified Source Data'!L$2,Subsector,'Summarized Modified Source Data'!L$3,TimeOfWeek,$D109)</f>
        <v>171324</v>
      </c>
      <c r="M109" s="25">
        <f>SUMIFS(INDEX(Load,,MATCH('Summarized Modified Source Data'!$B109,Hour,0)),Season,'Summarized Modified Source Data'!$A109,Sector,'Summarized Modified Source Data'!M$2,Subsector,'Summarized Modified Source Data'!M$3,TimeOfWeek,$D109)</f>
        <v>0</v>
      </c>
      <c r="N109" s="25">
        <f t="shared" si="4"/>
        <v>524128676</v>
      </c>
      <c r="O109" s="25">
        <f>SUMIFS(INDEX(Load,,MATCH('Summarized Modified Source Data'!$B109,Hour,0)),Season,'Summarized Modified Source Data'!$A109,Sector,'Summarized Modified Source Data'!O$2,Subsector,"Total",TimeOfWeek,$D109)-SUM(K109:M109)</f>
        <v>524128676</v>
      </c>
      <c r="P109" s="25">
        <f t="shared" si="5"/>
        <v>524128676</v>
      </c>
      <c r="Q109" s="33" cm="1">
        <f t="array" ref="Q109">SUMIFS(INDEX(Load,,MATCH('Summarized Modified Source Data'!$B109,Hour,0)),Season,'Summarized Modified Source Data'!$A109,Sector,'Summarized Modified Source Data'!Q$2,TimeOfWeek,$D109)*LDVs</f>
        <v>6371510.869367185</v>
      </c>
      <c r="R109" s="33" cm="1">
        <f t="array" ref="R109">SUMIFS(INDEX(Load,,MATCH('Summarized Modified Source Data'!$B109,Hour,0)),Season,'Summarized Modified Source Data'!$A109,Sector,'Summarized Modified Source Data'!R$2,TimeOfWeek,$D109)*HDVs</f>
        <v>3002293.302181317</v>
      </c>
      <c r="S109" s="33">
        <f>SUMIFS(INDEX(Load,,MATCH('Summarized Modified Source Data'!$B109,Hour,0)),Season,'Summarized Modified Source Data'!$A109,Sector,'Summarized Modified Source Data'!S$2,TimeOfWeek,$D109)*Aircraft</f>
        <v>0</v>
      </c>
      <c r="T109" s="33">
        <f>SUMIFS(INDEX(Load,,MATCH('Summarized Modified Source Data'!$B109,Hour,0)),Season,'Summarized Modified Source Data'!$A109,Sector,'Summarized Modified Source Data'!T$2,TimeOfWeek,$D109)*Rail</f>
        <v>13071027.828451499</v>
      </c>
      <c r="U109" s="33">
        <f>SUMIFS(INDEX(Load,,MATCH('Summarized Modified Source Data'!$B109,Hour,0)),Season,'Summarized Modified Source Data'!$A109,Sector,'Summarized Modified Source Data'!U$2,TimeOfWeek,$D109)*Ships</f>
        <v>0</v>
      </c>
      <c r="V109" s="33">
        <f>SUMIFS(INDEX(Load,,MATCH('Summarized Modified Source Data'!$B109,Hour,0)),Season,'Summarized Modified Source Data'!$A109,Sector,'Summarized Modified Source Data'!V$2,TimeOfWeek,$D109)*Motorbikes</f>
        <v>0</v>
      </c>
      <c r="W109" s="25">
        <f>SUMIFS(INDEX(Load,,MATCH('Summarized Modified Source Data'!$B109,Hour,0)),Season,'Summarized Modified Source Data'!$A109,Sector,'Summarized Modified Source Data'!W$2,Subsector,'Summarized Modified Source Data'!W$3,TimeOfWeek,$D109)</f>
        <v>1376000000</v>
      </c>
      <c r="X109" s="25">
        <f>SUMIFS(INDEX(Load,,MATCH('Summarized Modified Source Data'!$B109,Hour,0)),Season,'Summarized Modified Source Data'!$A109,Sector,'Summarized Modified Source Data'!X$2,Subsector,'Summarized Modified Source Data'!X$3,TimeOfWeek,$D109)</f>
        <v>0</v>
      </c>
      <c r="Y109" s="25">
        <f>SUMIFS(INDEX(Load,,MATCH('Summarized Modified Source Data'!$B109,Hour,0)),Season,'Summarized Modified Source Data'!$A109,Sector,'Summarized Modified Source Data'!Y$2,Subsector,'Summarized Modified Source Data'!Y$3,TimeOfWeek,$D109)</f>
        <v>0</v>
      </c>
    </row>
    <row r="110" spans="1:25" outlineLevel="1" x14ac:dyDescent="0.25">
      <c r="A110" t="s">
        <v>37</v>
      </c>
      <c r="B110" t="s">
        <v>157</v>
      </c>
      <c r="C110" s="7" t="s">
        <v>9</v>
      </c>
      <c r="D110" t="s">
        <v>114</v>
      </c>
      <c r="E110" s="25">
        <f>SUMIFS(INDEX(Load,,MATCH('Summarized Modified Source Data'!$B110,Hour,0)),Season,'Summarized Modified Source Data'!$A110,Sector,'Summarized Modified Source Data'!E$2,Subsector,'Summarized Modified Source Data'!E$3,TimeOfWeek,$D110)</f>
        <v>41616180</v>
      </c>
      <c r="F110" s="25">
        <f>SUMIFS(INDEX(Load,,MATCH('Summarized Modified Source Data'!$B110,Hour,0)),Season,'Summarized Modified Source Data'!$A110,Sector,'Summarized Modified Source Data'!F$2,Subsector,'Summarized Modified Source Data'!F$3,TimeOfWeek,$D110)</f>
        <v>29542</v>
      </c>
      <c r="G110" s="25">
        <f>SUMIFS(INDEX(Load,,MATCH('Summarized Modified Source Data'!$B110,Hour,0)),Season,'Summarized Modified Source Data'!$A110,Sector,'Summarized Modified Source Data'!G$2,Subsector,'Summarized Modified Source Data'!G$3,TimeOfWeek,$D110)</f>
        <v>0</v>
      </c>
      <c r="H110" s="25">
        <f>SUMIFS(INDEX(Load,,MATCH('Summarized Modified Source Data'!$B110,Hour,0)),Season,'Summarized Modified Source Data'!$A110,Sector,'Summarized Modified Source Data'!H$2,Subsector,'Summarized Modified Source Data'!H$3,TimeOfWeek,$D110)</f>
        <v>31950237</v>
      </c>
      <c r="I110" s="25">
        <f>SUMIFS(INDEX(Load,,MATCH('Summarized Modified Source Data'!$B110,Hour,0)),Season,'Summarized Modified Source Data'!$A110,Sector,'Summarized Modified Source Data'!I$2,Subsector,'Summarized Modified Source Data'!I$3,TimeOfWeek,$D110)</f>
        <v>66700000</v>
      </c>
      <c r="J110" s="25">
        <f t="shared" si="3"/>
        <v>66700000</v>
      </c>
      <c r="K110" s="25">
        <f>SUMIFS(INDEX(Load,,MATCH('Summarized Modified Source Data'!$B110,Hour,0)),Season,'Summarized Modified Source Data'!$A110,Sector,'Summarized Modified Source Data'!K$2,Subsector,'Summarized Modified Source Data'!K$3,TimeOfWeek,$D110)</f>
        <v>83700000</v>
      </c>
      <c r="L110" s="25">
        <f>SUMIFS(INDEX(Load,,MATCH('Summarized Modified Source Data'!$B110,Hour,0)),Season,'Summarized Modified Source Data'!$A110,Sector,'Summarized Modified Source Data'!L$2,Subsector,'Summarized Modified Source Data'!L$3,TimeOfWeek,$D110)</f>
        <v>176228</v>
      </c>
      <c r="M110" s="25">
        <f>SUMIFS(INDEX(Load,,MATCH('Summarized Modified Source Data'!$B110,Hour,0)),Season,'Summarized Modified Source Data'!$A110,Sector,'Summarized Modified Source Data'!M$2,Subsector,'Summarized Modified Source Data'!M$3,TimeOfWeek,$D110)</f>
        <v>0</v>
      </c>
      <c r="N110" s="25">
        <f t="shared" si="4"/>
        <v>515123772</v>
      </c>
      <c r="O110" s="25">
        <f>SUMIFS(INDEX(Load,,MATCH('Summarized Modified Source Data'!$B110,Hour,0)),Season,'Summarized Modified Source Data'!$A110,Sector,'Summarized Modified Source Data'!O$2,Subsector,"Total",TimeOfWeek,$D110)-SUM(K110:M110)</f>
        <v>515123772</v>
      </c>
      <c r="P110" s="25">
        <f t="shared" si="5"/>
        <v>515123772</v>
      </c>
      <c r="Q110" s="33" cm="1">
        <f t="array" ref="Q110">SUMIFS(INDEX(Load,,MATCH('Summarized Modified Source Data'!$B110,Hour,0)),Season,'Summarized Modified Source Data'!$A110,Sector,'Summarized Modified Source Data'!Q$2,TimeOfWeek,$D110)*LDVs</f>
        <v>6744401.898569881</v>
      </c>
      <c r="R110" s="33" cm="1">
        <f t="array" ref="R110">SUMIFS(INDEX(Load,,MATCH('Summarized Modified Source Data'!$B110,Hour,0)),Season,'Summarized Modified Source Data'!$A110,Sector,'Summarized Modified Source Data'!R$2,TimeOfWeek,$D110)*HDVs</f>
        <v>3178001.7428278197</v>
      </c>
      <c r="S110" s="33">
        <f>SUMIFS(INDEX(Load,,MATCH('Summarized Modified Source Data'!$B110,Hour,0)),Season,'Summarized Modified Source Data'!$A110,Sector,'Summarized Modified Source Data'!S$2,TimeOfWeek,$D110)*Aircraft</f>
        <v>0</v>
      </c>
      <c r="T110" s="33">
        <f>SUMIFS(INDEX(Load,,MATCH('Summarized Modified Source Data'!$B110,Hour,0)),Season,'Summarized Modified Source Data'!$A110,Sector,'Summarized Modified Source Data'!T$2,TimeOfWeek,$D110)*Rail</f>
        <v>13836006.3586023</v>
      </c>
      <c r="U110" s="33">
        <f>SUMIFS(INDEX(Load,,MATCH('Summarized Modified Source Data'!$B110,Hour,0)),Season,'Summarized Modified Source Data'!$A110,Sector,'Summarized Modified Source Data'!U$2,TimeOfWeek,$D110)*Ships</f>
        <v>0</v>
      </c>
      <c r="V110" s="33">
        <f>SUMIFS(INDEX(Load,,MATCH('Summarized Modified Source Data'!$B110,Hour,0)),Season,'Summarized Modified Source Data'!$A110,Sector,'Summarized Modified Source Data'!V$2,TimeOfWeek,$D110)*Motorbikes</f>
        <v>0</v>
      </c>
      <c r="W110" s="25">
        <f>SUMIFS(INDEX(Load,,MATCH('Summarized Modified Source Data'!$B110,Hour,0)),Season,'Summarized Modified Source Data'!$A110,Sector,'Summarized Modified Source Data'!W$2,Subsector,'Summarized Modified Source Data'!W$3,TimeOfWeek,$D110)</f>
        <v>1372000000</v>
      </c>
      <c r="X110" s="25">
        <f>SUMIFS(INDEX(Load,,MATCH('Summarized Modified Source Data'!$B110,Hour,0)),Season,'Summarized Modified Source Data'!$A110,Sector,'Summarized Modified Source Data'!X$2,Subsector,'Summarized Modified Source Data'!X$3,TimeOfWeek,$D110)</f>
        <v>0</v>
      </c>
      <c r="Y110" s="25">
        <f>SUMIFS(INDEX(Load,,MATCH('Summarized Modified Source Data'!$B110,Hour,0)),Season,'Summarized Modified Source Data'!$A110,Sector,'Summarized Modified Source Data'!Y$2,Subsector,'Summarized Modified Source Data'!Y$3,TimeOfWeek,$D110)</f>
        <v>0</v>
      </c>
    </row>
    <row r="111" spans="1:25" outlineLevel="1" x14ac:dyDescent="0.25">
      <c r="A111" t="s">
        <v>37</v>
      </c>
      <c r="B111" t="s">
        <v>158</v>
      </c>
      <c r="C111" s="7" t="s">
        <v>10</v>
      </c>
      <c r="D111" t="s">
        <v>114</v>
      </c>
      <c r="E111" s="25">
        <f>SUMIFS(INDEX(Load,,MATCH('Summarized Modified Source Data'!$B111,Hour,0)),Season,'Summarized Modified Source Data'!$A111,Sector,'Summarized Modified Source Data'!E$2,Subsector,'Summarized Modified Source Data'!E$3,TimeOfWeek,$D111)</f>
        <v>34264162</v>
      </c>
      <c r="F111" s="25">
        <f>SUMIFS(INDEX(Load,,MATCH('Summarized Modified Source Data'!$B111,Hour,0)),Season,'Summarized Modified Source Data'!$A111,Sector,'Summarized Modified Source Data'!F$2,Subsector,'Summarized Modified Source Data'!F$3,TimeOfWeek,$D111)</f>
        <v>30563</v>
      </c>
      <c r="G111" s="25">
        <f>SUMIFS(INDEX(Load,,MATCH('Summarized Modified Source Data'!$B111,Hour,0)),Season,'Summarized Modified Source Data'!$A111,Sector,'Summarized Modified Source Data'!G$2,Subsector,'Summarized Modified Source Data'!G$3,TimeOfWeek,$D111)</f>
        <v>0</v>
      </c>
      <c r="H111" s="25">
        <f>SUMIFS(INDEX(Load,,MATCH('Summarized Modified Source Data'!$B111,Hour,0)),Season,'Summarized Modified Source Data'!$A111,Sector,'Summarized Modified Source Data'!H$2,Subsector,'Summarized Modified Source Data'!H$3,TimeOfWeek,$D111)</f>
        <v>33899947</v>
      </c>
      <c r="I111" s="25">
        <f>SUMIFS(INDEX(Load,,MATCH('Summarized Modified Source Data'!$B111,Hour,0)),Season,'Summarized Modified Source Data'!$A111,Sector,'Summarized Modified Source Data'!I$2,Subsector,'Summarized Modified Source Data'!I$3,TimeOfWeek,$D111)</f>
        <v>61500000</v>
      </c>
      <c r="J111" s="25">
        <f t="shared" si="3"/>
        <v>61500000</v>
      </c>
      <c r="K111" s="25">
        <f>SUMIFS(INDEX(Load,,MATCH('Summarized Modified Source Data'!$B111,Hour,0)),Season,'Summarized Modified Source Data'!$A111,Sector,'Summarized Modified Source Data'!K$2,Subsector,'Summarized Modified Source Data'!K$3,TimeOfWeek,$D111)</f>
        <v>74000000</v>
      </c>
      <c r="L111" s="25">
        <f>SUMIFS(INDEX(Load,,MATCH('Summarized Modified Source Data'!$B111,Hour,0)),Season,'Summarized Modified Source Data'!$A111,Sector,'Summarized Modified Source Data'!L$2,Subsector,'Summarized Modified Source Data'!L$3,TimeOfWeek,$D111)</f>
        <v>177377</v>
      </c>
      <c r="M111" s="25">
        <f>SUMIFS(INDEX(Load,,MATCH('Summarized Modified Source Data'!$B111,Hour,0)),Season,'Summarized Modified Source Data'!$A111,Sector,'Summarized Modified Source Data'!M$2,Subsector,'Summarized Modified Source Data'!M$3,TimeOfWeek,$D111)</f>
        <v>0</v>
      </c>
      <c r="N111" s="25">
        <f t="shared" si="4"/>
        <v>515822623</v>
      </c>
      <c r="O111" s="25">
        <f>SUMIFS(INDEX(Load,,MATCH('Summarized Modified Source Data'!$B111,Hour,0)),Season,'Summarized Modified Source Data'!$A111,Sector,'Summarized Modified Source Data'!O$2,Subsector,"Total",TimeOfWeek,$D111)-SUM(K111:M111)</f>
        <v>515822623</v>
      </c>
      <c r="P111" s="25">
        <f t="shared" si="5"/>
        <v>515822623</v>
      </c>
      <c r="Q111" s="33" cm="1">
        <f t="array" ref="Q111">SUMIFS(INDEX(Load,,MATCH('Summarized Modified Source Data'!$B111,Hour,0)),Season,'Summarized Modified Source Data'!$A111,Sector,'Summarized Modified Source Data'!Q$2,TimeOfWeek,$D111)*LDVs</f>
        <v>6950516.2114765961</v>
      </c>
      <c r="R111" s="33" cm="1">
        <f t="array" ref="R111">SUMIFS(INDEX(Load,,MATCH('Summarized Modified Source Data'!$B111,Hour,0)),Season,'Summarized Modified Source Data'!$A111,Sector,'Summarized Modified Source Data'!R$2,TimeOfWeek,$D111)*HDVs</f>
        <v>3275124.0163059463</v>
      </c>
      <c r="S111" s="33">
        <f>SUMIFS(INDEX(Load,,MATCH('Summarized Modified Source Data'!$B111,Hour,0)),Season,'Summarized Modified Source Data'!$A111,Sector,'Summarized Modified Source Data'!S$2,TimeOfWeek,$D111)*Aircraft</f>
        <v>0</v>
      </c>
      <c r="T111" s="33">
        <f>SUMIFS(INDEX(Load,,MATCH('Summarized Modified Source Data'!$B111,Hour,0)),Season,'Summarized Modified Source Data'!$A111,Sector,'Summarized Modified Source Data'!T$2,TimeOfWeek,$D111)*Rail</f>
        <v>14258845.772217458</v>
      </c>
      <c r="U111" s="33">
        <f>SUMIFS(INDEX(Load,,MATCH('Summarized Modified Source Data'!$B111,Hour,0)),Season,'Summarized Modified Source Data'!$A111,Sector,'Summarized Modified Source Data'!U$2,TimeOfWeek,$D111)*Ships</f>
        <v>0</v>
      </c>
      <c r="V111" s="33">
        <f>SUMIFS(INDEX(Load,,MATCH('Summarized Modified Source Data'!$B111,Hour,0)),Season,'Summarized Modified Source Data'!$A111,Sector,'Summarized Modified Source Data'!V$2,TimeOfWeek,$D111)*Motorbikes</f>
        <v>0</v>
      </c>
      <c r="W111" s="25">
        <f>SUMIFS(INDEX(Load,,MATCH('Summarized Modified Source Data'!$B111,Hour,0)),Season,'Summarized Modified Source Data'!$A111,Sector,'Summarized Modified Source Data'!W$2,Subsector,'Summarized Modified Source Data'!W$3,TimeOfWeek,$D111)</f>
        <v>1370000000</v>
      </c>
      <c r="X111" s="25">
        <f>SUMIFS(INDEX(Load,,MATCH('Summarized Modified Source Data'!$B111,Hour,0)),Season,'Summarized Modified Source Data'!$A111,Sector,'Summarized Modified Source Data'!X$2,Subsector,'Summarized Modified Source Data'!X$3,TimeOfWeek,$D111)</f>
        <v>0</v>
      </c>
      <c r="Y111" s="25">
        <f>SUMIFS(INDEX(Load,,MATCH('Summarized Modified Source Data'!$B111,Hour,0)),Season,'Summarized Modified Source Data'!$A111,Sector,'Summarized Modified Source Data'!Y$2,Subsector,'Summarized Modified Source Data'!Y$3,TimeOfWeek,$D111)</f>
        <v>0</v>
      </c>
    </row>
    <row r="112" spans="1:25" outlineLevel="1" x14ac:dyDescent="0.25">
      <c r="A112" t="s">
        <v>37</v>
      </c>
      <c r="B112" t="s">
        <v>159</v>
      </c>
      <c r="C112" s="7" t="s">
        <v>11</v>
      </c>
      <c r="D112" t="s">
        <v>114</v>
      </c>
      <c r="E112" s="25">
        <f>SUMIFS(INDEX(Load,,MATCH('Summarized Modified Source Data'!$B112,Hour,0)),Season,'Summarized Modified Source Data'!$A112,Sector,'Summarized Modified Source Data'!E$2,Subsector,'Summarized Modified Source Data'!E$3,TimeOfWeek,$D112)</f>
        <v>33917042</v>
      </c>
      <c r="F112" s="25">
        <f>SUMIFS(INDEX(Load,,MATCH('Summarized Modified Source Data'!$B112,Hour,0)),Season,'Summarized Modified Source Data'!$A112,Sector,'Summarized Modified Source Data'!F$2,Subsector,'Summarized Modified Source Data'!F$3,TimeOfWeek,$D112)</f>
        <v>31866</v>
      </c>
      <c r="G112" s="25">
        <f>SUMIFS(INDEX(Load,,MATCH('Summarized Modified Source Data'!$B112,Hour,0)),Season,'Summarized Modified Source Data'!$A112,Sector,'Summarized Modified Source Data'!G$2,Subsector,'Summarized Modified Source Data'!G$3,TimeOfWeek,$D112)</f>
        <v>0</v>
      </c>
      <c r="H112" s="25">
        <f>SUMIFS(INDEX(Load,,MATCH('Summarized Modified Source Data'!$B112,Hour,0)),Season,'Summarized Modified Source Data'!$A112,Sector,'Summarized Modified Source Data'!H$2,Subsector,'Summarized Modified Source Data'!H$3,TimeOfWeek,$D112)</f>
        <v>35078105</v>
      </c>
      <c r="I112" s="25">
        <f>SUMIFS(INDEX(Load,,MATCH('Summarized Modified Source Data'!$B112,Hour,0)),Season,'Summarized Modified Source Data'!$A112,Sector,'Summarized Modified Source Data'!I$2,Subsector,'Summarized Modified Source Data'!I$3,TimeOfWeek,$D112)</f>
        <v>55000000</v>
      </c>
      <c r="J112" s="25">
        <f t="shared" si="3"/>
        <v>55000000</v>
      </c>
      <c r="K112" s="25">
        <f>SUMIFS(INDEX(Load,,MATCH('Summarized Modified Source Data'!$B112,Hour,0)),Season,'Summarized Modified Source Data'!$A112,Sector,'Summarized Modified Source Data'!K$2,Subsector,'Summarized Modified Source Data'!K$3,TimeOfWeek,$D112)</f>
        <v>67200000</v>
      </c>
      <c r="L112" s="25">
        <f>SUMIFS(INDEX(Load,,MATCH('Summarized Modified Source Data'!$B112,Hour,0)),Season,'Summarized Modified Source Data'!$A112,Sector,'Summarized Modified Source Data'!L$2,Subsector,'Summarized Modified Source Data'!L$3,TimeOfWeek,$D112)</f>
        <v>178350</v>
      </c>
      <c r="M112" s="25">
        <f>SUMIFS(INDEX(Load,,MATCH('Summarized Modified Source Data'!$B112,Hour,0)),Season,'Summarized Modified Source Data'!$A112,Sector,'Summarized Modified Source Data'!M$2,Subsector,'Summarized Modified Source Data'!M$3,TimeOfWeek,$D112)</f>
        <v>0</v>
      </c>
      <c r="N112" s="25">
        <f t="shared" si="4"/>
        <v>512621650</v>
      </c>
      <c r="O112" s="25">
        <f>SUMIFS(INDEX(Load,,MATCH('Summarized Modified Source Data'!$B112,Hour,0)),Season,'Summarized Modified Source Data'!$A112,Sector,'Summarized Modified Source Data'!O$2,Subsector,"Total",TimeOfWeek,$D112)-SUM(K112:M112)</f>
        <v>512621650</v>
      </c>
      <c r="P112" s="25">
        <f t="shared" si="5"/>
        <v>512621650</v>
      </c>
      <c r="Q112" s="33" cm="1">
        <f t="array" ref="Q112">SUMIFS(INDEX(Load,,MATCH('Summarized Modified Source Data'!$B112,Hour,0)),Season,'Summarized Modified Source Data'!$A112,Sector,'Summarized Modified Source Data'!Q$2,TimeOfWeek,$D112)*LDVs</f>
        <v>6797037.586548619</v>
      </c>
      <c r="R112" s="33" cm="1">
        <f t="array" ref="R112">SUMIFS(INDEX(Load,,MATCH('Summarized Modified Source Data'!$B112,Hour,0)),Season,'Summarized Modified Source Data'!$A112,Sector,'Summarized Modified Source Data'!R$2,TimeOfWeek,$D112)*HDVs</f>
        <v>3202803.9878077405</v>
      </c>
      <c r="S112" s="33">
        <f>SUMIFS(INDEX(Load,,MATCH('Summarized Modified Source Data'!$B112,Hour,0)),Season,'Summarized Modified Source Data'!$A112,Sector,'Summarized Modified Source Data'!S$2,TimeOfWeek,$D112)*Aircraft</f>
        <v>0</v>
      </c>
      <c r="T112" s="33">
        <f>SUMIFS(INDEX(Load,,MATCH('Summarized Modified Source Data'!$B112,Hour,0)),Season,'Summarized Modified Source Data'!$A112,Sector,'Summarized Modified Source Data'!T$2,TimeOfWeek,$D112)*Rail</f>
        <v>13943987.425643642</v>
      </c>
      <c r="U112" s="33">
        <f>SUMIFS(INDEX(Load,,MATCH('Summarized Modified Source Data'!$B112,Hour,0)),Season,'Summarized Modified Source Data'!$A112,Sector,'Summarized Modified Source Data'!U$2,TimeOfWeek,$D112)*Ships</f>
        <v>0</v>
      </c>
      <c r="V112" s="33">
        <f>SUMIFS(INDEX(Load,,MATCH('Summarized Modified Source Data'!$B112,Hour,0)),Season,'Summarized Modified Source Data'!$A112,Sector,'Summarized Modified Source Data'!V$2,TimeOfWeek,$D112)*Motorbikes</f>
        <v>0</v>
      </c>
      <c r="W112" s="25">
        <f>SUMIFS(INDEX(Load,,MATCH('Summarized Modified Source Data'!$B112,Hour,0)),Season,'Summarized Modified Source Data'!$A112,Sector,'Summarized Modified Source Data'!W$2,Subsector,'Summarized Modified Source Data'!W$3,TimeOfWeek,$D112)</f>
        <v>1368000000</v>
      </c>
      <c r="X112" s="25">
        <f>SUMIFS(INDEX(Load,,MATCH('Summarized Modified Source Data'!$B112,Hour,0)),Season,'Summarized Modified Source Data'!$A112,Sector,'Summarized Modified Source Data'!X$2,Subsector,'Summarized Modified Source Data'!X$3,TimeOfWeek,$D112)</f>
        <v>0</v>
      </c>
      <c r="Y112" s="25">
        <f>SUMIFS(INDEX(Load,,MATCH('Summarized Modified Source Data'!$B112,Hour,0)),Season,'Summarized Modified Source Data'!$A112,Sector,'Summarized Modified Source Data'!Y$2,Subsector,'Summarized Modified Source Data'!Y$3,TimeOfWeek,$D112)</f>
        <v>0</v>
      </c>
    </row>
    <row r="113" spans="1:25" outlineLevel="1" x14ac:dyDescent="0.25">
      <c r="A113" t="s">
        <v>37</v>
      </c>
      <c r="B113" t="s">
        <v>160</v>
      </c>
      <c r="C113" s="7" t="s">
        <v>12</v>
      </c>
      <c r="D113" t="s">
        <v>114</v>
      </c>
      <c r="E113" s="25">
        <f>SUMIFS(INDEX(Load,,MATCH('Summarized Modified Source Data'!$B113,Hour,0)),Season,'Summarized Modified Source Data'!$A113,Sector,'Summarized Modified Source Data'!E$2,Subsector,'Summarized Modified Source Data'!E$3,TimeOfWeek,$D113)</f>
        <v>33344828</v>
      </c>
      <c r="F113" s="25">
        <f>SUMIFS(INDEX(Load,,MATCH('Summarized Modified Source Data'!$B113,Hour,0)),Season,'Summarized Modified Source Data'!$A113,Sector,'Summarized Modified Source Data'!F$2,Subsector,'Summarized Modified Source Data'!F$3,TimeOfWeek,$D113)</f>
        <v>32166</v>
      </c>
      <c r="G113" s="25">
        <f>SUMIFS(INDEX(Load,,MATCH('Summarized Modified Source Data'!$B113,Hour,0)),Season,'Summarized Modified Source Data'!$A113,Sector,'Summarized Modified Source Data'!G$2,Subsector,'Summarized Modified Source Data'!G$3,TimeOfWeek,$D113)</f>
        <v>0</v>
      </c>
      <c r="H113" s="25">
        <f>SUMIFS(INDEX(Load,,MATCH('Summarized Modified Source Data'!$B113,Hour,0)),Season,'Summarized Modified Source Data'!$A113,Sector,'Summarized Modified Source Data'!H$2,Subsector,'Summarized Modified Source Data'!H$3,TimeOfWeek,$D113)</f>
        <v>35033158</v>
      </c>
      <c r="I113" s="25">
        <f>SUMIFS(INDEX(Load,,MATCH('Summarized Modified Source Data'!$B113,Hour,0)),Season,'Summarized Modified Source Data'!$A113,Sector,'Summarized Modified Source Data'!I$2,Subsector,'Summarized Modified Source Data'!I$3,TimeOfWeek,$D113)</f>
        <v>47200000</v>
      </c>
      <c r="J113" s="25">
        <f t="shared" si="3"/>
        <v>47200000</v>
      </c>
      <c r="K113" s="25">
        <f>SUMIFS(INDEX(Load,,MATCH('Summarized Modified Source Data'!$B113,Hour,0)),Season,'Summarized Modified Source Data'!$A113,Sector,'Summarized Modified Source Data'!K$2,Subsector,'Summarized Modified Source Data'!K$3,TimeOfWeek,$D113)</f>
        <v>61977244</v>
      </c>
      <c r="L113" s="25">
        <f>SUMIFS(INDEX(Load,,MATCH('Summarized Modified Source Data'!$B113,Hour,0)),Season,'Summarized Modified Source Data'!$A113,Sector,'Summarized Modified Source Data'!L$2,Subsector,'Summarized Modified Source Data'!L$3,TimeOfWeek,$D113)</f>
        <v>178350</v>
      </c>
      <c r="M113" s="25">
        <f>SUMIFS(INDEX(Load,,MATCH('Summarized Modified Source Data'!$B113,Hour,0)),Season,'Summarized Modified Source Data'!$A113,Sector,'Summarized Modified Source Data'!M$2,Subsector,'Summarized Modified Source Data'!M$3,TimeOfWeek,$D113)</f>
        <v>0</v>
      </c>
      <c r="N113" s="25">
        <f t="shared" si="4"/>
        <v>492844406</v>
      </c>
      <c r="O113" s="25">
        <f>SUMIFS(INDEX(Load,,MATCH('Summarized Modified Source Data'!$B113,Hour,0)),Season,'Summarized Modified Source Data'!$A113,Sector,'Summarized Modified Source Data'!O$2,Subsector,"Total",TimeOfWeek,$D113)-SUM(K113:M113)</f>
        <v>492844406</v>
      </c>
      <c r="P113" s="25">
        <f t="shared" si="5"/>
        <v>492844406</v>
      </c>
      <c r="Q113" s="33" cm="1">
        <f t="array" ref="Q113">SUMIFS(INDEX(Load,,MATCH('Summarized Modified Source Data'!$B113,Hour,0)),Season,'Summarized Modified Source Data'!$A113,Sector,'Summarized Modified Source Data'!Q$2,TimeOfWeek,$D113)*LDVs</f>
        <v>6468376.1596892811</v>
      </c>
      <c r="R113" s="33" cm="1">
        <f t="array" ref="R113">SUMIFS(INDEX(Load,,MATCH('Summarized Modified Source Data'!$B113,Hour,0)),Season,'Summarized Modified Source Data'!$A113,Sector,'Summarized Modified Source Data'!R$2,TimeOfWeek,$D113)*HDVs</f>
        <v>3047936.7952727387</v>
      </c>
      <c r="S113" s="33">
        <f>SUMIFS(INDEX(Load,,MATCH('Summarized Modified Source Data'!$B113,Hour,0)),Season,'Summarized Modified Source Data'!$A113,Sector,'Summarized Modified Source Data'!S$2,TimeOfWeek,$D113)*Aircraft</f>
        <v>0</v>
      </c>
      <c r="T113" s="33">
        <f>SUMIFS(INDEX(Load,,MATCH('Summarized Modified Source Data'!$B113,Hour,0)),Season,'Summarized Modified Source Data'!$A113,Sector,'Summarized Modified Source Data'!T$2,TimeOfWeek,$D113)*Rail</f>
        <v>13269745.045037979</v>
      </c>
      <c r="U113" s="33">
        <f>SUMIFS(INDEX(Load,,MATCH('Summarized Modified Source Data'!$B113,Hour,0)),Season,'Summarized Modified Source Data'!$A113,Sector,'Summarized Modified Source Data'!U$2,TimeOfWeek,$D113)*Ships</f>
        <v>0</v>
      </c>
      <c r="V113" s="33">
        <f>SUMIFS(INDEX(Load,,MATCH('Summarized Modified Source Data'!$B113,Hour,0)),Season,'Summarized Modified Source Data'!$A113,Sector,'Summarized Modified Source Data'!V$2,TimeOfWeek,$D113)*Motorbikes</f>
        <v>0</v>
      </c>
      <c r="W113" s="25">
        <f>SUMIFS(INDEX(Load,,MATCH('Summarized Modified Source Data'!$B113,Hour,0)),Season,'Summarized Modified Source Data'!$A113,Sector,'Summarized Modified Source Data'!W$2,Subsector,'Summarized Modified Source Data'!W$3,TimeOfWeek,$D113)</f>
        <v>1370000000</v>
      </c>
      <c r="X113" s="25">
        <f>SUMIFS(INDEX(Load,,MATCH('Summarized Modified Source Data'!$B113,Hour,0)),Season,'Summarized Modified Source Data'!$A113,Sector,'Summarized Modified Source Data'!X$2,Subsector,'Summarized Modified Source Data'!X$3,TimeOfWeek,$D113)</f>
        <v>0</v>
      </c>
      <c r="Y113" s="25">
        <f>SUMIFS(INDEX(Load,,MATCH('Summarized Modified Source Data'!$B113,Hour,0)),Season,'Summarized Modified Source Data'!$A113,Sector,'Summarized Modified Source Data'!Y$2,Subsector,'Summarized Modified Source Data'!Y$3,TimeOfWeek,$D113)</f>
        <v>0</v>
      </c>
    </row>
    <row r="114" spans="1:25" outlineLevel="1" x14ac:dyDescent="0.25">
      <c r="A114" t="s">
        <v>37</v>
      </c>
      <c r="B114" t="s">
        <v>161</v>
      </c>
      <c r="C114" s="7" t="s">
        <v>13</v>
      </c>
      <c r="D114" t="s">
        <v>114</v>
      </c>
      <c r="E114" s="25">
        <f>SUMIFS(INDEX(Load,,MATCH('Summarized Modified Source Data'!$B114,Hour,0)),Season,'Summarized Modified Source Data'!$A114,Sector,'Summarized Modified Source Data'!E$2,Subsector,'Summarized Modified Source Data'!E$3,TimeOfWeek,$D114)</f>
        <v>32992237</v>
      </c>
      <c r="F114" s="25">
        <f>SUMIFS(INDEX(Load,,MATCH('Summarized Modified Source Data'!$B114,Hour,0)),Season,'Summarized Modified Source Data'!$A114,Sector,'Summarized Modified Source Data'!F$2,Subsector,'Summarized Modified Source Data'!F$3,TimeOfWeek,$D114)</f>
        <v>32098</v>
      </c>
      <c r="G114" s="25">
        <f>SUMIFS(INDEX(Load,,MATCH('Summarized Modified Source Data'!$B114,Hour,0)),Season,'Summarized Modified Source Data'!$A114,Sector,'Summarized Modified Source Data'!G$2,Subsector,'Summarized Modified Source Data'!G$3,TimeOfWeek,$D114)</f>
        <v>0</v>
      </c>
      <c r="H114" s="25">
        <f>SUMIFS(INDEX(Load,,MATCH('Summarized Modified Source Data'!$B114,Hour,0)),Season,'Summarized Modified Source Data'!$A114,Sector,'Summarized Modified Source Data'!H$2,Subsector,'Summarized Modified Source Data'!H$3,TimeOfWeek,$D114)</f>
        <v>34664540</v>
      </c>
      <c r="I114" s="25">
        <f>SUMIFS(INDEX(Load,,MATCH('Summarized Modified Source Data'!$B114,Hour,0)),Season,'Summarized Modified Source Data'!$A114,Sector,'Summarized Modified Source Data'!I$2,Subsector,'Summarized Modified Source Data'!I$3,TimeOfWeek,$D114)</f>
        <v>43495960</v>
      </c>
      <c r="J114" s="25">
        <f t="shared" si="3"/>
        <v>43495960</v>
      </c>
      <c r="K114" s="25">
        <f>SUMIFS(INDEX(Load,,MATCH('Summarized Modified Source Data'!$B114,Hour,0)),Season,'Summarized Modified Source Data'!$A114,Sector,'Summarized Modified Source Data'!K$2,Subsector,'Summarized Modified Source Data'!K$3,TimeOfWeek,$D114)</f>
        <v>58924239</v>
      </c>
      <c r="L114" s="25">
        <f>SUMIFS(INDEX(Load,,MATCH('Summarized Modified Source Data'!$B114,Hour,0)),Season,'Summarized Modified Source Data'!$A114,Sector,'Summarized Modified Source Data'!L$2,Subsector,'Summarized Modified Source Data'!L$3,TimeOfWeek,$D114)</f>
        <v>178350</v>
      </c>
      <c r="M114" s="25">
        <f>SUMIFS(INDEX(Load,,MATCH('Summarized Modified Source Data'!$B114,Hour,0)),Season,'Summarized Modified Source Data'!$A114,Sector,'Summarized Modified Source Data'!M$2,Subsector,'Summarized Modified Source Data'!M$3,TimeOfWeek,$D114)</f>
        <v>0</v>
      </c>
      <c r="N114" s="25">
        <f t="shared" si="4"/>
        <v>469897411</v>
      </c>
      <c r="O114" s="25">
        <f>SUMIFS(INDEX(Load,,MATCH('Summarized Modified Source Data'!$B114,Hour,0)),Season,'Summarized Modified Source Data'!$A114,Sector,'Summarized Modified Source Data'!O$2,Subsector,"Total",TimeOfWeek,$D114)-SUM(K114:M114)</f>
        <v>469897411</v>
      </c>
      <c r="P114" s="25">
        <f t="shared" si="5"/>
        <v>469897411</v>
      </c>
      <c r="Q114" s="33" cm="1">
        <f t="array" ref="Q114">SUMIFS(INDEX(Load,,MATCH('Summarized Modified Source Data'!$B114,Hour,0)),Season,'Summarized Modified Source Data'!$A114,Sector,'Summarized Modified Source Data'!Q$2,TimeOfWeek,$D114)*LDVs</f>
        <v>6388590.1663499149</v>
      </c>
      <c r="R114" s="33" cm="1">
        <f t="array" ref="R114">SUMIFS(INDEX(Load,,MATCH('Summarized Modified Source Data'!$B114,Hour,0)),Season,'Summarized Modified Source Data'!$A114,Sector,'Summarized Modified Source Data'!R$2,TimeOfWeek,$D114)*HDVs</f>
        <v>3010341.1671208157</v>
      </c>
      <c r="S114" s="33">
        <f>SUMIFS(INDEX(Load,,MATCH('Summarized Modified Source Data'!$B114,Hour,0)),Season,'Summarized Modified Source Data'!$A114,Sector,'Summarized Modified Source Data'!S$2,TimeOfWeek,$D114)*Aircraft</f>
        <v>0</v>
      </c>
      <c r="T114" s="33">
        <f>SUMIFS(INDEX(Load,,MATCH('Summarized Modified Source Data'!$B114,Hour,0)),Season,'Summarized Modified Source Data'!$A114,Sector,'Summarized Modified Source Data'!T$2,TimeOfWeek,$D114)*Rail</f>
        <v>13106065.66652927</v>
      </c>
      <c r="U114" s="33">
        <f>SUMIFS(INDEX(Load,,MATCH('Summarized Modified Source Data'!$B114,Hour,0)),Season,'Summarized Modified Source Data'!$A114,Sector,'Summarized Modified Source Data'!U$2,TimeOfWeek,$D114)*Ships</f>
        <v>0</v>
      </c>
      <c r="V114" s="33">
        <f>SUMIFS(INDEX(Load,,MATCH('Summarized Modified Source Data'!$B114,Hour,0)),Season,'Summarized Modified Source Data'!$A114,Sector,'Summarized Modified Source Data'!V$2,TimeOfWeek,$D114)*Motorbikes</f>
        <v>0</v>
      </c>
      <c r="W114" s="25">
        <f>SUMIFS(INDEX(Load,,MATCH('Summarized Modified Source Data'!$B114,Hour,0)),Season,'Summarized Modified Source Data'!$A114,Sector,'Summarized Modified Source Data'!W$2,Subsector,'Summarized Modified Source Data'!W$3,TimeOfWeek,$D114)</f>
        <v>1376000000</v>
      </c>
      <c r="X114" s="25">
        <f>SUMIFS(INDEX(Load,,MATCH('Summarized Modified Source Data'!$B114,Hour,0)),Season,'Summarized Modified Source Data'!$A114,Sector,'Summarized Modified Source Data'!X$2,Subsector,'Summarized Modified Source Data'!X$3,TimeOfWeek,$D114)</f>
        <v>0</v>
      </c>
      <c r="Y114" s="25">
        <f>SUMIFS(INDEX(Load,,MATCH('Summarized Modified Source Data'!$B114,Hour,0)),Season,'Summarized Modified Source Data'!$A114,Sector,'Summarized Modified Source Data'!Y$2,Subsector,'Summarized Modified Source Data'!Y$3,TimeOfWeek,$D114)</f>
        <v>0</v>
      </c>
    </row>
    <row r="115" spans="1:25" outlineLevel="1" x14ac:dyDescent="0.25">
      <c r="A115" t="s">
        <v>37</v>
      </c>
      <c r="B115" t="s">
        <v>162</v>
      </c>
      <c r="C115" s="7" t="s">
        <v>14</v>
      </c>
      <c r="D115" t="s">
        <v>114</v>
      </c>
      <c r="E115" s="25">
        <f>SUMIFS(INDEX(Load,,MATCH('Summarized Modified Source Data'!$B115,Hour,0)),Season,'Summarized Modified Source Data'!$A115,Sector,'Summarized Modified Source Data'!E$2,Subsector,'Summarized Modified Source Data'!E$3,TimeOfWeek,$D115)</f>
        <v>33244460</v>
      </c>
      <c r="F115" s="25">
        <f>SUMIFS(INDEX(Load,,MATCH('Summarized Modified Source Data'!$B115,Hour,0)),Season,'Summarized Modified Source Data'!$A115,Sector,'Summarized Modified Source Data'!F$2,Subsector,'Summarized Modified Source Data'!F$3,TimeOfWeek,$D115)</f>
        <v>31996</v>
      </c>
      <c r="G115" s="25">
        <f>SUMIFS(INDEX(Load,,MATCH('Summarized Modified Source Data'!$B115,Hour,0)),Season,'Summarized Modified Source Data'!$A115,Sector,'Summarized Modified Source Data'!G$2,Subsector,'Summarized Modified Source Data'!G$3,TimeOfWeek,$D115)</f>
        <v>0</v>
      </c>
      <c r="H115" s="25">
        <f>SUMIFS(INDEX(Load,,MATCH('Summarized Modified Source Data'!$B115,Hour,0)),Season,'Summarized Modified Source Data'!$A115,Sector,'Summarized Modified Source Data'!H$2,Subsector,'Summarized Modified Source Data'!H$3,TimeOfWeek,$D115)</f>
        <v>34751531</v>
      </c>
      <c r="I115" s="25">
        <f>SUMIFS(INDEX(Load,,MATCH('Summarized Modified Source Data'!$B115,Hour,0)),Season,'Summarized Modified Source Data'!$A115,Sector,'Summarized Modified Source Data'!I$2,Subsector,'Summarized Modified Source Data'!I$3,TimeOfWeek,$D115)</f>
        <v>38043572</v>
      </c>
      <c r="J115" s="25">
        <f t="shared" si="3"/>
        <v>38043572</v>
      </c>
      <c r="K115" s="25">
        <f>SUMIFS(INDEX(Load,,MATCH('Summarized Modified Source Data'!$B115,Hour,0)),Season,'Summarized Modified Source Data'!$A115,Sector,'Summarized Modified Source Data'!K$2,Subsector,'Summarized Modified Source Data'!K$3,TimeOfWeek,$D115)</f>
        <v>60468618</v>
      </c>
      <c r="L115" s="25">
        <f>SUMIFS(INDEX(Load,,MATCH('Summarized Modified Source Data'!$B115,Hour,0)),Season,'Summarized Modified Source Data'!$A115,Sector,'Summarized Modified Source Data'!L$2,Subsector,'Summarized Modified Source Data'!L$3,TimeOfWeek,$D115)</f>
        <v>178389</v>
      </c>
      <c r="M115" s="25">
        <f>SUMIFS(INDEX(Load,,MATCH('Summarized Modified Source Data'!$B115,Hour,0)),Season,'Summarized Modified Source Data'!$A115,Sector,'Summarized Modified Source Data'!M$2,Subsector,'Summarized Modified Source Data'!M$3,TimeOfWeek,$D115)</f>
        <v>0</v>
      </c>
      <c r="N115" s="25">
        <f t="shared" si="4"/>
        <v>436352993</v>
      </c>
      <c r="O115" s="25">
        <f>SUMIFS(INDEX(Load,,MATCH('Summarized Modified Source Data'!$B115,Hour,0)),Season,'Summarized Modified Source Data'!$A115,Sector,'Summarized Modified Source Data'!O$2,Subsector,"Total",TimeOfWeek,$D115)-SUM(K115:M115)</f>
        <v>436352993</v>
      </c>
      <c r="P115" s="25">
        <f t="shared" si="5"/>
        <v>436352993</v>
      </c>
      <c r="Q115" s="33" cm="1">
        <f t="array" ref="Q115">SUMIFS(INDEX(Load,,MATCH('Summarized Modified Source Data'!$B115,Hour,0)),Season,'Summarized Modified Source Data'!$A115,Sector,'Summarized Modified Source Data'!Q$2,TimeOfWeek,$D115)*LDVs</f>
        <v>6268910.1827808302</v>
      </c>
      <c r="R115" s="33" cm="1">
        <f t="array" ref="R115">SUMIFS(INDEX(Load,,MATCH('Summarized Modified Source Data'!$B115,Hour,0)),Season,'Summarized Modified Source Data'!$A115,Sector,'Summarized Modified Source Data'!R$2,TimeOfWeek,$D115)*HDVs</f>
        <v>2953947.2567216139</v>
      </c>
      <c r="S115" s="33">
        <f>SUMIFS(INDEX(Load,,MATCH('Summarized Modified Source Data'!$B115,Hour,0)),Season,'Summarized Modified Source Data'!$A115,Sector,'Summarized Modified Source Data'!S$2,TimeOfWeek,$D115)*Aircraft</f>
        <v>0</v>
      </c>
      <c r="T115" s="33">
        <f>SUMIFS(INDEX(Load,,MATCH('Summarized Modified Source Data'!$B115,Hour,0)),Season,'Summarized Modified Source Data'!$A115,Sector,'Summarized Modified Source Data'!T$2,TimeOfWeek,$D115)*Rail</f>
        <v>12860544.560497556</v>
      </c>
      <c r="U115" s="33">
        <f>SUMIFS(INDEX(Load,,MATCH('Summarized Modified Source Data'!$B115,Hour,0)),Season,'Summarized Modified Source Data'!$A115,Sector,'Summarized Modified Source Data'!U$2,TimeOfWeek,$D115)*Ships</f>
        <v>0</v>
      </c>
      <c r="V115" s="33">
        <f>SUMIFS(INDEX(Load,,MATCH('Summarized Modified Source Data'!$B115,Hour,0)),Season,'Summarized Modified Source Data'!$A115,Sector,'Summarized Modified Source Data'!V$2,TimeOfWeek,$D115)*Motorbikes</f>
        <v>0</v>
      </c>
      <c r="W115" s="25">
        <f>SUMIFS(INDEX(Load,,MATCH('Summarized Modified Source Data'!$B115,Hour,0)),Season,'Summarized Modified Source Data'!$A115,Sector,'Summarized Modified Source Data'!W$2,Subsector,'Summarized Modified Source Data'!W$3,TimeOfWeek,$D115)</f>
        <v>1390000000</v>
      </c>
      <c r="X115" s="25">
        <f>SUMIFS(INDEX(Load,,MATCH('Summarized Modified Source Data'!$B115,Hour,0)),Season,'Summarized Modified Source Data'!$A115,Sector,'Summarized Modified Source Data'!X$2,Subsector,'Summarized Modified Source Data'!X$3,TimeOfWeek,$D115)</f>
        <v>0</v>
      </c>
      <c r="Y115" s="25">
        <f>SUMIFS(INDEX(Load,,MATCH('Summarized Modified Source Data'!$B115,Hour,0)),Season,'Summarized Modified Source Data'!$A115,Sector,'Summarized Modified Source Data'!Y$2,Subsector,'Summarized Modified Source Data'!Y$3,TimeOfWeek,$D115)</f>
        <v>0</v>
      </c>
    </row>
    <row r="116" spans="1:25" outlineLevel="1" x14ac:dyDescent="0.25">
      <c r="A116" t="s">
        <v>37</v>
      </c>
      <c r="B116" t="s">
        <v>163</v>
      </c>
      <c r="C116" s="7" t="s">
        <v>15</v>
      </c>
      <c r="D116" t="s">
        <v>114</v>
      </c>
      <c r="E116" s="25">
        <f>SUMIFS(INDEX(Load,,MATCH('Summarized Modified Source Data'!$B116,Hour,0)),Season,'Summarized Modified Source Data'!$A116,Sector,'Summarized Modified Source Data'!E$2,Subsector,'Summarized Modified Source Data'!E$3,TimeOfWeek,$D116)</f>
        <v>34238863</v>
      </c>
      <c r="F116" s="25">
        <f>SUMIFS(INDEX(Load,,MATCH('Summarized Modified Source Data'!$B116,Hour,0)),Season,'Summarized Modified Source Data'!$A116,Sector,'Summarized Modified Source Data'!F$2,Subsector,'Summarized Modified Source Data'!F$3,TimeOfWeek,$D116)</f>
        <v>32251</v>
      </c>
      <c r="G116" s="25">
        <f>SUMIFS(INDEX(Load,,MATCH('Summarized Modified Source Data'!$B116,Hour,0)),Season,'Summarized Modified Source Data'!$A116,Sector,'Summarized Modified Source Data'!G$2,Subsector,'Summarized Modified Source Data'!G$3,TimeOfWeek,$D116)</f>
        <v>0</v>
      </c>
      <c r="H116" s="25">
        <f>SUMIFS(INDEX(Load,,MATCH('Summarized Modified Source Data'!$B116,Hour,0)),Season,'Summarized Modified Source Data'!$A116,Sector,'Summarized Modified Source Data'!H$2,Subsector,'Summarized Modified Source Data'!H$3,TimeOfWeek,$D116)</f>
        <v>89300000</v>
      </c>
      <c r="I116" s="25">
        <f>SUMIFS(INDEX(Load,,MATCH('Summarized Modified Source Data'!$B116,Hour,0)),Season,'Summarized Modified Source Data'!$A116,Sector,'Summarized Modified Source Data'!I$2,Subsector,'Summarized Modified Source Data'!I$3,TimeOfWeek,$D116)</f>
        <v>38065077</v>
      </c>
      <c r="J116" s="25">
        <f t="shared" si="3"/>
        <v>38065077</v>
      </c>
      <c r="K116" s="25">
        <f>SUMIFS(INDEX(Load,,MATCH('Summarized Modified Source Data'!$B116,Hour,0)),Season,'Summarized Modified Source Data'!$A116,Sector,'Summarized Modified Source Data'!K$2,Subsector,'Summarized Modified Source Data'!K$3,TimeOfWeek,$D116)</f>
        <v>60140321</v>
      </c>
      <c r="L116" s="25">
        <f>SUMIFS(INDEX(Load,,MATCH('Summarized Modified Source Data'!$B116,Hour,0)),Season,'Summarized Modified Source Data'!$A116,Sector,'Summarized Modified Source Data'!L$2,Subsector,'Summarized Modified Source Data'!L$3,TimeOfWeek,$D116)</f>
        <v>176472</v>
      </c>
      <c r="M116" s="25">
        <f>SUMIFS(INDEX(Load,,MATCH('Summarized Modified Source Data'!$B116,Hour,0)),Season,'Summarized Modified Source Data'!$A116,Sector,'Summarized Modified Source Data'!M$2,Subsector,'Summarized Modified Source Data'!M$3,TimeOfWeek,$D116)</f>
        <v>0</v>
      </c>
      <c r="N116" s="25">
        <f t="shared" si="4"/>
        <v>416683207</v>
      </c>
      <c r="O116" s="25">
        <f>SUMIFS(INDEX(Load,,MATCH('Summarized Modified Source Data'!$B116,Hour,0)),Season,'Summarized Modified Source Data'!$A116,Sector,'Summarized Modified Source Data'!O$2,Subsector,"Total",TimeOfWeek,$D116)-SUM(K116:M116)</f>
        <v>416683207</v>
      </c>
      <c r="P116" s="25">
        <f t="shared" si="5"/>
        <v>416683207</v>
      </c>
      <c r="Q116" s="33" cm="1">
        <f t="array" ref="Q116">SUMIFS(INDEX(Load,,MATCH('Summarized Modified Source Data'!$B116,Hour,0)),Season,'Summarized Modified Source Data'!$A116,Sector,'Summarized Modified Source Data'!Q$2,TimeOfWeek,$D116)*LDVs</f>
        <v>7190409.01066723</v>
      </c>
      <c r="R116" s="33" cm="1">
        <f t="array" ref="R116">SUMIFS(INDEX(Load,,MATCH('Summarized Modified Source Data'!$B116,Hour,0)),Season,'Summarized Modified Source Data'!$A116,Sector,'Summarized Modified Source Data'!R$2,TimeOfWeek,$D116)*HDVs</f>
        <v>3388162.910693503</v>
      </c>
      <c r="S116" s="33">
        <f>SUMIFS(INDEX(Load,,MATCH('Summarized Modified Source Data'!$B116,Hour,0)),Season,'Summarized Modified Source Data'!$A116,Sector,'Summarized Modified Source Data'!S$2,TimeOfWeek,$D116)*Aircraft</f>
        <v>0</v>
      </c>
      <c r="T116" s="33">
        <f>SUMIFS(INDEX(Load,,MATCH('Summarized Modified Source Data'!$B116,Hour,0)),Season,'Summarized Modified Source Data'!$A116,Sector,'Summarized Modified Source Data'!T$2,TimeOfWeek,$D116)*Rail</f>
        <v>14750981.078639267</v>
      </c>
      <c r="U116" s="33">
        <f>SUMIFS(INDEX(Load,,MATCH('Summarized Modified Source Data'!$B116,Hour,0)),Season,'Summarized Modified Source Data'!$A116,Sector,'Summarized Modified Source Data'!U$2,TimeOfWeek,$D116)*Ships</f>
        <v>0</v>
      </c>
      <c r="V116" s="33">
        <f>SUMIFS(INDEX(Load,,MATCH('Summarized Modified Source Data'!$B116,Hour,0)),Season,'Summarized Modified Source Data'!$A116,Sector,'Summarized Modified Source Data'!V$2,TimeOfWeek,$D116)*Motorbikes</f>
        <v>0</v>
      </c>
      <c r="W116" s="25">
        <f>SUMIFS(INDEX(Load,,MATCH('Summarized Modified Source Data'!$B116,Hour,0)),Season,'Summarized Modified Source Data'!$A116,Sector,'Summarized Modified Source Data'!W$2,Subsector,'Summarized Modified Source Data'!W$3,TimeOfWeek,$D116)</f>
        <v>1407000000</v>
      </c>
      <c r="X116" s="25">
        <f>SUMIFS(INDEX(Load,,MATCH('Summarized Modified Source Data'!$B116,Hour,0)),Season,'Summarized Modified Source Data'!$A116,Sector,'Summarized Modified Source Data'!X$2,Subsector,'Summarized Modified Source Data'!X$3,TimeOfWeek,$D116)</f>
        <v>0</v>
      </c>
      <c r="Y116" s="25">
        <f>SUMIFS(INDEX(Load,,MATCH('Summarized Modified Source Data'!$B116,Hour,0)),Season,'Summarized Modified Source Data'!$A116,Sector,'Summarized Modified Source Data'!Y$2,Subsector,'Summarized Modified Source Data'!Y$3,TimeOfWeek,$D116)</f>
        <v>0</v>
      </c>
    </row>
    <row r="117" spans="1:25" outlineLevel="1" x14ac:dyDescent="0.25">
      <c r="A117" t="s">
        <v>37</v>
      </c>
      <c r="B117" t="s">
        <v>164</v>
      </c>
      <c r="C117" s="7" t="s">
        <v>16</v>
      </c>
      <c r="D117" t="s">
        <v>114</v>
      </c>
      <c r="E117" s="25">
        <f>SUMIFS(INDEX(Load,,MATCH('Summarized Modified Source Data'!$B117,Hour,0)),Season,'Summarized Modified Source Data'!$A117,Sector,'Summarized Modified Source Data'!E$2,Subsector,'Summarized Modified Source Data'!E$3,TimeOfWeek,$D117)</f>
        <v>36037245</v>
      </c>
      <c r="F117" s="25">
        <f>SUMIFS(INDEX(Load,,MATCH('Summarized Modified Source Data'!$B117,Hour,0)),Season,'Summarized Modified Source Data'!$A117,Sector,'Summarized Modified Source Data'!F$2,Subsector,'Summarized Modified Source Data'!F$3,TimeOfWeek,$D117)</f>
        <v>33526</v>
      </c>
      <c r="G117" s="25">
        <f>SUMIFS(INDEX(Load,,MATCH('Summarized Modified Source Data'!$B117,Hour,0)),Season,'Summarized Modified Source Data'!$A117,Sector,'Summarized Modified Source Data'!G$2,Subsector,'Summarized Modified Source Data'!G$3,TimeOfWeek,$D117)</f>
        <v>0</v>
      </c>
      <c r="H117" s="25">
        <f>SUMIFS(INDEX(Load,,MATCH('Summarized Modified Source Data'!$B117,Hour,0)),Season,'Summarized Modified Source Data'!$A117,Sector,'Summarized Modified Source Data'!H$2,Subsector,'Summarized Modified Source Data'!H$3,TimeOfWeek,$D117)</f>
        <v>125000000</v>
      </c>
      <c r="I117" s="25">
        <f>SUMIFS(INDEX(Load,,MATCH('Summarized Modified Source Data'!$B117,Hour,0)),Season,'Summarized Modified Source Data'!$A117,Sector,'Summarized Modified Source Data'!I$2,Subsector,'Summarized Modified Source Data'!I$3,TimeOfWeek,$D117)</f>
        <v>43615730</v>
      </c>
      <c r="J117" s="25">
        <f t="shared" si="3"/>
        <v>43615730</v>
      </c>
      <c r="K117" s="25">
        <f>SUMIFS(INDEX(Load,,MATCH('Summarized Modified Source Data'!$B117,Hour,0)),Season,'Summarized Modified Source Data'!$A117,Sector,'Summarized Modified Source Data'!K$2,Subsector,'Summarized Modified Source Data'!K$3,TimeOfWeek,$D117)</f>
        <v>65300000</v>
      </c>
      <c r="L117" s="25">
        <f>SUMIFS(INDEX(Load,,MATCH('Summarized Modified Source Data'!$B117,Hour,0)),Season,'Summarized Modified Source Data'!$A117,Sector,'Summarized Modified Source Data'!L$2,Subsector,'Summarized Modified Source Data'!L$3,TimeOfWeek,$D117)</f>
        <v>172209</v>
      </c>
      <c r="M117" s="25">
        <f>SUMIFS(INDEX(Load,,MATCH('Summarized Modified Source Data'!$B117,Hour,0)),Season,'Summarized Modified Source Data'!$A117,Sector,'Summarized Modified Source Data'!M$2,Subsector,'Summarized Modified Source Data'!M$3,TimeOfWeek,$D117)</f>
        <v>0</v>
      </c>
      <c r="N117" s="25">
        <f t="shared" si="4"/>
        <v>420527791</v>
      </c>
      <c r="O117" s="25">
        <f>SUMIFS(INDEX(Load,,MATCH('Summarized Modified Source Data'!$B117,Hour,0)),Season,'Summarized Modified Source Data'!$A117,Sector,'Summarized Modified Source Data'!O$2,Subsector,"Total",TimeOfWeek,$D117)-SUM(K117:M117)</f>
        <v>420527791</v>
      </c>
      <c r="P117" s="25">
        <f t="shared" si="5"/>
        <v>420527791</v>
      </c>
      <c r="Q117" s="33" cm="1">
        <f t="array" ref="Q117">SUMIFS(INDEX(Load,,MATCH('Summarized Modified Source Data'!$B117,Hour,0)),Season,'Summarized Modified Source Data'!$A117,Sector,'Summarized Modified Source Data'!Q$2,TimeOfWeek,$D117)*LDVs</f>
        <v>7197057.9144140845</v>
      </c>
      <c r="R117" s="33" cm="1">
        <f t="array" ref="R117">SUMIFS(INDEX(Load,,MATCH('Summarized Modified Source Data'!$B117,Hour,0)),Season,'Summarized Modified Source Data'!$A117,Sector,'Summarized Modified Source Data'!R$2,TimeOfWeek,$D117)*HDVs</f>
        <v>3391295.9131469717</v>
      </c>
      <c r="S117" s="33">
        <f>SUMIFS(INDEX(Load,,MATCH('Summarized Modified Source Data'!$B117,Hour,0)),Season,'Summarized Modified Source Data'!$A117,Sector,'Summarized Modified Source Data'!S$2,TimeOfWeek,$D117)*Aircraft</f>
        <v>0</v>
      </c>
      <c r="T117" s="33">
        <f>SUMIFS(INDEX(Load,,MATCH('Summarized Modified Source Data'!$B117,Hour,0)),Season,'Summarized Modified Source Data'!$A117,Sector,'Summarized Modified Source Data'!T$2,TimeOfWeek,$D117)*Rail</f>
        <v>14764621.172438944</v>
      </c>
      <c r="U117" s="33">
        <f>SUMIFS(INDEX(Load,,MATCH('Summarized Modified Source Data'!$B117,Hour,0)),Season,'Summarized Modified Source Data'!$A117,Sector,'Summarized Modified Source Data'!U$2,TimeOfWeek,$D117)*Ships</f>
        <v>0</v>
      </c>
      <c r="V117" s="33">
        <f>SUMIFS(INDEX(Load,,MATCH('Summarized Modified Source Data'!$B117,Hour,0)),Season,'Summarized Modified Source Data'!$A117,Sector,'Summarized Modified Source Data'!V$2,TimeOfWeek,$D117)*Motorbikes</f>
        <v>0</v>
      </c>
      <c r="W117" s="25">
        <f>SUMIFS(INDEX(Load,,MATCH('Summarized Modified Source Data'!$B117,Hour,0)),Season,'Summarized Modified Source Data'!$A117,Sector,'Summarized Modified Source Data'!W$2,Subsector,'Summarized Modified Source Data'!W$3,TimeOfWeek,$D117)</f>
        <v>1409000000</v>
      </c>
      <c r="X117" s="25">
        <f>SUMIFS(INDEX(Load,,MATCH('Summarized Modified Source Data'!$B117,Hour,0)),Season,'Summarized Modified Source Data'!$A117,Sector,'Summarized Modified Source Data'!X$2,Subsector,'Summarized Modified Source Data'!X$3,TimeOfWeek,$D117)</f>
        <v>0</v>
      </c>
      <c r="Y117" s="25">
        <f>SUMIFS(INDEX(Load,,MATCH('Summarized Modified Source Data'!$B117,Hour,0)),Season,'Summarized Modified Source Data'!$A117,Sector,'Summarized Modified Source Data'!Y$2,Subsector,'Summarized Modified Source Data'!Y$3,TimeOfWeek,$D117)</f>
        <v>0</v>
      </c>
    </row>
    <row r="118" spans="1:25" outlineLevel="1" x14ac:dyDescent="0.25">
      <c r="A118" t="s">
        <v>37</v>
      </c>
      <c r="B118" t="s">
        <v>165</v>
      </c>
      <c r="C118" s="7" t="s">
        <v>17</v>
      </c>
      <c r="D118" t="s">
        <v>114</v>
      </c>
      <c r="E118" s="25">
        <f>SUMIFS(INDEX(Load,,MATCH('Summarized Modified Source Data'!$B118,Hour,0)),Season,'Summarized Modified Source Data'!$A118,Sector,'Summarized Modified Source Data'!E$2,Subsector,'Summarized Modified Source Data'!E$3,TimeOfWeek,$D118)</f>
        <v>38196052</v>
      </c>
      <c r="F118" s="25">
        <f>SUMIFS(INDEX(Load,,MATCH('Summarized Modified Source Data'!$B118,Hour,0)),Season,'Summarized Modified Source Data'!$A118,Sector,'Summarized Modified Source Data'!F$2,Subsector,'Summarized Modified Source Data'!F$3,TimeOfWeek,$D118)</f>
        <v>35587</v>
      </c>
      <c r="G118" s="25">
        <f>SUMIFS(INDEX(Load,,MATCH('Summarized Modified Source Data'!$B118,Hour,0)),Season,'Summarized Modified Source Data'!$A118,Sector,'Summarized Modified Source Data'!G$2,Subsector,'Summarized Modified Source Data'!G$3,TimeOfWeek,$D118)</f>
        <v>0</v>
      </c>
      <c r="H118" s="25">
        <f>SUMIFS(INDEX(Load,,MATCH('Summarized Modified Source Data'!$B118,Hour,0)),Season,'Summarized Modified Source Data'!$A118,Sector,'Summarized Modified Source Data'!H$2,Subsector,'Summarized Modified Source Data'!H$3,TimeOfWeek,$D118)</f>
        <v>131900000</v>
      </c>
      <c r="I118" s="25">
        <f>SUMIFS(INDEX(Load,,MATCH('Summarized Modified Source Data'!$B118,Hour,0)),Season,'Summarized Modified Source Data'!$A118,Sector,'Summarized Modified Source Data'!I$2,Subsector,'Summarized Modified Source Data'!I$3,TimeOfWeek,$D118)</f>
        <v>49800000</v>
      </c>
      <c r="J118" s="25">
        <f t="shared" si="3"/>
        <v>49800000</v>
      </c>
      <c r="K118" s="25">
        <f>SUMIFS(INDEX(Load,,MATCH('Summarized Modified Source Data'!$B118,Hour,0)),Season,'Summarized Modified Source Data'!$A118,Sector,'Summarized Modified Source Data'!K$2,Subsector,'Summarized Modified Source Data'!K$3,TimeOfWeek,$D118)</f>
        <v>75200000</v>
      </c>
      <c r="L118" s="25">
        <f>SUMIFS(INDEX(Load,,MATCH('Summarized Modified Source Data'!$B118,Hour,0)),Season,'Summarized Modified Source Data'!$A118,Sector,'Summarized Modified Source Data'!L$2,Subsector,'Summarized Modified Source Data'!L$3,TimeOfWeek,$D118)</f>
        <v>168515</v>
      </c>
      <c r="M118" s="25">
        <f>SUMIFS(INDEX(Load,,MATCH('Summarized Modified Source Data'!$B118,Hour,0)),Season,'Summarized Modified Source Data'!$A118,Sector,'Summarized Modified Source Data'!M$2,Subsector,'Summarized Modified Source Data'!M$3,TimeOfWeek,$D118)</f>
        <v>0</v>
      </c>
      <c r="N118" s="25">
        <f t="shared" si="4"/>
        <v>415631485</v>
      </c>
      <c r="O118" s="25">
        <f>SUMIFS(INDEX(Load,,MATCH('Summarized Modified Source Data'!$B118,Hour,0)),Season,'Summarized Modified Source Data'!$A118,Sector,'Summarized Modified Source Data'!O$2,Subsector,"Total",TimeOfWeek,$D118)-SUM(K118:M118)</f>
        <v>415631485</v>
      </c>
      <c r="P118" s="25">
        <f t="shared" si="5"/>
        <v>415631485</v>
      </c>
      <c r="Q118" s="33" cm="1">
        <f t="array" ref="Q118">SUMIFS(INDEX(Load,,MATCH('Summarized Modified Source Data'!$B118,Hour,0)),Season,'Summarized Modified Source Data'!$A118,Sector,'Summarized Modified Source Data'!Q$2,TimeOfWeek,$D118)*LDVs</f>
        <v>7150515.5881861029</v>
      </c>
      <c r="R118" s="33" cm="1">
        <f t="array" ref="R118">SUMIFS(INDEX(Load,,MATCH('Summarized Modified Source Data'!$B118,Hour,0)),Season,'Summarized Modified Source Data'!$A118,Sector,'Summarized Modified Source Data'!R$2,TimeOfWeek,$D118)*HDVs</f>
        <v>3369364.8959726915</v>
      </c>
      <c r="S118" s="33">
        <f>SUMIFS(INDEX(Load,,MATCH('Summarized Modified Source Data'!$B118,Hour,0)),Season,'Summarized Modified Source Data'!$A118,Sector,'Summarized Modified Source Data'!S$2,TimeOfWeek,$D118)*Aircraft</f>
        <v>0</v>
      </c>
      <c r="T118" s="33">
        <f>SUMIFS(INDEX(Load,,MATCH('Summarized Modified Source Data'!$B118,Hour,0)),Season,'Summarized Modified Source Data'!$A118,Sector,'Summarized Modified Source Data'!T$2,TimeOfWeek,$D118)*Rail</f>
        <v>14669140.515841205</v>
      </c>
      <c r="U118" s="33">
        <f>SUMIFS(INDEX(Load,,MATCH('Summarized Modified Source Data'!$B118,Hour,0)),Season,'Summarized Modified Source Data'!$A118,Sector,'Summarized Modified Source Data'!U$2,TimeOfWeek,$D118)*Ships</f>
        <v>0</v>
      </c>
      <c r="V118" s="33">
        <f>SUMIFS(INDEX(Load,,MATCH('Summarized Modified Source Data'!$B118,Hour,0)),Season,'Summarized Modified Source Data'!$A118,Sector,'Summarized Modified Source Data'!V$2,TimeOfWeek,$D118)*Motorbikes</f>
        <v>0</v>
      </c>
      <c r="W118" s="25">
        <f>SUMIFS(INDEX(Load,,MATCH('Summarized Modified Source Data'!$B118,Hour,0)),Season,'Summarized Modified Source Data'!$A118,Sector,'Summarized Modified Source Data'!W$2,Subsector,'Summarized Modified Source Data'!W$3,TimeOfWeek,$D118)</f>
        <v>1403000000</v>
      </c>
      <c r="X118" s="25">
        <f>SUMIFS(INDEX(Load,,MATCH('Summarized Modified Source Data'!$B118,Hour,0)),Season,'Summarized Modified Source Data'!$A118,Sector,'Summarized Modified Source Data'!X$2,Subsector,'Summarized Modified Source Data'!X$3,TimeOfWeek,$D118)</f>
        <v>0</v>
      </c>
      <c r="Y118" s="25">
        <f>SUMIFS(INDEX(Load,,MATCH('Summarized Modified Source Data'!$B118,Hour,0)),Season,'Summarized Modified Source Data'!$A118,Sector,'Summarized Modified Source Data'!Y$2,Subsector,'Summarized Modified Source Data'!Y$3,TimeOfWeek,$D118)</f>
        <v>0</v>
      </c>
    </row>
    <row r="119" spans="1:25" outlineLevel="1" x14ac:dyDescent="0.25">
      <c r="A119" t="s">
        <v>37</v>
      </c>
      <c r="B119" t="s">
        <v>166</v>
      </c>
      <c r="C119" s="7" t="s">
        <v>18</v>
      </c>
      <c r="D119" t="s">
        <v>114</v>
      </c>
      <c r="E119" s="25">
        <f>SUMIFS(INDEX(Load,,MATCH('Summarized Modified Source Data'!$B119,Hour,0)),Season,'Summarized Modified Source Data'!$A119,Sector,'Summarized Modified Source Data'!E$2,Subsector,'Summarized Modified Source Data'!E$3,TimeOfWeek,$D119)</f>
        <v>40769404</v>
      </c>
      <c r="F119" s="25">
        <f>SUMIFS(INDEX(Load,,MATCH('Summarized Modified Source Data'!$B119,Hour,0)),Season,'Summarized Modified Source Data'!$A119,Sector,'Summarized Modified Source Data'!F$2,Subsector,'Summarized Modified Source Data'!F$3,TimeOfWeek,$D119)</f>
        <v>37819</v>
      </c>
      <c r="G119" s="25">
        <f>SUMIFS(INDEX(Load,,MATCH('Summarized Modified Source Data'!$B119,Hour,0)),Season,'Summarized Modified Source Data'!$A119,Sector,'Summarized Modified Source Data'!G$2,Subsector,'Summarized Modified Source Data'!G$3,TimeOfWeek,$D119)</f>
        <v>0</v>
      </c>
      <c r="H119" s="25">
        <f>SUMIFS(INDEX(Load,,MATCH('Summarized Modified Source Data'!$B119,Hour,0)),Season,'Summarized Modified Source Data'!$A119,Sector,'Summarized Modified Source Data'!H$2,Subsector,'Summarized Modified Source Data'!H$3,TimeOfWeek,$D119)</f>
        <v>138200000</v>
      </c>
      <c r="I119" s="25">
        <f>SUMIFS(INDEX(Load,,MATCH('Summarized Modified Source Data'!$B119,Hour,0)),Season,'Summarized Modified Source Data'!$A119,Sector,'Summarized Modified Source Data'!I$2,Subsector,'Summarized Modified Source Data'!I$3,TimeOfWeek,$D119)</f>
        <v>45400000</v>
      </c>
      <c r="J119" s="25">
        <f t="shared" si="3"/>
        <v>45400000</v>
      </c>
      <c r="K119" s="25">
        <f>SUMIFS(INDEX(Load,,MATCH('Summarized Modified Source Data'!$B119,Hour,0)),Season,'Summarized Modified Source Data'!$A119,Sector,'Summarized Modified Source Data'!K$2,Subsector,'Summarized Modified Source Data'!K$3,TimeOfWeek,$D119)</f>
        <v>53057101</v>
      </c>
      <c r="L119" s="25">
        <f>SUMIFS(INDEX(Load,,MATCH('Summarized Modified Source Data'!$B119,Hour,0)),Season,'Summarized Modified Source Data'!$A119,Sector,'Summarized Modified Source Data'!L$2,Subsector,'Summarized Modified Source Data'!L$3,TimeOfWeek,$D119)</f>
        <v>163243</v>
      </c>
      <c r="M119" s="25">
        <f>SUMIFS(INDEX(Load,,MATCH('Summarized Modified Source Data'!$B119,Hour,0)),Season,'Summarized Modified Source Data'!$A119,Sector,'Summarized Modified Source Data'!M$2,Subsector,'Summarized Modified Source Data'!M$3,TimeOfWeek,$D119)</f>
        <v>0</v>
      </c>
      <c r="N119" s="25">
        <f t="shared" si="4"/>
        <v>404779656</v>
      </c>
      <c r="O119" s="25">
        <f>SUMIFS(INDEX(Load,,MATCH('Summarized Modified Source Data'!$B119,Hour,0)),Season,'Summarized Modified Source Data'!$A119,Sector,'Summarized Modified Source Data'!O$2,Subsector,"Total",TimeOfWeek,$D119)-SUM(K119:M119)</f>
        <v>404779656</v>
      </c>
      <c r="P119" s="25">
        <f t="shared" si="5"/>
        <v>404779656</v>
      </c>
      <c r="Q119" s="33" cm="1">
        <f t="array" ref="Q119">SUMIFS(INDEX(Load,,MATCH('Summarized Modified Source Data'!$B119,Hour,0)),Season,'Summarized Modified Source Data'!$A119,Sector,'Summarized Modified Source Data'!Q$2,TimeOfWeek,$D119)*LDVs</f>
        <v>6997591.9375056326</v>
      </c>
      <c r="R119" s="33" cm="1">
        <f t="array" ref="R119">SUMIFS(INDEX(Load,,MATCH('Summarized Modified Source Data'!$B119,Hour,0)),Season,'Summarized Modified Source Data'!$A119,Sector,'Summarized Modified Source Data'!R$2,TimeOfWeek,$D119)*HDVs</f>
        <v>3297306.374595847</v>
      </c>
      <c r="S119" s="33">
        <f>SUMIFS(INDEX(Load,,MATCH('Summarized Modified Source Data'!$B119,Hour,0)),Season,'Summarized Modified Source Data'!$A119,Sector,'Summarized Modified Source Data'!S$2,TimeOfWeek,$D119)*Aircraft</f>
        <v>0</v>
      </c>
      <c r="T119" s="33">
        <f>SUMIFS(INDEX(Load,,MATCH('Summarized Modified Source Data'!$B119,Hour,0)),Season,'Summarized Modified Source Data'!$A119,Sector,'Summarized Modified Source Data'!T$2,TimeOfWeek,$D119)*Rail</f>
        <v>14355420.68789852</v>
      </c>
      <c r="U119" s="33">
        <f>SUMIFS(INDEX(Load,,MATCH('Summarized Modified Source Data'!$B119,Hour,0)),Season,'Summarized Modified Source Data'!$A119,Sector,'Summarized Modified Source Data'!U$2,TimeOfWeek,$D119)*Ships</f>
        <v>0</v>
      </c>
      <c r="V119" s="33">
        <f>SUMIFS(INDEX(Load,,MATCH('Summarized Modified Source Data'!$B119,Hour,0)),Season,'Summarized Modified Source Data'!$A119,Sector,'Summarized Modified Source Data'!V$2,TimeOfWeek,$D119)*Motorbikes</f>
        <v>0</v>
      </c>
      <c r="W119" s="25">
        <f>SUMIFS(INDEX(Load,,MATCH('Summarized Modified Source Data'!$B119,Hour,0)),Season,'Summarized Modified Source Data'!$A119,Sector,'Summarized Modified Source Data'!W$2,Subsector,'Summarized Modified Source Data'!W$3,TimeOfWeek,$D119)</f>
        <v>1395000000</v>
      </c>
      <c r="X119" s="25">
        <f>SUMIFS(INDEX(Load,,MATCH('Summarized Modified Source Data'!$B119,Hour,0)),Season,'Summarized Modified Source Data'!$A119,Sector,'Summarized Modified Source Data'!X$2,Subsector,'Summarized Modified Source Data'!X$3,TimeOfWeek,$D119)</f>
        <v>0</v>
      </c>
      <c r="Y119" s="25">
        <f>SUMIFS(INDEX(Load,,MATCH('Summarized Modified Source Data'!$B119,Hour,0)),Season,'Summarized Modified Source Data'!$A119,Sector,'Summarized Modified Source Data'!Y$2,Subsector,'Summarized Modified Source Data'!Y$3,TimeOfWeek,$D119)</f>
        <v>0</v>
      </c>
    </row>
    <row r="120" spans="1:25" outlineLevel="1" x14ac:dyDescent="0.25">
      <c r="A120" t="s">
        <v>37</v>
      </c>
      <c r="B120" t="s">
        <v>167</v>
      </c>
      <c r="C120" s="7" t="s">
        <v>19</v>
      </c>
      <c r="D120" t="s">
        <v>114</v>
      </c>
      <c r="E120" s="25">
        <f>SUMIFS(INDEX(Load,,MATCH('Summarized Modified Source Data'!$B120,Hour,0)),Season,'Summarized Modified Source Data'!$A120,Sector,'Summarized Modified Source Data'!E$2,Subsector,'Summarized Modified Source Data'!E$3,TimeOfWeek,$D120)</f>
        <v>42535493</v>
      </c>
      <c r="F120" s="25">
        <f>SUMIFS(INDEX(Load,,MATCH('Summarized Modified Source Data'!$B120,Hour,0)),Season,'Summarized Modified Source Data'!$A120,Sector,'Summarized Modified Source Data'!F$2,Subsector,'Summarized Modified Source Data'!F$3,TimeOfWeek,$D120)</f>
        <v>39595</v>
      </c>
      <c r="G120" s="25">
        <f>SUMIFS(INDEX(Load,,MATCH('Summarized Modified Source Data'!$B120,Hour,0)),Season,'Summarized Modified Source Data'!$A120,Sector,'Summarized Modified Source Data'!G$2,Subsector,'Summarized Modified Source Data'!G$3,TimeOfWeek,$D120)</f>
        <v>0</v>
      </c>
      <c r="H120" s="25">
        <f>SUMIFS(INDEX(Load,,MATCH('Summarized Modified Source Data'!$B120,Hour,0)),Season,'Summarized Modified Source Data'!$A120,Sector,'Summarized Modified Source Data'!H$2,Subsector,'Summarized Modified Source Data'!H$3,TimeOfWeek,$D120)</f>
        <v>137400000</v>
      </c>
      <c r="I120" s="25">
        <f>SUMIFS(INDEX(Load,,MATCH('Summarized Modified Source Data'!$B120,Hour,0)),Season,'Summarized Modified Source Data'!$A120,Sector,'Summarized Modified Source Data'!I$2,Subsector,'Summarized Modified Source Data'!I$3,TimeOfWeek,$D120)</f>
        <v>42317794</v>
      </c>
      <c r="J120" s="25">
        <f t="shared" si="3"/>
        <v>42317794</v>
      </c>
      <c r="K120" s="25">
        <f>SUMIFS(INDEX(Load,,MATCH('Summarized Modified Source Data'!$B120,Hour,0)),Season,'Summarized Modified Source Data'!$A120,Sector,'Summarized Modified Source Data'!K$2,Subsector,'Summarized Modified Source Data'!K$3,TimeOfWeek,$D120)</f>
        <v>54266798</v>
      </c>
      <c r="L120" s="25">
        <f>SUMIFS(INDEX(Load,,MATCH('Summarized Modified Source Data'!$B120,Hour,0)),Season,'Summarized Modified Source Data'!$A120,Sector,'Summarized Modified Source Data'!L$2,Subsector,'Summarized Modified Source Data'!L$3,TimeOfWeek,$D120)</f>
        <v>158811</v>
      </c>
      <c r="M120" s="25">
        <f>SUMIFS(INDEX(Load,,MATCH('Summarized Modified Source Data'!$B120,Hour,0)),Season,'Summarized Modified Source Data'!$A120,Sector,'Summarized Modified Source Data'!M$2,Subsector,'Summarized Modified Source Data'!M$3,TimeOfWeek,$D120)</f>
        <v>0</v>
      </c>
      <c r="N120" s="25">
        <f t="shared" si="4"/>
        <v>386574391</v>
      </c>
      <c r="O120" s="25">
        <f>SUMIFS(INDEX(Load,,MATCH('Summarized Modified Source Data'!$B120,Hour,0)),Season,'Summarized Modified Source Data'!$A120,Sector,'Summarized Modified Source Data'!O$2,Subsector,"Total",TimeOfWeek,$D120)-SUM(K120:M120)</f>
        <v>386574391</v>
      </c>
      <c r="P120" s="25">
        <f t="shared" si="5"/>
        <v>386574391</v>
      </c>
      <c r="Q120" s="33" cm="1">
        <f t="array" ref="Q120">SUMIFS(INDEX(Load,,MATCH('Summarized Modified Source Data'!$B120,Hour,0)),Season,'Summarized Modified Source Data'!$A120,Sector,'Summarized Modified Source Data'!Q$2,TimeOfWeek,$D120)*LDVs</f>
        <v>6791477.6245989176</v>
      </c>
      <c r="R120" s="33" cm="1">
        <f t="array" ref="R120">SUMIFS(INDEX(Load,,MATCH('Summarized Modified Source Data'!$B120,Hour,0)),Season,'Summarized Modified Source Data'!$A120,Sector,'Summarized Modified Source Data'!R$2,TimeOfWeek,$D120)*HDVs</f>
        <v>3200184.1011177208</v>
      </c>
      <c r="S120" s="33">
        <f>SUMIFS(INDEX(Load,,MATCH('Summarized Modified Source Data'!$B120,Hour,0)),Season,'Summarized Modified Source Data'!$A120,Sector,'Summarized Modified Source Data'!S$2,TimeOfWeek,$D120)*Aircraft</f>
        <v>0</v>
      </c>
      <c r="T120" s="33">
        <f>SUMIFS(INDEX(Load,,MATCH('Summarized Modified Source Data'!$B120,Hour,0)),Season,'Summarized Modified Source Data'!$A120,Sector,'Summarized Modified Source Data'!T$2,TimeOfWeek,$D120)*Rail</f>
        <v>13932581.274283361</v>
      </c>
      <c r="U120" s="33">
        <f>SUMIFS(INDEX(Load,,MATCH('Summarized Modified Source Data'!$B120,Hour,0)),Season,'Summarized Modified Source Data'!$A120,Sector,'Summarized Modified Source Data'!U$2,TimeOfWeek,$D120)*Ships</f>
        <v>0</v>
      </c>
      <c r="V120" s="33">
        <f>SUMIFS(INDEX(Load,,MATCH('Summarized Modified Source Data'!$B120,Hour,0)),Season,'Summarized Modified Source Data'!$A120,Sector,'Summarized Modified Source Data'!V$2,TimeOfWeek,$D120)*Motorbikes</f>
        <v>0</v>
      </c>
      <c r="W120" s="25">
        <f>SUMIFS(INDEX(Load,,MATCH('Summarized Modified Source Data'!$B120,Hour,0)),Season,'Summarized Modified Source Data'!$A120,Sector,'Summarized Modified Source Data'!W$2,Subsector,'Summarized Modified Source Data'!W$3,TimeOfWeek,$D120)</f>
        <v>1387000000</v>
      </c>
      <c r="X120" s="25">
        <f>SUMIFS(INDEX(Load,,MATCH('Summarized Modified Source Data'!$B120,Hour,0)),Season,'Summarized Modified Source Data'!$A120,Sector,'Summarized Modified Source Data'!X$2,Subsector,'Summarized Modified Source Data'!X$3,TimeOfWeek,$D120)</f>
        <v>0</v>
      </c>
      <c r="Y120" s="25">
        <f>SUMIFS(INDEX(Load,,MATCH('Summarized Modified Source Data'!$B120,Hour,0)),Season,'Summarized Modified Source Data'!$A120,Sector,'Summarized Modified Source Data'!Y$2,Subsector,'Summarized Modified Source Data'!Y$3,TimeOfWeek,$D120)</f>
        <v>0</v>
      </c>
    </row>
    <row r="121" spans="1:25" outlineLevel="1" x14ac:dyDescent="0.25">
      <c r="A121" t="s">
        <v>37</v>
      </c>
      <c r="B121" t="s">
        <v>168</v>
      </c>
      <c r="C121" s="7" t="s">
        <v>20</v>
      </c>
      <c r="D121" t="s">
        <v>114</v>
      </c>
      <c r="E121" s="25">
        <f>SUMIFS(INDEX(Load,,MATCH('Summarized Modified Source Data'!$B121,Hour,0)),Season,'Summarized Modified Source Data'!$A121,Sector,'Summarized Modified Source Data'!E$2,Subsector,'Summarized Modified Source Data'!E$3,TimeOfWeek,$D121)</f>
        <v>40795306</v>
      </c>
      <c r="F121" s="25">
        <f>SUMIFS(INDEX(Load,,MATCH('Summarized Modified Source Data'!$B121,Hour,0)),Season,'Summarized Modified Source Data'!$A121,Sector,'Summarized Modified Source Data'!F$2,Subsector,'Summarized Modified Source Data'!F$3,TimeOfWeek,$D121)</f>
        <v>41279</v>
      </c>
      <c r="G121" s="25">
        <f>SUMIFS(INDEX(Load,,MATCH('Summarized Modified Source Data'!$B121,Hour,0)),Season,'Summarized Modified Source Data'!$A121,Sector,'Summarized Modified Source Data'!G$2,Subsector,'Summarized Modified Source Data'!G$3,TimeOfWeek,$D121)</f>
        <v>0</v>
      </c>
      <c r="H121" s="25">
        <f>SUMIFS(INDEX(Load,,MATCH('Summarized Modified Source Data'!$B121,Hour,0)),Season,'Summarized Modified Source Data'!$A121,Sector,'Summarized Modified Source Data'!H$2,Subsector,'Summarized Modified Source Data'!H$3,TimeOfWeek,$D121)</f>
        <v>113700000</v>
      </c>
      <c r="I121" s="25">
        <f>SUMIFS(INDEX(Load,,MATCH('Summarized Modified Source Data'!$B121,Hour,0)),Season,'Summarized Modified Source Data'!$A121,Sector,'Summarized Modified Source Data'!I$2,Subsector,'Summarized Modified Source Data'!I$3,TimeOfWeek,$D121)</f>
        <v>37009191</v>
      </c>
      <c r="J121" s="25">
        <f t="shared" si="3"/>
        <v>37009191</v>
      </c>
      <c r="K121" s="25">
        <f>SUMIFS(INDEX(Load,,MATCH('Summarized Modified Source Data'!$B121,Hour,0)),Season,'Summarized Modified Source Data'!$A121,Sector,'Summarized Modified Source Data'!K$2,Subsector,'Summarized Modified Source Data'!K$3,TimeOfWeek,$D121)</f>
        <v>58400000</v>
      </c>
      <c r="L121" s="25">
        <f>SUMIFS(INDEX(Load,,MATCH('Summarized Modified Source Data'!$B121,Hour,0)),Season,'Summarized Modified Source Data'!$A121,Sector,'Summarized Modified Source Data'!L$2,Subsector,'Summarized Modified Source Data'!L$3,TimeOfWeek,$D121)</f>
        <v>154288</v>
      </c>
      <c r="M121" s="25">
        <f>SUMIFS(INDEX(Load,,MATCH('Summarized Modified Source Data'!$B121,Hour,0)),Season,'Summarized Modified Source Data'!$A121,Sector,'Summarized Modified Source Data'!M$2,Subsector,'Summarized Modified Source Data'!M$3,TimeOfWeek,$D121)</f>
        <v>0</v>
      </c>
      <c r="N121" s="25">
        <f t="shared" si="4"/>
        <v>360445712</v>
      </c>
      <c r="O121" s="25">
        <f>SUMIFS(INDEX(Load,,MATCH('Summarized Modified Source Data'!$B121,Hour,0)),Season,'Summarized Modified Source Data'!$A121,Sector,'Summarized Modified Source Data'!O$2,Subsector,"Total",TimeOfWeek,$D121)-SUM(K121:M121)</f>
        <v>360445712</v>
      </c>
      <c r="P121" s="25">
        <f t="shared" si="5"/>
        <v>360445712</v>
      </c>
      <c r="Q121" s="33" cm="1">
        <f t="array" ref="Q121">SUMIFS(INDEX(Load,,MATCH('Summarized Modified Source Data'!$B121,Hour,0)),Season,'Summarized Modified Source Data'!$A121,Sector,'Summarized Modified Source Data'!Q$2,TimeOfWeek,$D121)*LDVs</f>
        <v>6558767.6967047853</v>
      </c>
      <c r="R121" s="33" cm="1">
        <f t="array" ref="R121">SUMIFS(INDEX(Load,,MATCH('Summarized Modified Source Data'!$B121,Hour,0)),Season,'Summarized Modified Source Data'!$A121,Sector,'Summarized Modified Source Data'!R$2,TimeOfWeek,$D121)*HDVs</f>
        <v>3090529.8178257202</v>
      </c>
      <c r="S121" s="33">
        <f>SUMIFS(INDEX(Load,,MATCH('Summarized Modified Source Data'!$B121,Hour,0)),Season,'Summarized Modified Source Data'!$A121,Sector,'Summarized Modified Source Data'!S$2,TimeOfWeek,$D121)*Aircraft</f>
        <v>0</v>
      </c>
      <c r="T121" s="33">
        <f>SUMIFS(INDEX(Load,,MATCH('Summarized Modified Source Data'!$B121,Hour,0)),Season,'Summarized Modified Source Data'!$A121,Sector,'Summarized Modified Source Data'!T$2,TimeOfWeek,$D121)*Rail</f>
        <v>13455181.485469494</v>
      </c>
      <c r="U121" s="33">
        <f>SUMIFS(INDEX(Load,,MATCH('Summarized Modified Source Data'!$B121,Hour,0)),Season,'Summarized Modified Source Data'!$A121,Sector,'Summarized Modified Source Data'!U$2,TimeOfWeek,$D121)*Ships</f>
        <v>0</v>
      </c>
      <c r="V121" s="33">
        <f>SUMIFS(INDEX(Load,,MATCH('Summarized Modified Source Data'!$B121,Hour,0)),Season,'Summarized Modified Source Data'!$A121,Sector,'Summarized Modified Source Data'!V$2,TimeOfWeek,$D121)*Motorbikes</f>
        <v>0</v>
      </c>
      <c r="W121" s="25">
        <f>SUMIFS(INDEX(Load,,MATCH('Summarized Modified Source Data'!$B121,Hour,0)),Season,'Summarized Modified Source Data'!$A121,Sector,'Summarized Modified Source Data'!W$2,Subsector,'Summarized Modified Source Data'!W$3,TimeOfWeek,$D121)</f>
        <v>1375000000</v>
      </c>
      <c r="X121" s="25">
        <f>SUMIFS(INDEX(Load,,MATCH('Summarized Modified Source Data'!$B121,Hour,0)),Season,'Summarized Modified Source Data'!$A121,Sector,'Summarized Modified Source Data'!X$2,Subsector,'Summarized Modified Source Data'!X$3,TimeOfWeek,$D121)</f>
        <v>0</v>
      </c>
      <c r="Y121" s="25">
        <f>SUMIFS(INDEX(Load,,MATCH('Summarized Modified Source Data'!$B121,Hour,0)),Season,'Summarized Modified Source Data'!$A121,Sector,'Summarized Modified Source Data'!Y$2,Subsector,'Summarized Modified Source Data'!Y$3,TimeOfWeek,$D121)</f>
        <v>0</v>
      </c>
    </row>
    <row r="122" spans="1:25" outlineLevel="1" x14ac:dyDescent="0.25">
      <c r="A122" t="s">
        <v>37</v>
      </c>
      <c r="B122" t="s">
        <v>169</v>
      </c>
      <c r="C122" s="7" t="s">
        <v>21</v>
      </c>
      <c r="D122" t="s">
        <v>114</v>
      </c>
      <c r="E122" s="25">
        <f>SUMIFS(INDEX(Load,,MATCH('Summarized Modified Source Data'!$B122,Hour,0)),Season,'Summarized Modified Source Data'!$A122,Sector,'Summarized Modified Source Data'!E$2,Subsector,'Summarized Modified Source Data'!E$3,TimeOfWeek,$D122)</f>
        <v>36503913</v>
      </c>
      <c r="F122" s="25">
        <f>SUMIFS(INDEX(Load,,MATCH('Summarized Modified Source Data'!$B122,Hour,0)),Season,'Summarized Modified Source Data'!$A122,Sector,'Summarized Modified Source Data'!F$2,Subsector,'Summarized Modified Source Data'!F$3,TimeOfWeek,$D122)</f>
        <v>42840</v>
      </c>
      <c r="G122" s="25">
        <f>SUMIFS(INDEX(Load,,MATCH('Summarized Modified Source Data'!$B122,Hour,0)),Season,'Summarized Modified Source Data'!$A122,Sector,'Summarized Modified Source Data'!G$2,Subsector,'Summarized Modified Source Data'!G$3,TimeOfWeek,$D122)</f>
        <v>0</v>
      </c>
      <c r="H122" s="25">
        <f>SUMIFS(INDEX(Load,,MATCH('Summarized Modified Source Data'!$B122,Hour,0)),Season,'Summarized Modified Source Data'!$A122,Sector,'Summarized Modified Source Data'!H$2,Subsector,'Summarized Modified Source Data'!H$3,TimeOfWeek,$D122)</f>
        <v>73300000</v>
      </c>
      <c r="I122" s="25">
        <f>SUMIFS(INDEX(Load,,MATCH('Summarized Modified Source Data'!$B122,Hour,0)),Season,'Summarized Modified Source Data'!$A122,Sector,'Summarized Modified Source Data'!I$2,Subsector,'Summarized Modified Source Data'!I$3,TimeOfWeek,$D122)</f>
        <v>32141160</v>
      </c>
      <c r="J122" s="25">
        <f t="shared" si="3"/>
        <v>32141160</v>
      </c>
      <c r="K122" s="25">
        <f>SUMIFS(INDEX(Load,,MATCH('Summarized Modified Source Data'!$B122,Hour,0)),Season,'Summarized Modified Source Data'!$A122,Sector,'Summarized Modified Source Data'!K$2,Subsector,'Summarized Modified Source Data'!K$3,TimeOfWeek,$D122)</f>
        <v>59300000</v>
      </c>
      <c r="L122" s="25">
        <f>SUMIFS(INDEX(Load,,MATCH('Summarized Modified Source Data'!$B122,Hour,0)),Season,'Summarized Modified Source Data'!$A122,Sector,'Summarized Modified Source Data'!L$2,Subsector,'Summarized Modified Source Data'!L$3,TimeOfWeek,$D122)</f>
        <v>148851</v>
      </c>
      <c r="M122" s="25">
        <f>SUMIFS(INDEX(Load,,MATCH('Summarized Modified Source Data'!$B122,Hour,0)),Season,'Summarized Modified Source Data'!$A122,Sector,'Summarized Modified Source Data'!M$2,Subsector,'Summarized Modified Source Data'!M$3,TimeOfWeek,$D122)</f>
        <v>0</v>
      </c>
      <c r="N122" s="25">
        <f t="shared" si="4"/>
        <v>344051149</v>
      </c>
      <c r="O122" s="25">
        <f>SUMIFS(INDEX(Load,,MATCH('Summarized Modified Source Data'!$B122,Hour,0)),Season,'Summarized Modified Source Data'!$A122,Sector,'Summarized Modified Source Data'!O$2,Subsector,"Total",TimeOfWeek,$D122)-SUM(K122:M122)</f>
        <v>344051149</v>
      </c>
      <c r="P122" s="25">
        <f t="shared" si="5"/>
        <v>344051149</v>
      </c>
      <c r="Q122" s="33" cm="1">
        <f t="array" ref="Q122">SUMIFS(INDEX(Load,,MATCH('Summarized Modified Source Data'!$B122,Hour,0)),Season,'Summarized Modified Source Data'!$A122,Sector,'Summarized Modified Source Data'!Q$2,TimeOfWeek,$D122)*LDVs</f>
        <v>6478981.4194911234</v>
      </c>
      <c r="R122" s="33" cm="1">
        <f t="array" ref="R122">SUMIFS(INDEX(Load,,MATCH('Summarized Modified Source Data'!$B122,Hour,0)),Season,'Summarized Modified Source Data'!$A122,Sector,'Summarized Modified Source Data'!R$2,TimeOfWeek,$D122)*HDVs</f>
        <v>3052934.0559105636</v>
      </c>
      <c r="S122" s="33">
        <f>SUMIFS(INDEX(Load,,MATCH('Summarized Modified Source Data'!$B122,Hour,0)),Season,'Summarized Modified Source Data'!$A122,Sector,'Summarized Modified Source Data'!S$2,TimeOfWeek,$D122)*Aircraft</f>
        <v>0</v>
      </c>
      <c r="T122" s="33">
        <f>SUMIFS(INDEX(Load,,MATCH('Summarized Modified Source Data'!$B122,Hour,0)),Season,'Summarized Modified Source Data'!$A122,Sector,'Summarized Modified Source Data'!T$2,TimeOfWeek,$D122)*Rail</f>
        <v>13291501.524598313</v>
      </c>
      <c r="U122" s="33">
        <f>SUMIFS(INDEX(Load,,MATCH('Summarized Modified Source Data'!$B122,Hour,0)),Season,'Summarized Modified Source Data'!$A122,Sector,'Summarized Modified Source Data'!U$2,TimeOfWeek,$D122)*Ships</f>
        <v>0</v>
      </c>
      <c r="V122" s="33">
        <f>SUMIFS(INDEX(Load,,MATCH('Summarized Modified Source Data'!$B122,Hour,0)),Season,'Summarized Modified Source Data'!$A122,Sector,'Summarized Modified Source Data'!V$2,TimeOfWeek,$D122)*Motorbikes</f>
        <v>0</v>
      </c>
      <c r="W122" s="25">
        <f>SUMIFS(INDEX(Load,,MATCH('Summarized Modified Source Data'!$B122,Hour,0)),Season,'Summarized Modified Source Data'!$A122,Sector,'Summarized Modified Source Data'!W$2,Subsector,'Summarized Modified Source Data'!W$3,TimeOfWeek,$D122)</f>
        <v>1364000000</v>
      </c>
      <c r="X122" s="25">
        <f>SUMIFS(INDEX(Load,,MATCH('Summarized Modified Source Data'!$B122,Hour,0)),Season,'Summarized Modified Source Data'!$A122,Sector,'Summarized Modified Source Data'!X$2,Subsector,'Summarized Modified Source Data'!X$3,TimeOfWeek,$D122)</f>
        <v>0</v>
      </c>
      <c r="Y122" s="25">
        <f>SUMIFS(INDEX(Load,,MATCH('Summarized Modified Source Data'!$B122,Hour,0)),Season,'Summarized Modified Source Data'!$A122,Sector,'Summarized Modified Source Data'!Y$2,Subsector,'Summarized Modified Source Data'!Y$3,TimeOfWeek,$D122)</f>
        <v>0</v>
      </c>
    </row>
    <row r="123" spans="1:25" outlineLevel="1" x14ac:dyDescent="0.25">
      <c r="A123" t="s">
        <v>37</v>
      </c>
      <c r="B123" t="s">
        <v>170</v>
      </c>
      <c r="C123" s="7" t="s">
        <v>22</v>
      </c>
      <c r="D123" t="s">
        <v>114</v>
      </c>
      <c r="E123" s="25">
        <f>SUMIFS(INDEX(Load,,MATCH('Summarized Modified Source Data'!$B123,Hour,0)),Season,'Summarized Modified Source Data'!$A123,Sector,'Summarized Modified Source Data'!E$2,Subsector,'Summarized Modified Source Data'!E$3,TimeOfWeek,$D123)</f>
        <v>34898269</v>
      </c>
      <c r="F123" s="25">
        <f>SUMIFS(INDEX(Load,,MATCH('Summarized Modified Source Data'!$B123,Hour,0)),Season,'Summarized Modified Source Data'!$A123,Sector,'Summarized Modified Source Data'!F$2,Subsector,'Summarized Modified Source Data'!F$3,TimeOfWeek,$D123)</f>
        <v>44180</v>
      </c>
      <c r="G123" s="25">
        <f>SUMIFS(INDEX(Load,,MATCH('Summarized Modified Source Data'!$B123,Hour,0)),Season,'Summarized Modified Source Data'!$A123,Sector,'Summarized Modified Source Data'!G$2,Subsector,'Summarized Modified Source Data'!G$3,TimeOfWeek,$D123)</f>
        <v>0</v>
      </c>
      <c r="H123" s="25">
        <f>SUMIFS(INDEX(Load,,MATCH('Summarized Modified Source Data'!$B123,Hour,0)),Season,'Summarized Modified Source Data'!$A123,Sector,'Summarized Modified Source Data'!H$2,Subsector,'Summarized Modified Source Data'!H$3,TimeOfWeek,$D123)</f>
        <v>41000000</v>
      </c>
      <c r="I123" s="25">
        <f>SUMIFS(INDEX(Load,,MATCH('Summarized Modified Source Data'!$B123,Hour,0)),Season,'Summarized Modified Source Data'!$A123,Sector,'Summarized Modified Source Data'!I$2,Subsector,'Summarized Modified Source Data'!I$3,TimeOfWeek,$D123)</f>
        <v>24477804</v>
      </c>
      <c r="J123" s="25">
        <f t="shared" si="3"/>
        <v>24477804</v>
      </c>
      <c r="K123" s="25">
        <f>SUMIFS(INDEX(Load,,MATCH('Summarized Modified Source Data'!$B123,Hour,0)),Season,'Summarized Modified Source Data'!$A123,Sector,'Summarized Modified Source Data'!K$2,Subsector,'Summarized Modified Source Data'!K$3,TimeOfWeek,$D123)</f>
        <v>49127650</v>
      </c>
      <c r="L123" s="25">
        <f>SUMIFS(INDEX(Load,,MATCH('Summarized Modified Source Data'!$B123,Hour,0)),Season,'Summarized Modified Source Data'!$A123,Sector,'Summarized Modified Source Data'!L$2,Subsector,'Summarized Modified Source Data'!L$3,TimeOfWeek,$D123)</f>
        <v>141422</v>
      </c>
      <c r="M123" s="25">
        <f>SUMIFS(INDEX(Load,,MATCH('Summarized Modified Source Data'!$B123,Hour,0)),Season,'Summarized Modified Source Data'!$A123,Sector,'Summarized Modified Source Data'!M$2,Subsector,'Summarized Modified Source Data'!M$3,TimeOfWeek,$D123)</f>
        <v>0</v>
      </c>
      <c r="N123" s="25">
        <f t="shared" si="4"/>
        <v>314330928</v>
      </c>
      <c r="O123" s="25">
        <f>SUMIFS(INDEX(Load,,MATCH('Summarized Modified Source Data'!$B123,Hour,0)),Season,'Summarized Modified Source Data'!$A123,Sector,'Summarized Modified Source Data'!O$2,Subsector,"Total",TimeOfWeek,$D123)-SUM(K123:M123)</f>
        <v>314330928</v>
      </c>
      <c r="P123" s="25">
        <f t="shared" si="5"/>
        <v>314330928</v>
      </c>
      <c r="Q123" s="33" cm="1">
        <f t="array" ref="Q123">SUMIFS(INDEX(Load,,MATCH('Summarized Modified Source Data'!$B123,Hour,0)),Season,'Summarized Modified Source Data'!$A123,Sector,'Summarized Modified Source Data'!Q$2,TimeOfWeek,$D123)*LDVs</f>
        <v>4353767.5780779403</v>
      </c>
      <c r="R123" s="33" cm="1">
        <f t="array" ref="R123">SUMIFS(INDEX(Load,,MATCH('Summarized Modified Source Data'!$B123,Hour,0)),Season,'Summarized Modified Source Data'!$A123,Sector,'Summarized Modified Source Data'!R$2,TimeOfWeek,$D123)*HDVs</f>
        <v>2051520.8255802297</v>
      </c>
      <c r="S123" s="33">
        <f>SUMIFS(INDEX(Load,,MATCH('Summarized Modified Source Data'!$B123,Hour,0)),Season,'Summarized Modified Source Data'!$A123,Sector,'Summarized Modified Source Data'!S$2,TimeOfWeek,$D123)*Aircraft</f>
        <v>0</v>
      </c>
      <c r="T123" s="33">
        <f>SUMIFS(INDEX(Load,,MATCH('Summarized Modified Source Data'!$B123,Hour,0)),Season,'Summarized Modified Source Data'!$A123,Sector,'Summarized Modified Source Data'!T$2,TimeOfWeek,$D123)*Rail</f>
        <v>8931667.5963418297</v>
      </c>
      <c r="U123" s="33">
        <f>SUMIFS(INDEX(Load,,MATCH('Summarized Modified Source Data'!$B123,Hour,0)),Season,'Summarized Modified Source Data'!$A123,Sector,'Summarized Modified Source Data'!U$2,TimeOfWeek,$D123)*Ships</f>
        <v>0</v>
      </c>
      <c r="V123" s="33">
        <f>SUMIFS(INDEX(Load,,MATCH('Summarized Modified Source Data'!$B123,Hour,0)),Season,'Summarized Modified Source Data'!$A123,Sector,'Summarized Modified Source Data'!V$2,TimeOfWeek,$D123)*Motorbikes</f>
        <v>0</v>
      </c>
      <c r="W123" s="25">
        <f>SUMIFS(INDEX(Load,,MATCH('Summarized Modified Source Data'!$B123,Hour,0)),Season,'Summarized Modified Source Data'!$A123,Sector,'Summarized Modified Source Data'!W$2,Subsector,'Summarized Modified Source Data'!W$3,TimeOfWeek,$D123)</f>
        <v>1356000000</v>
      </c>
      <c r="X123" s="25">
        <f>SUMIFS(INDEX(Load,,MATCH('Summarized Modified Source Data'!$B123,Hour,0)),Season,'Summarized Modified Source Data'!$A123,Sector,'Summarized Modified Source Data'!X$2,Subsector,'Summarized Modified Source Data'!X$3,TimeOfWeek,$D123)</f>
        <v>0</v>
      </c>
      <c r="Y123" s="25">
        <f>SUMIFS(INDEX(Load,,MATCH('Summarized Modified Source Data'!$B123,Hour,0)),Season,'Summarized Modified Source Data'!$A123,Sector,'Summarized Modified Source Data'!Y$2,Subsector,'Summarized Modified Source Data'!Y$3,TimeOfWeek,$D123)</f>
        <v>0</v>
      </c>
    </row>
    <row r="124" spans="1:25" outlineLevel="1" x14ac:dyDescent="0.25">
      <c r="A124" t="s">
        <v>38</v>
      </c>
      <c r="B124" t="s">
        <v>147</v>
      </c>
      <c r="C124" s="7" t="s">
        <v>34</v>
      </c>
      <c r="D124" t="s">
        <v>114</v>
      </c>
      <c r="E124" s="25">
        <f>SUMIFS(INDEX(Load,,MATCH('Summarized Modified Source Data'!$B124,Hour,0)),Season,'Summarized Modified Source Data'!$A124,Sector,'Summarized Modified Source Data'!E$2,Subsector,'Summarized Modified Source Data'!E$3,TimeOfWeek,$D124)</f>
        <v>10945974</v>
      </c>
      <c r="F124" s="25">
        <f>SUMIFS(INDEX(Load,,MATCH('Summarized Modified Source Data'!$B124,Hour,0)),Season,'Summarized Modified Source Data'!$A124,Sector,'Summarized Modified Source Data'!F$2,Subsector,'Summarized Modified Source Data'!F$3,TimeOfWeek,$D124)</f>
        <v>33965</v>
      </c>
      <c r="G124" s="25">
        <f>SUMIFS(INDEX(Load,,MATCH('Summarized Modified Source Data'!$B124,Hour,0)),Season,'Summarized Modified Source Data'!$A124,Sector,'Summarized Modified Source Data'!G$2,Subsector,'Summarized Modified Source Data'!G$3,TimeOfWeek,$D124)</f>
        <v>0</v>
      </c>
      <c r="H124" s="25">
        <f>SUMIFS(INDEX(Load,,MATCH('Summarized Modified Source Data'!$B124,Hour,0)),Season,'Summarized Modified Source Data'!$A124,Sector,'Summarized Modified Source Data'!H$2,Subsector,'Summarized Modified Source Data'!H$3,TimeOfWeek,$D124)</f>
        <v>18265993</v>
      </c>
      <c r="I124" s="25">
        <f>SUMIFS(INDEX(Load,,MATCH('Summarized Modified Source Data'!$B124,Hour,0)),Season,'Summarized Modified Source Data'!$A124,Sector,'Summarized Modified Source Data'!I$2,Subsector,'Summarized Modified Source Data'!I$3,TimeOfWeek,$D124)</f>
        <v>10872077</v>
      </c>
      <c r="J124" s="25">
        <f t="shared" si="3"/>
        <v>10872077</v>
      </c>
      <c r="K124" s="25">
        <f>SUMIFS(INDEX(Load,,MATCH('Summarized Modified Source Data'!$B124,Hour,0)),Season,'Summarized Modified Source Data'!$A124,Sector,'Summarized Modified Source Data'!K$2,Subsector,'Summarized Modified Source Data'!K$3,TimeOfWeek,$D124)</f>
        <v>16142319</v>
      </c>
      <c r="L124" s="25">
        <f>SUMIFS(INDEX(Load,,MATCH('Summarized Modified Source Data'!$B124,Hour,0)),Season,'Summarized Modified Source Data'!$A124,Sector,'Summarized Modified Source Data'!L$2,Subsector,'Summarized Modified Source Data'!L$3,TimeOfWeek,$D124)</f>
        <v>4118148</v>
      </c>
      <c r="M124" s="25">
        <f>SUMIFS(INDEX(Load,,MATCH('Summarized Modified Source Data'!$B124,Hour,0)),Season,'Summarized Modified Source Data'!$A124,Sector,'Summarized Modified Source Data'!M$2,Subsector,'Summarized Modified Source Data'!M$3,TimeOfWeek,$D124)</f>
        <v>0</v>
      </c>
      <c r="N124" s="25">
        <f t="shared" si="4"/>
        <v>232739533</v>
      </c>
      <c r="O124" s="25">
        <f>SUMIFS(INDEX(Load,,MATCH('Summarized Modified Source Data'!$B124,Hour,0)),Season,'Summarized Modified Source Data'!$A124,Sector,'Summarized Modified Source Data'!O$2,Subsector,"Total",TimeOfWeek,$D124)-SUM(K124:M124)</f>
        <v>232739533</v>
      </c>
      <c r="P124" s="25">
        <f t="shared" si="5"/>
        <v>232739533</v>
      </c>
      <c r="Q124" s="33" cm="1">
        <f t="array" ref="Q124">SUMIFS(INDEX(Load,,MATCH('Summarized Modified Source Data'!$B124,Hour,0)),Season,'Summarized Modified Source Data'!$A124,Sector,'Summarized Modified Source Data'!Q$2,TimeOfWeek,$D124)*LDVs</f>
        <v>2183048.9709864636</v>
      </c>
      <c r="R124" s="33" cm="1">
        <f t="array" ref="R124">SUMIFS(INDEX(Load,,MATCH('Summarized Modified Source Data'!$B124,Hour,0)),Season,'Summarized Modified Source Data'!$A124,Sector,'Summarized Modified Source Data'!R$2,TimeOfWeek,$D124)*HDVs</f>
        <v>1028665.4826938136</v>
      </c>
      <c r="S124" s="33">
        <f>SUMIFS(INDEX(Load,,MATCH('Summarized Modified Source Data'!$B124,Hour,0)),Season,'Summarized Modified Source Data'!$A124,Sector,'Summarized Modified Source Data'!S$2,TimeOfWeek,$D124)*Aircraft</f>
        <v>0</v>
      </c>
      <c r="T124" s="33">
        <f>SUMIFS(INDEX(Load,,MATCH('Summarized Modified Source Data'!$B124,Hour,0)),Season,'Summarized Modified Source Data'!$A124,Sector,'Summarized Modified Source Data'!T$2,TimeOfWeek,$D124)*Rail</f>
        <v>4478481.5463197231</v>
      </c>
      <c r="U124" s="33">
        <f>SUMIFS(INDEX(Load,,MATCH('Summarized Modified Source Data'!$B124,Hour,0)),Season,'Summarized Modified Source Data'!$A124,Sector,'Summarized Modified Source Data'!U$2,TimeOfWeek,$D124)*Ships</f>
        <v>0</v>
      </c>
      <c r="V124" s="33">
        <f>SUMIFS(INDEX(Load,,MATCH('Summarized Modified Source Data'!$B124,Hour,0)),Season,'Summarized Modified Source Data'!$A124,Sector,'Summarized Modified Source Data'!V$2,TimeOfWeek,$D124)*Motorbikes</f>
        <v>0</v>
      </c>
      <c r="W124" s="25">
        <f>SUMIFS(INDEX(Load,,MATCH('Summarized Modified Source Data'!$B124,Hour,0)),Season,'Summarized Modified Source Data'!$A124,Sector,'Summarized Modified Source Data'!W$2,Subsector,'Summarized Modified Source Data'!W$3,TimeOfWeek,$D124)</f>
        <v>1010000000</v>
      </c>
      <c r="X124" s="25">
        <f>SUMIFS(INDEX(Load,,MATCH('Summarized Modified Source Data'!$B124,Hour,0)),Season,'Summarized Modified Source Data'!$A124,Sector,'Summarized Modified Source Data'!X$2,Subsector,'Summarized Modified Source Data'!X$3,TimeOfWeek,$D124)</f>
        <v>0</v>
      </c>
      <c r="Y124" s="25">
        <f>SUMIFS(INDEX(Load,,MATCH('Summarized Modified Source Data'!$B124,Hour,0)),Season,'Summarized Modified Source Data'!$A124,Sector,'Summarized Modified Source Data'!Y$2,Subsector,'Summarized Modified Source Data'!Y$3,TimeOfWeek,$D124)</f>
        <v>0</v>
      </c>
    </row>
    <row r="125" spans="1:25" outlineLevel="1" x14ac:dyDescent="0.25">
      <c r="A125" t="s">
        <v>38</v>
      </c>
      <c r="B125" t="s">
        <v>148</v>
      </c>
      <c r="C125" s="7" t="s">
        <v>0</v>
      </c>
      <c r="D125" t="s">
        <v>114</v>
      </c>
      <c r="E125" s="25">
        <f>SUMIFS(INDEX(Load,,MATCH('Summarized Modified Source Data'!$B125,Hour,0)),Season,'Summarized Modified Source Data'!$A125,Sector,'Summarized Modified Source Data'!E$2,Subsector,'Summarized Modified Source Data'!E$3,TimeOfWeek,$D125)</f>
        <v>11230459</v>
      </c>
      <c r="F125" s="25">
        <f>SUMIFS(INDEX(Load,,MATCH('Summarized Modified Source Data'!$B125,Hour,0)),Season,'Summarized Modified Source Data'!$A125,Sector,'Summarized Modified Source Data'!F$2,Subsector,'Summarized Modified Source Data'!F$3,TimeOfWeek,$D125)</f>
        <v>34485</v>
      </c>
      <c r="G125" s="25">
        <f>SUMIFS(INDEX(Load,,MATCH('Summarized Modified Source Data'!$B125,Hour,0)),Season,'Summarized Modified Source Data'!$A125,Sector,'Summarized Modified Source Data'!G$2,Subsector,'Summarized Modified Source Data'!G$3,TimeOfWeek,$D125)</f>
        <v>0</v>
      </c>
      <c r="H125" s="25">
        <f>SUMIFS(INDEX(Load,,MATCH('Summarized Modified Source Data'!$B125,Hour,0)),Season,'Summarized Modified Source Data'!$A125,Sector,'Summarized Modified Source Data'!H$2,Subsector,'Summarized Modified Source Data'!H$3,TimeOfWeek,$D125)</f>
        <v>15781703</v>
      </c>
      <c r="I125" s="25">
        <f>SUMIFS(INDEX(Load,,MATCH('Summarized Modified Source Data'!$B125,Hour,0)),Season,'Summarized Modified Source Data'!$A125,Sector,'Summarized Modified Source Data'!I$2,Subsector,'Summarized Modified Source Data'!I$3,TimeOfWeek,$D125)</f>
        <v>7025027</v>
      </c>
      <c r="J125" s="25">
        <f t="shared" si="3"/>
        <v>7025027</v>
      </c>
      <c r="K125" s="25">
        <f>SUMIFS(INDEX(Load,,MATCH('Summarized Modified Source Data'!$B125,Hour,0)),Season,'Summarized Modified Source Data'!$A125,Sector,'Summarized Modified Source Data'!K$2,Subsector,'Summarized Modified Source Data'!K$3,TimeOfWeek,$D125)</f>
        <v>14431790</v>
      </c>
      <c r="L125" s="25">
        <f>SUMIFS(INDEX(Load,,MATCH('Summarized Modified Source Data'!$B125,Hour,0)),Season,'Summarized Modified Source Data'!$A125,Sector,'Summarized Modified Source Data'!L$2,Subsector,'Summarized Modified Source Data'!L$3,TimeOfWeek,$D125)</f>
        <v>4030546</v>
      </c>
      <c r="M125" s="25">
        <f>SUMIFS(INDEX(Load,,MATCH('Summarized Modified Source Data'!$B125,Hour,0)),Season,'Summarized Modified Source Data'!$A125,Sector,'Summarized Modified Source Data'!M$2,Subsector,'Summarized Modified Source Data'!M$3,TimeOfWeek,$D125)</f>
        <v>0</v>
      </c>
      <c r="N125" s="25">
        <f t="shared" si="4"/>
        <v>203237664</v>
      </c>
      <c r="O125" s="25">
        <f>SUMIFS(INDEX(Load,,MATCH('Summarized Modified Source Data'!$B125,Hour,0)),Season,'Summarized Modified Source Data'!$A125,Sector,'Summarized Modified Source Data'!O$2,Subsector,"Total",TimeOfWeek,$D125)-SUM(K125:M125)</f>
        <v>203237664</v>
      </c>
      <c r="P125" s="25">
        <f t="shared" si="5"/>
        <v>203237664</v>
      </c>
      <c r="Q125" s="33" cm="1">
        <f t="array" ref="Q125">SUMIFS(INDEX(Load,,MATCH('Summarized Modified Source Data'!$B125,Hour,0)),Season,'Summarized Modified Source Data'!$A125,Sector,'Summarized Modified Source Data'!Q$2,TimeOfWeek,$D125)*LDVs</f>
        <v>2073342.9107862515</v>
      </c>
      <c r="R125" s="33" cm="1">
        <f t="array" ref="R125">SUMIFS(INDEX(Load,,MATCH('Summarized Modified Source Data'!$B125,Hour,0)),Season,'Summarized Modified Source Data'!$A125,Sector,'Summarized Modified Source Data'!R$2,TimeOfWeek,$D125)*HDVs</f>
        <v>976971.34350128181</v>
      </c>
      <c r="S125" s="33">
        <f>SUMIFS(INDEX(Load,,MATCH('Summarized Modified Source Data'!$B125,Hour,0)),Season,'Summarized Modified Source Data'!$A125,Sector,'Summarized Modified Source Data'!S$2,TimeOfWeek,$D125)*Aircraft</f>
        <v>0</v>
      </c>
      <c r="T125" s="33">
        <f>SUMIFS(INDEX(Load,,MATCH('Summarized Modified Source Data'!$B125,Hour,0)),Season,'Summarized Modified Source Data'!$A125,Sector,'Summarized Modified Source Data'!T$2,TimeOfWeek,$D125)*Rail</f>
        <v>4253421.7457124665</v>
      </c>
      <c r="U125" s="33">
        <f>SUMIFS(INDEX(Load,,MATCH('Summarized Modified Source Data'!$B125,Hour,0)),Season,'Summarized Modified Source Data'!$A125,Sector,'Summarized Modified Source Data'!U$2,TimeOfWeek,$D125)*Ships</f>
        <v>0</v>
      </c>
      <c r="V125" s="33">
        <f>SUMIFS(INDEX(Load,,MATCH('Summarized Modified Source Data'!$B125,Hour,0)),Season,'Summarized Modified Source Data'!$A125,Sector,'Summarized Modified Source Data'!V$2,TimeOfWeek,$D125)*Motorbikes</f>
        <v>0</v>
      </c>
      <c r="W125" s="25">
        <f>SUMIFS(INDEX(Load,,MATCH('Summarized Modified Source Data'!$B125,Hour,0)),Season,'Summarized Modified Source Data'!$A125,Sector,'Summarized Modified Source Data'!W$2,Subsector,'Summarized Modified Source Data'!W$3,TimeOfWeek,$D125)</f>
        <v>1009000000</v>
      </c>
      <c r="X125" s="25">
        <f>SUMIFS(INDEX(Load,,MATCH('Summarized Modified Source Data'!$B125,Hour,0)),Season,'Summarized Modified Source Data'!$A125,Sector,'Summarized Modified Source Data'!X$2,Subsector,'Summarized Modified Source Data'!X$3,TimeOfWeek,$D125)</f>
        <v>0</v>
      </c>
      <c r="Y125" s="25">
        <f>SUMIFS(INDEX(Load,,MATCH('Summarized Modified Source Data'!$B125,Hour,0)),Season,'Summarized Modified Source Data'!$A125,Sector,'Summarized Modified Source Data'!Y$2,Subsector,'Summarized Modified Source Data'!Y$3,TimeOfWeek,$D125)</f>
        <v>0</v>
      </c>
    </row>
    <row r="126" spans="1:25" outlineLevel="1" x14ac:dyDescent="0.25">
      <c r="A126" t="s">
        <v>38</v>
      </c>
      <c r="B126" t="s">
        <v>149</v>
      </c>
      <c r="C126" s="7" t="s">
        <v>1</v>
      </c>
      <c r="D126" t="s">
        <v>114</v>
      </c>
      <c r="E126" s="25">
        <f>SUMIFS(INDEX(Load,,MATCH('Summarized Modified Source Data'!$B126,Hour,0)),Season,'Summarized Modified Source Data'!$A126,Sector,'Summarized Modified Source Data'!E$2,Subsector,'Summarized Modified Source Data'!E$3,TimeOfWeek,$D126)</f>
        <v>11327749</v>
      </c>
      <c r="F126" s="25">
        <f>SUMIFS(INDEX(Load,,MATCH('Summarized Modified Source Data'!$B126,Hour,0)),Season,'Summarized Modified Source Data'!$A126,Sector,'Summarized Modified Source Data'!F$2,Subsector,'Summarized Modified Source Data'!F$3,TimeOfWeek,$D126)</f>
        <v>34942</v>
      </c>
      <c r="G126" s="25">
        <f>SUMIFS(INDEX(Load,,MATCH('Summarized Modified Source Data'!$B126,Hour,0)),Season,'Summarized Modified Source Data'!$A126,Sector,'Summarized Modified Source Data'!G$2,Subsector,'Summarized Modified Source Data'!G$3,TimeOfWeek,$D126)</f>
        <v>0</v>
      </c>
      <c r="H126" s="25">
        <f>SUMIFS(INDEX(Load,,MATCH('Summarized Modified Source Data'!$B126,Hour,0)),Season,'Summarized Modified Source Data'!$A126,Sector,'Summarized Modified Source Data'!H$2,Subsector,'Summarized Modified Source Data'!H$3,TimeOfWeek,$D126)</f>
        <v>15242288</v>
      </c>
      <c r="I126" s="25">
        <f>SUMIFS(INDEX(Load,,MATCH('Summarized Modified Source Data'!$B126,Hour,0)),Season,'Summarized Modified Source Data'!$A126,Sector,'Summarized Modified Source Data'!I$2,Subsector,'Summarized Modified Source Data'!I$3,TimeOfWeek,$D126)</f>
        <v>5855122</v>
      </c>
      <c r="J126" s="25">
        <f t="shared" si="3"/>
        <v>5855122</v>
      </c>
      <c r="K126" s="25">
        <f>SUMIFS(INDEX(Load,,MATCH('Summarized Modified Source Data'!$B126,Hour,0)),Season,'Summarized Modified Source Data'!$A126,Sector,'Summarized Modified Source Data'!K$2,Subsector,'Summarized Modified Source Data'!K$3,TimeOfWeek,$D126)</f>
        <v>14225373</v>
      </c>
      <c r="L126" s="25">
        <f>SUMIFS(INDEX(Load,,MATCH('Summarized Modified Source Data'!$B126,Hour,0)),Season,'Summarized Modified Source Data'!$A126,Sector,'Summarized Modified Source Data'!L$2,Subsector,'Summarized Modified Source Data'!L$3,TimeOfWeek,$D126)</f>
        <v>3993992</v>
      </c>
      <c r="M126" s="25">
        <f>SUMIFS(INDEX(Load,,MATCH('Summarized Modified Source Data'!$B126,Hour,0)),Season,'Summarized Modified Source Data'!$A126,Sector,'Summarized Modified Source Data'!M$2,Subsector,'Summarized Modified Source Data'!M$3,TimeOfWeek,$D126)</f>
        <v>0</v>
      </c>
      <c r="N126" s="25">
        <f t="shared" si="4"/>
        <v>200680635</v>
      </c>
      <c r="O126" s="25">
        <f>SUMIFS(INDEX(Load,,MATCH('Summarized Modified Source Data'!$B126,Hour,0)),Season,'Summarized Modified Source Data'!$A126,Sector,'Summarized Modified Source Data'!O$2,Subsector,"Total",TimeOfWeek,$D126)-SUM(K126:M126)</f>
        <v>200680635</v>
      </c>
      <c r="P126" s="25">
        <f t="shared" si="5"/>
        <v>200680635</v>
      </c>
      <c r="Q126" s="33" cm="1">
        <f t="array" ref="Q126">SUMIFS(INDEX(Load,,MATCH('Summarized Modified Source Data'!$B126,Hour,0)),Season,'Summarized Modified Source Data'!$A126,Sector,'Summarized Modified Source Data'!Q$2,TimeOfWeek,$D126)*LDVs</f>
        <v>2043423.1277997021</v>
      </c>
      <c r="R126" s="33" cm="1">
        <f t="array" ref="R126">SUMIFS(INDEX(Load,,MATCH('Summarized Modified Source Data'!$B126,Hour,0)),Season,'Summarized Modified Source Data'!$A126,Sector,'Summarized Modified Source Data'!R$2,TimeOfWeek,$D126)*HDVs</f>
        <v>962872.96622390649</v>
      </c>
      <c r="S126" s="33">
        <f>SUMIFS(INDEX(Load,,MATCH('Summarized Modified Source Data'!$B126,Hour,0)),Season,'Summarized Modified Source Data'!$A126,Sector,'Summarized Modified Source Data'!S$2,TimeOfWeek,$D126)*Aircraft</f>
        <v>0</v>
      </c>
      <c r="T126" s="33">
        <f>SUMIFS(INDEX(Load,,MATCH('Summarized Modified Source Data'!$B126,Hour,0)),Season,'Summarized Modified Source Data'!$A126,Sector,'Summarized Modified Source Data'!T$2,TimeOfWeek,$D126)*Rail</f>
        <v>4192041.9059763914</v>
      </c>
      <c r="U126" s="33">
        <f>SUMIFS(INDEX(Load,,MATCH('Summarized Modified Source Data'!$B126,Hour,0)),Season,'Summarized Modified Source Data'!$A126,Sector,'Summarized Modified Source Data'!U$2,TimeOfWeek,$D126)*Ships</f>
        <v>0</v>
      </c>
      <c r="V126" s="33">
        <f>SUMIFS(INDEX(Load,,MATCH('Summarized Modified Source Data'!$B126,Hour,0)),Season,'Summarized Modified Source Data'!$A126,Sector,'Summarized Modified Source Data'!V$2,TimeOfWeek,$D126)*Motorbikes</f>
        <v>0</v>
      </c>
      <c r="W126" s="25">
        <f>SUMIFS(INDEX(Load,,MATCH('Summarized Modified Source Data'!$B126,Hour,0)),Season,'Summarized Modified Source Data'!$A126,Sector,'Summarized Modified Source Data'!W$2,Subsector,'Summarized Modified Source Data'!W$3,TimeOfWeek,$D126)</f>
        <v>1010000000</v>
      </c>
      <c r="X126" s="25">
        <f>SUMIFS(INDEX(Load,,MATCH('Summarized Modified Source Data'!$B126,Hour,0)),Season,'Summarized Modified Source Data'!$A126,Sector,'Summarized Modified Source Data'!X$2,Subsector,'Summarized Modified Source Data'!X$3,TimeOfWeek,$D126)</f>
        <v>0</v>
      </c>
      <c r="Y126" s="25">
        <f>SUMIFS(INDEX(Load,,MATCH('Summarized Modified Source Data'!$B126,Hour,0)),Season,'Summarized Modified Source Data'!$A126,Sector,'Summarized Modified Source Data'!Y$2,Subsector,'Summarized Modified Source Data'!Y$3,TimeOfWeek,$D126)</f>
        <v>0</v>
      </c>
    </row>
    <row r="127" spans="1:25" outlineLevel="1" x14ac:dyDescent="0.25">
      <c r="A127" t="s">
        <v>38</v>
      </c>
      <c r="B127" t="s">
        <v>150</v>
      </c>
      <c r="C127" s="7" t="s">
        <v>2</v>
      </c>
      <c r="D127" t="s">
        <v>114</v>
      </c>
      <c r="E127" s="25">
        <f>SUMIFS(INDEX(Load,,MATCH('Summarized Modified Source Data'!$B127,Hour,0)),Season,'Summarized Modified Source Data'!$A127,Sector,'Summarized Modified Source Data'!E$2,Subsector,'Summarized Modified Source Data'!E$3,TimeOfWeek,$D127)</f>
        <v>11230459</v>
      </c>
      <c r="F127" s="25">
        <f>SUMIFS(INDEX(Load,,MATCH('Summarized Modified Source Data'!$B127,Hour,0)),Season,'Summarized Modified Source Data'!$A127,Sector,'Summarized Modified Source Data'!F$2,Subsector,'Summarized Modified Source Data'!F$3,TimeOfWeek,$D127)</f>
        <v>35010</v>
      </c>
      <c r="G127" s="25">
        <f>SUMIFS(INDEX(Load,,MATCH('Summarized Modified Source Data'!$B127,Hour,0)),Season,'Summarized Modified Source Data'!$A127,Sector,'Summarized Modified Source Data'!G$2,Subsector,'Summarized Modified Source Data'!G$3,TimeOfWeek,$D127)</f>
        <v>0</v>
      </c>
      <c r="H127" s="25">
        <f>SUMIFS(INDEX(Load,,MATCH('Summarized Modified Source Data'!$B127,Hour,0)),Season,'Summarized Modified Source Data'!$A127,Sector,'Summarized Modified Source Data'!H$2,Subsector,'Summarized Modified Source Data'!H$3,TimeOfWeek,$D127)</f>
        <v>15229421</v>
      </c>
      <c r="I127" s="25">
        <f>SUMIFS(INDEX(Load,,MATCH('Summarized Modified Source Data'!$B127,Hour,0)),Season,'Summarized Modified Source Data'!$A127,Sector,'Summarized Modified Source Data'!I$2,Subsector,'Summarized Modified Source Data'!I$3,TimeOfWeek,$D127)</f>
        <v>5427218</v>
      </c>
      <c r="J127" s="25">
        <f t="shared" si="3"/>
        <v>5427218</v>
      </c>
      <c r="K127" s="25">
        <f>SUMIFS(INDEX(Load,,MATCH('Summarized Modified Source Data'!$B127,Hour,0)),Season,'Summarized Modified Source Data'!$A127,Sector,'Summarized Modified Source Data'!K$2,Subsector,'Summarized Modified Source Data'!K$3,TimeOfWeek,$D127)</f>
        <v>14586941</v>
      </c>
      <c r="L127" s="25">
        <f>SUMIFS(INDEX(Load,,MATCH('Summarized Modified Source Data'!$B127,Hour,0)),Season,'Summarized Modified Source Data'!$A127,Sector,'Summarized Modified Source Data'!L$2,Subsector,'Summarized Modified Source Data'!L$3,TimeOfWeek,$D127)</f>
        <v>3973372</v>
      </c>
      <c r="M127" s="25">
        <f>SUMIFS(INDEX(Load,,MATCH('Summarized Modified Source Data'!$B127,Hour,0)),Season,'Summarized Modified Source Data'!$A127,Sector,'Summarized Modified Source Data'!M$2,Subsector,'Summarized Modified Source Data'!M$3,TimeOfWeek,$D127)</f>
        <v>0</v>
      </c>
      <c r="N127" s="25">
        <f t="shared" si="4"/>
        <v>202639687</v>
      </c>
      <c r="O127" s="25">
        <f>SUMIFS(INDEX(Load,,MATCH('Summarized Modified Source Data'!$B127,Hour,0)),Season,'Summarized Modified Source Data'!$A127,Sector,'Summarized Modified Source Data'!O$2,Subsector,"Total",TimeOfWeek,$D127)-SUM(K127:M127)</f>
        <v>202639687</v>
      </c>
      <c r="P127" s="25">
        <f t="shared" si="5"/>
        <v>202639687</v>
      </c>
      <c r="Q127" s="33" cm="1">
        <f t="array" ref="Q127">SUMIFS(INDEX(Load,,MATCH('Summarized Modified Source Data'!$B127,Hour,0)),Season,'Summarized Modified Source Data'!$A127,Sector,'Summarized Modified Source Data'!Q$2,TimeOfWeek,$D127)*LDVs</f>
        <v>2043423.1277997021</v>
      </c>
      <c r="R127" s="33" cm="1">
        <f t="array" ref="R127">SUMIFS(INDEX(Load,,MATCH('Summarized Modified Source Data'!$B127,Hour,0)),Season,'Summarized Modified Source Data'!$A127,Sector,'Summarized Modified Source Data'!R$2,TimeOfWeek,$D127)*HDVs</f>
        <v>962872.96622390649</v>
      </c>
      <c r="S127" s="33">
        <f>SUMIFS(INDEX(Load,,MATCH('Summarized Modified Source Data'!$B127,Hour,0)),Season,'Summarized Modified Source Data'!$A127,Sector,'Summarized Modified Source Data'!S$2,TimeOfWeek,$D127)*Aircraft</f>
        <v>0</v>
      </c>
      <c r="T127" s="33">
        <f>SUMIFS(INDEX(Load,,MATCH('Summarized Modified Source Data'!$B127,Hour,0)),Season,'Summarized Modified Source Data'!$A127,Sector,'Summarized Modified Source Data'!T$2,TimeOfWeek,$D127)*Rail</f>
        <v>4192041.9059763914</v>
      </c>
      <c r="U127" s="33">
        <f>SUMIFS(INDEX(Load,,MATCH('Summarized Modified Source Data'!$B127,Hour,0)),Season,'Summarized Modified Source Data'!$A127,Sector,'Summarized Modified Source Data'!U$2,TimeOfWeek,$D127)*Ships</f>
        <v>0</v>
      </c>
      <c r="V127" s="33">
        <f>SUMIFS(INDEX(Load,,MATCH('Summarized Modified Source Data'!$B127,Hour,0)),Season,'Summarized Modified Source Data'!$A127,Sector,'Summarized Modified Source Data'!V$2,TimeOfWeek,$D127)*Motorbikes</f>
        <v>0</v>
      </c>
      <c r="W127" s="25">
        <f>SUMIFS(INDEX(Load,,MATCH('Summarized Modified Source Data'!$B127,Hour,0)),Season,'Summarized Modified Source Data'!$A127,Sector,'Summarized Modified Source Data'!W$2,Subsector,'Summarized Modified Source Data'!W$3,TimeOfWeek,$D127)</f>
        <v>1011000000</v>
      </c>
      <c r="X127" s="25">
        <f>SUMIFS(INDEX(Load,,MATCH('Summarized Modified Source Data'!$B127,Hour,0)),Season,'Summarized Modified Source Data'!$A127,Sector,'Summarized Modified Source Data'!X$2,Subsector,'Summarized Modified Source Data'!X$3,TimeOfWeek,$D127)</f>
        <v>0</v>
      </c>
      <c r="Y127" s="25">
        <f>SUMIFS(INDEX(Load,,MATCH('Summarized Modified Source Data'!$B127,Hour,0)),Season,'Summarized Modified Source Data'!$A127,Sector,'Summarized Modified Source Data'!Y$2,Subsector,'Summarized Modified Source Data'!Y$3,TimeOfWeek,$D127)</f>
        <v>0</v>
      </c>
    </row>
    <row r="128" spans="1:25" outlineLevel="1" x14ac:dyDescent="0.25">
      <c r="A128" t="s">
        <v>38</v>
      </c>
      <c r="B128" t="s">
        <v>151</v>
      </c>
      <c r="C128" s="7" t="s">
        <v>3</v>
      </c>
      <c r="D128" t="s">
        <v>114</v>
      </c>
      <c r="E128" s="25">
        <f>SUMIFS(INDEX(Load,,MATCH('Summarized Modified Source Data'!$B128,Hour,0)),Season,'Summarized Modified Source Data'!$A128,Sector,'Summarized Modified Source Data'!E$2,Subsector,'Summarized Modified Source Data'!E$3,TimeOfWeek,$D128)</f>
        <v>10945974</v>
      </c>
      <c r="F128" s="25">
        <f>SUMIFS(INDEX(Load,,MATCH('Summarized Modified Source Data'!$B128,Hour,0)),Season,'Summarized Modified Source Data'!$A128,Sector,'Summarized Modified Source Data'!F$2,Subsector,'Summarized Modified Source Data'!F$3,TimeOfWeek,$D128)</f>
        <v>34897</v>
      </c>
      <c r="G128" s="25">
        <f>SUMIFS(INDEX(Load,,MATCH('Summarized Modified Source Data'!$B128,Hour,0)),Season,'Summarized Modified Source Data'!$A128,Sector,'Summarized Modified Source Data'!G$2,Subsector,'Summarized Modified Source Data'!G$3,TimeOfWeek,$D128)</f>
        <v>0</v>
      </c>
      <c r="H128" s="25">
        <f>SUMIFS(INDEX(Load,,MATCH('Summarized Modified Source Data'!$B128,Hour,0)),Season,'Summarized Modified Source Data'!$A128,Sector,'Summarized Modified Source Data'!H$2,Subsector,'Summarized Modified Source Data'!H$3,TimeOfWeek,$D128)</f>
        <v>16030428</v>
      </c>
      <c r="I128" s="25">
        <f>SUMIFS(INDEX(Load,,MATCH('Summarized Modified Source Data'!$B128,Hour,0)),Season,'Summarized Modified Source Data'!$A128,Sector,'Summarized Modified Source Data'!I$2,Subsector,'Summarized Modified Source Data'!I$3,TimeOfWeek,$D128)</f>
        <v>5594593</v>
      </c>
      <c r="J128" s="25">
        <f t="shared" si="3"/>
        <v>5594593</v>
      </c>
      <c r="K128" s="25">
        <f>SUMIFS(INDEX(Load,,MATCH('Summarized Modified Source Data'!$B128,Hour,0)),Season,'Summarized Modified Source Data'!$A128,Sector,'Summarized Modified Source Data'!K$2,Subsector,'Summarized Modified Source Data'!K$3,TimeOfWeek,$D128)</f>
        <v>14807133</v>
      </c>
      <c r="L128" s="25">
        <f>SUMIFS(INDEX(Load,,MATCH('Summarized Modified Source Data'!$B128,Hour,0)),Season,'Summarized Modified Source Data'!$A128,Sector,'Summarized Modified Source Data'!L$2,Subsector,'Summarized Modified Source Data'!L$3,TimeOfWeek,$D128)</f>
        <v>3968933</v>
      </c>
      <c r="M128" s="25">
        <f>SUMIFS(INDEX(Load,,MATCH('Summarized Modified Source Data'!$B128,Hour,0)),Season,'Summarized Modified Source Data'!$A128,Sector,'Summarized Modified Source Data'!M$2,Subsector,'Summarized Modified Source Data'!M$3,TimeOfWeek,$D128)</f>
        <v>0</v>
      </c>
      <c r="N128" s="25">
        <f t="shared" si="4"/>
        <v>205523934</v>
      </c>
      <c r="O128" s="25">
        <f>SUMIFS(INDEX(Load,,MATCH('Summarized Modified Source Data'!$B128,Hour,0)),Season,'Summarized Modified Source Data'!$A128,Sector,'Summarized Modified Source Data'!O$2,Subsector,"Total",TimeOfWeek,$D128)-SUM(K128:M128)</f>
        <v>205523934</v>
      </c>
      <c r="P128" s="25">
        <f t="shared" si="5"/>
        <v>205523934</v>
      </c>
      <c r="Q128" s="33" cm="1">
        <f t="array" ref="Q128">SUMIFS(INDEX(Load,,MATCH('Summarized Modified Source Data'!$B128,Hour,0)),Season,'Summarized Modified Source Data'!$A128,Sector,'Summarized Modified Source Data'!Q$2,TimeOfWeek,$D128)*LDVs</f>
        <v>2033449.7721794203</v>
      </c>
      <c r="R128" s="33" cm="1">
        <f t="array" ref="R128">SUMIFS(INDEX(Load,,MATCH('Summarized Modified Source Data'!$B128,Hour,0)),Season,'Summarized Modified Source Data'!$A128,Sector,'Summarized Modified Source Data'!R$2,TimeOfWeek,$D128)*HDVs</f>
        <v>958173.46254370362</v>
      </c>
      <c r="S128" s="33">
        <f>SUMIFS(INDEX(Load,,MATCH('Summarized Modified Source Data'!$B128,Hour,0)),Season,'Summarized Modified Source Data'!$A128,Sector,'Summarized Modified Source Data'!S$2,TimeOfWeek,$D128)*Aircraft</f>
        <v>0</v>
      </c>
      <c r="T128" s="33">
        <f>SUMIFS(INDEX(Load,,MATCH('Summarized Modified Source Data'!$B128,Hour,0)),Season,'Summarized Modified Source Data'!$A128,Sector,'Summarized Modified Source Data'!T$2,TimeOfWeek,$D128)*Rail</f>
        <v>4171581.7652768758</v>
      </c>
      <c r="U128" s="33">
        <f>SUMIFS(INDEX(Load,,MATCH('Summarized Modified Source Data'!$B128,Hour,0)),Season,'Summarized Modified Source Data'!$A128,Sector,'Summarized Modified Source Data'!U$2,TimeOfWeek,$D128)*Ships</f>
        <v>0</v>
      </c>
      <c r="V128" s="33">
        <f>SUMIFS(INDEX(Load,,MATCH('Summarized Modified Source Data'!$B128,Hour,0)),Season,'Summarized Modified Source Data'!$A128,Sector,'Summarized Modified Source Data'!V$2,TimeOfWeek,$D128)*Motorbikes</f>
        <v>0</v>
      </c>
      <c r="W128" s="25">
        <f>SUMIFS(INDEX(Load,,MATCH('Summarized Modified Source Data'!$B128,Hour,0)),Season,'Summarized Modified Source Data'!$A128,Sector,'Summarized Modified Source Data'!W$2,Subsector,'Summarized Modified Source Data'!W$3,TimeOfWeek,$D128)</f>
        <v>1018000000</v>
      </c>
      <c r="X128" s="25">
        <f>SUMIFS(INDEX(Load,,MATCH('Summarized Modified Source Data'!$B128,Hour,0)),Season,'Summarized Modified Source Data'!$A128,Sector,'Summarized Modified Source Data'!X$2,Subsector,'Summarized Modified Source Data'!X$3,TimeOfWeek,$D128)</f>
        <v>0</v>
      </c>
      <c r="Y128" s="25">
        <f>SUMIFS(INDEX(Load,,MATCH('Summarized Modified Source Data'!$B128,Hour,0)),Season,'Summarized Modified Source Data'!$A128,Sector,'Summarized Modified Source Data'!Y$2,Subsector,'Summarized Modified Source Data'!Y$3,TimeOfWeek,$D128)</f>
        <v>0</v>
      </c>
    </row>
    <row r="129" spans="1:25" outlineLevel="1" x14ac:dyDescent="0.25">
      <c r="A129" t="s">
        <v>38</v>
      </c>
      <c r="B129" t="s">
        <v>152</v>
      </c>
      <c r="C129" s="7" t="s">
        <v>4</v>
      </c>
      <c r="D129" t="s">
        <v>114</v>
      </c>
      <c r="E129" s="25">
        <f>SUMIFS(INDEX(Load,,MATCH('Summarized Modified Source Data'!$B129,Hour,0)),Season,'Summarized Modified Source Data'!$A129,Sector,'Summarized Modified Source Data'!E$2,Subsector,'Summarized Modified Source Data'!E$3,TimeOfWeek,$D129)</f>
        <v>12245856</v>
      </c>
      <c r="F129" s="25">
        <f>SUMIFS(INDEX(Load,,MATCH('Summarized Modified Source Data'!$B129,Hour,0)),Season,'Summarized Modified Source Data'!$A129,Sector,'Summarized Modified Source Data'!F$2,Subsector,'Summarized Modified Source Data'!F$3,TimeOfWeek,$D129)</f>
        <v>34272</v>
      </c>
      <c r="G129" s="25">
        <f>SUMIFS(INDEX(Load,,MATCH('Summarized Modified Source Data'!$B129,Hour,0)),Season,'Summarized Modified Source Data'!$A129,Sector,'Summarized Modified Source Data'!G$2,Subsector,'Summarized Modified Source Data'!G$3,TimeOfWeek,$D129)</f>
        <v>0</v>
      </c>
      <c r="H129" s="25">
        <f>SUMIFS(INDEX(Load,,MATCH('Summarized Modified Source Data'!$B129,Hour,0)),Season,'Summarized Modified Source Data'!$A129,Sector,'Summarized Modified Source Data'!H$2,Subsector,'Summarized Modified Source Data'!H$3,TimeOfWeek,$D129)</f>
        <v>20296520</v>
      </c>
      <c r="I129" s="25">
        <f>SUMIFS(INDEX(Load,,MATCH('Summarized Modified Source Data'!$B129,Hour,0)),Season,'Summarized Modified Source Data'!$A129,Sector,'Summarized Modified Source Data'!I$2,Subsector,'Summarized Modified Source Data'!I$3,TimeOfWeek,$D129)</f>
        <v>7248553</v>
      </c>
      <c r="J129" s="25">
        <f t="shared" si="3"/>
        <v>7248553</v>
      </c>
      <c r="K129" s="25">
        <f>SUMIFS(INDEX(Load,,MATCH('Summarized Modified Source Data'!$B129,Hour,0)),Season,'Summarized Modified Source Data'!$A129,Sector,'Summarized Modified Source Data'!K$2,Subsector,'Summarized Modified Source Data'!K$3,TimeOfWeek,$D129)</f>
        <v>17061606</v>
      </c>
      <c r="L129" s="25">
        <f>SUMIFS(INDEX(Load,,MATCH('Summarized Modified Source Data'!$B129,Hour,0)),Season,'Summarized Modified Source Data'!$A129,Sector,'Summarized Modified Source Data'!L$2,Subsector,'Summarized Modified Source Data'!L$3,TimeOfWeek,$D129)</f>
        <v>4012257</v>
      </c>
      <c r="M129" s="25">
        <f>SUMIFS(INDEX(Load,,MATCH('Summarized Modified Source Data'!$B129,Hour,0)),Season,'Summarized Modified Source Data'!$A129,Sector,'Summarized Modified Source Data'!M$2,Subsector,'Summarized Modified Source Data'!M$3,TimeOfWeek,$D129)</f>
        <v>0</v>
      </c>
      <c r="N129" s="25">
        <f t="shared" si="4"/>
        <v>219626137</v>
      </c>
      <c r="O129" s="25">
        <f>SUMIFS(INDEX(Load,,MATCH('Summarized Modified Source Data'!$B129,Hour,0)),Season,'Summarized Modified Source Data'!$A129,Sector,'Summarized Modified Source Data'!O$2,Subsector,"Total",TimeOfWeek,$D129)-SUM(K129:M129)</f>
        <v>219626137</v>
      </c>
      <c r="P129" s="25">
        <f t="shared" si="5"/>
        <v>219626137</v>
      </c>
      <c r="Q129" s="33" cm="1">
        <f t="array" ref="Q129">SUMIFS(INDEX(Load,,MATCH('Summarized Modified Source Data'!$B129,Hour,0)),Season,'Summarized Modified Source Data'!$A129,Sector,'Summarized Modified Source Data'!Q$2,TimeOfWeek,$D129)*LDVs</f>
        <v>2048409.9475469906</v>
      </c>
      <c r="R129" s="33" cm="1">
        <f t="array" ref="R129">SUMIFS(INDEX(Load,,MATCH('Summarized Modified Source Data'!$B129,Hour,0)),Season,'Summarized Modified Source Data'!$A129,Sector,'Summarized Modified Source Data'!R$2,TimeOfWeek,$D129)*HDVs</f>
        <v>965222.78494562465</v>
      </c>
      <c r="S129" s="33">
        <f>SUMIFS(INDEX(Load,,MATCH('Summarized Modified Source Data'!$B129,Hour,0)),Season,'Summarized Modified Source Data'!$A129,Sector,'Summarized Modified Source Data'!S$2,TimeOfWeek,$D129)*Aircraft</f>
        <v>0</v>
      </c>
      <c r="T129" s="33">
        <f>SUMIFS(INDEX(Load,,MATCH('Summarized Modified Source Data'!$B129,Hour,0)),Season,'Summarized Modified Source Data'!$A129,Sector,'Summarized Modified Source Data'!T$2,TimeOfWeek,$D129)*Rail</f>
        <v>4202272.2675073845</v>
      </c>
      <c r="U129" s="33">
        <f>SUMIFS(INDEX(Load,,MATCH('Summarized Modified Source Data'!$B129,Hour,0)),Season,'Summarized Modified Source Data'!$A129,Sector,'Summarized Modified Source Data'!U$2,TimeOfWeek,$D129)*Ships</f>
        <v>0</v>
      </c>
      <c r="V129" s="33">
        <f>SUMIFS(INDEX(Load,,MATCH('Summarized Modified Source Data'!$B129,Hour,0)),Season,'Summarized Modified Source Data'!$A129,Sector,'Summarized Modified Source Data'!V$2,TimeOfWeek,$D129)*Motorbikes</f>
        <v>0</v>
      </c>
      <c r="W129" s="25">
        <f>SUMIFS(INDEX(Load,,MATCH('Summarized Modified Source Data'!$B129,Hour,0)),Season,'Summarized Modified Source Data'!$A129,Sector,'Summarized Modified Source Data'!W$2,Subsector,'Summarized Modified Source Data'!W$3,TimeOfWeek,$D129)</f>
        <v>1029000000</v>
      </c>
      <c r="X129" s="25">
        <f>SUMIFS(INDEX(Load,,MATCH('Summarized Modified Source Data'!$B129,Hour,0)),Season,'Summarized Modified Source Data'!$A129,Sector,'Summarized Modified Source Data'!X$2,Subsector,'Summarized Modified Source Data'!X$3,TimeOfWeek,$D129)</f>
        <v>0</v>
      </c>
      <c r="Y129" s="25">
        <f>SUMIFS(INDEX(Load,,MATCH('Summarized Modified Source Data'!$B129,Hour,0)),Season,'Summarized Modified Source Data'!$A129,Sector,'Summarized Modified Source Data'!Y$2,Subsector,'Summarized Modified Source Data'!Y$3,TimeOfWeek,$D129)</f>
        <v>0</v>
      </c>
    </row>
    <row r="130" spans="1:25" outlineLevel="1" x14ac:dyDescent="0.25">
      <c r="A130" t="s">
        <v>38</v>
      </c>
      <c r="B130" t="s">
        <v>153</v>
      </c>
      <c r="C130" s="7" t="s">
        <v>5</v>
      </c>
      <c r="D130" t="s">
        <v>114</v>
      </c>
      <c r="E130" s="25">
        <f>SUMIFS(INDEX(Load,,MATCH('Summarized Modified Source Data'!$B130,Hour,0)),Season,'Summarized Modified Source Data'!$A130,Sector,'Summarized Modified Source Data'!E$2,Subsector,'Summarized Modified Source Data'!E$3,TimeOfWeek,$D130)</f>
        <v>13302519</v>
      </c>
      <c r="F130" s="25">
        <f>SUMIFS(INDEX(Load,,MATCH('Summarized Modified Source Data'!$B130,Hour,0)),Season,'Summarized Modified Source Data'!$A130,Sector,'Summarized Modified Source Data'!F$2,Subsector,'Summarized Modified Source Data'!F$3,TimeOfWeek,$D130)</f>
        <v>32900</v>
      </c>
      <c r="G130" s="25">
        <f>SUMIFS(INDEX(Load,,MATCH('Summarized Modified Source Data'!$B130,Hour,0)),Season,'Summarized Modified Source Data'!$A130,Sector,'Summarized Modified Source Data'!G$2,Subsector,'Summarized Modified Source Data'!G$3,TimeOfWeek,$D130)</f>
        <v>0</v>
      </c>
      <c r="H130" s="25">
        <f>SUMIFS(INDEX(Load,,MATCH('Summarized Modified Source Data'!$B130,Hour,0)),Season,'Summarized Modified Source Data'!$A130,Sector,'Summarized Modified Source Data'!H$2,Subsector,'Summarized Modified Source Data'!H$3,TimeOfWeek,$D130)</f>
        <v>21849951</v>
      </c>
      <c r="I130" s="25">
        <f>SUMIFS(INDEX(Load,,MATCH('Summarized Modified Source Data'!$B130,Hour,0)),Season,'Summarized Modified Source Data'!$A130,Sector,'Summarized Modified Source Data'!I$2,Subsector,'Summarized Modified Source Data'!I$3,TimeOfWeek,$D130)</f>
        <v>12766343</v>
      </c>
      <c r="J130" s="25">
        <f t="shared" si="3"/>
        <v>12766343</v>
      </c>
      <c r="K130" s="25">
        <f>SUMIFS(INDEX(Load,,MATCH('Summarized Modified Source Data'!$B130,Hour,0)),Season,'Summarized Modified Source Data'!$A130,Sector,'Summarized Modified Source Data'!K$2,Subsector,'Summarized Modified Source Data'!K$3,TimeOfWeek,$D130)</f>
        <v>30518879</v>
      </c>
      <c r="L130" s="25">
        <f>SUMIFS(INDEX(Load,,MATCH('Summarized Modified Source Data'!$B130,Hour,0)),Season,'Summarized Modified Source Data'!$A130,Sector,'Summarized Modified Source Data'!L$2,Subsector,'Summarized Modified Source Data'!L$3,TimeOfWeek,$D130)</f>
        <v>4167214</v>
      </c>
      <c r="M130" s="25">
        <f>SUMIFS(INDEX(Load,,MATCH('Summarized Modified Source Data'!$B130,Hour,0)),Season,'Summarized Modified Source Data'!$A130,Sector,'Summarized Modified Source Data'!M$2,Subsector,'Summarized Modified Source Data'!M$3,TimeOfWeek,$D130)</f>
        <v>0</v>
      </c>
      <c r="N130" s="25">
        <f t="shared" si="4"/>
        <v>245413907</v>
      </c>
      <c r="O130" s="25">
        <f>SUMIFS(INDEX(Load,,MATCH('Summarized Modified Source Data'!$B130,Hour,0)),Season,'Summarized Modified Source Data'!$A130,Sector,'Summarized Modified Source Data'!O$2,Subsector,"Total",TimeOfWeek,$D130)-SUM(K130:M130)</f>
        <v>245413907</v>
      </c>
      <c r="P130" s="25">
        <f t="shared" si="5"/>
        <v>245413907</v>
      </c>
      <c r="Q130" s="33" cm="1">
        <f t="array" ref="Q130">SUMIFS(INDEX(Load,,MATCH('Summarized Modified Source Data'!$B130,Hour,0)),Season,'Summarized Modified Source Data'!$A130,Sector,'Summarized Modified Source Data'!Q$2,TimeOfWeek,$D130)*LDVs</f>
        <v>2542178.3420967674</v>
      </c>
      <c r="R130" s="33" cm="1">
        <f t="array" ref="R130">SUMIFS(INDEX(Load,,MATCH('Summarized Modified Source Data'!$B130,Hour,0)),Season,'Summarized Modified Source Data'!$A130,Sector,'Summarized Modified Source Data'!R$2,TimeOfWeek,$D130)*HDVs</f>
        <v>1197889.3493099497</v>
      </c>
      <c r="S130" s="33">
        <f>SUMIFS(INDEX(Load,,MATCH('Summarized Modified Source Data'!$B130,Hour,0)),Season,'Summarized Modified Source Data'!$A130,Sector,'Summarized Modified Source Data'!S$2,TimeOfWeek,$D130)*Aircraft</f>
        <v>0</v>
      </c>
      <c r="T130" s="33">
        <f>SUMIFS(INDEX(Load,,MATCH('Summarized Modified Source Data'!$B130,Hour,0)),Season,'Summarized Modified Source Data'!$A130,Sector,'Summarized Modified Source Data'!T$2,TimeOfWeek,$D130)*Rail</f>
        <v>5215228.3085932825</v>
      </c>
      <c r="U130" s="33">
        <f>SUMIFS(INDEX(Load,,MATCH('Summarized Modified Source Data'!$B130,Hour,0)),Season,'Summarized Modified Source Data'!$A130,Sector,'Summarized Modified Source Data'!U$2,TimeOfWeek,$D130)*Ships</f>
        <v>0</v>
      </c>
      <c r="V130" s="33">
        <f>SUMIFS(INDEX(Load,,MATCH('Summarized Modified Source Data'!$B130,Hour,0)),Season,'Summarized Modified Source Data'!$A130,Sector,'Summarized Modified Source Data'!V$2,TimeOfWeek,$D130)*Motorbikes</f>
        <v>0</v>
      </c>
      <c r="W130" s="25">
        <f>SUMIFS(INDEX(Load,,MATCH('Summarized Modified Source Data'!$B130,Hour,0)),Season,'Summarized Modified Source Data'!$A130,Sector,'Summarized Modified Source Data'!W$2,Subsector,'Summarized Modified Source Data'!W$3,TimeOfWeek,$D130)</f>
        <v>1033000000</v>
      </c>
      <c r="X130" s="25">
        <f>SUMIFS(INDEX(Load,,MATCH('Summarized Modified Source Data'!$B130,Hour,0)),Season,'Summarized Modified Source Data'!$A130,Sector,'Summarized Modified Source Data'!X$2,Subsector,'Summarized Modified Source Data'!X$3,TimeOfWeek,$D130)</f>
        <v>0</v>
      </c>
      <c r="Y130" s="25">
        <f>SUMIFS(INDEX(Load,,MATCH('Summarized Modified Source Data'!$B130,Hour,0)),Season,'Summarized Modified Source Data'!$A130,Sector,'Summarized Modified Source Data'!Y$2,Subsector,'Summarized Modified Source Data'!Y$3,TimeOfWeek,$D130)</f>
        <v>0</v>
      </c>
    </row>
    <row r="131" spans="1:25" outlineLevel="1" x14ac:dyDescent="0.25">
      <c r="A131" t="s">
        <v>38</v>
      </c>
      <c r="B131" t="s">
        <v>154</v>
      </c>
      <c r="C131" s="7" t="s">
        <v>6</v>
      </c>
      <c r="D131" t="s">
        <v>114</v>
      </c>
      <c r="E131" s="25">
        <f>SUMIFS(INDEX(Load,,MATCH('Summarized Modified Source Data'!$B131,Hour,0)),Season,'Summarized Modified Source Data'!$A131,Sector,'Summarized Modified Source Data'!E$2,Subsector,'Summarized Modified Source Data'!E$3,TimeOfWeek,$D131)</f>
        <v>14785814</v>
      </c>
      <c r="F131" s="25">
        <f>SUMIFS(INDEX(Load,,MATCH('Summarized Modified Source Data'!$B131,Hour,0)),Season,'Summarized Modified Source Data'!$A131,Sector,'Summarized Modified Source Data'!F$2,Subsector,'Summarized Modified Source Data'!F$3,TimeOfWeek,$D131)</f>
        <v>30582</v>
      </c>
      <c r="G131" s="25">
        <f>SUMIFS(INDEX(Load,,MATCH('Summarized Modified Source Data'!$B131,Hour,0)),Season,'Summarized Modified Source Data'!$A131,Sector,'Summarized Modified Source Data'!G$2,Subsector,'Summarized Modified Source Data'!G$3,TimeOfWeek,$D131)</f>
        <v>0</v>
      </c>
      <c r="H131" s="25">
        <f>SUMIFS(INDEX(Load,,MATCH('Summarized Modified Source Data'!$B131,Hour,0)),Season,'Summarized Modified Source Data'!$A131,Sector,'Summarized Modified Source Data'!H$2,Subsector,'Summarized Modified Source Data'!H$3,TimeOfWeek,$D131)</f>
        <v>16955982</v>
      </c>
      <c r="I131" s="25">
        <f>SUMIFS(INDEX(Load,,MATCH('Summarized Modified Source Data'!$B131,Hour,0)),Season,'Summarized Modified Source Data'!$A131,Sector,'Summarized Modified Source Data'!I$2,Subsector,'Summarized Modified Source Data'!I$3,TimeOfWeek,$D131)</f>
        <v>19920667</v>
      </c>
      <c r="J131" s="25">
        <f t="shared" si="3"/>
        <v>19920667</v>
      </c>
      <c r="K131" s="25">
        <f>SUMIFS(INDEX(Load,,MATCH('Summarized Modified Source Data'!$B131,Hour,0)),Season,'Summarized Modified Source Data'!$A131,Sector,'Summarized Modified Source Data'!K$2,Subsector,'Summarized Modified Source Data'!K$3,TimeOfWeek,$D131)</f>
        <v>39294588</v>
      </c>
      <c r="L131" s="25">
        <f>SUMIFS(INDEX(Load,,MATCH('Summarized Modified Source Data'!$B131,Hour,0)),Season,'Summarized Modified Source Data'!$A131,Sector,'Summarized Modified Source Data'!L$2,Subsector,'Summarized Modified Source Data'!L$3,TimeOfWeek,$D131)</f>
        <v>4472916</v>
      </c>
      <c r="M131" s="25">
        <f>SUMIFS(INDEX(Load,,MATCH('Summarized Modified Source Data'!$B131,Hour,0)),Season,'Summarized Modified Source Data'!$A131,Sector,'Summarized Modified Source Data'!M$2,Subsector,'Summarized Modified Source Data'!M$3,TimeOfWeek,$D131)</f>
        <v>0</v>
      </c>
      <c r="N131" s="25">
        <f t="shared" si="4"/>
        <v>310232496</v>
      </c>
      <c r="O131" s="25">
        <f>SUMIFS(INDEX(Load,,MATCH('Summarized Modified Source Data'!$B131,Hour,0)),Season,'Summarized Modified Source Data'!$A131,Sector,'Summarized Modified Source Data'!O$2,Subsector,"Total",TimeOfWeek,$D131)-SUM(K131:M131)</f>
        <v>310232496</v>
      </c>
      <c r="P131" s="25">
        <f t="shared" si="5"/>
        <v>310232496</v>
      </c>
      <c r="Q131" s="33" cm="1">
        <f t="array" ref="Q131">SUMIFS(INDEX(Load,,MATCH('Summarized Modified Source Data'!$B131,Hour,0)),Season,'Summarized Modified Source Data'!$A131,Sector,'Summarized Modified Source Data'!Q$2,TimeOfWeek,$D131)*LDVs</f>
        <v>3309639.028818957</v>
      </c>
      <c r="R131" s="33" cm="1">
        <f t="array" ref="R131">SUMIFS(INDEX(Load,,MATCH('Summarized Modified Source Data'!$B131,Hour,0)),Season,'Summarized Modified Source Data'!$A131,Sector,'Summarized Modified Source Data'!R$2,TimeOfWeek,$D131)*HDVs</f>
        <v>1559521.3274505364</v>
      </c>
      <c r="S131" s="33">
        <f>SUMIFS(INDEX(Load,,MATCH('Summarized Modified Source Data'!$B131,Hour,0)),Season,'Summarized Modified Source Data'!$A131,Sector,'Summarized Modified Source Data'!S$2,TimeOfWeek,$D131)*Aircraft</f>
        <v>0</v>
      </c>
      <c r="T131" s="33">
        <f>SUMIFS(INDEX(Load,,MATCH('Summarized Modified Source Data'!$B131,Hour,0)),Season,'Summarized Modified Source Data'!$A131,Sector,'Summarized Modified Source Data'!T$2,TimeOfWeek,$D131)*Rail</f>
        <v>6789658.6437305063</v>
      </c>
      <c r="U131" s="33">
        <f>SUMIFS(INDEX(Load,,MATCH('Summarized Modified Source Data'!$B131,Hour,0)),Season,'Summarized Modified Source Data'!$A131,Sector,'Summarized Modified Source Data'!U$2,TimeOfWeek,$D131)*Ships</f>
        <v>0</v>
      </c>
      <c r="V131" s="33">
        <f>SUMIFS(INDEX(Load,,MATCH('Summarized Modified Source Data'!$B131,Hour,0)),Season,'Summarized Modified Source Data'!$A131,Sector,'Summarized Modified Source Data'!V$2,TimeOfWeek,$D131)*Motorbikes</f>
        <v>0</v>
      </c>
      <c r="W131" s="25">
        <f>SUMIFS(INDEX(Load,,MATCH('Summarized Modified Source Data'!$B131,Hour,0)),Season,'Summarized Modified Source Data'!$A131,Sector,'Summarized Modified Source Data'!W$2,Subsector,'Summarized Modified Source Data'!W$3,TimeOfWeek,$D131)</f>
        <v>1034000000</v>
      </c>
      <c r="X131" s="25">
        <f>SUMIFS(INDEX(Load,,MATCH('Summarized Modified Source Data'!$B131,Hour,0)),Season,'Summarized Modified Source Data'!$A131,Sector,'Summarized Modified Source Data'!X$2,Subsector,'Summarized Modified Source Data'!X$3,TimeOfWeek,$D131)</f>
        <v>0</v>
      </c>
      <c r="Y131" s="25">
        <f>SUMIFS(INDEX(Load,,MATCH('Summarized Modified Source Data'!$B131,Hour,0)),Season,'Summarized Modified Source Data'!$A131,Sector,'Summarized Modified Source Data'!Y$2,Subsector,'Summarized Modified Source Data'!Y$3,TimeOfWeek,$D131)</f>
        <v>0</v>
      </c>
    </row>
    <row r="132" spans="1:25" outlineLevel="1" x14ac:dyDescent="0.25">
      <c r="A132" t="s">
        <v>38</v>
      </c>
      <c r="B132" t="s">
        <v>155</v>
      </c>
      <c r="C132" s="7" t="s">
        <v>7</v>
      </c>
      <c r="D132" t="s">
        <v>114</v>
      </c>
      <c r="E132" s="25">
        <f>SUMIFS(INDEX(Load,,MATCH('Summarized Modified Source Data'!$B132,Hour,0)),Season,'Summarized Modified Source Data'!$A132,Sector,'Summarized Modified Source Data'!E$2,Subsector,'Summarized Modified Source Data'!E$3,TimeOfWeek,$D132)</f>
        <v>15540547</v>
      </c>
      <c r="F132" s="25">
        <f>SUMIFS(INDEX(Load,,MATCH('Summarized Modified Source Data'!$B132,Hour,0)),Season,'Summarized Modified Source Data'!$A132,Sector,'Summarized Modified Source Data'!F$2,Subsector,'Summarized Modified Source Data'!F$3,TimeOfWeek,$D132)</f>
        <v>70058</v>
      </c>
      <c r="G132" s="25">
        <f>SUMIFS(INDEX(Load,,MATCH('Summarized Modified Source Data'!$B132,Hour,0)),Season,'Summarized Modified Source Data'!$A132,Sector,'Summarized Modified Source Data'!G$2,Subsector,'Summarized Modified Source Data'!G$3,TimeOfWeek,$D132)</f>
        <v>0</v>
      </c>
      <c r="H132" s="25">
        <f>SUMIFS(INDEX(Load,,MATCH('Summarized Modified Source Data'!$B132,Hour,0)),Season,'Summarized Modified Source Data'!$A132,Sector,'Summarized Modified Source Data'!H$2,Subsector,'Summarized Modified Source Data'!H$3,TimeOfWeek,$D132)</f>
        <v>20245265</v>
      </c>
      <c r="I132" s="25">
        <f>SUMIFS(INDEX(Load,,MATCH('Summarized Modified Source Data'!$B132,Hour,0)),Season,'Summarized Modified Source Data'!$A132,Sector,'Summarized Modified Source Data'!I$2,Subsector,'Summarized Modified Source Data'!I$3,TimeOfWeek,$D132)</f>
        <v>30378647</v>
      </c>
      <c r="J132" s="25">
        <f t="shared" si="3"/>
        <v>30378647</v>
      </c>
      <c r="K132" s="25">
        <f>SUMIFS(INDEX(Load,,MATCH('Summarized Modified Source Data'!$B132,Hour,0)),Season,'Summarized Modified Source Data'!$A132,Sector,'Summarized Modified Source Data'!K$2,Subsector,'Summarized Modified Source Data'!K$3,TimeOfWeek,$D132)</f>
        <v>36643194</v>
      </c>
      <c r="L132" s="25">
        <f>SUMIFS(INDEX(Load,,MATCH('Summarized Modified Source Data'!$B132,Hour,0)),Season,'Summarized Modified Source Data'!$A132,Sector,'Summarized Modified Source Data'!L$2,Subsector,'Summarized Modified Source Data'!L$3,TimeOfWeek,$D132)</f>
        <v>4947050</v>
      </c>
      <c r="M132" s="25">
        <f>SUMIFS(INDEX(Load,,MATCH('Summarized Modified Source Data'!$B132,Hour,0)),Season,'Summarized Modified Source Data'!$A132,Sector,'Summarized Modified Source Data'!M$2,Subsector,'Summarized Modified Source Data'!M$3,TimeOfWeek,$D132)</f>
        <v>0</v>
      </c>
      <c r="N132" s="25">
        <f t="shared" si="4"/>
        <v>351409756</v>
      </c>
      <c r="O132" s="25">
        <f>SUMIFS(INDEX(Load,,MATCH('Summarized Modified Source Data'!$B132,Hour,0)),Season,'Summarized Modified Source Data'!$A132,Sector,'Summarized Modified Source Data'!O$2,Subsector,"Total",TimeOfWeek,$D132)-SUM(K132:M132)</f>
        <v>351409756</v>
      </c>
      <c r="P132" s="25">
        <f t="shared" si="5"/>
        <v>351409756</v>
      </c>
      <c r="Q132" s="33" cm="1">
        <f t="array" ref="Q132">SUMIFS(INDEX(Load,,MATCH('Summarized Modified Source Data'!$B132,Hour,0)),Season,'Summarized Modified Source Data'!$A132,Sector,'Summarized Modified Source Data'!Q$2,TimeOfWeek,$D132)*LDVs</f>
        <v>3960955.6701955628</v>
      </c>
      <c r="R132" s="33" cm="1">
        <f t="array" ref="R132">SUMIFS(INDEX(Load,,MATCH('Summarized Modified Source Data'!$B132,Hour,0)),Season,'Summarized Modified Source Data'!$A132,Sector,'Summarized Modified Source Data'!R$2,TimeOfWeek,$D132)*HDVs</f>
        <v>1866425.5500275635</v>
      </c>
      <c r="S132" s="33">
        <f>SUMIFS(INDEX(Load,,MATCH('Summarized Modified Source Data'!$B132,Hour,0)),Season,'Summarized Modified Source Data'!$A132,Sector,'Summarized Modified Source Data'!S$2,TimeOfWeek,$D132)*Aircraft</f>
        <v>0</v>
      </c>
      <c r="T132" s="33">
        <f>SUMIFS(INDEX(Load,,MATCH('Summarized Modified Source Data'!$B132,Hour,0)),Season,'Summarized Modified Source Data'!$A132,Sector,'Summarized Modified Source Data'!T$2,TimeOfWeek,$D132)*Rail</f>
        <v>8125821.779776874</v>
      </c>
      <c r="U132" s="33">
        <f>SUMIFS(INDEX(Load,,MATCH('Summarized Modified Source Data'!$B132,Hour,0)),Season,'Summarized Modified Source Data'!$A132,Sector,'Summarized Modified Source Data'!U$2,TimeOfWeek,$D132)*Ships</f>
        <v>0</v>
      </c>
      <c r="V132" s="33">
        <f>SUMIFS(INDEX(Load,,MATCH('Summarized Modified Source Data'!$B132,Hour,0)),Season,'Summarized Modified Source Data'!$A132,Sector,'Summarized Modified Source Data'!V$2,TimeOfWeek,$D132)*Motorbikes</f>
        <v>0</v>
      </c>
      <c r="W132" s="25">
        <f>SUMIFS(INDEX(Load,,MATCH('Summarized Modified Source Data'!$B132,Hour,0)),Season,'Summarized Modified Source Data'!$A132,Sector,'Summarized Modified Source Data'!W$2,Subsector,'Summarized Modified Source Data'!W$3,TimeOfWeek,$D132)</f>
        <v>1032000000</v>
      </c>
      <c r="X132" s="25">
        <f>SUMIFS(INDEX(Load,,MATCH('Summarized Modified Source Data'!$B132,Hour,0)),Season,'Summarized Modified Source Data'!$A132,Sector,'Summarized Modified Source Data'!X$2,Subsector,'Summarized Modified Source Data'!X$3,TimeOfWeek,$D132)</f>
        <v>0</v>
      </c>
      <c r="Y132" s="25">
        <f>SUMIFS(INDEX(Load,,MATCH('Summarized Modified Source Data'!$B132,Hour,0)),Season,'Summarized Modified Source Data'!$A132,Sector,'Summarized Modified Source Data'!Y$2,Subsector,'Summarized Modified Source Data'!Y$3,TimeOfWeek,$D132)</f>
        <v>0</v>
      </c>
    </row>
    <row r="133" spans="1:25" outlineLevel="1" x14ac:dyDescent="0.25">
      <c r="A133" t="s">
        <v>38</v>
      </c>
      <c r="B133" t="s">
        <v>156</v>
      </c>
      <c r="C133" s="7" t="s">
        <v>8</v>
      </c>
      <c r="D133" t="s">
        <v>114</v>
      </c>
      <c r="E133" s="25">
        <f>SUMIFS(INDEX(Load,,MATCH('Summarized Modified Source Data'!$B133,Hour,0)),Season,'Summarized Modified Source Data'!$A133,Sector,'Summarized Modified Source Data'!E$2,Subsector,'Summarized Modified Source Data'!E$3,TimeOfWeek,$D133)</f>
        <v>15361210</v>
      </c>
      <c r="F133" s="25">
        <f>SUMIFS(INDEX(Load,,MATCH('Summarized Modified Source Data'!$B133,Hour,0)),Season,'Summarized Modified Source Data'!$A133,Sector,'Summarized Modified Source Data'!F$2,Subsector,'Summarized Modified Source Data'!F$3,TimeOfWeek,$D133)</f>
        <v>776756</v>
      </c>
      <c r="G133" s="25">
        <f>SUMIFS(INDEX(Load,,MATCH('Summarized Modified Source Data'!$B133,Hour,0)),Season,'Summarized Modified Source Data'!$A133,Sector,'Summarized Modified Source Data'!G$2,Subsector,'Summarized Modified Source Data'!G$3,TimeOfWeek,$D133)</f>
        <v>0</v>
      </c>
      <c r="H133" s="25">
        <f>SUMIFS(INDEX(Load,,MATCH('Summarized Modified Source Data'!$B133,Hour,0)),Season,'Summarized Modified Source Data'!$A133,Sector,'Summarized Modified Source Data'!H$2,Subsector,'Summarized Modified Source Data'!H$3,TimeOfWeek,$D133)</f>
        <v>20977742</v>
      </c>
      <c r="I133" s="25">
        <f>SUMIFS(INDEX(Load,,MATCH('Summarized Modified Source Data'!$B133,Hour,0)),Season,'Summarized Modified Source Data'!$A133,Sector,'Summarized Modified Source Data'!I$2,Subsector,'Summarized Modified Source Data'!I$3,TimeOfWeek,$D133)</f>
        <v>41400000</v>
      </c>
      <c r="J133" s="25">
        <f t="shared" ref="J133:J195" si="6">I133</f>
        <v>41400000</v>
      </c>
      <c r="K133" s="25">
        <f>SUMIFS(INDEX(Load,,MATCH('Summarized Modified Source Data'!$B133,Hour,0)),Season,'Summarized Modified Source Data'!$A133,Sector,'Summarized Modified Source Data'!K$2,Subsector,'Summarized Modified Source Data'!K$3,TimeOfWeek,$D133)</f>
        <v>29802798</v>
      </c>
      <c r="L133" s="25">
        <f>SUMIFS(INDEX(Load,,MATCH('Summarized Modified Source Data'!$B133,Hour,0)),Season,'Summarized Modified Source Data'!$A133,Sector,'Summarized Modified Source Data'!L$2,Subsector,'Summarized Modified Source Data'!L$3,TimeOfWeek,$D133)</f>
        <v>5694182</v>
      </c>
      <c r="M133" s="25">
        <f>SUMIFS(INDEX(Load,,MATCH('Summarized Modified Source Data'!$B133,Hour,0)),Season,'Summarized Modified Source Data'!$A133,Sector,'Summarized Modified Source Data'!M$2,Subsector,'Summarized Modified Source Data'!M$3,TimeOfWeek,$D133)</f>
        <v>0</v>
      </c>
      <c r="N133" s="25">
        <f t="shared" ref="N133:N195" si="7">O133</f>
        <v>385503020</v>
      </c>
      <c r="O133" s="25">
        <f>SUMIFS(INDEX(Load,,MATCH('Summarized Modified Source Data'!$B133,Hour,0)),Season,'Summarized Modified Source Data'!$A133,Sector,'Summarized Modified Source Data'!O$2,Subsector,"Total",TimeOfWeek,$D133)-SUM(K133:M133)</f>
        <v>385503020</v>
      </c>
      <c r="P133" s="25">
        <f t="shared" ref="P133:P195" si="8">O133</f>
        <v>385503020</v>
      </c>
      <c r="Q133" s="33" cm="1">
        <f t="array" ref="Q133">SUMIFS(INDEX(Load,,MATCH('Summarized Modified Source Data'!$B133,Hour,0)),Season,'Summarized Modified Source Data'!$A133,Sector,'Summarized Modified Source Data'!Q$2,TimeOfWeek,$D133)*LDVs</f>
        <v>4500575.7248126129</v>
      </c>
      <c r="R133" s="33" cm="1">
        <f t="array" ref="R133">SUMIFS(INDEX(Load,,MATCH('Summarized Modified Source Data'!$B133,Hour,0)),Season,'Summarized Modified Source Data'!$A133,Sector,'Summarized Modified Source Data'!R$2,TimeOfWeek,$D133)*HDVs</f>
        <v>2120697.6856192262</v>
      </c>
      <c r="S133" s="33">
        <f>SUMIFS(INDEX(Load,,MATCH('Summarized Modified Source Data'!$B133,Hour,0)),Season,'Summarized Modified Source Data'!$A133,Sector,'Summarized Modified Source Data'!S$2,TimeOfWeek,$D133)*Aircraft</f>
        <v>0</v>
      </c>
      <c r="T133" s="33">
        <f>SUMIFS(INDEX(Load,,MATCH('Summarized Modified Source Data'!$B133,Hour,0)),Season,'Summarized Modified Source Data'!$A133,Sector,'Summarized Modified Source Data'!T$2,TimeOfWeek,$D133)*Rail</f>
        <v>9232841.5895681605</v>
      </c>
      <c r="U133" s="33">
        <f>SUMIFS(INDEX(Load,,MATCH('Summarized Modified Source Data'!$B133,Hour,0)),Season,'Summarized Modified Source Data'!$A133,Sector,'Summarized Modified Source Data'!U$2,TimeOfWeek,$D133)*Ships</f>
        <v>0</v>
      </c>
      <c r="V133" s="33">
        <f>SUMIFS(INDEX(Load,,MATCH('Summarized Modified Source Data'!$B133,Hour,0)),Season,'Summarized Modified Source Data'!$A133,Sector,'Summarized Modified Source Data'!V$2,TimeOfWeek,$D133)*Motorbikes</f>
        <v>0</v>
      </c>
      <c r="W133" s="25">
        <f>SUMIFS(INDEX(Load,,MATCH('Summarized Modified Source Data'!$B133,Hour,0)),Season,'Summarized Modified Source Data'!$A133,Sector,'Summarized Modified Source Data'!W$2,Subsector,'Summarized Modified Source Data'!W$3,TimeOfWeek,$D133)</f>
        <v>1029000000</v>
      </c>
      <c r="X133" s="25">
        <f>SUMIFS(INDEX(Load,,MATCH('Summarized Modified Source Data'!$B133,Hour,0)),Season,'Summarized Modified Source Data'!$A133,Sector,'Summarized Modified Source Data'!X$2,Subsector,'Summarized Modified Source Data'!X$3,TimeOfWeek,$D133)</f>
        <v>0</v>
      </c>
      <c r="Y133" s="25">
        <f>SUMIFS(INDEX(Load,,MATCH('Summarized Modified Source Data'!$B133,Hour,0)),Season,'Summarized Modified Source Data'!$A133,Sector,'Summarized Modified Source Data'!Y$2,Subsector,'Summarized Modified Source Data'!Y$3,TimeOfWeek,$D133)</f>
        <v>0</v>
      </c>
    </row>
    <row r="134" spans="1:25" outlineLevel="1" x14ac:dyDescent="0.25">
      <c r="A134" t="s">
        <v>38</v>
      </c>
      <c r="B134" t="s">
        <v>157</v>
      </c>
      <c r="C134" s="7" t="s">
        <v>9</v>
      </c>
      <c r="D134" t="s">
        <v>114</v>
      </c>
      <c r="E134" s="25">
        <f>SUMIFS(INDEX(Load,,MATCH('Summarized Modified Source Data'!$B134,Hour,0)),Season,'Summarized Modified Source Data'!$A134,Sector,'Summarized Modified Source Data'!E$2,Subsector,'Summarized Modified Source Data'!E$3,TimeOfWeek,$D134)</f>
        <v>15015369</v>
      </c>
      <c r="F134" s="25">
        <f>SUMIFS(INDEX(Load,,MATCH('Summarized Modified Source Data'!$B134,Hour,0)),Season,'Summarized Modified Source Data'!$A134,Sector,'Summarized Modified Source Data'!F$2,Subsector,'Summarized Modified Source Data'!F$3,TimeOfWeek,$D134)</f>
        <v>1696439</v>
      </c>
      <c r="G134" s="25">
        <f>SUMIFS(INDEX(Load,,MATCH('Summarized Modified Source Data'!$B134,Hour,0)),Season,'Summarized Modified Source Data'!$A134,Sector,'Summarized Modified Source Data'!G$2,Subsector,'Summarized Modified Source Data'!G$3,TimeOfWeek,$D134)</f>
        <v>0</v>
      </c>
      <c r="H134" s="25">
        <f>SUMIFS(INDEX(Load,,MATCH('Summarized Modified Source Data'!$B134,Hour,0)),Season,'Summarized Modified Source Data'!$A134,Sector,'Summarized Modified Source Data'!H$2,Subsector,'Summarized Modified Source Data'!H$3,TimeOfWeek,$D134)</f>
        <v>21102878</v>
      </c>
      <c r="I134" s="25">
        <f>SUMIFS(INDEX(Load,,MATCH('Summarized Modified Source Data'!$B134,Hour,0)),Season,'Summarized Modified Source Data'!$A134,Sector,'Summarized Modified Source Data'!I$2,Subsector,'Summarized Modified Source Data'!I$3,TimeOfWeek,$D134)</f>
        <v>42500000</v>
      </c>
      <c r="J134" s="25">
        <f t="shared" si="6"/>
        <v>42500000</v>
      </c>
      <c r="K134" s="25">
        <f>SUMIFS(INDEX(Load,,MATCH('Summarized Modified Source Data'!$B134,Hour,0)),Season,'Summarized Modified Source Data'!$A134,Sector,'Summarized Modified Source Data'!K$2,Subsector,'Summarized Modified Source Data'!K$3,TimeOfWeek,$D134)</f>
        <v>25245173</v>
      </c>
      <c r="L134" s="25">
        <f>SUMIFS(INDEX(Load,,MATCH('Summarized Modified Source Data'!$B134,Hour,0)),Season,'Summarized Modified Source Data'!$A134,Sector,'Summarized Modified Source Data'!L$2,Subsector,'Summarized Modified Source Data'!L$3,TimeOfWeek,$D134)</f>
        <v>6512844</v>
      </c>
      <c r="M134" s="25">
        <f>SUMIFS(INDEX(Load,,MATCH('Summarized Modified Source Data'!$B134,Hour,0)),Season,'Summarized Modified Source Data'!$A134,Sector,'Summarized Modified Source Data'!M$2,Subsector,'Summarized Modified Source Data'!M$3,TimeOfWeek,$D134)</f>
        <v>0</v>
      </c>
      <c r="N134" s="25">
        <f t="shared" si="7"/>
        <v>379241983</v>
      </c>
      <c r="O134" s="25">
        <f>SUMIFS(INDEX(Load,,MATCH('Summarized Modified Source Data'!$B134,Hour,0)),Season,'Summarized Modified Source Data'!$A134,Sector,'Summarized Modified Source Data'!O$2,Subsector,"Total",TimeOfWeek,$D134)-SUM(K134:M134)</f>
        <v>379241983</v>
      </c>
      <c r="P134" s="25">
        <f t="shared" si="8"/>
        <v>379241983</v>
      </c>
      <c r="Q134" s="33" cm="1">
        <f t="array" ref="Q134">SUMIFS(INDEX(Load,,MATCH('Summarized Modified Source Data'!$B134,Hour,0)),Season,'Summarized Modified Source Data'!$A134,Sector,'Summarized Modified Source Data'!Q$2,TimeOfWeek,$D134)*LDVs</f>
        <v>4769771.1642715968</v>
      </c>
      <c r="R134" s="33" cm="1">
        <f t="array" ref="R134">SUMIFS(INDEX(Load,,MATCH('Summarized Modified Source Data'!$B134,Hour,0)),Season,'Summarized Modified Source Data'!$A134,Sector,'Summarized Modified Source Data'!R$2,TimeOfWeek,$D134)*HDVs</f>
        <v>2247544.1560146753</v>
      </c>
      <c r="S134" s="33">
        <f>SUMIFS(INDEX(Load,,MATCH('Summarized Modified Source Data'!$B134,Hour,0)),Season,'Summarized Modified Source Data'!$A134,Sector,'Summarized Modified Source Data'!S$2,TimeOfWeek,$D134)*Aircraft</f>
        <v>0</v>
      </c>
      <c r="T134" s="33">
        <f>SUMIFS(INDEX(Load,,MATCH('Summarized Modified Source Data'!$B134,Hour,0)),Season,'Summarized Modified Source Data'!$A134,Sector,'Summarized Modified Source Data'!T$2,TimeOfWeek,$D134)*Rail</f>
        <v>9785090.6797137279</v>
      </c>
      <c r="U134" s="33">
        <f>SUMIFS(INDEX(Load,,MATCH('Summarized Modified Source Data'!$B134,Hour,0)),Season,'Summarized Modified Source Data'!$A134,Sector,'Summarized Modified Source Data'!U$2,TimeOfWeek,$D134)*Ships</f>
        <v>0</v>
      </c>
      <c r="V134" s="33">
        <f>SUMIFS(INDEX(Load,,MATCH('Summarized Modified Source Data'!$B134,Hour,0)),Season,'Summarized Modified Source Data'!$A134,Sector,'Summarized Modified Source Data'!V$2,TimeOfWeek,$D134)*Motorbikes</f>
        <v>0</v>
      </c>
      <c r="W134" s="25">
        <f>SUMIFS(INDEX(Load,,MATCH('Summarized Modified Source Data'!$B134,Hour,0)),Season,'Summarized Modified Source Data'!$A134,Sector,'Summarized Modified Source Data'!W$2,Subsector,'Summarized Modified Source Data'!W$3,TimeOfWeek,$D134)</f>
        <v>1026000000</v>
      </c>
      <c r="X134" s="25">
        <f>SUMIFS(INDEX(Load,,MATCH('Summarized Modified Source Data'!$B134,Hour,0)),Season,'Summarized Modified Source Data'!$A134,Sector,'Summarized Modified Source Data'!X$2,Subsector,'Summarized Modified Source Data'!X$3,TimeOfWeek,$D134)</f>
        <v>0</v>
      </c>
      <c r="Y134" s="25">
        <f>SUMIFS(INDEX(Load,,MATCH('Summarized Modified Source Data'!$B134,Hour,0)),Season,'Summarized Modified Source Data'!$A134,Sector,'Summarized Modified Source Data'!Y$2,Subsector,'Summarized Modified Source Data'!Y$3,TimeOfWeek,$D134)</f>
        <v>0</v>
      </c>
    </row>
    <row r="135" spans="1:25" outlineLevel="1" x14ac:dyDescent="0.25">
      <c r="A135" t="s">
        <v>38</v>
      </c>
      <c r="B135" t="s">
        <v>158</v>
      </c>
      <c r="C135" s="7" t="s">
        <v>10</v>
      </c>
      <c r="D135" t="s">
        <v>114</v>
      </c>
      <c r="E135" s="25">
        <f>SUMIFS(INDEX(Load,,MATCH('Summarized Modified Source Data'!$B135,Hour,0)),Season,'Summarized Modified Source Data'!$A135,Sector,'Summarized Modified Source Data'!E$2,Subsector,'Summarized Modified Source Data'!E$3,TimeOfWeek,$D135)</f>
        <v>11544140</v>
      </c>
      <c r="F135" s="25">
        <f>SUMIFS(INDEX(Load,,MATCH('Summarized Modified Source Data'!$B135,Hour,0)),Season,'Summarized Modified Source Data'!$A135,Sector,'Summarized Modified Source Data'!F$2,Subsector,'Summarized Modified Source Data'!F$3,TimeOfWeek,$D135)</f>
        <v>2714558</v>
      </c>
      <c r="G135" s="25">
        <f>SUMIFS(INDEX(Load,,MATCH('Summarized Modified Source Data'!$B135,Hour,0)),Season,'Summarized Modified Source Data'!$A135,Sector,'Summarized Modified Source Data'!G$2,Subsector,'Summarized Modified Source Data'!G$3,TimeOfWeek,$D135)</f>
        <v>0</v>
      </c>
      <c r="H135" s="25">
        <f>SUMIFS(INDEX(Load,,MATCH('Summarized Modified Source Data'!$B135,Hour,0)),Season,'Summarized Modified Source Data'!$A135,Sector,'Summarized Modified Source Data'!H$2,Subsector,'Summarized Modified Source Data'!H$3,TimeOfWeek,$D135)</f>
        <v>22390645</v>
      </c>
      <c r="I135" s="25">
        <f>SUMIFS(INDEX(Load,,MATCH('Summarized Modified Source Data'!$B135,Hour,0)),Season,'Summarized Modified Source Data'!$A135,Sector,'Summarized Modified Source Data'!I$2,Subsector,'Summarized Modified Source Data'!I$3,TimeOfWeek,$D135)</f>
        <v>39100000</v>
      </c>
      <c r="J135" s="25">
        <f t="shared" si="6"/>
        <v>39100000</v>
      </c>
      <c r="K135" s="25">
        <f>SUMIFS(INDEX(Load,,MATCH('Summarized Modified Source Data'!$B135,Hour,0)),Season,'Summarized Modified Source Data'!$A135,Sector,'Summarized Modified Source Data'!K$2,Subsector,'Summarized Modified Source Data'!K$3,TimeOfWeek,$D135)</f>
        <v>22368787</v>
      </c>
      <c r="L135" s="25">
        <f>SUMIFS(INDEX(Load,,MATCH('Summarized Modified Source Data'!$B135,Hour,0)),Season,'Summarized Modified Source Data'!$A135,Sector,'Summarized Modified Source Data'!L$2,Subsector,'Summarized Modified Source Data'!L$3,TimeOfWeek,$D135)</f>
        <v>7186858</v>
      </c>
      <c r="M135" s="25">
        <f>SUMIFS(INDEX(Load,,MATCH('Summarized Modified Source Data'!$B135,Hour,0)),Season,'Summarized Modified Source Data'!$A135,Sector,'Summarized Modified Source Data'!M$2,Subsector,'Summarized Modified Source Data'!M$3,TimeOfWeek,$D135)</f>
        <v>0</v>
      </c>
      <c r="N135" s="25">
        <f t="shared" si="7"/>
        <v>379444355</v>
      </c>
      <c r="O135" s="25">
        <f>SUMIFS(INDEX(Load,,MATCH('Summarized Modified Source Data'!$B135,Hour,0)),Season,'Summarized Modified Source Data'!$A135,Sector,'Summarized Modified Source Data'!O$2,Subsector,"Total",TimeOfWeek,$D135)-SUM(K135:M135)</f>
        <v>379444355</v>
      </c>
      <c r="P135" s="25">
        <f t="shared" si="8"/>
        <v>379444355</v>
      </c>
      <c r="Q135" s="33" cm="1">
        <f t="array" ref="Q135">SUMIFS(INDEX(Load,,MATCH('Summarized Modified Source Data'!$B135,Hour,0)),Season,'Summarized Modified Source Data'!$A135,Sector,'Summarized Modified Source Data'!Q$2,TimeOfWeek,$D135)*LDVs</f>
        <v>4924356.8989516329</v>
      </c>
      <c r="R135" s="33" cm="1">
        <f t="array" ref="R135">SUMIFS(INDEX(Load,,MATCH('Summarized Modified Source Data'!$B135,Hour,0)),Season,'Summarized Modified Source Data'!$A135,Sector,'Summarized Modified Source Data'!R$2,TimeOfWeek,$D135)*HDVs</f>
        <v>2320385.8611232699</v>
      </c>
      <c r="S135" s="33">
        <f>SUMIFS(INDEX(Load,,MATCH('Summarized Modified Source Data'!$B135,Hour,0)),Season,'Summarized Modified Source Data'!$A135,Sector,'Summarized Modified Source Data'!S$2,TimeOfWeek,$D135)*Aircraft</f>
        <v>0</v>
      </c>
      <c r="T135" s="33">
        <f>SUMIFS(INDEX(Load,,MATCH('Summarized Modified Source Data'!$B135,Hour,0)),Season,'Summarized Modified Source Data'!$A135,Sector,'Summarized Modified Source Data'!T$2,TimeOfWeek,$D135)*Rail</f>
        <v>10102220.239925098</v>
      </c>
      <c r="U135" s="33">
        <f>SUMIFS(INDEX(Load,,MATCH('Summarized Modified Source Data'!$B135,Hour,0)),Season,'Summarized Modified Source Data'!$A135,Sector,'Summarized Modified Source Data'!U$2,TimeOfWeek,$D135)*Ships</f>
        <v>0</v>
      </c>
      <c r="V135" s="33">
        <f>SUMIFS(INDEX(Load,,MATCH('Summarized Modified Source Data'!$B135,Hour,0)),Season,'Summarized Modified Source Data'!$A135,Sector,'Summarized Modified Source Data'!V$2,TimeOfWeek,$D135)*Motorbikes</f>
        <v>0</v>
      </c>
      <c r="W135" s="25">
        <f>SUMIFS(INDEX(Load,,MATCH('Summarized Modified Source Data'!$B135,Hour,0)),Season,'Summarized Modified Source Data'!$A135,Sector,'Summarized Modified Source Data'!W$2,Subsector,'Summarized Modified Source Data'!W$3,TimeOfWeek,$D135)</f>
        <v>1024000000</v>
      </c>
      <c r="X135" s="25">
        <f>SUMIFS(INDEX(Load,,MATCH('Summarized Modified Source Data'!$B135,Hour,0)),Season,'Summarized Modified Source Data'!$A135,Sector,'Summarized Modified Source Data'!X$2,Subsector,'Summarized Modified Source Data'!X$3,TimeOfWeek,$D135)</f>
        <v>0</v>
      </c>
      <c r="Y135" s="25">
        <f>SUMIFS(INDEX(Load,,MATCH('Summarized Modified Source Data'!$B135,Hour,0)),Season,'Summarized Modified Source Data'!$A135,Sector,'Summarized Modified Source Data'!Y$2,Subsector,'Summarized Modified Source Data'!Y$3,TimeOfWeek,$D135)</f>
        <v>0</v>
      </c>
    </row>
    <row r="136" spans="1:25" outlineLevel="1" x14ac:dyDescent="0.25">
      <c r="A136" t="s">
        <v>38</v>
      </c>
      <c r="B136" t="s">
        <v>159</v>
      </c>
      <c r="C136" s="7" t="s">
        <v>11</v>
      </c>
      <c r="D136" t="s">
        <v>114</v>
      </c>
      <c r="E136" s="25">
        <f>SUMIFS(INDEX(Load,,MATCH('Summarized Modified Source Data'!$B136,Hour,0)),Season,'Summarized Modified Source Data'!$A136,Sector,'Summarized Modified Source Data'!E$2,Subsector,'Summarized Modified Source Data'!E$3,TimeOfWeek,$D136)</f>
        <v>11754429</v>
      </c>
      <c r="F136" s="25">
        <f>SUMIFS(INDEX(Load,,MATCH('Summarized Modified Source Data'!$B136,Hour,0)),Season,'Summarized Modified Source Data'!$A136,Sector,'Summarized Modified Source Data'!F$2,Subsector,'Summarized Modified Source Data'!F$3,TimeOfWeek,$D136)</f>
        <v>3628290</v>
      </c>
      <c r="G136" s="25">
        <f>SUMIFS(INDEX(Load,,MATCH('Summarized Modified Source Data'!$B136,Hour,0)),Season,'Summarized Modified Source Data'!$A136,Sector,'Summarized Modified Source Data'!G$2,Subsector,'Summarized Modified Source Data'!G$3,TimeOfWeek,$D136)</f>
        <v>0</v>
      </c>
      <c r="H136" s="25">
        <f>SUMIFS(INDEX(Load,,MATCH('Summarized Modified Source Data'!$B136,Hour,0)),Season,'Summarized Modified Source Data'!$A136,Sector,'Summarized Modified Source Data'!H$2,Subsector,'Summarized Modified Source Data'!H$3,TimeOfWeek,$D136)</f>
        <v>23168811</v>
      </c>
      <c r="I136" s="25">
        <f>SUMIFS(INDEX(Load,,MATCH('Summarized Modified Source Data'!$B136,Hour,0)),Season,'Summarized Modified Source Data'!$A136,Sector,'Summarized Modified Source Data'!I$2,Subsector,'Summarized Modified Source Data'!I$3,TimeOfWeek,$D136)</f>
        <v>35000000</v>
      </c>
      <c r="J136" s="25">
        <f t="shared" si="6"/>
        <v>35000000</v>
      </c>
      <c r="K136" s="25">
        <f>SUMIFS(INDEX(Load,,MATCH('Summarized Modified Source Data'!$B136,Hour,0)),Season,'Summarized Modified Source Data'!$A136,Sector,'Summarized Modified Source Data'!K$2,Subsector,'Summarized Modified Source Data'!K$3,TimeOfWeek,$D136)</f>
        <v>20261497</v>
      </c>
      <c r="L136" s="25">
        <f>SUMIFS(INDEX(Load,,MATCH('Summarized Modified Source Data'!$B136,Hour,0)),Season,'Summarized Modified Source Data'!$A136,Sector,'Summarized Modified Source Data'!L$2,Subsector,'Summarized Modified Source Data'!L$3,TimeOfWeek,$D136)</f>
        <v>7726205</v>
      </c>
      <c r="M136" s="25">
        <f>SUMIFS(INDEX(Load,,MATCH('Summarized Modified Source Data'!$B136,Hour,0)),Season,'Summarized Modified Source Data'!$A136,Sector,'Summarized Modified Source Data'!M$2,Subsector,'Summarized Modified Source Data'!M$3,TimeOfWeek,$D136)</f>
        <v>0</v>
      </c>
      <c r="N136" s="25">
        <f t="shared" si="7"/>
        <v>378012298</v>
      </c>
      <c r="O136" s="25">
        <f>SUMIFS(INDEX(Load,,MATCH('Summarized Modified Source Data'!$B136,Hour,0)),Season,'Summarized Modified Source Data'!$A136,Sector,'Summarized Modified Source Data'!O$2,Subsector,"Total",TimeOfWeek,$D136)-SUM(K136:M136)</f>
        <v>378012298</v>
      </c>
      <c r="P136" s="25">
        <f t="shared" si="8"/>
        <v>378012298</v>
      </c>
      <c r="Q136" s="33" cm="1">
        <f t="array" ref="Q136">SUMIFS(INDEX(Load,,MATCH('Summarized Modified Source Data'!$B136,Hour,0)),Season,'Summarized Modified Source Data'!$A136,Sector,'Summarized Modified Source Data'!Q$2,TimeOfWeek,$D136)*LDVs</f>
        <v>4819721.1175415572</v>
      </c>
      <c r="R136" s="33" cm="1">
        <f t="array" ref="R136">SUMIFS(INDEX(Load,,MATCH('Summarized Modified Source Data'!$B136,Hour,0)),Season,'Summarized Modified Source Data'!$A136,Sector,'Summarized Modified Source Data'!R$2,TimeOfWeek,$D136)*HDVs</f>
        <v>2271080.8670430854</v>
      </c>
      <c r="S136" s="33">
        <f>SUMIFS(INDEX(Load,,MATCH('Summarized Modified Source Data'!$B136,Hour,0)),Season,'Summarized Modified Source Data'!$A136,Sector,'Summarized Modified Source Data'!S$2,TimeOfWeek,$D136)*Aircraft</f>
        <v>0</v>
      </c>
      <c r="T136" s="33">
        <f>SUMIFS(INDEX(Load,,MATCH('Summarized Modified Source Data'!$B136,Hour,0)),Season,'Summarized Modified Source Data'!$A136,Sector,'Summarized Modified Source Data'!T$2,TimeOfWeek,$D136)*Rail</f>
        <v>9887562.0154153574</v>
      </c>
      <c r="U136" s="33">
        <f>SUMIFS(INDEX(Load,,MATCH('Summarized Modified Source Data'!$B136,Hour,0)),Season,'Summarized Modified Source Data'!$A136,Sector,'Summarized Modified Source Data'!U$2,TimeOfWeek,$D136)*Ships</f>
        <v>0</v>
      </c>
      <c r="V136" s="33">
        <f>SUMIFS(INDEX(Load,,MATCH('Summarized Modified Source Data'!$B136,Hour,0)),Season,'Summarized Modified Source Data'!$A136,Sector,'Summarized Modified Source Data'!V$2,TimeOfWeek,$D136)*Motorbikes</f>
        <v>0</v>
      </c>
      <c r="W136" s="25">
        <f>SUMIFS(INDEX(Load,,MATCH('Summarized Modified Source Data'!$B136,Hour,0)),Season,'Summarized Modified Source Data'!$A136,Sector,'Summarized Modified Source Data'!W$2,Subsector,'Summarized Modified Source Data'!W$3,TimeOfWeek,$D136)</f>
        <v>1023000000</v>
      </c>
      <c r="X136" s="25">
        <f>SUMIFS(INDEX(Load,,MATCH('Summarized Modified Source Data'!$B136,Hour,0)),Season,'Summarized Modified Source Data'!$A136,Sector,'Summarized Modified Source Data'!X$2,Subsector,'Summarized Modified Source Data'!X$3,TimeOfWeek,$D136)</f>
        <v>0</v>
      </c>
      <c r="Y136" s="25">
        <f>SUMIFS(INDEX(Load,,MATCH('Summarized Modified Source Data'!$B136,Hour,0)),Season,'Summarized Modified Source Data'!$A136,Sector,'Summarized Modified Source Data'!Y$2,Subsector,'Summarized Modified Source Data'!Y$3,TimeOfWeek,$D136)</f>
        <v>0</v>
      </c>
    </row>
    <row r="137" spans="1:25" outlineLevel="1" x14ac:dyDescent="0.25">
      <c r="A137" t="s">
        <v>38</v>
      </c>
      <c r="B137" t="s">
        <v>160</v>
      </c>
      <c r="C137" s="7" t="s">
        <v>12</v>
      </c>
      <c r="D137" t="s">
        <v>114</v>
      </c>
      <c r="E137" s="25">
        <f>SUMIFS(INDEX(Load,,MATCH('Summarized Modified Source Data'!$B137,Hour,0)),Season,'Summarized Modified Source Data'!$A137,Sector,'Summarized Modified Source Data'!E$2,Subsector,'Summarized Modified Source Data'!E$3,TimeOfWeek,$D137)</f>
        <v>11744920</v>
      </c>
      <c r="F137" s="25">
        <f>SUMIFS(INDEX(Load,,MATCH('Summarized Modified Source Data'!$B137,Hour,0)),Season,'Summarized Modified Source Data'!$A137,Sector,'Summarized Modified Source Data'!F$2,Subsector,'Summarized Modified Source Data'!F$3,TimeOfWeek,$D137)</f>
        <v>4494684</v>
      </c>
      <c r="G137" s="25">
        <f>SUMIFS(INDEX(Load,,MATCH('Summarized Modified Source Data'!$B137,Hour,0)),Season,'Summarized Modified Source Data'!$A137,Sector,'Summarized Modified Source Data'!G$2,Subsector,'Summarized Modified Source Data'!G$3,TimeOfWeek,$D137)</f>
        <v>0</v>
      </c>
      <c r="H137" s="25">
        <f>SUMIFS(INDEX(Load,,MATCH('Summarized Modified Source Data'!$B137,Hour,0)),Season,'Summarized Modified Source Data'!$A137,Sector,'Summarized Modified Source Data'!H$2,Subsector,'Summarized Modified Source Data'!H$3,TimeOfWeek,$D137)</f>
        <v>23139124</v>
      </c>
      <c r="I137" s="25">
        <f>SUMIFS(INDEX(Load,,MATCH('Summarized Modified Source Data'!$B137,Hour,0)),Season,'Summarized Modified Source Data'!$A137,Sector,'Summarized Modified Source Data'!I$2,Subsector,'Summarized Modified Source Data'!I$3,TimeOfWeek,$D137)</f>
        <v>30150154</v>
      </c>
      <c r="J137" s="25">
        <f t="shared" si="6"/>
        <v>30150154</v>
      </c>
      <c r="K137" s="25">
        <f>SUMIFS(INDEX(Load,,MATCH('Summarized Modified Source Data'!$B137,Hour,0)),Season,'Summarized Modified Source Data'!$A137,Sector,'Summarized Modified Source Data'!K$2,Subsector,'Summarized Modified Source Data'!K$3,TimeOfWeek,$D137)</f>
        <v>18821488</v>
      </c>
      <c r="L137" s="25">
        <f>SUMIFS(INDEX(Load,,MATCH('Summarized Modified Source Data'!$B137,Hour,0)),Season,'Summarized Modified Source Data'!$A137,Sector,'Summarized Modified Source Data'!L$2,Subsector,'Summarized Modified Source Data'!L$3,TimeOfWeek,$D137)</f>
        <v>8050358</v>
      </c>
      <c r="M137" s="25">
        <f>SUMIFS(INDEX(Load,,MATCH('Summarized Modified Source Data'!$B137,Hour,0)),Season,'Summarized Modified Source Data'!$A137,Sector,'Summarized Modified Source Data'!M$2,Subsector,'Summarized Modified Source Data'!M$3,TimeOfWeek,$D137)</f>
        <v>0</v>
      </c>
      <c r="N137" s="25">
        <f t="shared" si="7"/>
        <v>364128154</v>
      </c>
      <c r="O137" s="25">
        <f>SUMIFS(INDEX(Load,,MATCH('Summarized Modified Source Data'!$B137,Hour,0)),Season,'Summarized Modified Source Data'!$A137,Sector,'Summarized Modified Source Data'!O$2,Subsector,"Total",TimeOfWeek,$D137)-SUM(K137:M137)</f>
        <v>364128154</v>
      </c>
      <c r="P137" s="25">
        <f t="shared" si="8"/>
        <v>364128154</v>
      </c>
      <c r="Q137" s="33" cm="1">
        <f t="array" ref="Q137">SUMIFS(INDEX(Load,,MATCH('Summarized Modified Source Data'!$B137,Hour,0)),Season,'Summarized Modified Source Data'!$A137,Sector,'Summarized Modified Source Data'!Q$2,TimeOfWeek,$D137)*LDVs</f>
        <v>4594259.0681575732</v>
      </c>
      <c r="R137" s="33" cm="1">
        <f t="array" ref="R137">SUMIFS(INDEX(Load,,MATCH('Summarized Modified Source Data'!$B137,Hour,0)),Season,'Summarized Modified Source Data'!$A137,Sector,'Summarized Modified Source Data'!R$2,TimeOfWeek,$D137)*HDVs</f>
        <v>2164841.8266270971</v>
      </c>
      <c r="S137" s="33">
        <f>SUMIFS(INDEX(Load,,MATCH('Summarized Modified Source Data'!$B137,Hour,0)),Season,'Summarized Modified Source Data'!$A137,Sector,'Summarized Modified Source Data'!S$2,TimeOfWeek,$D137)*Aircraft</f>
        <v>0</v>
      </c>
      <c r="T137" s="33">
        <f>SUMIFS(INDEX(Load,,MATCH('Summarized Modified Source Data'!$B137,Hour,0)),Season,'Summarized Modified Source Data'!$A137,Sector,'Summarized Modified Source Data'!T$2,TimeOfWeek,$D137)*Rail</f>
        <v>9425031.1052153297</v>
      </c>
      <c r="U137" s="33">
        <f>SUMIFS(INDEX(Load,,MATCH('Summarized Modified Source Data'!$B137,Hour,0)),Season,'Summarized Modified Source Data'!$A137,Sector,'Summarized Modified Source Data'!U$2,TimeOfWeek,$D137)*Ships</f>
        <v>0</v>
      </c>
      <c r="V137" s="33">
        <f>SUMIFS(INDEX(Load,,MATCH('Summarized Modified Source Data'!$B137,Hour,0)),Season,'Summarized Modified Source Data'!$A137,Sector,'Summarized Modified Source Data'!V$2,TimeOfWeek,$D137)*Motorbikes</f>
        <v>0</v>
      </c>
      <c r="W137" s="25">
        <f>SUMIFS(INDEX(Load,,MATCH('Summarized Modified Source Data'!$B137,Hour,0)),Season,'Summarized Modified Source Data'!$A137,Sector,'Summarized Modified Source Data'!W$2,Subsector,'Summarized Modified Source Data'!W$3,TimeOfWeek,$D137)</f>
        <v>1024000000</v>
      </c>
      <c r="X137" s="25">
        <f>SUMIFS(INDEX(Load,,MATCH('Summarized Modified Source Data'!$B137,Hour,0)),Season,'Summarized Modified Source Data'!$A137,Sector,'Summarized Modified Source Data'!X$2,Subsector,'Summarized Modified Source Data'!X$3,TimeOfWeek,$D137)</f>
        <v>0</v>
      </c>
      <c r="Y137" s="25">
        <f>SUMIFS(INDEX(Load,,MATCH('Summarized Modified Source Data'!$B137,Hour,0)),Season,'Summarized Modified Source Data'!$A137,Sector,'Summarized Modified Source Data'!Y$2,Subsector,'Summarized Modified Source Data'!Y$3,TimeOfWeek,$D137)</f>
        <v>0</v>
      </c>
    </row>
    <row r="138" spans="1:25" outlineLevel="1" x14ac:dyDescent="0.25">
      <c r="A138" t="s">
        <v>38</v>
      </c>
      <c r="B138" t="s">
        <v>161</v>
      </c>
      <c r="C138" s="7" t="s">
        <v>13</v>
      </c>
      <c r="D138" t="s">
        <v>114</v>
      </c>
      <c r="E138" s="25">
        <f>SUMIFS(INDEX(Load,,MATCH('Summarized Modified Source Data'!$B138,Hour,0)),Season,'Summarized Modified Source Data'!$A138,Sector,'Summarized Modified Source Data'!E$2,Subsector,'Summarized Modified Source Data'!E$3,TimeOfWeek,$D138)</f>
        <v>11666948</v>
      </c>
      <c r="F138" s="25">
        <f>SUMIFS(INDEX(Load,,MATCH('Summarized Modified Source Data'!$B138,Hour,0)),Season,'Summarized Modified Source Data'!$A138,Sector,'Summarized Modified Source Data'!F$2,Subsector,'Summarized Modified Source Data'!F$3,TimeOfWeek,$D138)</f>
        <v>4944600</v>
      </c>
      <c r="G138" s="25">
        <f>SUMIFS(INDEX(Load,,MATCH('Summarized Modified Source Data'!$B138,Hour,0)),Season,'Summarized Modified Source Data'!$A138,Sector,'Summarized Modified Source Data'!G$2,Subsector,'Summarized Modified Source Data'!G$3,TimeOfWeek,$D138)</f>
        <v>0</v>
      </c>
      <c r="H138" s="25">
        <f>SUMIFS(INDEX(Load,,MATCH('Summarized Modified Source Data'!$B138,Hour,0)),Season,'Summarized Modified Source Data'!$A138,Sector,'Summarized Modified Source Data'!H$2,Subsector,'Summarized Modified Source Data'!H$3,TimeOfWeek,$D138)</f>
        <v>22895652</v>
      </c>
      <c r="I138" s="25">
        <f>SUMIFS(INDEX(Load,,MATCH('Summarized Modified Source Data'!$B138,Hour,0)),Season,'Summarized Modified Source Data'!$A138,Sector,'Summarized Modified Source Data'!I$2,Subsector,'Summarized Modified Source Data'!I$3,TimeOfWeek,$D138)</f>
        <v>27766939</v>
      </c>
      <c r="J138" s="25">
        <f t="shared" si="6"/>
        <v>27766939</v>
      </c>
      <c r="K138" s="25">
        <f>SUMIFS(INDEX(Load,,MATCH('Summarized Modified Source Data'!$B138,Hour,0)),Season,'Summarized Modified Source Data'!$A138,Sector,'Summarized Modified Source Data'!K$2,Subsector,'Summarized Modified Source Data'!K$3,TimeOfWeek,$D138)</f>
        <v>18503282</v>
      </c>
      <c r="L138" s="25">
        <f>SUMIFS(INDEX(Load,,MATCH('Summarized Modified Source Data'!$B138,Hour,0)),Season,'Summarized Modified Source Data'!$A138,Sector,'Summarized Modified Source Data'!L$2,Subsector,'Summarized Modified Source Data'!L$3,TimeOfWeek,$D138)</f>
        <v>8162253</v>
      </c>
      <c r="M138" s="25">
        <f>SUMIFS(INDEX(Load,,MATCH('Summarized Modified Source Data'!$B138,Hour,0)),Season,'Summarized Modified Source Data'!$A138,Sector,'Summarized Modified Source Data'!M$2,Subsector,'Summarized Modified Source Data'!M$3,TimeOfWeek,$D138)</f>
        <v>0</v>
      </c>
      <c r="N138" s="25">
        <f t="shared" si="7"/>
        <v>347334465</v>
      </c>
      <c r="O138" s="25">
        <f>SUMIFS(INDEX(Load,,MATCH('Summarized Modified Source Data'!$B138,Hour,0)),Season,'Summarized Modified Source Data'!$A138,Sector,'Summarized Modified Source Data'!O$2,Subsector,"Total",TimeOfWeek,$D138)-SUM(K138:M138)</f>
        <v>347334465</v>
      </c>
      <c r="P138" s="25">
        <f t="shared" si="8"/>
        <v>347334465</v>
      </c>
      <c r="Q138" s="33" cm="1">
        <f t="array" ref="Q138">SUMIFS(INDEX(Load,,MATCH('Summarized Modified Source Data'!$B138,Hour,0)),Season,'Summarized Modified Source Data'!$A138,Sector,'Summarized Modified Source Data'!Q$2,TimeOfWeek,$D138)*LDVs</f>
        <v>4534419.7860587696</v>
      </c>
      <c r="R138" s="33" cm="1">
        <f t="array" ref="R138">SUMIFS(INDEX(Load,,MATCH('Summarized Modified Source Data'!$B138,Hour,0)),Season,'Summarized Modified Source Data'!$A138,Sector,'Summarized Modified Source Data'!R$2,TimeOfWeek,$D138)*HDVs</f>
        <v>2136645.2058355799</v>
      </c>
      <c r="S138" s="33">
        <f>SUMIFS(INDEX(Load,,MATCH('Summarized Modified Source Data'!$B138,Hour,0)),Season,'Summarized Modified Source Data'!$A138,Sector,'Summarized Modified Source Data'!S$2,TimeOfWeek,$D138)*Aircraft</f>
        <v>0</v>
      </c>
      <c r="T138" s="33">
        <f>SUMIFS(INDEX(Load,,MATCH('Summarized Modified Source Data'!$B138,Hour,0)),Season,'Summarized Modified Source Data'!$A138,Sector,'Summarized Modified Source Data'!T$2,TimeOfWeek,$D138)*Rail</f>
        <v>9302272.0081056505</v>
      </c>
      <c r="U138" s="33">
        <f>SUMIFS(INDEX(Load,,MATCH('Summarized Modified Source Data'!$B138,Hour,0)),Season,'Summarized Modified Source Data'!$A138,Sector,'Summarized Modified Source Data'!U$2,TimeOfWeek,$D138)*Ships</f>
        <v>0</v>
      </c>
      <c r="V138" s="33">
        <f>SUMIFS(INDEX(Load,,MATCH('Summarized Modified Source Data'!$B138,Hour,0)),Season,'Summarized Modified Source Data'!$A138,Sector,'Summarized Modified Source Data'!V$2,TimeOfWeek,$D138)*Motorbikes</f>
        <v>0</v>
      </c>
      <c r="W138" s="25">
        <f>SUMIFS(INDEX(Load,,MATCH('Summarized Modified Source Data'!$B138,Hour,0)),Season,'Summarized Modified Source Data'!$A138,Sector,'Summarized Modified Source Data'!W$2,Subsector,'Summarized Modified Source Data'!W$3,TimeOfWeek,$D138)</f>
        <v>1027000000</v>
      </c>
      <c r="X138" s="25">
        <f>SUMIFS(INDEX(Load,,MATCH('Summarized Modified Source Data'!$B138,Hour,0)),Season,'Summarized Modified Source Data'!$A138,Sector,'Summarized Modified Source Data'!X$2,Subsector,'Summarized Modified Source Data'!X$3,TimeOfWeek,$D138)</f>
        <v>0</v>
      </c>
      <c r="Y138" s="25">
        <f>SUMIFS(INDEX(Load,,MATCH('Summarized Modified Source Data'!$B138,Hour,0)),Season,'Summarized Modified Source Data'!$A138,Sector,'Summarized Modified Source Data'!Y$2,Subsector,'Summarized Modified Source Data'!Y$3,TimeOfWeek,$D138)</f>
        <v>0</v>
      </c>
    </row>
    <row r="139" spans="1:25" outlineLevel="1" x14ac:dyDescent="0.25">
      <c r="A139" t="s">
        <v>38</v>
      </c>
      <c r="B139" t="s">
        <v>162</v>
      </c>
      <c r="C139" s="7" t="s">
        <v>14</v>
      </c>
      <c r="D139" t="s">
        <v>114</v>
      </c>
      <c r="E139" s="25">
        <f>SUMIFS(INDEX(Load,,MATCH('Summarized Modified Source Data'!$B139,Hour,0)),Season,'Summarized Modified Source Data'!$A139,Sector,'Summarized Modified Source Data'!E$2,Subsector,'Summarized Modified Source Data'!E$3,TimeOfWeek,$D139)</f>
        <v>11685349</v>
      </c>
      <c r="F139" s="25">
        <f>SUMIFS(INDEX(Load,,MATCH('Summarized Modified Source Data'!$B139,Hour,0)),Season,'Summarized Modified Source Data'!$A139,Sector,'Summarized Modified Source Data'!F$2,Subsector,'Summarized Modified Source Data'!F$3,TimeOfWeek,$D139)</f>
        <v>4470970</v>
      </c>
      <c r="G139" s="25">
        <f>SUMIFS(INDEX(Load,,MATCH('Summarized Modified Source Data'!$B139,Hour,0)),Season,'Summarized Modified Source Data'!$A139,Sector,'Summarized Modified Source Data'!G$2,Subsector,'Summarized Modified Source Data'!G$3,TimeOfWeek,$D139)</f>
        <v>0</v>
      </c>
      <c r="H139" s="25">
        <f>SUMIFS(INDEX(Load,,MATCH('Summarized Modified Source Data'!$B139,Hour,0)),Season,'Summarized Modified Source Data'!$A139,Sector,'Summarized Modified Source Data'!H$2,Subsector,'Summarized Modified Source Data'!H$3,TimeOfWeek,$D139)</f>
        <v>22953110</v>
      </c>
      <c r="I139" s="25">
        <f>SUMIFS(INDEX(Load,,MATCH('Summarized Modified Source Data'!$B139,Hour,0)),Season,'Summarized Modified Source Data'!$A139,Sector,'Summarized Modified Source Data'!I$2,Subsector,'Summarized Modified Source Data'!I$3,TimeOfWeek,$D139)</f>
        <v>24233482</v>
      </c>
      <c r="J139" s="25">
        <f t="shared" si="6"/>
        <v>24233482</v>
      </c>
      <c r="K139" s="25">
        <f>SUMIFS(INDEX(Load,,MATCH('Summarized Modified Source Data'!$B139,Hour,0)),Season,'Summarized Modified Source Data'!$A139,Sector,'Summarized Modified Source Data'!K$2,Subsector,'Summarized Modified Source Data'!K$3,TimeOfWeek,$D139)</f>
        <v>17487755</v>
      </c>
      <c r="L139" s="25">
        <f>SUMIFS(INDEX(Load,,MATCH('Summarized Modified Source Data'!$B139,Hour,0)),Season,'Summarized Modified Source Data'!$A139,Sector,'Summarized Modified Source Data'!L$2,Subsector,'Summarized Modified Source Data'!L$3,TimeOfWeek,$D139)</f>
        <v>8051556</v>
      </c>
      <c r="M139" s="25">
        <f>SUMIFS(INDEX(Load,,MATCH('Summarized Modified Source Data'!$B139,Hour,0)),Season,'Summarized Modified Source Data'!$A139,Sector,'Summarized Modified Source Data'!M$2,Subsector,'Summarized Modified Source Data'!M$3,TimeOfWeek,$D139)</f>
        <v>0</v>
      </c>
      <c r="N139" s="25">
        <f t="shared" si="7"/>
        <v>323460689</v>
      </c>
      <c r="O139" s="25">
        <f>SUMIFS(INDEX(Load,,MATCH('Summarized Modified Source Data'!$B139,Hour,0)),Season,'Summarized Modified Source Data'!$A139,Sector,'Summarized Modified Source Data'!O$2,Subsector,"Total",TimeOfWeek,$D139)-SUM(K139:M139)</f>
        <v>323460689</v>
      </c>
      <c r="P139" s="25">
        <f t="shared" si="8"/>
        <v>323460689</v>
      </c>
      <c r="Q139" s="33" cm="1">
        <f t="array" ref="Q139">SUMIFS(INDEX(Load,,MATCH('Summarized Modified Source Data'!$B139,Hour,0)),Season,'Summarized Modified Source Data'!$A139,Sector,'Summarized Modified Source Data'!Q$2,TimeOfWeek,$D139)*LDVs</f>
        <v>4444660.1532248249</v>
      </c>
      <c r="R139" s="33" cm="1">
        <f t="array" ref="R139">SUMIFS(INDEX(Load,,MATCH('Summarized Modified Source Data'!$B139,Hour,0)),Season,'Summarized Modified Source Data'!$A139,Sector,'Summarized Modified Source Data'!R$2,TimeOfWeek,$D139)*HDVs</f>
        <v>2094349.9402402204</v>
      </c>
      <c r="S139" s="33">
        <f>SUMIFS(INDEX(Load,,MATCH('Summarized Modified Source Data'!$B139,Hour,0)),Season,'Summarized Modified Source Data'!$A139,Sector,'Summarized Modified Source Data'!S$2,TimeOfWeek,$D139)*Aircraft</f>
        <v>0</v>
      </c>
      <c r="T139" s="33">
        <f>SUMIFS(INDEX(Load,,MATCH('Summarized Modified Source Data'!$B139,Hour,0)),Season,'Summarized Modified Source Data'!$A139,Sector,'Summarized Modified Source Data'!T$2,TimeOfWeek,$D139)*Rail</f>
        <v>9118131.9065349549</v>
      </c>
      <c r="U139" s="33">
        <f>SUMIFS(INDEX(Load,,MATCH('Summarized Modified Source Data'!$B139,Hour,0)),Season,'Summarized Modified Source Data'!$A139,Sector,'Summarized Modified Source Data'!U$2,TimeOfWeek,$D139)*Ships</f>
        <v>0</v>
      </c>
      <c r="V139" s="33">
        <f>SUMIFS(INDEX(Load,,MATCH('Summarized Modified Source Data'!$B139,Hour,0)),Season,'Summarized Modified Source Data'!$A139,Sector,'Summarized Modified Source Data'!V$2,TimeOfWeek,$D139)*Motorbikes</f>
        <v>0</v>
      </c>
      <c r="W139" s="25">
        <f>SUMIFS(INDEX(Load,,MATCH('Summarized Modified Source Data'!$B139,Hour,0)),Season,'Summarized Modified Source Data'!$A139,Sector,'Summarized Modified Source Data'!W$2,Subsector,'Summarized Modified Source Data'!W$3,TimeOfWeek,$D139)</f>
        <v>1038000000</v>
      </c>
      <c r="X139" s="25">
        <f>SUMIFS(INDEX(Load,,MATCH('Summarized Modified Source Data'!$B139,Hour,0)),Season,'Summarized Modified Source Data'!$A139,Sector,'Summarized Modified Source Data'!X$2,Subsector,'Summarized Modified Source Data'!X$3,TimeOfWeek,$D139)</f>
        <v>0</v>
      </c>
      <c r="Y139" s="25">
        <f>SUMIFS(INDEX(Load,,MATCH('Summarized Modified Source Data'!$B139,Hour,0)),Season,'Summarized Modified Source Data'!$A139,Sector,'Summarized Modified Source Data'!Y$2,Subsector,'Summarized Modified Source Data'!Y$3,TimeOfWeek,$D139)</f>
        <v>0</v>
      </c>
    </row>
    <row r="140" spans="1:25" outlineLevel="1" x14ac:dyDescent="0.25">
      <c r="A140" t="s">
        <v>38</v>
      </c>
      <c r="B140" t="s">
        <v>163</v>
      </c>
      <c r="C140" s="7" t="s">
        <v>15</v>
      </c>
      <c r="D140" t="s">
        <v>114</v>
      </c>
      <c r="E140" s="25">
        <f>SUMIFS(INDEX(Load,,MATCH('Summarized Modified Source Data'!$B140,Hour,0)),Season,'Summarized Modified Source Data'!$A140,Sector,'Summarized Modified Source Data'!E$2,Subsector,'Summarized Modified Source Data'!E$3,TimeOfWeek,$D140)</f>
        <v>11886085</v>
      </c>
      <c r="F140" s="25">
        <f>SUMIFS(INDEX(Load,,MATCH('Summarized Modified Source Data'!$B140,Hour,0)),Season,'Summarized Modified Source Data'!$A140,Sector,'Summarized Modified Source Data'!F$2,Subsector,'Summarized Modified Source Data'!F$3,TimeOfWeek,$D140)</f>
        <v>3672065</v>
      </c>
      <c r="G140" s="25">
        <f>SUMIFS(INDEX(Load,,MATCH('Summarized Modified Source Data'!$B140,Hour,0)),Season,'Summarized Modified Source Data'!$A140,Sector,'Summarized Modified Source Data'!G$2,Subsector,'Summarized Modified Source Data'!G$3,TimeOfWeek,$D140)</f>
        <v>0</v>
      </c>
      <c r="H140" s="25">
        <f>SUMIFS(INDEX(Load,,MATCH('Summarized Modified Source Data'!$B140,Hour,0)),Season,'Summarized Modified Source Data'!$A140,Sector,'Summarized Modified Source Data'!H$2,Subsector,'Summarized Modified Source Data'!H$3,TimeOfWeek,$D140)</f>
        <v>24092540</v>
      </c>
      <c r="I140" s="25">
        <f>SUMIFS(INDEX(Load,,MATCH('Summarized Modified Source Data'!$B140,Hour,0)),Season,'Summarized Modified Source Data'!$A140,Sector,'Summarized Modified Source Data'!I$2,Subsector,'Summarized Modified Source Data'!I$3,TimeOfWeek,$D140)</f>
        <v>24252199</v>
      </c>
      <c r="J140" s="25">
        <f t="shared" si="6"/>
        <v>24252199</v>
      </c>
      <c r="K140" s="25">
        <f>SUMIFS(INDEX(Load,,MATCH('Summarized Modified Source Data'!$B140,Hour,0)),Season,'Summarized Modified Source Data'!$A140,Sector,'Summarized Modified Source Data'!K$2,Subsector,'Summarized Modified Source Data'!K$3,TimeOfWeek,$D140)</f>
        <v>17265257</v>
      </c>
      <c r="L140" s="25">
        <f>SUMIFS(INDEX(Load,,MATCH('Summarized Modified Source Data'!$B140,Hour,0)),Season,'Summarized Modified Source Data'!$A140,Sector,'Summarized Modified Source Data'!L$2,Subsector,'Summarized Modified Source Data'!L$3,TimeOfWeek,$D140)</f>
        <v>7669080</v>
      </c>
      <c r="M140" s="25">
        <f>SUMIFS(INDEX(Load,,MATCH('Summarized Modified Source Data'!$B140,Hour,0)),Season,'Summarized Modified Source Data'!$A140,Sector,'Summarized Modified Source Data'!M$2,Subsector,'Summarized Modified Source Data'!M$3,TimeOfWeek,$D140)</f>
        <v>0</v>
      </c>
      <c r="N140" s="25">
        <f t="shared" si="7"/>
        <v>307065663</v>
      </c>
      <c r="O140" s="25">
        <f>SUMIFS(INDEX(Load,,MATCH('Summarized Modified Source Data'!$B140,Hour,0)),Season,'Summarized Modified Source Data'!$A140,Sector,'Summarized Modified Source Data'!O$2,Subsector,"Total",TimeOfWeek,$D140)-SUM(K140:M140)</f>
        <v>307065663</v>
      </c>
      <c r="P140" s="25">
        <f t="shared" si="8"/>
        <v>307065663</v>
      </c>
      <c r="Q140" s="33" cm="1">
        <f t="array" ref="Q140">SUMIFS(INDEX(Load,,MATCH('Summarized Modified Source Data'!$B140,Hour,0)),Season,'Summarized Modified Source Data'!$A140,Sector,'Summarized Modified Source Data'!Q$2,TimeOfWeek,$D140)*LDVs</f>
        <v>5085045.0793598797</v>
      </c>
      <c r="R140" s="33" cm="1">
        <f t="array" ref="R140">SUMIFS(INDEX(Load,,MATCH('Summarized Modified Source Data'!$B140,Hour,0)),Season,'Summarized Modified Source Data'!$A140,Sector,'Summarized Modified Source Data'!R$2,TimeOfWeek,$D140)*HDVs</f>
        <v>2396103.0744609744</v>
      </c>
      <c r="S140" s="33">
        <f>SUMIFS(INDEX(Load,,MATCH('Summarized Modified Source Data'!$B140,Hour,0)),Season,'Summarized Modified Source Data'!$A140,Sector,'Summarized Modified Source Data'!S$2,TimeOfWeek,$D140)*Aircraft</f>
        <v>0</v>
      </c>
      <c r="T140" s="33">
        <f>SUMIFS(INDEX(Load,,MATCH('Summarized Modified Source Data'!$B140,Hour,0)),Season,'Summarized Modified Source Data'!$A140,Sector,'Summarized Modified Source Data'!T$2,TimeOfWeek,$D140)*Rail</f>
        <v>10431868.846179146</v>
      </c>
      <c r="U140" s="33">
        <f>SUMIFS(INDEX(Load,,MATCH('Summarized Modified Source Data'!$B140,Hour,0)),Season,'Summarized Modified Source Data'!$A140,Sector,'Summarized Modified Source Data'!U$2,TimeOfWeek,$D140)*Ships</f>
        <v>0</v>
      </c>
      <c r="V140" s="33">
        <f>SUMIFS(INDEX(Load,,MATCH('Summarized Modified Source Data'!$B140,Hour,0)),Season,'Summarized Modified Source Data'!$A140,Sector,'Summarized Modified Source Data'!V$2,TimeOfWeek,$D140)*Motorbikes</f>
        <v>0</v>
      </c>
      <c r="W140" s="25">
        <f>SUMIFS(INDEX(Load,,MATCH('Summarized Modified Source Data'!$B140,Hour,0)),Season,'Summarized Modified Source Data'!$A140,Sector,'Summarized Modified Source Data'!W$2,Subsector,'Summarized Modified Source Data'!W$3,TimeOfWeek,$D140)</f>
        <v>1050000000</v>
      </c>
      <c r="X140" s="25">
        <f>SUMIFS(INDEX(Load,,MATCH('Summarized Modified Source Data'!$B140,Hour,0)),Season,'Summarized Modified Source Data'!$A140,Sector,'Summarized Modified Source Data'!X$2,Subsector,'Summarized Modified Source Data'!X$3,TimeOfWeek,$D140)</f>
        <v>0</v>
      </c>
      <c r="Y140" s="25">
        <f>SUMIFS(INDEX(Load,,MATCH('Summarized Modified Source Data'!$B140,Hour,0)),Season,'Summarized Modified Source Data'!$A140,Sector,'Summarized Modified Source Data'!Y$2,Subsector,'Summarized Modified Source Data'!Y$3,TimeOfWeek,$D140)</f>
        <v>0</v>
      </c>
    </row>
    <row r="141" spans="1:25" outlineLevel="1" x14ac:dyDescent="0.25">
      <c r="A141" t="s">
        <v>38</v>
      </c>
      <c r="B141" t="s">
        <v>164</v>
      </c>
      <c r="C141" s="7" t="s">
        <v>16</v>
      </c>
      <c r="D141" t="s">
        <v>114</v>
      </c>
      <c r="E141" s="25">
        <f>SUMIFS(INDEX(Load,,MATCH('Summarized Modified Source Data'!$B141,Hour,0)),Season,'Summarized Modified Source Data'!$A141,Sector,'Summarized Modified Source Data'!E$2,Subsector,'Summarized Modified Source Data'!E$3,TimeOfWeek,$D141)</f>
        <v>12299751</v>
      </c>
      <c r="F141" s="25">
        <f>SUMIFS(INDEX(Load,,MATCH('Summarized Modified Source Data'!$B141,Hour,0)),Season,'Summarized Modified Source Data'!$A141,Sector,'Summarized Modified Source Data'!F$2,Subsector,'Summarized Modified Source Data'!F$3,TimeOfWeek,$D141)</f>
        <v>2977792</v>
      </c>
      <c r="G141" s="25">
        <f>SUMIFS(INDEX(Load,,MATCH('Summarized Modified Source Data'!$B141,Hour,0)),Season,'Summarized Modified Source Data'!$A141,Sector,'Summarized Modified Source Data'!G$2,Subsector,'Summarized Modified Source Data'!G$3,TimeOfWeek,$D141)</f>
        <v>0</v>
      </c>
      <c r="H141" s="25">
        <f>SUMIFS(INDEX(Load,,MATCH('Summarized Modified Source Data'!$B141,Hour,0)),Season,'Summarized Modified Source Data'!$A141,Sector,'Summarized Modified Source Data'!H$2,Subsector,'Summarized Modified Source Data'!H$3,TimeOfWeek,$D141)</f>
        <v>50226705</v>
      </c>
      <c r="I141" s="25">
        <f>SUMIFS(INDEX(Load,,MATCH('Summarized Modified Source Data'!$B141,Hour,0)),Season,'Summarized Modified Source Data'!$A141,Sector,'Summarized Modified Source Data'!I$2,Subsector,'Summarized Modified Source Data'!I$3,TimeOfWeek,$D141)</f>
        <v>27801834</v>
      </c>
      <c r="J141" s="25">
        <f t="shared" si="6"/>
        <v>27801834</v>
      </c>
      <c r="K141" s="25">
        <f>SUMIFS(INDEX(Load,,MATCH('Summarized Modified Source Data'!$B141,Hour,0)),Season,'Summarized Modified Source Data'!$A141,Sector,'Summarized Modified Source Data'!K$2,Subsector,'Summarized Modified Source Data'!K$3,TimeOfWeek,$D141)</f>
        <v>18824054</v>
      </c>
      <c r="L141" s="25">
        <f>SUMIFS(INDEX(Load,,MATCH('Summarized Modified Source Data'!$B141,Hour,0)),Season,'Summarized Modified Source Data'!$A141,Sector,'Summarized Modified Source Data'!L$2,Subsector,'Summarized Modified Source Data'!L$3,TimeOfWeek,$D141)</f>
        <v>7029714</v>
      </c>
      <c r="M141" s="25">
        <f>SUMIFS(INDEX(Load,,MATCH('Summarized Modified Source Data'!$B141,Hour,0)),Season,'Summarized Modified Source Data'!$A141,Sector,'Summarized Modified Source Data'!M$2,Subsector,'Summarized Modified Source Data'!M$3,TimeOfWeek,$D141)</f>
        <v>0</v>
      </c>
      <c r="N141" s="25">
        <f t="shared" si="7"/>
        <v>310146232</v>
      </c>
      <c r="O141" s="25">
        <f>SUMIFS(INDEX(Load,,MATCH('Summarized Modified Source Data'!$B141,Hour,0)),Season,'Summarized Modified Source Data'!$A141,Sector,'Summarized Modified Source Data'!O$2,Subsector,"Total",TimeOfWeek,$D141)-SUM(K141:M141)</f>
        <v>310146232</v>
      </c>
      <c r="P141" s="25">
        <f t="shared" si="8"/>
        <v>310146232</v>
      </c>
      <c r="Q141" s="33" cm="1">
        <f t="array" ref="Q141">SUMIFS(INDEX(Load,,MATCH('Summarized Modified Source Data'!$B141,Hour,0)),Season,'Summarized Modified Source Data'!$A141,Sector,'Summarized Modified Source Data'!Q$2,TimeOfWeek,$D141)*LDVs</f>
        <v>5090031.8991071675</v>
      </c>
      <c r="R141" s="33" cm="1">
        <f t="array" ref="R141">SUMIFS(INDEX(Load,,MATCH('Summarized Modified Source Data'!$B141,Hour,0)),Season,'Summarized Modified Source Data'!$A141,Sector,'Summarized Modified Source Data'!R$2,TimeOfWeek,$D141)*HDVs</f>
        <v>2398452.8931826926</v>
      </c>
      <c r="S141" s="33">
        <f>SUMIFS(INDEX(Load,,MATCH('Summarized Modified Source Data'!$B141,Hour,0)),Season,'Summarized Modified Source Data'!$A141,Sector,'Summarized Modified Source Data'!S$2,TimeOfWeek,$D141)*Aircraft</f>
        <v>0</v>
      </c>
      <c r="T141" s="33">
        <f>SUMIFS(INDEX(Load,,MATCH('Summarized Modified Source Data'!$B141,Hour,0)),Season,'Summarized Modified Source Data'!$A141,Sector,'Summarized Modified Source Data'!T$2,TimeOfWeek,$D141)*Rail</f>
        <v>10442099.207710139</v>
      </c>
      <c r="U141" s="33">
        <f>SUMIFS(INDEX(Load,,MATCH('Summarized Modified Source Data'!$B141,Hour,0)),Season,'Summarized Modified Source Data'!$A141,Sector,'Summarized Modified Source Data'!U$2,TimeOfWeek,$D141)*Ships</f>
        <v>0</v>
      </c>
      <c r="V141" s="33">
        <f>SUMIFS(INDEX(Load,,MATCH('Summarized Modified Source Data'!$B141,Hour,0)),Season,'Summarized Modified Source Data'!$A141,Sector,'Summarized Modified Source Data'!V$2,TimeOfWeek,$D141)*Motorbikes</f>
        <v>0</v>
      </c>
      <c r="W141" s="25">
        <f>SUMIFS(INDEX(Load,,MATCH('Summarized Modified Source Data'!$B141,Hour,0)),Season,'Summarized Modified Source Data'!$A141,Sector,'Summarized Modified Source Data'!W$2,Subsector,'Summarized Modified Source Data'!W$3,TimeOfWeek,$D141)</f>
        <v>1052000000</v>
      </c>
      <c r="X141" s="25">
        <f>SUMIFS(INDEX(Load,,MATCH('Summarized Modified Source Data'!$B141,Hour,0)),Season,'Summarized Modified Source Data'!$A141,Sector,'Summarized Modified Source Data'!X$2,Subsector,'Summarized Modified Source Data'!X$3,TimeOfWeek,$D141)</f>
        <v>0</v>
      </c>
      <c r="Y141" s="25">
        <f>SUMIFS(INDEX(Load,,MATCH('Summarized Modified Source Data'!$B141,Hour,0)),Season,'Summarized Modified Source Data'!$A141,Sector,'Summarized Modified Source Data'!Y$2,Subsector,'Summarized Modified Source Data'!Y$3,TimeOfWeek,$D141)</f>
        <v>0</v>
      </c>
    </row>
    <row r="142" spans="1:25" outlineLevel="1" x14ac:dyDescent="0.25">
      <c r="A142" t="s">
        <v>38</v>
      </c>
      <c r="B142" t="s">
        <v>165</v>
      </c>
      <c r="C142" s="7" t="s">
        <v>17</v>
      </c>
      <c r="D142" t="s">
        <v>114</v>
      </c>
      <c r="E142" s="25">
        <f>SUMIFS(INDEX(Load,,MATCH('Summarized Modified Source Data'!$B142,Hour,0)),Season,'Summarized Modified Source Data'!$A142,Sector,'Summarized Modified Source Data'!E$2,Subsector,'Summarized Modified Source Data'!E$3,TimeOfWeek,$D142)</f>
        <v>13111096</v>
      </c>
      <c r="F142" s="25">
        <f>SUMIFS(INDEX(Load,,MATCH('Summarized Modified Source Data'!$B142,Hour,0)),Season,'Summarized Modified Source Data'!$A142,Sector,'Summarized Modified Source Data'!F$2,Subsector,'Summarized Modified Source Data'!F$3,TimeOfWeek,$D142)</f>
        <v>2043632</v>
      </c>
      <c r="G142" s="25">
        <f>SUMIFS(INDEX(Load,,MATCH('Summarized Modified Source Data'!$B142,Hour,0)),Season,'Summarized Modified Source Data'!$A142,Sector,'Summarized Modified Source Data'!G$2,Subsector,'Summarized Modified Source Data'!G$3,TimeOfWeek,$D142)</f>
        <v>0</v>
      </c>
      <c r="H142" s="25">
        <f>SUMIFS(INDEX(Load,,MATCH('Summarized Modified Source Data'!$B142,Hour,0)),Season,'Summarized Modified Source Data'!$A142,Sector,'Summarized Modified Source Data'!H$2,Subsector,'Summarized Modified Source Data'!H$3,TimeOfWeek,$D142)</f>
        <v>85100000</v>
      </c>
      <c r="I142" s="25">
        <f>SUMIFS(INDEX(Load,,MATCH('Summarized Modified Source Data'!$B142,Hour,0)),Season,'Summarized Modified Source Data'!$A142,Sector,'Summarized Modified Source Data'!I$2,Subsector,'Summarized Modified Source Data'!I$3,TimeOfWeek,$D142)</f>
        <v>31791665</v>
      </c>
      <c r="J142" s="25">
        <f t="shared" si="6"/>
        <v>31791665</v>
      </c>
      <c r="K142" s="25">
        <f>SUMIFS(INDEX(Load,,MATCH('Summarized Modified Source Data'!$B142,Hour,0)),Season,'Summarized Modified Source Data'!$A142,Sector,'Summarized Modified Source Data'!K$2,Subsector,'Summarized Modified Source Data'!K$3,TimeOfWeek,$D142)</f>
        <v>18340388</v>
      </c>
      <c r="L142" s="25">
        <f>SUMIFS(INDEX(Load,,MATCH('Summarized Modified Source Data'!$B142,Hour,0)),Season,'Summarized Modified Source Data'!$A142,Sector,'Summarized Modified Source Data'!L$2,Subsector,'Summarized Modified Source Data'!L$3,TimeOfWeek,$D142)</f>
        <v>6278340</v>
      </c>
      <c r="M142" s="25">
        <f>SUMIFS(INDEX(Load,,MATCH('Summarized Modified Source Data'!$B142,Hour,0)),Season,'Summarized Modified Source Data'!$A142,Sector,'Summarized Modified Source Data'!M$2,Subsector,'Summarized Modified Source Data'!M$3,TimeOfWeek,$D142)</f>
        <v>0</v>
      </c>
      <c r="N142" s="25">
        <f t="shared" si="7"/>
        <v>306381272</v>
      </c>
      <c r="O142" s="25">
        <f>SUMIFS(INDEX(Load,,MATCH('Summarized Modified Source Data'!$B142,Hour,0)),Season,'Summarized Modified Source Data'!$A142,Sector,'Summarized Modified Source Data'!O$2,Subsector,"Total",TimeOfWeek,$D142)-SUM(K142:M142)</f>
        <v>306381272</v>
      </c>
      <c r="P142" s="25">
        <f t="shared" si="8"/>
        <v>306381272</v>
      </c>
      <c r="Q142" s="33" cm="1">
        <f t="array" ref="Q142">SUMIFS(INDEX(Load,,MATCH('Summarized Modified Source Data'!$B142,Hour,0)),Season,'Summarized Modified Source Data'!$A142,Sector,'Summarized Modified Source Data'!Q$2,TimeOfWeek,$D142)*LDVs</f>
        <v>5055125.0124990344</v>
      </c>
      <c r="R142" s="33" cm="1">
        <f t="array" ref="R142">SUMIFS(INDEX(Load,,MATCH('Summarized Modified Source Data'!$B142,Hour,0)),Season,'Summarized Modified Source Data'!$A142,Sector,'Summarized Modified Source Data'!R$2,TimeOfWeek,$D142)*HDVs</f>
        <v>2382004.563420366</v>
      </c>
      <c r="S142" s="33">
        <f>SUMIFS(INDEX(Load,,MATCH('Summarized Modified Source Data'!$B142,Hour,0)),Season,'Summarized Modified Source Data'!$A142,Sector,'Summarized Modified Source Data'!S$2,TimeOfWeek,$D142)*Aircraft</f>
        <v>0</v>
      </c>
      <c r="T142" s="33">
        <f>SUMIFS(INDEX(Load,,MATCH('Summarized Modified Source Data'!$B142,Hour,0)),Season,'Summarized Modified Source Data'!$A142,Sector,'Summarized Modified Source Data'!T$2,TimeOfWeek,$D142)*Rail</f>
        <v>10370488.424080599</v>
      </c>
      <c r="U142" s="33">
        <f>SUMIFS(INDEX(Load,,MATCH('Summarized Modified Source Data'!$B142,Hour,0)),Season,'Summarized Modified Source Data'!$A142,Sector,'Summarized Modified Source Data'!U$2,TimeOfWeek,$D142)*Ships</f>
        <v>0</v>
      </c>
      <c r="V142" s="33">
        <f>SUMIFS(INDEX(Load,,MATCH('Summarized Modified Source Data'!$B142,Hour,0)),Season,'Summarized Modified Source Data'!$A142,Sector,'Summarized Modified Source Data'!V$2,TimeOfWeek,$D142)*Motorbikes</f>
        <v>0</v>
      </c>
      <c r="W142" s="25">
        <f>SUMIFS(INDEX(Load,,MATCH('Summarized Modified Source Data'!$B142,Hour,0)),Season,'Summarized Modified Source Data'!$A142,Sector,'Summarized Modified Source Data'!W$2,Subsector,'Summarized Modified Source Data'!W$3,TimeOfWeek,$D142)</f>
        <v>1049000000</v>
      </c>
      <c r="X142" s="25">
        <f>SUMIFS(INDEX(Load,,MATCH('Summarized Modified Source Data'!$B142,Hour,0)),Season,'Summarized Modified Source Data'!$A142,Sector,'Summarized Modified Source Data'!X$2,Subsector,'Summarized Modified Source Data'!X$3,TimeOfWeek,$D142)</f>
        <v>0</v>
      </c>
      <c r="Y142" s="25">
        <f>SUMIFS(INDEX(Load,,MATCH('Summarized Modified Source Data'!$B142,Hour,0)),Season,'Summarized Modified Source Data'!$A142,Sector,'Summarized Modified Source Data'!Y$2,Subsector,'Summarized Modified Source Data'!Y$3,TimeOfWeek,$D142)</f>
        <v>0</v>
      </c>
    </row>
    <row r="143" spans="1:25" outlineLevel="1" x14ac:dyDescent="0.25">
      <c r="A143" t="s">
        <v>38</v>
      </c>
      <c r="B143" t="s">
        <v>166</v>
      </c>
      <c r="C143" s="7" t="s">
        <v>18</v>
      </c>
      <c r="D143" t="s">
        <v>114</v>
      </c>
      <c r="E143" s="25">
        <f>SUMIFS(INDEX(Load,,MATCH('Summarized Modified Source Data'!$B143,Hour,0)),Season,'Summarized Modified Source Data'!$A143,Sector,'Summarized Modified Source Data'!E$2,Subsector,'Summarized Modified Source Data'!E$3,TimeOfWeek,$D143)</f>
        <v>13932530</v>
      </c>
      <c r="F143" s="25">
        <f>SUMIFS(INDEX(Load,,MATCH('Summarized Modified Source Data'!$B143,Hour,0)),Season,'Summarized Modified Source Data'!$A143,Sector,'Summarized Modified Source Data'!F$2,Subsector,'Summarized Modified Source Data'!F$3,TimeOfWeek,$D143)</f>
        <v>927874</v>
      </c>
      <c r="G143" s="25">
        <f>SUMIFS(INDEX(Load,,MATCH('Summarized Modified Source Data'!$B143,Hour,0)),Season,'Summarized Modified Source Data'!$A143,Sector,'Summarized Modified Source Data'!G$2,Subsector,'Summarized Modified Source Data'!G$3,TimeOfWeek,$D143)</f>
        <v>0</v>
      </c>
      <c r="H143" s="25">
        <f>SUMIFS(INDEX(Load,,MATCH('Summarized Modified Source Data'!$B143,Hour,0)),Season,'Summarized Modified Source Data'!$A143,Sector,'Summarized Modified Source Data'!H$2,Subsector,'Summarized Modified Source Data'!H$3,TimeOfWeek,$D143)</f>
        <v>91300000</v>
      </c>
      <c r="I143" s="25">
        <f>SUMIFS(INDEX(Load,,MATCH('Summarized Modified Source Data'!$B143,Hour,0)),Season,'Summarized Modified Source Data'!$A143,Sector,'Summarized Modified Source Data'!I$2,Subsector,'Summarized Modified Source Data'!I$3,TimeOfWeek,$D143)</f>
        <v>28879602</v>
      </c>
      <c r="J143" s="25">
        <f t="shared" si="6"/>
        <v>28879602</v>
      </c>
      <c r="K143" s="25">
        <f>SUMIFS(INDEX(Load,,MATCH('Summarized Modified Source Data'!$B143,Hour,0)),Season,'Summarized Modified Source Data'!$A143,Sector,'Summarized Modified Source Data'!K$2,Subsector,'Summarized Modified Source Data'!K$3,TimeOfWeek,$D143)</f>
        <v>16974997</v>
      </c>
      <c r="L143" s="25">
        <f>SUMIFS(INDEX(Load,,MATCH('Summarized Modified Source Data'!$B143,Hour,0)),Season,'Summarized Modified Source Data'!$A143,Sector,'Summarized Modified Source Data'!L$2,Subsector,'Summarized Modified Source Data'!L$3,TimeOfWeek,$D143)</f>
        <v>5448526</v>
      </c>
      <c r="M143" s="25">
        <f>SUMIFS(INDEX(Load,,MATCH('Summarized Modified Source Data'!$B143,Hour,0)),Season,'Summarized Modified Source Data'!$A143,Sector,'Summarized Modified Source Data'!M$2,Subsector,'Summarized Modified Source Data'!M$3,TimeOfWeek,$D143)</f>
        <v>0</v>
      </c>
      <c r="N143" s="25">
        <f t="shared" si="7"/>
        <v>297576477</v>
      </c>
      <c r="O143" s="25">
        <f>SUMIFS(INDEX(Load,,MATCH('Summarized Modified Source Data'!$B143,Hour,0)),Season,'Summarized Modified Source Data'!$A143,Sector,'Summarized Modified Source Data'!O$2,Subsector,"Total",TimeOfWeek,$D143)-SUM(K143:M143)</f>
        <v>297576477</v>
      </c>
      <c r="P143" s="25">
        <f t="shared" si="8"/>
        <v>297576477</v>
      </c>
      <c r="Q143" s="33" cm="1">
        <f t="array" ref="Q143">SUMIFS(INDEX(Load,,MATCH('Summarized Modified Source Data'!$B143,Hour,0)),Season,'Summarized Modified Source Data'!$A143,Sector,'Summarized Modified Source Data'!Q$2,TimeOfWeek,$D143)*LDVs</f>
        <v>4940432.4164258298</v>
      </c>
      <c r="R143" s="33" cm="1">
        <f t="array" ref="R143">SUMIFS(INDEX(Load,,MATCH('Summarized Modified Source Data'!$B143,Hour,0)),Season,'Summarized Modified Source Data'!$A143,Sector,'Summarized Modified Source Data'!R$2,TimeOfWeek,$D143)*HDVs</f>
        <v>2327960.7392693493</v>
      </c>
      <c r="S143" s="33">
        <f>SUMIFS(INDEX(Load,,MATCH('Summarized Modified Source Data'!$B143,Hour,0)),Season,'Summarized Modified Source Data'!$A143,Sector,'Summarized Modified Source Data'!S$2,TimeOfWeek,$D143)*Aircraft</f>
        <v>0</v>
      </c>
      <c r="T143" s="33">
        <f>SUMIFS(INDEX(Load,,MATCH('Summarized Modified Source Data'!$B143,Hour,0)),Season,'Summarized Modified Source Data'!$A143,Sector,'Summarized Modified Source Data'!T$2,TimeOfWeek,$D143)*Rail</f>
        <v>10135198.844304821</v>
      </c>
      <c r="U143" s="33">
        <f>SUMIFS(INDEX(Load,,MATCH('Summarized Modified Source Data'!$B143,Hour,0)),Season,'Summarized Modified Source Data'!$A143,Sector,'Summarized Modified Source Data'!U$2,TimeOfWeek,$D143)*Ships</f>
        <v>0</v>
      </c>
      <c r="V143" s="33">
        <f>SUMIFS(INDEX(Load,,MATCH('Summarized Modified Source Data'!$B143,Hour,0)),Season,'Summarized Modified Source Data'!$A143,Sector,'Summarized Modified Source Data'!V$2,TimeOfWeek,$D143)*Motorbikes</f>
        <v>0</v>
      </c>
      <c r="W143" s="25">
        <f>SUMIFS(INDEX(Load,,MATCH('Summarized Modified Source Data'!$B143,Hour,0)),Season,'Summarized Modified Source Data'!$A143,Sector,'Summarized Modified Source Data'!W$2,Subsector,'Summarized Modified Source Data'!W$3,TimeOfWeek,$D143)</f>
        <v>1043000000</v>
      </c>
      <c r="X143" s="25">
        <f>SUMIFS(INDEX(Load,,MATCH('Summarized Modified Source Data'!$B143,Hour,0)),Season,'Summarized Modified Source Data'!$A143,Sector,'Summarized Modified Source Data'!X$2,Subsector,'Summarized Modified Source Data'!X$3,TimeOfWeek,$D143)</f>
        <v>0</v>
      </c>
      <c r="Y143" s="25">
        <f>SUMIFS(INDEX(Load,,MATCH('Summarized Modified Source Data'!$B143,Hour,0)),Season,'Summarized Modified Source Data'!$A143,Sector,'Summarized Modified Source Data'!Y$2,Subsector,'Summarized Modified Source Data'!Y$3,TimeOfWeek,$D143)</f>
        <v>0</v>
      </c>
    </row>
    <row r="144" spans="1:25" outlineLevel="1" x14ac:dyDescent="0.25">
      <c r="A144" t="s">
        <v>38</v>
      </c>
      <c r="B144" t="s">
        <v>167</v>
      </c>
      <c r="C144" s="7" t="s">
        <v>19</v>
      </c>
      <c r="D144" t="s">
        <v>114</v>
      </c>
      <c r="E144" s="25">
        <f>SUMIFS(INDEX(Load,,MATCH('Summarized Modified Source Data'!$B144,Hour,0)),Season,'Summarized Modified Source Data'!$A144,Sector,'Summarized Modified Source Data'!E$2,Subsector,'Summarized Modified Source Data'!E$3,TimeOfWeek,$D144)</f>
        <v>14340450</v>
      </c>
      <c r="F144" s="25">
        <f>SUMIFS(INDEX(Load,,MATCH('Summarized Modified Source Data'!$B144,Hour,0)),Season,'Summarized Modified Source Data'!$A144,Sector,'Summarized Modified Source Data'!F$2,Subsector,'Summarized Modified Source Data'!F$3,TimeOfWeek,$D144)</f>
        <v>76367</v>
      </c>
      <c r="G144" s="25">
        <f>SUMIFS(INDEX(Load,,MATCH('Summarized Modified Source Data'!$B144,Hour,0)),Season,'Summarized Modified Source Data'!$A144,Sector,'Summarized Modified Source Data'!G$2,Subsector,'Summarized Modified Source Data'!G$3,TimeOfWeek,$D144)</f>
        <v>0</v>
      </c>
      <c r="H144" s="25">
        <f>SUMIFS(INDEX(Load,,MATCH('Summarized Modified Source Data'!$B144,Hour,0)),Season,'Summarized Modified Source Data'!$A144,Sector,'Summarized Modified Source Data'!H$2,Subsector,'Summarized Modified Source Data'!H$3,TimeOfWeek,$D144)</f>
        <v>90700000</v>
      </c>
      <c r="I144" s="25">
        <f>SUMIFS(INDEX(Load,,MATCH('Summarized Modified Source Data'!$B144,Hour,0)),Season,'Summarized Modified Source Data'!$A144,Sector,'Summarized Modified Source Data'!I$2,Subsector,'Summarized Modified Source Data'!I$3,TimeOfWeek,$D144)</f>
        <v>26975960</v>
      </c>
      <c r="J144" s="25">
        <f t="shared" si="6"/>
        <v>26975960</v>
      </c>
      <c r="K144" s="25">
        <f>SUMIFS(INDEX(Load,,MATCH('Summarized Modified Source Data'!$B144,Hour,0)),Season,'Summarized Modified Source Data'!$A144,Sector,'Summarized Modified Source Data'!K$2,Subsector,'Summarized Modified Source Data'!K$3,TimeOfWeek,$D144)</f>
        <v>19151262</v>
      </c>
      <c r="L144" s="25">
        <f>SUMIFS(INDEX(Load,,MATCH('Summarized Modified Source Data'!$B144,Hour,0)),Season,'Summarized Modified Source Data'!$A144,Sector,'Summarized Modified Source Data'!L$2,Subsector,'Summarized Modified Source Data'!L$3,TimeOfWeek,$D144)</f>
        <v>4853557</v>
      </c>
      <c r="M144" s="25">
        <f>SUMIFS(INDEX(Load,,MATCH('Summarized Modified Source Data'!$B144,Hour,0)),Season,'Summarized Modified Source Data'!$A144,Sector,'Summarized Modified Source Data'!M$2,Subsector,'Summarized Modified Source Data'!M$3,TimeOfWeek,$D144)</f>
        <v>0</v>
      </c>
      <c r="N144" s="25">
        <f t="shared" si="7"/>
        <v>284995181</v>
      </c>
      <c r="O144" s="25">
        <f>SUMIFS(INDEX(Load,,MATCH('Summarized Modified Source Data'!$B144,Hour,0)),Season,'Summarized Modified Source Data'!$A144,Sector,'Summarized Modified Source Data'!O$2,Subsector,"Total",TimeOfWeek,$D144)-SUM(K144:M144)</f>
        <v>284995181</v>
      </c>
      <c r="P144" s="25">
        <f t="shared" si="8"/>
        <v>284995181</v>
      </c>
      <c r="Q144" s="33" cm="1">
        <f t="array" ref="Q144">SUMIFS(INDEX(Load,,MATCH('Summarized Modified Source Data'!$B144,Hour,0)),Season,'Summarized Modified Source Data'!$A144,Sector,'Summarized Modified Source Data'!Q$2,TimeOfWeek,$D144)*LDVs</f>
        <v>4785846.6817457927</v>
      </c>
      <c r="R144" s="33" cm="1">
        <f t="array" ref="R144">SUMIFS(INDEX(Load,,MATCH('Summarized Modified Source Data'!$B144,Hour,0)),Season,'Summarized Modified Source Data'!$A144,Sector,'Summarized Modified Source Data'!R$2,TimeOfWeek,$D144)*HDVs</f>
        <v>2255119.0341607546</v>
      </c>
      <c r="S144" s="33">
        <f>SUMIFS(INDEX(Load,,MATCH('Summarized Modified Source Data'!$B144,Hour,0)),Season,'Summarized Modified Source Data'!$A144,Sector,'Summarized Modified Source Data'!S$2,TimeOfWeek,$D144)*Aircraft</f>
        <v>0</v>
      </c>
      <c r="T144" s="33">
        <f>SUMIFS(INDEX(Load,,MATCH('Summarized Modified Source Data'!$B144,Hour,0)),Season,'Summarized Modified Source Data'!$A144,Sector,'Summarized Modified Source Data'!T$2,TimeOfWeek,$D144)*Rail</f>
        <v>9818069.2840934526</v>
      </c>
      <c r="U144" s="33">
        <f>SUMIFS(INDEX(Load,,MATCH('Summarized Modified Source Data'!$B144,Hour,0)),Season,'Summarized Modified Source Data'!$A144,Sector,'Summarized Modified Source Data'!U$2,TimeOfWeek,$D144)*Ships</f>
        <v>0</v>
      </c>
      <c r="V144" s="33">
        <f>SUMIFS(INDEX(Load,,MATCH('Summarized Modified Source Data'!$B144,Hour,0)),Season,'Summarized Modified Source Data'!$A144,Sector,'Summarized Modified Source Data'!V$2,TimeOfWeek,$D144)*Motorbikes</f>
        <v>0</v>
      </c>
      <c r="W144" s="25">
        <f>SUMIFS(INDEX(Load,,MATCH('Summarized Modified Source Data'!$B144,Hour,0)),Season,'Summarized Modified Source Data'!$A144,Sector,'Summarized Modified Source Data'!W$2,Subsector,'Summarized Modified Source Data'!W$3,TimeOfWeek,$D144)</f>
        <v>1036000000</v>
      </c>
      <c r="X144" s="25">
        <f>SUMIFS(INDEX(Load,,MATCH('Summarized Modified Source Data'!$B144,Hour,0)),Season,'Summarized Modified Source Data'!$A144,Sector,'Summarized Modified Source Data'!X$2,Subsector,'Summarized Modified Source Data'!X$3,TimeOfWeek,$D144)</f>
        <v>0</v>
      </c>
      <c r="Y144" s="25">
        <f>SUMIFS(INDEX(Load,,MATCH('Summarized Modified Source Data'!$B144,Hour,0)),Season,'Summarized Modified Source Data'!$A144,Sector,'Summarized Modified Source Data'!Y$2,Subsector,'Summarized Modified Source Data'!Y$3,TimeOfWeek,$D144)</f>
        <v>0</v>
      </c>
    </row>
    <row r="145" spans="1:25" outlineLevel="1" x14ac:dyDescent="0.25">
      <c r="A145" t="s">
        <v>38</v>
      </c>
      <c r="B145" t="s">
        <v>168</v>
      </c>
      <c r="C145" s="7" t="s">
        <v>20</v>
      </c>
      <c r="D145" t="s">
        <v>114</v>
      </c>
      <c r="E145" s="25">
        <f>SUMIFS(INDEX(Load,,MATCH('Summarized Modified Source Data'!$B145,Hour,0)),Season,'Summarized Modified Source Data'!$A145,Sector,'Summarized Modified Source Data'!E$2,Subsector,'Summarized Modified Source Data'!E$3,TimeOfWeek,$D145)</f>
        <v>13285918</v>
      </c>
      <c r="F145" s="25">
        <f>SUMIFS(INDEX(Load,,MATCH('Summarized Modified Source Data'!$B145,Hour,0)),Season,'Summarized Modified Source Data'!$A145,Sector,'Summarized Modified Source Data'!F$2,Subsector,'Summarized Modified Source Data'!F$3,TimeOfWeek,$D145)</f>
        <v>31088</v>
      </c>
      <c r="G145" s="25">
        <f>SUMIFS(INDEX(Load,,MATCH('Summarized Modified Source Data'!$B145,Hour,0)),Season,'Summarized Modified Source Data'!$A145,Sector,'Summarized Modified Source Data'!G$2,Subsector,'Summarized Modified Source Data'!G$3,TimeOfWeek,$D145)</f>
        <v>0</v>
      </c>
      <c r="H145" s="25">
        <f>SUMIFS(INDEX(Load,,MATCH('Summarized Modified Source Data'!$B145,Hour,0)),Season,'Summarized Modified Source Data'!$A145,Sector,'Summarized Modified Source Data'!H$2,Subsector,'Summarized Modified Source Data'!H$3,TimeOfWeek,$D145)</f>
        <v>75100000</v>
      </c>
      <c r="I145" s="25">
        <f>SUMIFS(INDEX(Load,,MATCH('Summarized Modified Source Data'!$B145,Hour,0)),Season,'Summarized Modified Source Data'!$A145,Sector,'Summarized Modified Source Data'!I$2,Subsector,'Summarized Modified Source Data'!I$3,TimeOfWeek,$D145)</f>
        <v>23601200</v>
      </c>
      <c r="J145" s="25">
        <f t="shared" si="6"/>
        <v>23601200</v>
      </c>
      <c r="K145" s="25">
        <f>SUMIFS(INDEX(Load,,MATCH('Summarized Modified Source Data'!$B145,Hour,0)),Season,'Summarized Modified Source Data'!$A145,Sector,'Summarized Modified Source Data'!K$2,Subsector,'Summarized Modified Source Data'!K$3,TimeOfWeek,$D145)</f>
        <v>19781180</v>
      </c>
      <c r="L145" s="25">
        <f>SUMIFS(INDEX(Load,,MATCH('Summarized Modified Source Data'!$B145,Hour,0)),Season,'Summarized Modified Source Data'!$A145,Sector,'Summarized Modified Source Data'!L$2,Subsector,'Summarized Modified Source Data'!L$3,TimeOfWeek,$D145)</f>
        <v>4691290</v>
      </c>
      <c r="M145" s="25">
        <f>SUMIFS(INDEX(Load,,MATCH('Summarized Modified Source Data'!$B145,Hour,0)),Season,'Summarized Modified Source Data'!$A145,Sector,'Summarized Modified Source Data'!M$2,Subsector,'Summarized Modified Source Data'!M$3,TimeOfWeek,$D145)</f>
        <v>0</v>
      </c>
      <c r="N145" s="25">
        <f t="shared" si="7"/>
        <v>265827530</v>
      </c>
      <c r="O145" s="25">
        <f>SUMIFS(INDEX(Load,,MATCH('Summarized Modified Source Data'!$B145,Hour,0)),Season,'Summarized Modified Source Data'!$A145,Sector,'Summarized Modified Source Data'!O$2,Subsector,"Total",TimeOfWeek,$D145)-SUM(K145:M145)</f>
        <v>265827530</v>
      </c>
      <c r="P145" s="25">
        <f t="shared" si="8"/>
        <v>265827530</v>
      </c>
      <c r="Q145" s="33" cm="1">
        <f t="array" ref="Q145">SUMIFS(INDEX(Load,,MATCH('Summarized Modified Source Data'!$B145,Hour,0)),Season,'Summarized Modified Source Data'!$A145,Sector,'Summarized Modified Source Data'!Q$2,TimeOfWeek,$D145)*LDVs</f>
        <v>4611314.235825194</v>
      </c>
      <c r="R145" s="33" cm="1">
        <f t="array" ref="R145">SUMIFS(INDEX(Load,,MATCH('Summarized Modified Source Data'!$B145,Hour,0)),Season,'Summarized Modified Source Data'!$A145,Sector,'Summarized Modified Source Data'!R$2,TimeOfWeek,$D145)*HDVs</f>
        <v>2172878.3216917538</v>
      </c>
      <c r="S145" s="33">
        <f>SUMIFS(INDEX(Load,,MATCH('Summarized Modified Source Data'!$B145,Hour,0)),Season,'Summarized Modified Source Data'!$A145,Sector,'Summarized Modified Source Data'!S$2,TimeOfWeek,$D145)*Aircraft</f>
        <v>0</v>
      </c>
      <c r="T145" s="33">
        <f>SUMIFS(INDEX(Load,,MATCH('Summarized Modified Source Data'!$B145,Hour,0)),Season,'Summarized Modified Source Data'!$A145,Sector,'Summarized Modified Source Data'!T$2,TimeOfWeek,$D145)*Rail</f>
        <v>9460019.4424830526</v>
      </c>
      <c r="U145" s="33">
        <f>SUMIFS(INDEX(Load,,MATCH('Summarized Modified Source Data'!$B145,Hour,0)),Season,'Summarized Modified Source Data'!$A145,Sector,'Summarized Modified Source Data'!U$2,TimeOfWeek,$D145)*Ships</f>
        <v>0</v>
      </c>
      <c r="V145" s="33">
        <f>SUMIFS(INDEX(Load,,MATCH('Summarized Modified Source Data'!$B145,Hour,0)),Season,'Summarized Modified Source Data'!$A145,Sector,'Summarized Modified Source Data'!V$2,TimeOfWeek,$D145)*Motorbikes</f>
        <v>0</v>
      </c>
      <c r="W145" s="25">
        <f>SUMIFS(INDEX(Load,,MATCH('Summarized Modified Source Data'!$B145,Hour,0)),Season,'Summarized Modified Source Data'!$A145,Sector,'Summarized Modified Source Data'!W$2,Subsector,'Summarized Modified Source Data'!W$3,TimeOfWeek,$D145)</f>
        <v>1027000000</v>
      </c>
      <c r="X145" s="25">
        <f>SUMIFS(INDEX(Load,,MATCH('Summarized Modified Source Data'!$B145,Hour,0)),Season,'Summarized Modified Source Data'!$A145,Sector,'Summarized Modified Source Data'!X$2,Subsector,'Summarized Modified Source Data'!X$3,TimeOfWeek,$D145)</f>
        <v>0</v>
      </c>
      <c r="Y145" s="25">
        <f>SUMIFS(INDEX(Load,,MATCH('Summarized Modified Source Data'!$B145,Hour,0)),Season,'Summarized Modified Source Data'!$A145,Sector,'Summarized Modified Source Data'!Y$2,Subsector,'Summarized Modified Source Data'!Y$3,TimeOfWeek,$D145)</f>
        <v>0</v>
      </c>
    </row>
    <row r="146" spans="1:25" outlineLevel="1" x14ac:dyDescent="0.25">
      <c r="A146" t="s">
        <v>38</v>
      </c>
      <c r="B146" t="s">
        <v>169</v>
      </c>
      <c r="C146" s="7" t="s">
        <v>21</v>
      </c>
      <c r="D146" t="s">
        <v>114</v>
      </c>
      <c r="E146" s="25">
        <f>SUMIFS(INDEX(Load,,MATCH('Summarized Modified Source Data'!$B146,Hour,0)),Season,'Summarized Modified Source Data'!$A146,Sector,'Summarized Modified Source Data'!E$2,Subsector,'Summarized Modified Source Data'!E$3,TimeOfWeek,$D146)</f>
        <v>11182976</v>
      </c>
      <c r="F146" s="25">
        <f>SUMIFS(INDEX(Load,,MATCH('Summarized Modified Source Data'!$B146,Hour,0)),Season,'Summarized Modified Source Data'!$A146,Sector,'Summarized Modified Source Data'!F$2,Subsector,'Summarized Modified Source Data'!F$3,TimeOfWeek,$D146)</f>
        <v>32264</v>
      </c>
      <c r="G146" s="25">
        <f>SUMIFS(INDEX(Load,,MATCH('Summarized Modified Source Data'!$B146,Hour,0)),Season,'Summarized Modified Source Data'!$A146,Sector,'Summarized Modified Source Data'!G$2,Subsector,'Summarized Modified Source Data'!G$3,TimeOfWeek,$D146)</f>
        <v>0</v>
      </c>
      <c r="H146" s="25">
        <f>SUMIFS(INDEX(Load,,MATCH('Summarized Modified Source Data'!$B146,Hour,0)),Season,'Summarized Modified Source Data'!$A146,Sector,'Summarized Modified Source Data'!H$2,Subsector,'Summarized Modified Source Data'!H$3,TimeOfWeek,$D146)</f>
        <v>48400000</v>
      </c>
      <c r="I146" s="25">
        <f>SUMIFS(INDEX(Load,,MATCH('Summarized Modified Source Data'!$B146,Hour,0)),Season,'Summarized Modified Source Data'!$A146,Sector,'Summarized Modified Source Data'!I$2,Subsector,'Summarized Modified Source Data'!I$3,TimeOfWeek,$D146)</f>
        <v>20496801</v>
      </c>
      <c r="J146" s="25">
        <f t="shared" si="6"/>
        <v>20496801</v>
      </c>
      <c r="K146" s="25">
        <f>SUMIFS(INDEX(Load,,MATCH('Summarized Modified Source Data'!$B146,Hour,0)),Season,'Summarized Modified Source Data'!$A146,Sector,'Summarized Modified Source Data'!K$2,Subsector,'Summarized Modified Source Data'!K$3,TimeOfWeek,$D146)</f>
        <v>17654668</v>
      </c>
      <c r="L146" s="25">
        <f>SUMIFS(INDEX(Load,,MATCH('Summarized Modified Source Data'!$B146,Hour,0)),Season,'Summarized Modified Source Data'!$A146,Sector,'Summarized Modified Source Data'!L$2,Subsector,'Summarized Modified Source Data'!L$3,TimeOfWeek,$D146)</f>
        <v>4525939</v>
      </c>
      <c r="M146" s="25">
        <f>SUMIFS(INDEX(Load,,MATCH('Summarized Modified Source Data'!$B146,Hour,0)),Season,'Summarized Modified Source Data'!$A146,Sector,'Summarized Modified Source Data'!M$2,Subsector,'Summarized Modified Source Data'!M$3,TimeOfWeek,$D146)</f>
        <v>0</v>
      </c>
      <c r="N146" s="25">
        <f t="shared" si="7"/>
        <v>253119393</v>
      </c>
      <c r="O146" s="25">
        <f>SUMIFS(INDEX(Load,,MATCH('Summarized Modified Source Data'!$B146,Hour,0)),Season,'Summarized Modified Source Data'!$A146,Sector,'Summarized Modified Source Data'!O$2,Subsector,"Total",TimeOfWeek,$D146)-SUM(K146:M146)</f>
        <v>253119393</v>
      </c>
      <c r="P146" s="25">
        <f t="shared" si="8"/>
        <v>253119393</v>
      </c>
      <c r="Q146" s="33" cm="1">
        <f t="array" ref="Q146">SUMIFS(INDEX(Load,,MATCH('Summarized Modified Source Data'!$B146,Hour,0)),Season,'Summarized Modified Source Data'!$A146,Sector,'Summarized Modified Source Data'!Q$2,TimeOfWeek,$D146)*LDVs</f>
        <v>4551474.3859777991</v>
      </c>
      <c r="R146" s="33" cm="1">
        <f t="array" ref="R146">SUMIFS(INDEX(Load,,MATCH('Summarized Modified Source Data'!$B146,Hour,0)),Season,'Summarized Modified Source Data'!$A146,Sector,'Summarized Modified Source Data'!R$2,TimeOfWeek,$D146)*HDVs</f>
        <v>2144681.4333737697</v>
      </c>
      <c r="S146" s="33">
        <f>SUMIFS(INDEX(Load,,MATCH('Summarized Modified Source Data'!$B146,Hour,0)),Season,'Summarized Modified Source Data'!$A146,Sector,'Summarized Modified Source Data'!S$2,TimeOfWeek,$D146)*Aircraft</f>
        <v>0</v>
      </c>
      <c r="T146" s="33">
        <f>SUMIFS(INDEX(Load,,MATCH('Summarized Modified Source Data'!$B146,Hour,0)),Season,'Summarized Modified Source Data'!$A146,Sector,'Summarized Modified Source Data'!T$2,TimeOfWeek,$D146)*Rail</f>
        <v>9337259.1806484312</v>
      </c>
      <c r="U146" s="33">
        <f>SUMIFS(INDEX(Load,,MATCH('Summarized Modified Source Data'!$B146,Hour,0)),Season,'Summarized Modified Source Data'!$A146,Sector,'Summarized Modified Source Data'!U$2,TimeOfWeek,$D146)*Ships</f>
        <v>0</v>
      </c>
      <c r="V146" s="33">
        <f>SUMIFS(INDEX(Load,,MATCH('Summarized Modified Source Data'!$B146,Hour,0)),Season,'Summarized Modified Source Data'!$A146,Sector,'Summarized Modified Source Data'!V$2,TimeOfWeek,$D146)*Motorbikes</f>
        <v>0</v>
      </c>
      <c r="W146" s="25">
        <f>SUMIFS(INDEX(Load,,MATCH('Summarized Modified Source Data'!$B146,Hour,0)),Season,'Summarized Modified Source Data'!$A146,Sector,'Summarized Modified Source Data'!W$2,Subsector,'Summarized Modified Source Data'!W$3,TimeOfWeek,$D146)</f>
        <v>1018000000</v>
      </c>
      <c r="X146" s="25">
        <f>SUMIFS(INDEX(Load,,MATCH('Summarized Modified Source Data'!$B146,Hour,0)),Season,'Summarized Modified Source Data'!$A146,Sector,'Summarized Modified Source Data'!X$2,Subsector,'Summarized Modified Source Data'!X$3,TimeOfWeek,$D146)</f>
        <v>0</v>
      </c>
      <c r="Y146" s="25">
        <f>SUMIFS(INDEX(Load,,MATCH('Summarized Modified Source Data'!$B146,Hour,0)),Season,'Summarized Modified Source Data'!$A146,Sector,'Summarized Modified Source Data'!Y$2,Subsector,'Summarized Modified Source Data'!Y$3,TimeOfWeek,$D146)</f>
        <v>0</v>
      </c>
    </row>
    <row r="147" spans="1:25" outlineLevel="1" x14ac:dyDescent="0.25">
      <c r="A147" t="s">
        <v>38</v>
      </c>
      <c r="B147" t="s">
        <v>170</v>
      </c>
      <c r="C147" s="7" t="s">
        <v>22</v>
      </c>
      <c r="D147" t="s">
        <v>114</v>
      </c>
      <c r="E147" s="25">
        <f>SUMIFS(INDEX(Load,,MATCH('Summarized Modified Source Data'!$B147,Hour,0)),Season,'Summarized Modified Source Data'!$A147,Sector,'Summarized Modified Source Data'!E$2,Subsector,'Summarized Modified Source Data'!E$3,TimeOfWeek,$D147)</f>
        <v>10493696</v>
      </c>
      <c r="F147" s="25">
        <f>SUMIFS(INDEX(Load,,MATCH('Summarized Modified Source Data'!$B147,Hour,0)),Season,'Summarized Modified Source Data'!$A147,Sector,'Summarized Modified Source Data'!F$2,Subsector,'Summarized Modified Source Data'!F$3,TimeOfWeek,$D147)</f>
        <v>33273</v>
      </c>
      <c r="G147" s="25">
        <f>SUMIFS(INDEX(Load,,MATCH('Summarized Modified Source Data'!$B147,Hour,0)),Season,'Summarized Modified Source Data'!$A147,Sector,'Summarized Modified Source Data'!G$2,Subsector,'Summarized Modified Source Data'!G$3,TimeOfWeek,$D147)</f>
        <v>0</v>
      </c>
      <c r="H147" s="25">
        <f>SUMIFS(INDEX(Load,,MATCH('Summarized Modified Source Data'!$B147,Hour,0)),Season,'Summarized Modified Source Data'!$A147,Sector,'Summarized Modified Source Data'!H$2,Subsector,'Summarized Modified Source Data'!H$3,TimeOfWeek,$D147)</f>
        <v>27065423</v>
      </c>
      <c r="I147" s="25">
        <f>SUMIFS(INDEX(Load,,MATCH('Summarized Modified Source Data'!$B147,Hour,0)),Season,'Summarized Modified Source Data'!$A147,Sector,'Summarized Modified Source Data'!I$2,Subsector,'Summarized Modified Source Data'!I$3,TimeOfWeek,$D147)</f>
        <v>15609786</v>
      </c>
      <c r="J147" s="25">
        <f t="shared" si="6"/>
        <v>15609786</v>
      </c>
      <c r="K147" s="25">
        <f>SUMIFS(INDEX(Load,,MATCH('Summarized Modified Source Data'!$B147,Hour,0)),Season,'Summarized Modified Source Data'!$A147,Sector,'Summarized Modified Source Data'!K$2,Subsector,'Summarized Modified Source Data'!K$3,TimeOfWeek,$D147)</f>
        <v>17396746</v>
      </c>
      <c r="L147" s="25">
        <f>SUMIFS(INDEX(Load,,MATCH('Summarized Modified Source Data'!$B147,Hour,0)),Season,'Summarized Modified Source Data'!$A147,Sector,'Summarized Modified Source Data'!L$2,Subsector,'Summarized Modified Source Data'!L$3,TimeOfWeek,$D147)</f>
        <v>4300073</v>
      </c>
      <c r="M147" s="25">
        <f>SUMIFS(INDEX(Load,,MATCH('Summarized Modified Source Data'!$B147,Hour,0)),Season,'Summarized Modified Source Data'!$A147,Sector,'Summarized Modified Source Data'!M$2,Subsector,'Summarized Modified Source Data'!M$3,TimeOfWeek,$D147)</f>
        <v>0</v>
      </c>
      <c r="N147" s="25">
        <f t="shared" si="7"/>
        <v>231503181</v>
      </c>
      <c r="O147" s="25">
        <f>SUMIFS(INDEX(Load,,MATCH('Summarized Modified Source Data'!$B147,Hour,0)),Season,'Summarized Modified Source Data'!$A147,Sector,'Summarized Modified Source Data'!O$2,Subsector,"Total",TimeOfWeek,$D147)-SUM(K147:M147)</f>
        <v>231503181</v>
      </c>
      <c r="P147" s="25">
        <f t="shared" si="8"/>
        <v>231503181</v>
      </c>
      <c r="Q147" s="33" cm="1">
        <f t="array" ref="Q147">SUMIFS(INDEX(Load,,MATCH('Summarized Modified Source Data'!$B147,Hour,0)),Season,'Summarized Modified Source Data'!$A147,Sector,'Summarized Modified Source Data'!Q$2,TimeOfWeek,$D147)*LDVs</f>
        <v>3058855.1084110136</v>
      </c>
      <c r="R147" s="33" cm="1">
        <f t="array" ref="R147">SUMIFS(INDEX(Load,,MATCH('Summarized Modified Source Data'!$B147,Hour,0)),Season,'Summarized Modified Source Data'!$A147,Sector,'Summarized Modified Source Data'!R$2,TimeOfWeek,$D147)*HDVs</f>
        <v>1441350.4728490876</v>
      </c>
      <c r="S147" s="33">
        <f>SUMIFS(INDEX(Load,,MATCH('Summarized Modified Source Data'!$B147,Hour,0)),Season,'Summarized Modified Source Data'!$A147,Sector,'Summarized Modified Source Data'!S$2,TimeOfWeek,$D147)*Aircraft</f>
        <v>0</v>
      </c>
      <c r="T147" s="33">
        <f>SUMIFS(INDEX(Load,,MATCH('Summarized Modified Source Data'!$B147,Hour,0)),Season,'Summarized Modified Source Data'!$A147,Sector,'Summarized Modified Source Data'!T$2,TimeOfWeek,$D147)*Rail</f>
        <v>6275180.4187398991</v>
      </c>
      <c r="U147" s="33">
        <f>SUMIFS(INDEX(Load,,MATCH('Summarized Modified Source Data'!$B147,Hour,0)),Season,'Summarized Modified Source Data'!$A147,Sector,'Summarized Modified Source Data'!U$2,TimeOfWeek,$D147)*Ships</f>
        <v>0</v>
      </c>
      <c r="V147" s="33">
        <f>SUMIFS(INDEX(Load,,MATCH('Summarized Modified Source Data'!$B147,Hour,0)),Season,'Summarized Modified Source Data'!$A147,Sector,'Summarized Modified Source Data'!V$2,TimeOfWeek,$D147)*Motorbikes</f>
        <v>0</v>
      </c>
      <c r="W147" s="25">
        <f>SUMIFS(INDEX(Load,,MATCH('Summarized Modified Source Data'!$B147,Hour,0)),Season,'Summarized Modified Source Data'!$A147,Sector,'Summarized Modified Source Data'!W$2,Subsector,'Summarized Modified Source Data'!W$3,TimeOfWeek,$D147)</f>
        <v>1013000000</v>
      </c>
      <c r="X147" s="25">
        <f>SUMIFS(INDEX(Load,,MATCH('Summarized Modified Source Data'!$B147,Hour,0)),Season,'Summarized Modified Source Data'!$A147,Sector,'Summarized Modified Source Data'!X$2,Subsector,'Summarized Modified Source Data'!X$3,TimeOfWeek,$D147)</f>
        <v>0</v>
      </c>
      <c r="Y147" s="25">
        <f>SUMIFS(INDEX(Load,,MATCH('Summarized Modified Source Data'!$B147,Hour,0)),Season,'Summarized Modified Source Data'!$A147,Sector,'Summarized Modified Source Data'!Y$2,Subsector,'Summarized Modified Source Data'!Y$3,TimeOfWeek,$D147)</f>
        <v>0</v>
      </c>
    </row>
    <row r="148" spans="1:25" outlineLevel="1" x14ac:dyDescent="0.25">
      <c r="A148" t="s">
        <v>39</v>
      </c>
      <c r="B148" t="s">
        <v>147</v>
      </c>
      <c r="C148" s="7" t="s">
        <v>34</v>
      </c>
      <c r="D148" t="s">
        <v>114</v>
      </c>
      <c r="E148" s="25">
        <f>SUMIFS(INDEX(Load,,MATCH('Summarized Modified Source Data'!$B148,Hour,0)),Season,'Summarized Modified Source Data'!$A148,Sector,'Summarized Modified Source Data'!E$2,Subsector,'Summarized Modified Source Data'!E$3,TimeOfWeek,$D148)</f>
        <v>189138</v>
      </c>
      <c r="F148" s="25">
        <f>SUMIFS(INDEX(Load,,MATCH('Summarized Modified Source Data'!$B148,Hour,0)),Season,'Summarized Modified Source Data'!$A148,Sector,'Summarized Modified Source Data'!F$2,Subsector,'Summarized Modified Source Data'!F$3,TimeOfWeek,$D148)</f>
        <v>51746896</v>
      </c>
      <c r="G148" s="25">
        <f>SUMIFS(INDEX(Load,,MATCH('Summarized Modified Source Data'!$B148,Hour,0)),Season,'Summarized Modified Source Data'!$A148,Sector,'Summarized Modified Source Data'!G$2,Subsector,'Summarized Modified Source Data'!G$3,TimeOfWeek,$D148)</f>
        <v>0</v>
      </c>
      <c r="H148" s="25">
        <f>SUMIFS(INDEX(Load,,MATCH('Summarized Modified Source Data'!$B148,Hour,0)),Season,'Summarized Modified Source Data'!$A148,Sector,'Summarized Modified Source Data'!H$2,Subsector,'Summarized Modified Source Data'!H$3,TimeOfWeek,$D148)</f>
        <v>17747453</v>
      </c>
      <c r="I148" s="25">
        <f>SUMIFS(INDEX(Load,,MATCH('Summarized Modified Source Data'!$B148,Hour,0)),Season,'Summarized Modified Source Data'!$A148,Sector,'Summarized Modified Source Data'!I$2,Subsector,'Summarized Modified Source Data'!I$3,TimeOfWeek,$D148)</f>
        <v>9377611</v>
      </c>
      <c r="J148" s="25">
        <f t="shared" si="6"/>
        <v>9377611</v>
      </c>
      <c r="K148" s="25">
        <f>SUMIFS(INDEX(Load,,MATCH('Summarized Modified Source Data'!$B148,Hour,0)),Season,'Summarized Modified Source Data'!$A148,Sector,'Summarized Modified Source Data'!K$2,Subsector,'Summarized Modified Source Data'!K$3,TimeOfWeek,$D148)</f>
        <v>490837</v>
      </c>
      <c r="L148" s="25">
        <f>SUMIFS(INDEX(Load,,MATCH('Summarized Modified Source Data'!$B148,Hour,0)),Season,'Summarized Modified Source Data'!$A148,Sector,'Summarized Modified Source Data'!L$2,Subsector,'Summarized Modified Source Data'!L$3,TimeOfWeek,$D148)</f>
        <v>255500000</v>
      </c>
      <c r="M148" s="25">
        <f>SUMIFS(INDEX(Load,,MATCH('Summarized Modified Source Data'!$B148,Hour,0)),Season,'Summarized Modified Source Data'!$A148,Sector,'Summarized Modified Source Data'!M$2,Subsector,'Summarized Modified Source Data'!M$3,TimeOfWeek,$D148)</f>
        <v>0</v>
      </c>
      <c r="N148" s="25">
        <f t="shared" si="7"/>
        <v>231009163</v>
      </c>
      <c r="O148" s="25">
        <f>SUMIFS(INDEX(Load,,MATCH('Summarized Modified Source Data'!$B148,Hour,0)),Season,'Summarized Modified Source Data'!$A148,Sector,'Summarized Modified Source Data'!O$2,Subsector,"Total",TimeOfWeek,$D148)-SUM(K148:M148)</f>
        <v>231009163</v>
      </c>
      <c r="P148" s="25">
        <f t="shared" si="8"/>
        <v>231009163</v>
      </c>
      <c r="Q148" s="33" cm="1">
        <f t="array" ref="Q148">SUMIFS(INDEX(Load,,MATCH('Summarized Modified Source Data'!$B148,Hour,0)),Season,'Summarized Modified Source Data'!$A148,Sector,'Summarized Modified Source Data'!Q$2,TimeOfWeek,$D148)*LDVs</f>
        <v>2045268.5945940963</v>
      </c>
      <c r="R148" s="33" cm="1">
        <f t="array" ref="R148">SUMIFS(INDEX(Load,,MATCH('Summarized Modified Source Data'!$B148,Hour,0)),Season,'Summarized Modified Source Data'!$A148,Sector,'Summarized Modified Source Data'!R$2,TimeOfWeek,$D148)*HDVs</f>
        <v>963742.56100445474</v>
      </c>
      <c r="S148" s="33">
        <f>SUMIFS(INDEX(Load,,MATCH('Summarized Modified Source Data'!$B148,Hour,0)),Season,'Summarized Modified Source Data'!$A148,Sector,'Summarized Modified Source Data'!S$2,TimeOfWeek,$D148)*Aircraft</f>
        <v>0</v>
      </c>
      <c r="T148" s="33">
        <f>SUMIFS(INDEX(Load,,MATCH('Summarized Modified Source Data'!$B148,Hour,0)),Season,'Summarized Modified Source Data'!$A148,Sector,'Summarized Modified Source Data'!T$2,TimeOfWeek,$D148)*Rail</f>
        <v>4195827.844401449</v>
      </c>
      <c r="U148" s="33">
        <f>SUMIFS(INDEX(Load,,MATCH('Summarized Modified Source Data'!$B148,Hour,0)),Season,'Summarized Modified Source Data'!$A148,Sector,'Summarized Modified Source Data'!U$2,TimeOfWeek,$D148)*Ships</f>
        <v>0</v>
      </c>
      <c r="V148" s="33">
        <f>SUMIFS(INDEX(Load,,MATCH('Summarized Modified Source Data'!$B148,Hour,0)),Season,'Summarized Modified Source Data'!$A148,Sector,'Summarized Modified Source Data'!V$2,TimeOfWeek,$D148)*Motorbikes</f>
        <v>0</v>
      </c>
      <c r="W148" s="25">
        <f>SUMIFS(INDEX(Load,,MATCH('Summarized Modified Source Data'!$B148,Hour,0)),Season,'Summarized Modified Source Data'!$A148,Sector,'Summarized Modified Source Data'!W$2,Subsector,'Summarized Modified Source Data'!W$3,TimeOfWeek,$D148)</f>
        <v>1000000000</v>
      </c>
      <c r="X148" s="25">
        <f>SUMIFS(INDEX(Load,,MATCH('Summarized Modified Source Data'!$B148,Hour,0)),Season,'Summarized Modified Source Data'!$A148,Sector,'Summarized Modified Source Data'!X$2,Subsector,'Summarized Modified Source Data'!X$3,TimeOfWeek,$D148)</f>
        <v>0</v>
      </c>
      <c r="Y148" s="25">
        <f>SUMIFS(INDEX(Load,,MATCH('Summarized Modified Source Data'!$B148,Hour,0)),Season,'Summarized Modified Source Data'!$A148,Sector,'Summarized Modified Source Data'!Y$2,Subsector,'Summarized Modified Source Data'!Y$3,TimeOfWeek,$D148)</f>
        <v>0</v>
      </c>
    </row>
    <row r="149" spans="1:25" outlineLevel="1" x14ac:dyDescent="0.25">
      <c r="A149" t="s">
        <v>39</v>
      </c>
      <c r="B149" t="s">
        <v>148</v>
      </c>
      <c r="C149" s="7" t="s">
        <v>0</v>
      </c>
      <c r="D149" t="s">
        <v>114</v>
      </c>
      <c r="E149" s="25">
        <f>SUMIFS(INDEX(Load,,MATCH('Summarized Modified Source Data'!$B149,Hour,0)),Season,'Summarized Modified Source Data'!$A149,Sector,'Summarized Modified Source Data'!E$2,Subsector,'Summarized Modified Source Data'!E$3,TimeOfWeek,$D149)</f>
        <v>189138</v>
      </c>
      <c r="F149" s="25">
        <f>SUMIFS(INDEX(Load,,MATCH('Summarized Modified Source Data'!$B149,Hour,0)),Season,'Summarized Modified Source Data'!$A149,Sector,'Summarized Modified Source Data'!F$2,Subsector,'Summarized Modified Source Data'!F$3,TimeOfWeek,$D149)</f>
        <v>46895371</v>
      </c>
      <c r="G149" s="25">
        <f>SUMIFS(INDEX(Load,,MATCH('Summarized Modified Source Data'!$B149,Hour,0)),Season,'Summarized Modified Source Data'!$A149,Sector,'Summarized Modified Source Data'!G$2,Subsector,'Summarized Modified Source Data'!G$3,TimeOfWeek,$D149)</f>
        <v>0</v>
      </c>
      <c r="H149" s="25">
        <f>SUMIFS(INDEX(Load,,MATCH('Summarized Modified Source Data'!$B149,Hour,0)),Season,'Summarized Modified Source Data'!$A149,Sector,'Summarized Modified Source Data'!H$2,Subsector,'Summarized Modified Source Data'!H$3,TimeOfWeek,$D149)</f>
        <v>15333689</v>
      </c>
      <c r="I149" s="25">
        <f>SUMIFS(INDEX(Load,,MATCH('Summarized Modified Source Data'!$B149,Hour,0)),Season,'Summarized Modified Source Data'!$A149,Sector,'Summarized Modified Source Data'!I$2,Subsector,'Summarized Modified Source Data'!I$3,TimeOfWeek,$D149)</f>
        <v>6059374</v>
      </c>
      <c r="J149" s="25">
        <f t="shared" si="6"/>
        <v>6059374</v>
      </c>
      <c r="K149" s="25">
        <f>SUMIFS(INDEX(Load,,MATCH('Summarized Modified Source Data'!$B149,Hour,0)),Season,'Summarized Modified Source Data'!$A149,Sector,'Summarized Modified Source Data'!K$2,Subsector,'Summarized Modified Source Data'!K$3,TimeOfWeek,$D149)</f>
        <v>489037</v>
      </c>
      <c r="L149" s="25">
        <f>SUMIFS(INDEX(Load,,MATCH('Summarized Modified Source Data'!$B149,Hour,0)),Season,'Summarized Modified Source Data'!$A149,Sector,'Summarized Modified Source Data'!L$2,Subsector,'Summarized Modified Source Data'!L$3,TimeOfWeek,$D149)</f>
        <v>243200000</v>
      </c>
      <c r="M149" s="25">
        <f>SUMIFS(INDEX(Load,,MATCH('Summarized Modified Source Data'!$B149,Hour,0)),Season,'Summarized Modified Source Data'!$A149,Sector,'Summarized Modified Source Data'!M$2,Subsector,'Summarized Modified Source Data'!M$3,TimeOfWeek,$D149)</f>
        <v>0</v>
      </c>
      <c r="N149" s="25">
        <f t="shared" si="7"/>
        <v>202110963</v>
      </c>
      <c r="O149" s="25">
        <f>SUMIFS(INDEX(Load,,MATCH('Summarized Modified Source Data'!$B149,Hour,0)),Season,'Summarized Modified Source Data'!$A149,Sector,'Summarized Modified Source Data'!O$2,Subsector,"Total",TimeOfWeek,$D149)-SUM(K149:M149)</f>
        <v>202110963</v>
      </c>
      <c r="P149" s="25">
        <f t="shared" si="8"/>
        <v>202110963</v>
      </c>
      <c r="Q149" s="33" cm="1">
        <f t="array" ref="Q149">SUMIFS(INDEX(Load,,MATCH('Summarized Modified Source Data'!$B149,Hour,0)),Season,'Summarized Modified Source Data'!$A149,Sector,'Summarized Modified Source Data'!Q$2,TimeOfWeek,$D149)*LDVs</f>
        <v>1935562.5343938842</v>
      </c>
      <c r="R149" s="33" cm="1">
        <f t="array" ref="R149">SUMIFS(INDEX(Load,,MATCH('Summarized Modified Source Data'!$B149,Hour,0)),Season,'Summarized Modified Source Data'!$A149,Sector,'Summarized Modified Source Data'!R$2,TimeOfWeek,$D149)*HDVs</f>
        <v>912048.42181192292</v>
      </c>
      <c r="S149" s="33">
        <f>SUMIFS(INDEX(Load,,MATCH('Summarized Modified Source Data'!$B149,Hour,0)),Season,'Summarized Modified Source Data'!$A149,Sector,'Summarized Modified Source Data'!S$2,TimeOfWeek,$D149)*Aircraft</f>
        <v>0</v>
      </c>
      <c r="T149" s="33">
        <f>SUMIFS(INDEX(Load,,MATCH('Summarized Modified Source Data'!$B149,Hour,0)),Season,'Summarized Modified Source Data'!$A149,Sector,'Summarized Modified Source Data'!T$2,TimeOfWeek,$D149)*Rail</f>
        <v>3970768.0437941928</v>
      </c>
      <c r="U149" s="33">
        <f>SUMIFS(INDEX(Load,,MATCH('Summarized Modified Source Data'!$B149,Hour,0)),Season,'Summarized Modified Source Data'!$A149,Sector,'Summarized Modified Source Data'!U$2,TimeOfWeek,$D149)*Ships</f>
        <v>0</v>
      </c>
      <c r="V149" s="33">
        <f>SUMIFS(INDEX(Load,,MATCH('Summarized Modified Source Data'!$B149,Hour,0)),Season,'Summarized Modified Source Data'!$A149,Sector,'Summarized Modified Source Data'!V$2,TimeOfWeek,$D149)*Motorbikes</f>
        <v>0</v>
      </c>
      <c r="W149" s="25">
        <f>SUMIFS(INDEX(Load,,MATCH('Summarized Modified Source Data'!$B149,Hour,0)),Season,'Summarized Modified Source Data'!$A149,Sector,'Summarized Modified Source Data'!W$2,Subsector,'Summarized Modified Source Data'!W$3,TimeOfWeek,$D149)</f>
        <v>999000000</v>
      </c>
      <c r="X149" s="25">
        <f>SUMIFS(INDEX(Load,,MATCH('Summarized Modified Source Data'!$B149,Hour,0)),Season,'Summarized Modified Source Data'!$A149,Sector,'Summarized Modified Source Data'!X$2,Subsector,'Summarized Modified Source Data'!X$3,TimeOfWeek,$D149)</f>
        <v>0</v>
      </c>
      <c r="Y149" s="25">
        <f>SUMIFS(INDEX(Load,,MATCH('Summarized Modified Source Data'!$B149,Hour,0)),Season,'Summarized Modified Source Data'!$A149,Sector,'Summarized Modified Source Data'!Y$2,Subsector,'Summarized Modified Source Data'!Y$3,TimeOfWeek,$D149)</f>
        <v>0</v>
      </c>
    </row>
    <row r="150" spans="1:25" outlineLevel="1" x14ac:dyDescent="0.25">
      <c r="A150" t="s">
        <v>39</v>
      </c>
      <c r="B150" t="s">
        <v>149</v>
      </c>
      <c r="C150" s="7" t="s">
        <v>1</v>
      </c>
      <c r="D150" t="s">
        <v>114</v>
      </c>
      <c r="E150" s="25">
        <f>SUMIFS(INDEX(Load,,MATCH('Summarized Modified Source Data'!$B150,Hour,0)),Season,'Summarized Modified Source Data'!$A150,Sector,'Summarized Modified Source Data'!E$2,Subsector,'Summarized Modified Source Data'!E$3,TimeOfWeek,$D150)</f>
        <v>189138</v>
      </c>
      <c r="F150" s="25">
        <f>SUMIFS(INDEX(Load,,MATCH('Summarized Modified Source Data'!$B150,Hour,0)),Season,'Summarized Modified Source Data'!$A150,Sector,'Summarized Modified Source Data'!F$2,Subsector,'Summarized Modified Source Data'!F$3,TimeOfWeek,$D150)</f>
        <v>45678431</v>
      </c>
      <c r="G150" s="25">
        <f>SUMIFS(INDEX(Load,,MATCH('Summarized Modified Source Data'!$B150,Hour,0)),Season,'Summarized Modified Source Data'!$A150,Sector,'Summarized Modified Source Data'!G$2,Subsector,'Summarized Modified Source Data'!G$3,TimeOfWeek,$D150)</f>
        <v>0</v>
      </c>
      <c r="H150" s="25">
        <f>SUMIFS(INDEX(Load,,MATCH('Summarized Modified Source Data'!$B150,Hour,0)),Season,'Summarized Modified Source Data'!$A150,Sector,'Summarized Modified Source Data'!H$2,Subsector,'Summarized Modified Source Data'!H$3,TimeOfWeek,$D150)</f>
        <v>14809585</v>
      </c>
      <c r="I150" s="25">
        <f>SUMIFS(INDEX(Load,,MATCH('Summarized Modified Source Data'!$B150,Hour,0)),Season,'Summarized Modified Source Data'!$A150,Sector,'Summarized Modified Source Data'!I$2,Subsector,'Summarized Modified Source Data'!I$3,TimeOfWeek,$D150)</f>
        <v>5050282</v>
      </c>
      <c r="J150" s="25">
        <f t="shared" si="6"/>
        <v>5050282</v>
      </c>
      <c r="K150" s="25">
        <f>SUMIFS(INDEX(Load,,MATCH('Summarized Modified Source Data'!$B150,Hour,0)),Season,'Summarized Modified Source Data'!$A150,Sector,'Summarized Modified Source Data'!K$2,Subsector,'Summarized Modified Source Data'!K$3,TimeOfWeek,$D150)</f>
        <v>498815</v>
      </c>
      <c r="L150" s="25">
        <f>SUMIFS(INDEX(Load,,MATCH('Summarized Modified Source Data'!$B150,Hour,0)),Season,'Summarized Modified Source Data'!$A150,Sector,'Summarized Modified Source Data'!L$2,Subsector,'Summarized Modified Source Data'!L$3,TimeOfWeek,$D150)</f>
        <v>238500000</v>
      </c>
      <c r="M150" s="25">
        <f>SUMIFS(INDEX(Load,,MATCH('Summarized Modified Source Data'!$B150,Hour,0)),Season,'Summarized Modified Source Data'!$A150,Sector,'Summarized Modified Source Data'!M$2,Subsector,'Summarized Modified Source Data'!M$3,TimeOfWeek,$D150)</f>
        <v>0</v>
      </c>
      <c r="N150" s="25">
        <f t="shared" si="7"/>
        <v>199601185</v>
      </c>
      <c r="O150" s="25">
        <f>SUMIFS(INDEX(Load,,MATCH('Summarized Modified Source Data'!$B150,Hour,0)),Season,'Summarized Modified Source Data'!$A150,Sector,'Summarized Modified Source Data'!O$2,Subsector,"Total",TimeOfWeek,$D150)-SUM(K150:M150)</f>
        <v>199601185</v>
      </c>
      <c r="P150" s="25">
        <f t="shared" si="8"/>
        <v>199601185</v>
      </c>
      <c r="Q150" s="33" cm="1">
        <f t="array" ref="Q150">SUMIFS(INDEX(Load,,MATCH('Summarized Modified Source Data'!$B150,Hour,0)),Season,'Summarized Modified Source Data'!$A150,Sector,'Summarized Modified Source Data'!Q$2,TimeOfWeek,$D150)*LDVs</f>
        <v>1905642.7514073348</v>
      </c>
      <c r="R150" s="33" cm="1">
        <f t="array" ref="R150">SUMIFS(INDEX(Load,,MATCH('Summarized Modified Source Data'!$B150,Hour,0)),Season,'Summarized Modified Source Data'!$A150,Sector,'Summarized Modified Source Data'!R$2,TimeOfWeek,$D150)*HDVs</f>
        <v>897950.0445345476</v>
      </c>
      <c r="S150" s="33">
        <f>SUMIFS(INDEX(Load,,MATCH('Summarized Modified Source Data'!$B150,Hour,0)),Season,'Summarized Modified Source Data'!$A150,Sector,'Summarized Modified Source Data'!S$2,TimeOfWeek,$D150)*Aircraft</f>
        <v>0</v>
      </c>
      <c r="T150" s="33">
        <f>SUMIFS(INDEX(Load,,MATCH('Summarized Modified Source Data'!$B150,Hour,0)),Season,'Summarized Modified Source Data'!$A150,Sector,'Summarized Modified Source Data'!T$2,TimeOfWeek,$D150)*Rail</f>
        <v>3909388.2040581177</v>
      </c>
      <c r="U150" s="33">
        <f>SUMIFS(INDEX(Load,,MATCH('Summarized Modified Source Data'!$B150,Hour,0)),Season,'Summarized Modified Source Data'!$A150,Sector,'Summarized Modified Source Data'!U$2,TimeOfWeek,$D150)*Ships</f>
        <v>0</v>
      </c>
      <c r="V150" s="33">
        <f>SUMIFS(INDEX(Load,,MATCH('Summarized Modified Source Data'!$B150,Hour,0)),Season,'Summarized Modified Source Data'!$A150,Sector,'Summarized Modified Source Data'!V$2,TimeOfWeek,$D150)*Motorbikes</f>
        <v>0</v>
      </c>
      <c r="W150" s="25">
        <f>SUMIFS(INDEX(Load,,MATCH('Summarized Modified Source Data'!$B150,Hour,0)),Season,'Summarized Modified Source Data'!$A150,Sector,'Summarized Modified Source Data'!W$2,Subsector,'Summarized Modified Source Data'!W$3,TimeOfWeek,$D150)</f>
        <v>1000000000</v>
      </c>
      <c r="X150" s="25">
        <f>SUMIFS(INDEX(Load,,MATCH('Summarized Modified Source Data'!$B150,Hour,0)),Season,'Summarized Modified Source Data'!$A150,Sector,'Summarized Modified Source Data'!X$2,Subsector,'Summarized Modified Source Data'!X$3,TimeOfWeek,$D150)</f>
        <v>0</v>
      </c>
      <c r="Y150" s="25">
        <f>SUMIFS(INDEX(Load,,MATCH('Summarized Modified Source Data'!$B150,Hour,0)),Season,'Summarized Modified Source Data'!$A150,Sector,'Summarized Modified Source Data'!Y$2,Subsector,'Summarized Modified Source Data'!Y$3,TimeOfWeek,$D150)</f>
        <v>0</v>
      </c>
    </row>
    <row r="151" spans="1:25" outlineLevel="1" x14ac:dyDescent="0.25">
      <c r="A151" t="s">
        <v>39</v>
      </c>
      <c r="B151" t="s">
        <v>150</v>
      </c>
      <c r="C151" s="7" t="s">
        <v>2</v>
      </c>
      <c r="D151" t="s">
        <v>114</v>
      </c>
      <c r="E151" s="25">
        <f>SUMIFS(INDEX(Load,,MATCH('Summarized Modified Source Data'!$B151,Hour,0)),Season,'Summarized Modified Source Data'!$A151,Sector,'Summarized Modified Source Data'!E$2,Subsector,'Summarized Modified Source Data'!E$3,TimeOfWeek,$D151)</f>
        <v>189138</v>
      </c>
      <c r="F151" s="25">
        <f>SUMIFS(INDEX(Load,,MATCH('Summarized Modified Source Data'!$B151,Hour,0)),Season,'Summarized Modified Source Data'!$A151,Sector,'Summarized Modified Source Data'!F$2,Subsector,'Summarized Modified Source Data'!F$3,TimeOfWeek,$D151)</f>
        <v>47612024</v>
      </c>
      <c r="G151" s="25">
        <f>SUMIFS(INDEX(Load,,MATCH('Summarized Modified Source Data'!$B151,Hour,0)),Season,'Summarized Modified Source Data'!$A151,Sector,'Summarized Modified Source Data'!G$2,Subsector,'Summarized Modified Source Data'!G$3,TimeOfWeek,$D151)</f>
        <v>0</v>
      </c>
      <c r="H151" s="25">
        <f>SUMIFS(INDEX(Load,,MATCH('Summarized Modified Source Data'!$B151,Hour,0)),Season,'Summarized Modified Source Data'!$A151,Sector,'Summarized Modified Source Data'!H$2,Subsector,'Summarized Modified Source Data'!H$3,TimeOfWeek,$D151)</f>
        <v>14797085</v>
      </c>
      <c r="I151" s="25">
        <f>SUMIFS(INDEX(Load,,MATCH('Summarized Modified Source Data'!$B151,Hour,0)),Season,'Summarized Modified Source Data'!$A151,Sector,'Summarized Modified Source Data'!I$2,Subsector,'Summarized Modified Source Data'!I$3,TimeOfWeek,$D151)</f>
        <v>4681197</v>
      </c>
      <c r="J151" s="25">
        <f t="shared" si="6"/>
        <v>4681197</v>
      </c>
      <c r="K151" s="25">
        <f>SUMIFS(INDEX(Load,,MATCH('Summarized Modified Source Data'!$B151,Hour,0)),Season,'Summarized Modified Source Data'!$A151,Sector,'Summarized Modified Source Data'!K$2,Subsector,'Summarized Modified Source Data'!K$3,TimeOfWeek,$D151)</f>
        <v>507703</v>
      </c>
      <c r="L151" s="25">
        <f>SUMIFS(INDEX(Load,,MATCH('Summarized Modified Source Data'!$B151,Hour,0)),Season,'Summarized Modified Source Data'!$A151,Sector,'Summarized Modified Source Data'!L$2,Subsector,'Summarized Modified Source Data'!L$3,TimeOfWeek,$D151)</f>
        <v>241300000</v>
      </c>
      <c r="M151" s="25">
        <f>SUMIFS(INDEX(Load,,MATCH('Summarized Modified Source Data'!$B151,Hour,0)),Season,'Summarized Modified Source Data'!$A151,Sector,'Summarized Modified Source Data'!M$2,Subsector,'Summarized Modified Source Data'!M$3,TimeOfWeek,$D151)</f>
        <v>0</v>
      </c>
      <c r="N151" s="25">
        <f t="shared" si="7"/>
        <v>201392297</v>
      </c>
      <c r="O151" s="25">
        <f>SUMIFS(INDEX(Load,,MATCH('Summarized Modified Source Data'!$B151,Hour,0)),Season,'Summarized Modified Source Data'!$A151,Sector,'Summarized Modified Source Data'!O$2,Subsector,"Total",TimeOfWeek,$D151)-SUM(K151:M151)</f>
        <v>201392297</v>
      </c>
      <c r="P151" s="25">
        <f t="shared" si="8"/>
        <v>201392297</v>
      </c>
      <c r="Q151" s="33" cm="1">
        <f t="array" ref="Q151">SUMIFS(INDEX(Load,,MATCH('Summarized Modified Source Data'!$B151,Hour,0)),Season,'Summarized Modified Source Data'!$A151,Sector,'Summarized Modified Source Data'!Q$2,TimeOfWeek,$D151)*LDVs</f>
        <v>1905642.7514073348</v>
      </c>
      <c r="R151" s="33" cm="1">
        <f t="array" ref="R151">SUMIFS(INDEX(Load,,MATCH('Summarized Modified Source Data'!$B151,Hour,0)),Season,'Summarized Modified Source Data'!$A151,Sector,'Summarized Modified Source Data'!R$2,TimeOfWeek,$D151)*HDVs</f>
        <v>897950.0445345476</v>
      </c>
      <c r="S151" s="33">
        <f>SUMIFS(INDEX(Load,,MATCH('Summarized Modified Source Data'!$B151,Hour,0)),Season,'Summarized Modified Source Data'!$A151,Sector,'Summarized Modified Source Data'!S$2,TimeOfWeek,$D151)*Aircraft</f>
        <v>0</v>
      </c>
      <c r="T151" s="33">
        <f>SUMIFS(INDEX(Load,,MATCH('Summarized Modified Source Data'!$B151,Hour,0)),Season,'Summarized Modified Source Data'!$A151,Sector,'Summarized Modified Source Data'!T$2,TimeOfWeek,$D151)*Rail</f>
        <v>3909388.2040581177</v>
      </c>
      <c r="U151" s="33">
        <f>SUMIFS(INDEX(Load,,MATCH('Summarized Modified Source Data'!$B151,Hour,0)),Season,'Summarized Modified Source Data'!$A151,Sector,'Summarized Modified Source Data'!U$2,TimeOfWeek,$D151)*Ships</f>
        <v>0</v>
      </c>
      <c r="V151" s="33">
        <f>SUMIFS(INDEX(Load,,MATCH('Summarized Modified Source Data'!$B151,Hour,0)),Season,'Summarized Modified Source Data'!$A151,Sector,'Summarized Modified Source Data'!V$2,TimeOfWeek,$D151)*Motorbikes</f>
        <v>0</v>
      </c>
      <c r="W151" s="25">
        <f>SUMIFS(INDEX(Load,,MATCH('Summarized Modified Source Data'!$B151,Hour,0)),Season,'Summarized Modified Source Data'!$A151,Sector,'Summarized Modified Source Data'!W$2,Subsector,'Summarized Modified Source Data'!W$3,TimeOfWeek,$D151)</f>
        <v>1002000000</v>
      </c>
      <c r="X151" s="25">
        <f>SUMIFS(INDEX(Load,,MATCH('Summarized Modified Source Data'!$B151,Hour,0)),Season,'Summarized Modified Source Data'!$A151,Sector,'Summarized Modified Source Data'!X$2,Subsector,'Summarized Modified Source Data'!X$3,TimeOfWeek,$D151)</f>
        <v>0</v>
      </c>
      <c r="Y151" s="25">
        <f>SUMIFS(INDEX(Load,,MATCH('Summarized Modified Source Data'!$B151,Hour,0)),Season,'Summarized Modified Source Data'!$A151,Sector,'Summarized Modified Source Data'!Y$2,Subsector,'Summarized Modified Source Data'!Y$3,TimeOfWeek,$D151)</f>
        <v>0</v>
      </c>
    </row>
    <row r="152" spans="1:25" outlineLevel="1" x14ac:dyDescent="0.25">
      <c r="A152" t="s">
        <v>39</v>
      </c>
      <c r="B152" t="s">
        <v>151</v>
      </c>
      <c r="C152" s="7" t="s">
        <v>3</v>
      </c>
      <c r="D152" t="s">
        <v>114</v>
      </c>
      <c r="E152" s="25">
        <f>SUMIFS(INDEX(Load,,MATCH('Summarized Modified Source Data'!$B152,Hour,0)),Season,'Summarized Modified Source Data'!$A152,Sector,'Summarized Modified Source Data'!E$2,Subsector,'Summarized Modified Source Data'!E$3,TimeOfWeek,$D152)</f>
        <v>189138</v>
      </c>
      <c r="F152" s="25">
        <f>SUMIFS(INDEX(Load,,MATCH('Summarized Modified Source Data'!$B152,Hour,0)),Season,'Summarized Modified Source Data'!$A152,Sector,'Summarized Modified Source Data'!F$2,Subsector,'Summarized Modified Source Data'!F$3,TimeOfWeek,$D152)</f>
        <v>53192079</v>
      </c>
      <c r="G152" s="25">
        <f>SUMIFS(INDEX(Load,,MATCH('Summarized Modified Source Data'!$B152,Hour,0)),Season,'Summarized Modified Source Data'!$A152,Sector,'Summarized Modified Source Data'!G$2,Subsector,'Summarized Modified Source Data'!G$3,TimeOfWeek,$D152)</f>
        <v>0</v>
      </c>
      <c r="H152" s="25">
        <f>SUMIFS(INDEX(Load,,MATCH('Summarized Modified Source Data'!$B152,Hour,0)),Season,'Summarized Modified Source Data'!$A152,Sector,'Summarized Modified Source Data'!H$2,Subsector,'Summarized Modified Source Data'!H$3,TimeOfWeek,$D152)</f>
        <v>15575352</v>
      </c>
      <c r="I152" s="25">
        <f>SUMIFS(INDEX(Load,,MATCH('Summarized Modified Source Data'!$B152,Hour,0)),Season,'Summarized Modified Source Data'!$A152,Sector,'Summarized Modified Source Data'!I$2,Subsector,'Summarized Modified Source Data'!I$3,TimeOfWeek,$D152)</f>
        <v>4825565</v>
      </c>
      <c r="J152" s="25">
        <f t="shared" si="6"/>
        <v>4825565</v>
      </c>
      <c r="K152" s="25">
        <f>SUMIFS(INDEX(Load,,MATCH('Summarized Modified Source Data'!$B152,Hour,0)),Season,'Summarized Modified Source Data'!$A152,Sector,'Summarized Modified Source Data'!K$2,Subsector,'Summarized Modified Source Data'!K$3,TimeOfWeek,$D152)</f>
        <v>504088</v>
      </c>
      <c r="L152" s="25">
        <f>SUMIFS(INDEX(Load,,MATCH('Summarized Modified Source Data'!$B152,Hour,0)),Season,'Summarized Modified Source Data'!$A152,Sector,'Summarized Modified Source Data'!L$2,Subsector,'Summarized Modified Source Data'!L$3,TimeOfWeek,$D152)</f>
        <v>249300000</v>
      </c>
      <c r="M152" s="25">
        <f>SUMIFS(INDEX(Load,,MATCH('Summarized Modified Source Data'!$B152,Hour,0)),Season,'Summarized Modified Source Data'!$A152,Sector,'Summarized Modified Source Data'!M$2,Subsector,'Summarized Modified Source Data'!M$3,TimeOfWeek,$D152)</f>
        <v>0</v>
      </c>
      <c r="N152" s="25">
        <f t="shared" si="7"/>
        <v>204195912</v>
      </c>
      <c r="O152" s="25">
        <f>SUMIFS(INDEX(Load,,MATCH('Summarized Modified Source Data'!$B152,Hour,0)),Season,'Summarized Modified Source Data'!$A152,Sector,'Summarized Modified Source Data'!O$2,Subsector,"Total",TimeOfWeek,$D152)-SUM(K152:M152)</f>
        <v>204195912</v>
      </c>
      <c r="P152" s="25">
        <f t="shared" si="8"/>
        <v>204195912</v>
      </c>
      <c r="Q152" s="33" cm="1">
        <f t="array" ref="Q152">SUMIFS(INDEX(Load,,MATCH('Summarized Modified Source Data'!$B152,Hour,0)),Season,'Summarized Modified Source Data'!$A152,Sector,'Summarized Modified Source Data'!Q$2,TimeOfWeek,$D152)*LDVs</f>
        <v>1895669.395787053</v>
      </c>
      <c r="R152" s="33" cm="1">
        <f t="array" ref="R152">SUMIFS(INDEX(Load,,MATCH('Summarized Modified Source Data'!$B152,Hour,0)),Season,'Summarized Modified Source Data'!$A152,Sector,'Summarized Modified Source Data'!R$2,TimeOfWeek,$D152)*HDVs</f>
        <v>893250.54085434461</v>
      </c>
      <c r="S152" s="33">
        <f>SUMIFS(INDEX(Load,,MATCH('Summarized Modified Source Data'!$B152,Hour,0)),Season,'Summarized Modified Source Data'!$A152,Sector,'Summarized Modified Source Data'!S$2,TimeOfWeek,$D152)*Aircraft</f>
        <v>0</v>
      </c>
      <c r="T152" s="33">
        <f>SUMIFS(INDEX(Load,,MATCH('Summarized Modified Source Data'!$B152,Hour,0)),Season,'Summarized Modified Source Data'!$A152,Sector,'Summarized Modified Source Data'!T$2,TimeOfWeek,$D152)*Rail</f>
        <v>3888928.0633586021</v>
      </c>
      <c r="U152" s="33">
        <f>SUMIFS(INDEX(Load,,MATCH('Summarized Modified Source Data'!$B152,Hour,0)),Season,'Summarized Modified Source Data'!$A152,Sector,'Summarized Modified Source Data'!U$2,TimeOfWeek,$D152)*Ships</f>
        <v>0</v>
      </c>
      <c r="V152" s="33">
        <f>SUMIFS(INDEX(Load,,MATCH('Summarized Modified Source Data'!$B152,Hour,0)),Season,'Summarized Modified Source Data'!$A152,Sector,'Summarized Modified Source Data'!V$2,TimeOfWeek,$D152)*Motorbikes</f>
        <v>0</v>
      </c>
      <c r="W152" s="25">
        <f>SUMIFS(INDEX(Load,,MATCH('Summarized Modified Source Data'!$B152,Hour,0)),Season,'Summarized Modified Source Data'!$A152,Sector,'Summarized Modified Source Data'!W$2,Subsector,'Summarized Modified Source Data'!W$3,TimeOfWeek,$D152)</f>
        <v>1009000000</v>
      </c>
      <c r="X152" s="25">
        <f>SUMIFS(INDEX(Load,,MATCH('Summarized Modified Source Data'!$B152,Hour,0)),Season,'Summarized Modified Source Data'!$A152,Sector,'Summarized Modified Source Data'!X$2,Subsector,'Summarized Modified Source Data'!X$3,TimeOfWeek,$D152)</f>
        <v>0</v>
      </c>
      <c r="Y152" s="25">
        <f>SUMIFS(INDEX(Load,,MATCH('Summarized Modified Source Data'!$B152,Hour,0)),Season,'Summarized Modified Source Data'!$A152,Sector,'Summarized Modified Source Data'!Y$2,Subsector,'Summarized Modified Source Data'!Y$3,TimeOfWeek,$D152)</f>
        <v>0</v>
      </c>
    </row>
    <row r="153" spans="1:25" outlineLevel="1" x14ac:dyDescent="0.25">
      <c r="A153" t="s">
        <v>39</v>
      </c>
      <c r="B153" t="s">
        <v>152</v>
      </c>
      <c r="C153" s="7" t="s">
        <v>4</v>
      </c>
      <c r="D153" t="s">
        <v>114</v>
      </c>
      <c r="E153" s="25">
        <f>SUMIFS(INDEX(Load,,MATCH('Summarized Modified Source Data'!$B153,Hour,0)),Season,'Summarized Modified Source Data'!$A153,Sector,'Summarized Modified Source Data'!E$2,Subsector,'Summarized Modified Source Data'!E$3,TimeOfWeek,$D153)</f>
        <v>249950</v>
      </c>
      <c r="F153" s="25">
        <f>SUMIFS(INDEX(Load,,MATCH('Summarized Modified Source Data'!$B153,Hour,0)),Season,'Summarized Modified Source Data'!$A153,Sector,'Summarized Modified Source Data'!F$2,Subsector,'Summarized Modified Source Data'!F$3,TimeOfWeek,$D153)</f>
        <v>62255660</v>
      </c>
      <c r="G153" s="25">
        <f>SUMIFS(INDEX(Load,,MATCH('Summarized Modified Source Data'!$B153,Hour,0)),Season,'Summarized Modified Source Data'!$A153,Sector,'Summarized Modified Source Data'!G$2,Subsector,'Summarized Modified Source Data'!G$3,TimeOfWeek,$D153)</f>
        <v>0</v>
      </c>
      <c r="H153" s="25">
        <f>SUMIFS(INDEX(Load,,MATCH('Summarized Modified Source Data'!$B153,Hour,0)),Season,'Summarized Modified Source Data'!$A153,Sector,'Summarized Modified Source Data'!H$2,Subsector,'Summarized Modified Source Data'!H$3,TimeOfWeek,$D153)</f>
        <v>15944807</v>
      </c>
      <c r="I153" s="25">
        <f>SUMIFS(INDEX(Load,,MATCH('Summarized Modified Source Data'!$B153,Hour,0)),Season,'Summarized Modified Source Data'!$A153,Sector,'Summarized Modified Source Data'!I$2,Subsector,'Summarized Modified Source Data'!I$3,TimeOfWeek,$D153)</f>
        <v>6252173</v>
      </c>
      <c r="J153" s="25">
        <f t="shared" si="6"/>
        <v>6252173</v>
      </c>
      <c r="K153" s="25">
        <f>SUMIFS(INDEX(Load,,MATCH('Summarized Modified Source Data'!$B153,Hour,0)),Season,'Summarized Modified Source Data'!$A153,Sector,'Summarized Modified Source Data'!K$2,Subsector,'Summarized Modified Source Data'!K$3,TimeOfWeek,$D153)</f>
        <v>531056</v>
      </c>
      <c r="L153" s="25">
        <f>SUMIFS(INDEX(Load,,MATCH('Summarized Modified Source Data'!$B153,Hour,0)),Season,'Summarized Modified Source Data'!$A153,Sector,'Summarized Modified Source Data'!L$2,Subsector,'Summarized Modified Source Data'!L$3,TimeOfWeek,$D153)</f>
        <v>265400000</v>
      </c>
      <c r="M153" s="25">
        <f>SUMIFS(INDEX(Load,,MATCH('Summarized Modified Source Data'!$B153,Hour,0)),Season,'Summarized Modified Source Data'!$A153,Sector,'Summarized Modified Source Data'!M$2,Subsector,'Summarized Modified Source Data'!M$3,TimeOfWeek,$D153)</f>
        <v>0</v>
      </c>
      <c r="N153" s="25">
        <f t="shared" si="7"/>
        <v>218068944</v>
      </c>
      <c r="O153" s="25">
        <f>SUMIFS(INDEX(Load,,MATCH('Summarized Modified Source Data'!$B153,Hour,0)),Season,'Summarized Modified Source Data'!$A153,Sector,'Summarized Modified Source Data'!O$2,Subsector,"Total",TimeOfWeek,$D153)-SUM(K153:M153)</f>
        <v>218068944</v>
      </c>
      <c r="P153" s="25">
        <f t="shared" si="8"/>
        <v>218068944</v>
      </c>
      <c r="Q153" s="33" cm="1">
        <f t="array" ref="Q153">SUMIFS(INDEX(Load,,MATCH('Summarized Modified Source Data'!$B153,Hour,0)),Season,'Summarized Modified Source Data'!$A153,Sector,'Summarized Modified Source Data'!Q$2,TimeOfWeek,$D153)*LDVs</f>
        <v>1910629.5711546233</v>
      </c>
      <c r="R153" s="33" cm="1">
        <f t="array" ref="R153">SUMIFS(INDEX(Load,,MATCH('Summarized Modified Source Data'!$B153,Hour,0)),Season,'Summarized Modified Source Data'!$A153,Sector,'Summarized Modified Source Data'!R$2,TimeOfWeek,$D153)*HDVs</f>
        <v>900299.86325626576</v>
      </c>
      <c r="S153" s="33">
        <f>SUMIFS(INDEX(Load,,MATCH('Summarized Modified Source Data'!$B153,Hour,0)),Season,'Summarized Modified Source Data'!$A153,Sector,'Summarized Modified Source Data'!S$2,TimeOfWeek,$D153)*Aircraft</f>
        <v>0</v>
      </c>
      <c r="T153" s="33">
        <f>SUMIFS(INDEX(Load,,MATCH('Summarized Modified Source Data'!$B153,Hour,0)),Season,'Summarized Modified Source Data'!$A153,Sector,'Summarized Modified Source Data'!T$2,TimeOfWeek,$D153)*Rail</f>
        <v>3919618.5655891108</v>
      </c>
      <c r="U153" s="33">
        <f>SUMIFS(INDEX(Load,,MATCH('Summarized Modified Source Data'!$B153,Hour,0)),Season,'Summarized Modified Source Data'!$A153,Sector,'Summarized Modified Source Data'!U$2,TimeOfWeek,$D153)*Ships</f>
        <v>0</v>
      </c>
      <c r="V153" s="33">
        <f>SUMIFS(INDEX(Load,,MATCH('Summarized Modified Source Data'!$B153,Hour,0)),Season,'Summarized Modified Source Data'!$A153,Sector,'Summarized Modified Source Data'!V$2,TimeOfWeek,$D153)*Motorbikes</f>
        <v>0</v>
      </c>
      <c r="W153" s="25">
        <f>SUMIFS(INDEX(Load,,MATCH('Summarized Modified Source Data'!$B153,Hour,0)),Season,'Summarized Modified Source Data'!$A153,Sector,'Summarized Modified Source Data'!W$2,Subsector,'Summarized Modified Source Data'!W$3,TimeOfWeek,$D153)</f>
        <v>1020000000</v>
      </c>
      <c r="X153" s="25">
        <f>SUMIFS(INDEX(Load,,MATCH('Summarized Modified Source Data'!$B153,Hour,0)),Season,'Summarized Modified Source Data'!$A153,Sector,'Summarized Modified Source Data'!X$2,Subsector,'Summarized Modified Source Data'!X$3,TimeOfWeek,$D153)</f>
        <v>0</v>
      </c>
      <c r="Y153" s="25">
        <f>SUMIFS(INDEX(Load,,MATCH('Summarized Modified Source Data'!$B153,Hour,0)),Season,'Summarized Modified Source Data'!$A153,Sector,'Summarized Modified Source Data'!Y$2,Subsector,'Summarized Modified Source Data'!Y$3,TimeOfWeek,$D153)</f>
        <v>0</v>
      </c>
    </row>
    <row r="154" spans="1:25" outlineLevel="1" x14ac:dyDescent="0.25">
      <c r="A154" t="s">
        <v>39</v>
      </c>
      <c r="B154" t="s">
        <v>153</v>
      </c>
      <c r="C154" s="7" t="s">
        <v>5</v>
      </c>
      <c r="D154" t="s">
        <v>114</v>
      </c>
      <c r="E154" s="25">
        <f>SUMIFS(INDEX(Load,,MATCH('Summarized Modified Source Data'!$B154,Hour,0)),Season,'Summarized Modified Source Data'!$A154,Sector,'Summarized Modified Source Data'!E$2,Subsector,'Summarized Modified Source Data'!E$3,TimeOfWeek,$D154)</f>
        <v>285528</v>
      </c>
      <c r="F154" s="25">
        <f>SUMIFS(INDEX(Load,,MATCH('Summarized Modified Source Data'!$B154,Hour,0)),Season,'Summarized Modified Source Data'!$A154,Sector,'Summarized Modified Source Data'!F$2,Subsector,'Summarized Modified Source Data'!F$3,TimeOfWeek,$D154)</f>
        <v>73781058</v>
      </c>
      <c r="G154" s="25">
        <f>SUMIFS(INDEX(Load,,MATCH('Summarized Modified Source Data'!$B154,Hour,0)),Season,'Summarized Modified Source Data'!$A154,Sector,'Summarized Modified Source Data'!G$2,Subsector,'Summarized Modified Source Data'!G$3,TimeOfWeek,$D154)</f>
        <v>0</v>
      </c>
      <c r="H154" s="25">
        <f>SUMIFS(INDEX(Load,,MATCH('Summarized Modified Source Data'!$B154,Hour,0)),Season,'Summarized Modified Source Data'!$A154,Sector,'Summarized Modified Source Data'!H$2,Subsector,'Summarized Modified Source Data'!H$3,TimeOfWeek,$D154)</f>
        <v>11851497</v>
      </c>
      <c r="I154" s="25">
        <f>SUMIFS(INDEX(Load,,MATCH('Summarized Modified Source Data'!$B154,Hour,0)),Season,'Summarized Modified Source Data'!$A154,Sector,'Summarized Modified Source Data'!I$2,Subsector,'Summarized Modified Source Data'!I$3,TimeOfWeek,$D154)</f>
        <v>11011493</v>
      </c>
      <c r="J154" s="25">
        <f t="shared" si="6"/>
        <v>11011493</v>
      </c>
      <c r="K154" s="25">
        <f>SUMIFS(INDEX(Load,,MATCH('Summarized Modified Source Data'!$B154,Hour,0)),Season,'Summarized Modified Source Data'!$A154,Sector,'Summarized Modified Source Data'!K$2,Subsector,'Summarized Modified Source Data'!K$3,TimeOfWeek,$D154)</f>
        <v>589957</v>
      </c>
      <c r="L154" s="25">
        <f>SUMIFS(INDEX(Load,,MATCH('Summarized Modified Source Data'!$B154,Hour,0)),Season,'Summarized Modified Source Data'!$A154,Sector,'Summarized Modified Source Data'!L$2,Subsector,'Summarized Modified Source Data'!L$3,TimeOfWeek,$D154)</f>
        <v>292400000</v>
      </c>
      <c r="M154" s="25">
        <f>SUMIFS(INDEX(Load,,MATCH('Summarized Modified Source Data'!$B154,Hour,0)),Season,'Summarized Modified Source Data'!$A154,Sector,'Summarized Modified Source Data'!M$2,Subsector,'Summarized Modified Source Data'!M$3,TimeOfWeek,$D154)</f>
        <v>0</v>
      </c>
      <c r="N154" s="25">
        <f t="shared" si="7"/>
        <v>243010043</v>
      </c>
      <c r="O154" s="25">
        <f>SUMIFS(INDEX(Load,,MATCH('Summarized Modified Source Data'!$B154,Hour,0)),Season,'Summarized Modified Source Data'!$A154,Sector,'Summarized Modified Source Data'!O$2,Subsector,"Total",TimeOfWeek,$D154)-SUM(K154:M154)</f>
        <v>243010043</v>
      </c>
      <c r="P154" s="25">
        <f t="shared" si="8"/>
        <v>243010043</v>
      </c>
      <c r="Q154" s="33" cm="1">
        <f t="array" ref="Q154">SUMIFS(INDEX(Load,,MATCH('Summarized Modified Source Data'!$B154,Hour,0)),Season,'Summarized Modified Source Data'!$A154,Sector,'Summarized Modified Source Data'!Q$2,TimeOfWeek,$D154)*LDVs</f>
        <v>2374180.9663305669</v>
      </c>
      <c r="R154" s="33" cm="1">
        <f t="array" ref="R154">SUMIFS(INDEX(Load,,MATCH('Summarized Modified Source Data'!$B154,Hour,0)),Season,'Summarized Modified Source Data'!$A154,Sector,'Summarized Modified Source Data'!R$2,TimeOfWeek,$D154)*HDVs</f>
        <v>1118728.0002378111</v>
      </c>
      <c r="S154" s="33">
        <f>SUMIFS(INDEX(Load,,MATCH('Summarized Modified Source Data'!$B154,Hour,0)),Season,'Summarized Modified Source Data'!$A154,Sector,'Summarized Modified Source Data'!S$2,TimeOfWeek,$D154)*Aircraft</f>
        <v>0</v>
      </c>
      <c r="T154" s="33">
        <f>SUMIFS(INDEX(Load,,MATCH('Summarized Modified Source Data'!$B154,Hour,0)),Season,'Summarized Modified Source Data'!$A154,Sector,'Summarized Modified Source Data'!T$2,TimeOfWeek,$D154)*Rail</f>
        <v>4870585.0334316222</v>
      </c>
      <c r="U154" s="33">
        <f>SUMIFS(INDEX(Load,,MATCH('Summarized Modified Source Data'!$B154,Hour,0)),Season,'Summarized Modified Source Data'!$A154,Sector,'Summarized Modified Source Data'!U$2,TimeOfWeek,$D154)*Ships</f>
        <v>0</v>
      </c>
      <c r="V154" s="33">
        <f>SUMIFS(INDEX(Load,,MATCH('Summarized Modified Source Data'!$B154,Hour,0)),Season,'Summarized Modified Source Data'!$A154,Sector,'Summarized Modified Source Data'!V$2,TimeOfWeek,$D154)*Motorbikes</f>
        <v>0</v>
      </c>
      <c r="W154" s="25">
        <f>SUMIFS(INDEX(Load,,MATCH('Summarized Modified Source Data'!$B154,Hour,0)),Season,'Summarized Modified Source Data'!$A154,Sector,'Summarized Modified Source Data'!W$2,Subsector,'Summarized Modified Source Data'!W$3,TimeOfWeek,$D154)</f>
        <v>1025000000</v>
      </c>
      <c r="X154" s="25">
        <f>SUMIFS(INDEX(Load,,MATCH('Summarized Modified Source Data'!$B154,Hour,0)),Season,'Summarized Modified Source Data'!$A154,Sector,'Summarized Modified Source Data'!X$2,Subsector,'Summarized Modified Source Data'!X$3,TimeOfWeek,$D154)</f>
        <v>0</v>
      </c>
      <c r="Y154" s="25">
        <f>SUMIFS(INDEX(Load,,MATCH('Summarized Modified Source Data'!$B154,Hour,0)),Season,'Summarized Modified Source Data'!$A154,Sector,'Summarized Modified Source Data'!Y$2,Subsector,'Summarized Modified Source Data'!Y$3,TimeOfWeek,$D154)</f>
        <v>0</v>
      </c>
    </row>
    <row r="155" spans="1:25" outlineLevel="1" x14ac:dyDescent="0.25">
      <c r="A155" t="s">
        <v>39</v>
      </c>
      <c r="B155" t="s">
        <v>154</v>
      </c>
      <c r="C155" s="7" t="s">
        <v>6</v>
      </c>
      <c r="D155" t="s">
        <v>114</v>
      </c>
      <c r="E155" s="25">
        <f>SUMIFS(INDEX(Load,,MATCH('Summarized Modified Source Data'!$B155,Hour,0)),Season,'Summarized Modified Source Data'!$A155,Sector,'Summarized Modified Source Data'!E$2,Subsector,'Summarized Modified Source Data'!E$3,TimeOfWeek,$D155)</f>
        <v>331408</v>
      </c>
      <c r="F155" s="25">
        <f>SUMIFS(INDEX(Load,,MATCH('Summarized Modified Source Data'!$B155,Hour,0)),Season,'Summarized Modified Source Data'!$A155,Sector,'Summarized Modified Source Data'!F$2,Subsector,'Summarized Modified Source Data'!F$3,TimeOfWeek,$D155)</f>
        <v>84300000</v>
      </c>
      <c r="G155" s="25">
        <f>SUMIFS(INDEX(Load,,MATCH('Summarized Modified Source Data'!$B155,Hour,0)),Season,'Summarized Modified Source Data'!$A155,Sector,'Summarized Modified Source Data'!G$2,Subsector,'Summarized Modified Source Data'!G$3,TimeOfWeek,$D155)</f>
        <v>0</v>
      </c>
      <c r="H155" s="25">
        <f>SUMIFS(INDEX(Load,,MATCH('Summarized Modified Source Data'!$B155,Hour,0)),Season,'Summarized Modified Source Data'!$A155,Sector,'Summarized Modified Source Data'!H$2,Subsector,'Summarized Modified Source Data'!H$3,TimeOfWeek,$D155)</f>
        <v>16124090</v>
      </c>
      <c r="I155" s="25">
        <f>SUMIFS(INDEX(Load,,MATCH('Summarized Modified Source Data'!$B155,Hour,0)),Season,'Summarized Modified Source Data'!$A155,Sector,'Summarized Modified Source Data'!I$2,Subsector,'Summarized Modified Source Data'!I$3,TimeOfWeek,$D155)</f>
        <v>17182390</v>
      </c>
      <c r="J155" s="25">
        <f t="shared" si="6"/>
        <v>17182390</v>
      </c>
      <c r="K155" s="25">
        <f>SUMIFS(INDEX(Load,,MATCH('Summarized Modified Source Data'!$B155,Hour,0)),Season,'Summarized Modified Source Data'!$A155,Sector,'Summarized Modified Source Data'!K$2,Subsector,'Summarized Modified Source Data'!K$3,TimeOfWeek,$D155)</f>
        <v>627366</v>
      </c>
      <c r="L155" s="25">
        <f>SUMIFS(INDEX(Load,,MATCH('Summarized Modified Source Data'!$B155,Hour,0)),Season,'Summarized Modified Source Data'!$A155,Sector,'Summarized Modified Source Data'!L$2,Subsector,'Summarized Modified Source Data'!L$3,TimeOfWeek,$D155)</f>
        <v>330700000</v>
      </c>
      <c r="M155" s="25">
        <f>SUMIFS(INDEX(Load,,MATCH('Summarized Modified Source Data'!$B155,Hour,0)),Season,'Summarized Modified Source Data'!$A155,Sector,'Summarized Modified Source Data'!M$2,Subsector,'Summarized Modified Source Data'!M$3,TimeOfWeek,$D155)</f>
        <v>0</v>
      </c>
      <c r="N155" s="25">
        <f t="shared" si="7"/>
        <v>306672634</v>
      </c>
      <c r="O155" s="25">
        <f>SUMIFS(INDEX(Load,,MATCH('Summarized Modified Source Data'!$B155,Hour,0)),Season,'Summarized Modified Source Data'!$A155,Sector,'Summarized Modified Source Data'!O$2,Subsector,"Total",TimeOfWeek,$D155)-SUM(K155:M155)</f>
        <v>306672634</v>
      </c>
      <c r="P155" s="25">
        <f t="shared" si="8"/>
        <v>306672634</v>
      </c>
      <c r="Q155" s="33" cm="1">
        <f t="array" ref="Q155">SUMIFS(INDEX(Load,,MATCH('Summarized Modified Source Data'!$B155,Hour,0)),Season,'Summarized Modified Source Data'!$A155,Sector,'Summarized Modified Source Data'!Q$2,TimeOfWeek,$D155)*LDVs</f>
        <v>3093060.8255095095</v>
      </c>
      <c r="R155" s="33" cm="1">
        <f t="array" ref="R155">SUMIFS(INDEX(Load,,MATCH('Summarized Modified Source Data'!$B155,Hour,0)),Season,'Summarized Modified Source Data'!$A155,Sector,'Summarized Modified Source Data'!R$2,TimeOfWeek,$D155)*HDVs</f>
        <v>1457468.4074248348</v>
      </c>
      <c r="S155" s="33">
        <f>SUMIFS(INDEX(Load,,MATCH('Summarized Modified Source Data'!$B155,Hour,0)),Season,'Summarized Modified Source Data'!$A155,Sector,'Summarized Modified Source Data'!S$2,TimeOfWeek,$D155)*Aircraft</f>
        <v>0</v>
      </c>
      <c r="T155" s="33">
        <f>SUMIFS(INDEX(Load,,MATCH('Summarized Modified Source Data'!$B155,Hour,0)),Season,'Summarized Modified Source Data'!$A155,Sector,'Summarized Modified Source Data'!T$2,TimeOfWeek,$D155)*Rail</f>
        <v>6345352.7670656554</v>
      </c>
      <c r="U155" s="33">
        <f>SUMIFS(INDEX(Load,,MATCH('Summarized Modified Source Data'!$B155,Hour,0)),Season,'Summarized Modified Source Data'!$A155,Sector,'Summarized Modified Source Data'!U$2,TimeOfWeek,$D155)*Ships</f>
        <v>0</v>
      </c>
      <c r="V155" s="33">
        <f>SUMIFS(INDEX(Load,,MATCH('Summarized Modified Source Data'!$B155,Hour,0)),Season,'Summarized Modified Source Data'!$A155,Sector,'Summarized Modified Source Data'!V$2,TimeOfWeek,$D155)*Motorbikes</f>
        <v>0</v>
      </c>
      <c r="W155" s="25">
        <f>SUMIFS(INDEX(Load,,MATCH('Summarized Modified Source Data'!$B155,Hour,0)),Season,'Summarized Modified Source Data'!$A155,Sector,'Summarized Modified Source Data'!W$2,Subsector,'Summarized Modified Source Data'!W$3,TimeOfWeek,$D155)</f>
        <v>1025000000</v>
      </c>
      <c r="X155" s="25">
        <f>SUMIFS(INDEX(Load,,MATCH('Summarized Modified Source Data'!$B155,Hour,0)),Season,'Summarized Modified Source Data'!$A155,Sector,'Summarized Modified Source Data'!X$2,Subsector,'Summarized Modified Source Data'!X$3,TimeOfWeek,$D155)</f>
        <v>0</v>
      </c>
      <c r="Y155" s="25">
        <f>SUMIFS(INDEX(Load,,MATCH('Summarized Modified Source Data'!$B155,Hour,0)),Season,'Summarized Modified Source Data'!$A155,Sector,'Summarized Modified Source Data'!Y$2,Subsector,'Summarized Modified Source Data'!Y$3,TimeOfWeek,$D155)</f>
        <v>0</v>
      </c>
    </row>
    <row r="156" spans="1:25" outlineLevel="1" x14ac:dyDescent="0.25">
      <c r="A156" t="s">
        <v>39</v>
      </c>
      <c r="B156" t="s">
        <v>155</v>
      </c>
      <c r="C156" s="7" t="s">
        <v>7</v>
      </c>
      <c r="D156" t="s">
        <v>114</v>
      </c>
      <c r="E156" s="25">
        <f>SUMIFS(INDEX(Load,,MATCH('Summarized Modified Source Data'!$B156,Hour,0)),Season,'Summarized Modified Source Data'!$A156,Sector,'Summarized Modified Source Data'!E$2,Subsector,'Summarized Modified Source Data'!E$3,TimeOfWeek,$D156)</f>
        <v>360100</v>
      </c>
      <c r="F156" s="25">
        <f>SUMIFS(INDEX(Load,,MATCH('Summarized Modified Source Data'!$B156,Hour,0)),Season,'Summarized Modified Source Data'!$A156,Sector,'Summarized Modified Source Data'!F$2,Subsector,'Summarized Modified Source Data'!F$3,TimeOfWeek,$D156)</f>
        <v>91000000</v>
      </c>
      <c r="G156" s="25">
        <f>SUMIFS(INDEX(Load,,MATCH('Summarized Modified Source Data'!$B156,Hour,0)),Season,'Summarized Modified Source Data'!$A156,Sector,'Summarized Modified Source Data'!G$2,Subsector,'Summarized Modified Source Data'!G$3,TimeOfWeek,$D156)</f>
        <v>0</v>
      </c>
      <c r="H156" s="25">
        <f>SUMIFS(INDEX(Load,,MATCH('Summarized Modified Source Data'!$B156,Hour,0)),Season,'Summarized Modified Source Data'!$A156,Sector,'Summarized Modified Source Data'!H$2,Subsector,'Summarized Modified Source Data'!H$3,TimeOfWeek,$D156)</f>
        <v>19670536</v>
      </c>
      <c r="I156" s="25">
        <f>SUMIFS(INDEX(Load,,MATCH('Summarized Modified Source Data'!$B156,Hour,0)),Season,'Summarized Modified Source Data'!$A156,Sector,'Summarized Modified Source Data'!I$2,Subsector,'Summarized Modified Source Data'!I$3,TimeOfWeek,$D156)</f>
        <v>26174773</v>
      </c>
      <c r="J156" s="25">
        <f t="shared" si="6"/>
        <v>26174773</v>
      </c>
      <c r="K156" s="25">
        <f>SUMIFS(INDEX(Load,,MATCH('Summarized Modified Source Data'!$B156,Hour,0)),Season,'Summarized Modified Source Data'!$A156,Sector,'Summarized Modified Source Data'!K$2,Subsector,'Summarized Modified Source Data'!K$3,TimeOfWeek,$D156)</f>
        <v>536047</v>
      </c>
      <c r="L156" s="25">
        <f>SUMIFS(INDEX(Load,,MATCH('Summarized Modified Source Data'!$B156,Hour,0)),Season,'Summarized Modified Source Data'!$A156,Sector,'Summarized Modified Source Data'!L$2,Subsector,'Summarized Modified Source Data'!L$3,TimeOfWeek,$D156)</f>
        <v>375900000</v>
      </c>
      <c r="M156" s="25">
        <f>SUMIFS(INDEX(Load,,MATCH('Summarized Modified Source Data'!$B156,Hour,0)),Season,'Summarized Modified Source Data'!$A156,Sector,'Summarized Modified Source Data'!M$2,Subsector,'Summarized Modified Source Data'!M$3,TimeOfWeek,$D156)</f>
        <v>0</v>
      </c>
      <c r="N156" s="25">
        <f t="shared" si="7"/>
        <v>348563953</v>
      </c>
      <c r="O156" s="25">
        <f>SUMIFS(INDEX(Load,,MATCH('Summarized Modified Source Data'!$B156,Hour,0)),Season,'Summarized Modified Source Data'!$A156,Sector,'Summarized Modified Source Data'!O$2,Subsector,"Total",TimeOfWeek,$D156)-SUM(K156:M156)</f>
        <v>348563953</v>
      </c>
      <c r="P156" s="25">
        <f t="shared" si="8"/>
        <v>348563953</v>
      </c>
      <c r="Q156" s="33" cm="1">
        <f t="array" ref="Q156">SUMIFS(INDEX(Load,,MATCH('Summarized Modified Source Data'!$B156,Hour,0)),Season,'Summarized Modified Source Data'!$A156,Sector,'Summarized Modified Source Data'!Q$2,TimeOfWeek,$D156)*LDVs</f>
        <v>3713954.0908995261</v>
      </c>
      <c r="R156" s="33" cm="1">
        <f t="array" ref="R156">SUMIFS(INDEX(Load,,MATCH('Summarized Modified Source Data'!$B156,Hour,0)),Season,'Summarized Modified Source Data'!$A156,Sector,'Summarized Modified Source Data'!R$2,TimeOfWeek,$D156)*HDVs</f>
        <v>1750036.9567483764</v>
      </c>
      <c r="S156" s="33">
        <f>SUMIFS(INDEX(Load,,MATCH('Summarized Modified Source Data'!$B156,Hour,0)),Season,'Summarized Modified Source Data'!$A156,Sector,'Summarized Modified Source Data'!S$2,TimeOfWeek,$D156)*Aircraft</f>
        <v>0</v>
      </c>
      <c r="T156" s="33">
        <f>SUMIFS(INDEX(Load,,MATCH('Summarized Modified Source Data'!$B156,Hour,0)),Season,'Summarized Modified Source Data'!$A156,Sector,'Summarized Modified Source Data'!T$2,TimeOfWeek,$D156)*Rail</f>
        <v>7619102.9523520973</v>
      </c>
      <c r="U156" s="33">
        <f>SUMIFS(INDEX(Load,,MATCH('Summarized Modified Source Data'!$B156,Hour,0)),Season,'Summarized Modified Source Data'!$A156,Sector,'Summarized Modified Source Data'!U$2,TimeOfWeek,$D156)*Ships</f>
        <v>0</v>
      </c>
      <c r="V156" s="33">
        <f>SUMIFS(INDEX(Load,,MATCH('Summarized Modified Source Data'!$B156,Hour,0)),Season,'Summarized Modified Source Data'!$A156,Sector,'Summarized Modified Source Data'!V$2,TimeOfWeek,$D156)*Motorbikes</f>
        <v>0</v>
      </c>
      <c r="W156" s="25">
        <f>SUMIFS(INDEX(Load,,MATCH('Summarized Modified Source Data'!$B156,Hour,0)),Season,'Summarized Modified Source Data'!$A156,Sector,'Summarized Modified Source Data'!W$2,Subsector,'Summarized Modified Source Data'!W$3,TimeOfWeek,$D156)</f>
        <v>1024000000</v>
      </c>
      <c r="X156" s="25">
        <f>SUMIFS(INDEX(Load,,MATCH('Summarized Modified Source Data'!$B156,Hour,0)),Season,'Summarized Modified Source Data'!$A156,Sector,'Summarized Modified Source Data'!X$2,Subsector,'Summarized Modified Source Data'!X$3,TimeOfWeek,$D156)</f>
        <v>0</v>
      </c>
      <c r="Y156" s="25">
        <f>SUMIFS(INDEX(Load,,MATCH('Summarized Modified Source Data'!$B156,Hour,0)),Season,'Summarized Modified Source Data'!$A156,Sector,'Summarized Modified Source Data'!Y$2,Subsector,'Summarized Modified Source Data'!Y$3,TimeOfWeek,$D156)</f>
        <v>0</v>
      </c>
    </row>
    <row r="157" spans="1:25" outlineLevel="1" x14ac:dyDescent="0.25">
      <c r="A157" t="s">
        <v>39</v>
      </c>
      <c r="B157" t="s">
        <v>156</v>
      </c>
      <c r="C157" s="7" t="s">
        <v>8</v>
      </c>
      <c r="D157" t="s">
        <v>114</v>
      </c>
      <c r="E157" s="25">
        <f>SUMIFS(INDEX(Load,,MATCH('Summarized Modified Source Data'!$B157,Hour,0)),Season,'Summarized Modified Source Data'!$A157,Sector,'Summarized Modified Source Data'!E$2,Subsector,'Summarized Modified Source Data'!E$3,TimeOfWeek,$D157)</f>
        <v>365857</v>
      </c>
      <c r="F157" s="25">
        <f>SUMIFS(INDEX(Load,,MATCH('Summarized Modified Source Data'!$B157,Hour,0)),Season,'Summarized Modified Source Data'!$A157,Sector,'Summarized Modified Source Data'!F$2,Subsector,'Summarized Modified Source Data'!F$3,TimeOfWeek,$D157)</f>
        <v>93200000</v>
      </c>
      <c r="G157" s="25">
        <f>SUMIFS(INDEX(Load,,MATCH('Summarized Modified Source Data'!$B157,Hour,0)),Season,'Summarized Modified Source Data'!$A157,Sector,'Summarized Modified Source Data'!G$2,Subsector,'Summarized Modified Source Data'!G$3,TimeOfWeek,$D157)</f>
        <v>0</v>
      </c>
      <c r="H157" s="25">
        <f>SUMIFS(INDEX(Load,,MATCH('Summarized Modified Source Data'!$B157,Hour,0)),Season,'Summarized Modified Source Data'!$A157,Sector,'Summarized Modified Source Data'!H$2,Subsector,'Summarized Modified Source Data'!H$3,TimeOfWeek,$D157)</f>
        <v>20382219</v>
      </c>
      <c r="I157" s="25">
        <f>SUMIFS(INDEX(Load,,MATCH('Summarized Modified Source Data'!$B157,Hour,0)),Season,'Summarized Modified Source Data'!$A157,Sector,'Summarized Modified Source Data'!I$2,Subsector,'Summarized Modified Source Data'!I$3,TimeOfWeek,$D157)</f>
        <v>35700000</v>
      </c>
      <c r="J157" s="25">
        <f t="shared" si="6"/>
        <v>35700000</v>
      </c>
      <c r="K157" s="25">
        <f>SUMIFS(INDEX(Load,,MATCH('Summarized Modified Source Data'!$B157,Hour,0)),Season,'Summarized Modified Source Data'!$A157,Sector,'Summarized Modified Source Data'!K$2,Subsector,'Summarized Modified Source Data'!K$3,TimeOfWeek,$D157)</f>
        <v>474084</v>
      </c>
      <c r="L157" s="25">
        <f>SUMIFS(INDEX(Load,,MATCH('Summarized Modified Source Data'!$B157,Hour,0)),Season,'Summarized Modified Source Data'!$A157,Sector,'Summarized Modified Source Data'!L$2,Subsector,'Summarized Modified Source Data'!L$3,TimeOfWeek,$D157)</f>
        <v>417000000</v>
      </c>
      <c r="M157" s="25">
        <f>SUMIFS(INDEX(Load,,MATCH('Summarized Modified Source Data'!$B157,Hour,0)),Season,'Summarized Modified Source Data'!$A157,Sector,'Summarized Modified Source Data'!M$2,Subsector,'Summarized Modified Source Data'!M$3,TimeOfWeek,$D157)</f>
        <v>0</v>
      </c>
      <c r="N157" s="25">
        <f t="shared" si="7"/>
        <v>379525916</v>
      </c>
      <c r="O157" s="25">
        <f>SUMIFS(INDEX(Load,,MATCH('Summarized Modified Source Data'!$B157,Hour,0)),Season,'Summarized Modified Source Data'!$A157,Sector,'Summarized Modified Source Data'!O$2,Subsector,"Total",TimeOfWeek,$D157)-SUM(K157:M157)</f>
        <v>379525916</v>
      </c>
      <c r="P157" s="25">
        <f t="shared" si="8"/>
        <v>379525916</v>
      </c>
      <c r="Q157" s="33" cm="1">
        <f t="array" ref="Q157">SUMIFS(INDEX(Load,,MATCH('Summarized Modified Source Data'!$B157,Hour,0)),Season,'Summarized Modified Source Data'!$A157,Sector,'Summarized Modified Source Data'!Q$2,TimeOfWeek,$D157)*LDVs</f>
        <v>4233360.0246897461</v>
      </c>
      <c r="R157" s="33" cm="1">
        <f t="array" ref="R157">SUMIFS(INDEX(Load,,MATCH('Summarized Modified Source Data'!$B157,Hour,0)),Season,'Summarized Modified Source Data'!$A157,Sector,'Summarized Modified Source Data'!R$2,TimeOfWeek,$D157)*HDVs</f>
        <v>1994784.0800137394</v>
      </c>
      <c r="S157" s="33">
        <f>SUMIFS(INDEX(Load,,MATCH('Summarized Modified Source Data'!$B157,Hour,0)),Season,'Summarized Modified Source Data'!$A157,Sector,'Summarized Modified Source Data'!S$2,TimeOfWeek,$D157)*Aircraft</f>
        <v>0</v>
      </c>
      <c r="T157" s="33">
        <f>SUMIFS(INDEX(Load,,MATCH('Summarized Modified Source Data'!$B157,Hour,0)),Season,'Summarized Modified Source Data'!$A157,Sector,'Summarized Modified Source Data'!T$2,TimeOfWeek,$D157)*Rail</f>
        <v>8684653.895296514</v>
      </c>
      <c r="U157" s="33">
        <f>SUMIFS(INDEX(Load,,MATCH('Summarized Modified Source Data'!$B157,Hour,0)),Season,'Summarized Modified Source Data'!$A157,Sector,'Summarized Modified Source Data'!U$2,TimeOfWeek,$D157)*Ships</f>
        <v>0</v>
      </c>
      <c r="V157" s="33">
        <f>SUMIFS(INDEX(Load,,MATCH('Summarized Modified Source Data'!$B157,Hour,0)),Season,'Summarized Modified Source Data'!$A157,Sector,'Summarized Modified Source Data'!V$2,TimeOfWeek,$D157)*Motorbikes</f>
        <v>0</v>
      </c>
      <c r="W157" s="25">
        <f>SUMIFS(INDEX(Load,,MATCH('Summarized Modified Source Data'!$B157,Hour,0)),Season,'Summarized Modified Source Data'!$A157,Sector,'Summarized Modified Source Data'!W$2,Subsector,'Summarized Modified Source Data'!W$3,TimeOfWeek,$D157)</f>
        <v>1019000000</v>
      </c>
      <c r="X157" s="25">
        <f>SUMIFS(INDEX(Load,,MATCH('Summarized Modified Source Data'!$B157,Hour,0)),Season,'Summarized Modified Source Data'!$A157,Sector,'Summarized Modified Source Data'!X$2,Subsector,'Summarized Modified Source Data'!X$3,TimeOfWeek,$D157)</f>
        <v>0</v>
      </c>
      <c r="Y157" s="25">
        <f>SUMIFS(INDEX(Load,,MATCH('Summarized Modified Source Data'!$B157,Hour,0)),Season,'Summarized Modified Source Data'!$A157,Sector,'Summarized Modified Source Data'!Y$2,Subsector,'Summarized Modified Source Data'!Y$3,TimeOfWeek,$D157)</f>
        <v>0</v>
      </c>
    </row>
    <row r="158" spans="1:25" outlineLevel="1" x14ac:dyDescent="0.25">
      <c r="A158" t="s">
        <v>39</v>
      </c>
      <c r="B158" t="s">
        <v>157</v>
      </c>
      <c r="C158" s="7" t="s">
        <v>9</v>
      </c>
      <c r="D158" t="s">
        <v>114</v>
      </c>
      <c r="E158" s="25">
        <f>SUMIFS(INDEX(Load,,MATCH('Summarized Modified Source Data'!$B158,Hour,0)),Season,'Summarized Modified Source Data'!$A158,Sector,'Summarized Modified Source Data'!E$2,Subsector,'Summarized Modified Source Data'!E$3,TimeOfWeek,$D158)</f>
        <v>366841</v>
      </c>
      <c r="F158" s="25">
        <f>SUMIFS(INDEX(Load,,MATCH('Summarized Modified Source Data'!$B158,Hour,0)),Season,'Summarized Modified Source Data'!$A158,Sector,'Summarized Modified Source Data'!F$2,Subsector,'Summarized Modified Source Data'!F$3,TimeOfWeek,$D158)</f>
        <v>99100000</v>
      </c>
      <c r="G158" s="25">
        <f>SUMIFS(INDEX(Load,,MATCH('Summarized Modified Source Data'!$B158,Hour,0)),Season,'Summarized Modified Source Data'!$A158,Sector,'Summarized Modified Source Data'!G$2,Subsector,'Summarized Modified Source Data'!G$3,TimeOfWeek,$D158)</f>
        <v>0</v>
      </c>
      <c r="H158" s="25">
        <f>SUMIFS(INDEX(Load,,MATCH('Summarized Modified Source Data'!$B158,Hour,0)),Season,'Summarized Modified Source Data'!$A158,Sector,'Summarized Modified Source Data'!H$2,Subsector,'Summarized Modified Source Data'!H$3,TimeOfWeek,$D158)</f>
        <v>20503803</v>
      </c>
      <c r="I158" s="25">
        <f>SUMIFS(INDEX(Load,,MATCH('Summarized Modified Source Data'!$B158,Hour,0)),Season,'Summarized Modified Source Data'!$A158,Sector,'Summarized Modified Source Data'!I$2,Subsector,'Summarized Modified Source Data'!I$3,TimeOfWeek,$D158)</f>
        <v>36700000</v>
      </c>
      <c r="J158" s="25">
        <f t="shared" si="6"/>
        <v>36700000</v>
      </c>
      <c r="K158" s="25">
        <f>SUMIFS(INDEX(Load,,MATCH('Summarized Modified Source Data'!$B158,Hour,0)),Season,'Summarized Modified Source Data'!$A158,Sector,'Summarized Modified Source Data'!K$2,Subsector,'Summarized Modified Source Data'!K$3,TimeOfWeek,$D158)</f>
        <v>431992</v>
      </c>
      <c r="L158" s="25">
        <f>SUMIFS(INDEX(Load,,MATCH('Summarized Modified Source Data'!$B158,Hour,0)),Season,'Summarized Modified Source Data'!$A158,Sector,'Summarized Modified Source Data'!L$2,Subsector,'Summarized Modified Source Data'!L$3,TimeOfWeek,$D158)</f>
        <v>448800000</v>
      </c>
      <c r="M158" s="25">
        <f>SUMIFS(INDEX(Load,,MATCH('Summarized Modified Source Data'!$B158,Hour,0)),Season,'Summarized Modified Source Data'!$A158,Sector,'Summarized Modified Source Data'!M$2,Subsector,'Summarized Modified Source Data'!M$3,TimeOfWeek,$D158)</f>
        <v>0</v>
      </c>
      <c r="N158" s="25">
        <f t="shared" si="7"/>
        <v>375768008</v>
      </c>
      <c r="O158" s="25">
        <f>SUMIFS(INDEX(Load,,MATCH('Summarized Modified Source Data'!$B158,Hour,0)),Season,'Summarized Modified Source Data'!$A158,Sector,'Summarized Modified Source Data'!O$2,Subsector,"Total",TimeOfWeek,$D158)-SUM(K158:M158)</f>
        <v>375768008</v>
      </c>
      <c r="P158" s="25">
        <f t="shared" si="8"/>
        <v>375768008</v>
      </c>
      <c r="Q158" s="33" cm="1">
        <f t="array" ref="Q158">SUMIFS(INDEX(Load,,MATCH('Summarized Modified Source Data'!$B158,Hour,0)),Season,'Summarized Modified Source Data'!$A158,Sector,'Summarized Modified Source Data'!Q$2,TimeOfWeek,$D158)*LDVs</f>
        <v>4492490.984879626</v>
      </c>
      <c r="R158" s="33" cm="1">
        <f t="array" ref="R158">SUMIFS(INDEX(Load,,MATCH('Summarized Modified Source Data'!$B158,Hour,0)),Season,'Summarized Modified Source Data'!$A158,Sector,'Summarized Modified Source Data'!R$2,TimeOfWeek,$D158)*HDVs</f>
        <v>2116888.1087310533</v>
      </c>
      <c r="S158" s="33">
        <f>SUMIFS(INDEX(Load,,MATCH('Summarized Modified Source Data'!$B158,Hour,0)),Season,'Summarized Modified Source Data'!$A158,Sector,'Summarized Modified Source Data'!S$2,TimeOfWeek,$D158)*Aircraft</f>
        <v>0</v>
      </c>
      <c r="T158" s="33">
        <f>SUMIFS(INDEX(Load,,MATCH('Summarized Modified Source Data'!$B158,Hour,0)),Season,'Summarized Modified Source Data'!$A158,Sector,'Summarized Modified Source Data'!T$2,TimeOfWeek,$D158)*Rail</f>
        <v>9216255.9063893203</v>
      </c>
      <c r="U158" s="33">
        <f>SUMIFS(INDEX(Load,,MATCH('Summarized Modified Source Data'!$B158,Hour,0)),Season,'Summarized Modified Source Data'!$A158,Sector,'Summarized Modified Source Data'!U$2,TimeOfWeek,$D158)*Ships</f>
        <v>0</v>
      </c>
      <c r="V158" s="33">
        <f>SUMIFS(INDEX(Load,,MATCH('Summarized Modified Source Data'!$B158,Hour,0)),Season,'Summarized Modified Source Data'!$A158,Sector,'Summarized Modified Source Data'!V$2,TimeOfWeek,$D158)*Motorbikes</f>
        <v>0</v>
      </c>
      <c r="W158" s="25">
        <f>SUMIFS(INDEX(Load,,MATCH('Summarized Modified Source Data'!$B158,Hour,0)),Season,'Summarized Modified Source Data'!$A158,Sector,'Summarized Modified Source Data'!W$2,Subsector,'Summarized Modified Source Data'!W$3,TimeOfWeek,$D158)</f>
        <v>1017000000</v>
      </c>
      <c r="X158" s="25">
        <f>SUMIFS(INDEX(Load,,MATCH('Summarized Modified Source Data'!$B158,Hour,0)),Season,'Summarized Modified Source Data'!$A158,Sector,'Summarized Modified Source Data'!X$2,Subsector,'Summarized Modified Source Data'!X$3,TimeOfWeek,$D158)</f>
        <v>0</v>
      </c>
      <c r="Y158" s="25">
        <f>SUMIFS(INDEX(Load,,MATCH('Summarized Modified Source Data'!$B158,Hour,0)),Season,'Summarized Modified Source Data'!$A158,Sector,'Summarized Modified Source Data'!Y$2,Subsector,'Summarized Modified Source Data'!Y$3,TimeOfWeek,$D158)</f>
        <v>0</v>
      </c>
    </row>
    <row r="159" spans="1:25" outlineLevel="1" x14ac:dyDescent="0.25">
      <c r="A159" t="s">
        <v>39</v>
      </c>
      <c r="B159" t="s">
        <v>158</v>
      </c>
      <c r="C159" s="7" t="s">
        <v>10</v>
      </c>
      <c r="D159" t="s">
        <v>114</v>
      </c>
      <c r="E159" s="25">
        <f>SUMIFS(INDEX(Load,,MATCH('Summarized Modified Source Data'!$B159,Hour,0)),Season,'Summarized Modified Source Data'!$A159,Sector,'Summarized Modified Source Data'!E$2,Subsector,'Summarized Modified Source Data'!E$3,TimeOfWeek,$D159)</f>
        <v>282395</v>
      </c>
      <c r="F159" s="25">
        <f>SUMIFS(INDEX(Load,,MATCH('Summarized Modified Source Data'!$B159,Hour,0)),Season,'Summarized Modified Source Data'!$A159,Sector,'Summarized Modified Source Data'!F$2,Subsector,'Summarized Modified Source Data'!F$3,TimeOfWeek,$D159)</f>
        <v>113500000</v>
      </c>
      <c r="G159" s="25">
        <f>SUMIFS(INDEX(Load,,MATCH('Summarized Modified Source Data'!$B159,Hour,0)),Season,'Summarized Modified Source Data'!$A159,Sector,'Summarized Modified Source Data'!G$2,Subsector,'Summarized Modified Source Data'!G$3,TimeOfWeek,$D159)</f>
        <v>0</v>
      </c>
      <c r="H159" s="25">
        <f>SUMIFS(INDEX(Load,,MATCH('Summarized Modified Source Data'!$B159,Hour,0)),Season,'Summarized Modified Source Data'!$A159,Sector,'Summarized Modified Source Data'!H$2,Subsector,'Summarized Modified Source Data'!H$3,TimeOfWeek,$D159)</f>
        <v>21755012</v>
      </c>
      <c r="I159" s="25">
        <f>SUMIFS(INDEX(Load,,MATCH('Summarized Modified Source Data'!$B159,Hour,0)),Season,'Summarized Modified Source Data'!$A159,Sector,'Summarized Modified Source Data'!I$2,Subsector,'Summarized Modified Source Data'!I$3,TimeOfWeek,$D159)</f>
        <v>33700000</v>
      </c>
      <c r="J159" s="25">
        <f t="shared" si="6"/>
        <v>33700000</v>
      </c>
      <c r="K159" s="25">
        <f>SUMIFS(INDEX(Load,,MATCH('Summarized Modified Source Data'!$B159,Hour,0)),Season,'Summarized Modified Source Data'!$A159,Sector,'Summarized Modified Source Data'!K$2,Subsector,'Summarized Modified Source Data'!K$3,TimeOfWeek,$D159)</f>
        <v>405976</v>
      </c>
      <c r="L159" s="25">
        <f>SUMIFS(INDEX(Load,,MATCH('Summarized Modified Source Data'!$B159,Hour,0)),Season,'Summarized Modified Source Data'!$A159,Sector,'Summarized Modified Source Data'!L$2,Subsector,'Summarized Modified Source Data'!L$3,TimeOfWeek,$D159)</f>
        <v>472900000</v>
      </c>
      <c r="M159" s="25">
        <f>SUMIFS(INDEX(Load,,MATCH('Summarized Modified Source Data'!$B159,Hour,0)),Season,'Summarized Modified Source Data'!$A159,Sector,'Summarized Modified Source Data'!M$2,Subsector,'Summarized Modified Source Data'!M$3,TimeOfWeek,$D159)</f>
        <v>0</v>
      </c>
      <c r="N159" s="25">
        <f t="shared" si="7"/>
        <v>377694024</v>
      </c>
      <c r="O159" s="25">
        <f>SUMIFS(INDEX(Load,,MATCH('Summarized Modified Source Data'!$B159,Hour,0)),Season,'Summarized Modified Source Data'!$A159,Sector,'Summarized Modified Source Data'!O$2,Subsector,"Total",TimeOfWeek,$D159)-SUM(K159:M159)</f>
        <v>377694024</v>
      </c>
      <c r="P159" s="25">
        <f t="shared" si="8"/>
        <v>377694024</v>
      </c>
      <c r="Q159" s="33" cm="1">
        <f t="array" ref="Q159">SUMIFS(INDEX(Load,,MATCH('Summarized Modified Source Data'!$B159,Hour,0)),Season,'Summarized Modified Source Data'!$A159,Sector,'Summarized Modified Source Data'!Q$2,TimeOfWeek,$D159)*LDVs</f>
        <v>4647076.719559662</v>
      </c>
      <c r="R159" s="33" cm="1">
        <f t="array" ref="R159">SUMIFS(INDEX(Load,,MATCH('Summarized Modified Source Data'!$B159,Hour,0)),Season,'Summarized Modified Source Data'!$A159,Sector,'Summarized Modified Source Data'!R$2,TimeOfWeek,$D159)*HDVs</f>
        <v>2189729.8138396479</v>
      </c>
      <c r="S159" s="33">
        <f>SUMIFS(INDEX(Load,,MATCH('Summarized Modified Source Data'!$B159,Hour,0)),Season,'Summarized Modified Source Data'!$A159,Sector,'Summarized Modified Source Data'!S$2,TimeOfWeek,$D159)*Aircraft</f>
        <v>0</v>
      </c>
      <c r="T159" s="33">
        <f>SUMIFS(INDEX(Load,,MATCH('Summarized Modified Source Data'!$B159,Hour,0)),Season,'Summarized Modified Source Data'!$A159,Sector,'Summarized Modified Source Data'!T$2,TimeOfWeek,$D159)*Rail</f>
        <v>9533385.46660069</v>
      </c>
      <c r="U159" s="33">
        <f>SUMIFS(INDEX(Load,,MATCH('Summarized Modified Source Data'!$B159,Hour,0)),Season,'Summarized Modified Source Data'!$A159,Sector,'Summarized Modified Source Data'!U$2,TimeOfWeek,$D159)*Ships</f>
        <v>0</v>
      </c>
      <c r="V159" s="33">
        <f>SUMIFS(INDEX(Load,,MATCH('Summarized Modified Source Data'!$B159,Hour,0)),Season,'Summarized Modified Source Data'!$A159,Sector,'Summarized Modified Source Data'!V$2,TimeOfWeek,$D159)*Motorbikes</f>
        <v>0</v>
      </c>
      <c r="W159" s="25">
        <f>SUMIFS(INDEX(Load,,MATCH('Summarized Modified Source Data'!$B159,Hour,0)),Season,'Summarized Modified Source Data'!$A159,Sector,'Summarized Modified Source Data'!W$2,Subsector,'Summarized Modified Source Data'!W$3,TimeOfWeek,$D159)</f>
        <v>1015000000</v>
      </c>
      <c r="X159" s="25">
        <f>SUMIFS(INDEX(Load,,MATCH('Summarized Modified Source Data'!$B159,Hour,0)),Season,'Summarized Modified Source Data'!$A159,Sector,'Summarized Modified Source Data'!X$2,Subsector,'Summarized Modified Source Data'!X$3,TimeOfWeek,$D159)</f>
        <v>0</v>
      </c>
      <c r="Y159" s="25">
        <f>SUMIFS(INDEX(Load,,MATCH('Summarized Modified Source Data'!$B159,Hour,0)),Season,'Summarized Modified Source Data'!$A159,Sector,'Summarized Modified Source Data'!Y$2,Subsector,'Summarized Modified Source Data'!Y$3,TimeOfWeek,$D159)</f>
        <v>0</v>
      </c>
    </row>
    <row r="160" spans="1:25" outlineLevel="1" x14ac:dyDescent="0.25">
      <c r="A160" t="s">
        <v>39</v>
      </c>
      <c r="B160" t="s">
        <v>159</v>
      </c>
      <c r="C160" s="7" t="s">
        <v>11</v>
      </c>
      <c r="D160" t="s">
        <v>114</v>
      </c>
      <c r="E160" s="25">
        <f>SUMIFS(INDEX(Load,,MATCH('Summarized Modified Source Data'!$B160,Hour,0)),Season,'Summarized Modified Source Data'!$A160,Sector,'Summarized Modified Source Data'!E$2,Subsector,'Summarized Modified Source Data'!E$3,TimeOfWeek,$D160)</f>
        <v>288512</v>
      </c>
      <c r="F160" s="25">
        <f>SUMIFS(INDEX(Load,,MATCH('Summarized Modified Source Data'!$B160,Hour,0)),Season,'Summarized Modified Source Data'!$A160,Sector,'Summarized Modified Source Data'!F$2,Subsector,'Summarized Modified Source Data'!F$3,TimeOfWeek,$D160)</f>
        <v>127000000</v>
      </c>
      <c r="G160" s="25">
        <f>SUMIFS(INDEX(Load,,MATCH('Summarized Modified Source Data'!$B160,Hour,0)),Season,'Summarized Modified Source Data'!$A160,Sector,'Summarized Modified Source Data'!G$2,Subsector,'Summarized Modified Source Data'!G$3,TimeOfWeek,$D160)</f>
        <v>0</v>
      </c>
      <c r="H160" s="25">
        <f>SUMIFS(INDEX(Load,,MATCH('Summarized Modified Source Data'!$B160,Hour,0)),Season,'Summarized Modified Source Data'!$A160,Sector,'Summarized Modified Source Data'!H$2,Subsector,'Summarized Modified Source Data'!H$3,TimeOfWeek,$D160)</f>
        <v>22511088</v>
      </c>
      <c r="I160" s="25">
        <f>SUMIFS(INDEX(Load,,MATCH('Summarized Modified Source Data'!$B160,Hour,0)),Season,'Summarized Modified Source Data'!$A160,Sector,'Summarized Modified Source Data'!I$2,Subsector,'Summarized Modified Source Data'!I$3,TimeOfWeek,$D160)</f>
        <v>30300000</v>
      </c>
      <c r="J160" s="25">
        <f t="shared" si="6"/>
        <v>30300000</v>
      </c>
      <c r="K160" s="25">
        <f>SUMIFS(INDEX(Load,,MATCH('Summarized Modified Source Data'!$B160,Hour,0)),Season,'Summarized Modified Source Data'!$A160,Sector,'Summarized Modified Source Data'!K$2,Subsector,'Summarized Modified Source Data'!K$3,TimeOfWeek,$D160)</f>
        <v>385896</v>
      </c>
      <c r="L160" s="25">
        <f>SUMIFS(INDEX(Load,,MATCH('Summarized Modified Source Data'!$B160,Hour,0)),Season,'Summarized Modified Source Data'!$A160,Sector,'Summarized Modified Source Data'!L$2,Subsector,'Summarized Modified Source Data'!L$3,TimeOfWeek,$D160)</f>
        <v>492000000</v>
      </c>
      <c r="M160" s="25">
        <f>SUMIFS(INDEX(Load,,MATCH('Summarized Modified Source Data'!$B160,Hour,0)),Season,'Summarized Modified Source Data'!$A160,Sector,'Summarized Modified Source Data'!M$2,Subsector,'Summarized Modified Source Data'!M$3,TimeOfWeek,$D160)</f>
        <v>0</v>
      </c>
      <c r="N160" s="25">
        <f t="shared" si="7"/>
        <v>375614104</v>
      </c>
      <c r="O160" s="25">
        <f>SUMIFS(INDEX(Load,,MATCH('Summarized Modified Source Data'!$B160,Hour,0)),Season,'Summarized Modified Source Data'!$A160,Sector,'Summarized Modified Source Data'!O$2,Subsector,"Total",TimeOfWeek,$D160)-SUM(K160:M160)</f>
        <v>375614104</v>
      </c>
      <c r="P160" s="25">
        <f t="shared" si="8"/>
        <v>375614104</v>
      </c>
      <c r="Q160" s="33" cm="1">
        <f t="array" ref="Q160">SUMIFS(INDEX(Load,,MATCH('Summarized Modified Source Data'!$B160,Hour,0)),Season,'Summarized Modified Source Data'!$A160,Sector,'Summarized Modified Source Data'!Q$2,TimeOfWeek,$D160)*LDVs</f>
        <v>4552505.1335443957</v>
      </c>
      <c r="R160" s="33" cm="1">
        <f t="array" ref="R160">SUMIFS(INDEX(Load,,MATCH('Summarized Modified Source Data'!$B160,Hour,0)),Season,'Summarized Modified Source Data'!$A160,Sector,'Summarized Modified Source Data'!R$2,TimeOfWeek,$D160)*HDVs</f>
        <v>2145167.1276743654</v>
      </c>
      <c r="S160" s="33">
        <f>SUMIFS(INDEX(Load,,MATCH('Summarized Modified Source Data'!$B160,Hour,0)),Season,'Summarized Modified Source Data'!$A160,Sector,'Summarized Modified Source Data'!S$2,TimeOfWeek,$D160)*Aircraft</f>
        <v>0</v>
      </c>
      <c r="T160" s="33">
        <f>SUMIFS(INDEX(Load,,MATCH('Summarized Modified Source Data'!$B160,Hour,0)),Season,'Summarized Modified Source Data'!$A160,Sector,'Summarized Modified Source Data'!T$2,TimeOfWeek,$D160)*Rail</f>
        <v>9339373.738781238</v>
      </c>
      <c r="U160" s="33">
        <f>SUMIFS(INDEX(Load,,MATCH('Summarized Modified Source Data'!$B160,Hour,0)),Season,'Summarized Modified Source Data'!$A160,Sector,'Summarized Modified Source Data'!U$2,TimeOfWeek,$D160)*Ships</f>
        <v>0</v>
      </c>
      <c r="V160" s="33">
        <f>SUMIFS(INDEX(Load,,MATCH('Summarized Modified Source Data'!$B160,Hour,0)),Season,'Summarized Modified Source Data'!$A160,Sector,'Summarized Modified Source Data'!V$2,TimeOfWeek,$D160)*Motorbikes</f>
        <v>0</v>
      </c>
      <c r="W160" s="25">
        <f>SUMIFS(INDEX(Load,,MATCH('Summarized Modified Source Data'!$B160,Hour,0)),Season,'Summarized Modified Source Data'!$A160,Sector,'Summarized Modified Source Data'!W$2,Subsector,'Summarized Modified Source Data'!W$3,TimeOfWeek,$D160)</f>
        <v>1014000000</v>
      </c>
      <c r="X160" s="25">
        <f>SUMIFS(INDEX(Load,,MATCH('Summarized Modified Source Data'!$B160,Hour,0)),Season,'Summarized Modified Source Data'!$A160,Sector,'Summarized Modified Source Data'!X$2,Subsector,'Summarized Modified Source Data'!X$3,TimeOfWeek,$D160)</f>
        <v>0</v>
      </c>
      <c r="Y160" s="25">
        <f>SUMIFS(INDEX(Load,,MATCH('Summarized Modified Source Data'!$B160,Hour,0)),Season,'Summarized Modified Source Data'!$A160,Sector,'Summarized Modified Source Data'!Y$2,Subsector,'Summarized Modified Source Data'!Y$3,TimeOfWeek,$D160)</f>
        <v>0</v>
      </c>
    </row>
    <row r="161" spans="1:25" outlineLevel="1" x14ac:dyDescent="0.25">
      <c r="A161" t="s">
        <v>39</v>
      </c>
      <c r="B161" t="s">
        <v>160</v>
      </c>
      <c r="C161" s="7" t="s">
        <v>12</v>
      </c>
      <c r="D161" t="s">
        <v>114</v>
      </c>
      <c r="E161" s="25">
        <f>SUMIFS(INDEX(Load,,MATCH('Summarized Modified Source Data'!$B161,Hour,0)),Season,'Summarized Modified Source Data'!$A161,Sector,'Summarized Modified Source Data'!E$2,Subsector,'Summarized Modified Source Data'!E$3,TimeOfWeek,$D161)</f>
        <v>288279</v>
      </c>
      <c r="F161" s="25">
        <f>SUMIFS(INDEX(Load,,MATCH('Summarized Modified Source Data'!$B161,Hour,0)),Season,'Summarized Modified Source Data'!$A161,Sector,'Summarized Modified Source Data'!F$2,Subsector,'Summarized Modified Source Data'!F$3,TimeOfWeek,$D161)</f>
        <v>133800000</v>
      </c>
      <c r="G161" s="25">
        <f>SUMIFS(INDEX(Load,,MATCH('Summarized Modified Source Data'!$B161,Hour,0)),Season,'Summarized Modified Source Data'!$A161,Sector,'Summarized Modified Source Data'!G$2,Subsector,'Summarized Modified Source Data'!G$3,TimeOfWeek,$D161)</f>
        <v>0</v>
      </c>
      <c r="H161" s="25">
        <f>SUMIFS(INDEX(Load,,MATCH('Summarized Modified Source Data'!$B161,Hour,0)),Season,'Summarized Modified Source Data'!$A161,Sector,'Summarized Modified Source Data'!H$2,Subsector,'Summarized Modified Source Data'!H$3,TimeOfWeek,$D161)</f>
        <v>22482245</v>
      </c>
      <c r="I161" s="25">
        <f>SUMIFS(INDEX(Load,,MATCH('Summarized Modified Source Data'!$B161,Hour,0)),Season,'Summarized Modified Source Data'!$A161,Sector,'Summarized Modified Source Data'!I$2,Subsector,'Summarized Modified Source Data'!I$3,TimeOfWeek,$D161)</f>
        <v>25998487</v>
      </c>
      <c r="J161" s="25">
        <f t="shared" si="6"/>
        <v>25998487</v>
      </c>
      <c r="K161" s="25">
        <f>SUMIFS(INDEX(Load,,MATCH('Summarized Modified Source Data'!$B161,Hour,0)),Season,'Summarized Modified Source Data'!$A161,Sector,'Summarized Modified Source Data'!K$2,Subsector,'Summarized Modified Source Data'!K$3,TimeOfWeek,$D161)</f>
        <v>371836</v>
      </c>
      <c r="L161" s="25">
        <f>SUMIFS(INDEX(Load,,MATCH('Summarized Modified Source Data'!$B161,Hour,0)),Season,'Summarized Modified Source Data'!$A161,Sector,'Summarized Modified Source Data'!L$2,Subsector,'Summarized Modified Source Data'!L$3,TimeOfWeek,$D161)</f>
        <v>503300000</v>
      </c>
      <c r="M161" s="25">
        <f>SUMIFS(INDEX(Load,,MATCH('Summarized Modified Source Data'!$B161,Hour,0)),Season,'Summarized Modified Source Data'!$A161,Sector,'Summarized Modified Source Data'!M$2,Subsector,'Summarized Modified Source Data'!M$3,TimeOfWeek,$D161)</f>
        <v>0</v>
      </c>
      <c r="N161" s="25">
        <f t="shared" si="7"/>
        <v>361328164</v>
      </c>
      <c r="O161" s="25">
        <f>SUMIFS(INDEX(Load,,MATCH('Summarized Modified Source Data'!$B161,Hour,0)),Season,'Summarized Modified Source Data'!$A161,Sector,'Summarized Modified Source Data'!O$2,Subsector,"Total",TimeOfWeek,$D161)-SUM(K161:M161)</f>
        <v>361328164</v>
      </c>
      <c r="P161" s="25">
        <f t="shared" si="8"/>
        <v>361328164</v>
      </c>
      <c r="Q161" s="33" cm="1">
        <f t="array" ref="Q161">SUMIFS(INDEX(Load,,MATCH('Summarized Modified Source Data'!$B161,Hour,0)),Season,'Summarized Modified Source Data'!$A161,Sector,'Summarized Modified Source Data'!Q$2,TimeOfWeek,$D161)*LDVs</f>
        <v>4347257.7727358323</v>
      </c>
      <c r="R161" s="33" cm="1">
        <f t="array" ref="R161">SUMIFS(INDEX(Load,,MATCH('Summarized Modified Source Data'!$B161,Hour,0)),Season,'Summarized Modified Source Data'!$A161,Sector,'Summarized Modified Source Data'!R$2,TimeOfWeek,$D161)*HDVs</f>
        <v>2048453.3671111434</v>
      </c>
      <c r="S161" s="33">
        <f>SUMIFS(INDEX(Load,,MATCH('Summarized Modified Source Data'!$B161,Hour,0)),Season,'Summarized Modified Source Data'!$A161,Sector,'Summarized Modified Source Data'!S$2,TimeOfWeek,$D161)*Aircraft</f>
        <v>0</v>
      </c>
      <c r="T161" s="33">
        <f>SUMIFS(INDEX(Load,,MATCH('Summarized Modified Source Data'!$B161,Hour,0)),Season,'Summarized Modified Source Data'!$A161,Sector,'Summarized Modified Source Data'!T$2,TimeOfWeek,$D161)*Rail</f>
        <v>8918312.860153025</v>
      </c>
      <c r="U161" s="33">
        <f>SUMIFS(INDEX(Load,,MATCH('Summarized Modified Source Data'!$B161,Hour,0)),Season,'Summarized Modified Source Data'!$A161,Sector,'Summarized Modified Source Data'!U$2,TimeOfWeek,$D161)*Ships</f>
        <v>0</v>
      </c>
      <c r="V161" s="33">
        <f>SUMIFS(INDEX(Load,,MATCH('Summarized Modified Source Data'!$B161,Hour,0)),Season,'Summarized Modified Source Data'!$A161,Sector,'Summarized Modified Source Data'!V$2,TimeOfWeek,$D161)*Motorbikes</f>
        <v>0</v>
      </c>
      <c r="W161" s="25">
        <f>SUMIFS(INDEX(Load,,MATCH('Summarized Modified Source Data'!$B161,Hour,0)),Season,'Summarized Modified Source Data'!$A161,Sector,'Summarized Modified Source Data'!W$2,Subsector,'Summarized Modified Source Data'!W$3,TimeOfWeek,$D161)</f>
        <v>1015000000</v>
      </c>
      <c r="X161" s="25">
        <f>SUMIFS(INDEX(Load,,MATCH('Summarized Modified Source Data'!$B161,Hour,0)),Season,'Summarized Modified Source Data'!$A161,Sector,'Summarized Modified Source Data'!X$2,Subsector,'Summarized Modified Source Data'!X$3,TimeOfWeek,$D161)</f>
        <v>0</v>
      </c>
      <c r="Y161" s="25">
        <f>SUMIFS(INDEX(Load,,MATCH('Summarized Modified Source Data'!$B161,Hour,0)),Season,'Summarized Modified Source Data'!$A161,Sector,'Summarized Modified Source Data'!Y$2,Subsector,'Summarized Modified Source Data'!Y$3,TimeOfWeek,$D161)</f>
        <v>0</v>
      </c>
    </row>
    <row r="162" spans="1:25" outlineLevel="1" x14ac:dyDescent="0.25">
      <c r="A162" t="s">
        <v>39</v>
      </c>
      <c r="B162" t="s">
        <v>161</v>
      </c>
      <c r="C162" s="7" t="s">
        <v>13</v>
      </c>
      <c r="D162" t="s">
        <v>114</v>
      </c>
      <c r="E162" s="25">
        <f>SUMIFS(INDEX(Load,,MATCH('Summarized Modified Source Data'!$B162,Hour,0)),Season,'Summarized Modified Source Data'!$A162,Sector,'Summarized Modified Source Data'!E$2,Subsector,'Summarized Modified Source Data'!E$3,TimeOfWeek,$D162)</f>
        <v>286365</v>
      </c>
      <c r="F162" s="25">
        <f>SUMIFS(INDEX(Load,,MATCH('Summarized Modified Source Data'!$B162,Hour,0)),Season,'Summarized Modified Source Data'!$A162,Sector,'Summarized Modified Source Data'!F$2,Subsector,'Summarized Modified Source Data'!F$3,TimeOfWeek,$D162)</f>
        <v>135400000</v>
      </c>
      <c r="G162" s="25">
        <f>SUMIFS(INDEX(Load,,MATCH('Summarized Modified Source Data'!$B162,Hour,0)),Season,'Summarized Modified Source Data'!$A162,Sector,'Summarized Modified Source Data'!G$2,Subsector,'Summarized Modified Source Data'!G$3,TimeOfWeek,$D162)</f>
        <v>0</v>
      </c>
      <c r="H162" s="25">
        <f>SUMIFS(INDEX(Load,,MATCH('Summarized Modified Source Data'!$B162,Hour,0)),Season,'Summarized Modified Source Data'!$A162,Sector,'Summarized Modified Source Data'!H$2,Subsector,'Summarized Modified Source Data'!H$3,TimeOfWeek,$D162)</f>
        <v>22245684</v>
      </c>
      <c r="I162" s="25">
        <f>SUMIFS(INDEX(Load,,MATCH('Summarized Modified Source Data'!$B162,Hour,0)),Season,'Summarized Modified Source Data'!$A162,Sector,'Summarized Modified Source Data'!I$2,Subsector,'Summarized Modified Source Data'!I$3,TimeOfWeek,$D162)</f>
        <v>23963606</v>
      </c>
      <c r="J162" s="25">
        <f t="shared" si="6"/>
        <v>23963606</v>
      </c>
      <c r="K162" s="25">
        <f>SUMIFS(INDEX(Load,,MATCH('Summarized Modified Source Data'!$B162,Hour,0)),Season,'Summarized Modified Source Data'!$A162,Sector,'Summarized Modified Source Data'!K$2,Subsector,'Summarized Modified Source Data'!K$3,TimeOfWeek,$D162)</f>
        <v>363320</v>
      </c>
      <c r="L162" s="25">
        <f>SUMIFS(INDEX(Load,,MATCH('Summarized Modified Source Data'!$B162,Hour,0)),Season,'Summarized Modified Source Data'!$A162,Sector,'Summarized Modified Source Data'!L$2,Subsector,'Summarized Modified Source Data'!L$3,TimeOfWeek,$D162)</f>
        <v>507100000</v>
      </c>
      <c r="M162" s="25">
        <f>SUMIFS(INDEX(Load,,MATCH('Summarized Modified Source Data'!$B162,Hour,0)),Season,'Summarized Modified Source Data'!$A162,Sector,'Summarized Modified Source Data'!M$2,Subsector,'Summarized Modified Source Data'!M$3,TimeOfWeek,$D162)</f>
        <v>0</v>
      </c>
      <c r="N162" s="25">
        <f t="shared" si="7"/>
        <v>344536680</v>
      </c>
      <c r="O162" s="25">
        <f>SUMIFS(INDEX(Load,,MATCH('Summarized Modified Source Data'!$B162,Hour,0)),Season,'Summarized Modified Source Data'!$A162,Sector,'Summarized Modified Source Data'!O$2,Subsector,"Total",TimeOfWeek,$D162)-SUM(K162:M162)</f>
        <v>344536680</v>
      </c>
      <c r="P162" s="25">
        <f t="shared" si="8"/>
        <v>344536680</v>
      </c>
      <c r="Q162" s="33" cm="1">
        <f t="array" ref="Q162">SUMIFS(INDEX(Load,,MATCH('Summarized Modified Source Data'!$B162,Hour,0)),Season,'Summarized Modified Source Data'!$A162,Sector,'Summarized Modified Source Data'!Q$2,TimeOfWeek,$D162)*LDVs</f>
        <v>4287418.2067627329</v>
      </c>
      <c r="R162" s="33" cm="1">
        <f t="array" ref="R162">SUMIFS(INDEX(Load,,MATCH('Summarized Modified Source Data'!$B162,Hour,0)),Season,'Summarized Modified Source Data'!$A162,Sector,'Summarized Modified Source Data'!R$2,TimeOfWeek,$D162)*HDVs</f>
        <v>2020256.6125563928</v>
      </c>
      <c r="S162" s="33">
        <f>SUMIFS(INDEX(Load,,MATCH('Summarized Modified Source Data'!$B162,Hour,0)),Season,'Summarized Modified Source Data'!$A162,Sector,'Summarized Modified Source Data'!S$2,TimeOfWeek,$D162)*Aircraft</f>
        <v>0</v>
      </c>
      <c r="T162" s="33">
        <f>SUMIFS(INDEX(Load,,MATCH('Summarized Modified Source Data'!$B162,Hour,0)),Season,'Summarized Modified Source Data'!$A162,Sector,'Summarized Modified Source Data'!T$2,TimeOfWeek,$D162)*Rail</f>
        <v>8795553.1806808747</v>
      </c>
      <c r="U162" s="33">
        <f>SUMIFS(INDEX(Load,,MATCH('Summarized Modified Source Data'!$B162,Hour,0)),Season,'Summarized Modified Source Data'!$A162,Sector,'Summarized Modified Source Data'!U$2,TimeOfWeek,$D162)*Ships</f>
        <v>0</v>
      </c>
      <c r="V162" s="33">
        <f>SUMIFS(INDEX(Load,,MATCH('Summarized Modified Source Data'!$B162,Hour,0)),Season,'Summarized Modified Source Data'!$A162,Sector,'Summarized Modified Source Data'!V$2,TimeOfWeek,$D162)*Motorbikes</f>
        <v>0</v>
      </c>
      <c r="W162" s="25">
        <f>SUMIFS(INDEX(Load,,MATCH('Summarized Modified Source Data'!$B162,Hour,0)),Season,'Summarized Modified Source Data'!$A162,Sector,'Summarized Modified Source Data'!W$2,Subsector,'Summarized Modified Source Data'!W$3,TimeOfWeek,$D162)</f>
        <v>1018000000</v>
      </c>
      <c r="X162" s="25">
        <f>SUMIFS(INDEX(Load,,MATCH('Summarized Modified Source Data'!$B162,Hour,0)),Season,'Summarized Modified Source Data'!$A162,Sector,'Summarized Modified Source Data'!X$2,Subsector,'Summarized Modified Source Data'!X$3,TimeOfWeek,$D162)</f>
        <v>0</v>
      </c>
      <c r="Y162" s="25">
        <f>SUMIFS(INDEX(Load,,MATCH('Summarized Modified Source Data'!$B162,Hour,0)),Season,'Summarized Modified Source Data'!$A162,Sector,'Summarized Modified Source Data'!Y$2,Subsector,'Summarized Modified Source Data'!Y$3,TimeOfWeek,$D162)</f>
        <v>0</v>
      </c>
    </row>
    <row r="163" spans="1:25" outlineLevel="1" x14ac:dyDescent="0.25">
      <c r="A163" t="s">
        <v>39</v>
      </c>
      <c r="B163" t="s">
        <v>162</v>
      </c>
      <c r="C163" s="7" t="s">
        <v>14</v>
      </c>
      <c r="D163" t="s">
        <v>114</v>
      </c>
      <c r="E163" s="25">
        <f>SUMIFS(INDEX(Load,,MATCH('Summarized Modified Source Data'!$B163,Hour,0)),Season,'Summarized Modified Source Data'!$A163,Sector,'Summarized Modified Source Data'!E$2,Subsector,'Summarized Modified Source Data'!E$3,TimeOfWeek,$D163)</f>
        <v>286816</v>
      </c>
      <c r="F163" s="25">
        <f>SUMIFS(INDEX(Load,,MATCH('Summarized Modified Source Data'!$B163,Hour,0)),Season,'Summarized Modified Source Data'!$A163,Sector,'Summarized Modified Source Data'!F$2,Subsector,'Summarized Modified Source Data'!F$3,TimeOfWeek,$D163)</f>
        <v>133100000</v>
      </c>
      <c r="G163" s="25">
        <f>SUMIFS(INDEX(Load,,MATCH('Summarized Modified Source Data'!$B163,Hour,0)),Season,'Summarized Modified Source Data'!$A163,Sector,'Summarized Modified Source Data'!G$2,Subsector,'Summarized Modified Source Data'!G$3,TimeOfWeek,$D163)</f>
        <v>0</v>
      </c>
      <c r="H163" s="25">
        <f>SUMIFS(INDEX(Load,,MATCH('Summarized Modified Source Data'!$B163,Hour,0)),Season,'Summarized Modified Source Data'!$A163,Sector,'Summarized Modified Source Data'!H$2,Subsector,'Summarized Modified Source Data'!H$3,TimeOfWeek,$D163)</f>
        <v>22301510</v>
      </c>
      <c r="I163" s="25">
        <f>SUMIFS(INDEX(Load,,MATCH('Summarized Modified Source Data'!$B163,Hour,0)),Season,'Summarized Modified Source Data'!$A163,Sector,'Summarized Modified Source Data'!I$2,Subsector,'Summarized Modified Source Data'!I$3,TimeOfWeek,$D163)</f>
        <v>20902370</v>
      </c>
      <c r="J163" s="25">
        <f t="shared" si="6"/>
        <v>20902370</v>
      </c>
      <c r="K163" s="25">
        <f>SUMIFS(INDEX(Load,,MATCH('Summarized Modified Source Data'!$B163,Hour,0)),Season,'Summarized Modified Source Data'!$A163,Sector,'Summarized Modified Source Data'!K$2,Subsector,'Summarized Modified Source Data'!K$3,TimeOfWeek,$D163)</f>
        <v>329968</v>
      </c>
      <c r="L163" s="25">
        <f>SUMIFS(INDEX(Load,,MATCH('Summarized Modified Source Data'!$B163,Hour,0)),Season,'Summarized Modified Source Data'!$A163,Sector,'Summarized Modified Source Data'!L$2,Subsector,'Summarized Modified Source Data'!L$3,TimeOfWeek,$D163)</f>
        <v>503300000</v>
      </c>
      <c r="M163" s="25">
        <f>SUMIFS(INDEX(Load,,MATCH('Summarized Modified Source Data'!$B163,Hour,0)),Season,'Summarized Modified Source Data'!$A163,Sector,'Summarized Modified Source Data'!M$2,Subsector,'Summarized Modified Source Data'!M$3,TimeOfWeek,$D163)</f>
        <v>0</v>
      </c>
      <c r="N163" s="25">
        <f t="shared" si="7"/>
        <v>319370032</v>
      </c>
      <c r="O163" s="25">
        <f>SUMIFS(INDEX(Load,,MATCH('Summarized Modified Source Data'!$B163,Hour,0)),Season,'Summarized Modified Source Data'!$A163,Sector,'Summarized Modified Source Data'!O$2,Subsector,"Total",TimeOfWeek,$D163)-SUM(K163:M163)</f>
        <v>319370032</v>
      </c>
      <c r="P163" s="25">
        <f t="shared" si="8"/>
        <v>319370032</v>
      </c>
      <c r="Q163" s="33" cm="1">
        <f t="array" ref="Q163">SUMIFS(INDEX(Load,,MATCH('Summarized Modified Source Data'!$B163,Hour,0)),Season,'Summarized Modified Source Data'!$A163,Sector,'Summarized Modified Source Data'!Q$2,TimeOfWeek,$D163)*LDVs</f>
        <v>4197658.857803084</v>
      </c>
      <c r="R163" s="33" cm="1">
        <f t="array" ref="R163">SUMIFS(INDEX(Load,,MATCH('Summarized Modified Source Data'!$B163,Hour,0)),Season,'Summarized Modified Source Data'!$A163,Sector,'Summarized Modified Source Data'!R$2,TimeOfWeek,$D163)*HDVs</f>
        <v>1977961.4807242667</v>
      </c>
      <c r="S163" s="33">
        <f>SUMIFS(INDEX(Load,,MATCH('Summarized Modified Source Data'!$B163,Hour,0)),Season,'Summarized Modified Source Data'!$A163,Sector,'Summarized Modified Source Data'!S$2,TimeOfWeek,$D163)*Aircraft</f>
        <v>0</v>
      </c>
      <c r="T163" s="33">
        <f>SUMIFS(INDEX(Load,,MATCH('Summarized Modified Source Data'!$B163,Hour,0)),Season,'Summarized Modified Source Data'!$A163,Sector,'Summarized Modified Source Data'!T$2,TimeOfWeek,$D163)*Rail</f>
        <v>8611413.6614726484</v>
      </c>
      <c r="U163" s="33">
        <f>SUMIFS(INDEX(Load,,MATCH('Summarized Modified Source Data'!$B163,Hour,0)),Season,'Summarized Modified Source Data'!$A163,Sector,'Summarized Modified Source Data'!U$2,TimeOfWeek,$D163)*Ships</f>
        <v>0</v>
      </c>
      <c r="V163" s="33">
        <f>SUMIFS(INDEX(Load,,MATCH('Summarized Modified Source Data'!$B163,Hour,0)),Season,'Summarized Modified Source Data'!$A163,Sector,'Summarized Modified Source Data'!V$2,TimeOfWeek,$D163)*Motorbikes</f>
        <v>0</v>
      </c>
      <c r="W163" s="25">
        <f>SUMIFS(INDEX(Load,,MATCH('Summarized Modified Source Data'!$B163,Hour,0)),Season,'Summarized Modified Source Data'!$A163,Sector,'Summarized Modified Source Data'!W$2,Subsector,'Summarized Modified Source Data'!W$3,TimeOfWeek,$D163)</f>
        <v>1030000000</v>
      </c>
      <c r="X163" s="25">
        <f>SUMIFS(INDEX(Load,,MATCH('Summarized Modified Source Data'!$B163,Hour,0)),Season,'Summarized Modified Source Data'!$A163,Sector,'Summarized Modified Source Data'!X$2,Subsector,'Summarized Modified Source Data'!X$3,TimeOfWeek,$D163)</f>
        <v>0</v>
      </c>
      <c r="Y163" s="25">
        <f>SUMIFS(INDEX(Load,,MATCH('Summarized Modified Source Data'!$B163,Hour,0)),Season,'Summarized Modified Source Data'!$A163,Sector,'Summarized Modified Source Data'!Y$2,Subsector,'Summarized Modified Source Data'!Y$3,TimeOfWeek,$D163)</f>
        <v>0</v>
      </c>
    </row>
    <row r="164" spans="1:25" outlineLevel="1" x14ac:dyDescent="0.25">
      <c r="A164" t="s">
        <v>39</v>
      </c>
      <c r="B164" t="s">
        <v>163</v>
      </c>
      <c r="C164" s="7" t="s">
        <v>15</v>
      </c>
      <c r="D164" t="s">
        <v>114</v>
      </c>
      <c r="E164" s="25">
        <f>SUMIFS(INDEX(Load,,MATCH('Summarized Modified Source Data'!$B164,Hour,0)),Season,'Summarized Modified Source Data'!$A164,Sector,'Summarized Modified Source Data'!E$2,Subsector,'Summarized Modified Source Data'!E$3,TimeOfWeek,$D164)</f>
        <v>291744</v>
      </c>
      <c r="F164" s="25">
        <f>SUMIFS(INDEX(Load,,MATCH('Summarized Modified Source Data'!$B164,Hour,0)),Season,'Summarized Modified Source Data'!$A164,Sector,'Summarized Modified Source Data'!F$2,Subsector,'Summarized Modified Source Data'!F$3,TimeOfWeek,$D164)</f>
        <v>128600000</v>
      </c>
      <c r="G164" s="25">
        <f>SUMIFS(INDEX(Load,,MATCH('Summarized Modified Source Data'!$B164,Hour,0)),Season,'Summarized Modified Source Data'!$A164,Sector,'Summarized Modified Source Data'!G$2,Subsector,'Summarized Modified Source Data'!G$3,TimeOfWeek,$D164)</f>
        <v>0</v>
      </c>
      <c r="H164" s="25">
        <f>SUMIFS(INDEX(Load,,MATCH('Summarized Modified Source Data'!$B164,Hour,0)),Season,'Summarized Modified Source Data'!$A164,Sector,'Summarized Modified Source Data'!H$2,Subsector,'Summarized Modified Source Data'!H$3,TimeOfWeek,$D164)</f>
        <v>22910517</v>
      </c>
      <c r="I164" s="25">
        <f>SUMIFS(INDEX(Load,,MATCH('Summarized Modified Source Data'!$B164,Hour,0)),Season,'Summarized Modified Source Data'!$A164,Sector,'Summarized Modified Source Data'!I$2,Subsector,'Summarized Modified Source Data'!I$3,TimeOfWeek,$D164)</f>
        <v>20918516</v>
      </c>
      <c r="J164" s="25">
        <f t="shared" si="6"/>
        <v>20918516</v>
      </c>
      <c r="K164" s="25">
        <f>SUMIFS(INDEX(Load,,MATCH('Summarized Modified Source Data'!$B164,Hour,0)),Season,'Summarized Modified Source Data'!$A164,Sector,'Summarized Modified Source Data'!K$2,Subsector,'Summarized Modified Source Data'!K$3,TimeOfWeek,$D164)</f>
        <v>327513</v>
      </c>
      <c r="L164" s="25">
        <f>SUMIFS(INDEX(Load,,MATCH('Summarized Modified Source Data'!$B164,Hour,0)),Season,'Summarized Modified Source Data'!$A164,Sector,'Summarized Modified Source Data'!L$2,Subsector,'Summarized Modified Source Data'!L$3,TimeOfWeek,$D164)</f>
        <v>489500000</v>
      </c>
      <c r="M164" s="25">
        <f>SUMIFS(INDEX(Load,,MATCH('Summarized Modified Source Data'!$B164,Hour,0)),Season,'Summarized Modified Source Data'!$A164,Sector,'Summarized Modified Source Data'!M$2,Subsector,'Summarized Modified Source Data'!M$3,TimeOfWeek,$D164)</f>
        <v>0</v>
      </c>
      <c r="N164" s="25">
        <f t="shared" si="7"/>
        <v>305172487</v>
      </c>
      <c r="O164" s="25">
        <f>SUMIFS(INDEX(Load,,MATCH('Summarized Modified Source Data'!$B164,Hour,0)),Season,'Summarized Modified Source Data'!$A164,Sector,'Summarized Modified Source Data'!O$2,Subsector,"Total",TimeOfWeek,$D164)-SUM(K164:M164)</f>
        <v>305172487</v>
      </c>
      <c r="P164" s="25">
        <f t="shared" si="8"/>
        <v>305172487</v>
      </c>
      <c r="Q164" s="33" cm="1">
        <f t="array" ref="Q164">SUMIFS(INDEX(Load,,MATCH('Summarized Modified Source Data'!$B164,Hour,0)),Season,'Summarized Modified Source Data'!$A164,Sector,'Summarized Modified Source Data'!Q$2,TimeOfWeek,$D164)*LDVs</f>
        <v>4789283.5478401985</v>
      </c>
      <c r="R164" s="33" cm="1">
        <f t="array" ref="R164">SUMIFS(INDEX(Load,,MATCH('Summarized Modified Source Data'!$B164,Hour,0)),Season,'Summarized Modified Source Data'!$A164,Sector,'Summarized Modified Source Data'!R$2,TimeOfWeek,$D164)*HDVs</f>
        <v>2256738.5056279283</v>
      </c>
      <c r="S164" s="33">
        <f>SUMIFS(INDEX(Load,,MATCH('Summarized Modified Source Data'!$B164,Hour,0)),Season,'Summarized Modified Source Data'!$A164,Sector,'Summarized Modified Source Data'!S$2,TimeOfWeek,$D164)*Aircraft</f>
        <v>0</v>
      </c>
      <c r="T164" s="33">
        <f>SUMIFS(INDEX(Load,,MATCH('Summarized Modified Source Data'!$B164,Hour,0)),Season,'Summarized Modified Source Data'!$A164,Sector,'Summarized Modified Source Data'!T$2,TimeOfWeek,$D164)*Rail</f>
        <v>9825119.9465318732</v>
      </c>
      <c r="U164" s="33">
        <f>SUMIFS(INDEX(Load,,MATCH('Summarized Modified Source Data'!$B164,Hour,0)),Season,'Summarized Modified Source Data'!$A164,Sector,'Summarized Modified Source Data'!U$2,TimeOfWeek,$D164)*Ships</f>
        <v>0</v>
      </c>
      <c r="V164" s="33">
        <f>SUMIFS(INDEX(Load,,MATCH('Summarized Modified Source Data'!$B164,Hour,0)),Season,'Summarized Modified Source Data'!$A164,Sector,'Summarized Modified Source Data'!V$2,TimeOfWeek,$D164)*Motorbikes</f>
        <v>0</v>
      </c>
      <c r="W164" s="25">
        <f>SUMIFS(INDEX(Load,,MATCH('Summarized Modified Source Data'!$B164,Hour,0)),Season,'Summarized Modified Source Data'!$A164,Sector,'Summarized Modified Source Data'!W$2,Subsector,'Summarized Modified Source Data'!W$3,TimeOfWeek,$D164)</f>
        <v>1043000000</v>
      </c>
      <c r="X164" s="25">
        <f>SUMIFS(INDEX(Load,,MATCH('Summarized Modified Source Data'!$B164,Hour,0)),Season,'Summarized Modified Source Data'!$A164,Sector,'Summarized Modified Source Data'!X$2,Subsector,'Summarized Modified Source Data'!X$3,TimeOfWeek,$D164)</f>
        <v>0</v>
      </c>
      <c r="Y164" s="25">
        <f>SUMIFS(INDEX(Load,,MATCH('Summarized Modified Source Data'!$B164,Hour,0)),Season,'Summarized Modified Source Data'!$A164,Sector,'Summarized Modified Source Data'!Y$2,Subsector,'Summarized Modified Source Data'!Y$3,TimeOfWeek,$D164)</f>
        <v>0</v>
      </c>
    </row>
    <row r="165" spans="1:25" outlineLevel="1" x14ac:dyDescent="0.25">
      <c r="A165" t="s">
        <v>39</v>
      </c>
      <c r="B165" t="s">
        <v>164</v>
      </c>
      <c r="C165" s="7" t="s">
        <v>16</v>
      </c>
      <c r="D165" t="s">
        <v>114</v>
      </c>
      <c r="E165" s="25">
        <f>SUMIFS(INDEX(Load,,MATCH('Summarized Modified Source Data'!$B165,Hour,0)),Season,'Summarized Modified Source Data'!$A165,Sector,'Summarized Modified Source Data'!E$2,Subsector,'Summarized Modified Source Data'!E$3,TimeOfWeek,$D165)</f>
        <v>300941</v>
      </c>
      <c r="F165" s="25">
        <f>SUMIFS(INDEX(Load,,MATCH('Summarized Modified Source Data'!$B165,Hour,0)),Season,'Summarized Modified Source Data'!$A165,Sector,'Summarized Modified Source Data'!F$2,Subsector,'Summarized Modified Source Data'!F$3,TimeOfWeek,$D165)</f>
        <v>124500000</v>
      </c>
      <c r="G165" s="25">
        <f>SUMIFS(INDEX(Load,,MATCH('Summarized Modified Source Data'!$B165,Hour,0)),Season,'Summarized Modified Source Data'!$A165,Sector,'Summarized Modified Source Data'!G$2,Subsector,'Summarized Modified Source Data'!G$3,TimeOfWeek,$D165)</f>
        <v>0</v>
      </c>
      <c r="H165" s="25">
        <f>SUMIFS(INDEX(Load,,MATCH('Summarized Modified Source Data'!$B165,Hour,0)),Season,'Summarized Modified Source Data'!$A165,Sector,'Summarized Modified Source Data'!H$2,Subsector,'Summarized Modified Source Data'!H$3,TimeOfWeek,$D165)</f>
        <v>27275883</v>
      </c>
      <c r="I165" s="25">
        <f>SUMIFS(INDEX(Load,,MATCH('Summarized Modified Source Data'!$B165,Hour,0)),Season,'Summarized Modified Source Data'!$A165,Sector,'Summarized Modified Source Data'!I$2,Subsector,'Summarized Modified Source Data'!I$3,TimeOfWeek,$D165)</f>
        <v>24011478</v>
      </c>
      <c r="J165" s="25">
        <f t="shared" si="6"/>
        <v>24011478</v>
      </c>
      <c r="K165" s="25">
        <f>SUMIFS(INDEX(Load,,MATCH('Summarized Modified Source Data'!$B165,Hour,0)),Season,'Summarized Modified Source Data'!$A165,Sector,'Summarized Modified Source Data'!K$2,Subsector,'Summarized Modified Source Data'!K$3,TimeOfWeek,$D165)</f>
        <v>342072</v>
      </c>
      <c r="L165" s="25">
        <f>SUMIFS(INDEX(Load,,MATCH('Summarized Modified Source Data'!$B165,Hour,0)),Season,'Summarized Modified Source Data'!$A165,Sector,'Summarized Modified Source Data'!L$2,Subsector,'Summarized Modified Source Data'!L$3,TimeOfWeek,$D165)</f>
        <v>466700000</v>
      </c>
      <c r="M165" s="25">
        <f>SUMIFS(INDEX(Load,,MATCH('Summarized Modified Source Data'!$B165,Hour,0)),Season,'Summarized Modified Source Data'!$A165,Sector,'Summarized Modified Source Data'!M$2,Subsector,'Summarized Modified Source Data'!M$3,TimeOfWeek,$D165)</f>
        <v>0</v>
      </c>
      <c r="N165" s="25">
        <f t="shared" si="7"/>
        <v>308957928</v>
      </c>
      <c r="O165" s="25">
        <f>SUMIFS(INDEX(Load,,MATCH('Summarized Modified Source Data'!$B165,Hour,0)),Season,'Summarized Modified Source Data'!$A165,Sector,'Summarized Modified Source Data'!O$2,Subsector,"Total",TimeOfWeek,$D165)-SUM(K165:M165)</f>
        <v>308957928</v>
      </c>
      <c r="P165" s="25">
        <f t="shared" si="8"/>
        <v>308957928</v>
      </c>
      <c r="Q165" s="33" cm="1">
        <f t="array" ref="Q165">SUMIFS(INDEX(Load,,MATCH('Summarized Modified Source Data'!$B165,Hour,0)),Season,'Summarized Modified Source Data'!$A165,Sector,'Summarized Modified Source Data'!Q$2,TimeOfWeek,$D165)*LDVs</f>
        <v>4794269.7998388968</v>
      </c>
      <c r="R165" s="33" cm="1">
        <f t="array" ref="R165">SUMIFS(INDEX(Load,,MATCH('Summarized Modified Source Data'!$B165,Hour,0)),Season,'Summarized Modified Source Data'!$A165,Sector,'Summarized Modified Source Data'!R$2,TimeOfWeek,$D165)*HDVs</f>
        <v>2259088.0568231796</v>
      </c>
      <c r="S165" s="33">
        <f>SUMIFS(INDEX(Load,,MATCH('Summarized Modified Source Data'!$B165,Hour,0)),Season,'Summarized Modified Source Data'!$A165,Sector,'Summarized Modified Source Data'!S$2,TimeOfWeek,$D165)*Aircraft</f>
        <v>0</v>
      </c>
      <c r="T165" s="33">
        <f>SUMIFS(INDEX(Load,,MATCH('Summarized Modified Source Data'!$B165,Hour,0)),Season,'Summarized Modified Source Data'!$A165,Sector,'Summarized Modified Source Data'!T$2,TimeOfWeek,$D165)*Rail</f>
        <v>9835349.143337924</v>
      </c>
      <c r="U165" s="33">
        <f>SUMIFS(INDEX(Load,,MATCH('Summarized Modified Source Data'!$B165,Hour,0)),Season,'Summarized Modified Source Data'!$A165,Sector,'Summarized Modified Source Data'!U$2,TimeOfWeek,$D165)*Ships</f>
        <v>0</v>
      </c>
      <c r="V165" s="33">
        <f>SUMIFS(INDEX(Load,,MATCH('Summarized Modified Source Data'!$B165,Hour,0)),Season,'Summarized Modified Source Data'!$A165,Sector,'Summarized Modified Source Data'!V$2,TimeOfWeek,$D165)*Motorbikes</f>
        <v>0</v>
      </c>
      <c r="W165" s="25">
        <f>SUMIFS(INDEX(Load,,MATCH('Summarized Modified Source Data'!$B165,Hour,0)),Season,'Summarized Modified Source Data'!$A165,Sector,'Summarized Modified Source Data'!W$2,Subsector,'Summarized Modified Source Data'!W$3,TimeOfWeek,$D165)</f>
        <v>1045000000</v>
      </c>
      <c r="X165" s="25">
        <f>SUMIFS(INDEX(Load,,MATCH('Summarized Modified Source Data'!$B165,Hour,0)),Season,'Summarized Modified Source Data'!$A165,Sector,'Summarized Modified Source Data'!X$2,Subsector,'Summarized Modified Source Data'!X$3,TimeOfWeek,$D165)</f>
        <v>0</v>
      </c>
      <c r="Y165" s="25">
        <f>SUMIFS(INDEX(Load,,MATCH('Summarized Modified Source Data'!$B165,Hour,0)),Season,'Summarized Modified Source Data'!$A165,Sector,'Summarized Modified Source Data'!Y$2,Subsector,'Summarized Modified Source Data'!Y$3,TimeOfWeek,$D165)</f>
        <v>0</v>
      </c>
    </row>
    <row r="166" spans="1:25" outlineLevel="1" x14ac:dyDescent="0.25">
      <c r="A166" t="s">
        <v>39</v>
      </c>
      <c r="B166" t="s">
        <v>165</v>
      </c>
      <c r="C166" s="7" t="s">
        <v>17</v>
      </c>
      <c r="D166" t="s">
        <v>114</v>
      </c>
      <c r="E166" s="25">
        <f>SUMIFS(INDEX(Load,,MATCH('Summarized Modified Source Data'!$B166,Hour,0)),Season,'Summarized Modified Source Data'!$A166,Sector,'Summarized Modified Source Data'!E$2,Subsector,'Summarized Modified Source Data'!E$3,TimeOfWeek,$D166)</f>
        <v>311907</v>
      </c>
      <c r="F166" s="25">
        <f>SUMIFS(INDEX(Load,,MATCH('Summarized Modified Source Data'!$B166,Hour,0)),Season,'Summarized Modified Source Data'!$A166,Sector,'Summarized Modified Source Data'!F$2,Subsector,'Summarized Modified Source Data'!F$3,TimeOfWeek,$D166)</f>
        <v>119400000</v>
      </c>
      <c r="G166" s="25">
        <f>SUMIFS(INDEX(Load,,MATCH('Summarized Modified Source Data'!$B166,Hour,0)),Season,'Summarized Modified Source Data'!$A166,Sector,'Summarized Modified Source Data'!G$2,Subsector,'Summarized Modified Source Data'!G$3,TimeOfWeek,$D166)</f>
        <v>0</v>
      </c>
      <c r="H166" s="25">
        <f>SUMIFS(INDEX(Load,,MATCH('Summarized Modified Source Data'!$B166,Hour,0)),Season,'Summarized Modified Source Data'!$A166,Sector,'Summarized Modified Source Data'!H$2,Subsector,'Summarized Modified Source Data'!H$3,TimeOfWeek,$D166)</f>
        <v>66900000</v>
      </c>
      <c r="I166" s="25">
        <f>SUMIFS(INDEX(Load,,MATCH('Summarized Modified Source Data'!$B166,Hour,0)),Season,'Summarized Modified Source Data'!$A166,Sector,'Summarized Modified Source Data'!I$2,Subsector,'Summarized Modified Source Data'!I$3,TimeOfWeek,$D166)</f>
        <v>27361448</v>
      </c>
      <c r="J166" s="25">
        <f t="shared" si="6"/>
        <v>27361448</v>
      </c>
      <c r="K166" s="25">
        <f>SUMIFS(INDEX(Load,,MATCH('Summarized Modified Source Data'!$B166,Hour,0)),Season,'Summarized Modified Source Data'!$A166,Sector,'Summarized Modified Source Data'!K$2,Subsector,'Summarized Modified Source Data'!K$3,TimeOfWeek,$D166)</f>
        <v>365669</v>
      </c>
      <c r="L166" s="25">
        <f>SUMIFS(INDEX(Load,,MATCH('Summarized Modified Source Data'!$B166,Hour,0)),Season,'Summarized Modified Source Data'!$A166,Sector,'Summarized Modified Source Data'!L$2,Subsector,'Summarized Modified Source Data'!L$3,TimeOfWeek,$D166)</f>
        <v>439000000</v>
      </c>
      <c r="M166" s="25">
        <f>SUMIFS(INDEX(Load,,MATCH('Summarized Modified Source Data'!$B166,Hour,0)),Season,'Summarized Modified Source Data'!$A166,Sector,'Summarized Modified Source Data'!M$2,Subsector,'Summarized Modified Source Data'!M$3,TimeOfWeek,$D166)</f>
        <v>0</v>
      </c>
      <c r="N166" s="25">
        <f t="shared" si="7"/>
        <v>305634331</v>
      </c>
      <c r="O166" s="25">
        <f>SUMIFS(INDEX(Load,,MATCH('Summarized Modified Source Data'!$B166,Hour,0)),Season,'Summarized Modified Source Data'!$A166,Sector,'Summarized Modified Source Data'!O$2,Subsector,"Total",TimeOfWeek,$D166)-SUM(K166:M166)</f>
        <v>305634331</v>
      </c>
      <c r="P166" s="25">
        <f t="shared" si="8"/>
        <v>305634331</v>
      </c>
      <c r="Q166" s="33" cm="1">
        <f t="array" ref="Q166">SUMIFS(INDEX(Load,,MATCH('Summarized Modified Source Data'!$B166,Hour,0)),Season,'Summarized Modified Source Data'!$A166,Sector,'Summarized Modified Source Data'!Q$2,TimeOfWeek,$D166)*LDVs</f>
        <v>4759363.4809793541</v>
      </c>
      <c r="R166" s="33" cm="1">
        <f t="array" ref="R166">SUMIFS(INDEX(Load,,MATCH('Summarized Modified Source Data'!$B166,Hour,0)),Season,'Summarized Modified Source Data'!$A166,Sector,'Summarized Modified Source Data'!R$2,TimeOfWeek,$D166)*HDVs</f>
        <v>2242639.9945873194</v>
      </c>
      <c r="S166" s="33">
        <f>SUMIFS(INDEX(Load,,MATCH('Summarized Modified Source Data'!$B166,Hour,0)),Season,'Summarized Modified Source Data'!$A166,Sector,'Summarized Modified Source Data'!S$2,TimeOfWeek,$D166)*Aircraft</f>
        <v>0</v>
      </c>
      <c r="T166" s="33">
        <f>SUMIFS(INDEX(Load,,MATCH('Summarized Modified Source Data'!$B166,Hour,0)),Season,'Summarized Modified Source Data'!$A166,Sector,'Summarized Modified Source Data'!T$2,TimeOfWeek,$D166)*Rail</f>
        <v>9763739.524433326</v>
      </c>
      <c r="U166" s="33">
        <f>SUMIFS(INDEX(Load,,MATCH('Summarized Modified Source Data'!$B166,Hour,0)),Season,'Summarized Modified Source Data'!$A166,Sector,'Summarized Modified Source Data'!U$2,TimeOfWeek,$D166)*Ships</f>
        <v>0</v>
      </c>
      <c r="V166" s="33">
        <f>SUMIFS(INDEX(Load,,MATCH('Summarized Modified Source Data'!$B166,Hour,0)),Season,'Summarized Modified Source Data'!$A166,Sector,'Summarized Modified Source Data'!V$2,TimeOfWeek,$D166)*Motorbikes</f>
        <v>0</v>
      </c>
      <c r="W166" s="25">
        <f>SUMIFS(INDEX(Load,,MATCH('Summarized Modified Source Data'!$B166,Hour,0)),Season,'Summarized Modified Source Data'!$A166,Sector,'Summarized Modified Source Data'!W$2,Subsector,'Summarized Modified Source Data'!W$3,TimeOfWeek,$D166)</f>
        <v>1040000000</v>
      </c>
      <c r="X166" s="25">
        <f>SUMIFS(INDEX(Load,,MATCH('Summarized Modified Source Data'!$B166,Hour,0)),Season,'Summarized Modified Source Data'!$A166,Sector,'Summarized Modified Source Data'!X$2,Subsector,'Summarized Modified Source Data'!X$3,TimeOfWeek,$D166)</f>
        <v>0</v>
      </c>
      <c r="Y166" s="25">
        <f>SUMIFS(INDEX(Load,,MATCH('Summarized Modified Source Data'!$B166,Hour,0)),Season,'Summarized Modified Source Data'!$A166,Sector,'Summarized Modified Source Data'!Y$2,Subsector,'Summarized Modified Source Data'!Y$3,TimeOfWeek,$D166)</f>
        <v>0</v>
      </c>
    </row>
    <row r="167" spans="1:25" outlineLevel="1" x14ac:dyDescent="0.25">
      <c r="A167" t="s">
        <v>39</v>
      </c>
      <c r="B167" t="s">
        <v>166</v>
      </c>
      <c r="C167" s="7" t="s">
        <v>18</v>
      </c>
      <c r="D167" t="s">
        <v>114</v>
      </c>
      <c r="E167" s="25">
        <f>SUMIFS(INDEX(Load,,MATCH('Summarized Modified Source Data'!$B167,Hour,0)),Season,'Summarized Modified Source Data'!$A167,Sector,'Summarized Modified Source Data'!E$2,Subsector,'Summarized Modified Source Data'!E$3,TimeOfWeek,$D167)</f>
        <v>321650</v>
      </c>
      <c r="F167" s="25">
        <f>SUMIFS(INDEX(Load,,MATCH('Summarized Modified Source Data'!$B167,Hour,0)),Season,'Summarized Modified Source Data'!$A167,Sector,'Summarized Modified Source Data'!F$2,Subsector,'Summarized Modified Source Data'!F$3,TimeOfWeek,$D167)</f>
        <v>111300000</v>
      </c>
      <c r="G167" s="25">
        <f>SUMIFS(INDEX(Load,,MATCH('Summarized Modified Source Data'!$B167,Hour,0)),Season,'Summarized Modified Source Data'!$A167,Sector,'Summarized Modified Source Data'!G$2,Subsector,'Summarized Modified Source Data'!G$3,TimeOfWeek,$D167)</f>
        <v>0</v>
      </c>
      <c r="H167" s="25">
        <f>SUMIFS(INDEX(Load,,MATCH('Summarized Modified Source Data'!$B167,Hour,0)),Season,'Summarized Modified Source Data'!$A167,Sector,'Summarized Modified Source Data'!H$2,Subsector,'Summarized Modified Source Data'!H$3,TimeOfWeek,$D167)</f>
        <v>88700000</v>
      </c>
      <c r="I167" s="25">
        <f>SUMIFS(INDEX(Load,,MATCH('Summarized Modified Source Data'!$B167,Hour,0)),Season,'Summarized Modified Source Data'!$A167,Sector,'Summarized Modified Source Data'!I$2,Subsector,'Summarized Modified Source Data'!I$3,TimeOfWeek,$D167)</f>
        <v>24941336</v>
      </c>
      <c r="J167" s="25">
        <f t="shared" si="6"/>
        <v>24941336</v>
      </c>
      <c r="K167" s="25">
        <f>SUMIFS(INDEX(Load,,MATCH('Summarized Modified Source Data'!$B167,Hour,0)),Season,'Summarized Modified Source Data'!$A167,Sector,'Summarized Modified Source Data'!K$2,Subsector,'Summarized Modified Source Data'!K$3,TimeOfWeek,$D167)</f>
        <v>386351</v>
      </c>
      <c r="L167" s="25">
        <f>SUMIFS(INDEX(Load,,MATCH('Summarized Modified Source Data'!$B167,Hour,0)),Season,'Summarized Modified Source Data'!$A167,Sector,'Summarized Modified Source Data'!L$2,Subsector,'Summarized Modified Source Data'!L$3,TimeOfWeek,$D167)</f>
        <v>406100000</v>
      </c>
      <c r="M167" s="25">
        <f>SUMIFS(INDEX(Load,,MATCH('Summarized Modified Source Data'!$B167,Hour,0)),Season,'Summarized Modified Source Data'!$A167,Sector,'Summarized Modified Source Data'!M$2,Subsector,'Summarized Modified Source Data'!M$3,TimeOfWeek,$D167)</f>
        <v>0</v>
      </c>
      <c r="N167" s="25">
        <f t="shared" si="7"/>
        <v>295513649</v>
      </c>
      <c r="O167" s="25">
        <f>SUMIFS(INDEX(Load,,MATCH('Summarized Modified Source Data'!$B167,Hour,0)),Season,'Summarized Modified Source Data'!$A167,Sector,'Summarized Modified Source Data'!O$2,Subsector,"Total",TimeOfWeek,$D167)-SUM(K167:M167)</f>
        <v>295513649</v>
      </c>
      <c r="P167" s="25">
        <f t="shared" si="8"/>
        <v>295513649</v>
      </c>
      <c r="Q167" s="33" cm="1">
        <f t="array" ref="Q167">SUMIFS(INDEX(Load,,MATCH('Summarized Modified Source Data'!$B167,Hour,0)),Season,'Summarized Modified Source Data'!$A167,Sector,'Summarized Modified Source Data'!Q$2,TimeOfWeek,$D167)*LDVs</f>
        <v>4644670.3171575582</v>
      </c>
      <c r="R167" s="33" cm="1">
        <f t="array" ref="R167">SUMIFS(INDEX(Load,,MATCH('Summarized Modified Source Data'!$B167,Hour,0)),Season,'Summarized Modified Source Data'!$A167,Sector,'Summarized Modified Source Data'!R$2,TimeOfWeek,$D167)*HDVs</f>
        <v>2188595.9029098363</v>
      </c>
      <c r="S167" s="33">
        <f>SUMIFS(INDEX(Load,,MATCH('Summarized Modified Source Data'!$B167,Hour,0)),Season,'Summarized Modified Source Data'!$A167,Sector,'Summarized Modified Source Data'!S$2,TimeOfWeek,$D167)*Aircraft</f>
        <v>0</v>
      </c>
      <c r="T167" s="33">
        <f>SUMIFS(INDEX(Load,,MATCH('Summarized Modified Source Data'!$B167,Hour,0)),Season,'Summarized Modified Source Data'!$A167,Sector,'Summarized Modified Source Data'!T$2,TimeOfWeek,$D167)*Rail</f>
        <v>9528448.7799326051</v>
      </c>
      <c r="U167" s="33">
        <f>SUMIFS(INDEX(Load,,MATCH('Summarized Modified Source Data'!$B167,Hour,0)),Season,'Summarized Modified Source Data'!$A167,Sector,'Summarized Modified Source Data'!U$2,TimeOfWeek,$D167)*Ships</f>
        <v>0</v>
      </c>
      <c r="V167" s="33">
        <f>SUMIFS(INDEX(Load,,MATCH('Summarized Modified Source Data'!$B167,Hour,0)),Season,'Summarized Modified Source Data'!$A167,Sector,'Summarized Modified Source Data'!V$2,TimeOfWeek,$D167)*Motorbikes</f>
        <v>0</v>
      </c>
      <c r="W167" s="25">
        <f>SUMIFS(INDEX(Load,,MATCH('Summarized Modified Source Data'!$B167,Hour,0)),Season,'Summarized Modified Source Data'!$A167,Sector,'Summarized Modified Source Data'!W$2,Subsector,'Summarized Modified Source Data'!W$3,TimeOfWeek,$D167)</f>
        <v>1034000000</v>
      </c>
      <c r="X167" s="25">
        <f>SUMIFS(INDEX(Load,,MATCH('Summarized Modified Source Data'!$B167,Hour,0)),Season,'Summarized Modified Source Data'!$A167,Sector,'Summarized Modified Source Data'!X$2,Subsector,'Summarized Modified Source Data'!X$3,TimeOfWeek,$D167)</f>
        <v>0</v>
      </c>
      <c r="Y167" s="25">
        <f>SUMIFS(INDEX(Load,,MATCH('Summarized Modified Source Data'!$B167,Hour,0)),Season,'Summarized Modified Source Data'!$A167,Sector,'Summarized Modified Source Data'!Y$2,Subsector,'Summarized Modified Source Data'!Y$3,TimeOfWeek,$D167)</f>
        <v>0</v>
      </c>
    </row>
    <row r="168" spans="1:25" outlineLevel="1" x14ac:dyDescent="0.25">
      <c r="A168" t="s">
        <v>39</v>
      </c>
      <c r="B168" t="s">
        <v>167</v>
      </c>
      <c r="C168" s="7" t="s">
        <v>19</v>
      </c>
      <c r="D168" t="s">
        <v>114</v>
      </c>
      <c r="E168" s="25">
        <f>SUMIFS(INDEX(Load,,MATCH('Summarized Modified Source Data'!$B168,Hour,0)),Season,'Summarized Modified Source Data'!$A168,Sector,'Summarized Modified Source Data'!E$2,Subsector,'Summarized Modified Source Data'!E$3,TimeOfWeek,$D168)</f>
        <v>320487</v>
      </c>
      <c r="F168" s="25">
        <f>SUMIFS(INDEX(Load,,MATCH('Summarized Modified Source Data'!$B168,Hour,0)),Season,'Summarized Modified Source Data'!$A168,Sector,'Summarized Modified Source Data'!F$2,Subsector,'Summarized Modified Source Data'!F$3,TimeOfWeek,$D168)</f>
        <v>99200000</v>
      </c>
      <c r="G168" s="25">
        <f>SUMIFS(INDEX(Load,,MATCH('Summarized Modified Source Data'!$B168,Hour,0)),Season,'Summarized Modified Source Data'!$A168,Sector,'Summarized Modified Source Data'!G$2,Subsector,'Summarized Modified Source Data'!G$3,TimeOfWeek,$D168)</f>
        <v>0</v>
      </c>
      <c r="H168" s="25">
        <f>SUMIFS(INDEX(Load,,MATCH('Summarized Modified Source Data'!$B168,Hour,0)),Season,'Summarized Modified Source Data'!$A168,Sector,'Summarized Modified Source Data'!H$2,Subsector,'Summarized Modified Source Data'!H$3,TimeOfWeek,$D168)</f>
        <v>88200000</v>
      </c>
      <c r="I168" s="25">
        <f>SUMIFS(INDEX(Load,,MATCH('Summarized Modified Source Data'!$B168,Hour,0)),Season,'Summarized Modified Source Data'!$A168,Sector,'Summarized Modified Source Data'!I$2,Subsector,'Summarized Modified Source Data'!I$3,TimeOfWeek,$D168)</f>
        <v>23290010</v>
      </c>
      <c r="J168" s="25">
        <f t="shared" si="6"/>
        <v>23290010</v>
      </c>
      <c r="K168" s="25">
        <f>SUMIFS(INDEX(Load,,MATCH('Summarized Modified Source Data'!$B168,Hour,0)),Season,'Summarized Modified Source Data'!$A168,Sector,'Summarized Modified Source Data'!K$2,Subsector,'Summarized Modified Source Data'!K$3,TimeOfWeek,$D168)</f>
        <v>446514</v>
      </c>
      <c r="L168" s="25">
        <f>SUMIFS(INDEX(Load,,MATCH('Summarized Modified Source Data'!$B168,Hour,0)),Season,'Summarized Modified Source Data'!$A168,Sector,'Summarized Modified Source Data'!L$2,Subsector,'Summarized Modified Source Data'!L$3,TimeOfWeek,$D168)</f>
        <v>373200000</v>
      </c>
      <c r="M168" s="25">
        <f>SUMIFS(INDEX(Load,,MATCH('Summarized Modified Source Data'!$B168,Hour,0)),Season,'Summarized Modified Source Data'!$A168,Sector,'Summarized Modified Source Data'!M$2,Subsector,'Summarized Modified Source Data'!M$3,TimeOfWeek,$D168)</f>
        <v>0</v>
      </c>
      <c r="N168" s="25">
        <f t="shared" si="7"/>
        <v>281353486</v>
      </c>
      <c r="O168" s="25">
        <f>SUMIFS(INDEX(Load,,MATCH('Summarized Modified Source Data'!$B168,Hour,0)),Season,'Summarized Modified Source Data'!$A168,Sector,'Summarized Modified Source Data'!O$2,Subsector,"Total",TimeOfWeek,$D168)-SUM(K168:M168)</f>
        <v>281353486</v>
      </c>
      <c r="P168" s="25">
        <f t="shared" si="8"/>
        <v>281353486</v>
      </c>
      <c r="Q168" s="33" cm="1">
        <f t="array" ref="Q168">SUMIFS(INDEX(Load,,MATCH('Summarized Modified Source Data'!$B168,Hour,0)),Season,'Summarized Modified Source Data'!$A168,Sector,'Summarized Modified Source Data'!Q$2,TimeOfWeek,$D168)*LDVs</f>
        <v>4490084.5824775221</v>
      </c>
      <c r="R168" s="33" cm="1">
        <f t="array" ref="R168">SUMIFS(INDEX(Load,,MATCH('Summarized Modified Source Data'!$B168,Hour,0)),Season,'Summarized Modified Source Data'!$A168,Sector,'Summarized Modified Source Data'!R$2,TimeOfWeek,$D168)*HDVs</f>
        <v>2115754.1978012417</v>
      </c>
      <c r="S168" s="33">
        <f>SUMIFS(INDEX(Load,,MATCH('Summarized Modified Source Data'!$B168,Hour,0)),Season,'Summarized Modified Source Data'!$A168,Sector,'Summarized Modified Source Data'!S$2,TimeOfWeek,$D168)*Aircraft</f>
        <v>0</v>
      </c>
      <c r="T168" s="33">
        <f>SUMIFS(INDEX(Load,,MATCH('Summarized Modified Source Data'!$B168,Hour,0)),Season,'Summarized Modified Source Data'!$A168,Sector,'Summarized Modified Source Data'!T$2,TimeOfWeek,$D168)*Rail</f>
        <v>9211319.2197212372</v>
      </c>
      <c r="U168" s="33">
        <f>SUMIFS(INDEX(Load,,MATCH('Summarized Modified Source Data'!$B168,Hour,0)),Season,'Summarized Modified Source Data'!$A168,Sector,'Summarized Modified Source Data'!U$2,TimeOfWeek,$D168)*Ships</f>
        <v>0</v>
      </c>
      <c r="V168" s="33">
        <f>SUMIFS(INDEX(Load,,MATCH('Summarized Modified Source Data'!$B168,Hour,0)),Season,'Summarized Modified Source Data'!$A168,Sector,'Summarized Modified Source Data'!V$2,TimeOfWeek,$D168)*Motorbikes</f>
        <v>0</v>
      </c>
      <c r="W168" s="25">
        <f>SUMIFS(INDEX(Load,,MATCH('Summarized Modified Source Data'!$B168,Hour,0)),Season,'Summarized Modified Source Data'!$A168,Sector,'Summarized Modified Source Data'!W$2,Subsector,'Summarized Modified Source Data'!W$3,TimeOfWeek,$D168)</f>
        <v>1028000000</v>
      </c>
      <c r="X168" s="25">
        <f>SUMIFS(INDEX(Load,,MATCH('Summarized Modified Source Data'!$B168,Hour,0)),Season,'Summarized Modified Source Data'!$A168,Sector,'Summarized Modified Source Data'!X$2,Subsector,'Summarized Modified Source Data'!X$3,TimeOfWeek,$D168)</f>
        <v>0</v>
      </c>
      <c r="Y168" s="25">
        <f>SUMIFS(INDEX(Load,,MATCH('Summarized Modified Source Data'!$B168,Hour,0)),Season,'Summarized Modified Source Data'!$A168,Sector,'Summarized Modified Source Data'!Y$2,Subsector,'Summarized Modified Source Data'!Y$3,TimeOfWeek,$D168)</f>
        <v>0</v>
      </c>
    </row>
    <row r="169" spans="1:25" outlineLevel="1" x14ac:dyDescent="0.25">
      <c r="A169" t="s">
        <v>39</v>
      </c>
      <c r="B169" t="s">
        <v>168</v>
      </c>
      <c r="C169" s="7" t="s">
        <v>20</v>
      </c>
      <c r="D169" t="s">
        <v>114</v>
      </c>
      <c r="E169" s="25">
        <f>SUMIFS(INDEX(Load,,MATCH('Summarized Modified Source Data'!$B169,Hour,0)),Season,'Summarized Modified Source Data'!$A169,Sector,'Summarized Modified Source Data'!E$2,Subsector,'Summarized Modified Source Data'!E$3,TimeOfWeek,$D169)</f>
        <v>283420</v>
      </c>
      <c r="F169" s="25">
        <f>SUMIFS(INDEX(Load,,MATCH('Summarized Modified Source Data'!$B169,Hour,0)),Season,'Summarized Modified Source Data'!$A169,Sector,'Summarized Modified Source Data'!F$2,Subsector,'Summarized Modified Source Data'!F$3,TimeOfWeek,$D169)</f>
        <v>85800000</v>
      </c>
      <c r="G169" s="25">
        <f>SUMIFS(INDEX(Load,,MATCH('Summarized Modified Source Data'!$B169,Hour,0)),Season,'Summarized Modified Source Data'!$A169,Sector,'Summarized Modified Source Data'!G$2,Subsector,'Summarized Modified Source Data'!G$3,TimeOfWeek,$D169)</f>
        <v>0</v>
      </c>
      <c r="H169" s="25">
        <f>SUMIFS(INDEX(Load,,MATCH('Summarized Modified Source Data'!$B169,Hour,0)),Season,'Summarized Modified Source Data'!$A169,Sector,'Summarized Modified Source Data'!H$2,Subsector,'Summarized Modified Source Data'!H$3,TimeOfWeek,$D169)</f>
        <v>72900000</v>
      </c>
      <c r="I169" s="25">
        <f>SUMIFS(INDEX(Load,,MATCH('Summarized Modified Source Data'!$B169,Hour,0)),Season,'Summarized Modified Source Data'!$A169,Sector,'Summarized Modified Source Data'!I$2,Subsector,'Summarized Modified Source Data'!I$3,TimeOfWeek,$D169)</f>
        <v>20357002</v>
      </c>
      <c r="J169" s="25">
        <f t="shared" si="6"/>
        <v>20357002</v>
      </c>
      <c r="K169" s="25">
        <f>SUMIFS(INDEX(Load,,MATCH('Summarized Modified Source Data'!$B169,Hour,0)),Season,'Summarized Modified Source Data'!$A169,Sector,'Summarized Modified Source Data'!K$2,Subsector,'Summarized Modified Source Data'!K$3,TimeOfWeek,$D169)</f>
        <v>460517</v>
      </c>
      <c r="L169" s="25">
        <f>SUMIFS(INDEX(Load,,MATCH('Summarized Modified Source Data'!$B169,Hour,0)),Season,'Summarized Modified Source Data'!$A169,Sector,'Summarized Modified Source Data'!L$2,Subsector,'Summarized Modified Source Data'!L$3,TimeOfWeek,$D169)</f>
        <v>339400000</v>
      </c>
      <c r="M169" s="25">
        <f>SUMIFS(INDEX(Load,,MATCH('Summarized Modified Source Data'!$B169,Hour,0)),Season,'Summarized Modified Source Data'!$A169,Sector,'Summarized Modified Source Data'!M$2,Subsector,'Summarized Modified Source Data'!M$3,TimeOfWeek,$D169)</f>
        <v>0</v>
      </c>
      <c r="N169" s="25">
        <f t="shared" si="7"/>
        <v>263139483</v>
      </c>
      <c r="O169" s="25">
        <f>SUMIFS(INDEX(Load,,MATCH('Summarized Modified Source Data'!$B169,Hour,0)),Season,'Summarized Modified Source Data'!$A169,Sector,'Summarized Modified Source Data'!O$2,Subsector,"Total",TimeOfWeek,$D169)-SUM(K169:M169)</f>
        <v>263139483</v>
      </c>
      <c r="P169" s="25">
        <f t="shared" si="8"/>
        <v>263139483</v>
      </c>
      <c r="Q169" s="33" cm="1">
        <f t="array" ref="Q169">SUMIFS(INDEX(Load,,MATCH('Summarized Modified Source Data'!$B169,Hour,0)),Season,'Summarized Modified Source Data'!$A169,Sector,'Summarized Modified Source Data'!Q$2,TimeOfWeek,$D169)*LDVs</f>
        <v>4315552.1365569225</v>
      </c>
      <c r="R169" s="33" cm="1">
        <f t="array" ref="R169">SUMIFS(INDEX(Load,,MATCH('Summarized Modified Source Data'!$B169,Hour,0)),Season,'Summarized Modified Source Data'!$A169,Sector,'Summarized Modified Source Data'!R$2,TimeOfWeek,$D169)*HDVs</f>
        <v>2033513.4853322408</v>
      </c>
      <c r="S169" s="33">
        <f>SUMIFS(INDEX(Load,,MATCH('Summarized Modified Source Data'!$B169,Hour,0)),Season,'Summarized Modified Source Data'!$A169,Sector,'Summarized Modified Source Data'!S$2,TimeOfWeek,$D169)*Aircraft</f>
        <v>0</v>
      </c>
      <c r="T169" s="33">
        <f>SUMIFS(INDEX(Load,,MATCH('Summarized Modified Source Data'!$B169,Hour,0)),Season,'Summarized Modified Source Data'!$A169,Sector,'Summarized Modified Source Data'!T$2,TimeOfWeek,$D169)*Rail</f>
        <v>8853269.3781108372</v>
      </c>
      <c r="U169" s="33">
        <f>SUMIFS(INDEX(Load,,MATCH('Summarized Modified Source Data'!$B169,Hour,0)),Season,'Summarized Modified Source Data'!$A169,Sector,'Summarized Modified Source Data'!U$2,TimeOfWeek,$D169)*Ships</f>
        <v>0</v>
      </c>
      <c r="V169" s="33">
        <f>SUMIFS(INDEX(Load,,MATCH('Summarized Modified Source Data'!$B169,Hour,0)),Season,'Summarized Modified Source Data'!$A169,Sector,'Summarized Modified Source Data'!V$2,TimeOfWeek,$D169)*Motorbikes</f>
        <v>0</v>
      </c>
      <c r="W169" s="25">
        <f>SUMIFS(INDEX(Load,,MATCH('Summarized Modified Source Data'!$B169,Hour,0)),Season,'Summarized Modified Source Data'!$A169,Sector,'Summarized Modified Source Data'!W$2,Subsector,'Summarized Modified Source Data'!W$3,TimeOfWeek,$D169)</f>
        <v>1018000000</v>
      </c>
      <c r="X169" s="25">
        <f>SUMIFS(INDEX(Load,,MATCH('Summarized Modified Source Data'!$B169,Hour,0)),Season,'Summarized Modified Source Data'!$A169,Sector,'Summarized Modified Source Data'!X$2,Subsector,'Summarized Modified Source Data'!X$3,TimeOfWeek,$D169)</f>
        <v>0</v>
      </c>
      <c r="Y169" s="25">
        <f>SUMIFS(INDEX(Load,,MATCH('Summarized Modified Source Data'!$B169,Hour,0)),Season,'Summarized Modified Source Data'!$A169,Sector,'Summarized Modified Source Data'!Y$2,Subsector,'Summarized Modified Source Data'!Y$3,TimeOfWeek,$D169)</f>
        <v>0</v>
      </c>
    </row>
    <row r="170" spans="1:25" outlineLevel="1" x14ac:dyDescent="0.25">
      <c r="A170" t="s">
        <v>39</v>
      </c>
      <c r="B170" t="s">
        <v>169</v>
      </c>
      <c r="C170" s="7" t="s">
        <v>21</v>
      </c>
      <c r="D170" t="s">
        <v>114</v>
      </c>
      <c r="E170" s="25">
        <f>SUMIFS(INDEX(Load,,MATCH('Summarized Modified Source Data'!$B170,Hour,0)),Season,'Summarized Modified Source Data'!$A170,Sector,'Summarized Modified Source Data'!E$2,Subsector,'Summarized Modified Source Data'!E$3,TimeOfWeek,$D170)</f>
        <v>220535</v>
      </c>
      <c r="F170" s="25">
        <f>SUMIFS(INDEX(Load,,MATCH('Summarized Modified Source Data'!$B170,Hour,0)),Season,'Summarized Modified Source Data'!$A170,Sector,'Summarized Modified Source Data'!F$2,Subsector,'Summarized Modified Source Data'!F$3,TimeOfWeek,$D170)</f>
        <v>72351808</v>
      </c>
      <c r="G170" s="25">
        <f>SUMIFS(INDEX(Load,,MATCH('Summarized Modified Source Data'!$B170,Hour,0)),Season,'Summarized Modified Source Data'!$A170,Sector,'Summarized Modified Source Data'!G$2,Subsector,'Summarized Modified Source Data'!G$3,TimeOfWeek,$D170)</f>
        <v>0</v>
      </c>
      <c r="H170" s="25">
        <f>SUMIFS(INDEX(Load,,MATCH('Summarized Modified Source Data'!$B170,Hour,0)),Season,'Summarized Modified Source Data'!$A170,Sector,'Summarized Modified Source Data'!H$2,Subsector,'Summarized Modified Source Data'!H$3,TimeOfWeek,$D170)</f>
        <v>47000000</v>
      </c>
      <c r="I170" s="25">
        <f>SUMIFS(INDEX(Load,,MATCH('Summarized Modified Source Data'!$B170,Hour,0)),Season,'Summarized Modified Source Data'!$A170,Sector,'Summarized Modified Source Data'!I$2,Subsector,'Summarized Modified Source Data'!I$3,TimeOfWeek,$D170)</f>
        <v>17679329</v>
      </c>
      <c r="J170" s="25">
        <f t="shared" si="6"/>
        <v>17679329</v>
      </c>
      <c r="K170" s="25">
        <f>SUMIFS(INDEX(Load,,MATCH('Summarized Modified Source Data'!$B170,Hour,0)),Season,'Summarized Modified Source Data'!$A170,Sector,'Summarized Modified Source Data'!K$2,Subsector,'Summarized Modified Source Data'!K$3,TimeOfWeek,$D170)</f>
        <v>474204</v>
      </c>
      <c r="L170" s="25">
        <f>SUMIFS(INDEX(Load,,MATCH('Summarized Modified Source Data'!$B170,Hour,0)),Season,'Summarized Modified Source Data'!$A170,Sector,'Summarized Modified Source Data'!L$2,Subsector,'Summarized Modified Source Data'!L$3,TimeOfWeek,$D170)</f>
        <v>308200000</v>
      </c>
      <c r="M170" s="25">
        <f>SUMIFS(INDEX(Load,,MATCH('Summarized Modified Source Data'!$B170,Hour,0)),Season,'Summarized Modified Source Data'!$A170,Sector,'Summarized Modified Source Data'!M$2,Subsector,'Summarized Modified Source Data'!M$3,TimeOfWeek,$D170)</f>
        <v>0</v>
      </c>
      <c r="N170" s="25">
        <f t="shared" si="7"/>
        <v>249325796</v>
      </c>
      <c r="O170" s="25">
        <f>SUMIFS(INDEX(Load,,MATCH('Summarized Modified Source Data'!$B170,Hour,0)),Season,'Summarized Modified Source Data'!$A170,Sector,'Summarized Modified Source Data'!O$2,Subsector,"Total",TimeOfWeek,$D170)-SUM(K170:M170)</f>
        <v>249325796</v>
      </c>
      <c r="P170" s="25">
        <f t="shared" si="8"/>
        <v>249325796</v>
      </c>
      <c r="Q170" s="33" cm="1">
        <f t="array" ref="Q170">SUMIFS(INDEX(Load,,MATCH('Summarized Modified Source Data'!$B170,Hour,0)),Season,'Summarized Modified Source Data'!$A170,Sector,'Summarized Modified Source Data'!Q$2,TimeOfWeek,$D170)*LDVs</f>
        <v>4255712.8544581188</v>
      </c>
      <c r="R170" s="33" cm="1">
        <f t="array" ref="R170">SUMIFS(INDEX(Load,,MATCH('Summarized Modified Source Data'!$B170,Hour,0)),Season,'Summarized Modified Source Data'!$A170,Sector,'Summarized Modified Source Data'!R$2,TimeOfWeek,$D170)*HDVs</f>
        <v>2005316.8645407236</v>
      </c>
      <c r="S170" s="33">
        <f>SUMIFS(INDEX(Load,,MATCH('Summarized Modified Source Data'!$B170,Hour,0)),Season,'Summarized Modified Source Data'!$A170,Sector,'Summarized Modified Source Data'!S$2,TimeOfWeek,$D170)*Aircraft</f>
        <v>0</v>
      </c>
      <c r="T170" s="33">
        <f>SUMIFS(INDEX(Load,,MATCH('Summarized Modified Source Data'!$B170,Hour,0)),Season,'Summarized Modified Source Data'!$A170,Sector,'Summarized Modified Source Data'!T$2,TimeOfWeek,$D170)*Rail</f>
        <v>8730510.2810011581</v>
      </c>
      <c r="U170" s="33">
        <f>SUMIFS(INDEX(Load,,MATCH('Summarized Modified Source Data'!$B170,Hour,0)),Season,'Summarized Modified Source Data'!$A170,Sector,'Summarized Modified Source Data'!U$2,TimeOfWeek,$D170)*Ships</f>
        <v>0</v>
      </c>
      <c r="V170" s="33">
        <f>SUMIFS(INDEX(Load,,MATCH('Summarized Modified Source Data'!$B170,Hour,0)),Season,'Summarized Modified Source Data'!$A170,Sector,'Summarized Modified Source Data'!V$2,TimeOfWeek,$D170)*Motorbikes</f>
        <v>0</v>
      </c>
      <c r="W170" s="25">
        <f>SUMIFS(INDEX(Load,,MATCH('Summarized Modified Source Data'!$B170,Hour,0)),Season,'Summarized Modified Source Data'!$A170,Sector,'Summarized Modified Source Data'!W$2,Subsector,'Summarized Modified Source Data'!W$3,TimeOfWeek,$D170)</f>
        <v>1009000000</v>
      </c>
      <c r="X170" s="25">
        <f>SUMIFS(INDEX(Load,,MATCH('Summarized Modified Source Data'!$B170,Hour,0)),Season,'Summarized Modified Source Data'!$A170,Sector,'Summarized Modified Source Data'!X$2,Subsector,'Summarized Modified Source Data'!X$3,TimeOfWeek,$D170)</f>
        <v>0</v>
      </c>
      <c r="Y170" s="25">
        <f>SUMIFS(INDEX(Load,,MATCH('Summarized Modified Source Data'!$B170,Hour,0)),Season,'Summarized Modified Source Data'!$A170,Sector,'Summarized Modified Source Data'!Y$2,Subsector,'Summarized Modified Source Data'!Y$3,TimeOfWeek,$D170)</f>
        <v>0</v>
      </c>
    </row>
    <row r="171" spans="1:25" outlineLevel="1" x14ac:dyDescent="0.25">
      <c r="A171" t="s">
        <v>39</v>
      </c>
      <c r="B171" t="s">
        <v>170</v>
      </c>
      <c r="C171" s="7" t="s">
        <v>22</v>
      </c>
      <c r="D171" t="s">
        <v>114</v>
      </c>
      <c r="E171" s="25">
        <f>SUMIFS(INDEX(Load,,MATCH('Summarized Modified Source Data'!$B171,Hour,0)),Season,'Summarized Modified Source Data'!$A171,Sector,'Summarized Modified Source Data'!E$2,Subsector,'Summarized Modified Source Data'!E$3,TimeOfWeek,$D171)</f>
        <v>189138</v>
      </c>
      <c r="F171" s="25">
        <f>SUMIFS(INDEX(Load,,MATCH('Summarized Modified Source Data'!$B171,Hour,0)),Season,'Summarized Modified Source Data'!$A171,Sector,'Summarized Modified Source Data'!F$2,Subsector,'Summarized Modified Source Data'!F$3,TimeOfWeek,$D171)</f>
        <v>60457820</v>
      </c>
      <c r="G171" s="25">
        <f>SUMIFS(INDEX(Load,,MATCH('Summarized Modified Source Data'!$B171,Hour,0)),Season,'Summarized Modified Source Data'!$A171,Sector,'Summarized Modified Source Data'!G$2,Subsector,'Summarized Modified Source Data'!G$3,TimeOfWeek,$D171)</f>
        <v>0</v>
      </c>
      <c r="H171" s="25">
        <f>SUMIFS(INDEX(Load,,MATCH('Summarized Modified Source Data'!$B171,Hour,0)),Season,'Summarized Modified Source Data'!$A171,Sector,'Summarized Modified Source Data'!H$2,Subsector,'Summarized Modified Source Data'!H$3,TimeOfWeek,$D171)</f>
        <v>26297082</v>
      </c>
      <c r="I171" s="25">
        <f>SUMIFS(INDEX(Load,,MATCH('Summarized Modified Source Data'!$B171,Hour,0)),Season,'Summarized Modified Source Data'!$A171,Sector,'Summarized Modified Source Data'!I$2,Subsector,'Summarized Modified Source Data'!I$3,TimeOfWeek,$D171)</f>
        <v>13464080</v>
      </c>
      <c r="J171" s="25">
        <f t="shared" si="6"/>
        <v>13464080</v>
      </c>
      <c r="K171" s="25">
        <f>SUMIFS(INDEX(Load,,MATCH('Summarized Modified Source Data'!$B171,Hour,0)),Season,'Summarized Modified Source Data'!$A171,Sector,'Summarized Modified Source Data'!K$2,Subsector,'Summarized Modified Source Data'!K$3,TimeOfWeek,$D171)</f>
        <v>493516</v>
      </c>
      <c r="L171" s="25">
        <f>SUMIFS(INDEX(Load,,MATCH('Summarized Modified Source Data'!$B171,Hour,0)),Season,'Summarized Modified Source Data'!$A171,Sector,'Summarized Modified Source Data'!L$2,Subsector,'Summarized Modified Source Data'!L$3,TimeOfWeek,$D171)</f>
        <v>277600000</v>
      </c>
      <c r="M171" s="25">
        <f>SUMIFS(INDEX(Load,,MATCH('Summarized Modified Source Data'!$B171,Hour,0)),Season,'Summarized Modified Source Data'!$A171,Sector,'Summarized Modified Source Data'!M$2,Subsector,'Summarized Modified Source Data'!M$3,TimeOfWeek,$D171)</f>
        <v>0</v>
      </c>
      <c r="N171" s="25">
        <f t="shared" si="7"/>
        <v>228906484</v>
      </c>
      <c r="O171" s="25">
        <f>SUMIFS(INDEX(Load,,MATCH('Summarized Modified Source Data'!$B171,Hour,0)),Season,'Summarized Modified Source Data'!$A171,Sector,'Summarized Modified Source Data'!O$2,Subsector,"Total",TimeOfWeek,$D171)-SUM(K171:M171)</f>
        <v>228906484</v>
      </c>
      <c r="P171" s="25">
        <f t="shared" si="8"/>
        <v>228906484</v>
      </c>
      <c r="Q171" s="33" cm="1">
        <f t="array" ref="Q171">SUMIFS(INDEX(Load,,MATCH('Summarized Modified Source Data'!$B171,Hour,0)),Season,'Summarized Modified Source Data'!$A171,Sector,'Summarized Modified Source Data'!Q$2,TimeOfWeek,$D171)*LDVs</f>
        <v>2860434.6405325201</v>
      </c>
      <c r="R171" s="33" cm="1">
        <f t="array" ref="R171">SUMIFS(INDEX(Load,,MATCH('Summarized Modified Source Data'!$B171,Hour,0)),Season,'Summarized Modified Source Data'!$A171,Sector,'Summarized Modified Source Data'!R$2,TimeOfWeek,$D171)*HDVs</f>
        <v>1347853.5842866967</v>
      </c>
      <c r="S171" s="33">
        <f>SUMIFS(INDEX(Load,,MATCH('Summarized Modified Source Data'!$B171,Hour,0)),Season,'Summarized Modified Source Data'!$A171,Sector,'Summarized Modified Source Data'!S$2,TimeOfWeek,$D171)*Aircraft</f>
        <v>0</v>
      </c>
      <c r="T171" s="33">
        <f>SUMIFS(INDEX(Load,,MATCH('Summarized Modified Source Data'!$B171,Hour,0)),Season,'Summarized Modified Source Data'!$A171,Sector,'Summarized Modified Source Data'!T$2,TimeOfWeek,$D171)*Rail</f>
        <v>5868124.7751807831</v>
      </c>
      <c r="U171" s="33">
        <f>SUMIFS(INDEX(Load,,MATCH('Summarized Modified Source Data'!$B171,Hour,0)),Season,'Summarized Modified Source Data'!$A171,Sector,'Summarized Modified Source Data'!U$2,TimeOfWeek,$D171)*Ships</f>
        <v>0</v>
      </c>
      <c r="V171" s="33">
        <f>SUMIFS(INDEX(Load,,MATCH('Summarized Modified Source Data'!$B171,Hour,0)),Season,'Summarized Modified Source Data'!$A171,Sector,'Summarized Modified Source Data'!V$2,TimeOfWeek,$D171)*Motorbikes</f>
        <v>0</v>
      </c>
      <c r="W171" s="25">
        <f>SUMIFS(INDEX(Load,,MATCH('Summarized Modified Source Data'!$B171,Hour,0)),Season,'Summarized Modified Source Data'!$A171,Sector,'Summarized Modified Source Data'!W$2,Subsector,'Summarized Modified Source Data'!W$3,TimeOfWeek,$D171)</f>
        <v>1003000000</v>
      </c>
      <c r="X171" s="25">
        <f>SUMIFS(INDEX(Load,,MATCH('Summarized Modified Source Data'!$B171,Hour,0)),Season,'Summarized Modified Source Data'!$A171,Sector,'Summarized Modified Source Data'!X$2,Subsector,'Summarized Modified Source Data'!X$3,TimeOfWeek,$D171)</f>
        <v>0</v>
      </c>
      <c r="Y171" s="25">
        <f>SUMIFS(INDEX(Load,,MATCH('Summarized Modified Source Data'!$B171,Hour,0)),Season,'Summarized Modified Source Data'!$A171,Sector,'Summarized Modified Source Data'!Y$2,Subsector,'Summarized Modified Source Data'!Y$3,TimeOfWeek,$D171)</f>
        <v>0</v>
      </c>
    </row>
    <row r="172" spans="1:25" outlineLevel="1" x14ac:dyDescent="0.25">
      <c r="A172" t="s">
        <v>40</v>
      </c>
      <c r="B172" t="s">
        <v>147</v>
      </c>
      <c r="C172" s="7" t="s">
        <v>34</v>
      </c>
      <c r="D172" t="s">
        <v>114</v>
      </c>
      <c r="E172" s="25">
        <f>SUMIFS(INDEX(Load,,MATCH('Summarized Modified Source Data'!$B172,Hour,0)),Season,'Summarized Modified Source Data'!$A172,Sector,'Summarized Modified Source Data'!E$2,Subsector,'Summarized Modified Source Data'!E$3,TimeOfWeek,$D172)</f>
        <v>2202849</v>
      </c>
      <c r="F172" s="25">
        <f>SUMIFS(INDEX(Load,,MATCH('Summarized Modified Source Data'!$B172,Hour,0)),Season,'Summarized Modified Source Data'!$A172,Sector,'Summarized Modified Source Data'!F$2,Subsector,'Summarized Modified Source Data'!F$3,TimeOfWeek,$D172)</f>
        <v>1217866</v>
      </c>
      <c r="G172" s="25">
        <f>SUMIFS(INDEX(Load,,MATCH('Summarized Modified Source Data'!$B172,Hour,0)),Season,'Summarized Modified Source Data'!$A172,Sector,'Summarized Modified Source Data'!G$2,Subsector,'Summarized Modified Source Data'!G$3,TimeOfWeek,$D172)</f>
        <v>0</v>
      </c>
      <c r="H172" s="25">
        <f>SUMIFS(INDEX(Load,,MATCH('Summarized Modified Source Data'!$B172,Hour,0)),Season,'Summarized Modified Source Data'!$A172,Sector,'Summarized Modified Source Data'!H$2,Subsector,'Summarized Modified Source Data'!H$3,TimeOfWeek,$D172)</f>
        <v>12763985</v>
      </c>
      <c r="I172" s="25">
        <f>SUMIFS(INDEX(Load,,MATCH('Summarized Modified Source Data'!$B172,Hour,0)),Season,'Summarized Modified Source Data'!$A172,Sector,'Summarized Modified Source Data'!I$2,Subsector,'Summarized Modified Source Data'!I$3,TimeOfWeek,$D172)</f>
        <v>6618592</v>
      </c>
      <c r="J172" s="25">
        <f t="shared" si="6"/>
        <v>6618592</v>
      </c>
      <c r="K172" s="25">
        <f>SUMIFS(INDEX(Load,,MATCH('Summarized Modified Source Data'!$B172,Hour,0)),Season,'Summarized Modified Source Data'!$A172,Sector,'Summarized Modified Source Data'!K$2,Subsector,'Summarized Modified Source Data'!K$3,TimeOfWeek,$D172)</f>
        <v>4487531</v>
      </c>
      <c r="L172" s="25">
        <f>SUMIFS(INDEX(Load,,MATCH('Summarized Modified Source Data'!$B172,Hour,0)),Season,'Summarized Modified Source Data'!$A172,Sector,'Summarized Modified Source Data'!L$2,Subsector,'Summarized Modified Source Data'!L$3,TimeOfWeek,$D172)</f>
        <v>27773947</v>
      </c>
      <c r="M172" s="25">
        <f>SUMIFS(INDEX(Load,,MATCH('Summarized Modified Source Data'!$B172,Hour,0)),Season,'Summarized Modified Source Data'!$A172,Sector,'Summarized Modified Source Data'!M$2,Subsector,'Summarized Modified Source Data'!M$3,TimeOfWeek,$D172)</f>
        <v>0</v>
      </c>
      <c r="N172" s="25">
        <f t="shared" si="7"/>
        <v>154938522</v>
      </c>
      <c r="O172" s="25">
        <f>SUMIFS(INDEX(Load,,MATCH('Summarized Modified Source Data'!$B172,Hour,0)),Season,'Summarized Modified Source Data'!$A172,Sector,'Summarized Modified Source Data'!O$2,Subsector,"Total",TimeOfWeek,$D172)-SUM(K172:M172)</f>
        <v>154938522</v>
      </c>
      <c r="P172" s="25">
        <f t="shared" si="8"/>
        <v>154938522</v>
      </c>
      <c r="Q172" s="33" cm="1">
        <f t="array" ref="Q172">SUMIFS(INDEX(Load,,MATCH('Summarized Modified Source Data'!$B172,Hour,0)),Season,'Summarized Modified Source Data'!$A172,Sector,'Summarized Modified Source Data'!Q$2,TimeOfWeek,$D172)*LDVs</f>
        <v>1479369.7287032946</v>
      </c>
      <c r="R172" s="33" cm="1">
        <f t="array" ref="R172">SUMIFS(INDEX(Load,,MATCH('Summarized Modified Source Data'!$B172,Hour,0)),Season,'Summarized Modified Source Data'!$A172,Sector,'Summarized Modified Source Data'!R$2,TimeOfWeek,$D172)*HDVs</f>
        <v>697087.69536742871</v>
      </c>
      <c r="S172" s="33">
        <f>SUMIFS(INDEX(Load,,MATCH('Summarized Modified Source Data'!$B172,Hour,0)),Season,'Summarized Modified Source Data'!$A172,Sector,'Summarized Modified Source Data'!S$2,TimeOfWeek,$D172)*Aircraft</f>
        <v>0</v>
      </c>
      <c r="T172" s="33">
        <f>SUMIFS(INDEX(Load,,MATCH('Summarized Modified Source Data'!$B172,Hour,0)),Season,'Summarized Modified Source Data'!$A172,Sector,'Summarized Modified Source Data'!T$2,TimeOfWeek,$D172)*Rail</f>
        <v>3034897.5759292766</v>
      </c>
      <c r="U172" s="33">
        <f>SUMIFS(INDEX(Load,,MATCH('Summarized Modified Source Data'!$B172,Hour,0)),Season,'Summarized Modified Source Data'!$A172,Sector,'Summarized Modified Source Data'!U$2,TimeOfWeek,$D172)*Ships</f>
        <v>0</v>
      </c>
      <c r="V172" s="33">
        <f>SUMIFS(INDEX(Load,,MATCH('Summarized Modified Source Data'!$B172,Hour,0)),Season,'Summarized Modified Source Data'!$A172,Sector,'Summarized Modified Source Data'!V$2,TimeOfWeek,$D172)*Motorbikes</f>
        <v>0</v>
      </c>
      <c r="W172" s="25">
        <f>SUMIFS(INDEX(Load,,MATCH('Summarized Modified Source Data'!$B172,Hour,0)),Season,'Summarized Modified Source Data'!$A172,Sector,'Summarized Modified Source Data'!W$2,Subsector,'Summarized Modified Source Data'!W$3,TimeOfWeek,$D172)</f>
        <v>679000000</v>
      </c>
      <c r="X172" s="25">
        <f>SUMIFS(INDEX(Load,,MATCH('Summarized Modified Source Data'!$B172,Hour,0)),Season,'Summarized Modified Source Data'!$A172,Sector,'Summarized Modified Source Data'!X$2,Subsector,'Summarized Modified Source Data'!X$3,TimeOfWeek,$D172)</f>
        <v>0</v>
      </c>
      <c r="Y172" s="25">
        <f>SUMIFS(INDEX(Load,,MATCH('Summarized Modified Source Data'!$B172,Hour,0)),Season,'Summarized Modified Source Data'!$A172,Sector,'Summarized Modified Source Data'!Y$2,Subsector,'Summarized Modified Source Data'!Y$3,TimeOfWeek,$D172)</f>
        <v>0</v>
      </c>
    </row>
    <row r="173" spans="1:25" outlineLevel="1" x14ac:dyDescent="0.25">
      <c r="A173" t="s">
        <v>40</v>
      </c>
      <c r="B173" t="s">
        <v>148</v>
      </c>
      <c r="C173" s="7" t="s">
        <v>0</v>
      </c>
      <c r="D173" t="s">
        <v>114</v>
      </c>
      <c r="E173" s="25">
        <f>SUMIFS(INDEX(Load,,MATCH('Summarized Modified Source Data'!$B173,Hour,0)),Season,'Summarized Modified Source Data'!$A173,Sector,'Summarized Modified Source Data'!E$2,Subsector,'Summarized Modified Source Data'!E$3,TimeOfWeek,$D173)</f>
        <v>2202849</v>
      </c>
      <c r="F173" s="25">
        <f>SUMIFS(INDEX(Load,,MATCH('Summarized Modified Source Data'!$B173,Hour,0)),Season,'Summarized Modified Source Data'!$A173,Sector,'Summarized Modified Source Data'!F$2,Subsector,'Summarized Modified Source Data'!F$3,TimeOfWeek,$D173)</f>
        <v>1109022</v>
      </c>
      <c r="G173" s="25">
        <f>SUMIFS(INDEX(Load,,MATCH('Summarized Modified Source Data'!$B173,Hour,0)),Season,'Summarized Modified Source Data'!$A173,Sector,'Summarized Modified Source Data'!G$2,Subsector,'Summarized Modified Source Data'!G$3,TimeOfWeek,$D173)</f>
        <v>0</v>
      </c>
      <c r="H173" s="25">
        <f>SUMIFS(INDEX(Load,,MATCH('Summarized Modified Source Data'!$B173,Hour,0)),Season,'Summarized Modified Source Data'!$A173,Sector,'Summarized Modified Source Data'!H$2,Subsector,'Summarized Modified Source Data'!H$3,TimeOfWeek,$D173)</f>
        <v>11028003</v>
      </c>
      <c r="I173" s="25">
        <f>SUMIFS(INDEX(Load,,MATCH('Summarized Modified Source Data'!$B173,Hour,0)),Season,'Summarized Modified Source Data'!$A173,Sector,'Summarized Modified Source Data'!I$2,Subsector,'Summarized Modified Source Data'!I$3,TimeOfWeek,$D173)</f>
        <v>4276624</v>
      </c>
      <c r="J173" s="25">
        <f t="shared" si="6"/>
        <v>4276624</v>
      </c>
      <c r="K173" s="25">
        <f>SUMIFS(INDEX(Load,,MATCH('Summarized Modified Source Data'!$B173,Hour,0)),Season,'Summarized Modified Source Data'!$A173,Sector,'Summarized Modified Source Data'!K$2,Subsector,'Summarized Modified Source Data'!K$3,TimeOfWeek,$D173)</f>
        <v>4083640</v>
      </c>
      <c r="L173" s="25">
        <f>SUMIFS(INDEX(Load,,MATCH('Summarized Modified Source Data'!$B173,Hour,0)),Season,'Summarized Modified Source Data'!$A173,Sector,'Summarized Modified Source Data'!L$2,Subsector,'Summarized Modified Source Data'!L$3,TimeOfWeek,$D173)</f>
        <v>27159611</v>
      </c>
      <c r="M173" s="25">
        <f>SUMIFS(INDEX(Load,,MATCH('Summarized Modified Source Data'!$B173,Hour,0)),Season,'Summarized Modified Source Data'!$A173,Sector,'Summarized Modified Source Data'!M$2,Subsector,'Summarized Modified Source Data'!M$3,TimeOfWeek,$D173)</f>
        <v>0</v>
      </c>
      <c r="N173" s="25">
        <f t="shared" si="7"/>
        <v>135456749</v>
      </c>
      <c r="O173" s="25">
        <f>SUMIFS(INDEX(Load,,MATCH('Summarized Modified Source Data'!$B173,Hour,0)),Season,'Summarized Modified Source Data'!$A173,Sector,'Summarized Modified Source Data'!O$2,Subsector,"Total",TimeOfWeek,$D173)-SUM(K173:M173)</f>
        <v>135456749</v>
      </c>
      <c r="P173" s="25">
        <f t="shared" si="8"/>
        <v>135456749</v>
      </c>
      <c r="Q173" s="33" cm="1">
        <f t="array" ref="Q173">SUMIFS(INDEX(Load,,MATCH('Summarized Modified Source Data'!$B173,Hour,0)),Season,'Summarized Modified Source Data'!$A173,Sector,'Summarized Modified Source Data'!Q$2,TimeOfWeek,$D173)*LDVs</f>
        <v>1406232.3552364868</v>
      </c>
      <c r="R173" s="33" cm="1">
        <f t="array" ref="R173">SUMIFS(INDEX(Load,,MATCH('Summarized Modified Source Data'!$B173,Hour,0)),Season,'Summarized Modified Source Data'!$A173,Sector,'Summarized Modified Source Data'!R$2,TimeOfWeek,$D173)*HDVs</f>
        <v>662624.93590574095</v>
      </c>
      <c r="S173" s="33">
        <f>SUMIFS(INDEX(Load,,MATCH('Summarized Modified Source Data'!$B173,Hour,0)),Season,'Summarized Modified Source Data'!$A173,Sector,'Summarized Modified Source Data'!S$2,TimeOfWeek,$D173)*Aircraft</f>
        <v>0</v>
      </c>
      <c r="T173" s="33">
        <f>SUMIFS(INDEX(Load,,MATCH('Summarized Modified Source Data'!$B173,Hour,0)),Season,'Summarized Modified Source Data'!$A173,Sector,'Summarized Modified Source Data'!T$2,TimeOfWeek,$D173)*Rail</f>
        <v>2884857.7088577724</v>
      </c>
      <c r="U173" s="33">
        <f>SUMIFS(INDEX(Load,,MATCH('Summarized Modified Source Data'!$B173,Hour,0)),Season,'Summarized Modified Source Data'!$A173,Sector,'Summarized Modified Source Data'!U$2,TimeOfWeek,$D173)*Ships</f>
        <v>0</v>
      </c>
      <c r="V173" s="33">
        <f>SUMIFS(INDEX(Load,,MATCH('Summarized Modified Source Data'!$B173,Hour,0)),Season,'Summarized Modified Source Data'!$A173,Sector,'Summarized Modified Source Data'!V$2,TimeOfWeek,$D173)*Motorbikes</f>
        <v>0</v>
      </c>
      <c r="W173" s="25">
        <f>SUMIFS(INDEX(Load,,MATCH('Summarized Modified Source Data'!$B173,Hour,0)),Season,'Summarized Modified Source Data'!$A173,Sector,'Summarized Modified Source Data'!W$2,Subsector,'Summarized Modified Source Data'!W$3,TimeOfWeek,$D173)</f>
        <v>678000000</v>
      </c>
      <c r="X173" s="25">
        <f>SUMIFS(INDEX(Load,,MATCH('Summarized Modified Source Data'!$B173,Hour,0)),Season,'Summarized Modified Source Data'!$A173,Sector,'Summarized Modified Source Data'!X$2,Subsector,'Summarized Modified Source Data'!X$3,TimeOfWeek,$D173)</f>
        <v>0</v>
      </c>
      <c r="Y173" s="25">
        <f>SUMIFS(INDEX(Load,,MATCH('Summarized Modified Source Data'!$B173,Hour,0)),Season,'Summarized Modified Source Data'!$A173,Sector,'Summarized Modified Source Data'!Y$2,Subsector,'Summarized Modified Source Data'!Y$3,TimeOfWeek,$D173)</f>
        <v>0</v>
      </c>
    </row>
    <row r="174" spans="1:25" outlineLevel="1" x14ac:dyDescent="0.25">
      <c r="A174" t="s">
        <v>40</v>
      </c>
      <c r="B174" t="s">
        <v>149</v>
      </c>
      <c r="C174" s="7" t="s">
        <v>1</v>
      </c>
      <c r="D174" t="s">
        <v>114</v>
      </c>
      <c r="E174" s="25">
        <f>SUMIFS(INDEX(Load,,MATCH('Summarized Modified Source Data'!$B174,Hour,0)),Season,'Summarized Modified Source Data'!$A174,Sector,'Summarized Modified Source Data'!E$2,Subsector,'Summarized Modified Source Data'!E$3,TimeOfWeek,$D174)</f>
        <v>2218644</v>
      </c>
      <c r="F174" s="25">
        <f>SUMIFS(INDEX(Load,,MATCH('Summarized Modified Source Data'!$B174,Hour,0)),Season,'Summarized Modified Source Data'!$A174,Sector,'Summarized Modified Source Data'!F$2,Subsector,'Summarized Modified Source Data'!F$3,TimeOfWeek,$D174)</f>
        <v>1080111</v>
      </c>
      <c r="G174" s="25">
        <f>SUMIFS(INDEX(Load,,MATCH('Summarized Modified Source Data'!$B174,Hour,0)),Season,'Summarized Modified Source Data'!$A174,Sector,'Summarized Modified Source Data'!G$2,Subsector,'Summarized Modified Source Data'!G$3,TimeOfWeek,$D174)</f>
        <v>0</v>
      </c>
      <c r="H174" s="25">
        <f>SUMIFS(INDEX(Load,,MATCH('Summarized Modified Source Data'!$B174,Hour,0)),Season,'Summarized Modified Source Data'!$A174,Sector,'Summarized Modified Source Data'!H$2,Subsector,'Summarized Modified Source Data'!H$3,TimeOfWeek,$D174)</f>
        <v>10651069</v>
      </c>
      <c r="I174" s="25">
        <f>SUMIFS(INDEX(Load,,MATCH('Summarized Modified Source Data'!$B174,Hour,0)),Season,'Summarized Modified Source Data'!$A174,Sector,'Summarized Modified Source Data'!I$2,Subsector,'Summarized Modified Source Data'!I$3,TimeOfWeek,$D174)</f>
        <v>3564421</v>
      </c>
      <c r="J174" s="25">
        <f t="shared" si="6"/>
        <v>3564421</v>
      </c>
      <c r="K174" s="25">
        <f>SUMIFS(INDEX(Load,,MATCH('Summarized Modified Source Data'!$B174,Hour,0)),Season,'Summarized Modified Source Data'!$A174,Sector,'Summarized Modified Source Data'!K$2,Subsector,'Summarized Modified Source Data'!K$3,TimeOfWeek,$D174)</f>
        <v>4143272</v>
      </c>
      <c r="L174" s="25">
        <f>SUMIFS(INDEX(Load,,MATCH('Summarized Modified Source Data'!$B174,Hour,0)),Season,'Summarized Modified Source Data'!$A174,Sector,'Summarized Modified Source Data'!L$2,Subsector,'Summarized Modified Source Data'!L$3,TimeOfWeek,$D174)</f>
        <v>26853629</v>
      </c>
      <c r="M174" s="25">
        <f>SUMIFS(INDEX(Load,,MATCH('Summarized Modified Source Data'!$B174,Hour,0)),Season,'Summarized Modified Source Data'!$A174,Sector,'Summarized Modified Source Data'!M$2,Subsector,'Summarized Modified Source Data'!M$3,TimeOfWeek,$D174)</f>
        <v>0</v>
      </c>
      <c r="N174" s="25">
        <f t="shared" si="7"/>
        <v>133803099</v>
      </c>
      <c r="O174" s="25">
        <f>SUMIFS(INDEX(Load,,MATCH('Summarized Modified Source Data'!$B174,Hour,0)),Season,'Summarized Modified Source Data'!$A174,Sector,'Summarized Modified Source Data'!O$2,Subsector,"Total",TimeOfWeek,$D174)-SUM(K174:M174)</f>
        <v>133803099</v>
      </c>
      <c r="P174" s="25">
        <f t="shared" si="8"/>
        <v>133803099</v>
      </c>
      <c r="Q174" s="33" cm="1">
        <f t="array" ref="Q174">SUMIFS(INDEX(Load,,MATCH('Summarized Modified Source Data'!$B174,Hour,0)),Season,'Summarized Modified Source Data'!$A174,Sector,'Summarized Modified Source Data'!Q$2,TimeOfWeek,$D174)*LDVs</f>
        <v>1386285.6439959235</v>
      </c>
      <c r="R174" s="33" cm="1">
        <f t="array" ref="R174">SUMIFS(INDEX(Load,,MATCH('Summarized Modified Source Data'!$B174,Hour,0)),Season,'Summarized Modified Source Data'!$A174,Sector,'Summarized Modified Source Data'!R$2,TimeOfWeek,$D174)*HDVs</f>
        <v>653225.92854533507</v>
      </c>
      <c r="S174" s="33">
        <f>SUMIFS(INDEX(Load,,MATCH('Summarized Modified Source Data'!$B174,Hour,0)),Season,'Summarized Modified Source Data'!$A174,Sector,'Summarized Modified Source Data'!S$2,TimeOfWeek,$D174)*Aircraft</f>
        <v>0</v>
      </c>
      <c r="T174" s="33">
        <f>SUMIFS(INDEX(Load,,MATCH('Summarized Modified Source Data'!$B174,Hour,0)),Season,'Summarized Modified Source Data'!$A174,Sector,'Summarized Modified Source Data'!T$2,TimeOfWeek,$D174)*Rail</f>
        <v>2843937.4274587417</v>
      </c>
      <c r="U174" s="33">
        <f>SUMIFS(INDEX(Load,,MATCH('Summarized Modified Source Data'!$B174,Hour,0)),Season,'Summarized Modified Source Data'!$A174,Sector,'Summarized Modified Source Data'!U$2,TimeOfWeek,$D174)*Ships</f>
        <v>0</v>
      </c>
      <c r="V174" s="33">
        <f>SUMIFS(INDEX(Load,,MATCH('Summarized Modified Source Data'!$B174,Hour,0)),Season,'Summarized Modified Source Data'!$A174,Sector,'Summarized Modified Source Data'!V$2,TimeOfWeek,$D174)*Motorbikes</f>
        <v>0</v>
      </c>
      <c r="W174" s="25">
        <f>SUMIFS(INDEX(Load,,MATCH('Summarized Modified Source Data'!$B174,Hour,0)),Season,'Summarized Modified Source Data'!$A174,Sector,'Summarized Modified Source Data'!W$2,Subsector,'Summarized Modified Source Data'!W$3,TimeOfWeek,$D174)</f>
        <v>678000000</v>
      </c>
      <c r="X174" s="25">
        <f>SUMIFS(INDEX(Load,,MATCH('Summarized Modified Source Data'!$B174,Hour,0)),Season,'Summarized Modified Source Data'!$A174,Sector,'Summarized Modified Source Data'!X$2,Subsector,'Summarized Modified Source Data'!X$3,TimeOfWeek,$D174)</f>
        <v>0</v>
      </c>
      <c r="Y174" s="25">
        <f>SUMIFS(INDEX(Load,,MATCH('Summarized Modified Source Data'!$B174,Hour,0)),Season,'Summarized Modified Source Data'!$A174,Sector,'Summarized Modified Source Data'!Y$2,Subsector,'Summarized Modified Source Data'!Y$3,TimeOfWeek,$D174)</f>
        <v>0</v>
      </c>
    </row>
    <row r="175" spans="1:25" outlineLevel="1" x14ac:dyDescent="0.25">
      <c r="A175" t="s">
        <v>40</v>
      </c>
      <c r="B175" t="s">
        <v>150</v>
      </c>
      <c r="C175" s="7" t="s">
        <v>2</v>
      </c>
      <c r="D175" t="s">
        <v>114</v>
      </c>
      <c r="E175" s="25">
        <f>SUMIFS(INDEX(Load,,MATCH('Summarized Modified Source Data'!$B175,Hour,0)),Season,'Summarized Modified Source Data'!$A175,Sector,'Summarized Modified Source Data'!E$2,Subsector,'Summarized Modified Source Data'!E$3,TimeOfWeek,$D175)</f>
        <v>2202849</v>
      </c>
      <c r="F175" s="25">
        <f>SUMIFS(INDEX(Load,,MATCH('Summarized Modified Source Data'!$B175,Hour,0)),Season,'Summarized Modified Source Data'!$A175,Sector,'Summarized Modified Source Data'!F$2,Subsector,'Summarized Modified Source Data'!F$3,TimeOfWeek,$D175)</f>
        <v>1125883</v>
      </c>
      <c r="G175" s="25">
        <f>SUMIFS(INDEX(Load,,MATCH('Summarized Modified Source Data'!$B175,Hour,0)),Season,'Summarized Modified Source Data'!$A175,Sector,'Summarized Modified Source Data'!G$2,Subsector,'Summarized Modified Source Data'!G$3,TimeOfWeek,$D175)</f>
        <v>0</v>
      </c>
      <c r="H175" s="25">
        <f>SUMIFS(INDEX(Load,,MATCH('Summarized Modified Source Data'!$B175,Hour,0)),Season,'Summarized Modified Source Data'!$A175,Sector,'Summarized Modified Source Data'!H$2,Subsector,'Summarized Modified Source Data'!H$3,TimeOfWeek,$D175)</f>
        <v>10642078</v>
      </c>
      <c r="I175" s="25">
        <f>SUMIFS(INDEX(Load,,MATCH('Summarized Modified Source Data'!$B175,Hour,0)),Season,'Summarized Modified Source Data'!$A175,Sector,'Summarized Modified Source Data'!I$2,Subsector,'Summarized Modified Source Data'!I$3,TimeOfWeek,$D175)</f>
        <v>3303925</v>
      </c>
      <c r="J175" s="25">
        <f t="shared" si="6"/>
        <v>3303925</v>
      </c>
      <c r="K175" s="25">
        <f>SUMIFS(INDEX(Load,,MATCH('Summarized Modified Source Data'!$B175,Hour,0)),Season,'Summarized Modified Source Data'!$A175,Sector,'Summarized Modified Source Data'!K$2,Subsector,'Summarized Modified Source Data'!K$3,TimeOfWeek,$D175)</f>
        <v>4208714</v>
      </c>
      <c r="L175" s="25">
        <f>SUMIFS(INDEX(Load,,MATCH('Summarized Modified Source Data'!$B175,Hour,0)),Season,'Summarized Modified Source Data'!$A175,Sector,'Summarized Modified Source Data'!L$2,Subsector,'Summarized Modified Source Data'!L$3,TimeOfWeek,$D175)</f>
        <v>26750254</v>
      </c>
      <c r="M175" s="25">
        <f>SUMIFS(INDEX(Load,,MATCH('Summarized Modified Source Data'!$B175,Hour,0)),Season,'Summarized Modified Source Data'!$A175,Sector,'Summarized Modified Source Data'!M$2,Subsector,'Summarized Modified Source Data'!M$3,TimeOfWeek,$D175)</f>
        <v>0</v>
      </c>
      <c r="N175" s="25">
        <f t="shared" si="7"/>
        <v>135141032</v>
      </c>
      <c r="O175" s="25">
        <f>SUMIFS(INDEX(Load,,MATCH('Summarized Modified Source Data'!$B175,Hour,0)),Season,'Summarized Modified Source Data'!$A175,Sector,'Summarized Modified Source Data'!O$2,Subsector,"Total",TimeOfWeek,$D175)-SUM(K175:M175)</f>
        <v>135141032</v>
      </c>
      <c r="P175" s="25">
        <f t="shared" si="8"/>
        <v>135141032</v>
      </c>
      <c r="Q175" s="33" cm="1">
        <f t="array" ref="Q175">SUMIFS(INDEX(Load,,MATCH('Summarized Modified Source Data'!$B175,Hour,0)),Season,'Summarized Modified Source Data'!$A175,Sector,'Summarized Modified Source Data'!Q$2,TimeOfWeek,$D175)*LDVs</f>
        <v>1386285.6439959235</v>
      </c>
      <c r="R175" s="33" cm="1">
        <f t="array" ref="R175">SUMIFS(INDEX(Load,,MATCH('Summarized Modified Source Data'!$B175,Hour,0)),Season,'Summarized Modified Source Data'!$A175,Sector,'Summarized Modified Source Data'!R$2,TimeOfWeek,$D175)*HDVs</f>
        <v>653225.92854533507</v>
      </c>
      <c r="S175" s="33">
        <f>SUMIFS(INDEX(Load,,MATCH('Summarized Modified Source Data'!$B175,Hour,0)),Season,'Summarized Modified Source Data'!$A175,Sector,'Summarized Modified Source Data'!S$2,TimeOfWeek,$D175)*Aircraft</f>
        <v>0</v>
      </c>
      <c r="T175" s="33">
        <f>SUMIFS(INDEX(Load,,MATCH('Summarized Modified Source Data'!$B175,Hour,0)),Season,'Summarized Modified Source Data'!$A175,Sector,'Summarized Modified Source Data'!T$2,TimeOfWeek,$D175)*Rail</f>
        <v>2843937.4274587417</v>
      </c>
      <c r="U175" s="33">
        <f>SUMIFS(INDEX(Load,,MATCH('Summarized Modified Source Data'!$B175,Hour,0)),Season,'Summarized Modified Source Data'!$A175,Sector,'Summarized Modified Source Data'!U$2,TimeOfWeek,$D175)*Ships</f>
        <v>0</v>
      </c>
      <c r="V175" s="33">
        <f>SUMIFS(INDEX(Load,,MATCH('Summarized Modified Source Data'!$B175,Hour,0)),Season,'Summarized Modified Source Data'!$A175,Sector,'Summarized Modified Source Data'!V$2,TimeOfWeek,$D175)*Motorbikes</f>
        <v>0</v>
      </c>
      <c r="W175" s="25">
        <f>SUMIFS(INDEX(Load,,MATCH('Summarized Modified Source Data'!$B175,Hour,0)),Season,'Summarized Modified Source Data'!$A175,Sector,'Summarized Modified Source Data'!W$2,Subsector,'Summarized Modified Source Data'!W$3,TimeOfWeek,$D175)</f>
        <v>680000000</v>
      </c>
      <c r="X175" s="25">
        <f>SUMIFS(INDEX(Load,,MATCH('Summarized Modified Source Data'!$B175,Hour,0)),Season,'Summarized Modified Source Data'!$A175,Sector,'Summarized Modified Source Data'!X$2,Subsector,'Summarized Modified Source Data'!X$3,TimeOfWeek,$D175)</f>
        <v>0</v>
      </c>
      <c r="Y175" s="25">
        <f>SUMIFS(INDEX(Load,,MATCH('Summarized Modified Source Data'!$B175,Hour,0)),Season,'Summarized Modified Source Data'!$A175,Sector,'Summarized Modified Source Data'!Y$2,Subsector,'Summarized Modified Source Data'!Y$3,TimeOfWeek,$D175)</f>
        <v>0</v>
      </c>
    </row>
    <row r="176" spans="1:25" outlineLevel="1" x14ac:dyDescent="0.25">
      <c r="A176" t="s">
        <v>40</v>
      </c>
      <c r="B176" t="s">
        <v>151</v>
      </c>
      <c r="C176" s="7" t="s">
        <v>3</v>
      </c>
      <c r="D176" t="s">
        <v>114</v>
      </c>
      <c r="E176" s="25">
        <f>SUMIFS(INDEX(Load,,MATCH('Summarized Modified Source Data'!$B176,Hour,0)),Season,'Summarized Modified Source Data'!$A176,Sector,'Summarized Modified Source Data'!E$2,Subsector,'Summarized Modified Source Data'!E$3,TimeOfWeek,$D176)</f>
        <v>2202849</v>
      </c>
      <c r="F176" s="25">
        <f>SUMIFS(INDEX(Load,,MATCH('Summarized Modified Source Data'!$B176,Hour,0)),Season,'Summarized Modified Source Data'!$A176,Sector,'Summarized Modified Source Data'!F$2,Subsector,'Summarized Modified Source Data'!F$3,TimeOfWeek,$D176)</f>
        <v>1251279</v>
      </c>
      <c r="G176" s="25">
        <f>SUMIFS(INDEX(Load,,MATCH('Summarized Modified Source Data'!$B176,Hour,0)),Season,'Summarized Modified Source Data'!$A176,Sector,'Summarized Modified Source Data'!G$2,Subsector,'Summarized Modified Source Data'!G$3,TimeOfWeek,$D176)</f>
        <v>0</v>
      </c>
      <c r="H176" s="25">
        <f>SUMIFS(INDEX(Load,,MATCH('Summarized Modified Source Data'!$B176,Hour,0)),Season,'Summarized Modified Source Data'!$A176,Sector,'Summarized Modified Source Data'!H$2,Subsector,'Summarized Modified Source Data'!H$3,TimeOfWeek,$D176)</f>
        <v>11201808</v>
      </c>
      <c r="I176" s="25">
        <f>SUMIFS(INDEX(Load,,MATCH('Summarized Modified Source Data'!$B176,Hour,0)),Season,'Summarized Modified Source Data'!$A176,Sector,'Summarized Modified Source Data'!I$2,Subsector,'Summarized Modified Source Data'!I$3,TimeOfWeek,$D176)</f>
        <v>3405819</v>
      </c>
      <c r="J176" s="25">
        <f t="shared" si="6"/>
        <v>3405819</v>
      </c>
      <c r="K176" s="25">
        <f>SUMIFS(INDEX(Load,,MATCH('Summarized Modified Source Data'!$B176,Hour,0)),Season,'Summarized Modified Source Data'!$A176,Sector,'Summarized Modified Source Data'!K$2,Subsector,'Summarized Modified Source Data'!K$3,TimeOfWeek,$D176)</f>
        <v>4178425</v>
      </c>
      <c r="L176" s="25">
        <f>SUMIFS(INDEX(Load,,MATCH('Summarized Modified Source Data'!$B176,Hour,0)),Season,'Summarized Modified Source Data'!$A176,Sector,'Summarized Modified Source Data'!L$2,Subsector,'Summarized Modified Source Data'!L$3,TimeOfWeek,$D176)</f>
        <v>26849528</v>
      </c>
      <c r="M176" s="25">
        <f>SUMIFS(INDEX(Load,,MATCH('Summarized Modified Source Data'!$B176,Hour,0)),Season,'Summarized Modified Source Data'!$A176,Sector,'Summarized Modified Source Data'!M$2,Subsector,'Summarized Modified Source Data'!M$3,TimeOfWeek,$D176)</f>
        <v>0</v>
      </c>
      <c r="N176" s="25">
        <f t="shared" si="7"/>
        <v>136972047</v>
      </c>
      <c r="O176" s="25">
        <f>SUMIFS(INDEX(Load,,MATCH('Summarized Modified Source Data'!$B176,Hour,0)),Season,'Summarized Modified Source Data'!$A176,Sector,'Summarized Modified Source Data'!O$2,Subsector,"Total",TimeOfWeek,$D176)-SUM(K176:M176)</f>
        <v>136972047</v>
      </c>
      <c r="P176" s="25">
        <f t="shared" si="8"/>
        <v>136972047</v>
      </c>
      <c r="Q176" s="33" cm="1">
        <f t="array" ref="Q176">SUMIFS(INDEX(Load,,MATCH('Summarized Modified Source Data'!$B176,Hour,0)),Season,'Summarized Modified Source Data'!$A176,Sector,'Summarized Modified Source Data'!Q$2,TimeOfWeek,$D176)*LDVs</f>
        <v>1379636.7402490689</v>
      </c>
      <c r="R176" s="33" cm="1">
        <f t="array" ref="R176">SUMIFS(INDEX(Load,,MATCH('Summarized Modified Source Data'!$B176,Hour,0)),Season,'Summarized Modified Source Data'!$A176,Sector,'Summarized Modified Source Data'!R$2,TimeOfWeek,$D176)*HDVs</f>
        <v>650092.92609186645</v>
      </c>
      <c r="S176" s="33">
        <f>SUMIFS(INDEX(Load,,MATCH('Summarized Modified Source Data'!$B176,Hour,0)),Season,'Summarized Modified Source Data'!$A176,Sector,'Summarized Modified Source Data'!S$2,TimeOfWeek,$D176)*Aircraft</f>
        <v>0</v>
      </c>
      <c r="T176" s="33">
        <f>SUMIFS(INDEX(Load,,MATCH('Summarized Modified Source Data'!$B176,Hour,0)),Season,'Summarized Modified Source Data'!$A176,Sector,'Summarized Modified Source Data'!T$2,TimeOfWeek,$D176)*Rail</f>
        <v>2830297.3336590645</v>
      </c>
      <c r="U176" s="33">
        <f>SUMIFS(INDEX(Load,,MATCH('Summarized Modified Source Data'!$B176,Hour,0)),Season,'Summarized Modified Source Data'!$A176,Sector,'Summarized Modified Source Data'!U$2,TimeOfWeek,$D176)*Ships</f>
        <v>0</v>
      </c>
      <c r="V176" s="33">
        <f>SUMIFS(INDEX(Load,,MATCH('Summarized Modified Source Data'!$B176,Hour,0)),Season,'Summarized Modified Source Data'!$A176,Sector,'Summarized Modified Source Data'!V$2,TimeOfWeek,$D176)*Motorbikes</f>
        <v>0</v>
      </c>
      <c r="W176" s="25">
        <f>SUMIFS(INDEX(Load,,MATCH('Summarized Modified Source Data'!$B176,Hour,0)),Season,'Summarized Modified Source Data'!$A176,Sector,'Summarized Modified Source Data'!W$2,Subsector,'Summarized Modified Source Data'!W$3,TimeOfWeek,$D176)</f>
        <v>685000000</v>
      </c>
      <c r="X176" s="25">
        <f>SUMIFS(INDEX(Load,,MATCH('Summarized Modified Source Data'!$B176,Hour,0)),Season,'Summarized Modified Source Data'!$A176,Sector,'Summarized Modified Source Data'!X$2,Subsector,'Summarized Modified Source Data'!X$3,TimeOfWeek,$D176)</f>
        <v>0</v>
      </c>
      <c r="Y176" s="25">
        <f>SUMIFS(INDEX(Load,,MATCH('Summarized Modified Source Data'!$B176,Hour,0)),Season,'Summarized Modified Source Data'!$A176,Sector,'Summarized Modified Source Data'!Y$2,Subsector,'Summarized Modified Source Data'!Y$3,TimeOfWeek,$D176)</f>
        <v>0</v>
      </c>
    </row>
    <row r="177" spans="1:25" outlineLevel="1" x14ac:dyDescent="0.25">
      <c r="A177" t="s">
        <v>40</v>
      </c>
      <c r="B177" t="s">
        <v>152</v>
      </c>
      <c r="C177" s="7" t="s">
        <v>4</v>
      </c>
      <c r="D177" t="s">
        <v>114</v>
      </c>
      <c r="E177" s="25">
        <f>SUMIFS(INDEX(Load,,MATCH('Summarized Modified Source Data'!$B177,Hour,0)),Season,'Summarized Modified Source Data'!$A177,Sector,'Summarized Modified Source Data'!E$2,Subsector,'Summarized Modified Source Data'!E$3,TimeOfWeek,$D177)</f>
        <v>2911121</v>
      </c>
      <c r="F177" s="25">
        <f>SUMIFS(INDEX(Load,,MATCH('Summarized Modified Source Data'!$B177,Hour,0)),Season,'Summarized Modified Source Data'!$A177,Sector,'Summarized Modified Source Data'!F$2,Subsector,'Summarized Modified Source Data'!F$3,TimeOfWeek,$D177)</f>
        <v>1549986</v>
      </c>
      <c r="G177" s="25">
        <f>SUMIFS(INDEX(Load,,MATCH('Summarized Modified Source Data'!$B177,Hour,0)),Season,'Summarized Modified Source Data'!$A177,Sector,'Summarized Modified Source Data'!G$2,Subsector,'Summarized Modified Source Data'!G$3,TimeOfWeek,$D177)</f>
        <v>0</v>
      </c>
      <c r="H177" s="25">
        <f>SUMIFS(INDEX(Load,,MATCH('Summarized Modified Source Data'!$B177,Hour,0)),Season,'Summarized Modified Source Data'!$A177,Sector,'Summarized Modified Source Data'!H$2,Subsector,'Summarized Modified Source Data'!H$3,TimeOfWeek,$D177)</f>
        <v>14517144</v>
      </c>
      <c r="I177" s="25">
        <f>SUMIFS(INDEX(Load,,MATCH('Summarized Modified Source Data'!$B177,Hour,0)),Season,'Summarized Modified Source Data'!$A177,Sector,'Summarized Modified Source Data'!I$2,Subsector,'Summarized Modified Source Data'!I$3,TimeOfWeek,$D177)</f>
        <v>4412700</v>
      </c>
      <c r="J177" s="25">
        <f t="shared" si="6"/>
        <v>4412700</v>
      </c>
      <c r="K177" s="25">
        <f>SUMIFS(INDEX(Load,,MATCH('Summarized Modified Source Data'!$B177,Hour,0)),Season,'Summarized Modified Source Data'!$A177,Sector,'Summarized Modified Source Data'!K$2,Subsector,'Summarized Modified Source Data'!K$3,TimeOfWeek,$D177)</f>
        <v>4851437</v>
      </c>
      <c r="L177" s="25">
        <f>SUMIFS(INDEX(Load,,MATCH('Summarized Modified Source Data'!$B177,Hour,0)),Season,'Summarized Modified Source Data'!$A177,Sector,'Summarized Modified Source Data'!L$2,Subsector,'Summarized Modified Source Data'!L$3,TimeOfWeek,$D177)</f>
        <v>27356618</v>
      </c>
      <c r="M177" s="25">
        <f>SUMIFS(INDEX(Load,,MATCH('Summarized Modified Source Data'!$B177,Hour,0)),Season,'Summarized Modified Source Data'!$A177,Sector,'Summarized Modified Source Data'!M$2,Subsector,'Summarized Modified Source Data'!M$3,TimeOfWeek,$D177)</f>
        <v>0</v>
      </c>
      <c r="N177" s="25">
        <f t="shared" si="7"/>
        <v>145891945</v>
      </c>
      <c r="O177" s="25">
        <f>SUMIFS(INDEX(Load,,MATCH('Summarized Modified Source Data'!$B177,Hour,0)),Season,'Summarized Modified Source Data'!$A177,Sector,'Summarized Modified Source Data'!O$2,Subsector,"Total",TimeOfWeek,$D177)-SUM(K177:M177)</f>
        <v>145891945</v>
      </c>
      <c r="P177" s="25">
        <f t="shared" si="8"/>
        <v>145891945</v>
      </c>
      <c r="Q177" s="33" cm="1">
        <f t="array" ref="Q177">SUMIFS(INDEX(Load,,MATCH('Summarized Modified Source Data'!$B177,Hour,0)),Season,'Summarized Modified Source Data'!$A177,Sector,'Summarized Modified Source Data'!Q$2,TimeOfWeek,$D177)*LDVs</f>
        <v>1389610.3797436459</v>
      </c>
      <c r="R177" s="33" cm="1">
        <f t="array" ref="R177">SUMIFS(INDEX(Load,,MATCH('Summarized Modified Source Data'!$B177,Hour,0)),Season,'Summarized Modified Source Data'!$A177,Sector,'Summarized Modified Source Data'!R$2,TimeOfWeek,$D177)*HDVs</f>
        <v>654792.56353530276</v>
      </c>
      <c r="S177" s="33">
        <f>SUMIFS(INDEX(Load,,MATCH('Summarized Modified Source Data'!$B177,Hour,0)),Season,'Summarized Modified Source Data'!$A177,Sector,'Summarized Modified Source Data'!S$2,TimeOfWeek,$D177)*Aircraft</f>
        <v>0</v>
      </c>
      <c r="T177" s="33">
        <f>SUMIFS(INDEX(Load,,MATCH('Summarized Modified Source Data'!$B177,Hour,0)),Season,'Summarized Modified Source Data'!$A177,Sector,'Summarized Modified Source Data'!T$2,TimeOfWeek,$D177)*Rail</f>
        <v>2850758.0567210512</v>
      </c>
      <c r="U177" s="33">
        <f>SUMIFS(INDEX(Load,,MATCH('Summarized Modified Source Data'!$B177,Hour,0)),Season,'Summarized Modified Source Data'!$A177,Sector,'Summarized Modified Source Data'!U$2,TimeOfWeek,$D177)*Ships</f>
        <v>0</v>
      </c>
      <c r="V177" s="33">
        <f>SUMIFS(INDEX(Load,,MATCH('Summarized Modified Source Data'!$B177,Hour,0)),Season,'Summarized Modified Source Data'!$A177,Sector,'Summarized Modified Source Data'!V$2,TimeOfWeek,$D177)*Motorbikes</f>
        <v>0</v>
      </c>
      <c r="W177" s="25">
        <f>SUMIFS(INDEX(Load,,MATCH('Summarized Modified Source Data'!$B177,Hour,0)),Season,'Summarized Modified Source Data'!$A177,Sector,'Summarized Modified Source Data'!W$2,Subsector,'Summarized Modified Source Data'!W$3,TimeOfWeek,$D177)</f>
        <v>692000000</v>
      </c>
      <c r="X177" s="25">
        <f>SUMIFS(INDEX(Load,,MATCH('Summarized Modified Source Data'!$B177,Hour,0)),Season,'Summarized Modified Source Data'!$A177,Sector,'Summarized Modified Source Data'!X$2,Subsector,'Summarized Modified Source Data'!X$3,TimeOfWeek,$D177)</f>
        <v>0</v>
      </c>
      <c r="Y177" s="25">
        <f>SUMIFS(INDEX(Load,,MATCH('Summarized Modified Source Data'!$B177,Hour,0)),Season,'Summarized Modified Source Data'!$A177,Sector,'Summarized Modified Source Data'!Y$2,Subsector,'Summarized Modified Source Data'!Y$3,TimeOfWeek,$D177)</f>
        <v>0</v>
      </c>
    </row>
    <row r="178" spans="1:25" outlineLevel="1" x14ac:dyDescent="0.25">
      <c r="A178" t="s">
        <v>40</v>
      </c>
      <c r="B178" t="s">
        <v>153</v>
      </c>
      <c r="C178" s="7" t="s">
        <v>5</v>
      </c>
      <c r="D178" t="s">
        <v>114</v>
      </c>
      <c r="E178" s="25">
        <f>SUMIFS(INDEX(Load,,MATCH('Summarized Modified Source Data'!$B178,Hour,0)),Season,'Summarized Modified Source Data'!$A178,Sector,'Summarized Modified Source Data'!E$2,Subsector,'Summarized Modified Source Data'!E$3,TimeOfWeek,$D178)</f>
        <v>3325496</v>
      </c>
      <c r="F178" s="25">
        <f>SUMIFS(INDEX(Load,,MATCH('Summarized Modified Source Data'!$B178,Hour,0)),Season,'Summarized Modified Source Data'!$A178,Sector,'Summarized Modified Source Data'!F$2,Subsector,'Summarized Modified Source Data'!F$3,TimeOfWeek,$D178)</f>
        <v>2802837</v>
      </c>
      <c r="G178" s="25">
        <f>SUMIFS(INDEX(Load,,MATCH('Summarized Modified Source Data'!$B178,Hour,0)),Season,'Summarized Modified Source Data'!$A178,Sector,'Summarized Modified Source Data'!G$2,Subsector,'Summarized Modified Source Data'!G$3,TimeOfWeek,$D178)</f>
        <v>0</v>
      </c>
      <c r="H178" s="25">
        <f>SUMIFS(INDEX(Load,,MATCH('Summarized Modified Source Data'!$B178,Hour,0)),Season,'Summarized Modified Source Data'!$A178,Sector,'Summarized Modified Source Data'!H$2,Subsector,'Summarized Modified Source Data'!H$3,TimeOfWeek,$D178)</f>
        <v>20143108</v>
      </c>
      <c r="I178" s="25">
        <f>SUMIFS(INDEX(Load,,MATCH('Summarized Modified Source Data'!$B178,Hour,0)),Season,'Summarized Modified Source Data'!$A178,Sector,'Summarized Modified Source Data'!I$2,Subsector,'Summarized Modified Source Data'!I$3,TimeOfWeek,$D178)</f>
        <v>7771763</v>
      </c>
      <c r="J178" s="25">
        <f t="shared" si="6"/>
        <v>7771763</v>
      </c>
      <c r="K178" s="25">
        <f>SUMIFS(INDEX(Load,,MATCH('Summarized Modified Source Data'!$B178,Hour,0)),Season,'Summarized Modified Source Data'!$A178,Sector,'Summarized Modified Source Data'!K$2,Subsector,'Summarized Modified Source Data'!K$3,TimeOfWeek,$D178)</f>
        <v>9132273</v>
      </c>
      <c r="L178" s="25">
        <f>SUMIFS(INDEX(Load,,MATCH('Summarized Modified Source Data'!$B178,Hour,0)),Season,'Summarized Modified Source Data'!$A178,Sector,'Summarized Modified Source Data'!L$2,Subsector,'Summarized Modified Source Data'!L$3,TimeOfWeek,$D178)</f>
        <v>29581977</v>
      </c>
      <c r="M178" s="25">
        <f>SUMIFS(INDEX(Load,,MATCH('Summarized Modified Source Data'!$B178,Hour,0)),Season,'Summarized Modified Source Data'!$A178,Sector,'Summarized Modified Source Data'!M$2,Subsector,'Summarized Modified Source Data'!M$3,TimeOfWeek,$D178)</f>
        <v>0</v>
      </c>
      <c r="N178" s="25">
        <f t="shared" si="7"/>
        <v>163085750</v>
      </c>
      <c r="O178" s="25">
        <f>SUMIFS(INDEX(Load,,MATCH('Summarized Modified Source Data'!$B178,Hour,0)),Season,'Summarized Modified Source Data'!$A178,Sector,'Summarized Modified Source Data'!O$2,Subsector,"Total",TimeOfWeek,$D178)-SUM(K178:M178)</f>
        <v>163085750</v>
      </c>
      <c r="P178" s="25">
        <f t="shared" si="8"/>
        <v>163085750</v>
      </c>
      <c r="Q178" s="33" cm="1">
        <f t="array" ref="Q178">SUMIFS(INDEX(Load,,MATCH('Summarized Modified Source Data'!$B178,Hour,0)),Season,'Summarized Modified Source Data'!$A178,Sector,'Summarized Modified Source Data'!Q$2,TimeOfWeek,$D178)*LDVs</f>
        <v>1724053.4743773914</v>
      </c>
      <c r="R178" s="33" cm="1">
        <f t="array" ref="R178">SUMIFS(INDEX(Load,,MATCH('Summarized Modified Source Data'!$B178,Hour,0)),Season,'Summarized Modified Source Data'!$A178,Sector,'Summarized Modified Source Data'!R$2,TimeOfWeek,$D178)*HDVs</f>
        <v>812384.11184563511</v>
      </c>
      <c r="S178" s="33">
        <f>SUMIFS(INDEX(Load,,MATCH('Summarized Modified Source Data'!$B178,Hour,0)),Season,'Summarized Modified Source Data'!$A178,Sector,'Summarized Modified Source Data'!S$2,TimeOfWeek,$D178)*Aircraft</f>
        <v>0</v>
      </c>
      <c r="T178" s="33">
        <f>SUMIFS(INDEX(Load,,MATCH('Summarized Modified Source Data'!$B178,Hour,0)),Season,'Summarized Modified Source Data'!$A178,Sector,'Summarized Modified Source Data'!T$2,TimeOfWeek,$D178)*Rail</f>
        <v>3536861.4137769737</v>
      </c>
      <c r="U178" s="33">
        <f>SUMIFS(INDEX(Load,,MATCH('Summarized Modified Source Data'!$B178,Hour,0)),Season,'Summarized Modified Source Data'!$A178,Sector,'Summarized Modified Source Data'!U$2,TimeOfWeek,$D178)*Ships</f>
        <v>0</v>
      </c>
      <c r="V178" s="33">
        <f>SUMIFS(INDEX(Load,,MATCH('Summarized Modified Source Data'!$B178,Hour,0)),Season,'Summarized Modified Source Data'!$A178,Sector,'Summarized Modified Source Data'!V$2,TimeOfWeek,$D178)*Motorbikes</f>
        <v>0</v>
      </c>
      <c r="W178" s="25">
        <f>SUMIFS(INDEX(Load,,MATCH('Summarized Modified Source Data'!$B178,Hour,0)),Season,'Summarized Modified Source Data'!$A178,Sector,'Summarized Modified Source Data'!W$2,Subsector,'Summarized Modified Source Data'!W$3,TimeOfWeek,$D178)</f>
        <v>696000000</v>
      </c>
      <c r="X178" s="25">
        <f>SUMIFS(INDEX(Load,,MATCH('Summarized Modified Source Data'!$B178,Hour,0)),Season,'Summarized Modified Source Data'!$A178,Sector,'Summarized Modified Source Data'!X$2,Subsector,'Summarized Modified Source Data'!X$3,TimeOfWeek,$D178)</f>
        <v>0</v>
      </c>
      <c r="Y178" s="25">
        <f>SUMIFS(INDEX(Load,,MATCH('Summarized Modified Source Data'!$B178,Hour,0)),Season,'Summarized Modified Source Data'!$A178,Sector,'Summarized Modified Source Data'!Y$2,Subsector,'Summarized Modified Source Data'!Y$3,TimeOfWeek,$D178)</f>
        <v>0</v>
      </c>
    </row>
    <row r="179" spans="1:25" outlineLevel="1" x14ac:dyDescent="0.25">
      <c r="A179" t="s">
        <v>40</v>
      </c>
      <c r="B179" t="s">
        <v>154</v>
      </c>
      <c r="C179" s="7" t="s">
        <v>6</v>
      </c>
      <c r="D179" t="s">
        <v>114</v>
      </c>
      <c r="E179" s="25">
        <f>SUMIFS(INDEX(Load,,MATCH('Summarized Modified Source Data'!$B179,Hour,0)),Season,'Summarized Modified Source Data'!$A179,Sector,'Summarized Modified Source Data'!E$2,Subsector,'Summarized Modified Source Data'!E$3,TimeOfWeek,$D179)</f>
        <v>3859850</v>
      </c>
      <c r="F179" s="25">
        <f>SUMIFS(INDEX(Load,,MATCH('Summarized Modified Source Data'!$B179,Hour,0)),Season,'Summarized Modified Source Data'!$A179,Sector,'Summarized Modified Source Data'!F$2,Subsector,'Summarized Modified Source Data'!F$3,TimeOfWeek,$D179)</f>
        <v>5584289</v>
      </c>
      <c r="G179" s="25">
        <f>SUMIFS(INDEX(Load,,MATCH('Summarized Modified Source Data'!$B179,Hour,0)),Season,'Summarized Modified Source Data'!$A179,Sector,'Summarized Modified Source Data'!G$2,Subsector,'Summarized Modified Source Data'!G$3,TimeOfWeek,$D179)</f>
        <v>0</v>
      </c>
      <c r="H179" s="25">
        <f>SUMIFS(INDEX(Load,,MATCH('Summarized Modified Source Data'!$B179,Hour,0)),Season,'Summarized Modified Source Data'!$A179,Sector,'Summarized Modified Source Data'!H$2,Subsector,'Summarized Modified Source Data'!H$3,TimeOfWeek,$D179)</f>
        <v>12943520</v>
      </c>
      <c r="I179" s="25">
        <f>SUMIFS(INDEX(Load,,MATCH('Summarized Modified Source Data'!$B179,Hour,0)),Season,'Summarized Modified Source Data'!$A179,Sector,'Summarized Modified Source Data'!I$2,Subsector,'Summarized Modified Source Data'!I$3,TimeOfWeek,$D179)</f>
        <v>12127099</v>
      </c>
      <c r="J179" s="25">
        <f t="shared" si="6"/>
        <v>12127099</v>
      </c>
      <c r="K179" s="25">
        <f>SUMIFS(INDEX(Load,,MATCH('Summarized Modified Source Data'!$B179,Hour,0)),Season,'Summarized Modified Source Data'!$A179,Sector,'Summarized Modified Source Data'!K$2,Subsector,'Summarized Modified Source Data'!K$3,TimeOfWeek,$D179)</f>
        <v>10144407</v>
      </c>
      <c r="L179" s="25">
        <f>SUMIFS(INDEX(Load,,MATCH('Summarized Modified Source Data'!$B179,Hour,0)),Season,'Summarized Modified Source Data'!$A179,Sector,'Summarized Modified Source Data'!L$2,Subsector,'Summarized Modified Source Data'!L$3,TimeOfWeek,$D179)</f>
        <v>34432006</v>
      </c>
      <c r="M179" s="25">
        <f>SUMIFS(INDEX(Load,,MATCH('Summarized Modified Source Data'!$B179,Hour,0)),Season,'Summarized Modified Source Data'!$A179,Sector,'Summarized Modified Source Data'!M$2,Subsector,'Summarized Modified Source Data'!M$3,TimeOfWeek,$D179)</f>
        <v>0</v>
      </c>
      <c r="N179" s="25">
        <f t="shared" si="7"/>
        <v>206423587</v>
      </c>
      <c r="O179" s="25">
        <f>SUMIFS(INDEX(Load,,MATCH('Summarized Modified Source Data'!$B179,Hour,0)),Season,'Summarized Modified Source Data'!$A179,Sector,'Summarized Modified Source Data'!O$2,Subsector,"Total",TimeOfWeek,$D179)-SUM(K179:M179)</f>
        <v>206423587</v>
      </c>
      <c r="P179" s="25">
        <f t="shared" si="8"/>
        <v>206423587</v>
      </c>
      <c r="Q179" s="33" cm="1">
        <f t="array" ref="Q179">SUMIFS(INDEX(Load,,MATCH('Summarized Modified Source Data'!$B179,Hour,0)),Season,'Summarized Modified Source Data'!$A179,Sector,'Summarized Modified Source Data'!Q$2,TimeOfWeek,$D179)*LDVs</f>
        <v>2244157.4550599996</v>
      </c>
      <c r="R179" s="33" cm="1">
        <f t="array" ref="R179">SUMIFS(INDEX(Load,,MATCH('Summarized Modified Source Data'!$B179,Hour,0)),Season,'Summarized Modified Source Data'!$A179,Sector,'Summarized Modified Source Data'!R$2,TimeOfWeek,$D179)*HDVs</f>
        <v>1057460.1589020099</v>
      </c>
      <c r="S179" s="33">
        <f>SUMIFS(INDEX(Load,,MATCH('Summarized Modified Source Data'!$B179,Hour,0)),Season,'Summarized Modified Source Data'!$A179,Sector,'Summarized Modified Source Data'!S$2,TimeOfWeek,$D179)*Aircraft</f>
        <v>0</v>
      </c>
      <c r="T179" s="33">
        <f>SUMIFS(INDEX(Load,,MATCH('Summarized Modified Source Data'!$B179,Hour,0)),Season,'Summarized Modified Source Data'!$A179,Sector,'Summarized Modified Source Data'!T$2,TimeOfWeek,$D179)*Rail</f>
        <v>4603844.3860379905</v>
      </c>
      <c r="U179" s="33">
        <f>SUMIFS(INDEX(Load,,MATCH('Summarized Modified Source Data'!$B179,Hour,0)),Season,'Summarized Modified Source Data'!$A179,Sector,'Summarized Modified Source Data'!U$2,TimeOfWeek,$D179)*Ships</f>
        <v>0</v>
      </c>
      <c r="V179" s="33">
        <f>SUMIFS(INDEX(Load,,MATCH('Summarized Modified Source Data'!$B179,Hour,0)),Season,'Summarized Modified Source Data'!$A179,Sector,'Summarized Modified Source Data'!V$2,TimeOfWeek,$D179)*Motorbikes</f>
        <v>0</v>
      </c>
      <c r="W179" s="25">
        <f>SUMIFS(INDEX(Load,,MATCH('Summarized Modified Source Data'!$B179,Hour,0)),Season,'Summarized Modified Source Data'!$A179,Sector,'Summarized Modified Source Data'!W$2,Subsector,'Summarized Modified Source Data'!W$3,TimeOfWeek,$D179)</f>
        <v>696000000</v>
      </c>
      <c r="X179" s="25">
        <f>SUMIFS(INDEX(Load,,MATCH('Summarized Modified Source Data'!$B179,Hour,0)),Season,'Summarized Modified Source Data'!$A179,Sector,'Summarized Modified Source Data'!X$2,Subsector,'Summarized Modified Source Data'!X$3,TimeOfWeek,$D179)</f>
        <v>0</v>
      </c>
      <c r="Y179" s="25">
        <f>SUMIFS(INDEX(Load,,MATCH('Summarized Modified Source Data'!$B179,Hour,0)),Season,'Summarized Modified Source Data'!$A179,Sector,'Summarized Modified Source Data'!Y$2,Subsector,'Summarized Modified Source Data'!Y$3,TimeOfWeek,$D179)</f>
        <v>0</v>
      </c>
    </row>
    <row r="180" spans="1:25" outlineLevel="1" x14ac:dyDescent="0.25">
      <c r="A180" t="s">
        <v>40</v>
      </c>
      <c r="B180" t="s">
        <v>155</v>
      </c>
      <c r="C180" s="7" t="s">
        <v>7</v>
      </c>
      <c r="D180" t="s">
        <v>114</v>
      </c>
      <c r="E180" s="25">
        <f>SUMIFS(INDEX(Load,,MATCH('Summarized Modified Source Data'!$B180,Hour,0)),Season,'Summarized Modified Source Data'!$A180,Sector,'Summarized Modified Source Data'!E$2,Subsector,'Summarized Modified Source Data'!E$3,TimeOfWeek,$D180)</f>
        <v>4194021</v>
      </c>
      <c r="F180" s="25">
        <f>SUMIFS(INDEX(Load,,MATCH('Summarized Modified Source Data'!$B180,Hour,0)),Season,'Summarized Modified Source Data'!$A180,Sector,'Summarized Modified Source Data'!F$2,Subsector,'Summarized Modified Source Data'!F$3,TimeOfWeek,$D180)</f>
        <v>8881521</v>
      </c>
      <c r="G180" s="25">
        <f>SUMIFS(INDEX(Load,,MATCH('Summarized Modified Source Data'!$B180,Hour,0)),Season,'Summarized Modified Source Data'!$A180,Sector,'Summarized Modified Source Data'!G$2,Subsector,'Summarized Modified Source Data'!G$3,TimeOfWeek,$D180)</f>
        <v>0</v>
      </c>
      <c r="H180" s="25">
        <f>SUMIFS(INDEX(Load,,MATCH('Summarized Modified Source Data'!$B180,Hour,0)),Season,'Summarized Modified Source Data'!$A180,Sector,'Summarized Modified Source Data'!H$2,Subsector,'Summarized Modified Source Data'!H$3,TimeOfWeek,$D180)</f>
        <v>14147070</v>
      </c>
      <c r="I180" s="25">
        <f>SUMIFS(INDEX(Load,,MATCH('Summarized Modified Source Data'!$B180,Hour,0)),Season,'Summarized Modified Source Data'!$A180,Sector,'Summarized Modified Source Data'!I$2,Subsector,'Summarized Modified Source Data'!I$3,TimeOfWeek,$D180)</f>
        <v>18473802</v>
      </c>
      <c r="J180" s="25">
        <f t="shared" si="6"/>
        <v>18473802</v>
      </c>
      <c r="K180" s="25">
        <f>SUMIFS(INDEX(Load,,MATCH('Summarized Modified Source Data'!$B180,Hour,0)),Season,'Summarized Modified Source Data'!$A180,Sector,'Summarized Modified Source Data'!K$2,Subsector,'Summarized Modified Source Data'!K$3,TimeOfWeek,$D180)</f>
        <v>8304617</v>
      </c>
      <c r="L180" s="25">
        <f>SUMIFS(INDEX(Load,,MATCH('Summarized Modified Source Data'!$B180,Hour,0)),Season,'Summarized Modified Source Data'!$A180,Sector,'Summarized Modified Source Data'!L$2,Subsector,'Summarized Modified Source Data'!L$3,TimeOfWeek,$D180)</f>
        <v>41505677</v>
      </c>
      <c r="M180" s="25">
        <f>SUMIFS(INDEX(Load,,MATCH('Summarized Modified Source Data'!$B180,Hour,0)),Season,'Summarized Modified Source Data'!$A180,Sector,'Summarized Modified Source Data'!M$2,Subsector,'Summarized Modified Source Data'!M$3,TimeOfWeek,$D180)</f>
        <v>0</v>
      </c>
      <c r="N180" s="25">
        <f t="shared" si="7"/>
        <v>234189706</v>
      </c>
      <c r="O180" s="25">
        <f>SUMIFS(INDEX(Load,,MATCH('Summarized Modified Source Data'!$B180,Hour,0)),Season,'Summarized Modified Source Data'!$A180,Sector,'Summarized Modified Source Data'!O$2,Subsector,"Total",TimeOfWeek,$D180)-SUM(K180:M180)</f>
        <v>234189706</v>
      </c>
      <c r="P180" s="25">
        <f t="shared" si="8"/>
        <v>234189706</v>
      </c>
      <c r="Q180" s="33" cm="1">
        <f t="array" ref="Q180">SUMIFS(INDEX(Load,,MATCH('Summarized Modified Source Data'!$B180,Hour,0)),Season,'Summarized Modified Source Data'!$A180,Sector,'Summarized Modified Source Data'!Q$2,TimeOfWeek,$D180)*LDVs</f>
        <v>2683668.671655715</v>
      </c>
      <c r="R180" s="33" cm="1">
        <f t="array" ref="R180">SUMIFS(INDEX(Load,,MATCH('Summarized Modified Source Data'!$B180,Hour,0)),Season,'Summarized Modified Source Data'!$A180,Sector,'Summarized Modified Source Data'!R$2,TimeOfWeek,$D180)*HDVs</f>
        <v>1264560.4226970451</v>
      </c>
      <c r="S180" s="33">
        <f>SUMIFS(INDEX(Load,,MATCH('Summarized Modified Source Data'!$B180,Hour,0)),Season,'Summarized Modified Source Data'!$A180,Sector,'Summarized Modified Source Data'!S$2,TimeOfWeek,$D180)*Aircraft</f>
        <v>0</v>
      </c>
      <c r="T180" s="33">
        <f>SUMIFS(INDEX(Load,,MATCH('Summarized Modified Source Data'!$B180,Hour,0)),Season,'Summarized Modified Source Data'!$A180,Sector,'Summarized Modified Source Data'!T$2,TimeOfWeek,$D180)*Rail</f>
        <v>5505492.9056472406</v>
      </c>
      <c r="U180" s="33">
        <f>SUMIFS(INDEX(Load,,MATCH('Summarized Modified Source Data'!$B180,Hour,0)),Season,'Summarized Modified Source Data'!$A180,Sector,'Summarized Modified Source Data'!U$2,TimeOfWeek,$D180)*Ships</f>
        <v>0</v>
      </c>
      <c r="V180" s="33">
        <f>SUMIFS(INDEX(Load,,MATCH('Summarized Modified Source Data'!$B180,Hour,0)),Season,'Summarized Modified Source Data'!$A180,Sector,'Summarized Modified Source Data'!V$2,TimeOfWeek,$D180)*Motorbikes</f>
        <v>0</v>
      </c>
      <c r="W180" s="25">
        <f>SUMIFS(INDEX(Load,,MATCH('Summarized Modified Source Data'!$B180,Hour,0)),Season,'Summarized Modified Source Data'!$A180,Sector,'Summarized Modified Source Data'!W$2,Subsector,'Summarized Modified Source Data'!W$3,TimeOfWeek,$D180)</f>
        <v>694000000</v>
      </c>
      <c r="X180" s="25">
        <f>SUMIFS(INDEX(Load,,MATCH('Summarized Modified Source Data'!$B180,Hour,0)),Season,'Summarized Modified Source Data'!$A180,Sector,'Summarized Modified Source Data'!X$2,Subsector,'Summarized Modified Source Data'!X$3,TimeOfWeek,$D180)</f>
        <v>0</v>
      </c>
      <c r="Y180" s="25">
        <f>SUMIFS(INDEX(Load,,MATCH('Summarized Modified Source Data'!$B180,Hour,0)),Season,'Summarized Modified Source Data'!$A180,Sector,'Summarized Modified Source Data'!Y$2,Subsector,'Summarized Modified Source Data'!Y$3,TimeOfWeek,$D180)</f>
        <v>0</v>
      </c>
    </row>
    <row r="181" spans="1:25" outlineLevel="1" x14ac:dyDescent="0.25">
      <c r="A181" t="s">
        <v>40</v>
      </c>
      <c r="B181" t="s">
        <v>156</v>
      </c>
      <c r="C181" s="7" t="s">
        <v>8</v>
      </c>
      <c r="D181" t="s">
        <v>114</v>
      </c>
      <c r="E181" s="25">
        <f>SUMIFS(INDEX(Load,,MATCH('Summarized Modified Source Data'!$B181,Hour,0)),Season,'Summarized Modified Source Data'!$A181,Sector,'Summarized Modified Source Data'!E$2,Subsector,'Summarized Modified Source Data'!E$3,TimeOfWeek,$D181)</f>
        <v>4261080</v>
      </c>
      <c r="F181" s="25">
        <f>SUMIFS(INDEX(Load,,MATCH('Summarized Modified Source Data'!$B181,Hour,0)),Season,'Summarized Modified Source Data'!$A181,Sector,'Summarized Modified Source Data'!F$2,Subsector,'Summarized Modified Source Data'!F$3,TimeOfWeek,$D181)</f>
        <v>11507539</v>
      </c>
      <c r="G181" s="25">
        <f>SUMIFS(INDEX(Load,,MATCH('Summarized Modified Source Data'!$B181,Hour,0)),Season,'Summarized Modified Source Data'!$A181,Sector,'Summarized Modified Source Data'!G$2,Subsector,'Summarized Modified Source Data'!G$3,TimeOfWeek,$D181)</f>
        <v>0</v>
      </c>
      <c r="H181" s="25">
        <f>SUMIFS(INDEX(Load,,MATCH('Summarized Modified Source Data'!$B181,Hour,0)),Season,'Summarized Modified Source Data'!$A181,Sector,'Summarized Modified Source Data'!H$2,Subsector,'Summarized Modified Source Data'!H$3,TimeOfWeek,$D181)</f>
        <v>14658913</v>
      </c>
      <c r="I181" s="25">
        <f>SUMIFS(INDEX(Load,,MATCH('Summarized Modified Source Data'!$B181,Hour,0)),Season,'Summarized Modified Source Data'!$A181,Sector,'Summarized Modified Source Data'!I$2,Subsector,'Summarized Modified Source Data'!I$3,TimeOfWeek,$D181)</f>
        <v>25100000</v>
      </c>
      <c r="J181" s="25">
        <f t="shared" si="6"/>
        <v>25100000</v>
      </c>
      <c r="K181" s="25">
        <f>SUMIFS(INDEX(Load,,MATCH('Summarized Modified Source Data'!$B181,Hour,0)),Season,'Summarized Modified Source Data'!$A181,Sector,'Summarized Modified Source Data'!K$2,Subsector,'Summarized Modified Source Data'!K$3,TimeOfWeek,$D181)</f>
        <v>6790740</v>
      </c>
      <c r="L181" s="25">
        <f>SUMIFS(INDEX(Load,,MATCH('Summarized Modified Source Data'!$B181,Hour,0)),Season,'Summarized Modified Source Data'!$A181,Sector,'Summarized Modified Source Data'!L$2,Subsector,'Summarized Modified Source Data'!L$3,TimeOfWeek,$D181)</f>
        <v>47853816</v>
      </c>
      <c r="M181" s="25">
        <f>SUMIFS(INDEX(Load,,MATCH('Summarized Modified Source Data'!$B181,Hour,0)),Season,'Summarized Modified Source Data'!$A181,Sector,'Summarized Modified Source Data'!M$2,Subsector,'Summarized Modified Source Data'!M$3,TimeOfWeek,$D181)</f>
        <v>0</v>
      </c>
      <c r="N181" s="25">
        <f t="shared" si="7"/>
        <v>255355444</v>
      </c>
      <c r="O181" s="25">
        <f>SUMIFS(INDEX(Load,,MATCH('Summarized Modified Source Data'!$B181,Hour,0)),Season,'Summarized Modified Source Data'!$A181,Sector,'Summarized Modified Source Data'!O$2,Subsector,"Total",TimeOfWeek,$D181)-SUM(K181:M181)</f>
        <v>255355444</v>
      </c>
      <c r="P181" s="25">
        <f t="shared" si="8"/>
        <v>255355444</v>
      </c>
      <c r="Q181" s="33" cm="1">
        <f t="array" ref="Q181">SUMIFS(INDEX(Load,,MATCH('Summarized Modified Source Data'!$B181,Hour,0)),Season,'Summarized Modified Source Data'!$A181,Sector,'Summarized Modified Source Data'!Q$2,TimeOfWeek,$D181)*LDVs</f>
        <v>3046937.2138672434</v>
      </c>
      <c r="R181" s="33" cm="1">
        <f t="array" ref="R181">SUMIFS(INDEX(Load,,MATCH('Summarized Modified Source Data'!$B181,Hour,0)),Season,'Summarized Modified Source Data'!$A181,Sector,'Summarized Modified Source Data'!R$2,TimeOfWeek,$D181)*HDVs</f>
        <v>1435734.6910198682</v>
      </c>
      <c r="S181" s="33">
        <f>SUMIFS(INDEX(Load,,MATCH('Summarized Modified Source Data'!$B181,Hour,0)),Season,'Summarized Modified Source Data'!$A181,Sector,'Summarized Modified Source Data'!S$2,TimeOfWeek,$D181)*Aircraft</f>
        <v>0</v>
      </c>
      <c r="T181" s="33">
        <f>SUMIFS(INDEX(Load,,MATCH('Summarized Modified Source Data'!$B181,Hour,0)),Season,'Summarized Modified Source Data'!$A181,Sector,'Summarized Modified Source Data'!T$2,TimeOfWeek,$D181)*Rail</f>
        <v>6250731.0951128881</v>
      </c>
      <c r="U181" s="33">
        <f>SUMIFS(INDEX(Load,,MATCH('Summarized Modified Source Data'!$B181,Hour,0)),Season,'Summarized Modified Source Data'!$A181,Sector,'Summarized Modified Source Data'!U$2,TimeOfWeek,$D181)*Ships</f>
        <v>0</v>
      </c>
      <c r="V181" s="33">
        <f>SUMIFS(INDEX(Load,,MATCH('Summarized Modified Source Data'!$B181,Hour,0)),Season,'Summarized Modified Source Data'!$A181,Sector,'Summarized Modified Source Data'!V$2,TimeOfWeek,$D181)*Motorbikes</f>
        <v>0</v>
      </c>
      <c r="W181" s="25">
        <f>SUMIFS(INDEX(Load,,MATCH('Summarized Modified Source Data'!$B181,Hour,0)),Season,'Summarized Modified Source Data'!$A181,Sector,'Summarized Modified Source Data'!W$2,Subsector,'Summarized Modified Source Data'!W$3,TimeOfWeek,$D181)</f>
        <v>692000000</v>
      </c>
      <c r="X181" s="25">
        <f>SUMIFS(INDEX(Load,,MATCH('Summarized Modified Source Data'!$B181,Hour,0)),Season,'Summarized Modified Source Data'!$A181,Sector,'Summarized Modified Source Data'!X$2,Subsector,'Summarized Modified Source Data'!X$3,TimeOfWeek,$D181)</f>
        <v>0</v>
      </c>
      <c r="Y181" s="25">
        <f>SUMIFS(INDEX(Load,,MATCH('Summarized Modified Source Data'!$B181,Hour,0)),Season,'Summarized Modified Source Data'!$A181,Sector,'Summarized Modified Source Data'!Y$2,Subsector,'Summarized Modified Source Data'!Y$3,TimeOfWeek,$D181)</f>
        <v>0</v>
      </c>
    </row>
    <row r="182" spans="1:25" outlineLevel="1" x14ac:dyDescent="0.25">
      <c r="A182" t="s">
        <v>40</v>
      </c>
      <c r="B182" t="s">
        <v>157</v>
      </c>
      <c r="C182" s="7" t="s">
        <v>9</v>
      </c>
      <c r="D182" t="s">
        <v>114</v>
      </c>
      <c r="E182" s="25">
        <f>SUMIFS(INDEX(Load,,MATCH('Summarized Modified Source Data'!$B182,Hour,0)),Season,'Summarized Modified Source Data'!$A182,Sector,'Summarized Modified Source Data'!E$2,Subsector,'Summarized Modified Source Data'!E$3,TimeOfWeek,$D182)</f>
        <v>4272536</v>
      </c>
      <c r="F182" s="25">
        <f>SUMIFS(INDEX(Load,,MATCH('Summarized Modified Source Data'!$B182,Hour,0)),Season,'Summarized Modified Source Data'!$A182,Sector,'Summarized Modified Source Data'!F$2,Subsector,'Summarized Modified Source Data'!F$3,TimeOfWeek,$D182)</f>
        <v>14146050</v>
      </c>
      <c r="G182" s="25">
        <f>SUMIFS(INDEX(Load,,MATCH('Summarized Modified Source Data'!$B182,Hour,0)),Season,'Summarized Modified Source Data'!$A182,Sector,'Summarized Modified Source Data'!G$2,Subsector,'Summarized Modified Source Data'!G$3,TimeOfWeek,$D182)</f>
        <v>0</v>
      </c>
      <c r="H182" s="25">
        <f>SUMIFS(INDEX(Load,,MATCH('Summarized Modified Source Data'!$B182,Hour,0)),Season,'Summarized Modified Source Data'!$A182,Sector,'Summarized Modified Source Data'!H$2,Subsector,'Summarized Modified Source Data'!H$3,TimeOfWeek,$D182)</f>
        <v>14746356</v>
      </c>
      <c r="I182" s="25">
        <f>SUMIFS(INDEX(Load,,MATCH('Summarized Modified Source Data'!$B182,Hour,0)),Season,'Summarized Modified Source Data'!$A182,Sector,'Summarized Modified Source Data'!I$2,Subsector,'Summarized Modified Source Data'!I$3,TimeOfWeek,$D182)</f>
        <v>25900000</v>
      </c>
      <c r="J182" s="25">
        <f t="shared" si="6"/>
        <v>25900000</v>
      </c>
      <c r="K182" s="25">
        <f>SUMIFS(INDEX(Load,,MATCH('Summarized Modified Source Data'!$B182,Hour,0)),Season,'Summarized Modified Source Data'!$A182,Sector,'Summarized Modified Source Data'!K$2,Subsector,'Summarized Modified Source Data'!K$3,TimeOfWeek,$D182)</f>
        <v>5726220</v>
      </c>
      <c r="L182" s="25">
        <f>SUMIFS(INDEX(Load,,MATCH('Summarized Modified Source Data'!$B182,Hour,0)),Season,'Summarized Modified Source Data'!$A182,Sector,'Summarized Modified Source Data'!L$2,Subsector,'Summarized Modified Source Data'!L$3,TimeOfWeek,$D182)</f>
        <v>53285470</v>
      </c>
      <c r="M182" s="25">
        <f>SUMIFS(INDEX(Load,,MATCH('Summarized Modified Source Data'!$B182,Hour,0)),Season,'Summarized Modified Source Data'!$A182,Sector,'Summarized Modified Source Data'!M$2,Subsector,'Summarized Modified Source Data'!M$3,TimeOfWeek,$D182)</f>
        <v>0</v>
      </c>
      <c r="N182" s="25">
        <f t="shared" si="7"/>
        <v>252988310</v>
      </c>
      <c r="O182" s="25">
        <f>SUMIFS(INDEX(Load,,MATCH('Summarized Modified Source Data'!$B182,Hour,0)),Season,'Summarized Modified Source Data'!$A182,Sector,'Summarized Modified Source Data'!O$2,Subsector,"Total",TimeOfWeek,$D182)-SUM(K182:M182)</f>
        <v>252988310</v>
      </c>
      <c r="P182" s="25">
        <f t="shared" si="8"/>
        <v>252988310</v>
      </c>
      <c r="Q182" s="33" cm="1">
        <f t="array" ref="Q182">SUMIFS(INDEX(Load,,MATCH('Summarized Modified Source Data'!$B182,Hour,0)),Season,'Summarized Modified Source Data'!$A182,Sector,'Summarized Modified Source Data'!Q$2,TimeOfWeek,$D182)*LDVs</f>
        <v>3228154.3316959175</v>
      </c>
      <c r="R182" s="33" cm="1">
        <f t="array" ref="R182">SUMIFS(INDEX(Load,,MATCH('Summarized Modified Source Data'!$B182,Hour,0)),Season,'Summarized Modified Source Data'!$A182,Sector,'Summarized Modified Source Data'!R$2,TimeOfWeek,$D182)*HDVs</f>
        <v>1521125.2601097501</v>
      </c>
      <c r="S182" s="33">
        <f>SUMIFS(INDEX(Load,,MATCH('Summarized Modified Source Data'!$B182,Hour,0)),Season,'Summarized Modified Source Data'!$A182,Sector,'Summarized Modified Source Data'!S$2,TimeOfWeek,$D182)*Aircraft</f>
        <v>0</v>
      </c>
      <c r="T182" s="33">
        <f>SUMIFS(INDEX(Load,,MATCH('Summarized Modified Source Data'!$B182,Hour,0)),Season,'Summarized Modified Source Data'!$A182,Sector,'Summarized Modified Source Data'!T$2,TimeOfWeek,$D182)*Rail</f>
        <v>6622494.4081943324</v>
      </c>
      <c r="U182" s="33">
        <f>SUMIFS(INDEX(Load,,MATCH('Summarized Modified Source Data'!$B182,Hour,0)),Season,'Summarized Modified Source Data'!$A182,Sector,'Summarized Modified Source Data'!U$2,TimeOfWeek,$D182)*Ships</f>
        <v>0</v>
      </c>
      <c r="V182" s="33">
        <f>SUMIFS(INDEX(Load,,MATCH('Summarized Modified Source Data'!$B182,Hour,0)),Season,'Summarized Modified Source Data'!$A182,Sector,'Summarized Modified Source Data'!V$2,TimeOfWeek,$D182)*Motorbikes</f>
        <v>0</v>
      </c>
      <c r="W182" s="25">
        <f>SUMIFS(INDEX(Load,,MATCH('Summarized Modified Source Data'!$B182,Hour,0)),Season,'Summarized Modified Source Data'!$A182,Sector,'Summarized Modified Source Data'!W$2,Subsector,'Summarized Modified Source Data'!W$3,TimeOfWeek,$D182)</f>
        <v>690000000</v>
      </c>
      <c r="X182" s="25">
        <f>SUMIFS(INDEX(Load,,MATCH('Summarized Modified Source Data'!$B182,Hour,0)),Season,'Summarized Modified Source Data'!$A182,Sector,'Summarized Modified Source Data'!X$2,Subsector,'Summarized Modified Source Data'!X$3,TimeOfWeek,$D182)</f>
        <v>0</v>
      </c>
      <c r="Y182" s="25">
        <f>SUMIFS(INDEX(Load,,MATCH('Summarized Modified Source Data'!$B182,Hour,0)),Season,'Summarized Modified Source Data'!$A182,Sector,'Summarized Modified Source Data'!Y$2,Subsector,'Summarized Modified Source Data'!Y$3,TimeOfWeek,$D182)</f>
        <v>0</v>
      </c>
    </row>
    <row r="183" spans="1:25" outlineLevel="1" x14ac:dyDescent="0.25">
      <c r="A183" t="s">
        <v>40</v>
      </c>
      <c r="B183" t="s">
        <v>158</v>
      </c>
      <c r="C183" s="7" t="s">
        <v>10</v>
      </c>
      <c r="D183" t="s">
        <v>114</v>
      </c>
      <c r="E183" s="25">
        <f>SUMIFS(INDEX(Load,,MATCH('Summarized Modified Source Data'!$B183,Hour,0)),Season,'Summarized Modified Source Data'!$A183,Sector,'Summarized Modified Source Data'!E$2,Subsector,'Summarized Modified Source Data'!E$3,TimeOfWeek,$D183)</f>
        <v>3289009</v>
      </c>
      <c r="F183" s="25">
        <f>SUMIFS(INDEX(Load,,MATCH('Summarized Modified Source Data'!$B183,Hour,0)),Season,'Summarized Modified Source Data'!$A183,Sector,'Summarized Modified Source Data'!F$2,Subsector,'Summarized Modified Source Data'!F$3,TimeOfWeek,$D183)</f>
        <v>17969701</v>
      </c>
      <c r="G183" s="25">
        <f>SUMIFS(INDEX(Load,,MATCH('Summarized Modified Source Data'!$B183,Hour,0)),Season,'Summarized Modified Source Data'!$A183,Sector,'Summarized Modified Source Data'!G$2,Subsector,'Summarized Modified Source Data'!G$3,TimeOfWeek,$D183)</f>
        <v>0</v>
      </c>
      <c r="H183" s="25">
        <f>SUMIFS(INDEX(Load,,MATCH('Summarized Modified Source Data'!$B183,Hour,0)),Season,'Summarized Modified Source Data'!$A183,Sector,'Summarized Modified Source Data'!H$2,Subsector,'Summarized Modified Source Data'!H$3,TimeOfWeek,$D183)</f>
        <v>15646225</v>
      </c>
      <c r="I183" s="25">
        <f>SUMIFS(INDEX(Load,,MATCH('Summarized Modified Source Data'!$B183,Hour,0)),Season,'Summarized Modified Source Data'!$A183,Sector,'Summarized Modified Source Data'!I$2,Subsector,'Summarized Modified Source Data'!I$3,TimeOfWeek,$D183)</f>
        <v>23900000</v>
      </c>
      <c r="J183" s="25">
        <f t="shared" si="6"/>
        <v>23900000</v>
      </c>
      <c r="K183" s="25">
        <f>SUMIFS(INDEX(Load,,MATCH('Summarized Modified Source Data'!$B183,Hour,0)),Season,'Summarized Modified Source Data'!$A183,Sector,'Summarized Modified Source Data'!K$2,Subsector,'Summarized Modified Source Data'!K$3,TimeOfWeek,$D183)</f>
        <v>5081130</v>
      </c>
      <c r="L183" s="25">
        <f>SUMIFS(INDEX(Load,,MATCH('Summarized Modified Source Data'!$B183,Hour,0)),Season,'Summarized Modified Source Data'!$A183,Sector,'Summarized Modified Source Data'!L$2,Subsector,'Summarized Modified Source Data'!L$3,TimeOfWeek,$D183)</f>
        <v>57531064</v>
      </c>
      <c r="M183" s="25">
        <f>SUMIFS(INDEX(Load,,MATCH('Summarized Modified Source Data'!$B183,Hour,0)),Season,'Summarized Modified Source Data'!$A183,Sector,'Summarized Modified Source Data'!M$2,Subsector,'Summarized Modified Source Data'!M$3,TimeOfWeek,$D183)</f>
        <v>0</v>
      </c>
      <c r="N183" s="25">
        <f t="shared" si="7"/>
        <v>253387806</v>
      </c>
      <c r="O183" s="25">
        <f>SUMIFS(INDEX(Load,,MATCH('Summarized Modified Source Data'!$B183,Hour,0)),Season,'Summarized Modified Source Data'!$A183,Sector,'Summarized Modified Source Data'!O$2,Subsector,"Total",TimeOfWeek,$D183)-SUM(K183:M183)</f>
        <v>253387806</v>
      </c>
      <c r="P183" s="25">
        <f t="shared" si="8"/>
        <v>253387806</v>
      </c>
      <c r="Q183" s="33" cm="1">
        <f t="array" ref="Q183">SUMIFS(INDEX(Load,,MATCH('Summarized Modified Source Data'!$B183,Hour,0)),Season,'Summarized Modified Source Data'!$A183,Sector,'Summarized Modified Source Data'!Q$2,TimeOfWeek,$D183)*LDVs</f>
        <v>3331211.4881492751</v>
      </c>
      <c r="R183" s="33" cm="1">
        <f t="array" ref="R183">SUMIFS(INDEX(Load,,MATCH('Summarized Modified Source Data'!$B183,Hour,0)),Season,'Summarized Modified Source Data'!$A183,Sector,'Summarized Modified Source Data'!R$2,TimeOfWeek,$D183)*HDVs</f>
        <v>1569686.3968488132</v>
      </c>
      <c r="S183" s="33">
        <f>SUMIFS(INDEX(Load,,MATCH('Summarized Modified Source Data'!$B183,Hour,0)),Season,'Summarized Modified Source Data'!$A183,Sector,'Summarized Modified Source Data'!S$2,TimeOfWeek,$D183)*Aircraft</f>
        <v>0</v>
      </c>
      <c r="T183" s="33">
        <f>SUMIFS(INDEX(Load,,MATCH('Summarized Modified Source Data'!$B183,Hour,0)),Season,'Summarized Modified Source Data'!$A183,Sector,'Summarized Modified Source Data'!T$2,TimeOfWeek,$D183)*Rail</f>
        <v>6833914.1150019113</v>
      </c>
      <c r="U183" s="33">
        <f>SUMIFS(INDEX(Load,,MATCH('Summarized Modified Source Data'!$B183,Hour,0)),Season,'Summarized Modified Source Data'!$A183,Sector,'Summarized Modified Source Data'!U$2,TimeOfWeek,$D183)*Ships</f>
        <v>0</v>
      </c>
      <c r="V183" s="33">
        <f>SUMIFS(INDEX(Load,,MATCH('Summarized Modified Source Data'!$B183,Hour,0)),Season,'Summarized Modified Source Data'!$A183,Sector,'Summarized Modified Source Data'!V$2,TimeOfWeek,$D183)*Motorbikes</f>
        <v>0</v>
      </c>
      <c r="W183" s="25">
        <f>SUMIFS(INDEX(Load,,MATCH('Summarized Modified Source Data'!$B183,Hour,0)),Season,'Summarized Modified Source Data'!$A183,Sector,'Summarized Modified Source Data'!W$2,Subsector,'Summarized Modified Source Data'!W$3,TimeOfWeek,$D183)</f>
        <v>688000000</v>
      </c>
      <c r="X183" s="25">
        <f>SUMIFS(INDEX(Load,,MATCH('Summarized Modified Source Data'!$B183,Hour,0)),Season,'Summarized Modified Source Data'!$A183,Sector,'Summarized Modified Source Data'!X$2,Subsector,'Summarized Modified Source Data'!X$3,TimeOfWeek,$D183)</f>
        <v>0</v>
      </c>
      <c r="Y183" s="25">
        <f>SUMIFS(INDEX(Load,,MATCH('Summarized Modified Source Data'!$B183,Hour,0)),Season,'Summarized Modified Source Data'!$A183,Sector,'Summarized Modified Source Data'!Y$2,Subsector,'Summarized Modified Source Data'!Y$3,TimeOfWeek,$D183)</f>
        <v>0</v>
      </c>
    </row>
    <row r="184" spans="1:25" outlineLevel="1" x14ac:dyDescent="0.25">
      <c r="A184" t="s">
        <v>40</v>
      </c>
      <c r="B184" t="s">
        <v>159</v>
      </c>
      <c r="C184" s="7" t="s">
        <v>11</v>
      </c>
      <c r="D184" t="s">
        <v>114</v>
      </c>
      <c r="E184" s="25">
        <f>SUMIFS(INDEX(Load,,MATCH('Summarized Modified Source Data'!$B184,Hour,0)),Season,'Summarized Modified Source Data'!$A184,Sector,'Summarized Modified Source Data'!E$2,Subsector,'Summarized Modified Source Data'!E$3,TimeOfWeek,$D184)</f>
        <v>3360252</v>
      </c>
      <c r="F184" s="25">
        <f>SUMIFS(INDEX(Load,,MATCH('Summarized Modified Source Data'!$B184,Hour,0)),Season,'Summarized Modified Source Data'!$A184,Sector,'Summarized Modified Source Data'!F$2,Subsector,'Summarized Modified Source Data'!F$3,TimeOfWeek,$D184)</f>
        <v>21539911</v>
      </c>
      <c r="G184" s="25">
        <f>SUMIFS(INDEX(Load,,MATCH('Summarized Modified Source Data'!$B184,Hour,0)),Season,'Summarized Modified Source Data'!$A184,Sector,'Summarized Modified Source Data'!G$2,Subsector,'Summarized Modified Source Data'!G$3,TimeOfWeek,$D184)</f>
        <v>0</v>
      </c>
      <c r="H184" s="25">
        <f>SUMIFS(INDEX(Load,,MATCH('Summarized Modified Source Data'!$B184,Hour,0)),Season,'Summarized Modified Source Data'!$A184,Sector,'Summarized Modified Source Data'!H$2,Subsector,'Summarized Modified Source Data'!H$3,TimeOfWeek,$D184)</f>
        <v>16189997</v>
      </c>
      <c r="I184" s="25">
        <f>SUMIFS(INDEX(Load,,MATCH('Summarized Modified Source Data'!$B184,Hour,0)),Season,'Summarized Modified Source Data'!$A184,Sector,'Summarized Modified Source Data'!I$2,Subsector,'Summarized Modified Source Data'!I$3,TimeOfWeek,$D184)</f>
        <v>21300000</v>
      </c>
      <c r="J184" s="25">
        <f t="shared" si="6"/>
        <v>21300000</v>
      </c>
      <c r="K184" s="25">
        <f>SUMIFS(INDEX(Load,,MATCH('Summarized Modified Source Data'!$B184,Hour,0)),Season,'Summarized Modified Source Data'!$A184,Sector,'Summarized Modified Source Data'!K$2,Subsector,'Summarized Modified Source Data'!K$3,TimeOfWeek,$D184)</f>
        <v>4611640</v>
      </c>
      <c r="L184" s="25">
        <f>SUMIFS(INDEX(Load,,MATCH('Summarized Modified Source Data'!$B184,Hour,0)),Season,'Summarized Modified Source Data'!$A184,Sector,'Summarized Modified Source Data'!L$2,Subsector,'Summarized Modified Source Data'!L$3,TimeOfWeek,$D184)</f>
        <v>60797681</v>
      </c>
      <c r="M184" s="25">
        <f>SUMIFS(INDEX(Load,,MATCH('Summarized Modified Source Data'!$B184,Hour,0)),Season,'Summarized Modified Source Data'!$A184,Sector,'Summarized Modified Source Data'!M$2,Subsector,'Summarized Modified Source Data'!M$3,TimeOfWeek,$D184)</f>
        <v>0</v>
      </c>
      <c r="N184" s="25">
        <f t="shared" si="7"/>
        <v>252590679</v>
      </c>
      <c r="O184" s="25">
        <f>SUMIFS(INDEX(Load,,MATCH('Summarized Modified Source Data'!$B184,Hour,0)),Season,'Summarized Modified Source Data'!$A184,Sector,'Summarized Modified Source Data'!O$2,Subsector,"Total",TimeOfWeek,$D184)-SUM(K184:M184)</f>
        <v>252590679</v>
      </c>
      <c r="P184" s="25">
        <f t="shared" si="8"/>
        <v>252590679</v>
      </c>
      <c r="Q184" s="33" cm="1">
        <f t="array" ref="Q184">SUMIFS(INDEX(Load,,MATCH('Summarized Modified Source Data'!$B184,Hour,0)),Season,'Summarized Modified Source Data'!$A184,Sector,'Summarized Modified Source Data'!Q$2,TimeOfWeek,$D184)*LDVs</f>
        <v>3259700.4305208125</v>
      </c>
      <c r="R184" s="33" cm="1">
        <f t="array" ref="R184">SUMIFS(INDEX(Load,,MATCH('Summarized Modified Source Data'!$B184,Hour,0)),Season,'Summarized Modified Source Data'!$A184,Sector,'Summarized Modified Source Data'!R$2,TimeOfWeek,$D184)*HDVs</f>
        <v>1535989.9669514634</v>
      </c>
      <c r="S184" s="33">
        <f>SUMIFS(INDEX(Load,,MATCH('Summarized Modified Source Data'!$B184,Hour,0)),Season,'Summarized Modified Source Data'!$A184,Sector,'Summarized Modified Source Data'!S$2,TimeOfWeek,$D184)*Aircraft</f>
        <v>0</v>
      </c>
      <c r="T184" s="33">
        <f>SUMIFS(INDEX(Load,,MATCH('Summarized Modified Source Data'!$B184,Hour,0)),Season,'Summarized Modified Source Data'!$A184,Sector,'Summarized Modified Source Data'!T$2,TimeOfWeek,$D184)*Rail</f>
        <v>6687210.6025277236</v>
      </c>
      <c r="U184" s="33">
        <f>SUMIFS(INDEX(Load,,MATCH('Summarized Modified Source Data'!$B184,Hour,0)),Season,'Summarized Modified Source Data'!$A184,Sector,'Summarized Modified Source Data'!U$2,TimeOfWeek,$D184)*Ships</f>
        <v>0</v>
      </c>
      <c r="V184" s="33">
        <f>SUMIFS(INDEX(Load,,MATCH('Summarized Modified Source Data'!$B184,Hour,0)),Season,'Summarized Modified Source Data'!$A184,Sector,'Summarized Modified Source Data'!V$2,TimeOfWeek,$D184)*Motorbikes</f>
        <v>0</v>
      </c>
      <c r="W184" s="25">
        <f>SUMIFS(INDEX(Load,,MATCH('Summarized Modified Source Data'!$B184,Hour,0)),Season,'Summarized Modified Source Data'!$A184,Sector,'Summarized Modified Source Data'!W$2,Subsector,'Summarized Modified Source Data'!W$3,TimeOfWeek,$D184)</f>
        <v>688000000</v>
      </c>
      <c r="X184" s="25">
        <f>SUMIFS(INDEX(Load,,MATCH('Summarized Modified Source Data'!$B184,Hour,0)),Season,'Summarized Modified Source Data'!$A184,Sector,'Summarized Modified Source Data'!X$2,Subsector,'Summarized Modified Source Data'!X$3,TimeOfWeek,$D184)</f>
        <v>0</v>
      </c>
      <c r="Y184" s="25">
        <f>SUMIFS(INDEX(Load,,MATCH('Summarized Modified Source Data'!$B184,Hour,0)),Season,'Summarized Modified Source Data'!$A184,Sector,'Summarized Modified Source Data'!Y$2,Subsector,'Summarized Modified Source Data'!Y$3,TimeOfWeek,$D184)</f>
        <v>0</v>
      </c>
    </row>
    <row r="185" spans="1:25" outlineLevel="1" x14ac:dyDescent="0.25">
      <c r="A185" t="s">
        <v>40</v>
      </c>
      <c r="B185" t="s">
        <v>160</v>
      </c>
      <c r="C185" s="7" t="s">
        <v>12</v>
      </c>
      <c r="D185" t="s">
        <v>114</v>
      </c>
      <c r="E185" s="25">
        <f>SUMIFS(INDEX(Load,,MATCH('Summarized Modified Source Data'!$B185,Hour,0)),Season,'Summarized Modified Source Data'!$A185,Sector,'Summarized Modified Source Data'!E$2,Subsector,'Summarized Modified Source Data'!E$3,TimeOfWeek,$D185)</f>
        <v>3357534</v>
      </c>
      <c r="F185" s="25">
        <f>SUMIFS(INDEX(Load,,MATCH('Summarized Modified Source Data'!$B185,Hour,0)),Season,'Summarized Modified Source Data'!$A185,Sector,'Summarized Modified Source Data'!F$2,Subsector,'Summarized Modified Source Data'!F$3,TimeOfWeek,$D185)</f>
        <v>23607600</v>
      </c>
      <c r="G185" s="25">
        <f>SUMIFS(INDEX(Load,,MATCH('Summarized Modified Source Data'!$B185,Hour,0)),Season,'Summarized Modified Source Data'!$A185,Sector,'Summarized Modified Source Data'!G$2,Subsector,'Summarized Modified Source Data'!G$3,TimeOfWeek,$D185)</f>
        <v>0</v>
      </c>
      <c r="H185" s="25">
        <f>SUMIFS(INDEX(Load,,MATCH('Summarized Modified Source Data'!$B185,Hour,0)),Season,'Summarized Modified Source Data'!$A185,Sector,'Summarized Modified Source Data'!H$2,Subsector,'Summarized Modified Source Data'!H$3,TimeOfWeek,$D185)</f>
        <v>16169252</v>
      </c>
      <c r="I185" s="25">
        <f>SUMIFS(INDEX(Load,,MATCH('Summarized Modified Source Data'!$B185,Hour,0)),Season,'Summarized Modified Source Data'!$A185,Sector,'Summarized Modified Source Data'!I$2,Subsector,'Summarized Modified Source Data'!I$3,TimeOfWeek,$D185)</f>
        <v>18349382</v>
      </c>
      <c r="J185" s="25">
        <f t="shared" si="6"/>
        <v>18349382</v>
      </c>
      <c r="K185" s="25">
        <f>SUMIFS(INDEX(Load,,MATCH('Summarized Modified Source Data'!$B185,Hour,0)),Season,'Summarized Modified Source Data'!$A185,Sector,'Summarized Modified Source Data'!K$2,Subsector,'Summarized Modified Source Data'!K$3,TimeOfWeek,$D185)</f>
        <v>4331177</v>
      </c>
      <c r="L185" s="25">
        <f>SUMIFS(INDEX(Load,,MATCH('Summarized Modified Source Data'!$B185,Hour,0)),Season,'Summarized Modified Source Data'!$A185,Sector,'Summarized Modified Source Data'!L$2,Subsector,'Summarized Modified Source Data'!L$3,TimeOfWeek,$D185)</f>
        <v>62742325</v>
      </c>
      <c r="M185" s="25">
        <f>SUMIFS(INDEX(Load,,MATCH('Summarized Modified Source Data'!$B185,Hour,0)),Season,'Summarized Modified Source Data'!$A185,Sector,'Summarized Modified Source Data'!M$2,Subsector,'Summarized Modified Source Data'!M$3,TimeOfWeek,$D185)</f>
        <v>0</v>
      </c>
      <c r="N185" s="25">
        <f t="shared" si="7"/>
        <v>242926498</v>
      </c>
      <c r="O185" s="25">
        <f>SUMIFS(INDEX(Load,,MATCH('Summarized Modified Source Data'!$B185,Hour,0)),Season,'Summarized Modified Source Data'!$A185,Sector,'Summarized Modified Source Data'!O$2,Subsector,"Total",TimeOfWeek,$D185)-SUM(K185:M185)</f>
        <v>242926498</v>
      </c>
      <c r="P185" s="25">
        <f t="shared" si="8"/>
        <v>242926498</v>
      </c>
      <c r="Q185" s="33" cm="1">
        <f t="array" ref="Q185">SUMIFS(INDEX(Load,,MATCH('Summarized Modified Source Data'!$B185,Hour,0)),Season,'Summarized Modified Source Data'!$A185,Sector,'Summarized Modified Source Data'!Q$2,TimeOfWeek,$D185)*LDVs</f>
        <v>3105871.2208380168</v>
      </c>
      <c r="R185" s="33" cm="1">
        <f t="array" ref="R185">SUMIFS(INDEX(Load,,MATCH('Summarized Modified Source Data'!$B185,Hour,0)),Season,'Summarized Modified Source Data'!$A185,Sector,'Summarized Modified Source Data'!R$2,TimeOfWeek,$D185)*HDVs</f>
        <v>1463504.7408599677</v>
      </c>
      <c r="S185" s="33">
        <f>SUMIFS(INDEX(Load,,MATCH('Summarized Modified Source Data'!$B185,Hour,0)),Season,'Summarized Modified Source Data'!$A185,Sector,'Summarized Modified Source Data'!S$2,TimeOfWeek,$D185)*Aircraft</f>
        <v>0</v>
      </c>
      <c r="T185" s="33">
        <f>SUMIFS(INDEX(Load,,MATCH('Summarized Modified Source Data'!$B185,Hour,0)),Season,'Summarized Modified Source Data'!$A185,Sector,'Summarized Modified Source Data'!T$2,TimeOfWeek,$D185)*Rail</f>
        <v>6371633.0383020155</v>
      </c>
      <c r="U185" s="33">
        <f>SUMIFS(INDEX(Load,,MATCH('Summarized Modified Source Data'!$B185,Hour,0)),Season,'Summarized Modified Source Data'!$A185,Sector,'Summarized Modified Source Data'!U$2,TimeOfWeek,$D185)*Ships</f>
        <v>0</v>
      </c>
      <c r="V185" s="33">
        <f>SUMIFS(INDEX(Load,,MATCH('Summarized Modified Source Data'!$B185,Hour,0)),Season,'Summarized Modified Source Data'!$A185,Sector,'Summarized Modified Source Data'!V$2,TimeOfWeek,$D185)*Motorbikes</f>
        <v>0</v>
      </c>
      <c r="W185" s="25">
        <f>SUMIFS(INDEX(Load,,MATCH('Summarized Modified Source Data'!$B185,Hour,0)),Season,'Summarized Modified Source Data'!$A185,Sector,'Summarized Modified Source Data'!W$2,Subsector,'Summarized Modified Source Data'!W$3,TimeOfWeek,$D185)</f>
        <v>688000000</v>
      </c>
      <c r="X185" s="25">
        <f>SUMIFS(INDEX(Load,,MATCH('Summarized Modified Source Data'!$B185,Hour,0)),Season,'Summarized Modified Source Data'!$A185,Sector,'Summarized Modified Source Data'!X$2,Subsector,'Summarized Modified Source Data'!X$3,TimeOfWeek,$D185)</f>
        <v>0</v>
      </c>
      <c r="Y185" s="25">
        <f>SUMIFS(INDEX(Load,,MATCH('Summarized Modified Source Data'!$B185,Hour,0)),Season,'Summarized Modified Source Data'!$A185,Sector,'Summarized Modified Source Data'!Y$2,Subsector,'Summarized Modified Source Data'!Y$3,TimeOfWeek,$D185)</f>
        <v>0</v>
      </c>
    </row>
    <row r="186" spans="1:25" outlineLevel="1" x14ac:dyDescent="0.25">
      <c r="A186" t="s">
        <v>40</v>
      </c>
      <c r="B186" t="s">
        <v>161</v>
      </c>
      <c r="C186" s="7" t="s">
        <v>13</v>
      </c>
      <c r="D186" t="s">
        <v>114</v>
      </c>
      <c r="E186" s="25">
        <f>SUMIFS(INDEX(Load,,MATCH('Summarized Modified Source Data'!$B186,Hour,0)),Season,'Summarized Modified Source Data'!$A186,Sector,'Summarized Modified Source Data'!E$2,Subsector,'Summarized Modified Source Data'!E$3,TimeOfWeek,$D186)</f>
        <v>3335244</v>
      </c>
      <c r="F186" s="25">
        <f>SUMIFS(INDEX(Load,,MATCH('Summarized Modified Source Data'!$B186,Hour,0)),Season,'Summarized Modified Source Data'!$A186,Sector,'Summarized Modified Source Data'!F$2,Subsector,'Summarized Modified Source Data'!F$3,TimeOfWeek,$D186)</f>
        <v>24198027</v>
      </c>
      <c r="G186" s="25">
        <f>SUMIFS(INDEX(Load,,MATCH('Summarized Modified Source Data'!$B186,Hour,0)),Season,'Summarized Modified Source Data'!$A186,Sector,'Summarized Modified Source Data'!G$2,Subsector,'Summarized Modified Source Data'!G$3,TimeOfWeek,$D186)</f>
        <v>0</v>
      </c>
      <c r="H186" s="25">
        <f>SUMIFS(INDEX(Load,,MATCH('Summarized Modified Source Data'!$B186,Hour,0)),Season,'Summarized Modified Source Data'!$A186,Sector,'Summarized Modified Source Data'!H$2,Subsector,'Summarized Modified Source Data'!H$3,TimeOfWeek,$D186)</f>
        <v>15999118</v>
      </c>
      <c r="I186" s="25">
        <f>SUMIFS(INDEX(Load,,MATCH('Summarized Modified Source Data'!$B186,Hour,0)),Season,'Summarized Modified Source Data'!$A186,Sector,'Summarized Modified Source Data'!I$2,Subsector,'Summarized Modified Source Data'!I$3,TimeOfWeek,$D186)</f>
        <v>16913189</v>
      </c>
      <c r="J186" s="25">
        <f t="shared" si="6"/>
        <v>16913189</v>
      </c>
      <c r="K186" s="25">
        <f>SUMIFS(INDEX(Load,,MATCH('Summarized Modified Source Data'!$B186,Hour,0)),Season,'Summarized Modified Source Data'!$A186,Sector,'Summarized Modified Source Data'!K$2,Subsector,'Summarized Modified Source Data'!K$3,TimeOfWeek,$D186)</f>
        <v>4343181</v>
      </c>
      <c r="L186" s="25">
        <f>SUMIFS(INDEX(Load,,MATCH('Summarized Modified Source Data'!$B186,Hour,0)),Season,'Summarized Modified Source Data'!$A186,Sector,'Summarized Modified Source Data'!L$2,Subsector,'Summarized Modified Source Data'!L$3,TimeOfWeek,$D186)</f>
        <v>63458118</v>
      </c>
      <c r="M186" s="25">
        <f>SUMIFS(INDEX(Load,,MATCH('Summarized Modified Source Data'!$B186,Hour,0)),Season,'Summarized Modified Source Data'!$A186,Sector,'Summarized Modified Source Data'!M$2,Subsector,'Summarized Modified Source Data'!M$3,TimeOfWeek,$D186)</f>
        <v>0</v>
      </c>
      <c r="N186" s="25">
        <f t="shared" si="7"/>
        <v>231198701</v>
      </c>
      <c r="O186" s="25">
        <f>SUMIFS(INDEX(Load,,MATCH('Summarized Modified Source Data'!$B186,Hour,0)),Season,'Summarized Modified Source Data'!$A186,Sector,'Summarized Modified Source Data'!O$2,Subsector,"Total",TimeOfWeek,$D186)-SUM(K186:M186)</f>
        <v>231198701</v>
      </c>
      <c r="P186" s="25">
        <f t="shared" si="8"/>
        <v>231198701</v>
      </c>
      <c r="Q186" s="33" cm="1">
        <f t="array" ref="Q186">SUMIFS(INDEX(Load,,MATCH('Summarized Modified Source Data'!$B186,Hour,0)),Season,'Summarized Modified Source Data'!$A186,Sector,'Summarized Modified Source Data'!Q$2,TimeOfWeek,$D186)*LDVs</f>
        <v>3065978.0822311859</v>
      </c>
      <c r="R186" s="33" cm="1">
        <f t="array" ref="R186">SUMIFS(INDEX(Load,,MATCH('Summarized Modified Source Data'!$B186,Hour,0)),Season,'Summarized Modified Source Data'!$A186,Sector,'Summarized Modified Source Data'!R$2,TimeOfWeek,$D186)*HDVs</f>
        <v>1444706.8599023893</v>
      </c>
      <c r="S186" s="33">
        <f>SUMIFS(INDEX(Load,,MATCH('Summarized Modified Source Data'!$B186,Hour,0)),Season,'Summarized Modified Source Data'!$A186,Sector,'Summarized Modified Source Data'!S$2,TimeOfWeek,$D186)*Aircraft</f>
        <v>0</v>
      </c>
      <c r="T186" s="33">
        <f>SUMIFS(INDEX(Load,,MATCH('Summarized Modified Source Data'!$B186,Hour,0)),Season,'Summarized Modified Source Data'!$A186,Sector,'Summarized Modified Source Data'!T$2,TimeOfWeek,$D186)*Rail</f>
        <v>6289793.0578664253</v>
      </c>
      <c r="U186" s="33">
        <f>SUMIFS(INDEX(Load,,MATCH('Summarized Modified Source Data'!$B186,Hour,0)),Season,'Summarized Modified Source Data'!$A186,Sector,'Summarized Modified Source Data'!U$2,TimeOfWeek,$D186)*Ships</f>
        <v>0</v>
      </c>
      <c r="V186" s="33">
        <f>SUMIFS(INDEX(Load,,MATCH('Summarized Modified Source Data'!$B186,Hour,0)),Season,'Summarized Modified Source Data'!$A186,Sector,'Summarized Modified Source Data'!V$2,TimeOfWeek,$D186)*Motorbikes</f>
        <v>0</v>
      </c>
      <c r="W186" s="25">
        <f>SUMIFS(INDEX(Load,,MATCH('Summarized Modified Source Data'!$B186,Hour,0)),Season,'Summarized Modified Source Data'!$A186,Sector,'Summarized Modified Source Data'!W$2,Subsector,'Summarized Modified Source Data'!W$3,TimeOfWeek,$D186)</f>
        <v>691000000</v>
      </c>
      <c r="X186" s="25">
        <f>SUMIFS(INDEX(Load,,MATCH('Summarized Modified Source Data'!$B186,Hour,0)),Season,'Summarized Modified Source Data'!$A186,Sector,'Summarized Modified Source Data'!X$2,Subsector,'Summarized Modified Source Data'!X$3,TimeOfWeek,$D186)</f>
        <v>0</v>
      </c>
      <c r="Y186" s="25">
        <f>SUMIFS(INDEX(Load,,MATCH('Summarized Modified Source Data'!$B186,Hour,0)),Season,'Summarized Modified Source Data'!$A186,Sector,'Summarized Modified Source Data'!Y$2,Subsector,'Summarized Modified Source Data'!Y$3,TimeOfWeek,$D186)</f>
        <v>0</v>
      </c>
    </row>
    <row r="187" spans="1:25" outlineLevel="1" x14ac:dyDescent="0.25">
      <c r="A187" t="s">
        <v>40</v>
      </c>
      <c r="B187" t="s">
        <v>162</v>
      </c>
      <c r="C187" s="7" t="s">
        <v>14</v>
      </c>
      <c r="D187" t="s">
        <v>114</v>
      </c>
      <c r="E187" s="25">
        <f>SUMIFS(INDEX(Load,,MATCH('Summarized Modified Source Data'!$B187,Hour,0)),Season,'Summarized Modified Source Data'!$A187,Sector,'Summarized Modified Source Data'!E$2,Subsector,'Summarized Modified Source Data'!E$3,TimeOfWeek,$D187)</f>
        <v>3340504</v>
      </c>
      <c r="F187" s="25">
        <f>SUMIFS(INDEX(Load,,MATCH('Summarized Modified Source Data'!$B187,Hour,0)),Season,'Summarized Modified Source Data'!$A187,Sector,'Summarized Modified Source Data'!F$2,Subsector,'Summarized Modified Source Data'!F$3,TimeOfWeek,$D187)</f>
        <v>23502811</v>
      </c>
      <c r="G187" s="25">
        <f>SUMIFS(INDEX(Load,,MATCH('Summarized Modified Source Data'!$B187,Hour,0)),Season,'Summarized Modified Source Data'!$A187,Sector,'Summarized Modified Source Data'!G$2,Subsector,'Summarized Modified Source Data'!G$3,TimeOfWeek,$D187)</f>
        <v>0</v>
      </c>
      <c r="H187" s="25">
        <f>SUMIFS(INDEX(Load,,MATCH('Summarized Modified Source Data'!$B187,Hour,0)),Season,'Summarized Modified Source Data'!$A187,Sector,'Summarized Modified Source Data'!H$2,Subsector,'Summarized Modified Source Data'!H$3,TimeOfWeek,$D187)</f>
        <v>16039268</v>
      </c>
      <c r="I187" s="25">
        <f>SUMIFS(INDEX(Load,,MATCH('Summarized Modified Source Data'!$B187,Hour,0)),Season,'Summarized Modified Source Data'!$A187,Sector,'Summarized Modified Source Data'!I$2,Subsector,'Summarized Modified Source Data'!I$3,TimeOfWeek,$D187)</f>
        <v>14752612</v>
      </c>
      <c r="J187" s="25">
        <f t="shared" si="6"/>
        <v>14752612</v>
      </c>
      <c r="K187" s="25">
        <f>SUMIFS(INDEX(Load,,MATCH('Summarized Modified Source Data'!$B187,Hour,0)),Season,'Summarized Modified Source Data'!$A187,Sector,'Summarized Modified Source Data'!K$2,Subsector,'Summarized Modified Source Data'!K$3,TimeOfWeek,$D187)</f>
        <v>3924829</v>
      </c>
      <c r="L187" s="25">
        <f>SUMIFS(INDEX(Load,,MATCH('Summarized Modified Source Data'!$B187,Hour,0)),Season,'Summarized Modified Source Data'!$A187,Sector,'Summarized Modified Source Data'!L$2,Subsector,'Summarized Modified Source Data'!L$3,TimeOfWeek,$D187)</f>
        <v>62742521</v>
      </c>
      <c r="M187" s="25">
        <f>SUMIFS(INDEX(Load,,MATCH('Summarized Modified Source Data'!$B187,Hour,0)),Season,'Summarized Modified Source Data'!$A187,Sector,'Summarized Modified Source Data'!M$2,Subsector,'Summarized Modified Source Data'!M$3,TimeOfWeek,$D187)</f>
        <v>0</v>
      </c>
      <c r="N187" s="25">
        <f t="shared" si="7"/>
        <v>214332650</v>
      </c>
      <c r="O187" s="25">
        <f>SUMIFS(INDEX(Load,,MATCH('Summarized Modified Source Data'!$B187,Hour,0)),Season,'Summarized Modified Source Data'!$A187,Sector,'Summarized Modified Source Data'!O$2,Subsector,"Total",TimeOfWeek,$D187)-SUM(K187:M187)</f>
        <v>214332650</v>
      </c>
      <c r="P187" s="25">
        <f t="shared" si="8"/>
        <v>214332650</v>
      </c>
      <c r="Q187" s="33" cm="1">
        <f t="array" ref="Q187">SUMIFS(INDEX(Load,,MATCH('Summarized Modified Source Data'!$B187,Hour,0)),Season,'Summarized Modified Source Data'!$A187,Sector,'Summarized Modified Source Data'!Q$2,TimeOfWeek,$D187)*LDVs</f>
        <v>3006138.516258087</v>
      </c>
      <c r="R187" s="33" cm="1">
        <f t="array" ref="R187">SUMIFS(INDEX(Load,,MATCH('Summarized Modified Source Data'!$B187,Hour,0)),Season,'Summarized Modified Source Data'!$A187,Sector,'Summarized Modified Source Data'!R$2,TimeOfWeek,$D187)*HDVs</f>
        <v>1416510.1053476387</v>
      </c>
      <c r="S187" s="33">
        <f>SUMIFS(INDEX(Load,,MATCH('Summarized Modified Source Data'!$B187,Hour,0)),Season,'Summarized Modified Source Data'!$A187,Sector,'Summarized Modified Source Data'!S$2,TimeOfWeek,$D187)*Aircraft</f>
        <v>0</v>
      </c>
      <c r="T187" s="33">
        <f>SUMIFS(INDEX(Load,,MATCH('Summarized Modified Source Data'!$B187,Hour,0)),Season,'Summarized Modified Source Data'!$A187,Sector,'Summarized Modified Source Data'!T$2,TimeOfWeek,$D187)*Rail</f>
        <v>6167033.378394274</v>
      </c>
      <c r="U187" s="33">
        <f>SUMIFS(INDEX(Load,,MATCH('Summarized Modified Source Data'!$B187,Hour,0)),Season,'Summarized Modified Source Data'!$A187,Sector,'Summarized Modified Source Data'!U$2,TimeOfWeek,$D187)*Ships</f>
        <v>0</v>
      </c>
      <c r="V187" s="33">
        <f>SUMIFS(INDEX(Load,,MATCH('Summarized Modified Source Data'!$B187,Hour,0)),Season,'Summarized Modified Source Data'!$A187,Sector,'Summarized Modified Source Data'!V$2,TimeOfWeek,$D187)*Motorbikes</f>
        <v>0</v>
      </c>
      <c r="W187" s="25">
        <f>SUMIFS(INDEX(Load,,MATCH('Summarized Modified Source Data'!$B187,Hour,0)),Season,'Summarized Modified Source Data'!$A187,Sector,'Summarized Modified Source Data'!W$2,Subsector,'Summarized Modified Source Data'!W$3,TimeOfWeek,$D187)</f>
        <v>698000000</v>
      </c>
      <c r="X187" s="25">
        <f>SUMIFS(INDEX(Load,,MATCH('Summarized Modified Source Data'!$B187,Hour,0)),Season,'Summarized Modified Source Data'!$A187,Sector,'Summarized Modified Source Data'!X$2,Subsector,'Summarized Modified Source Data'!X$3,TimeOfWeek,$D187)</f>
        <v>0</v>
      </c>
      <c r="Y187" s="25">
        <f>SUMIFS(INDEX(Load,,MATCH('Summarized Modified Source Data'!$B187,Hour,0)),Season,'Summarized Modified Source Data'!$A187,Sector,'Summarized Modified Source Data'!Y$2,Subsector,'Summarized Modified Source Data'!Y$3,TimeOfWeek,$D187)</f>
        <v>0</v>
      </c>
    </row>
    <row r="188" spans="1:25" outlineLevel="1" x14ac:dyDescent="0.25">
      <c r="A188" t="s">
        <v>40</v>
      </c>
      <c r="B188" t="s">
        <v>163</v>
      </c>
      <c r="C188" s="7" t="s">
        <v>15</v>
      </c>
      <c r="D188" t="s">
        <v>114</v>
      </c>
      <c r="E188" s="25">
        <f>SUMIFS(INDEX(Load,,MATCH('Summarized Modified Source Data'!$B188,Hour,0)),Season,'Summarized Modified Source Data'!$A188,Sector,'Summarized Modified Source Data'!E$2,Subsector,'Summarized Modified Source Data'!E$3,TimeOfWeek,$D188)</f>
        <v>3397889</v>
      </c>
      <c r="F188" s="25">
        <f>SUMIFS(INDEX(Load,,MATCH('Summarized Modified Source Data'!$B188,Hour,0)),Season,'Summarized Modified Source Data'!$A188,Sector,'Summarized Modified Source Data'!F$2,Subsector,'Summarized Modified Source Data'!F$3,TimeOfWeek,$D188)</f>
        <v>21747631</v>
      </c>
      <c r="G188" s="25">
        <f>SUMIFS(INDEX(Load,,MATCH('Summarized Modified Source Data'!$B188,Hour,0)),Season,'Summarized Modified Source Data'!$A188,Sector,'Summarized Modified Source Data'!G$2,Subsector,'Summarized Modified Source Data'!G$3,TimeOfWeek,$D188)</f>
        <v>0</v>
      </c>
      <c r="H188" s="25">
        <f>SUMIFS(INDEX(Load,,MATCH('Summarized Modified Source Data'!$B188,Hour,0)),Season,'Summarized Modified Source Data'!$A188,Sector,'Summarized Modified Source Data'!H$2,Subsector,'Summarized Modified Source Data'!H$3,TimeOfWeek,$D188)</f>
        <v>18403626</v>
      </c>
      <c r="I188" s="25">
        <f>SUMIFS(INDEX(Load,,MATCH('Summarized Modified Source Data'!$B188,Hour,0)),Season,'Summarized Modified Source Data'!$A188,Sector,'Summarized Modified Source Data'!I$2,Subsector,'Summarized Modified Source Data'!I$3,TimeOfWeek,$D188)</f>
        <v>14764006</v>
      </c>
      <c r="J188" s="25">
        <f t="shared" si="6"/>
        <v>14764006</v>
      </c>
      <c r="K188" s="25">
        <f>SUMIFS(INDEX(Load,,MATCH('Summarized Modified Source Data'!$B188,Hour,0)),Season,'Summarized Modified Source Data'!$A188,Sector,'Summarized Modified Source Data'!K$2,Subsector,'Summarized Modified Source Data'!K$3,TimeOfWeek,$D188)</f>
        <v>3999463</v>
      </c>
      <c r="L188" s="25">
        <f>SUMIFS(INDEX(Load,,MATCH('Summarized Modified Source Data'!$B188,Hour,0)),Season,'Summarized Modified Source Data'!$A188,Sector,'Summarized Modified Source Data'!L$2,Subsector,'Summarized Modified Source Data'!L$3,TimeOfWeek,$D188)</f>
        <v>60388332</v>
      </c>
      <c r="M188" s="25">
        <f>SUMIFS(INDEX(Load,,MATCH('Summarized Modified Source Data'!$B188,Hour,0)),Season,'Summarized Modified Source Data'!$A188,Sector,'Summarized Modified Source Data'!M$2,Subsector,'Summarized Modified Source Data'!M$3,TimeOfWeek,$D188)</f>
        <v>0</v>
      </c>
      <c r="N188" s="25">
        <f t="shared" si="7"/>
        <v>204612205</v>
      </c>
      <c r="O188" s="25">
        <f>SUMIFS(INDEX(Load,,MATCH('Summarized Modified Source Data'!$B188,Hour,0)),Season,'Summarized Modified Source Data'!$A188,Sector,'Summarized Modified Source Data'!O$2,Subsector,"Total",TimeOfWeek,$D188)-SUM(K188:M188)</f>
        <v>204612205</v>
      </c>
      <c r="P188" s="25">
        <f t="shared" si="8"/>
        <v>204612205</v>
      </c>
      <c r="Q188" s="33" cm="1">
        <f t="array" ref="Q188">SUMIFS(INDEX(Load,,MATCH('Summarized Modified Source Data'!$B188,Hour,0)),Season,'Summarized Modified Source Data'!$A188,Sector,'Summarized Modified Source Data'!Q$2,TimeOfWeek,$D188)*LDVs</f>
        <v>3441556.5493884319</v>
      </c>
      <c r="R188" s="33" cm="1">
        <f t="array" ref="R188">SUMIFS(INDEX(Load,,MATCH('Summarized Modified Source Data'!$B188,Hour,0)),Season,'Summarized Modified Source Data'!$A188,Sector,'Summarized Modified Source Data'!R$2,TimeOfWeek,$D188)*HDVs</f>
        <v>1621681.6370798028</v>
      </c>
      <c r="S188" s="33">
        <f>SUMIFS(INDEX(Load,,MATCH('Summarized Modified Source Data'!$B188,Hour,0)),Season,'Summarized Modified Source Data'!$A188,Sector,'Summarized Modified Source Data'!S$2,TimeOfWeek,$D188)*Aircraft</f>
        <v>0</v>
      </c>
      <c r="T188" s="33">
        <f>SUMIFS(INDEX(Load,,MATCH('Summarized Modified Source Data'!$B188,Hour,0)),Season,'Summarized Modified Source Data'!$A188,Sector,'Summarized Modified Source Data'!T$2,TimeOfWeek,$D188)*Rail</f>
        <v>7060284.8135317648</v>
      </c>
      <c r="U188" s="33">
        <f>SUMIFS(INDEX(Load,,MATCH('Summarized Modified Source Data'!$B188,Hour,0)),Season,'Summarized Modified Source Data'!$A188,Sector,'Summarized Modified Source Data'!U$2,TimeOfWeek,$D188)*Ships</f>
        <v>0</v>
      </c>
      <c r="V188" s="33">
        <f>SUMIFS(INDEX(Load,,MATCH('Summarized Modified Source Data'!$B188,Hour,0)),Season,'Summarized Modified Source Data'!$A188,Sector,'Summarized Modified Source Data'!V$2,TimeOfWeek,$D188)*Motorbikes</f>
        <v>0</v>
      </c>
      <c r="W188" s="25">
        <f>SUMIFS(INDEX(Load,,MATCH('Summarized Modified Source Data'!$B188,Hour,0)),Season,'Summarized Modified Source Data'!$A188,Sector,'Summarized Modified Source Data'!W$2,Subsector,'Summarized Modified Source Data'!W$3,TimeOfWeek,$D188)</f>
        <v>706000000</v>
      </c>
      <c r="X188" s="25">
        <f>SUMIFS(INDEX(Load,,MATCH('Summarized Modified Source Data'!$B188,Hour,0)),Season,'Summarized Modified Source Data'!$A188,Sector,'Summarized Modified Source Data'!X$2,Subsector,'Summarized Modified Source Data'!X$3,TimeOfWeek,$D188)</f>
        <v>0</v>
      </c>
      <c r="Y188" s="25">
        <f>SUMIFS(INDEX(Load,,MATCH('Summarized Modified Source Data'!$B188,Hour,0)),Season,'Summarized Modified Source Data'!$A188,Sector,'Summarized Modified Source Data'!Y$2,Subsector,'Summarized Modified Source Data'!Y$3,TimeOfWeek,$D188)</f>
        <v>0</v>
      </c>
    </row>
    <row r="189" spans="1:25" outlineLevel="1" x14ac:dyDescent="0.25">
      <c r="A189" t="s">
        <v>40</v>
      </c>
      <c r="B189" t="s">
        <v>164</v>
      </c>
      <c r="C189" s="7" t="s">
        <v>16</v>
      </c>
      <c r="D189" t="s">
        <v>114</v>
      </c>
      <c r="E189" s="25">
        <f>SUMIFS(INDEX(Load,,MATCH('Summarized Modified Source Data'!$B189,Hour,0)),Season,'Summarized Modified Source Data'!$A189,Sector,'Summarized Modified Source Data'!E$2,Subsector,'Summarized Modified Source Data'!E$3,TimeOfWeek,$D189)</f>
        <v>3505017</v>
      </c>
      <c r="F189" s="25">
        <f>SUMIFS(INDEX(Load,,MATCH('Summarized Modified Source Data'!$B189,Hour,0)),Season,'Summarized Modified Source Data'!$A189,Sector,'Summarized Modified Source Data'!F$2,Subsector,'Summarized Modified Source Data'!F$3,TimeOfWeek,$D189)</f>
        <v>19695854</v>
      </c>
      <c r="G189" s="25">
        <f>SUMIFS(INDEX(Load,,MATCH('Summarized Modified Source Data'!$B189,Hour,0)),Season,'Summarized Modified Source Data'!$A189,Sector,'Summarized Modified Source Data'!G$2,Subsector,'Summarized Modified Source Data'!G$3,TimeOfWeek,$D189)</f>
        <v>0</v>
      </c>
      <c r="H189" s="25">
        <f>SUMIFS(INDEX(Load,,MATCH('Summarized Modified Source Data'!$B189,Hour,0)),Season,'Summarized Modified Source Data'!$A189,Sector,'Summarized Modified Source Data'!H$2,Subsector,'Summarized Modified Source Data'!H$3,TimeOfWeek,$D189)</f>
        <v>46400000</v>
      </c>
      <c r="I189" s="25">
        <f>SUMIFS(INDEX(Load,,MATCH('Summarized Modified Source Data'!$B189,Hour,0)),Season,'Summarized Modified Source Data'!$A189,Sector,'Summarized Modified Source Data'!I$2,Subsector,'Summarized Modified Source Data'!I$3,TimeOfWeek,$D189)</f>
        <v>16946977</v>
      </c>
      <c r="J189" s="25">
        <f t="shared" si="6"/>
        <v>16946977</v>
      </c>
      <c r="K189" s="25">
        <f>SUMIFS(INDEX(Load,,MATCH('Summarized Modified Source Data'!$B189,Hour,0)),Season,'Summarized Modified Source Data'!$A189,Sector,'Summarized Modified Source Data'!K$2,Subsector,'Summarized Modified Source Data'!K$3,TimeOfWeek,$D189)</f>
        <v>4617640</v>
      </c>
      <c r="L189" s="25">
        <f>SUMIFS(INDEX(Load,,MATCH('Summarized Modified Source Data'!$B189,Hour,0)),Season,'Summarized Modified Source Data'!$A189,Sector,'Summarized Modified Source Data'!L$2,Subsector,'Summarized Modified Source Data'!L$3,TimeOfWeek,$D189)</f>
        <v>56505347</v>
      </c>
      <c r="M189" s="25">
        <f>SUMIFS(INDEX(Load,,MATCH('Summarized Modified Source Data'!$B189,Hour,0)),Season,'Summarized Modified Source Data'!$A189,Sector,'Summarized Modified Source Data'!M$2,Subsector,'Summarized Modified Source Data'!M$3,TimeOfWeek,$D189)</f>
        <v>0</v>
      </c>
      <c r="N189" s="25">
        <f t="shared" si="7"/>
        <v>206877013</v>
      </c>
      <c r="O189" s="25">
        <f>SUMIFS(INDEX(Load,,MATCH('Summarized Modified Source Data'!$B189,Hour,0)),Season,'Summarized Modified Source Data'!$A189,Sector,'Summarized Modified Source Data'!O$2,Subsector,"Total",TimeOfWeek,$D189)-SUM(K189:M189)</f>
        <v>206877013</v>
      </c>
      <c r="P189" s="25">
        <f t="shared" si="8"/>
        <v>206877013</v>
      </c>
      <c r="Q189" s="33" cm="1">
        <f t="array" ref="Q189">SUMIFS(INDEX(Load,,MATCH('Summarized Modified Source Data'!$B189,Hour,0)),Season,'Summarized Modified Source Data'!$A189,Sector,'Summarized Modified Source Data'!Q$2,TimeOfWeek,$D189)*LDVs</f>
        <v>3444881.0012618592</v>
      </c>
      <c r="R189" s="33" cm="1">
        <f t="array" ref="R189">SUMIFS(INDEX(Load,,MATCH('Summarized Modified Source Data'!$B189,Hour,0)),Season,'Summarized Modified Source Data'!$A189,Sector,'Summarized Modified Source Data'!R$2,TimeOfWeek,$D189)*HDVs</f>
        <v>1623248.1383065372</v>
      </c>
      <c r="S189" s="33">
        <f>SUMIFS(INDEX(Load,,MATCH('Summarized Modified Source Data'!$B189,Hour,0)),Season,'Summarized Modified Source Data'!$A189,Sector,'Summarized Modified Source Data'!S$2,TimeOfWeek,$D189)*Aircraft</f>
        <v>0</v>
      </c>
      <c r="T189" s="33">
        <f>SUMIFS(INDEX(Load,,MATCH('Summarized Modified Source Data'!$B189,Hour,0)),Season,'Summarized Modified Source Data'!$A189,Sector,'Summarized Modified Source Data'!T$2,TimeOfWeek,$D189)*Rail</f>
        <v>7067104.8604316041</v>
      </c>
      <c r="U189" s="33">
        <f>SUMIFS(INDEX(Load,,MATCH('Summarized Modified Source Data'!$B189,Hour,0)),Season,'Summarized Modified Source Data'!$A189,Sector,'Summarized Modified Source Data'!U$2,TimeOfWeek,$D189)*Ships</f>
        <v>0</v>
      </c>
      <c r="V189" s="33">
        <f>SUMIFS(INDEX(Load,,MATCH('Summarized Modified Source Data'!$B189,Hour,0)),Season,'Summarized Modified Source Data'!$A189,Sector,'Summarized Modified Source Data'!V$2,TimeOfWeek,$D189)*Motorbikes</f>
        <v>0</v>
      </c>
      <c r="W189" s="25">
        <f>SUMIFS(INDEX(Load,,MATCH('Summarized Modified Source Data'!$B189,Hour,0)),Season,'Summarized Modified Source Data'!$A189,Sector,'Summarized Modified Source Data'!W$2,Subsector,'Summarized Modified Source Data'!W$3,TimeOfWeek,$D189)</f>
        <v>708000000</v>
      </c>
      <c r="X189" s="25">
        <f>SUMIFS(INDEX(Load,,MATCH('Summarized Modified Source Data'!$B189,Hour,0)),Season,'Summarized Modified Source Data'!$A189,Sector,'Summarized Modified Source Data'!X$2,Subsector,'Summarized Modified Source Data'!X$3,TimeOfWeek,$D189)</f>
        <v>0</v>
      </c>
      <c r="Y189" s="25">
        <f>SUMIFS(INDEX(Load,,MATCH('Summarized Modified Source Data'!$B189,Hour,0)),Season,'Summarized Modified Source Data'!$A189,Sector,'Summarized Modified Source Data'!Y$2,Subsector,'Summarized Modified Source Data'!Y$3,TimeOfWeek,$D189)</f>
        <v>0</v>
      </c>
    </row>
    <row r="190" spans="1:25" outlineLevel="1" x14ac:dyDescent="0.25">
      <c r="A190" t="s">
        <v>40</v>
      </c>
      <c r="B190" t="s">
        <v>165</v>
      </c>
      <c r="C190" s="7" t="s">
        <v>17</v>
      </c>
      <c r="D190" t="s">
        <v>114</v>
      </c>
      <c r="E190" s="25">
        <f>SUMIFS(INDEX(Load,,MATCH('Summarized Modified Source Data'!$B190,Hour,0)),Season,'Summarized Modified Source Data'!$A190,Sector,'Summarized Modified Source Data'!E$2,Subsector,'Summarized Modified Source Data'!E$3,TimeOfWeek,$D190)</f>
        <v>3632724</v>
      </c>
      <c r="F190" s="25">
        <f>SUMIFS(INDEX(Load,,MATCH('Summarized Modified Source Data'!$B190,Hour,0)),Season,'Summarized Modified Source Data'!$A190,Sector,'Summarized Modified Source Data'!F$2,Subsector,'Summarized Modified Source Data'!F$3,TimeOfWeek,$D190)</f>
        <v>17055474</v>
      </c>
      <c r="G190" s="25">
        <f>SUMIFS(INDEX(Load,,MATCH('Summarized Modified Source Data'!$B190,Hour,0)),Season,'Summarized Modified Source Data'!$A190,Sector,'Summarized Modified Source Data'!G$2,Subsector,'Summarized Modified Source Data'!G$3,TimeOfWeek,$D190)</f>
        <v>0</v>
      </c>
      <c r="H190" s="25">
        <f>SUMIFS(INDEX(Load,,MATCH('Summarized Modified Source Data'!$B190,Hour,0)),Season,'Summarized Modified Source Data'!$A190,Sector,'Summarized Modified Source Data'!H$2,Subsector,'Summarized Modified Source Data'!H$3,TimeOfWeek,$D190)</f>
        <v>60900000</v>
      </c>
      <c r="I190" s="25">
        <f>SUMIFS(INDEX(Load,,MATCH('Summarized Modified Source Data'!$B190,Hour,0)),Season,'Summarized Modified Source Data'!$A190,Sector,'Summarized Modified Source Data'!I$2,Subsector,'Summarized Modified Source Data'!I$3,TimeOfWeek,$D190)</f>
        <v>19329768</v>
      </c>
      <c r="J190" s="25">
        <f t="shared" si="6"/>
        <v>19329768</v>
      </c>
      <c r="K190" s="25">
        <f>SUMIFS(INDEX(Load,,MATCH('Summarized Modified Source Data'!$B190,Hour,0)),Season,'Summarized Modified Source Data'!$A190,Sector,'Summarized Modified Source Data'!K$2,Subsector,'Summarized Modified Source Data'!K$3,TimeOfWeek,$D190)</f>
        <v>4294981</v>
      </c>
      <c r="L190" s="25">
        <f>SUMIFS(INDEX(Load,,MATCH('Summarized Modified Source Data'!$B190,Hour,0)),Season,'Summarized Modified Source Data'!$A190,Sector,'Summarized Modified Source Data'!L$2,Subsector,'Summarized Modified Source Data'!L$3,TimeOfWeek,$D190)</f>
        <v>51847092</v>
      </c>
      <c r="M190" s="25">
        <f>SUMIFS(INDEX(Load,,MATCH('Summarized Modified Source Data'!$B190,Hour,0)),Season,'Summarized Modified Source Data'!$A190,Sector,'Summarized Modified Source Data'!M$2,Subsector,'Summarized Modified Source Data'!M$3,TimeOfWeek,$D190)</f>
        <v>0</v>
      </c>
      <c r="N190" s="25">
        <f t="shared" si="7"/>
        <v>203857927</v>
      </c>
      <c r="O190" s="25">
        <f>SUMIFS(INDEX(Load,,MATCH('Summarized Modified Source Data'!$B190,Hour,0)),Season,'Summarized Modified Source Data'!$A190,Sector,'Summarized Modified Source Data'!O$2,Subsector,"Total",TimeOfWeek,$D190)-SUM(K190:M190)</f>
        <v>203857927</v>
      </c>
      <c r="P190" s="25">
        <f t="shared" si="8"/>
        <v>203857927</v>
      </c>
      <c r="Q190" s="33" cm="1">
        <f t="array" ref="Q190">SUMIFS(INDEX(Load,,MATCH('Summarized Modified Source Data'!$B190,Hour,0)),Season,'Summarized Modified Source Data'!$A190,Sector,'Summarized Modified Source Data'!Q$2,TimeOfWeek,$D190)*LDVs</f>
        <v>3421609.8381478689</v>
      </c>
      <c r="R190" s="33" cm="1">
        <f t="array" ref="R190">SUMIFS(INDEX(Load,,MATCH('Summarized Modified Source Data'!$B190,Hour,0)),Season,'Summarized Modified Source Data'!$A190,Sector,'Summarized Modified Source Data'!R$2,TimeOfWeek,$D190)*HDVs</f>
        <v>1612282.6297193971</v>
      </c>
      <c r="S190" s="33">
        <f>SUMIFS(INDEX(Load,,MATCH('Summarized Modified Source Data'!$B190,Hour,0)),Season,'Summarized Modified Source Data'!$A190,Sector,'Summarized Modified Source Data'!S$2,TimeOfWeek,$D190)*Aircraft</f>
        <v>0</v>
      </c>
      <c r="T190" s="33">
        <f>SUMIFS(INDEX(Load,,MATCH('Summarized Modified Source Data'!$B190,Hour,0)),Season,'Summarized Modified Source Data'!$A190,Sector,'Summarized Modified Source Data'!T$2,TimeOfWeek,$D190)*Rail</f>
        <v>7019364.5321327345</v>
      </c>
      <c r="U190" s="33">
        <f>SUMIFS(INDEX(Load,,MATCH('Summarized Modified Source Data'!$B190,Hour,0)),Season,'Summarized Modified Source Data'!$A190,Sector,'Summarized Modified Source Data'!U$2,TimeOfWeek,$D190)*Ships</f>
        <v>0</v>
      </c>
      <c r="V190" s="33">
        <f>SUMIFS(INDEX(Load,,MATCH('Summarized Modified Source Data'!$B190,Hour,0)),Season,'Summarized Modified Source Data'!$A190,Sector,'Summarized Modified Source Data'!V$2,TimeOfWeek,$D190)*Motorbikes</f>
        <v>0</v>
      </c>
      <c r="W190" s="25">
        <f>SUMIFS(INDEX(Load,,MATCH('Summarized Modified Source Data'!$B190,Hour,0)),Season,'Summarized Modified Source Data'!$A190,Sector,'Summarized Modified Source Data'!W$2,Subsector,'Summarized Modified Source Data'!W$3,TimeOfWeek,$D190)</f>
        <v>706000000</v>
      </c>
      <c r="X190" s="25">
        <f>SUMIFS(INDEX(Load,,MATCH('Summarized Modified Source Data'!$B190,Hour,0)),Season,'Summarized Modified Source Data'!$A190,Sector,'Summarized Modified Source Data'!X$2,Subsector,'Summarized Modified Source Data'!X$3,TimeOfWeek,$D190)</f>
        <v>0</v>
      </c>
      <c r="Y190" s="25">
        <f>SUMIFS(INDEX(Load,,MATCH('Summarized Modified Source Data'!$B190,Hour,0)),Season,'Summarized Modified Source Data'!$A190,Sector,'Summarized Modified Source Data'!Y$2,Subsector,'Summarized Modified Source Data'!Y$3,TimeOfWeek,$D190)</f>
        <v>0</v>
      </c>
    </row>
    <row r="191" spans="1:25" outlineLevel="1" x14ac:dyDescent="0.25">
      <c r="A191" t="s">
        <v>40</v>
      </c>
      <c r="B191" t="s">
        <v>166</v>
      </c>
      <c r="C191" s="7" t="s">
        <v>18</v>
      </c>
      <c r="D191" t="s">
        <v>114</v>
      </c>
      <c r="E191" s="25">
        <f>SUMIFS(INDEX(Load,,MATCH('Summarized Modified Source Data'!$B191,Hour,0)),Season,'Summarized Modified Source Data'!$A191,Sector,'Summarized Modified Source Data'!E$2,Subsector,'Summarized Modified Source Data'!E$3,TimeOfWeek,$D191)</f>
        <v>3746193</v>
      </c>
      <c r="F191" s="25">
        <f>SUMIFS(INDEX(Load,,MATCH('Summarized Modified Source Data'!$B191,Hour,0)),Season,'Summarized Modified Source Data'!$A191,Sector,'Summarized Modified Source Data'!F$2,Subsector,'Summarized Modified Source Data'!F$3,TimeOfWeek,$D191)</f>
        <v>13709005</v>
      </c>
      <c r="G191" s="25">
        <f>SUMIFS(INDEX(Load,,MATCH('Summarized Modified Source Data'!$B191,Hour,0)),Season,'Summarized Modified Source Data'!$A191,Sector,'Summarized Modified Source Data'!G$2,Subsector,'Summarized Modified Source Data'!G$3,TimeOfWeek,$D191)</f>
        <v>0</v>
      </c>
      <c r="H191" s="25">
        <f>SUMIFS(INDEX(Load,,MATCH('Summarized Modified Source Data'!$B191,Hour,0)),Season,'Summarized Modified Source Data'!$A191,Sector,'Summarized Modified Source Data'!H$2,Subsector,'Summarized Modified Source Data'!H$3,TimeOfWeek,$D191)</f>
        <v>63800000</v>
      </c>
      <c r="I191" s="25">
        <f>SUMIFS(INDEX(Load,,MATCH('Summarized Modified Source Data'!$B191,Hour,0)),Season,'Summarized Modified Source Data'!$A191,Sector,'Summarized Modified Source Data'!I$2,Subsector,'Summarized Modified Source Data'!I$3,TimeOfWeek,$D191)</f>
        <v>17603259</v>
      </c>
      <c r="J191" s="25">
        <f t="shared" si="6"/>
        <v>17603259</v>
      </c>
      <c r="K191" s="25">
        <f>SUMIFS(INDEX(Load,,MATCH('Summarized Modified Source Data'!$B191,Hour,0)),Season,'Summarized Modified Source Data'!$A191,Sector,'Summarized Modified Source Data'!K$2,Subsector,'Summarized Modified Source Data'!K$3,TimeOfWeek,$D191)</f>
        <v>4692166</v>
      </c>
      <c r="L191" s="25">
        <f>SUMIFS(INDEX(Load,,MATCH('Summarized Modified Source Data'!$B191,Hour,0)),Season,'Summarized Modified Source Data'!$A191,Sector,'Summarized Modified Source Data'!L$2,Subsector,'Summarized Modified Source Data'!L$3,TimeOfWeek,$D191)</f>
        <v>46313614</v>
      </c>
      <c r="M191" s="25">
        <f>SUMIFS(INDEX(Load,,MATCH('Summarized Modified Source Data'!$B191,Hour,0)),Season,'Summarized Modified Source Data'!$A191,Sector,'Summarized Modified Source Data'!M$2,Subsector,'Summarized Modified Source Data'!M$3,TimeOfWeek,$D191)</f>
        <v>0</v>
      </c>
      <c r="N191" s="25">
        <f t="shared" si="7"/>
        <v>198994220</v>
      </c>
      <c r="O191" s="25">
        <f>SUMIFS(INDEX(Load,,MATCH('Summarized Modified Source Data'!$B191,Hour,0)),Season,'Summarized Modified Source Data'!$A191,Sector,'Summarized Modified Source Data'!O$2,Subsector,"Total",TimeOfWeek,$D191)-SUM(K191:M191)</f>
        <v>198994220</v>
      </c>
      <c r="P191" s="25">
        <f t="shared" si="8"/>
        <v>198994220</v>
      </c>
      <c r="Q191" s="33" cm="1">
        <f t="array" ref="Q191">SUMIFS(INDEX(Load,,MATCH('Summarized Modified Source Data'!$B191,Hour,0)),Season,'Summarized Modified Source Data'!$A191,Sector,'Summarized Modified Source Data'!Q$2,TimeOfWeek,$D191)*LDVs</f>
        <v>3345148.0128076337</v>
      </c>
      <c r="R191" s="33" cm="1">
        <f t="array" ref="R191">SUMIFS(INDEX(Load,,MATCH('Summarized Modified Source Data'!$B191,Hour,0)),Season,'Summarized Modified Source Data'!$A191,Sector,'Summarized Modified Source Data'!R$2,TimeOfWeek,$D191)*HDVs</f>
        <v>1576253.3690309748</v>
      </c>
      <c r="S191" s="33">
        <f>SUMIFS(INDEX(Load,,MATCH('Summarized Modified Source Data'!$B191,Hour,0)),Season,'Summarized Modified Source Data'!$A191,Sector,'Summarized Modified Source Data'!S$2,TimeOfWeek,$D191)*Aircraft</f>
        <v>0</v>
      </c>
      <c r="T191" s="33">
        <f>SUMIFS(INDEX(Load,,MATCH('Summarized Modified Source Data'!$B191,Hour,0)),Season,'Summarized Modified Source Data'!$A191,Sector,'Summarized Modified Source Data'!T$2,TimeOfWeek,$D191)*Rail</f>
        <v>6862504.6181613915</v>
      </c>
      <c r="U191" s="33">
        <f>SUMIFS(INDEX(Load,,MATCH('Summarized Modified Source Data'!$B191,Hour,0)),Season,'Summarized Modified Source Data'!$A191,Sector,'Summarized Modified Source Data'!U$2,TimeOfWeek,$D191)*Ships</f>
        <v>0</v>
      </c>
      <c r="V191" s="33">
        <f>SUMIFS(INDEX(Load,,MATCH('Summarized Modified Source Data'!$B191,Hour,0)),Season,'Summarized Modified Source Data'!$A191,Sector,'Summarized Modified Source Data'!V$2,TimeOfWeek,$D191)*Motorbikes</f>
        <v>0</v>
      </c>
      <c r="W191" s="25">
        <f>SUMIFS(INDEX(Load,,MATCH('Summarized Modified Source Data'!$B191,Hour,0)),Season,'Summarized Modified Source Data'!$A191,Sector,'Summarized Modified Source Data'!W$2,Subsector,'Summarized Modified Source Data'!W$3,TimeOfWeek,$D191)</f>
        <v>702000000</v>
      </c>
      <c r="X191" s="25">
        <f>SUMIFS(INDEX(Load,,MATCH('Summarized Modified Source Data'!$B191,Hour,0)),Season,'Summarized Modified Source Data'!$A191,Sector,'Summarized Modified Source Data'!X$2,Subsector,'Summarized Modified Source Data'!X$3,TimeOfWeek,$D191)</f>
        <v>0</v>
      </c>
      <c r="Y191" s="25">
        <f>SUMIFS(INDEX(Load,,MATCH('Summarized Modified Source Data'!$B191,Hour,0)),Season,'Summarized Modified Source Data'!$A191,Sector,'Summarized Modified Source Data'!Y$2,Subsector,'Summarized Modified Source Data'!Y$3,TimeOfWeek,$D191)</f>
        <v>0</v>
      </c>
    </row>
    <row r="192" spans="1:25" outlineLevel="1" x14ac:dyDescent="0.25">
      <c r="A192" t="s">
        <v>40</v>
      </c>
      <c r="B192" t="s">
        <v>167</v>
      </c>
      <c r="C192" s="7" t="s">
        <v>19</v>
      </c>
      <c r="D192" t="s">
        <v>114</v>
      </c>
      <c r="E192" s="25">
        <f>SUMIFS(INDEX(Load,,MATCH('Summarized Modified Source Data'!$B192,Hour,0)),Season,'Summarized Modified Source Data'!$A192,Sector,'Summarized Modified Source Data'!E$2,Subsector,'Summarized Modified Source Data'!E$3,TimeOfWeek,$D192)</f>
        <v>3732646</v>
      </c>
      <c r="F192" s="25">
        <f>SUMIFS(INDEX(Load,,MATCH('Summarized Modified Source Data'!$B192,Hour,0)),Season,'Summarized Modified Source Data'!$A192,Sector,'Summarized Modified Source Data'!F$2,Subsector,'Summarized Modified Source Data'!F$3,TimeOfWeek,$D192)</f>
        <v>9681542</v>
      </c>
      <c r="G192" s="25">
        <f>SUMIFS(INDEX(Load,,MATCH('Summarized Modified Source Data'!$B192,Hour,0)),Season,'Summarized Modified Source Data'!$A192,Sector,'Summarized Modified Source Data'!G$2,Subsector,'Summarized Modified Source Data'!G$3,TimeOfWeek,$D192)</f>
        <v>0</v>
      </c>
      <c r="H192" s="25">
        <f>SUMIFS(INDEX(Load,,MATCH('Summarized Modified Source Data'!$B192,Hour,0)),Season,'Summarized Modified Source Data'!$A192,Sector,'Summarized Modified Source Data'!H$2,Subsector,'Summarized Modified Source Data'!H$3,TimeOfWeek,$D192)</f>
        <v>63400000</v>
      </c>
      <c r="I192" s="25">
        <f>SUMIFS(INDEX(Load,,MATCH('Summarized Modified Source Data'!$B192,Hour,0)),Season,'Summarized Modified Source Data'!$A192,Sector,'Summarized Modified Source Data'!I$2,Subsector,'Summarized Modified Source Data'!I$3,TimeOfWeek,$D192)</f>
        <v>16437775</v>
      </c>
      <c r="J192" s="25">
        <f t="shared" si="6"/>
        <v>16437775</v>
      </c>
      <c r="K192" s="25">
        <f>SUMIFS(INDEX(Load,,MATCH('Summarized Modified Source Data'!$B192,Hour,0)),Season,'Summarized Modified Source Data'!$A192,Sector,'Summarized Modified Source Data'!K$2,Subsector,'Summarized Modified Source Data'!K$3,TimeOfWeek,$D192)</f>
        <v>5359065</v>
      </c>
      <c r="L192" s="25">
        <f>SUMIFS(INDEX(Load,,MATCH('Summarized Modified Source Data'!$B192,Hour,0)),Season,'Summarized Modified Source Data'!$A192,Sector,'Summarized Modified Source Data'!L$2,Subsector,'Summarized Modified Source Data'!L$3,TimeOfWeek,$D192)</f>
        <v>40890377</v>
      </c>
      <c r="M192" s="25">
        <f>SUMIFS(INDEX(Load,,MATCH('Summarized Modified Source Data'!$B192,Hour,0)),Season,'Summarized Modified Source Data'!$A192,Sector,'Summarized Modified Source Data'!M$2,Subsector,'Summarized Modified Source Data'!M$3,TimeOfWeek,$D192)</f>
        <v>0</v>
      </c>
      <c r="N192" s="25">
        <f t="shared" si="7"/>
        <v>189750558</v>
      </c>
      <c r="O192" s="25">
        <f>SUMIFS(INDEX(Load,,MATCH('Summarized Modified Source Data'!$B192,Hour,0)),Season,'Summarized Modified Source Data'!$A192,Sector,'Summarized Modified Source Data'!O$2,Subsector,"Total",TimeOfWeek,$D192)-SUM(K192:M192)</f>
        <v>189750558</v>
      </c>
      <c r="P192" s="25">
        <f t="shared" si="8"/>
        <v>189750558</v>
      </c>
      <c r="Q192" s="33" cm="1">
        <f t="array" ref="Q192">SUMIFS(INDEX(Load,,MATCH('Summarized Modified Source Data'!$B192,Hour,0)),Season,'Summarized Modified Source Data'!$A192,Sector,'Summarized Modified Source Data'!Q$2,TimeOfWeek,$D192)*LDVs</f>
        <v>3242090.8563542762</v>
      </c>
      <c r="R192" s="33" cm="1">
        <f t="array" ref="R192">SUMIFS(INDEX(Load,,MATCH('Summarized Modified Source Data'!$B192,Hour,0)),Season,'Summarized Modified Source Data'!$A192,Sector,'Summarized Modified Source Data'!R$2,TimeOfWeek,$D192)*HDVs</f>
        <v>1527692.2322919117</v>
      </c>
      <c r="S192" s="33">
        <f>SUMIFS(INDEX(Load,,MATCH('Summarized Modified Source Data'!$B192,Hour,0)),Season,'Summarized Modified Source Data'!$A192,Sector,'Summarized Modified Source Data'!S$2,TimeOfWeek,$D192)*Aircraft</f>
        <v>0</v>
      </c>
      <c r="T192" s="33">
        <f>SUMIFS(INDEX(Load,,MATCH('Summarized Modified Source Data'!$B192,Hour,0)),Season,'Summarized Modified Source Data'!$A192,Sector,'Summarized Modified Source Data'!T$2,TimeOfWeek,$D192)*Rail</f>
        <v>6651084.9113538126</v>
      </c>
      <c r="U192" s="33">
        <f>SUMIFS(INDEX(Load,,MATCH('Summarized Modified Source Data'!$B192,Hour,0)),Season,'Summarized Modified Source Data'!$A192,Sector,'Summarized Modified Source Data'!U$2,TimeOfWeek,$D192)*Ships</f>
        <v>0</v>
      </c>
      <c r="V192" s="33">
        <f>SUMIFS(INDEX(Load,,MATCH('Summarized Modified Source Data'!$B192,Hour,0)),Season,'Summarized Modified Source Data'!$A192,Sector,'Summarized Modified Source Data'!V$2,TimeOfWeek,$D192)*Motorbikes</f>
        <v>0</v>
      </c>
      <c r="W192" s="25">
        <f>SUMIFS(INDEX(Load,,MATCH('Summarized Modified Source Data'!$B192,Hour,0)),Season,'Summarized Modified Source Data'!$A192,Sector,'Summarized Modified Source Data'!W$2,Subsector,'Summarized Modified Source Data'!W$3,TimeOfWeek,$D192)</f>
        <v>698000000</v>
      </c>
      <c r="X192" s="25">
        <f>SUMIFS(INDEX(Load,,MATCH('Summarized Modified Source Data'!$B192,Hour,0)),Season,'Summarized Modified Source Data'!$A192,Sector,'Summarized Modified Source Data'!X$2,Subsector,'Summarized Modified Source Data'!X$3,TimeOfWeek,$D192)</f>
        <v>0</v>
      </c>
      <c r="Y192" s="25">
        <f>SUMIFS(INDEX(Load,,MATCH('Summarized Modified Source Data'!$B192,Hour,0)),Season,'Summarized Modified Source Data'!$A192,Sector,'Summarized Modified Source Data'!Y$2,Subsector,'Summarized Modified Source Data'!Y$3,TimeOfWeek,$D192)</f>
        <v>0</v>
      </c>
    </row>
    <row r="193" spans="1:25" outlineLevel="1" x14ac:dyDescent="0.25">
      <c r="A193" t="s">
        <v>40</v>
      </c>
      <c r="B193" t="s">
        <v>168</v>
      </c>
      <c r="C193" s="7" t="s">
        <v>20</v>
      </c>
      <c r="D193" t="s">
        <v>114</v>
      </c>
      <c r="E193" s="25">
        <f>SUMIFS(INDEX(Load,,MATCH('Summarized Modified Source Data'!$B193,Hour,0)),Season,'Summarized Modified Source Data'!$A193,Sector,'Summarized Modified Source Data'!E$2,Subsector,'Summarized Modified Source Data'!E$3,TimeOfWeek,$D193)</f>
        <v>3300930</v>
      </c>
      <c r="F193" s="25">
        <f>SUMIFS(INDEX(Load,,MATCH('Summarized Modified Source Data'!$B193,Hour,0)),Season,'Summarized Modified Source Data'!$A193,Sector,'Summarized Modified Source Data'!F$2,Subsector,'Summarized Modified Source Data'!F$3,TimeOfWeek,$D193)</f>
        <v>5676593</v>
      </c>
      <c r="G193" s="25">
        <f>SUMIFS(INDEX(Load,,MATCH('Summarized Modified Source Data'!$B193,Hour,0)),Season,'Summarized Modified Source Data'!$A193,Sector,'Summarized Modified Source Data'!G$2,Subsector,'Summarized Modified Source Data'!G$3,TimeOfWeek,$D193)</f>
        <v>0</v>
      </c>
      <c r="H193" s="25">
        <f>SUMIFS(INDEX(Load,,MATCH('Summarized Modified Source Data'!$B193,Hour,0)),Season,'Summarized Modified Source Data'!$A193,Sector,'Summarized Modified Source Data'!H$2,Subsector,'Summarized Modified Source Data'!H$3,TimeOfWeek,$D193)</f>
        <v>52500000</v>
      </c>
      <c r="I193" s="25">
        <f>SUMIFS(INDEX(Load,,MATCH('Summarized Modified Source Data'!$B193,Hour,0)),Season,'Summarized Modified Source Data'!$A193,Sector,'Summarized Modified Source Data'!I$2,Subsector,'Summarized Modified Source Data'!I$3,TimeOfWeek,$D193)</f>
        <v>14367698</v>
      </c>
      <c r="J193" s="25">
        <f t="shared" si="6"/>
        <v>14367698</v>
      </c>
      <c r="K193" s="25">
        <f>SUMIFS(INDEX(Load,,MATCH('Summarized Modified Source Data'!$B193,Hour,0)),Season,'Summarized Modified Source Data'!$A193,Sector,'Summarized Modified Source Data'!K$2,Subsector,'Summarized Modified Source Data'!K$3,TimeOfWeek,$D193)</f>
        <v>5359671</v>
      </c>
      <c r="L193" s="25">
        <f>SUMIFS(INDEX(Load,,MATCH('Summarized Modified Source Data'!$B193,Hour,0)),Season,'Summarized Modified Source Data'!$A193,Sector,'Summarized Modified Source Data'!L$2,Subsector,'Summarized Modified Source Data'!L$3,TimeOfWeek,$D193)</f>
        <v>35767744</v>
      </c>
      <c r="M193" s="25">
        <f>SUMIFS(INDEX(Load,,MATCH('Summarized Modified Source Data'!$B193,Hour,0)),Season,'Summarized Modified Source Data'!$A193,Sector,'Summarized Modified Source Data'!M$2,Subsector,'Summarized Modified Source Data'!M$3,TimeOfWeek,$D193)</f>
        <v>0</v>
      </c>
      <c r="N193" s="25">
        <f t="shared" si="7"/>
        <v>177072585</v>
      </c>
      <c r="O193" s="25">
        <f>SUMIFS(INDEX(Load,,MATCH('Summarized Modified Source Data'!$B193,Hour,0)),Season,'Summarized Modified Source Data'!$A193,Sector,'Summarized Modified Source Data'!O$2,Subsector,"Total",TimeOfWeek,$D193)-SUM(K193:M193)</f>
        <v>177072585</v>
      </c>
      <c r="P193" s="25">
        <f t="shared" si="8"/>
        <v>177072585</v>
      </c>
      <c r="Q193" s="33" cm="1">
        <f t="array" ref="Q193">SUMIFS(INDEX(Load,,MATCH('Summarized Modified Source Data'!$B193,Hour,0)),Season,'Summarized Modified Source Data'!$A193,Sector,'Summarized Modified Source Data'!Q$2,TimeOfWeek,$D193)*LDVs</f>
        <v>3125735.8924072096</v>
      </c>
      <c r="R193" s="33" cm="1">
        <f t="array" ref="R193">SUMIFS(INDEX(Load,,MATCH('Summarized Modified Source Data'!$B193,Hour,0)),Season,'Summarized Modified Source Data'!$A193,Sector,'Summarized Modified Source Data'!R$2,TimeOfWeek,$D193)*HDVs</f>
        <v>1472865.0906459112</v>
      </c>
      <c r="S193" s="33">
        <f>SUMIFS(INDEX(Load,,MATCH('Summarized Modified Source Data'!$B193,Hour,0)),Season,'Summarized Modified Source Data'!$A193,Sector,'Summarized Modified Source Data'!S$2,TimeOfWeek,$D193)*Aircraft</f>
        <v>0</v>
      </c>
      <c r="T193" s="33">
        <f>SUMIFS(INDEX(Load,,MATCH('Summarized Modified Source Data'!$B193,Hour,0)),Season,'Summarized Modified Source Data'!$A193,Sector,'Summarized Modified Source Data'!T$2,TimeOfWeek,$D193)*Rail</f>
        <v>6412385.0169468792</v>
      </c>
      <c r="U193" s="33">
        <f>SUMIFS(INDEX(Load,,MATCH('Summarized Modified Source Data'!$B193,Hour,0)),Season,'Summarized Modified Source Data'!$A193,Sector,'Summarized Modified Source Data'!U$2,TimeOfWeek,$D193)*Ships</f>
        <v>0</v>
      </c>
      <c r="V193" s="33">
        <f>SUMIFS(INDEX(Load,,MATCH('Summarized Modified Source Data'!$B193,Hour,0)),Season,'Summarized Modified Source Data'!$A193,Sector,'Summarized Modified Source Data'!V$2,TimeOfWeek,$D193)*Motorbikes</f>
        <v>0</v>
      </c>
      <c r="W193" s="25">
        <f>SUMIFS(INDEX(Load,,MATCH('Summarized Modified Source Data'!$B193,Hour,0)),Season,'Summarized Modified Source Data'!$A193,Sector,'Summarized Modified Source Data'!W$2,Subsector,'Summarized Modified Source Data'!W$3,TimeOfWeek,$D193)</f>
        <v>690000000</v>
      </c>
      <c r="X193" s="25">
        <f>SUMIFS(INDEX(Load,,MATCH('Summarized Modified Source Data'!$B193,Hour,0)),Season,'Summarized Modified Source Data'!$A193,Sector,'Summarized Modified Source Data'!X$2,Subsector,'Summarized Modified Source Data'!X$3,TimeOfWeek,$D193)</f>
        <v>0</v>
      </c>
      <c r="Y193" s="25">
        <f>SUMIFS(INDEX(Load,,MATCH('Summarized Modified Source Data'!$B193,Hour,0)),Season,'Summarized Modified Source Data'!$A193,Sector,'Summarized Modified Source Data'!Y$2,Subsector,'Summarized Modified Source Data'!Y$3,TimeOfWeek,$D193)</f>
        <v>0</v>
      </c>
    </row>
    <row r="194" spans="1:25" outlineLevel="1" x14ac:dyDescent="0.25">
      <c r="A194" t="s">
        <v>40</v>
      </c>
      <c r="B194" t="s">
        <v>169</v>
      </c>
      <c r="C194" s="7" t="s">
        <v>21</v>
      </c>
      <c r="D194" t="s">
        <v>114</v>
      </c>
      <c r="E194" s="25">
        <f>SUMIFS(INDEX(Load,,MATCH('Summarized Modified Source Data'!$B194,Hour,0)),Season,'Summarized Modified Source Data'!$A194,Sector,'Summarized Modified Source Data'!E$2,Subsector,'Summarized Modified Source Data'!E$3,TimeOfWeek,$D194)</f>
        <v>2568531</v>
      </c>
      <c r="F194" s="25">
        <f>SUMIFS(INDEX(Load,,MATCH('Summarized Modified Source Data'!$B194,Hour,0)),Season,'Summarized Modified Source Data'!$A194,Sector,'Summarized Modified Source Data'!F$2,Subsector,'Summarized Modified Source Data'!F$3,TimeOfWeek,$D194)</f>
        <v>2748614</v>
      </c>
      <c r="G194" s="25">
        <f>SUMIFS(INDEX(Load,,MATCH('Summarized Modified Source Data'!$B194,Hour,0)),Season,'Summarized Modified Source Data'!$A194,Sector,'Summarized Modified Source Data'!G$2,Subsector,'Summarized Modified Source Data'!G$3,TimeOfWeek,$D194)</f>
        <v>0</v>
      </c>
      <c r="H194" s="25">
        <f>SUMIFS(INDEX(Load,,MATCH('Summarized Modified Source Data'!$B194,Hour,0)),Season,'Summarized Modified Source Data'!$A194,Sector,'Summarized Modified Source Data'!H$2,Subsector,'Summarized Modified Source Data'!H$3,TimeOfWeek,$D194)</f>
        <v>33800000</v>
      </c>
      <c r="I194" s="25">
        <f>SUMIFS(INDEX(Load,,MATCH('Summarized Modified Source Data'!$B194,Hour,0)),Season,'Summarized Modified Source Data'!$A194,Sector,'Summarized Modified Source Data'!I$2,Subsector,'Summarized Modified Source Data'!I$3,TimeOfWeek,$D194)</f>
        <v>12477832</v>
      </c>
      <c r="J194" s="25">
        <f t="shared" si="6"/>
        <v>12477832</v>
      </c>
      <c r="K194" s="25">
        <f>SUMIFS(INDEX(Load,,MATCH('Summarized Modified Source Data'!$B194,Hour,0)),Season,'Summarized Modified Source Data'!$A194,Sector,'Summarized Modified Source Data'!K$2,Subsector,'Summarized Modified Source Data'!K$3,TimeOfWeek,$D194)</f>
        <v>4660956</v>
      </c>
      <c r="L194" s="25">
        <f>SUMIFS(INDEX(Load,,MATCH('Summarized Modified Source Data'!$B194,Hour,0)),Season,'Summarized Modified Source Data'!$A194,Sector,'Summarized Modified Source Data'!L$2,Subsector,'Summarized Modified Source Data'!L$3,TimeOfWeek,$D194)</f>
        <v>31940684</v>
      </c>
      <c r="M194" s="25">
        <f>SUMIFS(INDEX(Load,,MATCH('Summarized Modified Source Data'!$B194,Hour,0)),Season,'Summarized Modified Source Data'!$A194,Sector,'Summarized Modified Source Data'!M$2,Subsector,'Summarized Modified Source Data'!M$3,TimeOfWeek,$D194)</f>
        <v>0</v>
      </c>
      <c r="N194" s="25">
        <f t="shared" si="7"/>
        <v>168498360</v>
      </c>
      <c r="O194" s="25">
        <f>SUMIFS(INDEX(Load,,MATCH('Summarized Modified Source Data'!$B194,Hour,0)),Season,'Summarized Modified Source Data'!$A194,Sector,'Summarized Modified Source Data'!O$2,Subsector,"Total",TimeOfWeek,$D194)-SUM(K194:M194)</f>
        <v>168498360</v>
      </c>
      <c r="P194" s="25">
        <f t="shared" si="8"/>
        <v>168498360</v>
      </c>
      <c r="Q194" s="33" cm="1">
        <f t="array" ref="Q194">SUMIFS(INDEX(Load,,MATCH('Summarized Modified Source Data'!$B194,Hour,0)),Season,'Summarized Modified Source Data'!$A194,Sector,'Summarized Modified Source Data'!Q$2,TimeOfWeek,$D194)*LDVs</f>
        <v>3085842.7538003786</v>
      </c>
      <c r="R194" s="33" cm="1">
        <f t="array" ref="R194">SUMIFS(INDEX(Load,,MATCH('Summarized Modified Source Data'!$B194,Hour,0)),Season,'Summarized Modified Source Data'!$A194,Sector,'Summarized Modified Source Data'!R$2,TimeOfWeek,$D194)*HDVs</f>
        <v>1454067.2096883331</v>
      </c>
      <c r="S194" s="33">
        <f>SUMIFS(INDEX(Load,,MATCH('Summarized Modified Source Data'!$B194,Hour,0)),Season,'Summarized Modified Source Data'!$A194,Sector,'Summarized Modified Source Data'!S$2,TimeOfWeek,$D194)*Aircraft</f>
        <v>0</v>
      </c>
      <c r="T194" s="33">
        <f>SUMIFS(INDEX(Load,,MATCH('Summarized Modified Source Data'!$B194,Hour,0)),Season,'Summarized Modified Source Data'!$A194,Sector,'Summarized Modified Source Data'!T$2,TimeOfWeek,$D194)*Rail</f>
        <v>6330545.036511288</v>
      </c>
      <c r="U194" s="33">
        <f>SUMIFS(INDEX(Load,,MATCH('Summarized Modified Source Data'!$B194,Hour,0)),Season,'Summarized Modified Source Data'!$A194,Sector,'Summarized Modified Source Data'!U$2,TimeOfWeek,$D194)*Ships</f>
        <v>0</v>
      </c>
      <c r="V194" s="33">
        <f>SUMIFS(INDEX(Load,,MATCH('Summarized Modified Source Data'!$B194,Hour,0)),Season,'Summarized Modified Source Data'!$A194,Sector,'Summarized Modified Source Data'!V$2,TimeOfWeek,$D194)*Motorbikes</f>
        <v>0</v>
      </c>
      <c r="W194" s="25">
        <f>SUMIFS(INDEX(Load,,MATCH('Summarized Modified Source Data'!$B194,Hour,0)),Season,'Summarized Modified Source Data'!$A194,Sector,'Summarized Modified Source Data'!W$2,Subsector,'Summarized Modified Source Data'!W$3,TimeOfWeek,$D194)</f>
        <v>684000000</v>
      </c>
      <c r="X194" s="25">
        <f>SUMIFS(INDEX(Load,,MATCH('Summarized Modified Source Data'!$B194,Hour,0)),Season,'Summarized Modified Source Data'!$A194,Sector,'Summarized Modified Source Data'!X$2,Subsector,'Summarized Modified Source Data'!X$3,TimeOfWeek,$D194)</f>
        <v>0</v>
      </c>
      <c r="Y194" s="25">
        <f>SUMIFS(INDEX(Load,,MATCH('Summarized Modified Source Data'!$B194,Hour,0)),Season,'Summarized Modified Source Data'!$A194,Sector,'Summarized Modified Source Data'!Y$2,Subsector,'Summarized Modified Source Data'!Y$3,TimeOfWeek,$D194)</f>
        <v>0</v>
      </c>
    </row>
    <row r="195" spans="1:25" outlineLevel="1" x14ac:dyDescent="0.25">
      <c r="A195" t="s">
        <v>40</v>
      </c>
      <c r="B195" t="s">
        <v>170</v>
      </c>
      <c r="C195" s="7" t="s">
        <v>22</v>
      </c>
      <c r="D195" t="s">
        <v>114</v>
      </c>
      <c r="E195" s="25">
        <f>SUMIFS(INDEX(Load,,MATCH('Summarized Modified Source Data'!$B195,Hour,0)),Season,'Summarized Modified Source Data'!$A195,Sector,'Summarized Modified Source Data'!E$2,Subsector,'Summarized Modified Source Data'!E$3,TimeOfWeek,$D195)</f>
        <v>2202849</v>
      </c>
      <c r="F195" s="25">
        <f>SUMIFS(INDEX(Load,,MATCH('Summarized Modified Source Data'!$B195,Hour,0)),Season,'Summarized Modified Source Data'!$A195,Sector,'Summarized Modified Source Data'!F$2,Subsector,'Summarized Modified Source Data'!F$3,TimeOfWeek,$D195)</f>
        <v>1504793</v>
      </c>
      <c r="G195" s="25">
        <f>SUMIFS(INDEX(Load,,MATCH('Summarized Modified Source Data'!$B195,Hour,0)),Season,'Summarized Modified Source Data'!$A195,Sector,'Summarized Modified Source Data'!G$2,Subsector,'Summarized Modified Source Data'!G$3,TimeOfWeek,$D195)</f>
        <v>0</v>
      </c>
      <c r="H195" s="25">
        <f>SUMIFS(INDEX(Load,,MATCH('Summarized Modified Source Data'!$B195,Hour,0)),Season,'Summarized Modified Source Data'!$A195,Sector,'Summarized Modified Source Data'!H$2,Subsector,'Summarized Modified Source Data'!H$3,TimeOfWeek,$D195)</f>
        <v>18912888</v>
      </c>
      <c r="I195" s="25">
        <f>SUMIFS(INDEX(Load,,MATCH('Summarized Modified Source Data'!$B195,Hour,0)),Season,'Summarized Modified Source Data'!$A195,Sector,'Summarized Modified Source Data'!I$2,Subsector,'Summarized Modified Source Data'!I$3,TimeOfWeek,$D195)</f>
        <v>9502766</v>
      </c>
      <c r="J195" s="25">
        <f t="shared" si="6"/>
        <v>9502766</v>
      </c>
      <c r="K195" s="25">
        <f>SUMIFS(INDEX(Load,,MATCH('Summarized Modified Source Data'!$B195,Hour,0)),Season,'Summarized Modified Source Data'!$A195,Sector,'Summarized Modified Source Data'!K$2,Subsector,'Summarized Modified Source Data'!K$3,TimeOfWeek,$D195)</f>
        <v>4884311</v>
      </c>
      <c r="L195" s="25">
        <f>SUMIFS(INDEX(Load,,MATCH('Summarized Modified Source Data'!$B195,Hour,0)),Season,'Summarized Modified Source Data'!$A195,Sector,'Summarized Modified Source Data'!L$2,Subsector,'Summarized Modified Source Data'!L$3,TimeOfWeek,$D195)</f>
        <v>29303720</v>
      </c>
      <c r="M195" s="25">
        <f>SUMIFS(INDEX(Load,,MATCH('Summarized Modified Source Data'!$B195,Hour,0)),Season,'Summarized Modified Source Data'!$A195,Sector,'Summarized Modified Source Data'!M$2,Subsector,'Summarized Modified Source Data'!M$3,TimeOfWeek,$D195)</f>
        <v>0</v>
      </c>
      <c r="N195" s="25">
        <f t="shared" si="7"/>
        <v>153911969</v>
      </c>
      <c r="O195" s="25">
        <f>SUMIFS(INDEX(Load,,MATCH('Summarized Modified Source Data'!$B195,Hour,0)),Season,'Summarized Modified Source Data'!$A195,Sector,'Summarized Modified Source Data'!O$2,Subsector,"Total",TimeOfWeek,$D195)-SUM(K195:M195)</f>
        <v>153911969</v>
      </c>
      <c r="P195" s="25">
        <f t="shared" si="8"/>
        <v>153911969</v>
      </c>
      <c r="Q195" s="33" cm="1">
        <f t="array" ref="Q195">SUMIFS(INDEX(Load,,MATCH('Summarized Modified Source Data'!$B195,Hour,0)),Season,'Summarized Modified Source Data'!$A195,Sector,'Summarized Modified Source Data'!Q$2,TimeOfWeek,$D195)*LDVs</f>
        <v>2073804.774264867</v>
      </c>
      <c r="R195" s="33" cm="1">
        <f t="array" ref="R195">SUMIFS(INDEX(Load,,MATCH('Summarized Modified Source Data'!$B195,Hour,0)),Season,'Summarized Modified Source Data'!$A195,Sector,'Summarized Modified Source Data'!R$2,TimeOfWeek,$D195)*HDVs</f>
        <v>977188.97628207738</v>
      </c>
      <c r="S195" s="33">
        <f>SUMIFS(INDEX(Load,,MATCH('Summarized Modified Source Data'!$B195,Hour,0)),Season,'Summarized Modified Source Data'!$A195,Sector,'Summarized Modified Source Data'!S$2,TimeOfWeek,$D195)*Aircraft</f>
        <v>0</v>
      </c>
      <c r="T195" s="33">
        <f>SUMIFS(INDEX(Load,,MATCH('Summarized Modified Source Data'!$B195,Hour,0)),Season,'Summarized Modified Source Data'!$A195,Sector,'Summarized Modified Source Data'!T$2,TimeOfWeek,$D195)*Rail</f>
        <v>4254369.2494530557</v>
      </c>
      <c r="U195" s="33">
        <f>SUMIFS(INDEX(Load,,MATCH('Summarized Modified Source Data'!$B195,Hour,0)),Season,'Summarized Modified Source Data'!$A195,Sector,'Summarized Modified Source Data'!U$2,TimeOfWeek,$D195)*Ships</f>
        <v>0</v>
      </c>
      <c r="V195" s="33">
        <f>SUMIFS(INDEX(Load,,MATCH('Summarized Modified Source Data'!$B195,Hour,0)),Season,'Summarized Modified Source Data'!$A195,Sector,'Summarized Modified Source Data'!V$2,TimeOfWeek,$D195)*Motorbikes</f>
        <v>0</v>
      </c>
      <c r="W195" s="25">
        <f>SUMIFS(INDEX(Load,,MATCH('Summarized Modified Source Data'!$B195,Hour,0)),Season,'Summarized Modified Source Data'!$A195,Sector,'Summarized Modified Source Data'!W$2,Subsector,'Summarized Modified Source Data'!W$3,TimeOfWeek,$D195)</f>
        <v>682000000</v>
      </c>
      <c r="X195" s="25">
        <f>SUMIFS(INDEX(Load,,MATCH('Summarized Modified Source Data'!$B195,Hour,0)),Season,'Summarized Modified Source Data'!$A195,Sector,'Summarized Modified Source Data'!X$2,Subsector,'Summarized Modified Source Data'!X$3,TimeOfWeek,$D195)</f>
        <v>0</v>
      </c>
      <c r="Y195" s="25">
        <f>SUMIFS(INDEX(Load,,MATCH('Summarized Modified Source Data'!$B195,Hour,0)),Season,'Summarized Modified Source Data'!$A195,Sector,'Summarized Modified Source Data'!Y$2,Subsector,'Summarized Modified Source Data'!Y$3,TimeOfWeek,$D195)</f>
        <v>0</v>
      </c>
    </row>
    <row r="196" spans="1:25" outlineLevel="1" x14ac:dyDescent="0.25">
      <c r="E196" s="25"/>
      <c r="F196" s="25"/>
      <c r="G196" s="25"/>
      <c r="H196" s="25"/>
      <c r="I196" s="25"/>
      <c r="J196" s="25"/>
      <c r="K196" s="25"/>
      <c r="L196" s="25"/>
      <c r="M196" s="25"/>
      <c r="N196" s="25"/>
      <c r="O196" s="25"/>
      <c r="P196" s="25"/>
      <c r="Q196" s="25"/>
      <c r="R196" s="25"/>
      <c r="S196" s="25"/>
      <c r="T196" s="25"/>
      <c r="U196" s="25"/>
      <c r="V196" s="25"/>
      <c r="W196" s="25"/>
      <c r="X196" s="25"/>
      <c r="Y196" s="25"/>
    </row>
    <row r="197" spans="1:25" x14ac:dyDescent="0.25">
      <c r="E197" s="25"/>
      <c r="F197" s="25"/>
      <c r="G197" s="25"/>
      <c r="H197" s="25"/>
      <c r="I197" s="25"/>
      <c r="J197" s="25"/>
      <c r="K197" s="25"/>
      <c r="L197" s="25"/>
      <c r="M197" s="25"/>
      <c r="N197" s="25"/>
      <c r="O197" s="25"/>
      <c r="P197" s="25"/>
      <c r="Q197" s="25"/>
      <c r="R197" s="25"/>
      <c r="S197" s="25"/>
      <c r="T197" s="25"/>
      <c r="U197" s="25"/>
      <c r="V197" s="25"/>
      <c r="W197" s="25"/>
      <c r="X197" s="25"/>
      <c r="Y197" s="25"/>
    </row>
    <row r="198" spans="1:25" x14ac:dyDescent="0.25">
      <c r="A198" s="64" t="s">
        <v>191</v>
      </c>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row>
    <row r="199" spans="1:25" outlineLevel="1" x14ac:dyDescent="0.25">
      <c r="E199" t="s">
        <v>31</v>
      </c>
      <c r="F199" t="s">
        <v>31</v>
      </c>
      <c r="G199" t="s">
        <v>31</v>
      </c>
      <c r="H199" t="s">
        <v>31</v>
      </c>
      <c r="I199" t="s">
        <v>31</v>
      </c>
      <c r="J199" t="s">
        <v>31</v>
      </c>
      <c r="K199" t="s">
        <v>30</v>
      </c>
      <c r="L199" t="s">
        <v>30</v>
      </c>
      <c r="M199" t="s">
        <v>30</v>
      </c>
      <c r="N199" t="s">
        <v>30</v>
      </c>
      <c r="O199" t="s">
        <v>30</v>
      </c>
      <c r="P199" t="s">
        <v>30</v>
      </c>
      <c r="Q199" t="s">
        <v>32</v>
      </c>
      <c r="R199" t="s">
        <v>32</v>
      </c>
      <c r="S199" t="s">
        <v>32</v>
      </c>
      <c r="T199" t="s">
        <v>32</v>
      </c>
      <c r="U199" t="s">
        <v>32</v>
      </c>
      <c r="V199" t="s">
        <v>32</v>
      </c>
      <c r="W199" t="s">
        <v>109</v>
      </c>
      <c r="X199" t="s">
        <v>109</v>
      </c>
      <c r="Y199" s="19" t="s">
        <v>109</v>
      </c>
    </row>
    <row r="200" spans="1:25" ht="45" outlineLevel="1" x14ac:dyDescent="0.25">
      <c r="A200" s="5" t="s">
        <v>35</v>
      </c>
      <c r="B200" s="63" t="s">
        <v>29</v>
      </c>
      <c r="C200" s="63"/>
      <c r="D200" s="5" t="s">
        <v>190</v>
      </c>
      <c r="E200" s="5" t="s">
        <v>42</v>
      </c>
      <c r="F200" s="5" t="s">
        <v>43</v>
      </c>
      <c r="G200" s="5" t="s">
        <v>135</v>
      </c>
      <c r="H200" s="5" t="s">
        <v>112</v>
      </c>
      <c r="I200" s="5" t="s">
        <v>113</v>
      </c>
      <c r="J200" s="5" t="s">
        <v>136</v>
      </c>
      <c r="K200" s="5" t="s">
        <v>42</v>
      </c>
      <c r="L200" s="5" t="s">
        <v>43</v>
      </c>
      <c r="M200" s="5" t="s">
        <v>135</v>
      </c>
      <c r="N200" s="5" t="s">
        <v>112</v>
      </c>
      <c r="O200" s="5" t="s">
        <v>113</v>
      </c>
      <c r="P200" s="5" t="s">
        <v>136</v>
      </c>
      <c r="Q200" s="5" t="s">
        <v>119</v>
      </c>
      <c r="R200" s="5" t="s">
        <v>120</v>
      </c>
      <c r="S200" s="5" t="s">
        <v>121</v>
      </c>
      <c r="T200" s="5" t="s">
        <v>122</v>
      </c>
      <c r="U200" s="5" t="s">
        <v>123</v>
      </c>
      <c r="V200" s="5" t="s">
        <v>124</v>
      </c>
      <c r="W200" s="5" t="s">
        <v>109</v>
      </c>
      <c r="X200" s="5" t="s">
        <v>125</v>
      </c>
      <c r="Y200" s="23" t="s">
        <v>126</v>
      </c>
    </row>
    <row r="201" spans="1:25" outlineLevel="1" x14ac:dyDescent="0.25">
      <c r="A201" t="s">
        <v>37</v>
      </c>
      <c r="B201" t="s">
        <v>147</v>
      </c>
      <c r="C201" s="7" t="s">
        <v>34</v>
      </c>
      <c r="D201" t="s">
        <v>117</v>
      </c>
      <c r="E201" s="27">
        <f t="shared" ref="E201:W201" si="9">E4/WinterWeekdays</f>
        <v>761833.33333333337</v>
      </c>
      <c r="F201" s="27">
        <f t="shared" si="9"/>
        <v>1099.1166666666668</v>
      </c>
      <c r="G201" s="27">
        <f t="shared" si="9"/>
        <v>0</v>
      </c>
      <c r="H201" s="27">
        <f t="shared" si="9"/>
        <v>543666.66666666674</v>
      </c>
      <c r="I201" s="27">
        <f t="shared" si="9"/>
        <v>3461567.5500000003</v>
      </c>
      <c r="J201" s="27">
        <f t="shared" si="9"/>
        <v>3461567.5500000003</v>
      </c>
      <c r="K201" s="27">
        <f t="shared" si="9"/>
        <v>1621666.6666666667</v>
      </c>
      <c r="L201" s="27">
        <f t="shared" si="9"/>
        <v>2910.8333333333335</v>
      </c>
      <c r="M201" s="27">
        <f t="shared" si="9"/>
        <v>0</v>
      </c>
      <c r="N201" s="27">
        <f t="shared" si="9"/>
        <v>7183755.833333334</v>
      </c>
      <c r="O201" s="27">
        <f t="shared" si="9"/>
        <v>7183755.833333334</v>
      </c>
      <c r="P201" s="27">
        <f t="shared" si="9"/>
        <v>7183755.833333334</v>
      </c>
      <c r="Q201" s="27">
        <f t="shared" si="9"/>
        <v>65739.956128453006</v>
      </c>
      <c r="R201" s="27">
        <f t="shared" si="9"/>
        <v>30977.053012506411</v>
      </c>
      <c r="S201" s="27">
        <f t="shared" si="9"/>
        <v>0</v>
      </c>
      <c r="T201" s="27">
        <f t="shared" si="9"/>
        <v>134864.21252570729</v>
      </c>
      <c r="U201" s="27">
        <f t="shared" si="9"/>
        <v>0</v>
      </c>
      <c r="V201" s="27">
        <f t="shared" si="9"/>
        <v>0</v>
      </c>
      <c r="W201" s="27">
        <f t="shared" si="9"/>
        <v>30403333.333333336</v>
      </c>
      <c r="X201" s="27">
        <f t="shared" ref="X201:Y224" si="10">X4/WinterWeekdays</f>
        <v>0</v>
      </c>
      <c r="Y201" s="27">
        <f t="shared" si="10"/>
        <v>0</v>
      </c>
    </row>
    <row r="202" spans="1:25" outlineLevel="1" x14ac:dyDescent="0.25">
      <c r="A202" t="s">
        <v>37</v>
      </c>
      <c r="B202" t="s">
        <v>148</v>
      </c>
      <c r="C202" s="7" t="s">
        <v>0</v>
      </c>
      <c r="D202" t="s">
        <v>117</v>
      </c>
      <c r="E202" s="27">
        <f t="shared" ref="E202:W202" si="11">E5/WinterWeekdays</f>
        <v>778166.66666666674</v>
      </c>
      <c r="F202" s="27">
        <f t="shared" si="11"/>
        <v>1105.2883333333334</v>
      </c>
      <c r="G202" s="27">
        <f t="shared" si="11"/>
        <v>0</v>
      </c>
      <c r="H202" s="27">
        <f t="shared" si="11"/>
        <v>500500.00000000006</v>
      </c>
      <c r="I202" s="27">
        <f t="shared" si="11"/>
        <v>159598.95000000001</v>
      </c>
      <c r="J202" s="27">
        <f t="shared" si="11"/>
        <v>159598.95000000001</v>
      </c>
      <c r="K202" s="27">
        <f t="shared" si="11"/>
        <v>1480500</v>
      </c>
      <c r="L202" s="27">
        <f t="shared" si="11"/>
        <v>2744.7466666666669</v>
      </c>
      <c r="M202" s="27">
        <f t="shared" si="11"/>
        <v>0</v>
      </c>
      <c r="N202" s="27">
        <f t="shared" si="11"/>
        <v>7056755.2533333339</v>
      </c>
      <c r="O202" s="27">
        <f t="shared" si="11"/>
        <v>7056755.2533333339</v>
      </c>
      <c r="P202" s="27">
        <f t="shared" si="11"/>
        <v>7056755.2533333339</v>
      </c>
      <c r="Q202" s="27">
        <f t="shared" si="11"/>
        <v>64841.512908465622</v>
      </c>
      <c r="R202" s="27">
        <f t="shared" si="11"/>
        <v>30553.701296239742</v>
      </c>
      <c r="S202" s="27">
        <f t="shared" si="11"/>
        <v>0</v>
      </c>
      <c r="T202" s="27">
        <f t="shared" si="11"/>
        <v>133021.07412862798</v>
      </c>
      <c r="U202" s="27">
        <f t="shared" si="11"/>
        <v>0</v>
      </c>
      <c r="V202" s="27">
        <f t="shared" si="11"/>
        <v>0</v>
      </c>
      <c r="W202" s="27">
        <f t="shared" si="11"/>
        <v>30368333.333333336</v>
      </c>
      <c r="X202" s="27">
        <f t="shared" si="10"/>
        <v>0</v>
      </c>
      <c r="Y202" s="27">
        <f t="shared" si="10"/>
        <v>0</v>
      </c>
    </row>
    <row r="203" spans="1:25" outlineLevel="1" x14ac:dyDescent="0.25">
      <c r="A203" t="s">
        <v>37</v>
      </c>
      <c r="B203" t="s">
        <v>149</v>
      </c>
      <c r="C203" s="7" t="s">
        <v>1</v>
      </c>
      <c r="D203" t="s">
        <v>117</v>
      </c>
      <c r="E203" s="27">
        <f t="shared" ref="E203:W203" si="12">E6/WinterWeekdays</f>
        <v>782833.33333333337</v>
      </c>
      <c r="F203" s="27">
        <f t="shared" si="12"/>
        <v>1109.5233333333333</v>
      </c>
      <c r="G203" s="27">
        <f t="shared" si="12"/>
        <v>0</v>
      </c>
      <c r="H203" s="27">
        <f t="shared" si="12"/>
        <v>495833.33333333337</v>
      </c>
      <c r="I203" s="27">
        <f t="shared" si="12"/>
        <v>144950.33000000002</v>
      </c>
      <c r="J203" s="27">
        <f t="shared" si="12"/>
        <v>144950.33000000002</v>
      </c>
      <c r="K203" s="27">
        <f t="shared" si="12"/>
        <v>1327666.6666666667</v>
      </c>
      <c r="L203" s="27">
        <f t="shared" si="12"/>
        <v>2675.4350000000004</v>
      </c>
      <c r="M203" s="27">
        <f t="shared" si="12"/>
        <v>0</v>
      </c>
      <c r="N203" s="27">
        <f t="shared" si="12"/>
        <v>7034657.8983333334</v>
      </c>
      <c r="O203" s="27">
        <f t="shared" si="12"/>
        <v>7034657.8983333334</v>
      </c>
      <c r="P203" s="27">
        <f t="shared" si="12"/>
        <v>7034657.8983333334</v>
      </c>
      <c r="Q203" s="27">
        <f t="shared" si="12"/>
        <v>64610.768526192842</v>
      </c>
      <c r="R203" s="27">
        <f t="shared" si="12"/>
        <v>30444.973189576031</v>
      </c>
      <c r="S203" s="27">
        <f t="shared" si="12"/>
        <v>0</v>
      </c>
      <c r="T203" s="27">
        <f t="shared" si="12"/>
        <v>132547.70661756446</v>
      </c>
      <c r="U203" s="27">
        <f t="shared" si="12"/>
        <v>0</v>
      </c>
      <c r="V203" s="27">
        <f t="shared" si="12"/>
        <v>0</v>
      </c>
      <c r="W203" s="27">
        <f t="shared" si="12"/>
        <v>30356666.666666668</v>
      </c>
      <c r="X203" s="27">
        <f t="shared" si="10"/>
        <v>0</v>
      </c>
      <c r="Y203" s="27">
        <f t="shared" si="10"/>
        <v>0</v>
      </c>
    </row>
    <row r="204" spans="1:25" outlineLevel="1" x14ac:dyDescent="0.25">
      <c r="A204" t="s">
        <v>37</v>
      </c>
      <c r="B204" t="s">
        <v>150</v>
      </c>
      <c r="C204" s="7" t="s">
        <v>2</v>
      </c>
      <c r="D204" t="s">
        <v>117</v>
      </c>
      <c r="E204" s="27">
        <f t="shared" ref="E204:W204" si="13">E7/WinterWeekdays</f>
        <v>778166.66666666674</v>
      </c>
      <c r="F204" s="27">
        <f t="shared" si="13"/>
        <v>1110.1300000000001</v>
      </c>
      <c r="G204" s="27">
        <f t="shared" si="13"/>
        <v>0</v>
      </c>
      <c r="H204" s="27">
        <f t="shared" si="13"/>
        <v>506333.33333333337</v>
      </c>
      <c r="I204" s="27">
        <f t="shared" si="13"/>
        <v>141665.30000000002</v>
      </c>
      <c r="J204" s="27">
        <f t="shared" si="13"/>
        <v>141665.30000000002</v>
      </c>
      <c r="K204" s="27">
        <f t="shared" si="13"/>
        <v>1370833.3333333335</v>
      </c>
      <c r="L204" s="27">
        <f t="shared" si="13"/>
        <v>2636.34</v>
      </c>
      <c r="M204" s="27">
        <f t="shared" si="13"/>
        <v>0</v>
      </c>
      <c r="N204" s="27">
        <f t="shared" si="13"/>
        <v>7329863.6600000001</v>
      </c>
      <c r="O204" s="27">
        <f t="shared" si="13"/>
        <v>7329863.6600000001</v>
      </c>
      <c r="P204" s="27">
        <f t="shared" si="13"/>
        <v>7329863.6600000001</v>
      </c>
      <c r="Q204" s="27">
        <f t="shared" si="13"/>
        <v>64823.204908907646</v>
      </c>
      <c r="R204" s="27">
        <f t="shared" si="13"/>
        <v>30545.074459438201</v>
      </c>
      <c r="S204" s="27">
        <f t="shared" si="13"/>
        <v>0</v>
      </c>
      <c r="T204" s="27">
        <f t="shared" si="13"/>
        <v>132983.51563165418</v>
      </c>
      <c r="U204" s="27">
        <f t="shared" si="13"/>
        <v>0</v>
      </c>
      <c r="V204" s="27">
        <f t="shared" si="13"/>
        <v>0</v>
      </c>
      <c r="W204" s="27">
        <f t="shared" si="13"/>
        <v>30356666.666666668</v>
      </c>
      <c r="X204" s="27">
        <f t="shared" si="10"/>
        <v>0</v>
      </c>
      <c r="Y204" s="27">
        <f t="shared" si="10"/>
        <v>0</v>
      </c>
    </row>
    <row r="205" spans="1:25" outlineLevel="1" x14ac:dyDescent="0.25">
      <c r="A205" t="s">
        <v>37</v>
      </c>
      <c r="B205" t="s">
        <v>151</v>
      </c>
      <c r="C205" s="7" t="s">
        <v>3</v>
      </c>
      <c r="D205" t="s">
        <v>117</v>
      </c>
      <c r="E205" s="27">
        <f t="shared" ref="E205:W205" si="14">E8/WinterWeekdays</f>
        <v>761833.33333333337</v>
      </c>
      <c r="F205" s="27">
        <f t="shared" si="14"/>
        <v>1082.0483333333334</v>
      </c>
      <c r="G205" s="27">
        <f t="shared" si="14"/>
        <v>0</v>
      </c>
      <c r="H205" s="27">
        <f t="shared" si="14"/>
        <v>653333.33333333337</v>
      </c>
      <c r="I205" s="27">
        <f t="shared" si="14"/>
        <v>198778.55666666667</v>
      </c>
      <c r="J205" s="27">
        <f t="shared" si="14"/>
        <v>198778.55666666667</v>
      </c>
      <c r="K205" s="27">
        <f t="shared" si="14"/>
        <v>1438500</v>
      </c>
      <c r="L205" s="27">
        <f t="shared" si="14"/>
        <v>2627.9050000000002</v>
      </c>
      <c r="M205" s="27">
        <f t="shared" si="14"/>
        <v>0</v>
      </c>
      <c r="N205" s="27">
        <f t="shared" si="14"/>
        <v>7798872.0950000007</v>
      </c>
      <c r="O205" s="27">
        <f t="shared" si="14"/>
        <v>7798872.0950000007</v>
      </c>
      <c r="P205" s="27">
        <f t="shared" si="14"/>
        <v>7798872.0950000007</v>
      </c>
      <c r="Q205" s="27">
        <f t="shared" si="14"/>
        <v>64591.731915943332</v>
      </c>
      <c r="R205" s="27">
        <f t="shared" si="14"/>
        <v>30436.003027142011</v>
      </c>
      <c r="S205" s="27">
        <f t="shared" si="14"/>
        <v>0</v>
      </c>
      <c r="T205" s="27">
        <f t="shared" si="14"/>
        <v>132508.65339024802</v>
      </c>
      <c r="U205" s="27">
        <f t="shared" si="14"/>
        <v>0</v>
      </c>
      <c r="V205" s="27">
        <f t="shared" si="14"/>
        <v>0</v>
      </c>
      <c r="W205" s="27">
        <f t="shared" si="14"/>
        <v>30450000.000000004</v>
      </c>
      <c r="X205" s="27">
        <f t="shared" si="10"/>
        <v>0</v>
      </c>
      <c r="Y205" s="27">
        <f t="shared" si="10"/>
        <v>0</v>
      </c>
    </row>
    <row r="206" spans="1:25" outlineLevel="1" x14ac:dyDescent="0.25">
      <c r="A206" t="s">
        <v>37</v>
      </c>
      <c r="B206" t="s">
        <v>152</v>
      </c>
      <c r="C206" s="7" t="s">
        <v>4</v>
      </c>
      <c r="D206" t="s">
        <v>117</v>
      </c>
      <c r="E206" s="27">
        <f t="shared" ref="E206:W206" si="15">E9/WinterWeekdays</f>
        <v>941500.00000000012</v>
      </c>
      <c r="F206" s="27">
        <f t="shared" si="15"/>
        <v>994.93333333333339</v>
      </c>
      <c r="G206" s="27">
        <f t="shared" si="15"/>
        <v>0</v>
      </c>
      <c r="H206" s="27">
        <f t="shared" si="15"/>
        <v>1122333.3333333335</v>
      </c>
      <c r="I206" s="27">
        <f t="shared" si="15"/>
        <v>440943.61500000005</v>
      </c>
      <c r="J206" s="27">
        <f t="shared" si="15"/>
        <v>440943.61500000005</v>
      </c>
      <c r="K206" s="27">
        <f t="shared" si="15"/>
        <v>1466500</v>
      </c>
      <c r="L206" s="27">
        <f t="shared" si="15"/>
        <v>2710.061666666667</v>
      </c>
      <c r="M206" s="27">
        <f t="shared" si="15"/>
        <v>0</v>
      </c>
      <c r="N206" s="27">
        <f t="shared" si="15"/>
        <v>9124123.2716666665</v>
      </c>
      <c r="O206" s="27">
        <f t="shared" si="15"/>
        <v>9124123.2716666665</v>
      </c>
      <c r="P206" s="27">
        <f t="shared" si="15"/>
        <v>9124123.2716666665</v>
      </c>
      <c r="Q206" s="27">
        <f t="shared" si="15"/>
        <v>66356.387268418403</v>
      </c>
      <c r="R206" s="27">
        <f t="shared" si="15"/>
        <v>31267.51898215136</v>
      </c>
      <c r="S206" s="27">
        <f t="shared" si="15"/>
        <v>0</v>
      </c>
      <c r="T206" s="27">
        <f t="shared" si="15"/>
        <v>136128.80874943026</v>
      </c>
      <c r="U206" s="27">
        <f t="shared" si="15"/>
        <v>0</v>
      </c>
      <c r="V206" s="27">
        <f t="shared" si="15"/>
        <v>0</v>
      </c>
      <c r="W206" s="27">
        <f t="shared" si="15"/>
        <v>30660000.000000004</v>
      </c>
      <c r="X206" s="27">
        <f t="shared" si="10"/>
        <v>0</v>
      </c>
      <c r="Y206" s="27">
        <f t="shared" si="10"/>
        <v>0</v>
      </c>
    </row>
    <row r="207" spans="1:25" outlineLevel="1" x14ac:dyDescent="0.25">
      <c r="A207" t="s">
        <v>37</v>
      </c>
      <c r="B207" t="s">
        <v>153</v>
      </c>
      <c r="C207" s="7" t="s">
        <v>5</v>
      </c>
      <c r="D207" t="s">
        <v>117</v>
      </c>
      <c r="E207" s="27">
        <f t="shared" ref="E207:W207" si="16">E10/WinterWeekdays</f>
        <v>994000.00000000012</v>
      </c>
      <c r="F207" s="27">
        <f t="shared" si="16"/>
        <v>812.78166666666675</v>
      </c>
      <c r="G207" s="27">
        <f t="shared" si="16"/>
        <v>0</v>
      </c>
      <c r="H207" s="27">
        <f t="shared" si="16"/>
        <v>1638000</v>
      </c>
      <c r="I207" s="27">
        <f t="shared" si="16"/>
        <v>864500.00000000012</v>
      </c>
      <c r="J207" s="27">
        <f t="shared" si="16"/>
        <v>864500.00000000012</v>
      </c>
      <c r="K207" s="27">
        <f t="shared" si="16"/>
        <v>1920333.3333333335</v>
      </c>
      <c r="L207" s="27">
        <f t="shared" si="16"/>
        <v>3003.8633333333337</v>
      </c>
      <c r="M207" s="27">
        <f t="shared" si="16"/>
        <v>0</v>
      </c>
      <c r="N207" s="27">
        <f t="shared" si="16"/>
        <v>13733329.470000001</v>
      </c>
      <c r="O207" s="27">
        <f t="shared" si="16"/>
        <v>13733329.470000001</v>
      </c>
      <c r="P207" s="27">
        <f t="shared" si="16"/>
        <v>13733329.470000001</v>
      </c>
      <c r="Q207" s="27">
        <f t="shared" si="16"/>
        <v>99479.920197362633</v>
      </c>
      <c r="R207" s="27">
        <f t="shared" si="16"/>
        <v>46875.522028221421</v>
      </c>
      <c r="S207" s="27">
        <f t="shared" si="16"/>
        <v>0</v>
      </c>
      <c r="T207" s="27">
        <f t="shared" si="16"/>
        <v>204081.07777441599</v>
      </c>
      <c r="U207" s="27">
        <f t="shared" si="16"/>
        <v>0</v>
      </c>
      <c r="V207" s="27">
        <f t="shared" si="16"/>
        <v>0</v>
      </c>
      <c r="W207" s="27">
        <f t="shared" si="16"/>
        <v>31021666.666666668</v>
      </c>
      <c r="X207" s="27">
        <f t="shared" si="10"/>
        <v>0</v>
      </c>
      <c r="Y207" s="27">
        <f t="shared" si="10"/>
        <v>0</v>
      </c>
    </row>
    <row r="208" spans="1:25" outlineLevel="1" x14ac:dyDescent="0.25">
      <c r="A208" t="s">
        <v>37</v>
      </c>
      <c r="B208" t="s">
        <v>154</v>
      </c>
      <c r="C208" s="7" t="s">
        <v>6</v>
      </c>
      <c r="D208" t="s">
        <v>117</v>
      </c>
      <c r="E208" s="27">
        <f t="shared" ref="E208:W208" si="17">E11/WinterWeekdays</f>
        <v>967166.66666666674</v>
      </c>
      <c r="F208" s="27">
        <f t="shared" si="17"/>
        <v>609.96833333333336</v>
      </c>
      <c r="G208" s="27">
        <f t="shared" si="17"/>
        <v>0</v>
      </c>
      <c r="H208" s="27">
        <f t="shared" si="17"/>
        <v>1271666.6666666667</v>
      </c>
      <c r="I208" s="27">
        <f t="shared" si="17"/>
        <v>1191166.6666666667</v>
      </c>
      <c r="J208" s="27">
        <f t="shared" si="17"/>
        <v>1191166.6666666667</v>
      </c>
      <c r="K208" s="27">
        <f t="shared" si="17"/>
        <v>4722666.666666667</v>
      </c>
      <c r="L208" s="27">
        <f t="shared" si="17"/>
        <v>3583.4866666666671</v>
      </c>
      <c r="M208" s="27">
        <f t="shared" si="17"/>
        <v>0</v>
      </c>
      <c r="N208" s="27">
        <f t="shared" si="17"/>
        <v>18887083.18</v>
      </c>
      <c r="O208" s="27">
        <f t="shared" si="17"/>
        <v>18887083.18</v>
      </c>
      <c r="P208" s="27">
        <f t="shared" si="17"/>
        <v>18887083.18</v>
      </c>
      <c r="Q208" s="27">
        <f t="shared" si="17"/>
        <v>208647.60711886288</v>
      </c>
      <c r="R208" s="27">
        <f t="shared" si="17"/>
        <v>98315.976573282809</v>
      </c>
      <c r="S208" s="27">
        <f t="shared" si="17"/>
        <v>0</v>
      </c>
      <c r="T208" s="27">
        <f t="shared" si="17"/>
        <v>428036.41630785441</v>
      </c>
      <c r="U208" s="27">
        <f t="shared" si="17"/>
        <v>0</v>
      </c>
      <c r="V208" s="27">
        <f t="shared" si="17"/>
        <v>0</v>
      </c>
      <c r="W208" s="27">
        <f t="shared" si="17"/>
        <v>31313333.333333336</v>
      </c>
      <c r="X208" s="27">
        <f t="shared" si="10"/>
        <v>0</v>
      </c>
      <c r="Y208" s="27">
        <f t="shared" si="10"/>
        <v>0</v>
      </c>
    </row>
    <row r="209" spans="1:25" outlineLevel="1" x14ac:dyDescent="0.25">
      <c r="A209" t="s">
        <v>37</v>
      </c>
      <c r="B209" t="s">
        <v>155</v>
      </c>
      <c r="C209" s="7" t="s">
        <v>7</v>
      </c>
      <c r="D209" t="s">
        <v>117</v>
      </c>
      <c r="E209" s="27">
        <f t="shared" ref="E209:W209" si="18">E12/WinterWeekdays</f>
        <v>922833.33333333337</v>
      </c>
      <c r="F209" s="27">
        <f t="shared" si="18"/>
        <v>492.92833333333334</v>
      </c>
      <c r="G209" s="27">
        <f t="shared" si="18"/>
        <v>0</v>
      </c>
      <c r="H209" s="27">
        <f t="shared" si="18"/>
        <v>497000.00000000006</v>
      </c>
      <c r="I209" s="27">
        <f t="shared" si="18"/>
        <v>786333.33333333337</v>
      </c>
      <c r="J209" s="27">
        <f t="shared" si="18"/>
        <v>786333.33333333337</v>
      </c>
      <c r="K209" s="27">
        <f t="shared" si="18"/>
        <v>4785666.666666667</v>
      </c>
      <c r="L209" s="27">
        <f t="shared" si="18"/>
        <v>4435.5150000000003</v>
      </c>
      <c r="M209" s="27">
        <f t="shared" si="18"/>
        <v>0</v>
      </c>
      <c r="N209" s="27">
        <f t="shared" si="18"/>
        <v>23419897.818333335</v>
      </c>
      <c r="O209" s="27">
        <f t="shared" si="18"/>
        <v>23419897.818333335</v>
      </c>
      <c r="P209" s="27">
        <f t="shared" si="18"/>
        <v>23419897.818333335</v>
      </c>
      <c r="Q209" s="27">
        <f t="shared" si="18"/>
        <v>227194.06108498399</v>
      </c>
      <c r="R209" s="27">
        <f t="shared" si="18"/>
        <v>107055.17449090794</v>
      </c>
      <c r="S209" s="27">
        <f t="shared" si="18"/>
        <v>0</v>
      </c>
      <c r="T209" s="27">
        <f t="shared" si="18"/>
        <v>466084.09775744146</v>
      </c>
      <c r="U209" s="27">
        <f t="shared" si="18"/>
        <v>0</v>
      </c>
      <c r="V209" s="27">
        <f t="shared" si="18"/>
        <v>0</v>
      </c>
      <c r="W209" s="27">
        <f t="shared" si="18"/>
        <v>31406666.666666668</v>
      </c>
      <c r="X209" s="27">
        <f t="shared" si="10"/>
        <v>0</v>
      </c>
      <c r="Y209" s="27">
        <f t="shared" si="10"/>
        <v>0</v>
      </c>
    </row>
    <row r="210" spans="1:25" outlineLevel="1" x14ac:dyDescent="0.25">
      <c r="A210" t="s">
        <v>37</v>
      </c>
      <c r="B210" t="s">
        <v>156</v>
      </c>
      <c r="C210" s="7" t="s">
        <v>8</v>
      </c>
      <c r="D210" t="s">
        <v>117</v>
      </c>
      <c r="E210" s="27">
        <f t="shared" ref="E210:W210" si="19">E13/WinterWeekdays</f>
        <v>667968.45500000007</v>
      </c>
      <c r="F210" s="27">
        <f t="shared" si="19"/>
        <v>426.16</v>
      </c>
      <c r="G210" s="27">
        <f t="shared" si="19"/>
        <v>0</v>
      </c>
      <c r="H210" s="27">
        <f t="shared" si="19"/>
        <v>478333.33333333337</v>
      </c>
      <c r="I210" s="27">
        <f t="shared" si="19"/>
        <v>703500</v>
      </c>
      <c r="J210" s="27">
        <f t="shared" si="19"/>
        <v>703500</v>
      </c>
      <c r="K210" s="27">
        <f t="shared" si="19"/>
        <v>3403166.666666667</v>
      </c>
      <c r="L210" s="27">
        <f t="shared" si="19"/>
        <v>4979.59</v>
      </c>
      <c r="M210" s="27">
        <f t="shared" si="19"/>
        <v>0</v>
      </c>
      <c r="N210" s="27">
        <f t="shared" si="19"/>
        <v>24603520.41</v>
      </c>
      <c r="O210" s="27">
        <f t="shared" si="19"/>
        <v>24603520.41</v>
      </c>
      <c r="P210" s="27">
        <f t="shared" si="19"/>
        <v>24603520.41</v>
      </c>
      <c r="Q210" s="27">
        <f t="shared" si="19"/>
        <v>201692.68688156744</v>
      </c>
      <c r="R210" s="27">
        <f t="shared" si="19"/>
        <v>95038.777354173377</v>
      </c>
      <c r="S210" s="27">
        <f t="shared" si="19"/>
        <v>0</v>
      </c>
      <c r="T210" s="27">
        <f t="shared" si="19"/>
        <v>413768.53576425923</v>
      </c>
      <c r="U210" s="27">
        <f t="shared" si="19"/>
        <v>0</v>
      </c>
      <c r="V210" s="27">
        <f t="shared" si="19"/>
        <v>0</v>
      </c>
      <c r="W210" s="27">
        <f t="shared" si="19"/>
        <v>31360000.000000004</v>
      </c>
      <c r="X210" s="27">
        <f t="shared" si="10"/>
        <v>0</v>
      </c>
      <c r="Y210" s="27">
        <f t="shared" si="10"/>
        <v>0</v>
      </c>
    </row>
    <row r="211" spans="1:25" outlineLevel="1" x14ac:dyDescent="0.25">
      <c r="A211" t="s">
        <v>37</v>
      </c>
      <c r="B211" t="s">
        <v>157</v>
      </c>
      <c r="C211" s="7" t="s">
        <v>9</v>
      </c>
      <c r="D211" t="s">
        <v>117</v>
      </c>
      <c r="E211" s="27">
        <f t="shared" ref="E211:W211" si="20">E14/WinterWeekdays</f>
        <v>641832.14666666673</v>
      </c>
      <c r="F211" s="27">
        <f t="shared" si="20"/>
        <v>421.08500000000004</v>
      </c>
      <c r="G211" s="27">
        <f t="shared" si="20"/>
        <v>0</v>
      </c>
      <c r="H211" s="27">
        <f t="shared" si="20"/>
        <v>486500.00000000006</v>
      </c>
      <c r="I211" s="27">
        <f t="shared" si="20"/>
        <v>654500</v>
      </c>
      <c r="J211" s="27">
        <f t="shared" si="20"/>
        <v>654500</v>
      </c>
      <c r="K211" s="27">
        <f t="shared" si="20"/>
        <v>2808166.666666667</v>
      </c>
      <c r="L211" s="27">
        <f t="shared" si="20"/>
        <v>5262.3550000000005</v>
      </c>
      <c r="M211" s="27">
        <f t="shared" si="20"/>
        <v>0</v>
      </c>
      <c r="N211" s="27">
        <f t="shared" si="20"/>
        <v>24463237.645000003</v>
      </c>
      <c r="O211" s="27">
        <f t="shared" si="20"/>
        <v>24463237.645000003</v>
      </c>
      <c r="P211" s="27">
        <f t="shared" si="20"/>
        <v>24463237.645000003</v>
      </c>
      <c r="Q211" s="27">
        <f t="shared" si="20"/>
        <v>161950.28552559356</v>
      </c>
      <c r="R211" s="27">
        <f t="shared" si="20"/>
        <v>76311.92467354807</v>
      </c>
      <c r="S211" s="27">
        <f t="shared" si="20"/>
        <v>0</v>
      </c>
      <c r="T211" s="27">
        <f t="shared" si="20"/>
        <v>332237.78980085842</v>
      </c>
      <c r="U211" s="27">
        <f t="shared" si="20"/>
        <v>0</v>
      </c>
      <c r="V211" s="27">
        <f t="shared" si="20"/>
        <v>0</v>
      </c>
      <c r="W211" s="27">
        <f t="shared" si="20"/>
        <v>31231666.666666668</v>
      </c>
      <c r="X211" s="27">
        <f t="shared" si="10"/>
        <v>0</v>
      </c>
      <c r="Y211" s="27">
        <f t="shared" si="10"/>
        <v>0</v>
      </c>
    </row>
    <row r="212" spans="1:25" outlineLevel="1" x14ac:dyDescent="0.25">
      <c r="A212" t="s">
        <v>37</v>
      </c>
      <c r="B212" t="s">
        <v>158</v>
      </c>
      <c r="C212" s="7" t="s">
        <v>10</v>
      </c>
      <c r="D212" t="s">
        <v>117</v>
      </c>
      <c r="E212" s="27">
        <f t="shared" ref="E212:W212" si="21">E15/WinterWeekdays</f>
        <v>643391.22166666668</v>
      </c>
      <c r="F212" s="27">
        <f t="shared" si="21"/>
        <v>470.96000000000004</v>
      </c>
      <c r="G212" s="27">
        <f t="shared" si="21"/>
        <v>0</v>
      </c>
      <c r="H212" s="27">
        <f t="shared" si="21"/>
        <v>533166.66666666674</v>
      </c>
      <c r="I212" s="27">
        <f t="shared" si="21"/>
        <v>563500</v>
      </c>
      <c r="J212" s="27">
        <f t="shared" si="21"/>
        <v>563500</v>
      </c>
      <c r="K212" s="27">
        <f t="shared" si="21"/>
        <v>2445333.3333333335</v>
      </c>
      <c r="L212" s="27">
        <f t="shared" si="21"/>
        <v>5328.6216666666669</v>
      </c>
      <c r="M212" s="27">
        <f t="shared" si="21"/>
        <v>0</v>
      </c>
      <c r="N212" s="27">
        <f t="shared" si="21"/>
        <v>24382671.378333334</v>
      </c>
      <c r="O212" s="27">
        <f t="shared" si="21"/>
        <v>24382671.378333334</v>
      </c>
      <c r="P212" s="27">
        <f t="shared" si="21"/>
        <v>24382671.378333334</v>
      </c>
      <c r="Q212" s="27">
        <f t="shared" si="21"/>
        <v>162943.84555949291</v>
      </c>
      <c r="R212" s="27">
        <f t="shared" si="21"/>
        <v>76780.095990563714</v>
      </c>
      <c r="S212" s="27">
        <f t="shared" si="21"/>
        <v>0</v>
      </c>
      <c r="T212" s="27">
        <f t="shared" si="21"/>
        <v>334276.05844994343</v>
      </c>
      <c r="U212" s="27">
        <f t="shared" si="21"/>
        <v>0</v>
      </c>
      <c r="V212" s="27">
        <f t="shared" si="21"/>
        <v>0</v>
      </c>
      <c r="W212" s="27">
        <f t="shared" si="21"/>
        <v>31126666.666666668</v>
      </c>
      <c r="X212" s="27">
        <f t="shared" si="10"/>
        <v>0</v>
      </c>
      <c r="Y212" s="27">
        <f t="shared" si="10"/>
        <v>0</v>
      </c>
    </row>
    <row r="213" spans="1:25" outlineLevel="1" x14ac:dyDescent="0.25">
      <c r="A213" t="s">
        <v>37</v>
      </c>
      <c r="B213" t="s">
        <v>159</v>
      </c>
      <c r="C213" s="7" t="s">
        <v>11</v>
      </c>
      <c r="D213" t="s">
        <v>117</v>
      </c>
      <c r="E213" s="27">
        <f t="shared" ref="E213:W213" si="22">E16/WinterWeekdays</f>
        <v>640656.06500000006</v>
      </c>
      <c r="F213" s="27">
        <f t="shared" si="22"/>
        <v>511.23333333333335</v>
      </c>
      <c r="G213" s="27">
        <f t="shared" si="22"/>
        <v>0</v>
      </c>
      <c r="H213" s="27">
        <f t="shared" si="22"/>
        <v>562333.33333333337</v>
      </c>
      <c r="I213" s="27">
        <f t="shared" si="22"/>
        <v>458747.08833333338</v>
      </c>
      <c r="J213" s="27">
        <f t="shared" si="22"/>
        <v>458747.08833333338</v>
      </c>
      <c r="K213" s="27">
        <f t="shared" si="22"/>
        <v>2145500</v>
      </c>
      <c r="L213" s="27">
        <f t="shared" si="22"/>
        <v>5132.5516666666672</v>
      </c>
      <c r="M213" s="27">
        <f t="shared" si="22"/>
        <v>0</v>
      </c>
      <c r="N213" s="27">
        <f t="shared" si="22"/>
        <v>23994367.448333334</v>
      </c>
      <c r="O213" s="27">
        <f t="shared" si="22"/>
        <v>23994367.448333334</v>
      </c>
      <c r="P213" s="27">
        <f t="shared" si="22"/>
        <v>23994367.448333334</v>
      </c>
      <c r="Q213" s="27">
        <f t="shared" si="22"/>
        <v>165593.3389832245</v>
      </c>
      <c r="R213" s="27">
        <f t="shared" si="22"/>
        <v>78028.552835938724</v>
      </c>
      <c r="S213" s="27">
        <f t="shared" si="22"/>
        <v>0</v>
      </c>
      <c r="T213" s="27">
        <f t="shared" si="22"/>
        <v>339711.44151417015</v>
      </c>
      <c r="U213" s="27">
        <f t="shared" si="22"/>
        <v>0</v>
      </c>
      <c r="V213" s="27">
        <f t="shared" si="22"/>
        <v>0</v>
      </c>
      <c r="W213" s="27">
        <f t="shared" si="22"/>
        <v>31045000.000000004</v>
      </c>
      <c r="X213" s="27">
        <f t="shared" si="10"/>
        <v>0</v>
      </c>
      <c r="Y213" s="27">
        <f t="shared" si="10"/>
        <v>0</v>
      </c>
    </row>
    <row r="214" spans="1:25" outlineLevel="1" x14ac:dyDescent="0.25">
      <c r="A214" t="s">
        <v>37</v>
      </c>
      <c r="B214" t="s">
        <v>160</v>
      </c>
      <c r="C214" s="7" t="s">
        <v>12</v>
      </c>
      <c r="D214" t="s">
        <v>117</v>
      </c>
      <c r="E214" s="27">
        <f t="shared" ref="E214:W214" si="23">E17/WinterWeekdays</f>
        <v>633361.02666666673</v>
      </c>
      <c r="F214" s="27">
        <f t="shared" si="23"/>
        <v>527.33333333333337</v>
      </c>
      <c r="G214" s="27">
        <f t="shared" si="23"/>
        <v>0</v>
      </c>
      <c r="H214" s="27">
        <f t="shared" si="23"/>
        <v>570500</v>
      </c>
      <c r="I214" s="27">
        <f t="shared" si="23"/>
        <v>403203.36000000004</v>
      </c>
      <c r="J214" s="27">
        <f t="shared" si="23"/>
        <v>403203.36000000004</v>
      </c>
      <c r="K214" s="27">
        <f t="shared" si="23"/>
        <v>2006666.6666666667</v>
      </c>
      <c r="L214" s="27">
        <f t="shared" si="23"/>
        <v>5254.0133333333333</v>
      </c>
      <c r="M214" s="27">
        <f t="shared" si="23"/>
        <v>0</v>
      </c>
      <c r="N214" s="27">
        <f t="shared" si="23"/>
        <v>24004745.986666668</v>
      </c>
      <c r="O214" s="27">
        <f t="shared" si="23"/>
        <v>24004745.986666668</v>
      </c>
      <c r="P214" s="27">
        <f t="shared" si="23"/>
        <v>24004745.986666668</v>
      </c>
      <c r="Q214" s="27">
        <f t="shared" si="23"/>
        <v>164599.77894932515</v>
      </c>
      <c r="R214" s="27">
        <f t="shared" si="23"/>
        <v>77560.381518923095</v>
      </c>
      <c r="S214" s="27">
        <f t="shared" si="23"/>
        <v>0</v>
      </c>
      <c r="T214" s="27">
        <f t="shared" si="23"/>
        <v>337673.17286508513</v>
      </c>
      <c r="U214" s="27">
        <f t="shared" si="23"/>
        <v>0</v>
      </c>
      <c r="V214" s="27">
        <f t="shared" si="23"/>
        <v>0</v>
      </c>
      <c r="W214" s="27">
        <f t="shared" si="23"/>
        <v>30998333.333333336</v>
      </c>
      <c r="X214" s="27">
        <f t="shared" si="10"/>
        <v>0</v>
      </c>
      <c r="Y214" s="27">
        <f t="shared" si="10"/>
        <v>0</v>
      </c>
    </row>
    <row r="215" spans="1:25" outlineLevel="1" x14ac:dyDescent="0.25">
      <c r="A215" t="s">
        <v>37</v>
      </c>
      <c r="B215" t="s">
        <v>161</v>
      </c>
      <c r="C215" s="7" t="s">
        <v>13</v>
      </c>
      <c r="D215" t="s">
        <v>117</v>
      </c>
      <c r="E215" s="27">
        <f t="shared" ref="E215:W215" si="24">E18/WinterWeekdays</f>
        <v>636113.38</v>
      </c>
      <c r="F215" s="27">
        <f t="shared" si="24"/>
        <v>550.64333333333332</v>
      </c>
      <c r="G215" s="27">
        <f t="shared" si="24"/>
        <v>0</v>
      </c>
      <c r="H215" s="27">
        <f t="shared" si="24"/>
        <v>584500</v>
      </c>
      <c r="I215" s="27">
        <f t="shared" si="24"/>
        <v>396141.39833333337</v>
      </c>
      <c r="J215" s="27">
        <f t="shared" si="24"/>
        <v>396141.39833333337</v>
      </c>
      <c r="K215" s="27">
        <f t="shared" si="24"/>
        <v>1880666.6666666667</v>
      </c>
      <c r="L215" s="27">
        <f t="shared" si="24"/>
        <v>5384.7266666666674</v>
      </c>
      <c r="M215" s="27">
        <f t="shared" si="24"/>
        <v>0</v>
      </c>
      <c r="N215" s="27">
        <f t="shared" si="24"/>
        <v>23990615.273333333</v>
      </c>
      <c r="O215" s="27">
        <f t="shared" si="24"/>
        <v>23990615.273333333</v>
      </c>
      <c r="P215" s="27">
        <f t="shared" si="24"/>
        <v>23990615.273333333</v>
      </c>
      <c r="Q215" s="27">
        <f t="shared" si="24"/>
        <v>162943.84555949291</v>
      </c>
      <c r="R215" s="27">
        <f t="shared" si="24"/>
        <v>76780.095990563714</v>
      </c>
      <c r="S215" s="27">
        <f t="shared" si="24"/>
        <v>0</v>
      </c>
      <c r="T215" s="27">
        <f t="shared" si="24"/>
        <v>334276.05844994343</v>
      </c>
      <c r="U215" s="27">
        <f t="shared" si="24"/>
        <v>0</v>
      </c>
      <c r="V215" s="27">
        <f t="shared" si="24"/>
        <v>0</v>
      </c>
      <c r="W215" s="27">
        <f t="shared" si="24"/>
        <v>31045000.000000004</v>
      </c>
      <c r="X215" s="27">
        <f t="shared" si="10"/>
        <v>0</v>
      </c>
      <c r="Y215" s="27">
        <f t="shared" si="10"/>
        <v>0</v>
      </c>
    </row>
    <row r="216" spans="1:25" outlineLevel="1" x14ac:dyDescent="0.25">
      <c r="A216" t="s">
        <v>37</v>
      </c>
      <c r="B216" t="s">
        <v>162</v>
      </c>
      <c r="C216" s="7" t="s">
        <v>14</v>
      </c>
      <c r="D216" t="s">
        <v>117</v>
      </c>
      <c r="E216" s="27">
        <f t="shared" ref="E216:W216" si="25">E19/WinterWeekdays</f>
        <v>665735.43166666676</v>
      </c>
      <c r="F216" s="27">
        <f t="shared" si="25"/>
        <v>601.45166666666671</v>
      </c>
      <c r="G216" s="27">
        <f t="shared" si="25"/>
        <v>0</v>
      </c>
      <c r="H216" s="27">
        <f t="shared" si="25"/>
        <v>633500</v>
      </c>
      <c r="I216" s="27">
        <f t="shared" si="25"/>
        <v>400393.875</v>
      </c>
      <c r="J216" s="27">
        <f t="shared" si="25"/>
        <v>400393.875</v>
      </c>
      <c r="K216" s="27">
        <f t="shared" si="25"/>
        <v>1811833.3333333335</v>
      </c>
      <c r="L216" s="27">
        <f t="shared" si="25"/>
        <v>5387.001666666667</v>
      </c>
      <c r="M216" s="27">
        <f t="shared" si="25"/>
        <v>0</v>
      </c>
      <c r="N216" s="27">
        <f t="shared" si="25"/>
        <v>23989446.331666667</v>
      </c>
      <c r="O216" s="27">
        <f t="shared" si="25"/>
        <v>23989446.331666667</v>
      </c>
      <c r="P216" s="27">
        <f t="shared" si="25"/>
        <v>23989446.331666667</v>
      </c>
      <c r="Q216" s="27">
        <f t="shared" si="25"/>
        <v>193744.20661037267</v>
      </c>
      <c r="R216" s="27">
        <f t="shared" si="25"/>
        <v>91293.406818048315</v>
      </c>
      <c r="S216" s="27">
        <f t="shared" si="25"/>
        <v>0</v>
      </c>
      <c r="T216" s="27">
        <f t="shared" si="25"/>
        <v>397462.38657157909</v>
      </c>
      <c r="U216" s="27">
        <f t="shared" si="25"/>
        <v>0</v>
      </c>
      <c r="V216" s="27">
        <f t="shared" si="25"/>
        <v>0</v>
      </c>
      <c r="W216" s="27">
        <f t="shared" si="25"/>
        <v>31313333.333333336</v>
      </c>
      <c r="X216" s="27">
        <f t="shared" si="10"/>
        <v>0</v>
      </c>
      <c r="Y216" s="27">
        <f t="shared" si="10"/>
        <v>0</v>
      </c>
    </row>
    <row r="217" spans="1:25" outlineLevel="1" x14ac:dyDescent="0.25">
      <c r="A217" t="s">
        <v>37</v>
      </c>
      <c r="B217" t="s">
        <v>163</v>
      </c>
      <c r="C217" s="7" t="s">
        <v>15</v>
      </c>
      <c r="D217" t="s">
        <v>117</v>
      </c>
      <c r="E217" s="27">
        <f t="shared" ref="E217:W217" si="26">E20/WinterWeekdays</f>
        <v>707000</v>
      </c>
      <c r="F217" s="27">
        <f t="shared" si="26"/>
        <v>656.75166666666667</v>
      </c>
      <c r="G217" s="27">
        <f t="shared" si="26"/>
        <v>0</v>
      </c>
      <c r="H217" s="27">
        <f t="shared" si="26"/>
        <v>1724333.3333333335</v>
      </c>
      <c r="I217" s="27">
        <f t="shared" si="26"/>
        <v>484435.02333333337</v>
      </c>
      <c r="J217" s="27">
        <f t="shared" si="26"/>
        <v>484435.02333333337</v>
      </c>
      <c r="K217" s="27">
        <f t="shared" si="26"/>
        <v>1782666.6666666667</v>
      </c>
      <c r="L217" s="27">
        <f t="shared" si="26"/>
        <v>5276.4250000000002</v>
      </c>
      <c r="M217" s="27">
        <f t="shared" si="26"/>
        <v>0</v>
      </c>
      <c r="N217" s="27">
        <f t="shared" si="26"/>
        <v>23190390.241666667</v>
      </c>
      <c r="O217" s="27">
        <f t="shared" si="26"/>
        <v>23190390.241666667</v>
      </c>
      <c r="P217" s="27">
        <f t="shared" si="26"/>
        <v>23190390.241666667</v>
      </c>
      <c r="Q217" s="27">
        <f t="shared" si="26"/>
        <v>223219.82094938663</v>
      </c>
      <c r="R217" s="27">
        <f t="shared" si="26"/>
        <v>105182.48922284541</v>
      </c>
      <c r="S217" s="27">
        <f t="shared" si="26"/>
        <v>0</v>
      </c>
      <c r="T217" s="27">
        <f t="shared" si="26"/>
        <v>457931.02316110139</v>
      </c>
      <c r="U217" s="27">
        <f t="shared" si="26"/>
        <v>0</v>
      </c>
      <c r="V217" s="27">
        <f t="shared" si="26"/>
        <v>0</v>
      </c>
      <c r="W217" s="27">
        <f t="shared" si="26"/>
        <v>31616666.666666668</v>
      </c>
      <c r="X217" s="27">
        <f t="shared" si="10"/>
        <v>0</v>
      </c>
      <c r="Y217" s="27">
        <f t="shared" si="10"/>
        <v>0</v>
      </c>
    </row>
    <row r="218" spans="1:25" outlineLevel="1" x14ac:dyDescent="0.25">
      <c r="A218" t="s">
        <v>37</v>
      </c>
      <c r="B218" t="s">
        <v>164</v>
      </c>
      <c r="C218" s="7" t="s">
        <v>16</v>
      </c>
      <c r="D218" t="s">
        <v>117</v>
      </c>
      <c r="E218" s="27">
        <f t="shared" ref="E218:W218" si="27">E21/WinterWeekdays</f>
        <v>758333.33333333337</v>
      </c>
      <c r="F218" s="27">
        <f t="shared" si="27"/>
        <v>719.84500000000003</v>
      </c>
      <c r="G218" s="27">
        <f t="shared" si="27"/>
        <v>0</v>
      </c>
      <c r="H218" s="27">
        <f t="shared" si="27"/>
        <v>2508333.3333333335</v>
      </c>
      <c r="I218" s="27">
        <f t="shared" si="27"/>
        <v>612500</v>
      </c>
      <c r="J218" s="27">
        <f t="shared" si="27"/>
        <v>612500</v>
      </c>
      <c r="K218" s="27">
        <f t="shared" si="27"/>
        <v>1821166.6666666667</v>
      </c>
      <c r="L218" s="27">
        <f t="shared" si="27"/>
        <v>5030.6783333333333</v>
      </c>
      <c r="M218" s="27">
        <f t="shared" si="27"/>
        <v>0</v>
      </c>
      <c r="N218" s="27">
        <f t="shared" si="27"/>
        <v>21775469.321666669</v>
      </c>
      <c r="O218" s="27">
        <f t="shared" si="27"/>
        <v>21775469.321666669</v>
      </c>
      <c r="P218" s="27">
        <f t="shared" si="27"/>
        <v>21775469.321666669</v>
      </c>
      <c r="Q218" s="27">
        <f t="shared" si="27"/>
        <v>235142.54135617882</v>
      </c>
      <c r="R218" s="27">
        <f t="shared" si="27"/>
        <v>110800.54502703299</v>
      </c>
      <c r="S218" s="27">
        <f t="shared" si="27"/>
        <v>0</v>
      </c>
      <c r="T218" s="27">
        <f t="shared" si="27"/>
        <v>482390.24695012165</v>
      </c>
      <c r="U218" s="27">
        <f t="shared" si="27"/>
        <v>0</v>
      </c>
      <c r="V218" s="27">
        <f t="shared" si="27"/>
        <v>0</v>
      </c>
      <c r="W218" s="27">
        <f t="shared" si="27"/>
        <v>31686666.666666668</v>
      </c>
      <c r="X218" s="27">
        <f t="shared" si="10"/>
        <v>0</v>
      </c>
      <c r="Y218" s="27">
        <f t="shared" si="10"/>
        <v>0</v>
      </c>
    </row>
    <row r="219" spans="1:25" outlineLevel="1" x14ac:dyDescent="0.25">
      <c r="A219" t="s">
        <v>37</v>
      </c>
      <c r="B219" t="s">
        <v>165</v>
      </c>
      <c r="C219" s="7" t="s">
        <v>17</v>
      </c>
      <c r="D219" t="s">
        <v>117</v>
      </c>
      <c r="E219" s="27">
        <f t="shared" ref="E219:W219" si="28">E22/WinterWeekdays</f>
        <v>820166.66666666674</v>
      </c>
      <c r="F219" s="27">
        <f t="shared" si="28"/>
        <v>799.10833333333335</v>
      </c>
      <c r="G219" s="27">
        <f t="shared" si="28"/>
        <v>0</v>
      </c>
      <c r="H219" s="27">
        <f t="shared" si="28"/>
        <v>2745166.666666667</v>
      </c>
      <c r="I219" s="27">
        <f t="shared" si="28"/>
        <v>786333.33333333337</v>
      </c>
      <c r="J219" s="27">
        <f t="shared" si="28"/>
        <v>786333.33333333337</v>
      </c>
      <c r="K219" s="27">
        <f t="shared" si="28"/>
        <v>2130333.3333333335</v>
      </c>
      <c r="L219" s="27">
        <f t="shared" si="28"/>
        <v>4817.7150000000001</v>
      </c>
      <c r="M219" s="27">
        <f t="shared" si="28"/>
        <v>0</v>
      </c>
      <c r="N219" s="27">
        <f t="shared" si="28"/>
        <v>20743182.285</v>
      </c>
      <c r="O219" s="27">
        <f t="shared" si="28"/>
        <v>20743182.285</v>
      </c>
      <c r="P219" s="27">
        <f t="shared" si="28"/>
        <v>20743182.285</v>
      </c>
      <c r="Q219" s="27">
        <f t="shared" si="28"/>
        <v>216264.90071209118</v>
      </c>
      <c r="R219" s="27">
        <f t="shared" si="28"/>
        <v>101905.29000373598</v>
      </c>
      <c r="S219" s="27">
        <f t="shared" si="28"/>
        <v>0</v>
      </c>
      <c r="T219" s="27">
        <f t="shared" si="28"/>
        <v>443663.14261750621</v>
      </c>
      <c r="U219" s="27">
        <f t="shared" si="28"/>
        <v>0</v>
      </c>
      <c r="V219" s="27">
        <f t="shared" si="28"/>
        <v>0</v>
      </c>
      <c r="W219" s="27">
        <f t="shared" si="28"/>
        <v>31523333.333333336</v>
      </c>
      <c r="X219" s="27">
        <f t="shared" si="10"/>
        <v>0</v>
      </c>
      <c r="Y219" s="27">
        <f t="shared" si="10"/>
        <v>0</v>
      </c>
    </row>
    <row r="220" spans="1:25" outlineLevel="1" x14ac:dyDescent="0.25">
      <c r="A220" t="s">
        <v>37</v>
      </c>
      <c r="B220" t="s">
        <v>166</v>
      </c>
      <c r="C220" s="7" t="s">
        <v>18</v>
      </c>
      <c r="D220" t="s">
        <v>117</v>
      </c>
      <c r="E220" s="27">
        <f t="shared" ref="E220:W220" si="29">E23/WinterWeekdays</f>
        <v>882000.00000000012</v>
      </c>
      <c r="F220" s="27">
        <f t="shared" si="29"/>
        <v>880.23833333333334</v>
      </c>
      <c r="G220" s="27">
        <f t="shared" si="29"/>
        <v>0</v>
      </c>
      <c r="H220" s="27">
        <f t="shared" si="29"/>
        <v>2955166.666666667</v>
      </c>
      <c r="I220" s="27">
        <f t="shared" si="29"/>
        <v>786333.33333333337</v>
      </c>
      <c r="J220" s="27">
        <f t="shared" si="29"/>
        <v>786333.33333333337</v>
      </c>
      <c r="K220" s="27">
        <f t="shared" si="29"/>
        <v>2420833.3333333335</v>
      </c>
      <c r="L220" s="27">
        <f t="shared" si="29"/>
        <v>4513.8216666666667</v>
      </c>
      <c r="M220" s="27">
        <f t="shared" si="29"/>
        <v>0</v>
      </c>
      <c r="N220" s="27">
        <f t="shared" si="29"/>
        <v>17372986.178333335</v>
      </c>
      <c r="O220" s="27">
        <f t="shared" si="29"/>
        <v>17372986.178333335</v>
      </c>
      <c r="P220" s="27">
        <f t="shared" si="29"/>
        <v>17372986.178333335</v>
      </c>
      <c r="Q220" s="27">
        <f t="shared" si="29"/>
        <v>176522.49935611733</v>
      </c>
      <c r="R220" s="27">
        <f t="shared" si="29"/>
        <v>83178.437323110687</v>
      </c>
      <c r="S220" s="27">
        <f t="shared" si="29"/>
        <v>0</v>
      </c>
      <c r="T220" s="27">
        <f t="shared" si="29"/>
        <v>362132.3966541054</v>
      </c>
      <c r="U220" s="27">
        <f t="shared" si="29"/>
        <v>0</v>
      </c>
      <c r="V220" s="27">
        <f t="shared" si="29"/>
        <v>0</v>
      </c>
      <c r="W220" s="27">
        <f t="shared" si="29"/>
        <v>31336666.666666668</v>
      </c>
      <c r="X220" s="27">
        <f t="shared" si="10"/>
        <v>0</v>
      </c>
      <c r="Y220" s="27">
        <f t="shared" si="10"/>
        <v>0</v>
      </c>
    </row>
    <row r="221" spans="1:25" outlineLevel="1" x14ac:dyDescent="0.25">
      <c r="A221" t="s">
        <v>37</v>
      </c>
      <c r="B221" t="s">
        <v>167</v>
      </c>
      <c r="C221" s="7" t="s">
        <v>19</v>
      </c>
      <c r="D221" t="s">
        <v>117</v>
      </c>
      <c r="E221" s="27">
        <f t="shared" ref="E221:W221" si="30">E24/WinterWeekdays</f>
        <v>927500.00000000012</v>
      </c>
      <c r="F221" s="27">
        <f t="shared" si="30"/>
        <v>952.75833333333344</v>
      </c>
      <c r="G221" s="27">
        <f t="shared" si="30"/>
        <v>0</v>
      </c>
      <c r="H221" s="27">
        <f t="shared" si="30"/>
        <v>3001833.3333333335</v>
      </c>
      <c r="I221" s="27">
        <f t="shared" si="30"/>
        <v>708166.66666666674</v>
      </c>
      <c r="J221" s="27">
        <f t="shared" si="30"/>
        <v>708166.66666666674</v>
      </c>
      <c r="K221" s="27">
        <f t="shared" si="30"/>
        <v>2602833.3333333335</v>
      </c>
      <c r="L221" s="27">
        <f t="shared" si="30"/>
        <v>4258.2400000000007</v>
      </c>
      <c r="M221" s="27">
        <f t="shared" si="30"/>
        <v>0</v>
      </c>
      <c r="N221" s="27">
        <f t="shared" si="30"/>
        <v>14414575.093333334</v>
      </c>
      <c r="O221" s="27">
        <f t="shared" si="30"/>
        <v>14414575.093333334</v>
      </c>
      <c r="P221" s="27">
        <f t="shared" si="30"/>
        <v>14414575.093333334</v>
      </c>
      <c r="Q221" s="27">
        <f t="shared" si="30"/>
        <v>161950.28552559356</v>
      </c>
      <c r="R221" s="27">
        <f t="shared" si="30"/>
        <v>76311.92467354807</v>
      </c>
      <c r="S221" s="27">
        <f t="shared" si="30"/>
        <v>0</v>
      </c>
      <c r="T221" s="27">
        <f t="shared" si="30"/>
        <v>332237.78980085842</v>
      </c>
      <c r="U221" s="27">
        <f t="shared" si="30"/>
        <v>0</v>
      </c>
      <c r="V221" s="27">
        <f t="shared" si="30"/>
        <v>0</v>
      </c>
      <c r="W221" s="27">
        <f t="shared" si="30"/>
        <v>31126666.666666668</v>
      </c>
      <c r="X221" s="27">
        <f t="shared" si="10"/>
        <v>0</v>
      </c>
      <c r="Y221" s="27">
        <f t="shared" si="10"/>
        <v>0</v>
      </c>
    </row>
    <row r="222" spans="1:25" outlineLevel="1" x14ac:dyDescent="0.25">
      <c r="A222" t="s">
        <v>37</v>
      </c>
      <c r="B222" t="s">
        <v>168</v>
      </c>
      <c r="C222" s="7" t="s">
        <v>20</v>
      </c>
      <c r="D222" t="s">
        <v>117</v>
      </c>
      <c r="E222" s="27">
        <f t="shared" ref="E222:W222" si="31">E25/WinterWeekdays</f>
        <v>878500.00000000012</v>
      </c>
      <c r="F222" s="27">
        <f t="shared" si="31"/>
        <v>1013.2033333333334</v>
      </c>
      <c r="G222" s="27">
        <f t="shared" si="31"/>
        <v>0</v>
      </c>
      <c r="H222" s="27">
        <f t="shared" si="31"/>
        <v>2458166.666666667</v>
      </c>
      <c r="I222" s="27">
        <f t="shared" si="31"/>
        <v>655666.66666666674</v>
      </c>
      <c r="J222" s="27">
        <f t="shared" si="31"/>
        <v>655666.66666666674</v>
      </c>
      <c r="K222" s="27">
        <f t="shared" si="31"/>
        <v>2821000</v>
      </c>
      <c r="L222" s="27">
        <f t="shared" si="31"/>
        <v>3997.5133333333338</v>
      </c>
      <c r="M222" s="27">
        <f t="shared" si="31"/>
        <v>0</v>
      </c>
      <c r="N222" s="27">
        <f t="shared" si="31"/>
        <v>11688335.82</v>
      </c>
      <c r="O222" s="27">
        <f t="shared" si="31"/>
        <v>11688335.82</v>
      </c>
      <c r="P222" s="27">
        <f t="shared" si="31"/>
        <v>11688335.82</v>
      </c>
      <c r="Q222" s="27">
        <f t="shared" si="31"/>
        <v>152677.05854253299</v>
      </c>
      <c r="R222" s="27">
        <f t="shared" si="31"/>
        <v>71942.325714735518</v>
      </c>
      <c r="S222" s="27">
        <f t="shared" si="31"/>
        <v>0</v>
      </c>
      <c r="T222" s="27">
        <f t="shared" si="31"/>
        <v>313213.94907606486</v>
      </c>
      <c r="U222" s="27">
        <f t="shared" si="31"/>
        <v>0</v>
      </c>
      <c r="V222" s="27">
        <f t="shared" si="31"/>
        <v>0</v>
      </c>
      <c r="W222" s="27">
        <f t="shared" si="31"/>
        <v>30858333.333333336</v>
      </c>
      <c r="X222" s="27">
        <f t="shared" si="10"/>
        <v>0</v>
      </c>
      <c r="Y222" s="27">
        <f t="shared" si="10"/>
        <v>0</v>
      </c>
    </row>
    <row r="223" spans="1:25" outlineLevel="1" x14ac:dyDescent="0.25">
      <c r="A223" t="s">
        <v>37</v>
      </c>
      <c r="B223" t="s">
        <v>169</v>
      </c>
      <c r="C223" s="7" t="s">
        <v>21</v>
      </c>
      <c r="D223" t="s">
        <v>117</v>
      </c>
      <c r="E223" s="27">
        <f t="shared" ref="E223:W223" si="32">E26/WinterWeekdays</f>
        <v>757166.66666666674</v>
      </c>
      <c r="F223" s="27">
        <f t="shared" si="32"/>
        <v>1056.23</v>
      </c>
      <c r="G223" s="27">
        <f t="shared" si="32"/>
        <v>0</v>
      </c>
      <c r="H223" s="27">
        <f t="shared" si="32"/>
        <v>1460666.6666666667</v>
      </c>
      <c r="I223" s="27">
        <f t="shared" si="32"/>
        <v>576333.33333333337</v>
      </c>
      <c r="J223" s="27">
        <f t="shared" si="32"/>
        <v>576333.33333333337</v>
      </c>
      <c r="K223" s="27">
        <f t="shared" si="32"/>
        <v>2805833.3333333335</v>
      </c>
      <c r="L223" s="27">
        <f t="shared" si="32"/>
        <v>3684.0066666666671</v>
      </c>
      <c r="M223" s="27">
        <f t="shared" si="32"/>
        <v>0</v>
      </c>
      <c r="N223" s="27">
        <f t="shared" si="32"/>
        <v>9837149.3266666681</v>
      </c>
      <c r="O223" s="27">
        <f t="shared" si="32"/>
        <v>9837149.3266666681</v>
      </c>
      <c r="P223" s="27">
        <f t="shared" si="32"/>
        <v>9837149.3266666681</v>
      </c>
      <c r="Q223" s="27">
        <f t="shared" si="32"/>
        <v>144397.39159337175</v>
      </c>
      <c r="R223" s="27">
        <f t="shared" si="32"/>
        <v>68040.898072938566</v>
      </c>
      <c r="S223" s="27">
        <f t="shared" si="32"/>
        <v>0</v>
      </c>
      <c r="T223" s="27">
        <f t="shared" si="32"/>
        <v>296228.37700035638</v>
      </c>
      <c r="U223" s="27">
        <f t="shared" si="32"/>
        <v>0</v>
      </c>
      <c r="V223" s="27">
        <f t="shared" si="32"/>
        <v>0</v>
      </c>
      <c r="W223" s="27">
        <f t="shared" si="32"/>
        <v>30590000.000000004</v>
      </c>
      <c r="X223" s="27">
        <f t="shared" si="10"/>
        <v>0</v>
      </c>
      <c r="Y223" s="27">
        <f t="shared" si="10"/>
        <v>0</v>
      </c>
    </row>
    <row r="224" spans="1:25" outlineLevel="1" x14ac:dyDescent="0.25">
      <c r="A224" t="s">
        <v>37</v>
      </c>
      <c r="B224" t="s">
        <v>170</v>
      </c>
      <c r="C224" s="7" t="s">
        <v>22</v>
      </c>
      <c r="D224" t="s">
        <v>117</v>
      </c>
      <c r="E224" s="27">
        <f t="shared" ref="E224:W224" si="33">E27/WinterWeekdays</f>
        <v>739666.66666666674</v>
      </c>
      <c r="F224" s="27">
        <f t="shared" si="33"/>
        <v>1085.2683333333334</v>
      </c>
      <c r="G224" s="27">
        <f t="shared" si="33"/>
        <v>0</v>
      </c>
      <c r="H224" s="27">
        <f t="shared" si="33"/>
        <v>768833.33333333337</v>
      </c>
      <c r="I224" s="27">
        <f t="shared" si="33"/>
        <v>404148.97833333339</v>
      </c>
      <c r="J224" s="27">
        <f t="shared" si="33"/>
        <v>404148.97833333339</v>
      </c>
      <c r="K224" s="27">
        <f t="shared" si="33"/>
        <v>1397666.6666666667</v>
      </c>
      <c r="L224" s="27">
        <f t="shared" si="33"/>
        <v>3255.7700000000004</v>
      </c>
      <c r="M224" s="27">
        <f t="shared" si="33"/>
        <v>0</v>
      </c>
      <c r="N224" s="27">
        <f t="shared" si="33"/>
        <v>8574077.5633333344</v>
      </c>
      <c r="O224" s="27">
        <f t="shared" si="33"/>
        <v>8574077.5633333344</v>
      </c>
      <c r="P224" s="27">
        <f t="shared" si="33"/>
        <v>8574077.5633333344</v>
      </c>
      <c r="Q224" s="27">
        <f t="shared" si="33"/>
        <v>97096.647872847578</v>
      </c>
      <c r="R224" s="27">
        <f t="shared" si="33"/>
        <v>45752.510126669687</v>
      </c>
      <c r="S224" s="27">
        <f t="shared" si="33"/>
        <v>0</v>
      </c>
      <c r="T224" s="27">
        <f t="shared" si="33"/>
        <v>199191.84200048278</v>
      </c>
      <c r="U224" s="27">
        <f t="shared" si="33"/>
        <v>0</v>
      </c>
      <c r="V224" s="27">
        <f t="shared" si="33"/>
        <v>0</v>
      </c>
      <c r="W224" s="27">
        <f t="shared" si="33"/>
        <v>30450000.000000004</v>
      </c>
      <c r="X224" s="27">
        <f t="shared" si="10"/>
        <v>0</v>
      </c>
      <c r="Y224" s="27">
        <f t="shared" si="10"/>
        <v>0</v>
      </c>
    </row>
    <row r="225" spans="1:25" outlineLevel="1" x14ac:dyDescent="0.25">
      <c r="A225" t="s">
        <v>38</v>
      </c>
      <c r="B225" t="s">
        <v>147</v>
      </c>
      <c r="C225" s="7" t="s">
        <v>34</v>
      </c>
      <c r="D225" t="s">
        <v>117</v>
      </c>
      <c r="E225" s="25">
        <f t="shared" ref="E225:W225" si="34">E28/SpringWeekdays</f>
        <v>303554.45217391301</v>
      </c>
      <c r="F225" s="25">
        <f t="shared" si="34"/>
        <v>1161.1782608695651</v>
      </c>
      <c r="G225" s="25">
        <f t="shared" si="34"/>
        <v>0</v>
      </c>
      <c r="H225" s="25">
        <f t="shared" si="34"/>
        <v>469725.30652173905</v>
      </c>
      <c r="I225" s="25">
        <f t="shared" si="34"/>
        <v>192036.2956521739</v>
      </c>
      <c r="J225" s="25">
        <f t="shared" si="34"/>
        <v>192036.2956521739</v>
      </c>
      <c r="K225" s="25">
        <f t="shared" si="34"/>
        <v>818922.10217391292</v>
      </c>
      <c r="L225" s="25">
        <f t="shared" si="34"/>
        <v>120121.94782608694</v>
      </c>
      <c r="M225" s="25">
        <f t="shared" si="34"/>
        <v>0</v>
      </c>
      <c r="N225" s="25">
        <f t="shared" si="34"/>
        <v>6928347.2543478254</v>
      </c>
      <c r="O225" s="25">
        <f t="shared" si="34"/>
        <v>6928347.2543478254</v>
      </c>
      <c r="P225" s="25">
        <f t="shared" si="34"/>
        <v>6928347.2543478254</v>
      </c>
      <c r="Q225" s="25">
        <f t="shared" si="34"/>
        <v>60127.047940522585</v>
      </c>
      <c r="R225" s="25">
        <f t="shared" si="34"/>
        <v>28332.217744406822</v>
      </c>
      <c r="S225" s="25">
        <f t="shared" si="34"/>
        <v>0</v>
      </c>
      <c r="T225" s="25">
        <f t="shared" si="34"/>
        <v>123349.44301072275</v>
      </c>
      <c r="U225" s="25">
        <f t="shared" si="34"/>
        <v>0</v>
      </c>
      <c r="V225" s="25">
        <f t="shared" si="34"/>
        <v>0</v>
      </c>
      <c r="W225" s="25">
        <f t="shared" si="34"/>
        <v>29643478.260869563</v>
      </c>
      <c r="X225" s="25">
        <f t="shared" ref="X225:Y248" si="35">X28/SpringWeekdays</f>
        <v>0</v>
      </c>
      <c r="Y225" s="25">
        <f t="shared" si="35"/>
        <v>0</v>
      </c>
    </row>
    <row r="226" spans="1:25" outlineLevel="1" x14ac:dyDescent="0.25">
      <c r="A226" t="s">
        <v>38</v>
      </c>
      <c r="B226" t="s">
        <v>148</v>
      </c>
      <c r="C226" s="7" t="s">
        <v>0</v>
      </c>
      <c r="D226" t="s">
        <v>117</v>
      </c>
      <c r="E226" s="25">
        <f t="shared" ref="E226:W226" si="36">E29/SpringWeekdays</f>
        <v>311058.63478260866</v>
      </c>
      <c r="F226" s="25">
        <f t="shared" si="36"/>
        <v>1167.691304347826</v>
      </c>
      <c r="G226" s="25">
        <f t="shared" si="36"/>
        <v>0</v>
      </c>
      <c r="H226" s="25">
        <f t="shared" si="36"/>
        <v>433325.3826086956</v>
      </c>
      <c r="I226" s="25">
        <f t="shared" si="36"/>
        <v>132754.10217391304</v>
      </c>
      <c r="J226" s="25">
        <f t="shared" si="36"/>
        <v>132754.10217391304</v>
      </c>
      <c r="K226" s="25">
        <f t="shared" si="36"/>
        <v>732444.14782608685</v>
      </c>
      <c r="L226" s="25">
        <f t="shared" si="36"/>
        <v>113267.71521739129</v>
      </c>
      <c r="M226" s="25">
        <f t="shared" si="36"/>
        <v>0</v>
      </c>
      <c r="N226" s="25">
        <f t="shared" si="36"/>
        <v>6823853.3543478251</v>
      </c>
      <c r="O226" s="25">
        <f t="shared" si="36"/>
        <v>6823853.3543478251</v>
      </c>
      <c r="P226" s="25">
        <f t="shared" si="36"/>
        <v>6823853.3543478251</v>
      </c>
      <c r="Q226" s="25">
        <f t="shared" si="36"/>
        <v>59248.13609488275</v>
      </c>
      <c r="R226" s="25">
        <f t="shared" si="36"/>
        <v>27918.069326319866</v>
      </c>
      <c r="S226" s="25">
        <f t="shared" si="36"/>
        <v>0</v>
      </c>
      <c r="T226" s="25">
        <f t="shared" si="36"/>
        <v>121546.37283966692</v>
      </c>
      <c r="U226" s="25">
        <f t="shared" si="36"/>
        <v>0</v>
      </c>
      <c r="V226" s="25">
        <f t="shared" si="36"/>
        <v>0</v>
      </c>
      <c r="W226" s="25">
        <f t="shared" si="36"/>
        <v>29597826.08695652</v>
      </c>
      <c r="X226" s="25">
        <f t="shared" si="35"/>
        <v>0</v>
      </c>
      <c r="Y226" s="25">
        <f t="shared" si="35"/>
        <v>0</v>
      </c>
    </row>
    <row r="227" spans="1:25" outlineLevel="1" x14ac:dyDescent="0.25">
      <c r="A227" t="s">
        <v>38</v>
      </c>
      <c r="B227" t="s">
        <v>149</v>
      </c>
      <c r="C227" s="7" t="s">
        <v>1</v>
      </c>
      <c r="D227" t="s">
        <v>117</v>
      </c>
      <c r="E227" s="25">
        <f t="shared" ref="E227:W227" si="37">E30/SpringWeekdays</f>
        <v>313581.32826086954</v>
      </c>
      <c r="F227" s="25">
        <f t="shared" si="37"/>
        <v>1172.1652173913042</v>
      </c>
      <c r="G227" s="25">
        <f t="shared" si="37"/>
        <v>0</v>
      </c>
      <c r="H227" s="25">
        <f t="shared" si="37"/>
        <v>429073.14130434778</v>
      </c>
      <c r="I227" s="25">
        <f t="shared" si="37"/>
        <v>120569.41521739129</v>
      </c>
      <c r="J227" s="25">
        <f t="shared" si="37"/>
        <v>120569.41521739129</v>
      </c>
      <c r="K227" s="25">
        <f t="shared" si="37"/>
        <v>721403.04782608687</v>
      </c>
      <c r="L227" s="25">
        <f t="shared" si="37"/>
        <v>110407.57608695651</v>
      </c>
      <c r="M227" s="25">
        <f t="shared" si="37"/>
        <v>0</v>
      </c>
      <c r="N227" s="25">
        <f t="shared" si="37"/>
        <v>6792102.4195652166</v>
      </c>
      <c r="O227" s="25">
        <f t="shared" si="37"/>
        <v>6792102.4195652166</v>
      </c>
      <c r="P227" s="25">
        <f t="shared" si="37"/>
        <v>6792102.4195652166</v>
      </c>
      <c r="Q227" s="25">
        <f t="shared" si="37"/>
        <v>59022.40789483329</v>
      </c>
      <c r="R227" s="25">
        <f t="shared" si="37"/>
        <v>27811.704874148843</v>
      </c>
      <c r="S227" s="25">
        <f t="shared" si="37"/>
        <v>0</v>
      </c>
      <c r="T227" s="25">
        <f t="shared" si="37"/>
        <v>121083.29592667002</v>
      </c>
      <c r="U227" s="25">
        <f t="shared" si="37"/>
        <v>0</v>
      </c>
      <c r="V227" s="25">
        <f t="shared" si="37"/>
        <v>0</v>
      </c>
      <c r="W227" s="25">
        <f t="shared" si="37"/>
        <v>29597826.08695652</v>
      </c>
      <c r="X227" s="25">
        <f t="shared" si="35"/>
        <v>0</v>
      </c>
      <c r="Y227" s="25">
        <f t="shared" si="35"/>
        <v>0</v>
      </c>
    </row>
    <row r="228" spans="1:25" outlineLevel="1" x14ac:dyDescent="0.25">
      <c r="A228" t="s">
        <v>38</v>
      </c>
      <c r="B228" t="s">
        <v>150</v>
      </c>
      <c r="C228" s="7" t="s">
        <v>2</v>
      </c>
      <c r="D228" t="s">
        <v>117</v>
      </c>
      <c r="E228" s="25">
        <f t="shared" ref="E228:W228" si="38">E31/SpringWeekdays</f>
        <v>311058.63478260866</v>
      </c>
      <c r="F228" s="25">
        <f t="shared" si="38"/>
        <v>1172.8347826086956</v>
      </c>
      <c r="G228" s="25">
        <f t="shared" si="38"/>
        <v>0</v>
      </c>
      <c r="H228" s="25">
        <f t="shared" si="38"/>
        <v>438638.30652173905</v>
      </c>
      <c r="I228" s="25">
        <f t="shared" si="38"/>
        <v>117836.93478260867</v>
      </c>
      <c r="J228" s="25">
        <f t="shared" si="38"/>
        <v>117836.93478260867</v>
      </c>
      <c r="K228" s="25">
        <f t="shared" si="38"/>
        <v>739237.16086956509</v>
      </c>
      <c r="L228" s="25">
        <f t="shared" si="38"/>
        <v>108794.25869565216</v>
      </c>
      <c r="M228" s="25">
        <f t="shared" si="38"/>
        <v>0</v>
      </c>
      <c r="N228" s="25">
        <f t="shared" si="38"/>
        <v>7095446.8413043469</v>
      </c>
      <c r="O228" s="25">
        <f t="shared" si="38"/>
        <v>7095446.8413043469</v>
      </c>
      <c r="P228" s="25">
        <f t="shared" si="38"/>
        <v>7095446.8413043469</v>
      </c>
      <c r="Q228" s="25">
        <f t="shared" si="38"/>
        <v>59230.217455662692</v>
      </c>
      <c r="R228" s="25">
        <f t="shared" si="38"/>
        <v>27909.625958393859</v>
      </c>
      <c r="S228" s="25">
        <f t="shared" si="38"/>
        <v>0</v>
      </c>
      <c r="T228" s="25">
        <f t="shared" si="38"/>
        <v>121509.61310768255</v>
      </c>
      <c r="U228" s="25">
        <f t="shared" si="38"/>
        <v>0</v>
      </c>
      <c r="V228" s="25">
        <f t="shared" si="38"/>
        <v>0</v>
      </c>
      <c r="W228" s="25">
        <f t="shared" si="38"/>
        <v>29597826.08695652</v>
      </c>
      <c r="X228" s="25">
        <f t="shared" si="35"/>
        <v>0</v>
      </c>
      <c r="Y228" s="25">
        <f t="shared" si="35"/>
        <v>0</v>
      </c>
    </row>
    <row r="229" spans="1:25" outlineLevel="1" x14ac:dyDescent="0.25">
      <c r="A229" t="s">
        <v>38</v>
      </c>
      <c r="B229" t="s">
        <v>151</v>
      </c>
      <c r="C229" s="7" t="s">
        <v>3</v>
      </c>
      <c r="D229" t="s">
        <v>117</v>
      </c>
      <c r="E229" s="25">
        <f t="shared" ref="E229:W229" si="39">E32/SpringWeekdays</f>
        <v>303554.45217391301</v>
      </c>
      <c r="F229" s="25">
        <f t="shared" si="39"/>
        <v>1143.1456521739128</v>
      </c>
      <c r="G229" s="25">
        <f t="shared" si="39"/>
        <v>0</v>
      </c>
      <c r="H229" s="25">
        <f t="shared" si="39"/>
        <v>564565.21739130432</v>
      </c>
      <c r="I229" s="25">
        <f t="shared" si="39"/>
        <v>165343.63695652172</v>
      </c>
      <c r="J229" s="25">
        <f t="shared" si="39"/>
        <v>165343.63695652172</v>
      </c>
      <c r="K229" s="25">
        <f t="shared" si="39"/>
        <v>736991.72826086951</v>
      </c>
      <c r="L229" s="25">
        <f t="shared" si="39"/>
        <v>108446.8456521739</v>
      </c>
      <c r="M229" s="25">
        <f t="shared" si="39"/>
        <v>0</v>
      </c>
      <c r="N229" s="25">
        <f t="shared" si="39"/>
        <v>7524126.6434782604</v>
      </c>
      <c r="O229" s="25">
        <f t="shared" si="39"/>
        <v>7524126.6434782604</v>
      </c>
      <c r="P229" s="25">
        <f t="shared" si="39"/>
        <v>7524126.6434782604</v>
      </c>
      <c r="Q229" s="25">
        <f t="shared" si="39"/>
        <v>59003.776484284557</v>
      </c>
      <c r="R229" s="25">
        <f t="shared" si="39"/>
        <v>27802.925644191066</v>
      </c>
      <c r="S229" s="25">
        <f t="shared" si="39"/>
        <v>0</v>
      </c>
      <c r="T229" s="25">
        <f t="shared" si="39"/>
        <v>121045.07395848088</v>
      </c>
      <c r="U229" s="25">
        <f t="shared" si="39"/>
        <v>0</v>
      </c>
      <c r="V229" s="25">
        <f t="shared" si="39"/>
        <v>0</v>
      </c>
      <c r="W229" s="25">
        <f t="shared" si="39"/>
        <v>29689130.434782606</v>
      </c>
      <c r="X229" s="25">
        <f t="shared" si="35"/>
        <v>0</v>
      </c>
      <c r="Y229" s="25">
        <f t="shared" si="35"/>
        <v>0</v>
      </c>
    </row>
    <row r="230" spans="1:25" outlineLevel="1" x14ac:dyDescent="0.25">
      <c r="A230" t="s">
        <v>38</v>
      </c>
      <c r="B230" t="s">
        <v>152</v>
      </c>
      <c r="C230" s="7" t="s">
        <v>4</v>
      </c>
      <c r="D230" t="s">
        <v>117</v>
      </c>
      <c r="E230" s="25">
        <f t="shared" ref="E230:W230" si="40">E33/SpringWeekdays</f>
        <v>403738.80217391299</v>
      </c>
      <c r="F230" s="25">
        <f t="shared" si="40"/>
        <v>1051.0956521739129</v>
      </c>
      <c r="G230" s="25">
        <f t="shared" si="40"/>
        <v>0</v>
      </c>
      <c r="H230" s="25">
        <f t="shared" si="40"/>
        <v>948043.47826086939</v>
      </c>
      <c r="I230" s="25">
        <f t="shared" si="40"/>
        <v>366804.86956521735</v>
      </c>
      <c r="J230" s="25">
        <f t="shared" si="40"/>
        <v>366804.86956521735</v>
      </c>
      <c r="K230" s="25">
        <f t="shared" si="40"/>
        <v>1113738.302173913</v>
      </c>
      <c r="L230" s="25">
        <f t="shared" si="40"/>
        <v>111836.73260869565</v>
      </c>
      <c r="M230" s="25">
        <f t="shared" si="40"/>
        <v>0</v>
      </c>
      <c r="N230" s="25">
        <f t="shared" si="40"/>
        <v>8787468.4434782602</v>
      </c>
      <c r="O230" s="25">
        <f t="shared" si="40"/>
        <v>8787468.4434782602</v>
      </c>
      <c r="P230" s="25">
        <f t="shared" si="40"/>
        <v>8787468.4434782602</v>
      </c>
      <c r="Q230" s="25">
        <f t="shared" si="40"/>
        <v>60730.069763879736</v>
      </c>
      <c r="R230" s="25">
        <f t="shared" si="40"/>
        <v>28616.365165395866</v>
      </c>
      <c r="S230" s="25">
        <f t="shared" si="40"/>
        <v>0</v>
      </c>
      <c r="T230" s="25">
        <f t="shared" si="40"/>
        <v>124586.53028811567</v>
      </c>
      <c r="U230" s="25">
        <f t="shared" si="40"/>
        <v>0</v>
      </c>
      <c r="V230" s="25">
        <f t="shared" si="40"/>
        <v>0</v>
      </c>
      <c r="W230" s="25">
        <f t="shared" si="40"/>
        <v>29902173.913043473</v>
      </c>
      <c r="X230" s="25">
        <f t="shared" si="35"/>
        <v>0</v>
      </c>
      <c r="Y230" s="25">
        <f t="shared" si="35"/>
        <v>0</v>
      </c>
    </row>
    <row r="231" spans="1:25" outlineLevel="1" x14ac:dyDescent="0.25">
      <c r="A231" t="s">
        <v>38</v>
      </c>
      <c r="B231" t="s">
        <v>153</v>
      </c>
      <c r="C231" s="7" t="s">
        <v>5</v>
      </c>
      <c r="D231" t="s">
        <v>117</v>
      </c>
      <c r="E231" s="25">
        <f t="shared" ref="E231:W231" si="41">E34/SpringWeekdays</f>
        <v>436646.03043478256</v>
      </c>
      <c r="F231" s="25">
        <f t="shared" si="41"/>
        <v>858.67173913043473</v>
      </c>
      <c r="G231" s="25">
        <f t="shared" si="41"/>
        <v>0</v>
      </c>
      <c r="H231" s="25">
        <f t="shared" si="41"/>
        <v>861304.3478260868</v>
      </c>
      <c r="I231" s="25">
        <f t="shared" si="41"/>
        <v>718260.86956521729</v>
      </c>
      <c r="J231" s="25">
        <f t="shared" si="41"/>
        <v>718260.86956521729</v>
      </c>
      <c r="K231" s="25">
        <f t="shared" si="41"/>
        <v>2075652.1739130432</v>
      </c>
      <c r="L231" s="25">
        <f t="shared" si="41"/>
        <v>123961.11304347824</v>
      </c>
      <c r="M231" s="25">
        <f t="shared" si="41"/>
        <v>0</v>
      </c>
      <c r="N231" s="25">
        <f t="shared" si="41"/>
        <v>13169951.93043478</v>
      </c>
      <c r="O231" s="25">
        <f t="shared" si="41"/>
        <v>13169951.93043478</v>
      </c>
      <c r="P231" s="25">
        <f t="shared" si="41"/>
        <v>13169951.93043478</v>
      </c>
      <c r="Q231" s="25">
        <f t="shared" si="41"/>
        <v>91295.68281753271</v>
      </c>
      <c r="R231" s="25">
        <f t="shared" si="41"/>
        <v>43019.061359361927</v>
      </c>
      <c r="S231" s="25">
        <f t="shared" si="41"/>
        <v>0</v>
      </c>
      <c r="T231" s="25">
        <f t="shared" si="41"/>
        <v>187291.27756223574</v>
      </c>
      <c r="U231" s="25">
        <f t="shared" si="41"/>
        <v>0</v>
      </c>
      <c r="V231" s="25">
        <f t="shared" si="41"/>
        <v>0</v>
      </c>
      <c r="W231" s="25">
        <f t="shared" si="41"/>
        <v>30221739.130434778</v>
      </c>
      <c r="X231" s="25">
        <f t="shared" si="35"/>
        <v>0</v>
      </c>
      <c r="Y231" s="25">
        <f t="shared" si="35"/>
        <v>0</v>
      </c>
    </row>
    <row r="232" spans="1:25" outlineLevel="1" x14ac:dyDescent="0.25">
      <c r="A232" t="s">
        <v>38</v>
      </c>
      <c r="B232" t="s">
        <v>154</v>
      </c>
      <c r="C232" s="7" t="s">
        <v>6</v>
      </c>
      <c r="D232" t="s">
        <v>117</v>
      </c>
      <c r="E232" s="25">
        <f t="shared" ref="E232:W232" si="42">E35/SpringWeekdays</f>
        <v>429605.14130434778</v>
      </c>
      <c r="F232" s="25">
        <f t="shared" si="42"/>
        <v>644.39565217391294</v>
      </c>
      <c r="G232" s="25">
        <f t="shared" si="42"/>
        <v>0</v>
      </c>
      <c r="H232" s="25">
        <f t="shared" si="42"/>
        <v>449695.15652173909</v>
      </c>
      <c r="I232" s="25">
        <f t="shared" si="42"/>
        <v>989130.43478260853</v>
      </c>
      <c r="J232" s="25">
        <f t="shared" si="42"/>
        <v>989130.43478260853</v>
      </c>
      <c r="K232" s="25">
        <f t="shared" si="42"/>
        <v>2288695.6521739126</v>
      </c>
      <c r="L232" s="25">
        <f t="shared" si="42"/>
        <v>147880.38695652172</v>
      </c>
      <c r="M232" s="25">
        <f t="shared" si="42"/>
        <v>0</v>
      </c>
      <c r="N232" s="25">
        <f t="shared" si="42"/>
        <v>18061250.047826085</v>
      </c>
      <c r="O232" s="25">
        <f t="shared" si="42"/>
        <v>18061250.047826085</v>
      </c>
      <c r="P232" s="25">
        <f t="shared" si="42"/>
        <v>18061250.047826085</v>
      </c>
      <c r="Q232" s="25">
        <f t="shared" si="42"/>
        <v>192664.25005178637</v>
      </c>
      <c r="R232" s="25">
        <f t="shared" si="42"/>
        <v>90784.524951726955</v>
      </c>
      <c r="S232" s="25">
        <f t="shared" si="42"/>
        <v>0</v>
      </c>
      <c r="T232" s="25">
        <f t="shared" si="42"/>
        <v>395246.87717039959</v>
      </c>
      <c r="U232" s="25">
        <f t="shared" si="42"/>
        <v>0</v>
      </c>
      <c r="V232" s="25">
        <f t="shared" si="42"/>
        <v>0</v>
      </c>
      <c r="W232" s="25">
        <f t="shared" si="42"/>
        <v>30510869.565217387</v>
      </c>
      <c r="X232" s="25">
        <f t="shared" si="35"/>
        <v>0</v>
      </c>
      <c r="Y232" s="25">
        <f t="shared" si="35"/>
        <v>0</v>
      </c>
    </row>
    <row r="233" spans="1:25" outlineLevel="1" x14ac:dyDescent="0.25">
      <c r="A233" t="s">
        <v>38</v>
      </c>
      <c r="B233" t="s">
        <v>155</v>
      </c>
      <c r="C233" s="7" t="s">
        <v>7</v>
      </c>
      <c r="D233" t="s">
        <v>117</v>
      </c>
      <c r="E233" s="25">
        <f t="shared" ref="E233:W233" si="43">E36/SpringWeekdays</f>
        <v>414588.5282608695</v>
      </c>
      <c r="F233" s="25">
        <f t="shared" si="43"/>
        <v>1385.8173913043477</v>
      </c>
      <c r="G233" s="25">
        <f t="shared" si="43"/>
        <v>0</v>
      </c>
      <c r="H233" s="25">
        <f t="shared" si="43"/>
        <v>430610.82826086949</v>
      </c>
      <c r="I233" s="25">
        <f t="shared" si="43"/>
        <v>655869.56521739124</v>
      </c>
      <c r="J233" s="25">
        <f t="shared" si="43"/>
        <v>655869.56521739124</v>
      </c>
      <c r="K233" s="25">
        <f t="shared" si="43"/>
        <v>1754144.5782608693</v>
      </c>
      <c r="L233" s="25">
        <f t="shared" si="43"/>
        <v>183902.41739130433</v>
      </c>
      <c r="M233" s="25">
        <f t="shared" si="43"/>
        <v>0</v>
      </c>
      <c r="N233" s="25">
        <f t="shared" si="43"/>
        <v>22440213.873913042</v>
      </c>
      <c r="O233" s="25">
        <f t="shared" si="43"/>
        <v>22440213.873913042</v>
      </c>
      <c r="P233" s="25">
        <f t="shared" si="43"/>
        <v>22440213.873913042</v>
      </c>
      <c r="Q233" s="25">
        <f t="shared" si="43"/>
        <v>209943.55498916632</v>
      </c>
      <c r="R233" s="25">
        <f t="shared" si="43"/>
        <v>98926.634812868389</v>
      </c>
      <c r="S233" s="25">
        <f t="shared" si="43"/>
        <v>0</v>
      </c>
      <c r="T233" s="25">
        <f t="shared" si="43"/>
        <v>430695.02758926956</v>
      </c>
      <c r="U233" s="25">
        <f t="shared" si="43"/>
        <v>0</v>
      </c>
      <c r="V233" s="25">
        <f t="shared" si="43"/>
        <v>0</v>
      </c>
      <c r="W233" s="25">
        <f t="shared" si="43"/>
        <v>30602173.913043473</v>
      </c>
      <c r="X233" s="25">
        <f t="shared" si="35"/>
        <v>0</v>
      </c>
      <c r="Y233" s="25">
        <f t="shared" si="35"/>
        <v>0</v>
      </c>
    </row>
    <row r="234" spans="1:25" outlineLevel="1" x14ac:dyDescent="0.25">
      <c r="A234" t="s">
        <v>38</v>
      </c>
      <c r="B234" t="s">
        <v>156</v>
      </c>
      <c r="C234" s="7" t="s">
        <v>8</v>
      </c>
      <c r="D234" t="s">
        <v>117</v>
      </c>
      <c r="E234" s="25">
        <f t="shared" ref="E234:W234" si="44">E37/SpringWeekdays</f>
        <v>281936.82391304342</v>
      </c>
      <c r="F234" s="25">
        <f t="shared" si="44"/>
        <v>15579.002173913041</v>
      </c>
      <c r="G234" s="25">
        <f t="shared" si="44"/>
        <v>0</v>
      </c>
      <c r="H234" s="25">
        <f t="shared" si="44"/>
        <v>414226.18695652171</v>
      </c>
      <c r="I234" s="25">
        <f t="shared" si="44"/>
        <v>585869.56521739124</v>
      </c>
      <c r="J234" s="25">
        <f t="shared" si="44"/>
        <v>585869.56521739124</v>
      </c>
      <c r="K234" s="25">
        <f t="shared" si="44"/>
        <v>1324952.6347826086</v>
      </c>
      <c r="L234" s="25">
        <f t="shared" si="44"/>
        <v>218846.00652173909</v>
      </c>
      <c r="M234" s="25">
        <f t="shared" si="44"/>
        <v>0</v>
      </c>
      <c r="N234" s="25">
        <f t="shared" si="44"/>
        <v>23595331.793478258</v>
      </c>
      <c r="O234" s="25">
        <f t="shared" si="44"/>
        <v>23595331.793478258</v>
      </c>
      <c r="P234" s="25">
        <f t="shared" si="44"/>
        <v>23595331.793478258</v>
      </c>
      <c r="Q234" s="25">
        <f t="shared" si="44"/>
        <v>186184.5107002689</v>
      </c>
      <c r="R234" s="25">
        <f t="shared" si="44"/>
        <v>87731.233753798922</v>
      </c>
      <c r="S234" s="25">
        <f t="shared" si="44"/>
        <v>0</v>
      </c>
      <c r="T234" s="25">
        <f t="shared" si="44"/>
        <v>381953.8207633234</v>
      </c>
      <c r="U234" s="25">
        <f t="shared" si="44"/>
        <v>0</v>
      </c>
      <c r="V234" s="25">
        <f t="shared" si="44"/>
        <v>0</v>
      </c>
      <c r="W234" s="25">
        <f t="shared" si="44"/>
        <v>30556521.73913043</v>
      </c>
      <c r="X234" s="25">
        <f t="shared" si="35"/>
        <v>0</v>
      </c>
      <c r="Y234" s="25">
        <f t="shared" si="35"/>
        <v>0</v>
      </c>
    </row>
    <row r="235" spans="1:25" outlineLevel="1" x14ac:dyDescent="0.25">
      <c r="A235" t="s">
        <v>38</v>
      </c>
      <c r="B235" t="s">
        <v>157</v>
      </c>
      <c r="C235" s="7" t="s">
        <v>9</v>
      </c>
      <c r="D235" t="s">
        <v>117</v>
      </c>
      <c r="E235" s="25">
        <f t="shared" ref="E235:W235" si="45">E38/SpringWeekdays</f>
        <v>272269.10869565216</v>
      </c>
      <c r="F235" s="25">
        <f t="shared" si="45"/>
        <v>36069.295652173911</v>
      </c>
      <c r="G235" s="25">
        <f t="shared" si="45"/>
        <v>0</v>
      </c>
      <c r="H235" s="25">
        <f t="shared" si="45"/>
        <v>420994.54782608693</v>
      </c>
      <c r="I235" s="25">
        <f t="shared" si="45"/>
        <v>544782.6086956521</v>
      </c>
      <c r="J235" s="25">
        <f t="shared" si="45"/>
        <v>544782.6086956521</v>
      </c>
      <c r="K235" s="25">
        <f t="shared" si="45"/>
        <v>1093415.8869565215</v>
      </c>
      <c r="L235" s="25">
        <f t="shared" si="45"/>
        <v>246998.86521739129</v>
      </c>
      <c r="M235" s="25">
        <f t="shared" si="45"/>
        <v>0</v>
      </c>
      <c r="N235" s="25">
        <f t="shared" si="45"/>
        <v>23509585.247826084</v>
      </c>
      <c r="O235" s="25">
        <f t="shared" si="45"/>
        <v>23509585.247826084</v>
      </c>
      <c r="P235" s="25">
        <f t="shared" si="45"/>
        <v>23509585.247826084</v>
      </c>
      <c r="Q235" s="25">
        <f t="shared" si="45"/>
        <v>150329.95295520552</v>
      </c>
      <c r="R235" s="25">
        <f t="shared" si="45"/>
        <v>70836.355791930444</v>
      </c>
      <c r="S235" s="25">
        <f t="shared" si="45"/>
        <v>0</v>
      </c>
      <c r="T235" s="25">
        <f t="shared" si="45"/>
        <v>308398.90864416829</v>
      </c>
      <c r="U235" s="25">
        <f t="shared" si="45"/>
        <v>0</v>
      </c>
      <c r="V235" s="25">
        <f t="shared" si="45"/>
        <v>0</v>
      </c>
      <c r="W235" s="25">
        <f t="shared" si="45"/>
        <v>30434782.608695649</v>
      </c>
      <c r="X235" s="25">
        <f t="shared" si="35"/>
        <v>0</v>
      </c>
      <c r="Y235" s="25">
        <f t="shared" si="35"/>
        <v>0</v>
      </c>
    </row>
    <row r="236" spans="1:25" outlineLevel="1" x14ac:dyDescent="0.25">
      <c r="A236" t="s">
        <v>38</v>
      </c>
      <c r="B236" t="s">
        <v>158</v>
      </c>
      <c r="C236" s="7" t="s">
        <v>10</v>
      </c>
      <c r="D236" t="s">
        <v>117</v>
      </c>
      <c r="E236" s="25">
        <f t="shared" ref="E236:W236" si="46">E39/SpringWeekdays</f>
        <v>284248.40652173909</v>
      </c>
      <c r="F236" s="25">
        <f t="shared" si="46"/>
        <v>62411.893478260863</v>
      </c>
      <c r="G236" s="25">
        <f t="shared" si="46"/>
        <v>0</v>
      </c>
      <c r="H236" s="25">
        <f t="shared" si="46"/>
        <v>460829.32608695648</v>
      </c>
      <c r="I236" s="25">
        <f t="shared" si="46"/>
        <v>470761.86956521735</v>
      </c>
      <c r="J236" s="25">
        <f t="shared" si="46"/>
        <v>470761.86956521735</v>
      </c>
      <c r="K236" s="25">
        <f t="shared" si="46"/>
        <v>919048.7021739129</v>
      </c>
      <c r="L236" s="25">
        <f t="shared" si="46"/>
        <v>266959.97391304345</v>
      </c>
      <c r="M236" s="25">
        <f t="shared" si="46"/>
        <v>0</v>
      </c>
      <c r="N236" s="25">
        <f t="shared" si="46"/>
        <v>23435730.454347823</v>
      </c>
      <c r="O236" s="25">
        <f t="shared" si="46"/>
        <v>23435730.454347823</v>
      </c>
      <c r="P236" s="25">
        <f t="shared" si="46"/>
        <v>23435730.454347823</v>
      </c>
      <c r="Q236" s="25">
        <f t="shared" si="46"/>
        <v>150329.95295520552</v>
      </c>
      <c r="R236" s="25">
        <f t="shared" si="46"/>
        <v>70836.355791930444</v>
      </c>
      <c r="S236" s="25">
        <f t="shared" si="46"/>
        <v>0</v>
      </c>
      <c r="T236" s="25">
        <f t="shared" si="46"/>
        <v>308398.90864416829</v>
      </c>
      <c r="U236" s="25">
        <f t="shared" si="46"/>
        <v>0</v>
      </c>
      <c r="V236" s="25">
        <f t="shared" si="46"/>
        <v>0</v>
      </c>
      <c r="W236" s="25">
        <f t="shared" si="46"/>
        <v>30343478.260869563</v>
      </c>
      <c r="X236" s="25">
        <f t="shared" si="35"/>
        <v>0</v>
      </c>
      <c r="Y236" s="25">
        <f t="shared" si="35"/>
        <v>0</v>
      </c>
    </row>
    <row r="237" spans="1:25" outlineLevel="1" x14ac:dyDescent="0.25">
      <c r="A237" t="s">
        <v>38</v>
      </c>
      <c r="B237" t="s">
        <v>159</v>
      </c>
      <c r="C237" s="7" t="s">
        <v>11</v>
      </c>
      <c r="D237" t="s">
        <v>117</v>
      </c>
      <c r="E237" s="25">
        <f t="shared" ref="E237:W237" si="47">E40/SpringWeekdays</f>
        <v>292422.09347826085</v>
      </c>
      <c r="F237" s="25">
        <f t="shared" si="47"/>
        <v>86859.880434782594</v>
      </c>
      <c r="G237" s="25">
        <f t="shared" si="47"/>
        <v>0</v>
      </c>
      <c r="H237" s="25">
        <f t="shared" si="47"/>
        <v>486956.52173913037</v>
      </c>
      <c r="I237" s="25">
        <f t="shared" si="47"/>
        <v>382194.8565217391</v>
      </c>
      <c r="J237" s="25">
        <f t="shared" si="47"/>
        <v>382194.8565217391</v>
      </c>
      <c r="K237" s="25">
        <f t="shared" si="47"/>
        <v>822510.24130434776</v>
      </c>
      <c r="L237" s="25">
        <f t="shared" si="47"/>
        <v>272519.9217391304</v>
      </c>
      <c r="M237" s="25">
        <f t="shared" si="47"/>
        <v>0</v>
      </c>
      <c r="N237" s="25">
        <f t="shared" si="47"/>
        <v>23039752.445652172</v>
      </c>
      <c r="O237" s="25">
        <f t="shared" si="47"/>
        <v>23039752.445652172</v>
      </c>
      <c r="P237" s="25">
        <f t="shared" si="47"/>
        <v>23039752.445652172</v>
      </c>
      <c r="Q237" s="25">
        <f t="shared" si="47"/>
        <v>152921.84869581251</v>
      </c>
      <c r="R237" s="25">
        <f t="shared" si="47"/>
        <v>72057.672271101663</v>
      </c>
      <c r="S237" s="25">
        <f t="shared" si="47"/>
        <v>0</v>
      </c>
      <c r="T237" s="25">
        <f t="shared" si="47"/>
        <v>313716.13120699878</v>
      </c>
      <c r="U237" s="25">
        <f t="shared" si="47"/>
        <v>0</v>
      </c>
      <c r="V237" s="25">
        <f t="shared" si="47"/>
        <v>0</v>
      </c>
      <c r="W237" s="25">
        <f t="shared" si="47"/>
        <v>30236956.521739125</v>
      </c>
      <c r="X237" s="25">
        <f t="shared" si="35"/>
        <v>0</v>
      </c>
      <c r="Y237" s="25">
        <f t="shared" si="35"/>
        <v>0</v>
      </c>
    </row>
    <row r="238" spans="1:25" outlineLevel="1" x14ac:dyDescent="0.25">
      <c r="A238" t="s">
        <v>38</v>
      </c>
      <c r="B238" t="s">
        <v>160</v>
      </c>
      <c r="C238" s="7" t="s">
        <v>12</v>
      </c>
      <c r="D238" t="s">
        <v>117</v>
      </c>
      <c r="E238" s="25">
        <f t="shared" ref="E238:W238" si="48">E41/SpringWeekdays</f>
        <v>294959.01521739125</v>
      </c>
      <c r="F238" s="25">
        <f t="shared" si="48"/>
        <v>109968.00652173912</v>
      </c>
      <c r="G238" s="25">
        <f t="shared" si="48"/>
        <v>0</v>
      </c>
      <c r="H238" s="25">
        <f t="shared" si="48"/>
        <v>493043.47826086951</v>
      </c>
      <c r="I238" s="25">
        <f t="shared" si="48"/>
        <v>335383.80217391299</v>
      </c>
      <c r="J238" s="25">
        <f t="shared" si="48"/>
        <v>335383.80217391299</v>
      </c>
      <c r="K238" s="25">
        <f t="shared" si="48"/>
        <v>756656.61521739117</v>
      </c>
      <c r="L238" s="25">
        <f t="shared" si="48"/>
        <v>285056.76956521737</v>
      </c>
      <c r="M238" s="25">
        <f t="shared" si="48"/>
        <v>0</v>
      </c>
      <c r="N238" s="25">
        <f t="shared" si="48"/>
        <v>23062634.441304345</v>
      </c>
      <c r="O238" s="25">
        <f t="shared" si="48"/>
        <v>23062634.441304345</v>
      </c>
      <c r="P238" s="25">
        <f t="shared" si="48"/>
        <v>23062634.441304345</v>
      </c>
      <c r="Q238" s="25">
        <f t="shared" si="48"/>
        <v>152921.84869581251</v>
      </c>
      <c r="R238" s="25">
        <f t="shared" si="48"/>
        <v>72057.672271101663</v>
      </c>
      <c r="S238" s="25">
        <f t="shared" si="48"/>
        <v>0</v>
      </c>
      <c r="T238" s="25">
        <f t="shared" si="48"/>
        <v>313716.13120699878</v>
      </c>
      <c r="U238" s="25">
        <f t="shared" si="48"/>
        <v>0</v>
      </c>
      <c r="V238" s="25">
        <f t="shared" si="48"/>
        <v>0</v>
      </c>
      <c r="W238" s="25">
        <f t="shared" si="48"/>
        <v>30221739.130434778</v>
      </c>
      <c r="X238" s="25">
        <f t="shared" si="35"/>
        <v>0</v>
      </c>
      <c r="Y238" s="25">
        <f t="shared" si="35"/>
        <v>0</v>
      </c>
    </row>
    <row r="239" spans="1:25" outlineLevel="1" x14ac:dyDescent="0.25">
      <c r="A239" t="s">
        <v>38</v>
      </c>
      <c r="B239" t="s">
        <v>161</v>
      </c>
      <c r="C239" s="7" t="s">
        <v>13</v>
      </c>
      <c r="D239" t="s">
        <v>117</v>
      </c>
      <c r="E239" s="25">
        <f t="shared" ref="E239:W239" si="49">E42/SpringWeekdays</f>
        <v>299849.36739130429</v>
      </c>
      <c r="F239" s="25">
        <f t="shared" si="49"/>
        <v>126596.39999999998</v>
      </c>
      <c r="G239" s="25">
        <f t="shared" si="49"/>
        <v>0</v>
      </c>
      <c r="H239" s="25">
        <f t="shared" si="49"/>
        <v>505217.39130434778</v>
      </c>
      <c r="I239" s="25">
        <f t="shared" si="49"/>
        <v>329509.67608695646</v>
      </c>
      <c r="J239" s="25">
        <f t="shared" si="49"/>
        <v>329509.67608695646</v>
      </c>
      <c r="K239" s="25">
        <f t="shared" si="49"/>
        <v>705437.34130434773</v>
      </c>
      <c r="L239" s="25">
        <f t="shared" si="49"/>
        <v>294570.88043478259</v>
      </c>
      <c r="M239" s="25">
        <f t="shared" si="49"/>
        <v>0</v>
      </c>
      <c r="N239" s="25">
        <f t="shared" si="49"/>
        <v>23043470.039130431</v>
      </c>
      <c r="O239" s="25">
        <f t="shared" si="49"/>
        <v>23043470.039130431</v>
      </c>
      <c r="P239" s="25">
        <f t="shared" si="49"/>
        <v>23043470.039130431</v>
      </c>
      <c r="Q239" s="25">
        <f t="shared" si="49"/>
        <v>150329.95295520552</v>
      </c>
      <c r="R239" s="25">
        <f t="shared" si="49"/>
        <v>70836.355791930444</v>
      </c>
      <c r="S239" s="25">
        <f t="shared" si="49"/>
        <v>0</v>
      </c>
      <c r="T239" s="25">
        <f t="shared" si="49"/>
        <v>308398.90864416829</v>
      </c>
      <c r="U239" s="25">
        <f t="shared" si="49"/>
        <v>0</v>
      </c>
      <c r="V239" s="25">
        <f t="shared" si="49"/>
        <v>0</v>
      </c>
      <c r="W239" s="25">
        <f t="shared" si="49"/>
        <v>30267391.304347821</v>
      </c>
      <c r="X239" s="25">
        <f t="shared" si="35"/>
        <v>0</v>
      </c>
      <c r="Y239" s="25">
        <f t="shared" si="35"/>
        <v>0</v>
      </c>
    </row>
    <row r="240" spans="1:25" outlineLevel="1" x14ac:dyDescent="0.25">
      <c r="A240" t="s">
        <v>38</v>
      </c>
      <c r="B240" t="s">
        <v>162</v>
      </c>
      <c r="C240" s="7" t="s">
        <v>14</v>
      </c>
      <c r="D240" t="s">
        <v>117</v>
      </c>
      <c r="E240" s="25">
        <f t="shared" ref="E240:W240" si="50">E43/SpringWeekdays</f>
        <v>313423.752173913</v>
      </c>
      <c r="F240" s="25">
        <f t="shared" si="50"/>
        <v>125422.19565217389</v>
      </c>
      <c r="G240" s="25">
        <f t="shared" si="50"/>
        <v>0</v>
      </c>
      <c r="H240" s="25">
        <f t="shared" si="50"/>
        <v>546304.34782608692</v>
      </c>
      <c r="I240" s="25">
        <f t="shared" si="50"/>
        <v>333046.8826086956</v>
      </c>
      <c r="J240" s="25">
        <f t="shared" si="50"/>
        <v>333046.8826086956</v>
      </c>
      <c r="K240" s="25">
        <f t="shared" si="50"/>
        <v>656977.74130434776</v>
      </c>
      <c r="L240" s="25">
        <f t="shared" si="50"/>
        <v>291501.92826086952</v>
      </c>
      <c r="M240" s="25">
        <f t="shared" si="50"/>
        <v>0</v>
      </c>
      <c r="N240" s="25">
        <f t="shared" si="50"/>
        <v>23049346.4173913</v>
      </c>
      <c r="O240" s="25">
        <f t="shared" si="50"/>
        <v>23049346.4173913</v>
      </c>
      <c r="P240" s="25">
        <f t="shared" si="50"/>
        <v>23049346.4173913</v>
      </c>
      <c r="Q240" s="25">
        <f t="shared" si="50"/>
        <v>178408.82347844791</v>
      </c>
      <c r="R240" s="25">
        <f t="shared" si="50"/>
        <v>84067.284316285266</v>
      </c>
      <c r="S240" s="25">
        <f t="shared" si="50"/>
        <v>0</v>
      </c>
      <c r="T240" s="25">
        <f t="shared" si="50"/>
        <v>366002.15307483193</v>
      </c>
      <c r="U240" s="25">
        <f t="shared" si="50"/>
        <v>0</v>
      </c>
      <c r="V240" s="25">
        <f t="shared" si="50"/>
        <v>0</v>
      </c>
      <c r="W240" s="25">
        <f t="shared" si="50"/>
        <v>30510869.565217387</v>
      </c>
      <c r="X240" s="25">
        <f t="shared" si="35"/>
        <v>0</v>
      </c>
      <c r="Y240" s="25">
        <f t="shared" si="35"/>
        <v>0</v>
      </c>
    </row>
    <row r="241" spans="1:25" outlineLevel="1" x14ac:dyDescent="0.25">
      <c r="A241" t="s">
        <v>38</v>
      </c>
      <c r="B241" t="s">
        <v>163</v>
      </c>
      <c r="C241" s="7" t="s">
        <v>15</v>
      </c>
      <c r="D241" t="s">
        <v>117</v>
      </c>
      <c r="E241" s="25">
        <f t="shared" ref="E241:W241" si="51">E44/SpringWeekdays</f>
        <v>329742.7760869565</v>
      </c>
      <c r="F241" s="25">
        <f t="shared" si="51"/>
        <v>111582.06956521737</v>
      </c>
      <c r="G241" s="25">
        <f t="shared" si="51"/>
        <v>0</v>
      </c>
      <c r="H241" s="25">
        <f t="shared" si="51"/>
        <v>608695.65217391297</v>
      </c>
      <c r="I241" s="25">
        <f t="shared" si="51"/>
        <v>402572.41956521734</v>
      </c>
      <c r="J241" s="25">
        <f t="shared" si="51"/>
        <v>402572.41956521734</v>
      </c>
      <c r="K241" s="25">
        <f t="shared" si="51"/>
        <v>609553.22826086951</v>
      </c>
      <c r="L241" s="25">
        <f t="shared" si="51"/>
        <v>277472.63478260866</v>
      </c>
      <c r="M241" s="25">
        <f t="shared" si="51"/>
        <v>0</v>
      </c>
      <c r="N241" s="25">
        <f t="shared" si="51"/>
        <v>22289061.093478259</v>
      </c>
      <c r="O241" s="25">
        <f t="shared" si="51"/>
        <v>22289061.093478259</v>
      </c>
      <c r="P241" s="25">
        <f t="shared" si="51"/>
        <v>22289061.093478259</v>
      </c>
      <c r="Q241" s="25">
        <f t="shared" si="51"/>
        <v>206055.71137825583</v>
      </c>
      <c r="R241" s="25">
        <f t="shared" si="51"/>
        <v>97094.660094111561</v>
      </c>
      <c r="S241" s="25">
        <f t="shared" si="51"/>
        <v>0</v>
      </c>
      <c r="T241" s="25">
        <f t="shared" si="51"/>
        <v>422719.1937450238</v>
      </c>
      <c r="U241" s="25">
        <f t="shared" si="51"/>
        <v>0</v>
      </c>
      <c r="V241" s="25">
        <f t="shared" si="51"/>
        <v>0</v>
      </c>
      <c r="W241" s="25">
        <f t="shared" si="51"/>
        <v>30815217.391304344</v>
      </c>
      <c r="X241" s="25">
        <f t="shared" si="35"/>
        <v>0</v>
      </c>
      <c r="Y241" s="25">
        <f t="shared" si="35"/>
        <v>0</v>
      </c>
    </row>
    <row r="242" spans="1:25" outlineLevel="1" x14ac:dyDescent="0.25">
      <c r="A242" t="s">
        <v>38</v>
      </c>
      <c r="B242" t="s">
        <v>164</v>
      </c>
      <c r="C242" s="7" t="s">
        <v>16</v>
      </c>
      <c r="D242" t="s">
        <v>117</v>
      </c>
      <c r="E242" s="25">
        <f t="shared" ref="E242:W242" si="52">E45/SpringWeekdays</f>
        <v>348292.74565217388</v>
      </c>
      <c r="F242" s="25">
        <f t="shared" si="52"/>
        <v>95393.976086956507</v>
      </c>
      <c r="G242" s="25">
        <f t="shared" si="52"/>
        <v>0</v>
      </c>
      <c r="H242" s="25">
        <f t="shared" si="52"/>
        <v>1317826.0869565215</v>
      </c>
      <c r="I242" s="25">
        <f t="shared" si="52"/>
        <v>508260.86956521735</v>
      </c>
      <c r="J242" s="25">
        <f t="shared" si="52"/>
        <v>508260.86956521735</v>
      </c>
      <c r="K242" s="25">
        <f t="shared" si="52"/>
        <v>643359.9260869564</v>
      </c>
      <c r="L242" s="25">
        <f t="shared" si="52"/>
        <v>253983.61739130432</v>
      </c>
      <c r="M242" s="25">
        <f t="shared" si="52"/>
        <v>0</v>
      </c>
      <c r="N242" s="25">
        <f t="shared" si="52"/>
        <v>20954830.369565215</v>
      </c>
      <c r="O242" s="25">
        <f t="shared" si="52"/>
        <v>20954830.369565215</v>
      </c>
      <c r="P242" s="25">
        <f t="shared" si="52"/>
        <v>20954830.369565215</v>
      </c>
      <c r="Q242" s="25">
        <f t="shared" si="52"/>
        <v>217719.24221098729</v>
      </c>
      <c r="R242" s="25">
        <f t="shared" si="52"/>
        <v>102590.58425038203</v>
      </c>
      <c r="S242" s="25">
        <f t="shared" si="52"/>
        <v>0</v>
      </c>
      <c r="T242" s="25">
        <f t="shared" si="52"/>
        <v>446646.69527776103</v>
      </c>
      <c r="U242" s="25">
        <f t="shared" si="52"/>
        <v>0</v>
      </c>
      <c r="V242" s="25">
        <f t="shared" si="52"/>
        <v>0</v>
      </c>
      <c r="W242" s="25">
        <f t="shared" si="52"/>
        <v>30860869.565217387</v>
      </c>
      <c r="X242" s="25">
        <f t="shared" si="35"/>
        <v>0</v>
      </c>
      <c r="Y242" s="25">
        <f t="shared" si="35"/>
        <v>0</v>
      </c>
    </row>
    <row r="243" spans="1:25" outlineLevel="1" x14ac:dyDescent="0.25">
      <c r="A243" t="s">
        <v>38</v>
      </c>
      <c r="B243" t="s">
        <v>165</v>
      </c>
      <c r="C243" s="7" t="s">
        <v>17</v>
      </c>
      <c r="D243" t="s">
        <v>117</v>
      </c>
      <c r="E243" s="25">
        <f t="shared" ref="E243:W243" si="53">E46/SpringWeekdays</f>
        <v>370971.07173913036</v>
      </c>
      <c r="F243" s="25">
        <f t="shared" si="53"/>
        <v>68447.476086956507</v>
      </c>
      <c r="G243" s="25">
        <f t="shared" si="53"/>
        <v>0</v>
      </c>
      <c r="H243" s="25">
        <f t="shared" si="53"/>
        <v>2320652.173913043</v>
      </c>
      <c r="I243" s="25">
        <f t="shared" si="53"/>
        <v>655869.56521739124</v>
      </c>
      <c r="J243" s="25">
        <f t="shared" si="53"/>
        <v>655869.56521739124</v>
      </c>
      <c r="K243" s="25">
        <f t="shared" si="53"/>
        <v>740047.97391304339</v>
      </c>
      <c r="L243" s="25">
        <f t="shared" si="53"/>
        <v>229062.24782608694</v>
      </c>
      <c r="M243" s="25">
        <f t="shared" si="53"/>
        <v>0</v>
      </c>
      <c r="N243" s="25">
        <f t="shared" si="53"/>
        <v>19939585.430434778</v>
      </c>
      <c r="O243" s="25">
        <f t="shared" si="53"/>
        <v>19939585.430434778</v>
      </c>
      <c r="P243" s="25">
        <f t="shared" si="53"/>
        <v>19939585.430434778</v>
      </c>
      <c r="Q243" s="25">
        <f t="shared" si="53"/>
        <v>200871.91989704184</v>
      </c>
      <c r="R243" s="25">
        <f t="shared" si="53"/>
        <v>94652.027135769138</v>
      </c>
      <c r="S243" s="25">
        <f t="shared" si="53"/>
        <v>0</v>
      </c>
      <c r="T243" s="25">
        <f t="shared" si="53"/>
        <v>412084.74861936283</v>
      </c>
      <c r="U243" s="25">
        <f t="shared" si="53"/>
        <v>0</v>
      </c>
      <c r="V243" s="25">
        <f t="shared" si="53"/>
        <v>0</v>
      </c>
      <c r="W243" s="25">
        <f t="shared" si="53"/>
        <v>30723913.043478258</v>
      </c>
      <c r="X243" s="25">
        <f t="shared" si="35"/>
        <v>0</v>
      </c>
      <c r="Y243" s="25">
        <f t="shared" si="35"/>
        <v>0</v>
      </c>
    </row>
    <row r="244" spans="1:25" outlineLevel="1" x14ac:dyDescent="0.25">
      <c r="A244" t="s">
        <v>38</v>
      </c>
      <c r="B244" t="s">
        <v>166</v>
      </c>
      <c r="C244" s="7" t="s">
        <v>18</v>
      </c>
      <c r="D244" t="s">
        <v>117</v>
      </c>
      <c r="E244" s="25">
        <f t="shared" ref="E244:W244" si="54">E47/SpringWeekdays</f>
        <v>400196.93913043471</v>
      </c>
      <c r="F244" s="25">
        <f t="shared" si="54"/>
        <v>32179.882608695647</v>
      </c>
      <c r="G244" s="25">
        <f t="shared" si="54"/>
        <v>0</v>
      </c>
      <c r="H244" s="25">
        <f t="shared" si="54"/>
        <v>2556521.7391304346</v>
      </c>
      <c r="I244" s="25">
        <f t="shared" si="54"/>
        <v>655869.56521739124</v>
      </c>
      <c r="J244" s="25">
        <f t="shared" si="54"/>
        <v>655869.56521739124</v>
      </c>
      <c r="K244" s="25">
        <f t="shared" si="54"/>
        <v>881317.9260869564</v>
      </c>
      <c r="L244" s="25">
        <f t="shared" si="54"/>
        <v>199330.72173913041</v>
      </c>
      <c r="M244" s="25">
        <f t="shared" si="54"/>
        <v>0</v>
      </c>
      <c r="N244" s="25">
        <f t="shared" si="54"/>
        <v>16693264.395652171</v>
      </c>
      <c r="O244" s="25">
        <f t="shared" si="54"/>
        <v>16693264.395652171</v>
      </c>
      <c r="P244" s="25">
        <f t="shared" si="54"/>
        <v>16693264.395652171</v>
      </c>
      <c r="Q244" s="25">
        <f t="shared" si="54"/>
        <v>163721.41428167498</v>
      </c>
      <c r="R244" s="25">
        <f t="shared" si="54"/>
        <v>77146.490934315065</v>
      </c>
      <c r="S244" s="25">
        <f t="shared" si="54"/>
        <v>0</v>
      </c>
      <c r="T244" s="25">
        <f t="shared" si="54"/>
        <v>335871.22521879256</v>
      </c>
      <c r="U244" s="25">
        <f t="shared" si="54"/>
        <v>0</v>
      </c>
      <c r="V244" s="25">
        <f t="shared" si="54"/>
        <v>0</v>
      </c>
      <c r="W244" s="25">
        <f t="shared" si="54"/>
        <v>30541304.347826082</v>
      </c>
      <c r="X244" s="25">
        <f t="shared" si="35"/>
        <v>0</v>
      </c>
      <c r="Y244" s="25">
        <f t="shared" si="35"/>
        <v>0</v>
      </c>
    </row>
    <row r="245" spans="1:25" outlineLevel="1" x14ac:dyDescent="0.25">
      <c r="A245" t="s">
        <v>38</v>
      </c>
      <c r="B245" t="s">
        <v>167</v>
      </c>
      <c r="C245" s="7" t="s">
        <v>19</v>
      </c>
      <c r="D245" t="s">
        <v>117</v>
      </c>
      <c r="E245" s="25">
        <f t="shared" ref="E245:W245" si="55">E48/SpringWeekdays</f>
        <v>417169.94565217389</v>
      </c>
      <c r="F245" s="25">
        <f t="shared" si="55"/>
        <v>2678.5347826086954</v>
      </c>
      <c r="G245" s="25">
        <f t="shared" si="55"/>
        <v>0</v>
      </c>
      <c r="H245" s="25">
        <f t="shared" si="55"/>
        <v>2596086.9565217388</v>
      </c>
      <c r="I245" s="25">
        <f t="shared" si="55"/>
        <v>590434.78260869556</v>
      </c>
      <c r="J245" s="25">
        <f t="shared" si="55"/>
        <v>590434.78260869556</v>
      </c>
      <c r="K245" s="25">
        <f t="shared" si="55"/>
        <v>1070593.802173913</v>
      </c>
      <c r="L245" s="25">
        <f t="shared" si="55"/>
        <v>175816.2913043478</v>
      </c>
      <c r="M245" s="25">
        <f t="shared" si="55"/>
        <v>0</v>
      </c>
      <c r="N245" s="25">
        <f t="shared" si="55"/>
        <v>13849242.080434781</v>
      </c>
      <c r="O245" s="25">
        <f t="shared" si="55"/>
        <v>13849242.080434781</v>
      </c>
      <c r="P245" s="25">
        <f t="shared" si="55"/>
        <v>13849242.080434781</v>
      </c>
      <c r="Q245" s="25">
        <f t="shared" si="55"/>
        <v>149897.97033177101</v>
      </c>
      <c r="R245" s="25">
        <f t="shared" si="55"/>
        <v>70632.803045401917</v>
      </c>
      <c r="S245" s="25">
        <f t="shared" si="55"/>
        <v>0</v>
      </c>
      <c r="T245" s="25">
        <f t="shared" si="55"/>
        <v>307512.70488369657</v>
      </c>
      <c r="U245" s="25">
        <f t="shared" si="55"/>
        <v>0</v>
      </c>
      <c r="V245" s="25">
        <f t="shared" si="55"/>
        <v>0</v>
      </c>
      <c r="W245" s="25">
        <f t="shared" si="55"/>
        <v>30328260.869565215</v>
      </c>
      <c r="X245" s="25">
        <f t="shared" si="35"/>
        <v>0</v>
      </c>
      <c r="Y245" s="25">
        <f t="shared" si="35"/>
        <v>0</v>
      </c>
    </row>
    <row r="246" spans="1:25" outlineLevel="1" x14ac:dyDescent="0.25">
      <c r="A246" t="s">
        <v>38</v>
      </c>
      <c r="B246" t="s">
        <v>168</v>
      </c>
      <c r="C246" s="7" t="s">
        <v>20</v>
      </c>
      <c r="D246" t="s">
        <v>117</v>
      </c>
      <c r="E246" s="25">
        <f t="shared" ref="E246:W246" si="56">E49/SpringWeekdays</f>
        <v>381404.16086956515</v>
      </c>
      <c r="F246" s="25">
        <f t="shared" si="56"/>
        <v>1070.4065217391303</v>
      </c>
      <c r="G246" s="25">
        <f t="shared" si="56"/>
        <v>0</v>
      </c>
      <c r="H246" s="25">
        <f t="shared" si="56"/>
        <v>2125869.5652173911</v>
      </c>
      <c r="I246" s="25">
        <f t="shared" si="56"/>
        <v>544782.6086956521</v>
      </c>
      <c r="J246" s="25">
        <f t="shared" si="56"/>
        <v>544782.6086956521</v>
      </c>
      <c r="K246" s="25">
        <f t="shared" si="56"/>
        <v>904622.76739130425</v>
      </c>
      <c r="L246" s="25">
        <f t="shared" si="56"/>
        <v>164461.95652173911</v>
      </c>
      <c r="M246" s="25">
        <f t="shared" si="56"/>
        <v>0</v>
      </c>
      <c r="N246" s="25">
        <f t="shared" si="56"/>
        <v>11241784.841304347</v>
      </c>
      <c r="O246" s="25">
        <f t="shared" si="56"/>
        <v>11241784.841304347</v>
      </c>
      <c r="P246" s="25">
        <f t="shared" si="56"/>
        <v>11241784.841304347</v>
      </c>
      <c r="Q246" s="25">
        <f t="shared" si="56"/>
        <v>139962.36999277753</v>
      </c>
      <c r="R246" s="25">
        <f t="shared" si="56"/>
        <v>65951.089875245598</v>
      </c>
      <c r="S246" s="25">
        <f t="shared" si="56"/>
        <v>0</v>
      </c>
      <c r="T246" s="25">
        <f t="shared" si="56"/>
        <v>287130.01839284634</v>
      </c>
      <c r="U246" s="25">
        <f t="shared" si="56"/>
        <v>0</v>
      </c>
      <c r="V246" s="25">
        <f t="shared" si="56"/>
        <v>0</v>
      </c>
      <c r="W246" s="25">
        <f t="shared" si="56"/>
        <v>30084782.608695649</v>
      </c>
      <c r="X246" s="25">
        <f t="shared" si="35"/>
        <v>0</v>
      </c>
      <c r="Y246" s="25">
        <f t="shared" si="35"/>
        <v>0</v>
      </c>
    </row>
    <row r="247" spans="1:25" outlineLevel="1" x14ac:dyDescent="0.25">
      <c r="A247" t="s">
        <v>38</v>
      </c>
      <c r="B247" t="s">
        <v>169</v>
      </c>
      <c r="C247" s="7" t="s">
        <v>21</v>
      </c>
      <c r="D247" t="s">
        <v>117</v>
      </c>
      <c r="E247" s="25">
        <f t="shared" ref="E247:W247" si="57">E50/SpringWeekdays</f>
        <v>307244.86739130429</v>
      </c>
      <c r="F247" s="25">
        <f t="shared" si="57"/>
        <v>1115.8608695652172</v>
      </c>
      <c r="G247" s="25">
        <f t="shared" si="57"/>
        <v>0</v>
      </c>
      <c r="H247" s="25">
        <f t="shared" si="57"/>
        <v>1264565.2173913042</v>
      </c>
      <c r="I247" s="25">
        <f t="shared" si="57"/>
        <v>480018.53260869562</v>
      </c>
      <c r="J247" s="25">
        <f t="shared" si="57"/>
        <v>480018.53260869562</v>
      </c>
      <c r="K247" s="25">
        <f t="shared" si="57"/>
        <v>795471.56956521724</v>
      </c>
      <c r="L247" s="25">
        <f t="shared" si="57"/>
        <v>152028.98260869563</v>
      </c>
      <c r="M247" s="25">
        <f t="shared" si="57"/>
        <v>0</v>
      </c>
      <c r="N247" s="25">
        <f t="shared" si="57"/>
        <v>9461195.0999999996</v>
      </c>
      <c r="O247" s="25">
        <f t="shared" si="57"/>
        <v>9461195.0999999996</v>
      </c>
      <c r="P247" s="25">
        <f t="shared" si="57"/>
        <v>9461195.0999999996</v>
      </c>
      <c r="Q247" s="25">
        <f t="shared" si="57"/>
        <v>132145.9468095667</v>
      </c>
      <c r="R247" s="25">
        <f t="shared" si="57"/>
        <v>62267.945413734305</v>
      </c>
      <c r="S247" s="25">
        <f t="shared" si="57"/>
        <v>0</v>
      </c>
      <c r="T247" s="25">
        <f t="shared" si="57"/>
        <v>271094.78168974241</v>
      </c>
      <c r="U247" s="25">
        <f t="shared" si="57"/>
        <v>0</v>
      </c>
      <c r="V247" s="25">
        <f t="shared" si="57"/>
        <v>0</v>
      </c>
      <c r="W247" s="25">
        <f t="shared" si="57"/>
        <v>29826086.956521735</v>
      </c>
      <c r="X247" s="25">
        <f t="shared" si="35"/>
        <v>0</v>
      </c>
      <c r="Y247" s="25">
        <f t="shared" si="35"/>
        <v>0</v>
      </c>
    </row>
    <row r="248" spans="1:25" outlineLevel="1" x14ac:dyDescent="0.25">
      <c r="A248" t="s">
        <v>38</v>
      </c>
      <c r="B248" t="s">
        <v>170</v>
      </c>
      <c r="C248" s="7" t="s">
        <v>22</v>
      </c>
      <c r="D248" t="s">
        <v>117</v>
      </c>
      <c r="E248" s="25">
        <f t="shared" ref="E248:W248" si="58">E51/SpringWeekdays</f>
        <v>291276.40652173909</v>
      </c>
      <c r="F248" s="25">
        <f t="shared" si="58"/>
        <v>1146.5391304347825</v>
      </c>
      <c r="G248" s="25">
        <f t="shared" si="58"/>
        <v>0</v>
      </c>
      <c r="H248" s="25">
        <f t="shared" si="58"/>
        <v>664999.99999999988</v>
      </c>
      <c r="I248" s="25">
        <f t="shared" si="58"/>
        <v>336170.35869565216</v>
      </c>
      <c r="J248" s="25">
        <f t="shared" si="58"/>
        <v>336170.35869565216</v>
      </c>
      <c r="K248" s="25">
        <f t="shared" si="58"/>
        <v>714210.01521739119</v>
      </c>
      <c r="L248" s="25">
        <f t="shared" si="58"/>
        <v>134356.46304347823</v>
      </c>
      <c r="M248" s="25">
        <f t="shared" si="58"/>
        <v>0</v>
      </c>
      <c r="N248" s="25">
        <f t="shared" si="58"/>
        <v>8266650.9130434776</v>
      </c>
      <c r="O248" s="25">
        <f t="shared" si="58"/>
        <v>8266650.9130434776</v>
      </c>
      <c r="P248" s="25">
        <f t="shared" si="58"/>
        <v>8266650.9130434776</v>
      </c>
      <c r="Q248" s="25">
        <f t="shared" si="58"/>
        <v>88964.220760941913</v>
      </c>
      <c r="R248" s="25">
        <f t="shared" si="58"/>
        <v>41920.462760017836</v>
      </c>
      <c r="S248" s="25">
        <f t="shared" si="58"/>
        <v>0</v>
      </c>
      <c r="T248" s="25">
        <f t="shared" si="58"/>
        <v>182508.32952251847</v>
      </c>
      <c r="U248" s="25">
        <f t="shared" si="58"/>
        <v>0</v>
      </c>
      <c r="V248" s="25">
        <f t="shared" si="58"/>
        <v>0</v>
      </c>
      <c r="W248" s="25">
        <f t="shared" si="58"/>
        <v>29673913.043478258</v>
      </c>
      <c r="X248" s="25">
        <f t="shared" si="35"/>
        <v>0</v>
      </c>
      <c r="Y248" s="25">
        <f t="shared" si="35"/>
        <v>0</v>
      </c>
    </row>
    <row r="249" spans="1:25" outlineLevel="1" x14ac:dyDescent="0.25">
      <c r="A249" t="s">
        <v>39</v>
      </c>
      <c r="B249" t="s">
        <v>147</v>
      </c>
      <c r="C249" s="7" t="s">
        <v>34</v>
      </c>
      <c r="D249" t="s">
        <v>117</v>
      </c>
      <c r="E249" s="27">
        <f t="shared" ref="E249:W249" si="59">E52/SummerWeekdays</f>
        <v>5550.6804347826082</v>
      </c>
      <c r="F249" s="27">
        <f t="shared" si="59"/>
        <v>1730209.9804347823</v>
      </c>
      <c r="G249" s="27">
        <f t="shared" si="59"/>
        <v>0</v>
      </c>
      <c r="H249" s="27">
        <f t="shared" si="59"/>
        <v>461086.95652173908</v>
      </c>
      <c r="I249" s="27">
        <f t="shared" si="59"/>
        <v>165639.15869565215</v>
      </c>
      <c r="J249" s="27">
        <f t="shared" si="59"/>
        <v>165639.15869565215</v>
      </c>
      <c r="K249" s="27">
        <f t="shared" si="59"/>
        <v>23000.645652173909</v>
      </c>
      <c r="L249" s="27">
        <f t="shared" si="59"/>
        <v>7891739.1304347813</v>
      </c>
      <c r="M249" s="27">
        <f t="shared" si="59"/>
        <v>0</v>
      </c>
      <c r="N249" s="27">
        <f t="shared" si="59"/>
        <v>6906999.3543478251</v>
      </c>
      <c r="O249" s="27">
        <f t="shared" si="59"/>
        <v>6906999.3543478251</v>
      </c>
      <c r="P249" s="27">
        <f t="shared" si="59"/>
        <v>6906999.3543478251</v>
      </c>
      <c r="Q249" s="27">
        <f t="shared" si="59"/>
        <v>56106.391272037159</v>
      </c>
      <c r="R249" s="27">
        <f t="shared" si="59"/>
        <v>26437.660733729801</v>
      </c>
      <c r="S249" s="27">
        <f t="shared" si="59"/>
        <v>0</v>
      </c>
      <c r="T249" s="27">
        <f t="shared" si="59"/>
        <v>115101.14582031997</v>
      </c>
      <c r="U249" s="27">
        <f t="shared" si="59"/>
        <v>0</v>
      </c>
      <c r="V249" s="27">
        <f t="shared" si="59"/>
        <v>0</v>
      </c>
      <c r="W249" s="27">
        <f t="shared" si="59"/>
        <v>29354347.826086953</v>
      </c>
      <c r="X249" s="27">
        <f t="shared" ref="X249:Y272" si="60">X52/SummerWeekdays</f>
        <v>0</v>
      </c>
      <c r="Y249" s="27">
        <f t="shared" si="60"/>
        <v>0</v>
      </c>
    </row>
    <row r="250" spans="1:25" outlineLevel="1" x14ac:dyDescent="0.25">
      <c r="A250" t="s">
        <v>39</v>
      </c>
      <c r="B250" t="s">
        <v>148</v>
      </c>
      <c r="C250" s="7" t="s">
        <v>0</v>
      </c>
      <c r="D250" t="s">
        <v>117</v>
      </c>
      <c r="E250" s="27">
        <f t="shared" ref="E250:W250" si="61">E53/SummerWeekdays</f>
        <v>5550.6804347826082</v>
      </c>
      <c r="F250" s="27">
        <f t="shared" si="61"/>
        <v>1550697.613043478</v>
      </c>
      <c r="G250" s="27">
        <f t="shared" si="61"/>
        <v>0</v>
      </c>
      <c r="H250" s="27">
        <f t="shared" si="61"/>
        <v>424846.84565217386</v>
      </c>
      <c r="I250" s="27">
        <f t="shared" si="61"/>
        <v>114505.84782608695</v>
      </c>
      <c r="J250" s="27">
        <f t="shared" si="61"/>
        <v>114505.84782608695</v>
      </c>
      <c r="K250" s="27">
        <f t="shared" si="61"/>
        <v>22986.995652173911</v>
      </c>
      <c r="L250" s="27">
        <f t="shared" si="61"/>
        <v>7331739.1304347813</v>
      </c>
      <c r="M250" s="27">
        <f t="shared" si="61"/>
        <v>0</v>
      </c>
      <c r="N250" s="27">
        <f t="shared" si="61"/>
        <v>6782230.3956521731</v>
      </c>
      <c r="O250" s="27">
        <f t="shared" si="61"/>
        <v>6782230.3956521731</v>
      </c>
      <c r="P250" s="27">
        <f t="shared" si="61"/>
        <v>6782230.3956521731</v>
      </c>
      <c r="Q250" s="27">
        <f t="shared" si="61"/>
        <v>55227.479426397331</v>
      </c>
      <c r="R250" s="27">
        <f t="shared" si="61"/>
        <v>26023.512315642845</v>
      </c>
      <c r="S250" s="27">
        <f t="shared" si="61"/>
        <v>0</v>
      </c>
      <c r="T250" s="27">
        <f t="shared" si="61"/>
        <v>113298.07564926415</v>
      </c>
      <c r="U250" s="27">
        <f t="shared" si="61"/>
        <v>0</v>
      </c>
      <c r="V250" s="27">
        <f t="shared" si="61"/>
        <v>0</v>
      </c>
      <c r="W250" s="27">
        <f t="shared" si="61"/>
        <v>29308695.65217391</v>
      </c>
      <c r="X250" s="27">
        <f t="shared" si="60"/>
        <v>0</v>
      </c>
      <c r="Y250" s="27">
        <f t="shared" si="60"/>
        <v>0</v>
      </c>
    </row>
    <row r="251" spans="1:25" outlineLevel="1" x14ac:dyDescent="0.25">
      <c r="A251" t="s">
        <v>39</v>
      </c>
      <c r="B251" t="s">
        <v>149</v>
      </c>
      <c r="C251" s="7" t="s">
        <v>1</v>
      </c>
      <c r="D251" t="s">
        <v>117</v>
      </c>
      <c r="E251" s="27">
        <f t="shared" ref="E251:W251" si="62">E54/SummerWeekdays</f>
        <v>5550.6804347826082</v>
      </c>
      <c r="F251" s="27">
        <f t="shared" si="62"/>
        <v>1493053.9217391303</v>
      </c>
      <c r="G251" s="27">
        <f t="shared" si="62"/>
        <v>0</v>
      </c>
      <c r="H251" s="27">
        <f t="shared" si="62"/>
        <v>420677.84347826079</v>
      </c>
      <c r="I251" s="27">
        <f t="shared" si="62"/>
        <v>103996.04782608694</v>
      </c>
      <c r="J251" s="27">
        <f t="shared" si="62"/>
        <v>103996.04782608694</v>
      </c>
      <c r="K251" s="27">
        <f t="shared" si="62"/>
        <v>23460.621739130431</v>
      </c>
      <c r="L251" s="27">
        <f t="shared" si="62"/>
        <v>7106521.7391304336</v>
      </c>
      <c r="M251" s="27">
        <f t="shared" si="62"/>
        <v>0</v>
      </c>
      <c r="N251" s="27">
        <f t="shared" si="62"/>
        <v>6748278.5086956518</v>
      </c>
      <c r="O251" s="27">
        <f t="shared" si="62"/>
        <v>6748278.5086956518</v>
      </c>
      <c r="P251" s="27">
        <f t="shared" si="62"/>
        <v>6748278.5086956518</v>
      </c>
      <c r="Q251" s="27">
        <f t="shared" si="62"/>
        <v>55001.751226347864</v>
      </c>
      <c r="R251" s="27">
        <f t="shared" si="62"/>
        <v>25917.147863471826</v>
      </c>
      <c r="S251" s="27">
        <f t="shared" si="62"/>
        <v>0</v>
      </c>
      <c r="T251" s="27">
        <f t="shared" si="62"/>
        <v>112834.99873626724</v>
      </c>
      <c r="U251" s="27">
        <f t="shared" si="62"/>
        <v>0</v>
      </c>
      <c r="V251" s="27">
        <f t="shared" si="62"/>
        <v>0</v>
      </c>
      <c r="W251" s="27">
        <f t="shared" si="62"/>
        <v>29308695.65217391</v>
      </c>
      <c r="X251" s="27">
        <f t="shared" si="60"/>
        <v>0</v>
      </c>
      <c r="Y251" s="27">
        <f t="shared" si="60"/>
        <v>0</v>
      </c>
    </row>
    <row r="252" spans="1:25" outlineLevel="1" x14ac:dyDescent="0.25">
      <c r="A252" t="s">
        <v>39</v>
      </c>
      <c r="B252" t="s">
        <v>150</v>
      </c>
      <c r="C252" s="7" t="s">
        <v>2</v>
      </c>
      <c r="D252" t="s">
        <v>117</v>
      </c>
      <c r="E252" s="27">
        <f t="shared" ref="E252:W252" si="63">E55/SummerWeekdays</f>
        <v>5550.6804347826082</v>
      </c>
      <c r="F252" s="27">
        <f t="shared" si="63"/>
        <v>1556951.6413043477</v>
      </c>
      <c r="G252" s="27">
        <f t="shared" si="63"/>
        <v>0</v>
      </c>
      <c r="H252" s="27">
        <f t="shared" si="63"/>
        <v>430055.83478260867</v>
      </c>
      <c r="I252" s="27">
        <f t="shared" si="63"/>
        <v>101639.19347826086</v>
      </c>
      <c r="J252" s="27">
        <f t="shared" si="63"/>
        <v>101639.19347826086</v>
      </c>
      <c r="K252" s="27">
        <f t="shared" si="63"/>
        <v>23892.947826086955</v>
      </c>
      <c r="L252" s="27">
        <f t="shared" si="63"/>
        <v>7127826.0869565206</v>
      </c>
      <c r="M252" s="27">
        <f t="shared" si="63"/>
        <v>0</v>
      </c>
      <c r="N252" s="27">
        <f t="shared" si="63"/>
        <v>7046107.0521739125</v>
      </c>
      <c r="O252" s="27">
        <f t="shared" si="63"/>
        <v>7046107.0521739125</v>
      </c>
      <c r="P252" s="27">
        <f t="shared" si="63"/>
        <v>7046107.0521739125</v>
      </c>
      <c r="Q252" s="27">
        <f t="shared" si="63"/>
        <v>55209.569426829737</v>
      </c>
      <c r="R252" s="27">
        <f t="shared" si="63"/>
        <v>26015.073018771771</v>
      </c>
      <c r="S252" s="27">
        <f t="shared" si="63"/>
        <v>0</v>
      </c>
      <c r="T252" s="27">
        <f t="shared" si="63"/>
        <v>113261.33364135498</v>
      </c>
      <c r="U252" s="27">
        <f t="shared" si="63"/>
        <v>0</v>
      </c>
      <c r="V252" s="27">
        <f t="shared" si="63"/>
        <v>0</v>
      </c>
      <c r="W252" s="27">
        <f t="shared" si="63"/>
        <v>29308695.65217391</v>
      </c>
      <c r="X252" s="27">
        <f t="shared" si="60"/>
        <v>0</v>
      </c>
      <c r="Y252" s="27">
        <f t="shared" si="60"/>
        <v>0</v>
      </c>
    </row>
    <row r="253" spans="1:25" outlineLevel="1" x14ac:dyDescent="0.25">
      <c r="A253" t="s">
        <v>39</v>
      </c>
      <c r="B253" t="s">
        <v>151</v>
      </c>
      <c r="C253" s="7" t="s">
        <v>3</v>
      </c>
      <c r="D253" t="s">
        <v>117</v>
      </c>
      <c r="E253" s="27">
        <f t="shared" ref="E253:W253" si="64">E56/SummerWeekdays</f>
        <v>5550.6804347826082</v>
      </c>
      <c r="F253" s="27">
        <f t="shared" si="64"/>
        <v>1703443.0152173911</v>
      </c>
      <c r="G253" s="27">
        <f t="shared" si="64"/>
        <v>0</v>
      </c>
      <c r="H253" s="27">
        <f t="shared" si="64"/>
        <v>552391.30434782605</v>
      </c>
      <c r="I253" s="27">
        <f t="shared" si="64"/>
        <v>142615.64130434781</v>
      </c>
      <c r="J253" s="27">
        <f t="shared" si="64"/>
        <v>142615.64130434781</v>
      </c>
      <c r="K253" s="27">
        <f t="shared" si="64"/>
        <v>23328.184782608692</v>
      </c>
      <c r="L253" s="27">
        <f t="shared" si="64"/>
        <v>7354565.2173913037</v>
      </c>
      <c r="M253" s="27">
        <f t="shared" si="64"/>
        <v>0</v>
      </c>
      <c r="N253" s="27">
        <f t="shared" si="64"/>
        <v>7459063.1195652168</v>
      </c>
      <c r="O253" s="27">
        <f t="shared" si="64"/>
        <v>7459063.1195652168</v>
      </c>
      <c r="P253" s="27">
        <f t="shared" si="64"/>
        <v>7459063.1195652168</v>
      </c>
      <c r="Q253" s="27">
        <f t="shared" si="64"/>
        <v>54983.124135625374</v>
      </c>
      <c r="R253" s="27">
        <f t="shared" si="64"/>
        <v>25908.370669041513</v>
      </c>
      <c r="S253" s="27">
        <f t="shared" si="64"/>
        <v>0</v>
      </c>
      <c r="T253" s="27">
        <f t="shared" si="64"/>
        <v>112796.7856301157</v>
      </c>
      <c r="U253" s="27">
        <f t="shared" si="64"/>
        <v>0</v>
      </c>
      <c r="V253" s="27">
        <f t="shared" si="64"/>
        <v>0</v>
      </c>
      <c r="W253" s="27">
        <f t="shared" si="64"/>
        <v>29399999.999999996</v>
      </c>
      <c r="X253" s="27">
        <f t="shared" si="60"/>
        <v>0</v>
      </c>
      <c r="Y253" s="27">
        <f t="shared" si="60"/>
        <v>0</v>
      </c>
    </row>
    <row r="254" spans="1:25" outlineLevel="1" x14ac:dyDescent="0.25">
      <c r="A254" t="s">
        <v>39</v>
      </c>
      <c r="B254" t="s">
        <v>152</v>
      </c>
      <c r="C254" s="7" t="s">
        <v>4</v>
      </c>
      <c r="D254" t="s">
        <v>117</v>
      </c>
      <c r="E254" s="27">
        <f t="shared" ref="E254:W254" si="65">E57/SummerWeekdays</f>
        <v>8266.3456521739117</v>
      </c>
      <c r="F254" s="27">
        <f t="shared" si="65"/>
        <v>1867861.9673913042</v>
      </c>
      <c r="G254" s="27">
        <f t="shared" si="65"/>
        <v>0</v>
      </c>
      <c r="H254" s="27">
        <f t="shared" si="65"/>
        <v>750217.39130434778</v>
      </c>
      <c r="I254" s="27">
        <f t="shared" si="65"/>
        <v>316384.21956521732</v>
      </c>
      <c r="J254" s="27">
        <f t="shared" si="65"/>
        <v>316384.21956521732</v>
      </c>
      <c r="K254" s="27">
        <f t="shared" si="65"/>
        <v>31138.00869565217</v>
      </c>
      <c r="L254" s="27">
        <f t="shared" si="65"/>
        <v>7919130.4347826075</v>
      </c>
      <c r="M254" s="27">
        <f t="shared" si="65"/>
        <v>0</v>
      </c>
      <c r="N254" s="27">
        <f t="shared" si="65"/>
        <v>8697557.6434782594</v>
      </c>
      <c r="O254" s="27">
        <f t="shared" si="65"/>
        <v>8697557.6434782594</v>
      </c>
      <c r="P254" s="27">
        <f t="shared" si="65"/>
        <v>8697557.6434782594</v>
      </c>
      <c r="Q254" s="27">
        <f t="shared" si="65"/>
        <v>56709.417415220545</v>
      </c>
      <c r="R254" s="27">
        <f t="shared" si="65"/>
        <v>26721.810190246313</v>
      </c>
      <c r="S254" s="27">
        <f t="shared" si="65"/>
        <v>0</v>
      </c>
      <c r="T254" s="27">
        <f t="shared" si="65"/>
        <v>116338.24195975051</v>
      </c>
      <c r="U254" s="27">
        <f t="shared" si="65"/>
        <v>0</v>
      </c>
      <c r="V254" s="27">
        <f t="shared" si="65"/>
        <v>0</v>
      </c>
      <c r="W254" s="27">
        <f t="shared" si="65"/>
        <v>29613043.478260867</v>
      </c>
      <c r="X254" s="27">
        <f t="shared" si="60"/>
        <v>0</v>
      </c>
      <c r="Y254" s="27">
        <f t="shared" si="60"/>
        <v>0</v>
      </c>
    </row>
    <row r="255" spans="1:25" outlineLevel="1" x14ac:dyDescent="0.25">
      <c r="A255" t="s">
        <v>39</v>
      </c>
      <c r="B255" t="s">
        <v>153</v>
      </c>
      <c r="C255" s="7" t="s">
        <v>5</v>
      </c>
      <c r="D255" t="s">
        <v>117</v>
      </c>
      <c r="E255" s="27">
        <f t="shared" ref="E255:W255" si="66">E58/SummerWeekdays</f>
        <v>9357.9956521739114</v>
      </c>
      <c r="F255" s="27">
        <f t="shared" si="66"/>
        <v>1889999.9999999998</v>
      </c>
      <c r="G255" s="27">
        <f t="shared" si="66"/>
        <v>0</v>
      </c>
      <c r="H255" s="27">
        <f t="shared" si="66"/>
        <v>472831.26739130431</v>
      </c>
      <c r="I255" s="27">
        <f t="shared" si="66"/>
        <v>620869.56521739124</v>
      </c>
      <c r="J255" s="27">
        <f t="shared" si="66"/>
        <v>620869.56521739124</v>
      </c>
      <c r="K255" s="27">
        <f t="shared" si="66"/>
        <v>42223.741304347823</v>
      </c>
      <c r="L255" s="27">
        <f t="shared" si="66"/>
        <v>9064999.9999999981</v>
      </c>
      <c r="M255" s="27">
        <f t="shared" si="66"/>
        <v>0</v>
      </c>
      <c r="N255" s="27">
        <f t="shared" si="66"/>
        <v>13064515.389130434</v>
      </c>
      <c r="O255" s="27">
        <f t="shared" si="66"/>
        <v>13064515.389130434</v>
      </c>
      <c r="P255" s="27">
        <f t="shared" si="66"/>
        <v>13064515.389130434</v>
      </c>
      <c r="Q255" s="27">
        <f t="shared" si="66"/>
        <v>85508.830634525468</v>
      </c>
      <c r="R255" s="27">
        <f t="shared" si="66"/>
        <v>40292.262660283275</v>
      </c>
      <c r="S255" s="27">
        <f t="shared" si="66"/>
        <v>0</v>
      </c>
      <c r="T255" s="27">
        <f t="shared" si="66"/>
        <v>175419.6654008434</v>
      </c>
      <c r="U255" s="27">
        <f t="shared" si="66"/>
        <v>0</v>
      </c>
      <c r="V255" s="27">
        <f t="shared" si="66"/>
        <v>0</v>
      </c>
      <c r="W255" s="27">
        <f t="shared" si="66"/>
        <v>29963043.478260867</v>
      </c>
      <c r="X255" s="27">
        <f t="shared" si="60"/>
        <v>0</v>
      </c>
      <c r="Y255" s="27">
        <f t="shared" si="60"/>
        <v>0</v>
      </c>
    </row>
    <row r="256" spans="1:25" outlineLevel="1" x14ac:dyDescent="0.25">
      <c r="A256" t="s">
        <v>39</v>
      </c>
      <c r="B256" t="s">
        <v>154</v>
      </c>
      <c r="C256" s="7" t="s">
        <v>6</v>
      </c>
      <c r="D256" t="s">
        <v>117</v>
      </c>
      <c r="E256" s="27">
        <f t="shared" ref="E256:W256" si="67">E59/SummerWeekdays</f>
        <v>9474.8804347826081</v>
      </c>
      <c r="F256" s="27">
        <f t="shared" si="67"/>
        <v>1743913.0434782607</v>
      </c>
      <c r="G256" s="27">
        <f t="shared" si="67"/>
        <v>0</v>
      </c>
      <c r="H256" s="27">
        <f t="shared" si="67"/>
        <v>431089.70434782602</v>
      </c>
      <c r="I256" s="27">
        <f t="shared" si="67"/>
        <v>855217.39130434766</v>
      </c>
      <c r="J256" s="27">
        <f t="shared" si="67"/>
        <v>855217.39130434766</v>
      </c>
      <c r="K256" s="27">
        <f t="shared" si="67"/>
        <v>35136.408695652171</v>
      </c>
      <c r="L256" s="27">
        <f t="shared" si="67"/>
        <v>10895652.173913043</v>
      </c>
      <c r="M256" s="27">
        <f t="shared" si="67"/>
        <v>0</v>
      </c>
      <c r="N256" s="27">
        <f t="shared" si="67"/>
        <v>17860515.76521739</v>
      </c>
      <c r="O256" s="27">
        <f t="shared" si="67"/>
        <v>17860515.76521739</v>
      </c>
      <c r="P256" s="27">
        <f t="shared" si="67"/>
        <v>17860515.76521739</v>
      </c>
      <c r="Q256" s="27">
        <f t="shared" si="67"/>
        <v>180568.7365956204</v>
      </c>
      <c r="R256" s="27">
        <f t="shared" si="67"/>
        <v>85085.048048927958</v>
      </c>
      <c r="S256" s="27">
        <f t="shared" si="67"/>
        <v>0</v>
      </c>
      <c r="T256" s="27">
        <f t="shared" si="67"/>
        <v>370433.17187719065</v>
      </c>
      <c r="U256" s="27">
        <f t="shared" si="67"/>
        <v>0</v>
      </c>
      <c r="V256" s="27">
        <f t="shared" si="67"/>
        <v>0</v>
      </c>
      <c r="W256" s="27">
        <f t="shared" si="67"/>
        <v>30267391.304347821</v>
      </c>
      <c r="X256" s="27">
        <f t="shared" si="60"/>
        <v>0</v>
      </c>
      <c r="Y256" s="27">
        <f t="shared" si="60"/>
        <v>0</v>
      </c>
    </row>
    <row r="257" spans="1:25" outlineLevel="1" x14ac:dyDescent="0.25">
      <c r="A257" t="s">
        <v>39</v>
      </c>
      <c r="B257" t="s">
        <v>155</v>
      </c>
      <c r="C257" s="7" t="s">
        <v>7</v>
      </c>
      <c r="D257" t="s">
        <v>117</v>
      </c>
      <c r="E257" s="27">
        <f t="shared" ref="E257:W257" si="68">E60/SummerWeekdays</f>
        <v>9400.9847826086952</v>
      </c>
      <c r="F257" s="27">
        <f t="shared" si="68"/>
        <v>1702826.0869565215</v>
      </c>
      <c r="G257" s="27">
        <f t="shared" si="68"/>
        <v>0</v>
      </c>
      <c r="H257" s="27">
        <f t="shared" si="68"/>
        <v>422185.39999999997</v>
      </c>
      <c r="I257" s="27">
        <f t="shared" si="68"/>
        <v>563043.47826086951</v>
      </c>
      <c r="J257" s="27">
        <f t="shared" si="68"/>
        <v>563043.47826086951</v>
      </c>
      <c r="K257" s="27">
        <f t="shared" si="68"/>
        <v>25444.939130434781</v>
      </c>
      <c r="L257" s="27">
        <f t="shared" si="68"/>
        <v>13315217.391304346</v>
      </c>
      <c r="M257" s="27">
        <f t="shared" si="68"/>
        <v>0</v>
      </c>
      <c r="N257" s="27">
        <f t="shared" si="68"/>
        <v>22237598.539130431</v>
      </c>
      <c r="O257" s="27">
        <f t="shared" si="68"/>
        <v>22237598.539130431</v>
      </c>
      <c r="P257" s="27">
        <f t="shared" si="68"/>
        <v>22237598.539130431</v>
      </c>
      <c r="Q257" s="27">
        <f t="shared" si="68"/>
        <v>198712.00677986935</v>
      </c>
      <c r="R257" s="27">
        <f t="shared" si="68"/>
        <v>93634.263403126461</v>
      </c>
      <c r="S257" s="27">
        <f t="shared" si="68"/>
        <v>0</v>
      </c>
      <c r="T257" s="27">
        <f t="shared" si="68"/>
        <v>407653.72981700412</v>
      </c>
      <c r="U257" s="27">
        <f t="shared" si="68"/>
        <v>0</v>
      </c>
      <c r="V257" s="27">
        <f t="shared" si="68"/>
        <v>0</v>
      </c>
      <c r="W257" s="27">
        <f t="shared" si="68"/>
        <v>30373913.043478258</v>
      </c>
      <c r="X257" s="27">
        <f t="shared" si="60"/>
        <v>0</v>
      </c>
      <c r="Y257" s="27">
        <f t="shared" si="60"/>
        <v>0</v>
      </c>
    </row>
    <row r="258" spans="1:25" outlineLevel="1" x14ac:dyDescent="0.25">
      <c r="A258" t="s">
        <v>39</v>
      </c>
      <c r="B258" t="s">
        <v>156</v>
      </c>
      <c r="C258" s="7" t="s">
        <v>8</v>
      </c>
      <c r="D258" t="s">
        <v>117</v>
      </c>
      <c r="E258" s="27">
        <f t="shared" ref="E258:W258" si="69">E61/SummerWeekdays</f>
        <v>6492.3326086956513</v>
      </c>
      <c r="F258" s="27">
        <f t="shared" si="69"/>
        <v>1731739.1304347825</v>
      </c>
      <c r="G258" s="27">
        <f t="shared" si="69"/>
        <v>0</v>
      </c>
      <c r="H258" s="27">
        <f t="shared" si="69"/>
        <v>406121.37391304341</v>
      </c>
      <c r="I258" s="27">
        <f t="shared" si="69"/>
        <v>503695.65217391297</v>
      </c>
      <c r="J258" s="27">
        <f t="shared" si="69"/>
        <v>503695.65217391297</v>
      </c>
      <c r="K258" s="27">
        <f t="shared" si="69"/>
        <v>21512.460869565213</v>
      </c>
      <c r="L258" s="27">
        <f t="shared" si="69"/>
        <v>15156521.739130434</v>
      </c>
      <c r="M258" s="27">
        <f t="shared" si="69"/>
        <v>0</v>
      </c>
      <c r="N258" s="27">
        <f t="shared" si="69"/>
        <v>23413270.147826083</v>
      </c>
      <c r="O258" s="27">
        <f t="shared" si="69"/>
        <v>23413270.147826083</v>
      </c>
      <c r="P258" s="27">
        <f t="shared" si="69"/>
        <v>23413270.147826083</v>
      </c>
      <c r="Q258" s="27">
        <f t="shared" si="69"/>
        <v>175816.92773784095</v>
      </c>
      <c r="R258" s="27">
        <f t="shared" si="69"/>
        <v>82845.967837114047</v>
      </c>
      <c r="S258" s="27">
        <f t="shared" si="69"/>
        <v>0</v>
      </c>
      <c r="T258" s="27">
        <f t="shared" si="69"/>
        <v>360684.93051200145</v>
      </c>
      <c r="U258" s="27">
        <f t="shared" si="69"/>
        <v>0</v>
      </c>
      <c r="V258" s="27">
        <f t="shared" si="69"/>
        <v>0</v>
      </c>
      <c r="W258" s="27">
        <f t="shared" si="69"/>
        <v>30313043.478260867</v>
      </c>
      <c r="X258" s="27">
        <f t="shared" si="60"/>
        <v>0</v>
      </c>
      <c r="Y258" s="27">
        <f t="shared" si="60"/>
        <v>0</v>
      </c>
    </row>
    <row r="259" spans="1:25" outlineLevel="1" x14ac:dyDescent="0.25">
      <c r="A259" t="s">
        <v>39</v>
      </c>
      <c r="B259" t="s">
        <v>157</v>
      </c>
      <c r="C259" s="7" t="s">
        <v>9</v>
      </c>
      <c r="D259" t="s">
        <v>117</v>
      </c>
      <c r="E259" s="27">
        <f t="shared" ref="E259:W259" si="70">E62/SummerWeekdays</f>
        <v>6547.4195652173903</v>
      </c>
      <c r="F259" s="27">
        <f t="shared" si="70"/>
        <v>1953913.0434782605</v>
      </c>
      <c r="G259" s="27">
        <f t="shared" si="70"/>
        <v>0</v>
      </c>
      <c r="H259" s="27">
        <f t="shared" si="70"/>
        <v>412757.29782608693</v>
      </c>
      <c r="I259" s="27">
        <f t="shared" si="70"/>
        <v>470217.39130434778</v>
      </c>
      <c r="J259" s="27">
        <f t="shared" si="70"/>
        <v>470217.39130434778</v>
      </c>
      <c r="K259" s="27">
        <f t="shared" si="70"/>
        <v>19358.865217391303</v>
      </c>
      <c r="L259" s="27">
        <f t="shared" si="70"/>
        <v>16449999.999999998</v>
      </c>
      <c r="M259" s="27">
        <f t="shared" si="70"/>
        <v>0</v>
      </c>
      <c r="N259" s="27">
        <f t="shared" si="70"/>
        <v>23308902.004347824</v>
      </c>
      <c r="O259" s="27">
        <f t="shared" si="70"/>
        <v>23308902.004347824</v>
      </c>
      <c r="P259" s="27">
        <f t="shared" si="70"/>
        <v>23308902.004347824</v>
      </c>
      <c r="Q259" s="27">
        <f t="shared" si="70"/>
        <v>140826.33523964652</v>
      </c>
      <c r="R259" s="27">
        <f t="shared" si="70"/>
        <v>66358.195368302651</v>
      </c>
      <c r="S259" s="27">
        <f t="shared" si="70"/>
        <v>0</v>
      </c>
      <c r="T259" s="27">
        <f t="shared" si="70"/>
        <v>288902.42591378983</v>
      </c>
      <c r="U259" s="27">
        <f t="shared" si="70"/>
        <v>0</v>
      </c>
      <c r="V259" s="27">
        <f t="shared" si="70"/>
        <v>0</v>
      </c>
      <c r="W259" s="27">
        <f t="shared" si="70"/>
        <v>30191304.347826082</v>
      </c>
      <c r="X259" s="27">
        <f t="shared" si="60"/>
        <v>0</v>
      </c>
      <c r="Y259" s="27">
        <f t="shared" si="60"/>
        <v>0</v>
      </c>
    </row>
    <row r="260" spans="1:25" outlineLevel="1" x14ac:dyDescent="0.25">
      <c r="A260" t="s">
        <v>39</v>
      </c>
      <c r="B260" t="s">
        <v>158</v>
      </c>
      <c r="C260" s="7" t="s">
        <v>10</v>
      </c>
      <c r="D260" t="s">
        <v>117</v>
      </c>
      <c r="E260" s="27">
        <f t="shared" ref="E260:W260" si="71">E63/SummerWeekdays</f>
        <v>6876.9978260869557</v>
      </c>
      <c r="F260" s="27">
        <f t="shared" si="71"/>
        <v>2416521.7391304346</v>
      </c>
      <c r="G260" s="27">
        <f t="shared" si="71"/>
        <v>0</v>
      </c>
      <c r="H260" s="27">
        <f t="shared" si="71"/>
        <v>452476.05869565211</v>
      </c>
      <c r="I260" s="27">
        <f t="shared" si="71"/>
        <v>405144.96521739126</v>
      </c>
      <c r="J260" s="27">
        <f t="shared" si="71"/>
        <v>405144.96521739126</v>
      </c>
      <c r="K260" s="27">
        <f t="shared" si="71"/>
        <v>17647.608695652172</v>
      </c>
      <c r="L260" s="27">
        <f t="shared" si="71"/>
        <v>17210869.565217391</v>
      </c>
      <c r="M260" s="27">
        <f t="shared" si="71"/>
        <v>0</v>
      </c>
      <c r="N260" s="27">
        <f t="shared" si="71"/>
        <v>23234526.304347824</v>
      </c>
      <c r="O260" s="27">
        <f t="shared" si="71"/>
        <v>23234526.304347824</v>
      </c>
      <c r="P260" s="27">
        <f t="shared" si="71"/>
        <v>23234526.304347824</v>
      </c>
      <c r="Q260" s="27">
        <f t="shared" si="71"/>
        <v>141690.30048651554</v>
      </c>
      <c r="R260" s="27">
        <f t="shared" si="71"/>
        <v>66765.300861359734</v>
      </c>
      <c r="S260" s="27">
        <f t="shared" si="71"/>
        <v>0</v>
      </c>
      <c r="T260" s="27">
        <f t="shared" si="71"/>
        <v>290674.83343473333</v>
      </c>
      <c r="U260" s="27">
        <f t="shared" si="71"/>
        <v>0</v>
      </c>
      <c r="V260" s="27">
        <f t="shared" si="71"/>
        <v>0</v>
      </c>
      <c r="W260" s="27">
        <f t="shared" si="71"/>
        <v>30084782.608695649</v>
      </c>
      <c r="X260" s="27">
        <f t="shared" si="60"/>
        <v>0</v>
      </c>
      <c r="Y260" s="27">
        <f t="shared" si="60"/>
        <v>0</v>
      </c>
    </row>
    <row r="261" spans="1:25" outlineLevel="1" x14ac:dyDescent="0.25">
      <c r="A261" t="s">
        <v>39</v>
      </c>
      <c r="B261" t="s">
        <v>159</v>
      </c>
      <c r="C261" s="7" t="s">
        <v>11</v>
      </c>
      <c r="D261" t="s">
        <v>117</v>
      </c>
      <c r="E261" s="27">
        <f t="shared" ref="E261:W261" si="72">E64/SummerWeekdays</f>
        <v>7078.8565217391297</v>
      </c>
      <c r="F261" s="27">
        <f t="shared" si="72"/>
        <v>2819782.6086956519</v>
      </c>
      <c r="G261" s="27">
        <f t="shared" si="72"/>
        <v>0</v>
      </c>
      <c r="H261" s="27">
        <f t="shared" si="72"/>
        <v>474782.6086956521</v>
      </c>
      <c r="I261" s="27">
        <f t="shared" si="72"/>
        <v>329658.71521739126</v>
      </c>
      <c r="J261" s="27">
        <f t="shared" si="72"/>
        <v>329658.71521739126</v>
      </c>
      <c r="K261" s="27">
        <f t="shared" si="72"/>
        <v>16676.054347826084</v>
      </c>
      <c r="L261" s="27">
        <f t="shared" si="72"/>
        <v>17332608.695652172</v>
      </c>
      <c r="M261" s="27">
        <f t="shared" si="72"/>
        <v>0</v>
      </c>
      <c r="N261" s="27">
        <f t="shared" si="72"/>
        <v>22915932.641304344</v>
      </c>
      <c r="O261" s="27">
        <f t="shared" si="72"/>
        <v>22915932.641304344</v>
      </c>
      <c r="P261" s="27">
        <f t="shared" si="72"/>
        <v>22915932.641304344</v>
      </c>
      <c r="Q261" s="27">
        <f t="shared" si="72"/>
        <v>144714.17885055704</v>
      </c>
      <c r="R261" s="27">
        <f t="shared" si="72"/>
        <v>68190.17008705948</v>
      </c>
      <c r="S261" s="27">
        <f t="shared" si="72"/>
        <v>0</v>
      </c>
      <c r="T261" s="27">
        <f t="shared" si="72"/>
        <v>296878.25975803559</v>
      </c>
      <c r="U261" s="27">
        <f t="shared" si="72"/>
        <v>0</v>
      </c>
      <c r="V261" s="27">
        <f t="shared" si="72"/>
        <v>0</v>
      </c>
      <c r="W261" s="27">
        <f t="shared" si="72"/>
        <v>29993478.260869563</v>
      </c>
      <c r="X261" s="27">
        <f t="shared" si="60"/>
        <v>0</v>
      </c>
      <c r="Y261" s="27">
        <f t="shared" si="60"/>
        <v>0</v>
      </c>
    </row>
    <row r="262" spans="1:25" outlineLevel="1" x14ac:dyDescent="0.25">
      <c r="A262" t="s">
        <v>39</v>
      </c>
      <c r="B262" t="s">
        <v>160</v>
      </c>
      <c r="C262" s="7" t="s">
        <v>12</v>
      </c>
      <c r="D262" t="s">
        <v>117</v>
      </c>
      <c r="E262" s="27">
        <f t="shared" ref="E262:W262" si="73">E65/SummerWeekdays</f>
        <v>7135.6326086956515</v>
      </c>
      <c r="F262" s="27">
        <f t="shared" si="73"/>
        <v>3034347.8260869561</v>
      </c>
      <c r="G262" s="27">
        <f t="shared" si="73"/>
        <v>0</v>
      </c>
      <c r="H262" s="27">
        <f t="shared" si="73"/>
        <v>483913.04347826081</v>
      </c>
      <c r="I262" s="27">
        <f t="shared" si="73"/>
        <v>289282.25869565213</v>
      </c>
      <c r="J262" s="27">
        <f t="shared" si="73"/>
        <v>289282.25869565213</v>
      </c>
      <c r="K262" s="27">
        <f t="shared" si="73"/>
        <v>15863.354347826085</v>
      </c>
      <c r="L262" s="27">
        <f t="shared" si="73"/>
        <v>17865217.391304344</v>
      </c>
      <c r="M262" s="27">
        <f t="shared" si="73"/>
        <v>0</v>
      </c>
      <c r="N262" s="27">
        <f t="shared" si="73"/>
        <v>22840658.384782605</v>
      </c>
      <c r="O262" s="27">
        <f t="shared" si="73"/>
        <v>22840658.384782605</v>
      </c>
      <c r="P262" s="27">
        <f t="shared" si="73"/>
        <v>22840658.384782605</v>
      </c>
      <c r="Q262" s="27">
        <f t="shared" si="73"/>
        <v>143418.23098025355</v>
      </c>
      <c r="R262" s="27">
        <f t="shared" si="73"/>
        <v>67579.51184747387</v>
      </c>
      <c r="S262" s="27">
        <f t="shared" si="73"/>
        <v>0</v>
      </c>
      <c r="T262" s="27">
        <f t="shared" si="73"/>
        <v>294219.64847662038</v>
      </c>
      <c r="U262" s="27">
        <f t="shared" si="73"/>
        <v>0</v>
      </c>
      <c r="V262" s="27">
        <f t="shared" si="73"/>
        <v>0</v>
      </c>
      <c r="W262" s="27">
        <f t="shared" si="73"/>
        <v>29963043.478260867</v>
      </c>
      <c r="X262" s="27">
        <f t="shared" si="60"/>
        <v>0</v>
      </c>
      <c r="Y262" s="27">
        <f t="shared" si="60"/>
        <v>0</v>
      </c>
    </row>
    <row r="263" spans="1:25" outlineLevel="1" x14ac:dyDescent="0.25">
      <c r="A263" t="s">
        <v>39</v>
      </c>
      <c r="B263" t="s">
        <v>161</v>
      </c>
      <c r="C263" s="7" t="s">
        <v>13</v>
      </c>
      <c r="D263" t="s">
        <v>117</v>
      </c>
      <c r="E263" s="27">
        <f t="shared" ref="E263:W263" si="74">E66/SummerWeekdays</f>
        <v>7238.9434782608687</v>
      </c>
      <c r="F263" s="27">
        <f t="shared" si="74"/>
        <v>3213913.0434782603</v>
      </c>
      <c r="G263" s="27">
        <f t="shared" si="74"/>
        <v>0</v>
      </c>
      <c r="H263" s="27">
        <f t="shared" si="74"/>
        <v>497608.69565217383</v>
      </c>
      <c r="I263" s="27">
        <f t="shared" si="74"/>
        <v>284215.59782608692</v>
      </c>
      <c r="J263" s="27">
        <f t="shared" si="74"/>
        <v>284215.59782608692</v>
      </c>
      <c r="K263" s="27">
        <f t="shared" si="74"/>
        <v>15150.28260869565</v>
      </c>
      <c r="L263" s="27">
        <f t="shared" si="74"/>
        <v>18230434.782608692</v>
      </c>
      <c r="M263" s="27">
        <f t="shared" si="74"/>
        <v>0</v>
      </c>
      <c r="N263" s="27">
        <f t="shared" si="74"/>
        <v>22826154.065217387</v>
      </c>
      <c r="O263" s="27">
        <f t="shared" si="74"/>
        <v>22826154.065217387</v>
      </c>
      <c r="P263" s="27">
        <f t="shared" si="74"/>
        <v>22826154.065217387</v>
      </c>
      <c r="Q263" s="27">
        <f t="shared" si="74"/>
        <v>141690.30048651554</v>
      </c>
      <c r="R263" s="27">
        <f t="shared" si="74"/>
        <v>66765.300861359734</v>
      </c>
      <c r="S263" s="27">
        <f t="shared" si="74"/>
        <v>0</v>
      </c>
      <c r="T263" s="27">
        <f t="shared" si="74"/>
        <v>290674.83343473333</v>
      </c>
      <c r="U263" s="27">
        <f t="shared" si="74"/>
        <v>0</v>
      </c>
      <c r="V263" s="27">
        <f t="shared" si="74"/>
        <v>0</v>
      </c>
      <c r="W263" s="27">
        <f t="shared" si="74"/>
        <v>30008695.65217391</v>
      </c>
      <c r="X263" s="27">
        <f t="shared" si="60"/>
        <v>0</v>
      </c>
      <c r="Y263" s="27">
        <f t="shared" si="60"/>
        <v>0</v>
      </c>
    </row>
    <row r="264" spans="1:25" outlineLevel="1" x14ac:dyDescent="0.25">
      <c r="A264" t="s">
        <v>39</v>
      </c>
      <c r="B264" t="s">
        <v>162</v>
      </c>
      <c r="C264" s="7" t="s">
        <v>14</v>
      </c>
      <c r="D264" t="s">
        <v>117</v>
      </c>
      <c r="E264" s="27">
        <f t="shared" ref="E264:W264" si="75">E67/SummerWeekdays</f>
        <v>7572.6304347826081</v>
      </c>
      <c r="F264" s="27">
        <f t="shared" si="75"/>
        <v>3461956.5217391299</v>
      </c>
      <c r="G264" s="27">
        <f t="shared" si="75"/>
        <v>0</v>
      </c>
      <c r="H264" s="27">
        <f t="shared" si="75"/>
        <v>535652.17391304346</v>
      </c>
      <c r="I264" s="27">
        <f t="shared" si="75"/>
        <v>287266.56304347824</v>
      </c>
      <c r="J264" s="27">
        <f t="shared" si="75"/>
        <v>287266.56304347824</v>
      </c>
      <c r="K264" s="27">
        <f t="shared" si="75"/>
        <v>14423.043478260868</v>
      </c>
      <c r="L264" s="27">
        <f t="shared" si="75"/>
        <v>18139130.434782606</v>
      </c>
      <c r="M264" s="27">
        <f t="shared" si="75"/>
        <v>0</v>
      </c>
      <c r="N264" s="27">
        <f t="shared" si="75"/>
        <v>22872533.478260867</v>
      </c>
      <c r="O264" s="27">
        <f t="shared" si="75"/>
        <v>22872533.478260867</v>
      </c>
      <c r="P264" s="27">
        <f t="shared" si="75"/>
        <v>22872533.478260867</v>
      </c>
      <c r="Q264" s="27">
        <f t="shared" si="75"/>
        <v>167609.25789258548</v>
      </c>
      <c r="R264" s="27">
        <f t="shared" si="75"/>
        <v>78978.465653071878</v>
      </c>
      <c r="S264" s="27">
        <f t="shared" si="75"/>
        <v>0</v>
      </c>
      <c r="T264" s="27">
        <f t="shared" si="75"/>
        <v>343847.05906303826</v>
      </c>
      <c r="U264" s="27">
        <f t="shared" si="75"/>
        <v>0</v>
      </c>
      <c r="V264" s="27">
        <f t="shared" si="75"/>
        <v>0</v>
      </c>
      <c r="W264" s="27">
        <f t="shared" si="75"/>
        <v>30282608.695652172</v>
      </c>
      <c r="X264" s="27">
        <f t="shared" si="60"/>
        <v>0</v>
      </c>
      <c r="Y264" s="27">
        <f t="shared" si="60"/>
        <v>0</v>
      </c>
    </row>
    <row r="265" spans="1:25" outlineLevel="1" x14ac:dyDescent="0.25">
      <c r="A265" t="s">
        <v>39</v>
      </c>
      <c r="B265" t="s">
        <v>163</v>
      </c>
      <c r="C265" s="7" t="s">
        <v>15</v>
      </c>
      <c r="D265" t="s">
        <v>117</v>
      </c>
      <c r="E265" s="27">
        <f t="shared" ref="E265:W265" si="76">E68/SummerWeekdays</f>
        <v>7974.7499999999991</v>
      </c>
      <c r="F265" s="27">
        <f t="shared" si="76"/>
        <v>3626304.3478260865</v>
      </c>
      <c r="G265" s="27">
        <f t="shared" si="76"/>
        <v>0</v>
      </c>
      <c r="H265" s="27">
        <f t="shared" si="76"/>
        <v>584347.82608695643</v>
      </c>
      <c r="I265" s="27">
        <f t="shared" si="76"/>
        <v>347235.19782608689</v>
      </c>
      <c r="J265" s="27">
        <f t="shared" si="76"/>
        <v>347235.19782608689</v>
      </c>
      <c r="K265" s="27">
        <f t="shared" si="76"/>
        <v>13860.152173913042</v>
      </c>
      <c r="L265" s="27">
        <f t="shared" si="76"/>
        <v>17606521.739130434</v>
      </c>
      <c r="M265" s="27">
        <f t="shared" si="76"/>
        <v>0</v>
      </c>
      <c r="N265" s="27">
        <f t="shared" si="76"/>
        <v>22173096.369565215</v>
      </c>
      <c r="O265" s="27">
        <f t="shared" si="76"/>
        <v>22173096.369565215</v>
      </c>
      <c r="P265" s="27">
        <f t="shared" si="76"/>
        <v>22173096.369565215</v>
      </c>
      <c r="Q265" s="27">
        <f t="shared" si="76"/>
        <v>194824.16316895888</v>
      </c>
      <c r="R265" s="27">
        <f t="shared" si="76"/>
        <v>91802.288684369632</v>
      </c>
      <c r="S265" s="27">
        <f t="shared" si="76"/>
        <v>0</v>
      </c>
      <c r="T265" s="27">
        <f t="shared" si="76"/>
        <v>399677.89597275836</v>
      </c>
      <c r="U265" s="27">
        <f t="shared" si="76"/>
        <v>0</v>
      </c>
      <c r="V265" s="27">
        <f t="shared" si="76"/>
        <v>0</v>
      </c>
      <c r="W265" s="27">
        <f t="shared" si="76"/>
        <v>30571739.130434778</v>
      </c>
      <c r="X265" s="27">
        <f t="shared" si="60"/>
        <v>0</v>
      </c>
      <c r="Y265" s="27">
        <f t="shared" si="60"/>
        <v>0</v>
      </c>
    </row>
    <row r="266" spans="1:25" outlineLevel="1" x14ac:dyDescent="0.25">
      <c r="A266" t="s">
        <v>39</v>
      </c>
      <c r="B266" t="s">
        <v>164</v>
      </c>
      <c r="C266" s="7" t="s">
        <v>16</v>
      </c>
      <c r="D266" t="s">
        <v>117</v>
      </c>
      <c r="E266" s="27">
        <f t="shared" ref="E266:W266" si="77">E69/SummerWeekdays</f>
        <v>8416.5108695652161</v>
      </c>
      <c r="F266" s="27">
        <f t="shared" si="77"/>
        <v>3702391.3043478257</v>
      </c>
      <c r="G266" s="27">
        <f t="shared" si="77"/>
        <v>0</v>
      </c>
      <c r="H266" s="27">
        <f t="shared" si="77"/>
        <v>722826.08695652161</v>
      </c>
      <c r="I266" s="27">
        <f t="shared" si="77"/>
        <v>439662.57391304342</v>
      </c>
      <c r="J266" s="27">
        <f t="shared" si="77"/>
        <v>439662.57391304342</v>
      </c>
      <c r="K266" s="27">
        <f t="shared" si="77"/>
        <v>14015.93260869565</v>
      </c>
      <c r="L266" s="27">
        <f t="shared" si="77"/>
        <v>16632608.695652172</v>
      </c>
      <c r="M266" s="27">
        <f t="shared" si="77"/>
        <v>0</v>
      </c>
      <c r="N266" s="27">
        <f t="shared" si="77"/>
        <v>20833810.154347822</v>
      </c>
      <c r="O266" s="27">
        <f t="shared" si="77"/>
        <v>20833810.154347822</v>
      </c>
      <c r="P266" s="27">
        <f t="shared" si="77"/>
        <v>20833810.154347822</v>
      </c>
      <c r="Q266" s="27">
        <f t="shared" si="77"/>
        <v>206487.69400169034</v>
      </c>
      <c r="R266" s="27">
        <f t="shared" si="77"/>
        <v>97298.212840640103</v>
      </c>
      <c r="S266" s="27">
        <f t="shared" si="77"/>
        <v>0</v>
      </c>
      <c r="T266" s="27">
        <f t="shared" si="77"/>
        <v>423605.39750549558</v>
      </c>
      <c r="U266" s="27">
        <f t="shared" si="77"/>
        <v>0</v>
      </c>
      <c r="V266" s="27">
        <f t="shared" si="77"/>
        <v>0</v>
      </c>
      <c r="W266" s="27">
        <f t="shared" si="77"/>
        <v>30647826.08695652</v>
      </c>
      <c r="X266" s="27">
        <f t="shared" si="60"/>
        <v>0</v>
      </c>
      <c r="Y266" s="27">
        <f t="shared" si="60"/>
        <v>0</v>
      </c>
    </row>
    <row r="267" spans="1:25" outlineLevel="1" x14ac:dyDescent="0.25">
      <c r="A267" t="s">
        <v>39</v>
      </c>
      <c r="B267" t="s">
        <v>165</v>
      </c>
      <c r="C267" s="7" t="s">
        <v>17</v>
      </c>
      <c r="D267" t="s">
        <v>117</v>
      </c>
      <c r="E267" s="27">
        <f t="shared" ref="E267:W267" si="78">E70/SummerWeekdays</f>
        <v>8918.9586956521725</v>
      </c>
      <c r="F267" s="27">
        <f t="shared" si="78"/>
        <v>3706956.5217391299</v>
      </c>
      <c r="G267" s="27">
        <f t="shared" si="78"/>
        <v>0</v>
      </c>
      <c r="H267" s="27">
        <f t="shared" si="78"/>
        <v>1838260.8695652171</v>
      </c>
      <c r="I267" s="27">
        <f t="shared" si="78"/>
        <v>563043.47826086951</v>
      </c>
      <c r="J267" s="27">
        <f t="shared" si="78"/>
        <v>563043.47826086951</v>
      </c>
      <c r="K267" s="27">
        <f t="shared" si="78"/>
        <v>15329.163043478258</v>
      </c>
      <c r="L267" s="27">
        <f t="shared" si="78"/>
        <v>15582608.695652172</v>
      </c>
      <c r="M267" s="27">
        <f t="shared" si="78"/>
        <v>0</v>
      </c>
      <c r="N267" s="27">
        <f t="shared" si="78"/>
        <v>19797714.315217391</v>
      </c>
      <c r="O267" s="27">
        <f t="shared" si="78"/>
        <v>19797714.315217391</v>
      </c>
      <c r="P267" s="27">
        <f t="shared" si="78"/>
        <v>19797714.315217391</v>
      </c>
      <c r="Q267" s="27">
        <f t="shared" si="78"/>
        <v>190936.31955804839</v>
      </c>
      <c r="R267" s="27">
        <f t="shared" si="78"/>
        <v>89970.313965612819</v>
      </c>
      <c r="S267" s="27">
        <f t="shared" si="78"/>
        <v>0</v>
      </c>
      <c r="T267" s="27">
        <f t="shared" si="78"/>
        <v>391702.0621285126</v>
      </c>
      <c r="U267" s="27">
        <f t="shared" si="78"/>
        <v>0</v>
      </c>
      <c r="V267" s="27">
        <f t="shared" si="78"/>
        <v>0</v>
      </c>
      <c r="W267" s="27">
        <f t="shared" si="78"/>
        <v>30480434.782608692</v>
      </c>
      <c r="X267" s="27">
        <f t="shared" si="60"/>
        <v>0</v>
      </c>
      <c r="Y267" s="27">
        <f t="shared" si="60"/>
        <v>0</v>
      </c>
    </row>
    <row r="268" spans="1:25" outlineLevel="1" x14ac:dyDescent="0.25">
      <c r="A268" t="s">
        <v>39</v>
      </c>
      <c r="B268" t="s">
        <v>166</v>
      </c>
      <c r="C268" s="7" t="s">
        <v>18</v>
      </c>
      <c r="D268" t="s">
        <v>117</v>
      </c>
      <c r="E268" s="27">
        <f t="shared" ref="E268:W268" si="79">E71/SummerWeekdays</f>
        <v>9362.0739130434777</v>
      </c>
      <c r="F268" s="27">
        <f t="shared" si="79"/>
        <v>3585217.3913043472</v>
      </c>
      <c r="G268" s="27">
        <f t="shared" si="79"/>
        <v>0</v>
      </c>
      <c r="H268" s="27">
        <f t="shared" si="79"/>
        <v>2506304.3478260865</v>
      </c>
      <c r="I268" s="27">
        <f t="shared" si="79"/>
        <v>566086.95652173902</v>
      </c>
      <c r="J268" s="27">
        <f t="shared" si="79"/>
        <v>566086.95652173902</v>
      </c>
      <c r="K268" s="27">
        <f t="shared" si="79"/>
        <v>16848.45217391304</v>
      </c>
      <c r="L268" s="27">
        <f t="shared" si="79"/>
        <v>14243478.260869563</v>
      </c>
      <c r="M268" s="27">
        <f t="shared" si="79"/>
        <v>0</v>
      </c>
      <c r="N268" s="27">
        <f t="shared" si="79"/>
        <v>16554890.678260868</v>
      </c>
      <c r="O268" s="27">
        <f t="shared" si="79"/>
        <v>16554890.678260868</v>
      </c>
      <c r="P268" s="27">
        <f t="shared" si="79"/>
        <v>16554890.678260868</v>
      </c>
      <c r="Q268" s="27">
        <f t="shared" si="79"/>
        <v>155081.761812985</v>
      </c>
      <c r="R268" s="27">
        <f t="shared" si="79"/>
        <v>73075.43600374434</v>
      </c>
      <c r="S268" s="27">
        <f t="shared" si="79"/>
        <v>0</v>
      </c>
      <c r="T268" s="27">
        <f t="shared" si="79"/>
        <v>318147.15000935755</v>
      </c>
      <c r="U268" s="27">
        <f t="shared" si="79"/>
        <v>0</v>
      </c>
      <c r="V268" s="27">
        <f t="shared" si="79"/>
        <v>0</v>
      </c>
      <c r="W268" s="27">
        <f t="shared" si="79"/>
        <v>30282608.695652172</v>
      </c>
      <c r="X268" s="27">
        <f t="shared" si="60"/>
        <v>0</v>
      </c>
      <c r="Y268" s="27">
        <f t="shared" si="60"/>
        <v>0</v>
      </c>
    </row>
    <row r="269" spans="1:25" outlineLevel="1" x14ac:dyDescent="0.25">
      <c r="A269" t="s">
        <v>39</v>
      </c>
      <c r="B269" t="s">
        <v>167</v>
      </c>
      <c r="C269" s="7" t="s">
        <v>19</v>
      </c>
      <c r="D269" t="s">
        <v>117</v>
      </c>
      <c r="E269" s="27">
        <f t="shared" ref="E269:W269" si="80">E72/SummerWeekdays</f>
        <v>9460.2565217391293</v>
      </c>
      <c r="F269" s="27">
        <f t="shared" si="80"/>
        <v>3293043.4782608692</v>
      </c>
      <c r="G269" s="27">
        <f t="shared" si="80"/>
        <v>0</v>
      </c>
      <c r="H269" s="27">
        <f t="shared" si="80"/>
        <v>2547391.3043478257</v>
      </c>
      <c r="I269" s="27">
        <f t="shared" si="80"/>
        <v>508260.86956521735</v>
      </c>
      <c r="J269" s="27">
        <f t="shared" si="80"/>
        <v>508260.86956521735</v>
      </c>
      <c r="K269" s="27">
        <f t="shared" si="80"/>
        <v>20722.313043478258</v>
      </c>
      <c r="L269" s="27">
        <f t="shared" si="80"/>
        <v>12980434.782608693</v>
      </c>
      <c r="M269" s="27">
        <f t="shared" si="80"/>
        <v>0</v>
      </c>
      <c r="N269" s="27">
        <f t="shared" si="80"/>
        <v>13720582.034782607</v>
      </c>
      <c r="O269" s="27">
        <f t="shared" si="80"/>
        <v>13720582.034782607</v>
      </c>
      <c r="P269" s="27">
        <f t="shared" si="80"/>
        <v>13720582.034782607</v>
      </c>
      <c r="Q269" s="27">
        <f t="shared" si="80"/>
        <v>140826.33523964652</v>
      </c>
      <c r="R269" s="27">
        <f t="shared" si="80"/>
        <v>66358.195368302651</v>
      </c>
      <c r="S269" s="27">
        <f t="shared" si="80"/>
        <v>0</v>
      </c>
      <c r="T269" s="27">
        <f t="shared" si="80"/>
        <v>288902.42591378983</v>
      </c>
      <c r="U269" s="27">
        <f t="shared" si="80"/>
        <v>0</v>
      </c>
      <c r="V269" s="27">
        <f t="shared" si="80"/>
        <v>0</v>
      </c>
      <c r="W269" s="27">
        <f t="shared" si="80"/>
        <v>30084782.608695649</v>
      </c>
      <c r="X269" s="27">
        <f t="shared" si="60"/>
        <v>0</v>
      </c>
      <c r="Y269" s="27">
        <f t="shared" si="60"/>
        <v>0</v>
      </c>
    </row>
    <row r="270" spans="1:25" outlineLevel="1" x14ac:dyDescent="0.25">
      <c r="A270" t="s">
        <v>39</v>
      </c>
      <c r="B270" t="s">
        <v>168</v>
      </c>
      <c r="C270" s="7" t="s">
        <v>20</v>
      </c>
      <c r="D270" t="s">
        <v>117</v>
      </c>
      <c r="E270" s="27">
        <f t="shared" ref="E270:W270" si="81">E73/SummerWeekdays</f>
        <v>8310.8717391304344</v>
      </c>
      <c r="F270" s="27">
        <f t="shared" si="81"/>
        <v>2898913.0434782603</v>
      </c>
      <c r="G270" s="27">
        <f t="shared" si="81"/>
        <v>0</v>
      </c>
      <c r="H270" s="27">
        <f t="shared" si="81"/>
        <v>2083260.8695652171</v>
      </c>
      <c r="I270" s="27">
        <f t="shared" si="81"/>
        <v>471739.13043478254</v>
      </c>
      <c r="J270" s="27">
        <f t="shared" si="81"/>
        <v>471739.13043478254</v>
      </c>
      <c r="K270" s="27">
        <f t="shared" si="81"/>
        <v>21490.791304347822</v>
      </c>
      <c r="L270" s="27">
        <f t="shared" si="81"/>
        <v>11686956.521739129</v>
      </c>
      <c r="M270" s="27">
        <f t="shared" si="81"/>
        <v>0</v>
      </c>
      <c r="N270" s="27">
        <f t="shared" si="81"/>
        <v>11132857.034782607</v>
      </c>
      <c r="O270" s="27">
        <f t="shared" si="81"/>
        <v>11132857.034782607</v>
      </c>
      <c r="P270" s="27">
        <f t="shared" si="81"/>
        <v>11132857.034782607</v>
      </c>
      <c r="Q270" s="27">
        <f t="shared" si="81"/>
        <v>131605.47607008286</v>
      </c>
      <c r="R270" s="27">
        <f t="shared" si="81"/>
        <v>62013.272430442594</v>
      </c>
      <c r="S270" s="27">
        <f t="shared" si="81"/>
        <v>0</v>
      </c>
      <c r="T270" s="27">
        <f t="shared" si="81"/>
        <v>269986.01671686576</v>
      </c>
      <c r="U270" s="27">
        <f t="shared" si="81"/>
        <v>0</v>
      </c>
      <c r="V270" s="27">
        <f t="shared" si="81"/>
        <v>0</v>
      </c>
      <c r="W270" s="27">
        <f t="shared" si="81"/>
        <v>29810869.565217387</v>
      </c>
      <c r="X270" s="27">
        <f t="shared" si="60"/>
        <v>0</v>
      </c>
      <c r="Y270" s="27">
        <f t="shared" si="60"/>
        <v>0</v>
      </c>
    </row>
    <row r="271" spans="1:25" outlineLevel="1" x14ac:dyDescent="0.25">
      <c r="A271" t="s">
        <v>39</v>
      </c>
      <c r="B271" t="s">
        <v>169</v>
      </c>
      <c r="C271" s="7" t="s">
        <v>21</v>
      </c>
      <c r="D271" t="s">
        <v>117</v>
      </c>
      <c r="E271" s="27">
        <f t="shared" ref="E271:W271" si="82">E74/SummerWeekdays</f>
        <v>6205.5608695652163</v>
      </c>
      <c r="F271" s="27">
        <f t="shared" si="82"/>
        <v>2454565.2173913042</v>
      </c>
      <c r="G271" s="27">
        <f t="shared" si="82"/>
        <v>0</v>
      </c>
      <c r="H271" s="27">
        <f t="shared" si="82"/>
        <v>1237173.913043478</v>
      </c>
      <c r="I271" s="27">
        <f t="shared" si="82"/>
        <v>414282.21739130432</v>
      </c>
      <c r="J271" s="27">
        <f t="shared" si="82"/>
        <v>414282.21739130432</v>
      </c>
      <c r="K271" s="27">
        <f t="shared" si="82"/>
        <v>20963.934782608692</v>
      </c>
      <c r="L271" s="27">
        <f t="shared" si="82"/>
        <v>10390434.782608693</v>
      </c>
      <c r="M271" s="27">
        <f t="shared" si="82"/>
        <v>0</v>
      </c>
      <c r="N271" s="27">
        <f t="shared" si="82"/>
        <v>9371209.9782608692</v>
      </c>
      <c r="O271" s="27">
        <f t="shared" si="82"/>
        <v>9371209.9782608692</v>
      </c>
      <c r="P271" s="27">
        <f t="shared" si="82"/>
        <v>9371209.9782608692</v>
      </c>
      <c r="Q271" s="27">
        <f t="shared" si="82"/>
        <v>123513.87995574424</v>
      </c>
      <c r="R271" s="27">
        <f t="shared" si="82"/>
        <v>58200.464869392628</v>
      </c>
      <c r="S271" s="27">
        <f t="shared" si="82"/>
        <v>0</v>
      </c>
      <c r="T271" s="27">
        <f t="shared" si="82"/>
        <v>253386.26821834134</v>
      </c>
      <c r="U271" s="27">
        <f t="shared" si="82"/>
        <v>0</v>
      </c>
      <c r="V271" s="27">
        <f t="shared" si="82"/>
        <v>0</v>
      </c>
      <c r="W271" s="27">
        <f t="shared" si="82"/>
        <v>29567391.304347821</v>
      </c>
      <c r="X271" s="27">
        <f t="shared" si="60"/>
        <v>0</v>
      </c>
      <c r="Y271" s="27">
        <f t="shared" si="60"/>
        <v>0</v>
      </c>
    </row>
    <row r="272" spans="1:25" outlineLevel="1" x14ac:dyDescent="0.25">
      <c r="A272" t="s">
        <v>39</v>
      </c>
      <c r="B272" t="s">
        <v>170</v>
      </c>
      <c r="C272" s="7" t="s">
        <v>22</v>
      </c>
      <c r="D272" t="s">
        <v>117</v>
      </c>
      <c r="E272" s="27">
        <f t="shared" ref="E272:W272" si="83">E75/SummerWeekdays</f>
        <v>5550.6804347826082</v>
      </c>
      <c r="F272" s="27">
        <f t="shared" si="83"/>
        <v>2037241.7434782607</v>
      </c>
      <c r="G272" s="27">
        <f t="shared" si="83"/>
        <v>0</v>
      </c>
      <c r="H272" s="27">
        <f t="shared" si="83"/>
        <v>652826.08695652161</v>
      </c>
      <c r="I272" s="27">
        <f t="shared" si="83"/>
        <v>289960.69565217389</v>
      </c>
      <c r="J272" s="27">
        <f t="shared" si="83"/>
        <v>289960.69565217389</v>
      </c>
      <c r="K272" s="27">
        <f t="shared" si="83"/>
        <v>22002.597826086952</v>
      </c>
      <c r="L272" s="27">
        <f t="shared" si="83"/>
        <v>8969130.4347826075</v>
      </c>
      <c r="M272" s="27">
        <f t="shared" si="83"/>
        <v>0</v>
      </c>
      <c r="N272" s="27">
        <f t="shared" si="83"/>
        <v>8204519.1413043467</v>
      </c>
      <c r="O272" s="27">
        <f t="shared" si="83"/>
        <v>8204519.1413043467</v>
      </c>
      <c r="P272" s="27">
        <f t="shared" si="83"/>
        <v>8204519.1413043467</v>
      </c>
      <c r="Q272" s="27">
        <f t="shared" si="83"/>
        <v>83177.368577934656</v>
      </c>
      <c r="R272" s="27">
        <f t="shared" si="83"/>
        <v>39193.664060939183</v>
      </c>
      <c r="S272" s="27">
        <f t="shared" si="83"/>
        <v>0</v>
      </c>
      <c r="T272" s="27">
        <f t="shared" si="83"/>
        <v>170636.71736112612</v>
      </c>
      <c r="U272" s="27">
        <f t="shared" si="83"/>
        <v>0</v>
      </c>
      <c r="V272" s="27">
        <f t="shared" si="83"/>
        <v>0</v>
      </c>
      <c r="W272" s="27">
        <f t="shared" si="83"/>
        <v>29399999.999999996</v>
      </c>
      <c r="X272" s="27">
        <f t="shared" si="60"/>
        <v>0</v>
      </c>
      <c r="Y272" s="27">
        <f t="shared" si="60"/>
        <v>0</v>
      </c>
    </row>
    <row r="273" spans="1:25" outlineLevel="1" x14ac:dyDescent="0.25">
      <c r="A273" t="s">
        <v>40</v>
      </c>
      <c r="B273" t="s">
        <v>147</v>
      </c>
      <c r="C273" s="7" t="s">
        <v>34</v>
      </c>
      <c r="D273" t="s">
        <v>117</v>
      </c>
      <c r="E273" s="25">
        <f t="shared" ref="E273:W273" si="84">E76/FallWeekdays</f>
        <v>97521.865573770498</v>
      </c>
      <c r="F273" s="25">
        <f t="shared" si="84"/>
        <v>64954.836065573771</v>
      </c>
      <c r="G273" s="25">
        <f t="shared" si="84"/>
        <v>0</v>
      </c>
      <c r="H273" s="25">
        <f t="shared" si="84"/>
        <v>493442.62295081967</v>
      </c>
      <c r="I273" s="25">
        <f t="shared" si="84"/>
        <v>176317.07868852461</v>
      </c>
      <c r="J273" s="25">
        <f t="shared" si="84"/>
        <v>176317.07868852461</v>
      </c>
      <c r="K273" s="25">
        <f t="shared" si="84"/>
        <v>393141.29836065578</v>
      </c>
      <c r="L273" s="25">
        <f t="shared" si="84"/>
        <v>1265867.8131147542</v>
      </c>
      <c r="M273" s="25">
        <f t="shared" si="84"/>
        <v>0</v>
      </c>
      <c r="N273" s="25">
        <f t="shared" si="84"/>
        <v>6970499.0852459017</v>
      </c>
      <c r="O273" s="25">
        <f t="shared" si="84"/>
        <v>6970499.0852459017</v>
      </c>
      <c r="P273" s="25">
        <f t="shared" si="84"/>
        <v>6970499.0852459017</v>
      </c>
      <c r="Q273" s="25">
        <f t="shared" si="84"/>
        <v>61512.044425553577</v>
      </c>
      <c r="R273" s="25">
        <f t="shared" si="84"/>
        <v>28984.836213684619</v>
      </c>
      <c r="S273" s="25">
        <f t="shared" si="84"/>
        <v>0</v>
      </c>
      <c r="T273" s="25">
        <f t="shared" si="84"/>
        <v>126190.73575420443</v>
      </c>
      <c r="U273" s="25">
        <f t="shared" si="84"/>
        <v>0</v>
      </c>
      <c r="V273" s="25">
        <f t="shared" si="84"/>
        <v>0</v>
      </c>
      <c r="W273" s="25">
        <f t="shared" si="84"/>
        <v>30065573.770491805</v>
      </c>
      <c r="X273" s="25">
        <f t="shared" ref="X273:Y296" si="85">X76/FallWeekdays</f>
        <v>0</v>
      </c>
      <c r="Y273" s="25">
        <f t="shared" si="85"/>
        <v>0</v>
      </c>
    </row>
    <row r="274" spans="1:25" outlineLevel="1" x14ac:dyDescent="0.25">
      <c r="A274" t="s">
        <v>40</v>
      </c>
      <c r="B274" t="s">
        <v>148</v>
      </c>
      <c r="C274" s="7" t="s">
        <v>0</v>
      </c>
      <c r="D274" t="s">
        <v>117</v>
      </c>
      <c r="E274" s="25">
        <f t="shared" ref="E274:W274" si="86">E77/FallWeekdays</f>
        <v>97521.865573770498</v>
      </c>
      <c r="F274" s="25">
        <f t="shared" si="86"/>
        <v>58585.432786885249</v>
      </c>
      <c r="G274" s="25">
        <f t="shared" si="86"/>
        <v>0</v>
      </c>
      <c r="H274" s="25">
        <f t="shared" si="86"/>
        <v>453957.27540983609</v>
      </c>
      <c r="I274" s="25">
        <f t="shared" si="86"/>
        <v>121887.4655737705</v>
      </c>
      <c r="J274" s="25">
        <f t="shared" si="86"/>
        <v>121887.4655737705</v>
      </c>
      <c r="K274" s="25">
        <f t="shared" si="86"/>
        <v>359202.24590163934</v>
      </c>
      <c r="L274" s="25">
        <f t="shared" si="86"/>
        <v>1190780.7868852459</v>
      </c>
      <c r="M274" s="25">
        <f t="shared" si="86"/>
        <v>0</v>
      </c>
      <c r="N274" s="25">
        <f t="shared" si="86"/>
        <v>6872967.7868852466</v>
      </c>
      <c r="O274" s="25">
        <f t="shared" si="86"/>
        <v>6872967.7868852466</v>
      </c>
      <c r="P274" s="25">
        <f t="shared" si="86"/>
        <v>6872967.7868852466</v>
      </c>
      <c r="Q274" s="25">
        <f t="shared" si="86"/>
        <v>60628.329782943045</v>
      </c>
      <c r="R274" s="25">
        <f t="shared" si="86"/>
        <v>28568.424689487892</v>
      </c>
      <c r="S274" s="25">
        <f t="shared" si="86"/>
        <v>0</v>
      </c>
      <c r="T274" s="25">
        <f t="shared" si="86"/>
        <v>124377.81274068382</v>
      </c>
      <c r="U274" s="25">
        <f t="shared" si="86"/>
        <v>0</v>
      </c>
      <c r="V274" s="25">
        <f t="shared" si="86"/>
        <v>0</v>
      </c>
      <c r="W274" s="25">
        <f t="shared" si="86"/>
        <v>30019672.131147541</v>
      </c>
      <c r="X274" s="25">
        <f t="shared" si="85"/>
        <v>0</v>
      </c>
      <c r="Y274" s="25">
        <f t="shared" si="85"/>
        <v>0</v>
      </c>
    </row>
    <row r="275" spans="1:25" outlineLevel="1" x14ac:dyDescent="0.25">
      <c r="A275" t="s">
        <v>40</v>
      </c>
      <c r="B275" t="s">
        <v>149</v>
      </c>
      <c r="C275" s="7" t="s">
        <v>1</v>
      </c>
      <c r="D275" t="s">
        <v>117</v>
      </c>
      <c r="E275" s="25">
        <f t="shared" ref="E275:W275" si="87">E78/FallWeekdays</f>
        <v>97521.865573770498</v>
      </c>
      <c r="F275" s="25">
        <f t="shared" si="87"/>
        <v>56527.45573770492</v>
      </c>
      <c r="G275" s="25">
        <f t="shared" si="87"/>
        <v>0</v>
      </c>
      <c r="H275" s="25">
        <f t="shared" si="87"/>
        <v>450487.06557377049</v>
      </c>
      <c r="I275" s="25">
        <f t="shared" si="87"/>
        <v>110700.15737704918</v>
      </c>
      <c r="J275" s="25">
        <f t="shared" si="87"/>
        <v>110700.15737704918</v>
      </c>
      <c r="K275" s="25">
        <f t="shared" si="87"/>
        <v>362868.38688524591</v>
      </c>
      <c r="L275" s="25">
        <f t="shared" si="87"/>
        <v>1160258.5377049181</v>
      </c>
      <c r="M275" s="25">
        <f t="shared" si="87"/>
        <v>0</v>
      </c>
      <c r="N275" s="25">
        <f t="shared" si="87"/>
        <v>6830971.4360655742</v>
      </c>
      <c r="O275" s="25">
        <f t="shared" si="87"/>
        <v>6830971.4360655742</v>
      </c>
      <c r="P275" s="25">
        <f t="shared" si="87"/>
        <v>6830971.4360655742</v>
      </c>
      <c r="Q275" s="25">
        <f t="shared" si="87"/>
        <v>60401.368095461621</v>
      </c>
      <c r="R275" s="25">
        <f t="shared" si="87"/>
        <v>28461.479010802279</v>
      </c>
      <c r="S275" s="25">
        <f t="shared" si="87"/>
        <v>0</v>
      </c>
      <c r="T275" s="25">
        <f t="shared" si="87"/>
        <v>123912.20535275251</v>
      </c>
      <c r="U275" s="25">
        <f t="shared" si="87"/>
        <v>0</v>
      </c>
      <c r="V275" s="25">
        <f t="shared" si="87"/>
        <v>0</v>
      </c>
      <c r="W275" s="25">
        <f t="shared" si="87"/>
        <v>29996721.311475411</v>
      </c>
      <c r="X275" s="25">
        <f t="shared" si="85"/>
        <v>0</v>
      </c>
      <c r="Y275" s="25">
        <f t="shared" si="85"/>
        <v>0</v>
      </c>
    </row>
    <row r="276" spans="1:25" outlineLevel="1" x14ac:dyDescent="0.25">
      <c r="A276" t="s">
        <v>40</v>
      </c>
      <c r="B276" t="s">
        <v>150</v>
      </c>
      <c r="C276" s="7" t="s">
        <v>2</v>
      </c>
      <c r="D276" t="s">
        <v>117</v>
      </c>
      <c r="E276" s="25">
        <f t="shared" ref="E276:W276" si="88">E79/FallWeekdays</f>
        <v>97521.865573770498</v>
      </c>
      <c r="F276" s="25">
        <f t="shared" si="88"/>
        <v>58842.413114754097</v>
      </c>
      <c r="G276" s="25">
        <f t="shared" si="88"/>
        <v>0</v>
      </c>
      <c r="H276" s="25">
        <f t="shared" si="88"/>
        <v>461299.35737704922</v>
      </c>
      <c r="I276" s="25">
        <f t="shared" si="88"/>
        <v>108191.35737704918</v>
      </c>
      <c r="J276" s="25">
        <f t="shared" si="88"/>
        <v>108191.35737704918</v>
      </c>
      <c r="K276" s="25">
        <f t="shared" si="88"/>
        <v>368742.16721311479</v>
      </c>
      <c r="L276" s="25">
        <f t="shared" si="88"/>
        <v>1146101.0032786885</v>
      </c>
      <c r="M276" s="25">
        <f t="shared" si="88"/>
        <v>0</v>
      </c>
      <c r="N276" s="25">
        <f t="shared" si="88"/>
        <v>7137615.8459016401</v>
      </c>
      <c r="O276" s="25">
        <f t="shared" si="88"/>
        <v>7137615.8459016401</v>
      </c>
      <c r="P276" s="25">
        <f t="shared" si="88"/>
        <v>7137615.8459016401</v>
      </c>
      <c r="Q276" s="25">
        <f t="shared" si="88"/>
        <v>60610.321914525346</v>
      </c>
      <c r="R276" s="25">
        <f t="shared" si="88"/>
        <v>28559.939276240475</v>
      </c>
      <c r="S276" s="25">
        <f t="shared" si="88"/>
        <v>0</v>
      </c>
      <c r="T276" s="25">
        <f t="shared" si="88"/>
        <v>124340.86995677516</v>
      </c>
      <c r="U276" s="25">
        <f t="shared" si="88"/>
        <v>0</v>
      </c>
      <c r="V276" s="25">
        <f t="shared" si="88"/>
        <v>0</v>
      </c>
      <c r="W276" s="25">
        <f t="shared" si="88"/>
        <v>30019672.131147541</v>
      </c>
      <c r="X276" s="25">
        <f t="shared" si="85"/>
        <v>0</v>
      </c>
      <c r="Y276" s="25">
        <f t="shared" si="85"/>
        <v>0</v>
      </c>
    </row>
    <row r="277" spans="1:25" outlineLevel="1" x14ac:dyDescent="0.25">
      <c r="A277" t="s">
        <v>40</v>
      </c>
      <c r="B277" t="s">
        <v>151</v>
      </c>
      <c r="C277" s="7" t="s">
        <v>3</v>
      </c>
      <c r="D277" t="s">
        <v>117</v>
      </c>
      <c r="E277" s="25">
        <f t="shared" ref="E277:W277" si="89">E80/FallWeekdays</f>
        <v>97521.865573770498</v>
      </c>
      <c r="F277" s="25">
        <f t="shared" si="89"/>
        <v>63946.675409836069</v>
      </c>
      <c r="G277" s="25">
        <f t="shared" si="89"/>
        <v>0</v>
      </c>
      <c r="H277" s="25">
        <f t="shared" si="89"/>
        <v>592131.14754098363</v>
      </c>
      <c r="I277" s="25">
        <f t="shared" si="89"/>
        <v>151809.34426229508</v>
      </c>
      <c r="J277" s="25">
        <f t="shared" si="89"/>
        <v>151809.34426229508</v>
      </c>
      <c r="K277" s="25">
        <f t="shared" si="89"/>
        <v>357264.53114754101</v>
      </c>
      <c r="L277" s="25">
        <f t="shared" si="89"/>
        <v>1146017.6459016395</v>
      </c>
      <c r="M277" s="25">
        <f t="shared" si="89"/>
        <v>0</v>
      </c>
      <c r="N277" s="25">
        <f t="shared" si="89"/>
        <v>7562291.5934426235</v>
      </c>
      <c r="O277" s="25">
        <f t="shared" si="89"/>
        <v>7562291.5934426235</v>
      </c>
      <c r="P277" s="25">
        <f t="shared" si="89"/>
        <v>7562291.5934426235</v>
      </c>
      <c r="Q277" s="25">
        <f t="shared" si="89"/>
        <v>60382.643560789962</v>
      </c>
      <c r="R277" s="25">
        <f t="shared" si="89"/>
        <v>28452.655900211441</v>
      </c>
      <c r="S277" s="25">
        <f t="shared" si="89"/>
        <v>0</v>
      </c>
      <c r="T277" s="25">
        <f t="shared" si="89"/>
        <v>123873.7923422773</v>
      </c>
      <c r="U277" s="25">
        <f t="shared" si="89"/>
        <v>0</v>
      </c>
      <c r="V277" s="25">
        <f t="shared" si="89"/>
        <v>0</v>
      </c>
      <c r="W277" s="25">
        <f t="shared" si="89"/>
        <v>30111475.409836069</v>
      </c>
      <c r="X277" s="25">
        <f t="shared" si="85"/>
        <v>0</v>
      </c>
      <c r="Y277" s="25">
        <f t="shared" si="85"/>
        <v>0</v>
      </c>
    </row>
    <row r="278" spans="1:25" outlineLevel="1" x14ac:dyDescent="0.25">
      <c r="A278" t="s">
        <v>40</v>
      </c>
      <c r="B278" t="s">
        <v>152</v>
      </c>
      <c r="C278" s="7" t="s">
        <v>4</v>
      </c>
      <c r="D278" t="s">
        <v>117</v>
      </c>
      <c r="E278" s="25">
        <f t="shared" ref="E278:W278" si="90">E81/FallWeekdays</f>
        <v>145234.11803278688</v>
      </c>
      <c r="F278" s="25">
        <f t="shared" si="90"/>
        <v>74162.062295081967</v>
      </c>
      <c r="G278" s="25">
        <f t="shared" si="90"/>
        <v>0</v>
      </c>
      <c r="H278" s="25">
        <f t="shared" si="90"/>
        <v>1019016.393442623</v>
      </c>
      <c r="I278" s="25">
        <f t="shared" si="90"/>
        <v>336779.8918032787</v>
      </c>
      <c r="J278" s="25">
        <f t="shared" si="90"/>
        <v>336779.8918032787</v>
      </c>
      <c r="K278" s="25">
        <f t="shared" si="90"/>
        <v>586309.58032786893</v>
      </c>
      <c r="L278" s="25">
        <f t="shared" si="90"/>
        <v>1192732.5704918033</v>
      </c>
      <c r="M278" s="25">
        <f t="shared" si="90"/>
        <v>0</v>
      </c>
      <c r="N278" s="25">
        <f t="shared" si="90"/>
        <v>8824236.5377049185</v>
      </c>
      <c r="O278" s="25">
        <f t="shared" si="90"/>
        <v>8824236.5377049185</v>
      </c>
      <c r="P278" s="25">
        <f t="shared" si="90"/>
        <v>8824236.5377049185</v>
      </c>
      <c r="Q278" s="25">
        <f t="shared" si="90"/>
        <v>62118.370136994949</v>
      </c>
      <c r="R278" s="25">
        <f t="shared" si="90"/>
        <v>29270.540446122275</v>
      </c>
      <c r="S278" s="25">
        <f t="shared" si="90"/>
        <v>0</v>
      </c>
      <c r="T278" s="25">
        <f t="shared" si="90"/>
        <v>127434.60089229261</v>
      </c>
      <c r="U278" s="25">
        <f t="shared" si="90"/>
        <v>0</v>
      </c>
      <c r="V278" s="25">
        <f t="shared" si="90"/>
        <v>0</v>
      </c>
      <c r="W278" s="25">
        <f t="shared" si="90"/>
        <v>30318032.786885247</v>
      </c>
      <c r="X278" s="25">
        <f t="shared" si="85"/>
        <v>0</v>
      </c>
      <c r="Y278" s="25">
        <f t="shared" si="85"/>
        <v>0</v>
      </c>
    </row>
    <row r="279" spans="1:25" outlineLevel="1" x14ac:dyDescent="0.25">
      <c r="A279" t="s">
        <v>40</v>
      </c>
      <c r="B279" t="s">
        <v>153</v>
      </c>
      <c r="C279" s="7" t="s">
        <v>5</v>
      </c>
      <c r="D279" t="s">
        <v>117</v>
      </c>
      <c r="E279" s="25">
        <f t="shared" ref="E279:W279" si="91">E82/FallWeekdays</f>
        <v>164413.65901639345</v>
      </c>
      <c r="F279" s="25">
        <f t="shared" si="91"/>
        <v>114119.99016393443</v>
      </c>
      <c r="G279" s="25">
        <f t="shared" si="91"/>
        <v>0</v>
      </c>
      <c r="H279" s="25">
        <f t="shared" si="91"/>
        <v>1198032.7868852459</v>
      </c>
      <c r="I279" s="25">
        <f t="shared" si="91"/>
        <v>658688.52459016396</v>
      </c>
      <c r="J279" s="25">
        <f t="shared" si="91"/>
        <v>658688.52459016396</v>
      </c>
      <c r="K279" s="25">
        <f t="shared" si="91"/>
        <v>940439.12131147541</v>
      </c>
      <c r="L279" s="25">
        <f t="shared" si="91"/>
        <v>1363182.3180327869</v>
      </c>
      <c r="M279" s="25">
        <f t="shared" si="91"/>
        <v>0</v>
      </c>
      <c r="N279" s="25">
        <f t="shared" si="91"/>
        <v>13257034.298360657</v>
      </c>
      <c r="O279" s="25">
        <f t="shared" si="91"/>
        <v>13257034.298360657</v>
      </c>
      <c r="P279" s="25">
        <f t="shared" si="91"/>
        <v>13257034.298360657</v>
      </c>
      <c r="Q279" s="25">
        <f t="shared" si="91"/>
        <v>93315.073686905744</v>
      </c>
      <c r="R279" s="25">
        <f t="shared" si="91"/>
        <v>43970.610184422148</v>
      </c>
      <c r="S279" s="25">
        <f t="shared" si="91"/>
        <v>0</v>
      </c>
      <c r="T279" s="25">
        <f t="shared" si="91"/>
        <v>191434.01776801638</v>
      </c>
      <c r="U279" s="25">
        <f t="shared" si="91"/>
        <v>0</v>
      </c>
      <c r="V279" s="25">
        <f t="shared" si="91"/>
        <v>0</v>
      </c>
      <c r="W279" s="25">
        <f t="shared" si="91"/>
        <v>30662295.081967216</v>
      </c>
      <c r="X279" s="25">
        <f t="shared" si="85"/>
        <v>0</v>
      </c>
      <c r="Y279" s="25">
        <f t="shared" si="85"/>
        <v>0</v>
      </c>
    </row>
    <row r="280" spans="1:25" outlineLevel="1" x14ac:dyDescent="0.25">
      <c r="A280" t="s">
        <v>40</v>
      </c>
      <c r="B280" t="s">
        <v>154</v>
      </c>
      <c r="C280" s="7" t="s">
        <v>6</v>
      </c>
      <c r="D280" t="s">
        <v>117</v>
      </c>
      <c r="E280" s="25">
        <f t="shared" ref="E280:W280" si="92">E83/FallWeekdays</f>
        <v>166467.20655737707</v>
      </c>
      <c r="F280" s="25">
        <f t="shared" si="92"/>
        <v>183560.93114754098</v>
      </c>
      <c r="G280" s="25">
        <f t="shared" si="92"/>
        <v>0</v>
      </c>
      <c r="H280" s="25">
        <f t="shared" si="92"/>
        <v>514632.44918032788</v>
      </c>
      <c r="I280" s="25">
        <f t="shared" si="92"/>
        <v>908852.45901639352</v>
      </c>
      <c r="J280" s="25">
        <f t="shared" si="92"/>
        <v>908852.45901639352</v>
      </c>
      <c r="K280" s="25">
        <f t="shared" si="92"/>
        <v>846117.72459016403</v>
      </c>
      <c r="L280" s="25">
        <f t="shared" si="92"/>
        <v>1722363.4491803281</v>
      </c>
      <c r="M280" s="25">
        <f t="shared" si="92"/>
        <v>0</v>
      </c>
      <c r="N280" s="25">
        <f t="shared" si="92"/>
        <v>18202010.629508197</v>
      </c>
      <c r="O280" s="25">
        <f t="shared" si="92"/>
        <v>18202010.629508197</v>
      </c>
      <c r="P280" s="25">
        <f t="shared" si="92"/>
        <v>18202010.629508197</v>
      </c>
      <c r="Q280" s="25">
        <f t="shared" si="92"/>
        <v>196105.9476745596</v>
      </c>
      <c r="R280" s="25">
        <f t="shared" si="92"/>
        <v>92406.273063413348</v>
      </c>
      <c r="S280" s="25">
        <f t="shared" si="92"/>
        <v>0</v>
      </c>
      <c r="T280" s="25">
        <f t="shared" si="92"/>
        <v>402307.45139317459</v>
      </c>
      <c r="U280" s="25">
        <f t="shared" si="92"/>
        <v>0</v>
      </c>
      <c r="V280" s="25">
        <f t="shared" si="92"/>
        <v>0</v>
      </c>
      <c r="W280" s="25">
        <f t="shared" si="92"/>
        <v>30983606.557377052</v>
      </c>
      <c r="X280" s="25">
        <f t="shared" si="85"/>
        <v>0</v>
      </c>
      <c r="Y280" s="25">
        <f t="shared" si="85"/>
        <v>0</v>
      </c>
    </row>
    <row r="281" spans="1:25" outlineLevel="1" x14ac:dyDescent="0.25">
      <c r="A281" t="s">
        <v>40</v>
      </c>
      <c r="B281" t="s">
        <v>155</v>
      </c>
      <c r="C281" s="7" t="s">
        <v>7</v>
      </c>
      <c r="D281" t="s">
        <v>117</v>
      </c>
      <c r="E281" s="25">
        <f t="shared" ref="E281:W281" si="93">E84/FallWeekdays</f>
        <v>165169.01639344264</v>
      </c>
      <c r="F281" s="25">
        <f t="shared" si="93"/>
        <v>263964.28524590167</v>
      </c>
      <c r="G281" s="25">
        <f t="shared" si="93"/>
        <v>0</v>
      </c>
      <c r="H281" s="25">
        <f t="shared" si="93"/>
        <v>452101.49508196721</v>
      </c>
      <c r="I281" s="25">
        <f t="shared" si="93"/>
        <v>601311.47540983604</v>
      </c>
      <c r="J281" s="25">
        <f t="shared" si="93"/>
        <v>601311.47540983604</v>
      </c>
      <c r="K281" s="25">
        <f t="shared" si="93"/>
        <v>577738.06885245908</v>
      </c>
      <c r="L281" s="25">
        <f t="shared" si="93"/>
        <v>2251787.4491803278</v>
      </c>
      <c r="M281" s="25">
        <f t="shared" si="93"/>
        <v>0</v>
      </c>
      <c r="N281" s="25">
        <f t="shared" si="93"/>
        <v>22599982.678688526</v>
      </c>
      <c r="O281" s="25">
        <f t="shared" si="93"/>
        <v>22599982.678688526</v>
      </c>
      <c r="P281" s="25">
        <f t="shared" si="93"/>
        <v>22599982.678688526</v>
      </c>
      <c r="Q281" s="25">
        <f t="shared" si="93"/>
        <v>214348.36141172796</v>
      </c>
      <c r="R281" s="25">
        <f t="shared" si="93"/>
        <v>101002.20544140528</v>
      </c>
      <c r="S281" s="25">
        <f t="shared" si="93"/>
        <v>0</v>
      </c>
      <c r="T281" s="25">
        <f t="shared" si="93"/>
        <v>439731.40035998152</v>
      </c>
      <c r="U281" s="25">
        <f t="shared" si="93"/>
        <v>0</v>
      </c>
      <c r="V281" s="25">
        <f t="shared" si="93"/>
        <v>0</v>
      </c>
      <c r="W281" s="25">
        <f t="shared" si="93"/>
        <v>31075409.836065575</v>
      </c>
      <c r="X281" s="25">
        <f t="shared" si="85"/>
        <v>0</v>
      </c>
      <c r="Y281" s="25">
        <f t="shared" si="85"/>
        <v>0</v>
      </c>
    </row>
    <row r="282" spans="1:25" outlineLevel="1" x14ac:dyDescent="0.25">
      <c r="A282" t="s">
        <v>40</v>
      </c>
      <c r="B282" t="s">
        <v>156</v>
      </c>
      <c r="C282" s="7" t="s">
        <v>8</v>
      </c>
      <c r="D282" t="s">
        <v>117</v>
      </c>
      <c r="E282" s="25">
        <f t="shared" ref="E282:W282" si="94">E85/FallWeekdays</f>
        <v>114066.03278688525</v>
      </c>
      <c r="F282" s="25">
        <f t="shared" si="94"/>
        <v>337608.55409836065</v>
      </c>
      <c r="G282" s="25">
        <f t="shared" si="94"/>
        <v>0</v>
      </c>
      <c r="H282" s="25">
        <f t="shared" si="94"/>
        <v>434899.16721311479</v>
      </c>
      <c r="I282" s="25">
        <f t="shared" si="94"/>
        <v>537049.1803278689</v>
      </c>
      <c r="J282" s="25">
        <f t="shared" si="94"/>
        <v>537049.1803278689</v>
      </c>
      <c r="K282" s="25">
        <f t="shared" si="94"/>
        <v>439099.02950819675</v>
      </c>
      <c r="L282" s="25">
        <f t="shared" si="94"/>
        <v>2665743.7180327871</v>
      </c>
      <c r="M282" s="25">
        <f t="shared" si="94"/>
        <v>0</v>
      </c>
      <c r="N282" s="25">
        <f t="shared" si="94"/>
        <v>23793517.908196721</v>
      </c>
      <c r="O282" s="25">
        <f t="shared" si="94"/>
        <v>23793517.908196721</v>
      </c>
      <c r="P282" s="25">
        <f t="shared" si="94"/>
        <v>23793517.908196721</v>
      </c>
      <c r="Q282" s="25">
        <f t="shared" si="94"/>
        <v>190242.31468761267</v>
      </c>
      <c r="R282" s="25">
        <f t="shared" si="94"/>
        <v>89643.294799058785</v>
      </c>
      <c r="S282" s="25">
        <f t="shared" si="94"/>
        <v>0</v>
      </c>
      <c r="T282" s="25">
        <f t="shared" si="94"/>
        <v>390278.32493955811</v>
      </c>
      <c r="U282" s="25">
        <f t="shared" si="94"/>
        <v>0</v>
      </c>
      <c r="V282" s="25">
        <f t="shared" si="94"/>
        <v>0</v>
      </c>
      <c r="W282" s="25">
        <f t="shared" si="94"/>
        <v>31029508.196721312</v>
      </c>
      <c r="X282" s="25">
        <f t="shared" si="85"/>
        <v>0</v>
      </c>
      <c r="Y282" s="25">
        <f t="shared" si="85"/>
        <v>0</v>
      </c>
    </row>
    <row r="283" spans="1:25" outlineLevel="1" x14ac:dyDescent="0.25">
      <c r="A283" t="s">
        <v>40</v>
      </c>
      <c r="B283" t="s">
        <v>157</v>
      </c>
      <c r="C283" s="7" t="s">
        <v>9</v>
      </c>
      <c r="D283" t="s">
        <v>117</v>
      </c>
      <c r="E283" s="25">
        <f t="shared" ref="E283:W283" si="95">E86/FallWeekdays</f>
        <v>115033.52459016394</v>
      </c>
      <c r="F283" s="25">
        <f t="shared" si="95"/>
        <v>442153.32459016395</v>
      </c>
      <c r="G283" s="25">
        <f t="shared" si="95"/>
        <v>0</v>
      </c>
      <c r="H283" s="25">
        <f t="shared" si="95"/>
        <v>442005.31475409836</v>
      </c>
      <c r="I283" s="25">
        <f t="shared" si="95"/>
        <v>500327.86885245901</v>
      </c>
      <c r="J283" s="25">
        <f t="shared" si="95"/>
        <v>500327.86885245901</v>
      </c>
      <c r="K283" s="25">
        <f t="shared" si="95"/>
        <v>352555.78032786888</v>
      </c>
      <c r="L283" s="25">
        <f t="shared" si="95"/>
        <v>2967180.9540983606</v>
      </c>
      <c r="M283" s="25">
        <f t="shared" si="95"/>
        <v>0</v>
      </c>
      <c r="N283" s="25">
        <f t="shared" si="95"/>
        <v>23693378.019672133</v>
      </c>
      <c r="O283" s="25">
        <f t="shared" si="95"/>
        <v>23693378.019672133</v>
      </c>
      <c r="P283" s="25">
        <f t="shared" si="95"/>
        <v>23693378.019672133</v>
      </c>
      <c r="Q283" s="25">
        <f t="shared" si="95"/>
        <v>153105.97243694856</v>
      </c>
      <c r="R283" s="25">
        <f t="shared" si="95"/>
        <v>72144.432458146635</v>
      </c>
      <c r="S283" s="25">
        <f t="shared" si="95"/>
        <v>0</v>
      </c>
      <c r="T283" s="25">
        <f t="shared" si="95"/>
        <v>314093.85739998682</v>
      </c>
      <c r="U283" s="25">
        <f t="shared" si="95"/>
        <v>0</v>
      </c>
      <c r="V283" s="25">
        <f t="shared" si="95"/>
        <v>0</v>
      </c>
      <c r="W283" s="25">
        <f t="shared" si="95"/>
        <v>30891803.278688528</v>
      </c>
      <c r="X283" s="25">
        <f t="shared" si="85"/>
        <v>0</v>
      </c>
      <c r="Y283" s="25">
        <f t="shared" si="85"/>
        <v>0</v>
      </c>
    </row>
    <row r="284" spans="1:25" outlineLevel="1" x14ac:dyDescent="0.25">
      <c r="A284" t="s">
        <v>40</v>
      </c>
      <c r="B284" t="s">
        <v>158</v>
      </c>
      <c r="C284" s="7" t="s">
        <v>10</v>
      </c>
      <c r="D284" t="s">
        <v>117</v>
      </c>
      <c r="E284" s="25">
        <f t="shared" ref="E284:W284" si="96">E87/FallWeekdays</f>
        <v>120824.26885245902</v>
      </c>
      <c r="F284" s="25">
        <f t="shared" si="96"/>
        <v>603908.15409836068</v>
      </c>
      <c r="G284" s="25">
        <f t="shared" si="96"/>
        <v>0</v>
      </c>
      <c r="H284" s="25">
        <f t="shared" si="96"/>
        <v>484262.29508196726</v>
      </c>
      <c r="I284" s="25">
        <f t="shared" si="96"/>
        <v>431262.58688524592</v>
      </c>
      <c r="J284" s="25">
        <f t="shared" si="96"/>
        <v>431262.58688524592</v>
      </c>
      <c r="K284" s="25">
        <f t="shared" si="96"/>
        <v>286887.19672131148</v>
      </c>
      <c r="L284" s="25">
        <f t="shared" si="96"/>
        <v>3152968.2295081969</v>
      </c>
      <c r="M284" s="25">
        <f t="shared" si="96"/>
        <v>0</v>
      </c>
      <c r="N284" s="25">
        <f t="shared" si="96"/>
        <v>23619160.967213117</v>
      </c>
      <c r="O284" s="25">
        <f t="shared" si="96"/>
        <v>23619160.967213117</v>
      </c>
      <c r="P284" s="25">
        <f t="shared" si="96"/>
        <v>23619160.967213117</v>
      </c>
      <c r="Q284" s="25">
        <f t="shared" si="96"/>
        <v>153105.97243694856</v>
      </c>
      <c r="R284" s="25">
        <f t="shared" si="96"/>
        <v>72144.432458146635</v>
      </c>
      <c r="S284" s="25">
        <f t="shared" si="96"/>
        <v>0</v>
      </c>
      <c r="T284" s="25">
        <f t="shared" si="96"/>
        <v>314093.85739998682</v>
      </c>
      <c r="U284" s="25">
        <f t="shared" si="96"/>
        <v>0</v>
      </c>
      <c r="V284" s="25">
        <f t="shared" si="96"/>
        <v>0</v>
      </c>
      <c r="W284" s="25">
        <f t="shared" si="96"/>
        <v>30800000</v>
      </c>
      <c r="X284" s="25">
        <f t="shared" si="85"/>
        <v>0</v>
      </c>
      <c r="Y284" s="25">
        <f t="shared" si="85"/>
        <v>0</v>
      </c>
    </row>
    <row r="285" spans="1:25" outlineLevel="1" x14ac:dyDescent="0.25">
      <c r="A285" t="s">
        <v>40</v>
      </c>
      <c r="B285" t="s">
        <v>159</v>
      </c>
      <c r="C285" s="7" t="s">
        <v>11</v>
      </c>
      <c r="D285" t="s">
        <v>117</v>
      </c>
      <c r="E285" s="25">
        <f t="shared" ref="E285:W285" si="97">E88/FallWeekdays</f>
        <v>124370.51475409836</v>
      </c>
      <c r="F285" s="25">
        <f t="shared" si="97"/>
        <v>757848.73442622949</v>
      </c>
      <c r="G285" s="25">
        <f t="shared" si="97"/>
        <v>0</v>
      </c>
      <c r="H285" s="25">
        <f t="shared" si="97"/>
        <v>511803.27868852462</v>
      </c>
      <c r="I285" s="25">
        <f t="shared" si="97"/>
        <v>350910.13770491804</v>
      </c>
      <c r="J285" s="25">
        <f t="shared" si="97"/>
        <v>350910.13770491804</v>
      </c>
      <c r="K285" s="25">
        <f t="shared" si="97"/>
        <v>256554.24590163937</v>
      </c>
      <c r="L285" s="25">
        <f t="shared" si="97"/>
        <v>3199290.4426229508</v>
      </c>
      <c r="M285" s="25">
        <f t="shared" si="97"/>
        <v>0</v>
      </c>
      <c r="N285" s="25">
        <f t="shared" si="97"/>
        <v>23258909.409836065</v>
      </c>
      <c r="O285" s="25">
        <f t="shared" si="97"/>
        <v>23258909.409836065</v>
      </c>
      <c r="P285" s="25">
        <f t="shared" si="97"/>
        <v>23258909.409836065</v>
      </c>
      <c r="Q285" s="25">
        <f t="shared" si="97"/>
        <v>156363.54631858575</v>
      </c>
      <c r="R285" s="25">
        <f t="shared" si="97"/>
        <v>73679.420382788041</v>
      </c>
      <c r="S285" s="25">
        <f t="shared" si="97"/>
        <v>0</v>
      </c>
      <c r="T285" s="25">
        <f t="shared" si="97"/>
        <v>320776.70542977378</v>
      </c>
      <c r="U285" s="25">
        <f t="shared" si="97"/>
        <v>0</v>
      </c>
      <c r="V285" s="25">
        <f t="shared" si="97"/>
        <v>0</v>
      </c>
      <c r="W285" s="25">
        <f t="shared" si="97"/>
        <v>30708196.721311476</v>
      </c>
      <c r="X285" s="25">
        <f t="shared" si="85"/>
        <v>0</v>
      </c>
      <c r="Y285" s="25">
        <f t="shared" si="85"/>
        <v>0</v>
      </c>
    </row>
    <row r="286" spans="1:25" outlineLevel="1" x14ac:dyDescent="0.25">
      <c r="A286" t="s">
        <v>40</v>
      </c>
      <c r="B286" t="s">
        <v>160</v>
      </c>
      <c r="C286" s="7" t="s">
        <v>12</v>
      </c>
      <c r="D286" t="s">
        <v>117</v>
      </c>
      <c r="E286" s="25">
        <f t="shared" ref="E286:W286" si="98">E89/FallWeekdays</f>
        <v>125368.1868852459</v>
      </c>
      <c r="F286" s="25">
        <f t="shared" si="98"/>
        <v>848702.14754098363</v>
      </c>
      <c r="G286" s="25">
        <f t="shared" si="98"/>
        <v>0</v>
      </c>
      <c r="H286" s="25">
        <f t="shared" si="98"/>
        <v>516393.44262295082</v>
      </c>
      <c r="I286" s="25">
        <f t="shared" si="98"/>
        <v>307930.80327868852</v>
      </c>
      <c r="J286" s="25">
        <f t="shared" si="98"/>
        <v>307930.80327868852</v>
      </c>
      <c r="K286" s="25">
        <f t="shared" si="98"/>
        <v>233952.99016393445</v>
      </c>
      <c r="L286" s="25">
        <f t="shared" si="98"/>
        <v>3339904.8590163938</v>
      </c>
      <c r="M286" s="25">
        <f t="shared" si="98"/>
        <v>0</v>
      </c>
      <c r="N286" s="25">
        <f t="shared" si="98"/>
        <v>23232699.527868852</v>
      </c>
      <c r="O286" s="25">
        <f t="shared" si="98"/>
        <v>23232699.527868852</v>
      </c>
      <c r="P286" s="25">
        <f t="shared" si="98"/>
        <v>23232699.527868852</v>
      </c>
      <c r="Q286" s="25">
        <f t="shared" si="98"/>
        <v>155712.03154225831</v>
      </c>
      <c r="R286" s="25">
        <f t="shared" si="98"/>
        <v>73372.422797859763</v>
      </c>
      <c r="S286" s="25">
        <f t="shared" si="98"/>
        <v>0</v>
      </c>
      <c r="T286" s="25">
        <f t="shared" si="98"/>
        <v>319440.13582381641</v>
      </c>
      <c r="U286" s="25">
        <f t="shared" si="98"/>
        <v>0</v>
      </c>
      <c r="V286" s="25">
        <f t="shared" si="98"/>
        <v>0</v>
      </c>
      <c r="W286" s="25">
        <f t="shared" si="98"/>
        <v>30662295.081967216</v>
      </c>
      <c r="X286" s="25">
        <f t="shared" si="85"/>
        <v>0</v>
      </c>
      <c r="Y286" s="25">
        <f t="shared" si="85"/>
        <v>0</v>
      </c>
    </row>
    <row r="287" spans="1:25" outlineLevel="1" x14ac:dyDescent="0.25">
      <c r="A287" t="s">
        <v>40</v>
      </c>
      <c r="B287" t="s">
        <v>161</v>
      </c>
      <c r="C287" s="7" t="s">
        <v>13</v>
      </c>
      <c r="D287" t="s">
        <v>117</v>
      </c>
      <c r="E287" s="25">
        <f t="shared" ref="E287:W287" si="99">E90/FallWeekdays</f>
        <v>127183.20655737705</v>
      </c>
      <c r="F287" s="25">
        <f t="shared" si="99"/>
        <v>908899.00327868853</v>
      </c>
      <c r="G287" s="25">
        <f t="shared" si="99"/>
        <v>0</v>
      </c>
      <c r="H287" s="25">
        <f t="shared" si="99"/>
        <v>530163.93442622956</v>
      </c>
      <c r="I287" s="25">
        <f t="shared" si="99"/>
        <v>302537.54426229512</v>
      </c>
      <c r="J287" s="25">
        <f t="shared" si="99"/>
        <v>302537.54426229512</v>
      </c>
      <c r="K287" s="25">
        <f t="shared" si="99"/>
        <v>217728.4131147541</v>
      </c>
      <c r="L287" s="25">
        <f t="shared" si="99"/>
        <v>3410655.3967213118</v>
      </c>
      <c r="M287" s="25">
        <f t="shared" si="99"/>
        <v>0</v>
      </c>
      <c r="N287" s="25">
        <f t="shared" si="99"/>
        <v>23247026.026229508</v>
      </c>
      <c r="O287" s="25">
        <f t="shared" si="99"/>
        <v>23247026.026229508</v>
      </c>
      <c r="P287" s="25">
        <f t="shared" si="99"/>
        <v>23247026.026229508</v>
      </c>
      <c r="Q287" s="25">
        <f t="shared" si="99"/>
        <v>153105.97243694856</v>
      </c>
      <c r="R287" s="25">
        <f t="shared" si="99"/>
        <v>72144.432458146635</v>
      </c>
      <c r="S287" s="25">
        <f t="shared" si="99"/>
        <v>0</v>
      </c>
      <c r="T287" s="25">
        <f t="shared" si="99"/>
        <v>314093.85739998682</v>
      </c>
      <c r="U287" s="25">
        <f t="shared" si="99"/>
        <v>0</v>
      </c>
      <c r="V287" s="25">
        <f t="shared" si="99"/>
        <v>0</v>
      </c>
      <c r="W287" s="25">
        <f t="shared" si="99"/>
        <v>30708196.721311476</v>
      </c>
      <c r="X287" s="25">
        <f t="shared" si="85"/>
        <v>0</v>
      </c>
      <c r="Y287" s="25">
        <f t="shared" si="85"/>
        <v>0</v>
      </c>
    </row>
    <row r="288" spans="1:25" outlineLevel="1" x14ac:dyDescent="0.25">
      <c r="A288" t="s">
        <v>40</v>
      </c>
      <c r="B288" t="s">
        <v>162</v>
      </c>
      <c r="C288" s="7" t="s">
        <v>14</v>
      </c>
      <c r="D288" t="s">
        <v>117</v>
      </c>
      <c r="E288" s="25">
        <f t="shared" ref="E288:W288" si="100">E91/FallWeekdays</f>
        <v>133046.06229508197</v>
      </c>
      <c r="F288" s="25">
        <f t="shared" si="100"/>
        <v>965931.99672131147</v>
      </c>
      <c r="G288" s="25">
        <f t="shared" si="100"/>
        <v>0</v>
      </c>
      <c r="H288" s="25">
        <f t="shared" si="100"/>
        <v>573770.49180327868</v>
      </c>
      <c r="I288" s="25">
        <f t="shared" si="100"/>
        <v>305785.17704918032</v>
      </c>
      <c r="J288" s="25">
        <f t="shared" si="100"/>
        <v>305785.17704918032</v>
      </c>
      <c r="K288" s="25">
        <f t="shared" si="100"/>
        <v>203345.98360655739</v>
      </c>
      <c r="L288" s="25">
        <f t="shared" si="100"/>
        <v>3387123.2557377052</v>
      </c>
      <c r="M288" s="25">
        <f t="shared" si="100"/>
        <v>0</v>
      </c>
      <c r="N288" s="25">
        <f t="shared" si="100"/>
        <v>23261989.77704918</v>
      </c>
      <c r="O288" s="25">
        <f t="shared" si="100"/>
        <v>23261989.77704918</v>
      </c>
      <c r="P288" s="25">
        <f t="shared" si="100"/>
        <v>23261989.77704918</v>
      </c>
      <c r="Q288" s="25">
        <f t="shared" si="100"/>
        <v>182424.13737168338</v>
      </c>
      <c r="R288" s="25">
        <f t="shared" si="100"/>
        <v>85959.323779919388</v>
      </c>
      <c r="S288" s="25">
        <f t="shared" si="100"/>
        <v>0</v>
      </c>
      <c r="T288" s="25">
        <f t="shared" si="100"/>
        <v>374239.48966806941</v>
      </c>
      <c r="U288" s="25">
        <f t="shared" si="100"/>
        <v>0</v>
      </c>
      <c r="V288" s="25">
        <f t="shared" si="100"/>
        <v>0</v>
      </c>
      <c r="W288" s="25">
        <f t="shared" si="100"/>
        <v>30983606.557377052</v>
      </c>
      <c r="X288" s="25">
        <f t="shared" si="85"/>
        <v>0</v>
      </c>
      <c r="Y288" s="25">
        <f t="shared" si="85"/>
        <v>0</v>
      </c>
    </row>
    <row r="289" spans="1:25" outlineLevel="1" x14ac:dyDescent="0.25">
      <c r="A289" t="s">
        <v>40</v>
      </c>
      <c r="B289" t="s">
        <v>163</v>
      </c>
      <c r="C289" s="7" t="s">
        <v>15</v>
      </c>
      <c r="D289" t="s">
        <v>117</v>
      </c>
      <c r="E289" s="25">
        <f t="shared" ref="E289:W289" si="101">E92/FallWeekdays</f>
        <v>140110.71475409836</v>
      </c>
      <c r="F289" s="25">
        <f t="shared" si="101"/>
        <v>973367.74098360655</v>
      </c>
      <c r="G289" s="25">
        <f t="shared" si="101"/>
        <v>0</v>
      </c>
      <c r="H289" s="25">
        <f t="shared" si="101"/>
        <v>700000</v>
      </c>
      <c r="I289" s="25">
        <f t="shared" si="101"/>
        <v>369619.66885245906</v>
      </c>
      <c r="J289" s="25">
        <f t="shared" si="101"/>
        <v>369619.66885245906</v>
      </c>
      <c r="K289" s="25">
        <f t="shared" si="101"/>
        <v>190243.91147540984</v>
      </c>
      <c r="L289" s="25">
        <f t="shared" si="101"/>
        <v>3269567.4360655737</v>
      </c>
      <c r="M289" s="25">
        <f t="shared" si="101"/>
        <v>0</v>
      </c>
      <c r="N289" s="25">
        <f t="shared" si="101"/>
        <v>22497565.701639347</v>
      </c>
      <c r="O289" s="25">
        <f t="shared" si="101"/>
        <v>22497565.701639347</v>
      </c>
      <c r="P289" s="25">
        <f t="shared" si="101"/>
        <v>22497565.701639347</v>
      </c>
      <c r="Q289" s="25">
        <f t="shared" si="101"/>
        <v>210439.27275376333</v>
      </c>
      <c r="R289" s="25">
        <f t="shared" si="101"/>
        <v>99160.219931835571</v>
      </c>
      <c r="S289" s="25">
        <f t="shared" si="101"/>
        <v>0</v>
      </c>
      <c r="T289" s="25">
        <f t="shared" si="101"/>
        <v>431711.9827242372</v>
      </c>
      <c r="U289" s="25">
        <f t="shared" si="101"/>
        <v>0</v>
      </c>
      <c r="V289" s="25">
        <f t="shared" si="101"/>
        <v>0</v>
      </c>
      <c r="W289" s="25">
        <f t="shared" si="101"/>
        <v>31281967.213114757</v>
      </c>
      <c r="X289" s="25">
        <f t="shared" si="85"/>
        <v>0</v>
      </c>
      <c r="Y289" s="25">
        <f t="shared" si="85"/>
        <v>0</v>
      </c>
    </row>
    <row r="290" spans="1:25" outlineLevel="1" x14ac:dyDescent="0.25">
      <c r="A290" t="s">
        <v>40</v>
      </c>
      <c r="B290" t="s">
        <v>164</v>
      </c>
      <c r="C290" s="7" t="s">
        <v>16</v>
      </c>
      <c r="D290" t="s">
        <v>117</v>
      </c>
      <c r="E290" s="25">
        <f t="shared" ref="E290:W290" si="102">E93/FallWeekdays</f>
        <v>147872.31475409836</v>
      </c>
      <c r="F290" s="25">
        <f t="shared" si="102"/>
        <v>925640.24918032787</v>
      </c>
      <c r="G290" s="25">
        <f t="shared" si="102"/>
        <v>0</v>
      </c>
      <c r="H290" s="25">
        <f t="shared" si="102"/>
        <v>1833770.4918032787</v>
      </c>
      <c r="I290" s="25">
        <f t="shared" si="102"/>
        <v>466959.74098360661</v>
      </c>
      <c r="J290" s="25">
        <f t="shared" si="102"/>
        <v>466959.74098360661</v>
      </c>
      <c r="K290" s="25">
        <f t="shared" si="102"/>
        <v>219149.75737704919</v>
      </c>
      <c r="L290" s="25">
        <f t="shared" si="102"/>
        <v>3035264.3081967216</v>
      </c>
      <c r="M290" s="25">
        <f t="shared" si="102"/>
        <v>0</v>
      </c>
      <c r="N290" s="25">
        <f t="shared" si="102"/>
        <v>21142307.245901641</v>
      </c>
      <c r="O290" s="25">
        <f t="shared" si="102"/>
        <v>21142307.245901641</v>
      </c>
      <c r="P290" s="25">
        <f t="shared" si="102"/>
        <v>21142307.245901641</v>
      </c>
      <c r="Q290" s="25">
        <f t="shared" si="102"/>
        <v>222166.53872765726</v>
      </c>
      <c r="R290" s="25">
        <f t="shared" si="102"/>
        <v>104686.17646054468</v>
      </c>
      <c r="S290" s="25">
        <f t="shared" si="102"/>
        <v>0</v>
      </c>
      <c r="T290" s="25">
        <f t="shared" si="102"/>
        <v>455770.23563147022</v>
      </c>
      <c r="U290" s="25">
        <f t="shared" si="102"/>
        <v>0</v>
      </c>
      <c r="V290" s="25">
        <f t="shared" si="102"/>
        <v>0</v>
      </c>
      <c r="W290" s="25">
        <f t="shared" si="102"/>
        <v>31350819.672131147</v>
      </c>
      <c r="X290" s="25">
        <f t="shared" si="85"/>
        <v>0</v>
      </c>
      <c r="Y290" s="25">
        <f t="shared" si="85"/>
        <v>0</v>
      </c>
    </row>
    <row r="291" spans="1:25" outlineLevel="1" x14ac:dyDescent="0.25">
      <c r="A291" t="s">
        <v>40</v>
      </c>
      <c r="B291" t="s">
        <v>165</v>
      </c>
      <c r="C291" s="7" t="s">
        <v>17</v>
      </c>
      <c r="D291" t="s">
        <v>117</v>
      </c>
      <c r="E291" s="25">
        <f t="shared" ref="E291:W291" si="103">E94/FallWeekdays</f>
        <v>156700.11803278688</v>
      </c>
      <c r="F291" s="25">
        <f t="shared" si="103"/>
        <v>835956.6852459017</v>
      </c>
      <c r="G291" s="25">
        <f t="shared" si="103"/>
        <v>0</v>
      </c>
      <c r="H291" s="25">
        <f t="shared" si="103"/>
        <v>2492459.0163934426</v>
      </c>
      <c r="I291" s="25">
        <f t="shared" si="103"/>
        <v>601311.47540983604</v>
      </c>
      <c r="J291" s="25">
        <f t="shared" si="103"/>
        <v>601311.47540983604</v>
      </c>
      <c r="K291" s="25">
        <f t="shared" si="103"/>
        <v>271638.90163934429</v>
      </c>
      <c r="L291" s="25">
        <f t="shared" si="103"/>
        <v>2779172.3836065577</v>
      </c>
      <c r="M291" s="25">
        <f t="shared" si="103"/>
        <v>0</v>
      </c>
      <c r="N291" s="25">
        <f t="shared" si="103"/>
        <v>20083614.944262296</v>
      </c>
      <c r="O291" s="25">
        <f t="shared" si="103"/>
        <v>20083614.944262296</v>
      </c>
      <c r="P291" s="25">
        <f t="shared" si="103"/>
        <v>20083614.944262296</v>
      </c>
      <c r="Q291" s="25">
        <f t="shared" si="103"/>
        <v>204575.63976681634</v>
      </c>
      <c r="R291" s="25">
        <f t="shared" si="103"/>
        <v>96397.241667481023</v>
      </c>
      <c r="S291" s="25">
        <f t="shared" si="103"/>
        <v>0</v>
      </c>
      <c r="T291" s="25">
        <f t="shared" si="103"/>
        <v>419682.85627062072</v>
      </c>
      <c r="U291" s="25">
        <f t="shared" si="103"/>
        <v>0</v>
      </c>
      <c r="V291" s="25">
        <f t="shared" si="103"/>
        <v>0</v>
      </c>
      <c r="W291" s="25">
        <f t="shared" si="103"/>
        <v>31190163.934426229</v>
      </c>
      <c r="X291" s="25">
        <f t="shared" si="85"/>
        <v>0</v>
      </c>
      <c r="Y291" s="25">
        <f t="shared" si="85"/>
        <v>0</v>
      </c>
    </row>
    <row r="292" spans="1:25" outlineLevel="1" x14ac:dyDescent="0.25">
      <c r="A292" t="s">
        <v>40</v>
      </c>
      <c r="B292" t="s">
        <v>166</v>
      </c>
      <c r="C292" s="7" t="s">
        <v>18</v>
      </c>
      <c r="D292" t="s">
        <v>117</v>
      </c>
      <c r="E292" s="25">
        <f t="shared" ref="E292:W292" si="104">E95/FallWeekdays</f>
        <v>164485.03606557377</v>
      </c>
      <c r="F292" s="25">
        <f t="shared" si="104"/>
        <v>698183.1442622951</v>
      </c>
      <c r="G292" s="25">
        <f t="shared" si="104"/>
        <v>0</v>
      </c>
      <c r="H292" s="25">
        <f t="shared" si="104"/>
        <v>2685245.9016393442</v>
      </c>
      <c r="I292" s="25">
        <f t="shared" si="104"/>
        <v>601311.47540983604</v>
      </c>
      <c r="J292" s="25">
        <f t="shared" si="104"/>
        <v>601311.47540983604</v>
      </c>
      <c r="K292" s="25">
        <f t="shared" si="104"/>
        <v>325503.97049180331</v>
      </c>
      <c r="L292" s="25">
        <f t="shared" si="104"/>
        <v>2477525.8131147544</v>
      </c>
      <c r="M292" s="25">
        <f t="shared" si="104"/>
        <v>0</v>
      </c>
      <c r="N292" s="25">
        <f t="shared" si="104"/>
        <v>16796970.216393445</v>
      </c>
      <c r="O292" s="25">
        <f t="shared" si="104"/>
        <v>16796970.216393445</v>
      </c>
      <c r="P292" s="25">
        <f t="shared" si="104"/>
        <v>16796970.216393445</v>
      </c>
      <c r="Q292" s="25">
        <f t="shared" si="104"/>
        <v>166787.78273982482</v>
      </c>
      <c r="R292" s="25">
        <f t="shared" si="104"/>
        <v>78591.38174164058</v>
      </c>
      <c r="S292" s="25">
        <f t="shared" si="104"/>
        <v>0</v>
      </c>
      <c r="T292" s="25">
        <f t="shared" si="104"/>
        <v>342161.81912509201</v>
      </c>
      <c r="U292" s="25">
        <f t="shared" si="104"/>
        <v>0</v>
      </c>
      <c r="V292" s="25">
        <f t="shared" si="104"/>
        <v>0</v>
      </c>
      <c r="W292" s="25">
        <f t="shared" si="104"/>
        <v>30983606.557377052</v>
      </c>
      <c r="X292" s="25">
        <f t="shared" si="85"/>
        <v>0</v>
      </c>
      <c r="Y292" s="25">
        <f t="shared" si="85"/>
        <v>0</v>
      </c>
    </row>
    <row r="293" spans="1:25" outlineLevel="1" x14ac:dyDescent="0.25">
      <c r="A293" t="s">
        <v>40</v>
      </c>
      <c r="B293" t="s">
        <v>167</v>
      </c>
      <c r="C293" s="7" t="s">
        <v>19</v>
      </c>
      <c r="D293" t="s">
        <v>117</v>
      </c>
      <c r="E293" s="25">
        <f t="shared" ref="E293:W293" si="105">E96/FallWeekdays</f>
        <v>166210.40983606558</v>
      </c>
      <c r="F293" s="25">
        <f t="shared" si="105"/>
        <v>509565.91803278693</v>
      </c>
      <c r="G293" s="25">
        <f t="shared" si="105"/>
        <v>0</v>
      </c>
      <c r="H293" s="25">
        <f t="shared" si="105"/>
        <v>2726557.3770491807</v>
      </c>
      <c r="I293" s="25">
        <f t="shared" si="105"/>
        <v>541639.34426229505</v>
      </c>
      <c r="J293" s="25">
        <f t="shared" si="105"/>
        <v>541639.34426229505</v>
      </c>
      <c r="K293" s="25">
        <f t="shared" si="105"/>
        <v>404497.8918032787</v>
      </c>
      <c r="L293" s="25">
        <f t="shared" si="105"/>
        <v>2176589.82295082</v>
      </c>
      <c r="M293" s="25">
        <f t="shared" si="105"/>
        <v>0</v>
      </c>
      <c r="N293" s="25">
        <f t="shared" si="105"/>
        <v>13920551.629508197</v>
      </c>
      <c r="O293" s="25">
        <f t="shared" si="105"/>
        <v>13920551.629508197</v>
      </c>
      <c r="P293" s="25">
        <f t="shared" si="105"/>
        <v>13920551.629508197</v>
      </c>
      <c r="Q293" s="25">
        <f t="shared" si="105"/>
        <v>153105.97243694856</v>
      </c>
      <c r="R293" s="25">
        <f t="shared" si="105"/>
        <v>72144.432458146635</v>
      </c>
      <c r="S293" s="25">
        <f t="shared" si="105"/>
        <v>0</v>
      </c>
      <c r="T293" s="25">
        <f t="shared" si="105"/>
        <v>314093.85739998682</v>
      </c>
      <c r="U293" s="25">
        <f t="shared" si="105"/>
        <v>0</v>
      </c>
      <c r="V293" s="25">
        <f t="shared" si="105"/>
        <v>0</v>
      </c>
      <c r="W293" s="25">
        <f t="shared" si="105"/>
        <v>30777049.18032787</v>
      </c>
      <c r="X293" s="25">
        <f t="shared" si="85"/>
        <v>0</v>
      </c>
      <c r="Y293" s="25">
        <f t="shared" si="85"/>
        <v>0</v>
      </c>
    </row>
    <row r="294" spans="1:25" outlineLevel="1" x14ac:dyDescent="0.25">
      <c r="A294" t="s">
        <v>40</v>
      </c>
      <c r="B294" t="s">
        <v>168</v>
      </c>
      <c r="C294" s="7" t="s">
        <v>20</v>
      </c>
      <c r="D294" t="s">
        <v>117</v>
      </c>
      <c r="E294" s="25">
        <f t="shared" ref="E294:W294" si="106">E97/FallWeekdays</f>
        <v>146016.30491803278</v>
      </c>
      <c r="F294" s="25">
        <f t="shared" si="106"/>
        <v>305307.29508196726</v>
      </c>
      <c r="G294" s="25">
        <f t="shared" si="106"/>
        <v>0</v>
      </c>
      <c r="H294" s="25">
        <f t="shared" si="106"/>
        <v>2233114.7540983609</v>
      </c>
      <c r="I294" s="25">
        <f t="shared" si="106"/>
        <v>500327.86885245901</v>
      </c>
      <c r="J294" s="25">
        <f t="shared" si="106"/>
        <v>500327.86885245901</v>
      </c>
      <c r="K294" s="25">
        <f t="shared" si="106"/>
        <v>305693.09836065577</v>
      </c>
      <c r="L294" s="25">
        <f t="shared" si="106"/>
        <v>1896298.737704918</v>
      </c>
      <c r="M294" s="25">
        <f t="shared" si="106"/>
        <v>0</v>
      </c>
      <c r="N294" s="25">
        <f t="shared" si="106"/>
        <v>11293090.131147541</v>
      </c>
      <c r="O294" s="25">
        <f t="shared" si="106"/>
        <v>11293090.131147541</v>
      </c>
      <c r="P294" s="25">
        <f t="shared" si="106"/>
        <v>11293090.131147541</v>
      </c>
      <c r="Q294" s="25">
        <f t="shared" si="106"/>
        <v>143333.25079203694</v>
      </c>
      <c r="R294" s="25">
        <f t="shared" si="106"/>
        <v>67539.468684222375</v>
      </c>
      <c r="S294" s="25">
        <f t="shared" si="106"/>
        <v>0</v>
      </c>
      <c r="T294" s="25">
        <f t="shared" si="106"/>
        <v>294045.31331062596</v>
      </c>
      <c r="U294" s="25">
        <f t="shared" si="106"/>
        <v>0</v>
      </c>
      <c r="V294" s="25">
        <f t="shared" si="106"/>
        <v>0</v>
      </c>
      <c r="W294" s="25">
        <f t="shared" si="106"/>
        <v>30524590.163934428</v>
      </c>
      <c r="X294" s="25">
        <f t="shared" si="85"/>
        <v>0</v>
      </c>
      <c r="Y294" s="25">
        <f t="shared" si="85"/>
        <v>0</v>
      </c>
    </row>
    <row r="295" spans="1:25" outlineLevel="1" x14ac:dyDescent="0.25">
      <c r="A295" t="s">
        <v>40</v>
      </c>
      <c r="B295" t="s">
        <v>169</v>
      </c>
      <c r="C295" s="7" t="s">
        <v>21</v>
      </c>
      <c r="D295" t="s">
        <v>117</v>
      </c>
      <c r="E295" s="25">
        <f t="shared" ref="E295:W295" si="107">E98/FallWeekdays</f>
        <v>109027.68524590164</v>
      </c>
      <c r="F295" s="25">
        <f t="shared" si="107"/>
        <v>148302.50491803279</v>
      </c>
      <c r="G295" s="25">
        <f t="shared" si="107"/>
        <v>0</v>
      </c>
      <c r="H295" s="25">
        <f t="shared" si="107"/>
        <v>1326557.3770491804</v>
      </c>
      <c r="I295" s="25">
        <f t="shared" si="107"/>
        <v>440276.84262295085</v>
      </c>
      <c r="J295" s="25">
        <f t="shared" si="107"/>
        <v>440276.84262295085</v>
      </c>
      <c r="K295" s="25">
        <f t="shared" si="107"/>
        <v>280309.53770491807</v>
      </c>
      <c r="L295" s="25">
        <f t="shared" si="107"/>
        <v>1649916.1344262296</v>
      </c>
      <c r="M295" s="25">
        <f t="shared" si="107"/>
        <v>0</v>
      </c>
      <c r="N295" s="25">
        <f t="shared" si="107"/>
        <v>9476331.7049180325</v>
      </c>
      <c r="O295" s="25">
        <f t="shared" si="107"/>
        <v>9476331.7049180325</v>
      </c>
      <c r="P295" s="25">
        <f t="shared" si="107"/>
        <v>9476331.7049180325</v>
      </c>
      <c r="Q295" s="25">
        <f t="shared" si="107"/>
        <v>134863.5586997802</v>
      </c>
      <c r="R295" s="25">
        <f t="shared" si="107"/>
        <v>63548.500080154685</v>
      </c>
      <c r="S295" s="25">
        <f t="shared" si="107"/>
        <v>0</v>
      </c>
      <c r="T295" s="25">
        <f t="shared" si="107"/>
        <v>276669.90843317989</v>
      </c>
      <c r="U295" s="25">
        <f t="shared" si="107"/>
        <v>0</v>
      </c>
      <c r="V295" s="25">
        <f t="shared" si="107"/>
        <v>0</v>
      </c>
      <c r="W295" s="25">
        <f t="shared" si="107"/>
        <v>30249180.327868853</v>
      </c>
      <c r="X295" s="25">
        <f t="shared" si="85"/>
        <v>0</v>
      </c>
      <c r="Y295" s="25">
        <f t="shared" si="85"/>
        <v>0</v>
      </c>
    </row>
    <row r="296" spans="1:25" outlineLevel="1" x14ac:dyDescent="0.25">
      <c r="A296" t="s">
        <v>40</v>
      </c>
      <c r="B296" t="s">
        <v>170</v>
      </c>
      <c r="C296" s="7" t="s">
        <v>22</v>
      </c>
      <c r="D296" t="s">
        <v>117</v>
      </c>
      <c r="E296" s="25">
        <f t="shared" ref="E296:W296" si="108">E99/FallWeekdays</f>
        <v>97521.865573770498</v>
      </c>
      <c r="F296" s="25">
        <f t="shared" si="108"/>
        <v>80896.475409836072</v>
      </c>
      <c r="G296" s="25">
        <f t="shared" si="108"/>
        <v>0</v>
      </c>
      <c r="H296" s="25">
        <f t="shared" si="108"/>
        <v>697704.91803278693</v>
      </c>
      <c r="I296" s="25">
        <f t="shared" si="108"/>
        <v>308652.99672131147</v>
      </c>
      <c r="J296" s="25">
        <f t="shared" si="108"/>
        <v>308652.99672131147</v>
      </c>
      <c r="K296" s="25">
        <f t="shared" si="108"/>
        <v>294481.89836065576</v>
      </c>
      <c r="L296" s="25">
        <f t="shared" si="108"/>
        <v>1420758.2590163935</v>
      </c>
      <c r="M296" s="25">
        <f t="shared" si="108"/>
        <v>0</v>
      </c>
      <c r="N296" s="25">
        <f t="shared" si="108"/>
        <v>8291317.2196721314</v>
      </c>
      <c r="O296" s="25">
        <f t="shared" si="108"/>
        <v>8291317.2196721314</v>
      </c>
      <c r="P296" s="25">
        <f t="shared" si="108"/>
        <v>8291317.2196721314</v>
      </c>
      <c r="Q296" s="25">
        <f t="shared" si="108"/>
        <v>90970.871400497505</v>
      </c>
      <c r="R296" s="25">
        <f t="shared" si="108"/>
        <v>42866.008314043393</v>
      </c>
      <c r="S296" s="25">
        <f t="shared" si="108"/>
        <v>0</v>
      </c>
      <c r="T296" s="25">
        <f t="shared" si="108"/>
        <v>186624.93340021322</v>
      </c>
      <c r="U296" s="25">
        <f t="shared" si="108"/>
        <v>0</v>
      </c>
      <c r="V296" s="25">
        <f t="shared" si="108"/>
        <v>0</v>
      </c>
      <c r="W296" s="25">
        <f t="shared" si="108"/>
        <v>30088524.590163935</v>
      </c>
      <c r="X296" s="25">
        <f t="shared" si="85"/>
        <v>0</v>
      </c>
      <c r="Y296" s="25">
        <f t="shared" si="85"/>
        <v>0</v>
      </c>
    </row>
    <row r="297" spans="1:25" outlineLevel="1" x14ac:dyDescent="0.25">
      <c r="A297" t="s">
        <v>37</v>
      </c>
      <c r="B297" t="s">
        <v>147</v>
      </c>
      <c r="C297" s="7" t="s">
        <v>34</v>
      </c>
      <c r="D297" t="s">
        <v>114</v>
      </c>
      <c r="E297" s="27">
        <f t="shared" ref="E297:W297" si="109">E100/WinterWeekendDays</f>
        <v>1053018.2541666669</v>
      </c>
      <c r="F297" s="27">
        <f t="shared" si="109"/>
        <v>1315.416666666667</v>
      </c>
      <c r="G297" s="27">
        <f t="shared" si="109"/>
        <v>0</v>
      </c>
      <c r="H297" s="27">
        <f t="shared" si="109"/>
        <v>806607.95833333349</v>
      </c>
      <c r="I297" s="27">
        <f t="shared" si="109"/>
        <v>497250.01666666678</v>
      </c>
      <c r="J297" s="27">
        <f t="shared" si="109"/>
        <v>497250.01666666678</v>
      </c>
      <c r="K297" s="27">
        <f t="shared" si="109"/>
        <v>1239701.779166667</v>
      </c>
      <c r="L297" s="27">
        <f t="shared" si="109"/>
        <v>3950.3041666666677</v>
      </c>
      <c r="M297" s="27">
        <f t="shared" si="109"/>
        <v>0</v>
      </c>
      <c r="N297" s="27">
        <f t="shared" si="109"/>
        <v>9168847.9166666679</v>
      </c>
      <c r="O297" s="27">
        <f t="shared" si="109"/>
        <v>9168847.9166666679</v>
      </c>
      <c r="P297" s="27">
        <f t="shared" si="109"/>
        <v>9168847.9166666679</v>
      </c>
      <c r="Q297" s="27">
        <f t="shared" si="109"/>
        <v>90471.871075483024</v>
      </c>
      <c r="R297" s="27">
        <f t="shared" si="109"/>
        <v>42630.87643334928</v>
      </c>
      <c r="S297" s="27">
        <f t="shared" si="109"/>
        <v>0</v>
      </c>
      <c r="T297" s="27">
        <f t="shared" si="109"/>
        <v>185601.24415783444</v>
      </c>
      <c r="U297" s="27">
        <f t="shared" si="109"/>
        <v>0</v>
      </c>
      <c r="V297" s="27">
        <f t="shared" si="109"/>
        <v>0</v>
      </c>
      <c r="W297" s="27">
        <f t="shared" si="109"/>
        <v>39433333.333333343</v>
      </c>
      <c r="X297" s="27">
        <f t="shared" ref="X297:Y320" si="110">X100/WinterWeekendDays</f>
        <v>0</v>
      </c>
      <c r="Y297" s="27">
        <f t="shared" si="110"/>
        <v>0</v>
      </c>
    </row>
    <row r="298" spans="1:25" outlineLevel="1" x14ac:dyDescent="0.25">
      <c r="A298" t="s">
        <v>37</v>
      </c>
      <c r="B298" t="s">
        <v>148</v>
      </c>
      <c r="C298" s="7" t="s">
        <v>0</v>
      </c>
      <c r="D298" t="s">
        <v>114</v>
      </c>
      <c r="E298" s="27">
        <f t="shared" ref="E298:W298" si="111">E101/WinterWeekendDays</f>
        <v>1073616.8916666668</v>
      </c>
      <c r="F298" s="27">
        <f t="shared" si="111"/>
        <v>1335.541666666667</v>
      </c>
      <c r="G298" s="27">
        <f t="shared" si="111"/>
        <v>0</v>
      </c>
      <c r="H298" s="27">
        <f t="shared" si="111"/>
        <v>696904.22083333344</v>
      </c>
      <c r="I298" s="27">
        <f t="shared" si="111"/>
        <v>321299.67916666676</v>
      </c>
      <c r="J298" s="27">
        <f t="shared" si="111"/>
        <v>321299.67916666676</v>
      </c>
      <c r="K298" s="27">
        <f t="shared" si="111"/>
        <v>1164635.3833333335</v>
      </c>
      <c r="L298" s="27">
        <f t="shared" si="111"/>
        <v>3866.275000000001</v>
      </c>
      <c r="M298" s="27">
        <f t="shared" si="111"/>
        <v>0</v>
      </c>
      <c r="N298" s="27">
        <f t="shared" si="111"/>
        <v>8004415.0083333356</v>
      </c>
      <c r="O298" s="27">
        <f t="shared" si="111"/>
        <v>8004415.0083333356</v>
      </c>
      <c r="P298" s="27">
        <f t="shared" si="111"/>
        <v>8004415.0083333356</v>
      </c>
      <c r="Q298" s="27">
        <f t="shared" si="111"/>
        <v>86205.524289919238</v>
      </c>
      <c r="R298" s="27">
        <f t="shared" si="111"/>
        <v>40620.54879808415</v>
      </c>
      <c r="S298" s="27">
        <f t="shared" si="111"/>
        <v>0</v>
      </c>
      <c r="T298" s="27">
        <f t="shared" si="111"/>
        <v>176848.91857866335</v>
      </c>
      <c r="U298" s="27">
        <f t="shared" si="111"/>
        <v>0</v>
      </c>
      <c r="V298" s="27">
        <f t="shared" si="111"/>
        <v>0</v>
      </c>
      <c r="W298" s="27">
        <f t="shared" si="111"/>
        <v>39345833.333333343</v>
      </c>
      <c r="X298" s="27">
        <f t="shared" si="110"/>
        <v>0</v>
      </c>
      <c r="Y298" s="27">
        <f t="shared" si="110"/>
        <v>0</v>
      </c>
    </row>
    <row r="299" spans="1:25" outlineLevel="1" x14ac:dyDescent="0.25">
      <c r="A299" t="s">
        <v>37</v>
      </c>
      <c r="B299" t="s">
        <v>149</v>
      </c>
      <c r="C299" s="7" t="s">
        <v>1</v>
      </c>
      <c r="D299" t="s">
        <v>114</v>
      </c>
      <c r="E299" s="27">
        <f t="shared" ref="E299:W299" si="112">E102/WinterWeekendDays</f>
        <v>1078655.0833333335</v>
      </c>
      <c r="F299" s="27">
        <f t="shared" si="112"/>
        <v>1353.2458333333336</v>
      </c>
      <c r="G299" s="27">
        <f t="shared" si="112"/>
        <v>0</v>
      </c>
      <c r="H299" s="27">
        <f t="shared" si="112"/>
        <v>673084.18333333347</v>
      </c>
      <c r="I299" s="27">
        <f t="shared" si="112"/>
        <v>267792.37916666671</v>
      </c>
      <c r="J299" s="27">
        <f t="shared" si="112"/>
        <v>267792.37916666671</v>
      </c>
      <c r="K299" s="27">
        <f t="shared" si="112"/>
        <v>1048912.3750000002</v>
      </c>
      <c r="L299" s="27">
        <f t="shared" si="112"/>
        <v>3831.1875000000009</v>
      </c>
      <c r="M299" s="27">
        <f t="shared" si="112"/>
        <v>0</v>
      </c>
      <c r="N299" s="27">
        <f t="shared" si="112"/>
        <v>7898506.4375000019</v>
      </c>
      <c r="O299" s="27">
        <f t="shared" si="112"/>
        <v>7898506.4375000019</v>
      </c>
      <c r="P299" s="27">
        <f t="shared" si="112"/>
        <v>7898506.4375000019</v>
      </c>
      <c r="Q299" s="27">
        <f t="shared" si="112"/>
        <v>85041.982693553611</v>
      </c>
      <c r="R299" s="27">
        <f t="shared" si="112"/>
        <v>40072.281171582428</v>
      </c>
      <c r="S299" s="27">
        <f t="shared" si="112"/>
        <v>0</v>
      </c>
      <c r="T299" s="27">
        <f t="shared" si="112"/>
        <v>174461.93613486405</v>
      </c>
      <c r="U299" s="27">
        <f t="shared" si="112"/>
        <v>0</v>
      </c>
      <c r="V299" s="27">
        <f t="shared" si="112"/>
        <v>0</v>
      </c>
      <c r="W299" s="27">
        <f t="shared" si="112"/>
        <v>39345833.333333343</v>
      </c>
      <c r="X299" s="27">
        <f t="shared" si="110"/>
        <v>0</v>
      </c>
      <c r="Y299" s="27">
        <f t="shared" si="110"/>
        <v>0</v>
      </c>
    </row>
    <row r="300" spans="1:25" outlineLevel="1" x14ac:dyDescent="0.25">
      <c r="A300" t="s">
        <v>37</v>
      </c>
      <c r="B300" t="s">
        <v>150</v>
      </c>
      <c r="C300" s="7" t="s">
        <v>2</v>
      </c>
      <c r="D300" t="s">
        <v>114</v>
      </c>
      <c r="E300" s="27">
        <f t="shared" ref="E300:W300" si="113">E103/WinterWeekendDays</f>
        <v>1073616.8916666668</v>
      </c>
      <c r="F300" s="27">
        <f t="shared" si="113"/>
        <v>1355.8708333333336</v>
      </c>
      <c r="G300" s="27">
        <f t="shared" si="113"/>
        <v>0</v>
      </c>
      <c r="H300" s="27">
        <f t="shared" si="113"/>
        <v>672516.04583333351</v>
      </c>
      <c r="I300" s="27">
        <f t="shared" si="113"/>
        <v>248221.57500000007</v>
      </c>
      <c r="J300" s="27">
        <f t="shared" si="113"/>
        <v>248221.57500000007</v>
      </c>
      <c r="K300" s="27">
        <f t="shared" si="113"/>
        <v>1095869.9500000002</v>
      </c>
      <c r="L300" s="27">
        <f t="shared" si="113"/>
        <v>3811.4416666666675</v>
      </c>
      <c r="M300" s="27">
        <f t="shared" si="113"/>
        <v>0</v>
      </c>
      <c r="N300" s="27">
        <f t="shared" si="113"/>
        <v>7974068.6083333353</v>
      </c>
      <c r="O300" s="27">
        <f t="shared" si="113"/>
        <v>7974068.6083333353</v>
      </c>
      <c r="P300" s="27">
        <f t="shared" si="113"/>
        <v>7974068.6083333353</v>
      </c>
      <c r="Q300" s="27">
        <f t="shared" si="113"/>
        <v>85041.982693553611</v>
      </c>
      <c r="R300" s="27">
        <f t="shared" si="113"/>
        <v>40072.281171582428</v>
      </c>
      <c r="S300" s="27">
        <f t="shared" si="113"/>
        <v>0</v>
      </c>
      <c r="T300" s="27">
        <f t="shared" si="113"/>
        <v>174461.93613486405</v>
      </c>
      <c r="U300" s="27">
        <f t="shared" si="113"/>
        <v>0</v>
      </c>
      <c r="V300" s="27">
        <f t="shared" si="113"/>
        <v>0</v>
      </c>
      <c r="W300" s="27">
        <f t="shared" si="113"/>
        <v>39462500.000000007</v>
      </c>
      <c r="X300" s="27">
        <f t="shared" si="110"/>
        <v>0</v>
      </c>
      <c r="Y300" s="27">
        <f t="shared" si="110"/>
        <v>0</v>
      </c>
    </row>
    <row r="301" spans="1:25" outlineLevel="1" x14ac:dyDescent="0.25">
      <c r="A301" t="s">
        <v>37</v>
      </c>
      <c r="B301" t="s">
        <v>151</v>
      </c>
      <c r="C301" s="7" t="s">
        <v>3</v>
      </c>
      <c r="D301" t="s">
        <v>114</v>
      </c>
      <c r="E301" s="27">
        <f t="shared" ref="E301:W301" si="114">E104/WinterWeekendDays</f>
        <v>1053018.2541666669</v>
      </c>
      <c r="F301" s="27">
        <f t="shared" si="114"/>
        <v>1351.4666666666669</v>
      </c>
      <c r="G301" s="27">
        <f t="shared" si="114"/>
        <v>0</v>
      </c>
      <c r="H301" s="27">
        <f t="shared" si="114"/>
        <v>707887.65833333356</v>
      </c>
      <c r="I301" s="27">
        <f t="shared" si="114"/>
        <v>255876.74583333341</v>
      </c>
      <c r="J301" s="27">
        <f t="shared" si="114"/>
        <v>255876.74583333341</v>
      </c>
      <c r="K301" s="27">
        <f t="shared" si="114"/>
        <v>1143293.1125000003</v>
      </c>
      <c r="L301" s="27">
        <f t="shared" si="114"/>
        <v>3807.1541666666676</v>
      </c>
      <c r="M301" s="27">
        <f t="shared" si="114"/>
        <v>0</v>
      </c>
      <c r="N301" s="27">
        <f t="shared" si="114"/>
        <v>8101649.7333333353</v>
      </c>
      <c r="O301" s="27">
        <f t="shared" si="114"/>
        <v>8101649.7333333353</v>
      </c>
      <c r="P301" s="27">
        <f t="shared" si="114"/>
        <v>8101649.7333333353</v>
      </c>
      <c r="Q301" s="27">
        <f t="shared" si="114"/>
        <v>84654.129974987096</v>
      </c>
      <c r="R301" s="27">
        <f t="shared" si="114"/>
        <v>39889.522695130101</v>
      </c>
      <c r="S301" s="27">
        <f t="shared" si="114"/>
        <v>0</v>
      </c>
      <c r="T301" s="27">
        <f t="shared" si="114"/>
        <v>173666.26399654956</v>
      </c>
      <c r="U301" s="27">
        <f t="shared" si="114"/>
        <v>0</v>
      </c>
      <c r="V301" s="27">
        <f t="shared" si="114"/>
        <v>0</v>
      </c>
      <c r="W301" s="27">
        <f t="shared" si="114"/>
        <v>39783333.333333343</v>
      </c>
      <c r="X301" s="27">
        <f t="shared" si="110"/>
        <v>0</v>
      </c>
      <c r="Y301" s="27">
        <f t="shared" si="110"/>
        <v>0</v>
      </c>
    </row>
    <row r="302" spans="1:25" outlineLevel="1" x14ac:dyDescent="0.25">
      <c r="A302" t="s">
        <v>37</v>
      </c>
      <c r="B302" t="s">
        <v>152</v>
      </c>
      <c r="C302" s="7" t="s">
        <v>4</v>
      </c>
      <c r="D302" t="s">
        <v>114</v>
      </c>
      <c r="E302" s="27">
        <f t="shared" ref="E302:W302" si="115">E105/WinterWeekendDays</f>
        <v>1107716.9541666668</v>
      </c>
      <c r="F302" s="27">
        <f t="shared" si="115"/>
        <v>1327.2875000000004</v>
      </c>
      <c r="G302" s="27">
        <f t="shared" si="115"/>
        <v>0</v>
      </c>
      <c r="H302" s="27">
        <f t="shared" si="115"/>
        <v>917397.10416666686</v>
      </c>
      <c r="I302" s="27">
        <f t="shared" si="115"/>
        <v>331522.97500000009</v>
      </c>
      <c r="J302" s="27">
        <f t="shared" si="115"/>
        <v>331522.97500000009</v>
      </c>
      <c r="K302" s="27">
        <f t="shared" si="115"/>
        <v>1194426.5958333337</v>
      </c>
      <c r="L302" s="27">
        <f t="shared" si="115"/>
        <v>3848.7458333333343</v>
      </c>
      <c r="M302" s="27">
        <f t="shared" si="115"/>
        <v>0</v>
      </c>
      <c r="N302" s="27">
        <f t="shared" si="115"/>
        <v>8665891.325000003</v>
      </c>
      <c r="O302" s="27">
        <f t="shared" si="115"/>
        <v>8665891.325000003</v>
      </c>
      <c r="P302" s="27">
        <f t="shared" si="115"/>
        <v>8665891.325000003</v>
      </c>
      <c r="Q302" s="27">
        <f t="shared" si="115"/>
        <v>85235.900773169909</v>
      </c>
      <c r="R302" s="27">
        <f t="shared" si="115"/>
        <v>40163.656508380955</v>
      </c>
      <c r="S302" s="27">
        <f t="shared" si="115"/>
        <v>0</v>
      </c>
      <c r="T302" s="27">
        <f t="shared" si="115"/>
        <v>174859.75521844919</v>
      </c>
      <c r="U302" s="27">
        <f t="shared" si="115"/>
        <v>0</v>
      </c>
      <c r="V302" s="27">
        <f t="shared" si="115"/>
        <v>0</v>
      </c>
      <c r="W302" s="27">
        <f t="shared" si="115"/>
        <v>40133333.333333343</v>
      </c>
      <c r="X302" s="27">
        <f t="shared" si="110"/>
        <v>0</v>
      </c>
      <c r="Y302" s="27">
        <f t="shared" si="110"/>
        <v>0</v>
      </c>
    </row>
    <row r="303" spans="1:25" outlineLevel="1" x14ac:dyDescent="0.25">
      <c r="A303" t="s">
        <v>37</v>
      </c>
      <c r="B303" t="s">
        <v>153</v>
      </c>
      <c r="C303" s="7" t="s">
        <v>5</v>
      </c>
      <c r="D303" t="s">
        <v>114</v>
      </c>
      <c r="E303" s="27">
        <f t="shared" ref="E303:W303" si="116">E106/WinterWeekendDays</f>
        <v>1169896.466666667</v>
      </c>
      <c r="F303" s="27">
        <f t="shared" si="116"/>
        <v>1274.1750000000004</v>
      </c>
      <c r="G303" s="27">
        <f t="shared" si="116"/>
        <v>0</v>
      </c>
      <c r="H303" s="27">
        <f t="shared" si="116"/>
        <v>1583750.0000000005</v>
      </c>
      <c r="I303" s="27">
        <f t="shared" si="116"/>
        <v>583887.03333333344</v>
      </c>
      <c r="J303" s="27">
        <f t="shared" si="116"/>
        <v>583887.03333333344</v>
      </c>
      <c r="K303" s="27">
        <f t="shared" si="116"/>
        <v>1487500.0000000005</v>
      </c>
      <c r="L303" s="27">
        <f t="shared" si="116"/>
        <v>3997.3500000000008</v>
      </c>
      <c r="M303" s="27">
        <f t="shared" si="116"/>
        <v>0</v>
      </c>
      <c r="N303" s="27">
        <f t="shared" si="116"/>
        <v>9711419.3166666683</v>
      </c>
      <c r="O303" s="27">
        <f t="shared" si="116"/>
        <v>9711419.3166666683</v>
      </c>
      <c r="P303" s="27">
        <f t="shared" si="116"/>
        <v>9711419.3166666683</v>
      </c>
      <c r="Q303" s="27">
        <f t="shared" si="116"/>
        <v>105660.78761904812</v>
      </c>
      <c r="R303" s="27">
        <f t="shared" si="116"/>
        <v>49787.983019383493</v>
      </c>
      <c r="S303" s="27">
        <f t="shared" si="116"/>
        <v>0</v>
      </c>
      <c r="T303" s="27">
        <f t="shared" si="116"/>
        <v>216761.00436156848</v>
      </c>
      <c r="U303" s="27">
        <f t="shared" si="116"/>
        <v>0</v>
      </c>
      <c r="V303" s="27">
        <f t="shared" si="116"/>
        <v>0</v>
      </c>
      <c r="W303" s="27">
        <f t="shared" si="116"/>
        <v>40337500.000000007</v>
      </c>
      <c r="X303" s="27">
        <f t="shared" si="110"/>
        <v>0</v>
      </c>
      <c r="Y303" s="27">
        <f t="shared" si="110"/>
        <v>0</v>
      </c>
    </row>
    <row r="304" spans="1:25" outlineLevel="1" x14ac:dyDescent="0.25">
      <c r="A304" t="s">
        <v>37</v>
      </c>
      <c r="B304" t="s">
        <v>154</v>
      </c>
      <c r="C304" s="7" t="s">
        <v>6</v>
      </c>
      <c r="D304" t="s">
        <v>114</v>
      </c>
      <c r="E304" s="27">
        <f t="shared" ref="E304:W304" si="117">E107/WinterWeekendDays</f>
        <v>1250777.4708333337</v>
      </c>
      <c r="F304" s="27">
        <f t="shared" si="117"/>
        <v>1184.4000000000003</v>
      </c>
      <c r="G304" s="27">
        <f t="shared" si="117"/>
        <v>0</v>
      </c>
      <c r="H304" s="27">
        <f t="shared" si="117"/>
        <v>1833058.7333333339</v>
      </c>
      <c r="I304" s="27">
        <f t="shared" si="117"/>
        <v>911100.22500000021</v>
      </c>
      <c r="J304" s="27">
        <f t="shared" si="117"/>
        <v>911100.22500000021</v>
      </c>
      <c r="K304" s="27">
        <f t="shared" si="117"/>
        <v>2907916.6666666674</v>
      </c>
      <c r="L304" s="27">
        <f t="shared" si="117"/>
        <v>4290.6208333333343</v>
      </c>
      <c r="M304" s="27">
        <f t="shared" si="117"/>
        <v>0</v>
      </c>
      <c r="N304" s="27">
        <f t="shared" si="117"/>
        <v>12312792.712500002</v>
      </c>
      <c r="O304" s="27">
        <f t="shared" si="117"/>
        <v>12312792.712500002</v>
      </c>
      <c r="P304" s="27">
        <f t="shared" si="117"/>
        <v>12312792.712500002</v>
      </c>
      <c r="Q304" s="27">
        <f t="shared" si="117"/>
        <v>137472.40235209756</v>
      </c>
      <c r="R304" s="27">
        <f t="shared" si="117"/>
        <v>64777.80251475425</v>
      </c>
      <c r="S304" s="27">
        <f t="shared" si="117"/>
        <v>0</v>
      </c>
      <c r="T304" s="27">
        <f t="shared" si="117"/>
        <v>282021.89929981495</v>
      </c>
      <c r="U304" s="27">
        <f t="shared" si="117"/>
        <v>0</v>
      </c>
      <c r="V304" s="27">
        <f t="shared" si="117"/>
        <v>0</v>
      </c>
      <c r="W304" s="27">
        <f t="shared" si="117"/>
        <v>40366666.666666679</v>
      </c>
      <c r="X304" s="27">
        <f t="shared" si="110"/>
        <v>0</v>
      </c>
      <c r="Y304" s="27">
        <f t="shared" si="110"/>
        <v>0</v>
      </c>
    </row>
    <row r="305" spans="1:25" outlineLevel="1" x14ac:dyDescent="0.25">
      <c r="A305" t="s">
        <v>37</v>
      </c>
      <c r="B305" t="s">
        <v>155</v>
      </c>
      <c r="C305" s="7" t="s">
        <v>7</v>
      </c>
      <c r="D305" t="s">
        <v>114</v>
      </c>
      <c r="E305" s="27">
        <f t="shared" ref="E305:W305" si="118">E108/WinterWeekendDays</f>
        <v>1286092.354166667</v>
      </c>
      <c r="F305" s="27">
        <f t="shared" si="118"/>
        <v>1059.4500000000003</v>
      </c>
      <c r="G305" s="27">
        <f t="shared" si="118"/>
        <v>0</v>
      </c>
      <c r="H305" s="27">
        <f t="shared" si="118"/>
        <v>894010.60000000021</v>
      </c>
      <c r="I305" s="27">
        <f t="shared" si="118"/>
        <v>1385416.666666667</v>
      </c>
      <c r="J305" s="27">
        <f t="shared" si="118"/>
        <v>1385416.666666667</v>
      </c>
      <c r="K305" s="27">
        <f t="shared" si="118"/>
        <v>3555416.6666666674</v>
      </c>
      <c r="L305" s="27">
        <f t="shared" si="118"/>
        <v>4721.6458333333348</v>
      </c>
      <c r="M305" s="27">
        <f t="shared" si="118"/>
        <v>0</v>
      </c>
      <c r="N305" s="27">
        <f t="shared" si="118"/>
        <v>14027361.687500004</v>
      </c>
      <c r="O305" s="27">
        <f t="shared" si="118"/>
        <v>14027361.687500004</v>
      </c>
      <c r="P305" s="27">
        <f t="shared" si="118"/>
        <v>14027361.687500004</v>
      </c>
      <c r="Q305" s="27">
        <f t="shared" si="118"/>
        <v>164032.4975683034</v>
      </c>
      <c r="R305" s="27">
        <f t="shared" si="118"/>
        <v>77293.075204045381</v>
      </c>
      <c r="S305" s="27">
        <f t="shared" si="118"/>
        <v>0</v>
      </c>
      <c r="T305" s="27">
        <f t="shared" si="118"/>
        <v>336509.40639431804</v>
      </c>
      <c r="U305" s="27">
        <f t="shared" si="118"/>
        <v>0</v>
      </c>
      <c r="V305" s="27">
        <f t="shared" si="118"/>
        <v>0</v>
      </c>
      <c r="W305" s="27">
        <f t="shared" si="118"/>
        <v>40308333.333333343</v>
      </c>
      <c r="X305" s="27">
        <f t="shared" si="110"/>
        <v>0</v>
      </c>
      <c r="Y305" s="27">
        <f t="shared" si="110"/>
        <v>0</v>
      </c>
    </row>
    <row r="306" spans="1:25" outlineLevel="1" x14ac:dyDescent="0.25">
      <c r="A306" t="s">
        <v>37</v>
      </c>
      <c r="B306" t="s">
        <v>156</v>
      </c>
      <c r="C306" s="7" t="s">
        <v>8</v>
      </c>
      <c r="D306" t="s">
        <v>114</v>
      </c>
      <c r="E306" s="27">
        <f t="shared" ref="E306:W306" si="119">E109/WinterWeekendDays</f>
        <v>1252832.291666667</v>
      </c>
      <c r="F306" s="27">
        <f t="shared" si="119"/>
        <v>923.38750000000027</v>
      </c>
      <c r="G306" s="27">
        <f t="shared" si="119"/>
        <v>0</v>
      </c>
      <c r="H306" s="27">
        <f t="shared" si="119"/>
        <v>926356.11250000016</v>
      </c>
      <c r="I306" s="27">
        <f t="shared" si="119"/>
        <v>1890000.0000000005</v>
      </c>
      <c r="J306" s="27">
        <f t="shared" si="119"/>
        <v>1890000.0000000005</v>
      </c>
      <c r="K306" s="27">
        <f t="shared" si="119"/>
        <v>2878750.0000000005</v>
      </c>
      <c r="L306" s="27">
        <f t="shared" si="119"/>
        <v>4996.9500000000016</v>
      </c>
      <c r="M306" s="27">
        <f t="shared" si="119"/>
        <v>0</v>
      </c>
      <c r="N306" s="27">
        <f t="shared" si="119"/>
        <v>15287086.383333337</v>
      </c>
      <c r="O306" s="27">
        <f t="shared" si="119"/>
        <v>15287086.383333337</v>
      </c>
      <c r="P306" s="27">
        <f t="shared" si="119"/>
        <v>15287086.383333337</v>
      </c>
      <c r="Q306" s="27">
        <f t="shared" si="119"/>
        <v>185835.73368987627</v>
      </c>
      <c r="R306" s="27">
        <f t="shared" si="119"/>
        <v>87566.887980288433</v>
      </c>
      <c r="S306" s="27">
        <f t="shared" si="119"/>
        <v>0</v>
      </c>
      <c r="T306" s="27">
        <f t="shared" si="119"/>
        <v>381238.31166316883</v>
      </c>
      <c r="U306" s="27">
        <f t="shared" si="119"/>
        <v>0</v>
      </c>
      <c r="V306" s="27">
        <f t="shared" si="119"/>
        <v>0</v>
      </c>
      <c r="W306" s="27">
        <f t="shared" si="119"/>
        <v>40133333.333333343</v>
      </c>
      <c r="X306" s="27">
        <f t="shared" si="110"/>
        <v>0</v>
      </c>
      <c r="Y306" s="27">
        <f t="shared" si="110"/>
        <v>0</v>
      </c>
    </row>
    <row r="307" spans="1:25" outlineLevel="1" x14ac:dyDescent="0.25">
      <c r="A307" t="s">
        <v>37</v>
      </c>
      <c r="B307" t="s">
        <v>157</v>
      </c>
      <c r="C307" s="7" t="s">
        <v>9</v>
      </c>
      <c r="D307" t="s">
        <v>114</v>
      </c>
      <c r="E307" s="27">
        <f t="shared" ref="E307:W307" si="120">E110/WinterWeekendDays</f>
        <v>1213805.2500000002</v>
      </c>
      <c r="F307" s="27">
        <f t="shared" si="120"/>
        <v>861.64166666666688</v>
      </c>
      <c r="G307" s="27">
        <f t="shared" si="120"/>
        <v>0</v>
      </c>
      <c r="H307" s="27">
        <f t="shared" si="120"/>
        <v>931881.91250000021</v>
      </c>
      <c r="I307" s="27">
        <f t="shared" si="120"/>
        <v>1945416.6666666672</v>
      </c>
      <c r="J307" s="27">
        <f t="shared" si="120"/>
        <v>1945416.6666666672</v>
      </c>
      <c r="K307" s="27">
        <f t="shared" si="120"/>
        <v>2441250.0000000005</v>
      </c>
      <c r="L307" s="27">
        <f t="shared" si="120"/>
        <v>5139.9833333333345</v>
      </c>
      <c r="M307" s="27">
        <f t="shared" si="120"/>
        <v>0</v>
      </c>
      <c r="N307" s="27">
        <f t="shared" si="120"/>
        <v>15024443.350000003</v>
      </c>
      <c r="O307" s="27">
        <f t="shared" si="120"/>
        <v>15024443.350000003</v>
      </c>
      <c r="P307" s="27">
        <f t="shared" si="120"/>
        <v>15024443.350000003</v>
      </c>
      <c r="Q307" s="27">
        <f t="shared" si="120"/>
        <v>196711.72204162157</v>
      </c>
      <c r="R307" s="27">
        <f t="shared" si="120"/>
        <v>92691.717499144768</v>
      </c>
      <c r="S307" s="27">
        <f t="shared" si="120"/>
        <v>0</v>
      </c>
      <c r="T307" s="27">
        <f t="shared" si="120"/>
        <v>403550.18545923388</v>
      </c>
      <c r="U307" s="27">
        <f t="shared" si="120"/>
        <v>0</v>
      </c>
      <c r="V307" s="27">
        <f t="shared" si="120"/>
        <v>0</v>
      </c>
      <c r="W307" s="27">
        <f t="shared" si="120"/>
        <v>40016666.666666679</v>
      </c>
      <c r="X307" s="27">
        <f t="shared" si="110"/>
        <v>0</v>
      </c>
      <c r="Y307" s="27">
        <f t="shared" si="110"/>
        <v>0</v>
      </c>
    </row>
    <row r="308" spans="1:25" outlineLevel="1" x14ac:dyDescent="0.25">
      <c r="A308" t="s">
        <v>37</v>
      </c>
      <c r="B308" t="s">
        <v>158</v>
      </c>
      <c r="C308" s="7" t="s">
        <v>10</v>
      </c>
      <c r="D308" t="s">
        <v>114</v>
      </c>
      <c r="E308" s="27">
        <f t="shared" ref="E308:W308" si="121">E111/WinterWeekendDays</f>
        <v>999371.39166666695</v>
      </c>
      <c r="F308" s="27">
        <f t="shared" si="121"/>
        <v>891.42083333333358</v>
      </c>
      <c r="G308" s="27">
        <f t="shared" si="121"/>
        <v>0</v>
      </c>
      <c r="H308" s="27">
        <f t="shared" si="121"/>
        <v>988748.45416666695</v>
      </c>
      <c r="I308" s="27">
        <f t="shared" si="121"/>
        <v>1793750.0000000005</v>
      </c>
      <c r="J308" s="27">
        <f t="shared" si="121"/>
        <v>1793750.0000000005</v>
      </c>
      <c r="K308" s="27">
        <f t="shared" si="121"/>
        <v>2158333.333333334</v>
      </c>
      <c r="L308" s="27">
        <f t="shared" si="121"/>
        <v>5173.4958333333343</v>
      </c>
      <c r="M308" s="27">
        <f t="shared" si="121"/>
        <v>0</v>
      </c>
      <c r="N308" s="27">
        <f t="shared" si="121"/>
        <v>15044826.50416667</v>
      </c>
      <c r="O308" s="27">
        <f t="shared" si="121"/>
        <v>15044826.50416667</v>
      </c>
      <c r="P308" s="27">
        <f t="shared" si="121"/>
        <v>15044826.50416667</v>
      </c>
      <c r="Q308" s="27">
        <f t="shared" si="121"/>
        <v>202723.38950140076</v>
      </c>
      <c r="R308" s="27">
        <f t="shared" si="121"/>
        <v>95524.450475590129</v>
      </c>
      <c r="S308" s="27">
        <f t="shared" si="121"/>
        <v>0</v>
      </c>
      <c r="T308" s="27">
        <f t="shared" si="121"/>
        <v>415883.00168967596</v>
      </c>
      <c r="U308" s="27">
        <f t="shared" si="121"/>
        <v>0</v>
      </c>
      <c r="V308" s="27">
        <f t="shared" si="121"/>
        <v>0</v>
      </c>
      <c r="W308" s="27">
        <f t="shared" si="121"/>
        <v>39958333.333333343</v>
      </c>
      <c r="X308" s="27">
        <f t="shared" si="110"/>
        <v>0</v>
      </c>
      <c r="Y308" s="27">
        <f t="shared" si="110"/>
        <v>0</v>
      </c>
    </row>
    <row r="309" spans="1:25" outlineLevel="1" x14ac:dyDescent="0.25">
      <c r="A309" t="s">
        <v>37</v>
      </c>
      <c r="B309" t="s">
        <v>159</v>
      </c>
      <c r="C309" s="7" t="s">
        <v>11</v>
      </c>
      <c r="D309" t="s">
        <v>114</v>
      </c>
      <c r="E309" s="27">
        <f t="shared" ref="E309:W309" si="122">E112/WinterWeekendDays</f>
        <v>989247.05833333358</v>
      </c>
      <c r="F309" s="27">
        <f t="shared" si="122"/>
        <v>929.42500000000018</v>
      </c>
      <c r="G309" s="27">
        <f t="shared" si="122"/>
        <v>0</v>
      </c>
      <c r="H309" s="27">
        <f t="shared" si="122"/>
        <v>1023111.3958333336</v>
      </c>
      <c r="I309" s="27">
        <f t="shared" si="122"/>
        <v>1604166.666666667</v>
      </c>
      <c r="J309" s="27">
        <f t="shared" si="122"/>
        <v>1604166.666666667</v>
      </c>
      <c r="K309" s="27">
        <f t="shared" si="122"/>
        <v>1960000.0000000005</v>
      </c>
      <c r="L309" s="27">
        <f t="shared" si="122"/>
        <v>5201.8750000000009</v>
      </c>
      <c r="M309" s="27">
        <f t="shared" si="122"/>
        <v>0</v>
      </c>
      <c r="N309" s="27">
        <f t="shared" si="122"/>
        <v>14951464.79166667</v>
      </c>
      <c r="O309" s="27">
        <f t="shared" si="122"/>
        <v>14951464.79166667</v>
      </c>
      <c r="P309" s="27">
        <f t="shared" si="122"/>
        <v>14951464.79166667</v>
      </c>
      <c r="Q309" s="27">
        <f t="shared" si="122"/>
        <v>198246.92960766811</v>
      </c>
      <c r="R309" s="27">
        <f t="shared" si="122"/>
        <v>93415.116311059115</v>
      </c>
      <c r="S309" s="27">
        <f t="shared" si="122"/>
        <v>0</v>
      </c>
      <c r="T309" s="27">
        <f t="shared" si="122"/>
        <v>406699.63324793964</v>
      </c>
      <c r="U309" s="27">
        <f t="shared" si="122"/>
        <v>0</v>
      </c>
      <c r="V309" s="27">
        <f t="shared" si="122"/>
        <v>0</v>
      </c>
      <c r="W309" s="27">
        <f t="shared" si="122"/>
        <v>39900000.000000007</v>
      </c>
      <c r="X309" s="27">
        <f t="shared" si="110"/>
        <v>0</v>
      </c>
      <c r="Y309" s="27">
        <f t="shared" si="110"/>
        <v>0</v>
      </c>
    </row>
    <row r="310" spans="1:25" outlineLevel="1" x14ac:dyDescent="0.25">
      <c r="A310" t="s">
        <v>37</v>
      </c>
      <c r="B310" t="s">
        <v>160</v>
      </c>
      <c r="C310" s="7" t="s">
        <v>12</v>
      </c>
      <c r="D310" t="s">
        <v>114</v>
      </c>
      <c r="E310" s="27">
        <f t="shared" ref="E310:W310" si="123">E113/WinterWeekendDays</f>
        <v>972557.48333333351</v>
      </c>
      <c r="F310" s="27">
        <f t="shared" si="123"/>
        <v>938.17500000000018</v>
      </c>
      <c r="G310" s="27">
        <f t="shared" si="123"/>
        <v>0</v>
      </c>
      <c r="H310" s="27">
        <f t="shared" si="123"/>
        <v>1021800.4416666669</v>
      </c>
      <c r="I310" s="27">
        <f t="shared" si="123"/>
        <v>1376666.666666667</v>
      </c>
      <c r="J310" s="27">
        <f t="shared" si="123"/>
        <v>1376666.666666667</v>
      </c>
      <c r="K310" s="27">
        <f t="shared" si="123"/>
        <v>1807669.6166666672</v>
      </c>
      <c r="L310" s="27">
        <f t="shared" si="123"/>
        <v>5201.8750000000009</v>
      </c>
      <c r="M310" s="27">
        <f t="shared" si="123"/>
        <v>0</v>
      </c>
      <c r="N310" s="27">
        <f t="shared" si="123"/>
        <v>14374628.508333337</v>
      </c>
      <c r="O310" s="27">
        <f t="shared" si="123"/>
        <v>14374628.508333337</v>
      </c>
      <c r="P310" s="27">
        <f t="shared" si="123"/>
        <v>14374628.508333337</v>
      </c>
      <c r="Q310" s="27">
        <f t="shared" si="123"/>
        <v>188660.97132427074</v>
      </c>
      <c r="R310" s="27">
        <f t="shared" si="123"/>
        <v>88898.156528788226</v>
      </c>
      <c r="S310" s="27">
        <f t="shared" si="123"/>
        <v>0</v>
      </c>
      <c r="T310" s="27">
        <f t="shared" si="123"/>
        <v>387034.23048027448</v>
      </c>
      <c r="U310" s="27">
        <f t="shared" si="123"/>
        <v>0</v>
      </c>
      <c r="V310" s="27">
        <f t="shared" si="123"/>
        <v>0</v>
      </c>
      <c r="W310" s="27">
        <f t="shared" si="123"/>
        <v>39958333.333333343</v>
      </c>
      <c r="X310" s="27">
        <f t="shared" si="110"/>
        <v>0</v>
      </c>
      <c r="Y310" s="27">
        <f t="shared" si="110"/>
        <v>0</v>
      </c>
    </row>
    <row r="311" spans="1:25" outlineLevel="1" x14ac:dyDescent="0.25">
      <c r="A311" t="s">
        <v>37</v>
      </c>
      <c r="B311" t="s">
        <v>161</v>
      </c>
      <c r="C311" s="7" t="s">
        <v>13</v>
      </c>
      <c r="D311" t="s">
        <v>114</v>
      </c>
      <c r="E311" s="27">
        <f t="shared" ref="E311:W311" si="124">E114/WinterWeekendDays</f>
        <v>962273.57916666684</v>
      </c>
      <c r="F311" s="27">
        <f t="shared" si="124"/>
        <v>936.19166666666683</v>
      </c>
      <c r="G311" s="27">
        <f t="shared" si="124"/>
        <v>0</v>
      </c>
      <c r="H311" s="27">
        <f t="shared" si="124"/>
        <v>1011049.0833333336</v>
      </c>
      <c r="I311" s="27">
        <f t="shared" si="124"/>
        <v>1268632.166666667</v>
      </c>
      <c r="J311" s="27">
        <f t="shared" si="124"/>
        <v>1268632.166666667</v>
      </c>
      <c r="K311" s="27">
        <f t="shared" si="124"/>
        <v>1718623.6375000004</v>
      </c>
      <c r="L311" s="27">
        <f t="shared" si="124"/>
        <v>5201.8750000000009</v>
      </c>
      <c r="M311" s="27">
        <f t="shared" si="124"/>
        <v>0</v>
      </c>
      <c r="N311" s="27">
        <f t="shared" si="124"/>
        <v>13705341.154166671</v>
      </c>
      <c r="O311" s="27">
        <f t="shared" si="124"/>
        <v>13705341.154166671</v>
      </c>
      <c r="P311" s="27">
        <f t="shared" si="124"/>
        <v>13705341.154166671</v>
      </c>
      <c r="Q311" s="27">
        <f t="shared" si="124"/>
        <v>186333.87985187257</v>
      </c>
      <c r="R311" s="27">
        <f t="shared" si="124"/>
        <v>87801.617374357142</v>
      </c>
      <c r="S311" s="27">
        <f t="shared" si="124"/>
        <v>0</v>
      </c>
      <c r="T311" s="27">
        <f t="shared" si="124"/>
        <v>382260.24860710377</v>
      </c>
      <c r="U311" s="27">
        <f t="shared" si="124"/>
        <v>0</v>
      </c>
      <c r="V311" s="27">
        <f t="shared" si="124"/>
        <v>0</v>
      </c>
      <c r="W311" s="27">
        <f t="shared" si="124"/>
        <v>40133333.333333343</v>
      </c>
      <c r="X311" s="27">
        <f t="shared" si="110"/>
        <v>0</v>
      </c>
      <c r="Y311" s="27">
        <f t="shared" si="110"/>
        <v>0</v>
      </c>
    </row>
    <row r="312" spans="1:25" outlineLevel="1" x14ac:dyDescent="0.25">
      <c r="A312" t="s">
        <v>37</v>
      </c>
      <c r="B312" t="s">
        <v>162</v>
      </c>
      <c r="C312" s="7" t="s">
        <v>14</v>
      </c>
      <c r="D312" t="s">
        <v>114</v>
      </c>
      <c r="E312" s="27">
        <f t="shared" ref="E312:W312" si="125">E115/WinterWeekendDays</f>
        <v>969630.0833333336</v>
      </c>
      <c r="F312" s="27">
        <f t="shared" si="125"/>
        <v>933.21666666666692</v>
      </c>
      <c r="G312" s="27">
        <f t="shared" si="125"/>
        <v>0</v>
      </c>
      <c r="H312" s="27">
        <f t="shared" si="125"/>
        <v>1013586.3208333335</v>
      </c>
      <c r="I312" s="27">
        <f t="shared" si="125"/>
        <v>1109604.1833333336</v>
      </c>
      <c r="J312" s="27">
        <f t="shared" si="125"/>
        <v>1109604.1833333336</v>
      </c>
      <c r="K312" s="27">
        <f t="shared" si="125"/>
        <v>1763668.0250000004</v>
      </c>
      <c r="L312" s="27">
        <f t="shared" si="125"/>
        <v>5203.0125000000016</v>
      </c>
      <c r="M312" s="27">
        <f t="shared" si="125"/>
        <v>0</v>
      </c>
      <c r="N312" s="27">
        <f t="shared" si="125"/>
        <v>12726962.295833336</v>
      </c>
      <c r="O312" s="27">
        <f t="shared" si="125"/>
        <v>12726962.295833336</v>
      </c>
      <c r="P312" s="27">
        <f t="shared" si="125"/>
        <v>12726962.295833336</v>
      </c>
      <c r="Q312" s="27">
        <f t="shared" si="125"/>
        <v>182843.21366444093</v>
      </c>
      <c r="R312" s="27">
        <f t="shared" si="125"/>
        <v>86156.794987713758</v>
      </c>
      <c r="S312" s="27">
        <f t="shared" si="125"/>
        <v>0</v>
      </c>
      <c r="T312" s="27">
        <f t="shared" si="125"/>
        <v>375099.21634784545</v>
      </c>
      <c r="U312" s="27">
        <f t="shared" si="125"/>
        <v>0</v>
      </c>
      <c r="V312" s="27">
        <f t="shared" si="125"/>
        <v>0</v>
      </c>
      <c r="W312" s="27">
        <f t="shared" si="125"/>
        <v>40541666.666666679</v>
      </c>
      <c r="X312" s="27">
        <f t="shared" si="110"/>
        <v>0</v>
      </c>
      <c r="Y312" s="27">
        <f t="shared" si="110"/>
        <v>0</v>
      </c>
    </row>
    <row r="313" spans="1:25" outlineLevel="1" x14ac:dyDescent="0.25">
      <c r="A313" t="s">
        <v>37</v>
      </c>
      <c r="B313" t="s">
        <v>163</v>
      </c>
      <c r="C313" s="7" t="s">
        <v>15</v>
      </c>
      <c r="D313" t="s">
        <v>114</v>
      </c>
      <c r="E313" s="27">
        <f t="shared" ref="E313:W313" si="126">E116/WinterWeekendDays</f>
        <v>998633.50416666688</v>
      </c>
      <c r="F313" s="27">
        <f t="shared" si="126"/>
        <v>940.65416666666692</v>
      </c>
      <c r="G313" s="27">
        <f t="shared" si="126"/>
        <v>0</v>
      </c>
      <c r="H313" s="27">
        <f t="shared" si="126"/>
        <v>2604583.333333334</v>
      </c>
      <c r="I313" s="27">
        <f t="shared" si="126"/>
        <v>1110231.4125000003</v>
      </c>
      <c r="J313" s="27">
        <f t="shared" si="126"/>
        <v>1110231.4125000003</v>
      </c>
      <c r="K313" s="27">
        <f t="shared" si="126"/>
        <v>1754092.6958333338</v>
      </c>
      <c r="L313" s="27">
        <f t="shared" si="126"/>
        <v>5147.1000000000013</v>
      </c>
      <c r="M313" s="27">
        <f t="shared" si="126"/>
        <v>0</v>
      </c>
      <c r="N313" s="27">
        <f t="shared" si="126"/>
        <v>12153260.204166669</v>
      </c>
      <c r="O313" s="27">
        <f t="shared" si="126"/>
        <v>12153260.204166669</v>
      </c>
      <c r="P313" s="27">
        <f t="shared" si="126"/>
        <v>12153260.204166669</v>
      </c>
      <c r="Q313" s="27">
        <f t="shared" si="126"/>
        <v>209720.26281112758</v>
      </c>
      <c r="R313" s="27">
        <f t="shared" si="126"/>
        <v>98821.41822856052</v>
      </c>
      <c r="S313" s="27">
        <f t="shared" si="126"/>
        <v>0</v>
      </c>
      <c r="T313" s="27">
        <f t="shared" si="126"/>
        <v>430236.94812697871</v>
      </c>
      <c r="U313" s="27">
        <f t="shared" si="126"/>
        <v>0</v>
      </c>
      <c r="V313" s="27">
        <f t="shared" si="126"/>
        <v>0</v>
      </c>
      <c r="W313" s="27">
        <f t="shared" si="126"/>
        <v>41037500.000000007</v>
      </c>
      <c r="X313" s="27">
        <f t="shared" si="110"/>
        <v>0</v>
      </c>
      <c r="Y313" s="27">
        <f t="shared" si="110"/>
        <v>0</v>
      </c>
    </row>
    <row r="314" spans="1:25" outlineLevel="1" x14ac:dyDescent="0.25">
      <c r="A314" t="s">
        <v>37</v>
      </c>
      <c r="B314" t="s">
        <v>164</v>
      </c>
      <c r="C314" s="7" t="s">
        <v>16</v>
      </c>
      <c r="D314" t="s">
        <v>114</v>
      </c>
      <c r="E314" s="27">
        <f t="shared" ref="E314:W314" si="127">E117/WinterWeekendDays</f>
        <v>1051086.3125000002</v>
      </c>
      <c r="F314" s="27">
        <f t="shared" si="127"/>
        <v>977.84166666666692</v>
      </c>
      <c r="G314" s="27">
        <f t="shared" si="127"/>
        <v>0</v>
      </c>
      <c r="H314" s="27">
        <f t="shared" si="127"/>
        <v>3645833.3333333344</v>
      </c>
      <c r="I314" s="27">
        <f t="shared" si="127"/>
        <v>1272125.4583333337</v>
      </c>
      <c r="J314" s="27">
        <f t="shared" si="127"/>
        <v>1272125.4583333337</v>
      </c>
      <c r="K314" s="27">
        <f t="shared" si="127"/>
        <v>1904583.3333333337</v>
      </c>
      <c r="L314" s="27">
        <f t="shared" si="127"/>
        <v>5022.7625000000016</v>
      </c>
      <c r="M314" s="27">
        <f t="shared" si="127"/>
        <v>0</v>
      </c>
      <c r="N314" s="27">
        <f t="shared" si="127"/>
        <v>12265393.904166669</v>
      </c>
      <c r="O314" s="27">
        <f t="shared" si="127"/>
        <v>12265393.904166669</v>
      </c>
      <c r="P314" s="27">
        <f t="shared" si="127"/>
        <v>12265393.904166669</v>
      </c>
      <c r="Q314" s="27">
        <f t="shared" si="127"/>
        <v>209914.18917041086</v>
      </c>
      <c r="R314" s="27">
        <f t="shared" si="127"/>
        <v>98912.797466786695</v>
      </c>
      <c r="S314" s="27">
        <f t="shared" si="127"/>
        <v>0</v>
      </c>
      <c r="T314" s="27">
        <f t="shared" si="127"/>
        <v>430634.78419613594</v>
      </c>
      <c r="U314" s="27">
        <f t="shared" si="127"/>
        <v>0</v>
      </c>
      <c r="V314" s="27">
        <f t="shared" si="127"/>
        <v>0</v>
      </c>
      <c r="W314" s="27">
        <f t="shared" si="127"/>
        <v>41095833.333333343</v>
      </c>
      <c r="X314" s="27">
        <f t="shared" si="110"/>
        <v>0</v>
      </c>
      <c r="Y314" s="27">
        <f t="shared" si="110"/>
        <v>0</v>
      </c>
    </row>
    <row r="315" spans="1:25" outlineLevel="1" x14ac:dyDescent="0.25">
      <c r="A315" t="s">
        <v>37</v>
      </c>
      <c r="B315" t="s">
        <v>165</v>
      </c>
      <c r="C315" s="7" t="s">
        <v>17</v>
      </c>
      <c r="D315" t="s">
        <v>114</v>
      </c>
      <c r="E315" s="27">
        <f t="shared" ref="E315:W315" si="128">E118/WinterWeekendDays</f>
        <v>1114051.5166666668</v>
      </c>
      <c r="F315" s="27">
        <f t="shared" si="128"/>
        <v>1037.9541666666669</v>
      </c>
      <c r="G315" s="27">
        <f t="shared" si="128"/>
        <v>0</v>
      </c>
      <c r="H315" s="27">
        <f t="shared" si="128"/>
        <v>3847083.3333333344</v>
      </c>
      <c r="I315" s="27">
        <f t="shared" si="128"/>
        <v>1452500.0000000002</v>
      </c>
      <c r="J315" s="27">
        <f t="shared" si="128"/>
        <v>1452500.0000000002</v>
      </c>
      <c r="K315" s="27">
        <f t="shared" si="128"/>
        <v>2193333.333333334</v>
      </c>
      <c r="L315" s="27">
        <f t="shared" si="128"/>
        <v>4915.0208333333348</v>
      </c>
      <c r="M315" s="27">
        <f t="shared" si="128"/>
        <v>0</v>
      </c>
      <c r="N315" s="27">
        <f t="shared" si="128"/>
        <v>12122584.97916667</v>
      </c>
      <c r="O315" s="27">
        <f t="shared" si="128"/>
        <v>12122584.97916667</v>
      </c>
      <c r="P315" s="27">
        <f t="shared" si="128"/>
        <v>12122584.97916667</v>
      </c>
      <c r="Q315" s="27">
        <f t="shared" si="128"/>
        <v>208556.70465542804</v>
      </c>
      <c r="R315" s="27">
        <f t="shared" si="128"/>
        <v>98273.142799203531</v>
      </c>
      <c r="S315" s="27">
        <f t="shared" si="128"/>
        <v>0</v>
      </c>
      <c r="T315" s="27">
        <f t="shared" si="128"/>
        <v>427849.93171203526</v>
      </c>
      <c r="U315" s="27">
        <f t="shared" si="128"/>
        <v>0</v>
      </c>
      <c r="V315" s="27">
        <f t="shared" si="128"/>
        <v>0</v>
      </c>
      <c r="W315" s="27">
        <f t="shared" si="128"/>
        <v>40920833.333333343</v>
      </c>
      <c r="X315" s="27">
        <f t="shared" si="110"/>
        <v>0</v>
      </c>
      <c r="Y315" s="27">
        <f t="shared" si="110"/>
        <v>0</v>
      </c>
    </row>
    <row r="316" spans="1:25" outlineLevel="1" x14ac:dyDescent="0.25">
      <c r="A316" t="s">
        <v>37</v>
      </c>
      <c r="B316" t="s">
        <v>166</v>
      </c>
      <c r="C316" s="7" t="s">
        <v>18</v>
      </c>
      <c r="D316" t="s">
        <v>114</v>
      </c>
      <c r="E316" s="27">
        <f t="shared" ref="E316:W316" si="129">E119/WinterWeekendDays</f>
        <v>1189107.6166666669</v>
      </c>
      <c r="F316" s="27">
        <f t="shared" si="129"/>
        <v>1103.054166666667</v>
      </c>
      <c r="G316" s="27">
        <f t="shared" si="129"/>
        <v>0</v>
      </c>
      <c r="H316" s="27">
        <f t="shared" si="129"/>
        <v>4030833.3333333344</v>
      </c>
      <c r="I316" s="27">
        <f t="shared" si="129"/>
        <v>1324166.666666667</v>
      </c>
      <c r="J316" s="27">
        <f t="shared" si="129"/>
        <v>1324166.666666667</v>
      </c>
      <c r="K316" s="27">
        <f t="shared" si="129"/>
        <v>1547498.779166667</v>
      </c>
      <c r="L316" s="27">
        <f t="shared" si="129"/>
        <v>4761.2541666666675</v>
      </c>
      <c r="M316" s="27">
        <f t="shared" si="129"/>
        <v>0</v>
      </c>
      <c r="N316" s="27">
        <f t="shared" si="129"/>
        <v>11806073.300000003</v>
      </c>
      <c r="O316" s="27">
        <f t="shared" si="129"/>
        <v>11806073.300000003</v>
      </c>
      <c r="P316" s="27">
        <f t="shared" si="129"/>
        <v>11806073.300000003</v>
      </c>
      <c r="Q316" s="27">
        <f t="shared" si="129"/>
        <v>204096.43151058099</v>
      </c>
      <c r="R316" s="27">
        <f t="shared" si="129"/>
        <v>96171.435925712227</v>
      </c>
      <c r="S316" s="27">
        <f t="shared" si="129"/>
        <v>0</v>
      </c>
      <c r="T316" s="27">
        <f t="shared" si="129"/>
        <v>418699.77006370696</v>
      </c>
      <c r="U316" s="27">
        <f t="shared" si="129"/>
        <v>0</v>
      </c>
      <c r="V316" s="27">
        <f t="shared" si="129"/>
        <v>0</v>
      </c>
      <c r="W316" s="27">
        <f t="shared" si="129"/>
        <v>40687500.000000007</v>
      </c>
      <c r="X316" s="27">
        <f t="shared" si="110"/>
        <v>0</v>
      </c>
      <c r="Y316" s="27">
        <f t="shared" si="110"/>
        <v>0</v>
      </c>
    </row>
    <row r="317" spans="1:25" outlineLevel="1" x14ac:dyDescent="0.25">
      <c r="A317" t="s">
        <v>37</v>
      </c>
      <c r="B317" t="s">
        <v>167</v>
      </c>
      <c r="C317" s="7" t="s">
        <v>19</v>
      </c>
      <c r="D317" t="s">
        <v>114</v>
      </c>
      <c r="E317" s="27">
        <f t="shared" ref="E317:W317" si="130">E120/WinterWeekendDays</f>
        <v>1240618.5458333336</v>
      </c>
      <c r="F317" s="27">
        <f t="shared" si="130"/>
        <v>1154.854166666667</v>
      </c>
      <c r="G317" s="27">
        <f t="shared" si="130"/>
        <v>0</v>
      </c>
      <c r="H317" s="27">
        <f t="shared" si="130"/>
        <v>4007500.0000000009</v>
      </c>
      <c r="I317" s="27">
        <f t="shared" si="130"/>
        <v>1234268.9916666669</v>
      </c>
      <c r="J317" s="27">
        <f t="shared" si="130"/>
        <v>1234268.9916666669</v>
      </c>
      <c r="K317" s="27">
        <f t="shared" si="130"/>
        <v>1582781.6083333336</v>
      </c>
      <c r="L317" s="27">
        <f t="shared" si="130"/>
        <v>4631.9875000000011</v>
      </c>
      <c r="M317" s="27">
        <f t="shared" si="130"/>
        <v>0</v>
      </c>
      <c r="N317" s="27">
        <f t="shared" si="130"/>
        <v>11275086.404166669</v>
      </c>
      <c r="O317" s="27">
        <f t="shared" si="130"/>
        <v>11275086.404166669</v>
      </c>
      <c r="P317" s="27">
        <f t="shared" si="130"/>
        <v>11275086.404166669</v>
      </c>
      <c r="Q317" s="27">
        <f t="shared" si="130"/>
        <v>198084.76405080181</v>
      </c>
      <c r="R317" s="27">
        <f t="shared" si="130"/>
        <v>93338.702949266881</v>
      </c>
      <c r="S317" s="27">
        <f t="shared" si="130"/>
        <v>0</v>
      </c>
      <c r="T317" s="27">
        <f t="shared" si="130"/>
        <v>406366.95383326476</v>
      </c>
      <c r="U317" s="27">
        <f t="shared" si="130"/>
        <v>0</v>
      </c>
      <c r="V317" s="27">
        <f t="shared" si="130"/>
        <v>0</v>
      </c>
      <c r="W317" s="27">
        <f t="shared" si="130"/>
        <v>40454166.666666679</v>
      </c>
      <c r="X317" s="27">
        <f t="shared" si="110"/>
        <v>0</v>
      </c>
      <c r="Y317" s="27">
        <f t="shared" si="110"/>
        <v>0</v>
      </c>
    </row>
    <row r="318" spans="1:25" outlineLevel="1" x14ac:dyDescent="0.25">
      <c r="A318" t="s">
        <v>37</v>
      </c>
      <c r="B318" t="s">
        <v>168</v>
      </c>
      <c r="C318" s="7" t="s">
        <v>20</v>
      </c>
      <c r="D318" t="s">
        <v>114</v>
      </c>
      <c r="E318" s="27">
        <f t="shared" ref="E318:W318" si="131">E121/WinterWeekendDays</f>
        <v>1189863.091666667</v>
      </c>
      <c r="F318" s="27">
        <f t="shared" si="131"/>
        <v>1203.9708333333335</v>
      </c>
      <c r="G318" s="27">
        <f t="shared" si="131"/>
        <v>0</v>
      </c>
      <c r="H318" s="27">
        <f t="shared" si="131"/>
        <v>3316250.0000000009</v>
      </c>
      <c r="I318" s="27">
        <f t="shared" si="131"/>
        <v>1079434.7375000003</v>
      </c>
      <c r="J318" s="27">
        <f t="shared" si="131"/>
        <v>1079434.7375000003</v>
      </c>
      <c r="K318" s="27">
        <f t="shared" si="131"/>
        <v>1703333.3333333337</v>
      </c>
      <c r="L318" s="27">
        <f t="shared" si="131"/>
        <v>4500.0666666666675</v>
      </c>
      <c r="M318" s="27">
        <f t="shared" si="131"/>
        <v>0</v>
      </c>
      <c r="N318" s="27">
        <f t="shared" si="131"/>
        <v>10512999.933333335</v>
      </c>
      <c r="O318" s="27">
        <f t="shared" si="131"/>
        <v>10512999.933333335</v>
      </c>
      <c r="P318" s="27">
        <f t="shared" si="131"/>
        <v>10512999.933333335</v>
      </c>
      <c r="Q318" s="27">
        <f t="shared" si="131"/>
        <v>191297.39115388962</v>
      </c>
      <c r="R318" s="27">
        <f t="shared" si="131"/>
        <v>90140.453019916866</v>
      </c>
      <c r="S318" s="27">
        <f t="shared" si="131"/>
        <v>0</v>
      </c>
      <c r="T318" s="27">
        <f t="shared" si="131"/>
        <v>392442.79332619364</v>
      </c>
      <c r="U318" s="27">
        <f t="shared" si="131"/>
        <v>0</v>
      </c>
      <c r="V318" s="27">
        <f t="shared" si="131"/>
        <v>0</v>
      </c>
      <c r="W318" s="27">
        <f t="shared" si="131"/>
        <v>40104166.666666679</v>
      </c>
      <c r="X318" s="27">
        <f t="shared" si="110"/>
        <v>0</v>
      </c>
      <c r="Y318" s="27">
        <f t="shared" si="110"/>
        <v>0</v>
      </c>
    </row>
    <row r="319" spans="1:25" outlineLevel="1" x14ac:dyDescent="0.25">
      <c r="A319" t="s">
        <v>37</v>
      </c>
      <c r="B319" t="s">
        <v>169</v>
      </c>
      <c r="C319" s="7" t="s">
        <v>21</v>
      </c>
      <c r="D319" t="s">
        <v>114</v>
      </c>
      <c r="E319" s="27">
        <f t="shared" ref="E319:W319" si="132">E122/WinterWeekendDays</f>
        <v>1064697.4625000001</v>
      </c>
      <c r="F319" s="27">
        <f t="shared" si="132"/>
        <v>1249.5000000000002</v>
      </c>
      <c r="G319" s="27">
        <f t="shared" si="132"/>
        <v>0</v>
      </c>
      <c r="H319" s="27">
        <f t="shared" si="132"/>
        <v>2137916.666666667</v>
      </c>
      <c r="I319" s="27">
        <f t="shared" si="132"/>
        <v>937450.50000000023</v>
      </c>
      <c r="J319" s="27">
        <f t="shared" si="132"/>
        <v>937450.50000000023</v>
      </c>
      <c r="K319" s="27">
        <f t="shared" si="132"/>
        <v>1729583.3333333337</v>
      </c>
      <c r="L319" s="27">
        <f t="shared" si="132"/>
        <v>4341.4875000000011</v>
      </c>
      <c r="M319" s="27">
        <f t="shared" si="132"/>
        <v>0</v>
      </c>
      <c r="N319" s="27">
        <f t="shared" si="132"/>
        <v>10034825.179166669</v>
      </c>
      <c r="O319" s="27">
        <f t="shared" si="132"/>
        <v>10034825.179166669</v>
      </c>
      <c r="P319" s="27">
        <f t="shared" si="132"/>
        <v>10034825.179166669</v>
      </c>
      <c r="Q319" s="27">
        <f t="shared" si="132"/>
        <v>188970.29140182448</v>
      </c>
      <c r="R319" s="27">
        <f t="shared" si="132"/>
        <v>89043.909964058126</v>
      </c>
      <c r="S319" s="27">
        <f t="shared" si="132"/>
        <v>0</v>
      </c>
      <c r="T319" s="27">
        <f t="shared" si="132"/>
        <v>387668.79446745088</v>
      </c>
      <c r="U319" s="27">
        <f t="shared" si="132"/>
        <v>0</v>
      </c>
      <c r="V319" s="27">
        <f t="shared" si="132"/>
        <v>0</v>
      </c>
      <c r="W319" s="27">
        <f t="shared" si="132"/>
        <v>39783333.333333343</v>
      </c>
      <c r="X319" s="27">
        <f t="shared" si="110"/>
        <v>0</v>
      </c>
      <c r="Y319" s="27">
        <f t="shared" si="110"/>
        <v>0</v>
      </c>
    </row>
    <row r="320" spans="1:25" outlineLevel="1" x14ac:dyDescent="0.25">
      <c r="A320" t="s">
        <v>37</v>
      </c>
      <c r="B320" t="s">
        <v>170</v>
      </c>
      <c r="C320" s="7" t="s">
        <v>22</v>
      </c>
      <c r="D320" t="s">
        <v>114</v>
      </c>
      <c r="E320" s="27">
        <f t="shared" ref="E320:W320" si="133">E123/WinterWeekendDays</f>
        <v>1017866.1791666669</v>
      </c>
      <c r="F320" s="27">
        <f t="shared" si="133"/>
        <v>1288.5833333333337</v>
      </c>
      <c r="G320" s="27">
        <f t="shared" si="133"/>
        <v>0</v>
      </c>
      <c r="H320" s="27">
        <f t="shared" si="133"/>
        <v>1195833.3333333337</v>
      </c>
      <c r="I320" s="27">
        <f t="shared" si="133"/>
        <v>713935.95000000019</v>
      </c>
      <c r="J320" s="27">
        <f t="shared" si="133"/>
        <v>713935.95000000019</v>
      </c>
      <c r="K320" s="27">
        <f t="shared" si="133"/>
        <v>1432889.791666667</v>
      </c>
      <c r="L320" s="27">
        <f t="shared" si="133"/>
        <v>4124.8083333333343</v>
      </c>
      <c r="M320" s="27">
        <f t="shared" si="133"/>
        <v>0</v>
      </c>
      <c r="N320" s="27">
        <f t="shared" si="133"/>
        <v>9167985.4000000022</v>
      </c>
      <c r="O320" s="27">
        <f t="shared" si="133"/>
        <v>9167985.4000000022</v>
      </c>
      <c r="P320" s="27">
        <f t="shared" si="133"/>
        <v>9167985.4000000022</v>
      </c>
      <c r="Q320" s="27">
        <f t="shared" si="133"/>
        <v>126984.88769393995</v>
      </c>
      <c r="R320" s="27">
        <f t="shared" si="133"/>
        <v>59836.024079423383</v>
      </c>
      <c r="S320" s="27">
        <f t="shared" si="133"/>
        <v>0</v>
      </c>
      <c r="T320" s="27">
        <f t="shared" si="133"/>
        <v>260506.97155997009</v>
      </c>
      <c r="U320" s="27">
        <f t="shared" si="133"/>
        <v>0</v>
      </c>
      <c r="V320" s="27">
        <f t="shared" si="133"/>
        <v>0</v>
      </c>
      <c r="W320" s="27">
        <f t="shared" si="133"/>
        <v>39550000.000000007</v>
      </c>
      <c r="X320" s="27">
        <f t="shared" si="110"/>
        <v>0</v>
      </c>
      <c r="Y320" s="27">
        <f t="shared" si="110"/>
        <v>0</v>
      </c>
    </row>
    <row r="321" spans="1:25" outlineLevel="1" x14ac:dyDescent="0.25">
      <c r="A321" t="s">
        <v>38</v>
      </c>
      <c r="B321" t="s">
        <v>147</v>
      </c>
      <c r="C321" s="7" t="s">
        <v>34</v>
      </c>
      <c r="D321" t="s">
        <v>114</v>
      </c>
      <c r="E321" s="25">
        <f t="shared" ref="E321:W321" si="134">E124/SpringWeekendDays</f>
        <v>416422.92391304352</v>
      </c>
      <c r="F321" s="25">
        <f t="shared" si="134"/>
        <v>1292.1467391304348</v>
      </c>
      <c r="G321" s="25">
        <f t="shared" si="134"/>
        <v>0</v>
      </c>
      <c r="H321" s="25">
        <f t="shared" si="134"/>
        <v>694901.90760869568</v>
      </c>
      <c r="I321" s="25">
        <f t="shared" si="134"/>
        <v>413611.625</v>
      </c>
      <c r="J321" s="25">
        <f t="shared" si="134"/>
        <v>413611.625</v>
      </c>
      <c r="K321" s="25">
        <f t="shared" si="134"/>
        <v>614109.96195652173</v>
      </c>
      <c r="L321" s="25">
        <f t="shared" si="134"/>
        <v>156668.67391304349</v>
      </c>
      <c r="M321" s="25">
        <f t="shared" si="134"/>
        <v>0</v>
      </c>
      <c r="N321" s="25">
        <f t="shared" si="134"/>
        <v>8854221.3641304355</v>
      </c>
      <c r="O321" s="25">
        <f t="shared" si="134"/>
        <v>8854221.3641304355</v>
      </c>
      <c r="P321" s="25">
        <f t="shared" si="134"/>
        <v>8854221.3641304355</v>
      </c>
      <c r="Q321" s="25">
        <f t="shared" si="134"/>
        <v>83050.776070137203</v>
      </c>
      <c r="R321" s="25">
        <f t="shared" si="134"/>
        <v>39134.012928568998</v>
      </c>
      <c r="S321" s="25">
        <f t="shared" si="134"/>
        <v>0</v>
      </c>
      <c r="T321" s="25">
        <f t="shared" si="134"/>
        <v>170377.0153491199</v>
      </c>
      <c r="U321" s="25">
        <f t="shared" si="134"/>
        <v>0</v>
      </c>
      <c r="V321" s="25">
        <f t="shared" si="134"/>
        <v>0</v>
      </c>
      <c r="W321" s="25">
        <f t="shared" si="134"/>
        <v>38423913.043478265</v>
      </c>
      <c r="X321" s="25">
        <f t="shared" ref="X321:Y344" si="135">X124/SpringWeekendDays</f>
        <v>0</v>
      </c>
      <c r="Y321" s="25">
        <f t="shared" si="135"/>
        <v>0</v>
      </c>
    </row>
    <row r="322" spans="1:25" outlineLevel="1" x14ac:dyDescent="0.25">
      <c r="A322" t="s">
        <v>38</v>
      </c>
      <c r="B322" t="s">
        <v>148</v>
      </c>
      <c r="C322" s="7" t="s">
        <v>0</v>
      </c>
      <c r="D322" t="s">
        <v>114</v>
      </c>
      <c r="E322" s="25">
        <f t="shared" ref="E322:W322" si="136">E125/SpringWeekendDays</f>
        <v>427245.72282608697</v>
      </c>
      <c r="F322" s="25">
        <f t="shared" si="136"/>
        <v>1311.929347826087</v>
      </c>
      <c r="G322" s="25">
        <f t="shared" si="136"/>
        <v>0</v>
      </c>
      <c r="H322" s="25">
        <f t="shared" si="136"/>
        <v>600390.875</v>
      </c>
      <c r="I322" s="25">
        <f t="shared" si="136"/>
        <v>267256.46195652173</v>
      </c>
      <c r="J322" s="25">
        <f t="shared" si="136"/>
        <v>267256.46195652173</v>
      </c>
      <c r="K322" s="25">
        <f t="shared" si="136"/>
        <v>549035.48913043481</v>
      </c>
      <c r="L322" s="25">
        <f t="shared" si="136"/>
        <v>153335.98913043478</v>
      </c>
      <c r="M322" s="25">
        <f t="shared" si="136"/>
        <v>0</v>
      </c>
      <c r="N322" s="25">
        <f t="shared" si="136"/>
        <v>7731867.6521739131</v>
      </c>
      <c r="O322" s="25">
        <f t="shared" si="136"/>
        <v>7731867.6521739131</v>
      </c>
      <c r="P322" s="25">
        <f t="shared" si="136"/>
        <v>7731867.6521739131</v>
      </c>
      <c r="Q322" s="25">
        <f t="shared" si="136"/>
        <v>78877.175953824786</v>
      </c>
      <c r="R322" s="25">
        <f t="shared" si="136"/>
        <v>37167.388067983549</v>
      </c>
      <c r="S322" s="25">
        <f t="shared" si="136"/>
        <v>0</v>
      </c>
      <c r="T322" s="25">
        <f t="shared" si="136"/>
        <v>161814.9577173221</v>
      </c>
      <c r="U322" s="25">
        <f t="shared" si="136"/>
        <v>0</v>
      </c>
      <c r="V322" s="25">
        <f t="shared" si="136"/>
        <v>0</v>
      </c>
      <c r="W322" s="25">
        <f t="shared" si="136"/>
        <v>38385869.565217391</v>
      </c>
      <c r="X322" s="25">
        <f t="shared" si="135"/>
        <v>0</v>
      </c>
      <c r="Y322" s="25">
        <f t="shared" si="135"/>
        <v>0</v>
      </c>
    </row>
    <row r="323" spans="1:25" outlineLevel="1" x14ac:dyDescent="0.25">
      <c r="A323" t="s">
        <v>38</v>
      </c>
      <c r="B323" t="s">
        <v>149</v>
      </c>
      <c r="C323" s="7" t="s">
        <v>1</v>
      </c>
      <c r="D323" t="s">
        <v>114</v>
      </c>
      <c r="E323" s="25">
        <f t="shared" ref="E323:W323" si="137">E126/SpringWeekendDays</f>
        <v>430946.97282608697</v>
      </c>
      <c r="F323" s="25">
        <f t="shared" si="137"/>
        <v>1329.3152173913045</v>
      </c>
      <c r="G323" s="25">
        <f t="shared" si="137"/>
        <v>0</v>
      </c>
      <c r="H323" s="25">
        <f t="shared" si="137"/>
        <v>579869.65217391308</v>
      </c>
      <c r="I323" s="25">
        <f t="shared" si="137"/>
        <v>222749.20652173914</v>
      </c>
      <c r="J323" s="25">
        <f t="shared" si="137"/>
        <v>222749.20652173914</v>
      </c>
      <c r="K323" s="25">
        <f t="shared" si="137"/>
        <v>541182.66847826086</v>
      </c>
      <c r="L323" s="25">
        <f t="shared" si="137"/>
        <v>151945.34782608697</v>
      </c>
      <c r="M323" s="25">
        <f t="shared" si="137"/>
        <v>0</v>
      </c>
      <c r="N323" s="25">
        <f t="shared" si="137"/>
        <v>7634589.375</v>
      </c>
      <c r="O323" s="25">
        <f t="shared" si="137"/>
        <v>7634589.375</v>
      </c>
      <c r="P323" s="25">
        <f t="shared" si="137"/>
        <v>7634589.375</v>
      </c>
      <c r="Q323" s="25">
        <f t="shared" si="137"/>
        <v>77738.923340206064</v>
      </c>
      <c r="R323" s="25">
        <f t="shared" si="137"/>
        <v>36631.036758518181</v>
      </c>
      <c r="S323" s="25">
        <f t="shared" si="137"/>
        <v>0</v>
      </c>
      <c r="T323" s="25">
        <f t="shared" si="137"/>
        <v>159479.85511866707</v>
      </c>
      <c r="U323" s="25">
        <f t="shared" si="137"/>
        <v>0</v>
      </c>
      <c r="V323" s="25">
        <f t="shared" si="137"/>
        <v>0</v>
      </c>
      <c r="W323" s="25">
        <f t="shared" si="137"/>
        <v>38423913.043478265</v>
      </c>
      <c r="X323" s="25">
        <f t="shared" si="135"/>
        <v>0</v>
      </c>
      <c r="Y323" s="25">
        <f t="shared" si="135"/>
        <v>0</v>
      </c>
    </row>
    <row r="324" spans="1:25" outlineLevel="1" x14ac:dyDescent="0.25">
      <c r="A324" t="s">
        <v>38</v>
      </c>
      <c r="B324" t="s">
        <v>150</v>
      </c>
      <c r="C324" s="7" t="s">
        <v>2</v>
      </c>
      <c r="D324" t="s">
        <v>114</v>
      </c>
      <c r="E324" s="25">
        <f t="shared" ref="E324:W324" si="138">E127/SpringWeekendDays</f>
        <v>427245.72282608697</v>
      </c>
      <c r="F324" s="25">
        <f t="shared" si="138"/>
        <v>1331.9021739130435</v>
      </c>
      <c r="G324" s="25">
        <f t="shared" si="138"/>
        <v>0</v>
      </c>
      <c r="H324" s="25">
        <f t="shared" si="138"/>
        <v>579380.14673913049</v>
      </c>
      <c r="I324" s="25">
        <f t="shared" si="138"/>
        <v>206470.25</v>
      </c>
      <c r="J324" s="25">
        <f t="shared" si="138"/>
        <v>206470.25</v>
      </c>
      <c r="K324" s="25">
        <f t="shared" si="138"/>
        <v>554937.97282608703</v>
      </c>
      <c r="L324" s="25">
        <f t="shared" si="138"/>
        <v>151160.89130434784</v>
      </c>
      <c r="M324" s="25">
        <f t="shared" si="138"/>
        <v>0</v>
      </c>
      <c r="N324" s="25">
        <f t="shared" si="138"/>
        <v>7709118.5271739131</v>
      </c>
      <c r="O324" s="25">
        <f t="shared" si="138"/>
        <v>7709118.5271739131</v>
      </c>
      <c r="P324" s="25">
        <f t="shared" si="138"/>
        <v>7709118.5271739131</v>
      </c>
      <c r="Q324" s="25">
        <f t="shared" si="138"/>
        <v>77738.923340206064</v>
      </c>
      <c r="R324" s="25">
        <f t="shared" si="138"/>
        <v>36631.036758518181</v>
      </c>
      <c r="S324" s="25">
        <f t="shared" si="138"/>
        <v>0</v>
      </c>
      <c r="T324" s="25">
        <f t="shared" si="138"/>
        <v>159479.85511866707</v>
      </c>
      <c r="U324" s="25">
        <f t="shared" si="138"/>
        <v>0</v>
      </c>
      <c r="V324" s="25">
        <f t="shared" si="138"/>
        <v>0</v>
      </c>
      <c r="W324" s="25">
        <f t="shared" si="138"/>
        <v>38461956.521739133</v>
      </c>
      <c r="X324" s="25">
        <f t="shared" si="135"/>
        <v>0</v>
      </c>
      <c r="Y324" s="25">
        <f t="shared" si="135"/>
        <v>0</v>
      </c>
    </row>
    <row r="325" spans="1:25" outlineLevel="1" x14ac:dyDescent="0.25">
      <c r="A325" t="s">
        <v>38</v>
      </c>
      <c r="B325" t="s">
        <v>151</v>
      </c>
      <c r="C325" s="7" t="s">
        <v>3</v>
      </c>
      <c r="D325" t="s">
        <v>114</v>
      </c>
      <c r="E325" s="25">
        <f t="shared" ref="E325:W325" si="139">E128/SpringWeekendDays</f>
        <v>416422.92391304352</v>
      </c>
      <c r="F325" s="25">
        <f t="shared" si="139"/>
        <v>1327.6032608695652</v>
      </c>
      <c r="G325" s="25">
        <f t="shared" si="139"/>
        <v>0</v>
      </c>
      <c r="H325" s="25">
        <f t="shared" si="139"/>
        <v>609853.23913043481</v>
      </c>
      <c r="I325" s="25">
        <f t="shared" si="139"/>
        <v>212837.77717391305</v>
      </c>
      <c r="J325" s="25">
        <f t="shared" si="139"/>
        <v>212837.77717391305</v>
      </c>
      <c r="K325" s="25">
        <f t="shared" si="139"/>
        <v>563314.84239130432</v>
      </c>
      <c r="L325" s="25">
        <f t="shared" si="139"/>
        <v>150992.01630434784</v>
      </c>
      <c r="M325" s="25">
        <f t="shared" si="139"/>
        <v>0</v>
      </c>
      <c r="N325" s="25">
        <f t="shared" si="139"/>
        <v>7818845.3152173916</v>
      </c>
      <c r="O325" s="25">
        <f t="shared" si="139"/>
        <v>7818845.3152173916</v>
      </c>
      <c r="P325" s="25">
        <f t="shared" si="139"/>
        <v>7818845.3152173916</v>
      </c>
      <c r="Q325" s="25">
        <f t="shared" si="139"/>
        <v>77359.502202477946</v>
      </c>
      <c r="R325" s="25">
        <f t="shared" si="139"/>
        <v>36452.251292423505</v>
      </c>
      <c r="S325" s="25">
        <f t="shared" si="139"/>
        <v>0</v>
      </c>
      <c r="T325" s="25">
        <f t="shared" si="139"/>
        <v>158701.48020075072</v>
      </c>
      <c r="U325" s="25">
        <f t="shared" si="139"/>
        <v>0</v>
      </c>
      <c r="V325" s="25">
        <f t="shared" si="139"/>
        <v>0</v>
      </c>
      <c r="W325" s="25">
        <f t="shared" si="139"/>
        <v>38728260.869565219</v>
      </c>
      <c r="X325" s="25">
        <f t="shared" si="135"/>
        <v>0</v>
      </c>
      <c r="Y325" s="25">
        <f t="shared" si="135"/>
        <v>0</v>
      </c>
    </row>
    <row r="326" spans="1:25" outlineLevel="1" x14ac:dyDescent="0.25">
      <c r="A326" t="s">
        <v>38</v>
      </c>
      <c r="B326" t="s">
        <v>152</v>
      </c>
      <c r="C326" s="7" t="s">
        <v>4</v>
      </c>
      <c r="D326" t="s">
        <v>114</v>
      </c>
      <c r="E326" s="25">
        <f t="shared" ref="E326:W326" si="140">E129/SpringWeekendDays</f>
        <v>465874.95652173914</v>
      </c>
      <c r="F326" s="25">
        <f t="shared" si="140"/>
        <v>1303.8260869565217</v>
      </c>
      <c r="G326" s="25">
        <f t="shared" si="140"/>
        <v>0</v>
      </c>
      <c r="H326" s="25">
        <f t="shared" si="140"/>
        <v>772150.21739130432</v>
      </c>
      <c r="I326" s="25">
        <f t="shared" si="140"/>
        <v>275760.16847826086</v>
      </c>
      <c r="J326" s="25">
        <f t="shared" si="140"/>
        <v>275760.16847826086</v>
      </c>
      <c r="K326" s="25">
        <f t="shared" si="140"/>
        <v>649082.83695652173</v>
      </c>
      <c r="L326" s="25">
        <f t="shared" si="140"/>
        <v>152640.21195652176</v>
      </c>
      <c r="M326" s="25">
        <f t="shared" si="140"/>
        <v>0</v>
      </c>
      <c r="N326" s="25">
        <f t="shared" si="140"/>
        <v>8355342.1684782607</v>
      </c>
      <c r="O326" s="25">
        <f t="shared" si="140"/>
        <v>8355342.1684782607</v>
      </c>
      <c r="P326" s="25">
        <f t="shared" si="140"/>
        <v>8355342.1684782607</v>
      </c>
      <c r="Q326" s="25">
        <f t="shared" si="140"/>
        <v>77928.6393088529</v>
      </c>
      <c r="R326" s="25">
        <f t="shared" si="140"/>
        <v>36720.432035974853</v>
      </c>
      <c r="S326" s="25">
        <f t="shared" si="140"/>
        <v>0</v>
      </c>
      <c r="T326" s="25">
        <f t="shared" si="140"/>
        <v>159869.05365517223</v>
      </c>
      <c r="U326" s="25">
        <f t="shared" si="140"/>
        <v>0</v>
      </c>
      <c r="V326" s="25">
        <f t="shared" si="140"/>
        <v>0</v>
      </c>
      <c r="W326" s="25">
        <f t="shared" si="140"/>
        <v>39146739.130434781</v>
      </c>
      <c r="X326" s="25">
        <f t="shared" si="135"/>
        <v>0</v>
      </c>
      <c r="Y326" s="25">
        <f t="shared" si="135"/>
        <v>0</v>
      </c>
    </row>
    <row r="327" spans="1:25" outlineLevel="1" x14ac:dyDescent="0.25">
      <c r="A327" t="s">
        <v>38</v>
      </c>
      <c r="B327" t="s">
        <v>153</v>
      </c>
      <c r="C327" s="7" t="s">
        <v>5</v>
      </c>
      <c r="D327" t="s">
        <v>114</v>
      </c>
      <c r="E327" s="25">
        <f t="shared" ref="E327:W327" si="141">E130/SpringWeekendDays</f>
        <v>506074.09239130438</v>
      </c>
      <c r="F327" s="25">
        <f t="shared" si="141"/>
        <v>1251.6304347826087</v>
      </c>
      <c r="G327" s="25">
        <f t="shared" si="141"/>
        <v>0</v>
      </c>
      <c r="H327" s="25">
        <f t="shared" si="141"/>
        <v>831248.1358695653</v>
      </c>
      <c r="I327" s="25">
        <f t="shared" si="141"/>
        <v>485676.09239130438</v>
      </c>
      <c r="J327" s="25">
        <f t="shared" si="141"/>
        <v>485676.09239130438</v>
      </c>
      <c r="K327" s="25">
        <f t="shared" si="141"/>
        <v>1161044.3097826086</v>
      </c>
      <c r="L327" s="25">
        <f t="shared" si="141"/>
        <v>158535.3152173913</v>
      </c>
      <c r="M327" s="25">
        <f t="shared" si="141"/>
        <v>0</v>
      </c>
      <c r="N327" s="25">
        <f t="shared" si="141"/>
        <v>9336398.6358695664</v>
      </c>
      <c r="O327" s="25">
        <f t="shared" si="141"/>
        <v>9336398.6358695664</v>
      </c>
      <c r="P327" s="25">
        <f t="shared" si="141"/>
        <v>9336398.6358695664</v>
      </c>
      <c r="Q327" s="25">
        <f t="shared" si="141"/>
        <v>96713.306492811811</v>
      </c>
      <c r="R327" s="25">
        <f t="shared" si="141"/>
        <v>45571.877419400262</v>
      </c>
      <c r="S327" s="25">
        <f t="shared" si="141"/>
        <v>0</v>
      </c>
      <c r="T327" s="25">
        <f t="shared" si="141"/>
        <v>198405.4247834401</v>
      </c>
      <c r="U327" s="25">
        <f t="shared" si="141"/>
        <v>0</v>
      </c>
      <c r="V327" s="25">
        <f t="shared" si="141"/>
        <v>0</v>
      </c>
      <c r="W327" s="25">
        <f t="shared" si="141"/>
        <v>39298913.043478265</v>
      </c>
      <c r="X327" s="25">
        <f t="shared" si="135"/>
        <v>0</v>
      </c>
      <c r="Y327" s="25">
        <f t="shared" si="135"/>
        <v>0</v>
      </c>
    </row>
    <row r="328" spans="1:25" outlineLevel="1" x14ac:dyDescent="0.25">
      <c r="A328" t="s">
        <v>38</v>
      </c>
      <c r="B328" t="s">
        <v>154</v>
      </c>
      <c r="C328" s="7" t="s">
        <v>6</v>
      </c>
      <c r="D328" t="s">
        <v>114</v>
      </c>
      <c r="E328" s="25">
        <f t="shared" ref="E328:W328" si="142">E131/SpringWeekendDays</f>
        <v>562503.79347826086</v>
      </c>
      <c r="F328" s="25">
        <f t="shared" si="142"/>
        <v>1163.445652173913</v>
      </c>
      <c r="G328" s="25">
        <f t="shared" si="142"/>
        <v>0</v>
      </c>
      <c r="H328" s="25">
        <f t="shared" si="142"/>
        <v>645064.53260869568</v>
      </c>
      <c r="I328" s="25">
        <f t="shared" si="142"/>
        <v>757851.46195652173</v>
      </c>
      <c r="J328" s="25">
        <f t="shared" si="142"/>
        <v>757851.46195652173</v>
      </c>
      <c r="K328" s="25">
        <f t="shared" si="142"/>
        <v>1494902.8043478262</v>
      </c>
      <c r="L328" s="25">
        <f t="shared" si="142"/>
        <v>170165.28260869565</v>
      </c>
      <c r="M328" s="25">
        <f t="shared" si="142"/>
        <v>0</v>
      </c>
      <c r="N328" s="25">
        <f t="shared" si="142"/>
        <v>11802323.217391305</v>
      </c>
      <c r="O328" s="25">
        <f t="shared" si="142"/>
        <v>11802323.217391305</v>
      </c>
      <c r="P328" s="25">
        <f t="shared" si="142"/>
        <v>11802323.217391305</v>
      </c>
      <c r="Q328" s="25">
        <f t="shared" si="142"/>
        <v>125910.18044419946</v>
      </c>
      <c r="R328" s="25">
        <f t="shared" si="142"/>
        <v>59329.615718226931</v>
      </c>
      <c r="S328" s="25">
        <f t="shared" si="142"/>
        <v>0</v>
      </c>
      <c r="T328" s="25">
        <f t="shared" si="142"/>
        <v>258302.23101148667</v>
      </c>
      <c r="U328" s="25">
        <f t="shared" si="142"/>
        <v>0</v>
      </c>
      <c r="V328" s="25">
        <f t="shared" si="142"/>
        <v>0</v>
      </c>
      <c r="W328" s="25">
        <f t="shared" si="142"/>
        <v>39336956.521739133</v>
      </c>
      <c r="X328" s="25">
        <f t="shared" si="135"/>
        <v>0</v>
      </c>
      <c r="Y328" s="25">
        <f t="shared" si="135"/>
        <v>0</v>
      </c>
    </row>
    <row r="329" spans="1:25" outlineLevel="1" x14ac:dyDescent="0.25">
      <c r="A329" t="s">
        <v>38</v>
      </c>
      <c r="B329" t="s">
        <v>155</v>
      </c>
      <c r="C329" s="7" t="s">
        <v>7</v>
      </c>
      <c r="D329" t="s">
        <v>114</v>
      </c>
      <c r="E329" s="25">
        <f t="shared" ref="E329:W329" si="143">E132/SpringWeekendDays</f>
        <v>591216.46195652173</v>
      </c>
      <c r="F329" s="25">
        <f t="shared" si="143"/>
        <v>2665.25</v>
      </c>
      <c r="G329" s="25">
        <f t="shared" si="143"/>
        <v>0</v>
      </c>
      <c r="H329" s="25">
        <f t="shared" si="143"/>
        <v>770200.29891304346</v>
      </c>
      <c r="I329" s="25">
        <f t="shared" si="143"/>
        <v>1155709.3967391304</v>
      </c>
      <c r="J329" s="25">
        <f t="shared" si="143"/>
        <v>1155709.3967391304</v>
      </c>
      <c r="K329" s="25">
        <f t="shared" si="143"/>
        <v>1394034.5543478262</v>
      </c>
      <c r="L329" s="25">
        <f t="shared" si="143"/>
        <v>188202.98913043478</v>
      </c>
      <c r="M329" s="25">
        <f t="shared" si="143"/>
        <v>0</v>
      </c>
      <c r="N329" s="25">
        <f t="shared" si="143"/>
        <v>13368849.413043479</v>
      </c>
      <c r="O329" s="25">
        <f t="shared" si="143"/>
        <v>13368849.413043479</v>
      </c>
      <c r="P329" s="25">
        <f t="shared" si="143"/>
        <v>13368849.413043479</v>
      </c>
      <c r="Q329" s="25">
        <f t="shared" si="143"/>
        <v>150688.53093135293</v>
      </c>
      <c r="R329" s="25">
        <f t="shared" si="143"/>
        <v>71005.319838005133</v>
      </c>
      <c r="S329" s="25">
        <f t="shared" si="143"/>
        <v>0</v>
      </c>
      <c r="T329" s="25">
        <f t="shared" si="143"/>
        <v>309134.52423064195</v>
      </c>
      <c r="U329" s="25">
        <f t="shared" si="143"/>
        <v>0</v>
      </c>
      <c r="V329" s="25">
        <f t="shared" si="143"/>
        <v>0</v>
      </c>
      <c r="W329" s="25">
        <f t="shared" si="143"/>
        <v>39260869.565217391</v>
      </c>
      <c r="X329" s="25">
        <f t="shared" si="135"/>
        <v>0</v>
      </c>
      <c r="Y329" s="25">
        <f t="shared" si="135"/>
        <v>0</v>
      </c>
    </row>
    <row r="330" spans="1:25" outlineLevel="1" x14ac:dyDescent="0.25">
      <c r="A330" t="s">
        <v>38</v>
      </c>
      <c r="B330" t="s">
        <v>156</v>
      </c>
      <c r="C330" s="7" t="s">
        <v>8</v>
      </c>
      <c r="D330" t="s">
        <v>114</v>
      </c>
      <c r="E330" s="25">
        <f t="shared" ref="E330:W330" si="144">E133/SpringWeekendDays</f>
        <v>584393.85869565222</v>
      </c>
      <c r="F330" s="25">
        <f t="shared" si="144"/>
        <v>29550.5</v>
      </c>
      <c r="G330" s="25">
        <f t="shared" si="144"/>
        <v>0</v>
      </c>
      <c r="H330" s="25">
        <f t="shared" si="144"/>
        <v>798066.27173913049</v>
      </c>
      <c r="I330" s="25">
        <f t="shared" si="144"/>
        <v>1575000</v>
      </c>
      <c r="J330" s="25">
        <f t="shared" si="144"/>
        <v>1575000</v>
      </c>
      <c r="K330" s="25">
        <f t="shared" si="144"/>
        <v>1133802.0978260869</v>
      </c>
      <c r="L330" s="25">
        <f t="shared" si="144"/>
        <v>216626.48913043478</v>
      </c>
      <c r="M330" s="25">
        <f t="shared" si="144"/>
        <v>0</v>
      </c>
      <c r="N330" s="25">
        <f t="shared" si="144"/>
        <v>14665875.760869566</v>
      </c>
      <c r="O330" s="25">
        <f t="shared" si="144"/>
        <v>14665875.760869566</v>
      </c>
      <c r="P330" s="25">
        <f t="shared" si="144"/>
        <v>14665875.760869566</v>
      </c>
      <c r="Q330" s="25">
        <f t="shared" si="144"/>
        <v>171217.55474830593</v>
      </c>
      <c r="R330" s="25">
        <f t="shared" si="144"/>
        <v>80678.716300731438</v>
      </c>
      <c r="S330" s="25">
        <f t="shared" si="144"/>
        <v>0</v>
      </c>
      <c r="T330" s="25">
        <f t="shared" si="144"/>
        <v>351249.40829878871</v>
      </c>
      <c r="U330" s="25">
        <f t="shared" si="144"/>
        <v>0</v>
      </c>
      <c r="V330" s="25">
        <f t="shared" si="144"/>
        <v>0</v>
      </c>
      <c r="W330" s="25">
        <f t="shared" si="144"/>
        <v>39146739.130434781</v>
      </c>
      <c r="X330" s="25">
        <f t="shared" si="135"/>
        <v>0</v>
      </c>
      <c r="Y330" s="25">
        <f t="shared" si="135"/>
        <v>0</v>
      </c>
    </row>
    <row r="331" spans="1:25" outlineLevel="1" x14ac:dyDescent="0.25">
      <c r="A331" t="s">
        <v>38</v>
      </c>
      <c r="B331" t="s">
        <v>157</v>
      </c>
      <c r="C331" s="7" t="s">
        <v>9</v>
      </c>
      <c r="D331" t="s">
        <v>114</v>
      </c>
      <c r="E331" s="25">
        <f t="shared" ref="E331:W331" si="145">E134/SpringWeekendDays</f>
        <v>571236.86413043481</v>
      </c>
      <c r="F331" s="25">
        <f t="shared" si="145"/>
        <v>64538.440217391304</v>
      </c>
      <c r="G331" s="25">
        <f t="shared" si="145"/>
        <v>0</v>
      </c>
      <c r="H331" s="25">
        <f t="shared" si="145"/>
        <v>802826.88043478259</v>
      </c>
      <c r="I331" s="25">
        <f t="shared" si="145"/>
        <v>1616847.8260869565</v>
      </c>
      <c r="J331" s="25">
        <f t="shared" si="145"/>
        <v>1616847.8260869565</v>
      </c>
      <c r="K331" s="25">
        <f t="shared" si="145"/>
        <v>960414.19021739135</v>
      </c>
      <c r="L331" s="25">
        <f t="shared" si="145"/>
        <v>247771.23913043478</v>
      </c>
      <c r="M331" s="25">
        <f t="shared" si="145"/>
        <v>0</v>
      </c>
      <c r="N331" s="25">
        <f t="shared" si="145"/>
        <v>14427684.135869566</v>
      </c>
      <c r="O331" s="25">
        <f t="shared" si="145"/>
        <v>14427684.135869566</v>
      </c>
      <c r="P331" s="25">
        <f t="shared" si="145"/>
        <v>14427684.135869566</v>
      </c>
      <c r="Q331" s="25">
        <f t="shared" si="145"/>
        <v>181458.685597289</v>
      </c>
      <c r="R331" s="25">
        <f t="shared" si="145"/>
        <v>85504.39723968874</v>
      </c>
      <c r="S331" s="25">
        <f t="shared" si="145"/>
        <v>0</v>
      </c>
      <c r="T331" s="25">
        <f t="shared" si="145"/>
        <v>372258.88455432659</v>
      </c>
      <c r="U331" s="25">
        <f t="shared" si="145"/>
        <v>0</v>
      </c>
      <c r="V331" s="25">
        <f t="shared" si="145"/>
        <v>0</v>
      </c>
      <c r="W331" s="25">
        <f t="shared" si="145"/>
        <v>39032608.695652172</v>
      </c>
      <c r="X331" s="25">
        <f t="shared" si="135"/>
        <v>0</v>
      </c>
      <c r="Y331" s="25">
        <f t="shared" si="135"/>
        <v>0</v>
      </c>
    </row>
    <row r="332" spans="1:25" outlineLevel="1" x14ac:dyDescent="0.25">
      <c r="A332" t="s">
        <v>38</v>
      </c>
      <c r="B332" t="s">
        <v>158</v>
      </c>
      <c r="C332" s="7" t="s">
        <v>10</v>
      </c>
      <c r="D332" t="s">
        <v>114</v>
      </c>
      <c r="E332" s="25">
        <f t="shared" ref="E332:W332" si="146">E135/SpringWeekendDays</f>
        <v>439179.23913043481</v>
      </c>
      <c r="F332" s="25">
        <f t="shared" si="146"/>
        <v>103271.22826086957</v>
      </c>
      <c r="G332" s="25">
        <f t="shared" si="146"/>
        <v>0</v>
      </c>
      <c r="H332" s="25">
        <f t="shared" si="146"/>
        <v>851818.0163043479</v>
      </c>
      <c r="I332" s="25">
        <f t="shared" si="146"/>
        <v>1487500</v>
      </c>
      <c r="J332" s="25">
        <f t="shared" si="146"/>
        <v>1487500</v>
      </c>
      <c r="K332" s="25">
        <f t="shared" si="146"/>
        <v>850986.46195652173</v>
      </c>
      <c r="L332" s="25">
        <f t="shared" si="146"/>
        <v>273413.07608695654</v>
      </c>
      <c r="M332" s="25">
        <f t="shared" si="146"/>
        <v>0</v>
      </c>
      <c r="N332" s="25">
        <f t="shared" si="146"/>
        <v>14435383.070652174</v>
      </c>
      <c r="O332" s="25">
        <f t="shared" si="146"/>
        <v>14435383.070652174</v>
      </c>
      <c r="P332" s="25">
        <f t="shared" si="146"/>
        <v>14435383.070652174</v>
      </c>
      <c r="Q332" s="25">
        <f t="shared" si="146"/>
        <v>187339.66463402953</v>
      </c>
      <c r="R332" s="25">
        <f t="shared" si="146"/>
        <v>88275.54906447223</v>
      </c>
      <c r="S332" s="25">
        <f t="shared" si="146"/>
        <v>0</v>
      </c>
      <c r="T332" s="25">
        <f t="shared" si="146"/>
        <v>384323.596084107</v>
      </c>
      <c r="U332" s="25">
        <f t="shared" si="146"/>
        <v>0</v>
      </c>
      <c r="V332" s="25">
        <f t="shared" si="146"/>
        <v>0</v>
      </c>
      <c r="W332" s="25">
        <f t="shared" si="146"/>
        <v>38956521.739130437</v>
      </c>
      <c r="X332" s="25">
        <f t="shared" si="135"/>
        <v>0</v>
      </c>
      <c r="Y332" s="25">
        <f t="shared" si="135"/>
        <v>0</v>
      </c>
    </row>
    <row r="333" spans="1:25" outlineLevel="1" x14ac:dyDescent="0.25">
      <c r="A333" t="s">
        <v>38</v>
      </c>
      <c r="B333" t="s">
        <v>159</v>
      </c>
      <c r="C333" s="7" t="s">
        <v>11</v>
      </c>
      <c r="D333" t="s">
        <v>114</v>
      </c>
      <c r="E333" s="25">
        <f t="shared" ref="E333:W333" si="147">E136/SpringWeekendDays</f>
        <v>447179.36413043481</v>
      </c>
      <c r="F333" s="25">
        <f t="shared" si="147"/>
        <v>138032.77173913043</v>
      </c>
      <c r="G333" s="25">
        <f t="shared" si="147"/>
        <v>0</v>
      </c>
      <c r="H333" s="25">
        <f t="shared" si="147"/>
        <v>881422.15760869568</v>
      </c>
      <c r="I333" s="25">
        <f t="shared" si="147"/>
        <v>1331521.7391304348</v>
      </c>
      <c r="J333" s="25">
        <f t="shared" si="147"/>
        <v>1331521.7391304348</v>
      </c>
      <c r="K333" s="25">
        <f t="shared" si="147"/>
        <v>770817.82065217395</v>
      </c>
      <c r="L333" s="25">
        <f t="shared" si="147"/>
        <v>293931.71195652173</v>
      </c>
      <c r="M333" s="25">
        <f t="shared" si="147"/>
        <v>0</v>
      </c>
      <c r="N333" s="25">
        <f t="shared" si="147"/>
        <v>14380902.641304348</v>
      </c>
      <c r="O333" s="25">
        <f t="shared" si="147"/>
        <v>14380902.641304348</v>
      </c>
      <c r="P333" s="25">
        <f t="shared" si="147"/>
        <v>14380902.641304348</v>
      </c>
      <c r="Q333" s="25">
        <f t="shared" si="147"/>
        <v>183358.95555864621</v>
      </c>
      <c r="R333" s="25">
        <f t="shared" si="147"/>
        <v>86399.815594030428</v>
      </c>
      <c r="S333" s="25">
        <f t="shared" si="147"/>
        <v>0</v>
      </c>
      <c r="T333" s="25">
        <f t="shared" si="147"/>
        <v>376157.25058645383</v>
      </c>
      <c r="U333" s="25">
        <f t="shared" si="147"/>
        <v>0</v>
      </c>
      <c r="V333" s="25">
        <f t="shared" si="147"/>
        <v>0</v>
      </c>
      <c r="W333" s="25">
        <f t="shared" si="147"/>
        <v>38918478.26086957</v>
      </c>
      <c r="X333" s="25">
        <f t="shared" si="135"/>
        <v>0</v>
      </c>
      <c r="Y333" s="25">
        <f t="shared" si="135"/>
        <v>0</v>
      </c>
    </row>
    <row r="334" spans="1:25" outlineLevel="1" x14ac:dyDescent="0.25">
      <c r="A334" t="s">
        <v>38</v>
      </c>
      <c r="B334" t="s">
        <v>160</v>
      </c>
      <c r="C334" s="7" t="s">
        <v>12</v>
      </c>
      <c r="D334" t="s">
        <v>114</v>
      </c>
      <c r="E334" s="25">
        <f t="shared" ref="E334:W334" si="148">E137/SpringWeekendDays</f>
        <v>446817.60869565222</v>
      </c>
      <c r="F334" s="25">
        <f t="shared" si="148"/>
        <v>170993.41304347827</v>
      </c>
      <c r="G334" s="25">
        <f t="shared" si="148"/>
        <v>0</v>
      </c>
      <c r="H334" s="25">
        <f t="shared" si="148"/>
        <v>880292.7608695653</v>
      </c>
      <c r="I334" s="25">
        <f t="shared" si="148"/>
        <v>1147016.7282608696</v>
      </c>
      <c r="J334" s="25">
        <f t="shared" si="148"/>
        <v>1147016.7282608696</v>
      </c>
      <c r="K334" s="25">
        <f t="shared" si="148"/>
        <v>716034.86956521741</v>
      </c>
      <c r="L334" s="25">
        <f t="shared" si="148"/>
        <v>306263.61956521741</v>
      </c>
      <c r="M334" s="25">
        <f t="shared" si="148"/>
        <v>0</v>
      </c>
      <c r="N334" s="25">
        <f t="shared" si="148"/>
        <v>13852701.510869566</v>
      </c>
      <c r="O334" s="25">
        <f t="shared" si="148"/>
        <v>13852701.510869566</v>
      </c>
      <c r="P334" s="25">
        <f t="shared" si="148"/>
        <v>13852701.510869566</v>
      </c>
      <c r="Q334" s="25">
        <f t="shared" si="148"/>
        <v>174781.5949842555</v>
      </c>
      <c r="R334" s="25">
        <f t="shared" si="148"/>
        <v>82358.112969509137</v>
      </c>
      <c r="S334" s="25">
        <f t="shared" si="148"/>
        <v>0</v>
      </c>
      <c r="T334" s="25">
        <f t="shared" si="148"/>
        <v>358560.96595927887</v>
      </c>
      <c r="U334" s="25">
        <f t="shared" si="148"/>
        <v>0</v>
      </c>
      <c r="V334" s="25">
        <f t="shared" si="148"/>
        <v>0</v>
      </c>
      <c r="W334" s="25">
        <f t="shared" si="148"/>
        <v>38956521.739130437</v>
      </c>
      <c r="X334" s="25">
        <f t="shared" si="135"/>
        <v>0</v>
      </c>
      <c r="Y334" s="25">
        <f t="shared" si="135"/>
        <v>0</v>
      </c>
    </row>
    <row r="335" spans="1:25" outlineLevel="1" x14ac:dyDescent="0.25">
      <c r="A335" t="s">
        <v>38</v>
      </c>
      <c r="B335" t="s">
        <v>161</v>
      </c>
      <c r="C335" s="7" t="s">
        <v>13</v>
      </c>
      <c r="D335" t="s">
        <v>114</v>
      </c>
      <c r="E335" s="25">
        <f t="shared" ref="E335:W335" si="149">E138/SpringWeekendDays</f>
        <v>443851.28260869568</v>
      </c>
      <c r="F335" s="25">
        <f t="shared" si="149"/>
        <v>188109.78260869565</v>
      </c>
      <c r="G335" s="25">
        <f t="shared" si="149"/>
        <v>0</v>
      </c>
      <c r="H335" s="25">
        <f t="shared" si="149"/>
        <v>871030.23913043481</v>
      </c>
      <c r="I335" s="25">
        <f t="shared" si="149"/>
        <v>1056350.9402173914</v>
      </c>
      <c r="J335" s="25">
        <f t="shared" si="149"/>
        <v>1056350.9402173914</v>
      </c>
      <c r="K335" s="25">
        <f t="shared" si="149"/>
        <v>703929.20652173914</v>
      </c>
      <c r="L335" s="25">
        <f t="shared" si="149"/>
        <v>310520.49456521741</v>
      </c>
      <c r="M335" s="25">
        <f t="shared" si="149"/>
        <v>0</v>
      </c>
      <c r="N335" s="25">
        <f t="shared" si="149"/>
        <v>13213811.168478262</v>
      </c>
      <c r="O335" s="25">
        <f t="shared" si="149"/>
        <v>13213811.168478262</v>
      </c>
      <c r="P335" s="25">
        <f t="shared" si="149"/>
        <v>13213811.168478262</v>
      </c>
      <c r="Q335" s="25">
        <f t="shared" si="149"/>
        <v>172505.10055658364</v>
      </c>
      <c r="R335" s="25">
        <f t="shared" si="149"/>
        <v>81285.415439397068</v>
      </c>
      <c r="S335" s="25">
        <f t="shared" si="149"/>
        <v>0</v>
      </c>
      <c r="T335" s="25">
        <f t="shared" si="149"/>
        <v>353890.78291706281</v>
      </c>
      <c r="U335" s="25">
        <f t="shared" si="149"/>
        <v>0</v>
      </c>
      <c r="V335" s="25">
        <f t="shared" si="149"/>
        <v>0</v>
      </c>
      <c r="W335" s="25">
        <f t="shared" si="149"/>
        <v>39070652.173913047</v>
      </c>
      <c r="X335" s="25">
        <f t="shared" si="135"/>
        <v>0</v>
      </c>
      <c r="Y335" s="25">
        <f t="shared" si="135"/>
        <v>0</v>
      </c>
    </row>
    <row r="336" spans="1:25" outlineLevel="1" x14ac:dyDescent="0.25">
      <c r="A336" t="s">
        <v>38</v>
      </c>
      <c r="B336" t="s">
        <v>162</v>
      </c>
      <c r="C336" s="7" t="s">
        <v>14</v>
      </c>
      <c r="D336" t="s">
        <v>114</v>
      </c>
      <c r="E336" s="25">
        <f t="shared" ref="E336:W336" si="150">E139/SpringWeekendDays</f>
        <v>444551.32065217395</v>
      </c>
      <c r="F336" s="25">
        <f t="shared" si="150"/>
        <v>170091.25</v>
      </c>
      <c r="G336" s="25">
        <f t="shared" si="150"/>
        <v>0</v>
      </c>
      <c r="H336" s="25">
        <f t="shared" si="150"/>
        <v>873216.1413043479</v>
      </c>
      <c r="I336" s="25">
        <f t="shared" si="150"/>
        <v>921925.94565217395</v>
      </c>
      <c r="J336" s="25">
        <f t="shared" si="150"/>
        <v>921925.94565217395</v>
      </c>
      <c r="K336" s="25">
        <f t="shared" si="150"/>
        <v>665295.02717391308</v>
      </c>
      <c r="L336" s="25">
        <f t="shared" si="150"/>
        <v>306309.19565217395</v>
      </c>
      <c r="M336" s="25">
        <f t="shared" si="150"/>
        <v>0</v>
      </c>
      <c r="N336" s="25">
        <f t="shared" si="150"/>
        <v>12305569.690217393</v>
      </c>
      <c r="O336" s="25">
        <f t="shared" si="150"/>
        <v>12305569.690217393</v>
      </c>
      <c r="P336" s="25">
        <f t="shared" si="150"/>
        <v>12305569.690217393</v>
      </c>
      <c r="Q336" s="25">
        <f t="shared" si="150"/>
        <v>169090.33191616181</v>
      </c>
      <c r="R336" s="25">
        <f t="shared" si="150"/>
        <v>79676.356422182304</v>
      </c>
      <c r="S336" s="25">
        <f t="shared" si="150"/>
        <v>0</v>
      </c>
      <c r="T336" s="25">
        <f t="shared" si="150"/>
        <v>346885.45296600374</v>
      </c>
      <c r="U336" s="25">
        <f t="shared" si="150"/>
        <v>0</v>
      </c>
      <c r="V336" s="25">
        <f t="shared" si="150"/>
        <v>0</v>
      </c>
      <c r="W336" s="25">
        <f t="shared" si="150"/>
        <v>39489130.434782609</v>
      </c>
      <c r="X336" s="25">
        <f t="shared" si="135"/>
        <v>0</v>
      </c>
      <c r="Y336" s="25">
        <f t="shared" si="135"/>
        <v>0</v>
      </c>
    </row>
    <row r="337" spans="1:25" outlineLevel="1" x14ac:dyDescent="0.25">
      <c r="A337" t="s">
        <v>38</v>
      </c>
      <c r="B337" t="s">
        <v>163</v>
      </c>
      <c r="C337" s="7" t="s">
        <v>15</v>
      </c>
      <c r="D337" t="s">
        <v>114</v>
      </c>
      <c r="E337" s="25">
        <f t="shared" ref="E337:W337" si="151">E140/SpringWeekendDays</f>
        <v>452188.01630434784</v>
      </c>
      <c r="F337" s="25">
        <f t="shared" si="151"/>
        <v>139698.125</v>
      </c>
      <c r="G337" s="25">
        <f t="shared" si="151"/>
        <v>0</v>
      </c>
      <c r="H337" s="25">
        <f t="shared" si="151"/>
        <v>916564.02173913049</v>
      </c>
      <c r="I337" s="25">
        <f t="shared" si="151"/>
        <v>922638.00543478259</v>
      </c>
      <c r="J337" s="25">
        <f t="shared" si="151"/>
        <v>922638.00543478259</v>
      </c>
      <c r="K337" s="25">
        <f t="shared" si="151"/>
        <v>656830.42934782617</v>
      </c>
      <c r="L337" s="25">
        <f t="shared" si="151"/>
        <v>291758.47826086957</v>
      </c>
      <c r="M337" s="25">
        <f t="shared" si="151"/>
        <v>0</v>
      </c>
      <c r="N337" s="25">
        <f t="shared" si="151"/>
        <v>11681845.875</v>
      </c>
      <c r="O337" s="25">
        <f t="shared" si="151"/>
        <v>11681845.875</v>
      </c>
      <c r="P337" s="25">
        <f t="shared" si="151"/>
        <v>11681845.875</v>
      </c>
      <c r="Q337" s="25">
        <f t="shared" si="151"/>
        <v>193452.80193216936</v>
      </c>
      <c r="R337" s="25">
        <f t="shared" si="151"/>
        <v>91156.095224058809</v>
      </c>
      <c r="S337" s="25">
        <f t="shared" si="151"/>
        <v>0</v>
      </c>
      <c r="T337" s="25">
        <f t="shared" si="151"/>
        <v>396864.57566985884</v>
      </c>
      <c r="U337" s="25">
        <f t="shared" si="151"/>
        <v>0</v>
      </c>
      <c r="V337" s="25">
        <f t="shared" si="151"/>
        <v>0</v>
      </c>
      <c r="W337" s="25">
        <f t="shared" si="151"/>
        <v>39945652.173913047</v>
      </c>
      <c r="X337" s="25">
        <f t="shared" si="135"/>
        <v>0</v>
      </c>
      <c r="Y337" s="25">
        <f t="shared" si="135"/>
        <v>0</v>
      </c>
    </row>
    <row r="338" spans="1:25" outlineLevel="1" x14ac:dyDescent="0.25">
      <c r="A338" t="s">
        <v>38</v>
      </c>
      <c r="B338" t="s">
        <v>164</v>
      </c>
      <c r="C338" s="7" t="s">
        <v>16</v>
      </c>
      <c r="D338" t="s">
        <v>114</v>
      </c>
      <c r="E338" s="25">
        <f t="shared" ref="E338:W338" si="152">E141/SpringWeekendDays</f>
        <v>467925.3097826087</v>
      </c>
      <c r="F338" s="25">
        <f t="shared" si="152"/>
        <v>113285.56521739131</v>
      </c>
      <c r="G338" s="25">
        <f t="shared" si="152"/>
        <v>0</v>
      </c>
      <c r="H338" s="25">
        <f t="shared" si="152"/>
        <v>1910798.5597826089</v>
      </c>
      <c r="I338" s="25">
        <f t="shared" si="152"/>
        <v>1057678.4673913044</v>
      </c>
      <c r="J338" s="25">
        <f t="shared" si="152"/>
        <v>1057678.4673913044</v>
      </c>
      <c r="K338" s="25">
        <f t="shared" si="152"/>
        <v>716132.48913043481</v>
      </c>
      <c r="L338" s="25">
        <f t="shared" si="152"/>
        <v>267434.77173913043</v>
      </c>
      <c r="M338" s="25">
        <f t="shared" si="152"/>
        <v>0</v>
      </c>
      <c r="N338" s="25">
        <f t="shared" si="152"/>
        <v>11799041.434782609</v>
      </c>
      <c r="O338" s="25">
        <f t="shared" si="152"/>
        <v>11799041.434782609</v>
      </c>
      <c r="P338" s="25">
        <f t="shared" si="152"/>
        <v>11799041.434782609</v>
      </c>
      <c r="Q338" s="25">
        <f t="shared" si="152"/>
        <v>193642.51790081616</v>
      </c>
      <c r="R338" s="25">
        <f t="shared" si="152"/>
        <v>91245.49050151548</v>
      </c>
      <c r="S338" s="25">
        <f t="shared" si="152"/>
        <v>0</v>
      </c>
      <c r="T338" s="25">
        <f t="shared" si="152"/>
        <v>397253.774206364</v>
      </c>
      <c r="U338" s="25">
        <f t="shared" si="152"/>
        <v>0</v>
      </c>
      <c r="V338" s="25">
        <f t="shared" si="152"/>
        <v>0</v>
      </c>
      <c r="W338" s="25">
        <f t="shared" si="152"/>
        <v>40021739.130434781</v>
      </c>
      <c r="X338" s="25">
        <f t="shared" si="135"/>
        <v>0</v>
      </c>
      <c r="Y338" s="25">
        <f t="shared" si="135"/>
        <v>0</v>
      </c>
    </row>
    <row r="339" spans="1:25" outlineLevel="1" x14ac:dyDescent="0.25">
      <c r="A339" t="s">
        <v>38</v>
      </c>
      <c r="B339" t="s">
        <v>165</v>
      </c>
      <c r="C339" s="7" t="s">
        <v>17</v>
      </c>
      <c r="D339" t="s">
        <v>114</v>
      </c>
      <c r="E339" s="25">
        <f t="shared" ref="E339:W339" si="153">E142/SpringWeekendDays</f>
        <v>498791.69565217395</v>
      </c>
      <c r="F339" s="25">
        <f t="shared" si="153"/>
        <v>77746.869565217392</v>
      </c>
      <c r="G339" s="25">
        <f t="shared" si="153"/>
        <v>0</v>
      </c>
      <c r="H339" s="25">
        <f t="shared" si="153"/>
        <v>3237500</v>
      </c>
      <c r="I339" s="25">
        <f t="shared" si="153"/>
        <v>1209465.5163043479</v>
      </c>
      <c r="J339" s="25">
        <f t="shared" si="153"/>
        <v>1209465.5163043479</v>
      </c>
      <c r="K339" s="25">
        <f t="shared" si="153"/>
        <v>697732.15217391308</v>
      </c>
      <c r="L339" s="25">
        <f t="shared" si="153"/>
        <v>238849.89130434784</v>
      </c>
      <c r="M339" s="25">
        <f t="shared" si="153"/>
        <v>0</v>
      </c>
      <c r="N339" s="25">
        <f t="shared" si="153"/>
        <v>11655809.260869566</v>
      </c>
      <c r="O339" s="25">
        <f t="shared" si="153"/>
        <v>11655809.260869566</v>
      </c>
      <c r="P339" s="25">
        <f t="shared" si="153"/>
        <v>11655809.260869566</v>
      </c>
      <c r="Q339" s="25">
        <f t="shared" si="153"/>
        <v>192314.53851898501</v>
      </c>
      <c r="R339" s="25">
        <f t="shared" si="153"/>
        <v>90619.738825774795</v>
      </c>
      <c r="S339" s="25">
        <f t="shared" si="153"/>
        <v>0</v>
      </c>
      <c r="T339" s="25">
        <f t="shared" si="153"/>
        <v>394529.45091610978</v>
      </c>
      <c r="U339" s="25">
        <f t="shared" si="153"/>
        <v>0</v>
      </c>
      <c r="V339" s="25">
        <f t="shared" si="153"/>
        <v>0</v>
      </c>
      <c r="W339" s="25">
        <f t="shared" si="153"/>
        <v>39907608.695652172</v>
      </c>
      <c r="X339" s="25">
        <f t="shared" si="135"/>
        <v>0</v>
      </c>
      <c r="Y339" s="25">
        <f t="shared" si="135"/>
        <v>0</v>
      </c>
    </row>
    <row r="340" spans="1:25" outlineLevel="1" x14ac:dyDescent="0.25">
      <c r="A340" t="s">
        <v>38</v>
      </c>
      <c r="B340" t="s">
        <v>166</v>
      </c>
      <c r="C340" s="7" t="s">
        <v>18</v>
      </c>
      <c r="D340" t="s">
        <v>114</v>
      </c>
      <c r="E340" s="25">
        <f t="shared" ref="E340:W340" si="154">E143/SpringWeekendDays</f>
        <v>530041.90217391308</v>
      </c>
      <c r="F340" s="25">
        <f t="shared" si="154"/>
        <v>35299.554347826088</v>
      </c>
      <c r="G340" s="25">
        <f t="shared" si="154"/>
        <v>0</v>
      </c>
      <c r="H340" s="25">
        <f t="shared" si="154"/>
        <v>3473369.5652173916</v>
      </c>
      <c r="I340" s="25">
        <f t="shared" si="154"/>
        <v>1098680.5108695652</v>
      </c>
      <c r="J340" s="25">
        <f t="shared" si="154"/>
        <v>1098680.5108695652</v>
      </c>
      <c r="K340" s="25">
        <f t="shared" si="154"/>
        <v>645787.92934782617</v>
      </c>
      <c r="L340" s="25">
        <f t="shared" si="154"/>
        <v>207280.88043478262</v>
      </c>
      <c r="M340" s="25">
        <f t="shared" si="154"/>
        <v>0</v>
      </c>
      <c r="N340" s="25">
        <f t="shared" si="154"/>
        <v>11320844.233695652</v>
      </c>
      <c r="O340" s="25">
        <f t="shared" si="154"/>
        <v>11320844.233695652</v>
      </c>
      <c r="P340" s="25">
        <f t="shared" si="154"/>
        <v>11320844.233695652</v>
      </c>
      <c r="Q340" s="25">
        <f t="shared" si="154"/>
        <v>187951.23323359137</v>
      </c>
      <c r="R340" s="25">
        <f t="shared" si="154"/>
        <v>88563.723776551327</v>
      </c>
      <c r="S340" s="25">
        <f t="shared" si="154"/>
        <v>0</v>
      </c>
      <c r="T340" s="25">
        <f t="shared" si="154"/>
        <v>385578.21690290078</v>
      </c>
      <c r="U340" s="25">
        <f t="shared" si="154"/>
        <v>0</v>
      </c>
      <c r="V340" s="25">
        <f t="shared" si="154"/>
        <v>0</v>
      </c>
      <c r="W340" s="25">
        <f t="shared" si="154"/>
        <v>39679347.826086961</v>
      </c>
      <c r="X340" s="25">
        <f t="shared" si="135"/>
        <v>0</v>
      </c>
      <c r="Y340" s="25">
        <f t="shared" si="135"/>
        <v>0</v>
      </c>
    </row>
    <row r="341" spans="1:25" outlineLevel="1" x14ac:dyDescent="0.25">
      <c r="A341" t="s">
        <v>38</v>
      </c>
      <c r="B341" t="s">
        <v>167</v>
      </c>
      <c r="C341" s="7" t="s">
        <v>19</v>
      </c>
      <c r="D341" t="s">
        <v>114</v>
      </c>
      <c r="E341" s="25">
        <f t="shared" ref="E341:W341" si="155">E144/SpringWeekendDays</f>
        <v>545560.59782608703</v>
      </c>
      <c r="F341" s="25">
        <f t="shared" si="155"/>
        <v>2905.266304347826</v>
      </c>
      <c r="G341" s="25">
        <f t="shared" si="155"/>
        <v>0</v>
      </c>
      <c r="H341" s="25">
        <f t="shared" si="155"/>
        <v>3450543.4782608696</v>
      </c>
      <c r="I341" s="25">
        <f t="shared" si="155"/>
        <v>1026259.347826087</v>
      </c>
      <c r="J341" s="25">
        <f t="shared" si="155"/>
        <v>1026259.347826087</v>
      </c>
      <c r="K341" s="25">
        <f t="shared" si="155"/>
        <v>728580.61956521741</v>
      </c>
      <c r="L341" s="25">
        <f t="shared" si="155"/>
        <v>184646.19021739133</v>
      </c>
      <c r="M341" s="25">
        <f t="shared" si="155"/>
        <v>0</v>
      </c>
      <c r="N341" s="25">
        <f t="shared" si="155"/>
        <v>10842207.972826088</v>
      </c>
      <c r="O341" s="25">
        <f t="shared" si="155"/>
        <v>10842207.972826088</v>
      </c>
      <c r="P341" s="25">
        <f t="shared" si="155"/>
        <v>10842207.972826088</v>
      </c>
      <c r="Q341" s="25">
        <f t="shared" si="155"/>
        <v>182070.25419685082</v>
      </c>
      <c r="R341" s="25">
        <f t="shared" si="155"/>
        <v>85792.571951767837</v>
      </c>
      <c r="S341" s="25">
        <f t="shared" si="155"/>
        <v>0</v>
      </c>
      <c r="T341" s="25">
        <f t="shared" si="155"/>
        <v>373513.50537312048</v>
      </c>
      <c r="U341" s="25">
        <f t="shared" si="155"/>
        <v>0</v>
      </c>
      <c r="V341" s="25">
        <f t="shared" si="155"/>
        <v>0</v>
      </c>
      <c r="W341" s="25">
        <f t="shared" si="155"/>
        <v>39413043.478260875</v>
      </c>
      <c r="X341" s="25">
        <f t="shared" si="135"/>
        <v>0</v>
      </c>
      <c r="Y341" s="25">
        <f t="shared" si="135"/>
        <v>0</v>
      </c>
    </row>
    <row r="342" spans="1:25" outlineLevel="1" x14ac:dyDescent="0.25">
      <c r="A342" t="s">
        <v>38</v>
      </c>
      <c r="B342" t="s">
        <v>168</v>
      </c>
      <c r="C342" s="7" t="s">
        <v>20</v>
      </c>
      <c r="D342" t="s">
        <v>114</v>
      </c>
      <c r="E342" s="25">
        <f t="shared" ref="E342:W342" si="156">E145/SpringWeekendDays</f>
        <v>505442.53260869568</v>
      </c>
      <c r="F342" s="25">
        <f t="shared" si="156"/>
        <v>1182.695652173913</v>
      </c>
      <c r="G342" s="25">
        <f t="shared" si="156"/>
        <v>0</v>
      </c>
      <c r="H342" s="25">
        <f t="shared" si="156"/>
        <v>2857065.2173913047</v>
      </c>
      <c r="I342" s="25">
        <f t="shared" si="156"/>
        <v>897871.73913043481</v>
      </c>
      <c r="J342" s="25">
        <f t="shared" si="156"/>
        <v>897871.73913043481</v>
      </c>
      <c r="K342" s="25">
        <f t="shared" si="156"/>
        <v>752544.8913043479</v>
      </c>
      <c r="L342" s="25">
        <f t="shared" si="156"/>
        <v>178472.98913043478</v>
      </c>
      <c r="M342" s="25">
        <f t="shared" si="156"/>
        <v>0</v>
      </c>
      <c r="N342" s="25">
        <f t="shared" si="156"/>
        <v>10113003.858695652</v>
      </c>
      <c r="O342" s="25">
        <f t="shared" si="156"/>
        <v>10113003.858695652</v>
      </c>
      <c r="P342" s="25">
        <f t="shared" si="156"/>
        <v>10113003.858695652</v>
      </c>
      <c r="Q342" s="25">
        <f t="shared" si="156"/>
        <v>175430.43288465412</v>
      </c>
      <c r="R342" s="25">
        <f t="shared" si="156"/>
        <v>82663.849194794981</v>
      </c>
      <c r="S342" s="25">
        <f t="shared" si="156"/>
        <v>0</v>
      </c>
      <c r="T342" s="25">
        <f t="shared" si="156"/>
        <v>359892.04400750744</v>
      </c>
      <c r="U342" s="25">
        <f t="shared" si="156"/>
        <v>0</v>
      </c>
      <c r="V342" s="25">
        <f t="shared" si="156"/>
        <v>0</v>
      </c>
      <c r="W342" s="25">
        <f t="shared" si="156"/>
        <v>39070652.173913047</v>
      </c>
      <c r="X342" s="25">
        <f t="shared" si="135"/>
        <v>0</v>
      </c>
      <c r="Y342" s="25">
        <f t="shared" si="135"/>
        <v>0</v>
      </c>
    </row>
    <row r="343" spans="1:25" outlineLevel="1" x14ac:dyDescent="0.25">
      <c r="A343" t="s">
        <v>38</v>
      </c>
      <c r="B343" t="s">
        <v>169</v>
      </c>
      <c r="C343" s="7" t="s">
        <v>21</v>
      </c>
      <c r="D343" t="s">
        <v>114</v>
      </c>
      <c r="E343" s="25">
        <f t="shared" ref="E343:W343" si="157">E146/SpringWeekendDays</f>
        <v>425439.30434782611</v>
      </c>
      <c r="F343" s="25">
        <f t="shared" si="157"/>
        <v>1227.4347826086957</v>
      </c>
      <c r="G343" s="25">
        <f t="shared" si="157"/>
        <v>0</v>
      </c>
      <c r="H343" s="25">
        <f t="shared" si="157"/>
        <v>1841304.3478260869</v>
      </c>
      <c r="I343" s="25">
        <f t="shared" si="157"/>
        <v>779769.60326086963</v>
      </c>
      <c r="J343" s="25">
        <f t="shared" si="157"/>
        <v>779769.60326086963</v>
      </c>
      <c r="K343" s="25">
        <f t="shared" si="157"/>
        <v>671644.97826086963</v>
      </c>
      <c r="L343" s="25">
        <f t="shared" si="157"/>
        <v>172182.46195652176</v>
      </c>
      <c r="M343" s="25">
        <f t="shared" si="157"/>
        <v>0</v>
      </c>
      <c r="N343" s="25">
        <f t="shared" si="157"/>
        <v>9629542.125</v>
      </c>
      <c r="O343" s="25">
        <f t="shared" si="157"/>
        <v>9629542.125</v>
      </c>
      <c r="P343" s="25">
        <f t="shared" si="157"/>
        <v>9629542.125</v>
      </c>
      <c r="Q343" s="25">
        <f t="shared" si="157"/>
        <v>173153.91685785106</v>
      </c>
      <c r="R343" s="25">
        <f t="shared" si="157"/>
        <v>81591.141487045592</v>
      </c>
      <c r="S343" s="25">
        <f t="shared" si="157"/>
        <v>0</v>
      </c>
      <c r="T343" s="25">
        <f t="shared" si="157"/>
        <v>355221.81665510335</v>
      </c>
      <c r="U343" s="25">
        <f t="shared" si="157"/>
        <v>0</v>
      </c>
      <c r="V343" s="25">
        <f t="shared" si="157"/>
        <v>0</v>
      </c>
      <c r="W343" s="25">
        <f t="shared" si="157"/>
        <v>38728260.869565219</v>
      </c>
      <c r="X343" s="25">
        <f t="shared" si="135"/>
        <v>0</v>
      </c>
      <c r="Y343" s="25">
        <f t="shared" si="135"/>
        <v>0</v>
      </c>
    </row>
    <row r="344" spans="1:25" outlineLevel="1" x14ac:dyDescent="0.25">
      <c r="A344" t="s">
        <v>38</v>
      </c>
      <c r="B344" t="s">
        <v>170</v>
      </c>
      <c r="C344" s="7" t="s">
        <v>22</v>
      </c>
      <c r="D344" t="s">
        <v>114</v>
      </c>
      <c r="E344" s="25">
        <f t="shared" ref="E344:W344" si="158">E147/SpringWeekendDays</f>
        <v>399216.69565217395</v>
      </c>
      <c r="F344" s="25">
        <f t="shared" si="158"/>
        <v>1265.820652173913</v>
      </c>
      <c r="G344" s="25">
        <f t="shared" si="158"/>
        <v>0</v>
      </c>
      <c r="H344" s="25">
        <f t="shared" si="158"/>
        <v>1029662.8315217391</v>
      </c>
      <c r="I344" s="25">
        <f t="shared" si="158"/>
        <v>593850.55434782617</v>
      </c>
      <c r="J344" s="25">
        <f t="shared" si="158"/>
        <v>593850.55434782617</v>
      </c>
      <c r="K344" s="25">
        <f t="shared" si="158"/>
        <v>661832.72826086963</v>
      </c>
      <c r="L344" s="25">
        <f t="shared" si="158"/>
        <v>163589.73369565219</v>
      </c>
      <c r="M344" s="25">
        <f t="shared" si="158"/>
        <v>0</v>
      </c>
      <c r="N344" s="25">
        <f t="shared" si="158"/>
        <v>8807186.2336956523</v>
      </c>
      <c r="O344" s="25">
        <f t="shared" si="158"/>
        <v>8807186.2336956523</v>
      </c>
      <c r="P344" s="25">
        <f t="shared" si="158"/>
        <v>8807186.2336956523</v>
      </c>
      <c r="Q344" s="25">
        <f t="shared" si="158"/>
        <v>116369.48781998422</v>
      </c>
      <c r="R344" s="25">
        <f t="shared" si="158"/>
        <v>54833.985380128332</v>
      </c>
      <c r="S344" s="25">
        <f t="shared" si="158"/>
        <v>0</v>
      </c>
      <c r="T344" s="25">
        <f t="shared" si="158"/>
        <v>238729.68984336575</v>
      </c>
      <c r="U344" s="25">
        <f t="shared" si="158"/>
        <v>0</v>
      </c>
      <c r="V344" s="25">
        <f t="shared" si="158"/>
        <v>0</v>
      </c>
      <c r="W344" s="25">
        <f t="shared" si="158"/>
        <v>38538043.478260875</v>
      </c>
      <c r="X344" s="25">
        <f t="shared" si="135"/>
        <v>0</v>
      </c>
      <c r="Y344" s="25">
        <f t="shared" si="135"/>
        <v>0</v>
      </c>
    </row>
    <row r="345" spans="1:25" outlineLevel="1" x14ac:dyDescent="0.25">
      <c r="A345" t="s">
        <v>39</v>
      </c>
      <c r="B345" t="s">
        <v>147</v>
      </c>
      <c r="C345" s="7" t="s">
        <v>34</v>
      </c>
      <c r="D345" t="s">
        <v>114</v>
      </c>
      <c r="E345" s="27">
        <f t="shared" ref="E345:W345" si="159">E148/SummerWeekendDays</f>
        <v>7195.467391304348</v>
      </c>
      <c r="F345" s="27">
        <f t="shared" si="159"/>
        <v>1968631.9130434783</v>
      </c>
      <c r="G345" s="27">
        <f t="shared" si="159"/>
        <v>0</v>
      </c>
      <c r="H345" s="27">
        <f t="shared" si="159"/>
        <v>675174.84239130432</v>
      </c>
      <c r="I345" s="27">
        <f t="shared" si="159"/>
        <v>356756.9402173913</v>
      </c>
      <c r="J345" s="27">
        <f t="shared" si="159"/>
        <v>356756.9402173913</v>
      </c>
      <c r="K345" s="27">
        <f t="shared" si="159"/>
        <v>18673.146739130436</v>
      </c>
      <c r="L345" s="27">
        <f t="shared" si="159"/>
        <v>9720108.6956521738</v>
      </c>
      <c r="M345" s="27">
        <f t="shared" si="159"/>
        <v>0</v>
      </c>
      <c r="N345" s="27">
        <f t="shared" si="159"/>
        <v>8788392.0706521738</v>
      </c>
      <c r="O345" s="27">
        <f t="shared" si="159"/>
        <v>8788392.0706521738</v>
      </c>
      <c r="P345" s="27">
        <f t="shared" si="159"/>
        <v>8788392.0706521738</v>
      </c>
      <c r="Q345" s="27">
        <f t="shared" si="159"/>
        <v>77809.131316079758</v>
      </c>
      <c r="R345" s="27">
        <f t="shared" si="159"/>
        <v>36664.119168647732</v>
      </c>
      <c r="S345" s="27">
        <f t="shared" si="159"/>
        <v>0</v>
      </c>
      <c r="T345" s="27">
        <f t="shared" si="159"/>
        <v>159623.88538483775</v>
      </c>
      <c r="U345" s="27">
        <f t="shared" si="159"/>
        <v>0</v>
      </c>
      <c r="V345" s="27">
        <f t="shared" si="159"/>
        <v>0</v>
      </c>
      <c r="W345" s="27">
        <f t="shared" si="159"/>
        <v>38043478.26086957</v>
      </c>
      <c r="X345" s="27">
        <f t="shared" ref="X345:Y368" si="160">X148/SummerWeekendDays</f>
        <v>0</v>
      </c>
      <c r="Y345" s="27">
        <f t="shared" si="160"/>
        <v>0</v>
      </c>
    </row>
    <row r="346" spans="1:25" outlineLevel="1" x14ac:dyDescent="0.25">
      <c r="A346" t="s">
        <v>39</v>
      </c>
      <c r="B346" t="s">
        <v>148</v>
      </c>
      <c r="C346" s="7" t="s">
        <v>0</v>
      </c>
      <c r="D346" t="s">
        <v>114</v>
      </c>
      <c r="E346" s="27">
        <f t="shared" ref="E346:W346" si="161">E149/SummerWeekendDays</f>
        <v>7195.467391304348</v>
      </c>
      <c r="F346" s="27">
        <f t="shared" si="161"/>
        <v>1784063.0271739131</v>
      </c>
      <c r="G346" s="27">
        <f t="shared" si="161"/>
        <v>0</v>
      </c>
      <c r="H346" s="27">
        <f t="shared" si="161"/>
        <v>583346.86413043481</v>
      </c>
      <c r="I346" s="27">
        <f t="shared" si="161"/>
        <v>230519.66304347827</v>
      </c>
      <c r="J346" s="27">
        <f t="shared" si="161"/>
        <v>230519.66304347827</v>
      </c>
      <c r="K346" s="27">
        <f t="shared" si="161"/>
        <v>18604.668478260872</v>
      </c>
      <c r="L346" s="27">
        <f t="shared" si="161"/>
        <v>9252173.9130434785</v>
      </c>
      <c r="M346" s="27">
        <f t="shared" si="161"/>
        <v>0</v>
      </c>
      <c r="N346" s="27">
        <f t="shared" si="161"/>
        <v>7689004.0271739131</v>
      </c>
      <c r="O346" s="27">
        <f t="shared" si="161"/>
        <v>7689004.0271739131</v>
      </c>
      <c r="P346" s="27">
        <f t="shared" si="161"/>
        <v>7689004.0271739131</v>
      </c>
      <c r="Q346" s="27">
        <f t="shared" si="161"/>
        <v>73635.531199767342</v>
      </c>
      <c r="R346" s="27">
        <f t="shared" si="161"/>
        <v>34697.494308062283</v>
      </c>
      <c r="S346" s="27">
        <f t="shared" si="161"/>
        <v>0</v>
      </c>
      <c r="T346" s="27">
        <f t="shared" si="161"/>
        <v>151061.82775303995</v>
      </c>
      <c r="U346" s="27">
        <f t="shared" si="161"/>
        <v>0</v>
      </c>
      <c r="V346" s="27">
        <f t="shared" si="161"/>
        <v>0</v>
      </c>
      <c r="W346" s="27">
        <f t="shared" si="161"/>
        <v>38005434.782608695</v>
      </c>
      <c r="X346" s="27">
        <f t="shared" si="160"/>
        <v>0</v>
      </c>
      <c r="Y346" s="27">
        <f t="shared" si="160"/>
        <v>0</v>
      </c>
    </row>
    <row r="347" spans="1:25" outlineLevel="1" x14ac:dyDescent="0.25">
      <c r="A347" t="s">
        <v>39</v>
      </c>
      <c r="B347" t="s">
        <v>149</v>
      </c>
      <c r="C347" s="7" t="s">
        <v>1</v>
      </c>
      <c r="D347" t="s">
        <v>114</v>
      </c>
      <c r="E347" s="27">
        <f t="shared" ref="E347:W347" si="162">E150/SummerWeekendDays</f>
        <v>7195.467391304348</v>
      </c>
      <c r="F347" s="27">
        <f t="shared" si="162"/>
        <v>1737766.3967391306</v>
      </c>
      <c r="G347" s="27">
        <f t="shared" si="162"/>
        <v>0</v>
      </c>
      <c r="H347" s="27">
        <f t="shared" si="162"/>
        <v>563408.125</v>
      </c>
      <c r="I347" s="27">
        <f t="shared" si="162"/>
        <v>192130.29347826086</v>
      </c>
      <c r="J347" s="27">
        <f t="shared" si="162"/>
        <v>192130.29347826086</v>
      </c>
      <c r="K347" s="27">
        <f t="shared" si="162"/>
        <v>18976.657608695652</v>
      </c>
      <c r="L347" s="27">
        <f t="shared" si="162"/>
        <v>9073369.5652173925</v>
      </c>
      <c r="M347" s="27">
        <f t="shared" si="162"/>
        <v>0</v>
      </c>
      <c r="N347" s="27">
        <f t="shared" si="162"/>
        <v>7593523.3423913047</v>
      </c>
      <c r="O347" s="27">
        <f t="shared" si="162"/>
        <v>7593523.3423913047</v>
      </c>
      <c r="P347" s="27">
        <f t="shared" si="162"/>
        <v>7593523.3423913047</v>
      </c>
      <c r="Q347" s="27">
        <f t="shared" si="162"/>
        <v>72497.278586148605</v>
      </c>
      <c r="R347" s="27">
        <f t="shared" si="162"/>
        <v>34161.142998596923</v>
      </c>
      <c r="S347" s="27">
        <f t="shared" si="162"/>
        <v>0</v>
      </c>
      <c r="T347" s="27">
        <f t="shared" si="162"/>
        <v>148726.72515438491</v>
      </c>
      <c r="U347" s="27">
        <f t="shared" si="162"/>
        <v>0</v>
      </c>
      <c r="V347" s="27">
        <f t="shared" si="162"/>
        <v>0</v>
      </c>
      <c r="W347" s="27">
        <f t="shared" si="162"/>
        <v>38043478.26086957</v>
      </c>
      <c r="X347" s="27">
        <f t="shared" si="160"/>
        <v>0</v>
      </c>
      <c r="Y347" s="27">
        <f t="shared" si="160"/>
        <v>0</v>
      </c>
    </row>
    <row r="348" spans="1:25" outlineLevel="1" x14ac:dyDescent="0.25">
      <c r="A348" t="s">
        <v>39</v>
      </c>
      <c r="B348" t="s">
        <v>150</v>
      </c>
      <c r="C348" s="7" t="s">
        <v>2</v>
      </c>
      <c r="D348" t="s">
        <v>114</v>
      </c>
      <c r="E348" s="27">
        <f t="shared" ref="E348:W348" si="163">E151/SummerWeekendDays</f>
        <v>7195.467391304348</v>
      </c>
      <c r="F348" s="27">
        <f t="shared" si="163"/>
        <v>1811327</v>
      </c>
      <c r="G348" s="27">
        <f t="shared" si="163"/>
        <v>0</v>
      </c>
      <c r="H348" s="27">
        <f t="shared" si="163"/>
        <v>562932.58152173914</v>
      </c>
      <c r="I348" s="27">
        <f t="shared" si="163"/>
        <v>178089.01630434784</v>
      </c>
      <c r="J348" s="27">
        <f t="shared" si="163"/>
        <v>178089.01630434784</v>
      </c>
      <c r="K348" s="27">
        <f t="shared" si="163"/>
        <v>19314.78804347826</v>
      </c>
      <c r="L348" s="27">
        <f t="shared" si="163"/>
        <v>9179891.3043478262</v>
      </c>
      <c r="M348" s="27">
        <f t="shared" si="163"/>
        <v>0</v>
      </c>
      <c r="N348" s="27">
        <f t="shared" si="163"/>
        <v>7661663.4728260869</v>
      </c>
      <c r="O348" s="27">
        <f t="shared" si="163"/>
        <v>7661663.4728260869</v>
      </c>
      <c r="P348" s="27">
        <f t="shared" si="163"/>
        <v>7661663.4728260869</v>
      </c>
      <c r="Q348" s="27">
        <f t="shared" si="163"/>
        <v>72497.278586148605</v>
      </c>
      <c r="R348" s="27">
        <f t="shared" si="163"/>
        <v>34161.142998596923</v>
      </c>
      <c r="S348" s="27">
        <f t="shared" si="163"/>
        <v>0</v>
      </c>
      <c r="T348" s="27">
        <f t="shared" si="163"/>
        <v>148726.72515438491</v>
      </c>
      <c r="U348" s="27">
        <f t="shared" si="163"/>
        <v>0</v>
      </c>
      <c r="V348" s="27">
        <f t="shared" si="163"/>
        <v>0</v>
      </c>
      <c r="W348" s="27">
        <f t="shared" si="163"/>
        <v>38119565.217391305</v>
      </c>
      <c r="X348" s="27">
        <f t="shared" si="160"/>
        <v>0</v>
      </c>
      <c r="Y348" s="27">
        <f t="shared" si="160"/>
        <v>0</v>
      </c>
    </row>
    <row r="349" spans="1:25" outlineLevel="1" x14ac:dyDescent="0.25">
      <c r="A349" t="s">
        <v>39</v>
      </c>
      <c r="B349" t="s">
        <v>151</v>
      </c>
      <c r="C349" s="7" t="s">
        <v>3</v>
      </c>
      <c r="D349" t="s">
        <v>114</v>
      </c>
      <c r="E349" s="27">
        <f t="shared" ref="E349:W349" si="164">E152/SummerWeekendDays</f>
        <v>7195.467391304348</v>
      </c>
      <c r="F349" s="27">
        <f t="shared" si="164"/>
        <v>2023611.7010869565</v>
      </c>
      <c r="G349" s="27">
        <f t="shared" si="164"/>
        <v>0</v>
      </c>
      <c r="H349" s="27">
        <f t="shared" si="164"/>
        <v>592540.56521739135</v>
      </c>
      <c r="I349" s="27">
        <f t="shared" si="164"/>
        <v>183581.27717391305</v>
      </c>
      <c r="J349" s="27">
        <f t="shared" si="164"/>
        <v>183581.27717391305</v>
      </c>
      <c r="K349" s="27">
        <f t="shared" si="164"/>
        <v>19177.26086956522</v>
      </c>
      <c r="L349" s="27">
        <f t="shared" si="164"/>
        <v>9484239.1304347832</v>
      </c>
      <c r="M349" s="27">
        <f t="shared" si="164"/>
        <v>0</v>
      </c>
      <c r="N349" s="27">
        <f t="shared" si="164"/>
        <v>7768322.7391304355</v>
      </c>
      <c r="O349" s="27">
        <f t="shared" si="164"/>
        <v>7768322.7391304355</v>
      </c>
      <c r="P349" s="27">
        <f t="shared" si="164"/>
        <v>7768322.7391304355</v>
      </c>
      <c r="Q349" s="27">
        <f t="shared" si="164"/>
        <v>72117.857448420502</v>
      </c>
      <c r="R349" s="27">
        <f t="shared" si="164"/>
        <v>33982.357532502239</v>
      </c>
      <c r="S349" s="27">
        <f t="shared" si="164"/>
        <v>0</v>
      </c>
      <c r="T349" s="27">
        <f t="shared" si="164"/>
        <v>147948.35023646857</v>
      </c>
      <c r="U349" s="27">
        <f t="shared" si="164"/>
        <v>0</v>
      </c>
      <c r="V349" s="27">
        <f t="shared" si="164"/>
        <v>0</v>
      </c>
      <c r="W349" s="27">
        <f t="shared" si="164"/>
        <v>38385869.565217391</v>
      </c>
      <c r="X349" s="27">
        <f t="shared" si="160"/>
        <v>0</v>
      </c>
      <c r="Y349" s="27">
        <f t="shared" si="160"/>
        <v>0</v>
      </c>
    </row>
    <row r="350" spans="1:25" outlineLevel="1" x14ac:dyDescent="0.25">
      <c r="A350" t="s">
        <v>39</v>
      </c>
      <c r="B350" t="s">
        <v>152</v>
      </c>
      <c r="C350" s="7" t="s">
        <v>4</v>
      </c>
      <c r="D350" t="s">
        <v>114</v>
      </c>
      <c r="E350" s="27">
        <f t="shared" ref="E350:W350" si="165">E153/SummerWeekendDays</f>
        <v>9508.967391304348</v>
      </c>
      <c r="F350" s="27">
        <f t="shared" si="165"/>
        <v>2368421.8478260869</v>
      </c>
      <c r="G350" s="27">
        <f t="shared" si="165"/>
        <v>0</v>
      </c>
      <c r="H350" s="27">
        <f t="shared" si="165"/>
        <v>606595.91847826086</v>
      </c>
      <c r="I350" s="27">
        <f t="shared" si="165"/>
        <v>237854.40760869565</v>
      </c>
      <c r="J350" s="27">
        <f t="shared" si="165"/>
        <v>237854.40760869565</v>
      </c>
      <c r="K350" s="27">
        <f t="shared" si="165"/>
        <v>20203.217391304348</v>
      </c>
      <c r="L350" s="27">
        <f t="shared" si="165"/>
        <v>10096739.130434783</v>
      </c>
      <c r="M350" s="27">
        <f t="shared" si="165"/>
        <v>0</v>
      </c>
      <c r="N350" s="27">
        <f t="shared" si="165"/>
        <v>8296101.1304347832</v>
      </c>
      <c r="O350" s="27">
        <f t="shared" si="165"/>
        <v>8296101.1304347832</v>
      </c>
      <c r="P350" s="27">
        <f t="shared" si="165"/>
        <v>8296101.1304347832</v>
      </c>
      <c r="Q350" s="27">
        <f t="shared" si="165"/>
        <v>72686.994554795456</v>
      </c>
      <c r="R350" s="27">
        <f t="shared" si="165"/>
        <v>34250.538276053587</v>
      </c>
      <c r="S350" s="27">
        <f t="shared" si="165"/>
        <v>0</v>
      </c>
      <c r="T350" s="27">
        <f t="shared" si="165"/>
        <v>149115.92369089008</v>
      </c>
      <c r="U350" s="27">
        <f t="shared" si="165"/>
        <v>0</v>
      </c>
      <c r="V350" s="27">
        <f t="shared" si="165"/>
        <v>0</v>
      </c>
      <c r="W350" s="27">
        <f t="shared" si="165"/>
        <v>38804347.826086961</v>
      </c>
      <c r="X350" s="27">
        <f t="shared" si="160"/>
        <v>0</v>
      </c>
      <c r="Y350" s="27">
        <f t="shared" si="160"/>
        <v>0</v>
      </c>
    </row>
    <row r="351" spans="1:25" outlineLevel="1" x14ac:dyDescent="0.25">
      <c r="A351" t="s">
        <v>39</v>
      </c>
      <c r="B351" t="s">
        <v>153</v>
      </c>
      <c r="C351" s="7" t="s">
        <v>5</v>
      </c>
      <c r="D351" t="s">
        <v>114</v>
      </c>
      <c r="E351" s="27">
        <f t="shared" ref="E351:W351" si="166">E154/SummerWeekendDays</f>
        <v>10862.478260869566</v>
      </c>
      <c r="F351" s="27">
        <f t="shared" si="166"/>
        <v>2806888.0760869565</v>
      </c>
      <c r="G351" s="27">
        <f t="shared" si="166"/>
        <v>0</v>
      </c>
      <c r="H351" s="27">
        <f t="shared" si="166"/>
        <v>450872.16847826086</v>
      </c>
      <c r="I351" s="27">
        <f t="shared" si="166"/>
        <v>418915.49456521741</v>
      </c>
      <c r="J351" s="27">
        <f t="shared" si="166"/>
        <v>418915.49456521741</v>
      </c>
      <c r="K351" s="27">
        <f t="shared" si="166"/>
        <v>22444.016304347828</v>
      </c>
      <c r="L351" s="27">
        <f t="shared" si="166"/>
        <v>11123913.043478262</v>
      </c>
      <c r="M351" s="27">
        <f t="shared" si="166"/>
        <v>0</v>
      </c>
      <c r="N351" s="27">
        <f t="shared" si="166"/>
        <v>9244947.2880434785</v>
      </c>
      <c r="O351" s="27">
        <f t="shared" si="166"/>
        <v>9244947.2880434785</v>
      </c>
      <c r="P351" s="27">
        <f t="shared" si="166"/>
        <v>9244947.2880434785</v>
      </c>
      <c r="Q351" s="27">
        <f t="shared" si="166"/>
        <v>90322.101979967221</v>
      </c>
      <c r="R351" s="27">
        <f t="shared" si="166"/>
        <v>42560.304356873254</v>
      </c>
      <c r="S351" s="27">
        <f t="shared" si="166"/>
        <v>0</v>
      </c>
      <c r="T351" s="27">
        <f t="shared" si="166"/>
        <v>185293.99583707258</v>
      </c>
      <c r="U351" s="27">
        <f t="shared" si="166"/>
        <v>0</v>
      </c>
      <c r="V351" s="27">
        <f t="shared" si="166"/>
        <v>0</v>
      </c>
      <c r="W351" s="27">
        <f t="shared" si="166"/>
        <v>38994565.217391305</v>
      </c>
      <c r="X351" s="27">
        <f t="shared" si="160"/>
        <v>0</v>
      </c>
      <c r="Y351" s="27">
        <f t="shared" si="160"/>
        <v>0</v>
      </c>
    </row>
    <row r="352" spans="1:25" outlineLevel="1" x14ac:dyDescent="0.25">
      <c r="A352" t="s">
        <v>39</v>
      </c>
      <c r="B352" t="s">
        <v>154</v>
      </c>
      <c r="C352" s="7" t="s">
        <v>6</v>
      </c>
      <c r="D352" t="s">
        <v>114</v>
      </c>
      <c r="E352" s="27">
        <f t="shared" ref="E352:W352" si="167">E155/SummerWeekendDays</f>
        <v>12607.913043478262</v>
      </c>
      <c r="F352" s="27">
        <f t="shared" si="167"/>
        <v>3207065.2173913047</v>
      </c>
      <c r="G352" s="27">
        <f t="shared" si="167"/>
        <v>0</v>
      </c>
      <c r="H352" s="27">
        <f t="shared" si="167"/>
        <v>613416.46739130432</v>
      </c>
      <c r="I352" s="27">
        <f t="shared" si="167"/>
        <v>653677.88043478259</v>
      </c>
      <c r="J352" s="27">
        <f t="shared" si="167"/>
        <v>653677.88043478259</v>
      </c>
      <c r="K352" s="27">
        <f t="shared" si="167"/>
        <v>23867.184782608696</v>
      </c>
      <c r="L352" s="27">
        <f t="shared" si="167"/>
        <v>12580978.260869566</v>
      </c>
      <c r="M352" s="27">
        <f t="shared" si="167"/>
        <v>0</v>
      </c>
      <c r="N352" s="27">
        <f t="shared" si="167"/>
        <v>11666893.684782609</v>
      </c>
      <c r="O352" s="27">
        <f t="shared" si="167"/>
        <v>11666893.684782609</v>
      </c>
      <c r="P352" s="27">
        <f t="shared" si="167"/>
        <v>11666893.684782609</v>
      </c>
      <c r="Q352" s="27">
        <f t="shared" si="167"/>
        <v>117670.7922748183</v>
      </c>
      <c r="R352" s="27">
        <f t="shared" si="167"/>
        <v>55447.167673770891</v>
      </c>
      <c r="S352" s="27">
        <f t="shared" si="167"/>
        <v>0</v>
      </c>
      <c r="T352" s="27">
        <f t="shared" si="167"/>
        <v>241399.29005141082</v>
      </c>
      <c r="U352" s="27">
        <f t="shared" si="167"/>
        <v>0</v>
      </c>
      <c r="V352" s="27">
        <f t="shared" si="167"/>
        <v>0</v>
      </c>
      <c r="W352" s="27">
        <f t="shared" si="167"/>
        <v>38994565.217391305</v>
      </c>
      <c r="X352" s="27">
        <f t="shared" si="160"/>
        <v>0</v>
      </c>
      <c r="Y352" s="27">
        <f t="shared" si="160"/>
        <v>0</v>
      </c>
    </row>
    <row r="353" spans="1:25" outlineLevel="1" x14ac:dyDescent="0.25">
      <c r="A353" t="s">
        <v>39</v>
      </c>
      <c r="B353" t="s">
        <v>155</v>
      </c>
      <c r="C353" s="7" t="s">
        <v>7</v>
      </c>
      <c r="D353" t="s">
        <v>114</v>
      </c>
      <c r="E353" s="27">
        <f t="shared" ref="E353:W353" si="168">E156/SummerWeekendDays</f>
        <v>13699.456521739132</v>
      </c>
      <c r="F353" s="27">
        <f t="shared" si="168"/>
        <v>3461956.5217391304</v>
      </c>
      <c r="G353" s="27">
        <f t="shared" si="168"/>
        <v>0</v>
      </c>
      <c r="H353" s="27">
        <f t="shared" si="168"/>
        <v>748335.60869565222</v>
      </c>
      <c r="I353" s="27">
        <f t="shared" si="168"/>
        <v>995779.40760869568</v>
      </c>
      <c r="J353" s="27">
        <f t="shared" si="168"/>
        <v>995779.40760869568</v>
      </c>
      <c r="K353" s="27">
        <f t="shared" si="168"/>
        <v>20393.092391304348</v>
      </c>
      <c r="L353" s="27">
        <f t="shared" si="168"/>
        <v>14300543.478260871</v>
      </c>
      <c r="M353" s="27">
        <f t="shared" si="168"/>
        <v>0</v>
      </c>
      <c r="N353" s="27">
        <f t="shared" si="168"/>
        <v>13260585.168478262</v>
      </c>
      <c r="O353" s="27">
        <f t="shared" si="168"/>
        <v>13260585.168478262</v>
      </c>
      <c r="P353" s="27">
        <f t="shared" si="168"/>
        <v>13260585.168478262</v>
      </c>
      <c r="Q353" s="27">
        <f t="shared" si="168"/>
        <v>141291.73171900373</v>
      </c>
      <c r="R353" s="27">
        <f t="shared" si="168"/>
        <v>66577.492919775192</v>
      </c>
      <c r="S353" s="27">
        <f t="shared" si="168"/>
        <v>0</v>
      </c>
      <c r="T353" s="27">
        <f t="shared" si="168"/>
        <v>289857.17753513413</v>
      </c>
      <c r="U353" s="27">
        <f t="shared" si="168"/>
        <v>0</v>
      </c>
      <c r="V353" s="27">
        <f t="shared" si="168"/>
        <v>0</v>
      </c>
      <c r="W353" s="27">
        <f t="shared" si="168"/>
        <v>38956521.739130437</v>
      </c>
      <c r="X353" s="27">
        <f t="shared" si="160"/>
        <v>0</v>
      </c>
      <c r="Y353" s="27">
        <f t="shared" si="160"/>
        <v>0</v>
      </c>
    </row>
    <row r="354" spans="1:25" outlineLevel="1" x14ac:dyDescent="0.25">
      <c r="A354" t="s">
        <v>39</v>
      </c>
      <c r="B354" t="s">
        <v>156</v>
      </c>
      <c r="C354" s="7" t="s">
        <v>8</v>
      </c>
      <c r="D354" t="s">
        <v>114</v>
      </c>
      <c r="E354" s="27">
        <f t="shared" ref="E354:W354" si="169">E157/SummerWeekendDays</f>
        <v>13918.472826086958</v>
      </c>
      <c r="F354" s="27">
        <f t="shared" si="169"/>
        <v>3545652.1739130435</v>
      </c>
      <c r="G354" s="27">
        <f t="shared" si="169"/>
        <v>0</v>
      </c>
      <c r="H354" s="27">
        <f t="shared" si="169"/>
        <v>775410.50543478259</v>
      </c>
      <c r="I354" s="27">
        <f t="shared" si="169"/>
        <v>1358152.1739130435</v>
      </c>
      <c r="J354" s="27">
        <f t="shared" si="169"/>
        <v>1358152.1739130435</v>
      </c>
      <c r="K354" s="27">
        <f t="shared" si="169"/>
        <v>18035.804347826088</v>
      </c>
      <c r="L354" s="27">
        <f t="shared" si="169"/>
        <v>15864130.434782609</v>
      </c>
      <c r="M354" s="27">
        <f t="shared" si="169"/>
        <v>0</v>
      </c>
      <c r="N354" s="27">
        <f t="shared" si="169"/>
        <v>14438485.934782609</v>
      </c>
      <c r="O354" s="27">
        <f t="shared" si="169"/>
        <v>14438485.934782609</v>
      </c>
      <c r="P354" s="27">
        <f t="shared" si="169"/>
        <v>14438485.934782609</v>
      </c>
      <c r="Q354" s="27">
        <f t="shared" si="169"/>
        <v>161051.74006971859</v>
      </c>
      <c r="R354" s="27">
        <f t="shared" si="169"/>
        <v>75888.52478313139</v>
      </c>
      <c r="S354" s="27">
        <f t="shared" si="169"/>
        <v>0</v>
      </c>
      <c r="T354" s="27">
        <f t="shared" si="169"/>
        <v>330394.44166888914</v>
      </c>
      <c r="U354" s="27">
        <f t="shared" si="169"/>
        <v>0</v>
      </c>
      <c r="V354" s="27">
        <f t="shared" si="169"/>
        <v>0</v>
      </c>
      <c r="W354" s="27">
        <f t="shared" si="169"/>
        <v>38766304.347826086</v>
      </c>
      <c r="X354" s="27">
        <f t="shared" si="160"/>
        <v>0</v>
      </c>
      <c r="Y354" s="27">
        <f t="shared" si="160"/>
        <v>0</v>
      </c>
    </row>
    <row r="355" spans="1:25" outlineLevel="1" x14ac:dyDescent="0.25">
      <c r="A355" t="s">
        <v>39</v>
      </c>
      <c r="B355" t="s">
        <v>157</v>
      </c>
      <c r="C355" s="7" t="s">
        <v>9</v>
      </c>
      <c r="D355" t="s">
        <v>114</v>
      </c>
      <c r="E355" s="27">
        <f t="shared" ref="E355:W355" si="170">E158/SummerWeekendDays</f>
        <v>13955.907608695652</v>
      </c>
      <c r="F355" s="27">
        <f t="shared" si="170"/>
        <v>3770108.6956521738</v>
      </c>
      <c r="G355" s="27">
        <f t="shared" si="170"/>
        <v>0</v>
      </c>
      <c r="H355" s="27">
        <f t="shared" si="170"/>
        <v>780035.98369565222</v>
      </c>
      <c r="I355" s="27">
        <f t="shared" si="170"/>
        <v>1396195.6521739131</v>
      </c>
      <c r="J355" s="27">
        <f t="shared" si="170"/>
        <v>1396195.6521739131</v>
      </c>
      <c r="K355" s="27">
        <f t="shared" si="170"/>
        <v>16434.478260869564</v>
      </c>
      <c r="L355" s="27">
        <f t="shared" si="170"/>
        <v>17073913.043478262</v>
      </c>
      <c r="M355" s="27">
        <f t="shared" si="170"/>
        <v>0</v>
      </c>
      <c r="N355" s="27">
        <f t="shared" si="170"/>
        <v>14295522.043478262</v>
      </c>
      <c r="O355" s="27">
        <f t="shared" si="170"/>
        <v>14295522.043478262</v>
      </c>
      <c r="P355" s="27">
        <f t="shared" si="170"/>
        <v>14295522.043478262</v>
      </c>
      <c r="Q355" s="27">
        <f t="shared" si="170"/>
        <v>170909.98312042057</v>
      </c>
      <c r="R355" s="27">
        <f t="shared" si="170"/>
        <v>80533.786745203121</v>
      </c>
      <c r="S355" s="27">
        <f t="shared" si="170"/>
        <v>0</v>
      </c>
      <c r="T355" s="27">
        <f t="shared" si="170"/>
        <v>350618.43122133287</v>
      </c>
      <c r="U355" s="27">
        <f t="shared" si="170"/>
        <v>0</v>
      </c>
      <c r="V355" s="27">
        <f t="shared" si="170"/>
        <v>0</v>
      </c>
      <c r="W355" s="27">
        <f t="shared" si="170"/>
        <v>38690217.391304351</v>
      </c>
      <c r="X355" s="27">
        <f t="shared" si="160"/>
        <v>0</v>
      </c>
      <c r="Y355" s="27">
        <f t="shared" si="160"/>
        <v>0</v>
      </c>
    </row>
    <row r="356" spans="1:25" outlineLevel="1" x14ac:dyDescent="0.25">
      <c r="A356" t="s">
        <v>39</v>
      </c>
      <c r="B356" t="s">
        <v>158</v>
      </c>
      <c r="C356" s="7" t="s">
        <v>10</v>
      </c>
      <c r="D356" t="s">
        <v>114</v>
      </c>
      <c r="E356" s="27">
        <f t="shared" ref="E356:W356" si="171">E159/SummerWeekendDays</f>
        <v>10743.288043478262</v>
      </c>
      <c r="F356" s="27">
        <f t="shared" si="171"/>
        <v>4317934.7826086963</v>
      </c>
      <c r="G356" s="27">
        <f t="shared" si="171"/>
        <v>0</v>
      </c>
      <c r="H356" s="27">
        <f t="shared" si="171"/>
        <v>827636.32608695654</v>
      </c>
      <c r="I356" s="27">
        <f t="shared" si="171"/>
        <v>1282065.2173913044</v>
      </c>
      <c r="J356" s="27">
        <f t="shared" si="171"/>
        <v>1282065.2173913044</v>
      </c>
      <c r="K356" s="27">
        <f t="shared" si="171"/>
        <v>15444.739130434784</v>
      </c>
      <c r="L356" s="27">
        <f t="shared" si="171"/>
        <v>17990760.869565219</v>
      </c>
      <c r="M356" s="27">
        <f t="shared" si="171"/>
        <v>0</v>
      </c>
      <c r="N356" s="27">
        <f t="shared" si="171"/>
        <v>14368794.391304348</v>
      </c>
      <c r="O356" s="27">
        <f t="shared" si="171"/>
        <v>14368794.391304348</v>
      </c>
      <c r="P356" s="27">
        <f t="shared" si="171"/>
        <v>14368794.391304348</v>
      </c>
      <c r="Q356" s="27">
        <f t="shared" si="171"/>
        <v>176790.96215716106</v>
      </c>
      <c r="R356" s="27">
        <f t="shared" si="171"/>
        <v>83304.938569986611</v>
      </c>
      <c r="S356" s="27">
        <f t="shared" si="171"/>
        <v>0</v>
      </c>
      <c r="T356" s="27">
        <f t="shared" si="171"/>
        <v>362683.14275111322</v>
      </c>
      <c r="U356" s="27">
        <f t="shared" si="171"/>
        <v>0</v>
      </c>
      <c r="V356" s="27">
        <f t="shared" si="171"/>
        <v>0</v>
      </c>
      <c r="W356" s="27">
        <f t="shared" si="171"/>
        <v>38614130.434782609</v>
      </c>
      <c r="X356" s="27">
        <f t="shared" si="160"/>
        <v>0</v>
      </c>
      <c r="Y356" s="27">
        <f t="shared" si="160"/>
        <v>0</v>
      </c>
    </row>
    <row r="357" spans="1:25" outlineLevel="1" x14ac:dyDescent="0.25">
      <c r="A357" t="s">
        <v>39</v>
      </c>
      <c r="B357" t="s">
        <v>159</v>
      </c>
      <c r="C357" s="7" t="s">
        <v>11</v>
      </c>
      <c r="D357" t="s">
        <v>114</v>
      </c>
      <c r="E357" s="27">
        <f t="shared" ref="E357:W357" si="172">E160/SummerWeekendDays</f>
        <v>10976</v>
      </c>
      <c r="F357" s="27">
        <f t="shared" si="172"/>
        <v>4831521.7391304346</v>
      </c>
      <c r="G357" s="27">
        <f t="shared" si="172"/>
        <v>0</v>
      </c>
      <c r="H357" s="27">
        <f t="shared" si="172"/>
        <v>856400.08695652173</v>
      </c>
      <c r="I357" s="27">
        <f t="shared" si="172"/>
        <v>1152717.3913043479</v>
      </c>
      <c r="J357" s="27">
        <f t="shared" si="172"/>
        <v>1152717.3913043479</v>
      </c>
      <c r="K357" s="27">
        <f t="shared" si="172"/>
        <v>14680.826086956522</v>
      </c>
      <c r="L357" s="27">
        <f t="shared" si="172"/>
        <v>18717391.304347828</v>
      </c>
      <c r="M357" s="27">
        <f t="shared" si="172"/>
        <v>0</v>
      </c>
      <c r="N357" s="27">
        <f t="shared" si="172"/>
        <v>14289667</v>
      </c>
      <c r="O357" s="27">
        <f t="shared" si="172"/>
        <v>14289667</v>
      </c>
      <c r="P357" s="27">
        <f t="shared" si="172"/>
        <v>14289667</v>
      </c>
      <c r="Q357" s="27">
        <f t="shared" si="172"/>
        <v>173193.13008049331</v>
      </c>
      <c r="R357" s="27">
        <f t="shared" si="172"/>
        <v>81609.618987611728</v>
      </c>
      <c r="S357" s="27">
        <f t="shared" si="172"/>
        <v>0</v>
      </c>
      <c r="T357" s="27">
        <f t="shared" si="172"/>
        <v>355302.26180146018</v>
      </c>
      <c r="U357" s="27">
        <f t="shared" si="172"/>
        <v>0</v>
      </c>
      <c r="V357" s="27">
        <f t="shared" si="172"/>
        <v>0</v>
      </c>
      <c r="W357" s="27">
        <f t="shared" si="172"/>
        <v>38576086.956521742</v>
      </c>
      <c r="X357" s="27">
        <f t="shared" si="160"/>
        <v>0</v>
      </c>
      <c r="Y357" s="27">
        <f t="shared" si="160"/>
        <v>0</v>
      </c>
    </row>
    <row r="358" spans="1:25" outlineLevel="1" x14ac:dyDescent="0.25">
      <c r="A358" t="s">
        <v>39</v>
      </c>
      <c r="B358" t="s">
        <v>160</v>
      </c>
      <c r="C358" s="7" t="s">
        <v>12</v>
      </c>
      <c r="D358" t="s">
        <v>114</v>
      </c>
      <c r="E358" s="27">
        <f t="shared" ref="E358:W358" si="173">E161/SummerWeekendDays</f>
        <v>10967.135869565218</v>
      </c>
      <c r="F358" s="27">
        <f t="shared" si="173"/>
        <v>5090217.3913043477</v>
      </c>
      <c r="G358" s="27">
        <f t="shared" si="173"/>
        <v>0</v>
      </c>
      <c r="H358" s="27">
        <f t="shared" si="173"/>
        <v>855302.79891304346</v>
      </c>
      <c r="I358" s="27">
        <f t="shared" si="173"/>
        <v>989072.875</v>
      </c>
      <c r="J358" s="27">
        <f t="shared" si="173"/>
        <v>989072.875</v>
      </c>
      <c r="K358" s="27">
        <f t="shared" si="173"/>
        <v>14145.934782608696</v>
      </c>
      <c r="L358" s="27">
        <f t="shared" si="173"/>
        <v>19147282.608695652</v>
      </c>
      <c r="M358" s="27">
        <f t="shared" si="173"/>
        <v>0</v>
      </c>
      <c r="N358" s="27">
        <f t="shared" si="173"/>
        <v>13746180.152173914</v>
      </c>
      <c r="O358" s="27">
        <f t="shared" si="173"/>
        <v>13746180.152173914</v>
      </c>
      <c r="P358" s="27">
        <f t="shared" si="173"/>
        <v>13746180.152173914</v>
      </c>
      <c r="Q358" s="27">
        <f t="shared" si="173"/>
        <v>165384.80657147188</v>
      </c>
      <c r="R358" s="27">
        <f t="shared" si="173"/>
        <v>77930.291140097848</v>
      </c>
      <c r="S358" s="27">
        <f t="shared" si="173"/>
        <v>0</v>
      </c>
      <c r="T358" s="27">
        <f t="shared" si="173"/>
        <v>339283.64141886507</v>
      </c>
      <c r="U358" s="27">
        <f t="shared" si="173"/>
        <v>0</v>
      </c>
      <c r="V358" s="27">
        <f t="shared" si="173"/>
        <v>0</v>
      </c>
      <c r="W358" s="27">
        <f t="shared" si="173"/>
        <v>38614130.434782609</v>
      </c>
      <c r="X358" s="27">
        <f t="shared" si="160"/>
        <v>0</v>
      </c>
      <c r="Y358" s="27">
        <f t="shared" si="160"/>
        <v>0</v>
      </c>
    </row>
    <row r="359" spans="1:25" outlineLevel="1" x14ac:dyDescent="0.25">
      <c r="A359" t="s">
        <v>39</v>
      </c>
      <c r="B359" t="s">
        <v>161</v>
      </c>
      <c r="C359" s="7" t="s">
        <v>13</v>
      </c>
      <c r="D359" t="s">
        <v>114</v>
      </c>
      <c r="E359" s="27">
        <f t="shared" ref="E359:W359" si="174">E162/SummerWeekendDays</f>
        <v>10894.320652173914</v>
      </c>
      <c r="F359" s="27">
        <f t="shared" si="174"/>
        <v>5151086.9565217393</v>
      </c>
      <c r="G359" s="27">
        <f t="shared" si="174"/>
        <v>0</v>
      </c>
      <c r="H359" s="27">
        <f t="shared" si="174"/>
        <v>846303.19565217395</v>
      </c>
      <c r="I359" s="27">
        <f t="shared" si="174"/>
        <v>911658.92391304346</v>
      </c>
      <c r="J359" s="27">
        <f t="shared" si="174"/>
        <v>911658.92391304346</v>
      </c>
      <c r="K359" s="27">
        <f t="shared" si="174"/>
        <v>13821.956521739132</v>
      </c>
      <c r="L359" s="27">
        <f t="shared" si="174"/>
        <v>19291847.826086957</v>
      </c>
      <c r="M359" s="27">
        <f t="shared" si="174"/>
        <v>0</v>
      </c>
      <c r="N359" s="27">
        <f t="shared" si="174"/>
        <v>13107373.695652174</v>
      </c>
      <c r="O359" s="27">
        <f t="shared" si="174"/>
        <v>13107373.695652174</v>
      </c>
      <c r="P359" s="27">
        <f t="shared" si="174"/>
        <v>13107373.695652174</v>
      </c>
      <c r="Q359" s="27">
        <f t="shared" si="174"/>
        <v>163108.30134423441</v>
      </c>
      <c r="R359" s="27">
        <f t="shared" si="174"/>
        <v>76857.588521167127</v>
      </c>
      <c r="S359" s="27">
        <f t="shared" si="174"/>
        <v>0</v>
      </c>
      <c r="T359" s="27">
        <f t="shared" si="174"/>
        <v>334613.43622155505</v>
      </c>
      <c r="U359" s="27">
        <f t="shared" si="174"/>
        <v>0</v>
      </c>
      <c r="V359" s="27">
        <f t="shared" si="174"/>
        <v>0</v>
      </c>
      <c r="W359" s="27">
        <f t="shared" si="174"/>
        <v>38728260.869565219</v>
      </c>
      <c r="X359" s="27">
        <f t="shared" si="160"/>
        <v>0</v>
      </c>
      <c r="Y359" s="27">
        <f t="shared" si="160"/>
        <v>0</v>
      </c>
    </row>
    <row r="360" spans="1:25" outlineLevel="1" x14ac:dyDescent="0.25">
      <c r="A360" t="s">
        <v>39</v>
      </c>
      <c r="B360" t="s">
        <v>162</v>
      </c>
      <c r="C360" s="7" t="s">
        <v>14</v>
      </c>
      <c r="D360" t="s">
        <v>114</v>
      </c>
      <c r="E360" s="27">
        <f t="shared" ref="E360:W360" si="175">E163/SummerWeekendDays</f>
        <v>10911.478260869566</v>
      </c>
      <c r="F360" s="27">
        <f t="shared" si="175"/>
        <v>5063586.9565217393</v>
      </c>
      <c r="G360" s="27">
        <f t="shared" si="175"/>
        <v>0</v>
      </c>
      <c r="H360" s="27">
        <f t="shared" si="175"/>
        <v>848427.0108695653</v>
      </c>
      <c r="I360" s="27">
        <f t="shared" si="175"/>
        <v>795198.85869565222</v>
      </c>
      <c r="J360" s="27">
        <f t="shared" si="175"/>
        <v>795198.85869565222</v>
      </c>
      <c r="K360" s="27">
        <f t="shared" si="175"/>
        <v>12553.13043478261</v>
      </c>
      <c r="L360" s="27">
        <f t="shared" si="175"/>
        <v>19147282.608695652</v>
      </c>
      <c r="M360" s="27">
        <f t="shared" si="175"/>
        <v>0</v>
      </c>
      <c r="N360" s="27">
        <f t="shared" si="175"/>
        <v>12149946.869565219</v>
      </c>
      <c r="O360" s="27">
        <f t="shared" si="175"/>
        <v>12149946.869565219</v>
      </c>
      <c r="P360" s="27">
        <f t="shared" si="175"/>
        <v>12149946.869565219</v>
      </c>
      <c r="Q360" s="27">
        <f t="shared" si="175"/>
        <v>159693.5435033782</v>
      </c>
      <c r="R360" s="27">
        <f t="shared" si="175"/>
        <v>75248.534592771015</v>
      </c>
      <c r="S360" s="27">
        <f t="shared" si="175"/>
        <v>0</v>
      </c>
      <c r="T360" s="27">
        <f t="shared" si="175"/>
        <v>327608.12842558988</v>
      </c>
      <c r="U360" s="27">
        <f t="shared" si="175"/>
        <v>0</v>
      </c>
      <c r="V360" s="27">
        <f t="shared" si="175"/>
        <v>0</v>
      </c>
      <c r="W360" s="27">
        <f t="shared" si="175"/>
        <v>39184782.608695656</v>
      </c>
      <c r="X360" s="27">
        <f t="shared" si="160"/>
        <v>0</v>
      </c>
      <c r="Y360" s="27">
        <f t="shared" si="160"/>
        <v>0</v>
      </c>
    </row>
    <row r="361" spans="1:25" outlineLevel="1" x14ac:dyDescent="0.25">
      <c r="A361" t="s">
        <v>39</v>
      </c>
      <c r="B361" t="s">
        <v>163</v>
      </c>
      <c r="C361" s="7" t="s">
        <v>15</v>
      </c>
      <c r="D361" t="s">
        <v>114</v>
      </c>
      <c r="E361" s="27">
        <f t="shared" ref="E361:W361" si="176">E164/SummerWeekendDays</f>
        <v>11098.95652173913</v>
      </c>
      <c r="F361" s="27">
        <f t="shared" si="176"/>
        <v>4892391.3043478262</v>
      </c>
      <c r="G361" s="27">
        <f t="shared" si="176"/>
        <v>0</v>
      </c>
      <c r="H361" s="27">
        <f t="shared" si="176"/>
        <v>871595.75543478259</v>
      </c>
      <c r="I361" s="27">
        <f t="shared" si="176"/>
        <v>795813.10869565222</v>
      </c>
      <c r="J361" s="27">
        <f t="shared" si="176"/>
        <v>795813.10869565222</v>
      </c>
      <c r="K361" s="27">
        <f t="shared" si="176"/>
        <v>12459.733695652174</v>
      </c>
      <c r="L361" s="27">
        <f t="shared" si="176"/>
        <v>18622282.608695652</v>
      </c>
      <c r="M361" s="27">
        <f t="shared" si="176"/>
        <v>0</v>
      </c>
      <c r="N361" s="27">
        <f t="shared" si="176"/>
        <v>11609822.875</v>
      </c>
      <c r="O361" s="27">
        <f t="shared" si="176"/>
        <v>11609822.875</v>
      </c>
      <c r="P361" s="27">
        <f t="shared" si="176"/>
        <v>11609822.875</v>
      </c>
      <c r="Q361" s="27">
        <f t="shared" si="176"/>
        <v>182201.00453739887</v>
      </c>
      <c r="R361" s="27">
        <f t="shared" si="176"/>
        <v>85854.182279323359</v>
      </c>
      <c r="S361" s="27">
        <f t="shared" si="176"/>
        <v>0</v>
      </c>
      <c r="T361" s="27">
        <f t="shared" si="176"/>
        <v>373781.7370963213</v>
      </c>
      <c r="U361" s="27">
        <f t="shared" si="176"/>
        <v>0</v>
      </c>
      <c r="V361" s="27">
        <f t="shared" si="176"/>
        <v>0</v>
      </c>
      <c r="W361" s="27">
        <f t="shared" si="176"/>
        <v>39679347.826086961</v>
      </c>
      <c r="X361" s="27">
        <f t="shared" si="160"/>
        <v>0</v>
      </c>
      <c r="Y361" s="27">
        <f t="shared" si="160"/>
        <v>0</v>
      </c>
    </row>
    <row r="362" spans="1:25" outlineLevel="1" x14ac:dyDescent="0.25">
      <c r="A362" t="s">
        <v>39</v>
      </c>
      <c r="B362" t="s">
        <v>164</v>
      </c>
      <c r="C362" s="7" t="s">
        <v>16</v>
      </c>
      <c r="D362" t="s">
        <v>114</v>
      </c>
      <c r="E362" s="27">
        <f t="shared" ref="E362:W362" si="177">E165/SummerWeekendDays</f>
        <v>11448.842391304348</v>
      </c>
      <c r="F362" s="27">
        <f t="shared" si="177"/>
        <v>4736413.0434782607</v>
      </c>
      <c r="G362" s="27">
        <f t="shared" si="177"/>
        <v>0</v>
      </c>
      <c r="H362" s="27">
        <f t="shared" si="177"/>
        <v>1037669.4619565217</v>
      </c>
      <c r="I362" s="27">
        <f t="shared" si="177"/>
        <v>913480.1413043479</v>
      </c>
      <c r="J362" s="27">
        <f t="shared" si="177"/>
        <v>913480.1413043479</v>
      </c>
      <c r="K362" s="27">
        <f t="shared" si="177"/>
        <v>13013.608695652174</v>
      </c>
      <c r="L362" s="27">
        <f t="shared" si="177"/>
        <v>17754891.304347828</v>
      </c>
      <c r="M362" s="27">
        <f t="shared" si="177"/>
        <v>0</v>
      </c>
      <c r="N362" s="27">
        <f t="shared" si="177"/>
        <v>11753834.217391305</v>
      </c>
      <c r="O362" s="27">
        <f t="shared" si="177"/>
        <v>11753834.217391305</v>
      </c>
      <c r="P362" s="27">
        <f t="shared" si="177"/>
        <v>11753834.217391305</v>
      </c>
      <c r="Q362" s="27">
        <f t="shared" si="177"/>
        <v>182390.69890691456</v>
      </c>
      <c r="R362" s="27">
        <f t="shared" si="177"/>
        <v>85943.567379142711</v>
      </c>
      <c r="S362" s="27">
        <f t="shared" si="177"/>
        <v>0</v>
      </c>
      <c r="T362" s="27">
        <f t="shared" si="177"/>
        <v>374170.89132263843</v>
      </c>
      <c r="U362" s="27">
        <f t="shared" si="177"/>
        <v>0</v>
      </c>
      <c r="V362" s="27">
        <f t="shared" si="177"/>
        <v>0</v>
      </c>
      <c r="W362" s="27">
        <f t="shared" si="177"/>
        <v>39755434.782608695</v>
      </c>
      <c r="X362" s="27">
        <f t="shared" si="160"/>
        <v>0</v>
      </c>
      <c r="Y362" s="27">
        <f t="shared" si="160"/>
        <v>0</v>
      </c>
    </row>
    <row r="363" spans="1:25" outlineLevel="1" x14ac:dyDescent="0.25">
      <c r="A363" t="s">
        <v>39</v>
      </c>
      <c r="B363" t="s">
        <v>165</v>
      </c>
      <c r="C363" s="7" t="s">
        <v>17</v>
      </c>
      <c r="D363" t="s">
        <v>114</v>
      </c>
      <c r="E363" s="27">
        <f t="shared" ref="E363:W363" si="178">E166/SummerWeekendDays</f>
        <v>11866.027173913044</v>
      </c>
      <c r="F363" s="27">
        <f t="shared" si="178"/>
        <v>4542391.3043478262</v>
      </c>
      <c r="G363" s="27">
        <f t="shared" si="178"/>
        <v>0</v>
      </c>
      <c r="H363" s="27">
        <f t="shared" si="178"/>
        <v>2545108.6956521738</v>
      </c>
      <c r="I363" s="27">
        <f t="shared" si="178"/>
        <v>1040924.6521739131</v>
      </c>
      <c r="J363" s="27">
        <f t="shared" si="178"/>
        <v>1040924.6521739131</v>
      </c>
      <c r="K363" s="27">
        <f t="shared" si="178"/>
        <v>13911.320652173914</v>
      </c>
      <c r="L363" s="27">
        <f t="shared" si="178"/>
        <v>16701086.95652174</v>
      </c>
      <c r="M363" s="27">
        <f t="shared" si="178"/>
        <v>0</v>
      </c>
      <c r="N363" s="27">
        <f t="shared" si="178"/>
        <v>11627393.027173914</v>
      </c>
      <c r="O363" s="27">
        <f t="shared" si="178"/>
        <v>11627393.027173914</v>
      </c>
      <c r="P363" s="27">
        <f t="shared" si="178"/>
        <v>11627393.027173914</v>
      </c>
      <c r="Q363" s="27">
        <f t="shared" si="178"/>
        <v>181062.74112421458</v>
      </c>
      <c r="R363" s="27">
        <f t="shared" si="178"/>
        <v>85317.825881039331</v>
      </c>
      <c r="S363" s="27">
        <f t="shared" si="178"/>
        <v>0</v>
      </c>
      <c r="T363" s="27">
        <f t="shared" si="178"/>
        <v>371446.61234257219</v>
      </c>
      <c r="U363" s="27">
        <f t="shared" si="178"/>
        <v>0</v>
      </c>
      <c r="V363" s="27">
        <f t="shared" si="178"/>
        <v>0</v>
      </c>
      <c r="W363" s="27">
        <f t="shared" si="178"/>
        <v>39565217.391304351</v>
      </c>
      <c r="X363" s="27">
        <f t="shared" si="160"/>
        <v>0</v>
      </c>
      <c r="Y363" s="27">
        <f t="shared" si="160"/>
        <v>0</v>
      </c>
    </row>
    <row r="364" spans="1:25" outlineLevel="1" x14ac:dyDescent="0.25">
      <c r="A364" t="s">
        <v>39</v>
      </c>
      <c r="B364" t="s">
        <v>166</v>
      </c>
      <c r="C364" s="7" t="s">
        <v>18</v>
      </c>
      <c r="D364" t="s">
        <v>114</v>
      </c>
      <c r="E364" s="27">
        <f t="shared" ref="E364:W364" si="179">E167/SummerWeekendDays</f>
        <v>12236.684782608696</v>
      </c>
      <c r="F364" s="27">
        <f t="shared" si="179"/>
        <v>4234239.1304347832</v>
      </c>
      <c r="G364" s="27">
        <f t="shared" si="179"/>
        <v>0</v>
      </c>
      <c r="H364" s="27">
        <f t="shared" si="179"/>
        <v>3374456.5217391304</v>
      </c>
      <c r="I364" s="27">
        <f t="shared" si="179"/>
        <v>948855.17391304346</v>
      </c>
      <c r="J364" s="27">
        <f t="shared" si="179"/>
        <v>948855.17391304346</v>
      </c>
      <c r="K364" s="27">
        <f t="shared" si="179"/>
        <v>14698.135869565218</v>
      </c>
      <c r="L364" s="27">
        <f t="shared" si="179"/>
        <v>15449456.521739131</v>
      </c>
      <c r="M364" s="27">
        <f t="shared" si="179"/>
        <v>0</v>
      </c>
      <c r="N364" s="27">
        <f t="shared" si="179"/>
        <v>11242367.08152174</v>
      </c>
      <c r="O364" s="27">
        <f t="shared" si="179"/>
        <v>11242367.08152174</v>
      </c>
      <c r="P364" s="27">
        <f t="shared" si="179"/>
        <v>11242367.08152174</v>
      </c>
      <c r="Q364" s="27">
        <f t="shared" si="179"/>
        <v>176699.41423968971</v>
      </c>
      <c r="R364" s="27">
        <f t="shared" si="179"/>
        <v>83261.800654178558</v>
      </c>
      <c r="S364" s="27">
        <f t="shared" si="179"/>
        <v>0</v>
      </c>
      <c r="T364" s="27">
        <f t="shared" si="179"/>
        <v>362495.33401917521</v>
      </c>
      <c r="U364" s="27">
        <f t="shared" si="179"/>
        <v>0</v>
      </c>
      <c r="V364" s="27">
        <f t="shared" si="179"/>
        <v>0</v>
      </c>
      <c r="W364" s="27">
        <f t="shared" si="179"/>
        <v>39336956.521739133</v>
      </c>
      <c r="X364" s="27">
        <f t="shared" si="160"/>
        <v>0</v>
      </c>
      <c r="Y364" s="27">
        <f t="shared" si="160"/>
        <v>0</v>
      </c>
    </row>
    <row r="365" spans="1:25" outlineLevel="1" x14ac:dyDescent="0.25">
      <c r="A365" t="s">
        <v>39</v>
      </c>
      <c r="B365" t="s">
        <v>167</v>
      </c>
      <c r="C365" s="7" t="s">
        <v>19</v>
      </c>
      <c r="D365" t="s">
        <v>114</v>
      </c>
      <c r="E365" s="27">
        <f t="shared" ref="E365:W365" si="180">E168/SummerWeekendDays</f>
        <v>12192.440217391304</v>
      </c>
      <c r="F365" s="27">
        <f t="shared" si="180"/>
        <v>3773913.0434782612</v>
      </c>
      <c r="G365" s="27">
        <f t="shared" si="180"/>
        <v>0</v>
      </c>
      <c r="H365" s="27">
        <f t="shared" si="180"/>
        <v>3355434.7826086958</v>
      </c>
      <c r="I365" s="27">
        <f t="shared" si="180"/>
        <v>886032.98913043481</v>
      </c>
      <c r="J365" s="27">
        <f t="shared" si="180"/>
        <v>886032.98913043481</v>
      </c>
      <c r="K365" s="27">
        <f t="shared" si="180"/>
        <v>16986.945652173912</v>
      </c>
      <c r="L365" s="27">
        <f t="shared" si="180"/>
        <v>14197826.086956521</v>
      </c>
      <c r="M365" s="27">
        <f t="shared" si="180"/>
        <v>0</v>
      </c>
      <c r="N365" s="27">
        <f t="shared" si="180"/>
        <v>10703665.228260869</v>
      </c>
      <c r="O365" s="27">
        <f t="shared" si="180"/>
        <v>10703665.228260869</v>
      </c>
      <c r="P365" s="27">
        <f t="shared" si="180"/>
        <v>10703665.228260869</v>
      </c>
      <c r="Q365" s="27">
        <f t="shared" si="180"/>
        <v>170818.43520294921</v>
      </c>
      <c r="R365" s="27">
        <f t="shared" si="180"/>
        <v>80490.648829395068</v>
      </c>
      <c r="S365" s="27">
        <f t="shared" si="180"/>
        <v>0</v>
      </c>
      <c r="T365" s="27">
        <f t="shared" si="180"/>
        <v>350430.62248939491</v>
      </c>
      <c r="U365" s="27">
        <f t="shared" si="180"/>
        <v>0</v>
      </c>
      <c r="V365" s="27">
        <f t="shared" si="180"/>
        <v>0</v>
      </c>
      <c r="W365" s="27">
        <f t="shared" si="180"/>
        <v>39108695.652173914</v>
      </c>
      <c r="X365" s="27">
        <f t="shared" si="160"/>
        <v>0</v>
      </c>
      <c r="Y365" s="27">
        <f t="shared" si="160"/>
        <v>0</v>
      </c>
    </row>
    <row r="366" spans="1:25" outlineLevel="1" x14ac:dyDescent="0.25">
      <c r="A366" t="s">
        <v>39</v>
      </c>
      <c r="B366" t="s">
        <v>168</v>
      </c>
      <c r="C366" s="7" t="s">
        <v>20</v>
      </c>
      <c r="D366" t="s">
        <v>114</v>
      </c>
      <c r="E366" s="27">
        <f t="shared" ref="E366:W366" si="181">E169/SummerWeekendDays</f>
        <v>10782.282608695652</v>
      </c>
      <c r="F366" s="27">
        <f t="shared" si="181"/>
        <v>3264130.4347826089</v>
      </c>
      <c r="G366" s="27">
        <f t="shared" si="181"/>
        <v>0</v>
      </c>
      <c r="H366" s="27">
        <f t="shared" si="181"/>
        <v>2773369.5652173916</v>
      </c>
      <c r="I366" s="27">
        <f t="shared" si="181"/>
        <v>774451.16304347827</v>
      </c>
      <c r="J366" s="27">
        <f t="shared" si="181"/>
        <v>774451.16304347827</v>
      </c>
      <c r="K366" s="27">
        <f t="shared" si="181"/>
        <v>17519.668478260872</v>
      </c>
      <c r="L366" s="27">
        <f t="shared" si="181"/>
        <v>12911956.521739131</v>
      </c>
      <c r="M366" s="27">
        <f t="shared" si="181"/>
        <v>0</v>
      </c>
      <c r="N366" s="27">
        <f t="shared" si="181"/>
        <v>10010741.201086957</v>
      </c>
      <c r="O366" s="27">
        <f t="shared" si="181"/>
        <v>10010741.201086957</v>
      </c>
      <c r="P366" s="27">
        <f t="shared" si="181"/>
        <v>10010741.201086957</v>
      </c>
      <c r="Q366" s="27">
        <f t="shared" si="181"/>
        <v>164178.61389075249</v>
      </c>
      <c r="R366" s="27">
        <f t="shared" si="181"/>
        <v>77361.926072422211</v>
      </c>
      <c r="S366" s="27">
        <f t="shared" si="181"/>
        <v>0</v>
      </c>
      <c r="T366" s="27">
        <f t="shared" si="181"/>
        <v>336809.16112378187</v>
      </c>
      <c r="U366" s="27">
        <f t="shared" si="181"/>
        <v>0</v>
      </c>
      <c r="V366" s="27">
        <f t="shared" si="181"/>
        <v>0</v>
      </c>
      <c r="W366" s="27">
        <f t="shared" si="181"/>
        <v>38728260.869565219</v>
      </c>
      <c r="X366" s="27">
        <f t="shared" si="160"/>
        <v>0</v>
      </c>
      <c r="Y366" s="27">
        <f t="shared" si="160"/>
        <v>0</v>
      </c>
    </row>
    <row r="367" spans="1:25" outlineLevel="1" x14ac:dyDescent="0.25">
      <c r="A367" t="s">
        <v>39</v>
      </c>
      <c r="B367" t="s">
        <v>169</v>
      </c>
      <c r="C367" s="7" t="s">
        <v>21</v>
      </c>
      <c r="D367" t="s">
        <v>114</v>
      </c>
      <c r="E367" s="27">
        <f t="shared" ref="E367:W367" si="182">E170/SummerWeekendDays</f>
        <v>8389.91847826087</v>
      </c>
      <c r="F367" s="27">
        <f t="shared" si="182"/>
        <v>2752514.4347826089</v>
      </c>
      <c r="G367" s="27">
        <f t="shared" si="182"/>
        <v>0</v>
      </c>
      <c r="H367" s="27">
        <f t="shared" si="182"/>
        <v>1788043.4782608696</v>
      </c>
      <c r="I367" s="27">
        <f t="shared" si="182"/>
        <v>672583.16847826086</v>
      </c>
      <c r="J367" s="27">
        <f t="shared" si="182"/>
        <v>672583.16847826086</v>
      </c>
      <c r="K367" s="27">
        <f t="shared" si="182"/>
        <v>18040.369565217392</v>
      </c>
      <c r="L367" s="27">
        <f t="shared" si="182"/>
        <v>11725000</v>
      </c>
      <c r="M367" s="27">
        <f t="shared" si="182"/>
        <v>0</v>
      </c>
      <c r="N367" s="27">
        <f t="shared" si="182"/>
        <v>9485220.5</v>
      </c>
      <c r="O367" s="27">
        <f t="shared" si="182"/>
        <v>9485220.5</v>
      </c>
      <c r="P367" s="27">
        <f t="shared" si="182"/>
        <v>9485220.5</v>
      </c>
      <c r="Q367" s="27">
        <f t="shared" si="182"/>
        <v>161902.1194630806</v>
      </c>
      <c r="R367" s="27">
        <f t="shared" si="182"/>
        <v>76289.228542310142</v>
      </c>
      <c r="S367" s="27">
        <f t="shared" si="182"/>
        <v>0</v>
      </c>
      <c r="T367" s="27">
        <f t="shared" si="182"/>
        <v>332138.97808156582</v>
      </c>
      <c r="U367" s="27">
        <f t="shared" si="182"/>
        <v>0</v>
      </c>
      <c r="V367" s="27">
        <f t="shared" si="182"/>
        <v>0</v>
      </c>
      <c r="W367" s="27">
        <f t="shared" si="182"/>
        <v>38385869.565217391</v>
      </c>
      <c r="X367" s="27">
        <f t="shared" si="160"/>
        <v>0</v>
      </c>
      <c r="Y367" s="27">
        <f t="shared" si="160"/>
        <v>0</v>
      </c>
    </row>
    <row r="368" spans="1:25" outlineLevel="1" x14ac:dyDescent="0.25">
      <c r="A368" t="s">
        <v>39</v>
      </c>
      <c r="B368" t="s">
        <v>170</v>
      </c>
      <c r="C368" s="7" t="s">
        <v>22</v>
      </c>
      <c r="D368" t="s">
        <v>114</v>
      </c>
      <c r="E368" s="27">
        <f t="shared" ref="E368:W368" si="183">E171/SummerWeekendDays</f>
        <v>7195.467391304348</v>
      </c>
      <c r="F368" s="27">
        <f t="shared" si="183"/>
        <v>2300025.7608695654</v>
      </c>
      <c r="G368" s="27">
        <f t="shared" si="183"/>
        <v>0</v>
      </c>
      <c r="H368" s="27">
        <f t="shared" si="183"/>
        <v>1000432.4673913044</v>
      </c>
      <c r="I368" s="27">
        <f t="shared" si="183"/>
        <v>512220.4347826087</v>
      </c>
      <c r="J368" s="27">
        <f t="shared" si="183"/>
        <v>512220.4347826087</v>
      </c>
      <c r="K368" s="27">
        <f t="shared" si="183"/>
        <v>18775.065217391304</v>
      </c>
      <c r="L368" s="27">
        <f t="shared" si="183"/>
        <v>10560869.565217393</v>
      </c>
      <c r="M368" s="27">
        <f t="shared" si="183"/>
        <v>0</v>
      </c>
      <c r="N368" s="27">
        <f t="shared" si="183"/>
        <v>8708398.8478260878</v>
      </c>
      <c r="O368" s="27">
        <f t="shared" si="183"/>
        <v>8708398.8478260878</v>
      </c>
      <c r="P368" s="27">
        <f t="shared" si="183"/>
        <v>8708398.8478260878</v>
      </c>
      <c r="Q368" s="27">
        <f t="shared" si="183"/>
        <v>108820.88306373719</v>
      </c>
      <c r="R368" s="27">
        <f t="shared" si="183"/>
        <v>51277.038532646075</v>
      </c>
      <c r="S368" s="27">
        <f t="shared" si="183"/>
        <v>0</v>
      </c>
      <c r="T368" s="27">
        <f t="shared" si="183"/>
        <v>223243.87731666025</v>
      </c>
      <c r="U368" s="27">
        <f t="shared" si="183"/>
        <v>0</v>
      </c>
      <c r="V368" s="27">
        <f t="shared" si="183"/>
        <v>0</v>
      </c>
      <c r="W368" s="27">
        <f t="shared" si="183"/>
        <v>38157608.695652172</v>
      </c>
      <c r="X368" s="27">
        <f t="shared" si="160"/>
        <v>0</v>
      </c>
      <c r="Y368" s="27">
        <f t="shared" si="160"/>
        <v>0</v>
      </c>
    </row>
    <row r="369" spans="1:25" outlineLevel="1" x14ac:dyDescent="0.25">
      <c r="A369" t="s">
        <v>40</v>
      </c>
      <c r="B369" t="s">
        <v>147</v>
      </c>
      <c r="C369" s="7" t="s">
        <v>34</v>
      </c>
      <c r="D369" t="s">
        <v>114</v>
      </c>
      <c r="E369" s="25">
        <f t="shared" ref="E369:W369" si="184">E172/FallWeekendDays</f>
        <v>126392.97540983607</v>
      </c>
      <c r="F369" s="25">
        <f t="shared" si="184"/>
        <v>69877.55737704919</v>
      </c>
      <c r="G369" s="25">
        <f t="shared" si="184"/>
        <v>0</v>
      </c>
      <c r="H369" s="25">
        <f t="shared" si="184"/>
        <v>732359.79508196726</v>
      </c>
      <c r="I369" s="25">
        <f t="shared" si="184"/>
        <v>379755.27868852462</v>
      </c>
      <c r="J369" s="25">
        <f t="shared" si="184"/>
        <v>379755.27868852462</v>
      </c>
      <c r="K369" s="25">
        <f t="shared" si="184"/>
        <v>257481.28688524594</v>
      </c>
      <c r="L369" s="25">
        <f t="shared" si="184"/>
        <v>1593587.1229508198</v>
      </c>
      <c r="M369" s="25">
        <f t="shared" si="184"/>
        <v>0</v>
      </c>
      <c r="N369" s="25">
        <f t="shared" si="184"/>
        <v>8889915.1967213117</v>
      </c>
      <c r="O369" s="25">
        <f t="shared" si="184"/>
        <v>8889915.1967213117</v>
      </c>
      <c r="P369" s="25">
        <f t="shared" si="184"/>
        <v>8889915.1967213117</v>
      </c>
      <c r="Q369" s="25">
        <f t="shared" si="184"/>
        <v>84881.869679697236</v>
      </c>
      <c r="R369" s="25">
        <f t="shared" si="184"/>
        <v>39996.834980098371</v>
      </c>
      <c r="S369" s="25">
        <f t="shared" si="184"/>
        <v>0</v>
      </c>
      <c r="T369" s="25">
        <f t="shared" si="184"/>
        <v>174133.46747135196</v>
      </c>
      <c r="U369" s="25">
        <f t="shared" si="184"/>
        <v>0</v>
      </c>
      <c r="V369" s="25">
        <f t="shared" si="184"/>
        <v>0</v>
      </c>
      <c r="W369" s="25">
        <f t="shared" si="184"/>
        <v>38959016.393442623</v>
      </c>
      <c r="X369" s="25">
        <f t="shared" ref="X369:Y392" si="185">X172/FallWeekendDays</f>
        <v>0</v>
      </c>
      <c r="Y369" s="25">
        <f t="shared" si="185"/>
        <v>0</v>
      </c>
    </row>
    <row r="370" spans="1:25" outlineLevel="1" x14ac:dyDescent="0.25">
      <c r="A370" t="s">
        <v>40</v>
      </c>
      <c r="B370" t="s">
        <v>148</v>
      </c>
      <c r="C370" s="7" t="s">
        <v>0</v>
      </c>
      <c r="D370" t="s">
        <v>114</v>
      </c>
      <c r="E370" s="25">
        <f t="shared" ref="E370:W370" si="186">E173/FallWeekendDays</f>
        <v>126392.97540983607</v>
      </c>
      <c r="F370" s="25">
        <f t="shared" si="186"/>
        <v>63632.409836065577</v>
      </c>
      <c r="G370" s="25">
        <f t="shared" si="186"/>
        <v>0</v>
      </c>
      <c r="H370" s="25">
        <f t="shared" si="186"/>
        <v>632754.2704918033</v>
      </c>
      <c r="I370" s="25">
        <f t="shared" si="186"/>
        <v>245380.06557377052</v>
      </c>
      <c r="J370" s="25">
        <f t="shared" si="186"/>
        <v>245380.06557377052</v>
      </c>
      <c r="K370" s="25">
        <f t="shared" si="186"/>
        <v>234307.21311475412</v>
      </c>
      <c r="L370" s="25">
        <f t="shared" si="186"/>
        <v>1558338.3360655739</v>
      </c>
      <c r="M370" s="25">
        <f t="shared" si="186"/>
        <v>0</v>
      </c>
      <c r="N370" s="25">
        <f t="shared" si="186"/>
        <v>7772108.5491803288</v>
      </c>
      <c r="O370" s="25">
        <f t="shared" si="186"/>
        <v>7772108.5491803288</v>
      </c>
      <c r="P370" s="25">
        <f t="shared" si="186"/>
        <v>7772108.5491803288</v>
      </c>
      <c r="Q370" s="25">
        <f t="shared" si="186"/>
        <v>80685.463005372192</v>
      </c>
      <c r="R370" s="25">
        <f t="shared" si="186"/>
        <v>38019.463535575305</v>
      </c>
      <c r="S370" s="25">
        <f t="shared" si="186"/>
        <v>0</v>
      </c>
      <c r="T370" s="25">
        <f t="shared" si="186"/>
        <v>165524.6226393804</v>
      </c>
      <c r="U370" s="25">
        <f t="shared" si="186"/>
        <v>0</v>
      </c>
      <c r="V370" s="25">
        <f t="shared" si="186"/>
        <v>0</v>
      </c>
      <c r="W370" s="25">
        <f t="shared" si="186"/>
        <v>38901639.344262302</v>
      </c>
      <c r="X370" s="25">
        <f t="shared" si="185"/>
        <v>0</v>
      </c>
      <c r="Y370" s="25">
        <f t="shared" si="185"/>
        <v>0</v>
      </c>
    </row>
    <row r="371" spans="1:25" outlineLevel="1" x14ac:dyDescent="0.25">
      <c r="A371" t="s">
        <v>40</v>
      </c>
      <c r="B371" t="s">
        <v>149</v>
      </c>
      <c r="C371" s="7" t="s">
        <v>1</v>
      </c>
      <c r="D371" t="s">
        <v>114</v>
      </c>
      <c r="E371" s="25">
        <f t="shared" ref="E371:W371" si="187">E174/FallWeekendDays</f>
        <v>127299.24590163935</v>
      </c>
      <c r="F371" s="25">
        <f t="shared" si="187"/>
        <v>61973.581967213118</v>
      </c>
      <c r="G371" s="25">
        <f t="shared" si="187"/>
        <v>0</v>
      </c>
      <c r="H371" s="25">
        <f t="shared" si="187"/>
        <v>611126.90983606561</v>
      </c>
      <c r="I371" s="25">
        <f t="shared" si="187"/>
        <v>204515.95901639346</v>
      </c>
      <c r="J371" s="25">
        <f t="shared" si="187"/>
        <v>204515.95901639346</v>
      </c>
      <c r="K371" s="25">
        <f t="shared" si="187"/>
        <v>237728.72131147544</v>
      </c>
      <c r="L371" s="25">
        <f t="shared" si="187"/>
        <v>1540781.9918032789</v>
      </c>
      <c r="M371" s="25">
        <f t="shared" si="187"/>
        <v>0</v>
      </c>
      <c r="N371" s="25">
        <f t="shared" si="187"/>
        <v>7677226.9918032791</v>
      </c>
      <c r="O371" s="25">
        <f t="shared" si="187"/>
        <v>7677226.9918032791</v>
      </c>
      <c r="P371" s="25">
        <f t="shared" si="187"/>
        <v>7677226.9918032791</v>
      </c>
      <c r="Q371" s="25">
        <f t="shared" si="187"/>
        <v>79540.979573536591</v>
      </c>
      <c r="R371" s="25">
        <f t="shared" si="187"/>
        <v>37480.176228011034</v>
      </c>
      <c r="S371" s="25">
        <f t="shared" si="187"/>
        <v>0</v>
      </c>
      <c r="T371" s="25">
        <f t="shared" si="187"/>
        <v>163176.73764107536</v>
      </c>
      <c r="U371" s="25">
        <f t="shared" si="187"/>
        <v>0</v>
      </c>
      <c r="V371" s="25">
        <f t="shared" si="187"/>
        <v>0</v>
      </c>
      <c r="W371" s="25">
        <f t="shared" si="187"/>
        <v>38901639.344262302</v>
      </c>
      <c r="X371" s="25">
        <f t="shared" si="185"/>
        <v>0</v>
      </c>
      <c r="Y371" s="25">
        <f t="shared" si="185"/>
        <v>0</v>
      </c>
    </row>
    <row r="372" spans="1:25" outlineLevel="1" x14ac:dyDescent="0.25">
      <c r="A372" t="s">
        <v>40</v>
      </c>
      <c r="B372" t="s">
        <v>150</v>
      </c>
      <c r="C372" s="7" t="s">
        <v>2</v>
      </c>
      <c r="D372" t="s">
        <v>114</v>
      </c>
      <c r="E372" s="25">
        <f t="shared" ref="E372:W372" si="188">E175/FallWeekendDays</f>
        <v>126392.97540983607</v>
      </c>
      <c r="F372" s="25">
        <f t="shared" si="188"/>
        <v>64599.84426229509</v>
      </c>
      <c r="G372" s="25">
        <f t="shared" si="188"/>
        <v>0</v>
      </c>
      <c r="H372" s="25">
        <f t="shared" si="188"/>
        <v>610611.03278688528</v>
      </c>
      <c r="I372" s="25">
        <f t="shared" si="188"/>
        <v>189569.46721311478</v>
      </c>
      <c r="J372" s="25">
        <f t="shared" si="188"/>
        <v>189569.46721311478</v>
      </c>
      <c r="K372" s="25">
        <f t="shared" si="188"/>
        <v>241483.59016393445</v>
      </c>
      <c r="L372" s="25">
        <f t="shared" si="188"/>
        <v>1534850.6393442624</v>
      </c>
      <c r="M372" s="25">
        <f t="shared" si="188"/>
        <v>0</v>
      </c>
      <c r="N372" s="25">
        <f t="shared" si="188"/>
        <v>7753993.6393442629</v>
      </c>
      <c r="O372" s="25">
        <f t="shared" si="188"/>
        <v>7753993.6393442629</v>
      </c>
      <c r="P372" s="25">
        <f t="shared" si="188"/>
        <v>7753993.6393442629</v>
      </c>
      <c r="Q372" s="25">
        <f t="shared" si="188"/>
        <v>79540.979573536591</v>
      </c>
      <c r="R372" s="25">
        <f t="shared" si="188"/>
        <v>37480.176228011034</v>
      </c>
      <c r="S372" s="25">
        <f t="shared" si="188"/>
        <v>0</v>
      </c>
      <c r="T372" s="25">
        <f t="shared" si="188"/>
        <v>163176.73764107536</v>
      </c>
      <c r="U372" s="25">
        <f t="shared" si="188"/>
        <v>0</v>
      </c>
      <c r="V372" s="25">
        <f t="shared" si="188"/>
        <v>0</v>
      </c>
      <c r="W372" s="25">
        <f t="shared" si="188"/>
        <v>39016393.442622952</v>
      </c>
      <c r="X372" s="25">
        <f t="shared" si="185"/>
        <v>0</v>
      </c>
      <c r="Y372" s="25">
        <f t="shared" si="185"/>
        <v>0</v>
      </c>
    </row>
    <row r="373" spans="1:25" outlineLevel="1" x14ac:dyDescent="0.25">
      <c r="A373" t="s">
        <v>40</v>
      </c>
      <c r="B373" t="s">
        <v>151</v>
      </c>
      <c r="C373" s="7" t="s">
        <v>3</v>
      </c>
      <c r="D373" t="s">
        <v>114</v>
      </c>
      <c r="E373" s="25">
        <f t="shared" ref="E373:W373" si="189">E176/FallWeekendDays</f>
        <v>126392.97540983607</v>
      </c>
      <c r="F373" s="25">
        <f t="shared" si="189"/>
        <v>71794.696721311484</v>
      </c>
      <c r="G373" s="25">
        <f t="shared" si="189"/>
        <v>0</v>
      </c>
      <c r="H373" s="25">
        <f t="shared" si="189"/>
        <v>642726.68852459022</v>
      </c>
      <c r="I373" s="25">
        <f t="shared" si="189"/>
        <v>195415.84426229511</v>
      </c>
      <c r="J373" s="25">
        <f t="shared" si="189"/>
        <v>195415.84426229511</v>
      </c>
      <c r="K373" s="25">
        <f t="shared" si="189"/>
        <v>239745.69672131148</v>
      </c>
      <c r="L373" s="25">
        <f t="shared" si="189"/>
        <v>1540546.6885245903</v>
      </c>
      <c r="M373" s="25">
        <f t="shared" si="189"/>
        <v>0</v>
      </c>
      <c r="N373" s="25">
        <f t="shared" si="189"/>
        <v>7859051.8770491807</v>
      </c>
      <c r="O373" s="25">
        <f t="shared" si="189"/>
        <v>7859051.8770491807</v>
      </c>
      <c r="P373" s="25">
        <f t="shared" si="189"/>
        <v>7859051.8770491807</v>
      </c>
      <c r="Q373" s="25">
        <f t="shared" si="189"/>
        <v>79159.485096258068</v>
      </c>
      <c r="R373" s="25">
        <f t="shared" si="189"/>
        <v>37300.413792156272</v>
      </c>
      <c r="S373" s="25">
        <f t="shared" si="189"/>
        <v>0</v>
      </c>
      <c r="T373" s="25">
        <f t="shared" si="189"/>
        <v>162394.109308307</v>
      </c>
      <c r="U373" s="25">
        <f t="shared" si="189"/>
        <v>0</v>
      </c>
      <c r="V373" s="25">
        <f t="shared" si="189"/>
        <v>0</v>
      </c>
      <c r="W373" s="25">
        <f t="shared" si="189"/>
        <v>39303278.688524596</v>
      </c>
      <c r="X373" s="25">
        <f t="shared" si="185"/>
        <v>0</v>
      </c>
      <c r="Y373" s="25">
        <f t="shared" si="185"/>
        <v>0</v>
      </c>
    </row>
    <row r="374" spans="1:25" outlineLevel="1" x14ac:dyDescent="0.25">
      <c r="A374" t="s">
        <v>40</v>
      </c>
      <c r="B374" t="s">
        <v>152</v>
      </c>
      <c r="C374" s="7" t="s">
        <v>4</v>
      </c>
      <c r="D374" t="s">
        <v>114</v>
      </c>
      <c r="E374" s="25">
        <f t="shared" ref="E374:W374" si="190">E177/FallWeekendDays</f>
        <v>167031.53278688525</v>
      </c>
      <c r="F374" s="25">
        <f t="shared" si="190"/>
        <v>88933.622950819685</v>
      </c>
      <c r="G374" s="25">
        <f t="shared" si="190"/>
        <v>0</v>
      </c>
      <c r="H374" s="25">
        <f t="shared" si="190"/>
        <v>832950.88524590177</v>
      </c>
      <c r="I374" s="25">
        <f t="shared" si="190"/>
        <v>253187.7049180328</v>
      </c>
      <c r="J374" s="25">
        <f t="shared" si="190"/>
        <v>253187.7049180328</v>
      </c>
      <c r="K374" s="25">
        <f t="shared" si="190"/>
        <v>278361.13934426231</v>
      </c>
      <c r="L374" s="25">
        <f t="shared" si="190"/>
        <v>1569642.0163934429</v>
      </c>
      <c r="M374" s="25">
        <f t="shared" si="190"/>
        <v>0</v>
      </c>
      <c r="N374" s="25">
        <f t="shared" si="190"/>
        <v>8370849.3032786893</v>
      </c>
      <c r="O374" s="25">
        <f t="shared" si="190"/>
        <v>8370849.3032786893</v>
      </c>
      <c r="P374" s="25">
        <f t="shared" si="190"/>
        <v>8370849.3032786893</v>
      </c>
      <c r="Q374" s="25">
        <f t="shared" si="190"/>
        <v>79731.743100045263</v>
      </c>
      <c r="R374" s="25">
        <f t="shared" si="190"/>
        <v>37570.065120878033</v>
      </c>
      <c r="S374" s="25">
        <f t="shared" si="190"/>
        <v>0</v>
      </c>
      <c r="T374" s="25">
        <f t="shared" si="190"/>
        <v>163568.08522169967</v>
      </c>
      <c r="U374" s="25">
        <f t="shared" si="190"/>
        <v>0</v>
      </c>
      <c r="V374" s="25">
        <f t="shared" si="190"/>
        <v>0</v>
      </c>
      <c r="W374" s="25">
        <f t="shared" si="190"/>
        <v>39704918.032786891</v>
      </c>
      <c r="X374" s="25">
        <f t="shared" si="185"/>
        <v>0</v>
      </c>
      <c r="Y374" s="25">
        <f t="shared" si="185"/>
        <v>0</v>
      </c>
    </row>
    <row r="375" spans="1:25" outlineLevel="1" x14ac:dyDescent="0.25">
      <c r="A375" t="s">
        <v>40</v>
      </c>
      <c r="B375" t="s">
        <v>153</v>
      </c>
      <c r="C375" s="7" t="s">
        <v>5</v>
      </c>
      <c r="D375" t="s">
        <v>114</v>
      </c>
      <c r="E375" s="25">
        <f t="shared" ref="E375:W375" si="191">E178/FallWeekendDays</f>
        <v>190807.14754098363</v>
      </c>
      <c r="F375" s="25">
        <f t="shared" si="191"/>
        <v>160818.51639344264</v>
      </c>
      <c r="G375" s="25">
        <f t="shared" si="191"/>
        <v>0</v>
      </c>
      <c r="H375" s="25">
        <f t="shared" si="191"/>
        <v>1155752.0983606558</v>
      </c>
      <c r="I375" s="25">
        <f t="shared" si="191"/>
        <v>445920.82786885247</v>
      </c>
      <c r="J375" s="25">
        <f t="shared" si="191"/>
        <v>445920.82786885247</v>
      </c>
      <c r="K375" s="25">
        <f t="shared" si="191"/>
        <v>523982.87704918039</v>
      </c>
      <c r="L375" s="25">
        <f t="shared" si="191"/>
        <v>1697326.5491803279</v>
      </c>
      <c r="M375" s="25">
        <f t="shared" si="191"/>
        <v>0</v>
      </c>
      <c r="N375" s="25">
        <f t="shared" si="191"/>
        <v>9357379.0983606558</v>
      </c>
      <c r="O375" s="25">
        <f t="shared" si="191"/>
        <v>9357379.0983606558</v>
      </c>
      <c r="P375" s="25">
        <f t="shared" si="191"/>
        <v>9357379.0983606558</v>
      </c>
      <c r="Q375" s="25">
        <f t="shared" si="191"/>
        <v>98921.100988866732</v>
      </c>
      <c r="R375" s="25">
        <f t="shared" si="191"/>
        <v>46612.203138683988</v>
      </c>
      <c r="S375" s="25">
        <f t="shared" si="191"/>
        <v>0</v>
      </c>
      <c r="T375" s="25">
        <f t="shared" si="191"/>
        <v>202934.67128228539</v>
      </c>
      <c r="U375" s="25">
        <f t="shared" si="191"/>
        <v>0</v>
      </c>
      <c r="V375" s="25">
        <f t="shared" si="191"/>
        <v>0</v>
      </c>
      <c r="W375" s="25">
        <f t="shared" si="191"/>
        <v>39934426.229508199</v>
      </c>
      <c r="X375" s="25">
        <f t="shared" si="185"/>
        <v>0</v>
      </c>
      <c r="Y375" s="25">
        <f t="shared" si="185"/>
        <v>0</v>
      </c>
    </row>
    <row r="376" spans="1:25" outlineLevel="1" x14ac:dyDescent="0.25">
      <c r="A376" t="s">
        <v>40</v>
      </c>
      <c r="B376" t="s">
        <v>154</v>
      </c>
      <c r="C376" s="7" t="s">
        <v>6</v>
      </c>
      <c r="D376" t="s">
        <v>114</v>
      </c>
      <c r="E376" s="25">
        <f t="shared" ref="E376:W376" si="192">E179/FallWeekendDays</f>
        <v>221466.80327868855</v>
      </c>
      <c r="F376" s="25">
        <f t="shared" si="192"/>
        <v>320410.02459016396</v>
      </c>
      <c r="G376" s="25">
        <f t="shared" si="192"/>
        <v>0</v>
      </c>
      <c r="H376" s="25">
        <f t="shared" si="192"/>
        <v>742660.98360655748</v>
      </c>
      <c r="I376" s="25">
        <f t="shared" si="192"/>
        <v>695817.15573770495</v>
      </c>
      <c r="J376" s="25">
        <f t="shared" si="192"/>
        <v>695817.15573770495</v>
      </c>
      <c r="K376" s="25">
        <f t="shared" si="192"/>
        <v>582056.13934426231</v>
      </c>
      <c r="L376" s="25">
        <f t="shared" si="192"/>
        <v>1975606.9016393444</v>
      </c>
      <c r="M376" s="25">
        <f t="shared" si="192"/>
        <v>0</v>
      </c>
      <c r="N376" s="25">
        <f t="shared" si="192"/>
        <v>11843976.30327869</v>
      </c>
      <c r="O376" s="25">
        <f t="shared" si="192"/>
        <v>11843976.30327869</v>
      </c>
      <c r="P376" s="25">
        <f t="shared" si="192"/>
        <v>11843976.30327869</v>
      </c>
      <c r="Q376" s="25">
        <f t="shared" si="192"/>
        <v>128763.13266737704</v>
      </c>
      <c r="R376" s="25">
        <f t="shared" si="192"/>
        <v>60673.943543557951</v>
      </c>
      <c r="S376" s="25">
        <f t="shared" si="192"/>
        <v>0</v>
      </c>
      <c r="T376" s="25">
        <f t="shared" si="192"/>
        <v>264155.00575627817</v>
      </c>
      <c r="U376" s="25">
        <f t="shared" si="192"/>
        <v>0</v>
      </c>
      <c r="V376" s="25">
        <f t="shared" si="192"/>
        <v>0</v>
      </c>
      <c r="W376" s="25">
        <f t="shared" si="192"/>
        <v>39934426.229508199</v>
      </c>
      <c r="X376" s="25">
        <f t="shared" si="185"/>
        <v>0</v>
      </c>
      <c r="Y376" s="25">
        <f t="shared" si="185"/>
        <v>0</v>
      </c>
    </row>
    <row r="377" spans="1:25" outlineLevel="1" x14ac:dyDescent="0.25">
      <c r="A377" t="s">
        <v>40</v>
      </c>
      <c r="B377" t="s">
        <v>155</v>
      </c>
      <c r="C377" s="7" t="s">
        <v>7</v>
      </c>
      <c r="D377" t="s">
        <v>114</v>
      </c>
      <c r="E377" s="25">
        <f t="shared" ref="E377:W377" si="193">E180/FallWeekendDays</f>
        <v>240640.54918032789</v>
      </c>
      <c r="F377" s="25">
        <f t="shared" si="193"/>
        <v>509595.46721311478</v>
      </c>
      <c r="G377" s="25">
        <f t="shared" si="193"/>
        <v>0</v>
      </c>
      <c r="H377" s="25">
        <f t="shared" si="193"/>
        <v>811717.13114754111</v>
      </c>
      <c r="I377" s="25">
        <f t="shared" si="193"/>
        <v>1059972.2459016393</v>
      </c>
      <c r="J377" s="25">
        <f t="shared" si="193"/>
        <v>1059972.2459016393</v>
      </c>
      <c r="K377" s="25">
        <f t="shared" si="193"/>
        <v>476494.41803278693</v>
      </c>
      <c r="L377" s="25">
        <f t="shared" si="193"/>
        <v>2381473.2704918035</v>
      </c>
      <c r="M377" s="25">
        <f t="shared" si="193"/>
        <v>0</v>
      </c>
      <c r="N377" s="25">
        <f t="shared" si="193"/>
        <v>13437114.278688526</v>
      </c>
      <c r="O377" s="25">
        <f t="shared" si="193"/>
        <v>13437114.278688526</v>
      </c>
      <c r="P377" s="25">
        <f t="shared" si="193"/>
        <v>13437114.278688526</v>
      </c>
      <c r="Q377" s="25">
        <f t="shared" si="193"/>
        <v>153980.98935729513</v>
      </c>
      <c r="R377" s="25">
        <f t="shared" si="193"/>
        <v>72556.745564584562</v>
      </c>
      <c r="S377" s="25">
        <f t="shared" si="193"/>
        <v>0</v>
      </c>
      <c r="T377" s="25">
        <f t="shared" si="193"/>
        <v>315888.93720926793</v>
      </c>
      <c r="U377" s="25">
        <f t="shared" si="193"/>
        <v>0</v>
      </c>
      <c r="V377" s="25">
        <f t="shared" si="193"/>
        <v>0</v>
      </c>
      <c r="W377" s="25">
        <f t="shared" si="193"/>
        <v>39819672.131147541</v>
      </c>
      <c r="X377" s="25">
        <f t="shared" si="185"/>
        <v>0</v>
      </c>
      <c r="Y377" s="25">
        <f t="shared" si="185"/>
        <v>0</v>
      </c>
    </row>
    <row r="378" spans="1:25" outlineLevel="1" x14ac:dyDescent="0.25">
      <c r="A378" t="s">
        <v>40</v>
      </c>
      <c r="B378" t="s">
        <v>156</v>
      </c>
      <c r="C378" s="7" t="s">
        <v>8</v>
      </c>
      <c r="D378" t="s">
        <v>114</v>
      </c>
      <c r="E378" s="25">
        <f t="shared" ref="E378:W378" si="194">E181/FallWeekendDays</f>
        <v>244488.19672131148</v>
      </c>
      <c r="F378" s="25">
        <f t="shared" si="194"/>
        <v>660268.63114754099</v>
      </c>
      <c r="G378" s="25">
        <f t="shared" si="194"/>
        <v>0</v>
      </c>
      <c r="H378" s="25">
        <f t="shared" si="194"/>
        <v>841085.17213114758</v>
      </c>
      <c r="I378" s="25">
        <f t="shared" si="194"/>
        <v>1440163.9344262297</v>
      </c>
      <c r="J378" s="25">
        <f t="shared" si="194"/>
        <v>1440163.9344262297</v>
      </c>
      <c r="K378" s="25">
        <f t="shared" si="194"/>
        <v>389632.62295081973</v>
      </c>
      <c r="L378" s="25">
        <f t="shared" si="194"/>
        <v>2745710.7540983609</v>
      </c>
      <c r="M378" s="25">
        <f t="shared" si="194"/>
        <v>0</v>
      </c>
      <c r="N378" s="25">
        <f t="shared" si="194"/>
        <v>14651541.868852461</v>
      </c>
      <c r="O378" s="25">
        <f t="shared" si="194"/>
        <v>14651541.868852461</v>
      </c>
      <c r="P378" s="25">
        <f t="shared" si="194"/>
        <v>14651541.868852461</v>
      </c>
      <c r="Q378" s="25">
        <f t="shared" si="194"/>
        <v>174824.26636943201</v>
      </c>
      <c r="R378" s="25">
        <f t="shared" si="194"/>
        <v>82378.219976549823</v>
      </c>
      <c r="S378" s="25">
        <f t="shared" si="194"/>
        <v>0</v>
      </c>
      <c r="T378" s="25">
        <f t="shared" si="194"/>
        <v>358648.50545729691</v>
      </c>
      <c r="U378" s="25">
        <f t="shared" si="194"/>
        <v>0</v>
      </c>
      <c r="V378" s="25">
        <f t="shared" si="194"/>
        <v>0</v>
      </c>
      <c r="W378" s="25">
        <f t="shared" si="194"/>
        <v>39704918.032786891</v>
      </c>
      <c r="X378" s="25">
        <f t="shared" si="185"/>
        <v>0</v>
      </c>
      <c r="Y378" s="25">
        <f t="shared" si="185"/>
        <v>0</v>
      </c>
    </row>
    <row r="379" spans="1:25" outlineLevel="1" x14ac:dyDescent="0.25">
      <c r="A379" t="s">
        <v>40</v>
      </c>
      <c r="B379" t="s">
        <v>157</v>
      </c>
      <c r="C379" s="7" t="s">
        <v>9</v>
      </c>
      <c r="D379" t="s">
        <v>114</v>
      </c>
      <c r="E379" s="25">
        <f t="shared" ref="E379:W379" si="195">E182/FallWeekendDays</f>
        <v>245145.50819672132</v>
      </c>
      <c r="F379" s="25">
        <f t="shared" si="195"/>
        <v>811658.60655737715</v>
      </c>
      <c r="G379" s="25">
        <f t="shared" si="195"/>
        <v>0</v>
      </c>
      <c r="H379" s="25">
        <f t="shared" si="195"/>
        <v>846102.39344262297</v>
      </c>
      <c r="I379" s="25">
        <f t="shared" si="195"/>
        <v>1486065.5737704919</v>
      </c>
      <c r="J379" s="25">
        <f t="shared" si="195"/>
        <v>1486065.5737704919</v>
      </c>
      <c r="K379" s="25">
        <f t="shared" si="195"/>
        <v>328553.60655737709</v>
      </c>
      <c r="L379" s="25">
        <f t="shared" si="195"/>
        <v>3057363.0327868857</v>
      </c>
      <c r="M379" s="25">
        <f t="shared" si="195"/>
        <v>0</v>
      </c>
      <c r="N379" s="25">
        <f t="shared" si="195"/>
        <v>14515722.704918034</v>
      </c>
      <c r="O379" s="25">
        <f t="shared" si="195"/>
        <v>14515722.704918034</v>
      </c>
      <c r="P379" s="25">
        <f t="shared" si="195"/>
        <v>14515722.704918034</v>
      </c>
      <c r="Q379" s="25">
        <f t="shared" si="195"/>
        <v>185221.96985140513</v>
      </c>
      <c r="R379" s="25">
        <f t="shared" si="195"/>
        <v>87277.67885875616</v>
      </c>
      <c r="S379" s="25">
        <f t="shared" si="195"/>
        <v>0</v>
      </c>
      <c r="T379" s="25">
        <f t="shared" si="195"/>
        <v>379979.18735541252</v>
      </c>
      <c r="U379" s="25">
        <f t="shared" si="195"/>
        <v>0</v>
      </c>
      <c r="V379" s="25">
        <f t="shared" si="195"/>
        <v>0</v>
      </c>
      <c r="W379" s="25">
        <f t="shared" si="195"/>
        <v>39590163.934426233</v>
      </c>
      <c r="X379" s="25">
        <f t="shared" si="185"/>
        <v>0</v>
      </c>
      <c r="Y379" s="25">
        <f t="shared" si="185"/>
        <v>0</v>
      </c>
    </row>
    <row r="380" spans="1:25" outlineLevel="1" x14ac:dyDescent="0.25">
      <c r="A380" t="s">
        <v>40</v>
      </c>
      <c r="B380" t="s">
        <v>158</v>
      </c>
      <c r="C380" s="7" t="s">
        <v>10</v>
      </c>
      <c r="D380" t="s">
        <v>114</v>
      </c>
      <c r="E380" s="25">
        <f t="shared" ref="E380:W380" si="196">E183/FallWeekendDays</f>
        <v>188713.63114754099</v>
      </c>
      <c r="F380" s="25">
        <f t="shared" si="196"/>
        <v>1031048.4180327869</v>
      </c>
      <c r="G380" s="25">
        <f t="shared" si="196"/>
        <v>0</v>
      </c>
      <c r="H380" s="25">
        <f t="shared" si="196"/>
        <v>897734.2213114755</v>
      </c>
      <c r="I380" s="25">
        <f t="shared" si="196"/>
        <v>1371311.4754098363</v>
      </c>
      <c r="J380" s="25">
        <f t="shared" si="196"/>
        <v>1371311.4754098363</v>
      </c>
      <c r="K380" s="25">
        <f t="shared" si="196"/>
        <v>291540.2459016394</v>
      </c>
      <c r="L380" s="25">
        <f t="shared" si="196"/>
        <v>3300962.6885245903</v>
      </c>
      <c r="M380" s="25">
        <f t="shared" si="196"/>
        <v>0</v>
      </c>
      <c r="N380" s="25">
        <f t="shared" si="196"/>
        <v>14538644.606557379</v>
      </c>
      <c r="O380" s="25">
        <f t="shared" si="196"/>
        <v>14538644.606557379</v>
      </c>
      <c r="P380" s="25">
        <f t="shared" si="196"/>
        <v>14538644.606557379</v>
      </c>
      <c r="Q380" s="25">
        <f t="shared" si="196"/>
        <v>191135.08538561416</v>
      </c>
      <c r="R380" s="25">
        <f t="shared" si="196"/>
        <v>90063.973589686007</v>
      </c>
      <c r="S380" s="25">
        <f t="shared" si="196"/>
        <v>0</v>
      </c>
      <c r="T380" s="25">
        <f t="shared" si="196"/>
        <v>392109.82627060148</v>
      </c>
      <c r="U380" s="25">
        <f t="shared" si="196"/>
        <v>0</v>
      </c>
      <c r="V380" s="25">
        <f t="shared" si="196"/>
        <v>0</v>
      </c>
      <c r="W380" s="25">
        <f t="shared" si="196"/>
        <v>39475409.836065575</v>
      </c>
      <c r="X380" s="25">
        <f t="shared" si="185"/>
        <v>0</v>
      </c>
      <c r="Y380" s="25">
        <f t="shared" si="185"/>
        <v>0</v>
      </c>
    </row>
    <row r="381" spans="1:25" outlineLevel="1" x14ac:dyDescent="0.25">
      <c r="A381" t="s">
        <v>40</v>
      </c>
      <c r="B381" t="s">
        <v>159</v>
      </c>
      <c r="C381" s="7" t="s">
        <v>11</v>
      </c>
      <c r="D381" t="s">
        <v>114</v>
      </c>
      <c r="E381" s="25">
        <f t="shared" ref="E381:W381" si="197">E184/FallWeekendDays</f>
        <v>192801.34426229511</v>
      </c>
      <c r="F381" s="25">
        <f t="shared" si="197"/>
        <v>1235896.5327868853</v>
      </c>
      <c r="G381" s="25">
        <f t="shared" si="197"/>
        <v>0</v>
      </c>
      <c r="H381" s="25">
        <f t="shared" si="197"/>
        <v>928934.25409836078</v>
      </c>
      <c r="I381" s="25">
        <f t="shared" si="197"/>
        <v>1222131.1475409837</v>
      </c>
      <c r="J381" s="25">
        <f t="shared" si="197"/>
        <v>1222131.1475409837</v>
      </c>
      <c r="K381" s="25">
        <f t="shared" si="197"/>
        <v>264602.29508196726</v>
      </c>
      <c r="L381" s="25">
        <f t="shared" si="197"/>
        <v>3488391.5327868857</v>
      </c>
      <c r="M381" s="25">
        <f t="shared" si="197"/>
        <v>0</v>
      </c>
      <c r="N381" s="25">
        <f t="shared" si="197"/>
        <v>14492907.811475411</v>
      </c>
      <c r="O381" s="25">
        <f t="shared" si="197"/>
        <v>14492907.811475411</v>
      </c>
      <c r="P381" s="25">
        <f t="shared" si="197"/>
        <v>14492907.811475411</v>
      </c>
      <c r="Q381" s="25">
        <f t="shared" si="197"/>
        <v>187031.9919151286</v>
      </c>
      <c r="R381" s="25">
        <f t="shared" si="197"/>
        <v>88130.571874264293</v>
      </c>
      <c r="S381" s="25">
        <f t="shared" si="197"/>
        <v>0</v>
      </c>
      <c r="T381" s="25">
        <f t="shared" si="197"/>
        <v>383692.41162044322</v>
      </c>
      <c r="U381" s="25">
        <f t="shared" si="197"/>
        <v>0</v>
      </c>
      <c r="V381" s="25">
        <f t="shared" si="197"/>
        <v>0</v>
      </c>
      <c r="W381" s="25">
        <f t="shared" si="197"/>
        <v>39475409.836065575</v>
      </c>
      <c r="X381" s="25">
        <f t="shared" si="185"/>
        <v>0</v>
      </c>
      <c r="Y381" s="25">
        <f t="shared" si="185"/>
        <v>0</v>
      </c>
    </row>
    <row r="382" spans="1:25" outlineLevel="1" x14ac:dyDescent="0.25">
      <c r="A382" t="s">
        <v>40</v>
      </c>
      <c r="B382" t="s">
        <v>160</v>
      </c>
      <c r="C382" s="7" t="s">
        <v>12</v>
      </c>
      <c r="D382" t="s">
        <v>114</v>
      </c>
      <c r="E382" s="25">
        <f t="shared" ref="E382:W382" si="198">E185/FallWeekendDays</f>
        <v>192645.39344262297</v>
      </c>
      <c r="F382" s="25">
        <f t="shared" si="198"/>
        <v>1354534.4262295084</v>
      </c>
      <c r="G382" s="25">
        <f t="shared" si="198"/>
        <v>0</v>
      </c>
      <c r="H382" s="25">
        <f t="shared" si="198"/>
        <v>927743.96721311484</v>
      </c>
      <c r="I382" s="25">
        <f t="shared" si="198"/>
        <v>1052833.3934426231</v>
      </c>
      <c r="J382" s="25">
        <f t="shared" si="198"/>
        <v>1052833.3934426231</v>
      </c>
      <c r="K382" s="25">
        <f t="shared" si="198"/>
        <v>248510.15573770495</v>
      </c>
      <c r="L382" s="25">
        <f t="shared" si="198"/>
        <v>3599969.4672131152</v>
      </c>
      <c r="M382" s="25">
        <f t="shared" si="198"/>
        <v>0</v>
      </c>
      <c r="N382" s="25">
        <f t="shared" si="198"/>
        <v>13938405.62295082</v>
      </c>
      <c r="O382" s="25">
        <f t="shared" si="198"/>
        <v>13938405.62295082</v>
      </c>
      <c r="P382" s="25">
        <f t="shared" si="198"/>
        <v>13938405.62295082</v>
      </c>
      <c r="Q382" s="25">
        <f t="shared" si="198"/>
        <v>178205.72578578786</v>
      </c>
      <c r="R382" s="25">
        <f t="shared" si="198"/>
        <v>83971.583491965372</v>
      </c>
      <c r="S382" s="25">
        <f t="shared" si="198"/>
        <v>0</v>
      </c>
      <c r="T382" s="25">
        <f t="shared" si="198"/>
        <v>365585.50219765666</v>
      </c>
      <c r="U382" s="25">
        <f t="shared" si="198"/>
        <v>0</v>
      </c>
      <c r="V382" s="25">
        <f t="shared" si="198"/>
        <v>0</v>
      </c>
      <c r="W382" s="25">
        <f t="shared" si="198"/>
        <v>39475409.836065575</v>
      </c>
      <c r="X382" s="25">
        <f t="shared" si="185"/>
        <v>0</v>
      </c>
      <c r="Y382" s="25">
        <f t="shared" si="185"/>
        <v>0</v>
      </c>
    </row>
    <row r="383" spans="1:25" outlineLevel="1" x14ac:dyDescent="0.25">
      <c r="A383" t="s">
        <v>40</v>
      </c>
      <c r="B383" t="s">
        <v>161</v>
      </c>
      <c r="C383" s="7" t="s">
        <v>13</v>
      </c>
      <c r="D383" t="s">
        <v>114</v>
      </c>
      <c r="E383" s="25">
        <f t="shared" ref="E383:W383" si="199">E186/FallWeekendDays</f>
        <v>191366.45901639346</v>
      </c>
      <c r="F383" s="25">
        <f t="shared" si="199"/>
        <v>1388411.3852459018</v>
      </c>
      <c r="G383" s="25">
        <f t="shared" si="199"/>
        <v>0</v>
      </c>
      <c r="H383" s="25">
        <f t="shared" si="199"/>
        <v>917982.1803278689</v>
      </c>
      <c r="I383" s="25">
        <f t="shared" si="199"/>
        <v>970428.87704918045</v>
      </c>
      <c r="J383" s="25">
        <f t="shared" si="199"/>
        <v>970428.87704918045</v>
      </c>
      <c r="K383" s="25">
        <f t="shared" si="199"/>
        <v>249198.90983606561</v>
      </c>
      <c r="L383" s="25">
        <f t="shared" si="199"/>
        <v>3641039.5573770497</v>
      </c>
      <c r="M383" s="25">
        <f t="shared" si="199"/>
        <v>0</v>
      </c>
      <c r="N383" s="25">
        <f t="shared" si="199"/>
        <v>13265499.23770492</v>
      </c>
      <c r="O383" s="25">
        <f t="shared" si="199"/>
        <v>13265499.23770492</v>
      </c>
      <c r="P383" s="25">
        <f t="shared" si="199"/>
        <v>13265499.23770492</v>
      </c>
      <c r="Q383" s="25">
        <f t="shared" si="199"/>
        <v>175916.77520998608</v>
      </c>
      <c r="R383" s="25">
        <f t="shared" si="199"/>
        <v>82893.01655177644</v>
      </c>
      <c r="S383" s="25">
        <f t="shared" si="199"/>
        <v>0</v>
      </c>
      <c r="T383" s="25">
        <f t="shared" si="199"/>
        <v>360889.76561528671</v>
      </c>
      <c r="U383" s="25">
        <f t="shared" si="199"/>
        <v>0</v>
      </c>
      <c r="V383" s="25">
        <f t="shared" si="199"/>
        <v>0</v>
      </c>
      <c r="W383" s="25">
        <f t="shared" si="199"/>
        <v>39647540.983606562</v>
      </c>
      <c r="X383" s="25">
        <f t="shared" si="185"/>
        <v>0</v>
      </c>
      <c r="Y383" s="25">
        <f t="shared" si="185"/>
        <v>0</v>
      </c>
    </row>
    <row r="384" spans="1:25" outlineLevel="1" x14ac:dyDescent="0.25">
      <c r="A384" t="s">
        <v>40</v>
      </c>
      <c r="B384" t="s">
        <v>162</v>
      </c>
      <c r="C384" s="7" t="s">
        <v>14</v>
      </c>
      <c r="D384" t="s">
        <v>114</v>
      </c>
      <c r="E384" s="25">
        <f t="shared" ref="E384:W384" si="200">E187/FallWeekendDays</f>
        <v>191668.26229508198</v>
      </c>
      <c r="F384" s="25">
        <f t="shared" si="200"/>
        <v>1348521.942622951</v>
      </c>
      <c r="G384" s="25">
        <f t="shared" si="200"/>
        <v>0</v>
      </c>
      <c r="H384" s="25">
        <f t="shared" si="200"/>
        <v>920285.86885245913</v>
      </c>
      <c r="I384" s="25">
        <f t="shared" si="200"/>
        <v>846461.34426229517</v>
      </c>
      <c r="J384" s="25">
        <f t="shared" si="200"/>
        <v>846461.34426229517</v>
      </c>
      <c r="K384" s="25">
        <f t="shared" si="200"/>
        <v>225195.10655737706</v>
      </c>
      <c r="L384" s="25">
        <f t="shared" si="200"/>
        <v>3599980.7131147543</v>
      </c>
      <c r="M384" s="25">
        <f t="shared" si="200"/>
        <v>0</v>
      </c>
      <c r="N384" s="25">
        <f t="shared" si="200"/>
        <v>12297775.000000002</v>
      </c>
      <c r="O384" s="25">
        <f t="shared" si="200"/>
        <v>12297775.000000002</v>
      </c>
      <c r="P384" s="25">
        <f t="shared" si="200"/>
        <v>12297775.000000002</v>
      </c>
      <c r="Q384" s="25">
        <f t="shared" si="200"/>
        <v>172483.35749021813</v>
      </c>
      <c r="R384" s="25">
        <f t="shared" si="200"/>
        <v>81275.169978962891</v>
      </c>
      <c r="S384" s="25">
        <f t="shared" si="200"/>
        <v>0</v>
      </c>
      <c r="T384" s="25">
        <f t="shared" si="200"/>
        <v>353846.17744885181</v>
      </c>
      <c r="U384" s="25">
        <f t="shared" si="200"/>
        <v>0</v>
      </c>
      <c r="V384" s="25">
        <f t="shared" si="200"/>
        <v>0</v>
      </c>
      <c r="W384" s="25">
        <f t="shared" si="200"/>
        <v>40049180.327868856</v>
      </c>
      <c r="X384" s="25">
        <f t="shared" si="185"/>
        <v>0</v>
      </c>
      <c r="Y384" s="25">
        <f t="shared" si="185"/>
        <v>0</v>
      </c>
    </row>
    <row r="385" spans="1:25" outlineLevel="1" x14ac:dyDescent="0.25">
      <c r="A385" t="s">
        <v>40</v>
      </c>
      <c r="B385" t="s">
        <v>163</v>
      </c>
      <c r="C385" s="7" t="s">
        <v>15</v>
      </c>
      <c r="D385" t="s">
        <v>114</v>
      </c>
      <c r="E385" s="25">
        <f t="shared" ref="E385:W385" si="201">E188/FallWeekendDays</f>
        <v>194960.84426229511</v>
      </c>
      <c r="F385" s="25">
        <f t="shared" si="201"/>
        <v>1247814.8934426231</v>
      </c>
      <c r="G385" s="25">
        <f t="shared" si="201"/>
        <v>0</v>
      </c>
      <c r="H385" s="25">
        <f t="shared" si="201"/>
        <v>1055945.7540983607</v>
      </c>
      <c r="I385" s="25">
        <f t="shared" si="201"/>
        <v>847115.09836065583</v>
      </c>
      <c r="J385" s="25">
        <f t="shared" si="201"/>
        <v>847115.09836065583</v>
      </c>
      <c r="K385" s="25">
        <f t="shared" si="201"/>
        <v>229477.38524590165</v>
      </c>
      <c r="L385" s="25">
        <f t="shared" si="201"/>
        <v>3464904.2950819675</v>
      </c>
      <c r="M385" s="25">
        <f t="shared" si="201"/>
        <v>0</v>
      </c>
      <c r="N385" s="25">
        <f t="shared" si="201"/>
        <v>11740044.549180329</v>
      </c>
      <c r="O385" s="25">
        <f t="shared" si="201"/>
        <v>11740044.549180329</v>
      </c>
      <c r="P385" s="25">
        <f t="shared" si="201"/>
        <v>11740044.549180329</v>
      </c>
      <c r="Q385" s="25">
        <f t="shared" si="201"/>
        <v>197466.35939113956</v>
      </c>
      <c r="R385" s="25">
        <f t="shared" si="201"/>
        <v>93047.307045562469</v>
      </c>
      <c r="S385" s="25">
        <f t="shared" si="201"/>
        <v>0</v>
      </c>
      <c r="T385" s="25">
        <f t="shared" si="201"/>
        <v>405098.30897313409</v>
      </c>
      <c r="U385" s="25">
        <f t="shared" si="201"/>
        <v>0</v>
      </c>
      <c r="V385" s="25">
        <f t="shared" si="201"/>
        <v>0</v>
      </c>
      <c r="W385" s="25">
        <f t="shared" si="201"/>
        <v>40508196.72131148</v>
      </c>
      <c r="X385" s="25">
        <f t="shared" si="185"/>
        <v>0</v>
      </c>
      <c r="Y385" s="25">
        <f t="shared" si="185"/>
        <v>0</v>
      </c>
    </row>
    <row r="386" spans="1:25" outlineLevel="1" x14ac:dyDescent="0.25">
      <c r="A386" t="s">
        <v>40</v>
      </c>
      <c r="B386" t="s">
        <v>164</v>
      </c>
      <c r="C386" s="7" t="s">
        <v>16</v>
      </c>
      <c r="D386" t="s">
        <v>114</v>
      </c>
      <c r="E386" s="25">
        <f t="shared" ref="E386:W386" si="202">E189/FallWeekendDays</f>
        <v>201107.53278688528</v>
      </c>
      <c r="F386" s="25">
        <f t="shared" si="202"/>
        <v>1130089.9836065574</v>
      </c>
      <c r="G386" s="25">
        <f t="shared" si="202"/>
        <v>0</v>
      </c>
      <c r="H386" s="25">
        <f t="shared" si="202"/>
        <v>2662295.0819672132</v>
      </c>
      <c r="I386" s="25">
        <f t="shared" si="202"/>
        <v>972367.53278688528</v>
      </c>
      <c r="J386" s="25">
        <f t="shared" si="202"/>
        <v>972367.53278688528</v>
      </c>
      <c r="K386" s="25">
        <f t="shared" si="202"/>
        <v>264946.55737704918</v>
      </c>
      <c r="L386" s="25">
        <f t="shared" si="202"/>
        <v>3242110.0737704919</v>
      </c>
      <c r="M386" s="25">
        <f t="shared" si="202"/>
        <v>0</v>
      </c>
      <c r="N386" s="25">
        <f t="shared" si="202"/>
        <v>11869992.549180329</v>
      </c>
      <c r="O386" s="25">
        <f t="shared" si="202"/>
        <v>11869992.549180329</v>
      </c>
      <c r="P386" s="25">
        <f t="shared" si="202"/>
        <v>11869992.549180329</v>
      </c>
      <c r="Q386" s="25">
        <f t="shared" si="202"/>
        <v>197657.10662977883</v>
      </c>
      <c r="R386" s="25">
        <f t="shared" si="202"/>
        <v>93137.18826348985</v>
      </c>
      <c r="S386" s="25">
        <f t="shared" si="202"/>
        <v>0</v>
      </c>
      <c r="T386" s="25">
        <f t="shared" si="202"/>
        <v>405489.62313951831</v>
      </c>
      <c r="U386" s="25">
        <f t="shared" si="202"/>
        <v>0</v>
      </c>
      <c r="V386" s="25">
        <f t="shared" si="202"/>
        <v>0</v>
      </c>
      <c r="W386" s="25">
        <f t="shared" si="202"/>
        <v>40622950.819672137</v>
      </c>
      <c r="X386" s="25">
        <f t="shared" si="185"/>
        <v>0</v>
      </c>
      <c r="Y386" s="25">
        <f t="shared" si="185"/>
        <v>0</v>
      </c>
    </row>
    <row r="387" spans="1:25" outlineLevel="1" x14ac:dyDescent="0.25">
      <c r="A387" t="s">
        <v>40</v>
      </c>
      <c r="B387" t="s">
        <v>165</v>
      </c>
      <c r="C387" s="7" t="s">
        <v>17</v>
      </c>
      <c r="D387" t="s">
        <v>114</v>
      </c>
      <c r="E387" s="25">
        <f t="shared" ref="E387:W387" si="203">E190/FallWeekendDays</f>
        <v>208434.98360655739</v>
      </c>
      <c r="F387" s="25">
        <f t="shared" si="203"/>
        <v>978592.77049180341</v>
      </c>
      <c r="G387" s="25">
        <f t="shared" si="203"/>
        <v>0</v>
      </c>
      <c r="H387" s="25">
        <f t="shared" si="203"/>
        <v>3494262.2950819675</v>
      </c>
      <c r="I387" s="25">
        <f t="shared" si="203"/>
        <v>1109085.0491803279</v>
      </c>
      <c r="J387" s="25">
        <f t="shared" si="203"/>
        <v>1109085.0491803279</v>
      </c>
      <c r="K387" s="25">
        <f t="shared" si="203"/>
        <v>246433.33606557379</v>
      </c>
      <c r="L387" s="25">
        <f t="shared" si="203"/>
        <v>2974833.1475409837</v>
      </c>
      <c r="M387" s="25">
        <f t="shared" si="203"/>
        <v>0</v>
      </c>
      <c r="N387" s="25">
        <f t="shared" si="203"/>
        <v>11696766.30327869</v>
      </c>
      <c r="O387" s="25">
        <f t="shared" si="203"/>
        <v>11696766.30327869</v>
      </c>
      <c r="P387" s="25">
        <f t="shared" si="203"/>
        <v>11696766.30327869</v>
      </c>
      <c r="Q387" s="25">
        <f t="shared" si="203"/>
        <v>196321.87595930396</v>
      </c>
      <c r="R387" s="25">
        <f t="shared" si="203"/>
        <v>92508.019737998198</v>
      </c>
      <c r="S387" s="25">
        <f t="shared" si="203"/>
        <v>0</v>
      </c>
      <c r="T387" s="25">
        <f t="shared" si="203"/>
        <v>402750.42397482909</v>
      </c>
      <c r="U387" s="25">
        <f t="shared" si="203"/>
        <v>0</v>
      </c>
      <c r="V387" s="25">
        <f t="shared" si="203"/>
        <v>0</v>
      </c>
      <c r="W387" s="25">
        <f t="shared" si="203"/>
        <v>40508196.72131148</v>
      </c>
      <c r="X387" s="25">
        <f t="shared" si="185"/>
        <v>0</v>
      </c>
      <c r="Y387" s="25">
        <f t="shared" si="185"/>
        <v>0</v>
      </c>
    </row>
    <row r="388" spans="1:25" outlineLevel="1" x14ac:dyDescent="0.25">
      <c r="A388" t="s">
        <v>40</v>
      </c>
      <c r="B388" t="s">
        <v>166</v>
      </c>
      <c r="C388" s="7" t="s">
        <v>18</v>
      </c>
      <c r="D388" t="s">
        <v>114</v>
      </c>
      <c r="E388" s="25">
        <f t="shared" ref="E388:W388" si="204">E191/FallWeekendDays</f>
        <v>214945.50000000003</v>
      </c>
      <c r="F388" s="25">
        <f t="shared" si="204"/>
        <v>786582.25409836078</v>
      </c>
      <c r="G388" s="25">
        <f t="shared" si="204"/>
        <v>0</v>
      </c>
      <c r="H388" s="25">
        <f t="shared" si="204"/>
        <v>3660655.7377049183</v>
      </c>
      <c r="I388" s="25">
        <f t="shared" si="204"/>
        <v>1010023.0573770492</v>
      </c>
      <c r="J388" s="25">
        <f t="shared" si="204"/>
        <v>1010023.0573770492</v>
      </c>
      <c r="K388" s="25">
        <f t="shared" si="204"/>
        <v>269222.63934426231</v>
      </c>
      <c r="L388" s="25">
        <f t="shared" si="204"/>
        <v>2657338.5081967213</v>
      </c>
      <c r="M388" s="25">
        <f t="shared" si="204"/>
        <v>0</v>
      </c>
      <c r="N388" s="25">
        <f t="shared" si="204"/>
        <v>11417701.147540985</v>
      </c>
      <c r="O388" s="25">
        <f t="shared" si="204"/>
        <v>11417701.147540985</v>
      </c>
      <c r="P388" s="25">
        <f t="shared" si="204"/>
        <v>11417701.147540985</v>
      </c>
      <c r="Q388" s="25">
        <f t="shared" si="204"/>
        <v>191934.72204633965</v>
      </c>
      <c r="R388" s="25">
        <f t="shared" si="204"/>
        <v>90440.767075547745</v>
      </c>
      <c r="S388" s="25">
        <f t="shared" si="204"/>
        <v>0</v>
      </c>
      <c r="T388" s="25">
        <f t="shared" si="204"/>
        <v>393750.26497647329</v>
      </c>
      <c r="U388" s="25">
        <f t="shared" si="204"/>
        <v>0</v>
      </c>
      <c r="V388" s="25">
        <f t="shared" si="204"/>
        <v>0</v>
      </c>
      <c r="W388" s="25">
        <f t="shared" si="204"/>
        <v>40278688.524590164</v>
      </c>
      <c r="X388" s="25">
        <f t="shared" si="185"/>
        <v>0</v>
      </c>
      <c r="Y388" s="25">
        <f t="shared" si="185"/>
        <v>0</v>
      </c>
    </row>
    <row r="389" spans="1:25" outlineLevel="1" x14ac:dyDescent="0.25">
      <c r="A389" t="s">
        <v>40</v>
      </c>
      <c r="B389" t="s">
        <v>167</v>
      </c>
      <c r="C389" s="7" t="s">
        <v>19</v>
      </c>
      <c r="D389" t="s">
        <v>114</v>
      </c>
      <c r="E389" s="25">
        <f t="shared" ref="E389:W389" si="205">E192/FallWeekendDays</f>
        <v>214168.21311475412</v>
      </c>
      <c r="F389" s="25">
        <f t="shared" si="205"/>
        <v>555498.31147540989</v>
      </c>
      <c r="G389" s="25">
        <f t="shared" si="205"/>
        <v>0</v>
      </c>
      <c r="H389" s="25">
        <f t="shared" si="205"/>
        <v>3637704.9180327873</v>
      </c>
      <c r="I389" s="25">
        <f t="shared" si="205"/>
        <v>943151.02459016407</v>
      </c>
      <c r="J389" s="25">
        <f t="shared" si="205"/>
        <v>943151.02459016407</v>
      </c>
      <c r="K389" s="25">
        <f t="shared" si="205"/>
        <v>307487.33606557379</v>
      </c>
      <c r="L389" s="25">
        <f t="shared" si="205"/>
        <v>2346169.1721311477</v>
      </c>
      <c r="M389" s="25">
        <f t="shared" si="205"/>
        <v>0</v>
      </c>
      <c r="N389" s="25">
        <f t="shared" si="205"/>
        <v>10887327.098360656</v>
      </c>
      <c r="O389" s="25">
        <f t="shared" si="205"/>
        <v>10887327.098360656</v>
      </c>
      <c r="P389" s="25">
        <f t="shared" si="205"/>
        <v>10887327.098360656</v>
      </c>
      <c r="Q389" s="25">
        <f t="shared" si="205"/>
        <v>186021.60651213062</v>
      </c>
      <c r="R389" s="25">
        <f t="shared" si="205"/>
        <v>87654.472344617898</v>
      </c>
      <c r="S389" s="25">
        <f t="shared" si="205"/>
        <v>0</v>
      </c>
      <c r="T389" s="25">
        <f t="shared" si="205"/>
        <v>381619.62606128433</v>
      </c>
      <c r="U389" s="25">
        <f t="shared" si="205"/>
        <v>0</v>
      </c>
      <c r="V389" s="25">
        <f t="shared" si="205"/>
        <v>0</v>
      </c>
      <c r="W389" s="25">
        <f t="shared" si="205"/>
        <v>40049180.327868856</v>
      </c>
      <c r="X389" s="25">
        <f t="shared" si="185"/>
        <v>0</v>
      </c>
      <c r="Y389" s="25">
        <f t="shared" si="185"/>
        <v>0</v>
      </c>
    </row>
    <row r="390" spans="1:25" outlineLevel="1" x14ac:dyDescent="0.25">
      <c r="A390" t="s">
        <v>40</v>
      </c>
      <c r="B390" t="s">
        <v>168</v>
      </c>
      <c r="C390" s="7" t="s">
        <v>20</v>
      </c>
      <c r="D390" t="s">
        <v>114</v>
      </c>
      <c r="E390" s="25">
        <f t="shared" ref="E390:W390" si="206">E193/FallWeekendDays</f>
        <v>189397.6229508197</v>
      </c>
      <c r="F390" s="25">
        <f t="shared" si="206"/>
        <v>325706.15573770495</v>
      </c>
      <c r="G390" s="25">
        <f t="shared" si="206"/>
        <v>0</v>
      </c>
      <c r="H390" s="25">
        <f t="shared" si="206"/>
        <v>3012295.0819672132</v>
      </c>
      <c r="I390" s="25">
        <f t="shared" si="206"/>
        <v>824376.11475409847</v>
      </c>
      <c r="J390" s="25">
        <f t="shared" si="206"/>
        <v>824376.11475409847</v>
      </c>
      <c r="K390" s="25">
        <f t="shared" si="206"/>
        <v>307522.10655737709</v>
      </c>
      <c r="L390" s="25">
        <f t="shared" si="206"/>
        <v>2052247.6065573771</v>
      </c>
      <c r="M390" s="25">
        <f t="shared" si="206"/>
        <v>0</v>
      </c>
      <c r="N390" s="25">
        <f t="shared" si="206"/>
        <v>10159902.418032788</v>
      </c>
      <c r="O390" s="25">
        <f t="shared" si="206"/>
        <v>10159902.418032788</v>
      </c>
      <c r="P390" s="25">
        <f t="shared" si="206"/>
        <v>10159902.418032788</v>
      </c>
      <c r="Q390" s="25">
        <f t="shared" si="206"/>
        <v>179345.5020233645</v>
      </c>
      <c r="R390" s="25">
        <f t="shared" si="206"/>
        <v>84508.652741978512</v>
      </c>
      <c r="S390" s="25">
        <f t="shared" si="206"/>
        <v>0</v>
      </c>
      <c r="T390" s="25">
        <f t="shared" si="206"/>
        <v>367923.7304805587</v>
      </c>
      <c r="U390" s="25">
        <f t="shared" si="206"/>
        <v>0</v>
      </c>
      <c r="V390" s="25">
        <f t="shared" si="206"/>
        <v>0</v>
      </c>
      <c r="W390" s="25">
        <f t="shared" si="206"/>
        <v>39590163.934426233</v>
      </c>
      <c r="X390" s="25">
        <f t="shared" si="185"/>
        <v>0</v>
      </c>
      <c r="Y390" s="25">
        <f t="shared" si="185"/>
        <v>0</v>
      </c>
    </row>
    <row r="391" spans="1:25" outlineLevel="1" x14ac:dyDescent="0.25">
      <c r="A391" t="s">
        <v>40</v>
      </c>
      <c r="B391" t="s">
        <v>169</v>
      </c>
      <c r="C391" s="7" t="s">
        <v>21</v>
      </c>
      <c r="D391" t="s">
        <v>114</v>
      </c>
      <c r="E391" s="25">
        <f t="shared" ref="E391:W391" si="207">E194/FallWeekendDays</f>
        <v>147374.72950819673</v>
      </c>
      <c r="F391" s="25">
        <f t="shared" si="207"/>
        <v>157707.36065573772</v>
      </c>
      <c r="G391" s="25">
        <f t="shared" si="207"/>
        <v>0</v>
      </c>
      <c r="H391" s="25">
        <f t="shared" si="207"/>
        <v>1939344.2622950822</v>
      </c>
      <c r="I391" s="25">
        <f t="shared" si="207"/>
        <v>715941.1803278689</v>
      </c>
      <c r="J391" s="25">
        <f t="shared" si="207"/>
        <v>715941.1803278689</v>
      </c>
      <c r="K391" s="25">
        <f t="shared" si="207"/>
        <v>267431.90163934429</v>
      </c>
      <c r="L391" s="25">
        <f t="shared" si="207"/>
        <v>1832662.1967213117</v>
      </c>
      <c r="M391" s="25">
        <f t="shared" si="207"/>
        <v>0</v>
      </c>
      <c r="N391" s="25">
        <f t="shared" si="207"/>
        <v>9667938.6885245908</v>
      </c>
      <c r="O391" s="25">
        <f t="shared" si="207"/>
        <v>9667938.6885245908</v>
      </c>
      <c r="P391" s="25">
        <f t="shared" si="207"/>
        <v>9667938.6885245908</v>
      </c>
      <c r="Q391" s="25">
        <f t="shared" si="207"/>
        <v>177056.55144756273</v>
      </c>
      <c r="R391" s="25">
        <f t="shared" si="207"/>
        <v>83430.08580178961</v>
      </c>
      <c r="S391" s="25">
        <f t="shared" si="207"/>
        <v>0</v>
      </c>
      <c r="T391" s="25">
        <f t="shared" si="207"/>
        <v>363227.9938981887</v>
      </c>
      <c r="U391" s="25">
        <f t="shared" si="207"/>
        <v>0</v>
      </c>
      <c r="V391" s="25">
        <f t="shared" si="207"/>
        <v>0</v>
      </c>
      <c r="W391" s="25">
        <f t="shared" si="207"/>
        <v>39245901.639344268</v>
      </c>
      <c r="X391" s="25">
        <f t="shared" si="185"/>
        <v>0</v>
      </c>
      <c r="Y391" s="25">
        <f t="shared" si="185"/>
        <v>0</v>
      </c>
    </row>
    <row r="392" spans="1:25" outlineLevel="1" x14ac:dyDescent="0.25">
      <c r="A392" t="s">
        <v>40</v>
      </c>
      <c r="B392" t="s">
        <v>170</v>
      </c>
      <c r="C392" s="7" t="s">
        <v>22</v>
      </c>
      <c r="D392" t="s">
        <v>114</v>
      </c>
      <c r="E392" s="25">
        <f t="shared" ref="E392:W392" si="208">E195/FallWeekendDays</f>
        <v>126392.97540983607</v>
      </c>
      <c r="F392" s="25">
        <f t="shared" si="208"/>
        <v>86340.581967213118</v>
      </c>
      <c r="G392" s="25">
        <f t="shared" si="208"/>
        <v>0</v>
      </c>
      <c r="H392" s="25">
        <f t="shared" si="208"/>
        <v>1085165.704918033</v>
      </c>
      <c r="I392" s="25">
        <f t="shared" si="208"/>
        <v>545240.67213114758</v>
      </c>
      <c r="J392" s="25">
        <f t="shared" si="208"/>
        <v>545240.67213114758</v>
      </c>
      <c r="K392" s="25">
        <f t="shared" si="208"/>
        <v>280247.35245901643</v>
      </c>
      <c r="L392" s="25">
        <f t="shared" si="208"/>
        <v>1681360.9836065576</v>
      </c>
      <c r="M392" s="25">
        <f t="shared" si="208"/>
        <v>0</v>
      </c>
      <c r="N392" s="25">
        <f t="shared" si="208"/>
        <v>8831014.6147540994</v>
      </c>
      <c r="O392" s="25">
        <f t="shared" si="208"/>
        <v>8831014.6147540994</v>
      </c>
      <c r="P392" s="25">
        <f t="shared" si="208"/>
        <v>8831014.6147540994</v>
      </c>
      <c r="Q392" s="25">
        <f t="shared" si="208"/>
        <v>118988.79852339401</v>
      </c>
      <c r="R392" s="25">
        <f t="shared" si="208"/>
        <v>56068.219950611005</v>
      </c>
      <c r="S392" s="25">
        <f t="shared" si="208"/>
        <v>0</v>
      </c>
      <c r="T392" s="25">
        <f t="shared" si="208"/>
        <v>244103.15365714257</v>
      </c>
      <c r="U392" s="25">
        <f t="shared" si="208"/>
        <v>0</v>
      </c>
      <c r="V392" s="25">
        <f t="shared" si="208"/>
        <v>0</v>
      </c>
      <c r="W392" s="25">
        <f t="shared" si="208"/>
        <v>39131147.54098361</v>
      </c>
      <c r="X392" s="25">
        <f t="shared" si="185"/>
        <v>0</v>
      </c>
      <c r="Y392" s="25">
        <f t="shared" si="185"/>
        <v>0</v>
      </c>
    </row>
    <row r="393" spans="1:25" outlineLevel="1" x14ac:dyDescent="0.25">
      <c r="E393" s="25"/>
      <c r="F393" s="25"/>
      <c r="G393" s="25"/>
      <c r="H393" s="25"/>
      <c r="I393" s="25"/>
      <c r="J393" s="25"/>
      <c r="K393" s="25"/>
      <c r="L393" s="25"/>
      <c r="M393" s="25"/>
      <c r="N393" s="25"/>
      <c r="O393" s="25"/>
      <c r="P393" s="25"/>
      <c r="Q393" s="25"/>
      <c r="R393" s="25"/>
      <c r="S393" s="25"/>
      <c r="T393" s="25"/>
      <c r="U393" s="25"/>
      <c r="V393" s="25"/>
      <c r="W393" s="25"/>
      <c r="X393" s="25"/>
      <c r="Y393" s="25"/>
    </row>
    <row r="394" spans="1:25" x14ac:dyDescent="0.25">
      <c r="E394" s="25"/>
      <c r="F394" s="25"/>
      <c r="G394" s="25"/>
      <c r="H394" s="25"/>
      <c r="I394" s="25"/>
      <c r="J394" s="25"/>
      <c r="K394" s="25"/>
      <c r="L394" s="25"/>
      <c r="M394" s="25"/>
      <c r="N394" s="25"/>
      <c r="O394" s="25"/>
      <c r="P394" s="25"/>
      <c r="Q394" s="25"/>
      <c r="R394" s="25"/>
      <c r="S394" s="25"/>
      <c r="T394" s="25"/>
      <c r="U394" s="25"/>
      <c r="V394" s="25"/>
      <c r="W394" s="25"/>
      <c r="X394" s="25"/>
      <c r="Y394" s="25"/>
    </row>
    <row r="395" spans="1:25" x14ac:dyDescent="0.25">
      <c r="A395" s="64" t="s">
        <v>189</v>
      </c>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row>
    <row r="396" spans="1:25" x14ac:dyDescent="0.25">
      <c r="E396" t="s">
        <v>31</v>
      </c>
      <c r="F396" t="s">
        <v>31</v>
      </c>
      <c r="G396" t="s">
        <v>31</v>
      </c>
      <c r="H396" t="s">
        <v>31</v>
      </c>
      <c r="I396" t="s">
        <v>31</v>
      </c>
      <c r="J396" t="s">
        <v>31</v>
      </c>
      <c r="K396" t="s">
        <v>30</v>
      </c>
      <c r="L396" t="s">
        <v>30</v>
      </c>
      <c r="M396" t="s">
        <v>30</v>
      </c>
      <c r="N396" t="s">
        <v>30</v>
      </c>
      <c r="O396" t="s">
        <v>30</v>
      </c>
      <c r="P396" t="s">
        <v>30</v>
      </c>
      <c r="Q396" t="s">
        <v>32</v>
      </c>
      <c r="R396" t="s">
        <v>32</v>
      </c>
      <c r="S396" t="s">
        <v>32</v>
      </c>
      <c r="T396" t="s">
        <v>32</v>
      </c>
      <c r="U396" t="s">
        <v>32</v>
      </c>
      <c r="V396" t="s">
        <v>32</v>
      </c>
      <c r="W396" t="s">
        <v>109</v>
      </c>
      <c r="X396" t="s">
        <v>109</v>
      </c>
      <c r="Y396" s="19" t="s">
        <v>109</v>
      </c>
    </row>
    <row r="397" spans="1:25" ht="45" x14ac:dyDescent="0.25">
      <c r="E397" s="5" t="s">
        <v>42</v>
      </c>
      <c r="F397" s="5" t="s">
        <v>43</v>
      </c>
      <c r="G397" s="5" t="s">
        <v>135</v>
      </c>
      <c r="H397" s="5" t="s">
        <v>112</v>
      </c>
      <c r="I397" s="5" t="s">
        <v>113</v>
      </c>
      <c r="J397" s="5" t="s">
        <v>136</v>
      </c>
      <c r="K397" s="5" t="s">
        <v>42</v>
      </c>
      <c r="L397" s="5" t="s">
        <v>43</v>
      </c>
      <c r="M397" s="5" t="s">
        <v>135</v>
      </c>
      <c r="N397" s="5" t="s">
        <v>112</v>
      </c>
      <c r="O397" s="5" t="s">
        <v>113</v>
      </c>
      <c r="P397" s="5" t="s">
        <v>136</v>
      </c>
      <c r="Q397" s="5" t="s">
        <v>119</v>
      </c>
      <c r="R397" s="5" t="s">
        <v>120</v>
      </c>
      <c r="S397" s="5" t="s">
        <v>121</v>
      </c>
      <c r="T397" s="5" t="s">
        <v>122</v>
      </c>
      <c r="U397" s="5" t="s">
        <v>123</v>
      </c>
      <c r="V397" s="5" t="s">
        <v>124</v>
      </c>
      <c r="W397" s="5" t="s">
        <v>109</v>
      </c>
      <c r="X397" s="5" t="s">
        <v>125</v>
      </c>
      <c r="Y397" s="23" t="s">
        <v>126</v>
      </c>
    </row>
    <row r="398" spans="1:25" x14ac:dyDescent="0.25">
      <c r="E398" s="11">
        <f>SUM(E4:E195)</f>
        <v>3570635012</v>
      </c>
      <c r="F398" s="11">
        <f t="shared" ref="F398:Y398" si="209">SUM(F4:F195)</f>
        <v>6876375550</v>
      </c>
      <c r="G398" s="11">
        <f t="shared" si="209"/>
        <v>0</v>
      </c>
      <c r="H398" s="11">
        <f t="shared" si="209"/>
        <v>9748812048</v>
      </c>
      <c r="I398" s="11">
        <f t="shared" si="209"/>
        <v>5293807183</v>
      </c>
      <c r="J398" s="11">
        <f t="shared" si="209"/>
        <v>5293807183</v>
      </c>
      <c r="K398" s="11">
        <f t="shared" si="209"/>
        <v>8766935307</v>
      </c>
      <c r="L398" s="11">
        <f t="shared" si="209"/>
        <v>32875087819</v>
      </c>
      <c r="M398" s="11">
        <f t="shared" si="209"/>
        <v>0</v>
      </c>
      <c r="N398" s="11">
        <f t="shared" si="209"/>
        <v>129159376874</v>
      </c>
      <c r="O398" s="11">
        <f t="shared" si="209"/>
        <v>129159376874</v>
      </c>
      <c r="P398" s="11">
        <f t="shared" si="209"/>
        <v>129159376874</v>
      </c>
      <c r="Q398" s="11">
        <f t="shared" si="209"/>
        <v>1238118690.3651757</v>
      </c>
      <c r="R398" s="11">
        <f t="shared" si="209"/>
        <v>583408790.72502625</v>
      </c>
      <c r="S398" s="11">
        <f t="shared" si="209"/>
        <v>0</v>
      </c>
      <c r="T398" s="11">
        <f t="shared" si="209"/>
        <v>2539975868.9097967</v>
      </c>
      <c r="U398" s="11">
        <f t="shared" si="209"/>
        <v>0</v>
      </c>
      <c r="V398" s="11">
        <f t="shared" si="209"/>
        <v>0</v>
      </c>
      <c r="W398" s="11">
        <f t="shared" si="209"/>
        <v>289353000000</v>
      </c>
      <c r="X398" s="11">
        <f t="shared" si="209"/>
        <v>0</v>
      </c>
      <c r="Y398" s="25">
        <f t="shared" si="209"/>
        <v>0</v>
      </c>
    </row>
    <row r="400" spans="1:25" x14ac:dyDescent="0.25">
      <c r="A400" s="64" t="s">
        <v>193</v>
      </c>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row>
    <row r="401" spans="1:25" outlineLevel="1" x14ac:dyDescent="0.25">
      <c r="E401" t="s">
        <v>31</v>
      </c>
      <c r="F401" t="s">
        <v>31</v>
      </c>
      <c r="G401" t="s">
        <v>31</v>
      </c>
      <c r="H401" t="s">
        <v>31</v>
      </c>
      <c r="I401" t="s">
        <v>31</v>
      </c>
      <c r="J401" t="s">
        <v>31</v>
      </c>
      <c r="K401" t="s">
        <v>30</v>
      </c>
      <c r="L401" t="s">
        <v>30</v>
      </c>
      <c r="M401" t="s">
        <v>30</v>
      </c>
      <c r="N401" t="s">
        <v>30</v>
      </c>
      <c r="O401" t="s">
        <v>30</v>
      </c>
      <c r="P401" t="s">
        <v>30</v>
      </c>
      <c r="Q401" t="s">
        <v>32</v>
      </c>
      <c r="R401" t="s">
        <v>32</v>
      </c>
      <c r="S401" t="s">
        <v>32</v>
      </c>
      <c r="T401" t="s">
        <v>32</v>
      </c>
      <c r="U401" t="s">
        <v>32</v>
      </c>
      <c r="V401" t="s">
        <v>32</v>
      </c>
      <c r="W401" t="s">
        <v>109</v>
      </c>
      <c r="X401" t="s">
        <v>109</v>
      </c>
      <c r="Y401" s="19" t="s">
        <v>109</v>
      </c>
    </row>
    <row r="402" spans="1:25" ht="45" outlineLevel="1" x14ac:dyDescent="0.25">
      <c r="A402" s="5" t="s">
        <v>35</v>
      </c>
      <c r="B402" s="63" t="s">
        <v>29</v>
      </c>
      <c r="C402" s="63"/>
      <c r="D402" s="5" t="s">
        <v>190</v>
      </c>
      <c r="E402" s="5" t="s">
        <v>42</v>
      </c>
      <c r="F402" s="5" t="s">
        <v>43</v>
      </c>
      <c r="G402" s="5" t="s">
        <v>135</v>
      </c>
      <c r="H402" s="5" t="s">
        <v>112</v>
      </c>
      <c r="I402" s="5" t="s">
        <v>113</v>
      </c>
      <c r="J402" s="5" t="s">
        <v>136</v>
      </c>
      <c r="K402" s="5" t="s">
        <v>42</v>
      </c>
      <c r="L402" s="5" t="s">
        <v>43</v>
      </c>
      <c r="M402" s="5" t="s">
        <v>135</v>
      </c>
      <c r="N402" s="5" t="s">
        <v>112</v>
      </c>
      <c r="O402" s="5" t="s">
        <v>113</v>
      </c>
      <c r="P402" s="5" t="s">
        <v>136</v>
      </c>
      <c r="Q402" s="5" t="s">
        <v>119</v>
      </c>
      <c r="R402" s="5" t="s">
        <v>120</v>
      </c>
      <c r="S402" s="5" t="s">
        <v>121</v>
      </c>
      <c r="T402" s="5" t="s">
        <v>122</v>
      </c>
      <c r="U402" s="5" t="s">
        <v>123</v>
      </c>
      <c r="V402" s="5" t="s">
        <v>124</v>
      </c>
      <c r="W402" s="5" t="s">
        <v>109</v>
      </c>
      <c r="X402" s="5" t="s">
        <v>125</v>
      </c>
      <c r="Y402" s="23" t="s">
        <v>126</v>
      </c>
    </row>
    <row r="403" spans="1:25" outlineLevel="1" x14ac:dyDescent="0.25">
      <c r="A403" t="s">
        <v>37</v>
      </c>
      <c r="B403" t="s">
        <v>147</v>
      </c>
      <c r="C403" s="7" t="s">
        <v>34</v>
      </c>
      <c r="D403" t="s">
        <v>117</v>
      </c>
      <c r="E403" s="25">
        <f>E201/E$398</f>
        <v>2.1336074137317436E-4</v>
      </c>
      <c r="F403" s="25">
        <f t="shared" ref="F403:W416" si="210">F201/F$398</f>
        <v>1.5983953445746093E-7</v>
      </c>
      <c r="G403" s="27">
        <v>0</v>
      </c>
      <c r="H403" s="25">
        <f t="shared" si="210"/>
        <v>5.5767478538905845E-5</v>
      </c>
      <c r="I403" s="25">
        <f t="shared" si="210"/>
        <v>6.538899945423268E-4</v>
      </c>
      <c r="J403" s="25">
        <f t="shared" si="210"/>
        <v>6.538899945423268E-4</v>
      </c>
      <c r="K403" s="25">
        <f t="shared" si="210"/>
        <v>1.8497532032337908E-4</v>
      </c>
      <c r="L403" s="25">
        <f t="shared" si="210"/>
        <v>8.8542222285746457E-8</v>
      </c>
      <c r="M403" s="27">
        <v>0</v>
      </c>
      <c r="N403" s="25">
        <f t="shared" ref="N403" si="211">N201/N$398</f>
        <v>5.5619313186539816E-5</v>
      </c>
      <c r="O403" s="25">
        <f t="shared" si="210"/>
        <v>5.5619313186539816E-5</v>
      </c>
      <c r="P403" s="27">
        <v>0</v>
      </c>
      <c r="Q403" s="25">
        <f t="shared" si="210"/>
        <v>5.3096651104639572E-5</v>
      </c>
      <c r="R403" s="25">
        <f t="shared" si="210"/>
        <v>5.3096651104639586E-5</v>
      </c>
      <c r="S403" s="27">
        <v>0</v>
      </c>
      <c r="T403" s="25">
        <f t="shared" si="210"/>
        <v>5.30966511046396E-5</v>
      </c>
      <c r="U403" s="27">
        <v>0</v>
      </c>
      <c r="V403" s="25" t="e">
        <f t="shared" si="210"/>
        <v>#DIV/0!</v>
      </c>
      <c r="W403" s="25">
        <f t="shared" si="210"/>
        <v>1.0507350306833984E-4</v>
      </c>
      <c r="X403" s="27">
        <v>0</v>
      </c>
      <c r="Y403" s="27">
        <v>0</v>
      </c>
    </row>
    <row r="404" spans="1:25" outlineLevel="1" x14ac:dyDescent="0.25">
      <c r="A404" t="s">
        <v>37</v>
      </c>
      <c r="B404" t="s">
        <v>148</v>
      </c>
      <c r="C404" s="7" t="s">
        <v>0</v>
      </c>
      <c r="D404" t="s">
        <v>117</v>
      </c>
      <c r="E404" s="25">
        <f t="shared" ref="E404:T467" si="212">E202/E$398</f>
        <v>2.1793509111164979E-4</v>
      </c>
      <c r="F404" s="25">
        <f t="shared" si="212"/>
        <v>1.607370518518776E-7</v>
      </c>
      <c r="G404" s="27">
        <v>0</v>
      </c>
      <c r="H404" s="25">
        <f t="shared" si="212"/>
        <v>5.1339588611997011E-5</v>
      </c>
      <c r="I404" s="25">
        <f t="shared" si="212"/>
        <v>3.0148236322720636E-5</v>
      </c>
      <c r="J404" s="25">
        <f t="shared" si="212"/>
        <v>3.0148236322720636E-5</v>
      </c>
      <c r="K404" s="25">
        <f t="shared" si="212"/>
        <v>1.6887315215134393E-4</v>
      </c>
      <c r="L404" s="25">
        <f t="shared" si="212"/>
        <v>8.3490169875085586E-8</v>
      </c>
      <c r="M404" s="27">
        <v>0</v>
      </c>
      <c r="N404" s="25">
        <f t="shared" ref="N404" si="213">N202/N$398</f>
        <v>5.4636027395962692E-5</v>
      </c>
      <c r="O404" s="25">
        <f t="shared" si="212"/>
        <v>5.4636027395962692E-5</v>
      </c>
      <c r="P404" s="27">
        <v>0</v>
      </c>
      <c r="Q404" s="25">
        <f t="shared" si="212"/>
        <v>5.2370999172414567E-5</v>
      </c>
      <c r="R404" s="25">
        <f t="shared" si="212"/>
        <v>5.2370999172414581E-5</v>
      </c>
      <c r="S404" s="27">
        <v>0</v>
      </c>
      <c r="T404" s="25">
        <f t="shared" si="212"/>
        <v>5.2370999172414588E-5</v>
      </c>
      <c r="U404" s="27">
        <v>0</v>
      </c>
      <c r="V404" s="25" t="e">
        <f t="shared" si="210"/>
        <v>#DIV/0!</v>
      </c>
      <c r="W404" s="25">
        <f t="shared" si="210"/>
        <v>1.0495254354830721E-4</v>
      </c>
      <c r="X404" s="27">
        <v>0</v>
      </c>
      <c r="Y404" s="27">
        <v>0</v>
      </c>
    </row>
    <row r="405" spans="1:25" outlineLevel="1" x14ac:dyDescent="0.25">
      <c r="A405" t="s">
        <v>37</v>
      </c>
      <c r="B405" t="s">
        <v>149</v>
      </c>
      <c r="C405" s="7" t="s">
        <v>1</v>
      </c>
      <c r="D405" t="s">
        <v>117</v>
      </c>
      <c r="E405" s="25">
        <f t="shared" si="212"/>
        <v>2.192420481797856E-4</v>
      </c>
      <c r="F405" s="25">
        <f t="shared" si="210"/>
        <v>1.6135292862725239E-7</v>
      </c>
      <c r="G405" s="27">
        <v>0</v>
      </c>
      <c r="H405" s="25">
        <f t="shared" si="210"/>
        <v>5.0860897809087943E-5</v>
      </c>
      <c r="I405" s="25">
        <f t="shared" si="210"/>
        <v>2.7381112494138232E-5</v>
      </c>
      <c r="J405" s="25">
        <f t="shared" si="210"/>
        <v>2.7381112494138232E-5</v>
      </c>
      <c r="K405" s="25">
        <f t="shared" si="210"/>
        <v>1.5144022627914058E-4</v>
      </c>
      <c r="L405" s="25">
        <f t="shared" si="210"/>
        <v>8.1381835836610158E-8</v>
      </c>
      <c r="M405" s="27">
        <v>0</v>
      </c>
      <c r="N405" s="25">
        <f t="shared" ref="N405" si="214">N203/N$398</f>
        <v>5.446494144359272E-5</v>
      </c>
      <c r="O405" s="25">
        <f t="shared" si="210"/>
        <v>5.446494144359272E-5</v>
      </c>
      <c r="P405" s="27">
        <v>0</v>
      </c>
      <c r="Q405" s="25">
        <f t="shared" si="210"/>
        <v>5.218463224001269E-5</v>
      </c>
      <c r="R405" s="25">
        <f t="shared" si="210"/>
        <v>5.2184632240012704E-5</v>
      </c>
      <c r="S405" s="27">
        <v>0</v>
      </c>
      <c r="T405" s="25">
        <f t="shared" si="210"/>
        <v>5.2184632240012704E-5</v>
      </c>
      <c r="U405" s="27">
        <v>0</v>
      </c>
      <c r="V405" s="25" t="e">
        <f t="shared" si="210"/>
        <v>#DIV/0!</v>
      </c>
      <c r="W405" s="25">
        <f t="shared" si="210"/>
        <v>1.0491222370829633E-4</v>
      </c>
      <c r="X405" s="27">
        <v>0</v>
      </c>
      <c r="Y405" s="27">
        <v>0</v>
      </c>
    </row>
    <row r="406" spans="1:25" outlineLevel="1" x14ac:dyDescent="0.25">
      <c r="A406" t="s">
        <v>37</v>
      </c>
      <c r="B406" t="s">
        <v>150</v>
      </c>
      <c r="C406" s="7" t="s">
        <v>2</v>
      </c>
      <c r="D406" t="s">
        <v>117</v>
      </c>
      <c r="E406" s="25">
        <f t="shared" si="212"/>
        <v>2.1793509111164979E-4</v>
      </c>
      <c r="F406" s="25">
        <f t="shared" si="210"/>
        <v>1.6144115339948239E-7</v>
      </c>
      <c r="G406" s="27">
        <v>0</v>
      </c>
      <c r="H406" s="25">
        <f t="shared" si="210"/>
        <v>5.1937952115633338E-5</v>
      </c>
      <c r="I406" s="25">
        <f t="shared" si="210"/>
        <v>2.67605704368927E-5</v>
      </c>
      <c r="J406" s="25">
        <f t="shared" si="210"/>
        <v>2.67605704368927E-5</v>
      </c>
      <c r="K406" s="25">
        <f t="shared" si="210"/>
        <v>1.5636402976976292E-4</v>
      </c>
      <c r="L406" s="25">
        <f t="shared" si="210"/>
        <v>8.0192637492403601E-8</v>
      </c>
      <c r="M406" s="27">
        <v>0</v>
      </c>
      <c r="N406" s="25">
        <f t="shared" ref="N406" si="215">N204/N$398</f>
        <v>5.6750534397131443E-5</v>
      </c>
      <c r="O406" s="25">
        <f t="shared" si="210"/>
        <v>5.6750534397131443E-5</v>
      </c>
      <c r="P406" s="27">
        <v>0</v>
      </c>
      <c r="Q406" s="25">
        <f t="shared" si="210"/>
        <v>5.2356212222099992E-5</v>
      </c>
      <c r="R406" s="25">
        <f t="shared" si="210"/>
        <v>5.2356212222099999E-5</v>
      </c>
      <c r="S406" s="27">
        <v>0</v>
      </c>
      <c r="T406" s="25">
        <f t="shared" si="210"/>
        <v>5.2356212222100006E-5</v>
      </c>
      <c r="U406" s="27">
        <v>0</v>
      </c>
      <c r="V406" s="25" t="e">
        <f t="shared" si="210"/>
        <v>#DIV/0!</v>
      </c>
      <c r="W406" s="25">
        <f t="shared" si="210"/>
        <v>1.0491222370829633E-4</v>
      </c>
      <c r="X406" s="27">
        <v>0</v>
      </c>
      <c r="Y406" s="27">
        <v>0</v>
      </c>
    </row>
    <row r="407" spans="1:25" outlineLevel="1" x14ac:dyDescent="0.25">
      <c r="A407" t="s">
        <v>37</v>
      </c>
      <c r="B407" t="s">
        <v>151</v>
      </c>
      <c r="C407" s="7" t="s">
        <v>3</v>
      </c>
      <c r="D407" t="s">
        <v>117</v>
      </c>
      <c r="E407" s="25">
        <f t="shared" si="212"/>
        <v>2.1336074137317436E-4</v>
      </c>
      <c r="F407" s="25">
        <f t="shared" si="210"/>
        <v>1.5735736442337467E-7</v>
      </c>
      <c r="G407" s="27">
        <v>0</v>
      </c>
      <c r="H407" s="25">
        <f t="shared" si="210"/>
        <v>6.7016712407268821E-5</v>
      </c>
      <c r="I407" s="25">
        <f t="shared" si="210"/>
        <v>3.754926271304405E-5</v>
      </c>
      <c r="J407" s="25">
        <f t="shared" si="210"/>
        <v>3.754926271304405E-5</v>
      </c>
      <c r="K407" s="25">
        <f t="shared" si="210"/>
        <v>1.640824244307384E-4</v>
      </c>
      <c r="L407" s="25">
        <f t="shared" si="210"/>
        <v>7.9936060231030474E-8</v>
      </c>
      <c r="M407" s="27">
        <v>0</v>
      </c>
      <c r="N407" s="25">
        <f t="shared" ref="N407" si="216">N205/N$398</f>
        <v>6.0381772378850233E-5</v>
      </c>
      <c r="O407" s="25">
        <f t="shared" si="210"/>
        <v>6.0381772378850233E-5</v>
      </c>
      <c r="P407" s="27">
        <v>0</v>
      </c>
      <c r="Q407" s="25">
        <f t="shared" si="210"/>
        <v>5.2169256807594417E-5</v>
      </c>
      <c r="R407" s="25">
        <f t="shared" si="210"/>
        <v>5.2169256807594431E-5</v>
      </c>
      <c r="S407" s="27">
        <v>0</v>
      </c>
      <c r="T407" s="25">
        <f t="shared" si="210"/>
        <v>5.2169256807594438E-5</v>
      </c>
      <c r="U407" s="27">
        <v>0</v>
      </c>
      <c r="V407" s="25" t="e">
        <f t="shared" si="210"/>
        <v>#DIV/0!</v>
      </c>
      <c r="W407" s="25">
        <f t="shared" si="210"/>
        <v>1.0523478242838334E-4</v>
      </c>
      <c r="X407" s="27">
        <v>0</v>
      </c>
      <c r="Y407" s="27">
        <v>0</v>
      </c>
    </row>
    <row r="408" spans="1:25" outlineLevel="1" x14ac:dyDescent="0.25">
      <c r="A408" t="s">
        <v>37</v>
      </c>
      <c r="B408" t="s">
        <v>152</v>
      </c>
      <c r="C408" s="7" t="s">
        <v>4</v>
      </c>
      <c r="D408" t="s">
        <v>117</v>
      </c>
      <c r="E408" s="25">
        <f t="shared" si="212"/>
        <v>2.6367858849640389E-4</v>
      </c>
      <c r="F408" s="25">
        <f t="shared" si="210"/>
        <v>1.4468862645719421E-7</v>
      </c>
      <c r="G408" s="27">
        <v>0</v>
      </c>
      <c r="H408" s="25">
        <f t="shared" si="210"/>
        <v>1.1512513809962967E-4</v>
      </c>
      <c r="I408" s="25">
        <f t="shared" si="210"/>
        <v>8.3294234141357093E-5</v>
      </c>
      <c r="J408" s="25">
        <f t="shared" si="210"/>
        <v>8.3294234141357093E-5</v>
      </c>
      <c r="K408" s="25">
        <f t="shared" si="210"/>
        <v>1.6727624291114208E-4</v>
      </c>
      <c r="L408" s="25">
        <f t="shared" si="210"/>
        <v>8.2435115659231784E-8</v>
      </c>
      <c r="M408" s="27">
        <v>0</v>
      </c>
      <c r="N408" s="25">
        <f t="shared" ref="N408" si="217">N206/N$398</f>
        <v>7.0642360566415584E-5</v>
      </c>
      <c r="O408" s="25">
        <f t="shared" si="210"/>
        <v>7.0642360566415584E-5</v>
      </c>
      <c r="P408" s="27">
        <v>0</v>
      </c>
      <c r="Q408" s="25">
        <f t="shared" si="210"/>
        <v>5.3594528363712031E-5</v>
      </c>
      <c r="R408" s="25">
        <f t="shared" si="210"/>
        <v>5.3594528363712037E-5</v>
      </c>
      <c r="S408" s="27">
        <v>0</v>
      </c>
      <c r="T408" s="25">
        <f t="shared" si="210"/>
        <v>5.3594528363712051E-5</v>
      </c>
      <c r="U408" s="27">
        <v>0</v>
      </c>
      <c r="V408" s="25" t="e">
        <f t="shared" si="210"/>
        <v>#DIV/0!</v>
      </c>
      <c r="W408" s="25">
        <f t="shared" si="210"/>
        <v>1.0596053954857908E-4</v>
      </c>
      <c r="X408" s="27">
        <v>0</v>
      </c>
      <c r="Y408" s="27">
        <v>0</v>
      </c>
    </row>
    <row r="409" spans="1:25" outlineLevel="1" x14ac:dyDescent="0.25">
      <c r="A409" t="s">
        <v>37</v>
      </c>
      <c r="B409" t="s">
        <v>153</v>
      </c>
      <c r="C409" s="7" t="s">
        <v>5</v>
      </c>
      <c r="D409" t="s">
        <v>117</v>
      </c>
      <c r="E409" s="25">
        <f t="shared" si="212"/>
        <v>2.78381855512932E-4</v>
      </c>
      <c r="F409" s="25">
        <f t="shared" si="210"/>
        <v>1.1819913859513777E-7</v>
      </c>
      <c r="G409" s="27">
        <v>0</v>
      </c>
      <c r="H409" s="25">
        <f t="shared" si="210"/>
        <v>1.680204718210811E-4</v>
      </c>
      <c r="I409" s="25">
        <f t="shared" si="210"/>
        <v>1.6330402111663011E-4</v>
      </c>
      <c r="J409" s="25">
        <f t="shared" si="210"/>
        <v>1.6330402111663011E-4</v>
      </c>
      <c r="K409" s="25">
        <f t="shared" si="210"/>
        <v>2.1904271744768489E-4</v>
      </c>
      <c r="L409" s="25">
        <f t="shared" si="210"/>
        <v>9.1372024612425984E-8</v>
      </c>
      <c r="M409" s="27">
        <v>0</v>
      </c>
      <c r="N409" s="25">
        <f t="shared" ref="N409" si="218">N207/N$398</f>
        <v>1.063285516110642E-4</v>
      </c>
      <c r="O409" s="25">
        <f t="shared" si="210"/>
        <v>1.063285516110642E-4</v>
      </c>
      <c r="P409" s="27">
        <v>0</v>
      </c>
      <c r="Q409" s="25">
        <f t="shared" si="210"/>
        <v>8.034764435065723E-5</v>
      </c>
      <c r="R409" s="25">
        <f t="shared" si="210"/>
        <v>8.034764435065723E-5</v>
      </c>
      <c r="S409" s="27">
        <v>0</v>
      </c>
      <c r="T409" s="25">
        <f t="shared" si="210"/>
        <v>8.0347644350657258E-5</v>
      </c>
      <c r="U409" s="27">
        <v>0</v>
      </c>
      <c r="V409" s="25" t="e">
        <f t="shared" si="210"/>
        <v>#DIV/0!</v>
      </c>
      <c r="W409" s="25">
        <f t="shared" si="210"/>
        <v>1.0721045458891619E-4</v>
      </c>
      <c r="X409" s="27">
        <v>0</v>
      </c>
      <c r="Y409" s="27">
        <v>0</v>
      </c>
    </row>
    <row r="410" spans="1:25" outlineLevel="1" x14ac:dyDescent="0.25">
      <c r="A410" t="s">
        <v>37</v>
      </c>
      <c r="B410" t="s">
        <v>154</v>
      </c>
      <c r="C410" s="7" t="s">
        <v>6</v>
      </c>
      <c r="D410" t="s">
        <v>117</v>
      </c>
      <c r="E410" s="25">
        <f t="shared" si="212"/>
        <v>2.7086685237115096E-4</v>
      </c>
      <c r="F410" s="25">
        <f t="shared" si="210"/>
        <v>8.870491858655587E-8</v>
      </c>
      <c r="G410" s="27">
        <v>0</v>
      </c>
      <c r="H410" s="25">
        <f t="shared" si="210"/>
        <v>1.3044324379271968E-4</v>
      </c>
      <c r="I410" s="25">
        <f t="shared" si="210"/>
        <v>2.2501134353586954E-4</v>
      </c>
      <c r="J410" s="25">
        <f t="shared" si="210"/>
        <v>2.2501134353586954E-4</v>
      </c>
      <c r="K410" s="25">
        <f t="shared" si="210"/>
        <v>5.3869071702808532E-4</v>
      </c>
      <c r="L410" s="25">
        <f t="shared" si="210"/>
        <v>1.0900310552465226E-7</v>
      </c>
      <c r="M410" s="27">
        <v>0</v>
      </c>
      <c r="N410" s="25">
        <f t="shared" ref="N410" si="219">N208/N$398</f>
        <v>1.4623083230283067E-4</v>
      </c>
      <c r="O410" s="25">
        <f t="shared" si="210"/>
        <v>1.4623083230283067E-4</v>
      </c>
      <c r="P410" s="27">
        <v>0</v>
      </c>
      <c r="Q410" s="25">
        <f t="shared" si="210"/>
        <v>1.6851987514809546E-4</v>
      </c>
      <c r="R410" s="25">
        <f t="shared" si="210"/>
        <v>1.6851987514809552E-4</v>
      </c>
      <c r="S410" s="27">
        <v>0</v>
      </c>
      <c r="T410" s="25">
        <f t="shared" si="210"/>
        <v>1.6851987514809554E-4</v>
      </c>
      <c r="U410" s="27">
        <v>0</v>
      </c>
      <c r="V410" s="25" t="e">
        <f t="shared" si="210"/>
        <v>#DIV/0!</v>
      </c>
      <c r="W410" s="25">
        <f t="shared" si="210"/>
        <v>1.0821845058918807E-4</v>
      </c>
      <c r="X410" s="27">
        <v>0</v>
      </c>
      <c r="Y410" s="27">
        <v>0</v>
      </c>
    </row>
    <row r="411" spans="1:25" outlineLevel="1" x14ac:dyDescent="0.25">
      <c r="A411" t="s">
        <v>37</v>
      </c>
      <c r="B411" t="s">
        <v>155</v>
      </c>
      <c r="C411" s="7" t="s">
        <v>7</v>
      </c>
      <c r="D411" t="s">
        <v>117</v>
      </c>
      <c r="E411" s="25">
        <f t="shared" si="212"/>
        <v>2.5845076022386055E-4</v>
      </c>
      <c r="F411" s="25">
        <f t="shared" si="210"/>
        <v>7.1684324067107316E-8</v>
      </c>
      <c r="G411" s="27">
        <v>0</v>
      </c>
      <c r="H411" s="25">
        <f t="shared" si="210"/>
        <v>5.0980570509815215E-5</v>
      </c>
      <c r="I411" s="25">
        <f t="shared" si="210"/>
        <v>1.4853834039488351E-4</v>
      </c>
      <c r="J411" s="25">
        <f t="shared" si="210"/>
        <v>1.4853834039488351E-4</v>
      </c>
      <c r="K411" s="25">
        <f t="shared" si="210"/>
        <v>5.458768086089935E-4</v>
      </c>
      <c r="L411" s="25">
        <f t="shared" si="210"/>
        <v>1.3492024795250937E-7</v>
      </c>
      <c r="M411" s="27">
        <v>0</v>
      </c>
      <c r="N411" s="25">
        <f t="shared" ref="N411" si="220">N209/N$398</f>
        <v>1.8132557143861385E-4</v>
      </c>
      <c r="O411" s="25">
        <f t="shared" si="210"/>
        <v>1.8132557143861385E-4</v>
      </c>
      <c r="P411" s="27">
        <v>0</v>
      </c>
      <c r="Q411" s="25">
        <f t="shared" si="210"/>
        <v>1.8349941960570391E-4</v>
      </c>
      <c r="R411" s="25">
        <f t="shared" si="210"/>
        <v>1.83499419605704E-4</v>
      </c>
      <c r="S411" s="27">
        <v>0</v>
      </c>
      <c r="T411" s="25">
        <f t="shared" si="210"/>
        <v>1.8349941960570402E-4</v>
      </c>
      <c r="U411" s="27">
        <v>0</v>
      </c>
      <c r="V411" s="25" t="e">
        <f t="shared" si="210"/>
        <v>#DIV/0!</v>
      </c>
      <c r="W411" s="25">
        <f t="shared" si="210"/>
        <v>1.0854100930927506E-4</v>
      </c>
      <c r="X411" s="27">
        <v>0</v>
      </c>
      <c r="Y411" s="27">
        <v>0</v>
      </c>
    </row>
    <row r="412" spans="1:25" outlineLevel="1" x14ac:dyDescent="0.25">
      <c r="A412" t="s">
        <v>37</v>
      </c>
      <c r="B412" t="s">
        <v>156</v>
      </c>
      <c r="C412" s="7" t="s">
        <v>8</v>
      </c>
      <c r="D412" t="s">
        <v>117</v>
      </c>
      <c r="E412" s="25">
        <f t="shared" si="212"/>
        <v>1.8707273433300444E-4</v>
      </c>
      <c r="F412" s="25">
        <f t="shared" si="210"/>
        <v>6.197450923110213E-8</v>
      </c>
      <c r="G412" s="27">
        <v>0</v>
      </c>
      <c r="H412" s="25">
        <f t="shared" si="210"/>
        <v>4.9065807298178962E-5</v>
      </c>
      <c r="I412" s="25">
        <f t="shared" si="210"/>
        <v>1.3289112649571923E-4</v>
      </c>
      <c r="J412" s="25">
        <f t="shared" si="210"/>
        <v>1.3289112649571923E-4</v>
      </c>
      <c r="K412" s="25">
        <f t="shared" si="210"/>
        <v>3.8818202113906244E-4</v>
      </c>
      <c r="L412" s="25">
        <f t="shared" si="210"/>
        <v>1.5147001362904556E-7</v>
      </c>
      <c r="M412" s="27">
        <v>0</v>
      </c>
      <c r="N412" s="25">
        <f t="shared" ref="N412" si="221">N210/N$398</f>
        <v>1.9048961837282393E-4</v>
      </c>
      <c r="O412" s="25">
        <f t="shared" si="210"/>
        <v>1.9048961837282393E-4</v>
      </c>
      <c r="P412" s="27">
        <v>0</v>
      </c>
      <c r="Q412" s="25">
        <f t="shared" si="210"/>
        <v>1.6290254597649227E-4</v>
      </c>
      <c r="R412" s="25">
        <f t="shared" si="210"/>
        <v>1.6290254597649232E-4</v>
      </c>
      <c r="S412" s="27">
        <v>0</v>
      </c>
      <c r="T412" s="25">
        <f t="shared" si="210"/>
        <v>1.6290254597649232E-4</v>
      </c>
      <c r="U412" s="27">
        <v>0</v>
      </c>
      <c r="V412" s="25" t="e">
        <f t="shared" si="210"/>
        <v>#DIV/0!</v>
      </c>
      <c r="W412" s="25">
        <f t="shared" si="210"/>
        <v>1.0837972994923158E-4</v>
      </c>
      <c r="X412" s="27">
        <v>0</v>
      </c>
      <c r="Y412" s="27">
        <v>0</v>
      </c>
    </row>
    <row r="413" spans="1:25" outlineLevel="1" x14ac:dyDescent="0.25">
      <c r="A413" t="s">
        <v>37</v>
      </c>
      <c r="B413" t="s">
        <v>157</v>
      </c>
      <c r="C413" s="7" t="s">
        <v>9</v>
      </c>
      <c r="D413" t="s">
        <v>117</v>
      </c>
      <c r="E413" s="25">
        <f t="shared" si="212"/>
        <v>1.7975294156631283E-4</v>
      </c>
      <c r="F413" s="25">
        <f t="shared" si="210"/>
        <v>6.1236475078793515E-8</v>
      </c>
      <c r="G413" s="27">
        <v>0</v>
      </c>
      <c r="H413" s="25">
        <f t="shared" si="210"/>
        <v>4.9903516203269819E-5</v>
      </c>
      <c r="I413" s="25">
        <f t="shared" si="210"/>
        <v>1.2363502813283331E-4</v>
      </c>
      <c r="J413" s="25">
        <f t="shared" si="210"/>
        <v>1.2363502813283331E-4</v>
      </c>
      <c r="K413" s="25">
        <f t="shared" si="210"/>
        <v>3.2031337843048451E-4</v>
      </c>
      <c r="L413" s="25">
        <f t="shared" si="210"/>
        <v>1.6007120738271147E-7</v>
      </c>
      <c r="M413" s="27">
        <v>0</v>
      </c>
      <c r="N413" s="25">
        <f t="shared" ref="N413" si="222">N211/N$398</f>
        <v>1.8940349695914719E-4</v>
      </c>
      <c r="O413" s="25">
        <f t="shared" si="210"/>
        <v>1.8940349695914719E-4</v>
      </c>
      <c r="P413" s="27">
        <v>0</v>
      </c>
      <c r="Q413" s="25">
        <f t="shared" si="210"/>
        <v>1.308035221387598E-4</v>
      </c>
      <c r="R413" s="25">
        <f t="shared" si="210"/>
        <v>1.3080352213875983E-4</v>
      </c>
      <c r="S413" s="27">
        <v>0</v>
      </c>
      <c r="T413" s="25">
        <f t="shared" si="210"/>
        <v>1.3080352213875986E-4</v>
      </c>
      <c r="U413" s="27">
        <v>0</v>
      </c>
      <c r="V413" s="25" t="e">
        <f t="shared" si="210"/>
        <v>#DIV/0!</v>
      </c>
      <c r="W413" s="25">
        <f t="shared" si="210"/>
        <v>1.0793621170911194E-4</v>
      </c>
      <c r="X413" s="27">
        <v>0</v>
      </c>
      <c r="Y413" s="27">
        <v>0</v>
      </c>
    </row>
    <row r="414" spans="1:25" outlineLevel="1" x14ac:dyDescent="0.25">
      <c r="A414" t="s">
        <v>37</v>
      </c>
      <c r="B414" t="s">
        <v>158</v>
      </c>
      <c r="C414" s="7" t="s">
        <v>10</v>
      </c>
      <c r="D414" t="s">
        <v>117</v>
      </c>
      <c r="E414" s="25">
        <f t="shared" si="212"/>
        <v>1.8018957958581365E-4</v>
      </c>
      <c r="F414" s="25">
        <f t="shared" si="210"/>
        <v>6.8489569334240337E-8</v>
      </c>
      <c r="G414" s="27">
        <v>0</v>
      </c>
      <c r="H414" s="25">
        <f t="shared" si="210"/>
        <v>5.4690424232360456E-5</v>
      </c>
      <c r="I414" s="25">
        <f t="shared" si="210"/>
        <v>1.0644513117318802E-4</v>
      </c>
      <c r="J414" s="25">
        <f t="shared" si="210"/>
        <v>1.0644513117318802E-4</v>
      </c>
      <c r="K414" s="25">
        <f t="shared" si="210"/>
        <v>2.7892681395525365E-4</v>
      </c>
      <c r="L414" s="25">
        <f t="shared" si="210"/>
        <v>1.6208691809446713E-7</v>
      </c>
      <c r="M414" s="27">
        <v>0</v>
      </c>
      <c r="N414" s="25">
        <f t="shared" ref="N414" si="223">N212/N$398</f>
        <v>1.8877972291643662E-4</v>
      </c>
      <c r="O414" s="25">
        <f t="shared" si="210"/>
        <v>1.8877972291643662E-4</v>
      </c>
      <c r="P414" s="27">
        <v>0</v>
      </c>
      <c r="Q414" s="25">
        <f t="shared" si="210"/>
        <v>1.3160599773470312E-4</v>
      </c>
      <c r="R414" s="25">
        <f t="shared" si="210"/>
        <v>1.3160599773470315E-4</v>
      </c>
      <c r="S414" s="27">
        <v>0</v>
      </c>
      <c r="T414" s="25">
        <f t="shared" si="210"/>
        <v>1.3160599773470318E-4</v>
      </c>
      <c r="U414" s="27">
        <v>0</v>
      </c>
      <c r="V414" s="25" t="e">
        <f t="shared" si="210"/>
        <v>#DIV/0!</v>
      </c>
      <c r="W414" s="25">
        <f t="shared" si="210"/>
        <v>1.0757333314901407E-4</v>
      </c>
      <c r="X414" s="27">
        <v>0</v>
      </c>
      <c r="Y414" s="27">
        <v>0</v>
      </c>
    </row>
    <row r="415" spans="1:25" outlineLevel="1" x14ac:dyDescent="0.25">
      <c r="A415" t="s">
        <v>37</v>
      </c>
      <c r="B415" t="s">
        <v>159</v>
      </c>
      <c r="C415" s="7" t="s">
        <v>11</v>
      </c>
      <c r="D415" t="s">
        <v>117</v>
      </c>
      <c r="E415" s="25">
        <f t="shared" si="212"/>
        <v>1.794235655133939E-4</v>
      </c>
      <c r="F415" s="25">
        <f t="shared" si="210"/>
        <v>7.4346336906123948E-8</v>
      </c>
      <c r="G415" s="27">
        <v>0</v>
      </c>
      <c r="H415" s="25">
        <f t="shared" si="210"/>
        <v>5.7682241750542092E-5</v>
      </c>
      <c r="I415" s="25">
        <f t="shared" si="210"/>
        <v>8.6657309659200971E-5</v>
      </c>
      <c r="J415" s="25">
        <f t="shared" si="210"/>
        <v>8.6657309659200971E-5</v>
      </c>
      <c r="K415" s="25">
        <f t="shared" si="210"/>
        <v>2.4472634106093103E-4</v>
      </c>
      <c r="L415" s="25">
        <f t="shared" si="210"/>
        <v>1.5612282756246612E-7</v>
      </c>
      <c r="M415" s="27">
        <v>0</v>
      </c>
      <c r="N415" s="25">
        <f t="shared" ref="N415" si="224">N213/N$398</f>
        <v>1.8577332927009066E-4</v>
      </c>
      <c r="O415" s="25">
        <f t="shared" si="210"/>
        <v>1.8577332927009066E-4</v>
      </c>
      <c r="P415" s="27">
        <v>0</v>
      </c>
      <c r="Q415" s="25">
        <f t="shared" si="210"/>
        <v>1.3374593265721863E-4</v>
      </c>
      <c r="R415" s="25">
        <f t="shared" si="210"/>
        <v>1.3374593265721865E-4</v>
      </c>
      <c r="S415" s="27">
        <v>0</v>
      </c>
      <c r="T415" s="25">
        <f t="shared" si="210"/>
        <v>1.3374593265721868E-4</v>
      </c>
      <c r="U415" s="27">
        <v>0</v>
      </c>
      <c r="V415" s="25" t="e">
        <f t="shared" si="210"/>
        <v>#DIV/0!</v>
      </c>
      <c r="W415" s="25">
        <f t="shared" si="210"/>
        <v>1.0729109426893795E-4</v>
      </c>
      <c r="X415" s="27">
        <v>0</v>
      </c>
      <c r="Y415" s="27">
        <v>0</v>
      </c>
    </row>
    <row r="416" spans="1:25" outlineLevel="1" x14ac:dyDescent="0.25">
      <c r="A416" t="s">
        <v>37</v>
      </c>
      <c r="B416" t="s">
        <v>160</v>
      </c>
      <c r="C416" s="7" t="s">
        <v>12</v>
      </c>
      <c r="D416" t="s">
        <v>117</v>
      </c>
      <c r="E416" s="25">
        <f t="shared" si="212"/>
        <v>1.7738050081794995E-4</v>
      </c>
      <c r="F416" s="25">
        <f t="shared" si="210"/>
        <v>7.6687686630689235E-8</v>
      </c>
      <c r="G416" s="27">
        <v>0</v>
      </c>
      <c r="H416" s="25">
        <f t="shared" si="210"/>
        <v>5.8519950655632949E-5</v>
      </c>
      <c r="I416" s="25">
        <f t="shared" si="210"/>
        <v>7.6165101232777573E-5</v>
      </c>
      <c r="J416" s="25">
        <f t="shared" si="210"/>
        <v>7.6165101232777573E-5</v>
      </c>
      <c r="K416" s="25">
        <f t="shared" si="210"/>
        <v>2.2889032442892951E-4</v>
      </c>
      <c r="L416" s="25">
        <f t="shared" si="210"/>
        <v>1.598174691505098E-7</v>
      </c>
      <c r="M416" s="27">
        <v>0</v>
      </c>
      <c r="N416" s="25">
        <f t="shared" ref="N416" si="225">N214/N$398</f>
        <v>1.8585368377926003E-4</v>
      </c>
      <c r="O416" s="25">
        <f t="shared" si="210"/>
        <v>1.8585368377926003E-4</v>
      </c>
      <c r="P416" s="27">
        <v>0</v>
      </c>
      <c r="Q416" s="25">
        <f t="shared" ref="F416:W429" si="226">Q214/Q$398</f>
        <v>1.3294345706127531E-4</v>
      </c>
      <c r="R416" s="25">
        <f t="shared" si="226"/>
        <v>1.3294345706127533E-4</v>
      </c>
      <c r="S416" s="27">
        <v>0</v>
      </c>
      <c r="T416" s="25">
        <f t="shared" si="226"/>
        <v>1.3294345706127536E-4</v>
      </c>
      <c r="U416" s="27">
        <v>0</v>
      </c>
      <c r="V416" s="25" t="e">
        <f t="shared" si="226"/>
        <v>#DIV/0!</v>
      </c>
      <c r="W416" s="25">
        <f t="shared" si="226"/>
        <v>1.0712981490889444E-4</v>
      </c>
      <c r="X416" s="27">
        <v>0</v>
      </c>
      <c r="Y416" s="27">
        <v>0</v>
      </c>
    </row>
    <row r="417" spans="1:25" outlineLevel="1" x14ac:dyDescent="0.25">
      <c r="A417" t="s">
        <v>37</v>
      </c>
      <c r="B417" t="s">
        <v>161</v>
      </c>
      <c r="C417" s="7" t="s">
        <v>13</v>
      </c>
      <c r="D417" t="s">
        <v>117</v>
      </c>
      <c r="E417" s="25">
        <f t="shared" si="212"/>
        <v>1.7815133102716576E-4</v>
      </c>
      <c r="F417" s="25">
        <f t="shared" si="226"/>
        <v>8.0077553840603323E-8</v>
      </c>
      <c r="G417" s="27">
        <v>0</v>
      </c>
      <c r="H417" s="25">
        <f t="shared" si="226"/>
        <v>5.9956023064360141E-5</v>
      </c>
      <c r="I417" s="25">
        <f t="shared" si="226"/>
        <v>7.4831096909887845E-5</v>
      </c>
      <c r="J417" s="25">
        <f t="shared" si="226"/>
        <v>7.4831096909887845E-5</v>
      </c>
      <c r="K417" s="25">
        <f t="shared" si="226"/>
        <v>2.1451814126711302E-4</v>
      </c>
      <c r="L417" s="25">
        <f t="shared" si="226"/>
        <v>1.6379352950517718E-7</v>
      </c>
      <c r="M417" s="27">
        <v>0</v>
      </c>
      <c r="N417" s="25">
        <f t="shared" ref="N417" si="227">N215/N$398</f>
        <v>1.8574427853377702E-4</v>
      </c>
      <c r="O417" s="25">
        <f t="shared" si="226"/>
        <v>1.8574427853377702E-4</v>
      </c>
      <c r="P417" s="27">
        <v>0</v>
      </c>
      <c r="Q417" s="25">
        <f t="shared" si="226"/>
        <v>1.3160599773470312E-4</v>
      </c>
      <c r="R417" s="25">
        <f t="shared" si="226"/>
        <v>1.3160599773470315E-4</v>
      </c>
      <c r="S417" s="27">
        <v>0</v>
      </c>
      <c r="T417" s="25">
        <f t="shared" si="226"/>
        <v>1.3160599773470318E-4</v>
      </c>
      <c r="U417" s="27">
        <v>0</v>
      </c>
      <c r="V417" s="25" t="e">
        <f t="shared" si="226"/>
        <v>#DIV/0!</v>
      </c>
      <c r="W417" s="25">
        <f t="shared" si="226"/>
        <v>1.0729109426893795E-4</v>
      </c>
      <c r="X417" s="27">
        <v>0</v>
      </c>
      <c r="Y417" s="27">
        <v>0</v>
      </c>
    </row>
    <row r="418" spans="1:25" outlineLevel="1" x14ac:dyDescent="0.25">
      <c r="A418" t="s">
        <v>37</v>
      </c>
      <c r="B418" t="s">
        <v>162</v>
      </c>
      <c r="C418" s="7" t="s">
        <v>14</v>
      </c>
      <c r="D418" t="s">
        <v>117</v>
      </c>
      <c r="E418" s="25">
        <f t="shared" si="212"/>
        <v>1.8644734884111611E-4</v>
      </c>
      <c r="F418" s="25">
        <f t="shared" si="226"/>
        <v>8.7466378514865541E-8</v>
      </c>
      <c r="G418" s="27">
        <v>0</v>
      </c>
      <c r="H418" s="25">
        <f t="shared" si="226"/>
        <v>6.4982276494905295E-5</v>
      </c>
      <c r="I418" s="25">
        <f t="shared" si="226"/>
        <v>7.5634389610143831E-5</v>
      </c>
      <c r="J418" s="25">
        <f t="shared" si="226"/>
        <v>7.5634389610143831E-5</v>
      </c>
      <c r="K418" s="25">
        <f t="shared" si="226"/>
        <v>2.0666667083612066E-4</v>
      </c>
      <c r="L418" s="25">
        <f t="shared" si="226"/>
        <v>1.6386273084123216E-7</v>
      </c>
      <c r="M418" s="27">
        <v>0</v>
      </c>
      <c r="N418" s="25">
        <f t="shared" ref="N418" si="228">N216/N$398</f>
        <v>1.8573522815203193E-4</v>
      </c>
      <c r="O418" s="25">
        <f t="shared" si="226"/>
        <v>1.8573522815203193E-4</v>
      </c>
      <c r="P418" s="27">
        <v>0</v>
      </c>
      <c r="Q418" s="25">
        <f t="shared" si="226"/>
        <v>1.5648274120894578E-4</v>
      </c>
      <c r="R418" s="25">
        <f t="shared" si="226"/>
        <v>1.5648274120894583E-4</v>
      </c>
      <c r="S418" s="27">
        <v>0</v>
      </c>
      <c r="T418" s="25">
        <f t="shared" si="226"/>
        <v>1.5648274120894586E-4</v>
      </c>
      <c r="U418" s="27">
        <v>0</v>
      </c>
      <c r="V418" s="25" t="e">
        <f t="shared" si="226"/>
        <v>#DIV/0!</v>
      </c>
      <c r="W418" s="25">
        <f t="shared" si="226"/>
        <v>1.0821845058918807E-4</v>
      </c>
      <c r="X418" s="27">
        <v>0</v>
      </c>
      <c r="Y418" s="27">
        <v>0</v>
      </c>
    </row>
    <row r="419" spans="1:25" outlineLevel="1" x14ac:dyDescent="0.25">
      <c r="A419" t="s">
        <v>37</v>
      </c>
      <c r="B419" t="s">
        <v>163</v>
      </c>
      <c r="C419" s="7" t="s">
        <v>15</v>
      </c>
      <c r="D419" t="s">
        <v>117</v>
      </c>
      <c r="E419" s="25">
        <f t="shared" si="212"/>
        <v>1.9800399582257835E-4</v>
      </c>
      <c r="F419" s="25">
        <f t="shared" si="226"/>
        <v>9.550840582967675E-8</v>
      </c>
      <c r="G419" s="27">
        <v>0</v>
      </c>
      <c r="H419" s="25">
        <f t="shared" si="226"/>
        <v>1.768762516748988E-4</v>
      </c>
      <c r="I419" s="25">
        <f t="shared" si="226"/>
        <v>9.1509759722454428E-5</v>
      </c>
      <c r="J419" s="25">
        <f t="shared" si="226"/>
        <v>9.1509759722454428E-5</v>
      </c>
      <c r="K419" s="25">
        <f t="shared" si="226"/>
        <v>2.0333977658570018E-4</v>
      </c>
      <c r="L419" s="25">
        <f t="shared" si="226"/>
        <v>1.604991910303131E-7</v>
      </c>
      <c r="M419" s="27">
        <v>0</v>
      </c>
      <c r="N419" s="25">
        <f t="shared" ref="N419" si="229">N217/N$398</f>
        <v>1.7954863830203977E-4</v>
      </c>
      <c r="O419" s="25">
        <f t="shared" si="226"/>
        <v>1.7954863830203977E-4</v>
      </c>
      <c r="P419" s="27">
        <v>0</v>
      </c>
      <c r="Q419" s="25">
        <f t="shared" si="226"/>
        <v>1.8028951722193071E-4</v>
      </c>
      <c r="R419" s="25">
        <f t="shared" si="226"/>
        <v>1.8028951722193074E-4</v>
      </c>
      <c r="S419" s="27">
        <v>0</v>
      </c>
      <c r="T419" s="25">
        <f t="shared" si="226"/>
        <v>1.8028951722193077E-4</v>
      </c>
      <c r="U419" s="27">
        <v>0</v>
      </c>
      <c r="V419" s="25" t="e">
        <f t="shared" si="226"/>
        <v>#DIV/0!</v>
      </c>
      <c r="W419" s="25">
        <f t="shared" si="226"/>
        <v>1.0926676642947081E-4</v>
      </c>
      <c r="X419" s="27">
        <v>0</v>
      </c>
      <c r="Y419" s="27">
        <v>0</v>
      </c>
    </row>
    <row r="420" spans="1:25" outlineLevel="1" x14ac:dyDescent="0.25">
      <c r="A420" t="s">
        <v>37</v>
      </c>
      <c r="B420" t="s">
        <v>164</v>
      </c>
      <c r="C420" s="7" t="s">
        <v>16</v>
      </c>
      <c r="D420" t="s">
        <v>117</v>
      </c>
      <c r="E420" s="25">
        <f t="shared" si="212"/>
        <v>2.1238052357207249E-4</v>
      </c>
      <c r="F420" s="25">
        <f t="shared" si="226"/>
        <v>1.0468378214159638E-7</v>
      </c>
      <c r="G420" s="27">
        <v>0</v>
      </c>
      <c r="H420" s="25">
        <f t="shared" si="226"/>
        <v>2.572963065636214E-4</v>
      </c>
      <c r="I420" s="25">
        <f t="shared" si="226"/>
        <v>1.1570122953607394E-4</v>
      </c>
      <c r="J420" s="25">
        <f t="shared" si="226"/>
        <v>1.1570122953607394E-4</v>
      </c>
      <c r="K420" s="25">
        <f t="shared" si="226"/>
        <v>2.077312769962552E-4</v>
      </c>
      <c r="L420" s="25">
        <f t="shared" si="226"/>
        <v>1.5302402722178819E-7</v>
      </c>
      <c r="M420" s="27">
        <v>0</v>
      </c>
      <c r="N420" s="25">
        <f t="shared" ref="N420" si="230">N218/N$398</f>
        <v>1.6859379356490306E-4</v>
      </c>
      <c r="O420" s="25">
        <f t="shared" si="226"/>
        <v>1.6859379356490306E-4</v>
      </c>
      <c r="P420" s="27">
        <v>0</v>
      </c>
      <c r="Q420" s="25">
        <f t="shared" si="226"/>
        <v>1.8991922437325046E-4</v>
      </c>
      <c r="R420" s="25">
        <f t="shared" si="226"/>
        <v>1.8991922437325048E-4</v>
      </c>
      <c r="S420" s="27">
        <v>0</v>
      </c>
      <c r="T420" s="25">
        <f t="shared" si="226"/>
        <v>1.8991922437325054E-4</v>
      </c>
      <c r="U420" s="27">
        <v>0</v>
      </c>
      <c r="V420" s="25" t="e">
        <f t="shared" si="226"/>
        <v>#DIV/0!</v>
      </c>
      <c r="W420" s="25">
        <f t="shared" si="226"/>
        <v>1.0950868546953605E-4</v>
      </c>
      <c r="X420" s="27">
        <v>0</v>
      </c>
      <c r="Y420" s="27">
        <v>0</v>
      </c>
    </row>
    <row r="421" spans="1:25" outlineLevel="1" x14ac:dyDescent="0.25">
      <c r="A421" t="s">
        <v>37</v>
      </c>
      <c r="B421" t="s">
        <v>165</v>
      </c>
      <c r="C421" s="7" t="s">
        <v>17</v>
      </c>
      <c r="D421" t="s">
        <v>117</v>
      </c>
      <c r="E421" s="25">
        <f t="shared" si="212"/>
        <v>2.2969770472487227E-4</v>
      </c>
      <c r="F421" s="25">
        <f t="shared" si="226"/>
        <v>1.1621068795949246E-7</v>
      </c>
      <c r="G421" s="27">
        <v>0</v>
      </c>
      <c r="H421" s="25">
        <f t="shared" si="226"/>
        <v>2.8158986481125636E-4</v>
      </c>
      <c r="I421" s="25">
        <f t="shared" si="226"/>
        <v>1.4853834039488351E-4</v>
      </c>
      <c r="J421" s="25">
        <f t="shared" si="226"/>
        <v>1.4853834039488351E-4</v>
      </c>
      <c r="K421" s="25">
        <f t="shared" si="226"/>
        <v>2.4299635605071239E-4</v>
      </c>
      <c r="L421" s="25">
        <f t="shared" si="226"/>
        <v>1.4654607240974805E-7</v>
      </c>
      <c r="M421" s="27">
        <v>0</v>
      </c>
      <c r="N421" s="25">
        <f t="shared" ref="N421" si="231">N219/N$398</f>
        <v>1.6060144286106134E-4</v>
      </c>
      <c r="O421" s="25">
        <f t="shared" si="226"/>
        <v>1.6060144286106134E-4</v>
      </c>
      <c r="P421" s="27">
        <v>0</v>
      </c>
      <c r="Q421" s="25">
        <f t="shared" si="226"/>
        <v>1.7467218805032749E-4</v>
      </c>
      <c r="R421" s="25">
        <f t="shared" si="226"/>
        <v>1.7467218805032755E-4</v>
      </c>
      <c r="S421" s="27">
        <v>0</v>
      </c>
      <c r="T421" s="25">
        <f t="shared" si="226"/>
        <v>1.7467218805032757E-4</v>
      </c>
      <c r="U421" s="27">
        <v>0</v>
      </c>
      <c r="V421" s="25" t="e">
        <f t="shared" si="226"/>
        <v>#DIV/0!</v>
      </c>
      <c r="W421" s="25">
        <f t="shared" si="226"/>
        <v>1.0894420770938382E-4</v>
      </c>
      <c r="X421" s="27">
        <v>0</v>
      </c>
      <c r="Y421" s="27">
        <v>0</v>
      </c>
    </row>
    <row r="422" spans="1:25" outlineLevel="1" x14ac:dyDescent="0.25">
      <c r="A422" t="s">
        <v>37</v>
      </c>
      <c r="B422" t="s">
        <v>166</v>
      </c>
      <c r="C422" s="7" t="s">
        <v>18</v>
      </c>
      <c r="D422" t="s">
        <v>117</v>
      </c>
      <c r="E422" s="25">
        <f t="shared" si="212"/>
        <v>2.4701488587767204E-4</v>
      </c>
      <c r="F422" s="25">
        <f t="shared" si="226"/>
        <v>1.280090546150193E-7</v>
      </c>
      <c r="G422" s="27">
        <v>0</v>
      </c>
      <c r="H422" s="25">
        <f t="shared" si="226"/>
        <v>3.0313095094216418E-4</v>
      </c>
      <c r="I422" s="25">
        <f t="shared" si="226"/>
        <v>1.4853834039488351E-4</v>
      </c>
      <c r="J422" s="25">
        <f t="shared" si="226"/>
        <v>1.4853834039488351E-4</v>
      </c>
      <c r="K422" s="25">
        <f t="shared" si="226"/>
        <v>2.7613222278490045E-4</v>
      </c>
      <c r="L422" s="25">
        <f t="shared" si="226"/>
        <v>1.3730219342738684E-7</v>
      </c>
      <c r="M422" s="27">
        <v>0</v>
      </c>
      <c r="N422" s="25">
        <f t="shared" ref="N422" si="232">N220/N$398</f>
        <v>1.3450812940419616E-4</v>
      </c>
      <c r="O422" s="25">
        <f t="shared" si="226"/>
        <v>1.3450812940419616E-4</v>
      </c>
      <c r="P422" s="27">
        <v>0</v>
      </c>
      <c r="Q422" s="25">
        <f t="shared" si="226"/>
        <v>1.4257316421259505E-4</v>
      </c>
      <c r="R422" s="25">
        <f t="shared" si="226"/>
        <v>1.4257316421259508E-4</v>
      </c>
      <c r="S422" s="27">
        <v>0</v>
      </c>
      <c r="T422" s="25">
        <f t="shared" si="226"/>
        <v>1.4257316421259511E-4</v>
      </c>
      <c r="U422" s="27">
        <v>0</v>
      </c>
      <c r="V422" s="25" t="e">
        <f t="shared" si="226"/>
        <v>#DIV/0!</v>
      </c>
      <c r="W422" s="25">
        <f t="shared" si="226"/>
        <v>1.0829909026920982E-4</v>
      </c>
      <c r="X422" s="27">
        <v>0</v>
      </c>
      <c r="Y422" s="27">
        <v>0</v>
      </c>
    </row>
    <row r="423" spans="1:25" outlineLevel="1" x14ac:dyDescent="0.25">
      <c r="A423" t="s">
        <v>37</v>
      </c>
      <c r="B423" t="s">
        <v>167</v>
      </c>
      <c r="C423" s="7" t="s">
        <v>19</v>
      </c>
      <c r="D423" t="s">
        <v>117</v>
      </c>
      <c r="E423" s="25">
        <f t="shared" si="212"/>
        <v>2.5975771729199636E-4</v>
      </c>
      <c r="F423" s="25">
        <f t="shared" si="226"/>
        <v>1.3855530815697428E-7</v>
      </c>
      <c r="G423" s="27">
        <v>0</v>
      </c>
      <c r="H423" s="25">
        <f t="shared" si="226"/>
        <v>3.079178589712548E-4</v>
      </c>
      <c r="I423" s="25">
        <f t="shared" si="226"/>
        <v>1.3377265967313694E-4</v>
      </c>
      <c r="J423" s="25">
        <f t="shared" si="226"/>
        <v>1.3377265967313694E-4</v>
      </c>
      <c r="K423" s="25">
        <f t="shared" si="226"/>
        <v>2.9689204290752426E-4</v>
      </c>
      <c r="L423" s="25">
        <f t="shared" si="226"/>
        <v>1.2952786691991652E-7</v>
      </c>
      <c r="M423" s="27">
        <v>0</v>
      </c>
      <c r="N423" s="25">
        <f t="shared" ref="N423" si="233">N221/N$398</f>
        <v>1.1160300895068047E-4</v>
      </c>
      <c r="O423" s="25">
        <f t="shared" si="226"/>
        <v>1.1160300895068047E-4</v>
      </c>
      <c r="P423" s="27">
        <v>0</v>
      </c>
      <c r="Q423" s="25">
        <f t="shared" si="226"/>
        <v>1.308035221387598E-4</v>
      </c>
      <c r="R423" s="25">
        <f t="shared" si="226"/>
        <v>1.3080352213875983E-4</v>
      </c>
      <c r="S423" s="27">
        <v>0</v>
      </c>
      <c r="T423" s="25">
        <f t="shared" si="226"/>
        <v>1.3080352213875986E-4</v>
      </c>
      <c r="U423" s="27">
        <v>0</v>
      </c>
      <c r="V423" s="25" t="e">
        <f t="shared" si="226"/>
        <v>#DIV/0!</v>
      </c>
      <c r="W423" s="25">
        <f t="shared" si="226"/>
        <v>1.0757333314901407E-4</v>
      </c>
      <c r="X423" s="27">
        <v>0</v>
      </c>
      <c r="Y423" s="27">
        <v>0</v>
      </c>
    </row>
    <row r="424" spans="1:25" outlineLevel="1" x14ac:dyDescent="0.25">
      <c r="A424" t="s">
        <v>37</v>
      </c>
      <c r="B424" t="s">
        <v>168</v>
      </c>
      <c r="C424" s="7" t="s">
        <v>20</v>
      </c>
      <c r="D424" t="s">
        <v>117</v>
      </c>
      <c r="E424" s="25">
        <f t="shared" si="212"/>
        <v>2.4603466807657015E-4</v>
      </c>
      <c r="F424" s="25">
        <f t="shared" si="226"/>
        <v>1.4734554940550525E-7</v>
      </c>
      <c r="G424" s="27">
        <v>0</v>
      </c>
      <c r="H424" s="25">
        <f t="shared" si="226"/>
        <v>2.5215038043234896E-4</v>
      </c>
      <c r="I424" s="25">
        <f t="shared" si="226"/>
        <v>1.2385541142718773E-4</v>
      </c>
      <c r="J424" s="25">
        <f t="shared" si="226"/>
        <v>1.2385541142718773E-4</v>
      </c>
      <c r="K424" s="25">
        <f t="shared" si="226"/>
        <v>3.2177721190066952E-4</v>
      </c>
      <c r="L424" s="25">
        <f t="shared" si="226"/>
        <v>1.2159703892936797E-7</v>
      </c>
      <c r="M424" s="27">
        <v>0</v>
      </c>
      <c r="N424" s="25">
        <f t="shared" ref="N424" si="234">N222/N$398</f>
        <v>9.0495449133379041E-5</v>
      </c>
      <c r="O424" s="25">
        <f t="shared" si="226"/>
        <v>9.0495449133379041E-5</v>
      </c>
      <c r="P424" s="27">
        <v>0</v>
      </c>
      <c r="Q424" s="25">
        <f t="shared" si="226"/>
        <v>1.2331374990995556E-4</v>
      </c>
      <c r="R424" s="25">
        <f t="shared" si="226"/>
        <v>1.2331374990995562E-4</v>
      </c>
      <c r="S424" s="27">
        <v>0</v>
      </c>
      <c r="T424" s="25">
        <f t="shared" si="226"/>
        <v>1.2331374990995562E-4</v>
      </c>
      <c r="U424" s="27">
        <v>0</v>
      </c>
      <c r="V424" s="25" t="e">
        <f t="shared" si="226"/>
        <v>#DIV/0!</v>
      </c>
      <c r="W424" s="25">
        <f t="shared" si="226"/>
        <v>1.0664597682876395E-4</v>
      </c>
      <c r="X424" s="27">
        <v>0</v>
      </c>
      <c r="Y424" s="27">
        <v>0</v>
      </c>
    </row>
    <row r="425" spans="1:25" outlineLevel="1" x14ac:dyDescent="0.25">
      <c r="A425" t="s">
        <v>37</v>
      </c>
      <c r="B425" t="s">
        <v>169</v>
      </c>
      <c r="C425" s="7" t="s">
        <v>21</v>
      </c>
      <c r="D425" t="s">
        <v>117</v>
      </c>
      <c r="E425" s="25">
        <f t="shared" si="212"/>
        <v>2.1205378430503856E-4</v>
      </c>
      <c r="F425" s="25">
        <f t="shared" si="226"/>
        <v>1.5360272171289424E-7</v>
      </c>
      <c r="G425" s="27">
        <v>0</v>
      </c>
      <c r="H425" s="25">
        <f t="shared" si="226"/>
        <v>1.4983022131053673E-4</v>
      </c>
      <c r="I425" s="25">
        <f t="shared" si="226"/>
        <v>1.0886934741108673E-4</v>
      </c>
      <c r="J425" s="25">
        <f t="shared" si="226"/>
        <v>1.0886934741108673E-4</v>
      </c>
      <c r="K425" s="25">
        <f t="shared" si="226"/>
        <v>3.2004722689045088E-4</v>
      </c>
      <c r="L425" s="25">
        <f t="shared" si="226"/>
        <v>1.120607399423436E-7</v>
      </c>
      <c r="M425" s="27">
        <v>0</v>
      </c>
      <c r="N425" s="25">
        <f t="shared" ref="N425" si="235">N223/N$398</f>
        <v>7.6162873844329477E-5</v>
      </c>
      <c r="O425" s="25">
        <f t="shared" si="226"/>
        <v>7.6162873844329477E-5</v>
      </c>
      <c r="P425" s="27">
        <v>0</v>
      </c>
      <c r="Q425" s="25">
        <f t="shared" si="226"/>
        <v>1.1662645327709463E-4</v>
      </c>
      <c r="R425" s="25">
        <f t="shared" si="226"/>
        <v>1.1662645327709466E-4</v>
      </c>
      <c r="S425" s="27">
        <v>0</v>
      </c>
      <c r="T425" s="25">
        <f t="shared" si="226"/>
        <v>1.1662645327709468E-4</v>
      </c>
      <c r="U425" s="27">
        <v>0</v>
      </c>
      <c r="V425" s="25" t="e">
        <f t="shared" si="226"/>
        <v>#DIV/0!</v>
      </c>
      <c r="W425" s="25">
        <f t="shared" si="226"/>
        <v>1.0571862050851384E-4</v>
      </c>
      <c r="X425" s="27">
        <v>0</v>
      </c>
      <c r="Y425" s="27">
        <v>0</v>
      </c>
    </row>
    <row r="426" spans="1:25" outlineLevel="1" x14ac:dyDescent="0.25">
      <c r="A426" t="s">
        <v>37</v>
      </c>
      <c r="B426" t="s">
        <v>170</v>
      </c>
      <c r="C426" s="7" t="s">
        <v>22</v>
      </c>
      <c r="D426" t="s">
        <v>117</v>
      </c>
      <c r="E426" s="25">
        <f t="shared" si="212"/>
        <v>2.0715269529952919E-4</v>
      </c>
      <c r="F426" s="25">
        <f t="shared" si="226"/>
        <v>1.5782563436828772E-7</v>
      </c>
      <c r="G426" s="27">
        <v>0</v>
      </c>
      <c r="H426" s="25">
        <f t="shared" si="226"/>
        <v>7.8864309779268124E-5</v>
      </c>
      <c r="I426" s="25">
        <f t="shared" si="226"/>
        <v>7.634372850435066E-5</v>
      </c>
      <c r="J426" s="25">
        <f t="shared" si="226"/>
        <v>7.634372850435066E-5</v>
      </c>
      <c r="K426" s="25">
        <f t="shared" si="226"/>
        <v>1.5942477248014975E-4</v>
      </c>
      <c r="L426" s="25">
        <f t="shared" si="226"/>
        <v>9.9034564346269021E-8</v>
      </c>
      <c r="M426" s="27">
        <v>0</v>
      </c>
      <c r="N426" s="25">
        <f t="shared" ref="N426" si="236">N224/N$398</f>
        <v>6.6383701832950783E-5</v>
      </c>
      <c r="O426" s="25">
        <f t="shared" si="226"/>
        <v>6.6383701832950783E-5</v>
      </c>
      <c r="P426" s="27">
        <v>0</v>
      </c>
      <c r="Q426" s="25">
        <f t="shared" si="226"/>
        <v>7.8422730089156072E-5</v>
      </c>
      <c r="R426" s="25">
        <f t="shared" si="226"/>
        <v>7.8422730089156099E-5</v>
      </c>
      <c r="S426" s="27">
        <v>0</v>
      </c>
      <c r="T426" s="25">
        <f t="shared" si="226"/>
        <v>7.8422730089156126E-5</v>
      </c>
      <c r="U426" s="27">
        <v>0</v>
      </c>
      <c r="V426" s="25" t="e">
        <f t="shared" si="226"/>
        <v>#DIV/0!</v>
      </c>
      <c r="W426" s="25">
        <f t="shared" si="226"/>
        <v>1.0523478242838334E-4</v>
      </c>
      <c r="X426" s="27">
        <v>0</v>
      </c>
      <c r="Y426" s="27">
        <v>0</v>
      </c>
    </row>
    <row r="427" spans="1:25" outlineLevel="1" x14ac:dyDescent="0.25">
      <c r="A427" t="s">
        <v>38</v>
      </c>
      <c r="B427" t="s">
        <v>147</v>
      </c>
      <c r="C427" s="7" t="s">
        <v>34</v>
      </c>
      <c r="D427" t="s">
        <v>117</v>
      </c>
      <c r="E427" s="25">
        <f t="shared" si="212"/>
        <v>8.5014136464170486E-5</v>
      </c>
      <c r="F427" s="25">
        <f t="shared" si="226"/>
        <v>1.6886486964336395E-7</v>
      </c>
      <c r="G427" s="27">
        <v>0</v>
      </c>
      <c r="H427" s="25">
        <f t="shared" si="226"/>
        <v>4.8182825169770784E-5</v>
      </c>
      <c r="I427" s="25">
        <f t="shared" si="226"/>
        <v>3.627564983266862E-5</v>
      </c>
      <c r="J427" s="25">
        <f t="shared" si="226"/>
        <v>3.627564983266862E-5</v>
      </c>
      <c r="K427" s="25">
        <f t="shared" si="226"/>
        <v>9.3410305140502264E-5</v>
      </c>
      <c r="L427" s="25">
        <f t="shared" si="226"/>
        <v>3.6538897930080366E-6</v>
      </c>
      <c r="M427" s="27">
        <v>0</v>
      </c>
      <c r="N427" s="25">
        <f t="shared" ref="N427" si="237">N225/N$398</f>
        <v>5.3641844843419287E-5</v>
      </c>
      <c r="O427" s="25">
        <f t="shared" si="226"/>
        <v>5.3641844843419287E-5</v>
      </c>
      <c r="P427" s="27">
        <v>0</v>
      </c>
      <c r="Q427" s="25">
        <f t="shared" si="226"/>
        <v>4.8563234210436217E-5</v>
      </c>
      <c r="R427" s="25">
        <f t="shared" si="226"/>
        <v>4.8563234210436224E-5</v>
      </c>
      <c r="S427" s="27">
        <v>0</v>
      </c>
      <c r="T427" s="25">
        <f t="shared" si="226"/>
        <v>4.8563234210436238E-5</v>
      </c>
      <c r="U427" s="27">
        <v>0</v>
      </c>
      <c r="V427" s="25" t="e">
        <f t="shared" si="226"/>
        <v>#DIV/0!</v>
      </c>
      <c r="W427" s="25">
        <f t="shared" si="226"/>
        <v>1.0244745435806631E-4</v>
      </c>
      <c r="X427" s="27">
        <v>0</v>
      </c>
      <c r="Y427" s="27">
        <v>0</v>
      </c>
    </row>
    <row r="428" spans="1:25" outlineLevel="1" x14ac:dyDescent="0.25">
      <c r="A428" t="s">
        <v>38</v>
      </c>
      <c r="B428" t="s">
        <v>148</v>
      </c>
      <c r="C428" s="7" t="s">
        <v>0</v>
      </c>
      <c r="D428" t="s">
        <v>117</v>
      </c>
      <c r="E428" s="25">
        <f t="shared" si="212"/>
        <v>8.7115774571531218E-5</v>
      </c>
      <c r="F428" s="25">
        <f t="shared" si="226"/>
        <v>1.6981203191379301E-7</v>
      </c>
      <c r="G428" s="27">
        <v>0</v>
      </c>
      <c r="H428" s="25">
        <f t="shared" si="226"/>
        <v>4.4449044711821445E-5</v>
      </c>
      <c r="I428" s="25">
        <f t="shared" si="226"/>
        <v>2.5077245465272366E-5</v>
      </c>
      <c r="J428" s="25">
        <f t="shared" si="226"/>
        <v>2.5077245465272366E-5</v>
      </c>
      <c r="K428" s="25">
        <f t="shared" si="226"/>
        <v>8.3546201971088281E-5</v>
      </c>
      <c r="L428" s="25">
        <f t="shared" si="226"/>
        <v>3.445396582391143E-6</v>
      </c>
      <c r="M428" s="27">
        <v>0</v>
      </c>
      <c r="N428" s="25">
        <f t="shared" ref="N428" si="238">N226/N$398</f>
        <v>5.2832814151811525E-5</v>
      </c>
      <c r="O428" s="25">
        <f t="shared" si="226"/>
        <v>5.2832814151811525E-5</v>
      </c>
      <c r="P428" s="27">
        <v>0</v>
      </c>
      <c r="Q428" s="25">
        <f t="shared" si="226"/>
        <v>4.7853357320216097E-5</v>
      </c>
      <c r="R428" s="25">
        <f t="shared" si="226"/>
        <v>4.7853357320216117E-5</v>
      </c>
      <c r="S428" s="27">
        <v>0</v>
      </c>
      <c r="T428" s="25">
        <f t="shared" si="226"/>
        <v>4.7853357320216117E-5</v>
      </c>
      <c r="U428" s="27">
        <v>0</v>
      </c>
      <c r="V428" s="25" t="e">
        <f t="shared" si="226"/>
        <v>#DIV/0!</v>
      </c>
      <c r="W428" s="25">
        <f t="shared" si="226"/>
        <v>1.0228968107106724E-4</v>
      </c>
      <c r="X428" s="27">
        <v>0</v>
      </c>
      <c r="Y428" s="27">
        <v>0</v>
      </c>
    </row>
    <row r="429" spans="1:25" outlineLevel="1" x14ac:dyDescent="0.25">
      <c r="A429" t="s">
        <v>38</v>
      </c>
      <c r="B429" t="s">
        <v>149</v>
      </c>
      <c r="C429" s="7" t="s">
        <v>1</v>
      </c>
      <c r="D429" t="s">
        <v>117</v>
      </c>
      <c r="E429" s="25">
        <f t="shared" si="212"/>
        <v>8.7822285729849761E-5</v>
      </c>
      <c r="F429" s="25">
        <f t="shared" si="226"/>
        <v>1.7046265272572324E-7</v>
      </c>
      <c r="G429" s="27">
        <v>0</v>
      </c>
      <c r="H429" s="25">
        <f t="shared" si="226"/>
        <v>4.4012864253791157E-5</v>
      </c>
      <c r="I429" s="25">
        <f t="shared" si="226"/>
        <v>2.2775558506281789E-5</v>
      </c>
      <c r="J429" s="25">
        <f t="shared" si="226"/>
        <v>2.2775558506281789E-5</v>
      </c>
      <c r="K429" s="25">
        <f t="shared" ref="F429:W441" si="239">K227/K$398</f>
        <v>8.2286799498803103E-5</v>
      </c>
      <c r="L429" s="25">
        <f t="shared" si="239"/>
        <v>3.3583963849716924E-6</v>
      </c>
      <c r="M429" s="27">
        <v>0</v>
      </c>
      <c r="N429" s="25">
        <f t="shared" ref="N429" si="240">N227/N$398</f>
        <v>5.2586986589376141E-5</v>
      </c>
      <c r="O429" s="25">
        <f t="shared" si="239"/>
        <v>5.2586986589376141E-5</v>
      </c>
      <c r="P429" s="27">
        <v>0</v>
      </c>
      <c r="Q429" s="25">
        <f t="shared" si="239"/>
        <v>4.7671041842866443E-5</v>
      </c>
      <c r="R429" s="25">
        <f t="shared" si="239"/>
        <v>4.767104184286645E-5</v>
      </c>
      <c r="S429" s="27">
        <v>0</v>
      </c>
      <c r="T429" s="25">
        <f t="shared" si="239"/>
        <v>4.7671041842866464E-5</v>
      </c>
      <c r="U429" s="27">
        <v>0</v>
      </c>
      <c r="V429" s="25" t="e">
        <f t="shared" si="239"/>
        <v>#DIV/0!</v>
      </c>
      <c r="W429" s="25">
        <f t="shared" si="239"/>
        <v>1.0228968107106724E-4</v>
      </c>
      <c r="X429" s="27">
        <v>0</v>
      </c>
      <c r="Y429" s="27">
        <v>0</v>
      </c>
    </row>
    <row r="430" spans="1:25" outlineLevel="1" x14ac:dyDescent="0.25">
      <c r="A430" t="s">
        <v>38</v>
      </c>
      <c r="B430" t="s">
        <v>150</v>
      </c>
      <c r="C430" s="7" t="s">
        <v>2</v>
      </c>
      <c r="D430" t="s">
        <v>117</v>
      </c>
      <c r="E430" s="25">
        <f t="shared" si="212"/>
        <v>8.7115774571531218E-5</v>
      </c>
      <c r="F430" s="25">
        <f t="shared" si="239"/>
        <v>1.7056002454791691E-7</v>
      </c>
      <c r="G430" s="27">
        <v>0</v>
      </c>
      <c r="H430" s="25">
        <f t="shared" si="239"/>
        <v>4.4994026386192063E-5</v>
      </c>
      <c r="I430" s="25">
        <f t="shared" si="239"/>
        <v>2.2259393043444869E-5</v>
      </c>
      <c r="J430" s="25">
        <f t="shared" si="239"/>
        <v>2.2259393043444869E-5</v>
      </c>
      <c r="K430" s="25">
        <f t="shared" si="239"/>
        <v>8.4321046635226992E-5</v>
      </c>
      <c r="L430" s="25">
        <f t="shared" si="239"/>
        <v>3.3093222227919048E-6</v>
      </c>
      <c r="M430" s="27">
        <v>0</v>
      </c>
      <c r="N430" s="25">
        <f t="shared" ref="N430" si="241">N228/N$398</f>
        <v>5.4935592080366196E-5</v>
      </c>
      <c r="O430" s="25">
        <f t="shared" si="239"/>
        <v>5.4935592080366196E-5</v>
      </c>
      <c r="P430" s="27">
        <v>0</v>
      </c>
      <c r="Q430" s="25">
        <f t="shared" si="239"/>
        <v>4.783888484729448E-5</v>
      </c>
      <c r="R430" s="25">
        <f t="shared" si="239"/>
        <v>4.7838884847294487E-5</v>
      </c>
      <c r="S430" s="27">
        <v>0</v>
      </c>
      <c r="T430" s="25">
        <f t="shared" si="239"/>
        <v>4.7838884847294501E-5</v>
      </c>
      <c r="U430" s="27">
        <v>0</v>
      </c>
      <c r="V430" s="25" t="e">
        <f t="shared" si="239"/>
        <v>#DIV/0!</v>
      </c>
      <c r="W430" s="25">
        <f t="shared" si="239"/>
        <v>1.0228968107106724E-4</v>
      </c>
      <c r="X430" s="27">
        <v>0</v>
      </c>
      <c r="Y430" s="27">
        <v>0</v>
      </c>
    </row>
    <row r="431" spans="1:25" outlineLevel="1" x14ac:dyDescent="0.25">
      <c r="A431" t="s">
        <v>38</v>
      </c>
      <c r="B431" t="s">
        <v>151</v>
      </c>
      <c r="C431" s="7" t="s">
        <v>3</v>
      </c>
      <c r="D431" t="s">
        <v>117</v>
      </c>
      <c r="E431" s="25">
        <f t="shared" si="212"/>
        <v>8.5014136464170486E-5</v>
      </c>
      <c r="F431" s="25">
        <f t="shared" si="239"/>
        <v>1.6624246943201245E-7</v>
      </c>
      <c r="G431" s="27">
        <v>0</v>
      </c>
      <c r="H431" s="25">
        <f t="shared" si="239"/>
        <v>5.7911180830194245E-5</v>
      </c>
      <c r="I431" s="25">
        <f t="shared" si="239"/>
        <v>3.1233407496874769E-5</v>
      </c>
      <c r="J431" s="25">
        <f t="shared" si="239"/>
        <v>3.1233407496874769E-5</v>
      </c>
      <c r="K431" s="25">
        <f t="shared" si="239"/>
        <v>8.4064921486578679E-5</v>
      </c>
      <c r="L431" s="25">
        <f t="shared" si="239"/>
        <v>3.2987545538813E-6</v>
      </c>
      <c r="M431" s="27">
        <v>0</v>
      </c>
      <c r="N431" s="25">
        <f t="shared" ref="N431" si="242">N229/N$398</f>
        <v>5.825459076671095E-5</v>
      </c>
      <c r="O431" s="25">
        <f t="shared" si="239"/>
        <v>5.825459076671095E-5</v>
      </c>
      <c r="P431" s="27">
        <v>0</v>
      </c>
      <c r="Q431" s="25">
        <f t="shared" si="239"/>
        <v>4.7655993680930335E-5</v>
      </c>
      <c r="R431" s="25">
        <f t="shared" si="239"/>
        <v>4.7655993680930349E-5</v>
      </c>
      <c r="S431" s="27">
        <v>0</v>
      </c>
      <c r="T431" s="25">
        <f t="shared" si="239"/>
        <v>4.7655993680930362E-5</v>
      </c>
      <c r="U431" s="27">
        <v>0</v>
      </c>
      <c r="V431" s="25" t="e">
        <f t="shared" si="239"/>
        <v>#DIV/0!</v>
      </c>
      <c r="W431" s="25">
        <f t="shared" si="239"/>
        <v>1.0260522764506539E-4</v>
      </c>
      <c r="X431" s="27">
        <v>0</v>
      </c>
      <c r="Y431" s="27">
        <v>0</v>
      </c>
    </row>
    <row r="432" spans="1:25" outlineLevel="1" x14ac:dyDescent="0.25">
      <c r="A432" t="s">
        <v>38</v>
      </c>
      <c r="B432" t="s">
        <v>152</v>
      </c>
      <c r="C432" s="7" t="s">
        <v>4</v>
      </c>
      <c r="D432" t="s">
        <v>117</v>
      </c>
      <c r="E432" s="25">
        <f t="shared" si="212"/>
        <v>1.130719888246906E-4</v>
      </c>
      <c r="F432" s="25">
        <f t="shared" si="239"/>
        <v>1.5285605687634568E-7</v>
      </c>
      <c r="G432" s="27">
        <v>0</v>
      </c>
      <c r="H432" s="25">
        <f t="shared" si="239"/>
        <v>9.7247077243156369E-5</v>
      </c>
      <c r="I432" s="25">
        <f t="shared" si="239"/>
        <v>6.9289427605738572E-5</v>
      </c>
      <c r="J432" s="25">
        <f t="shared" si="239"/>
        <v>6.9289427605738572E-5</v>
      </c>
      <c r="K432" s="25">
        <f t="shared" si="239"/>
        <v>1.2703849899344455E-4</v>
      </c>
      <c r="L432" s="25">
        <f t="shared" si="239"/>
        <v>3.4018687105699577E-6</v>
      </c>
      <c r="M432" s="27">
        <v>0</v>
      </c>
      <c r="N432" s="25">
        <f t="shared" ref="N432" si="243">N230/N$398</f>
        <v>6.8035853502535691E-5</v>
      </c>
      <c r="O432" s="25">
        <f t="shared" si="239"/>
        <v>6.8035853502535691E-5</v>
      </c>
      <c r="P432" s="27">
        <v>0</v>
      </c>
      <c r="Q432" s="25">
        <f t="shared" si="239"/>
        <v>4.905028107278452E-5</v>
      </c>
      <c r="R432" s="25">
        <f t="shared" si="239"/>
        <v>4.9050281072784533E-5</v>
      </c>
      <c r="S432" s="27">
        <v>0</v>
      </c>
      <c r="T432" s="25">
        <f t="shared" si="239"/>
        <v>4.905028107278454E-5</v>
      </c>
      <c r="U432" s="27">
        <v>0</v>
      </c>
      <c r="V432" s="25" t="e">
        <f t="shared" si="239"/>
        <v>#DIV/0!</v>
      </c>
      <c r="W432" s="25">
        <f t="shared" si="239"/>
        <v>1.033415029843944E-4</v>
      </c>
      <c r="X432" s="27">
        <v>0</v>
      </c>
      <c r="Y432" s="27">
        <v>0</v>
      </c>
    </row>
    <row r="433" spans="1:25" outlineLevel="1" x14ac:dyDescent="0.25">
      <c r="A433" t="s">
        <v>38</v>
      </c>
      <c r="B433" t="s">
        <v>153</v>
      </c>
      <c r="C433" s="7" t="s">
        <v>5</v>
      </c>
      <c r="D433" t="s">
        <v>117</v>
      </c>
      <c r="E433" s="25">
        <f t="shared" si="212"/>
        <v>1.222880605178983E-4</v>
      </c>
      <c r="F433" s="25">
        <f t="shared" si="239"/>
        <v>1.2487272297546848E-7</v>
      </c>
      <c r="G433" s="27">
        <v>0</v>
      </c>
      <c r="H433" s="25">
        <f t="shared" si="239"/>
        <v>8.8349672102129218E-5</v>
      </c>
      <c r="I433" s="25">
        <f t="shared" si="239"/>
        <v>1.3567945426342087E-4</v>
      </c>
      <c r="J433" s="25">
        <f t="shared" si="239"/>
        <v>1.3567945426342087E-4</v>
      </c>
      <c r="K433" s="25">
        <f t="shared" si="239"/>
        <v>2.3675915256905446E-4</v>
      </c>
      <c r="L433" s="25">
        <f t="shared" si="239"/>
        <v>3.7706701720758751E-6</v>
      </c>
      <c r="M433" s="27">
        <v>0</v>
      </c>
      <c r="N433" s="25">
        <f t="shared" ref="N433" si="244">N231/N$398</f>
        <v>1.0196667287488218E-4</v>
      </c>
      <c r="O433" s="25">
        <f t="shared" si="239"/>
        <v>1.0196667287488218E-4</v>
      </c>
      <c r="P433" s="27">
        <v>0</v>
      </c>
      <c r="Q433" s="25">
        <f t="shared" si="239"/>
        <v>7.3737423986876087E-5</v>
      </c>
      <c r="R433" s="25">
        <f t="shared" si="239"/>
        <v>7.3737423986876101E-5</v>
      </c>
      <c r="S433" s="27">
        <v>0</v>
      </c>
      <c r="T433" s="25">
        <f t="shared" si="239"/>
        <v>7.3737423986876114E-5</v>
      </c>
      <c r="U433" s="27">
        <v>0</v>
      </c>
      <c r="V433" s="25" t="e">
        <f t="shared" si="239"/>
        <v>#DIV/0!</v>
      </c>
      <c r="W433" s="25">
        <f t="shared" si="239"/>
        <v>1.0444591599338793E-4</v>
      </c>
      <c r="X433" s="27">
        <v>0</v>
      </c>
      <c r="Y433" s="27">
        <v>0</v>
      </c>
    </row>
    <row r="434" spans="1:25" outlineLevel="1" x14ac:dyDescent="0.25">
      <c r="A434" t="s">
        <v>38</v>
      </c>
      <c r="B434" t="s">
        <v>154</v>
      </c>
      <c r="C434" s="7" t="s">
        <v>6</v>
      </c>
      <c r="D434" t="s">
        <v>117</v>
      </c>
      <c r="E434" s="25">
        <f t="shared" si="212"/>
        <v>1.2031617341468778E-4</v>
      </c>
      <c r="F434" s="25">
        <f t="shared" si="239"/>
        <v>9.3711526877544226E-8</v>
      </c>
      <c r="G434" s="27">
        <v>0</v>
      </c>
      <c r="H434" s="25">
        <f t="shared" si="239"/>
        <v>4.6128200472794577E-5</v>
      </c>
      <c r="I434" s="25">
        <f t="shared" si="239"/>
        <v>1.8684670608310074E-4</v>
      </c>
      <c r="J434" s="25">
        <f t="shared" si="239"/>
        <v>1.8684670608310074E-4</v>
      </c>
      <c r="K434" s="25">
        <f t="shared" si="239"/>
        <v>2.610599453547345E-4</v>
      </c>
      <c r="L434" s="25">
        <f t="shared" si="239"/>
        <v>4.4982507049321086E-6</v>
      </c>
      <c r="M434" s="27">
        <v>0</v>
      </c>
      <c r="N434" s="25">
        <f t="shared" ref="N434" si="245">N232/N$398</f>
        <v>1.3983692461946095E-4</v>
      </c>
      <c r="O434" s="25">
        <f t="shared" si="239"/>
        <v>1.3983692461946095E-4</v>
      </c>
      <c r="P434" s="27">
        <v>0</v>
      </c>
      <c r="Q434" s="25">
        <f t="shared" si="239"/>
        <v>1.5561048512639867E-4</v>
      </c>
      <c r="R434" s="25">
        <f t="shared" si="239"/>
        <v>1.556104851263987E-4</v>
      </c>
      <c r="S434" s="27">
        <v>0</v>
      </c>
      <c r="T434" s="25">
        <f t="shared" si="239"/>
        <v>1.5561048512639872E-4</v>
      </c>
      <c r="U434" s="27">
        <v>0</v>
      </c>
      <c r="V434" s="25" t="e">
        <f t="shared" si="239"/>
        <v>#DIV/0!</v>
      </c>
      <c r="W434" s="25">
        <f t="shared" si="239"/>
        <v>1.0544514681104874E-4</v>
      </c>
      <c r="X434" s="27">
        <v>0</v>
      </c>
      <c r="Y434" s="27">
        <v>0</v>
      </c>
    </row>
    <row r="435" spans="1:25" outlineLevel="1" x14ac:dyDescent="0.25">
      <c r="A435" t="s">
        <v>38</v>
      </c>
      <c r="B435" t="s">
        <v>155</v>
      </c>
      <c r="C435" s="7" t="s">
        <v>7</v>
      </c>
      <c r="D435" t="s">
        <v>117</v>
      </c>
      <c r="E435" s="25">
        <f t="shared" si="212"/>
        <v>1.1611058729540893E-4</v>
      </c>
      <c r="F435" s="25">
        <f t="shared" si="239"/>
        <v>2.015331159893307E-7</v>
      </c>
      <c r="G435" s="27">
        <v>0</v>
      </c>
      <c r="H435" s="25">
        <f t="shared" si="239"/>
        <v>4.417059495461405E-5</v>
      </c>
      <c r="I435" s="25">
        <f t="shared" si="239"/>
        <v>1.2389373895664067E-4</v>
      </c>
      <c r="J435" s="25">
        <f t="shared" si="239"/>
        <v>1.2389373895664067E-4</v>
      </c>
      <c r="K435" s="25">
        <f t="shared" si="239"/>
        <v>2.0008640611962362E-4</v>
      </c>
      <c r="L435" s="25">
        <f t="shared" si="239"/>
        <v>5.593974939437844E-6</v>
      </c>
      <c r="M435" s="27">
        <v>0</v>
      </c>
      <c r="N435" s="25">
        <f t="shared" ref="N435" si="246">N233/N$398</f>
        <v>1.7374049346648943E-4</v>
      </c>
      <c r="O435" s="25">
        <f t="shared" si="239"/>
        <v>1.7374049346648943E-4</v>
      </c>
      <c r="P435" s="27">
        <v>0</v>
      </c>
      <c r="Q435" s="25">
        <f t="shared" si="239"/>
        <v>1.6956658244715191E-4</v>
      </c>
      <c r="R435" s="25">
        <f t="shared" si="239"/>
        <v>1.6956658244715196E-4</v>
      </c>
      <c r="S435" s="27">
        <v>0</v>
      </c>
      <c r="T435" s="25">
        <f t="shared" si="239"/>
        <v>1.6956658244715199E-4</v>
      </c>
      <c r="U435" s="27">
        <v>0</v>
      </c>
      <c r="V435" s="25" t="e">
        <f t="shared" si="239"/>
        <v>#DIV/0!</v>
      </c>
      <c r="W435" s="25">
        <f t="shared" si="239"/>
        <v>1.0576069338504689E-4</v>
      </c>
      <c r="X435" s="27">
        <v>0</v>
      </c>
      <c r="Y435" s="27">
        <v>0</v>
      </c>
    </row>
    <row r="436" spans="1:25" outlineLevel="1" x14ac:dyDescent="0.25">
      <c r="A436" t="s">
        <v>38</v>
      </c>
      <c r="B436" t="s">
        <v>156</v>
      </c>
      <c r="C436" s="7" t="s">
        <v>8</v>
      </c>
      <c r="D436" t="s">
        <v>117</v>
      </c>
      <c r="E436" s="25">
        <f t="shared" si="212"/>
        <v>7.8959855310196977E-5</v>
      </c>
      <c r="F436" s="25">
        <f t="shared" si="239"/>
        <v>2.2655833819188424E-6</v>
      </c>
      <c r="G436" s="27">
        <v>0</v>
      </c>
      <c r="H436" s="25">
        <f t="shared" si="239"/>
        <v>4.248991414718079E-5</v>
      </c>
      <c r="I436" s="25">
        <f t="shared" si="239"/>
        <v>1.1067074129537507E-4</v>
      </c>
      <c r="J436" s="25">
        <f t="shared" si="239"/>
        <v>1.1067074129537507E-4</v>
      </c>
      <c r="K436" s="25">
        <f t="shared" si="239"/>
        <v>1.5113065037957951E-4</v>
      </c>
      <c r="L436" s="25">
        <f t="shared" si="239"/>
        <v>6.6568949633423667E-6</v>
      </c>
      <c r="M436" s="27">
        <v>0</v>
      </c>
      <c r="N436" s="25">
        <f t="shared" ref="N436" si="247">N234/N$398</f>
        <v>1.8268384661298284E-4</v>
      </c>
      <c r="O436" s="25">
        <f t="shared" si="239"/>
        <v>1.8268384661298284E-4</v>
      </c>
      <c r="P436" s="27">
        <v>0</v>
      </c>
      <c r="Q436" s="25">
        <f t="shared" si="239"/>
        <v>1.503769486311162E-4</v>
      </c>
      <c r="R436" s="25">
        <f t="shared" si="239"/>
        <v>1.5037694863111626E-4</v>
      </c>
      <c r="S436" s="27">
        <v>0</v>
      </c>
      <c r="T436" s="25">
        <f t="shared" si="239"/>
        <v>1.5037694863111626E-4</v>
      </c>
      <c r="U436" s="27">
        <v>0</v>
      </c>
      <c r="V436" s="25" t="e">
        <f t="shared" si="239"/>
        <v>#DIV/0!</v>
      </c>
      <c r="W436" s="25">
        <f t="shared" si="239"/>
        <v>1.0560292009804781E-4</v>
      </c>
      <c r="X436" s="27">
        <v>0</v>
      </c>
      <c r="Y436" s="27">
        <v>0</v>
      </c>
    </row>
    <row r="437" spans="1:25" outlineLevel="1" x14ac:dyDescent="0.25">
      <c r="A437" t="s">
        <v>38</v>
      </c>
      <c r="B437" t="s">
        <v>157</v>
      </c>
      <c r="C437" s="7" t="s">
        <v>9</v>
      </c>
      <c r="D437" t="s">
        <v>117</v>
      </c>
      <c r="E437" s="25">
        <f t="shared" si="212"/>
        <v>7.6252293438176862E-5</v>
      </c>
      <c r="F437" s="25">
        <f t="shared" si="239"/>
        <v>5.245393505619964E-6</v>
      </c>
      <c r="G437" s="27">
        <v>0</v>
      </c>
      <c r="H437" s="25">
        <f t="shared" si="239"/>
        <v>4.3184189596973028E-5</v>
      </c>
      <c r="I437" s="25">
        <f t="shared" si="239"/>
        <v>1.0290941658115396E-4</v>
      </c>
      <c r="J437" s="25">
        <f t="shared" si="239"/>
        <v>1.0290941658115396E-4</v>
      </c>
      <c r="K437" s="25">
        <f t="shared" si="239"/>
        <v>1.2472042380459663E-4</v>
      </c>
      <c r="L437" s="25">
        <f t="shared" si="239"/>
        <v>7.5132533965320532E-6</v>
      </c>
      <c r="M437" s="27">
        <v>0</v>
      </c>
      <c r="N437" s="25">
        <f t="shared" ref="N437" si="248">N235/N$398</f>
        <v>1.8201996492101847E-4</v>
      </c>
      <c r="O437" s="25">
        <f t="shared" si="239"/>
        <v>1.8201996492101847E-4</v>
      </c>
      <c r="P437" s="27">
        <v>0</v>
      </c>
      <c r="Q437" s="25">
        <f t="shared" si="239"/>
        <v>1.2141804669055322E-4</v>
      </c>
      <c r="R437" s="25">
        <f t="shared" si="239"/>
        <v>1.2141804669055325E-4</v>
      </c>
      <c r="S437" s="27">
        <v>0</v>
      </c>
      <c r="T437" s="25">
        <f t="shared" si="239"/>
        <v>1.2141804669055326E-4</v>
      </c>
      <c r="U437" s="27">
        <v>0</v>
      </c>
      <c r="V437" s="25" t="e">
        <f t="shared" si="239"/>
        <v>#DIV/0!</v>
      </c>
      <c r="W437" s="25">
        <f t="shared" si="239"/>
        <v>1.0518219133271695E-4</v>
      </c>
      <c r="X437" s="27">
        <v>0</v>
      </c>
      <c r="Y437" s="27">
        <v>0</v>
      </c>
    </row>
    <row r="438" spans="1:25" outlineLevel="1" x14ac:dyDescent="0.25">
      <c r="A438" t="s">
        <v>38</v>
      </c>
      <c r="B438" t="s">
        <v>158</v>
      </c>
      <c r="C438" s="7" t="s">
        <v>10</v>
      </c>
      <c r="D438" t="s">
        <v>117</v>
      </c>
      <c r="E438" s="25">
        <f t="shared" si="212"/>
        <v>7.9607242287842972E-5</v>
      </c>
      <c r="F438" s="25">
        <f t="shared" si="239"/>
        <v>9.0762776152126913E-6</v>
      </c>
      <c r="G438" s="27">
        <v>0</v>
      </c>
      <c r="H438" s="25">
        <f t="shared" si="239"/>
        <v>4.7270305737558771E-5</v>
      </c>
      <c r="I438" s="25">
        <f t="shared" si="239"/>
        <v>8.89269014324841E-5</v>
      </c>
      <c r="J438" s="25">
        <f t="shared" si="239"/>
        <v>8.89269014324841E-5</v>
      </c>
      <c r="K438" s="25">
        <f t="shared" si="239"/>
        <v>1.0483124033550176E-4</v>
      </c>
      <c r="L438" s="25">
        <f t="shared" si="239"/>
        <v>8.1204337881268012E-6</v>
      </c>
      <c r="M438" s="27">
        <v>0</v>
      </c>
      <c r="N438" s="25">
        <f t="shared" ref="N438" si="249">N236/N$398</f>
        <v>1.8144815360336005E-4</v>
      </c>
      <c r="O438" s="25">
        <f t="shared" si="239"/>
        <v>1.8144815360336005E-4</v>
      </c>
      <c r="P438" s="27">
        <v>0</v>
      </c>
      <c r="Q438" s="25">
        <f t="shared" si="239"/>
        <v>1.2141804669055322E-4</v>
      </c>
      <c r="R438" s="25">
        <f t="shared" si="239"/>
        <v>1.2141804669055325E-4</v>
      </c>
      <c r="S438" s="27">
        <v>0</v>
      </c>
      <c r="T438" s="25">
        <f t="shared" si="239"/>
        <v>1.2141804669055326E-4</v>
      </c>
      <c r="U438" s="27">
        <v>0</v>
      </c>
      <c r="V438" s="25" t="e">
        <f t="shared" si="239"/>
        <v>#DIV/0!</v>
      </c>
      <c r="W438" s="25">
        <f t="shared" si="239"/>
        <v>1.0486664475871881E-4</v>
      </c>
      <c r="X438" s="27">
        <v>0</v>
      </c>
      <c r="Y438" s="27">
        <v>0</v>
      </c>
    </row>
    <row r="439" spans="1:25" outlineLevel="1" x14ac:dyDescent="0.25">
      <c r="A439" t="s">
        <v>38</v>
      </c>
      <c r="B439" t="s">
        <v>159</v>
      </c>
      <c r="C439" s="7" t="s">
        <v>11</v>
      </c>
      <c r="D439" t="s">
        <v>117</v>
      </c>
      <c r="E439" s="25">
        <f t="shared" si="212"/>
        <v>8.1896383275104921E-5</v>
      </c>
      <c r="F439" s="25">
        <f t="shared" si="239"/>
        <v>1.2631637088928716E-5</v>
      </c>
      <c r="G439" s="27">
        <v>0</v>
      </c>
      <c r="H439" s="25">
        <f t="shared" si="239"/>
        <v>4.9950344651380482E-5</v>
      </c>
      <c r="I439" s="25">
        <f t="shared" si="239"/>
        <v>7.2196595627638504E-5</v>
      </c>
      <c r="J439" s="25">
        <f t="shared" si="239"/>
        <v>7.2196595627638504E-5</v>
      </c>
      <c r="K439" s="25">
        <f t="shared" si="239"/>
        <v>9.3819586035682348E-5</v>
      </c>
      <c r="L439" s="25">
        <f t="shared" si="239"/>
        <v>8.2895572245932933E-6</v>
      </c>
      <c r="M439" s="27">
        <v>0</v>
      </c>
      <c r="N439" s="25">
        <f t="shared" ref="N439" si="250">N237/N$398</f>
        <v>1.7838234438161116E-4</v>
      </c>
      <c r="O439" s="25">
        <f t="shared" si="239"/>
        <v>1.7838234438161116E-4</v>
      </c>
      <c r="P439" s="27">
        <v>0</v>
      </c>
      <c r="Q439" s="25">
        <f t="shared" si="239"/>
        <v>1.235114612886662E-4</v>
      </c>
      <c r="R439" s="25">
        <f t="shared" si="239"/>
        <v>1.2351146128866623E-4</v>
      </c>
      <c r="S439" s="27">
        <v>0</v>
      </c>
      <c r="T439" s="25">
        <f t="shared" si="239"/>
        <v>1.2351146128866626E-4</v>
      </c>
      <c r="U439" s="27">
        <v>0</v>
      </c>
      <c r="V439" s="25" t="e">
        <f t="shared" si="239"/>
        <v>#DIV/0!</v>
      </c>
      <c r="W439" s="25">
        <f t="shared" si="239"/>
        <v>1.0449850708905429E-4</v>
      </c>
      <c r="X439" s="27">
        <v>0</v>
      </c>
      <c r="Y439" s="27">
        <v>0</v>
      </c>
    </row>
    <row r="440" spans="1:25" outlineLevel="1" x14ac:dyDescent="0.25">
      <c r="A440" t="s">
        <v>38</v>
      </c>
      <c r="B440" t="s">
        <v>160</v>
      </c>
      <c r="C440" s="7" t="s">
        <v>12</v>
      </c>
      <c r="D440" t="s">
        <v>117</v>
      </c>
      <c r="E440" s="25">
        <f t="shared" si="212"/>
        <v>8.2606879231875757E-5</v>
      </c>
      <c r="F440" s="25">
        <f t="shared" si="239"/>
        <v>1.5992146694451429E-5</v>
      </c>
      <c r="G440" s="27">
        <v>0</v>
      </c>
      <c r="H440" s="25">
        <f t="shared" si="239"/>
        <v>5.0574723959522736E-5</v>
      </c>
      <c r="I440" s="25">
        <f t="shared" si="239"/>
        <v>6.3353989025314488E-5</v>
      </c>
      <c r="J440" s="25">
        <f t="shared" si="239"/>
        <v>6.3353989025314488E-5</v>
      </c>
      <c r="K440" s="25">
        <f t="shared" si="239"/>
        <v>8.630799575003539E-5</v>
      </c>
      <c r="L440" s="25">
        <f t="shared" si="239"/>
        <v>8.6709051892013553E-6</v>
      </c>
      <c r="M440" s="27">
        <v>0</v>
      </c>
      <c r="N440" s="25">
        <f t="shared" ref="N440" si="251">N238/N$398</f>
        <v>1.7855950531414256E-4</v>
      </c>
      <c r="O440" s="25">
        <f t="shared" si="239"/>
        <v>1.7855950531414256E-4</v>
      </c>
      <c r="P440" s="27">
        <v>0</v>
      </c>
      <c r="Q440" s="25">
        <f t="shared" si="239"/>
        <v>1.235114612886662E-4</v>
      </c>
      <c r="R440" s="25">
        <f t="shared" si="239"/>
        <v>1.2351146128866623E-4</v>
      </c>
      <c r="S440" s="27">
        <v>0</v>
      </c>
      <c r="T440" s="25">
        <f t="shared" si="239"/>
        <v>1.2351146128866626E-4</v>
      </c>
      <c r="U440" s="27">
        <v>0</v>
      </c>
      <c r="V440" s="25" t="e">
        <f t="shared" si="239"/>
        <v>#DIV/0!</v>
      </c>
      <c r="W440" s="25">
        <f t="shared" si="239"/>
        <v>1.0444591599338793E-4</v>
      </c>
      <c r="X440" s="27">
        <v>0</v>
      </c>
      <c r="Y440" s="27">
        <v>0</v>
      </c>
    </row>
    <row r="441" spans="1:25" outlineLevel="1" x14ac:dyDescent="0.25">
      <c r="A441" t="s">
        <v>38</v>
      </c>
      <c r="B441" t="s">
        <v>161</v>
      </c>
      <c r="C441" s="7" t="s">
        <v>13</v>
      </c>
      <c r="D441" t="s">
        <v>117</v>
      </c>
      <c r="E441" s="25">
        <f t="shared" si="212"/>
        <v>8.3976482161740557E-5</v>
      </c>
      <c r="F441" s="25">
        <f t="shared" si="239"/>
        <v>1.8410338277699213E-5</v>
      </c>
      <c r="G441" s="27">
        <v>0</v>
      </c>
      <c r="H441" s="25">
        <f t="shared" si="239"/>
        <v>5.1823482575807251E-5</v>
      </c>
      <c r="I441" s="25">
        <f t="shared" si="239"/>
        <v>6.2244366803745834E-5</v>
      </c>
      <c r="J441" s="25">
        <f t="shared" si="239"/>
        <v>6.2244366803745834E-5</v>
      </c>
      <c r="K441" s="25">
        <f t="shared" si="239"/>
        <v>8.0465672050880545E-5</v>
      </c>
      <c r="L441" s="25">
        <f t="shared" si="239"/>
        <v>8.9603070281240963E-6</v>
      </c>
      <c r="M441" s="27">
        <v>0</v>
      </c>
      <c r="N441" s="25">
        <f t="shared" ref="N441" si="252">N239/N$398</f>
        <v>1.784111273749039E-4</v>
      </c>
      <c r="O441" s="25">
        <f t="shared" si="239"/>
        <v>1.784111273749039E-4</v>
      </c>
      <c r="P441" s="27">
        <v>0</v>
      </c>
      <c r="Q441" s="25">
        <f t="shared" si="239"/>
        <v>1.2141804669055322E-4</v>
      </c>
      <c r="R441" s="25">
        <f t="shared" si="239"/>
        <v>1.2141804669055325E-4</v>
      </c>
      <c r="S441" s="27">
        <v>0</v>
      </c>
      <c r="T441" s="25">
        <f t="shared" si="239"/>
        <v>1.2141804669055326E-4</v>
      </c>
      <c r="U441" s="27">
        <v>0</v>
      </c>
      <c r="V441" s="25" t="e">
        <f t="shared" si="239"/>
        <v>#DIV/0!</v>
      </c>
      <c r="W441" s="25">
        <f t="shared" si="239"/>
        <v>1.04603689280387E-4</v>
      </c>
      <c r="X441" s="27">
        <v>0</v>
      </c>
      <c r="Y441" s="27">
        <v>0</v>
      </c>
    </row>
    <row r="442" spans="1:25" outlineLevel="1" x14ac:dyDescent="0.25">
      <c r="A442" t="s">
        <v>38</v>
      </c>
      <c r="B442" t="s">
        <v>162</v>
      </c>
      <c r="C442" s="7" t="s">
        <v>14</v>
      </c>
      <c r="D442" t="s">
        <v>117</v>
      </c>
      <c r="E442" s="25">
        <f t="shared" si="212"/>
        <v>8.7778154619717541E-5</v>
      </c>
      <c r="F442" s="25">
        <f t="shared" ref="F442:W454" si="253">F240/F$398</f>
        <v>1.8239579083514992E-5</v>
      </c>
      <c r="G442" s="27">
        <v>0</v>
      </c>
      <c r="H442" s="25">
        <f t="shared" si="253"/>
        <v>5.6038042905767475E-5</v>
      </c>
      <c r="I442" s="25">
        <f t="shared" si="253"/>
        <v>6.2912544997522545E-5</v>
      </c>
      <c r="J442" s="25">
        <f t="shared" si="253"/>
        <v>6.2912544997522545E-5</v>
      </c>
      <c r="K442" s="25">
        <f t="shared" si="253"/>
        <v>7.4938130406845919E-5</v>
      </c>
      <c r="L442" s="25">
        <f t="shared" si="253"/>
        <v>8.8669551201136987E-6</v>
      </c>
      <c r="M442" s="27">
        <v>0</v>
      </c>
      <c r="N442" s="25">
        <f t="shared" ref="N442" si="254">N240/N$398</f>
        <v>1.7845662448400348E-4</v>
      </c>
      <c r="O442" s="25">
        <f t="shared" si="253"/>
        <v>1.7845662448400348E-4</v>
      </c>
      <c r="P442" s="27">
        <v>0</v>
      </c>
      <c r="Q442" s="25">
        <f t="shared" si="253"/>
        <v>1.4409670483677724E-4</v>
      </c>
      <c r="R442" s="25">
        <f t="shared" si="253"/>
        <v>1.4409670483677727E-4</v>
      </c>
      <c r="S442" s="27">
        <v>0</v>
      </c>
      <c r="T442" s="25">
        <f t="shared" si="253"/>
        <v>1.4409670483677729E-4</v>
      </c>
      <c r="U442" s="27">
        <v>0</v>
      </c>
      <c r="V442" s="25" t="e">
        <f t="shared" si="253"/>
        <v>#DIV/0!</v>
      </c>
      <c r="W442" s="25">
        <f t="shared" si="253"/>
        <v>1.0544514681104874E-4</v>
      </c>
      <c r="X442" s="27">
        <v>0</v>
      </c>
      <c r="Y442" s="27">
        <v>0</v>
      </c>
    </row>
    <row r="443" spans="1:25" outlineLevel="1" x14ac:dyDescent="0.25">
      <c r="A443" t="s">
        <v>38</v>
      </c>
      <c r="B443" t="s">
        <v>163</v>
      </c>
      <c r="C443" s="7" t="s">
        <v>15</v>
      </c>
      <c r="D443" t="s">
        <v>117</v>
      </c>
      <c r="E443" s="25">
        <f t="shared" si="212"/>
        <v>9.2348496830052513E-5</v>
      </c>
      <c r="F443" s="25">
        <f t="shared" si="253"/>
        <v>1.6226872536828996E-5</v>
      </c>
      <c r="G443" s="27">
        <v>0</v>
      </c>
      <c r="H443" s="25">
        <f t="shared" si="253"/>
        <v>6.2437930814225595E-5</v>
      </c>
      <c r="I443" s="25">
        <f t="shared" si="253"/>
        <v>7.6045916605727145E-5</v>
      </c>
      <c r="J443" s="25">
        <f t="shared" si="253"/>
        <v>7.6045916605727145E-5</v>
      </c>
      <c r="K443" s="25">
        <f t="shared" si="253"/>
        <v>6.9528655900331432E-5</v>
      </c>
      <c r="L443" s="25">
        <f t="shared" si="253"/>
        <v>8.4402096903979872E-6</v>
      </c>
      <c r="M443" s="27">
        <v>0</v>
      </c>
      <c r="N443" s="25">
        <f t="shared" ref="N443" si="255">N241/N$398</f>
        <v>1.7257021234487764E-4</v>
      </c>
      <c r="O443" s="25">
        <f t="shared" si="253"/>
        <v>1.7257021234487764E-4</v>
      </c>
      <c r="P443" s="27">
        <v>0</v>
      </c>
      <c r="Q443" s="25">
        <f t="shared" si="253"/>
        <v>1.6642646054998244E-4</v>
      </c>
      <c r="R443" s="25">
        <f t="shared" si="253"/>
        <v>1.6642646054998246E-4</v>
      </c>
      <c r="S443" s="27">
        <v>0</v>
      </c>
      <c r="T443" s="25">
        <f t="shared" si="253"/>
        <v>1.6642646054998249E-4</v>
      </c>
      <c r="U443" s="27">
        <v>0</v>
      </c>
      <c r="V443" s="25" t="e">
        <f t="shared" si="253"/>
        <v>#DIV/0!</v>
      </c>
      <c r="W443" s="25">
        <f t="shared" si="253"/>
        <v>1.0649696872437591E-4</v>
      </c>
      <c r="X443" s="27">
        <v>0</v>
      </c>
      <c r="Y443" s="27">
        <v>0</v>
      </c>
    </row>
    <row r="444" spans="1:25" outlineLevel="1" x14ac:dyDescent="0.25">
      <c r="A444" t="s">
        <v>38</v>
      </c>
      <c r="B444" t="s">
        <v>164</v>
      </c>
      <c r="C444" s="7" t="s">
        <v>16</v>
      </c>
      <c r="D444" t="s">
        <v>117</v>
      </c>
      <c r="E444" s="25">
        <f t="shared" si="212"/>
        <v>9.7543642652259382E-5</v>
      </c>
      <c r="F444" s="25">
        <f t="shared" si="253"/>
        <v>1.3872711778657363E-5</v>
      </c>
      <c r="G444" s="27">
        <v>0</v>
      </c>
      <c r="H444" s="25">
        <f t="shared" si="253"/>
        <v>1.3517812021279841E-4</v>
      </c>
      <c r="I444" s="25">
        <f t="shared" si="253"/>
        <v>9.6010461279624087E-5</v>
      </c>
      <c r="J444" s="25">
        <f t="shared" si="253"/>
        <v>9.6010461279624087E-5</v>
      </c>
      <c r="K444" s="25">
        <f t="shared" si="253"/>
        <v>7.3384815053130674E-5</v>
      </c>
      <c r="L444" s="25">
        <f t="shared" si="253"/>
        <v>7.7257167734321826E-6</v>
      </c>
      <c r="M444" s="27">
        <v>0</v>
      </c>
      <c r="N444" s="25">
        <f t="shared" ref="N444" si="256">N242/N$398</f>
        <v>1.622401011581797E-4</v>
      </c>
      <c r="O444" s="25">
        <f t="shared" si="253"/>
        <v>1.622401011581797E-4</v>
      </c>
      <c r="P444" s="27">
        <v>0</v>
      </c>
      <c r="Q444" s="25">
        <f t="shared" si="253"/>
        <v>1.7584682624149087E-4</v>
      </c>
      <c r="R444" s="25">
        <f t="shared" si="253"/>
        <v>1.7584682624149093E-4</v>
      </c>
      <c r="S444" s="27">
        <v>0</v>
      </c>
      <c r="T444" s="25">
        <f t="shared" si="253"/>
        <v>1.7584682624149095E-4</v>
      </c>
      <c r="U444" s="27">
        <v>0</v>
      </c>
      <c r="V444" s="25" t="e">
        <f t="shared" si="253"/>
        <v>#DIV/0!</v>
      </c>
      <c r="W444" s="25">
        <f t="shared" si="253"/>
        <v>1.0665474201137499E-4</v>
      </c>
      <c r="X444" s="27">
        <v>0</v>
      </c>
      <c r="Y444" s="27">
        <v>0</v>
      </c>
    </row>
    <row r="445" spans="1:25" outlineLevel="1" x14ac:dyDescent="0.25">
      <c r="A445" t="s">
        <v>38</v>
      </c>
      <c r="B445" t="s">
        <v>165</v>
      </c>
      <c r="C445" s="7" t="s">
        <v>17</v>
      </c>
      <c r="D445" t="s">
        <v>117</v>
      </c>
      <c r="E445" s="25">
        <f t="shared" si="212"/>
        <v>1.0389498520358159E-4</v>
      </c>
      <c r="F445" s="25">
        <f t="shared" si="253"/>
        <v>9.9540049244338481E-6</v>
      </c>
      <c r="G445" s="27">
        <v>0</v>
      </c>
      <c r="H445" s="25">
        <f t="shared" si="253"/>
        <v>2.3804461122923509E-4</v>
      </c>
      <c r="I445" s="25">
        <f t="shared" si="253"/>
        <v>1.2389373895664067E-4</v>
      </c>
      <c r="J445" s="25">
        <f t="shared" si="253"/>
        <v>1.2389373895664067E-4</v>
      </c>
      <c r="K445" s="25">
        <f t="shared" si="253"/>
        <v>8.4413531981027473E-5</v>
      </c>
      <c r="L445" s="25">
        <f t="shared" si="253"/>
        <v>6.9676543249780005E-6</v>
      </c>
      <c r="M445" s="27">
        <v>0</v>
      </c>
      <c r="N445" s="25">
        <f t="shared" ref="N445" si="257">N243/N$398</f>
        <v>1.5437969672063857E-4</v>
      </c>
      <c r="O445" s="25">
        <f t="shared" si="253"/>
        <v>1.5437969672063857E-4</v>
      </c>
      <c r="P445" s="27">
        <v>0</v>
      </c>
      <c r="Q445" s="25">
        <f t="shared" si="253"/>
        <v>1.6223963135375644E-4</v>
      </c>
      <c r="R445" s="25">
        <f t="shared" si="253"/>
        <v>1.622396313537565E-4</v>
      </c>
      <c r="S445" s="27">
        <v>0</v>
      </c>
      <c r="T445" s="25">
        <f t="shared" si="253"/>
        <v>1.6223963135375652E-4</v>
      </c>
      <c r="U445" s="27">
        <v>0</v>
      </c>
      <c r="V445" s="25" t="e">
        <f t="shared" si="253"/>
        <v>#DIV/0!</v>
      </c>
      <c r="W445" s="25">
        <f t="shared" si="253"/>
        <v>1.0618142215037777E-4</v>
      </c>
      <c r="X445" s="27">
        <v>0</v>
      </c>
      <c r="Y445" s="27">
        <v>0</v>
      </c>
    </row>
    <row r="446" spans="1:25" outlineLevel="1" x14ac:dyDescent="0.25">
      <c r="A446" t="s">
        <v>38</v>
      </c>
      <c r="B446" t="s">
        <v>166</v>
      </c>
      <c r="C446" s="7" t="s">
        <v>18</v>
      </c>
      <c r="D446" t="s">
        <v>117</v>
      </c>
      <c r="E446" s="25">
        <f t="shared" si="212"/>
        <v>1.1208004676632424E-4</v>
      </c>
      <c r="F446" s="25">
        <f t="shared" si="253"/>
        <v>4.6797738684728537E-6</v>
      </c>
      <c r="G446" s="27">
        <v>0</v>
      </c>
      <c r="H446" s="25">
        <f t="shared" si="253"/>
        <v>2.6223930941974752E-4</v>
      </c>
      <c r="I446" s="25">
        <f t="shared" si="253"/>
        <v>1.2389373895664067E-4</v>
      </c>
      <c r="J446" s="25">
        <f t="shared" si="253"/>
        <v>1.2389373895664067E-4</v>
      </c>
      <c r="K446" s="25">
        <f t="shared" si="253"/>
        <v>1.0052748140884124E-4</v>
      </c>
      <c r="L446" s="25">
        <f t="shared" si="253"/>
        <v>6.0632757191884417E-6</v>
      </c>
      <c r="M446" s="27">
        <v>0</v>
      </c>
      <c r="N446" s="25">
        <f t="shared" ref="N446" si="258">N244/N$398</f>
        <v>1.2924547020644968E-4</v>
      </c>
      <c r="O446" s="25">
        <f t="shared" si="253"/>
        <v>1.2924547020644968E-4</v>
      </c>
      <c r="P446" s="27">
        <v>0</v>
      </c>
      <c r="Q446" s="25">
        <f t="shared" si="253"/>
        <v>1.32234022114137E-4</v>
      </c>
      <c r="R446" s="25">
        <f t="shared" si="253"/>
        <v>1.3223402211413703E-4</v>
      </c>
      <c r="S446" s="27">
        <v>0</v>
      </c>
      <c r="T446" s="25">
        <f t="shared" si="253"/>
        <v>1.3223402211413705E-4</v>
      </c>
      <c r="U446" s="27">
        <v>0</v>
      </c>
      <c r="V446" s="25" t="e">
        <f t="shared" si="253"/>
        <v>#DIV/0!</v>
      </c>
      <c r="W446" s="25">
        <f t="shared" si="253"/>
        <v>1.0555032900238145E-4</v>
      </c>
      <c r="X446" s="27">
        <v>0</v>
      </c>
      <c r="Y446" s="27">
        <v>0</v>
      </c>
    </row>
    <row r="447" spans="1:25" outlineLevel="1" x14ac:dyDescent="0.25">
      <c r="A447" t="s">
        <v>38</v>
      </c>
      <c r="B447" t="s">
        <v>167</v>
      </c>
      <c r="C447" s="7" t="s">
        <v>19</v>
      </c>
      <c r="D447" t="s">
        <v>117</v>
      </c>
      <c r="E447" s="25">
        <f t="shared" si="212"/>
        <v>1.1683354480370336E-4</v>
      </c>
      <c r="F447" s="25">
        <f t="shared" si="253"/>
        <v>3.8952712270182732E-7</v>
      </c>
      <c r="G447" s="27">
        <v>0</v>
      </c>
      <c r="H447" s="25">
        <f t="shared" si="253"/>
        <v>2.6629777492267218E-4</v>
      </c>
      <c r="I447" s="25">
        <f t="shared" si="253"/>
        <v>1.1153311070806629E-4</v>
      </c>
      <c r="J447" s="25">
        <f t="shared" si="253"/>
        <v>1.1153311070806629E-4</v>
      </c>
      <c r="K447" s="25">
        <f t="shared" si="253"/>
        <v>1.2211722394245254E-4</v>
      </c>
      <c r="L447" s="25">
        <f t="shared" si="253"/>
        <v>5.3480097839536607E-6</v>
      </c>
      <c r="M447" s="27">
        <v>0</v>
      </c>
      <c r="N447" s="25">
        <f t="shared" ref="N447" si="259">N245/N$398</f>
        <v>1.0722599021165343E-4</v>
      </c>
      <c r="O447" s="25">
        <f t="shared" si="253"/>
        <v>1.0722599021165343E-4</v>
      </c>
      <c r="P447" s="27">
        <v>0</v>
      </c>
      <c r="Q447" s="25">
        <f t="shared" si="253"/>
        <v>1.2106914425753439E-4</v>
      </c>
      <c r="R447" s="25">
        <f t="shared" si="253"/>
        <v>1.2106914425753443E-4</v>
      </c>
      <c r="S447" s="27">
        <v>0</v>
      </c>
      <c r="T447" s="25">
        <f t="shared" si="253"/>
        <v>1.2106914425753444E-4</v>
      </c>
      <c r="U447" s="27">
        <v>0</v>
      </c>
      <c r="V447" s="25" t="e">
        <f t="shared" si="253"/>
        <v>#DIV/0!</v>
      </c>
      <c r="W447" s="25">
        <f t="shared" si="253"/>
        <v>1.0481405366305245E-4</v>
      </c>
      <c r="X447" s="27">
        <v>0</v>
      </c>
      <c r="Y447" s="27">
        <v>0</v>
      </c>
    </row>
    <row r="448" spans="1:25" outlineLevel="1" x14ac:dyDescent="0.25">
      <c r="A448" t="s">
        <v>38</v>
      </c>
      <c r="B448" t="s">
        <v>168</v>
      </c>
      <c r="C448" s="7" t="s">
        <v>20</v>
      </c>
      <c r="D448" t="s">
        <v>117</v>
      </c>
      <c r="E448" s="25">
        <f t="shared" si="212"/>
        <v>1.0681689939962006E-4</v>
      </c>
      <c r="F448" s="25">
        <f t="shared" si="253"/>
        <v>1.5566434874824868E-7</v>
      </c>
      <c r="G448" s="27">
        <v>0</v>
      </c>
      <c r="H448" s="25">
        <f t="shared" si="253"/>
        <v>2.1806447336868292E-4</v>
      </c>
      <c r="I448" s="25">
        <f t="shared" si="253"/>
        <v>1.0290941658115396E-4</v>
      </c>
      <c r="J448" s="25">
        <f t="shared" si="253"/>
        <v>1.0290941658115396E-4</v>
      </c>
      <c r="K448" s="25">
        <f t="shared" si="253"/>
        <v>1.0318574686743771E-4</v>
      </c>
      <c r="L448" s="25">
        <f t="shared" si="253"/>
        <v>5.0026317017680817E-6</v>
      </c>
      <c r="M448" s="27">
        <v>0</v>
      </c>
      <c r="N448" s="25">
        <f t="shared" ref="N448" si="260">N246/N$398</f>
        <v>8.703808514244495E-5</v>
      </c>
      <c r="O448" s="25">
        <f t="shared" si="253"/>
        <v>8.703808514244495E-5</v>
      </c>
      <c r="P448" s="27">
        <v>0</v>
      </c>
      <c r="Q448" s="25">
        <f t="shared" si="253"/>
        <v>1.1304438829810126E-4</v>
      </c>
      <c r="R448" s="25">
        <f t="shared" si="253"/>
        <v>1.1304438829810131E-4</v>
      </c>
      <c r="S448" s="27">
        <v>0</v>
      </c>
      <c r="T448" s="25">
        <f t="shared" si="253"/>
        <v>1.1304438829810131E-4</v>
      </c>
      <c r="U448" s="27">
        <v>0</v>
      </c>
      <c r="V448" s="25" t="e">
        <f t="shared" si="253"/>
        <v>#DIV/0!</v>
      </c>
      <c r="W448" s="25">
        <f t="shared" si="253"/>
        <v>1.0397259613239071E-4</v>
      </c>
      <c r="X448" s="27">
        <v>0</v>
      </c>
      <c r="Y448" s="27">
        <v>0</v>
      </c>
    </row>
    <row r="449" spans="1:25" outlineLevel="1" x14ac:dyDescent="0.25">
      <c r="A449" t="s">
        <v>38</v>
      </c>
      <c r="B449" t="s">
        <v>169</v>
      </c>
      <c r="C449" s="7" t="s">
        <v>21</v>
      </c>
      <c r="D449" t="s">
        <v>117</v>
      </c>
      <c r="E449" s="25">
        <f t="shared" si="212"/>
        <v>8.6047682375468818E-5</v>
      </c>
      <c r="F449" s="25">
        <f t="shared" si="253"/>
        <v>1.6227456767762155E-7</v>
      </c>
      <c r="G449" s="27">
        <v>0</v>
      </c>
      <c r="H449" s="25">
        <f t="shared" si="253"/>
        <v>1.2971480126655369E-4</v>
      </c>
      <c r="I449" s="25">
        <f t="shared" si="253"/>
        <v>9.0675484772127492E-5</v>
      </c>
      <c r="J449" s="25">
        <f t="shared" si="253"/>
        <v>9.0675484772127492E-5</v>
      </c>
      <c r="K449" s="25">
        <f t="shared" si="253"/>
        <v>9.0735421411182227E-5</v>
      </c>
      <c r="L449" s="25">
        <f t="shared" si="253"/>
        <v>4.6244433914738079E-6</v>
      </c>
      <c r="M449" s="27">
        <v>0</v>
      </c>
      <c r="N449" s="25">
        <f t="shared" ref="N449" si="261">N247/N$398</f>
        <v>7.3252096200725428E-5</v>
      </c>
      <c r="O449" s="25">
        <f t="shared" si="253"/>
        <v>7.3252096200725428E-5</v>
      </c>
      <c r="P449" s="27">
        <v>0</v>
      </c>
      <c r="Q449" s="25">
        <f t="shared" si="253"/>
        <v>1.0673124300432863E-4</v>
      </c>
      <c r="R449" s="25">
        <f t="shared" si="253"/>
        <v>1.0673124300432867E-4</v>
      </c>
      <c r="S449" s="27">
        <v>0</v>
      </c>
      <c r="T449" s="25">
        <f t="shared" si="253"/>
        <v>1.0673124300432869E-4</v>
      </c>
      <c r="U449" s="27">
        <v>0</v>
      </c>
      <c r="V449" s="25" t="e">
        <f t="shared" si="253"/>
        <v>#DIV/0!</v>
      </c>
      <c r="W449" s="25">
        <f t="shared" si="253"/>
        <v>1.0307854750606261E-4</v>
      </c>
      <c r="X449" s="27">
        <v>0</v>
      </c>
      <c r="Y449" s="27">
        <v>0</v>
      </c>
    </row>
    <row r="450" spans="1:25" outlineLevel="1" x14ac:dyDescent="0.25">
      <c r="A450" t="s">
        <v>38</v>
      </c>
      <c r="B450" t="s">
        <v>170</v>
      </c>
      <c r="C450" s="7" t="s">
        <v>22</v>
      </c>
      <c r="D450" t="s">
        <v>117</v>
      </c>
      <c r="E450" s="25">
        <f t="shared" si="212"/>
        <v>8.1575519632455531E-5</v>
      </c>
      <c r="F450" s="25">
        <f t="shared" si="253"/>
        <v>1.6673596753085752E-7</v>
      </c>
      <c r="G450" s="27">
        <v>0</v>
      </c>
      <c r="H450" s="25">
        <f t="shared" si="253"/>
        <v>6.8213439414541461E-5</v>
      </c>
      <c r="I450" s="25">
        <f t="shared" si="253"/>
        <v>6.3502569525991773E-5</v>
      </c>
      <c r="J450" s="25">
        <f t="shared" si="253"/>
        <v>6.3502569525991773E-5</v>
      </c>
      <c r="K450" s="25">
        <f t="shared" si="253"/>
        <v>8.1466326624667453E-5</v>
      </c>
      <c r="L450" s="25">
        <f t="shared" si="253"/>
        <v>4.0868776924096173E-6</v>
      </c>
      <c r="M450" s="27">
        <v>0</v>
      </c>
      <c r="N450" s="25">
        <f t="shared" ref="N450" si="262">N248/N$398</f>
        <v>6.4003490208131903E-5</v>
      </c>
      <c r="O450" s="25">
        <f t="shared" si="253"/>
        <v>6.4003490208131903E-5</v>
      </c>
      <c r="P450" s="27">
        <v>0</v>
      </c>
      <c r="Q450" s="25">
        <f t="shared" si="253"/>
        <v>7.1854355687581487E-5</v>
      </c>
      <c r="R450" s="25">
        <f t="shared" si="253"/>
        <v>7.18543556875815E-5</v>
      </c>
      <c r="S450" s="27">
        <v>0</v>
      </c>
      <c r="T450" s="25">
        <f t="shared" si="253"/>
        <v>7.1854355687581527E-5</v>
      </c>
      <c r="U450" s="27">
        <v>0</v>
      </c>
      <c r="V450" s="25" t="e">
        <f t="shared" si="253"/>
        <v>#DIV/0!</v>
      </c>
      <c r="W450" s="25">
        <f t="shared" si="253"/>
        <v>1.0255263654939904E-4</v>
      </c>
      <c r="X450" s="27">
        <v>0</v>
      </c>
      <c r="Y450" s="27">
        <v>0</v>
      </c>
    </row>
    <row r="451" spans="1:25" outlineLevel="1" x14ac:dyDescent="0.25">
      <c r="A451" t="s">
        <v>39</v>
      </c>
      <c r="B451" t="s">
        <v>147</v>
      </c>
      <c r="C451" s="7" t="s">
        <v>34</v>
      </c>
      <c r="D451" t="s">
        <v>117</v>
      </c>
      <c r="E451" s="25">
        <f t="shared" si="212"/>
        <v>1.5545359344005134E-6</v>
      </c>
      <c r="F451" s="25">
        <f t="shared" si="253"/>
        <v>2.5161656280317361E-4</v>
      </c>
      <c r="G451" s="27">
        <v>0</v>
      </c>
      <c r="H451" s="25">
        <f t="shared" si="253"/>
        <v>4.7296732591775894E-5</v>
      </c>
      <c r="I451" s="25">
        <f t="shared" si="253"/>
        <v>3.1289231543522987E-5</v>
      </c>
      <c r="J451" s="25">
        <f t="shared" si="253"/>
        <v>3.1289231543522987E-5</v>
      </c>
      <c r="K451" s="25">
        <f t="shared" si="253"/>
        <v>2.6235673980403322E-6</v>
      </c>
      <c r="L451" s="25">
        <f t="shared" si="253"/>
        <v>2.4005226005430739E-4</v>
      </c>
      <c r="M451" s="27">
        <v>0</v>
      </c>
      <c r="N451" s="25">
        <f t="shared" ref="N451" si="263">N249/N$398</f>
        <v>5.3476561450787054E-5</v>
      </c>
      <c r="O451" s="25">
        <f t="shared" si="253"/>
        <v>5.3476561450787054E-5</v>
      </c>
      <c r="P451" s="27">
        <v>0</v>
      </c>
      <c r="Q451" s="25">
        <f t="shared" si="253"/>
        <v>4.5315842260235097E-5</v>
      </c>
      <c r="R451" s="25">
        <f t="shared" si="253"/>
        <v>4.5315842260235104E-5</v>
      </c>
      <c r="S451" s="27">
        <v>0</v>
      </c>
      <c r="T451" s="25">
        <f t="shared" si="253"/>
        <v>4.5315842260235117E-5</v>
      </c>
      <c r="U451" s="27">
        <v>0</v>
      </c>
      <c r="V451" s="25" t="e">
        <f t="shared" si="253"/>
        <v>#DIV/0!</v>
      </c>
      <c r="W451" s="25">
        <f t="shared" si="253"/>
        <v>1.014482235404055E-4</v>
      </c>
      <c r="X451" s="27">
        <v>0</v>
      </c>
      <c r="Y451" s="27">
        <v>0</v>
      </c>
    </row>
    <row r="452" spans="1:25" outlineLevel="1" x14ac:dyDescent="0.25">
      <c r="A452" t="s">
        <v>39</v>
      </c>
      <c r="B452" t="s">
        <v>148</v>
      </c>
      <c r="C452" s="7" t="s">
        <v>0</v>
      </c>
      <c r="D452" t="s">
        <v>117</v>
      </c>
      <c r="E452" s="25">
        <f t="shared" si="212"/>
        <v>1.5545359344005134E-6</v>
      </c>
      <c r="F452" s="25">
        <f t="shared" si="253"/>
        <v>2.255108962225715E-4</v>
      </c>
      <c r="G452" s="27">
        <v>0</v>
      </c>
      <c r="H452" s="25">
        <f t="shared" si="253"/>
        <v>4.3579345212561828E-5</v>
      </c>
      <c r="I452" s="25">
        <f t="shared" si="253"/>
        <v>2.1630150828651165E-5</v>
      </c>
      <c r="J452" s="25">
        <f t="shared" si="253"/>
        <v>2.1630150828651165E-5</v>
      </c>
      <c r="K452" s="25">
        <f t="shared" si="253"/>
        <v>2.6220104115311356E-6</v>
      </c>
      <c r="L452" s="25">
        <f t="shared" si="253"/>
        <v>2.2301808502538624E-4</v>
      </c>
      <c r="M452" s="27">
        <v>0</v>
      </c>
      <c r="N452" s="25">
        <f t="shared" ref="N452" si="264">N250/N$398</f>
        <v>5.2510553703495357E-5</v>
      </c>
      <c r="O452" s="25">
        <f t="shared" si="253"/>
        <v>5.2510553703495357E-5</v>
      </c>
      <c r="P452" s="27">
        <v>0</v>
      </c>
      <c r="Q452" s="25">
        <f t="shared" si="253"/>
        <v>4.4605965370014983E-5</v>
      </c>
      <c r="R452" s="25">
        <f t="shared" si="253"/>
        <v>4.4605965370014997E-5</v>
      </c>
      <c r="S452" s="27">
        <v>0</v>
      </c>
      <c r="T452" s="25">
        <f t="shared" si="253"/>
        <v>4.4605965370015003E-5</v>
      </c>
      <c r="U452" s="27">
        <v>0</v>
      </c>
      <c r="V452" s="25" t="e">
        <f t="shared" si="253"/>
        <v>#DIV/0!</v>
      </c>
      <c r="W452" s="25">
        <f t="shared" si="253"/>
        <v>1.0129045025340643E-4</v>
      </c>
      <c r="X452" s="27">
        <v>0</v>
      </c>
      <c r="Y452" s="27">
        <v>0</v>
      </c>
    </row>
    <row r="453" spans="1:25" outlineLevel="1" x14ac:dyDescent="0.25">
      <c r="A453" t="s">
        <v>39</v>
      </c>
      <c r="B453" t="s">
        <v>149</v>
      </c>
      <c r="C453" s="7" t="s">
        <v>1</v>
      </c>
      <c r="D453" t="s">
        <v>117</v>
      </c>
      <c r="E453" s="25">
        <f t="shared" si="212"/>
        <v>1.5545359344005134E-6</v>
      </c>
      <c r="F453" s="25">
        <f t="shared" si="253"/>
        <v>2.1712803654813913E-4</v>
      </c>
      <c r="G453" s="27">
        <v>0</v>
      </c>
      <c r="H453" s="25">
        <f t="shared" si="253"/>
        <v>4.315170314157038E-5</v>
      </c>
      <c r="I453" s="25">
        <f t="shared" si="253"/>
        <v>1.9644849959788749E-5</v>
      </c>
      <c r="J453" s="25">
        <f t="shared" si="253"/>
        <v>1.9644849959788749E-5</v>
      </c>
      <c r="K453" s="25">
        <f t="shared" si="253"/>
        <v>2.6760345454355284E-6</v>
      </c>
      <c r="L453" s="25">
        <f t="shared" si="253"/>
        <v>2.1616738419853751E-4</v>
      </c>
      <c r="M453" s="27">
        <v>0</v>
      </c>
      <c r="N453" s="25">
        <f t="shared" ref="N453" si="265">N251/N$398</f>
        <v>5.2247685549604812E-5</v>
      </c>
      <c r="O453" s="25">
        <f t="shared" si="253"/>
        <v>5.2247685549604812E-5</v>
      </c>
      <c r="P453" s="27">
        <v>0</v>
      </c>
      <c r="Q453" s="25">
        <f t="shared" si="253"/>
        <v>4.4423649892665316E-5</v>
      </c>
      <c r="R453" s="25">
        <f t="shared" si="253"/>
        <v>4.4423649892665336E-5</v>
      </c>
      <c r="S453" s="27">
        <v>0</v>
      </c>
      <c r="T453" s="25">
        <f t="shared" si="253"/>
        <v>4.4423649892665336E-5</v>
      </c>
      <c r="U453" s="27">
        <v>0</v>
      </c>
      <c r="V453" s="25" t="e">
        <f t="shared" si="253"/>
        <v>#DIV/0!</v>
      </c>
      <c r="W453" s="25">
        <f t="shared" si="253"/>
        <v>1.0129045025340643E-4</v>
      </c>
      <c r="X453" s="27">
        <v>0</v>
      </c>
      <c r="Y453" s="27">
        <v>0</v>
      </c>
    </row>
    <row r="454" spans="1:25" outlineLevel="1" x14ac:dyDescent="0.25">
      <c r="A454" t="s">
        <v>39</v>
      </c>
      <c r="B454" t="s">
        <v>150</v>
      </c>
      <c r="C454" s="7" t="s">
        <v>2</v>
      </c>
      <c r="D454" t="s">
        <v>117</v>
      </c>
      <c r="E454" s="25">
        <f t="shared" si="212"/>
        <v>1.5545359344005134E-6</v>
      </c>
      <c r="F454" s="25">
        <f t="shared" si="253"/>
        <v>2.2642039108878334E-4</v>
      </c>
      <c r="G454" s="27">
        <v>0</v>
      </c>
      <c r="H454" s="25">
        <f t="shared" si="253"/>
        <v>4.4113665610245919E-5</v>
      </c>
      <c r="I454" s="25">
        <f t="shared" si="253"/>
        <v>1.9199640252228066E-5</v>
      </c>
      <c r="J454" s="25">
        <f t="shared" si="253"/>
        <v>1.9199640252228066E-5</v>
      </c>
      <c r="K454" s="25">
        <f t="shared" si="253"/>
        <v>2.7253477970813266E-6</v>
      </c>
      <c r="L454" s="25">
        <f t="shared" si="253"/>
        <v>2.1681542346594211E-4</v>
      </c>
      <c r="M454" s="27">
        <v>0</v>
      </c>
      <c r="N454" s="25">
        <f t="shared" ref="N454" si="266">N252/N$398</f>
        <v>5.4553585056760258E-5</v>
      </c>
      <c r="O454" s="25">
        <f t="shared" si="253"/>
        <v>5.4553585056760258E-5</v>
      </c>
      <c r="P454" s="27">
        <v>0</v>
      </c>
      <c r="Q454" s="25">
        <f t="shared" si="253"/>
        <v>4.4591499875142019E-5</v>
      </c>
      <c r="R454" s="25">
        <f t="shared" si="253"/>
        <v>4.4591499875142033E-5</v>
      </c>
      <c r="S454" s="27">
        <v>0</v>
      </c>
      <c r="T454" s="25">
        <f t="shared" si="253"/>
        <v>4.4591499875142033E-5</v>
      </c>
      <c r="U454" s="27">
        <v>0</v>
      </c>
      <c r="V454" s="25" t="e">
        <f t="shared" ref="F454:W467" si="267">V252/V$398</f>
        <v>#DIV/0!</v>
      </c>
      <c r="W454" s="25">
        <f t="shared" si="267"/>
        <v>1.0129045025340643E-4</v>
      </c>
      <c r="X454" s="27">
        <v>0</v>
      </c>
      <c r="Y454" s="27">
        <v>0</v>
      </c>
    </row>
    <row r="455" spans="1:25" outlineLevel="1" x14ac:dyDescent="0.25">
      <c r="A455" t="s">
        <v>39</v>
      </c>
      <c r="B455" t="s">
        <v>151</v>
      </c>
      <c r="C455" s="7" t="s">
        <v>3</v>
      </c>
      <c r="D455" t="s">
        <v>117</v>
      </c>
      <c r="E455" s="25">
        <f t="shared" si="212"/>
        <v>1.5545359344005134E-6</v>
      </c>
      <c r="F455" s="25">
        <f t="shared" si="267"/>
        <v>2.4772396487527374E-4</v>
      </c>
      <c r="G455" s="27">
        <v>0</v>
      </c>
      <c r="H455" s="25">
        <f t="shared" si="267"/>
        <v>5.6662422213909736E-5</v>
      </c>
      <c r="I455" s="25">
        <f t="shared" si="267"/>
        <v>2.6940089877532628E-5</v>
      </c>
      <c r="J455" s="25">
        <f t="shared" si="267"/>
        <v>2.6940089877532628E-5</v>
      </c>
      <c r="K455" s="25">
        <f t="shared" si="267"/>
        <v>2.660928131177402E-6</v>
      </c>
      <c r="L455" s="25">
        <f t="shared" si="267"/>
        <v>2.2371241281189119E-4</v>
      </c>
      <c r="M455" s="27">
        <v>0</v>
      </c>
      <c r="N455" s="25">
        <f t="shared" ref="N455" si="268">N253/N$398</f>
        <v>5.7750844732255277E-5</v>
      </c>
      <c r="O455" s="25">
        <f t="shared" si="267"/>
        <v>5.7750844732255277E-5</v>
      </c>
      <c r="P455" s="27">
        <v>0</v>
      </c>
      <c r="Q455" s="25">
        <f t="shared" si="267"/>
        <v>4.4408605219753551E-5</v>
      </c>
      <c r="R455" s="25">
        <f t="shared" si="267"/>
        <v>4.4408605219753558E-5</v>
      </c>
      <c r="S455" s="27">
        <v>0</v>
      </c>
      <c r="T455" s="25">
        <f t="shared" si="267"/>
        <v>4.4408605219753564E-5</v>
      </c>
      <c r="U455" s="27">
        <v>0</v>
      </c>
      <c r="V455" s="25" t="e">
        <f t="shared" si="267"/>
        <v>#DIV/0!</v>
      </c>
      <c r="W455" s="25">
        <f t="shared" si="267"/>
        <v>1.0160599682740457E-4</v>
      </c>
      <c r="X455" s="27">
        <v>0</v>
      </c>
      <c r="Y455" s="27">
        <v>0</v>
      </c>
    </row>
    <row r="456" spans="1:25" outlineLevel="1" x14ac:dyDescent="0.25">
      <c r="A456" t="s">
        <v>39</v>
      </c>
      <c r="B456" t="s">
        <v>152</v>
      </c>
      <c r="C456" s="7" t="s">
        <v>4</v>
      </c>
      <c r="D456" t="s">
        <v>117</v>
      </c>
      <c r="E456" s="25">
        <f t="shared" si="212"/>
        <v>2.315091188091983E-6</v>
      </c>
      <c r="F456" s="25">
        <f t="shared" si="267"/>
        <v>2.71634664775007E-4</v>
      </c>
      <c r="G456" s="27">
        <v>0</v>
      </c>
      <c r="H456" s="25">
        <f t="shared" si="267"/>
        <v>7.6954749728533049E-5</v>
      </c>
      <c r="I456" s="25">
        <f t="shared" si="267"/>
        <v>5.9764968505317265E-5</v>
      </c>
      <c r="J456" s="25">
        <f t="shared" si="267"/>
        <v>5.9764968505317265E-5</v>
      </c>
      <c r="K456" s="25">
        <f t="shared" si="267"/>
        <v>3.5517552719694284E-6</v>
      </c>
      <c r="L456" s="25">
        <f t="shared" si="267"/>
        <v>2.4088545339811333E-4</v>
      </c>
      <c r="M456" s="27">
        <v>0</v>
      </c>
      <c r="N456" s="25">
        <f t="shared" ref="N456" si="269">N254/N$398</f>
        <v>6.7339730602471588E-5</v>
      </c>
      <c r="O456" s="25">
        <f t="shared" si="267"/>
        <v>6.7339730602471588E-5</v>
      </c>
      <c r="P456" s="27">
        <v>0</v>
      </c>
      <c r="Q456" s="25">
        <f t="shared" si="267"/>
        <v>4.5802892611607729E-5</v>
      </c>
      <c r="R456" s="25">
        <f t="shared" si="267"/>
        <v>4.5802892611607742E-5</v>
      </c>
      <c r="S456" s="27">
        <v>0</v>
      </c>
      <c r="T456" s="25">
        <f t="shared" si="267"/>
        <v>4.5802892611607749E-5</v>
      </c>
      <c r="U456" s="27">
        <v>0</v>
      </c>
      <c r="V456" s="25" t="e">
        <f t="shared" si="267"/>
        <v>#DIV/0!</v>
      </c>
      <c r="W456" s="25">
        <f t="shared" si="267"/>
        <v>1.023422721667336E-4</v>
      </c>
      <c r="X456" s="27">
        <v>0</v>
      </c>
      <c r="Y456" s="27">
        <v>0</v>
      </c>
    </row>
    <row r="457" spans="1:25" outlineLevel="1" x14ac:dyDescent="0.25">
      <c r="A457" t="s">
        <v>39</v>
      </c>
      <c r="B457" t="s">
        <v>153</v>
      </c>
      <c r="C457" s="7" t="s">
        <v>5</v>
      </c>
      <c r="D457" t="s">
        <v>117</v>
      </c>
      <c r="E457" s="25">
        <f t="shared" si="212"/>
        <v>2.6208211202556569E-6</v>
      </c>
      <c r="F457" s="25">
        <f t="shared" si="267"/>
        <v>2.7485409810114282E-4</v>
      </c>
      <c r="G457" s="27">
        <v>0</v>
      </c>
      <c r="H457" s="25">
        <f t="shared" si="267"/>
        <v>4.8501424077439996E-5</v>
      </c>
      <c r="I457" s="25">
        <f t="shared" si="267"/>
        <v>1.1728224012600786E-4</v>
      </c>
      <c r="J457" s="25">
        <f t="shared" si="267"/>
        <v>1.1728224012600786E-4</v>
      </c>
      <c r="K457" s="25">
        <f t="shared" si="267"/>
        <v>4.8162487603432046E-6</v>
      </c>
      <c r="L457" s="25">
        <f t="shared" si="267"/>
        <v>2.7574070828066124E-4</v>
      </c>
      <c r="M457" s="27">
        <v>0</v>
      </c>
      <c r="N457" s="25">
        <f t="shared" ref="N457" si="270">N255/N$398</f>
        <v>1.0115034390321793E-4</v>
      </c>
      <c r="O457" s="25">
        <f t="shared" si="267"/>
        <v>1.0115034390321793E-4</v>
      </c>
      <c r="P457" s="27">
        <v>0</v>
      </c>
      <c r="Q457" s="25">
        <f t="shared" si="267"/>
        <v>6.9063516527082837E-5</v>
      </c>
      <c r="R457" s="25">
        <f t="shared" si="267"/>
        <v>6.9063516527082864E-5</v>
      </c>
      <c r="S457" s="27">
        <v>0</v>
      </c>
      <c r="T457" s="25">
        <f t="shared" si="267"/>
        <v>6.9063516527082864E-5</v>
      </c>
      <c r="U457" s="27">
        <v>0</v>
      </c>
      <c r="V457" s="25" t="e">
        <f t="shared" si="267"/>
        <v>#DIV/0!</v>
      </c>
      <c r="W457" s="25">
        <f t="shared" si="267"/>
        <v>1.0355186736705985E-4</v>
      </c>
      <c r="X457" s="27">
        <v>0</v>
      </c>
      <c r="Y457" s="27">
        <v>0</v>
      </c>
    </row>
    <row r="458" spans="1:25" outlineLevel="1" x14ac:dyDescent="0.25">
      <c r="A458" t="s">
        <v>39</v>
      </c>
      <c r="B458" t="s">
        <v>154</v>
      </c>
      <c r="C458" s="7" t="s">
        <v>6</v>
      </c>
      <c r="D458" t="s">
        <v>117</v>
      </c>
      <c r="E458" s="25">
        <f t="shared" si="212"/>
        <v>2.6535561329959333E-6</v>
      </c>
      <c r="F458" s="25">
        <f t="shared" si="267"/>
        <v>2.5360933689525737E-4</v>
      </c>
      <c r="G458" s="27">
        <v>0</v>
      </c>
      <c r="H458" s="25">
        <f t="shared" si="267"/>
        <v>4.4219716435733877E-5</v>
      </c>
      <c r="I458" s="25">
        <f t="shared" si="267"/>
        <v>1.6155053664415787E-4</v>
      </c>
      <c r="J458" s="25">
        <f t="shared" si="267"/>
        <v>1.6155053664415787E-4</v>
      </c>
      <c r="K458" s="25">
        <f t="shared" si="267"/>
        <v>4.0078325509710721E-6</v>
      </c>
      <c r="L458" s="25">
        <f t="shared" si="267"/>
        <v>3.3142579675835736E-4</v>
      </c>
      <c r="M458" s="27">
        <v>0</v>
      </c>
      <c r="N458" s="25">
        <f t="shared" ref="N458" si="271">N256/N$398</f>
        <v>1.3828276504183678E-4</v>
      </c>
      <c r="O458" s="25">
        <f t="shared" si="267"/>
        <v>1.3828276504183678E-4</v>
      </c>
      <c r="P458" s="27">
        <v>0</v>
      </c>
      <c r="Q458" s="25">
        <f t="shared" si="267"/>
        <v>1.4584121700187138E-4</v>
      </c>
      <c r="R458" s="25">
        <f t="shared" si="267"/>
        <v>1.4584121700187146E-4</v>
      </c>
      <c r="S458" s="27">
        <v>0</v>
      </c>
      <c r="T458" s="25">
        <f t="shared" si="267"/>
        <v>1.4584121700187146E-4</v>
      </c>
      <c r="U458" s="27">
        <v>0</v>
      </c>
      <c r="V458" s="25" t="e">
        <f t="shared" si="267"/>
        <v>#DIV/0!</v>
      </c>
      <c r="W458" s="25">
        <f t="shared" si="267"/>
        <v>1.04603689280387E-4</v>
      </c>
      <c r="X458" s="27">
        <v>0</v>
      </c>
      <c r="Y458" s="27">
        <v>0</v>
      </c>
    </row>
    <row r="459" spans="1:25" outlineLevel="1" x14ac:dyDescent="0.25">
      <c r="A459" t="s">
        <v>39</v>
      </c>
      <c r="B459" t="s">
        <v>155</v>
      </c>
      <c r="C459" s="7" t="s">
        <v>7</v>
      </c>
      <c r="D459" t="s">
        <v>117</v>
      </c>
      <c r="E459" s="25">
        <f t="shared" si="212"/>
        <v>2.6328607519431041E-6</v>
      </c>
      <c r="F459" s="25">
        <f t="shared" si="267"/>
        <v>2.4763424780610208E-4</v>
      </c>
      <c r="G459" s="27">
        <v>0</v>
      </c>
      <c r="H459" s="25">
        <f t="shared" si="267"/>
        <v>4.3306343164817982E-5</v>
      </c>
      <c r="I459" s="25">
        <f t="shared" si="267"/>
        <v>1.0635889423191889E-4</v>
      </c>
      <c r="J459" s="25">
        <f t="shared" si="267"/>
        <v>1.0635889423191889E-4</v>
      </c>
      <c r="K459" s="25">
        <f t="shared" si="267"/>
        <v>2.9023756009831795E-6</v>
      </c>
      <c r="L459" s="25">
        <f t="shared" si="267"/>
        <v>4.0502454212788076E-4</v>
      </c>
      <c r="M459" s="27">
        <v>0</v>
      </c>
      <c r="N459" s="25">
        <f t="shared" ref="N459" si="272">N257/N$398</f>
        <v>1.7217177008235394E-4</v>
      </c>
      <c r="O459" s="25">
        <f t="shared" si="267"/>
        <v>1.7217177008235394E-4</v>
      </c>
      <c r="P459" s="27">
        <v>0</v>
      </c>
      <c r="Q459" s="25">
        <f t="shared" si="267"/>
        <v>1.604951191886623E-4</v>
      </c>
      <c r="R459" s="25">
        <f t="shared" si="267"/>
        <v>1.6049511918866236E-4</v>
      </c>
      <c r="S459" s="27">
        <v>0</v>
      </c>
      <c r="T459" s="25">
        <f t="shared" si="267"/>
        <v>1.6049511918866239E-4</v>
      </c>
      <c r="U459" s="27">
        <v>0</v>
      </c>
      <c r="V459" s="25" t="e">
        <f t="shared" si="267"/>
        <v>#DIV/0!</v>
      </c>
      <c r="W459" s="25">
        <f t="shared" si="267"/>
        <v>1.0497182695005152E-4</v>
      </c>
      <c r="X459" s="27">
        <v>0</v>
      </c>
      <c r="Y459" s="27">
        <v>0</v>
      </c>
    </row>
    <row r="460" spans="1:25" outlineLevel="1" x14ac:dyDescent="0.25">
      <c r="A460" t="s">
        <v>39</v>
      </c>
      <c r="B460" t="s">
        <v>156</v>
      </c>
      <c r="C460" s="7" t="s">
        <v>8</v>
      </c>
      <c r="D460" t="s">
        <v>117</v>
      </c>
      <c r="E460" s="25">
        <f t="shared" si="212"/>
        <v>1.8182571410621825E-6</v>
      </c>
      <c r="F460" s="25">
        <f t="shared" si="267"/>
        <v>2.5183894012810026E-4</v>
      </c>
      <c r="G460" s="27">
        <v>0</v>
      </c>
      <c r="H460" s="25">
        <f t="shared" si="267"/>
        <v>4.1658549976492828E-5</v>
      </c>
      <c r="I460" s="25">
        <f t="shared" si="267"/>
        <v>9.5148091866932848E-5</v>
      </c>
      <c r="J460" s="25">
        <f t="shared" si="267"/>
        <v>9.5148091866932848E-5</v>
      </c>
      <c r="K460" s="25">
        <f t="shared" si="267"/>
        <v>2.4538176815777902E-6</v>
      </c>
      <c r="L460" s="25">
        <f t="shared" si="267"/>
        <v>4.6103365023927921E-4</v>
      </c>
      <c r="M460" s="27">
        <v>0</v>
      </c>
      <c r="N460" s="25">
        <f t="shared" ref="N460" si="273">N258/N$398</f>
        <v>1.8127425754513077E-4</v>
      </c>
      <c r="O460" s="25">
        <f t="shared" si="267"/>
        <v>1.8127425754513077E-4</v>
      </c>
      <c r="P460" s="27">
        <v>0</v>
      </c>
      <c r="Q460" s="25">
        <f t="shared" si="267"/>
        <v>1.4200329023866427E-4</v>
      </c>
      <c r="R460" s="25">
        <f t="shared" si="267"/>
        <v>1.4200329023866427E-4</v>
      </c>
      <c r="S460" s="27">
        <v>0</v>
      </c>
      <c r="T460" s="25">
        <f t="shared" si="267"/>
        <v>1.4200329023866432E-4</v>
      </c>
      <c r="U460" s="27">
        <v>0</v>
      </c>
      <c r="V460" s="25" t="e">
        <f t="shared" si="267"/>
        <v>#DIV/0!</v>
      </c>
      <c r="W460" s="25">
        <f t="shared" si="267"/>
        <v>1.047614625673861E-4</v>
      </c>
      <c r="X460" s="27">
        <v>0</v>
      </c>
      <c r="Y460" s="27">
        <v>0</v>
      </c>
    </row>
    <row r="461" spans="1:25" outlineLevel="1" x14ac:dyDescent="0.25">
      <c r="A461" t="s">
        <v>39</v>
      </c>
      <c r="B461" t="s">
        <v>157</v>
      </c>
      <c r="C461" s="7" t="s">
        <v>9</v>
      </c>
      <c r="D461" t="s">
        <v>117</v>
      </c>
      <c r="E461" s="25">
        <f t="shared" si="212"/>
        <v>1.8336849168882206E-6</v>
      </c>
      <c r="F461" s="25">
        <f t="shared" si="267"/>
        <v>2.8414868112871768E-4</v>
      </c>
      <c r="G461" s="27">
        <v>0</v>
      </c>
      <c r="H461" s="25">
        <f t="shared" si="267"/>
        <v>4.233924049348817E-5</v>
      </c>
      <c r="I461" s="25">
        <f t="shared" si="267"/>
        <v>8.8824049507197131E-5</v>
      </c>
      <c r="J461" s="25">
        <f t="shared" si="267"/>
        <v>8.8824049507197131E-5</v>
      </c>
      <c r="K461" s="25">
        <f t="shared" si="267"/>
        <v>2.2081679103910037E-6</v>
      </c>
      <c r="L461" s="25">
        <f t="shared" si="267"/>
        <v>5.0037889147455899E-4</v>
      </c>
      <c r="M461" s="27">
        <v>0</v>
      </c>
      <c r="N461" s="25">
        <f t="shared" ref="N461" si="274">N259/N$398</f>
        <v>1.804662005073512E-4</v>
      </c>
      <c r="O461" s="25">
        <f t="shared" si="267"/>
        <v>1.804662005073512E-4</v>
      </c>
      <c r="P461" s="27">
        <v>0</v>
      </c>
      <c r="Q461" s="25">
        <f t="shared" si="267"/>
        <v>1.1374219316413892E-4</v>
      </c>
      <c r="R461" s="25">
        <f t="shared" si="267"/>
        <v>1.1374219316413895E-4</v>
      </c>
      <c r="S461" s="27">
        <v>0</v>
      </c>
      <c r="T461" s="25">
        <f t="shared" si="267"/>
        <v>1.1374219316413898E-4</v>
      </c>
      <c r="U461" s="27">
        <v>0</v>
      </c>
      <c r="V461" s="25" t="e">
        <f t="shared" si="267"/>
        <v>#DIV/0!</v>
      </c>
      <c r="W461" s="25">
        <f t="shared" si="267"/>
        <v>1.0434073380205522E-4</v>
      </c>
      <c r="X461" s="27">
        <v>0</v>
      </c>
      <c r="Y461" s="27">
        <v>0</v>
      </c>
    </row>
    <row r="462" spans="1:25" outlineLevel="1" x14ac:dyDescent="0.25">
      <c r="A462" t="s">
        <v>39</v>
      </c>
      <c r="B462" t="s">
        <v>158</v>
      </c>
      <c r="C462" s="7" t="s">
        <v>10</v>
      </c>
      <c r="D462" t="s">
        <v>117</v>
      </c>
      <c r="E462" s="25">
        <f t="shared" si="212"/>
        <v>1.9259873392198048E-6</v>
      </c>
      <c r="F462" s="25">
        <f t="shared" si="267"/>
        <v>3.5142375828068825E-4</v>
      </c>
      <c r="G462" s="27">
        <v>0</v>
      </c>
      <c r="H462" s="25">
        <f t="shared" si="267"/>
        <v>4.6413455964460718E-5</v>
      </c>
      <c r="I462" s="25">
        <f t="shared" si="267"/>
        <v>7.653187039347278E-5</v>
      </c>
      <c r="J462" s="25">
        <f t="shared" si="267"/>
        <v>7.653187039347278E-5</v>
      </c>
      <c r="K462" s="25">
        <f t="shared" si="267"/>
        <v>2.0129735281109416E-6</v>
      </c>
      <c r="L462" s="25">
        <f t="shared" si="267"/>
        <v>5.2352315102472367E-4</v>
      </c>
      <c r="M462" s="27">
        <v>0</v>
      </c>
      <c r="N462" s="25">
        <f t="shared" ref="N462" si="275">N260/N$398</f>
        <v>1.7989035613739457E-4</v>
      </c>
      <c r="O462" s="25">
        <f t="shared" si="267"/>
        <v>1.7989035613739457E-4</v>
      </c>
      <c r="P462" s="27">
        <v>0</v>
      </c>
      <c r="Q462" s="25">
        <f t="shared" si="267"/>
        <v>1.144399980301766E-4</v>
      </c>
      <c r="R462" s="25">
        <f t="shared" si="267"/>
        <v>1.1443999803017663E-4</v>
      </c>
      <c r="S462" s="27">
        <v>0</v>
      </c>
      <c r="T462" s="25">
        <f t="shared" si="267"/>
        <v>1.1443999803017664E-4</v>
      </c>
      <c r="U462" s="27">
        <v>0</v>
      </c>
      <c r="V462" s="25" t="e">
        <f t="shared" si="267"/>
        <v>#DIV/0!</v>
      </c>
      <c r="W462" s="25">
        <f t="shared" si="267"/>
        <v>1.0397259613239071E-4</v>
      </c>
      <c r="X462" s="27">
        <v>0</v>
      </c>
      <c r="Y462" s="27">
        <v>0</v>
      </c>
    </row>
    <row r="463" spans="1:25" outlineLevel="1" x14ac:dyDescent="0.25">
      <c r="A463" t="s">
        <v>39</v>
      </c>
      <c r="B463" t="s">
        <v>159</v>
      </c>
      <c r="C463" s="7" t="s">
        <v>11</v>
      </c>
      <c r="D463" t="s">
        <v>117</v>
      </c>
      <c r="E463" s="25">
        <f t="shared" si="212"/>
        <v>1.9825203354442237E-6</v>
      </c>
      <c r="F463" s="25">
        <f t="shared" si="267"/>
        <v>4.1006815119276781E-4</v>
      </c>
      <c r="G463" s="27">
        <v>0</v>
      </c>
      <c r="H463" s="25">
        <f t="shared" si="267"/>
        <v>4.8701586035095966E-5</v>
      </c>
      <c r="I463" s="25">
        <f t="shared" si="267"/>
        <v>6.2272520290505506E-5</v>
      </c>
      <c r="J463" s="25">
        <f t="shared" si="267"/>
        <v>6.2272520290505506E-5</v>
      </c>
      <c r="K463" s="25">
        <f t="shared" si="267"/>
        <v>1.9021532341536742E-6</v>
      </c>
      <c r="L463" s="25">
        <f t="shared" si="267"/>
        <v>5.2722623255274995E-4</v>
      </c>
      <c r="M463" s="27">
        <v>0</v>
      </c>
      <c r="N463" s="25">
        <f t="shared" ref="N463" si="276">N261/N$398</f>
        <v>1.7742368534078427E-4</v>
      </c>
      <c r="O463" s="25">
        <f t="shared" si="267"/>
        <v>1.7742368534078427E-4</v>
      </c>
      <c r="P463" s="27">
        <v>0</v>
      </c>
      <c r="Q463" s="25">
        <f t="shared" si="267"/>
        <v>1.1688231506130843E-4</v>
      </c>
      <c r="R463" s="25">
        <f t="shared" si="267"/>
        <v>1.1688231506130845E-4</v>
      </c>
      <c r="S463" s="27">
        <v>0</v>
      </c>
      <c r="T463" s="25">
        <f t="shared" si="267"/>
        <v>1.1688231506130847E-4</v>
      </c>
      <c r="U463" s="27">
        <v>0</v>
      </c>
      <c r="V463" s="25" t="e">
        <f t="shared" si="267"/>
        <v>#DIV/0!</v>
      </c>
      <c r="W463" s="25">
        <f t="shared" si="267"/>
        <v>1.0365704955839256E-4</v>
      </c>
      <c r="X463" s="27">
        <v>0</v>
      </c>
      <c r="Y463" s="27">
        <v>0</v>
      </c>
    </row>
    <row r="464" spans="1:25" outlineLevel="1" x14ac:dyDescent="0.25">
      <c r="A464" t="s">
        <v>39</v>
      </c>
      <c r="B464" t="s">
        <v>160</v>
      </c>
      <c r="C464" s="7" t="s">
        <v>12</v>
      </c>
      <c r="D464" t="s">
        <v>117</v>
      </c>
      <c r="E464" s="25">
        <f t="shared" si="212"/>
        <v>1.9984211729047065E-6</v>
      </c>
      <c r="F464" s="25">
        <f t="shared" si="267"/>
        <v>4.4127139421391203E-4</v>
      </c>
      <c r="G464" s="27">
        <v>0</v>
      </c>
      <c r="H464" s="25">
        <f t="shared" si="267"/>
        <v>4.9638154997309348E-5</v>
      </c>
      <c r="I464" s="25">
        <f t="shared" si="267"/>
        <v>5.4645409002546237E-5</v>
      </c>
      <c r="J464" s="25">
        <f t="shared" si="267"/>
        <v>5.4645409002546237E-5</v>
      </c>
      <c r="K464" s="25">
        <f t="shared" si="267"/>
        <v>1.8094526527599579E-6</v>
      </c>
      <c r="L464" s="25">
        <f t="shared" si="267"/>
        <v>5.4342721423786516E-4</v>
      </c>
      <c r="M464" s="27">
        <v>0</v>
      </c>
      <c r="N464" s="25">
        <f t="shared" ref="N464" si="277">N262/N$398</f>
        <v>1.7684088401157707E-4</v>
      </c>
      <c r="O464" s="25">
        <f t="shared" si="267"/>
        <v>1.7684088401157707E-4</v>
      </c>
      <c r="P464" s="27">
        <v>0</v>
      </c>
      <c r="Q464" s="25">
        <f t="shared" si="267"/>
        <v>1.1583560776225193E-4</v>
      </c>
      <c r="R464" s="25">
        <f t="shared" si="267"/>
        <v>1.1583560776225195E-4</v>
      </c>
      <c r="S464" s="27">
        <v>0</v>
      </c>
      <c r="T464" s="25">
        <f t="shared" si="267"/>
        <v>1.1583560776225199E-4</v>
      </c>
      <c r="U464" s="27">
        <v>0</v>
      </c>
      <c r="V464" s="25" t="e">
        <f t="shared" si="267"/>
        <v>#DIV/0!</v>
      </c>
      <c r="W464" s="25">
        <f t="shared" si="267"/>
        <v>1.0355186736705985E-4</v>
      </c>
      <c r="X464" s="27">
        <v>0</v>
      </c>
      <c r="Y464" s="27">
        <v>0</v>
      </c>
    </row>
    <row r="465" spans="1:25" outlineLevel="1" x14ac:dyDescent="0.25">
      <c r="A465" t="s">
        <v>39</v>
      </c>
      <c r="B465" t="s">
        <v>161</v>
      </c>
      <c r="C465" s="7" t="s">
        <v>13</v>
      </c>
      <c r="D465" t="s">
        <v>117</v>
      </c>
      <c r="E465" s="25">
        <f t="shared" si="212"/>
        <v>2.0273546453033182E-6</v>
      </c>
      <c r="F465" s="25">
        <f t="shared" si="267"/>
        <v>4.6738474652947951E-4</v>
      </c>
      <c r="G465" s="27">
        <v>0</v>
      </c>
      <c r="H465" s="25">
        <f t="shared" si="267"/>
        <v>5.1043008440629427E-5</v>
      </c>
      <c r="I465" s="25">
        <f t="shared" si="267"/>
        <v>5.3688316933564996E-5</v>
      </c>
      <c r="J465" s="25">
        <f t="shared" si="267"/>
        <v>5.3688316933564996E-5</v>
      </c>
      <c r="K465" s="25">
        <f t="shared" si="267"/>
        <v>1.7281161635353732E-6</v>
      </c>
      <c r="L465" s="25">
        <f t="shared" si="267"/>
        <v>5.545364588219442E-4</v>
      </c>
      <c r="M465" s="27">
        <v>0</v>
      </c>
      <c r="N465" s="25">
        <f t="shared" ref="N465" si="278">N263/N$398</f>
        <v>1.7672858616750054E-4</v>
      </c>
      <c r="O465" s="25">
        <f t="shared" si="267"/>
        <v>1.7672858616750054E-4</v>
      </c>
      <c r="P465" s="27">
        <v>0</v>
      </c>
      <c r="Q465" s="25">
        <f t="shared" si="267"/>
        <v>1.144399980301766E-4</v>
      </c>
      <c r="R465" s="25">
        <f t="shared" si="267"/>
        <v>1.1443999803017663E-4</v>
      </c>
      <c r="S465" s="27">
        <v>0</v>
      </c>
      <c r="T465" s="25">
        <f t="shared" si="267"/>
        <v>1.1443999803017664E-4</v>
      </c>
      <c r="U465" s="27">
        <v>0</v>
      </c>
      <c r="V465" s="25" t="e">
        <f t="shared" si="267"/>
        <v>#DIV/0!</v>
      </c>
      <c r="W465" s="25">
        <f t="shared" si="267"/>
        <v>1.0370964065405892E-4</v>
      </c>
      <c r="X465" s="27">
        <v>0</v>
      </c>
      <c r="Y465" s="27">
        <v>0</v>
      </c>
    </row>
    <row r="466" spans="1:25" outlineLevel="1" x14ac:dyDescent="0.25">
      <c r="A466" t="s">
        <v>39</v>
      </c>
      <c r="B466" t="s">
        <v>162</v>
      </c>
      <c r="C466" s="7" t="s">
        <v>14</v>
      </c>
      <c r="D466" t="s">
        <v>117</v>
      </c>
      <c r="E466" s="25">
        <f t="shared" si="212"/>
        <v>2.1208077580970654E-6</v>
      </c>
      <c r="F466" s="25">
        <f t="shared" si="267"/>
        <v>5.0345658066030586E-4</v>
      </c>
      <c r="G466" s="27">
        <v>0</v>
      </c>
      <c r="H466" s="25">
        <f t="shared" si="267"/>
        <v>5.494537911651853E-5</v>
      </c>
      <c r="I466" s="25">
        <f t="shared" si="267"/>
        <v>5.426464416119597E-5</v>
      </c>
      <c r="J466" s="25">
        <f t="shared" si="267"/>
        <v>5.426464416119597E-5</v>
      </c>
      <c r="K466" s="25">
        <f t="shared" si="267"/>
        <v>1.6451636715905412E-6</v>
      </c>
      <c r="L466" s="25">
        <f t="shared" si="267"/>
        <v>5.5175914767592441E-4</v>
      </c>
      <c r="M466" s="27">
        <v>0</v>
      </c>
      <c r="N466" s="25">
        <f t="shared" ref="N466" si="279">N264/N$398</f>
        <v>1.7708767285687599E-4</v>
      </c>
      <c r="O466" s="25">
        <f t="shared" si="267"/>
        <v>1.7708767285687599E-4</v>
      </c>
      <c r="P466" s="27">
        <v>0</v>
      </c>
      <c r="Q466" s="25">
        <f t="shared" si="267"/>
        <v>1.3537414401130647E-4</v>
      </c>
      <c r="R466" s="25">
        <f t="shared" si="267"/>
        <v>1.353741440113065E-4</v>
      </c>
      <c r="S466" s="27">
        <v>0</v>
      </c>
      <c r="T466" s="25">
        <f t="shared" si="267"/>
        <v>1.3537414401130652E-4</v>
      </c>
      <c r="U466" s="27">
        <v>0</v>
      </c>
      <c r="V466" s="25" t="e">
        <f t="shared" si="267"/>
        <v>#DIV/0!</v>
      </c>
      <c r="W466" s="25">
        <f t="shared" si="267"/>
        <v>1.0465628037605337E-4</v>
      </c>
      <c r="X466" s="27">
        <v>0</v>
      </c>
      <c r="Y466" s="27">
        <v>0</v>
      </c>
    </row>
    <row r="467" spans="1:25" outlineLevel="1" x14ac:dyDescent="0.25">
      <c r="A467" t="s">
        <v>39</v>
      </c>
      <c r="B467" t="s">
        <v>163</v>
      </c>
      <c r="C467" s="7" t="s">
        <v>15</v>
      </c>
      <c r="D467" t="s">
        <v>117</v>
      </c>
      <c r="E467" s="25">
        <f t="shared" si="212"/>
        <v>2.2334262598106175E-6</v>
      </c>
      <c r="F467" s="25">
        <f t="shared" si="267"/>
        <v>5.2735693701692692E-4</v>
      </c>
      <c r="G467" s="27">
        <v>0</v>
      </c>
      <c r="H467" s="25">
        <f t="shared" si="267"/>
        <v>5.9940413581656571E-5</v>
      </c>
      <c r="I467" s="25">
        <f t="shared" si="267"/>
        <v>6.5592717268049186E-5</v>
      </c>
      <c r="J467" s="25">
        <f t="shared" si="267"/>
        <v>6.5592717268049186E-5</v>
      </c>
      <c r="K467" s="25">
        <f t="shared" si="267"/>
        <v>1.5809575055089479E-6</v>
      </c>
      <c r="L467" s="25">
        <f t="shared" si="267"/>
        <v>5.3555816599080931E-4</v>
      </c>
      <c r="M467" s="27">
        <v>0</v>
      </c>
      <c r="N467" s="25">
        <f t="shared" ref="N467" si="280">N265/N$398</f>
        <v>1.716723702623305E-4</v>
      </c>
      <c r="O467" s="25">
        <f t="shared" si="267"/>
        <v>1.716723702623305E-4</v>
      </c>
      <c r="P467" s="27">
        <v>0</v>
      </c>
      <c r="Q467" s="25">
        <f t="shared" ref="Q467:W468" si="281">Q265/Q$398</f>
        <v>1.5735499729149284E-4</v>
      </c>
      <c r="R467" s="25">
        <f t="shared" si="281"/>
        <v>1.5735499729149286E-4</v>
      </c>
      <c r="S467" s="27">
        <v>0</v>
      </c>
      <c r="T467" s="25">
        <f t="shared" si="281"/>
        <v>1.5735499729149289E-4</v>
      </c>
      <c r="U467" s="27">
        <v>0</v>
      </c>
      <c r="V467" s="25" t="e">
        <f t="shared" si="281"/>
        <v>#DIV/0!</v>
      </c>
      <c r="W467" s="25">
        <f t="shared" si="281"/>
        <v>1.0565551119371418E-4</v>
      </c>
      <c r="X467" s="27">
        <v>0</v>
      </c>
      <c r="Y467" s="27">
        <v>0</v>
      </c>
    </row>
    <row r="468" spans="1:25" outlineLevel="1" x14ac:dyDescent="0.25">
      <c r="A468" t="s">
        <v>39</v>
      </c>
      <c r="B468" t="s">
        <v>164</v>
      </c>
      <c r="C468" s="7" t="s">
        <v>16</v>
      </c>
      <c r="D468" t="s">
        <v>117</v>
      </c>
      <c r="E468" s="25">
        <f t="shared" ref="E468:T531" si="282">E266/E$398</f>
        <v>2.35714679357578E-6</v>
      </c>
      <c r="F468" s="25">
        <f t="shared" si="282"/>
        <v>5.3842191681165901E-4</v>
      </c>
      <c r="G468" s="27">
        <v>0</v>
      </c>
      <c r="H468" s="25">
        <f t="shared" si="282"/>
        <v>7.4145042841892891E-5</v>
      </c>
      <c r="I468" s="25">
        <f t="shared" si="282"/>
        <v>8.3052245522831209E-5</v>
      </c>
      <c r="J468" s="25">
        <f t="shared" si="282"/>
        <v>8.3052245522831209E-5</v>
      </c>
      <c r="K468" s="25">
        <f t="shared" si="282"/>
        <v>1.5987265923480197E-6</v>
      </c>
      <c r="L468" s="25">
        <f t="shared" si="282"/>
        <v>5.0593351376659857E-4</v>
      </c>
      <c r="M468" s="27">
        <v>0</v>
      </c>
      <c r="N468" s="25">
        <f t="shared" ref="N468" si="283">N266/N$398</f>
        <v>1.6130311757908228E-4</v>
      </c>
      <c r="O468" s="25">
        <f t="shared" si="282"/>
        <v>1.6130311757908228E-4</v>
      </c>
      <c r="P468" s="27">
        <v>0</v>
      </c>
      <c r="Q468" s="25">
        <f t="shared" si="282"/>
        <v>1.6677536298300127E-4</v>
      </c>
      <c r="R468" s="25">
        <f t="shared" si="282"/>
        <v>1.6677536298300132E-4</v>
      </c>
      <c r="S468" s="27">
        <v>0</v>
      </c>
      <c r="T468" s="25">
        <f t="shared" si="282"/>
        <v>1.6677536298300135E-4</v>
      </c>
      <c r="U468" s="27">
        <v>0</v>
      </c>
      <c r="V468" s="25" t="e">
        <f t="shared" si="281"/>
        <v>#DIV/0!</v>
      </c>
      <c r="W468" s="25">
        <f t="shared" si="281"/>
        <v>1.0591846667204598E-4</v>
      </c>
      <c r="X468" s="27">
        <v>0</v>
      </c>
      <c r="Y468" s="27">
        <v>0</v>
      </c>
    </row>
    <row r="469" spans="1:25" outlineLevel="1" x14ac:dyDescent="0.25">
      <c r="A469" t="s">
        <v>39</v>
      </c>
      <c r="B469" t="s">
        <v>165</v>
      </c>
      <c r="C469" s="7" t="s">
        <v>17</v>
      </c>
      <c r="D469" t="s">
        <v>117</v>
      </c>
      <c r="E469" s="25">
        <f t="shared" si="282"/>
        <v>2.4978634516487433E-6</v>
      </c>
      <c r="F469" s="25">
        <f t="shared" ref="F469:W481" si="284">F267/F$398</f>
        <v>5.3908581559934286E-4</v>
      </c>
      <c r="G469" s="27">
        <v>0</v>
      </c>
      <c r="H469" s="25">
        <f t="shared" si="284"/>
        <v>1.8856255105896129E-4</v>
      </c>
      <c r="I469" s="25">
        <f t="shared" si="284"/>
        <v>1.0635889423191889E-4</v>
      </c>
      <c r="J469" s="25">
        <f t="shared" si="284"/>
        <v>1.0635889423191889E-4</v>
      </c>
      <c r="K469" s="25">
        <f t="shared" si="284"/>
        <v>1.7485201506207783E-6</v>
      </c>
      <c r="L469" s="25">
        <f t="shared" si="284"/>
        <v>4.7399443558737134E-4</v>
      </c>
      <c r="M469" s="27">
        <v>0</v>
      </c>
      <c r="N469" s="25">
        <f t="shared" ref="N469" si="285">N267/N$398</f>
        <v>1.5328127770801212E-4</v>
      </c>
      <c r="O469" s="25">
        <f t="shared" si="284"/>
        <v>1.5328127770801212E-4</v>
      </c>
      <c r="P469" s="27">
        <v>0</v>
      </c>
      <c r="Q469" s="25">
        <f t="shared" si="284"/>
        <v>1.5421487539432334E-4</v>
      </c>
      <c r="R469" s="25">
        <f t="shared" si="284"/>
        <v>1.5421487539432339E-4</v>
      </c>
      <c r="S469" s="27">
        <v>0</v>
      </c>
      <c r="T469" s="25">
        <f t="shared" si="284"/>
        <v>1.5421487539432339E-4</v>
      </c>
      <c r="U469" s="27">
        <v>0</v>
      </c>
      <c r="V469" s="25" t="e">
        <f t="shared" si="284"/>
        <v>#DIV/0!</v>
      </c>
      <c r="W469" s="25">
        <f t="shared" si="284"/>
        <v>1.0533996461971603E-4</v>
      </c>
      <c r="X469" s="27">
        <v>0</v>
      </c>
      <c r="Y469" s="27">
        <v>0</v>
      </c>
    </row>
    <row r="470" spans="1:25" outlineLevel="1" x14ac:dyDescent="0.25">
      <c r="A470" t="s">
        <v>39</v>
      </c>
      <c r="B470" t="s">
        <v>166</v>
      </c>
      <c r="C470" s="7" t="s">
        <v>18</v>
      </c>
      <c r="D470" t="s">
        <v>117</v>
      </c>
      <c r="E470" s="25">
        <f t="shared" si="282"/>
        <v>2.6219632870847672E-6</v>
      </c>
      <c r="F470" s="25">
        <f t="shared" si="284"/>
        <v>5.2138184792777163E-4</v>
      </c>
      <c r="G470" s="27">
        <v>0</v>
      </c>
      <c r="H470" s="25">
        <f t="shared" si="284"/>
        <v>2.5708818012757387E-4</v>
      </c>
      <c r="I470" s="25">
        <f t="shared" si="284"/>
        <v>1.0693380717371304E-4</v>
      </c>
      <c r="J470" s="25">
        <f t="shared" si="284"/>
        <v>1.0693380717371304E-4</v>
      </c>
      <c r="K470" s="25">
        <f t="shared" si="284"/>
        <v>1.9218177828300291E-6</v>
      </c>
      <c r="L470" s="25">
        <f t="shared" si="284"/>
        <v>4.3326053877908161E-4</v>
      </c>
      <c r="M470" s="27">
        <v>0</v>
      </c>
      <c r="N470" s="25">
        <f t="shared" ref="N470" si="286">N268/N$398</f>
        <v>1.2817412935036695E-4</v>
      </c>
      <c r="O470" s="25">
        <f t="shared" si="284"/>
        <v>1.2817412935036695E-4</v>
      </c>
      <c r="P470" s="27">
        <v>0</v>
      </c>
      <c r="Q470" s="25">
        <f t="shared" si="284"/>
        <v>1.2525597345376037E-4</v>
      </c>
      <c r="R470" s="25">
        <f t="shared" si="284"/>
        <v>1.252559734537604E-4</v>
      </c>
      <c r="S470" s="27">
        <v>0</v>
      </c>
      <c r="T470" s="25">
        <f t="shared" si="284"/>
        <v>1.2525597345376042E-4</v>
      </c>
      <c r="U470" s="27">
        <v>0</v>
      </c>
      <c r="V470" s="25" t="e">
        <f t="shared" si="284"/>
        <v>#DIV/0!</v>
      </c>
      <c r="W470" s="25">
        <f t="shared" si="284"/>
        <v>1.0465628037605337E-4</v>
      </c>
      <c r="X470" s="27">
        <v>0</v>
      </c>
      <c r="Y470" s="27">
        <v>0</v>
      </c>
    </row>
    <row r="471" spans="1:25" outlineLevel="1" x14ac:dyDescent="0.25">
      <c r="A471" t="s">
        <v>39</v>
      </c>
      <c r="B471" t="s">
        <v>167</v>
      </c>
      <c r="C471" s="7" t="s">
        <v>19</v>
      </c>
      <c r="D471" t="s">
        <v>117</v>
      </c>
      <c r="E471" s="25">
        <f t="shared" si="282"/>
        <v>2.6494605273139378E-6</v>
      </c>
      <c r="F471" s="25">
        <f t="shared" si="284"/>
        <v>4.7889232551600084E-4</v>
      </c>
      <c r="G471" s="27">
        <v>0</v>
      </c>
      <c r="H471" s="25">
        <f t="shared" si="284"/>
        <v>2.6130274045753414E-4</v>
      </c>
      <c r="I471" s="25">
        <f t="shared" si="284"/>
        <v>9.6010461279624087E-5</v>
      </c>
      <c r="J471" s="25">
        <f t="shared" si="284"/>
        <v>9.6010461279624087E-5</v>
      </c>
      <c r="K471" s="25">
        <f t="shared" si="284"/>
        <v>2.3636895126775294E-6</v>
      </c>
      <c r="L471" s="25">
        <f t="shared" si="284"/>
        <v>3.9484106792580837E-4</v>
      </c>
      <c r="M471" s="27">
        <v>0</v>
      </c>
      <c r="N471" s="25">
        <f t="shared" ref="N471" si="287">N269/N$398</f>
        <v>1.062298562199442E-4</v>
      </c>
      <c r="O471" s="25">
        <f t="shared" si="284"/>
        <v>1.062298562199442E-4</v>
      </c>
      <c r="P471" s="27">
        <v>0</v>
      </c>
      <c r="Q471" s="25">
        <f t="shared" si="284"/>
        <v>1.1374219316413892E-4</v>
      </c>
      <c r="R471" s="25">
        <f t="shared" si="284"/>
        <v>1.1374219316413895E-4</v>
      </c>
      <c r="S471" s="27">
        <v>0</v>
      </c>
      <c r="T471" s="25">
        <f t="shared" si="284"/>
        <v>1.1374219316413898E-4</v>
      </c>
      <c r="U471" s="27">
        <v>0</v>
      </c>
      <c r="V471" s="25" t="e">
        <f t="shared" si="284"/>
        <v>#DIV/0!</v>
      </c>
      <c r="W471" s="25">
        <f t="shared" si="284"/>
        <v>1.0397259613239071E-4</v>
      </c>
      <c r="X471" s="27">
        <v>0</v>
      </c>
      <c r="Y471" s="27">
        <v>0</v>
      </c>
    </row>
    <row r="472" spans="1:25" outlineLevel="1" x14ac:dyDescent="0.25">
      <c r="A472" t="s">
        <v>39</v>
      </c>
      <c r="B472" t="s">
        <v>168</v>
      </c>
      <c r="C472" s="7" t="s">
        <v>20</v>
      </c>
      <c r="D472" t="s">
        <v>117</v>
      </c>
      <c r="E472" s="25">
        <f t="shared" si="282"/>
        <v>2.3275612632486098E-6</v>
      </c>
      <c r="F472" s="25">
        <f t="shared" si="284"/>
        <v>4.2157573017928904E-4</v>
      </c>
      <c r="G472" s="27">
        <v>0</v>
      </c>
      <c r="H472" s="25">
        <f t="shared" si="284"/>
        <v>2.1369381821168711E-4</v>
      </c>
      <c r="I472" s="25">
        <f t="shared" si="284"/>
        <v>8.9111505978094202E-5</v>
      </c>
      <c r="J472" s="25">
        <f t="shared" si="284"/>
        <v>8.9111505978094202E-5</v>
      </c>
      <c r="K472" s="25">
        <f t="shared" si="284"/>
        <v>2.4513459437973041E-6</v>
      </c>
      <c r="L472" s="25">
        <f t="shared" si="284"/>
        <v>3.5549582669052853E-4</v>
      </c>
      <c r="M472" s="27">
        <v>0</v>
      </c>
      <c r="N472" s="25">
        <f t="shared" ref="N472" si="288">N270/N$398</f>
        <v>8.6194725495177506E-5</v>
      </c>
      <c r="O472" s="25">
        <f t="shared" si="284"/>
        <v>8.6194725495177506E-5</v>
      </c>
      <c r="P472" s="27">
        <v>0</v>
      </c>
      <c r="Q472" s="25">
        <f t="shared" si="284"/>
        <v>1.0629471721428146E-4</v>
      </c>
      <c r="R472" s="25">
        <f t="shared" si="284"/>
        <v>1.0629471721428149E-4</v>
      </c>
      <c r="S472" s="27">
        <v>0</v>
      </c>
      <c r="T472" s="25">
        <f t="shared" si="284"/>
        <v>1.0629471721428149E-4</v>
      </c>
      <c r="U472" s="27">
        <v>0</v>
      </c>
      <c r="V472" s="25" t="e">
        <f t="shared" si="284"/>
        <v>#DIV/0!</v>
      </c>
      <c r="W472" s="25">
        <f t="shared" si="284"/>
        <v>1.0302595641039626E-4</v>
      </c>
      <c r="X472" s="27">
        <v>0</v>
      </c>
      <c r="Y472" s="27">
        <v>0</v>
      </c>
    </row>
    <row r="473" spans="1:25" outlineLevel="1" x14ac:dyDescent="0.25">
      <c r="A473" t="s">
        <v>39</v>
      </c>
      <c r="B473" t="s">
        <v>169</v>
      </c>
      <c r="C473" s="7" t="s">
        <v>21</v>
      </c>
      <c r="D473" t="s">
        <v>117</v>
      </c>
      <c r="E473" s="25">
        <f t="shared" si="282"/>
        <v>1.7379432086197267E-6</v>
      </c>
      <c r="F473" s="25">
        <f t="shared" si="284"/>
        <v>3.5695624817805424E-4</v>
      </c>
      <c r="G473" s="27">
        <v>0</v>
      </c>
      <c r="H473" s="25">
        <f t="shared" si="284"/>
        <v>1.2690509437991352E-4</v>
      </c>
      <c r="I473" s="25">
        <f t="shared" si="284"/>
        <v>7.8257897023844872E-5</v>
      </c>
      <c r="J473" s="25">
        <f t="shared" si="284"/>
        <v>7.8257897023844872E-5</v>
      </c>
      <c r="K473" s="25">
        <f t="shared" si="284"/>
        <v>2.3912500832383171E-6</v>
      </c>
      <c r="L473" s="25">
        <f t="shared" si="284"/>
        <v>3.1605800841704796E-4</v>
      </c>
      <c r="M473" s="27">
        <v>0</v>
      </c>
      <c r="N473" s="25">
        <f t="shared" ref="N473" si="289">N271/N$398</f>
        <v>7.2555397874076526E-5</v>
      </c>
      <c r="O473" s="25">
        <f t="shared" si="284"/>
        <v>7.2555397874076526E-5</v>
      </c>
      <c r="P473" s="27">
        <v>0</v>
      </c>
      <c r="Q473" s="25">
        <f t="shared" si="284"/>
        <v>9.9759321070675829E-5</v>
      </c>
      <c r="R473" s="25">
        <f t="shared" si="284"/>
        <v>9.9759321070675856E-5</v>
      </c>
      <c r="S473" s="27">
        <v>0</v>
      </c>
      <c r="T473" s="25">
        <f t="shared" si="284"/>
        <v>9.975932107067587E-5</v>
      </c>
      <c r="U473" s="27">
        <v>0</v>
      </c>
      <c r="V473" s="25" t="e">
        <f t="shared" si="284"/>
        <v>#DIV/0!</v>
      </c>
      <c r="W473" s="25">
        <f t="shared" si="284"/>
        <v>1.0218449887973452E-4</v>
      </c>
      <c r="X473" s="27">
        <v>0</v>
      </c>
      <c r="Y473" s="27">
        <v>0</v>
      </c>
    </row>
    <row r="474" spans="1:25" outlineLevel="1" x14ac:dyDescent="0.25">
      <c r="A474" t="s">
        <v>39</v>
      </c>
      <c r="B474" t="s">
        <v>170</v>
      </c>
      <c r="C474" s="7" t="s">
        <v>22</v>
      </c>
      <c r="D474" t="s">
        <v>117</v>
      </c>
      <c r="E474" s="25">
        <f t="shared" si="282"/>
        <v>1.5545359344005134E-6</v>
      </c>
      <c r="F474" s="25">
        <f t="shared" si="284"/>
        <v>2.9626679471836886E-4</v>
      </c>
      <c r="G474" s="27">
        <v>0</v>
      </c>
      <c r="H474" s="25">
        <f t="shared" si="284"/>
        <v>6.6964680798256953E-5</v>
      </c>
      <c r="I474" s="25">
        <f t="shared" si="284"/>
        <v>5.4773565720966287E-5</v>
      </c>
      <c r="J474" s="25">
        <f t="shared" si="284"/>
        <v>5.4773565720966287E-5</v>
      </c>
      <c r="K474" s="25">
        <f t="shared" si="284"/>
        <v>2.5097251269230738E-6</v>
      </c>
      <c r="L474" s="25">
        <f t="shared" si="284"/>
        <v>2.7282453157734048E-4</v>
      </c>
      <c r="M474" s="27">
        <v>0</v>
      </c>
      <c r="N474" s="25">
        <f t="shared" ref="N474" si="290">N272/N$398</f>
        <v>6.3522442890911234E-5</v>
      </c>
      <c r="O474" s="25">
        <f t="shared" si="284"/>
        <v>6.3522442890911234E-5</v>
      </c>
      <c r="P474" s="27">
        <v>0</v>
      </c>
      <c r="Q474" s="25">
        <f t="shared" si="284"/>
        <v>6.7180448227788236E-5</v>
      </c>
      <c r="R474" s="25">
        <f t="shared" si="284"/>
        <v>6.7180448227788264E-5</v>
      </c>
      <c r="S474" s="27">
        <v>0</v>
      </c>
      <c r="T474" s="25">
        <f t="shared" si="284"/>
        <v>6.7180448227788264E-5</v>
      </c>
      <c r="U474" s="27">
        <v>0</v>
      </c>
      <c r="V474" s="25" t="e">
        <f t="shared" si="284"/>
        <v>#DIV/0!</v>
      </c>
      <c r="W474" s="25">
        <f t="shared" si="284"/>
        <v>1.0160599682740457E-4</v>
      </c>
      <c r="X474" s="27">
        <v>0</v>
      </c>
      <c r="Y474" s="27">
        <v>0</v>
      </c>
    </row>
    <row r="475" spans="1:25" outlineLevel="1" x14ac:dyDescent="0.25">
      <c r="A475" t="s">
        <v>40</v>
      </c>
      <c r="B475" t="s">
        <v>147</v>
      </c>
      <c r="C475" s="7" t="s">
        <v>34</v>
      </c>
      <c r="D475" t="s">
        <v>117</v>
      </c>
      <c r="E475" s="25">
        <f t="shared" si="282"/>
        <v>2.7312191037735363E-5</v>
      </c>
      <c r="F475" s="25">
        <f t="shared" si="284"/>
        <v>9.44608618206924E-6</v>
      </c>
      <c r="G475" s="27">
        <v>0</v>
      </c>
      <c r="H475" s="25">
        <f t="shared" si="284"/>
        <v>5.0615666864974695E-5</v>
      </c>
      <c r="I475" s="25">
        <f t="shared" si="284"/>
        <v>3.3306290273422035E-5</v>
      </c>
      <c r="J475" s="25">
        <f t="shared" si="284"/>
        <v>3.3306290273422035E-5</v>
      </c>
      <c r="K475" s="25">
        <f t="shared" si="284"/>
        <v>4.4843640861219802E-5</v>
      </c>
      <c r="L475" s="25">
        <f t="shared" si="284"/>
        <v>3.8505381950132829E-5</v>
      </c>
      <c r="M475" s="27">
        <v>0</v>
      </c>
      <c r="N475" s="25">
        <f t="shared" ref="N475" si="291">N273/N$398</f>
        <v>5.3968200017300292E-5</v>
      </c>
      <c r="O475" s="25">
        <f t="shared" si="284"/>
        <v>5.3968200017300292E-5</v>
      </c>
      <c r="P475" s="27">
        <v>0</v>
      </c>
      <c r="Q475" s="25">
        <f t="shared" si="284"/>
        <v>4.968186402824673E-5</v>
      </c>
      <c r="R475" s="25">
        <f t="shared" si="284"/>
        <v>4.9681864028246751E-5</v>
      </c>
      <c r="S475" s="27">
        <v>0</v>
      </c>
      <c r="T475" s="25">
        <f t="shared" si="284"/>
        <v>4.9681864028246757E-5</v>
      </c>
      <c r="U475" s="27">
        <v>0</v>
      </c>
      <c r="V475" s="25" t="e">
        <f t="shared" si="284"/>
        <v>#DIV/0!</v>
      </c>
      <c r="W475" s="25">
        <f t="shared" si="284"/>
        <v>1.0390621065097582E-4</v>
      </c>
      <c r="X475" s="27">
        <v>0</v>
      </c>
      <c r="Y475" s="27">
        <v>0</v>
      </c>
    </row>
    <row r="476" spans="1:25" outlineLevel="1" x14ac:dyDescent="0.25">
      <c r="A476" t="s">
        <v>40</v>
      </c>
      <c r="B476" t="s">
        <v>148</v>
      </c>
      <c r="C476" s="7" t="s">
        <v>0</v>
      </c>
      <c r="D476" t="s">
        <v>117</v>
      </c>
      <c r="E476" s="25">
        <f t="shared" si="282"/>
        <v>2.7312191037735363E-5</v>
      </c>
      <c r="F476" s="25">
        <f t="shared" si="284"/>
        <v>8.5198128521187656E-6</v>
      </c>
      <c r="G476" s="27">
        <v>0</v>
      </c>
      <c r="H476" s="25">
        <f t="shared" si="284"/>
        <v>4.6565394139788229E-5</v>
      </c>
      <c r="I476" s="25">
        <f t="shared" si="284"/>
        <v>2.3024538174565112E-5</v>
      </c>
      <c r="J476" s="25">
        <f t="shared" si="284"/>
        <v>2.3024538174565112E-5</v>
      </c>
      <c r="K476" s="25">
        <f t="shared" si="284"/>
        <v>4.0972384684398512E-5</v>
      </c>
      <c r="L476" s="25">
        <f t="shared" si="284"/>
        <v>3.622137204442812E-5</v>
      </c>
      <c r="M476" s="27">
        <v>0</v>
      </c>
      <c r="N476" s="25">
        <f t="shared" ref="N476" si="292">N274/N$398</f>
        <v>5.3213076380742328E-5</v>
      </c>
      <c r="O476" s="25">
        <f t="shared" si="284"/>
        <v>5.3213076380742328E-5</v>
      </c>
      <c r="P476" s="27">
        <v>0</v>
      </c>
      <c r="Q476" s="25">
        <f t="shared" si="284"/>
        <v>4.8968108029336896E-5</v>
      </c>
      <c r="R476" s="25">
        <f t="shared" si="284"/>
        <v>4.8968108029336903E-5</v>
      </c>
      <c r="S476" s="27">
        <v>0</v>
      </c>
      <c r="T476" s="25">
        <f t="shared" si="284"/>
        <v>4.896810802933691E-5</v>
      </c>
      <c r="U476" s="27">
        <v>0</v>
      </c>
      <c r="V476" s="25" t="e">
        <f t="shared" si="284"/>
        <v>#DIV/0!</v>
      </c>
      <c r="W476" s="25">
        <f t="shared" si="284"/>
        <v>1.0374757521486744E-4</v>
      </c>
      <c r="X476" s="27">
        <v>0</v>
      </c>
      <c r="Y476" s="27">
        <v>0</v>
      </c>
    </row>
    <row r="477" spans="1:25" outlineLevel="1" x14ac:dyDescent="0.25">
      <c r="A477" t="s">
        <v>40</v>
      </c>
      <c r="B477" t="s">
        <v>149</v>
      </c>
      <c r="C477" s="7" t="s">
        <v>1</v>
      </c>
      <c r="D477" t="s">
        <v>117</v>
      </c>
      <c r="E477" s="25">
        <f t="shared" si="282"/>
        <v>2.7312191037735363E-5</v>
      </c>
      <c r="F477" s="25">
        <f t="shared" si="284"/>
        <v>8.2205306162641053E-6</v>
      </c>
      <c r="G477" s="27">
        <v>0</v>
      </c>
      <c r="H477" s="25">
        <f t="shared" si="284"/>
        <v>4.6209431811354839E-5</v>
      </c>
      <c r="I477" s="25">
        <f t="shared" si="284"/>
        <v>2.091125602997792E-5</v>
      </c>
      <c r="J477" s="25">
        <f t="shared" si="284"/>
        <v>2.091125602997792E-5</v>
      </c>
      <c r="K477" s="25">
        <f t="shared" si="284"/>
        <v>4.1390562856727367E-5</v>
      </c>
      <c r="L477" s="25">
        <f t="shared" si="284"/>
        <v>3.5292941089403028E-5</v>
      </c>
      <c r="M477" s="27">
        <v>0</v>
      </c>
      <c r="N477" s="25">
        <f t="shared" ref="N477" si="293">N275/N$398</f>
        <v>5.2887924991535478E-5</v>
      </c>
      <c r="O477" s="25">
        <f t="shared" si="284"/>
        <v>5.2887924991535478E-5</v>
      </c>
      <c r="P477" s="27">
        <v>0</v>
      </c>
      <c r="Q477" s="25">
        <f t="shared" si="284"/>
        <v>4.8784796292548168E-5</v>
      </c>
      <c r="R477" s="25">
        <f t="shared" si="284"/>
        <v>4.8784796292548182E-5</v>
      </c>
      <c r="S477" s="27">
        <v>0</v>
      </c>
      <c r="T477" s="25">
        <f t="shared" si="284"/>
        <v>4.8784796292548188E-5</v>
      </c>
      <c r="U477" s="27">
        <v>0</v>
      </c>
      <c r="V477" s="25" t="e">
        <f t="shared" si="284"/>
        <v>#DIV/0!</v>
      </c>
      <c r="W477" s="25">
        <f t="shared" si="284"/>
        <v>1.0366825749681327E-4</v>
      </c>
      <c r="X477" s="27">
        <v>0</v>
      </c>
      <c r="Y477" s="27">
        <v>0</v>
      </c>
    </row>
    <row r="478" spans="1:25" outlineLevel="1" x14ac:dyDescent="0.25">
      <c r="A478" t="s">
        <v>40</v>
      </c>
      <c r="B478" t="s">
        <v>150</v>
      </c>
      <c r="C478" s="7" t="s">
        <v>2</v>
      </c>
      <c r="D478" t="s">
        <v>117</v>
      </c>
      <c r="E478" s="25">
        <f t="shared" si="282"/>
        <v>2.7312191037735363E-5</v>
      </c>
      <c r="F478" s="25">
        <f t="shared" si="284"/>
        <v>8.5571843316140726E-6</v>
      </c>
      <c r="G478" s="27">
        <v>0</v>
      </c>
      <c r="H478" s="25">
        <f t="shared" si="284"/>
        <v>4.7318519949483103E-5</v>
      </c>
      <c r="I478" s="25">
        <f t="shared" si="284"/>
        <v>2.0437343793798162E-5</v>
      </c>
      <c r="J478" s="25">
        <f t="shared" si="284"/>
        <v>2.0437343793798162E-5</v>
      </c>
      <c r="K478" s="25">
        <f t="shared" si="284"/>
        <v>4.2060555291048048E-5</v>
      </c>
      <c r="L478" s="25">
        <f t="shared" si="284"/>
        <v>3.4862294804770222E-5</v>
      </c>
      <c r="M478" s="27">
        <v>0</v>
      </c>
      <c r="N478" s="25">
        <f t="shared" ref="N478" si="294">N276/N$398</f>
        <v>5.5262080219422726E-5</v>
      </c>
      <c r="O478" s="25">
        <f t="shared" si="284"/>
        <v>5.5262080219422726E-5</v>
      </c>
      <c r="P478" s="27">
        <v>0</v>
      </c>
      <c r="Q478" s="25">
        <f t="shared" si="284"/>
        <v>4.8953563488043861E-5</v>
      </c>
      <c r="R478" s="25">
        <f t="shared" si="284"/>
        <v>4.8953563488043874E-5</v>
      </c>
      <c r="S478" s="27">
        <v>0</v>
      </c>
      <c r="T478" s="25">
        <f t="shared" si="284"/>
        <v>4.8953563488043881E-5</v>
      </c>
      <c r="U478" s="27">
        <v>0</v>
      </c>
      <c r="V478" s="25" t="e">
        <f t="shared" si="284"/>
        <v>#DIV/0!</v>
      </c>
      <c r="W478" s="25">
        <f t="shared" si="284"/>
        <v>1.0374757521486744E-4</v>
      </c>
      <c r="X478" s="27">
        <v>0</v>
      </c>
      <c r="Y478" s="27">
        <v>0</v>
      </c>
    </row>
    <row r="479" spans="1:25" outlineLevel="1" x14ac:dyDescent="0.25">
      <c r="A479" t="s">
        <v>40</v>
      </c>
      <c r="B479" t="s">
        <v>151</v>
      </c>
      <c r="C479" s="7" t="s">
        <v>3</v>
      </c>
      <c r="D479" t="s">
        <v>117</v>
      </c>
      <c r="E479" s="25">
        <f t="shared" si="282"/>
        <v>2.7312191037735363E-5</v>
      </c>
      <c r="F479" s="25">
        <f t="shared" si="284"/>
        <v>9.2994739663158834E-6</v>
      </c>
      <c r="G479" s="27">
        <v>0</v>
      </c>
      <c r="H479" s="25">
        <f t="shared" si="284"/>
        <v>6.0738800237969633E-5</v>
      </c>
      <c r="I479" s="25">
        <f t="shared" si="284"/>
        <v>2.8676780059122732E-5</v>
      </c>
      <c r="J479" s="25">
        <f t="shared" si="284"/>
        <v>2.8676780059122732E-5</v>
      </c>
      <c r="K479" s="25">
        <f t="shared" si="284"/>
        <v>4.0751359356134574E-5</v>
      </c>
      <c r="L479" s="25">
        <f t="shared" si="284"/>
        <v>3.4859759225929859E-5</v>
      </c>
      <c r="M479" s="27">
        <v>0</v>
      </c>
      <c r="N479" s="25">
        <f t="shared" ref="N479" si="295">N277/N$398</f>
        <v>5.8550078023525412E-5</v>
      </c>
      <c r="O479" s="25">
        <f t="shared" si="284"/>
        <v>5.8550078023525412E-5</v>
      </c>
      <c r="P479" s="27">
        <v>0</v>
      </c>
      <c r="Q479" s="25">
        <f t="shared" si="284"/>
        <v>4.8769672916399042E-5</v>
      </c>
      <c r="R479" s="25">
        <f t="shared" si="284"/>
        <v>4.8769672916399062E-5</v>
      </c>
      <c r="S479" s="27">
        <v>0</v>
      </c>
      <c r="T479" s="25">
        <f t="shared" si="284"/>
        <v>4.8769672916399069E-5</v>
      </c>
      <c r="U479" s="27">
        <v>0</v>
      </c>
      <c r="V479" s="25" t="e">
        <f t="shared" si="284"/>
        <v>#DIV/0!</v>
      </c>
      <c r="W479" s="25">
        <f t="shared" si="284"/>
        <v>1.0406484608708418E-4</v>
      </c>
      <c r="X479" s="27">
        <v>0</v>
      </c>
      <c r="Y479" s="27">
        <v>0</v>
      </c>
    </row>
    <row r="480" spans="1:25" outlineLevel="1" x14ac:dyDescent="0.25">
      <c r="A480" t="s">
        <v>40</v>
      </c>
      <c r="B480" t="s">
        <v>152</v>
      </c>
      <c r="C480" s="7" t="s">
        <v>4</v>
      </c>
      <c r="D480" t="s">
        <v>117</v>
      </c>
      <c r="E480" s="25">
        <f t="shared" si="282"/>
        <v>4.0674590806590923E-5</v>
      </c>
      <c r="F480" s="25">
        <f t="shared" si="284"/>
        <v>1.0785051188061125E-5</v>
      </c>
      <c r="G480" s="27">
        <v>0</v>
      </c>
      <c r="H480" s="25">
        <f t="shared" si="284"/>
        <v>1.0452723761883146E-4</v>
      </c>
      <c r="I480" s="25">
        <f t="shared" si="284"/>
        <v>6.3617710309657634E-5</v>
      </c>
      <c r="J480" s="25">
        <f t="shared" si="284"/>
        <v>6.3617710309657634E-5</v>
      </c>
      <c r="K480" s="25">
        <f t="shared" si="284"/>
        <v>6.6877370460316656E-5</v>
      </c>
      <c r="L480" s="25">
        <f t="shared" si="284"/>
        <v>3.6280741729379331E-5</v>
      </c>
      <c r="M480" s="27">
        <v>0</v>
      </c>
      <c r="N480" s="25">
        <f t="shared" ref="N480" si="296">N278/N$398</f>
        <v>6.8320525781982551E-5</v>
      </c>
      <c r="O480" s="25">
        <f t="shared" si="284"/>
        <v>6.8320525781982551E-5</v>
      </c>
      <c r="P480" s="27">
        <v>0</v>
      </c>
      <c r="Q480" s="25">
        <f t="shared" si="284"/>
        <v>5.0171579365039313E-5</v>
      </c>
      <c r="R480" s="25">
        <f t="shared" si="284"/>
        <v>5.0171579365039327E-5</v>
      </c>
      <c r="S480" s="27">
        <v>0</v>
      </c>
      <c r="T480" s="25">
        <f t="shared" si="284"/>
        <v>5.0171579365039333E-5</v>
      </c>
      <c r="U480" s="27">
        <v>0</v>
      </c>
      <c r="V480" s="25" t="e">
        <f t="shared" si="284"/>
        <v>#DIV/0!</v>
      </c>
      <c r="W480" s="25">
        <f t="shared" si="284"/>
        <v>1.0477870554957179E-4</v>
      </c>
      <c r="X480" s="27">
        <v>0</v>
      </c>
      <c r="Y480" s="27">
        <v>0</v>
      </c>
    </row>
    <row r="481" spans="1:25" outlineLevel="1" x14ac:dyDescent="0.25">
      <c r="A481" t="s">
        <v>40</v>
      </c>
      <c r="B481" t="s">
        <v>153</v>
      </c>
      <c r="C481" s="7" t="s">
        <v>5</v>
      </c>
      <c r="D481" t="s">
        <v>117</v>
      </c>
      <c r="E481" s="25">
        <f t="shared" si="282"/>
        <v>4.6046055803474952E-5</v>
      </c>
      <c r="F481" s="25">
        <f t="shared" si="284"/>
        <v>1.659595077874047E-5</v>
      </c>
      <c r="G481" s="27">
        <v>0</v>
      </c>
      <c r="H481" s="25">
        <f t="shared" si="284"/>
        <v>1.2289013071403157E-4</v>
      </c>
      <c r="I481" s="25">
        <f t="shared" si="284"/>
        <v>1.2442624028797459E-4</v>
      </c>
      <c r="J481" s="25">
        <f t="shared" si="284"/>
        <v>1.2442624028797459E-4</v>
      </c>
      <c r="K481" s="25">
        <f t="shared" si="284"/>
        <v>1.0727113733354202E-4</v>
      </c>
      <c r="L481" s="25">
        <f t="shared" si="284"/>
        <v>4.1465511074466002E-5</v>
      </c>
      <c r="M481" s="27">
        <v>0</v>
      </c>
      <c r="N481" s="25">
        <f t="shared" ref="N481" si="297">N279/N$398</f>
        <v>1.0264089700040448E-4</v>
      </c>
      <c r="O481" s="25">
        <f t="shared" si="284"/>
        <v>1.0264089700040448E-4</v>
      </c>
      <c r="P481" s="27">
        <v>0</v>
      </c>
      <c r="Q481" s="25">
        <f t="shared" si="284"/>
        <v>7.536843956324011E-5</v>
      </c>
      <c r="R481" s="25">
        <f t="shared" si="284"/>
        <v>7.5368439563240123E-5</v>
      </c>
      <c r="S481" s="27">
        <v>0</v>
      </c>
      <c r="T481" s="25">
        <f t="shared" si="284"/>
        <v>7.5368439563240137E-5</v>
      </c>
      <c r="U481" s="27">
        <v>0</v>
      </c>
      <c r="V481" s="25" t="e">
        <f t="shared" ref="F481:W494" si="298">V279/V$398</f>
        <v>#DIV/0!</v>
      </c>
      <c r="W481" s="25">
        <f t="shared" si="298"/>
        <v>1.0596847132038449E-4</v>
      </c>
      <c r="X481" s="27">
        <v>0</v>
      </c>
      <c r="Y481" s="27">
        <v>0</v>
      </c>
    </row>
    <row r="482" spans="1:25" outlineLevel="1" x14ac:dyDescent="0.25">
      <c r="A482" t="s">
        <v>40</v>
      </c>
      <c r="B482" t="s">
        <v>154</v>
      </c>
      <c r="C482" s="7" t="s">
        <v>6</v>
      </c>
      <c r="D482" t="s">
        <v>117</v>
      </c>
      <c r="E482" s="25">
        <f t="shared" si="282"/>
        <v>4.6621176904926702E-5</v>
      </c>
      <c r="F482" s="25">
        <f t="shared" si="298"/>
        <v>2.6694430781567911E-5</v>
      </c>
      <c r="G482" s="27">
        <v>0</v>
      </c>
      <c r="H482" s="25">
        <f t="shared" si="298"/>
        <v>5.2789247207397577E-5</v>
      </c>
      <c r="I482" s="25">
        <f t="shared" si="298"/>
        <v>1.7168219914298936E-4</v>
      </c>
      <c r="J482" s="25">
        <f t="shared" si="298"/>
        <v>1.7168219914298936E-4</v>
      </c>
      <c r="K482" s="25">
        <f t="shared" si="298"/>
        <v>9.6512372335470236E-5</v>
      </c>
      <c r="L482" s="25">
        <f t="shared" si="298"/>
        <v>5.2391143672775114E-5</v>
      </c>
      <c r="M482" s="27">
        <v>0</v>
      </c>
      <c r="N482" s="25">
        <f t="shared" ref="N482" si="299">N280/N$398</f>
        <v>1.4092674546784914E-4</v>
      </c>
      <c r="O482" s="25">
        <f t="shared" si="298"/>
        <v>1.4092674546784914E-4</v>
      </c>
      <c r="P482" s="27">
        <v>0</v>
      </c>
      <c r="Q482" s="25">
        <f t="shared" si="298"/>
        <v>1.5839026516651592E-4</v>
      </c>
      <c r="R482" s="25">
        <f t="shared" si="298"/>
        <v>1.58390265166516E-4</v>
      </c>
      <c r="S482" s="27">
        <v>0</v>
      </c>
      <c r="T482" s="25">
        <f t="shared" si="298"/>
        <v>1.58390265166516E-4</v>
      </c>
      <c r="U482" s="27">
        <v>0</v>
      </c>
      <c r="V482" s="25" t="e">
        <f t="shared" si="298"/>
        <v>#DIV/0!</v>
      </c>
      <c r="W482" s="25">
        <f t="shared" si="298"/>
        <v>1.0707891937314301E-4</v>
      </c>
      <c r="X482" s="27">
        <v>0</v>
      </c>
      <c r="Y482" s="27">
        <v>0</v>
      </c>
    </row>
    <row r="483" spans="1:25" outlineLevel="1" x14ac:dyDescent="0.25">
      <c r="A483" t="s">
        <v>40</v>
      </c>
      <c r="B483" t="s">
        <v>155</v>
      </c>
      <c r="C483" s="7" t="s">
        <v>7</v>
      </c>
      <c r="D483" t="s">
        <v>117</v>
      </c>
      <c r="E483" s="25">
        <f t="shared" si="282"/>
        <v>4.625760287409702E-5</v>
      </c>
      <c r="F483" s="25">
        <f t="shared" si="298"/>
        <v>3.8387124630780478E-5</v>
      </c>
      <c r="G483" s="27">
        <v>0</v>
      </c>
      <c r="H483" s="25">
        <f t="shared" si="298"/>
        <v>4.6375034502251719E-5</v>
      </c>
      <c r="I483" s="25">
        <f t="shared" si="298"/>
        <v>1.1358771761480607E-4</v>
      </c>
      <c r="J483" s="25">
        <f t="shared" si="298"/>
        <v>1.1358771761480607E-4</v>
      </c>
      <c r="K483" s="25">
        <f t="shared" si="298"/>
        <v>6.5899661469061085E-5</v>
      </c>
      <c r="L483" s="25">
        <f t="shared" si="298"/>
        <v>6.8495252745117167E-5</v>
      </c>
      <c r="M483" s="27">
        <v>0</v>
      </c>
      <c r="N483" s="25">
        <f t="shared" ref="N483" si="300">N281/N$398</f>
        <v>1.7497748305750723E-4</v>
      </c>
      <c r="O483" s="25">
        <f t="shared" si="298"/>
        <v>1.7497748305750723E-4</v>
      </c>
      <c r="P483" s="27">
        <v>0</v>
      </c>
      <c r="Q483" s="25">
        <f t="shared" si="298"/>
        <v>1.7312424332154068E-4</v>
      </c>
      <c r="R483" s="25">
        <f t="shared" si="298"/>
        <v>1.7312424332154074E-4</v>
      </c>
      <c r="S483" s="27">
        <v>0</v>
      </c>
      <c r="T483" s="25">
        <f t="shared" si="298"/>
        <v>1.7312424332154074E-4</v>
      </c>
      <c r="U483" s="27">
        <v>0</v>
      </c>
      <c r="V483" s="25" t="e">
        <f t="shared" si="298"/>
        <v>#DIV/0!</v>
      </c>
      <c r="W483" s="25">
        <f t="shared" si="298"/>
        <v>1.0739619024535974E-4</v>
      </c>
      <c r="X483" s="27">
        <v>0</v>
      </c>
      <c r="Y483" s="27">
        <v>0</v>
      </c>
    </row>
    <row r="484" spans="1:25" outlineLevel="1" x14ac:dyDescent="0.25">
      <c r="A484" t="s">
        <v>40</v>
      </c>
      <c r="B484" t="s">
        <v>156</v>
      </c>
      <c r="C484" s="7" t="s">
        <v>8</v>
      </c>
      <c r="D484" t="s">
        <v>117</v>
      </c>
      <c r="E484" s="25">
        <f t="shared" si="282"/>
        <v>3.1945587382507088E-5</v>
      </c>
      <c r="F484" s="25">
        <f t="shared" si="298"/>
        <v>4.9096875475098313E-5</v>
      </c>
      <c r="G484" s="27">
        <v>0</v>
      </c>
      <c r="H484" s="25">
        <f t="shared" si="298"/>
        <v>4.461047818665616E-5</v>
      </c>
      <c r="I484" s="25">
        <f t="shared" si="298"/>
        <v>1.0144857222085735E-4</v>
      </c>
      <c r="J484" s="25">
        <f t="shared" si="298"/>
        <v>1.0144857222085735E-4</v>
      </c>
      <c r="K484" s="25">
        <f t="shared" si="298"/>
        <v>5.0085806970378363E-5</v>
      </c>
      <c r="L484" s="25">
        <f t="shared" si="298"/>
        <v>8.1087044777174201E-5</v>
      </c>
      <c r="M484" s="27">
        <v>0</v>
      </c>
      <c r="N484" s="25">
        <f t="shared" ref="N484" si="301">N282/N$398</f>
        <v>1.8421827732575873E-4</v>
      </c>
      <c r="O484" s="25">
        <f t="shared" si="298"/>
        <v>1.8421827732575873E-4</v>
      </c>
      <c r="P484" s="27">
        <v>0</v>
      </c>
      <c r="Q484" s="25">
        <f t="shared" si="298"/>
        <v>1.5365434361668657E-4</v>
      </c>
      <c r="R484" s="25">
        <f t="shared" si="298"/>
        <v>1.5365434361668659E-4</v>
      </c>
      <c r="S484" s="27">
        <v>0</v>
      </c>
      <c r="T484" s="25">
        <f t="shared" si="298"/>
        <v>1.5365434361668662E-4</v>
      </c>
      <c r="U484" s="27">
        <v>0</v>
      </c>
      <c r="V484" s="25" t="e">
        <f t="shared" si="298"/>
        <v>#DIV/0!</v>
      </c>
      <c r="W484" s="25">
        <f t="shared" si="298"/>
        <v>1.0723755480925137E-4</v>
      </c>
      <c r="X484" s="27">
        <v>0</v>
      </c>
      <c r="Y484" s="27">
        <v>0</v>
      </c>
    </row>
    <row r="485" spans="1:25" outlineLevel="1" x14ac:dyDescent="0.25">
      <c r="A485" t="s">
        <v>40</v>
      </c>
      <c r="B485" t="s">
        <v>157</v>
      </c>
      <c r="C485" s="7" t="s">
        <v>9</v>
      </c>
      <c r="D485" t="s">
        <v>117</v>
      </c>
      <c r="E485" s="25">
        <f t="shared" si="282"/>
        <v>3.2216545293362498E-5</v>
      </c>
      <c r="F485" s="25">
        <f t="shared" si="298"/>
        <v>6.4300345636323481E-5</v>
      </c>
      <c r="G485" s="27">
        <v>0</v>
      </c>
      <c r="H485" s="25">
        <f t="shared" si="298"/>
        <v>4.5339402644938381E-5</v>
      </c>
      <c r="I485" s="25">
        <f t="shared" si="298"/>
        <v>9.4511917710029487E-5</v>
      </c>
      <c r="J485" s="25">
        <f t="shared" si="298"/>
        <v>9.4511917710029487E-5</v>
      </c>
      <c r="K485" s="25">
        <f t="shared" si="298"/>
        <v>4.0214255949438691E-5</v>
      </c>
      <c r="L485" s="25">
        <f t="shared" si="298"/>
        <v>9.0256213776058499E-5</v>
      </c>
      <c r="M485" s="27">
        <v>0</v>
      </c>
      <c r="N485" s="25">
        <f t="shared" ref="N485" si="302">N283/N$398</f>
        <v>1.834429570126058E-4</v>
      </c>
      <c r="O485" s="25">
        <f t="shared" si="298"/>
        <v>1.834429570126058E-4</v>
      </c>
      <c r="P485" s="27">
        <v>0</v>
      </c>
      <c r="Q485" s="25">
        <f t="shared" si="298"/>
        <v>1.2366017380110051E-4</v>
      </c>
      <c r="R485" s="25">
        <f t="shared" si="298"/>
        <v>1.2366017380110054E-4</v>
      </c>
      <c r="S485" s="27">
        <v>0</v>
      </c>
      <c r="T485" s="25">
        <f t="shared" si="298"/>
        <v>1.2366017380110054E-4</v>
      </c>
      <c r="U485" s="27">
        <v>0</v>
      </c>
      <c r="V485" s="25" t="e">
        <f t="shared" si="298"/>
        <v>#DIV/0!</v>
      </c>
      <c r="W485" s="25">
        <f t="shared" si="298"/>
        <v>1.067616485009263E-4</v>
      </c>
      <c r="X485" s="27">
        <v>0</v>
      </c>
      <c r="Y485" s="27">
        <v>0</v>
      </c>
    </row>
    <row r="486" spans="1:25" outlineLevel="1" x14ac:dyDescent="0.25">
      <c r="A486" t="s">
        <v>40</v>
      </c>
      <c r="B486" t="s">
        <v>158</v>
      </c>
      <c r="C486" s="7" t="s">
        <v>10</v>
      </c>
      <c r="D486" t="s">
        <v>117</v>
      </c>
      <c r="E486" s="25">
        <f t="shared" si="282"/>
        <v>3.3838314038371117E-5</v>
      </c>
      <c r="F486" s="25">
        <f t="shared" si="298"/>
        <v>8.7823614301921115E-5</v>
      </c>
      <c r="G486" s="27">
        <v>0</v>
      </c>
      <c r="H486" s="25">
        <f t="shared" si="298"/>
        <v>4.9673980039579821E-5</v>
      </c>
      <c r="I486" s="25">
        <f t="shared" si="298"/>
        <v>8.146548825392795E-5</v>
      </c>
      <c r="J486" s="25">
        <f t="shared" si="298"/>
        <v>8.146548825392795E-5</v>
      </c>
      <c r="K486" s="25">
        <f t="shared" si="298"/>
        <v>3.2723772524275966E-5</v>
      </c>
      <c r="L486" s="25">
        <f t="shared" si="298"/>
        <v>9.5907522646554089E-5</v>
      </c>
      <c r="M486" s="27">
        <v>0</v>
      </c>
      <c r="N486" s="25">
        <f t="shared" ref="N486" si="303">N284/N$398</f>
        <v>1.8286834095099829E-4</v>
      </c>
      <c r="O486" s="25">
        <f t="shared" si="298"/>
        <v>1.8286834095099829E-4</v>
      </c>
      <c r="P486" s="27">
        <v>0</v>
      </c>
      <c r="Q486" s="25">
        <f t="shared" si="298"/>
        <v>1.2366017380110051E-4</v>
      </c>
      <c r="R486" s="25">
        <f t="shared" si="298"/>
        <v>1.2366017380110054E-4</v>
      </c>
      <c r="S486" s="27">
        <v>0</v>
      </c>
      <c r="T486" s="25">
        <f t="shared" si="298"/>
        <v>1.2366017380110054E-4</v>
      </c>
      <c r="U486" s="27">
        <v>0</v>
      </c>
      <c r="V486" s="25" t="e">
        <f t="shared" si="298"/>
        <v>#DIV/0!</v>
      </c>
      <c r="W486" s="25">
        <f t="shared" si="298"/>
        <v>1.0644437762870957E-4</v>
      </c>
      <c r="X486" s="27">
        <v>0</v>
      </c>
      <c r="Y486" s="27">
        <v>0</v>
      </c>
    </row>
    <row r="487" spans="1:25" outlineLevel="1" x14ac:dyDescent="0.25">
      <c r="A487" t="s">
        <v>40</v>
      </c>
      <c r="B487" t="s">
        <v>159</v>
      </c>
      <c r="C487" s="7" t="s">
        <v>11</v>
      </c>
      <c r="D487" t="s">
        <v>117</v>
      </c>
      <c r="E487" s="25">
        <f t="shared" si="282"/>
        <v>3.483148356976296E-5</v>
      </c>
      <c r="F487" s="25">
        <f t="shared" si="298"/>
        <v>1.1021049227397556E-4</v>
      </c>
      <c r="G487" s="27">
        <v>0</v>
      </c>
      <c r="H487" s="25">
        <f t="shared" si="298"/>
        <v>5.2499040515764449E-5</v>
      </c>
      <c r="I487" s="25">
        <f t="shared" si="298"/>
        <v>6.6286913288378838E-5</v>
      </c>
      <c r="J487" s="25">
        <f t="shared" si="298"/>
        <v>6.6286913288378838E-5</v>
      </c>
      <c r="K487" s="25">
        <f t="shared" si="298"/>
        <v>2.9263846135238668E-5</v>
      </c>
      <c r="L487" s="25">
        <f t="shared" si="298"/>
        <v>9.7316559585703554E-5</v>
      </c>
      <c r="M487" s="27">
        <v>0</v>
      </c>
      <c r="N487" s="25">
        <f t="shared" ref="N487" si="304">N285/N$398</f>
        <v>1.8007913922135158E-4</v>
      </c>
      <c r="O487" s="25">
        <f t="shared" si="298"/>
        <v>1.8007913922135158E-4</v>
      </c>
      <c r="P487" s="27">
        <v>0</v>
      </c>
      <c r="Q487" s="25">
        <f t="shared" si="298"/>
        <v>1.2629124132878348E-4</v>
      </c>
      <c r="R487" s="25">
        <f t="shared" si="298"/>
        <v>1.2629124132878351E-4</v>
      </c>
      <c r="S487" s="27">
        <v>0</v>
      </c>
      <c r="T487" s="25">
        <f t="shared" si="298"/>
        <v>1.2629124132878354E-4</v>
      </c>
      <c r="U487" s="27">
        <v>0</v>
      </c>
      <c r="V487" s="25" t="e">
        <f t="shared" si="298"/>
        <v>#DIV/0!</v>
      </c>
      <c r="W487" s="25">
        <f t="shared" si="298"/>
        <v>1.0612710675649286E-4</v>
      </c>
      <c r="X487" s="27">
        <v>0</v>
      </c>
      <c r="Y487" s="27">
        <v>0</v>
      </c>
    </row>
    <row r="488" spans="1:25" outlineLevel="1" x14ac:dyDescent="0.25">
      <c r="A488" t="s">
        <v>40</v>
      </c>
      <c r="B488" t="s">
        <v>160</v>
      </c>
      <c r="C488" s="7" t="s">
        <v>12</v>
      </c>
      <c r="D488" t="s">
        <v>117</v>
      </c>
      <c r="E488" s="25">
        <f t="shared" si="282"/>
        <v>3.5110893850509832E-5</v>
      </c>
      <c r="F488" s="25">
        <f t="shared" si="298"/>
        <v>1.234228906449101E-4</v>
      </c>
      <c r="G488" s="27">
        <v>0</v>
      </c>
      <c r="H488" s="25">
        <f t="shared" si="298"/>
        <v>5.2969883928461886E-5</v>
      </c>
      <c r="I488" s="25">
        <f t="shared" si="298"/>
        <v>5.816811845122477E-5</v>
      </c>
      <c r="J488" s="25">
        <f t="shared" si="298"/>
        <v>5.816811845122477E-5</v>
      </c>
      <c r="K488" s="25">
        <f t="shared" si="298"/>
        <v>2.668583512611683E-5</v>
      </c>
      <c r="L488" s="25">
        <f t="shared" si="298"/>
        <v>1.0159379276505269E-4</v>
      </c>
      <c r="M488" s="27">
        <v>0</v>
      </c>
      <c r="N488" s="25">
        <f t="shared" ref="N488" si="305">N286/N$398</f>
        <v>1.7987621255352798E-4</v>
      </c>
      <c r="O488" s="25">
        <f t="shared" si="298"/>
        <v>1.7987621255352798E-4</v>
      </c>
      <c r="P488" s="27">
        <v>0</v>
      </c>
      <c r="Q488" s="25">
        <f t="shared" si="298"/>
        <v>1.2576502782324687E-4</v>
      </c>
      <c r="R488" s="25">
        <f t="shared" si="298"/>
        <v>1.2576502782324692E-4</v>
      </c>
      <c r="S488" s="27">
        <v>0</v>
      </c>
      <c r="T488" s="25">
        <f t="shared" si="298"/>
        <v>1.2576502782324695E-4</v>
      </c>
      <c r="U488" s="27">
        <v>0</v>
      </c>
      <c r="V488" s="25" t="e">
        <f t="shared" si="298"/>
        <v>#DIV/0!</v>
      </c>
      <c r="W488" s="25">
        <f t="shared" si="298"/>
        <v>1.0596847132038449E-4</v>
      </c>
      <c r="X488" s="27">
        <v>0</v>
      </c>
      <c r="Y488" s="27">
        <v>0</v>
      </c>
    </row>
    <row r="489" spans="1:25" outlineLevel="1" x14ac:dyDescent="0.25">
      <c r="A489" t="s">
        <v>40</v>
      </c>
      <c r="B489" t="s">
        <v>161</v>
      </c>
      <c r="C489" s="7" t="s">
        <v>13</v>
      </c>
      <c r="D489" t="s">
        <v>117</v>
      </c>
      <c r="E489" s="25">
        <f t="shared" si="282"/>
        <v>3.5619212305359273E-5</v>
      </c>
      <c r="F489" s="25">
        <f t="shared" si="298"/>
        <v>1.3217704540274689E-4</v>
      </c>
      <c r="G489" s="27">
        <v>0</v>
      </c>
      <c r="H489" s="25">
        <f t="shared" si="298"/>
        <v>5.4382414166554211E-5</v>
      </c>
      <c r="I489" s="25">
        <f t="shared" si="298"/>
        <v>5.714933200321949E-5</v>
      </c>
      <c r="J489" s="25">
        <f t="shared" si="298"/>
        <v>5.714933200321949E-5</v>
      </c>
      <c r="K489" s="25">
        <f t="shared" si="298"/>
        <v>2.4835179625530926E-5</v>
      </c>
      <c r="L489" s="25">
        <f t="shared" si="298"/>
        <v>1.0374589462693815E-4</v>
      </c>
      <c r="M489" s="27">
        <v>0</v>
      </c>
      <c r="N489" s="25">
        <f t="shared" ref="N489" si="306">N287/N$398</f>
        <v>1.799871336396109E-4</v>
      </c>
      <c r="O489" s="25">
        <f t="shared" si="298"/>
        <v>1.799871336396109E-4</v>
      </c>
      <c r="P489" s="27">
        <v>0</v>
      </c>
      <c r="Q489" s="25">
        <f t="shared" si="298"/>
        <v>1.2366017380110051E-4</v>
      </c>
      <c r="R489" s="25">
        <f t="shared" si="298"/>
        <v>1.2366017380110054E-4</v>
      </c>
      <c r="S489" s="27">
        <v>0</v>
      </c>
      <c r="T489" s="25">
        <f t="shared" si="298"/>
        <v>1.2366017380110054E-4</v>
      </c>
      <c r="U489" s="27">
        <v>0</v>
      </c>
      <c r="V489" s="25" t="e">
        <f t="shared" si="298"/>
        <v>#DIV/0!</v>
      </c>
      <c r="W489" s="25">
        <f t="shared" si="298"/>
        <v>1.0612710675649286E-4</v>
      </c>
      <c r="X489" s="27">
        <v>0</v>
      </c>
      <c r="Y489" s="27">
        <v>0</v>
      </c>
    </row>
    <row r="490" spans="1:25" outlineLevel="1" x14ac:dyDescent="0.25">
      <c r="A490" t="s">
        <v>40</v>
      </c>
      <c r="B490" t="s">
        <v>162</v>
      </c>
      <c r="C490" s="7" t="s">
        <v>14</v>
      </c>
      <c r="D490" t="s">
        <v>117</v>
      </c>
      <c r="E490" s="25">
        <f t="shared" si="282"/>
        <v>3.7261176750899447E-5</v>
      </c>
      <c r="F490" s="25">
        <f t="shared" si="298"/>
        <v>1.40471094066599E-4</v>
      </c>
      <c r="G490" s="27">
        <v>0</v>
      </c>
      <c r="H490" s="25">
        <f t="shared" si="298"/>
        <v>5.8855426587179871E-5</v>
      </c>
      <c r="I490" s="25">
        <f t="shared" si="298"/>
        <v>5.7762809728157098E-5</v>
      </c>
      <c r="J490" s="25">
        <f t="shared" si="298"/>
        <v>5.7762809728157098E-5</v>
      </c>
      <c r="K490" s="25">
        <f t="shared" si="298"/>
        <v>2.3194648584231578E-5</v>
      </c>
      <c r="L490" s="25">
        <f t="shared" si="298"/>
        <v>1.0303008996922385E-4</v>
      </c>
      <c r="M490" s="27">
        <v>0</v>
      </c>
      <c r="N490" s="25">
        <f t="shared" ref="N490" si="307">N288/N$398</f>
        <v>1.8010298857157043E-4</v>
      </c>
      <c r="O490" s="25">
        <f t="shared" si="298"/>
        <v>1.8010298857157043E-4</v>
      </c>
      <c r="P490" s="27">
        <v>0</v>
      </c>
      <c r="Q490" s="25">
        <f t="shared" si="298"/>
        <v>1.4733978155024739E-4</v>
      </c>
      <c r="R490" s="25">
        <f t="shared" si="298"/>
        <v>1.4733978155024745E-4</v>
      </c>
      <c r="S490" s="27">
        <v>0</v>
      </c>
      <c r="T490" s="25">
        <f t="shared" si="298"/>
        <v>1.4733978155024745E-4</v>
      </c>
      <c r="U490" s="27">
        <v>0</v>
      </c>
      <c r="V490" s="25" t="e">
        <f t="shared" si="298"/>
        <v>#DIV/0!</v>
      </c>
      <c r="W490" s="25">
        <f t="shared" si="298"/>
        <v>1.0707891937314301E-4</v>
      </c>
      <c r="X490" s="27">
        <v>0</v>
      </c>
      <c r="Y490" s="27">
        <v>0</v>
      </c>
    </row>
    <row r="491" spans="1:25" outlineLevel="1" x14ac:dyDescent="0.25">
      <c r="A491" t="s">
        <v>40</v>
      </c>
      <c r="B491" t="s">
        <v>163</v>
      </c>
      <c r="C491" s="7" t="s">
        <v>15</v>
      </c>
      <c r="D491" t="s">
        <v>117</v>
      </c>
      <c r="E491" s="25">
        <f t="shared" si="282"/>
        <v>3.9239719064878301E-5</v>
      </c>
      <c r="F491" s="25">
        <f t="shared" si="298"/>
        <v>1.4155244051259046E-4</v>
      </c>
      <c r="G491" s="27">
        <v>0</v>
      </c>
      <c r="H491" s="25">
        <f t="shared" si="298"/>
        <v>7.1803620436359451E-5</v>
      </c>
      <c r="I491" s="25">
        <f t="shared" si="298"/>
        <v>6.9821143097054708E-5</v>
      </c>
      <c r="J491" s="25">
        <f t="shared" si="298"/>
        <v>6.9821143097054708E-5</v>
      </c>
      <c r="K491" s="25">
        <f t="shared" si="298"/>
        <v>2.1700161437658688E-5</v>
      </c>
      <c r="L491" s="25">
        <f t="shared" si="298"/>
        <v>9.9454257097860674E-5</v>
      </c>
      <c r="M491" s="27">
        <v>0</v>
      </c>
      <c r="N491" s="25">
        <f t="shared" ref="N491" si="308">N289/N$398</f>
        <v>1.7418453267691589E-4</v>
      </c>
      <c r="O491" s="25">
        <f t="shared" si="298"/>
        <v>1.7418453267691589E-4</v>
      </c>
      <c r="P491" s="27">
        <v>0</v>
      </c>
      <c r="Q491" s="25">
        <f t="shared" si="298"/>
        <v>1.6996696228832109E-4</v>
      </c>
      <c r="R491" s="25">
        <f t="shared" si="298"/>
        <v>1.6996696228832112E-4</v>
      </c>
      <c r="S491" s="27">
        <v>0</v>
      </c>
      <c r="T491" s="25">
        <f t="shared" si="298"/>
        <v>1.6996696228832118E-4</v>
      </c>
      <c r="U491" s="27">
        <v>0</v>
      </c>
      <c r="V491" s="25" t="e">
        <f t="shared" si="298"/>
        <v>#DIV/0!</v>
      </c>
      <c r="W491" s="25">
        <f t="shared" si="298"/>
        <v>1.0811004970784736E-4</v>
      </c>
      <c r="X491" s="27">
        <v>0</v>
      </c>
      <c r="Y491" s="27">
        <v>0</v>
      </c>
    </row>
    <row r="492" spans="1:25" outlineLevel="1" x14ac:dyDescent="0.25">
      <c r="A492" t="s">
        <v>40</v>
      </c>
      <c r="B492" t="s">
        <v>164</v>
      </c>
      <c r="C492" s="7" t="s">
        <v>16</v>
      </c>
      <c r="D492" t="s">
        <v>117</v>
      </c>
      <c r="E492" s="25">
        <f t="shared" si="282"/>
        <v>4.1413450060601815E-5</v>
      </c>
      <c r="F492" s="25">
        <f t="shared" si="298"/>
        <v>1.3461164860030484E-4</v>
      </c>
      <c r="G492" s="27">
        <v>0</v>
      </c>
      <c r="H492" s="25">
        <f t="shared" si="298"/>
        <v>1.8810194337262688E-4</v>
      </c>
      <c r="I492" s="25">
        <f t="shared" si="298"/>
        <v>8.8208679470448825E-5</v>
      </c>
      <c r="J492" s="25">
        <f t="shared" si="298"/>
        <v>8.8208679470448825E-5</v>
      </c>
      <c r="K492" s="25">
        <f t="shared" si="298"/>
        <v>2.4997305181671415E-5</v>
      </c>
      <c r="L492" s="25">
        <f t="shared" si="298"/>
        <v>9.2327184794393314E-5</v>
      </c>
      <c r="M492" s="27">
        <v>0</v>
      </c>
      <c r="N492" s="25">
        <f t="shared" ref="N492" si="309">N290/N$398</f>
        <v>1.6369161695884292E-4</v>
      </c>
      <c r="O492" s="25">
        <f t="shared" si="298"/>
        <v>1.6369161695884292E-4</v>
      </c>
      <c r="P492" s="27">
        <v>0</v>
      </c>
      <c r="Q492" s="25">
        <f t="shared" si="298"/>
        <v>1.7943880538797986E-4</v>
      </c>
      <c r="R492" s="25">
        <f t="shared" si="298"/>
        <v>1.7943880538797991E-4</v>
      </c>
      <c r="S492" s="27">
        <v>0</v>
      </c>
      <c r="T492" s="25">
        <f t="shared" si="298"/>
        <v>1.7943880538797991E-4</v>
      </c>
      <c r="U492" s="27">
        <v>0</v>
      </c>
      <c r="V492" s="25" t="e">
        <f t="shared" si="298"/>
        <v>#DIV/0!</v>
      </c>
      <c r="W492" s="25">
        <f t="shared" si="298"/>
        <v>1.0834800286200989E-4</v>
      </c>
      <c r="X492" s="27">
        <v>0</v>
      </c>
      <c r="Y492" s="27">
        <v>0</v>
      </c>
    </row>
    <row r="493" spans="1:25" outlineLevel="1" x14ac:dyDescent="0.25">
      <c r="A493" t="s">
        <v>40</v>
      </c>
      <c r="B493" t="s">
        <v>165</v>
      </c>
      <c r="C493" s="7" t="s">
        <v>17</v>
      </c>
      <c r="D493" t="s">
        <v>117</v>
      </c>
      <c r="E493" s="25">
        <f t="shared" si="282"/>
        <v>4.3885784323000662E-5</v>
      </c>
      <c r="F493" s="25">
        <f t="shared" si="298"/>
        <v>1.215693760713668E-4</v>
      </c>
      <c r="G493" s="27">
        <v>0</v>
      </c>
      <c r="H493" s="25">
        <f t="shared" si="298"/>
        <v>2.5566797309470936E-4</v>
      </c>
      <c r="I493" s="25">
        <f t="shared" si="298"/>
        <v>1.1358771761480607E-4</v>
      </c>
      <c r="J493" s="25">
        <f t="shared" si="298"/>
        <v>1.1358771761480607E-4</v>
      </c>
      <c r="K493" s="25">
        <f t="shared" si="298"/>
        <v>3.098447657329614E-5</v>
      </c>
      <c r="L493" s="25">
        <f t="shared" si="298"/>
        <v>8.4537337174818075E-5</v>
      </c>
      <c r="M493" s="27">
        <v>0</v>
      </c>
      <c r="N493" s="25">
        <f t="shared" ref="N493" si="310">N291/N$398</f>
        <v>1.5549482685918068E-4</v>
      </c>
      <c r="O493" s="25">
        <f t="shared" si="298"/>
        <v>1.5549482685918068E-4</v>
      </c>
      <c r="P493" s="27">
        <v>0</v>
      </c>
      <c r="Q493" s="25">
        <f t="shared" si="298"/>
        <v>1.6523104073849171E-4</v>
      </c>
      <c r="R493" s="25">
        <f t="shared" si="298"/>
        <v>1.6523104073849177E-4</v>
      </c>
      <c r="S493" s="27">
        <v>0</v>
      </c>
      <c r="T493" s="25">
        <f t="shared" si="298"/>
        <v>1.6523104073849179E-4</v>
      </c>
      <c r="U493" s="27">
        <v>0</v>
      </c>
      <c r="V493" s="25" t="e">
        <f t="shared" si="298"/>
        <v>#DIV/0!</v>
      </c>
      <c r="W493" s="25">
        <f t="shared" si="298"/>
        <v>1.0779277883563063E-4</v>
      </c>
      <c r="X493" s="27">
        <v>0</v>
      </c>
      <c r="Y493" s="27">
        <v>0</v>
      </c>
    </row>
    <row r="494" spans="1:25" outlineLevel="1" x14ac:dyDescent="0.25">
      <c r="A494" t="s">
        <v>40</v>
      </c>
      <c r="B494" t="s">
        <v>166</v>
      </c>
      <c r="C494" s="7" t="s">
        <v>18</v>
      </c>
      <c r="D494" t="s">
        <v>117</v>
      </c>
      <c r="E494" s="25">
        <f t="shared" si="282"/>
        <v>4.6066045818959713E-5</v>
      </c>
      <c r="F494" s="25">
        <f t="shared" si="298"/>
        <v>1.0153359705059958E-4</v>
      </c>
      <c r="G494" s="27">
        <v>0</v>
      </c>
      <c r="H494" s="25">
        <f t="shared" si="298"/>
        <v>2.7544339642800181E-4</v>
      </c>
      <c r="I494" s="25">
        <f t="shared" si="298"/>
        <v>1.1358771761480607E-4</v>
      </c>
      <c r="J494" s="25">
        <f t="shared" si="298"/>
        <v>1.1358771761480607E-4</v>
      </c>
      <c r="K494" s="25">
        <f t="shared" si="298"/>
        <v>3.7128592728624694E-5</v>
      </c>
      <c r="L494" s="25">
        <f t="shared" si="298"/>
        <v>7.5361800605833825E-5</v>
      </c>
      <c r="M494" s="27">
        <v>0</v>
      </c>
      <c r="N494" s="25">
        <f t="shared" ref="N494" si="311">N292/N$398</f>
        <v>1.3004839929492339E-4</v>
      </c>
      <c r="O494" s="25">
        <f t="shared" si="298"/>
        <v>1.3004839929492339E-4</v>
      </c>
      <c r="P494" s="27">
        <v>0</v>
      </c>
      <c r="Q494" s="25">
        <f t="shared" ref="F494:W507" si="312">Q292/Q$398</f>
        <v>1.3471065741736907E-4</v>
      </c>
      <c r="R494" s="25">
        <f t="shared" si="312"/>
        <v>1.3471065741736907E-4</v>
      </c>
      <c r="S494" s="27">
        <v>0</v>
      </c>
      <c r="T494" s="25">
        <f t="shared" si="312"/>
        <v>1.3471065741736909E-4</v>
      </c>
      <c r="U494" s="27">
        <v>0</v>
      </c>
      <c r="V494" s="25" t="e">
        <f t="shared" si="312"/>
        <v>#DIV/0!</v>
      </c>
      <c r="W494" s="25">
        <f t="shared" si="312"/>
        <v>1.0707891937314301E-4</v>
      </c>
      <c r="X494" s="27">
        <v>0</v>
      </c>
      <c r="Y494" s="27">
        <v>0</v>
      </c>
    </row>
    <row r="495" spans="1:25" outlineLevel="1" x14ac:dyDescent="0.25">
      <c r="A495" t="s">
        <v>40</v>
      </c>
      <c r="B495" t="s">
        <v>167</v>
      </c>
      <c r="C495" s="7" t="s">
        <v>19</v>
      </c>
      <c r="D495" t="s">
        <v>117</v>
      </c>
      <c r="E495" s="25">
        <f t="shared" si="282"/>
        <v>4.6549257842785525E-5</v>
      </c>
      <c r="F495" s="25">
        <f t="shared" si="312"/>
        <v>7.4103852287821446E-5</v>
      </c>
      <c r="G495" s="27">
        <v>0</v>
      </c>
      <c r="H495" s="25">
        <f t="shared" si="312"/>
        <v>2.7968098714227881E-4</v>
      </c>
      <c r="I495" s="25">
        <f t="shared" si="312"/>
        <v>1.0231565403471081E-4</v>
      </c>
      <c r="J495" s="25">
        <f t="shared" si="312"/>
        <v>1.0231565403471081E-4</v>
      </c>
      <c r="K495" s="25">
        <f t="shared" si="312"/>
        <v>4.6139030075915526E-5</v>
      </c>
      <c r="L495" s="25">
        <f t="shared" si="312"/>
        <v>6.6207878589844268E-5</v>
      </c>
      <c r="M495" s="27">
        <v>0</v>
      </c>
      <c r="N495" s="25">
        <f t="shared" ref="N495" si="313">N293/N$398</f>
        <v>1.0777809529917629E-4</v>
      </c>
      <c r="O495" s="25">
        <f t="shared" si="312"/>
        <v>1.0777809529917629E-4</v>
      </c>
      <c r="P495" s="27">
        <v>0</v>
      </c>
      <c r="Q495" s="25">
        <f t="shared" si="312"/>
        <v>1.2366017380110051E-4</v>
      </c>
      <c r="R495" s="25">
        <f t="shared" si="312"/>
        <v>1.2366017380110054E-4</v>
      </c>
      <c r="S495" s="27">
        <v>0</v>
      </c>
      <c r="T495" s="25">
        <f t="shared" si="312"/>
        <v>1.2366017380110054E-4</v>
      </c>
      <c r="U495" s="27">
        <v>0</v>
      </c>
      <c r="V495" s="25" t="e">
        <f t="shared" si="312"/>
        <v>#DIV/0!</v>
      </c>
      <c r="W495" s="25">
        <f t="shared" si="312"/>
        <v>1.0636505991065539E-4</v>
      </c>
      <c r="X495" s="27">
        <v>0</v>
      </c>
      <c r="Y495" s="27">
        <v>0</v>
      </c>
    </row>
    <row r="496" spans="1:25" outlineLevel="1" x14ac:dyDescent="0.25">
      <c r="A496" t="s">
        <v>40</v>
      </c>
      <c r="B496" t="s">
        <v>168</v>
      </c>
      <c r="C496" s="7" t="s">
        <v>20</v>
      </c>
      <c r="D496" t="s">
        <v>117</v>
      </c>
      <c r="E496" s="25">
        <f t="shared" si="282"/>
        <v>4.0893651809078482E-5</v>
      </c>
      <c r="F496" s="25">
        <f t="shared" si="312"/>
        <v>4.4399450388070683E-5</v>
      </c>
      <c r="G496" s="27">
        <v>0</v>
      </c>
      <c r="H496" s="25">
        <f t="shared" si="312"/>
        <v>2.2906532027730411E-4</v>
      </c>
      <c r="I496" s="25">
        <f t="shared" si="312"/>
        <v>9.4511917710029487E-5</v>
      </c>
      <c r="J496" s="25">
        <f t="shared" si="312"/>
        <v>9.4511917710029487E-5</v>
      </c>
      <c r="K496" s="25">
        <f t="shared" si="312"/>
        <v>3.4868866674147086E-5</v>
      </c>
      <c r="L496" s="25">
        <f t="shared" si="312"/>
        <v>5.7681936794978272E-5</v>
      </c>
      <c r="M496" s="27">
        <v>0</v>
      </c>
      <c r="N496" s="25">
        <f t="shared" ref="N496" si="314">N294/N$398</f>
        <v>8.7435309804602035E-5</v>
      </c>
      <c r="O496" s="25">
        <f t="shared" si="312"/>
        <v>8.7435309804602035E-5</v>
      </c>
      <c r="P496" s="27">
        <v>0</v>
      </c>
      <c r="Q496" s="25">
        <f t="shared" si="312"/>
        <v>1.1576697121805151E-4</v>
      </c>
      <c r="R496" s="25">
        <f t="shared" si="312"/>
        <v>1.1576697121805155E-4</v>
      </c>
      <c r="S496" s="27">
        <v>0</v>
      </c>
      <c r="T496" s="25">
        <f t="shared" si="312"/>
        <v>1.1576697121805157E-4</v>
      </c>
      <c r="U496" s="27">
        <v>0</v>
      </c>
      <c r="V496" s="25" t="e">
        <f t="shared" si="312"/>
        <v>#DIV/0!</v>
      </c>
      <c r="W496" s="25">
        <f t="shared" si="312"/>
        <v>1.0549256501205942E-4</v>
      </c>
      <c r="X496" s="27">
        <v>0</v>
      </c>
      <c r="Y496" s="27">
        <v>0</v>
      </c>
    </row>
    <row r="497" spans="1:25" outlineLevel="1" x14ac:dyDescent="0.25">
      <c r="A497" t="s">
        <v>40</v>
      </c>
      <c r="B497" t="s">
        <v>169</v>
      </c>
      <c r="C497" s="7" t="s">
        <v>21</v>
      </c>
      <c r="D497" t="s">
        <v>117</v>
      </c>
      <c r="E497" s="25">
        <f t="shared" si="282"/>
        <v>3.0534536540275665E-5</v>
      </c>
      <c r="F497" s="25">
        <f t="shared" si="312"/>
        <v>2.1566958325601166E-5</v>
      </c>
      <c r="G497" s="27">
        <v>0</v>
      </c>
      <c r="H497" s="25">
        <f t="shared" si="312"/>
        <v>1.3607374626955988E-4</v>
      </c>
      <c r="I497" s="25">
        <f t="shared" si="312"/>
        <v>8.31682808616097E-5</v>
      </c>
      <c r="J497" s="25">
        <f t="shared" si="312"/>
        <v>8.31682808616097E-5</v>
      </c>
      <c r="K497" s="25">
        <f t="shared" si="312"/>
        <v>3.1973492205549139E-5</v>
      </c>
      <c r="L497" s="25">
        <f t="shared" si="312"/>
        <v>5.0187428958673946E-5</v>
      </c>
      <c r="M497" s="27">
        <v>0</v>
      </c>
      <c r="N497" s="25">
        <f t="shared" ref="N497" si="315">N295/N$398</f>
        <v>7.3369289433492413E-5</v>
      </c>
      <c r="O497" s="25">
        <f t="shared" si="312"/>
        <v>7.3369289433492413E-5</v>
      </c>
      <c r="P497" s="27">
        <v>0</v>
      </c>
      <c r="Q497" s="25">
        <f t="shared" si="312"/>
        <v>1.0892619564607574E-4</v>
      </c>
      <c r="R497" s="25">
        <f t="shared" si="312"/>
        <v>1.0892619564607578E-4</v>
      </c>
      <c r="S497" s="27">
        <v>0</v>
      </c>
      <c r="T497" s="25">
        <f t="shared" si="312"/>
        <v>1.089261956460758E-4</v>
      </c>
      <c r="U497" s="27">
        <v>0</v>
      </c>
      <c r="V497" s="25" t="e">
        <f t="shared" si="312"/>
        <v>#DIV/0!</v>
      </c>
      <c r="W497" s="25">
        <f t="shared" si="312"/>
        <v>1.0454075239540925E-4</v>
      </c>
      <c r="X497" s="27">
        <v>0</v>
      </c>
      <c r="Y497" s="27">
        <v>0</v>
      </c>
    </row>
    <row r="498" spans="1:25" outlineLevel="1" x14ac:dyDescent="0.25">
      <c r="A498" t="s">
        <v>40</v>
      </c>
      <c r="B498" t="s">
        <v>170</v>
      </c>
      <c r="C498" s="7" t="s">
        <v>22</v>
      </c>
      <c r="D498" t="s">
        <v>117</v>
      </c>
      <c r="E498" s="25">
        <f t="shared" si="282"/>
        <v>2.7312191037735363E-5</v>
      </c>
      <c r="F498" s="25">
        <f t="shared" si="312"/>
        <v>1.1764406237212578E-5</v>
      </c>
      <c r="G498" s="27">
        <v>0</v>
      </c>
      <c r="H498" s="25">
        <f t="shared" si="312"/>
        <v>7.1568198730010736E-5</v>
      </c>
      <c r="I498" s="25">
        <f t="shared" si="312"/>
        <v>5.8304540768407405E-5</v>
      </c>
      <c r="J498" s="25">
        <f t="shared" si="312"/>
        <v>5.8304540768407405E-5</v>
      </c>
      <c r="K498" s="25">
        <f t="shared" si="312"/>
        <v>3.3590061754593459E-5</v>
      </c>
      <c r="L498" s="25">
        <f t="shared" si="312"/>
        <v>4.3216865817625983E-5</v>
      </c>
      <c r="M498" s="27">
        <v>0</v>
      </c>
      <c r="N498" s="25">
        <f t="shared" ref="N498" si="316">N296/N$398</f>
        <v>6.4194465940793709E-5</v>
      </c>
      <c r="O498" s="25">
        <f t="shared" si="312"/>
        <v>6.4194465940793709E-5</v>
      </c>
      <c r="P498" s="27">
        <v>0</v>
      </c>
      <c r="Q498" s="25">
        <f t="shared" si="312"/>
        <v>7.347508127323899E-5</v>
      </c>
      <c r="R498" s="25">
        <f t="shared" si="312"/>
        <v>7.3475081273239004E-5</v>
      </c>
      <c r="S498" s="27">
        <v>0</v>
      </c>
      <c r="T498" s="25">
        <f t="shared" si="312"/>
        <v>7.3475081273239031E-5</v>
      </c>
      <c r="U498" s="27">
        <v>0</v>
      </c>
      <c r="V498" s="25" t="e">
        <f t="shared" si="312"/>
        <v>#DIV/0!</v>
      </c>
      <c r="W498" s="25">
        <f t="shared" si="312"/>
        <v>1.0398552836902999E-4</v>
      </c>
      <c r="X498" s="27">
        <v>0</v>
      </c>
      <c r="Y498" s="27">
        <v>0</v>
      </c>
    </row>
    <row r="499" spans="1:25" outlineLevel="1" x14ac:dyDescent="0.25">
      <c r="A499" t="s">
        <v>37</v>
      </c>
      <c r="B499" t="s">
        <v>147</v>
      </c>
      <c r="C499" s="7" t="s">
        <v>34</v>
      </c>
      <c r="D499" t="s">
        <v>114</v>
      </c>
      <c r="E499" s="25">
        <f t="shared" si="282"/>
        <v>2.9491063931982387E-4</v>
      </c>
      <c r="F499" s="25">
        <f t="shared" si="312"/>
        <v>1.9129505901792507E-7</v>
      </c>
      <c r="G499" s="27">
        <v>0</v>
      </c>
      <c r="H499" s="25">
        <f t="shared" si="312"/>
        <v>8.2739102401590728E-5</v>
      </c>
      <c r="I499" s="25">
        <f t="shared" si="312"/>
        <v>9.3930511534965892E-5</v>
      </c>
      <c r="J499" s="25">
        <f t="shared" si="312"/>
        <v>9.3930511534965892E-5</v>
      </c>
      <c r="K499" s="25">
        <f t="shared" si="312"/>
        <v>1.414065161604217E-4</v>
      </c>
      <c r="L499" s="25">
        <f t="shared" si="312"/>
        <v>1.2016102248656528E-7</v>
      </c>
      <c r="M499" s="27">
        <v>0</v>
      </c>
      <c r="N499" s="25">
        <f t="shared" ref="N499" si="317">N297/N$398</f>
        <v>7.0988635425295028E-5</v>
      </c>
      <c r="O499" s="25">
        <f t="shared" si="312"/>
        <v>7.0988635425295028E-5</v>
      </c>
      <c r="P499" s="27">
        <v>0</v>
      </c>
      <c r="Q499" s="25">
        <f t="shared" si="312"/>
        <v>7.3072050183491607E-5</v>
      </c>
      <c r="R499" s="25">
        <f t="shared" si="312"/>
        <v>7.307205018349162E-5</v>
      </c>
      <c r="S499" s="27">
        <v>0</v>
      </c>
      <c r="T499" s="25">
        <f t="shared" si="312"/>
        <v>7.3072050183491634E-5</v>
      </c>
      <c r="U499" s="27">
        <v>0</v>
      </c>
      <c r="V499" s="25" t="e">
        <f t="shared" si="312"/>
        <v>#DIV/0!</v>
      </c>
      <c r="W499" s="25">
        <f t="shared" si="312"/>
        <v>1.3628105923675697E-4</v>
      </c>
      <c r="X499" s="27">
        <v>0</v>
      </c>
      <c r="Y499" s="27">
        <v>0</v>
      </c>
    </row>
    <row r="500" spans="1:25" outlineLevel="1" x14ac:dyDescent="0.25">
      <c r="A500" t="s">
        <v>37</v>
      </c>
      <c r="B500" t="s">
        <v>148</v>
      </c>
      <c r="C500" s="7" t="s">
        <v>0</v>
      </c>
      <c r="D500" t="s">
        <v>114</v>
      </c>
      <c r="E500" s="25">
        <f t="shared" si="282"/>
        <v>3.0067953965009369E-4</v>
      </c>
      <c r="F500" s="25">
        <f t="shared" si="312"/>
        <v>1.9422174617363168E-7</v>
      </c>
      <c r="G500" s="27">
        <v>0</v>
      </c>
      <c r="H500" s="25">
        <f t="shared" si="312"/>
        <v>7.1486065933162141E-5</v>
      </c>
      <c r="I500" s="25">
        <f t="shared" si="312"/>
        <v>6.0693498659803143E-5</v>
      </c>
      <c r="J500" s="25">
        <f t="shared" si="312"/>
        <v>6.0693498659803143E-5</v>
      </c>
      <c r="K500" s="25">
        <f t="shared" si="312"/>
        <v>1.3284407179364321E-4</v>
      </c>
      <c r="L500" s="25">
        <f t="shared" si="312"/>
        <v>1.1760500903561103E-7</v>
      </c>
      <c r="M500" s="27">
        <v>0</v>
      </c>
      <c r="N500" s="25">
        <f t="shared" ref="N500" si="318">N298/N$398</f>
        <v>6.1973162166475558E-5</v>
      </c>
      <c r="O500" s="25">
        <f t="shared" si="312"/>
        <v>6.1973162166475558E-5</v>
      </c>
      <c r="P500" s="27">
        <v>0</v>
      </c>
      <c r="Q500" s="25">
        <f t="shared" si="312"/>
        <v>6.9626219974511033E-5</v>
      </c>
      <c r="R500" s="25">
        <f t="shared" si="312"/>
        <v>6.9626219974511033E-5</v>
      </c>
      <c r="S500" s="27">
        <v>0</v>
      </c>
      <c r="T500" s="25">
        <f t="shared" si="312"/>
        <v>6.9626219974511046E-5</v>
      </c>
      <c r="U500" s="27">
        <v>0</v>
      </c>
      <c r="V500" s="25" t="e">
        <f t="shared" si="312"/>
        <v>#DIV/0!</v>
      </c>
      <c r="W500" s="25">
        <f t="shared" si="312"/>
        <v>1.3597866043667543E-4</v>
      </c>
      <c r="X500" s="27">
        <v>0</v>
      </c>
      <c r="Y500" s="27">
        <v>0</v>
      </c>
    </row>
    <row r="501" spans="1:25" outlineLevel="1" x14ac:dyDescent="0.25">
      <c r="A501" t="s">
        <v>37</v>
      </c>
      <c r="B501" t="s">
        <v>149</v>
      </c>
      <c r="C501" s="7" t="s">
        <v>1</v>
      </c>
      <c r="D501" t="s">
        <v>114</v>
      </c>
      <c r="E501" s="25">
        <f t="shared" si="282"/>
        <v>3.0209054683781649E-4</v>
      </c>
      <c r="F501" s="25">
        <f t="shared" si="312"/>
        <v>1.967963825555359E-7</v>
      </c>
      <c r="G501" s="27">
        <v>0</v>
      </c>
      <c r="H501" s="25">
        <f t="shared" si="312"/>
        <v>6.9042687459690933E-5</v>
      </c>
      <c r="I501" s="25">
        <f t="shared" si="312"/>
        <v>5.0585971477508326E-5</v>
      </c>
      <c r="J501" s="25">
        <f t="shared" si="312"/>
        <v>5.0585971477508326E-5</v>
      </c>
      <c r="K501" s="25">
        <f t="shared" si="312"/>
        <v>1.1964413312853938E-4</v>
      </c>
      <c r="L501" s="25">
        <f t="shared" si="312"/>
        <v>1.1653771150645518E-7</v>
      </c>
      <c r="M501" s="27">
        <v>0</v>
      </c>
      <c r="N501" s="25">
        <f t="shared" ref="N501" si="319">N299/N$398</f>
        <v>6.1153178566394773E-5</v>
      </c>
      <c r="O501" s="25">
        <f t="shared" si="312"/>
        <v>6.1153178566394773E-5</v>
      </c>
      <c r="P501" s="27">
        <v>0</v>
      </c>
      <c r="Q501" s="25">
        <f t="shared" si="312"/>
        <v>6.8686454178695086E-5</v>
      </c>
      <c r="R501" s="25">
        <f t="shared" si="312"/>
        <v>6.8686454178695086E-5</v>
      </c>
      <c r="S501" s="27">
        <v>0</v>
      </c>
      <c r="T501" s="25">
        <f t="shared" si="312"/>
        <v>6.8686454178695113E-5</v>
      </c>
      <c r="U501" s="27">
        <v>0</v>
      </c>
      <c r="V501" s="25" t="e">
        <f t="shared" si="312"/>
        <v>#DIV/0!</v>
      </c>
      <c r="W501" s="25">
        <f t="shared" si="312"/>
        <v>1.3597866043667543E-4</v>
      </c>
      <c r="X501" s="27">
        <v>0</v>
      </c>
      <c r="Y501" s="27">
        <v>0</v>
      </c>
    </row>
    <row r="502" spans="1:25" outlineLevel="1" x14ac:dyDescent="0.25">
      <c r="A502" t="s">
        <v>37</v>
      </c>
      <c r="B502" t="s">
        <v>150</v>
      </c>
      <c r="C502" s="7" t="s">
        <v>2</v>
      </c>
      <c r="D502" t="s">
        <v>114</v>
      </c>
      <c r="E502" s="25">
        <f t="shared" si="282"/>
        <v>3.0067953965009369E-4</v>
      </c>
      <c r="F502" s="25">
        <f t="shared" si="312"/>
        <v>1.9717812435845417E-7</v>
      </c>
      <c r="G502" s="27">
        <v>0</v>
      </c>
      <c r="H502" s="25">
        <f t="shared" si="312"/>
        <v>6.8984409846254281E-5</v>
      </c>
      <c r="I502" s="25">
        <f t="shared" si="312"/>
        <v>4.6889047224295185E-5</v>
      </c>
      <c r="J502" s="25">
        <f t="shared" si="312"/>
        <v>4.6889047224295185E-5</v>
      </c>
      <c r="K502" s="25">
        <f t="shared" si="312"/>
        <v>1.2500034637246584E-4</v>
      </c>
      <c r="L502" s="25">
        <f t="shared" si="312"/>
        <v>1.1593707939736249E-7</v>
      </c>
      <c r="M502" s="27">
        <v>0</v>
      </c>
      <c r="N502" s="25">
        <f t="shared" ref="N502" si="320">N300/N$398</f>
        <v>6.173820903543341E-5</v>
      </c>
      <c r="O502" s="25">
        <f t="shared" si="312"/>
        <v>6.173820903543341E-5</v>
      </c>
      <c r="P502" s="27">
        <v>0</v>
      </c>
      <c r="Q502" s="25">
        <f t="shared" si="312"/>
        <v>6.8686454178695086E-5</v>
      </c>
      <c r="R502" s="25">
        <f t="shared" si="312"/>
        <v>6.8686454178695086E-5</v>
      </c>
      <c r="S502" s="27">
        <v>0</v>
      </c>
      <c r="T502" s="25">
        <f t="shared" si="312"/>
        <v>6.8686454178695113E-5</v>
      </c>
      <c r="U502" s="27">
        <v>0</v>
      </c>
      <c r="V502" s="25" t="e">
        <f t="shared" si="312"/>
        <v>#DIV/0!</v>
      </c>
      <c r="W502" s="25">
        <f t="shared" si="312"/>
        <v>1.3638185883678417E-4</v>
      </c>
      <c r="X502" s="27">
        <v>0</v>
      </c>
      <c r="Y502" s="27">
        <v>0</v>
      </c>
    </row>
    <row r="503" spans="1:25" outlineLevel="1" x14ac:dyDescent="0.25">
      <c r="A503" t="s">
        <v>37</v>
      </c>
      <c r="B503" t="s">
        <v>151</v>
      </c>
      <c r="C503" s="7" t="s">
        <v>3</v>
      </c>
      <c r="D503" t="s">
        <v>114</v>
      </c>
      <c r="E503" s="25">
        <f t="shared" si="282"/>
        <v>2.9491063931982387E-4</v>
      </c>
      <c r="F503" s="25">
        <f t="shared" si="312"/>
        <v>1.9653764644466908E-7</v>
      </c>
      <c r="G503" s="27">
        <v>0</v>
      </c>
      <c r="H503" s="25">
        <f t="shared" si="312"/>
        <v>7.2612709615071404E-5</v>
      </c>
      <c r="I503" s="25">
        <f t="shared" si="312"/>
        <v>4.8335108738948832E-5</v>
      </c>
      <c r="J503" s="25">
        <f t="shared" si="312"/>
        <v>4.8335108738948832E-5</v>
      </c>
      <c r="K503" s="25">
        <f t="shared" si="312"/>
        <v>1.304096668293118E-4</v>
      </c>
      <c r="L503" s="25">
        <f t="shared" si="312"/>
        <v>1.1580666149479731E-7</v>
      </c>
      <c r="M503" s="27">
        <v>0</v>
      </c>
      <c r="N503" s="25">
        <f t="shared" ref="N503" si="321">N301/N$398</f>
        <v>6.2725989621619264E-5</v>
      </c>
      <c r="O503" s="25">
        <f t="shared" si="312"/>
        <v>6.2725989621619264E-5</v>
      </c>
      <c r="P503" s="27">
        <v>0</v>
      </c>
      <c r="Q503" s="25">
        <f t="shared" si="312"/>
        <v>6.8373194455225336E-5</v>
      </c>
      <c r="R503" s="25">
        <f t="shared" si="312"/>
        <v>6.8373194455225364E-5</v>
      </c>
      <c r="S503" s="27">
        <v>0</v>
      </c>
      <c r="T503" s="25">
        <f t="shared" si="312"/>
        <v>6.8373194455225377E-5</v>
      </c>
      <c r="U503" s="27">
        <v>0</v>
      </c>
      <c r="V503" s="25" t="e">
        <f t="shared" si="312"/>
        <v>#DIV/0!</v>
      </c>
      <c r="W503" s="25">
        <f t="shared" si="312"/>
        <v>1.3749065443708323E-4</v>
      </c>
      <c r="X503" s="27">
        <v>0</v>
      </c>
      <c r="Y503" s="27">
        <v>0</v>
      </c>
    </row>
    <row r="504" spans="1:25" outlineLevel="1" x14ac:dyDescent="0.25">
      <c r="A504" t="s">
        <v>37</v>
      </c>
      <c r="B504" t="s">
        <v>152</v>
      </c>
      <c r="C504" s="7" t="s">
        <v>4</v>
      </c>
      <c r="D504" t="s">
        <v>114</v>
      </c>
      <c r="E504" s="25">
        <f t="shared" si="282"/>
        <v>3.1022967915900413E-4</v>
      </c>
      <c r="F504" s="25">
        <f t="shared" si="312"/>
        <v>1.9302138028223317E-7</v>
      </c>
      <c r="G504" s="27">
        <v>0</v>
      </c>
      <c r="H504" s="25">
        <f t="shared" si="312"/>
        <v>9.4103476367140941E-5</v>
      </c>
      <c r="I504" s="25">
        <f t="shared" si="312"/>
        <v>6.2624678901154467E-5</v>
      </c>
      <c r="J504" s="25">
        <f t="shared" si="312"/>
        <v>6.2624678901154467E-5</v>
      </c>
      <c r="K504" s="25">
        <f t="shared" si="312"/>
        <v>1.3624220483064798E-4</v>
      </c>
      <c r="L504" s="25">
        <f t="shared" si="312"/>
        <v>1.1707180386934115E-7</v>
      </c>
      <c r="M504" s="27">
        <v>0</v>
      </c>
      <c r="N504" s="25">
        <f t="shared" ref="N504" si="322">N302/N$398</f>
        <v>6.7094558170979074E-5</v>
      </c>
      <c r="O504" s="25">
        <f t="shared" si="312"/>
        <v>6.7094558170979074E-5</v>
      </c>
      <c r="P504" s="27">
        <v>0</v>
      </c>
      <c r="Q504" s="25">
        <f t="shared" si="312"/>
        <v>6.8843077353133316E-5</v>
      </c>
      <c r="R504" s="25">
        <f t="shared" si="312"/>
        <v>6.884307735313333E-5</v>
      </c>
      <c r="S504" s="27">
        <v>0</v>
      </c>
      <c r="T504" s="25">
        <f t="shared" si="312"/>
        <v>6.884307735313333E-5</v>
      </c>
      <c r="U504" s="27">
        <v>0</v>
      </c>
      <c r="V504" s="25" t="e">
        <f t="shared" si="312"/>
        <v>#DIV/0!</v>
      </c>
      <c r="W504" s="25">
        <f t="shared" si="312"/>
        <v>1.3870024963740947E-4</v>
      </c>
      <c r="X504" s="27">
        <v>0</v>
      </c>
      <c r="Y504" s="27">
        <v>0</v>
      </c>
    </row>
    <row r="505" spans="1:25" outlineLevel="1" x14ac:dyDescent="0.25">
      <c r="A505" t="s">
        <v>37</v>
      </c>
      <c r="B505" t="s">
        <v>153</v>
      </c>
      <c r="C505" s="7" t="s">
        <v>5</v>
      </c>
      <c r="D505" t="s">
        <v>114</v>
      </c>
      <c r="E505" s="25">
        <f t="shared" si="282"/>
        <v>3.276438120208146E-4</v>
      </c>
      <c r="F505" s="25">
        <f t="shared" si="312"/>
        <v>1.8529747113652052E-7</v>
      </c>
      <c r="G505" s="27">
        <v>0</v>
      </c>
      <c r="H505" s="25">
        <f t="shared" si="312"/>
        <v>1.624556912372633E-4</v>
      </c>
      <c r="I505" s="25">
        <f t="shared" si="312"/>
        <v>1.1029624108871391E-4</v>
      </c>
      <c r="J505" s="25">
        <f t="shared" si="312"/>
        <v>1.1029624108871391E-4</v>
      </c>
      <c r="K505" s="25">
        <f t="shared" si="312"/>
        <v>1.6967160677144489E-4</v>
      </c>
      <c r="L505" s="25">
        <f t="shared" si="312"/>
        <v>1.2159207062831788E-7</v>
      </c>
      <c r="M505" s="27">
        <v>0</v>
      </c>
      <c r="N505" s="25">
        <f t="shared" ref="N505" si="323">N303/N$398</f>
        <v>7.518942527990465E-5</v>
      </c>
      <c r="O505" s="25">
        <f t="shared" si="312"/>
        <v>7.518942527990465E-5</v>
      </c>
      <c r="P505" s="27">
        <v>0</v>
      </c>
      <c r="Q505" s="25">
        <f t="shared" si="312"/>
        <v>8.5339788859728873E-5</v>
      </c>
      <c r="R505" s="25">
        <f t="shared" si="312"/>
        <v>8.5339788859728886E-5</v>
      </c>
      <c r="S505" s="27">
        <v>0</v>
      </c>
      <c r="T505" s="25">
        <f t="shared" si="312"/>
        <v>8.5339788859728886E-5</v>
      </c>
      <c r="U505" s="27">
        <v>0</v>
      </c>
      <c r="V505" s="25" t="e">
        <f t="shared" si="312"/>
        <v>#DIV/0!</v>
      </c>
      <c r="W505" s="25">
        <f t="shared" si="312"/>
        <v>1.3940584683759977E-4</v>
      </c>
      <c r="X505" s="27">
        <v>0</v>
      </c>
      <c r="Y505" s="27">
        <v>0</v>
      </c>
    </row>
    <row r="506" spans="1:25" outlineLevel="1" x14ac:dyDescent="0.25">
      <c r="A506" t="s">
        <v>37</v>
      </c>
      <c r="B506" t="s">
        <v>154</v>
      </c>
      <c r="C506" s="7" t="s">
        <v>6</v>
      </c>
      <c r="D506" t="s">
        <v>114</v>
      </c>
      <c r="E506" s="25">
        <f t="shared" si="282"/>
        <v>3.5029552632228928E-4</v>
      </c>
      <c r="F506" s="25">
        <f t="shared" si="312"/>
        <v>1.7224190147671623E-7</v>
      </c>
      <c r="G506" s="27">
        <v>0</v>
      </c>
      <c r="H506" s="25">
        <f t="shared" si="312"/>
        <v>1.8802893360831506E-4</v>
      </c>
      <c r="I506" s="25">
        <f t="shared" si="312"/>
        <v>1.721068020621937E-4</v>
      </c>
      <c r="J506" s="25">
        <f t="shared" si="312"/>
        <v>1.721068020621937E-4</v>
      </c>
      <c r="K506" s="25">
        <f t="shared" si="312"/>
        <v>3.3169135676692265E-4</v>
      </c>
      <c r="L506" s="25">
        <f t="shared" si="312"/>
        <v>1.3051283260309926E-7</v>
      </c>
      <c r="M506" s="27">
        <v>0</v>
      </c>
      <c r="N506" s="25">
        <f t="shared" ref="N506" si="324">N304/N$398</f>
        <v>9.533022696843459E-5</v>
      </c>
      <c r="O506" s="25">
        <f t="shared" si="312"/>
        <v>9.533022696843459E-5</v>
      </c>
      <c r="P506" s="27">
        <v>0</v>
      </c>
      <c r="Q506" s="25">
        <f t="shared" si="312"/>
        <v>1.1103329868281925E-4</v>
      </c>
      <c r="R506" s="25">
        <f t="shared" si="312"/>
        <v>1.1103329868281929E-4</v>
      </c>
      <c r="S506" s="27">
        <v>0</v>
      </c>
      <c r="T506" s="25">
        <f t="shared" si="312"/>
        <v>1.110332986828193E-4</v>
      </c>
      <c r="U506" s="27">
        <v>0</v>
      </c>
      <c r="V506" s="25" t="e">
        <f t="shared" si="312"/>
        <v>#DIV/0!</v>
      </c>
      <c r="W506" s="25">
        <f t="shared" si="312"/>
        <v>1.3950664643762697E-4</v>
      </c>
      <c r="X506" s="27">
        <v>0</v>
      </c>
      <c r="Y506" s="27">
        <v>0</v>
      </c>
    </row>
    <row r="507" spans="1:25" outlineLevel="1" x14ac:dyDescent="0.25">
      <c r="A507" t="s">
        <v>37</v>
      </c>
      <c r="B507" t="s">
        <v>155</v>
      </c>
      <c r="C507" s="7" t="s">
        <v>7</v>
      </c>
      <c r="D507" t="s">
        <v>114</v>
      </c>
      <c r="E507" s="25">
        <f t="shared" si="282"/>
        <v>3.6018589126148048E-4</v>
      </c>
      <c r="F507" s="25">
        <f t="shared" si="312"/>
        <v>1.5407099165780732E-7</v>
      </c>
      <c r="G507" s="27">
        <v>0</v>
      </c>
      <c r="H507" s="25">
        <f t="shared" si="312"/>
        <v>9.1704568269259978E-5</v>
      </c>
      <c r="I507" s="25">
        <f t="shared" si="312"/>
        <v>2.6170516204588158E-4</v>
      </c>
      <c r="J507" s="25">
        <f t="shared" si="312"/>
        <v>2.6170516204588158E-4</v>
      </c>
      <c r="K507" s="25">
        <f t="shared" ref="F507:W519" si="325">K305/K$398</f>
        <v>4.0554840912625744E-4</v>
      </c>
      <c r="L507" s="25">
        <f t="shared" si="325"/>
        <v>1.4362382419567204E-7</v>
      </c>
      <c r="M507" s="27">
        <v>0</v>
      </c>
      <c r="N507" s="25">
        <f t="shared" ref="N507" si="326">N305/N$398</f>
        <v>1.086050585485887E-4</v>
      </c>
      <c r="O507" s="25">
        <f t="shared" si="325"/>
        <v>1.086050585485887E-4</v>
      </c>
      <c r="P507" s="27">
        <v>0</v>
      </c>
      <c r="Q507" s="25">
        <f t="shared" si="325"/>
        <v>1.3248527693247487E-4</v>
      </c>
      <c r="R507" s="25">
        <f t="shared" si="325"/>
        <v>1.3248527693247487E-4</v>
      </c>
      <c r="S507" s="27">
        <v>0</v>
      </c>
      <c r="T507" s="25">
        <f t="shared" si="325"/>
        <v>1.3248527693247492E-4</v>
      </c>
      <c r="U507" s="27">
        <v>0</v>
      </c>
      <c r="V507" s="25" t="e">
        <f t="shared" si="325"/>
        <v>#DIV/0!</v>
      </c>
      <c r="W507" s="25">
        <f t="shared" si="325"/>
        <v>1.393050472375726E-4</v>
      </c>
      <c r="X507" s="27">
        <v>0</v>
      </c>
      <c r="Y507" s="27">
        <v>0</v>
      </c>
    </row>
    <row r="508" spans="1:25" outlineLevel="1" x14ac:dyDescent="0.25">
      <c r="A508" t="s">
        <v>37</v>
      </c>
      <c r="B508" t="s">
        <v>156</v>
      </c>
      <c r="C508" s="7" t="s">
        <v>8</v>
      </c>
      <c r="D508" t="s">
        <v>114</v>
      </c>
      <c r="E508" s="25">
        <f t="shared" si="282"/>
        <v>3.508710040248345E-4</v>
      </c>
      <c r="F508" s="25">
        <f t="shared" si="325"/>
        <v>1.3428404153987784E-7</v>
      </c>
      <c r="G508" s="27">
        <v>0</v>
      </c>
      <c r="H508" s="25">
        <f t="shared" si="325"/>
        <v>9.5022460986930716E-5</v>
      </c>
      <c r="I508" s="25">
        <f t="shared" si="325"/>
        <v>3.5702093685417111E-4</v>
      </c>
      <c r="J508" s="25">
        <f t="shared" si="325"/>
        <v>3.5702093685417111E-4</v>
      </c>
      <c r="K508" s="25">
        <f t="shared" si="325"/>
        <v>3.2836446251650214E-4</v>
      </c>
      <c r="L508" s="25">
        <f t="shared" si="325"/>
        <v>1.5199807305494217E-7</v>
      </c>
      <c r="M508" s="27">
        <v>0</v>
      </c>
      <c r="N508" s="25">
        <f t="shared" ref="N508" si="327">N306/N$398</f>
        <v>1.1835831631679737E-4</v>
      </c>
      <c r="O508" s="25">
        <f t="shared" si="325"/>
        <v>1.1835831631679737E-4</v>
      </c>
      <c r="P508" s="27">
        <v>0</v>
      </c>
      <c r="Q508" s="25">
        <f t="shared" si="325"/>
        <v>1.500952494587293E-4</v>
      </c>
      <c r="R508" s="25">
        <f t="shared" si="325"/>
        <v>1.5009524945872933E-4</v>
      </c>
      <c r="S508" s="27">
        <v>0</v>
      </c>
      <c r="T508" s="25">
        <f t="shared" si="325"/>
        <v>1.5009524945872938E-4</v>
      </c>
      <c r="U508" s="27">
        <v>0</v>
      </c>
      <c r="V508" s="25" t="e">
        <f t="shared" si="325"/>
        <v>#DIV/0!</v>
      </c>
      <c r="W508" s="25">
        <f t="shared" si="325"/>
        <v>1.3870024963740947E-4</v>
      </c>
      <c r="X508" s="27">
        <v>0</v>
      </c>
      <c r="Y508" s="27">
        <v>0</v>
      </c>
    </row>
    <row r="509" spans="1:25" outlineLevel="1" x14ac:dyDescent="0.25">
      <c r="A509" t="s">
        <v>37</v>
      </c>
      <c r="B509" t="s">
        <v>157</v>
      </c>
      <c r="C509" s="7" t="s">
        <v>9</v>
      </c>
      <c r="D509" t="s">
        <v>114</v>
      </c>
      <c r="E509" s="25">
        <f t="shared" si="282"/>
        <v>3.3994100374883129E-4</v>
      </c>
      <c r="F509" s="25">
        <f t="shared" si="325"/>
        <v>1.253046260201229E-7</v>
      </c>
      <c r="G509" s="27">
        <v>0</v>
      </c>
      <c r="H509" s="25">
        <f t="shared" si="325"/>
        <v>9.5589278766655344E-5</v>
      </c>
      <c r="I509" s="25">
        <f t="shared" si="325"/>
        <v>3.674891433360064E-4</v>
      </c>
      <c r="J509" s="25">
        <f t="shared" si="325"/>
        <v>3.674891433360064E-4</v>
      </c>
      <c r="K509" s="25">
        <f t="shared" si="325"/>
        <v>2.784610487601948E-4</v>
      </c>
      <c r="L509" s="25">
        <f t="shared" si="325"/>
        <v>1.5634888526024576E-7</v>
      </c>
      <c r="M509" s="27">
        <v>0</v>
      </c>
      <c r="N509" s="25">
        <f t="shared" ref="N509" si="328">N307/N$398</f>
        <v>1.1632483613370892E-4</v>
      </c>
      <c r="O509" s="25">
        <f t="shared" si="325"/>
        <v>1.1632483613370892E-4</v>
      </c>
      <c r="P509" s="27">
        <v>0</v>
      </c>
      <c r="Q509" s="25">
        <f t="shared" si="325"/>
        <v>1.5887953519512949E-4</v>
      </c>
      <c r="R509" s="25">
        <f t="shared" si="325"/>
        <v>1.5887953519512954E-4</v>
      </c>
      <c r="S509" s="27">
        <v>0</v>
      </c>
      <c r="T509" s="25">
        <f t="shared" si="325"/>
        <v>1.5887953519512957E-4</v>
      </c>
      <c r="U509" s="27">
        <v>0</v>
      </c>
      <c r="V509" s="25" t="e">
        <f t="shared" si="325"/>
        <v>#DIV/0!</v>
      </c>
      <c r="W509" s="25">
        <f t="shared" si="325"/>
        <v>1.3829705123730073E-4</v>
      </c>
      <c r="X509" s="27">
        <v>0</v>
      </c>
      <c r="Y509" s="27">
        <v>0</v>
      </c>
    </row>
    <row r="510" spans="1:25" outlineLevel="1" x14ac:dyDescent="0.25">
      <c r="A510" t="s">
        <v>37</v>
      </c>
      <c r="B510" t="s">
        <v>158</v>
      </c>
      <c r="C510" s="7" t="s">
        <v>10</v>
      </c>
      <c r="D510" t="s">
        <v>114</v>
      </c>
      <c r="E510" s="25">
        <f t="shared" si="282"/>
        <v>2.7988617943531971E-4</v>
      </c>
      <c r="F510" s="25">
        <f t="shared" si="325"/>
        <v>1.2963527469545108E-7</v>
      </c>
      <c r="G510" s="27">
        <v>0</v>
      </c>
      <c r="H510" s="25">
        <f t="shared" si="325"/>
        <v>1.0142245530002929E-4</v>
      </c>
      <c r="I510" s="25">
        <f t="shared" si="325"/>
        <v>3.3883931506993093E-4</v>
      </c>
      <c r="J510" s="25">
        <f t="shared" si="325"/>
        <v>3.3883931506993093E-4</v>
      </c>
      <c r="K510" s="25">
        <f t="shared" si="325"/>
        <v>2.4619017453111609E-4</v>
      </c>
      <c r="L510" s="25">
        <f t="shared" si="325"/>
        <v>1.5736827417213276E-7</v>
      </c>
      <c r="M510" s="27">
        <v>0</v>
      </c>
      <c r="N510" s="25">
        <f t="shared" ref="N510" si="329">N308/N$398</f>
        <v>1.1648265010478863E-4</v>
      </c>
      <c r="O510" s="25">
        <f t="shared" si="325"/>
        <v>1.1648265010478863E-4</v>
      </c>
      <c r="P510" s="27">
        <v>0</v>
      </c>
      <c r="Q510" s="25">
        <f t="shared" si="325"/>
        <v>1.6373502078513062E-4</v>
      </c>
      <c r="R510" s="25">
        <f t="shared" si="325"/>
        <v>1.6373502078513067E-4</v>
      </c>
      <c r="S510" s="27">
        <v>0</v>
      </c>
      <c r="T510" s="25">
        <f t="shared" si="325"/>
        <v>1.637350207851307E-4</v>
      </c>
      <c r="U510" s="27">
        <v>0</v>
      </c>
      <c r="V510" s="25" t="e">
        <f t="shared" si="325"/>
        <v>#DIV/0!</v>
      </c>
      <c r="W510" s="25">
        <f t="shared" si="325"/>
        <v>1.3809545203724634E-4</v>
      </c>
      <c r="X510" s="27">
        <v>0</v>
      </c>
      <c r="Y510" s="27">
        <v>0</v>
      </c>
    </row>
    <row r="511" spans="1:25" outlineLevel="1" x14ac:dyDescent="0.25">
      <c r="A511" t="s">
        <v>37</v>
      </c>
      <c r="B511" t="s">
        <v>159</v>
      </c>
      <c r="C511" s="7" t="s">
        <v>11</v>
      </c>
      <c r="D511" t="s">
        <v>114</v>
      </c>
      <c r="E511" s="25">
        <f t="shared" si="282"/>
        <v>2.7705073607599902E-4</v>
      </c>
      <c r="F511" s="25">
        <f t="shared" si="325"/>
        <v>1.3516204768658981E-7</v>
      </c>
      <c r="G511" s="27">
        <v>0</v>
      </c>
      <c r="H511" s="25">
        <f t="shared" si="325"/>
        <v>1.0494728904361513E-4</v>
      </c>
      <c r="I511" s="25">
        <f t="shared" si="325"/>
        <v>3.030270297373366E-4</v>
      </c>
      <c r="J511" s="25">
        <f t="shared" si="325"/>
        <v>3.030270297373366E-4</v>
      </c>
      <c r="K511" s="25">
        <f t="shared" si="325"/>
        <v>2.2356729362825678E-4</v>
      </c>
      <c r="L511" s="25">
        <f t="shared" si="325"/>
        <v>1.5823151647958799E-7</v>
      </c>
      <c r="M511" s="27">
        <v>0</v>
      </c>
      <c r="N511" s="25">
        <f t="shared" ref="N511" si="330">N309/N$398</f>
        <v>1.1575980895488839E-4</v>
      </c>
      <c r="O511" s="25">
        <f t="shared" si="325"/>
        <v>1.1575980895488839E-4</v>
      </c>
      <c r="P511" s="27">
        <v>0</v>
      </c>
      <c r="Q511" s="25">
        <f t="shared" si="325"/>
        <v>1.6011948704949794E-4</v>
      </c>
      <c r="R511" s="25">
        <f t="shared" si="325"/>
        <v>1.6011948704949797E-4</v>
      </c>
      <c r="S511" s="27">
        <v>0</v>
      </c>
      <c r="T511" s="25">
        <f t="shared" si="325"/>
        <v>1.60119487049498E-4</v>
      </c>
      <c r="U511" s="27">
        <v>0</v>
      </c>
      <c r="V511" s="25" t="e">
        <f t="shared" si="325"/>
        <v>#DIV/0!</v>
      </c>
      <c r="W511" s="25">
        <f t="shared" si="325"/>
        <v>1.3789385283719197E-4</v>
      </c>
      <c r="X511" s="27">
        <v>0</v>
      </c>
      <c r="Y511" s="27">
        <v>0</v>
      </c>
    </row>
    <row r="512" spans="1:25" outlineLevel="1" x14ac:dyDescent="0.25">
      <c r="A512" t="s">
        <v>37</v>
      </c>
      <c r="B512" t="s">
        <v>160</v>
      </c>
      <c r="C512" s="7" t="s">
        <v>12</v>
      </c>
      <c r="D512" t="s">
        <v>114</v>
      </c>
      <c r="E512" s="25">
        <f t="shared" si="282"/>
        <v>2.7237661650233476E-4</v>
      </c>
      <c r="F512" s="25">
        <f t="shared" si="325"/>
        <v>1.3643452036298398E-7</v>
      </c>
      <c r="G512" s="27">
        <v>0</v>
      </c>
      <c r="H512" s="25">
        <f t="shared" si="325"/>
        <v>1.0481281582162542E-4</v>
      </c>
      <c r="I512" s="25">
        <f t="shared" si="325"/>
        <v>2.600522873382234E-4</v>
      </c>
      <c r="J512" s="25">
        <f t="shared" si="325"/>
        <v>2.600522873382234E-4</v>
      </c>
      <c r="K512" s="25">
        <f t="shared" si="325"/>
        <v>2.0619173672050767E-4</v>
      </c>
      <c r="L512" s="25">
        <f t="shared" si="325"/>
        <v>1.5823151647958799E-7</v>
      </c>
      <c r="M512" s="27">
        <v>0</v>
      </c>
      <c r="N512" s="25">
        <f t="shared" ref="N512" si="331">N310/N$398</f>
        <v>1.1129372761186627E-4</v>
      </c>
      <c r="O512" s="25">
        <f t="shared" si="325"/>
        <v>1.1129372761186627E-4</v>
      </c>
      <c r="P512" s="27">
        <v>0</v>
      </c>
      <c r="Q512" s="25">
        <f t="shared" si="325"/>
        <v>1.523771289395739E-4</v>
      </c>
      <c r="R512" s="25">
        <f t="shared" si="325"/>
        <v>1.5237712893957392E-4</v>
      </c>
      <c r="S512" s="27">
        <v>0</v>
      </c>
      <c r="T512" s="25">
        <f t="shared" si="325"/>
        <v>1.5237712893957395E-4</v>
      </c>
      <c r="U512" s="27">
        <v>0</v>
      </c>
      <c r="V512" s="25" t="e">
        <f t="shared" si="325"/>
        <v>#DIV/0!</v>
      </c>
      <c r="W512" s="25">
        <f t="shared" si="325"/>
        <v>1.3809545203724634E-4</v>
      </c>
      <c r="X512" s="27">
        <v>0</v>
      </c>
      <c r="Y512" s="27">
        <v>0</v>
      </c>
    </row>
    <row r="513" spans="1:25" outlineLevel="1" x14ac:dyDescent="0.25">
      <c r="A513" t="s">
        <v>37</v>
      </c>
      <c r="B513" t="s">
        <v>161</v>
      </c>
      <c r="C513" s="7" t="s">
        <v>13</v>
      </c>
      <c r="D513" t="s">
        <v>114</v>
      </c>
      <c r="E513" s="25">
        <f t="shared" si="282"/>
        <v>2.694964833797655E-4</v>
      </c>
      <c r="F513" s="25">
        <f t="shared" si="325"/>
        <v>1.361460932230013E-7</v>
      </c>
      <c r="G513" s="27">
        <v>0</v>
      </c>
      <c r="H513" s="25">
        <f t="shared" si="325"/>
        <v>1.0370997803170835E-4</v>
      </c>
      <c r="I513" s="25">
        <f t="shared" si="325"/>
        <v>2.3964457389770915E-4</v>
      </c>
      <c r="J513" s="25">
        <f t="shared" si="325"/>
        <v>2.3964457389770915E-4</v>
      </c>
      <c r="K513" s="25">
        <f t="shared" si="325"/>
        <v>1.9603471193950267E-4</v>
      </c>
      <c r="L513" s="25">
        <f t="shared" si="325"/>
        <v>1.5823151647958799E-7</v>
      </c>
      <c r="M513" s="27">
        <v>0</v>
      </c>
      <c r="N513" s="25">
        <f t="shared" ref="N513" si="332">N311/N$398</f>
        <v>1.0611185564588752E-4</v>
      </c>
      <c r="O513" s="25">
        <f t="shared" si="325"/>
        <v>1.0611185564588752E-4</v>
      </c>
      <c r="P513" s="27">
        <v>0</v>
      </c>
      <c r="Q513" s="25">
        <f t="shared" si="325"/>
        <v>1.5049759066064537E-4</v>
      </c>
      <c r="R513" s="25">
        <f t="shared" si="325"/>
        <v>1.504975906606454E-4</v>
      </c>
      <c r="S513" s="27">
        <v>0</v>
      </c>
      <c r="T513" s="25">
        <f t="shared" si="325"/>
        <v>1.5049759066064543E-4</v>
      </c>
      <c r="U513" s="27">
        <v>0</v>
      </c>
      <c r="V513" s="25" t="e">
        <f t="shared" si="325"/>
        <v>#DIV/0!</v>
      </c>
      <c r="W513" s="25">
        <f t="shared" si="325"/>
        <v>1.3870024963740947E-4</v>
      </c>
      <c r="X513" s="27">
        <v>0</v>
      </c>
      <c r="Y513" s="27">
        <v>0</v>
      </c>
    </row>
    <row r="514" spans="1:25" outlineLevel="1" x14ac:dyDescent="0.25">
      <c r="A514" t="s">
        <v>37</v>
      </c>
      <c r="B514" t="s">
        <v>162</v>
      </c>
      <c r="C514" s="7" t="s">
        <v>14</v>
      </c>
      <c r="D514" t="s">
        <v>114</v>
      </c>
      <c r="E514" s="25">
        <f t="shared" si="282"/>
        <v>2.7155676233349321E-4</v>
      </c>
      <c r="F514" s="25">
        <f t="shared" si="325"/>
        <v>1.3571345251302728E-7</v>
      </c>
      <c r="G514" s="27">
        <v>0</v>
      </c>
      <c r="H514" s="25">
        <f t="shared" si="325"/>
        <v>1.0397023922943247E-4</v>
      </c>
      <c r="I514" s="25">
        <f t="shared" si="325"/>
        <v>2.0960419315924555E-4</v>
      </c>
      <c r="J514" s="25">
        <f t="shared" si="325"/>
        <v>2.0960419315924555E-4</v>
      </c>
      <c r="K514" s="25">
        <f t="shared" si="325"/>
        <v>2.0117269755507282E-4</v>
      </c>
      <c r="L514" s="25">
        <f t="shared" si="325"/>
        <v>1.582661171476155E-7</v>
      </c>
      <c r="M514" s="27">
        <v>0</v>
      </c>
      <c r="N514" s="25">
        <f t="shared" ref="N514" si="333">N312/N$398</f>
        <v>9.8536882136315837E-5</v>
      </c>
      <c r="O514" s="25">
        <f t="shared" si="325"/>
        <v>9.8536882136315837E-5</v>
      </c>
      <c r="P514" s="27">
        <v>0</v>
      </c>
      <c r="Q514" s="25">
        <f t="shared" si="325"/>
        <v>1.4767825983671436E-4</v>
      </c>
      <c r="R514" s="25">
        <f t="shared" si="325"/>
        <v>1.4767825983671439E-4</v>
      </c>
      <c r="S514" s="27">
        <v>0</v>
      </c>
      <c r="T514" s="25">
        <f t="shared" si="325"/>
        <v>1.4767825983671442E-4</v>
      </c>
      <c r="U514" s="27">
        <v>0</v>
      </c>
      <c r="V514" s="25" t="e">
        <f t="shared" si="325"/>
        <v>#DIV/0!</v>
      </c>
      <c r="W514" s="25">
        <f t="shared" si="325"/>
        <v>1.401114440377901E-4</v>
      </c>
      <c r="X514" s="27">
        <v>0</v>
      </c>
      <c r="Y514" s="27">
        <v>0</v>
      </c>
    </row>
    <row r="515" spans="1:25" outlineLevel="1" x14ac:dyDescent="0.25">
      <c r="A515" t="s">
        <v>37</v>
      </c>
      <c r="B515" t="s">
        <v>163</v>
      </c>
      <c r="C515" s="7" t="s">
        <v>15</v>
      </c>
      <c r="D515" t="s">
        <v>114</v>
      </c>
      <c r="E515" s="25">
        <f t="shared" si="282"/>
        <v>2.796795250174024E-4</v>
      </c>
      <c r="F515" s="25">
        <f t="shared" si="325"/>
        <v>1.3679505428796234E-7</v>
      </c>
      <c r="G515" s="27">
        <v>0</v>
      </c>
      <c r="H515" s="25">
        <f t="shared" si="325"/>
        <v>2.6716930437362086E-4</v>
      </c>
      <c r="I515" s="25">
        <f t="shared" si="325"/>
        <v>2.0972267672787287E-4</v>
      </c>
      <c r="J515" s="25">
        <f t="shared" si="325"/>
        <v>2.0972267672787287E-4</v>
      </c>
      <c r="K515" s="25">
        <f t="shared" si="325"/>
        <v>2.0008048815334253E-4</v>
      </c>
      <c r="L515" s="25">
        <f t="shared" si="325"/>
        <v>1.5656536123457165E-7</v>
      </c>
      <c r="M515" s="27">
        <v>0</v>
      </c>
      <c r="N515" s="25">
        <f t="shared" ref="N515" si="334">N313/N$398</f>
        <v>9.4095066872478393E-5</v>
      </c>
      <c r="O515" s="25">
        <f t="shared" si="325"/>
        <v>9.4095066872478393E-5</v>
      </c>
      <c r="P515" s="27">
        <v>0</v>
      </c>
      <c r="Q515" s="25">
        <f t="shared" si="325"/>
        <v>1.6938623448877252E-4</v>
      </c>
      <c r="R515" s="25">
        <f t="shared" si="325"/>
        <v>1.6938623448877252E-4</v>
      </c>
      <c r="S515" s="27">
        <v>0</v>
      </c>
      <c r="T515" s="25">
        <f t="shared" si="325"/>
        <v>1.6938623448877258E-4</v>
      </c>
      <c r="U515" s="27">
        <v>0</v>
      </c>
      <c r="V515" s="25" t="e">
        <f t="shared" si="325"/>
        <v>#DIV/0!</v>
      </c>
      <c r="W515" s="25">
        <f t="shared" si="325"/>
        <v>1.4182503723825227E-4</v>
      </c>
      <c r="X515" s="27">
        <v>0</v>
      </c>
      <c r="Y515" s="27">
        <v>0</v>
      </c>
    </row>
    <row r="516" spans="1:25" outlineLevel="1" x14ac:dyDescent="0.25">
      <c r="A516" t="s">
        <v>37</v>
      </c>
      <c r="B516" t="s">
        <v>164</v>
      </c>
      <c r="C516" s="7" t="s">
        <v>16</v>
      </c>
      <c r="D516" t="s">
        <v>114</v>
      </c>
      <c r="E516" s="25">
        <f t="shared" si="282"/>
        <v>2.9436957543057895E-4</v>
      </c>
      <c r="F516" s="25">
        <f t="shared" si="325"/>
        <v>1.4220306316263761E-7</v>
      </c>
      <c r="G516" s="27">
        <v>0</v>
      </c>
      <c r="H516" s="25">
        <f t="shared" si="325"/>
        <v>3.7397718977270558E-4</v>
      </c>
      <c r="I516" s="25">
        <f t="shared" si="325"/>
        <v>2.4030445657682991E-4</v>
      </c>
      <c r="J516" s="25">
        <f t="shared" si="325"/>
        <v>2.4030445657682991E-4</v>
      </c>
      <c r="K516" s="25">
        <f t="shared" si="325"/>
        <v>2.1724619455245784E-4</v>
      </c>
      <c r="L516" s="25">
        <f t="shared" si="325"/>
        <v>1.5278324206018151E-7</v>
      </c>
      <c r="M516" s="27">
        <v>0</v>
      </c>
      <c r="N516" s="25">
        <f t="shared" ref="N516" si="335">N314/N$398</f>
        <v>9.4963247741060555E-5</v>
      </c>
      <c r="O516" s="25">
        <f t="shared" si="325"/>
        <v>9.4963247741060555E-5</v>
      </c>
      <c r="P516" s="27">
        <v>0</v>
      </c>
      <c r="Q516" s="25">
        <f t="shared" si="325"/>
        <v>1.6954286435050738E-4</v>
      </c>
      <c r="R516" s="25">
        <f t="shared" si="325"/>
        <v>1.6954286435050741E-4</v>
      </c>
      <c r="S516" s="27">
        <v>0</v>
      </c>
      <c r="T516" s="25">
        <f t="shared" si="325"/>
        <v>1.6954286435050744E-4</v>
      </c>
      <c r="U516" s="27">
        <v>0</v>
      </c>
      <c r="V516" s="25" t="e">
        <f t="shared" si="325"/>
        <v>#DIV/0!</v>
      </c>
      <c r="W516" s="25">
        <f t="shared" si="325"/>
        <v>1.4202663643830664E-4</v>
      </c>
      <c r="X516" s="27">
        <v>0</v>
      </c>
      <c r="Y516" s="27">
        <v>0</v>
      </c>
    </row>
    <row r="517" spans="1:25" outlineLevel="1" x14ac:dyDescent="0.25">
      <c r="A517" t="s">
        <v>37</v>
      </c>
      <c r="B517" t="s">
        <v>165</v>
      </c>
      <c r="C517" s="7" t="s">
        <v>17</v>
      </c>
      <c r="D517" t="s">
        <v>114</v>
      </c>
      <c r="E517" s="25">
        <f t="shared" si="282"/>
        <v>3.1200375085177338E-4</v>
      </c>
      <c r="F517" s="25">
        <f t="shared" si="325"/>
        <v>1.5094495044946563E-7</v>
      </c>
      <c r="G517" s="27">
        <v>0</v>
      </c>
      <c r="H517" s="25">
        <f t="shared" si="325"/>
        <v>3.9462073064815893E-4</v>
      </c>
      <c r="I517" s="25">
        <f t="shared" si="325"/>
        <v>2.7437720147126113E-4</v>
      </c>
      <c r="J517" s="25">
        <f t="shared" si="325"/>
        <v>2.7437720147126113E-4</v>
      </c>
      <c r="K517" s="25">
        <f t="shared" si="325"/>
        <v>2.5018244763162068E-4</v>
      </c>
      <c r="L517" s="25">
        <f t="shared" si="325"/>
        <v>1.4950593776034635E-7</v>
      </c>
      <c r="M517" s="27">
        <v>0</v>
      </c>
      <c r="N517" s="25">
        <f t="shared" ref="N517" si="336">N315/N$398</f>
        <v>9.385756785581835E-5</v>
      </c>
      <c r="O517" s="25">
        <f t="shared" si="325"/>
        <v>9.385756785581835E-5</v>
      </c>
      <c r="P517" s="27">
        <v>0</v>
      </c>
      <c r="Q517" s="25">
        <f t="shared" si="325"/>
        <v>1.6844645531836327E-4</v>
      </c>
      <c r="R517" s="25">
        <f t="shared" si="325"/>
        <v>1.6844645531836335E-4</v>
      </c>
      <c r="S517" s="27">
        <v>0</v>
      </c>
      <c r="T517" s="25">
        <f t="shared" si="325"/>
        <v>1.6844645531836338E-4</v>
      </c>
      <c r="U517" s="27">
        <v>0</v>
      </c>
      <c r="V517" s="25" t="e">
        <f t="shared" si="325"/>
        <v>#DIV/0!</v>
      </c>
      <c r="W517" s="25">
        <f t="shared" si="325"/>
        <v>1.4142183883814353E-4</v>
      </c>
      <c r="X517" s="27">
        <v>0</v>
      </c>
      <c r="Y517" s="27">
        <v>0</v>
      </c>
    </row>
    <row r="518" spans="1:25" outlineLevel="1" x14ac:dyDescent="0.25">
      <c r="A518" t="s">
        <v>37</v>
      </c>
      <c r="B518" t="s">
        <v>166</v>
      </c>
      <c r="C518" s="7" t="s">
        <v>18</v>
      </c>
      <c r="D518" t="s">
        <v>114</v>
      </c>
      <c r="E518" s="25">
        <f t="shared" si="282"/>
        <v>3.3302412950928265E-4</v>
      </c>
      <c r="F518" s="25">
        <f t="shared" si="325"/>
        <v>1.6041214716183832E-7</v>
      </c>
      <c r="G518" s="27">
        <v>0</v>
      </c>
      <c r="H518" s="25">
        <f t="shared" si="325"/>
        <v>4.1346918101270327E-4</v>
      </c>
      <c r="I518" s="25">
        <f t="shared" si="325"/>
        <v>2.5013503909227419E-4</v>
      </c>
      <c r="J518" s="25">
        <f t="shared" si="325"/>
        <v>2.5013503909227419E-4</v>
      </c>
      <c r="K518" s="25">
        <f t="shared" si="325"/>
        <v>1.7651536426087911E-4</v>
      </c>
      <c r="L518" s="25">
        <f t="shared" si="325"/>
        <v>1.4482863720032174E-7</v>
      </c>
      <c r="M518" s="27">
        <v>0</v>
      </c>
      <c r="N518" s="25">
        <f t="shared" ref="N518" si="337">N316/N$398</f>
        <v>9.1407016553798386E-5</v>
      </c>
      <c r="O518" s="25">
        <f t="shared" si="325"/>
        <v>9.1407016553798386E-5</v>
      </c>
      <c r="P518" s="27">
        <v>0</v>
      </c>
      <c r="Q518" s="25">
        <f t="shared" si="325"/>
        <v>1.6484399524764785E-4</v>
      </c>
      <c r="R518" s="25">
        <f t="shared" si="325"/>
        <v>1.6484399524764788E-4</v>
      </c>
      <c r="S518" s="27">
        <v>0</v>
      </c>
      <c r="T518" s="25">
        <f t="shared" si="325"/>
        <v>1.6484399524764793E-4</v>
      </c>
      <c r="U518" s="27">
        <v>0</v>
      </c>
      <c r="V518" s="25" t="e">
        <f t="shared" si="325"/>
        <v>#DIV/0!</v>
      </c>
      <c r="W518" s="25">
        <f t="shared" si="325"/>
        <v>1.4061544203792603E-4</v>
      </c>
      <c r="X518" s="27">
        <v>0</v>
      </c>
      <c r="Y518" s="27">
        <v>0</v>
      </c>
    </row>
    <row r="519" spans="1:25" outlineLevel="1" x14ac:dyDescent="0.25">
      <c r="A519" t="s">
        <v>37</v>
      </c>
      <c r="B519" t="s">
        <v>167</v>
      </c>
      <c r="C519" s="7" t="s">
        <v>19</v>
      </c>
      <c r="D519" t="s">
        <v>114</v>
      </c>
      <c r="E519" s="25">
        <f t="shared" si="282"/>
        <v>3.4745039514370103E-4</v>
      </c>
      <c r="F519" s="25">
        <f t="shared" si="325"/>
        <v>1.6794518540609186E-7</v>
      </c>
      <c r="G519" s="27">
        <v>0</v>
      </c>
      <c r="H519" s="25">
        <f t="shared" si="325"/>
        <v>4.1107572699815791E-4</v>
      </c>
      <c r="I519" s="25">
        <f t="shared" si="325"/>
        <v>2.3315337128829972E-4</v>
      </c>
      <c r="J519" s="25">
        <f t="shared" si="325"/>
        <v>2.3315337128829972E-4</v>
      </c>
      <c r="K519" s="25">
        <f t="shared" si="325"/>
        <v>1.8053989825493001E-4</v>
      </c>
      <c r="L519" s="25">
        <f t="shared" si="325"/>
        <v>1.4089658179781245E-7</v>
      </c>
      <c r="M519" s="27">
        <v>0</v>
      </c>
      <c r="N519" s="25">
        <f t="shared" ref="N519" si="338">N317/N$398</f>
        <v>8.7295918244990878E-5</v>
      </c>
      <c r="O519" s="25">
        <f t="shared" si="325"/>
        <v>8.7295918244990878E-5</v>
      </c>
      <c r="P519" s="27">
        <v>0</v>
      </c>
      <c r="Q519" s="25">
        <f t="shared" si="325"/>
        <v>1.5998850965764669E-4</v>
      </c>
      <c r="R519" s="25">
        <f t="shared" si="325"/>
        <v>1.5998850965764677E-4</v>
      </c>
      <c r="S519" s="27">
        <v>0</v>
      </c>
      <c r="T519" s="25">
        <f t="shared" si="325"/>
        <v>1.5998850965764677E-4</v>
      </c>
      <c r="U519" s="27">
        <v>0</v>
      </c>
      <c r="V519" s="25" t="e">
        <f t="shared" si="325"/>
        <v>#DIV/0!</v>
      </c>
      <c r="W519" s="25">
        <f t="shared" si="325"/>
        <v>1.3980904523770853E-4</v>
      </c>
      <c r="X519" s="27">
        <v>0</v>
      </c>
      <c r="Y519" s="27">
        <v>0</v>
      </c>
    </row>
    <row r="520" spans="1:25" outlineLevel="1" x14ac:dyDescent="0.25">
      <c r="A520" t="s">
        <v>37</v>
      </c>
      <c r="B520" t="s">
        <v>168</v>
      </c>
      <c r="C520" s="7" t="s">
        <v>20</v>
      </c>
      <c r="D520" t="s">
        <v>114</v>
      </c>
      <c r="E520" s="25">
        <f t="shared" si="282"/>
        <v>3.332357095216505E-4</v>
      </c>
      <c r="F520" s="25">
        <f t="shared" ref="F520:W533" si="339">F318/F$398</f>
        <v>1.7508799869625119E-7</v>
      </c>
      <c r="G520" s="27">
        <v>0</v>
      </c>
      <c r="H520" s="25">
        <f t="shared" si="339"/>
        <v>3.4016965181725298E-4</v>
      </c>
      <c r="I520" s="25">
        <f t="shared" si="339"/>
        <v>2.0390518584930491E-4</v>
      </c>
      <c r="J520" s="25">
        <f t="shared" si="339"/>
        <v>2.0390518584930491E-4</v>
      </c>
      <c r="K520" s="25">
        <f t="shared" si="339"/>
        <v>1.9429062422455647E-4</v>
      </c>
      <c r="L520" s="25">
        <f t="shared" si="339"/>
        <v>1.3688379150323898E-7</v>
      </c>
      <c r="M520" s="27">
        <v>0</v>
      </c>
      <c r="N520" s="25">
        <f t="shared" ref="N520" si="340">N318/N$398</f>
        <v>8.1395560955587268E-5</v>
      </c>
      <c r="O520" s="25">
        <f t="shared" si="339"/>
        <v>8.1395560955587268E-5</v>
      </c>
      <c r="P520" s="27">
        <v>0</v>
      </c>
      <c r="Q520" s="25">
        <f t="shared" si="339"/>
        <v>1.5450650462070612E-4</v>
      </c>
      <c r="R520" s="25">
        <f t="shared" si="339"/>
        <v>1.5450650462070617E-4</v>
      </c>
      <c r="S520" s="27">
        <v>0</v>
      </c>
      <c r="T520" s="25">
        <f t="shared" si="339"/>
        <v>1.5450650462070614E-4</v>
      </c>
      <c r="U520" s="27">
        <v>0</v>
      </c>
      <c r="V520" s="25" t="e">
        <f t="shared" si="339"/>
        <v>#DIV/0!</v>
      </c>
      <c r="W520" s="25">
        <f t="shared" si="339"/>
        <v>1.385994500373823E-4</v>
      </c>
      <c r="X520" s="27">
        <v>0</v>
      </c>
      <c r="Y520" s="27">
        <v>0</v>
      </c>
    </row>
    <row r="521" spans="1:25" outlineLevel="1" x14ac:dyDescent="0.25">
      <c r="A521" t="s">
        <v>37</v>
      </c>
      <c r="B521" t="s">
        <v>169</v>
      </c>
      <c r="C521" s="7" t="s">
        <v>21</v>
      </c>
      <c r="D521" t="s">
        <v>114</v>
      </c>
      <c r="E521" s="25">
        <f t="shared" si="282"/>
        <v>2.98181544437284E-4</v>
      </c>
      <c r="F521" s="25">
        <f t="shared" si="339"/>
        <v>1.817090981890889E-7</v>
      </c>
      <c r="G521" s="27">
        <v>0</v>
      </c>
      <c r="H521" s="25">
        <f t="shared" si="339"/>
        <v>2.1930022408271451E-4</v>
      </c>
      <c r="I521" s="25">
        <f t="shared" si="339"/>
        <v>1.7708436812931806E-4</v>
      </c>
      <c r="J521" s="25">
        <f t="shared" si="339"/>
        <v>1.7708436812931806E-4</v>
      </c>
      <c r="K521" s="25">
        <f t="shared" si="339"/>
        <v>1.9728482904993492E-4</v>
      </c>
      <c r="L521" s="25">
        <f t="shared" si="339"/>
        <v>1.3206010350155958E-7</v>
      </c>
      <c r="M521" s="27">
        <v>0</v>
      </c>
      <c r="N521" s="25">
        <f t="shared" ref="N521" si="341">N319/N$398</f>
        <v>7.7693353916967499E-5</v>
      </c>
      <c r="O521" s="25">
        <f t="shared" si="339"/>
        <v>7.7693353916967499E-5</v>
      </c>
      <c r="P521" s="27">
        <v>0</v>
      </c>
      <c r="Q521" s="25">
        <f t="shared" si="339"/>
        <v>1.5262695965448096E-4</v>
      </c>
      <c r="R521" s="25">
        <f t="shared" si="339"/>
        <v>1.5262695965448099E-4</v>
      </c>
      <c r="S521" s="27">
        <v>0</v>
      </c>
      <c r="T521" s="25">
        <f t="shared" si="339"/>
        <v>1.5262695965448102E-4</v>
      </c>
      <c r="U521" s="27">
        <v>0</v>
      </c>
      <c r="V521" s="25" t="e">
        <f t="shared" si="339"/>
        <v>#DIV/0!</v>
      </c>
      <c r="W521" s="25">
        <f t="shared" si="339"/>
        <v>1.3749065443708323E-4</v>
      </c>
      <c r="X521" s="27">
        <v>0</v>
      </c>
      <c r="Y521" s="27">
        <v>0</v>
      </c>
    </row>
    <row r="522" spans="1:25" outlineLevel="1" x14ac:dyDescent="0.25">
      <c r="A522" t="s">
        <v>37</v>
      </c>
      <c r="B522" t="s">
        <v>170</v>
      </c>
      <c r="C522" s="7" t="s">
        <v>22</v>
      </c>
      <c r="D522" t="s">
        <v>114</v>
      </c>
      <c r="E522" s="25">
        <f t="shared" si="282"/>
        <v>2.8506587084534726E-4</v>
      </c>
      <c r="F522" s="25">
        <f t="shared" si="339"/>
        <v>1.8739280947698292E-7</v>
      </c>
      <c r="G522" s="27">
        <v>0</v>
      </c>
      <c r="H522" s="25">
        <f t="shared" si="339"/>
        <v>1.2266451824544743E-4</v>
      </c>
      <c r="I522" s="25">
        <f t="shared" si="339"/>
        <v>1.3486247710204903E-4</v>
      </c>
      <c r="J522" s="25">
        <f t="shared" si="339"/>
        <v>1.3486247710204903E-4</v>
      </c>
      <c r="K522" s="25">
        <f t="shared" si="339"/>
        <v>1.6344249632167007E-4</v>
      </c>
      <c r="L522" s="25">
        <f t="shared" si="339"/>
        <v>1.2546911984062962E-7</v>
      </c>
      <c r="M522" s="27">
        <v>0</v>
      </c>
      <c r="N522" s="25">
        <f t="shared" ref="N522" si="342">N320/N$398</f>
        <v>7.098195750002518E-5</v>
      </c>
      <c r="O522" s="25">
        <f t="shared" si="339"/>
        <v>7.098195750002518E-5</v>
      </c>
      <c r="P522" s="27">
        <v>0</v>
      </c>
      <c r="Q522" s="25">
        <f t="shared" si="339"/>
        <v>1.0256277421713625E-4</v>
      </c>
      <c r="R522" s="25">
        <f t="shared" si="339"/>
        <v>1.025627742171363E-4</v>
      </c>
      <c r="S522" s="27">
        <v>0</v>
      </c>
      <c r="T522" s="25">
        <f t="shared" si="339"/>
        <v>1.0256277421713631E-4</v>
      </c>
      <c r="U522" s="27">
        <v>0</v>
      </c>
      <c r="V522" s="25" t="e">
        <f t="shared" si="339"/>
        <v>#DIV/0!</v>
      </c>
      <c r="W522" s="25">
        <f t="shared" si="339"/>
        <v>1.3668425763686573E-4</v>
      </c>
      <c r="X522" s="27">
        <v>0</v>
      </c>
      <c r="Y522" s="27">
        <v>0</v>
      </c>
    </row>
    <row r="523" spans="1:25" outlineLevel="1" x14ac:dyDescent="0.25">
      <c r="A523" t="s">
        <v>38</v>
      </c>
      <c r="B523" t="s">
        <v>147</v>
      </c>
      <c r="C523" s="7" t="s">
        <v>34</v>
      </c>
      <c r="D523" t="s">
        <v>114</v>
      </c>
      <c r="E523" s="25">
        <f t="shared" si="282"/>
        <v>1.1662433223041603E-4</v>
      </c>
      <c r="F523" s="25">
        <f t="shared" si="339"/>
        <v>1.8791101936403616E-7</v>
      </c>
      <c r="G523" s="27">
        <v>0</v>
      </c>
      <c r="H523" s="25">
        <f t="shared" si="339"/>
        <v>7.128067544919558E-5</v>
      </c>
      <c r="I523" s="25">
        <f t="shared" si="339"/>
        <v>7.8131222143532317E-5</v>
      </c>
      <c r="J523" s="25">
        <f t="shared" si="339"/>
        <v>7.8131222143532317E-5</v>
      </c>
      <c r="K523" s="25">
        <f t="shared" si="339"/>
        <v>7.0048419482026159E-5</v>
      </c>
      <c r="L523" s="25">
        <f t="shared" si="339"/>
        <v>4.7655743088995669E-6</v>
      </c>
      <c r="M523" s="27">
        <v>0</v>
      </c>
      <c r="N523" s="25">
        <f t="shared" ref="N523" si="343">N321/N$398</f>
        <v>6.8552679475746261E-5</v>
      </c>
      <c r="O523" s="25">
        <f t="shared" si="339"/>
        <v>6.8552679475746261E-5</v>
      </c>
      <c r="P523" s="27">
        <v>0</v>
      </c>
      <c r="Q523" s="25">
        <f t="shared" si="339"/>
        <v>6.7078202369792091E-5</v>
      </c>
      <c r="R523" s="25">
        <f t="shared" si="339"/>
        <v>6.7078202369792104E-5</v>
      </c>
      <c r="S523" s="27">
        <v>0</v>
      </c>
      <c r="T523" s="25">
        <f t="shared" si="339"/>
        <v>6.7078202369792104E-5</v>
      </c>
      <c r="U523" s="27">
        <v>0</v>
      </c>
      <c r="V523" s="25" t="e">
        <f t="shared" si="339"/>
        <v>#DIV/0!</v>
      </c>
      <c r="W523" s="25">
        <f t="shared" si="339"/>
        <v>1.3279251655755518E-4</v>
      </c>
      <c r="X523" s="27">
        <v>0</v>
      </c>
      <c r="Y523" s="27">
        <v>0</v>
      </c>
    </row>
    <row r="524" spans="1:25" outlineLevel="1" x14ac:dyDescent="0.25">
      <c r="A524" t="s">
        <v>38</v>
      </c>
      <c r="B524" t="s">
        <v>148</v>
      </c>
      <c r="C524" s="7" t="s">
        <v>0</v>
      </c>
      <c r="D524" t="s">
        <v>114</v>
      </c>
      <c r="E524" s="25">
        <f t="shared" si="282"/>
        <v>1.1965538941679065E-4</v>
      </c>
      <c r="F524" s="25">
        <f t="shared" si="339"/>
        <v>1.9078791411066648E-7</v>
      </c>
      <c r="G524" s="27">
        <v>0</v>
      </c>
      <c r="H524" s="25">
        <f t="shared" si="339"/>
        <v>6.1586055002791048E-5</v>
      </c>
      <c r="I524" s="25">
        <f t="shared" si="339"/>
        <v>5.0484736734417199E-5</v>
      </c>
      <c r="J524" s="25">
        <f t="shared" si="339"/>
        <v>5.0484736734417199E-5</v>
      </c>
      <c r="K524" s="25">
        <f t="shared" si="339"/>
        <v>6.2625703270794631E-5</v>
      </c>
      <c r="L524" s="25">
        <f t="shared" si="339"/>
        <v>4.66420013764389E-6</v>
      </c>
      <c r="M524" s="27">
        <v>0</v>
      </c>
      <c r="N524" s="25">
        <f t="shared" ref="N524" si="344">N322/N$398</f>
        <v>5.9862999027292082E-5</v>
      </c>
      <c r="O524" s="25">
        <f t="shared" si="339"/>
        <v>5.9862999027292082E-5</v>
      </c>
      <c r="P524" s="27">
        <v>0</v>
      </c>
      <c r="Q524" s="25">
        <f t="shared" si="339"/>
        <v>6.3707281513180637E-5</v>
      </c>
      <c r="R524" s="25">
        <f t="shared" si="339"/>
        <v>6.3707281513180665E-5</v>
      </c>
      <c r="S524" s="27">
        <v>0</v>
      </c>
      <c r="T524" s="25">
        <f t="shared" si="339"/>
        <v>6.3707281513180665E-5</v>
      </c>
      <c r="U524" s="27">
        <v>0</v>
      </c>
      <c r="V524" s="25" t="e">
        <f t="shared" si="339"/>
        <v>#DIV/0!</v>
      </c>
      <c r="W524" s="25">
        <f t="shared" si="339"/>
        <v>1.3266103881838927E-4</v>
      </c>
      <c r="X524" s="27">
        <v>0</v>
      </c>
      <c r="Y524" s="27">
        <v>0</v>
      </c>
    </row>
    <row r="525" spans="1:25" outlineLevel="1" x14ac:dyDescent="0.25">
      <c r="A525" t="s">
        <v>38</v>
      </c>
      <c r="B525" t="s">
        <v>149</v>
      </c>
      <c r="C525" s="7" t="s">
        <v>1</v>
      </c>
      <c r="D525" t="s">
        <v>114</v>
      </c>
      <c r="E525" s="25">
        <f t="shared" si="282"/>
        <v>1.2069196974145589E-4</v>
      </c>
      <c r="F525" s="25">
        <f t="shared" si="339"/>
        <v>1.9331626199376275E-7</v>
      </c>
      <c r="G525" s="27">
        <v>0</v>
      </c>
      <c r="H525" s="25">
        <f t="shared" si="339"/>
        <v>5.9481057724656329E-5</v>
      </c>
      <c r="I525" s="25">
        <f t="shared" si="339"/>
        <v>4.2077317669796044E-5</v>
      </c>
      <c r="J525" s="25">
        <f t="shared" si="339"/>
        <v>4.2077317669796044E-5</v>
      </c>
      <c r="K525" s="25">
        <f t="shared" si="339"/>
        <v>6.1729971709287176E-5</v>
      </c>
      <c r="L525" s="25">
        <f t="shared" si="339"/>
        <v>4.6218993744640548E-6</v>
      </c>
      <c r="M525" s="27">
        <v>0</v>
      </c>
      <c r="N525" s="25">
        <f t="shared" ref="N525" si="345">N323/N$398</f>
        <v>5.9109834374997329E-5</v>
      </c>
      <c r="O525" s="25">
        <f t="shared" si="339"/>
        <v>5.9109834374997329E-5</v>
      </c>
      <c r="P525" s="27">
        <v>0</v>
      </c>
      <c r="Q525" s="25">
        <f t="shared" si="339"/>
        <v>6.2787941047297684E-5</v>
      </c>
      <c r="R525" s="25">
        <f t="shared" si="339"/>
        <v>6.2787941047297684E-5</v>
      </c>
      <c r="S525" s="27">
        <v>0</v>
      </c>
      <c r="T525" s="25">
        <f t="shared" si="339"/>
        <v>6.2787941047297698E-5</v>
      </c>
      <c r="U525" s="27">
        <v>0</v>
      </c>
      <c r="V525" s="25" t="e">
        <f t="shared" si="339"/>
        <v>#DIV/0!</v>
      </c>
      <c r="W525" s="25">
        <f t="shared" si="339"/>
        <v>1.3279251655755518E-4</v>
      </c>
      <c r="X525" s="27">
        <v>0</v>
      </c>
      <c r="Y525" s="27">
        <v>0</v>
      </c>
    </row>
    <row r="526" spans="1:25" outlineLevel="1" x14ac:dyDescent="0.25">
      <c r="A526" t="s">
        <v>38</v>
      </c>
      <c r="B526" t="s">
        <v>150</v>
      </c>
      <c r="C526" s="7" t="s">
        <v>2</v>
      </c>
      <c r="D526" t="s">
        <v>114</v>
      </c>
      <c r="E526" s="25">
        <f t="shared" si="282"/>
        <v>1.1965538941679065E-4</v>
      </c>
      <c r="F526" s="25">
        <f t="shared" si="339"/>
        <v>1.9369247130678363E-7</v>
      </c>
      <c r="G526" s="27">
        <v>0</v>
      </c>
      <c r="H526" s="25">
        <f t="shared" si="339"/>
        <v>5.9430845921169665E-5</v>
      </c>
      <c r="I526" s="25">
        <f t="shared" si="339"/>
        <v>3.9002223326727462E-5</v>
      </c>
      <c r="J526" s="25">
        <f t="shared" si="339"/>
        <v>3.9002223326727462E-5</v>
      </c>
      <c r="K526" s="25">
        <f t="shared" si="339"/>
        <v>6.3298969753203754E-5</v>
      </c>
      <c r="L526" s="25">
        <f t="shared" si="339"/>
        <v>4.598037642867835E-6</v>
      </c>
      <c r="M526" s="27">
        <v>0</v>
      </c>
      <c r="N526" s="25">
        <f t="shared" ref="N526" si="346">N324/N$398</f>
        <v>5.9686866828836267E-5</v>
      </c>
      <c r="O526" s="25">
        <f t="shared" si="339"/>
        <v>5.9686866828836267E-5</v>
      </c>
      <c r="P526" s="27">
        <v>0</v>
      </c>
      <c r="Q526" s="25">
        <f t="shared" si="339"/>
        <v>6.2787941047297684E-5</v>
      </c>
      <c r="R526" s="25">
        <f t="shared" si="339"/>
        <v>6.2787941047297684E-5</v>
      </c>
      <c r="S526" s="27">
        <v>0</v>
      </c>
      <c r="T526" s="25">
        <f t="shared" si="339"/>
        <v>6.2787941047297698E-5</v>
      </c>
      <c r="U526" s="27">
        <v>0</v>
      </c>
      <c r="V526" s="25" t="e">
        <f t="shared" si="339"/>
        <v>#DIV/0!</v>
      </c>
      <c r="W526" s="25">
        <f t="shared" si="339"/>
        <v>1.3292399429672106E-4</v>
      </c>
      <c r="X526" s="27">
        <v>0</v>
      </c>
      <c r="Y526" s="27">
        <v>0</v>
      </c>
    </row>
    <row r="527" spans="1:25" outlineLevel="1" x14ac:dyDescent="0.25">
      <c r="A527" t="s">
        <v>38</v>
      </c>
      <c r="B527" t="s">
        <v>151</v>
      </c>
      <c r="C527" s="7" t="s">
        <v>3</v>
      </c>
      <c r="D527" t="s">
        <v>114</v>
      </c>
      <c r="E527" s="25">
        <f t="shared" si="282"/>
        <v>1.1662433223041603E-4</v>
      </c>
      <c r="F527" s="25">
        <f t="shared" si="339"/>
        <v>1.9306729994838128E-7</v>
      </c>
      <c r="G527" s="27">
        <v>0</v>
      </c>
      <c r="H527" s="25">
        <f t="shared" si="339"/>
        <v>6.2556672149151565E-5</v>
      </c>
      <c r="I527" s="25">
        <f t="shared" si="339"/>
        <v>4.0205048997137428E-5</v>
      </c>
      <c r="J527" s="25">
        <f t="shared" si="339"/>
        <v>4.0205048997137428E-5</v>
      </c>
      <c r="K527" s="25">
        <f t="shared" si="339"/>
        <v>6.4254476925536673E-5</v>
      </c>
      <c r="L527" s="25">
        <f t="shared" si="339"/>
        <v>4.592900774460676E-6</v>
      </c>
      <c r="M527" s="27">
        <v>0</v>
      </c>
      <c r="N527" s="25">
        <f t="shared" ref="N527" si="347">N325/N$398</f>
        <v>6.0536412488618455E-5</v>
      </c>
      <c r="O527" s="25">
        <f t="shared" si="339"/>
        <v>6.0536412488618455E-5</v>
      </c>
      <c r="P527" s="27">
        <v>0</v>
      </c>
      <c r="Q527" s="25">
        <f t="shared" si="339"/>
        <v>6.2481491317816401E-5</v>
      </c>
      <c r="R527" s="25">
        <f t="shared" si="339"/>
        <v>6.2481491317816415E-5</v>
      </c>
      <c r="S527" s="27">
        <v>0</v>
      </c>
      <c r="T527" s="25">
        <f t="shared" si="339"/>
        <v>6.2481491317816442E-5</v>
      </c>
      <c r="U527" s="27">
        <v>0</v>
      </c>
      <c r="V527" s="25" t="e">
        <f t="shared" si="339"/>
        <v>#DIV/0!</v>
      </c>
      <c r="W527" s="25">
        <f t="shared" si="339"/>
        <v>1.3384433847088233E-4</v>
      </c>
      <c r="X527" s="27">
        <v>0</v>
      </c>
      <c r="Y527" s="27">
        <v>0</v>
      </c>
    </row>
    <row r="528" spans="1:25" outlineLevel="1" x14ac:dyDescent="0.25">
      <c r="A528" t="s">
        <v>38</v>
      </c>
      <c r="B528" t="s">
        <v>152</v>
      </c>
      <c r="C528" s="7" t="s">
        <v>4</v>
      </c>
      <c r="D528" t="s">
        <v>114</v>
      </c>
      <c r="E528" s="25">
        <f t="shared" si="282"/>
        <v>1.3047397870576282E-4</v>
      </c>
      <c r="F528" s="25">
        <f t="shared" si="339"/>
        <v>1.8960949376252752E-7</v>
      </c>
      <c r="G528" s="27">
        <v>0</v>
      </c>
      <c r="H528" s="25">
        <f t="shared" si="339"/>
        <v>7.9204544470596642E-5</v>
      </c>
      <c r="I528" s="25">
        <f t="shared" si="339"/>
        <v>5.2091086612260705E-5</v>
      </c>
      <c r="J528" s="25">
        <f t="shared" si="339"/>
        <v>5.2091086612260705E-5</v>
      </c>
      <c r="K528" s="25">
        <f t="shared" si="339"/>
        <v>7.403759857087785E-5</v>
      </c>
      <c r="L528" s="25">
        <f t="shared" si="339"/>
        <v>4.6430358694982432E-6</v>
      </c>
      <c r="M528" s="27">
        <v>0</v>
      </c>
      <c r="N528" s="25">
        <f t="shared" ref="N528" si="348">N326/N$398</f>
        <v>6.4690170939963755E-5</v>
      </c>
      <c r="O528" s="25">
        <f t="shared" si="339"/>
        <v>6.4690170939963755E-5</v>
      </c>
      <c r="P528" s="27">
        <v>0</v>
      </c>
      <c r="Q528" s="25">
        <f t="shared" si="339"/>
        <v>6.2941170273318712E-5</v>
      </c>
      <c r="R528" s="25">
        <f t="shared" si="339"/>
        <v>6.2941170273318739E-5</v>
      </c>
      <c r="S528" s="27">
        <v>0</v>
      </c>
      <c r="T528" s="25">
        <f t="shared" si="339"/>
        <v>6.2941170273318739E-5</v>
      </c>
      <c r="U528" s="27">
        <v>0</v>
      </c>
      <c r="V528" s="25" t="e">
        <f t="shared" si="339"/>
        <v>#DIV/0!</v>
      </c>
      <c r="W528" s="25">
        <f t="shared" si="339"/>
        <v>1.3529059360170719E-4</v>
      </c>
      <c r="X528" s="27">
        <v>0</v>
      </c>
      <c r="Y528" s="27">
        <v>0</v>
      </c>
    </row>
    <row r="529" spans="1:25" outlineLevel="1" x14ac:dyDescent="0.25">
      <c r="A529" t="s">
        <v>38</v>
      </c>
      <c r="B529" t="s">
        <v>153</v>
      </c>
      <c r="C529" s="7" t="s">
        <v>5</v>
      </c>
      <c r="D529" t="s">
        <v>114</v>
      </c>
      <c r="E529" s="25">
        <f t="shared" si="282"/>
        <v>1.4173223829669443E-4</v>
      </c>
      <c r="F529" s="25">
        <f t="shared" si="339"/>
        <v>1.8201891762334137E-7</v>
      </c>
      <c r="G529" s="27">
        <v>0</v>
      </c>
      <c r="H529" s="25">
        <f t="shared" si="339"/>
        <v>8.5266608052013735E-5</v>
      </c>
      <c r="I529" s="25">
        <f t="shared" si="339"/>
        <v>9.1744197626040432E-5</v>
      </c>
      <c r="J529" s="25">
        <f t="shared" si="339"/>
        <v>9.1744197626040432E-5</v>
      </c>
      <c r="K529" s="25">
        <f t="shared" si="339"/>
        <v>1.3243445618397201E-4</v>
      </c>
      <c r="L529" s="25">
        <f t="shared" si="339"/>
        <v>4.8223541208539848E-6</v>
      </c>
      <c r="M529" s="27">
        <v>0</v>
      </c>
      <c r="N529" s="25">
        <f t="shared" ref="N529" si="349">N327/N$398</f>
        <v>7.2285875496113503E-5</v>
      </c>
      <c r="O529" s="25">
        <f t="shared" si="339"/>
        <v>7.2285875496113503E-5</v>
      </c>
      <c r="P529" s="27">
        <v>0</v>
      </c>
      <c r="Q529" s="25">
        <f t="shared" si="339"/>
        <v>7.8113114070095169E-5</v>
      </c>
      <c r="R529" s="25">
        <f t="shared" si="339"/>
        <v>7.8113114070095182E-5</v>
      </c>
      <c r="S529" s="27">
        <v>0</v>
      </c>
      <c r="T529" s="25">
        <f t="shared" si="339"/>
        <v>7.8113114070095196E-5</v>
      </c>
      <c r="U529" s="27">
        <v>0</v>
      </c>
      <c r="V529" s="25" t="e">
        <f t="shared" si="339"/>
        <v>#DIV/0!</v>
      </c>
      <c r="W529" s="25">
        <f t="shared" si="339"/>
        <v>1.3581650455837081E-4</v>
      </c>
      <c r="X529" s="27">
        <v>0</v>
      </c>
      <c r="Y529" s="27">
        <v>0</v>
      </c>
    </row>
    <row r="530" spans="1:25" outlineLevel="1" x14ac:dyDescent="0.25">
      <c r="A530" t="s">
        <v>38</v>
      </c>
      <c r="B530" t="s">
        <v>154</v>
      </c>
      <c r="C530" s="7" t="s">
        <v>6</v>
      </c>
      <c r="D530" t="s">
        <v>114</v>
      </c>
      <c r="E530" s="25">
        <f t="shared" si="282"/>
        <v>1.5753606615849229E-4</v>
      </c>
      <c r="F530" s="25">
        <f t="shared" si="339"/>
        <v>1.6919460604124698E-7</v>
      </c>
      <c r="G530" s="27">
        <v>0</v>
      </c>
      <c r="H530" s="25">
        <f t="shared" si="339"/>
        <v>6.6168526937703426E-5</v>
      </c>
      <c r="I530" s="25">
        <f t="shared" si="339"/>
        <v>1.431581158433971E-4</v>
      </c>
      <c r="J530" s="25">
        <f t="shared" si="339"/>
        <v>1.431581158433971E-4</v>
      </c>
      <c r="K530" s="25">
        <f t="shared" si="339"/>
        <v>1.7051600724761983E-4</v>
      </c>
      <c r="L530" s="25">
        <f t="shared" si="339"/>
        <v>5.1761164425042061E-6</v>
      </c>
      <c r="M530" s="27">
        <v>0</v>
      </c>
      <c r="N530" s="25">
        <f t="shared" ref="N530" si="350">N328/N$398</f>
        <v>9.1377982017557511E-5</v>
      </c>
      <c r="O530" s="25">
        <f t="shared" si="339"/>
        <v>9.1377982017557511E-5</v>
      </c>
      <c r="P530" s="27">
        <v>0</v>
      </c>
      <c r="Q530" s="25">
        <f t="shared" si="339"/>
        <v>1.016947578806544E-4</v>
      </c>
      <c r="R530" s="25">
        <f t="shared" si="339"/>
        <v>1.0169475788065443E-4</v>
      </c>
      <c r="S530" s="27">
        <v>0</v>
      </c>
      <c r="T530" s="25">
        <f t="shared" si="339"/>
        <v>1.0169475788065444E-4</v>
      </c>
      <c r="U530" s="27">
        <v>0</v>
      </c>
      <c r="V530" s="25" t="e">
        <f t="shared" si="339"/>
        <v>#DIV/0!</v>
      </c>
      <c r="W530" s="25">
        <f t="shared" si="339"/>
        <v>1.3594798229753669E-4</v>
      </c>
      <c r="X530" s="27">
        <v>0</v>
      </c>
      <c r="Y530" s="27">
        <v>0</v>
      </c>
    </row>
    <row r="531" spans="1:25" outlineLevel="1" x14ac:dyDescent="0.25">
      <c r="A531" t="s">
        <v>38</v>
      </c>
      <c r="B531" t="s">
        <v>155</v>
      </c>
      <c r="C531" s="7" t="s">
        <v>7</v>
      </c>
      <c r="D531" t="s">
        <v>114</v>
      </c>
      <c r="E531" s="25">
        <f t="shared" si="282"/>
        <v>1.6557740008978596E-4</v>
      </c>
      <c r="F531" s="25">
        <f t="shared" si="339"/>
        <v>3.8759517722966714E-7</v>
      </c>
      <c r="G531" s="27">
        <v>0</v>
      </c>
      <c r="H531" s="25">
        <f t="shared" si="339"/>
        <v>7.9004528461603949E-5</v>
      </c>
      <c r="I531" s="25">
        <f t="shared" si="339"/>
        <v>2.1831346643120272E-4</v>
      </c>
      <c r="J531" s="25">
        <f t="shared" si="339"/>
        <v>2.1831346643120272E-4</v>
      </c>
      <c r="K531" s="25">
        <f t="shared" si="339"/>
        <v>1.5901047578562063E-4</v>
      </c>
      <c r="L531" s="25">
        <f t="shared" si="339"/>
        <v>5.7247904603820944E-6</v>
      </c>
      <c r="M531" s="27">
        <v>0</v>
      </c>
      <c r="N531" s="25">
        <f t="shared" ref="N531" si="351">N329/N$398</f>
        <v>1.0350661126280682E-4</v>
      </c>
      <c r="O531" s="25">
        <f t="shared" si="339"/>
        <v>1.0350661126280682E-4</v>
      </c>
      <c r="P531" s="27">
        <v>0</v>
      </c>
      <c r="Q531" s="25">
        <f t="shared" si="339"/>
        <v>1.2170766187764135E-4</v>
      </c>
      <c r="R531" s="25">
        <f t="shared" si="339"/>
        <v>1.2170766187764138E-4</v>
      </c>
      <c r="S531" s="27">
        <v>0</v>
      </c>
      <c r="T531" s="25">
        <f t="shared" si="339"/>
        <v>1.217076618776414E-4</v>
      </c>
      <c r="U531" s="27">
        <v>0</v>
      </c>
      <c r="V531" s="25" t="e">
        <f t="shared" si="339"/>
        <v>#DIV/0!</v>
      </c>
      <c r="W531" s="25">
        <f t="shared" si="339"/>
        <v>1.356850268192049E-4</v>
      </c>
      <c r="X531" s="27">
        <v>0</v>
      </c>
      <c r="Y531" s="27">
        <v>0</v>
      </c>
    </row>
    <row r="532" spans="1:25" outlineLevel="1" x14ac:dyDescent="0.25">
      <c r="A532" t="s">
        <v>38</v>
      </c>
      <c r="B532" t="s">
        <v>156</v>
      </c>
      <c r="C532" s="7" t="s">
        <v>8</v>
      </c>
      <c r="D532" t="s">
        <v>114</v>
      </c>
      <c r="E532" s="25">
        <f t="shared" ref="E532:T594" si="352">E330/E$398</f>
        <v>1.6366664661374025E-4</v>
      </c>
      <c r="F532" s="25">
        <f t="shared" si="352"/>
        <v>4.2973947227184235E-6</v>
      </c>
      <c r="G532" s="27">
        <v>0</v>
      </c>
      <c r="H532" s="25">
        <f t="shared" si="352"/>
        <v>8.1862925227167176E-5</v>
      </c>
      <c r="I532" s="25">
        <f t="shared" si="352"/>
        <v>2.9751744737847586E-4</v>
      </c>
      <c r="J532" s="25">
        <f t="shared" si="352"/>
        <v>2.9751744737847586E-4</v>
      </c>
      <c r="K532" s="25">
        <f t="shared" si="352"/>
        <v>1.2932707475562155E-4</v>
      </c>
      <c r="L532" s="25">
        <f t="shared" si="352"/>
        <v>6.5893813066937739E-6</v>
      </c>
      <c r="M532" s="27">
        <v>0</v>
      </c>
      <c r="N532" s="25">
        <f t="shared" ref="N532" si="353">N330/N$398</f>
        <v>1.1354867231340625E-4</v>
      </c>
      <c r="O532" s="25">
        <f t="shared" si="352"/>
        <v>1.1354867231340625E-4</v>
      </c>
      <c r="P532" s="27">
        <v>0</v>
      </c>
      <c r="Q532" s="25">
        <f t="shared" si="352"/>
        <v>1.3828848242150867E-4</v>
      </c>
      <c r="R532" s="25">
        <f t="shared" si="352"/>
        <v>1.3828848242150869E-4</v>
      </c>
      <c r="S532" s="27">
        <v>0</v>
      </c>
      <c r="T532" s="25">
        <f t="shared" si="352"/>
        <v>1.3828848242150869E-4</v>
      </c>
      <c r="U532" s="27">
        <v>0</v>
      </c>
      <c r="V532" s="25" t="e">
        <f t="shared" si="339"/>
        <v>#DIV/0!</v>
      </c>
      <c r="W532" s="25">
        <f t="shared" si="339"/>
        <v>1.3529059360170719E-4</v>
      </c>
      <c r="X532" s="27">
        <v>0</v>
      </c>
      <c r="Y532" s="27">
        <v>0</v>
      </c>
    </row>
    <row r="533" spans="1:25" outlineLevel="1" x14ac:dyDescent="0.25">
      <c r="A533" t="s">
        <v>38</v>
      </c>
      <c r="B533" t="s">
        <v>157</v>
      </c>
      <c r="C533" s="7" t="s">
        <v>9</v>
      </c>
      <c r="D533" t="s">
        <v>114</v>
      </c>
      <c r="E533" s="25">
        <f t="shared" si="352"/>
        <v>1.599818693903612E-4</v>
      </c>
      <c r="F533" s="25">
        <f t="shared" si="339"/>
        <v>9.3855316289976779E-6</v>
      </c>
      <c r="G533" s="27">
        <v>0</v>
      </c>
      <c r="H533" s="25">
        <f t="shared" si="339"/>
        <v>8.2351252284065232E-5</v>
      </c>
      <c r="I533" s="25">
        <f t="shared" si="339"/>
        <v>3.0542250032814552E-4</v>
      </c>
      <c r="J533" s="25">
        <f t="shared" si="339"/>
        <v>3.0542250032814552E-4</v>
      </c>
      <c r="K533" s="25">
        <f t="shared" si="339"/>
        <v>1.0954959248422241E-4</v>
      </c>
      <c r="L533" s="25">
        <f t="shared" si="339"/>
        <v>7.5367475972866173E-6</v>
      </c>
      <c r="M533" s="27">
        <v>0</v>
      </c>
      <c r="N533" s="25">
        <f t="shared" ref="N533" si="354">N331/N$398</f>
        <v>1.1170450404034028E-4</v>
      </c>
      <c r="O533" s="25">
        <f t="shared" si="339"/>
        <v>1.1170450404034028E-4</v>
      </c>
      <c r="P533" s="27">
        <v>0</v>
      </c>
      <c r="Q533" s="25">
        <f t="shared" ref="F533:W546" si="355">Q331/Q$398</f>
        <v>1.4656000834925516E-4</v>
      </c>
      <c r="R533" s="25">
        <f t="shared" si="355"/>
        <v>1.4656000834925521E-4</v>
      </c>
      <c r="S533" s="27">
        <v>0</v>
      </c>
      <c r="T533" s="25">
        <f t="shared" si="355"/>
        <v>1.4656000834925521E-4</v>
      </c>
      <c r="U533" s="27">
        <v>0</v>
      </c>
      <c r="V533" s="25" t="e">
        <f t="shared" si="355"/>
        <v>#DIV/0!</v>
      </c>
      <c r="W533" s="25">
        <f t="shared" si="355"/>
        <v>1.3489616038420951E-4</v>
      </c>
      <c r="X533" s="27">
        <v>0</v>
      </c>
      <c r="Y533" s="27">
        <v>0</v>
      </c>
    </row>
    <row r="534" spans="1:25" outlineLevel="1" x14ac:dyDescent="0.25">
      <c r="A534" t="s">
        <v>38</v>
      </c>
      <c r="B534" t="s">
        <v>158</v>
      </c>
      <c r="C534" s="7" t="s">
        <v>10</v>
      </c>
      <c r="D534" t="s">
        <v>114</v>
      </c>
      <c r="E534" s="25">
        <f t="shared" si="352"/>
        <v>1.2299751659143672E-4</v>
      </c>
      <c r="F534" s="25">
        <f t="shared" si="355"/>
        <v>1.5018264710814052E-5</v>
      </c>
      <c r="G534" s="27">
        <v>0</v>
      </c>
      <c r="H534" s="25">
        <f t="shared" si="355"/>
        <v>8.7376596462242917E-5</v>
      </c>
      <c r="I534" s="25">
        <f t="shared" si="355"/>
        <v>2.8098870030189387E-4</v>
      </c>
      <c r="J534" s="25">
        <f t="shared" si="355"/>
        <v>2.8098870030189387E-4</v>
      </c>
      <c r="K534" s="25">
        <f t="shared" si="355"/>
        <v>9.7067724598931134E-5</v>
      </c>
      <c r="L534" s="25">
        <f t="shared" si="355"/>
        <v>8.3167253451088508E-6</v>
      </c>
      <c r="M534" s="27">
        <v>0</v>
      </c>
      <c r="N534" s="25">
        <f t="shared" ref="N534" si="356">N332/N$398</f>
        <v>1.1176411206082584E-4</v>
      </c>
      <c r="O534" s="25">
        <f t="shared" si="355"/>
        <v>1.1176411206082584E-4</v>
      </c>
      <c r="P534" s="27">
        <v>0</v>
      </c>
      <c r="Q534" s="25">
        <f t="shared" si="355"/>
        <v>1.5130993990469105E-4</v>
      </c>
      <c r="R534" s="25">
        <f t="shared" si="355"/>
        <v>1.513099399046911E-4</v>
      </c>
      <c r="S534" s="27">
        <v>0</v>
      </c>
      <c r="T534" s="25">
        <f t="shared" si="355"/>
        <v>1.5130993990469113E-4</v>
      </c>
      <c r="U534" s="27">
        <v>0</v>
      </c>
      <c r="V534" s="25" t="e">
        <f t="shared" si="355"/>
        <v>#DIV/0!</v>
      </c>
      <c r="W534" s="25">
        <f t="shared" si="355"/>
        <v>1.3463320490587772E-4</v>
      </c>
      <c r="X534" s="27">
        <v>0</v>
      </c>
      <c r="Y534" s="27">
        <v>0</v>
      </c>
    </row>
    <row r="535" spans="1:25" outlineLevel="1" x14ac:dyDescent="0.25">
      <c r="A535" t="s">
        <v>38</v>
      </c>
      <c r="B535" t="s">
        <v>159</v>
      </c>
      <c r="C535" s="7" t="s">
        <v>11</v>
      </c>
      <c r="D535" t="s">
        <v>114</v>
      </c>
      <c r="E535" s="25">
        <f t="shared" si="352"/>
        <v>1.2523804943030532E-4</v>
      </c>
      <c r="F535" s="25">
        <f t="shared" si="355"/>
        <v>2.007347776971408E-5</v>
      </c>
      <c r="G535" s="27">
        <v>0</v>
      </c>
      <c r="H535" s="25">
        <f t="shared" si="355"/>
        <v>9.0413288641616823E-5</v>
      </c>
      <c r="I535" s="25">
        <f t="shared" si="355"/>
        <v>2.5152441203494337E-4</v>
      </c>
      <c r="J535" s="25">
        <f t="shared" si="355"/>
        <v>2.5152441203494337E-4</v>
      </c>
      <c r="K535" s="25">
        <f t="shared" si="355"/>
        <v>8.7923292879406889E-5</v>
      </c>
      <c r="L535" s="25">
        <f t="shared" si="355"/>
        <v>8.940864692888981E-6</v>
      </c>
      <c r="M535" s="27">
        <v>0</v>
      </c>
      <c r="N535" s="25">
        <f t="shared" ref="N535" si="357">N333/N$398</f>
        <v>1.1134230428607192E-4</v>
      </c>
      <c r="O535" s="25">
        <f t="shared" si="355"/>
        <v>1.1134230428607192E-4</v>
      </c>
      <c r="P535" s="27">
        <v>0</v>
      </c>
      <c r="Q535" s="25">
        <f t="shared" si="355"/>
        <v>1.4809481270698334E-4</v>
      </c>
      <c r="R535" s="25">
        <f t="shared" si="355"/>
        <v>1.480948127069834E-4</v>
      </c>
      <c r="S535" s="27">
        <v>0</v>
      </c>
      <c r="T535" s="25">
        <f t="shared" si="355"/>
        <v>1.4809481270698343E-4</v>
      </c>
      <c r="U535" s="27">
        <v>0</v>
      </c>
      <c r="V535" s="25" t="e">
        <f t="shared" si="355"/>
        <v>#DIV/0!</v>
      </c>
      <c r="W535" s="25">
        <f t="shared" si="355"/>
        <v>1.3450172716671183E-4</v>
      </c>
      <c r="X535" s="27">
        <v>0</v>
      </c>
      <c r="Y535" s="27">
        <v>0</v>
      </c>
    </row>
    <row r="536" spans="1:25" outlineLevel="1" x14ac:dyDescent="0.25">
      <c r="A536" t="s">
        <v>38</v>
      </c>
      <c r="B536" t="s">
        <v>160</v>
      </c>
      <c r="C536" s="7" t="s">
        <v>12</v>
      </c>
      <c r="D536" t="s">
        <v>114</v>
      </c>
      <c r="E536" s="25">
        <f t="shared" si="352"/>
        <v>1.2513673539692839E-4</v>
      </c>
      <c r="F536" s="25">
        <f t="shared" si="355"/>
        <v>2.4866793821852601E-5</v>
      </c>
      <c r="G536" s="27">
        <v>0</v>
      </c>
      <c r="H536" s="25">
        <f t="shared" si="355"/>
        <v>9.0297438963361719E-5</v>
      </c>
      <c r="I536" s="25">
        <f t="shared" si="355"/>
        <v>2.166714216460856E-4</v>
      </c>
      <c r="J536" s="25">
        <f t="shared" si="355"/>
        <v>2.166714216460856E-4</v>
      </c>
      <c r="K536" s="25">
        <f t="shared" si="355"/>
        <v>8.1674478536815037E-5</v>
      </c>
      <c r="L536" s="25">
        <f t="shared" si="355"/>
        <v>9.3159787511872086E-6</v>
      </c>
      <c r="M536" s="27">
        <v>0</v>
      </c>
      <c r="N536" s="25">
        <f t="shared" ref="N536" si="358">N334/N$398</f>
        <v>1.0725277441051311E-4</v>
      </c>
      <c r="O536" s="25">
        <f t="shared" si="355"/>
        <v>1.0725277441051311E-4</v>
      </c>
      <c r="P536" s="27">
        <v>0</v>
      </c>
      <c r="Q536" s="25">
        <f t="shared" si="355"/>
        <v>1.4116707577744805E-4</v>
      </c>
      <c r="R536" s="25">
        <f t="shared" si="355"/>
        <v>1.411670757774481E-4</v>
      </c>
      <c r="S536" s="27">
        <v>0</v>
      </c>
      <c r="T536" s="25">
        <f t="shared" si="355"/>
        <v>1.411670757774481E-4</v>
      </c>
      <c r="U536" s="27">
        <v>0</v>
      </c>
      <c r="V536" s="25" t="e">
        <f t="shared" si="355"/>
        <v>#DIV/0!</v>
      </c>
      <c r="W536" s="25">
        <f t="shared" si="355"/>
        <v>1.3463320490587772E-4</v>
      </c>
      <c r="X536" s="27">
        <v>0</v>
      </c>
      <c r="Y536" s="27">
        <v>0</v>
      </c>
    </row>
    <row r="537" spans="1:25" outlineLevel="1" x14ac:dyDescent="0.25">
      <c r="A537" t="s">
        <v>38</v>
      </c>
      <c r="B537" t="s">
        <v>161</v>
      </c>
      <c r="C537" s="7" t="s">
        <v>13</v>
      </c>
      <c r="D537" t="s">
        <v>114</v>
      </c>
      <c r="E537" s="25">
        <f t="shared" si="352"/>
        <v>1.243059795014119E-4</v>
      </c>
      <c r="F537" s="25">
        <f t="shared" si="355"/>
        <v>2.7355949546515918E-5</v>
      </c>
      <c r="G537" s="27">
        <v>0</v>
      </c>
      <c r="H537" s="25">
        <f t="shared" si="355"/>
        <v>8.9347320970161633E-5</v>
      </c>
      <c r="I537" s="25">
        <f t="shared" si="355"/>
        <v>1.995446573138611E-4</v>
      </c>
      <c r="J537" s="25">
        <f t="shared" si="355"/>
        <v>1.995446573138611E-4</v>
      </c>
      <c r="K537" s="25">
        <f t="shared" si="355"/>
        <v>8.0293646738750728E-5</v>
      </c>
      <c r="L537" s="25">
        <f t="shared" si="355"/>
        <v>9.4454650973054921E-6</v>
      </c>
      <c r="M537" s="27">
        <v>0</v>
      </c>
      <c r="N537" s="25">
        <f t="shared" ref="N537" si="359">N335/N$398</f>
        <v>1.0230624743079125E-4</v>
      </c>
      <c r="O537" s="25">
        <f t="shared" si="355"/>
        <v>1.0230624743079125E-4</v>
      </c>
      <c r="P537" s="27">
        <v>0</v>
      </c>
      <c r="Q537" s="25">
        <f t="shared" si="355"/>
        <v>1.3932840356824296E-4</v>
      </c>
      <c r="R537" s="25">
        <f t="shared" si="355"/>
        <v>1.3932840356824298E-4</v>
      </c>
      <c r="S537" s="27">
        <v>0</v>
      </c>
      <c r="T537" s="25">
        <f t="shared" si="355"/>
        <v>1.3932840356824298E-4</v>
      </c>
      <c r="U537" s="27">
        <v>0</v>
      </c>
      <c r="V537" s="25" t="e">
        <f t="shared" si="355"/>
        <v>#DIV/0!</v>
      </c>
      <c r="W537" s="25">
        <f t="shared" si="355"/>
        <v>1.3502763812337542E-4</v>
      </c>
      <c r="X537" s="27">
        <v>0</v>
      </c>
      <c r="Y537" s="27">
        <v>0</v>
      </c>
    </row>
    <row r="538" spans="1:25" outlineLevel="1" x14ac:dyDescent="0.25">
      <c r="A538" t="s">
        <v>38</v>
      </c>
      <c r="B538" t="s">
        <v>162</v>
      </c>
      <c r="C538" s="7" t="s">
        <v>14</v>
      </c>
      <c r="D538" t="s">
        <v>114</v>
      </c>
      <c r="E538" s="25">
        <f t="shared" si="352"/>
        <v>1.2450203371617362E-4</v>
      </c>
      <c r="F538" s="25">
        <f t="shared" si="355"/>
        <v>2.473559635642646E-5</v>
      </c>
      <c r="G538" s="27">
        <v>0</v>
      </c>
      <c r="H538" s="25">
        <f t="shared" si="355"/>
        <v>8.9571543384456883E-5</v>
      </c>
      <c r="I538" s="25">
        <f t="shared" si="355"/>
        <v>1.7415178033169666E-4</v>
      </c>
      <c r="J538" s="25">
        <f t="shared" si="355"/>
        <v>1.7415178033169666E-4</v>
      </c>
      <c r="K538" s="25">
        <f t="shared" si="355"/>
        <v>7.5886841168167996E-5</v>
      </c>
      <c r="L538" s="25">
        <f t="shared" si="355"/>
        <v>9.3173650923342629E-6</v>
      </c>
      <c r="M538" s="27">
        <v>0</v>
      </c>
      <c r="N538" s="25">
        <f t="shared" ref="N538" si="360">N336/N$398</f>
        <v>9.5274303639773328E-5</v>
      </c>
      <c r="O538" s="25">
        <f t="shared" si="355"/>
        <v>9.5274303639773328E-5</v>
      </c>
      <c r="P538" s="27">
        <v>0</v>
      </c>
      <c r="Q538" s="25">
        <f t="shared" si="355"/>
        <v>1.3657037344803319E-4</v>
      </c>
      <c r="R538" s="25">
        <f t="shared" si="355"/>
        <v>1.3657037344803324E-4</v>
      </c>
      <c r="S538" s="27">
        <v>0</v>
      </c>
      <c r="T538" s="25">
        <f t="shared" si="355"/>
        <v>1.3657037344803327E-4</v>
      </c>
      <c r="U538" s="27">
        <v>0</v>
      </c>
      <c r="V538" s="25" t="e">
        <f t="shared" si="355"/>
        <v>#DIV/0!</v>
      </c>
      <c r="W538" s="25">
        <f t="shared" si="355"/>
        <v>1.3647389325420025E-4</v>
      </c>
      <c r="X538" s="27">
        <v>0</v>
      </c>
      <c r="Y538" s="27">
        <v>0</v>
      </c>
    </row>
    <row r="539" spans="1:25" outlineLevel="1" x14ac:dyDescent="0.25">
      <c r="A539" t="s">
        <v>38</v>
      </c>
      <c r="B539" t="s">
        <v>163</v>
      </c>
      <c r="C539" s="7" t="s">
        <v>15</v>
      </c>
      <c r="D539" t="s">
        <v>114</v>
      </c>
      <c r="E539" s="25">
        <f t="shared" si="352"/>
        <v>1.2664078372184737E-4</v>
      </c>
      <c r="F539" s="25">
        <f t="shared" si="355"/>
        <v>2.0315662514971277E-5</v>
      </c>
      <c r="G539" s="27">
        <v>0</v>
      </c>
      <c r="H539" s="25">
        <f t="shared" si="355"/>
        <v>9.4018021603685197E-5</v>
      </c>
      <c r="I539" s="25">
        <f t="shared" si="355"/>
        <v>1.7428628840084116E-4</v>
      </c>
      <c r="J539" s="25">
        <f t="shared" si="355"/>
        <v>1.7428628840084116E-4</v>
      </c>
      <c r="K539" s="25">
        <f t="shared" si="355"/>
        <v>7.492132727652009E-5</v>
      </c>
      <c r="L539" s="25">
        <f t="shared" si="355"/>
        <v>8.8747589015488249E-6</v>
      </c>
      <c r="M539" s="27">
        <v>0</v>
      </c>
      <c r="N539" s="25">
        <f t="shared" ref="N539" si="361">N337/N$398</f>
        <v>9.0445201562067728E-5</v>
      </c>
      <c r="O539" s="25">
        <f t="shared" si="355"/>
        <v>9.0445201562067728E-5</v>
      </c>
      <c r="P539" s="27">
        <v>0</v>
      </c>
      <c r="Q539" s="25">
        <f t="shared" si="355"/>
        <v>1.5624738035019211E-4</v>
      </c>
      <c r="R539" s="25">
        <f t="shared" si="355"/>
        <v>1.5624738035019211E-4</v>
      </c>
      <c r="S539" s="27">
        <v>0</v>
      </c>
      <c r="T539" s="25">
        <f t="shared" si="355"/>
        <v>1.5624738035019216E-4</v>
      </c>
      <c r="U539" s="27">
        <v>0</v>
      </c>
      <c r="V539" s="25" t="e">
        <f t="shared" si="355"/>
        <v>#DIV/0!</v>
      </c>
      <c r="W539" s="25">
        <f t="shared" si="355"/>
        <v>1.3805162612419102E-4</v>
      </c>
      <c r="X539" s="27">
        <v>0</v>
      </c>
      <c r="Y539" s="27">
        <v>0</v>
      </c>
    </row>
    <row r="540" spans="1:25" outlineLevel="1" x14ac:dyDescent="0.25">
      <c r="A540" t="s">
        <v>38</v>
      </c>
      <c r="B540" t="s">
        <v>164</v>
      </c>
      <c r="C540" s="7" t="s">
        <v>16</v>
      </c>
      <c r="D540" t="s">
        <v>114</v>
      </c>
      <c r="E540" s="25">
        <f t="shared" si="352"/>
        <v>1.3104820521000614E-4</v>
      </c>
      <c r="F540" s="25">
        <f t="shared" si="355"/>
        <v>1.6474604156457293E-5</v>
      </c>
      <c r="G540" s="27">
        <v>0</v>
      </c>
      <c r="H540" s="25">
        <f t="shared" si="355"/>
        <v>1.9600322073853247E-4</v>
      </c>
      <c r="I540" s="25">
        <f t="shared" si="355"/>
        <v>1.9979542715265993E-4</v>
      </c>
      <c r="J540" s="25">
        <f t="shared" si="355"/>
        <v>1.9979542715265993E-4</v>
      </c>
      <c r="K540" s="25">
        <f t="shared" si="355"/>
        <v>8.1685613507223622E-5</v>
      </c>
      <c r="L540" s="25">
        <f t="shared" si="355"/>
        <v>8.1348762689712958E-6</v>
      </c>
      <c r="M540" s="27">
        <v>0</v>
      </c>
      <c r="N540" s="25">
        <f t="shared" ref="N540" si="362">N338/N$398</f>
        <v>9.1352573234330746E-5</v>
      </c>
      <c r="O540" s="25">
        <f t="shared" si="355"/>
        <v>9.1352573234330746E-5</v>
      </c>
      <c r="P540" s="27">
        <v>0</v>
      </c>
      <c r="Q540" s="25">
        <f t="shared" si="355"/>
        <v>1.5640060957621314E-4</v>
      </c>
      <c r="R540" s="25">
        <f t="shared" si="355"/>
        <v>1.5640060957621316E-4</v>
      </c>
      <c r="S540" s="27">
        <v>0</v>
      </c>
      <c r="T540" s="25">
        <f t="shared" si="355"/>
        <v>1.5640060957621322E-4</v>
      </c>
      <c r="U540" s="27">
        <v>0</v>
      </c>
      <c r="V540" s="25" t="e">
        <f t="shared" si="355"/>
        <v>#DIV/0!</v>
      </c>
      <c r="W540" s="25">
        <f t="shared" si="355"/>
        <v>1.3831458160252279E-4</v>
      </c>
      <c r="X540" s="27">
        <v>0</v>
      </c>
      <c r="Y540" s="27">
        <v>0</v>
      </c>
    </row>
    <row r="541" spans="1:25" outlineLevel="1" x14ac:dyDescent="0.25">
      <c r="A541" t="s">
        <v>38</v>
      </c>
      <c r="B541" t="s">
        <v>165</v>
      </c>
      <c r="C541" s="7" t="s">
        <v>17</v>
      </c>
      <c r="D541" t="s">
        <v>114</v>
      </c>
      <c r="E541" s="25">
        <f t="shared" si="352"/>
        <v>1.3969271403429961E-4</v>
      </c>
      <c r="F541" s="25">
        <f t="shared" si="355"/>
        <v>1.1306373393933872E-5</v>
      </c>
      <c r="G541" s="27">
        <v>0</v>
      </c>
      <c r="H541" s="25">
        <f t="shared" si="355"/>
        <v>3.3209174451816247E-4</v>
      </c>
      <c r="I541" s="25">
        <f t="shared" si="355"/>
        <v>2.2846799562105394E-4</v>
      </c>
      <c r="J541" s="25">
        <f t="shared" si="355"/>
        <v>2.2846799562105394E-4</v>
      </c>
      <c r="K541" s="25">
        <f t="shared" si="355"/>
        <v>7.9586780070888127E-5</v>
      </c>
      <c r="L541" s="25">
        <f t="shared" si="355"/>
        <v>7.2653765252090276E-6</v>
      </c>
      <c r="M541" s="27">
        <v>0</v>
      </c>
      <c r="N541" s="25">
        <f t="shared" ref="N541" si="363">N339/N$398</f>
        <v>9.0243616398368528E-5</v>
      </c>
      <c r="O541" s="25">
        <f t="shared" si="355"/>
        <v>9.0243616398368528E-5</v>
      </c>
      <c r="P541" s="27">
        <v>0</v>
      </c>
      <c r="Q541" s="25">
        <f t="shared" si="355"/>
        <v>1.553280311617483E-4</v>
      </c>
      <c r="R541" s="25">
        <f t="shared" si="355"/>
        <v>1.5532803116174835E-4</v>
      </c>
      <c r="S541" s="27">
        <v>0</v>
      </c>
      <c r="T541" s="25">
        <f t="shared" si="355"/>
        <v>1.5532803116174835E-4</v>
      </c>
      <c r="U541" s="27">
        <v>0</v>
      </c>
      <c r="V541" s="25" t="e">
        <f t="shared" si="355"/>
        <v>#DIV/0!</v>
      </c>
      <c r="W541" s="25">
        <f t="shared" si="355"/>
        <v>1.3792014838502511E-4</v>
      </c>
      <c r="X541" s="27">
        <v>0</v>
      </c>
      <c r="Y541" s="27">
        <v>0</v>
      </c>
    </row>
    <row r="542" spans="1:25" outlineLevel="1" x14ac:dyDescent="0.25">
      <c r="A542" t="s">
        <v>38</v>
      </c>
      <c r="B542" t="s">
        <v>166</v>
      </c>
      <c r="C542" s="7" t="s">
        <v>18</v>
      </c>
      <c r="D542" t="s">
        <v>114</v>
      </c>
      <c r="E542" s="25">
        <f t="shared" si="352"/>
        <v>1.4844471652593347E-4</v>
      </c>
      <c r="F542" s="25">
        <f t="shared" si="355"/>
        <v>5.1334535310285791E-6</v>
      </c>
      <c r="G542" s="27">
        <v>0</v>
      </c>
      <c r="H542" s="25">
        <f t="shared" si="355"/>
        <v>3.5628644270867488E-4</v>
      </c>
      <c r="I542" s="25">
        <f t="shared" si="355"/>
        <v>2.0754071179580498E-4</v>
      </c>
      <c r="J542" s="25">
        <f t="shared" si="355"/>
        <v>2.0754071179580498E-4</v>
      </c>
      <c r="K542" s="25">
        <f t="shared" si="355"/>
        <v>7.3661765113310895E-5</v>
      </c>
      <c r="L542" s="25">
        <f t="shared" si="355"/>
        <v>6.3051049954910119E-6</v>
      </c>
      <c r="M542" s="27">
        <v>0</v>
      </c>
      <c r="N542" s="25">
        <f t="shared" ref="N542" si="364">N340/N$398</f>
        <v>8.7650192403293929E-5</v>
      </c>
      <c r="O542" s="25">
        <f t="shared" si="355"/>
        <v>8.7650192403293929E-5</v>
      </c>
      <c r="P542" s="27">
        <v>0</v>
      </c>
      <c r="Q542" s="25">
        <f t="shared" si="355"/>
        <v>1.5180388980167667E-4</v>
      </c>
      <c r="R542" s="25">
        <f t="shared" si="355"/>
        <v>1.5180388980167667E-4</v>
      </c>
      <c r="S542" s="27">
        <v>0</v>
      </c>
      <c r="T542" s="25">
        <f t="shared" si="355"/>
        <v>1.518038898016767E-4</v>
      </c>
      <c r="U542" s="27">
        <v>0</v>
      </c>
      <c r="V542" s="25" t="e">
        <f t="shared" si="355"/>
        <v>#DIV/0!</v>
      </c>
      <c r="W542" s="25">
        <f t="shared" si="355"/>
        <v>1.3713128195002976E-4</v>
      </c>
      <c r="X542" s="27">
        <v>0</v>
      </c>
      <c r="Y542" s="27">
        <v>0</v>
      </c>
    </row>
    <row r="543" spans="1:25" outlineLevel="1" x14ac:dyDescent="0.25">
      <c r="A543" t="s">
        <v>38</v>
      </c>
      <c r="B543" t="s">
        <v>167</v>
      </c>
      <c r="C543" s="7" t="s">
        <v>19</v>
      </c>
      <c r="D543" t="s">
        <v>114</v>
      </c>
      <c r="E543" s="25">
        <f t="shared" si="352"/>
        <v>1.5279091701968865E-4</v>
      </c>
      <c r="F543" s="25">
        <f t="shared" si="355"/>
        <v>4.2249965599214922E-7</v>
      </c>
      <c r="G543" s="27">
        <v>0</v>
      </c>
      <c r="H543" s="25">
        <f t="shared" si="355"/>
        <v>3.5394502030314142E-4</v>
      </c>
      <c r="I543" s="25">
        <f t="shared" si="355"/>
        <v>1.9386035651651861E-4</v>
      </c>
      <c r="J543" s="25">
        <f t="shared" si="355"/>
        <v>1.9386035651651861E-4</v>
      </c>
      <c r="K543" s="25">
        <f t="shared" si="355"/>
        <v>8.3105508829690904E-5</v>
      </c>
      <c r="L543" s="25">
        <f t="shared" si="355"/>
        <v>5.6165991474759174E-6</v>
      </c>
      <c r="M543" s="27">
        <v>0</v>
      </c>
      <c r="N543" s="25">
        <f t="shared" ref="N543" si="365">N341/N$398</f>
        <v>8.3944412207896324E-5</v>
      </c>
      <c r="O543" s="25">
        <f t="shared" si="355"/>
        <v>8.3944412207896324E-5</v>
      </c>
      <c r="P543" s="27">
        <v>0</v>
      </c>
      <c r="Q543" s="25">
        <f t="shared" si="355"/>
        <v>1.4705395824624073E-4</v>
      </c>
      <c r="R543" s="25">
        <f t="shared" si="355"/>
        <v>1.4705395824624078E-4</v>
      </c>
      <c r="S543" s="27">
        <v>0</v>
      </c>
      <c r="T543" s="25">
        <f t="shared" si="355"/>
        <v>1.4705395824624081E-4</v>
      </c>
      <c r="U543" s="27">
        <v>0</v>
      </c>
      <c r="V543" s="25" t="e">
        <f t="shared" si="355"/>
        <v>#DIV/0!</v>
      </c>
      <c r="W543" s="25">
        <f t="shared" si="355"/>
        <v>1.3621093777586849E-4</v>
      </c>
      <c r="X543" s="27">
        <v>0</v>
      </c>
      <c r="Y543" s="27">
        <v>0</v>
      </c>
    </row>
    <row r="544" spans="1:25" outlineLevel="1" x14ac:dyDescent="0.25">
      <c r="A544" t="s">
        <v>38</v>
      </c>
      <c r="B544" t="s">
        <v>168</v>
      </c>
      <c r="C544" s="7" t="s">
        <v>20</v>
      </c>
      <c r="D544" t="s">
        <v>114</v>
      </c>
      <c r="E544" s="25">
        <f t="shared" si="352"/>
        <v>1.4155536225630213E-4</v>
      </c>
      <c r="F544" s="25">
        <f t="shared" si="355"/>
        <v>1.7199404592931418E-7</v>
      </c>
      <c r="G544" s="27">
        <v>0</v>
      </c>
      <c r="H544" s="25">
        <f t="shared" si="355"/>
        <v>2.9306803775927147E-4</v>
      </c>
      <c r="I544" s="25">
        <f t="shared" si="355"/>
        <v>1.69607941523403E-4</v>
      </c>
      <c r="J544" s="25">
        <f t="shared" si="355"/>
        <v>1.69607941523403E-4</v>
      </c>
      <c r="K544" s="25">
        <f t="shared" si="355"/>
        <v>8.5838992185042703E-5</v>
      </c>
      <c r="L544" s="25">
        <f t="shared" si="355"/>
        <v>5.4288216692545886E-6</v>
      </c>
      <c r="M544" s="27">
        <v>0</v>
      </c>
      <c r="N544" s="25">
        <f t="shared" ref="N544" si="366">N342/N$398</f>
        <v>7.8298642370822836E-5</v>
      </c>
      <c r="O544" s="25">
        <f t="shared" si="355"/>
        <v>7.8298642370822836E-5</v>
      </c>
      <c r="P544" s="27">
        <v>0</v>
      </c>
      <c r="Q544" s="25">
        <f t="shared" si="355"/>
        <v>1.4169112723184233E-4</v>
      </c>
      <c r="R544" s="25">
        <f t="shared" si="355"/>
        <v>1.4169112723184235E-4</v>
      </c>
      <c r="S544" s="27">
        <v>0</v>
      </c>
      <c r="T544" s="25">
        <f t="shared" si="355"/>
        <v>1.4169112723184238E-4</v>
      </c>
      <c r="U544" s="27">
        <v>0</v>
      </c>
      <c r="V544" s="25" t="e">
        <f t="shared" si="355"/>
        <v>#DIV/0!</v>
      </c>
      <c r="W544" s="25">
        <f t="shared" si="355"/>
        <v>1.3502763812337542E-4</v>
      </c>
      <c r="X544" s="27">
        <v>0</v>
      </c>
      <c r="Y544" s="27">
        <v>0</v>
      </c>
    </row>
    <row r="545" spans="1:25" outlineLevel="1" x14ac:dyDescent="0.25">
      <c r="A545" t="s">
        <v>38</v>
      </c>
      <c r="B545" t="s">
        <v>169</v>
      </c>
      <c r="C545" s="7" t="s">
        <v>21</v>
      </c>
      <c r="D545" t="s">
        <v>114</v>
      </c>
      <c r="E545" s="25">
        <f t="shared" si="352"/>
        <v>1.1914947983146762E-4</v>
      </c>
      <c r="F545" s="25">
        <f t="shared" si="355"/>
        <v>1.7850025404861661E-7</v>
      </c>
      <c r="G545" s="27">
        <v>0</v>
      </c>
      <c r="H545" s="25">
        <f t="shared" si="355"/>
        <v>1.8887474071303245E-4</v>
      </c>
      <c r="I545" s="25">
        <f t="shared" si="355"/>
        <v>1.4729845200349255E-4</v>
      </c>
      <c r="J545" s="25">
        <f t="shared" si="355"/>
        <v>1.4729845200349255E-4</v>
      </c>
      <c r="K545" s="25">
        <f t="shared" si="355"/>
        <v>7.66111479942816E-5</v>
      </c>
      <c r="L545" s="25">
        <f t="shared" si="355"/>
        <v>5.2374753462106261E-6</v>
      </c>
      <c r="M545" s="27">
        <v>0</v>
      </c>
      <c r="N545" s="25">
        <f t="shared" ref="N545" si="367">N343/N$398</f>
        <v>7.4555501567601966E-5</v>
      </c>
      <c r="O545" s="25">
        <f t="shared" si="355"/>
        <v>7.4555501567601966E-5</v>
      </c>
      <c r="P545" s="27">
        <v>0</v>
      </c>
      <c r="Q545" s="25">
        <f t="shared" si="355"/>
        <v>1.3985243757751555E-4</v>
      </c>
      <c r="R545" s="25">
        <f t="shared" si="355"/>
        <v>1.3985243757751561E-4</v>
      </c>
      <c r="S545" s="27">
        <v>0</v>
      </c>
      <c r="T545" s="25">
        <f t="shared" si="355"/>
        <v>1.3985243757751563E-4</v>
      </c>
      <c r="U545" s="27">
        <v>0</v>
      </c>
      <c r="V545" s="25" t="e">
        <f t="shared" si="355"/>
        <v>#DIV/0!</v>
      </c>
      <c r="W545" s="25">
        <f t="shared" si="355"/>
        <v>1.3384433847088233E-4</v>
      </c>
      <c r="X545" s="27">
        <v>0</v>
      </c>
      <c r="Y545" s="27">
        <v>0</v>
      </c>
    </row>
    <row r="546" spans="1:25" outlineLevel="1" x14ac:dyDescent="0.25">
      <c r="A546" t="s">
        <v>38</v>
      </c>
      <c r="B546" t="s">
        <v>170</v>
      </c>
      <c r="C546" s="7" t="s">
        <v>22</v>
      </c>
      <c r="D546" t="s">
        <v>114</v>
      </c>
      <c r="E546" s="25">
        <f t="shared" si="352"/>
        <v>1.1180551759295132E-4</v>
      </c>
      <c r="F546" s="25">
        <f t="shared" si="355"/>
        <v>1.8408253635505888E-7</v>
      </c>
      <c r="G546" s="27">
        <v>0</v>
      </c>
      <c r="H546" s="25">
        <f t="shared" si="355"/>
        <v>1.056193130457344E-4</v>
      </c>
      <c r="I546" s="25">
        <f t="shared" si="355"/>
        <v>1.1217834987546546E-4</v>
      </c>
      <c r="J546" s="25">
        <f t="shared" si="355"/>
        <v>1.1217834987546546E-4</v>
      </c>
      <c r="K546" s="25">
        <f t="shared" ref="F546:W558" si="368">K344/K$398</f>
        <v>7.5491914230555138E-5</v>
      </c>
      <c r="L546" s="25">
        <f t="shared" si="368"/>
        <v>4.9761002798327515E-6</v>
      </c>
      <c r="M546" s="27">
        <v>0</v>
      </c>
      <c r="N546" s="25">
        <f t="shared" ref="N546" si="369">N344/N$398</f>
        <v>6.818851597811133E-5</v>
      </c>
      <c r="O546" s="25">
        <f t="shared" si="368"/>
        <v>6.818851597811133E-5</v>
      </c>
      <c r="P546" s="27">
        <v>0</v>
      </c>
      <c r="Q546" s="25">
        <f t="shared" si="368"/>
        <v>9.3988959802926273E-5</v>
      </c>
      <c r="R546" s="25">
        <f t="shared" si="368"/>
        <v>9.39889598029263E-5</v>
      </c>
      <c r="S546" s="27">
        <v>0</v>
      </c>
      <c r="T546" s="25">
        <f t="shared" si="368"/>
        <v>9.3988959802926328E-5</v>
      </c>
      <c r="U546" s="27">
        <v>0</v>
      </c>
      <c r="V546" s="25" t="e">
        <f t="shared" si="368"/>
        <v>#DIV/0!</v>
      </c>
      <c r="W546" s="25">
        <f t="shared" si="368"/>
        <v>1.3318694977505288E-4</v>
      </c>
      <c r="X546" s="27">
        <v>0</v>
      </c>
      <c r="Y546" s="27">
        <v>0</v>
      </c>
    </row>
    <row r="547" spans="1:25" outlineLevel="1" x14ac:dyDescent="0.25">
      <c r="A547" t="s">
        <v>39</v>
      </c>
      <c r="B547" t="s">
        <v>147</v>
      </c>
      <c r="C547" s="7" t="s">
        <v>34</v>
      </c>
      <c r="D547" t="s">
        <v>114</v>
      </c>
      <c r="E547" s="25">
        <f t="shared" si="352"/>
        <v>2.0151786354870222E-6</v>
      </c>
      <c r="F547" s="25">
        <f t="shared" si="368"/>
        <v>2.8628917934004901E-4</v>
      </c>
      <c r="G547" s="27">
        <v>0</v>
      </c>
      <c r="H547" s="25">
        <f t="shared" si="368"/>
        <v>6.9257140158920038E-5</v>
      </c>
      <c r="I547" s="25">
        <f t="shared" si="368"/>
        <v>6.7391374087640495E-5</v>
      </c>
      <c r="J547" s="25">
        <f t="shared" si="368"/>
        <v>6.7391374087640495E-5</v>
      </c>
      <c r="K547" s="25">
        <f t="shared" si="368"/>
        <v>2.1299514693830096E-6</v>
      </c>
      <c r="L547" s="25">
        <f t="shared" si="368"/>
        <v>2.9566791575335303E-4</v>
      </c>
      <c r="M547" s="27">
        <v>0</v>
      </c>
      <c r="N547" s="25">
        <f t="shared" ref="N547" si="370">N345/N$398</f>
        <v>6.8043004568112719E-5</v>
      </c>
      <c r="O547" s="25">
        <f t="shared" si="368"/>
        <v>6.8043004568112719E-5</v>
      </c>
      <c r="P547" s="27">
        <v>0</v>
      </c>
      <c r="Q547" s="25">
        <f t="shared" si="368"/>
        <v>6.2844646415224066E-5</v>
      </c>
      <c r="R547" s="25">
        <f t="shared" si="368"/>
        <v>6.2844646415224079E-5</v>
      </c>
      <c r="S547" s="27">
        <v>0</v>
      </c>
      <c r="T547" s="25">
        <f t="shared" si="368"/>
        <v>6.2844646415224093E-5</v>
      </c>
      <c r="U547" s="27">
        <v>0</v>
      </c>
      <c r="V547" s="25" t="e">
        <f t="shared" si="368"/>
        <v>#DIV/0!</v>
      </c>
      <c r="W547" s="25">
        <f t="shared" si="368"/>
        <v>1.3147773916589623E-4</v>
      </c>
      <c r="X547" s="27">
        <v>0</v>
      </c>
      <c r="Y547" s="27">
        <v>0</v>
      </c>
    </row>
    <row r="548" spans="1:25" outlineLevel="1" x14ac:dyDescent="0.25">
      <c r="A548" t="s">
        <v>39</v>
      </c>
      <c r="B548" t="s">
        <v>148</v>
      </c>
      <c r="C548" s="7" t="s">
        <v>0</v>
      </c>
      <c r="D548" t="s">
        <v>114</v>
      </c>
      <c r="E548" s="25">
        <f t="shared" si="352"/>
        <v>2.0151786354870222E-6</v>
      </c>
      <c r="F548" s="25">
        <f t="shared" si="368"/>
        <v>2.5944816629073044E-4</v>
      </c>
      <c r="G548" s="27">
        <v>0</v>
      </c>
      <c r="H548" s="25">
        <f t="shared" si="368"/>
        <v>5.9837738306803271E-5</v>
      </c>
      <c r="I548" s="25">
        <f t="shared" si="368"/>
        <v>4.3545156647137797E-5</v>
      </c>
      <c r="J548" s="25">
        <f t="shared" si="368"/>
        <v>4.3545156647137797E-5</v>
      </c>
      <c r="K548" s="25">
        <f t="shared" si="368"/>
        <v>2.1221405002733269E-6</v>
      </c>
      <c r="L548" s="25">
        <f t="shared" si="368"/>
        <v>2.8143419613000178E-4</v>
      </c>
      <c r="M548" s="27">
        <v>0</v>
      </c>
      <c r="N548" s="25">
        <f t="shared" ref="N548" si="371">N346/N$398</f>
        <v>5.953113287837271E-5</v>
      </c>
      <c r="O548" s="25">
        <f t="shared" si="368"/>
        <v>5.953113287837271E-5</v>
      </c>
      <c r="P548" s="27">
        <v>0</v>
      </c>
      <c r="Q548" s="25">
        <f t="shared" si="368"/>
        <v>5.9473725558612626E-5</v>
      </c>
      <c r="R548" s="25">
        <f t="shared" si="368"/>
        <v>5.9473725558612633E-5</v>
      </c>
      <c r="S548" s="27">
        <v>0</v>
      </c>
      <c r="T548" s="25">
        <f t="shared" si="368"/>
        <v>5.9473725558612653E-5</v>
      </c>
      <c r="U548" s="27">
        <v>0</v>
      </c>
      <c r="V548" s="25" t="e">
        <f t="shared" si="368"/>
        <v>#DIV/0!</v>
      </c>
      <c r="W548" s="25">
        <f t="shared" si="368"/>
        <v>1.3134626142673032E-4</v>
      </c>
      <c r="X548" s="27">
        <v>0</v>
      </c>
      <c r="Y548" s="27">
        <v>0</v>
      </c>
    </row>
    <row r="549" spans="1:25" outlineLevel="1" x14ac:dyDescent="0.25">
      <c r="A549" t="s">
        <v>39</v>
      </c>
      <c r="B549" t="s">
        <v>149</v>
      </c>
      <c r="C549" s="7" t="s">
        <v>1</v>
      </c>
      <c r="D549" t="s">
        <v>114</v>
      </c>
      <c r="E549" s="25">
        <f t="shared" si="352"/>
        <v>2.0151786354870222E-6</v>
      </c>
      <c r="F549" s="25">
        <f t="shared" si="368"/>
        <v>2.5271545803502992E-4</v>
      </c>
      <c r="G549" s="27">
        <v>0</v>
      </c>
      <c r="H549" s="25">
        <f t="shared" si="368"/>
        <v>5.7792490226087085E-5</v>
      </c>
      <c r="I549" s="25">
        <f t="shared" si="368"/>
        <v>3.6293406018875936E-5</v>
      </c>
      <c r="J549" s="25">
        <f t="shared" si="368"/>
        <v>3.6293406018875936E-5</v>
      </c>
      <c r="K549" s="25">
        <f t="shared" si="368"/>
        <v>2.1645714202480372E-6</v>
      </c>
      <c r="L549" s="25">
        <f t="shared" si="368"/>
        <v>2.7599529513571314E-4</v>
      </c>
      <c r="M549" s="27">
        <v>0</v>
      </c>
      <c r="N549" s="25">
        <f t="shared" ref="N549" si="372">N347/N$398</f>
        <v>5.8791885855868464E-5</v>
      </c>
      <c r="O549" s="25">
        <f t="shared" si="368"/>
        <v>5.8791885855868464E-5</v>
      </c>
      <c r="P549" s="27">
        <v>0</v>
      </c>
      <c r="Q549" s="25">
        <f t="shared" si="368"/>
        <v>5.8554385092729652E-5</v>
      </c>
      <c r="R549" s="25">
        <f t="shared" si="368"/>
        <v>5.8554385092729672E-5</v>
      </c>
      <c r="S549" s="27">
        <v>0</v>
      </c>
      <c r="T549" s="25">
        <f t="shared" si="368"/>
        <v>5.8554385092729679E-5</v>
      </c>
      <c r="U549" s="27">
        <v>0</v>
      </c>
      <c r="V549" s="25" t="e">
        <f t="shared" si="368"/>
        <v>#DIV/0!</v>
      </c>
      <c r="W549" s="25">
        <f t="shared" si="368"/>
        <v>1.3147773916589623E-4</v>
      </c>
      <c r="X549" s="27">
        <v>0</v>
      </c>
      <c r="Y549" s="27">
        <v>0</v>
      </c>
    </row>
    <row r="550" spans="1:25" outlineLevel="1" x14ac:dyDescent="0.25">
      <c r="A550" t="s">
        <v>39</v>
      </c>
      <c r="B550" t="s">
        <v>150</v>
      </c>
      <c r="C550" s="7" t="s">
        <v>2</v>
      </c>
      <c r="D550" t="s">
        <v>114</v>
      </c>
      <c r="E550" s="25">
        <f t="shared" si="352"/>
        <v>2.0151786354870222E-6</v>
      </c>
      <c r="F550" s="25">
        <f t="shared" si="368"/>
        <v>2.6341304177314749E-4</v>
      </c>
      <c r="G550" s="27">
        <v>0</v>
      </c>
      <c r="H550" s="25">
        <f t="shared" si="368"/>
        <v>5.7743710592638468E-5</v>
      </c>
      <c r="I550" s="25">
        <f t="shared" si="368"/>
        <v>3.3641009229849739E-5</v>
      </c>
      <c r="J550" s="25">
        <f t="shared" si="368"/>
        <v>3.3641009229849739E-5</v>
      </c>
      <c r="K550" s="25">
        <f t="shared" si="368"/>
        <v>2.203140249940738E-6</v>
      </c>
      <c r="L550" s="25">
        <f t="shared" si="368"/>
        <v>2.7923549147273612E-4</v>
      </c>
      <c r="M550" s="27">
        <v>0</v>
      </c>
      <c r="N550" s="25">
        <f t="shared" ref="N550" si="373">N348/N$398</f>
        <v>5.9319452123869707E-5</v>
      </c>
      <c r="O550" s="25">
        <f t="shared" si="368"/>
        <v>5.9319452123869707E-5</v>
      </c>
      <c r="P550" s="27">
        <v>0</v>
      </c>
      <c r="Q550" s="25">
        <f t="shared" si="368"/>
        <v>5.8554385092729652E-5</v>
      </c>
      <c r="R550" s="25">
        <f t="shared" si="368"/>
        <v>5.8554385092729672E-5</v>
      </c>
      <c r="S550" s="27">
        <v>0</v>
      </c>
      <c r="T550" s="25">
        <f t="shared" si="368"/>
        <v>5.8554385092729679E-5</v>
      </c>
      <c r="U550" s="27">
        <v>0</v>
      </c>
      <c r="V550" s="25" t="e">
        <f t="shared" si="368"/>
        <v>#DIV/0!</v>
      </c>
      <c r="W550" s="25">
        <f t="shared" si="368"/>
        <v>1.31740694644228E-4</v>
      </c>
      <c r="X550" s="27">
        <v>0</v>
      </c>
      <c r="Y550" s="27">
        <v>0</v>
      </c>
    </row>
    <row r="551" spans="1:25" outlineLevel="1" x14ac:dyDescent="0.25">
      <c r="A551" t="s">
        <v>39</v>
      </c>
      <c r="B551" t="s">
        <v>151</v>
      </c>
      <c r="C551" s="7" t="s">
        <v>3</v>
      </c>
      <c r="D551" t="s">
        <v>114</v>
      </c>
      <c r="E551" s="25">
        <f t="shared" si="352"/>
        <v>2.0151786354870222E-6</v>
      </c>
      <c r="F551" s="25">
        <f t="shared" si="368"/>
        <v>2.9428463968739411E-4</v>
      </c>
      <c r="G551" s="27">
        <v>0</v>
      </c>
      <c r="H551" s="25">
        <f t="shared" si="368"/>
        <v>6.0780796911450658E-5</v>
      </c>
      <c r="I551" s="25">
        <f t="shared" si="368"/>
        <v>3.4678497124611471E-5</v>
      </c>
      <c r="J551" s="25">
        <f t="shared" si="368"/>
        <v>3.4678497124611471E-5</v>
      </c>
      <c r="K551" s="25">
        <f t="shared" si="368"/>
        <v>2.1874532203121252E-6</v>
      </c>
      <c r="L551" s="25">
        <f t="shared" si="368"/>
        <v>2.8849319529280202E-4</v>
      </c>
      <c r="M551" s="27">
        <v>0</v>
      </c>
      <c r="N551" s="25">
        <f t="shared" ref="N551" si="374">N349/N$398</f>
        <v>6.0145247887876825E-5</v>
      </c>
      <c r="O551" s="25">
        <f t="shared" si="368"/>
        <v>6.0145247887876825E-5</v>
      </c>
      <c r="P551" s="27">
        <v>0</v>
      </c>
      <c r="Q551" s="25">
        <f t="shared" si="368"/>
        <v>5.824793536324839E-5</v>
      </c>
      <c r="R551" s="25">
        <f t="shared" si="368"/>
        <v>5.8247935363248396E-5</v>
      </c>
      <c r="S551" s="27">
        <v>0</v>
      </c>
      <c r="T551" s="25">
        <f t="shared" si="368"/>
        <v>5.8247935363248417E-5</v>
      </c>
      <c r="U551" s="27">
        <v>0</v>
      </c>
      <c r="V551" s="25" t="e">
        <f t="shared" si="368"/>
        <v>#DIV/0!</v>
      </c>
      <c r="W551" s="25">
        <f t="shared" si="368"/>
        <v>1.3266103881838927E-4</v>
      </c>
      <c r="X551" s="27">
        <v>0</v>
      </c>
      <c r="Y551" s="27">
        <v>0</v>
      </c>
    </row>
    <row r="552" spans="1:25" outlineLevel="1" x14ac:dyDescent="0.25">
      <c r="A552" t="s">
        <v>39</v>
      </c>
      <c r="B552" t="s">
        <v>152</v>
      </c>
      <c r="C552" s="7" t="s">
        <v>4</v>
      </c>
      <c r="D552" t="s">
        <v>114</v>
      </c>
      <c r="E552" s="25">
        <f t="shared" si="352"/>
        <v>2.6631026020153604E-6</v>
      </c>
      <c r="F552" s="25">
        <f t="shared" si="368"/>
        <v>3.4442881000385254E-4</v>
      </c>
      <c r="G552" s="27">
        <v>0</v>
      </c>
      <c r="H552" s="25">
        <f t="shared" si="368"/>
        <v>6.2222547269511258E-5</v>
      </c>
      <c r="I552" s="25">
        <f t="shared" si="368"/>
        <v>4.4930689650449939E-5</v>
      </c>
      <c r="J552" s="25">
        <f t="shared" si="368"/>
        <v>4.4930689650449939E-5</v>
      </c>
      <c r="K552" s="25">
        <f t="shared" si="368"/>
        <v>2.3044788952843069E-6</v>
      </c>
      <c r="L552" s="25">
        <f t="shared" si="368"/>
        <v>3.0712432423068449E-4</v>
      </c>
      <c r="M552" s="27">
        <v>0</v>
      </c>
      <c r="N552" s="25">
        <f t="shared" ref="N552" si="375">N350/N$398</f>
        <v>6.4231504759642438E-5</v>
      </c>
      <c r="O552" s="25">
        <f t="shared" si="368"/>
        <v>6.4231504759642438E-5</v>
      </c>
      <c r="P552" s="27">
        <v>0</v>
      </c>
      <c r="Q552" s="25">
        <f t="shared" si="368"/>
        <v>5.8707614318750701E-5</v>
      </c>
      <c r="R552" s="25">
        <f t="shared" si="368"/>
        <v>5.8707614318750707E-5</v>
      </c>
      <c r="S552" s="27">
        <v>0</v>
      </c>
      <c r="T552" s="25">
        <f t="shared" si="368"/>
        <v>5.8707614318750721E-5</v>
      </c>
      <c r="U552" s="27">
        <v>0</v>
      </c>
      <c r="V552" s="25" t="e">
        <f t="shared" si="368"/>
        <v>#DIV/0!</v>
      </c>
      <c r="W552" s="25">
        <f t="shared" si="368"/>
        <v>1.3410729394921415E-4</v>
      </c>
      <c r="X552" s="27">
        <v>0</v>
      </c>
      <c r="Y552" s="27">
        <v>0</v>
      </c>
    </row>
    <row r="553" spans="1:25" outlineLevel="1" x14ac:dyDescent="0.25">
      <c r="A553" t="s">
        <v>39</v>
      </c>
      <c r="B553" t="s">
        <v>153</v>
      </c>
      <c r="C553" s="7" t="s">
        <v>5</v>
      </c>
      <c r="D553" t="s">
        <v>114</v>
      </c>
      <c r="E553" s="25">
        <f t="shared" si="352"/>
        <v>3.0421698729675609E-6</v>
      </c>
      <c r="F553" s="25">
        <f t="shared" si="368"/>
        <v>4.0819295800197483E-4</v>
      </c>
      <c r="G553" s="27">
        <v>0</v>
      </c>
      <c r="H553" s="25">
        <f t="shared" si="368"/>
        <v>4.6248934358187645E-5</v>
      </c>
      <c r="I553" s="25">
        <f t="shared" si="368"/>
        <v>7.9133122927196989E-5</v>
      </c>
      <c r="J553" s="25">
        <f t="shared" si="368"/>
        <v>7.9133122927196989E-5</v>
      </c>
      <c r="K553" s="25">
        <f t="shared" si="368"/>
        <v>2.5600755016895469E-6</v>
      </c>
      <c r="L553" s="25">
        <f t="shared" si="368"/>
        <v>3.3836907462340678E-4</v>
      </c>
      <c r="M553" s="27">
        <v>0</v>
      </c>
      <c r="N553" s="25">
        <f t="shared" ref="N553" si="376">N351/N$398</f>
        <v>7.1577825101016735E-5</v>
      </c>
      <c r="O553" s="25">
        <f t="shared" si="368"/>
        <v>7.1577825101016735E-5</v>
      </c>
      <c r="P553" s="27">
        <v>0</v>
      </c>
      <c r="Q553" s="25">
        <f t="shared" si="368"/>
        <v>7.2951085128459905E-5</v>
      </c>
      <c r="R553" s="25">
        <f t="shared" si="368"/>
        <v>7.2951085128459932E-5</v>
      </c>
      <c r="S553" s="27">
        <v>0</v>
      </c>
      <c r="T553" s="25">
        <f t="shared" si="368"/>
        <v>7.2951085128459932E-5</v>
      </c>
      <c r="U553" s="27">
        <v>0</v>
      </c>
      <c r="V553" s="25" t="e">
        <f t="shared" si="368"/>
        <v>#DIV/0!</v>
      </c>
      <c r="W553" s="25">
        <f t="shared" si="368"/>
        <v>1.347646826450436E-4</v>
      </c>
      <c r="X553" s="27">
        <v>0</v>
      </c>
      <c r="Y553" s="27">
        <v>0</v>
      </c>
    </row>
    <row r="554" spans="1:25" outlineLevel="1" x14ac:dyDescent="0.25">
      <c r="A554" t="s">
        <v>39</v>
      </c>
      <c r="B554" t="s">
        <v>154</v>
      </c>
      <c r="C554" s="7" t="s">
        <v>6</v>
      </c>
      <c r="D554" t="s">
        <v>114</v>
      </c>
      <c r="E554" s="25">
        <f t="shared" si="352"/>
        <v>3.5310002285605386E-6</v>
      </c>
      <c r="F554" s="25">
        <f t="shared" si="368"/>
        <v>4.6638889834795379E-4</v>
      </c>
      <c r="G554" s="27">
        <v>0</v>
      </c>
      <c r="H554" s="25">
        <f t="shared" si="368"/>
        <v>6.2922175991396686E-5</v>
      </c>
      <c r="I554" s="25">
        <f t="shared" si="368"/>
        <v>1.2347972977443114E-4</v>
      </c>
      <c r="J554" s="25">
        <f t="shared" si="368"/>
        <v>1.2347972977443114E-4</v>
      </c>
      <c r="K554" s="25">
        <f t="shared" si="368"/>
        <v>2.7224091369251731E-6</v>
      </c>
      <c r="L554" s="25">
        <f t="shared" si="368"/>
        <v>3.8269033166197201E-4</v>
      </c>
      <c r="M554" s="27">
        <v>0</v>
      </c>
      <c r="N554" s="25">
        <f t="shared" ref="N554" si="377">N352/N$398</f>
        <v>9.0329436136596709E-5</v>
      </c>
      <c r="O554" s="25">
        <f t="shared" si="368"/>
        <v>9.0329436136596709E-5</v>
      </c>
      <c r="P554" s="27">
        <v>0</v>
      </c>
      <c r="Q554" s="25">
        <f t="shared" si="368"/>
        <v>9.5039993492152203E-5</v>
      </c>
      <c r="R554" s="25">
        <f t="shared" si="368"/>
        <v>9.5039993492152216E-5</v>
      </c>
      <c r="S554" s="27">
        <v>0</v>
      </c>
      <c r="T554" s="25">
        <f t="shared" si="368"/>
        <v>9.5039993492152243E-5</v>
      </c>
      <c r="U554" s="27">
        <v>0</v>
      </c>
      <c r="V554" s="25" t="e">
        <f t="shared" si="368"/>
        <v>#DIV/0!</v>
      </c>
      <c r="W554" s="25">
        <f t="shared" si="368"/>
        <v>1.347646826450436E-4</v>
      </c>
      <c r="X554" s="27">
        <v>0</v>
      </c>
      <c r="Y554" s="27">
        <v>0</v>
      </c>
    </row>
    <row r="555" spans="1:25" outlineLevel="1" x14ac:dyDescent="0.25">
      <c r="A555" t="s">
        <v>39</v>
      </c>
      <c r="B555" t="s">
        <v>155</v>
      </c>
      <c r="C555" s="7" t="s">
        <v>7</v>
      </c>
      <c r="D555" t="s">
        <v>114</v>
      </c>
      <c r="E555" s="25">
        <f t="shared" si="352"/>
        <v>3.8367003280085275E-6</v>
      </c>
      <c r="F555" s="25">
        <f t="shared" si="368"/>
        <v>5.0345658066030586E-4</v>
      </c>
      <c r="G555" s="27">
        <v>0</v>
      </c>
      <c r="H555" s="25">
        <f t="shared" si="368"/>
        <v>7.6761722865420888E-5</v>
      </c>
      <c r="I555" s="25">
        <f t="shared" si="368"/>
        <v>1.8810269682780316E-4</v>
      </c>
      <c r="J555" s="25">
        <f t="shared" si="368"/>
        <v>1.8810269682780316E-4</v>
      </c>
      <c r="K555" s="25">
        <f t="shared" si="368"/>
        <v>2.3261369768545444E-6</v>
      </c>
      <c r="L555" s="25">
        <f t="shared" si="368"/>
        <v>4.3499635824534408E-4</v>
      </c>
      <c r="M555" s="27">
        <v>0</v>
      </c>
      <c r="N555" s="25">
        <f t="shared" ref="N555" si="378">N353/N$398</f>
        <v>1.0266838915934441E-4</v>
      </c>
      <c r="O555" s="25">
        <f t="shared" si="368"/>
        <v>1.0266838915934441E-4</v>
      </c>
      <c r="P555" s="27">
        <v>0</v>
      </c>
      <c r="Q555" s="25">
        <f t="shared" si="368"/>
        <v>1.1411808320035179E-4</v>
      </c>
      <c r="R555" s="25">
        <f t="shared" si="368"/>
        <v>1.1411808320035182E-4</v>
      </c>
      <c r="S555" s="27">
        <v>0</v>
      </c>
      <c r="T555" s="25">
        <f t="shared" si="368"/>
        <v>1.1411808320035183E-4</v>
      </c>
      <c r="U555" s="27">
        <v>0</v>
      </c>
      <c r="V555" s="25" t="e">
        <f t="shared" si="368"/>
        <v>#DIV/0!</v>
      </c>
      <c r="W555" s="25">
        <f t="shared" si="368"/>
        <v>1.3463320490587772E-4</v>
      </c>
      <c r="X555" s="27">
        <v>0</v>
      </c>
      <c r="Y555" s="27">
        <v>0</v>
      </c>
    </row>
    <row r="556" spans="1:25" outlineLevel="1" x14ac:dyDescent="0.25">
      <c r="A556" t="s">
        <v>39</v>
      </c>
      <c r="B556" t="s">
        <v>156</v>
      </c>
      <c r="C556" s="7" t="s">
        <v>8</v>
      </c>
      <c r="D556" t="s">
        <v>114</v>
      </c>
      <c r="E556" s="25">
        <f t="shared" si="352"/>
        <v>3.898038522366609E-6</v>
      </c>
      <c r="F556" s="25">
        <f t="shared" si="368"/>
        <v>5.156280584345111E-4</v>
      </c>
      <c r="G556" s="27">
        <v>0</v>
      </c>
      <c r="H556" s="25">
        <f t="shared" si="368"/>
        <v>7.9538973735149664E-5</v>
      </c>
      <c r="I556" s="25">
        <f t="shared" si="368"/>
        <v>2.5655490027564221E-4</v>
      </c>
      <c r="J556" s="25">
        <f t="shared" si="368"/>
        <v>2.5655490027564221E-4</v>
      </c>
      <c r="K556" s="25">
        <f t="shared" si="368"/>
        <v>2.0572530441082776E-6</v>
      </c>
      <c r="L556" s="25">
        <f t="shared" si="368"/>
        <v>4.8255781162093235E-4</v>
      </c>
      <c r="M556" s="27">
        <v>0</v>
      </c>
      <c r="N556" s="25">
        <f t="shared" ref="N556" si="379">N354/N$398</f>
        <v>1.1178813559055734E-4</v>
      </c>
      <c r="O556" s="25">
        <f t="shared" si="368"/>
        <v>1.1178813559055734E-4</v>
      </c>
      <c r="P556" s="27">
        <v>0</v>
      </c>
      <c r="Q556" s="25">
        <f t="shared" si="368"/>
        <v>1.3007778763295894E-4</v>
      </c>
      <c r="R556" s="25">
        <f t="shared" si="368"/>
        <v>1.30077787632959E-4</v>
      </c>
      <c r="S556" s="27">
        <v>0</v>
      </c>
      <c r="T556" s="25">
        <f t="shared" si="368"/>
        <v>1.3007778763295903E-4</v>
      </c>
      <c r="U556" s="27">
        <v>0</v>
      </c>
      <c r="V556" s="25" t="e">
        <f t="shared" si="368"/>
        <v>#DIV/0!</v>
      </c>
      <c r="W556" s="25">
        <f t="shared" si="368"/>
        <v>1.3397581621004824E-4</v>
      </c>
      <c r="X556" s="27">
        <v>0</v>
      </c>
      <c r="Y556" s="27">
        <v>0</v>
      </c>
    </row>
    <row r="557" spans="1:25" outlineLevel="1" x14ac:dyDescent="0.25">
      <c r="A557" t="s">
        <v>39</v>
      </c>
      <c r="B557" t="s">
        <v>157</v>
      </c>
      <c r="C557" s="7" t="s">
        <v>9</v>
      </c>
      <c r="D557" t="s">
        <v>114</v>
      </c>
      <c r="E557" s="25">
        <f t="shared" si="352"/>
        <v>3.9085225910218715E-6</v>
      </c>
      <c r="F557" s="25">
        <f t="shared" si="368"/>
        <v>5.482697488289705E-4</v>
      </c>
      <c r="G557" s="27">
        <v>0</v>
      </c>
      <c r="H557" s="25">
        <f t="shared" si="368"/>
        <v>8.0013439571406965E-5</v>
      </c>
      <c r="I557" s="25">
        <f t="shared" si="368"/>
        <v>2.637413120480692E-4</v>
      </c>
      <c r="J557" s="25">
        <f t="shared" si="368"/>
        <v>2.637413120480692E-4</v>
      </c>
      <c r="K557" s="25">
        <f t="shared" si="368"/>
        <v>1.8745978709056264E-6</v>
      </c>
      <c r="L557" s="25">
        <f t="shared" si="368"/>
        <v>5.193571843056941E-4</v>
      </c>
      <c r="M557" s="27">
        <v>0</v>
      </c>
      <c r="N557" s="25">
        <f t="shared" ref="N557" si="380">N355/N$398</f>
        <v>1.1068125589847108E-4</v>
      </c>
      <c r="O557" s="25">
        <f t="shared" si="368"/>
        <v>1.1068125589847108E-4</v>
      </c>
      <c r="P557" s="27">
        <v>0</v>
      </c>
      <c r="Q557" s="25">
        <f t="shared" si="368"/>
        <v>1.3804006388919927E-4</v>
      </c>
      <c r="R557" s="25">
        <f t="shared" si="368"/>
        <v>1.380400638891993E-4</v>
      </c>
      <c r="S557" s="27">
        <v>0</v>
      </c>
      <c r="T557" s="25">
        <f t="shared" si="368"/>
        <v>1.380400638891993E-4</v>
      </c>
      <c r="U557" s="27">
        <v>0</v>
      </c>
      <c r="V557" s="25" t="e">
        <f t="shared" si="368"/>
        <v>#DIV/0!</v>
      </c>
      <c r="W557" s="25">
        <f t="shared" si="368"/>
        <v>1.3371286073171645E-4</v>
      </c>
      <c r="X557" s="27">
        <v>0</v>
      </c>
      <c r="Y557" s="27">
        <v>0</v>
      </c>
    </row>
    <row r="558" spans="1:25" outlineLevel="1" x14ac:dyDescent="0.25">
      <c r="A558" t="s">
        <v>39</v>
      </c>
      <c r="B558" t="s">
        <v>158</v>
      </c>
      <c r="C558" s="7" t="s">
        <v>10</v>
      </c>
      <c r="D558" t="s">
        <v>114</v>
      </c>
      <c r="E558" s="25">
        <f t="shared" si="352"/>
        <v>3.0087891950235159E-6</v>
      </c>
      <c r="F558" s="25">
        <f t="shared" si="368"/>
        <v>6.2793760335104096E-4</v>
      </c>
      <c r="G558" s="27">
        <v>0</v>
      </c>
      <c r="H558" s="25">
        <f t="shared" si="368"/>
        <v>8.4896120882415495E-5</v>
      </c>
      <c r="I558" s="25">
        <f t="shared" si="368"/>
        <v>2.4218207673078833E-4</v>
      </c>
      <c r="J558" s="25">
        <f t="shared" si="368"/>
        <v>2.4218207673078833E-4</v>
      </c>
      <c r="K558" s="25">
        <f t="shared" si="368"/>
        <v>1.7617033307070102E-6</v>
      </c>
      <c r="L558" s="25">
        <f t="shared" si="368"/>
        <v>5.4724601706364242E-4</v>
      </c>
      <c r="M558" s="27">
        <v>0</v>
      </c>
      <c r="N558" s="25">
        <f t="shared" ref="N558" si="381">N356/N$398</f>
        <v>1.1124855770496373E-4</v>
      </c>
      <c r="O558" s="25">
        <f t="shared" si="368"/>
        <v>1.1124855770496373E-4</v>
      </c>
      <c r="P558" s="27">
        <v>0</v>
      </c>
      <c r="Q558" s="25">
        <f t="shared" si="368"/>
        <v>1.4278999544463513E-4</v>
      </c>
      <c r="R558" s="25">
        <f t="shared" si="368"/>
        <v>1.4278999544463516E-4</v>
      </c>
      <c r="S558" s="27">
        <v>0</v>
      </c>
      <c r="T558" s="25">
        <f t="shared" si="368"/>
        <v>1.4278999544463521E-4</v>
      </c>
      <c r="U558" s="27">
        <v>0</v>
      </c>
      <c r="V558" s="25" t="e">
        <f t="shared" si="368"/>
        <v>#DIV/0!</v>
      </c>
      <c r="W558" s="25">
        <f t="shared" si="368"/>
        <v>1.3344990525338465E-4</v>
      </c>
      <c r="X558" s="27">
        <v>0</v>
      </c>
      <c r="Y558" s="27">
        <v>0</v>
      </c>
    </row>
    <row r="559" spans="1:25" outlineLevel="1" x14ac:dyDescent="0.25">
      <c r="A559" t="s">
        <v>39</v>
      </c>
      <c r="B559" t="s">
        <v>159</v>
      </c>
      <c r="C559" s="7" t="s">
        <v>11</v>
      </c>
      <c r="D559" t="s">
        <v>114</v>
      </c>
      <c r="E559" s="25">
        <f t="shared" si="352"/>
        <v>3.0739630242554739E-6</v>
      </c>
      <c r="F559" s="25">
        <f t="shared" ref="F559:W571" si="382">F357/F$398</f>
        <v>7.0262621696548185E-4</v>
      </c>
      <c r="G559" s="27">
        <v>0</v>
      </c>
      <c r="H559" s="25">
        <f t="shared" si="382"/>
        <v>8.7846609693559012E-5</v>
      </c>
      <c r="I559" s="25">
        <f t="shared" si="382"/>
        <v>2.177482767045367E-4</v>
      </c>
      <c r="J559" s="25">
        <f t="shared" si="382"/>
        <v>2.177482767045367E-4</v>
      </c>
      <c r="K559" s="25">
        <f t="shared" si="382"/>
        <v>1.6745676308612143E-6</v>
      </c>
      <c r="L559" s="25">
        <f t="shared" si="382"/>
        <v>5.6934878493404974E-4</v>
      </c>
      <c r="M559" s="27">
        <v>0</v>
      </c>
      <c r="N559" s="25">
        <f t="shared" ref="N559" si="383">N357/N$398</f>
        <v>1.106359239712044E-4</v>
      </c>
      <c r="O559" s="25">
        <f t="shared" si="382"/>
        <v>1.106359239712044E-4</v>
      </c>
      <c r="P559" s="27">
        <v>0</v>
      </c>
      <c r="Q559" s="25">
        <f t="shared" si="382"/>
        <v>1.3988410919587283E-4</v>
      </c>
      <c r="R559" s="25">
        <f t="shared" si="382"/>
        <v>1.3988410919587289E-4</v>
      </c>
      <c r="S559" s="27">
        <v>0</v>
      </c>
      <c r="T559" s="25">
        <f t="shared" si="382"/>
        <v>1.3988410919587292E-4</v>
      </c>
      <c r="U559" s="27">
        <v>0</v>
      </c>
      <c r="V559" s="25" t="e">
        <f t="shared" si="382"/>
        <v>#DIV/0!</v>
      </c>
      <c r="W559" s="25">
        <f t="shared" si="382"/>
        <v>1.3331842751421877E-4</v>
      </c>
      <c r="X559" s="27">
        <v>0</v>
      </c>
      <c r="Y559" s="27">
        <v>0</v>
      </c>
    </row>
    <row r="560" spans="1:25" outlineLevel="1" x14ac:dyDescent="0.25">
      <c r="A560" t="s">
        <v>39</v>
      </c>
      <c r="B560" t="s">
        <v>160</v>
      </c>
      <c r="C560" s="7" t="s">
        <v>12</v>
      </c>
      <c r="D560" t="s">
        <v>114</v>
      </c>
      <c r="E560" s="25">
        <f t="shared" si="352"/>
        <v>3.0714805161287704E-6</v>
      </c>
      <c r="F560" s="25">
        <f t="shared" si="382"/>
        <v>7.4024714826757061E-4</v>
      </c>
      <c r="G560" s="27">
        <v>0</v>
      </c>
      <c r="H560" s="25">
        <f t="shared" si="382"/>
        <v>8.7734053616154347E-5</v>
      </c>
      <c r="I560" s="25">
        <f t="shared" si="382"/>
        <v>1.8683583304208911E-4</v>
      </c>
      <c r="J560" s="25">
        <f t="shared" si="382"/>
        <v>1.8683583304208911E-4</v>
      </c>
      <c r="K560" s="25">
        <f t="shared" si="382"/>
        <v>1.6135552832600247E-6</v>
      </c>
      <c r="L560" s="25">
        <f t="shared" si="382"/>
        <v>5.8242529157989263E-4</v>
      </c>
      <c r="M560" s="27">
        <v>0</v>
      </c>
      <c r="N560" s="25">
        <f t="shared" ref="N560" si="384">N358/N$398</f>
        <v>1.0642804637857496E-4</v>
      </c>
      <c r="O560" s="25">
        <f t="shared" si="382"/>
        <v>1.0642804637857496E-4</v>
      </c>
      <c r="P560" s="27">
        <v>0</v>
      </c>
      <c r="Q560" s="25">
        <f t="shared" si="382"/>
        <v>1.3357750582271933E-4</v>
      </c>
      <c r="R560" s="25">
        <f t="shared" si="382"/>
        <v>1.3357750582271936E-4</v>
      </c>
      <c r="S560" s="27">
        <v>0</v>
      </c>
      <c r="T560" s="25">
        <f t="shared" si="382"/>
        <v>1.3357750582271936E-4</v>
      </c>
      <c r="U560" s="27">
        <v>0</v>
      </c>
      <c r="V560" s="25" t="e">
        <f t="shared" si="382"/>
        <v>#DIV/0!</v>
      </c>
      <c r="W560" s="25">
        <f t="shared" si="382"/>
        <v>1.3344990525338465E-4</v>
      </c>
      <c r="X560" s="27">
        <v>0</v>
      </c>
      <c r="Y560" s="27">
        <v>0</v>
      </c>
    </row>
    <row r="561" spans="1:25" outlineLevel="1" x14ac:dyDescent="0.25">
      <c r="A561" t="s">
        <v>39</v>
      </c>
      <c r="B561" t="s">
        <v>161</v>
      </c>
      <c r="C561" s="7" t="s">
        <v>13</v>
      </c>
      <c r="D561" t="s">
        <v>114</v>
      </c>
      <c r="E561" s="25">
        <f t="shared" si="352"/>
        <v>3.0510877240493251E-6</v>
      </c>
      <c r="F561" s="25">
        <f t="shared" si="382"/>
        <v>7.4909913210335628E-4</v>
      </c>
      <c r="G561" s="27">
        <v>0</v>
      </c>
      <c r="H561" s="25">
        <f t="shared" si="382"/>
        <v>8.6810904906695356E-5</v>
      </c>
      <c r="I561" s="25">
        <f t="shared" si="382"/>
        <v>1.7221234026820116E-4</v>
      </c>
      <c r="J561" s="25">
        <f t="shared" si="382"/>
        <v>1.7221234026820116E-4</v>
      </c>
      <c r="K561" s="25">
        <f t="shared" si="382"/>
        <v>1.5766007205166585E-6</v>
      </c>
      <c r="L561" s="25">
        <f t="shared" si="382"/>
        <v>5.8682270089442396E-4</v>
      </c>
      <c r="M561" s="27">
        <v>0</v>
      </c>
      <c r="N561" s="25">
        <f t="shared" ref="N561" si="385">N359/N$398</f>
        <v>1.014821688744978E-4</v>
      </c>
      <c r="O561" s="25">
        <f t="shared" si="382"/>
        <v>1.014821688744978E-4</v>
      </c>
      <c r="P561" s="27">
        <v>0</v>
      </c>
      <c r="Q561" s="25">
        <f t="shared" si="382"/>
        <v>1.3173882489095337E-4</v>
      </c>
      <c r="R561" s="25">
        <f t="shared" si="382"/>
        <v>1.3173882489095343E-4</v>
      </c>
      <c r="S561" s="27">
        <v>0</v>
      </c>
      <c r="T561" s="25">
        <f t="shared" si="382"/>
        <v>1.3173882489095345E-4</v>
      </c>
      <c r="U561" s="27">
        <v>0</v>
      </c>
      <c r="V561" s="25" t="e">
        <f t="shared" si="382"/>
        <v>#DIV/0!</v>
      </c>
      <c r="W561" s="25">
        <f t="shared" si="382"/>
        <v>1.3384433847088233E-4</v>
      </c>
      <c r="X561" s="27">
        <v>0</v>
      </c>
      <c r="Y561" s="27">
        <v>0</v>
      </c>
    </row>
    <row r="562" spans="1:25" outlineLevel="1" x14ac:dyDescent="0.25">
      <c r="A562" t="s">
        <v>39</v>
      </c>
      <c r="B562" t="s">
        <v>162</v>
      </c>
      <c r="C562" s="7" t="s">
        <v>14</v>
      </c>
      <c r="D562" t="s">
        <v>114</v>
      </c>
      <c r="E562" s="25">
        <f t="shared" si="352"/>
        <v>3.0558929221829873E-6</v>
      </c>
      <c r="F562" s="25">
        <f t="shared" si="382"/>
        <v>7.3637440533941452E-4</v>
      </c>
      <c r="G562" s="27">
        <v>0</v>
      </c>
      <c r="H562" s="25">
        <f t="shared" si="382"/>
        <v>8.7028758652047536E-5</v>
      </c>
      <c r="I562" s="25">
        <f t="shared" si="382"/>
        <v>1.5021303783962399E-4</v>
      </c>
      <c r="J562" s="25">
        <f t="shared" si="382"/>
        <v>1.5021303783962399E-4</v>
      </c>
      <c r="K562" s="25">
        <f t="shared" si="382"/>
        <v>1.4318721417688008E-6</v>
      </c>
      <c r="L562" s="25">
        <f t="shared" si="382"/>
        <v>5.8242529157989263E-4</v>
      </c>
      <c r="M562" s="27">
        <v>0</v>
      </c>
      <c r="N562" s="25">
        <f t="shared" ref="N562" si="386">N360/N$398</f>
        <v>9.4069413801972461E-5</v>
      </c>
      <c r="O562" s="25">
        <f t="shared" si="382"/>
        <v>9.4069413801972461E-5</v>
      </c>
      <c r="P562" s="27">
        <v>0</v>
      </c>
      <c r="Q562" s="25">
        <f t="shared" si="382"/>
        <v>1.2898080349330444E-4</v>
      </c>
      <c r="R562" s="25">
        <f t="shared" si="382"/>
        <v>1.289808034933045E-4</v>
      </c>
      <c r="S562" s="27">
        <v>0</v>
      </c>
      <c r="T562" s="25">
        <f t="shared" si="382"/>
        <v>1.2898080349330453E-4</v>
      </c>
      <c r="U562" s="27">
        <v>0</v>
      </c>
      <c r="V562" s="25" t="e">
        <f t="shared" si="382"/>
        <v>#DIV/0!</v>
      </c>
      <c r="W562" s="25">
        <f t="shared" si="382"/>
        <v>1.354220713408731E-4</v>
      </c>
      <c r="X562" s="27">
        <v>0</v>
      </c>
      <c r="Y562" s="27">
        <v>0</v>
      </c>
    </row>
    <row r="563" spans="1:25" outlineLevel="1" x14ac:dyDescent="0.25">
      <c r="A563" t="s">
        <v>39</v>
      </c>
      <c r="B563" t="s">
        <v>163</v>
      </c>
      <c r="C563" s="7" t="s">
        <v>15</v>
      </c>
      <c r="D563" t="s">
        <v>114</v>
      </c>
      <c r="E563" s="25">
        <f t="shared" si="352"/>
        <v>3.1083985017898351E-6</v>
      </c>
      <c r="F563" s="25">
        <f t="shared" si="382"/>
        <v>7.1147820080126752E-4</v>
      </c>
      <c r="G563" s="27">
        <v>0</v>
      </c>
      <c r="H563" s="25">
        <f t="shared" si="382"/>
        <v>8.9405329710258717E-5</v>
      </c>
      <c r="I563" s="25">
        <f t="shared" si="382"/>
        <v>1.5032906964410159E-4</v>
      </c>
      <c r="J563" s="25">
        <f t="shared" si="382"/>
        <v>1.5032906964410159E-4</v>
      </c>
      <c r="K563" s="25">
        <f t="shared" si="382"/>
        <v>1.4212188477886498E-6</v>
      </c>
      <c r="L563" s="25">
        <f t="shared" si="382"/>
        <v>5.6645575249027907E-4</v>
      </c>
      <c r="M563" s="27">
        <v>0</v>
      </c>
      <c r="N563" s="25">
        <f t="shared" ref="N563" si="387">N361/N$398</f>
        <v>8.988757267175293E-5</v>
      </c>
      <c r="O563" s="25">
        <f t="shared" si="382"/>
        <v>8.988757267175293E-5</v>
      </c>
      <c r="P563" s="27">
        <v>0</v>
      </c>
      <c r="Q563" s="25">
        <f t="shared" si="382"/>
        <v>1.4715956229015474E-4</v>
      </c>
      <c r="R563" s="25">
        <f t="shared" si="382"/>
        <v>1.4715956229015476E-4</v>
      </c>
      <c r="S563" s="27">
        <v>0</v>
      </c>
      <c r="T563" s="25">
        <f t="shared" si="382"/>
        <v>1.4715956229015479E-4</v>
      </c>
      <c r="U563" s="27">
        <v>0</v>
      </c>
      <c r="V563" s="25" t="e">
        <f t="shared" si="382"/>
        <v>#DIV/0!</v>
      </c>
      <c r="W563" s="25">
        <f t="shared" si="382"/>
        <v>1.3713128195002976E-4</v>
      </c>
      <c r="X563" s="27">
        <v>0</v>
      </c>
      <c r="Y563" s="27">
        <v>0</v>
      </c>
    </row>
    <row r="564" spans="1:25" outlineLevel="1" x14ac:dyDescent="0.25">
      <c r="A564" t="s">
        <v>39</v>
      </c>
      <c r="B564" t="s">
        <v>164</v>
      </c>
      <c r="C564" s="7" t="s">
        <v>16</v>
      </c>
      <c r="D564" t="s">
        <v>114</v>
      </c>
      <c r="E564" s="25">
        <f t="shared" si="352"/>
        <v>3.2063883182760735E-6</v>
      </c>
      <c r="F564" s="25">
        <f t="shared" si="382"/>
        <v>6.8879499222206683E-4</v>
      </c>
      <c r="G564" s="27">
        <v>0</v>
      </c>
      <c r="H564" s="25">
        <f t="shared" si="382"/>
        <v>1.0644060597818203E-4</v>
      </c>
      <c r="I564" s="25">
        <f t="shared" si="382"/>
        <v>1.7255636817257081E-4</v>
      </c>
      <c r="J564" s="25">
        <f t="shared" si="382"/>
        <v>1.7255636817257081E-4</v>
      </c>
      <c r="K564" s="25">
        <f t="shared" si="382"/>
        <v>1.4843965696041349E-6</v>
      </c>
      <c r="L564" s="25">
        <f t="shared" si="382"/>
        <v>5.4007129660309141E-4</v>
      </c>
      <c r="M564" s="27">
        <v>0</v>
      </c>
      <c r="N564" s="25">
        <f t="shared" ref="N564" si="388">N362/N$398</f>
        <v>9.1002562120268105E-5</v>
      </c>
      <c r="O564" s="25">
        <f t="shared" si="382"/>
        <v>9.1002562120268105E-5</v>
      </c>
      <c r="P564" s="27">
        <v>0</v>
      </c>
      <c r="Q564" s="25">
        <f t="shared" si="382"/>
        <v>1.4731277407105414E-4</v>
      </c>
      <c r="R564" s="25">
        <f t="shared" si="382"/>
        <v>1.4731277407105416E-4</v>
      </c>
      <c r="S564" s="27">
        <v>0</v>
      </c>
      <c r="T564" s="25">
        <f t="shared" si="382"/>
        <v>1.4731277407105419E-4</v>
      </c>
      <c r="U564" s="27">
        <v>0</v>
      </c>
      <c r="V564" s="25" t="e">
        <f t="shared" si="382"/>
        <v>#DIV/0!</v>
      </c>
      <c r="W564" s="25">
        <f t="shared" si="382"/>
        <v>1.3739423742836152E-4</v>
      </c>
      <c r="X564" s="27">
        <v>0</v>
      </c>
      <c r="Y564" s="27">
        <v>0</v>
      </c>
    </row>
    <row r="565" spans="1:25" outlineLevel="1" x14ac:dyDescent="0.25">
      <c r="A565" t="s">
        <v>39</v>
      </c>
      <c r="B565" t="s">
        <v>165</v>
      </c>
      <c r="C565" s="7" t="s">
        <v>17</v>
      </c>
      <c r="D565" t="s">
        <v>114</v>
      </c>
      <c r="E565" s="25">
        <f t="shared" si="352"/>
        <v>3.3232260183508905E-6</v>
      </c>
      <c r="F565" s="25">
        <f t="shared" si="382"/>
        <v>6.6057929374550026E-4</v>
      </c>
      <c r="G565" s="27">
        <v>0</v>
      </c>
      <c r="H565" s="25">
        <f t="shared" si="382"/>
        <v>2.6106859821698082E-4</v>
      </c>
      <c r="I565" s="25">
        <f t="shared" si="382"/>
        <v>1.9663063201784791E-4</v>
      </c>
      <c r="J565" s="25">
        <f t="shared" si="382"/>
        <v>1.9663063201784791E-4</v>
      </c>
      <c r="K565" s="25">
        <f t="shared" si="382"/>
        <v>1.5867940352047944E-6</v>
      </c>
      <c r="L565" s="25">
        <f t="shared" si="382"/>
        <v>5.0801649712611341E-4</v>
      </c>
      <c r="M565" s="27">
        <v>0</v>
      </c>
      <c r="N565" s="25">
        <f t="shared" ref="N565" si="389">N363/N$398</f>
        <v>9.0023607333727609E-5</v>
      </c>
      <c r="O565" s="25">
        <f t="shared" si="382"/>
        <v>9.0023607333727609E-5</v>
      </c>
      <c r="P565" s="27">
        <v>0</v>
      </c>
      <c r="Q565" s="25">
        <f t="shared" si="382"/>
        <v>1.4624021310171096E-4</v>
      </c>
      <c r="R565" s="25">
        <f t="shared" si="382"/>
        <v>1.4624021310171096E-4</v>
      </c>
      <c r="S565" s="27">
        <v>0</v>
      </c>
      <c r="T565" s="25">
        <f t="shared" si="382"/>
        <v>1.4624021310171098E-4</v>
      </c>
      <c r="U565" s="27">
        <v>0</v>
      </c>
      <c r="V565" s="25" t="e">
        <f t="shared" si="382"/>
        <v>#DIV/0!</v>
      </c>
      <c r="W565" s="25">
        <f t="shared" si="382"/>
        <v>1.3673684873253208E-4</v>
      </c>
      <c r="X565" s="27">
        <v>0</v>
      </c>
      <c r="Y565" s="27">
        <v>0</v>
      </c>
    </row>
    <row r="566" spans="1:25" outlineLevel="1" x14ac:dyDescent="0.25">
      <c r="A566" t="s">
        <v>39</v>
      </c>
      <c r="B566" t="s">
        <v>166</v>
      </c>
      <c r="C566" s="7" t="s">
        <v>18</v>
      </c>
      <c r="D566" t="s">
        <v>114</v>
      </c>
      <c r="E566" s="25">
        <f t="shared" si="352"/>
        <v>3.4270332143958422E-6</v>
      </c>
      <c r="F566" s="25">
        <f t="shared" si="382"/>
        <v>6.1576612557683573E-4</v>
      </c>
      <c r="G566" s="27">
        <v>0</v>
      </c>
      <c r="H566" s="25">
        <f t="shared" si="382"/>
        <v>3.4614027895136319E-4</v>
      </c>
      <c r="I566" s="25">
        <f t="shared" si="382"/>
        <v>1.7923871065045617E-4</v>
      </c>
      <c r="J566" s="25">
        <f t="shared" si="382"/>
        <v>1.7923871065045617E-4</v>
      </c>
      <c r="K566" s="25">
        <f t="shared" si="382"/>
        <v>1.6765420702750508E-6</v>
      </c>
      <c r="L566" s="25">
        <f t="shared" si="382"/>
        <v>4.6994419016609259E-4</v>
      </c>
      <c r="M566" s="27">
        <v>0</v>
      </c>
      <c r="N566" s="25">
        <f t="shared" ref="N566" si="390">N364/N$398</f>
        <v>8.7042593063058106E-5</v>
      </c>
      <c r="O566" s="25">
        <f t="shared" si="382"/>
        <v>8.7042593063058106E-5</v>
      </c>
      <c r="P566" s="27">
        <v>0</v>
      </c>
      <c r="Q566" s="25">
        <f t="shared" si="382"/>
        <v>1.4271605429651762E-4</v>
      </c>
      <c r="R566" s="25">
        <f t="shared" si="382"/>
        <v>1.4271605429651767E-4</v>
      </c>
      <c r="S566" s="27">
        <v>0</v>
      </c>
      <c r="T566" s="25">
        <f t="shared" si="382"/>
        <v>1.4271605429651767E-4</v>
      </c>
      <c r="U566" s="27">
        <v>0</v>
      </c>
      <c r="V566" s="25" t="e">
        <f t="shared" si="382"/>
        <v>#DIV/0!</v>
      </c>
      <c r="W566" s="25">
        <f t="shared" si="382"/>
        <v>1.3594798229753669E-4</v>
      </c>
      <c r="X566" s="27">
        <v>0</v>
      </c>
      <c r="Y566" s="27">
        <v>0</v>
      </c>
    </row>
    <row r="567" spans="1:25" outlineLevel="1" x14ac:dyDescent="0.25">
      <c r="A567" t="s">
        <v>39</v>
      </c>
      <c r="B567" t="s">
        <v>167</v>
      </c>
      <c r="C567" s="7" t="s">
        <v>19</v>
      </c>
      <c r="D567" t="s">
        <v>114</v>
      </c>
      <c r="E567" s="25">
        <f t="shared" si="352"/>
        <v>3.4146419828449564E-6</v>
      </c>
      <c r="F567" s="25">
        <f t="shared" si="382"/>
        <v>5.4882299781870713E-4</v>
      </c>
      <c r="G567" s="27">
        <v>0</v>
      </c>
      <c r="H567" s="25">
        <f t="shared" si="382"/>
        <v>3.4418909361341867E-4</v>
      </c>
      <c r="I567" s="25">
        <f t="shared" si="382"/>
        <v>1.6737160204394145E-4</v>
      </c>
      <c r="J567" s="25">
        <f t="shared" si="382"/>
        <v>1.6737160204394145E-4</v>
      </c>
      <c r="K567" s="25">
        <f t="shared" si="382"/>
        <v>1.9376150339116346E-6</v>
      </c>
      <c r="L567" s="25">
        <f t="shared" si="382"/>
        <v>4.3187188320607177E-4</v>
      </c>
      <c r="M567" s="27">
        <v>0</v>
      </c>
      <c r="N567" s="25">
        <f t="shared" ref="N567" si="391">N365/N$398</f>
        <v>8.2871762680480497E-5</v>
      </c>
      <c r="O567" s="25">
        <f t="shared" si="382"/>
        <v>8.2871762680480497E-5</v>
      </c>
      <c r="P567" s="27">
        <v>0</v>
      </c>
      <c r="Q567" s="25">
        <f t="shared" si="382"/>
        <v>1.3796612274108173E-4</v>
      </c>
      <c r="R567" s="25">
        <f t="shared" si="382"/>
        <v>1.3796612274108178E-4</v>
      </c>
      <c r="S567" s="27">
        <v>0</v>
      </c>
      <c r="T567" s="25">
        <f t="shared" si="382"/>
        <v>1.3796612274108181E-4</v>
      </c>
      <c r="U567" s="27">
        <v>0</v>
      </c>
      <c r="V567" s="25" t="e">
        <f t="shared" si="382"/>
        <v>#DIV/0!</v>
      </c>
      <c r="W567" s="25">
        <f t="shared" si="382"/>
        <v>1.3515911586254131E-4</v>
      </c>
      <c r="X567" s="27">
        <v>0</v>
      </c>
      <c r="Y567" s="27">
        <v>0</v>
      </c>
    </row>
    <row r="568" spans="1:25" outlineLevel="1" x14ac:dyDescent="0.25">
      <c r="A568" t="s">
        <v>39</v>
      </c>
      <c r="B568" t="s">
        <v>168</v>
      </c>
      <c r="C568" s="7" t="s">
        <v>20</v>
      </c>
      <c r="D568" t="s">
        <v>114</v>
      </c>
      <c r="E568" s="25">
        <f t="shared" si="352"/>
        <v>3.0197100998727484E-6</v>
      </c>
      <c r="F568" s="25">
        <f t="shared" si="382"/>
        <v>4.7468763319400277E-4</v>
      </c>
      <c r="G568" s="27">
        <v>0</v>
      </c>
      <c r="H568" s="25">
        <f t="shared" si="382"/>
        <v>2.8448282227231547E-4</v>
      </c>
      <c r="I568" s="25">
        <f t="shared" si="382"/>
        <v>1.4629379882411903E-4</v>
      </c>
      <c r="J568" s="25">
        <f t="shared" si="382"/>
        <v>1.4629379882411903E-4</v>
      </c>
      <c r="K568" s="25">
        <f t="shared" si="382"/>
        <v>1.9983800341576845E-6</v>
      </c>
      <c r="L568" s="25">
        <f t="shared" si="382"/>
        <v>3.9275808456629358E-4</v>
      </c>
      <c r="M568" s="27">
        <v>0</v>
      </c>
      <c r="N568" s="25">
        <f t="shared" ref="N568" si="392">N366/N$398</f>
        <v>7.7506886788814607E-5</v>
      </c>
      <c r="O568" s="25">
        <f t="shared" si="382"/>
        <v>7.7506886788814607E-5</v>
      </c>
      <c r="P568" s="27">
        <v>0</v>
      </c>
      <c r="Q568" s="25">
        <f t="shared" si="382"/>
        <v>1.3260329172668333E-4</v>
      </c>
      <c r="R568" s="25">
        <f t="shared" si="382"/>
        <v>1.3260329172668336E-4</v>
      </c>
      <c r="S568" s="27">
        <v>0</v>
      </c>
      <c r="T568" s="25">
        <f t="shared" si="382"/>
        <v>1.3260329172668338E-4</v>
      </c>
      <c r="U568" s="27">
        <v>0</v>
      </c>
      <c r="V568" s="25" t="e">
        <f t="shared" si="382"/>
        <v>#DIV/0!</v>
      </c>
      <c r="W568" s="25">
        <f t="shared" si="382"/>
        <v>1.3384433847088233E-4</v>
      </c>
      <c r="X568" s="27">
        <v>0</v>
      </c>
      <c r="Y568" s="27">
        <v>0</v>
      </c>
    </row>
    <row r="569" spans="1:25" outlineLevel="1" x14ac:dyDescent="0.25">
      <c r="A569" t="s">
        <v>39</v>
      </c>
      <c r="B569" t="s">
        <v>169</v>
      </c>
      <c r="C569" s="7" t="s">
        <v>21</v>
      </c>
      <c r="D569" t="s">
        <v>114</v>
      </c>
      <c r="E569" s="25">
        <f t="shared" si="352"/>
        <v>2.3496992691956692E-6</v>
      </c>
      <c r="F569" s="25">
        <f t="shared" si="382"/>
        <v>4.0028564681616449E-4</v>
      </c>
      <c r="G569" s="27">
        <v>0</v>
      </c>
      <c r="H569" s="25">
        <f t="shared" si="382"/>
        <v>1.8341142176678772E-4</v>
      </c>
      <c r="I569" s="25">
        <f t="shared" si="382"/>
        <v>1.2705093805420923E-4</v>
      </c>
      <c r="J569" s="25">
        <f t="shared" si="382"/>
        <v>1.2705093805420923E-4</v>
      </c>
      <c r="K569" s="25">
        <f t="shared" si="382"/>
        <v>2.0577737753822565E-6</v>
      </c>
      <c r="L569" s="25">
        <f t="shared" si="382"/>
        <v>3.5665303966803677E-4</v>
      </c>
      <c r="M569" s="27">
        <v>0</v>
      </c>
      <c r="N569" s="25">
        <f t="shared" ref="N569" si="393">N367/N$398</f>
        <v>7.3438109795568318E-5</v>
      </c>
      <c r="O569" s="25">
        <f t="shared" si="382"/>
        <v>7.3438109795568318E-5</v>
      </c>
      <c r="P569" s="27">
        <v>0</v>
      </c>
      <c r="Q569" s="25">
        <f t="shared" si="382"/>
        <v>1.3076461951747818E-4</v>
      </c>
      <c r="R569" s="25">
        <f t="shared" si="382"/>
        <v>1.3076461951747824E-4</v>
      </c>
      <c r="S569" s="27">
        <v>0</v>
      </c>
      <c r="T569" s="25">
        <f t="shared" si="382"/>
        <v>1.3076461951747826E-4</v>
      </c>
      <c r="U569" s="27">
        <v>0</v>
      </c>
      <c r="V569" s="25" t="e">
        <f t="shared" si="382"/>
        <v>#DIV/0!</v>
      </c>
      <c r="W569" s="25">
        <f t="shared" si="382"/>
        <v>1.3266103881838927E-4</v>
      </c>
      <c r="X569" s="27">
        <v>0</v>
      </c>
      <c r="Y569" s="27">
        <v>0</v>
      </c>
    </row>
    <row r="570" spans="1:25" outlineLevel="1" x14ac:dyDescent="0.25">
      <c r="A570" t="s">
        <v>39</v>
      </c>
      <c r="B570" t="s">
        <v>170</v>
      </c>
      <c r="C570" s="7" t="s">
        <v>22</v>
      </c>
      <c r="D570" t="s">
        <v>114</v>
      </c>
      <c r="E570" s="25">
        <f t="shared" si="352"/>
        <v>2.0151786354870222E-6</v>
      </c>
      <c r="F570" s="25">
        <f t="shared" si="382"/>
        <v>3.3448227836677206E-4</v>
      </c>
      <c r="G570" s="27">
        <v>0</v>
      </c>
      <c r="H570" s="25">
        <f t="shared" si="382"/>
        <v>1.0262096165825111E-4</v>
      </c>
      <c r="I570" s="25">
        <f t="shared" si="382"/>
        <v>9.6758423016898295E-5</v>
      </c>
      <c r="J570" s="25">
        <f t="shared" si="382"/>
        <v>9.6758423016898295E-5</v>
      </c>
      <c r="K570" s="25">
        <f t="shared" si="382"/>
        <v>2.1415767950745873E-6</v>
      </c>
      <c r="L570" s="25">
        <f t="shared" si="382"/>
        <v>3.2124232255628497E-4</v>
      </c>
      <c r="M570" s="27">
        <v>0</v>
      </c>
      <c r="N570" s="25">
        <f t="shared" ref="N570" si="394">N368/N$398</f>
        <v>6.742366724424096E-5</v>
      </c>
      <c r="O570" s="25">
        <f t="shared" si="382"/>
        <v>6.742366724424096E-5</v>
      </c>
      <c r="P570" s="27">
        <v>0</v>
      </c>
      <c r="Q570" s="25">
        <f t="shared" si="382"/>
        <v>8.789212529506449E-5</v>
      </c>
      <c r="R570" s="25">
        <f t="shared" si="382"/>
        <v>8.7892125295064503E-5</v>
      </c>
      <c r="S570" s="27">
        <v>0</v>
      </c>
      <c r="T570" s="25">
        <f t="shared" si="382"/>
        <v>8.789212529506453E-5</v>
      </c>
      <c r="U570" s="27">
        <v>0</v>
      </c>
      <c r="V570" s="25" t="e">
        <f t="shared" si="382"/>
        <v>#DIV/0!</v>
      </c>
      <c r="W570" s="25">
        <f t="shared" si="382"/>
        <v>1.3187217238339388E-4</v>
      </c>
      <c r="X570" s="27">
        <v>0</v>
      </c>
      <c r="Y570" s="27">
        <v>0</v>
      </c>
    </row>
    <row r="571" spans="1:25" outlineLevel="1" x14ac:dyDescent="0.25">
      <c r="A571" t="s">
        <v>40</v>
      </c>
      <c r="B571" t="s">
        <v>147</v>
      </c>
      <c r="C571" s="7" t="s">
        <v>34</v>
      </c>
      <c r="D571" t="s">
        <v>114</v>
      </c>
      <c r="E571" s="25">
        <f t="shared" si="352"/>
        <v>3.539789840884361E-5</v>
      </c>
      <c r="F571" s="25">
        <f t="shared" si="382"/>
        <v>1.0161975137767044E-5</v>
      </c>
      <c r="G571" s="27">
        <v>0</v>
      </c>
      <c r="H571" s="25">
        <f t="shared" si="382"/>
        <v>7.5122978212736511E-5</v>
      </c>
      <c r="I571" s="25">
        <f t="shared" si="382"/>
        <v>7.1735759456451777E-5</v>
      </c>
      <c r="J571" s="25">
        <f t="shared" si="382"/>
        <v>7.1735759456451777E-5</v>
      </c>
      <c r="K571" s="25">
        <f t="shared" si="382"/>
        <v>2.9369589014722033E-5</v>
      </c>
      <c r="L571" s="25">
        <f t="shared" si="382"/>
        <v>4.8474003528891376E-5</v>
      </c>
      <c r="M571" s="27">
        <v>0</v>
      </c>
      <c r="N571" s="25">
        <f t="shared" ref="N571" si="395">N369/N$398</f>
        <v>6.8829034421509874E-5</v>
      </c>
      <c r="O571" s="25">
        <f t="shared" si="382"/>
        <v>6.8829034421509874E-5</v>
      </c>
      <c r="P571" s="27">
        <v>0</v>
      </c>
      <c r="Q571" s="25">
        <f t="shared" si="382"/>
        <v>6.8557134578641919E-5</v>
      </c>
      <c r="R571" s="25">
        <f t="shared" si="382"/>
        <v>6.8557134578641933E-5</v>
      </c>
      <c r="S571" s="27">
        <v>0</v>
      </c>
      <c r="T571" s="25">
        <f t="shared" si="382"/>
        <v>6.8557134578641946E-5</v>
      </c>
      <c r="U571" s="27">
        <v>0</v>
      </c>
      <c r="V571" s="25" t="e">
        <f t="shared" ref="F571:W584" si="396">V369/V$398</f>
        <v>#DIV/0!</v>
      </c>
      <c r="W571" s="25">
        <f t="shared" si="396"/>
        <v>1.3464182639697056E-4</v>
      </c>
      <c r="X571" s="27">
        <v>0</v>
      </c>
      <c r="Y571" s="27">
        <v>0</v>
      </c>
    </row>
    <row r="572" spans="1:25" outlineLevel="1" x14ac:dyDescent="0.25">
      <c r="A572" t="s">
        <v>40</v>
      </c>
      <c r="B572" t="s">
        <v>148</v>
      </c>
      <c r="C572" s="7" t="s">
        <v>0</v>
      </c>
      <c r="D572" t="s">
        <v>114</v>
      </c>
      <c r="E572" s="25">
        <f t="shared" si="352"/>
        <v>3.539789840884361E-5</v>
      </c>
      <c r="F572" s="25">
        <f t="shared" si="396"/>
        <v>9.2537717542296798E-6</v>
      </c>
      <c r="G572" s="27">
        <v>0</v>
      </c>
      <c r="H572" s="25">
        <f t="shared" si="396"/>
        <v>6.490578209696994E-5</v>
      </c>
      <c r="I572" s="25">
        <f t="shared" si="396"/>
        <v>4.6352286188616655E-5</v>
      </c>
      <c r="J572" s="25">
        <f t="shared" si="396"/>
        <v>4.6352286188616655E-5</v>
      </c>
      <c r="K572" s="25">
        <f t="shared" si="396"/>
        <v>2.672623954777794E-5</v>
      </c>
      <c r="L572" s="25">
        <f t="shared" si="396"/>
        <v>4.7401799947890625E-5</v>
      </c>
      <c r="M572" s="27">
        <v>0</v>
      </c>
      <c r="N572" s="25">
        <f t="shared" ref="N572" si="397">N370/N$398</f>
        <v>6.0174559039273807E-5</v>
      </c>
      <c r="O572" s="25">
        <f t="shared" si="396"/>
        <v>6.0174559039273807E-5</v>
      </c>
      <c r="P572" s="27">
        <v>0</v>
      </c>
      <c r="Q572" s="25">
        <f t="shared" si="396"/>
        <v>6.5167793389480695E-5</v>
      </c>
      <c r="R572" s="25">
        <f t="shared" si="396"/>
        <v>6.5167793389480722E-5</v>
      </c>
      <c r="S572" s="27">
        <v>0</v>
      </c>
      <c r="T572" s="25">
        <f t="shared" si="396"/>
        <v>6.5167793389480722E-5</v>
      </c>
      <c r="U572" s="27">
        <v>0</v>
      </c>
      <c r="V572" s="25" t="e">
        <f t="shared" si="396"/>
        <v>#DIV/0!</v>
      </c>
      <c r="W572" s="25">
        <f t="shared" si="396"/>
        <v>1.3444353210183513E-4</v>
      </c>
      <c r="X572" s="27">
        <v>0</v>
      </c>
      <c r="Y572" s="27">
        <v>0</v>
      </c>
    </row>
    <row r="573" spans="1:25" outlineLevel="1" x14ac:dyDescent="0.25">
      <c r="A573" t="s">
        <v>40</v>
      </c>
      <c r="B573" t="s">
        <v>149</v>
      </c>
      <c r="C573" s="7" t="s">
        <v>1</v>
      </c>
      <c r="D573" t="s">
        <v>114</v>
      </c>
      <c r="E573" s="25">
        <f t="shared" si="352"/>
        <v>3.5651710542751869E-5</v>
      </c>
      <c r="F573" s="25">
        <f t="shared" si="396"/>
        <v>9.012535967034715E-6</v>
      </c>
      <c r="G573" s="27">
        <v>0</v>
      </c>
      <c r="H573" s="25">
        <f t="shared" si="396"/>
        <v>6.2687320960448734E-5</v>
      </c>
      <c r="I573" s="25">
        <f t="shared" si="396"/>
        <v>3.863305782521801E-5</v>
      </c>
      <c r="J573" s="25">
        <f t="shared" si="396"/>
        <v>3.863305782521801E-5</v>
      </c>
      <c r="K573" s="25">
        <f t="shared" si="396"/>
        <v>2.7116513694547267E-5</v>
      </c>
      <c r="L573" s="25">
        <f t="shared" si="396"/>
        <v>4.6867768088905037E-5</v>
      </c>
      <c r="M573" s="27">
        <v>0</v>
      </c>
      <c r="N573" s="25">
        <f t="shared" ref="N573" si="398">N371/N$398</f>
        <v>5.9439950684282976E-5</v>
      </c>
      <c r="O573" s="25">
        <f t="shared" si="396"/>
        <v>5.9439950684282976E-5</v>
      </c>
      <c r="P573" s="27">
        <v>0</v>
      </c>
      <c r="Q573" s="25">
        <f t="shared" si="396"/>
        <v>6.4243420434979828E-5</v>
      </c>
      <c r="R573" s="25">
        <f t="shared" si="396"/>
        <v>6.4243420434979855E-5</v>
      </c>
      <c r="S573" s="27">
        <v>0</v>
      </c>
      <c r="T573" s="25">
        <f t="shared" si="396"/>
        <v>6.4243420434979855E-5</v>
      </c>
      <c r="U573" s="27">
        <v>0</v>
      </c>
      <c r="V573" s="25" t="e">
        <f t="shared" si="396"/>
        <v>#DIV/0!</v>
      </c>
      <c r="W573" s="25">
        <f t="shared" si="396"/>
        <v>1.3444353210183513E-4</v>
      </c>
      <c r="X573" s="27">
        <v>0</v>
      </c>
      <c r="Y573" s="27">
        <v>0</v>
      </c>
    </row>
    <row r="574" spans="1:25" outlineLevel="1" x14ac:dyDescent="0.25">
      <c r="A574" t="s">
        <v>40</v>
      </c>
      <c r="B574" t="s">
        <v>150</v>
      </c>
      <c r="C574" s="7" t="s">
        <v>2</v>
      </c>
      <c r="D574" t="s">
        <v>114</v>
      </c>
      <c r="E574" s="25">
        <f t="shared" si="352"/>
        <v>3.539789840884361E-5</v>
      </c>
      <c r="F574" s="25">
        <f t="shared" si="396"/>
        <v>9.3944613397816946E-6</v>
      </c>
      <c r="G574" s="27">
        <v>0</v>
      </c>
      <c r="H574" s="25">
        <f t="shared" si="396"/>
        <v>6.2634404046404201E-5</v>
      </c>
      <c r="I574" s="25">
        <f t="shared" si="396"/>
        <v>3.5809666022948309E-5</v>
      </c>
      <c r="J574" s="25">
        <f t="shared" si="396"/>
        <v>3.5809666022948309E-5</v>
      </c>
      <c r="K574" s="25">
        <f t="shared" si="396"/>
        <v>2.7544812606421398E-5</v>
      </c>
      <c r="L574" s="25">
        <f t="shared" si="396"/>
        <v>4.6687347203288773E-5</v>
      </c>
      <c r="M574" s="27">
        <v>0</v>
      </c>
      <c r="N574" s="25">
        <f t="shared" ref="N574" si="399">N372/N$398</f>
        <v>6.0034306660588688E-5</v>
      </c>
      <c r="O574" s="25">
        <f t="shared" si="396"/>
        <v>6.0034306660588688E-5</v>
      </c>
      <c r="P574" s="27">
        <v>0</v>
      </c>
      <c r="Q574" s="25">
        <f t="shared" si="396"/>
        <v>6.4243420434979828E-5</v>
      </c>
      <c r="R574" s="25">
        <f t="shared" si="396"/>
        <v>6.4243420434979855E-5</v>
      </c>
      <c r="S574" s="27">
        <v>0</v>
      </c>
      <c r="T574" s="25">
        <f t="shared" si="396"/>
        <v>6.4243420434979855E-5</v>
      </c>
      <c r="U574" s="27">
        <v>0</v>
      </c>
      <c r="V574" s="25" t="e">
        <f t="shared" si="396"/>
        <v>#DIV/0!</v>
      </c>
      <c r="W574" s="25">
        <f t="shared" si="396"/>
        <v>1.3484012069210602E-4</v>
      </c>
      <c r="X574" s="27">
        <v>0</v>
      </c>
      <c r="Y574" s="27">
        <v>0</v>
      </c>
    </row>
    <row r="575" spans="1:25" outlineLevel="1" x14ac:dyDescent="0.25">
      <c r="A575" t="s">
        <v>40</v>
      </c>
      <c r="B575" t="s">
        <v>151</v>
      </c>
      <c r="C575" s="7" t="s">
        <v>3</v>
      </c>
      <c r="D575" t="s">
        <v>114</v>
      </c>
      <c r="E575" s="25">
        <f t="shared" si="352"/>
        <v>3.539789840884361E-5</v>
      </c>
      <c r="F575" s="25">
        <f t="shared" si="396"/>
        <v>1.044077598718579E-5</v>
      </c>
      <c r="G575" s="27">
        <v>0</v>
      </c>
      <c r="H575" s="25">
        <f t="shared" si="396"/>
        <v>6.5928718838768427E-5</v>
      </c>
      <c r="I575" s="25">
        <f t="shared" si="396"/>
        <v>3.6914046452208141E-5</v>
      </c>
      <c r="J575" s="25">
        <f t="shared" si="396"/>
        <v>3.6914046452208141E-5</v>
      </c>
      <c r="K575" s="25">
        <f t="shared" si="396"/>
        <v>2.7346579885206343E-5</v>
      </c>
      <c r="L575" s="25">
        <f t="shared" si="396"/>
        <v>4.6860610593844219E-5</v>
      </c>
      <c r="M575" s="27">
        <v>0</v>
      </c>
      <c r="N575" s="25">
        <f t="shared" ref="N575" si="400">N373/N$398</f>
        <v>6.0847706664890397E-5</v>
      </c>
      <c r="O575" s="25">
        <f t="shared" si="396"/>
        <v>6.0847706664890397E-5</v>
      </c>
      <c r="P575" s="27">
        <v>0</v>
      </c>
      <c r="Q575" s="25">
        <f t="shared" si="396"/>
        <v>6.3935296116812877E-5</v>
      </c>
      <c r="R575" s="25">
        <f t="shared" si="396"/>
        <v>6.3935296116812891E-5</v>
      </c>
      <c r="S575" s="27">
        <v>0</v>
      </c>
      <c r="T575" s="25">
        <f t="shared" si="396"/>
        <v>6.3935296116812904E-5</v>
      </c>
      <c r="U575" s="27">
        <v>0</v>
      </c>
      <c r="V575" s="25" t="e">
        <f t="shared" si="396"/>
        <v>#DIV/0!</v>
      </c>
      <c r="W575" s="25">
        <f t="shared" si="396"/>
        <v>1.3583159216778328E-4</v>
      </c>
      <c r="X575" s="27">
        <v>0</v>
      </c>
      <c r="Y575" s="27">
        <v>0</v>
      </c>
    </row>
    <row r="576" spans="1:25" outlineLevel="1" x14ac:dyDescent="0.25">
      <c r="A576" t="s">
        <v>40</v>
      </c>
      <c r="B576" t="s">
        <v>152</v>
      </c>
      <c r="C576" s="7" t="s">
        <v>4</v>
      </c>
      <c r="D576" t="s">
        <v>114</v>
      </c>
      <c r="E576" s="25">
        <f t="shared" si="352"/>
        <v>4.6779223366581735E-5</v>
      </c>
      <c r="F576" s="25">
        <f t="shared" si="396"/>
        <v>1.2933212024875472E-5</v>
      </c>
      <c r="G576" s="27">
        <v>0</v>
      </c>
      <c r="H576" s="25">
        <f t="shared" si="396"/>
        <v>8.5441270294751896E-5</v>
      </c>
      <c r="I576" s="25">
        <f t="shared" si="396"/>
        <v>4.7827148999890728E-5</v>
      </c>
      <c r="J576" s="25">
        <f t="shared" si="396"/>
        <v>4.7827148999890728E-5</v>
      </c>
      <c r="K576" s="25">
        <f t="shared" si="396"/>
        <v>3.1751248252283051E-5</v>
      </c>
      <c r="L576" s="25">
        <f t="shared" si="396"/>
        <v>4.7745637214276148E-5</v>
      </c>
      <c r="M576" s="27">
        <v>0</v>
      </c>
      <c r="N576" s="25">
        <f t="shared" ref="N576" si="401">N374/N$398</f>
        <v>6.4810232953080746E-5</v>
      </c>
      <c r="O576" s="25">
        <f t="shared" si="396"/>
        <v>6.4810232953080746E-5</v>
      </c>
      <c r="P576" s="27">
        <v>0</v>
      </c>
      <c r="Q576" s="25">
        <f t="shared" si="396"/>
        <v>6.4397495749400936E-5</v>
      </c>
      <c r="R576" s="25">
        <f t="shared" si="396"/>
        <v>6.4397495749400963E-5</v>
      </c>
      <c r="S576" s="27">
        <v>0</v>
      </c>
      <c r="T576" s="25">
        <f t="shared" si="396"/>
        <v>6.4397495749400976E-5</v>
      </c>
      <c r="U576" s="27">
        <v>0</v>
      </c>
      <c r="V576" s="25" t="e">
        <f t="shared" si="396"/>
        <v>#DIV/0!</v>
      </c>
      <c r="W576" s="25">
        <f t="shared" si="396"/>
        <v>1.3721965223373144E-4</v>
      </c>
      <c r="X576" s="27">
        <v>0</v>
      </c>
      <c r="Y576" s="27">
        <v>0</v>
      </c>
    </row>
    <row r="577" spans="1:25" outlineLevel="1" x14ac:dyDescent="0.25">
      <c r="A577" t="s">
        <v>40</v>
      </c>
      <c r="B577" t="s">
        <v>153</v>
      </c>
      <c r="C577" s="7" t="s">
        <v>5</v>
      </c>
      <c r="D577" t="s">
        <v>114</v>
      </c>
      <c r="E577" s="25">
        <f t="shared" si="352"/>
        <v>5.3437875027755322E-5</v>
      </c>
      <c r="F577" s="25">
        <f t="shared" si="396"/>
        <v>2.3387104910732027E-5</v>
      </c>
      <c r="G577" s="27">
        <v>0</v>
      </c>
      <c r="H577" s="25">
        <f t="shared" si="396"/>
        <v>1.1855312141316357E-4</v>
      </c>
      <c r="I577" s="25">
        <f t="shared" si="396"/>
        <v>8.4234429485992188E-5</v>
      </c>
      <c r="J577" s="25">
        <f t="shared" si="396"/>
        <v>8.4234429485992188E-5</v>
      </c>
      <c r="K577" s="25">
        <f t="shared" si="396"/>
        <v>5.976807843338411E-5</v>
      </c>
      <c r="L577" s="25">
        <f t="shared" si="396"/>
        <v>5.1629566999950832E-5</v>
      </c>
      <c r="M577" s="27">
        <v>0</v>
      </c>
      <c r="N577" s="25">
        <f t="shared" ref="N577" si="402">N375/N$398</f>
        <v>7.2448314050702986E-5</v>
      </c>
      <c r="O577" s="25">
        <f t="shared" si="396"/>
        <v>7.2448314050702986E-5</v>
      </c>
      <c r="P577" s="27">
        <v>0</v>
      </c>
      <c r="Q577" s="25">
        <f t="shared" si="396"/>
        <v>7.9896298924047863E-5</v>
      </c>
      <c r="R577" s="25">
        <f t="shared" si="396"/>
        <v>7.9896298924047877E-5</v>
      </c>
      <c r="S577" s="27">
        <v>0</v>
      </c>
      <c r="T577" s="25">
        <f t="shared" si="396"/>
        <v>7.9896298924047891E-5</v>
      </c>
      <c r="U577" s="27">
        <v>0</v>
      </c>
      <c r="V577" s="25" t="e">
        <f t="shared" si="396"/>
        <v>#DIV/0!</v>
      </c>
      <c r="W577" s="25">
        <f t="shared" si="396"/>
        <v>1.3801282941427323E-4</v>
      </c>
      <c r="X577" s="27">
        <v>0</v>
      </c>
      <c r="Y577" s="27">
        <v>0</v>
      </c>
    </row>
    <row r="578" spans="1:25" outlineLevel="1" x14ac:dyDescent="0.25">
      <c r="A578" t="s">
        <v>40</v>
      </c>
      <c r="B578" t="s">
        <v>154</v>
      </c>
      <c r="C578" s="7" t="s">
        <v>6</v>
      </c>
      <c r="D578" t="s">
        <v>114</v>
      </c>
      <c r="E578" s="25">
        <f t="shared" si="352"/>
        <v>6.2024486550542045E-5</v>
      </c>
      <c r="F578" s="25">
        <f t="shared" si="396"/>
        <v>4.6595771603859532E-5</v>
      </c>
      <c r="G578" s="27">
        <v>0</v>
      </c>
      <c r="H578" s="25">
        <f t="shared" si="396"/>
        <v>7.617963911396946E-5</v>
      </c>
      <c r="I578" s="25">
        <f t="shared" si="396"/>
        <v>1.3143983747125929E-4</v>
      </c>
      <c r="J578" s="25">
        <f t="shared" si="396"/>
        <v>1.3143983747125929E-4</v>
      </c>
      <c r="K578" s="25">
        <f t="shared" si="396"/>
        <v>6.6392201945361323E-5</v>
      </c>
      <c r="L578" s="25">
        <f t="shared" si="396"/>
        <v>6.009434598369504E-5</v>
      </c>
      <c r="M578" s="27">
        <v>0</v>
      </c>
      <c r="N578" s="25">
        <f t="shared" ref="N578" si="403">N376/N$398</f>
        <v>9.1700475721812671E-5</v>
      </c>
      <c r="O578" s="25">
        <f t="shared" si="396"/>
        <v>9.1700475721812671E-5</v>
      </c>
      <c r="P578" s="27">
        <v>0</v>
      </c>
      <c r="Q578" s="25">
        <f t="shared" si="396"/>
        <v>1.0399902179765909E-4</v>
      </c>
      <c r="R578" s="25">
        <f t="shared" si="396"/>
        <v>1.0399902179765911E-4</v>
      </c>
      <c r="S578" s="27">
        <v>0</v>
      </c>
      <c r="T578" s="25">
        <f t="shared" si="396"/>
        <v>1.0399902179765914E-4</v>
      </c>
      <c r="U578" s="27">
        <v>0</v>
      </c>
      <c r="V578" s="25" t="e">
        <f t="shared" si="396"/>
        <v>#DIV/0!</v>
      </c>
      <c r="W578" s="25">
        <f t="shared" si="396"/>
        <v>1.3801282941427323E-4</v>
      </c>
      <c r="X578" s="27">
        <v>0</v>
      </c>
      <c r="Y578" s="27">
        <v>0</v>
      </c>
    </row>
    <row r="579" spans="1:25" outlineLevel="1" x14ac:dyDescent="0.25">
      <c r="A579" t="s">
        <v>40</v>
      </c>
      <c r="B579" t="s">
        <v>155</v>
      </c>
      <c r="C579" s="7" t="s">
        <v>7</v>
      </c>
      <c r="D579" t="s">
        <v>114</v>
      </c>
      <c r="E579" s="25">
        <f t="shared" si="352"/>
        <v>6.7394328563853749E-5</v>
      </c>
      <c r="F579" s="25">
        <f t="shared" si="396"/>
        <v>7.4108149490630245E-5</v>
      </c>
      <c r="G579" s="27">
        <v>0</v>
      </c>
      <c r="H579" s="25">
        <f t="shared" si="396"/>
        <v>8.3263183980869485E-5</v>
      </c>
      <c r="I579" s="25">
        <f t="shared" si="396"/>
        <v>2.0022872183662595E-4</v>
      </c>
      <c r="J579" s="25">
        <f t="shared" si="396"/>
        <v>2.0022872183662595E-4</v>
      </c>
      <c r="K579" s="25">
        <f t="shared" si="396"/>
        <v>5.4351309932939476E-5</v>
      </c>
      <c r="L579" s="25">
        <f t="shared" si="396"/>
        <v>7.2440058064740507E-5</v>
      </c>
      <c r="M579" s="27">
        <v>0</v>
      </c>
      <c r="N579" s="25">
        <f t="shared" ref="N579" si="404">N377/N$398</f>
        <v>1.0403514327726243E-4</v>
      </c>
      <c r="O579" s="25">
        <f t="shared" si="396"/>
        <v>1.0403514327726243E-4</v>
      </c>
      <c r="P579" s="27">
        <v>0</v>
      </c>
      <c r="Q579" s="25">
        <f t="shared" si="396"/>
        <v>1.2436690484971143E-4</v>
      </c>
      <c r="R579" s="25">
        <f t="shared" si="396"/>
        <v>1.2436690484971146E-4</v>
      </c>
      <c r="S579" s="27">
        <v>0</v>
      </c>
      <c r="T579" s="25">
        <f t="shared" si="396"/>
        <v>1.2436690484971148E-4</v>
      </c>
      <c r="U579" s="27">
        <v>0</v>
      </c>
      <c r="V579" s="25" t="e">
        <f t="shared" si="396"/>
        <v>#DIV/0!</v>
      </c>
      <c r="W579" s="25">
        <f t="shared" si="396"/>
        <v>1.3761624082400231E-4</v>
      </c>
      <c r="X579" s="27">
        <v>0</v>
      </c>
      <c r="Y579" s="27">
        <v>0</v>
      </c>
    </row>
    <row r="580" spans="1:25" outlineLevel="1" x14ac:dyDescent="0.25">
      <c r="A580" t="s">
        <v>40</v>
      </c>
      <c r="B580" t="s">
        <v>156</v>
      </c>
      <c r="C580" s="7" t="s">
        <v>8</v>
      </c>
      <c r="D580" t="s">
        <v>114</v>
      </c>
      <c r="E580" s="25">
        <f t="shared" si="352"/>
        <v>6.8471909310150318E-5</v>
      </c>
      <c r="F580" s="25">
        <f t="shared" si="396"/>
        <v>9.6019861967478056E-5</v>
      </c>
      <c r="G580" s="27">
        <v>0</v>
      </c>
      <c r="H580" s="25">
        <f t="shared" si="396"/>
        <v>8.6275657791935677E-5</v>
      </c>
      <c r="I580" s="25">
        <f t="shared" si="396"/>
        <v>2.7204691909652986E-4</v>
      </c>
      <c r="J580" s="25">
        <f t="shared" si="396"/>
        <v>2.7204691909652986E-4</v>
      </c>
      <c r="K580" s="25">
        <f t="shared" si="396"/>
        <v>4.4443423991017223E-5</v>
      </c>
      <c r="L580" s="25">
        <f t="shared" si="396"/>
        <v>8.3519495650183194E-5</v>
      </c>
      <c r="M580" s="27">
        <v>0</v>
      </c>
      <c r="N580" s="25">
        <f t="shared" ref="N580" si="405">N378/N$398</f>
        <v>1.1343769398288139E-4</v>
      </c>
      <c r="O580" s="25">
        <f t="shared" si="396"/>
        <v>1.1343769398288139E-4</v>
      </c>
      <c r="P580" s="27">
        <v>0</v>
      </c>
      <c r="Q580" s="25">
        <f t="shared" si="396"/>
        <v>1.4120154047417589E-4</v>
      </c>
      <c r="R580" s="25">
        <f t="shared" si="396"/>
        <v>1.4120154047417592E-4</v>
      </c>
      <c r="S580" s="27">
        <v>0</v>
      </c>
      <c r="T580" s="25">
        <f t="shared" si="396"/>
        <v>1.4120154047417597E-4</v>
      </c>
      <c r="U580" s="27">
        <v>0</v>
      </c>
      <c r="V580" s="25" t="e">
        <f t="shared" si="396"/>
        <v>#DIV/0!</v>
      </c>
      <c r="W580" s="25">
        <f t="shared" si="396"/>
        <v>1.3721965223373144E-4</v>
      </c>
      <c r="X580" s="27">
        <v>0</v>
      </c>
      <c r="Y580" s="27">
        <v>0</v>
      </c>
    </row>
    <row r="581" spans="1:25" outlineLevel="1" x14ac:dyDescent="0.25">
      <c r="A581" t="s">
        <v>40</v>
      </c>
      <c r="B581" t="s">
        <v>157</v>
      </c>
      <c r="C581" s="7" t="s">
        <v>9</v>
      </c>
      <c r="D581" t="s">
        <v>114</v>
      </c>
      <c r="E581" s="25">
        <f t="shared" si="352"/>
        <v>6.8655997427026104E-5</v>
      </c>
      <c r="F581" s="25">
        <f t="shared" si="396"/>
        <v>1.1803581707479272E-4</v>
      </c>
      <c r="G581" s="27">
        <v>0</v>
      </c>
      <c r="H581" s="25">
        <f t="shared" si="396"/>
        <v>8.6790307298641951E-5</v>
      </c>
      <c r="I581" s="25">
        <f t="shared" si="396"/>
        <v>2.8071773723506465E-4</v>
      </c>
      <c r="J581" s="25">
        <f t="shared" si="396"/>
        <v>2.8071773723506465E-4</v>
      </c>
      <c r="K581" s="25">
        <f t="shared" si="396"/>
        <v>3.7476449300936664E-5</v>
      </c>
      <c r="L581" s="25">
        <f t="shared" si="396"/>
        <v>9.2999387549008993E-5</v>
      </c>
      <c r="M581" s="27">
        <v>0</v>
      </c>
      <c r="N581" s="25">
        <f t="shared" ref="N581" si="406">N379/N$398</f>
        <v>1.1238613143108214E-4</v>
      </c>
      <c r="O581" s="25">
        <f t="shared" si="396"/>
        <v>1.1238613143108214E-4</v>
      </c>
      <c r="P581" s="27">
        <v>0</v>
      </c>
      <c r="Q581" s="25">
        <f t="shared" si="396"/>
        <v>1.4959952651774847E-4</v>
      </c>
      <c r="R581" s="25">
        <f t="shared" si="396"/>
        <v>1.4959952651774852E-4</v>
      </c>
      <c r="S581" s="27">
        <v>0</v>
      </c>
      <c r="T581" s="25">
        <f t="shared" si="396"/>
        <v>1.4959952651774855E-4</v>
      </c>
      <c r="U581" s="27">
        <v>0</v>
      </c>
      <c r="V581" s="25" t="e">
        <f t="shared" si="396"/>
        <v>#DIV/0!</v>
      </c>
      <c r="W581" s="25">
        <f t="shared" si="396"/>
        <v>1.3682306364346051E-4</v>
      </c>
      <c r="X581" s="27">
        <v>0</v>
      </c>
      <c r="Y581" s="27">
        <v>0</v>
      </c>
    </row>
    <row r="582" spans="1:25" outlineLevel="1" x14ac:dyDescent="0.25">
      <c r="A582" t="s">
        <v>40</v>
      </c>
      <c r="B582" t="s">
        <v>158</v>
      </c>
      <c r="C582" s="7" t="s">
        <v>10</v>
      </c>
      <c r="D582" t="s">
        <v>114</v>
      </c>
      <c r="E582" s="25">
        <f t="shared" si="352"/>
        <v>5.2851560160397877E-5</v>
      </c>
      <c r="F582" s="25">
        <f t="shared" si="396"/>
        <v>1.4994067885556176E-4</v>
      </c>
      <c r="G582" s="27">
        <v>0</v>
      </c>
      <c r="H582" s="25">
        <f t="shared" si="396"/>
        <v>9.2086524685399849E-5</v>
      </c>
      <c r="I582" s="25">
        <f t="shared" si="396"/>
        <v>2.5904069188872767E-4</v>
      </c>
      <c r="J582" s="25">
        <f t="shared" si="396"/>
        <v>2.5904069188872767E-4</v>
      </c>
      <c r="K582" s="25">
        <f t="shared" si="396"/>
        <v>3.3254522326503051E-5</v>
      </c>
      <c r="L582" s="25">
        <f t="shared" si="396"/>
        <v>1.0040924321476077E-4</v>
      </c>
      <c r="M582" s="27">
        <v>0</v>
      </c>
      <c r="N582" s="25">
        <f t="shared" ref="N582" si="407">N380/N$398</f>
        <v>1.1256360133062885E-4</v>
      </c>
      <c r="O582" s="25">
        <f t="shared" si="396"/>
        <v>1.1256360133062885E-4</v>
      </c>
      <c r="P582" s="27">
        <v>0</v>
      </c>
      <c r="Q582" s="25">
        <f t="shared" si="396"/>
        <v>1.5437541398332337E-4</v>
      </c>
      <c r="R582" s="25">
        <f t="shared" si="396"/>
        <v>1.543754139833234E-4</v>
      </c>
      <c r="S582" s="27">
        <v>0</v>
      </c>
      <c r="T582" s="25">
        <f t="shared" si="396"/>
        <v>1.5437541398332342E-4</v>
      </c>
      <c r="U582" s="27">
        <v>0</v>
      </c>
      <c r="V582" s="25" t="e">
        <f t="shared" si="396"/>
        <v>#DIV/0!</v>
      </c>
      <c r="W582" s="25">
        <f t="shared" si="396"/>
        <v>1.3642647505318961E-4</v>
      </c>
      <c r="X582" s="27">
        <v>0</v>
      </c>
      <c r="Y582" s="27">
        <v>0</v>
      </c>
    </row>
    <row r="583" spans="1:25" outlineLevel="1" x14ac:dyDescent="0.25">
      <c r="A583" t="s">
        <v>40</v>
      </c>
      <c r="B583" t="s">
        <v>159</v>
      </c>
      <c r="C583" s="7" t="s">
        <v>11</v>
      </c>
      <c r="D583" t="s">
        <v>114</v>
      </c>
      <c r="E583" s="25">
        <f t="shared" si="352"/>
        <v>5.399637420636347E-5</v>
      </c>
      <c r="F583" s="25">
        <f t="shared" si="396"/>
        <v>1.7973080786532744E-4</v>
      </c>
      <c r="G583" s="27">
        <v>0</v>
      </c>
      <c r="H583" s="25">
        <f t="shared" si="396"/>
        <v>9.5286917988016259E-5</v>
      </c>
      <c r="I583" s="25">
        <f t="shared" si="396"/>
        <v>2.3086053293848948E-4</v>
      </c>
      <c r="J583" s="25">
        <f t="shared" si="396"/>
        <v>2.3086053293848948E-4</v>
      </c>
      <c r="K583" s="25">
        <f t="shared" si="396"/>
        <v>3.0181846428214696E-5</v>
      </c>
      <c r="L583" s="25">
        <f t="shared" si="396"/>
        <v>1.0611048560517567E-4</v>
      </c>
      <c r="M583" s="27">
        <v>0</v>
      </c>
      <c r="N583" s="25">
        <f t="shared" ref="N583" si="408">N381/N$398</f>
        <v>1.1220949002884867E-4</v>
      </c>
      <c r="O583" s="25">
        <f t="shared" si="396"/>
        <v>1.1220949002884867E-4</v>
      </c>
      <c r="P583" s="27">
        <v>0</v>
      </c>
      <c r="Q583" s="25">
        <f t="shared" si="396"/>
        <v>1.5106143972349261E-4</v>
      </c>
      <c r="R583" s="25">
        <f t="shared" si="396"/>
        <v>1.5106143972349267E-4</v>
      </c>
      <c r="S583" s="27">
        <v>0</v>
      </c>
      <c r="T583" s="25">
        <f t="shared" si="396"/>
        <v>1.5106143972349269E-4</v>
      </c>
      <c r="U583" s="27">
        <v>0</v>
      </c>
      <c r="V583" s="25" t="e">
        <f t="shared" si="396"/>
        <v>#DIV/0!</v>
      </c>
      <c r="W583" s="25">
        <f t="shared" si="396"/>
        <v>1.3642647505318961E-4</v>
      </c>
      <c r="X583" s="27">
        <v>0</v>
      </c>
      <c r="Y583" s="27">
        <v>0</v>
      </c>
    </row>
    <row r="584" spans="1:25" outlineLevel="1" x14ac:dyDescent="0.25">
      <c r="A584" t="s">
        <v>40</v>
      </c>
      <c r="B584" t="s">
        <v>160</v>
      </c>
      <c r="C584" s="7" t="s">
        <v>12</v>
      </c>
      <c r="D584" t="s">
        <v>114</v>
      </c>
      <c r="E584" s="25">
        <f t="shared" si="352"/>
        <v>5.3952698272209451E-5</v>
      </c>
      <c r="F584" s="25">
        <f t="shared" si="396"/>
        <v>1.969837767556934E-4</v>
      </c>
      <c r="G584" s="27">
        <v>0</v>
      </c>
      <c r="H584" s="25">
        <f t="shared" si="396"/>
        <v>9.5164822405561145E-5</v>
      </c>
      <c r="I584" s="25">
        <f t="shared" si="396"/>
        <v>1.9888019284563033E-4</v>
      </c>
      <c r="J584" s="25">
        <f t="shared" si="396"/>
        <v>1.9888019284563033E-4</v>
      </c>
      <c r="K584" s="25">
        <f t="shared" si="396"/>
        <v>2.8346297427252697E-5</v>
      </c>
      <c r="L584" s="25">
        <f t="shared" si="396"/>
        <v>1.0950448214871475E-4</v>
      </c>
      <c r="M584" s="27">
        <v>0</v>
      </c>
      <c r="N584" s="25">
        <f t="shared" ref="N584" si="409">N382/N$398</f>
        <v>1.0791632756596741E-4</v>
      </c>
      <c r="O584" s="25">
        <f t="shared" si="396"/>
        <v>1.0791632756596741E-4</v>
      </c>
      <c r="P584" s="27">
        <v>0</v>
      </c>
      <c r="Q584" s="25">
        <f t="shared" ref="F584:W594" si="410">Q382/Q$398</f>
        <v>1.4393266749993666E-4</v>
      </c>
      <c r="R584" s="25">
        <f t="shared" si="410"/>
        <v>1.4393266749993672E-4</v>
      </c>
      <c r="S584" s="27">
        <v>0</v>
      </c>
      <c r="T584" s="25">
        <f t="shared" si="410"/>
        <v>1.4393266749993674E-4</v>
      </c>
      <c r="U584" s="27">
        <v>0</v>
      </c>
      <c r="V584" s="25" t="e">
        <f t="shared" si="410"/>
        <v>#DIV/0!</v>
      </c>
      <c r="W584" s="25">
        <f t="shared" si="410"/>
        <v>1.3642647505318961E-4</v>
      </c>
      <c r="X584" s="27">
        <v>0</v>
      </c>
      <c r="Y584" s="27">
        <v>0</v>
      </c>
    </row>
    <row r="585" spans="1:25" outlineLevel="1" x14ac:dyDescent="0.25">
      <c r="A585" t="s">
        <v>40</v>
      </c>
      <c r="B585" t="s">
        <v>161</v>
      </c>
      <c r="C585" s="7" t="s">
        <v>13</v>
      </c>
      <c r="D585" t="s">
        <v>114</v>
      </c>
      <c r="E585" s="25">
        <f t="shared" si="352"/>
        <v>5.3594517046200257E-5</v>
      </c>
      <c r="F585" s="25">
        <f t="shared" si="410"/>
        <v>2.0191034872228607E-4</v>
      </c>
      <c r="G585" s="27">
        <v>0</v>
      </c>
      <c r="H585" s="25">
        <f t="shared" si="410"/>
        <v>9.4163491490862819E-5</v>
      </c>
      <c r="I585" s="25">
        <f t="shared" si="410"/>
        <v>1.8331398245208442E-4</v>
      </c>
      <c r="J585" s="25">
        <f t="shared" si="410"/>
        <v>1.8331398245208442E-4</v>
      </c>
      <c r="K585" s="25">
        <f t="shared" si="410"/>
        <v>2.842486012610263E-5</v>
      </c>
      <c r="L585" s="25">
        <f t="shared" si="410"/>
        <v>1.1075375912068981E-4</v>
      </c>
      <c r="M585" s="27">
        <v>0</v>
      </c>
      <c r="N585" s="25">
        <f t="shared" ref="N585" si="411">N383/N$398</f>
        <v>1.0270643571349784E-4</v>
      </c>
      <c r="O585" s="25">
        <f t="shared" si="410"/>
        <v>1.0270643571349784E-4</v>
      </c>
      <c r="P585" s="27">
        <v>0</v>
      </c>
      <c r="Q585" s="25">
        <f t="shared" si="410"/>
        <v>1.4208393474627256E-4</v>
      </c>
      <c r="R585" s="25">
        <f t="shared" si="410"/>
        <v>1.4208393474627261E-4</v>
      </c>
      <c r="S585" s="27">
        <v>0</v>
      </c>
      <c r="T585" s="25">
        <f t="shared" si="410"/>
        <v>1.4208393474627264E-4</v>
      </c>
      <c r="U585" s="27">
        <v>0</v>
      </c>
      <c r="V585" s="25" t="e">
        <f t="shared" si="410"/>
        <v>#DIV/0!</v>
      </c>
      <c r="W585" s="25">
        <f t="shared" si="410"/>
        <v>1.3702135793859597E-4</v>
      </c>
      <c r="X585" s="27">
        <v>0</v>
      </c>
      <c r="Y585" s="27">
        <v>0</v>
      </c>
    </row>
    <row r="586" spans="1:25" outlineLevel="1" x14ac:dyDescent="0.25">
      <c r="A586" t="s">
        <v>40</v>
      </c>
      <c r="B586" t="s">
        <v>162</v>
      </c>
      <c r="C586" s="7" t="s">
        <v>14</v>
      </c>
      <c r="D586" t="s">
        <v>114</v>
      </c>
      <c r="E586" s="25">
        <f t="shared" si="352"/>
        <v>5.3679040745114943E-5</v>
      </c>
      <c r="F586" s="25">
        <f t="shared" si="410"/>
        <v>1.9610940862922342E-4</v>
      </c>
      <c r="G586" s="27">
        <v>0</v>
      </c>
      <c r="H586" s="25">
        <f t="shared" si="410"/>
        <v>9.4399796028610353E-5</v>
      </c>
      <c r="I586" s="25">
        <f t="shared" si="410"/>
        <v>1.59896519650458E-4</v>
      </c>
      <c r="J586" s="25">
        <f t="shared" si="410"/>
        <v>1.59896519650458E-4</v>
      </c>
      <c r="K586" s="25">
        <f t="shared" si="410"/>
        <v>2.5686867607836572E-5</v>
      </c>
      <c r="L586" s="25">
        <f t="shared" si="410"/>
        <v>1.0950482422845918E-4</v>
      </c>
      <c r="M586" s="27">
        <v>0</v>
      </c>
      <c r="N586" s="25">
        <f t="shared" ref="N586" si="412">N384/N$398</f>
        <v>9.5213954245048428E-5</v>
      </c>
      <c r="O586" s="25">
        <f t="shared" si="410"/>
        <v>9.5213954245048428E-5</v>
      </c>
      <c r="P586" s="27">
        <v>0</v>
      </c>
      <c r="Q586" s="25">
        <f t="shared" si="410"/>
        <v>1.3931084219344527E-4</v>
      </c>
      <c r="R586" s="25">
        <f t="shared" si="410"/>
        <v>1.3931084219344532E-4</v>
      </c>
      <c r="S586" s="27">
        <v>0</v>
      </c>
      <c r="T586" s="25">
        <f t="shared" si="410"/>
        <v>1.3931084219344532E-4</v>
      </c>
      <c r="U586" s="27">
        <v>0</v>
      </c>
      <c r="V586" s="25" t="e">
        <f t="shared" si="410"/>
        <v>#DIV/0!</v>
      </c>
      <c r="W586" s="25">
        <f t="shared" si="410"/>
        <v>1.3840941800454413E-4</v>
      </c>
      <c r="X586" s="27">
        <v>0</v>
      </c>
      <c r="Y586" s="27">
        <v>0</v>
      </c>
    </row>
    <row r="587" spans="1:25" outlineLevel="1" x14ac:dyDescent="0.25">
      <c r="A587" t="s">
        <v>40</v>
      </c>
      <c r="B587" t="s">
        <v>163</v>
      </c>
      <c r="C587" s="7" t="s">
        <v>15</v>
      </c>
      <c r="D587" t="s">
        <v>114</v>
      </c>
      <c r="E587" s="25">
        <f t="shared" si="352"/>
        <v>5.4601168589643325E-5</v>
      </c>
      <c r="F587" s="25">
        <f t="shared" si="410"/>
        <v>1.8146404081182318E-4</v>
      </c>
      <c r="G587" s="27">
        <v>0</v>
      </c>
      <c r="H587" s="25">
        <f t="shared" si="410"/>
        <v>1.0831532589809148E-4</v>
      </c>
      <c r="I587" s="25">
        <f t="shared" si="410"/>
        <v>1.6002001377779607E-4</v>
      </c>
      <c r="J587" s="25">
        <f t="shared" si="410"/>
        <v>1.6002001377779607E-4</v>
      </c>
      <c r="K587" s="25">
        <f t="shared" si="410"/>
        <v>2.6175325494038307E-5</v>
      </c>
      <c r="L587" s="25">
        <f t="shared" si="410"/>
        <v>1.0539604682301236E-4</v>
      </c>
      <c r="M587" s="27">
        <v>0</v>
      </c>
      <c r="N587" s="25">
        <f t="shared" ref="N587" si="413">N385/N$398</f>
        <v>9.0895797373141557E-5</v>
      </c>
      <c r="O587" s="25">
        <f t="shared" si="410"/>
        <v>9.0895797373141557E-5</v>
      </c>
      <c r="P587" s="27">
        <v>0</v>
      </c>
      <c r="Q587" s="25">
        <f t="shared" si="410"/>
        <v>1.5948903843208929E-4</v>
      </c>
      <c r="R587" s="25">
        <f t="shared" si="410"/>
        <v>1.5948903843208932E-4</v>
      </c>
      <c r="S587" s="27">
        <v>0</v>
      </c>
      <c r="T587" s="25">
        <f t="shared" si="410"/>
        <v>1.5948903843208934E-4</v>
      </c>
      <c r="U587" s="27">
        <v>0</v>
      </c>
      <c r="V587" s="25" t="e">
        <f t="shared" si="410"/>
        <v>#DIV/0!</v>
      </c>
      <c r="W587" s="25">
        <f t="shared" si="410"/>
        <v>1.3999577236562772E-4</v>
      </c>
      <c r="X587" s="27">
        <v>0</v>
      </c>
      <c r="Y587" s="27">
        <v>0</v>
      </c>
    </row>
    <row r="588" spans="1:25" outlineLevel="1" x14ac:dyDescent="0.25">
      <c r="A588" t="s">
        <v>40</v>
      </c>
      <c r="B588" t="s">
        <v>164</v>
      </c>
      <c r="C588" s="7" t="s">
        <v>16</v>
      </c>
      <c r="D588" t="s">
        <v>114</v>
      </c>
      <c r="E588" s="25">
        <f t="shared" si="352"/>
        <v>5.6322623878109574E-5</v>
      </c>
      <c r="F588" s="25">
        <f t="shared" si="410"/>
        <v>1.6434384297212468E-4</v>
      </c>
      <c r="G588" s="27">
        <v>0</v>
      </c>
      <c r="H588" s="25">
        <f t="shared" si="410"/>
        <v>2.7308917936451463E-4</v>
      </c>
      <c r="I588" s="25">
        <f t="shared" si="410"/>
        <v>1.8368019445616542E-4</v>
      </c>
      <c r="J588" s="25">
        <f t="shared" si="410"/>
        <v>1.8368019445616542E-4</v>
      </c>
      <c r="K588" s="25">
        <f t="shared" si="410"/>
        <v>3.0221114688219653E-5</v>
      </c>
      <c r="L588" s="25">
        <f t="shared" si="410"/>
        <v>9.8619054392205447E-5</v>
      </c>
      <c r="M588" s="27">
        <v>0</v>
      </c>
      <c r="N588" s="25">
        <f t="shared" ref="N588" si="414">N386/N$398</f>
        <v>9.1901903187098597E-5</v>
      </c>
      <c r="O588" s="25">
        <f t="shared" si="410"/>
        <v>9.1901903187098597E-5</v>
      </c>
      <c r="P588" s="27">
        <v>0</v>
      </c>
      <c r="Q588" s="25">
        <f t="shared" si="410"/>
        <v>1.5964310059117276E-4</v>
      </c>
      <c r="R588" s="25">
        <f t="shared" si="410"/>
        <v>1.5964310059117282E-4</v>
      </c>
      <c r="S588" s="27">
        <v>0</v>
      </c>
      <c r="T588" s="25">
        <f t="shared" si="410"/>
        <v>1.5964310059117285E-4</v>
      </c>
      <c r="U588" s="27">
        <v>0</v>
      </c>
      <c r="V588" s="25" t="e">
        <f t="shared" si="410"/>
        <v>#DIV/0!</v>
      </c>
      <c r="W588" s="25">
        <f t="shared" si="410"/>
        <v>1.4039236095589864E-4</v>
      </c>
      <c r="X588" s="27">
        <v>0</v>
      </c>
      <c r="Y588" s="27">
        <v>0</v>
      </c>
    </row>
    <row r="589" spans="1:25" outlineLevel="1" x14ac:dyDescent="0.25">
      <c r="A589" t="s">
        <v>40</v>
      </c>
      <c r="B589" t="s">
        <v>165</v>
      </c>
      <c r="C589" s="7" t="s">
        <v>17</v>
      </c>
      <c r="D589" t="s">
        <v>114</v>
      </c>
      <c r="E589" s="25">
        <f t="shared" si="352"/>
        <v>5.8374766086721323E-5</v>
      </c>
      <c r="F589" s="25">
        <f t="shared" si="410"/>
        <v>1.4231229277345147E-4</v>
      </c>
      <c r="G589" s="27">
        <v>0</v>
      </c>
      <c r="H589" s="25">
        <f t="shared" si="410"/>
        <v>3.5842954791592547E-4</v>
      </c>
      <c r="I589" s="25">
        <f t="shared" si="410"/>
        <v>2.0950612873508732E-4</v>
      </c>
      <c r="J589" s="25">
        <f t="shared" si="410"/>
        <v>2.0950612873508732E-4</v>
      </c>
      <c r="K589" s="25">
        <f t="shared" si="410"/>
        <v>2.8109405104062757E-5</v>
      </c>
      <c r="L589" s="25">
        <f t="shared" si="410"/>
        <v>9.0488979494731355E-5</v>
      </c>
      <c r="M589" s="27">
        <v>0</v>
      </c>
      <c r="N589" s="25">
        <f t="shared" ref="N589" si="415">N387/N$398</f>
        <v>9.0560721074779896E-5</v>
      </c>
      <c r="O589" s="25">
        <f t="shared" si="410"/>
        <v>9.0560721074779896E-5</v>
      </c>
      <c r="P589" s="27">
        <v>0</v>
      </c>
      <c r="Q589" s="25">
        <f t="shared" si="410"/>
        <v>1.5856466547758841E-4</v>
      </c>
      <c r="R589" s="25">
        <f t="shared" si="410"/>
        <v>1.5856466547758846E-4</v>
      </c>
      <c r="S589" s="27">
        <v>0</v>
      </c>
      <c r="T589" s="25">
        <f t="shared" si="410"/>
        <v>1.5856466547758849E-4</v>
      </c>
      <c r="U589" s="27">
        <v>0</v>
      </c>
      <c r="V589" s="25" t="e">
        <f t="shared" si="410"/>
        <v>#DIV/0!</v>
      </c>
      <c r="W589" s="25">
        <f t="shared" si="410"/>
        <v>1.3999577236562772E-4</v>
      </c>
      <c r="X589" s="27">
        <v>0</v>
      </c>
      <c r="Y589" s="27">
        <v>0</v>
      </c>
    </row>
    <row r="590" spans="1:25" outlineLevel="1" x14ac:dyDescent="0.25">
      <c r="A590" t="s">
        <v>40</v>
      </c>
      <c r="B590" t="s">
        <v>166</v>
      </c>
      <c r="C590" s="7" t="s">
        <v>18</v>
      </c>
      <c r="D590" t="s">
        <v>114</v>
      </c>
      <c r="E590" s="25">
        <f t="shared" si="352"/>
        <v>6.0198115819069337E-5</v>
      </c>
      <c r="F590" s="25">
        <f t="shared" si="410"/>
        <v>1.1438907726590948E-4</v>
      </c>
      <c r="G590" s="27">
        <v>0</v>
      </c>
      <c r="H590" s="25">
        <f t="shared" si="410"/>
        <v>3.7549762162620762E-4</v>
      </c>
      <c r="I590" s="25">
        <f t="shared" si="410"/>
        <v>1.907933217931578E-4</v>
      </c>
      <c r="J590" s="25">
        <f t="shared" si="410"/>
        <v>1.907933217931578E-4</v>
      </c>
      <c r="K590" s="25">
        <f t="shared" si="410"/>
        <v>3.0708865745741303E-5</v>
      </c>
      <c r="L590" s="25">
        <f t="shared" si="410"/>
        <v>8.0831373678062857E-5</v>
      </c>
      <c r="M590" s="27">
        <v>0</v>
      </c>
      <c r="N590" s="25">
        <f t="shared" ref="N590" si="416">N388/N$398</f>
        <v>8.8400094703765847E-5</v>
      </c>
      <c r="O590" s="25">
        <f t="shared" si="410"/>
        <v>8.8400094703765847E-5</v>
      </c>
      <c r="P590" s="27">
        <v>0</v>
      </c>
      <c r="Q590" s="25">
        <f t="shared" si="410"/>
        <v>1.5502126212934371E-4</v>
      </c>
      <c r="R590" s="25">
        <f t="shared" si="410"/>
        <v>1.5502126212934376E-4</v>
      </c>
      <c r="S590" s="27">
        <v>0</v>
      </c>
      <c r="T590" s="25">
        <f t="shared" si="410"/>
        <v>1.5502126212934376E-4</v>
      </c>
      <c r="U590" s="27">
        <v>0</v>
      </c>
      <c r="V590" s="25" t="e">
        <f t="shared" si="410"/>
        <v>#DIV/0!</v>
      </c>
      <c r="W590" s="25">
        <f t="shared" si="410"/>
        <v>1.3920259518508592E-4</v>
      </c>
      <c r="X590" s="27">
        <v>0</v>
      </c>
      <c r="Y590" s="27">
        <v>0</v>
      </c>
    </row>
    <row r="591" spans="1:25" outlineLevel="1" x14ac:dyDescent="0.25">
      <c r="A591" t="s">
        <v>40</v>
      </c>
      <c r="B591" t="s">
        <v>167</v>
      </c>
      <c r="C591" s="7" t="s">
        <v>19</v>
      </c>
      <c r="D591" t="s">
        <v>114</v>
      </c>
      <c r="E591" s="25">
        <f t="shared" si="352"/>
        <v>5.9980427121503318E-5</v>
      </c>
      <c r="F591" s="25">
        <f t="shared" si="410"/>
        <v>8.0783591215492865E-5</v>
      </c>
      <c r="G591" s="27">
        <v>0</v>
      </c>
      <c r="H591" s="25">
        <f t="shared" si="410"/>
        <v>3.7314340456272044E-4</v>
      </c>
      <c r="I591" s="25">
        <f t="shared" si="410"/>
        <v>1.7816119703394269E-4</v>
      </c>
      <c r="J591" s="25">
        <f t="shared" si="410"/>
        <v>1.7816119703394269E-4</v>
      </c>
      <c r="K591" s="25">
        <f t="shared" si="410"/>
        <v>3.5073526300582957E-5</v>
      </c>
      <c r="L591" s="25">
        <f t="shared" si="410"/>
        <v>7.1366172009894684E-5</v>
      </c>
      <c r="M591" s="27">
        <v>0</v>
      </c>
      <c r="N591" s="25">
        <f t="shared" ref="N591" si="417">N389/N$398</f>
        <v>8.4293741281995084E-5</v>
      </c>
      <c r="O591" s="25">
        <f t="shared" si="410"/>
        <v>8.4293741281995084E-5</v>
      </c>
      <c r="P591" s="27">
        <v>0</v>
      </c>
      <c r="Q591" s="25">
        <f t="shared" si="410"/>
        <v>1.5024537466376884E-4</v>
      </c>
      <c r="R591" s="25">
        <f t="shared" si="410"/>
        <v>1.5024537466376886E-4</v>
      </c>
      <c r="S591" s="27">
        <v>0</v>
      </c>
      <c r="T591" s="25">
        <f t="shared" si="410"/>
        <v>1.5024537466376889E-4</v>
      </c>
      <c r="U591" s="27">
        <v>0</v>
      </c>
      <c r="V591" s="25" t="e">
        <f t="shared" si="410"/>
        <v>#DIV/0!</v>
      </c>
      <c r="W591" s="25">
        <f t="shared" si="410"/>
        <v>1.3840941800454413E-4</v>
      </c>
      <c r="X591" s="27">
        <v>0</v>
      </c>
      <c r="Y591" s="27">
        <v>0</v>
      </c>
    </row>
    <row r="592" spans="1:25" outlineLevel="1" x14ac:dyDescent="0.25">
      <c r="A592" t="s">
        <v>40</v>
      </c>
      <c r="B592" t="s">
        <v>168</v>
      </c>
      <c r="C592" s="7" t="s">
        <v>20</v>
      </c>
      <c r="D592" t="s">
        <v>114</v>
      </c>
      <c r="E592" s="25">
        <f t="shared" si="352"/>
        <v>5.3043120429364039E-5</v>
      </c>
      <c r="F592" s="25">
        <f t="shared" si="410"/>
        <v>4.7365963852527649E-5</v>
      </c>
      <c r="G592" s="27">
        <v>0</v>
      </c>
      <c r="H592" s="25">
        <f t="shared" si="410"/>
        <v>3.0899098958269436E-4</v>
      </c>
      <c r="I592" s="25">
        <f t="shared" si="410"/>
        <v>1.55724620534238E-4</v>
      </c>
      <c r="J592" s="25">
        <f t="shared" si="410"/>
        <v>1.55724620534238E-4</v>
      </c>
      <c r="K592" s="25">
        <f t="shared" si="410"/>
        <v>3.5077492394843455E-5</v>
      </c>
      <c r="L592" s="25">
        <f t="shared" si="410"/>
        <v>6.2425615951398027E-5</v>
      </c>
      <c r="M592" s="27">
        <v>0</v>
      </c>
      <c r="N592" s="25">
        <f t="shared" ref="N592" si="418">N390/N$398</f>
        <v>7.8661748484155106E-5</v>
      </c>
      <c r="O592" s="25">
        <f t="shared" si="410"/>
        <v>7.8661748484155106E-5</v>
      </c>
      <c r="P592" s="27">
        <v>0</v>
      </c>
      <c r="Q592" s="25">
        <f t="shared" si="410"/>
        <v>1.4485323856186004E-4</v>
      </c>
      <c r="R592" s="25">
        <f t="shared" si="410"/>
        <v>1.4485323856186006E-4</v>
      </c>
      <c r="S592" s="27">
        <v>0</v>
      </c>
      <c r="T592" s="25">
        <f t="shared" si="410"/>
        <v>1.4485323856186012E-4</v>
      </c>
      <c r="U592" s="27">
        <v>0</v>
      </c>
      <c r="V592" s="25" t="e">
        <f t="shared" si="410"/>
        <v>#DIV/0!</v>
      </c>
      <c r="W592" s="25">
        <f t="shared" si="410"/>
        <v>1.3682306364346051E-4</v>
      </c>
      <c r="X592" s="27">
        <v>0</v>
      </c>
      <c r="Y592" s="27">
        <v>0</v>
      </c>
    </row>
    <row r="593" spans="1:26" outlineLevel="1" x14ac:dyDescent="0.25">
      <c r="A593" t="s">
        <v>40</v>
      </c>
      <c r="B593" t="s">
        <v>169</v>
      </c>
      <c r="C593" s="7" t="s">
        <v>21</v>
      </c>
      <c r="D593" t="s">
        <v>114</v>
      </c>
      <c r="E593" s="25">
        <f t="shared" si="352"/>
        <v>4.1274095227573688E-5</v>
      </c>
      <c r="F593" s="25">
        <f t="shared" si="410"/>
        <v>2.2934663691505001E-5</v>
      </c>
      <c r="G593" s="27">
        <v>0</v>
      </c>
      <c r="H593" s="25">
        <f t="shared" si="410"/>
        <v>1.9893134186466801E-4</v>
      </c>
      <c r="I593" s="25">
        <f t="shared" si="410"/>
        <v>1.3524126504398771E-4</v>
      </c>
      <c r="J593" s="25">
        <f t="shared" si="410"/>
        <v>1.3524126504398771E-4</v>
      </c>
      <c r="K593" s="25">
        <f t="shared" si="410"/>
        <v>3.0504605346615487E-5</v>
      </c>
      <c r="L593" s="25">
        <f t="shared" si="410"/>
        <v>5.5746229692567793E-5</v>
      </c>
      <c r="M593" s="27">
        <v>0</v>
      </c>
      <c r="N593" s="25">
        <f t="shared" ref="N593" si="419">N391/N$398</f>
        <v>7.4852782062862083E-5</v>
      </c>
      <c r="O593" s="25">
        <f t="shared" si="410"/>
        <v>7.4852782062862083E-5</v>
      </c>
      <c r="P593" s="27">
        <v>0</v>
      </c>
      <c r="Q593" s="25">
        <f t="shared" si="410"/>
        <v>1.4300450580819593E-4</v>
      </c>
      <c r="R593" s="25">
        <f t="shared" si="410"/>
        <v>1.4300450580819599E-4</v>
      </c>
      <c r="S593" s="27">
        <v>0</v>
      </c>
      <c r="T593" s="25">
        <f t="shared" si="410"/>
        <v>1.4300450580819599E-4</v>
      </c>
      <c r="U593" s="27">
        <v>0</v>
      </c>
      <c r="V593" s="25" t="e">
        <f t="shared" si="410"/>
        <v>#DIV/0!</v>
      </c>
      <c r="W593" s="25">
        <f t="shared" si="410"/>
        <v>1.3563329787264782E-4</v>
      </c>
      <c r="X593" s="27">
        <v>0</v>
      </c>
      <c r="Y593" s="27">
        <v>0</v>
      </c>
    </row>
    <row r="594" spans="1:26" outlineLevel="1" x14ac:dyDescent="0.25">
      <c r="A594" t="s">
        <v>40</v>
      </c>
      <c r="B594" t="s">
        <v>170</v>
      </c>
      <c r="C594" s="7" t="s">
        <v>22</v>
      </c>
      <c r="D594" t="s">
        <v>114</v>
      </c>
      <c r="E594" s="25">
        <f t="shared" si="352"/>
        <v>3.539789840884361E-5</v>
      </c>
      <c r="F594" s="25">
        <f t="shared" si="410"/>
        <v>1.2556117876257227E-5</v>
      </c>
      <c r="G594" s="27">
        <v>0</v>
      </c>
      <c r="H594" s="25">
        <f t="shared" si="410"/>
        <v>1.1131260912355554E-4</v>
      </c>
      <c r="I594" s="25">
        <f t="shared" si="410"/>
        <v>1.0299594474881493E-4</v>
      </c>
      <c r="J594" s="25">
        <f t="shared" si="410"/>
        <v>1.0299594474881493E-4</v>
      </c>
      <c r="K594" s="25">
        <f t="shared" si="410"/>
        <v>3.1966399048850243E-5</v>
      </c>
      <c r="L594" s="25">
        <f t="shared" si="410"/>
        <v>5.1143923717059183E-5</v>
      </c>
      <c r="M594" s="27">
        <v>0</v>
      </c>
      <c r="N594" s="25">
        <f t="shared" ref="N594" si="420">N392/N$398</f>
        <v>6.8373004178930792E-5</v>
      </c>
      <c r="O594" s="25">
        <f t="shared" si="410"/>
        <v>6.8373004178930792E-5</v>
      </c>
      <c r="P594" s="27">
        <v>0</v>
      </c>
      <c r="Q594" s="25">
        <f t="shared" si="410"/>
        <v>9.6104516836183917E-5</v>
      </c>
      <c r="R594" s="25">
        <f t="shared" si="410"/>
        <v>9.6104516836183958E-5</v>
      </c>
      <c r="S594" s="27">
        <v>0</v>
      </c>
      <c r="T594" s="25">
        <f t="shared" si="410"/>
        <v>9.6104516836183971E-5</v>
      </c>
      <c r="U594" s="27">
        <v>0</v>
      </c>
      <c r="V594" s="25" t="e">
        <f t="shared" si="410"/>
        <v>#DIV/0!</v>
      </c>
      <c r="W594" s="25">
        <f t="shared" si="410"/>
        <v>1.3523670928237692E-4</v>
      </c>
      <c r="X594" s="27">
        <v>0</v>
      </c>
      <c r="Y594" s="27">
        <v>0</v>
      </c>
    </row>
    <row r="595" spans="1:26" outlineLevel="1" x14ac:dyDescent="0.25"/>
    <row r="597" spans="1:26" x14ac:dyDescent="0.25">
      <c r="A597" s="64" t="s">
        <v>192</v>
      </c>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row>
    <row r="598" spans="1:26" outlineLevel="1" x14ac:dyDescent="0.25">
      <c r="D598" t="s">
        <v>31</v>
      </c>
      <c r="E598" t="s">
        <v>31</v>
      </c>
      <c r="F598" t="s">
        <v>31</v>
      </c>
      <c r="G598" t="s">
        <v>31</v>
      </c>
      <c r="H598" t="s">
        <v>31</v>
      </c>
      <c r="I598" t="s">
        <v>31</v>
      </c>
      <c r="J598" t="s">
        <v>30</v>
      </c>
      <c r="K598" t="s">
        <v>30</v>
      </c>
      <c r="L598" t="s">
        <v>30</v>
      </c>
      <c r="M598" t="s">
        <v>30</v>
      </c>
      <c r="N598" t="s">
        <v>30</v>
      </c>
      <c r="O598" t="s">
        <v>30</v>
      </c>
      <c r="P598" t="s">
        <v>32</v>
      </c>
      <c r="Q598" t="s">
        <v>32</v>
      </c>
      <c r="R598" t="s">
        <v>32</v>
      </c>
      <c r="S598" t="s">
        <v>32</v>
      </c>
      <c r="T598" t="s">
        <v>32</v>
      </c>
      <c r="U598" t="s">
        <v>32</v>
      </c>
      <c r="V598" t="s">
        <v>109</v>
      </c>
      <c r="W598" t="s">
        <v>109</v>
      </c>
      <c r="X598" t="s">
        <v>109</v>
      </c>
    </row>
    <row r="599" spans="1:26" ht="45" outlineLevel="1" x14ac:dyDescent="0.25">
      <c r="A599" s="5" t="s">
        <v>35</v>
      </c>
      <c r="B599" s="63" t="s">
        <v>29</v>
      </c>
      <c r="C599" s="63"/>
      <c r="D599" s="5" t="s">
        <v>42</v>
      </c>
      <c r="E599" s="5" t="s">
        <v>43</v>
      </c>
      <c r="F599" s="5" t="s">
        <v>135</v>
      </c>
      <c r="G599" s="5" t="s">
        <v>112</v>
      </c>
      <c r="H599" s="5" t="s">
        <v>113</v>
      </c>
      <c r="I599" s="5" t="s">
        <v>136</v>
      </c>
      <c r="J599" s="5" t="s">
        <v>42</v>
      </c>
      <c r="K599" s="5" t="s">
        <v>43</v>
      </c>
      <c r="L599" s="5" t="s">
        <v>135</v>
      </c>
      <c r="M599" s="5" t="s">
        <v>112</v>
      </c>
      <c r="N599" s="5" t="s">
        <v>113</v>
      </c>
      <c r="O599" s="5" t="s">
        <v>136</v>
      </c>
      <c r="P599" s="5" t="s">
        <v>119</v>
      </c>
      <c r="Q599" s="5" t="s">
        <v>120</v>
      </c>
      <c r="R599" s="5" t="s">
        <v>121</v>
      </c>
      <c r="S599" s="5" t="s">
        <v>122</v>
      </c>
      <c r="T599" s="5" t="s">
        <v>123</v>
      </c>
      <c r="U599" s="5" t="s">
        <v>124</v>
      </c>
      <c r="V599" s="5" t="s">
        <v>109</v>
      </c>
      <c r="W599" s="5" t="s">
        <v>125</v>
      </c>
      <c r="X599" s="5" t="s">
        <v>126</v>
      </c>
      <c r="Y599" s="18" t="s">
        <v>110</v>
      </c>
    </row>
    <row r="600" spans="1:26" outlineLevel="1" x14ac:dyDescent="0.25">
      <c r="A600" t="s">
        <v>37</v>
      </c>
      <c r="B600" t="s">
        <v>147</v>
      </c>
      <c r="C600" s="7" t="s">
        <v>34</v>
      </c>
      <c r="D600" s="11" cm="1">
        <f t="array" ref="D600">(INDEX(E$403:E$594,MATCH(1,($A600=$A$403:$A$594)*($B600=$B$403:$B$594)*("Weekday"=$D$403:$D$594),0))*Weekdays+INDEX(E$403:E$594,MATCH(1,($A600=$A$403:$A$594)*($B600=$B$403:$B$594)*("Weekend"=$D$403:$D$594),0))*WeekendDays)/DaysPerWeek</f>
        <v>2.3666071221507424E-4</v>
      </c>
      <c r="E600" s="11" cm="1">
        <f t="array" ref="E600">(INDEX(F$403:F$594,MATCH(1,($A600=$A$403:$A$594)*($B600=$B$403:$B$594)*("Weekday"=$D$403:$D$594),0))*Weekdays+INDEX(F$403:F$594,MATCH(1,($A600=$A$403:$A$594)*($B600=$B$403:$B$594)*("Weekend"=$D$403:$D$594),0))*WeekendDays)/DaysPerWeek</f>
        <v>1.6882682718902211E-7</v>
      </c>
      <c r="F600" s="11" cm="1">
        <f t="array" ref="F600">(INDEX(G$403:G$594,MATCH(1,($A600=$A$403:$A$594)*($B600=$B$403:$B$594)*("Weekday"=$D$403:$D$594),0))*Weekdays+INDEX(G$403:G$594,MATCH(1,($A600=$A$403:$A$594)*($B600=$B$403:$B$594)*("Weekend"=$D$403:$D$594),0))*WeekendDays)/DaysPerWeek</f>
        <v>0</v>
      </c>
      <c r="G600" s="11" cm="1">
        <f t="array" ref="G600">(INDEX(H$403:H$594,MATCH(1,($A600=$A$403:$A$594)*($B600=$B$403:$B$594)*("Weekday"=$D$403:$D$594),0))*Weekdays+INDEX(H$403:H$594,MATCH(1,($A600=$A$403:$A$594)*($B600=$B$403:$B$594)*("Weekend"=$D$403:$D$594),0))*WeekendDays)/DaysPerWeek</f>
        <v>6.3473656785387246E-5</v>
      </c>
      <c r="H600" s="11" cm="1">
        <f t="array" ref="H600">(INDEX(I$403:I$594,MATCH(1,($A600=$A$403:$A$594)*($B600=$B$403:$B$594)*("Weekday"=$D$403:$D$594),0))*Weekdays+INDEX(I$403:I$594,MATCH(1,($A600=$A$403:$A$594)*($B600=$B$403:$B$594)*("Weekend"=$D$403:$D$594),0))*WeekendDays)/DaysPerWeek</f>
        <v>4.9390157082593799E-4</v>
      </c>
      <c r="I600" s="11" cm="1">
        <f t="array" ref="I600">(INDEX(J$403:J$594,MATCH(1,($A600=$A$403:$A$594)*($B600=$B$403:$B$594)*("Weekday"=$D$403:$D$594),0))*Weekdays+INDEX(J$403:J$594,MATCH(1,($A600=$A$403:$A$594)*($B600=$B$403:$B$594)*("Weekend"=$D$403:$D$594),0))*WeekendDays)/DaysPerWeek</f>
        <v>4.9390157082593799E-4</v>
      </c>
      <c r="J600" s="11" cm="1">
        <f t="array" ref="J600">(INDEX(K$403:K$594,MATCH(1,($A600=$A$403:$A$594)*($B600=$B$403:$B$594)*("Weekday"=$D$403:$D$594),0))*Weekdays+INDEX(K$403:K$594,MATCH(1,($A600=$A$403:$A$594)*($B600=$B$403:$B$594)*("Weekend"=$D$403:$D$594),0))*WeekendDays)/DaysPerWeek</f>
        <v>1.725270905625341E-4</v>
      </c>
      <c r="K600" s="11" cm="1">
        <f t="array" ref="K600">(INDEX(L$403:L$594,MATCH(1,($A600=$A$403:$A$594)*($B600=$B$403:$B$594)*("Weekday"=$D$403:$D$594),0))*Weekdays+INDEX(L$403:L$594,MATCH(1,($A600=$A$403:$A$594)*($B600=$B$403:$B$594)*("Weekend"=$D$403:$D$594),0))*WeekendDays)/DaysPerWeek</f>
        <v>9.7576165200266107E-8</v>
      </c>
      <c r="L600" s="11" cm="1">
        <f t="array" ref="L600">(INDEX(M$403:M$594,MATCH(1,($A600=$A$403:$A$594)*($B600=$B$403:$B$594)*("Weekday"=$D$403:$D$594),0))*Weekdays+INDEX(M$403:M$594,MATCH(1,($A600=$A$403:$A$594)*($B600=$B$403:$B$594)*("Weekend"=$D$403:$D$594),0))*WeekendDays)/DaysPerWeek</f>
        <v>0</v>
      </c>
      <c r="M600" s="11" cm="1">
        <f t="array" ref="M600">(INDEX(N$403:N$594,MATCH(1,($A600=$A$403:$A$594)*($B600=$B$403:$B$594)*("Weekday"=$D$403:$D$594),0))*Weekdays+INDEX(N$403:N$594,MATCH(1,($A600=$A$403:$A$594)*($B600=$B$403:$B$594)*("Weekend"=$D$403:$D$594),0))*WeekendDays)/DaysPerWeek</f>
        <v>6.0010548111898448E-5</v>
      </c>
      <c r="N600" s="11" cm="1">
        <f t="array" ref="N600">(INDEX(O$403:O$594,MATCH(1,($A600=$A$403:$A$594)*($B600=$B$403:$B$594)*("Weekday"=$D$403:$D$594),0))*Weekdays+INDEX(O$403:O$594,MATCH(1,($A600=$A$403:$A$594)*($B600=$B$403:$B$594)*("Weekend"=$D$403:$D$594),0))*WeekendDays)/DaysPerWeek</f>
        <v>6.0010548111898448E-5</v>
      </c>
      <c r="O600" s="11" cm="1">
        <f t="array" ref="O600">(INDEX(P$403:P$594,MATCH(1,($A600=$A$403:$A$594)*($B600=$B$403:$B$594)*("Weekday"=$D$403:$D$594),0))*Weekdays+INDEX(P$403:P$594,MATCH(1,($A600=$A$403:$A$594)*($B600=$B$403:$B$594)*("Weekend"=$D$403:$D$594),0))*WeekendDays)/DaysPerWeek</f>
        <v>0</v>
      </c>
      <c r="P600" s="11" cm="1">
        <f t="array" ref="P600">(INDEX(Q$403:Q$594,MATCH(1,($A600=$A$403:$A$594)*($B600=$B$403:$B$594)*("Weekday"=$D$403:$D$594),0))*Weekdays+INDEX(Q$403:Q$594,MATCH(1,($A600=$A$403:$A$594)*($B600=$B$403:$B$594)*("Weekend"=$D$403:$D$594),0))*WeekendDays)/DaysPerWeek</f>
        <v>5.8803907984311577E-5</v>
      </c>
      <c r="Q600" s="11" cm="1">
        <f t="array" ref="Q600">(INDEX(R$403:R$594,MATCH(1,($A600=$A$403:$A$594)*($B600=$B$403:$B$594)*("Weekday"=$D$403:$D$594),0))*Weekdays+INDEX(R$403:R$594,MATCH(1,($A600=$A$403:$A$594)*($B600=$B$403:$B$594)*("Weekend"=$D$403:$D$594),0))*WeekendDays)/DaysPerWeek</f>
        <v>5.8803907984311598E-5</v>
      </c>
      <c r="R600" s="11" cm="1">
        <f t="array" ref="R600">(INDEX(S$403:S$594,MATCH(1,($A600=$A$403:$A$594)*($B600=$B$403:$B$594)*("Weekday"=$D$403:$D$594),0))*Weekdays+INDEX(S$403:S$594,MATCH(1,($A600=$A$403:$A$594)*($B600=$B$403:$B$594)*("Weekend"=$D$403:$D$594),0))*WeekendDays)/DaysPerWeek</f>
        <v>0</v>
      </c>
      <c r="S600" s="11" cm="1">
        <f t="array" ref="S600">(INDEX(T$403:T$594,MATCH(1,($A600=$A$403:$A$594)*($B600=$B$403:$B$594)*("Weekday"=$D$403:$D$594),0))*Weekdays+INDEX(T$403:T$594,MATCH(1,($A600=$A$403:$A$594)*($B600=$B$403:$B$594)*("Weekend"=$D$403:$D$594),0))*WeekendDays)/DaysPerWeek</f>
        <v>5.8803907984311611E-5</v>
      </c>
      <c r="T600" s="11" cm="1">
        <f t="array" ref="T600">(INDEX(U$403:U$594,MATCH(1,($A600=$A$403:$A$594)*($B600=$B$403:$B$594)*("Weekday"=$D$403:$D$594),0))*Weekdays+INDEX(U$403:U$594,MATCH(1,($A600=$A$403:$A$594)*($B600=$B$403:$B$594)*("Weekend"=$D$403:$D$594),0))*WeekendDays)/DaysPerWeek</f>
        <v>0</v>
      </c>
      <c r="U600" s="11" t="e" cm="1">
        <f t="array" ref="U600">(INDEX(V$403:V$594,MATCH(1,($A600=$A$403:$A$594)*($B600=$B$403:$B$594)*("Weekday"=$D$403:$D$594),0))*Weekdays+INDEX(V$403:V$594,MATCH(1,($A600=$A$403:$A$594)*($B600=$B$403:$B$594)*("Weekend"=$D$403:$D$594),0))*WeekendDays)/DaysPerWeek</f>
        <v>#DIV/0!</v>
      </c>
      <c r="V600" s="11" cm="1">
        <f t="array" ref="V600">(INDEX(W$403:W$594,MATCH(1,($A600=$A$403:$A$594)*($B600=$B$403:$B$594)*("Weekday"=$D$403:$D$594),0))*Weekdays+INDEX(W$403:W$594,MATCH(1,($A600=$A$403:$A$594)*($B600=$B$403:$B$594)*("Weekend"=$D$403:$D$594),0))*WeekendDays)/DaysPerWeek</f>
        <v>1.1398994768788759E-4</v>
      </c>
      <c r="W600" s="11" cm="1">
        <f t="array" ref="W600">(INDEX(X$403:X$594,MATCH(1,($A600=$A$403:$A$594)*($B600=$B$403:$B$594)*("Weekday"=$D$403:$D$594),0))*Weekdays+INDEX(X$403:X$594,MATCH(1,($A600=$A$403:$A$594)*($B600=$B$403:$B$594)*("Weekend"=$D$403:$D$594),0))*WeekendDays)/DaysPerWeek</f>
        <v>0</v>
      </c>
      <c r="X600" s="11" cm="1">
        <f t="array" ref="X600">(INDEX(Y$403:Y$594,MATCH(1,($A600=$A$403:$A$594)*($B600=$B$403:$B$594)*("Weekday"=$D$403:$D$594),0))*Weekdays+INDEX(Y$403:Y$594,MATCH(1,($A600=$A$403:$A$594)*($B600=$B$403:$B$594)*("Weekend"=$D$403:$D$594),0))*WeekendDays)/DaysPerWeek</f>
        <v>0</v>
      </c>
      <c r="Y600" s="25" t="e">
        <f>SUM(D600:X600)</f>
        <v>#DIV/0!</v>
      </c>
      <c r="Z600" s="32" t="e">
        <f t="shared" ref="Z600:Z631" si="421">IF(AND(A600=A599,Y600=_xlfn.MAXIFS($Y$600:$Y$743,LoadFactorSeasons,A600)),A600&amp;" Peak","")</f>
        <v>#DIV/0!</v>
      </c>
    </row>
    <row r="601" spans="1:26" outlineLevel="1" x14ac:dyDescent="0.25">
      <c r="A601" t="s">
        <v>37</v>
      </c>
      <c r="B601" t="s">
        <v>148</v>
      </c>
      <c r="C601" s="7" t="s">
        <v>0</v>
      </c>
      <c r="D601" s="11" cm="1">
        <f t="array" ref="D601">(INDEX(E$403:E$594,MATCH(1,($A601=$A$403:$A$594)*($B601=$B$403:$B$594)*("Weekday"=$D$403:$D$594),0))*Weekdays+INDEX(E$403:E$594,MATCH(1,($A601=$A$403:$A$594)*($B601=$B$403:$B$594)*("Weekend"=$D$403:$D$594),0))*WeekendDays)/DaysPerWeek</f>
        <v>2.4157636212263376E-4</v>
      </c>
      <c r="E601" s="11" cm="1">
        <f t="array" ref="E601">(INDEX(F$403:F$594,MATCH(1,($A601=$A$403:$A$594)*($B601=$B$403:$B$594)*("Weekday"=$D$403:$D$594),0))*Weekdays+INDEX(F$403:F$594,MATCH(1,($A601=$A$403:$A$594)*($B601=$B$403:$B$594)*("Weekend"=$D$403:$D$594),0))*WeekendDays)/DaysPerWeek</f>
        <v>1.7030410737237877E-7</v>
      </c>
      <c r="F601" s="11" cm="1">
        <f t="array" ref="F601">(INDEX(G$403:G$594,MATCH(1,($A601=$A$403:$A$594)*($B601=$B$403:$B$594)*("Weekday"=$D$403:$D$594),0))*Weekdays+INDEX(G$403:G$594,MATCH(1,($A601=$A$403:$A$594)*($B601=$B$403:$B$594)*("Weekend"=$D$403:$D$594),0))*WeekendDays)/DaysPerWeek</f>
        <v>0</v>
      </c>
      <c r="G601" s="11" cm="1">
        <f t="array" ref="G601">(INDEX(H$403:H$594,MATCH(1,($A601=$A$403:$A$594)*($B601=$B$403:$B$594)*("Weekday"=$D$403:$D$594),0))*Weekdays+INDEX(H$403:H$594,MATCH(1,($A601=$A$403:$A$594)*($B601=$B$403:$B$594)*("Weekend"=$D$403:$D$594),0))*WeekendDays)/DaysPerWeek</f>
        <v>5.7095724989472761E-5</v>
      </c>
      <c r="H601" s="11" cm="1">
        <f t="array" ref="H601">(INDEX(I$403:I$594,MATCH(1,($A601=$A$403:$A$594)*($B601=$B$403:$B$594)*("Weekday"=$D$403:$D$594),0))*Weekdays+INDEX(I$403:I$594,MATCH(1,($A601=$A$403:$A$594)*($B601=$B$403:$B$594)*("Weekend"=$D$403:$D$594),0))*WeekendDays)/DaysPerWeek</f>
        <v>3.8875454133315639E-5</v>
      </c>
      <c r="I601" s="11" cm="1">
        <f t="array" ref="I601">(INDEX(J$403:J$594,MATCH(1,($A601=$A$403:$A$594)*($B601=$B$403:$B$594)*("Weekday"=$D$403:$D$594),0))*Weekdays+INDEX(J$403:J$594,MATCH(1,($A601=$A$403:$A$594)*($B601=$B$403:$B$594)*("Weekend"=$D$403:$D$594),0))*WeekendDays)/DaysPerWeek</f>
        <v>3.8875454133315639E-5</v>
      </c>
      <c r="J601" s="11" cm="1">
        <f t="array" ref="J601">(INDEX(K$403:K$594,MATCH(1,($A601=$A$403:$A$594)*($B601=$B$403:$B$594)*("Weekday"=$D$403:$D$594),0))*Weekdays+INDEX(K$403:K$594,MATCH(1,($A601=$A$403:$A$594)*($B601=$B$403:$B$594)*("Weekend"=$D$403:$D$594),0))*WeekendDays)/DaysPerWeek</f>
        <v>1.5857912919200088E-4</v>
      </c>
      <c r="K601" s="11" cm="1">
        <f t="array" ref="K601">(INDEX(L$403:L$594,MATCH(1,($A601=$A$403:$A$594)*($B601=$B$403:$B$594)*("Weekday"=$D$403:$D$594),0))*Weekdays+INDEX(L$403:L$594,MATCH(1,($A601=$A$403:$A$594)*($B601=$B$403:$B$594)*("Weekend"=$D$403:$D$594),0))*WeekendDays)/DaysPerWeek</f>
        <v>9.3237266778092845E-8</v>
      </c>
      <c r="L601" s="11" cm="1">
        <f t="array" ref="L601">(INDEX(M$403:M$594,MATCH(1,($A601=$A$403:$A$594)*($B601=$B$403:$B$594)*("Weekday"=$D$403:$D$594),0))*Weekdays+INDEX(M$403:M$594,MATCH(1,($A601=$A$403:$A$594)*($B601=$B$403:$B$594)*("Weekend"=$D$403:$D$594),0))*WeekendDays)/DaysPerWeek</f>
        <v>0</v>
      </c>
      <c r="M601" s="11" cm="1">
        <f t="array" ref="M601">(INDEX(N$403:N$594,MATCH(1,($A601=$A$403:$A$594)*($B601=$B$403:$B$594)*("Weekday"=$D$403:$D$594),0))*Weekdays+INDEX(N$403:N$594,MATCH(1,($A601=$A$403:$A$594)*($B601=$B$403:$B$594)*("Weekend"=$D$403:$D$594),0))*WeekendDays)/DaysPerWeek</f>
        <v>5.6732351616109226E-5</v>
      </c>
      <c r="N601" s="11" cm="1">
        <f t="array" ref="N601">(INDEX(O$403:O$594,MATCH(1,($A601=$A$403:$A$594)*($B601=$B$403:$B$594)*("Weekday"=$D$403:$D$594),0))*Weekdays+INDEX(O$403:O$594,MATCH(1,($A601=$A$403:$A$594)*($B601=$B$403:$B$594)*("Weekend"=$D$403:$D$594),0))*WeekendDays)/DaysPerWeek</f>
        <v>5.6732351616109226E-5</v>
      </c>
      <c r="O601" s="11" cm="1">
        <f t="array" ref="O601">(INDEX(P$403:P$594,MATCH(1,($A601=$A$403:$A$594)*($B601=$B$403:$B$594)*("Weekday"=$D$403:$D$594),0))*Weekdays+INDEX(P$403:P$594,MATCH(1,($A601=$A$403:$A$594)*($B601=$B$403:$B$594)*("Weekend"=$D$403:$D$594),0))*WeekendDays)/DaysPerWeek</f>
        <v>0</v>
      </c>
      <c r="P601" s="11" cm="1">
        <f t="array" ref="P601">(INDEX(Q$403:Q$594,MATCH(1,($A601=$A$403:$A$594)*($B601=$B$403:$B$594)*("Weekday"=$D$403:$D$594),0))*Weekdays+INDEX(Q$403:Q$594,MATCH(1,($A601=$A$403:$A$594)*($B601=$B$403:$B$594)*("Weekend"=$D$403:$D$594),0))*WeekendDays)/DaysPerWeek</f>
        <v>5.7301062258727842E-5</v>
      </c>
      <c r="Q601" s="11" cm="1">
        <f t="array" ref="Q601">(INDEX(R$403:R$594,MATCH(1,($A601=$A$403:$A$594)*($B601=$B$403:$B$594)*("Weekday"=$D$403:$D$594),0))*Weekdays+INDEX(R$403:R$594,MATCH(1,($A601=$A$403:$A$594)*($B601=$B$403:$B$594)*("Weekend"=$D$403:$D$594),0))*WeekendDays)/DaysPerWeek</f>
        <v>5.7301062258727849E-5</v>
      </c>
      <c r="R601" s="11" cm="1">
        <f t="array" ref="R601">(INDEX(S$403:S$594,MATCH(1,($A601=$A$403:$A$594)*($B601=$B$403:$B$594)*("Weekday"=$D$403:$D$594),0))*Weekdays+INDEX(S$403:S$594,MATCH(1,($A601=$A$403:$A$594)*($B601=$B$403:$B$594)*("Weekend"=$D$403:$D$594),0))*WeekendDays)/DaysPerWeek</f>
        <v>0</v>
      </c>
      <c r="S601" s="11" cm="1">
        <f t="array" ref="S601">(INDEX(T$403:T$594,MATCH(1,($A601=$A$403:$A$594)*($B601=$B$403:$B$594)*("Weekday"=$D$403:$D$594),0))*Weekdays+INDEX(T$403:T$594,MATCH(1,($A601=$A$403:$A$594)*($B601=$B$403:$B$594)*("Weekend"=$D$403:$D$594),0))*WeekendDays)/DaysPerWeek</f>
        <v>5.7301062258727862E-5</v>
      </c>
      <c r="T601" s="11" cm="1">
        <f t="array" ref="T601">(INDEX(U$403:U$594,MATCH(1,($A601=$A$403:$A$594)*($B601=$B$403:$B$594)*("Weekday"=$D$403:$D$594),0))*Weekdays+INDEX(U$403:U$594,MATCH(1,($A601=$A$403:$A$594)*($B601=$B$403:$B$594)*("Weekend"=$D$403:$D$594),0))*WeekendDays)/DaysPerWeek</f>
        <v>0</v>
      </c>
      <c r="U601" s="11" t="e" cm="1">
        <f t="array" ref="U601">(INDEX(V$403:V$594,MATCH(1,($A601=$A$403:$A$594)*($B601=$B$403:$B$594)*("Weekday"=$D$403:$D$594),0))*Weekdays+INDEX(V$403:V$594,MATCH(1,($A601=$A$403:$A$594)*($B601=$B$403:$B$594)*("Weekend"=$D$403:$D$594),0))*WeekendDays)/DaysPerWeek</f>
        <v>#DIV/0!</v>
      </c>
      <c r="V601" s="11" cm="1">
        <f t="array" ref="V601">(INDEX(W$403:W$594,MATCH(1,($A601=$A$403:$A$594)*($B601=$B$403:$B$594)*("Weekday"=$D$403:$D$594),0))*Weekdays+INDEX(W$403:W$594,MATCH(1,($A601=$A$403:$A$594)*($B601=$B$403:$B$594)*("Weekend"=$D$403:$D$594),0))*WeekendDays)/DaysPerWeek</f>
        <v>1.1381714837355527E-4</v>
      </c>
      <c r="W601" s="11" cm="1">
        <f t="array" ref="W601">(INDEX(X$403:X$594,MATCH(1,($A601=$A$403:$A$594)*($B601=$B$403:$B$594)*("Weekday"=$D$403:$D$594),0))*Weekdays+INDEX(X$403:X$594,MATCH(1,($A601=$A$403:$A$594)*($B601=$B$403:$B$594)*("Weekend"=$D$403:$D$594),0))*WeekendDays)/DaysPerWeek</f>
        <v>0</v>
      </c>
      <c r="X601" s="11" cm="1">
        <f t="array" ref="X601">(INDEX(Y$403:Y$594,MATCH(1,($A601=$A$403:$A$594)*($B601=$B$403:$B$594)*("Weekday"=$D$403:$D$594),0))*Weekdays+INDEX(Y$403:Y$594,MATCH(1,($A601=$A$403:$A$594)*($B601=$B$403:$B$594)*("Weekend"=$D$403:$D$594),0))*WeekendDays)/DaysPerWeek</f>
        <v>0</v>
      </c>
      <c r="Y601" s="25" t="e">
        <f t="shared" ref="Y601:Y664" si="422">SUM(D601:X601)</f>
        <v>#DIV/0!</v>
      </c>
      <c r="Z601" s="32" t="e">
        <f t="shared" si="421"/>
        <v>#DIV/0!</v>
      </c>
    </row>
    <row r="602" spans="1:26" outlineLevel="1" x14ac:dyDescent="0.25">
      <c r="A602" t="s">
        <v>37</v>
      </c>
      <c r="B602" t="s">
        <v>149</v>
      </c>
      <c r="C602" s="7" t="s">
        <v>1</v>
      </c>
      <c r="D602" s="11" cm="1">
        <f t="array" ref="D602">(INDEX(E$403:E$594,MATCH(1,($A602=$A$403:$A$594)*($B602=$B$403:$B$594)*("Weekday"=$D$403:$D$594),0))*Weekdays+INDEX(E$403:E$594,MATCH(1,($A602=$A$403:$A$594)*($B602=$B$403:$B$594)*("Weekend"=$D$403:$D$594),0))*WeekendDays)/DaysPerWeek</f>
        <v>2.4291304779636586E-4</v>
      </c>
      <c r="E602" s="11" cm="1">
        <f t="array" ref="E602">(INDEX(F$403:F$594,MATCH(1,($A602=$A$403:$A$594)*($B602=$B$403:$B$594)*("Weekday"=$D$403:$D$594),0))*Weekdays+INDEX(F$403:F$594,MATCH(1,($A602=$A$403:$A$594)*($B602=$B$403:$B$594)*("Weekend"=$D$403:$D$594),0))*WeekendDays)/DaysPerWeek</f>
        <v>1.714796297496191E-7</v>
      </c>
      <c r="F602" s="11" cm="1">
        <f t="array" ref="F602">(INDEX(G$403:G$594,MATCH(1,($A602=$A$403:$A$594)*($B602=$B$403:$B$594)*("Weekday"=$D$403:$D$594),0))*Weekdays+INDEX(G$403:G$594,MATCH(1,($A602=$A$403:$A$594)*($B602=$B$403:$B$594)*("Weekend"=$D$403:$D$594),0))*WeekendDays)/DaysPerWeek</f>
        <v>0</v>
      </c>
      <c r="G602" s="11" cm="1">
        <f t="array" ref="G602">(INDEX(H$403:H$594,MATCH(1,($A602=$A$403:$A$594)*($B602=$B$403:$B$594)*("Weekday"=$D$403:$D$594),0))*Weekdays+INDEX(H$403:H$594,MATCH(1,($A602=$A$403:$A$594)*($B602=$B$403:$B$594)*("Weekend"=$D$403:$D$594),0))*WeekendDays)/DaysPerWeek</f>
        <v>5.6055694852117371E-5</v>
      </c>
      <c r="H602" s="11" cm="1">
        <f t="array" ref="H602">(INDEX(I$403:I$594,MATCH(1,($A602=$A$403:$A$594)*($B602=$B$403:$B$594)*("Weekday"=$D$403:$D$594),0))*Weekdays+INDEX(I$403:I$594,MATCH(1,($A602=$A$403:$A$594)*($B602=$B$403:$B$594)*("Weekend"=$D$403:$D$594),0))*WeekendDays)/DaysPerWeek</f>
        <v>3.4011072203672542E-5</v>
      </c>
      <c r="I602" s="11" cm="1">
        <f t="array" ref="I602">(INDEX(J$403:J$594,MATCH(1,($A602=$A$403:$A$594)*($B602=$B$403:$B$594)*("Weekday"=$D$403:$D$594),0))*Weekdays+INDEX(J$403:J$594,MATCH(1,($A602=$A$403:$A$594)*($B602=$B$403:$B$594)*("Weekend"=$D$403:$D$594),0))*WeekendDays)/DaysPerWeek</f>
        <v>3.4011072203672542E-5</v>
      </c>
      <c r="J602" s="11" cm="1">
        <f t="array" ref="J602">(INDEX(K$403:K$594,MATCH(1,($A602=$A$403:$A$594)*($B602=$B$403:$B$594)*("Weekday"=$D$403:$D$594),0))*Weekdays+INDEX(K$403:K$594,MATCH(1,($A602=$A$403:$A$594)*($B602=$B$403:$B$594)*("Weekend"=$D$403:$D$594),0))*WeekendDays)/DaysPerWeek</f>
        <v>1.4235562823611167E-4</v>
      </c>
      <c r="K602" s="11" cm="1">
        <f t="array" ref="K602">(INDEX(L$403:L$594,MATCH(1,($A602=$A$403:$A$594)*($B602=$B$403:$B$594)*("Weekday"=$D$403:$D$594),0))*Weekdays+INDEX(L$403:L$594,MATCH(1,($A602=$A$403:$A$594)*($B602=$B$403:$B$594)*("Weekend"=$D$403:$D$594),0))*WeekendDays)/DaysPerWeek</f>
        <v>9.1426371742280168E-8</v>
      </c>
      <c r="L602" s="11" cm="1">
        <f t="array" ref="L602">(INDEX(M$403:M$594,MATCH(1,($A602=$A$403:$A$594)*($B602=$B$403:$B$594)*("Weekday"=$D$403:$D$594),0))*Weekdays+INDEX(M$403:M$594,MATCH(1,($A602=$A$403:$A$594)*($B602=$B$403:$B$594)*("Weekend"=$D$403:$D$594),0))*WeekendDays)/DaysPerWeek</f>
        <v>0</v>
      </c>
      <c r="M602" s="11" cm="1">
        <f t="array" ref="M602">(INDEX(N$403:N$594,MATCH(1,($A602=$A$403:$A$594)*($B602=$B$403:$B$594)*("Weekday"=$D$403:$D$594),0))*Weekdays+INDEX(N$403:N$594,MATCH(1,($A602=$A$403:$A$594)*($B602=$B$403:$B$594)*("Weekend"=$D$403:$D$594),0))*WeekendDays)/DaysPerWeek</f>
        <v>5.6375866335821876E-5</v>
      </c>
      <c r="N602" s="11" cm="1">
        <f t="array" ref="N602">(INDEX(O$403:O$594,MATCH(1,($A602=$A$403:$A$594)*($B602=$B$403:$B$594)*("Weekday"=$D$403:$D$594),0))*Weekdays+INDEX(O$403:O$594,MATCH(1,($A602=$A$403:$A$594)*($B602=$B$403:$B$594)*("Weekend"=$D$403:$D$594),0))*WeekendDays)/DaysPerWeek</f>
        <v>5.6375866335821876E-5</v>
      </c>
      <c r="O602" s="11" cm="1">
        <f t="array" ref="O602">(INDEX(P$403:P$594,MATCH(1,($A602=$A$403:$A$594)*($B602=$B$403:$B$594)*("Weekday"=$D$403:$D$594),0))*Weekdays+INDEX(P$403:P$594,MATCH(1,($A602=$A$403:$A$594)*($B602=$B$403:$B$594)*("Weekend"=$D$403:$D$594),0))*WeekendDays)/DaysPerWeek</f>
        <v>0</v>
      </c>
      <c r="P602" s="11" cm="1">
        <f t="array" ref="P602">(INDEX(Q$403:Q$594,MATCH(1,($A602=$A$403:$A$594)*($B602=$B$403:$B$594)*("Weekday"=$D$403:$D$594),0))*Weekdays+INDEX(Q$403:Q$594,MATCH(1,($A602=$A$403:$A$594)*($B602=$B$403:$B$594)*("Weekend"=$D$403:$D$594),0))*WeekendDays)/DaysPerWeek</f>
        <v>5.6899438508207656E-5</v>
      </c>
      <c r="Q602" s="11" cm="1">
        <f t="array" ref="Q602">(INDEX(R$403:R$594,MATCH(1,($A602=$A$403:$A$594)*($B602=$B$403:$B$594)*("Weekday"=$D$403:$D$594),0))*Weekdays+INDEX(R$403:R$594,MATCH(1,($A602=$A$403:$A$594)*($B602=$B$403:$B$594)*("Weekend"=$D$403:$D$594),0))*WeekendDays)/DaysPerWeek</f>
        <v>5.6899438508207669E-5</v>
      </c>
      <c r="R602" s="11" cm="1">
        <f t="array" ref="R602">(INDEX(S$403:S$594,MATCH(1,($A602=$A$403:$A$594)*($B602=$B$403:$B$594)*("Weekday"=$D$403:$D$594),0))*Weekdays+INDEX(S$403:S$594,MATCH(1,($A602=$A$403:$A$594)*($B602=$B$403:$B$594)*("Weekend"=$D$403:$D$594),0))*WeekendDays)/DaysPerWeek</f>
        <v>0</v>
      </c>
      <c r="S602" s="11" cm="1">
        <f t="array" ref="S602">(INDEX(T$403:T$594,MATCH(1,($A602=$A$403:$A$594)*($B602=$B$403:$B$594)*("Weekday"=$D$403:$D$594),0))*Weekdays+INDEX(T$403:T$594,MATCH(1,($A602=$A$403:$A$594)*($B602=$B$403:$B$594)*("Weekend"=$D$403:$D$594),0))*WeekendDays)/DaysPerWeek</f>
        <v>5.6899438508207683E-5</v>
      </c>
      <c r="T602" s="11" cm="1">
        <f t="array" ref="T602">(INDEX(U$403:U$594,MATCH(1,($A602=$A$403:$A$594)*($B602=$B$403:$B$594)*("Weekday"=$D$403:$D$594),0))*Weekdays+INDEX(U$403:U$594,MATCH(1,($A602=$A$403:$A$594)*($B602=$B$403:$B$594)*("Weekend"=$D$403:$D$594),0))*WeekendDays)/DaysPerWeek</f>
        <v>0</v>
      </c>
      <c r="U602" s="11" t="e" cm="1">
        <f t="array" ref="U602">(INDEX(V$403:V$594,MATCH(1,($A602=$A$403:$A$594)*($B602=$B$403:$B$594)*("Weekday"=$D$403:$D$594),0))*Weekdays+INDEX(V$403:V$594,MATCH(1,($A602=$A$403:$A$594)*($B602=$B$403:$B$594)*("Weekend"=$D$403:$D$594),0))*WeekendDays)/DaysPerWeek</f>
        <v>#DIV/0!</v>
      </c>
      <c r="V602" s="11" cm="1">
        <f t="array" ref="V602">(INDEX(W$403:W$594,MATCH(1,($A602=$A$403:$A$594)*($B602=$B$403:$B$594)*("Weekday"=$D$403:$D$594),0))*Weekdays+INDEX(W$403:W$594,MATCH(1,($A602=$A$403:$A$594)*($B602=$B$403:$B$594)*("Weekend"=$D$403:$D$594),0))*WeekendDays)/DaysPerWeek</f>
        <v>1.1378834848783321E-4</v>
      </c>
      <c r="W602" s="11" cm="1">
        <f t="array" ref="W602">(INDEX(X$403:X$594,MATCH(1,($A602=$A$403:$A$594)*($B602=$B$403:$B$594)*("Weekday"=$D$403:$D$594),0))*Weekdays+INDEX(X$403:X$594,MATCH(1,($A602=$A$403:$A$594)*($B602=$B$403:$B$594)*("Weekend"=$D$403:$D$594),0))*WeekendDays)/DaysPerWeek</f>
        <v>0</v>
      </c>
      <c r="X602" s="11" cm="1">
        <f t="array" ref="X602">(INDEX(Y$403:Y$594,MATCH(1,($A602=$A$403:$A$594)*($B602=$B$403:$B$594)*("Weekday"=$D$403:$D$594),0))*Weekdays+INDEX(Y$403:Y$594,MATCH(1,($A602=$A$403:$A$594)*($B602=$B$403:$B$594)*("Weekend"=$D$403:$D$594),0))*WeekendDays)/DaysPerWeek</f>
        <v>0</v>
      </c>
      <c r="Y602" s="25" t="e">
        <f t="shared" si="422"/>
        <v>#DIV/0!</v>
      </c>
      <c r="Z602" s="32" t="e">
        <f t="shared" si="421"/>
        <v>#DIV/0!</v>
      </c>
    </row>
    <row r="603" spans="1:26" outlineLevel="1" x14ac:dyDescent="0.25">
      <c r="A603" t="s">
        <v>37</v>
      </c>
      <c r="B603" t="s">
        <v>150</v>
      </c>
      <c r="C603" s="7" t="s">
        <v>2</v>
      </c>
      <c r="D603" s="11" cm="1">
        <f t="array" ref="D603">(INDEX(E$403:E$594,MATCH(1,($A603=$A$403:$A$594)*($B603=$B$403:$B$594)*("Weekday"=$D$403:$D$594),0))*Weekdays+INDEX(E$403:E$594,MATCH(1,($A603=$A$403:$A$594)*($B603=$B$403:$B$594)*("Weekend"=$D$403:$D$594),0))*WeekendDays)/DaysPerWeek</f>
        <v>2.4157636212263376E-4</v>
      </c>
      <c r="E603" s="11" cm="1">
        <f t="array" ref="E603">(INDEX(F$403:F$594,MATCH(1,($A603=$A$403:$A$594)*($B603=$B$403:$B$594)*("Weekday"=$D$403:$D$594),0))*Weekdays+INDEX(F$403:F$594,MATCH(1,($A603=$A$403:$A$594)*($B603=$B$403:$B$594)*("Weekend"=$D$403:$D$594),0))*WeekendDays)/DaysPerWeek</f>
        <v>1.7165171653061718E-7</v>
      </c>
      <c r="F603" s="11" cm="1">
        <f t="array" ref="F603">(INDEX(G$403:G$594,MATCH(1,($A603=$A$403:$A$594)*($B603=$B$403:$B$594)*("Weekday"=$D$403:$D$594),0))*Weekdays+INDEX(G$403:G$594,MATCH(1,($A603=$A$403:$A$594)*($B603=$B$403:$B$594)*("Weekend"=$D$403:$D$594),0))*WeekendDays)/DaysPerWeek</f>
        <v>0</v>
      </c>
      <c r="G603" s="11" cm="1">
        <f t="array" ref="G603">(INDEX(H$403:H$594,MATCH(1,($A603=$A$403:$A$594)*($B603=$B$403:$B$594)*("Weekday"=$D$403:$D$594),0))*Weekdays+INDEX(H$403:H$594,MATCH(1,($A603=$A$403:$A$594)*($B603=$B$403:$B$594)*("Weekend"=$D$403:$D$594),0))*WeekendDays)/DaysPerWeek</f>
        <v>5.6808368610096469E-5</v>
      </c>
      <c r="H603" s="11" cm="1">
        <f t="array" ref="H603">(INDEX(I$403:I$594,MATCH(1,($A603=$A$403:$A$594)*($B603=$B$403:$B$594)*("Weekday"=$D$403:$D$594),0))*Weekdays+INDEX(I$403:I$594,MATCH(1,($A603=$A$403:$A$594)*($B603=$B$403:$B$594)*("Weekend"=$D$403:$D$594),0))*WeekendDays)/DaysPerWeek</f>
        <v>3.2511563804721979E-5</v>
      </c>
      <c r="I603" s="11" cm="1">
        <f t="array" ref="I603">(INDEX(J$403:J$594,MATCH(1,($A603=$A$403:$A$594)*($B603=$B$403:$B$594)*("Weekday"=$D$403:$D$594),0))*Weekdays+INDEX(J$403:J$594,MATCH(1,($A603=$A$403:$A$594)*($B603=$B$403:$B$594)*("Weekend"=$D$403:$D$594),0))*WeekendDays)/DaysPerWeek</f>
        <v>3.2511563804721979E-5</v>
      </c>
      <c r="J603" s="11" cm="1">
        <f t="array" ref="J603">(INDEX(K$403:K$594,MATCH(1,($A603=$A$403:$A$594)*($B603=$B$403:$B$594)*("Weekday"=$D$403:$D$594),0))*Weekdays+INDEX(K$403:K$594,MATCH(1,($A603=$A$403:$A$594)*($B603=$B$403:$B$594)*("Weekend"=$D$403:$D$594),0))*WeekendDays)/DaysPerWeek</f>
        <v>1.4740297737053518E-4</v>
      </c>
      <c r="K603" s="11" cm="1">
        <f t="array" ref="K603">(INDEX(L$403:L$594,MATCH(1,($A603=$A$403:$A$594)*($B603=$B$403:$B$594)*("Weekday"=$D$403:$D$594),0))*Weekdays+INDEX(L$403:L$594,MATCH(1,($A603=$A$403:$A$594)*($B603=$B$403:$B$594)*("Weekend"=$D$403:$D$594),0))*WeekendDays)/DaysPerWeek</f>
        <v>9.04053351795347E-8</v>
      </c>
      <c r="L603" s="11" cm="1">
        <f t="array" ref="L603">(INDEX(M$403:M$594,MATCH(1,($A603=$A$403:$A$594)*($B603=$B$403:$B$594)*("Weekday"=$D$403:$D$594),0))*Weekdays+INDEX(M$403:M$594,MATCH(1,($A603=$A$403:$A$594)*($B603=$B$403:$B$594)*("Weekend"=$D$403:$D$594),0))*WeekendDays)/DaysPerWeek</f>
        <v>0</v>
      </c>
      <c r="M603" s="11" cm="1">
        <f t="array" ref="M603">(INDEX(N$403:N$594,MATCH(1,($A603=$A$403:$A$594)*($B603=$B$403:$B$594)*("Weekday"=$D$403:$D$594),0))*Weekdays+INDEX(N$403:N$594,MATCH(1,($A603=$A$403:$A$594)*($B603=$B$403:$B$594)*("Weekend"=$D$403:$D$594),0))*WeekendDays)/DaysPerWeek</f>
        <v>5.8175584293789145E-5</v>
      </c>
      <c r="N603" s="11" cm="1">
        <f t="array" ref="N603">(INDEX(O$403:O$594,MATCH(1,($A603=$A$403:$A$594)*($B603=$B$403:$B$594)*("Weekday"=$D$403:$D$594),0))*Weekdays+INDEX(O$403:O$594,MATCH(1,($A603=$A$403:$A$594)*($B603=$B$403:$B$594)*("Weekend"=$D$403:$D$594),0))*WeekendDays)/DaysPerWeek</f>
        <v>5.8175584293789145E-5</v>
      </c>
      <c r="O603" s="11" cm="1">
        <f t="array" ref="O603">(INDEX(P$403:P$594,MATCH(1,($A603=$A$403:$A$594)*($B603=$B$403:$B$594)*("Weekday"=$D$403:$D$594),0))*Weekdays+INDEX(P$403:P$594,MATCH(1,($A603=$A$403:$A$594)*($B603=$B$403:$B$594)*("Weekend"=$D$403:$D$594),0))*WeekendDays)/DaysPerWeek</f>
        <v>0</v>
      </c>
      <c r="P603" s="11" cm="1">
        <f t="array" ref="P603">(INDEX(Q$403:Q$594,MATCH(1,($A603=$A$403:$A$594)*($B603=$B$403:$B$594)*("Weekday"=$D$403:$D$594),0))*Weekdays+INDEX(Q$403:Q$594,MATCH(1,($A603=$A$403:$A$594)*($B603=$B$403:$B$594)*("Weekend"=$D$403:$D$594),0))*WeekendDays)/DaysPerWeek</f>
        <v>5.7021995638270019E-5</v>
      </c>
      <c r="Q603" s="11" cm="1">
        <f t="array" ref="Q603">(INDEX(R$403:R$594,MATCH(1,($A603=$A$403:$A$594)*($B603=$B$403:$B$594)*("Weekday"=$D$403:$D$594),0))*Weekdays+INDEX(R$403:R$594,MATCH(1,($A603=$A$403:$A$594)*($B603=$B$403:$B$594)*("Weekend"=$D$403:$D$594),0))*WeekendDays)/DaysPerWeek</f>
        <v>5.7021995638270019E-5</v>
      </c>
      <c r="R603" s="11" cm="1">
        <f t="array" ref="R603">(INDEX(S$403:S$594,MATCH(1,($A603=$A$403:$A$594)*($B603=$B$403:$B$594)*("Weekday"=$D$403:$D$594),0))*Weekdays+INDEX(S$403:S$594,MATCH(1,($A603=$A$403:$A$594)*($B603=$B$403:$B$594)*("Weekend"=$D$403:$D$594),0))*WeekendDays)/DaysPerWeek</f>
        <v>0</v>
      </c>
      <c r="S603" s="11" cm="1">
        <f t="array" ref="S603">(INDEX(T$403:T$594,MATCH(1,($A603=$A$403:$A$594)*($B603=$B$403:$B$594)*("Weekday"=$D$403:$D$594),0))*Weekdays+INDEX(T$403:T$594,MATCH(1,($A603=$A$403:$A$594)*($B603=$B$403:$B$594)*("Weekend"=$D$403:$D$594),0))*WeekendDays)/DaysPerWeek</f>
        <v>5.7021995638270039E-5</v>
      </c>
      <c r="T603" s="11" cm="1">
        <f t="array" ref="T603">(INDEX(U$403:U$594,MATCH(1,($A603=$A$403:$A$594)*($B603=$B$403:$B$594)*("Weekday"=$D$403:$D$594),0))*Weekdays+INDEX(U$403:U$594,MATCH(1,($A603=$A$403:$A$594)*($B603=$B$403:$B$594)*("Weekend"=$D$403:$D$594),0))*WeekendDays)/DaysPerWeek</f>
        <v>0</v>
      </c>
      <c r="U603" s="11" t="e" cm="1">
        <f t="array" ref="U603">(INDEX(V$403:V$594,MATCH(1,($A603=$A$403:$A$594)*($B603=$B$403:$B$594)*("Weekday"=$D$403:$D$594),0))*Weekdays+INDEX(V$403:V$594,MATCH(1,($A603=$A$403:$A$594)*($B603=$B$403:$B$594)*("Weekend"=$D$403:$D$594),0))*WeekendDays)/DaysPerWeek</f>
        <v>#DIV/0!</v>
      </c>
      <c r="V603" s="11" cm="1">
        <f t="array" ref="V603">(INDEX(W$403:W$594,MATCH(1,($A603=$A$403:$A$594)*($B603=$B$403:$B$594)*("Weekday"=$D$403:$D$594),0))*Weekdays+INDEX(W$403:W$594,MATCH(1,($A603=$A$403:$A$594)*($B603=$B$403:$B$594)*("Weekend"=$D$403:$D$594),0))*WeekendDays)/DaysPerWeek</f>
        <v>1.1390354803072143E-4</v>
      </c>
      <c r="W603" s="11" cm="1">
        <f t="array" ref="W603">(INDEX(X$403:X$594,MATCH(1,($A603=$A$403:$A$594)*($B603=$B$403:$B$594)*("Weekday"=$D$403:$D$594),0))*Weekdays+INDEX(X$403:X$594,MATCH(1,($A603=$A$403:$A$594)*($B603=$B$403:$B$594)*("Weekend"=$D$403:$D$594),0))*WeekendDays)/DaysPerWeek</f>
        <v>0</v>
      </c>
      <c r="X603" s="11" cm="1">
        <f t="array" ref="X603">(INDEX(Y$403:Y$594,MATCH(1,($A603=$A$403:$A$594)*($B603=$B$403:$B$594)*("Weekday"=$D$403:$D$594),0))*Weekdays+INDEX(Y$403:Y$594,MATCH(1,($A603=$A$403:$A$594)*($B603=$B$403:$B$594)*("Weekend"=$D$403:$D$594),0))*WeekendDays)/DaysPerWeek</f>
        <v>0</v>
      </c>
      <c r="Y603" s="25" t="e">
        <f t="shared" si="422"/>
        <v>#DIV/0!</v>
      </c>
      <c r="Z603" s="32" t="e">
        <f t="shared" si="421"/>
        <v>#DIV/0!</v>
      </c>
    </row>
    <row r="604" spans="1:26" outlineLevel="1" x14ac:dyDescent="0.25">
      <c r="A604" t="s">
        <v>37</v>
      </c>
      <c r="B604" t="s">
        <v>151</v>
      </c>
      <c r="C604" s="7" t="s">
        <v>3</v>
      </c>
      <c r="D604" s="11" cm="1">
        <f t="array" ref="D604">(INDEX(E$403:E$594,MATCH(1,($A604=$A$403:$A$594)*($B604=$B$403:$B$594)*("Weekday"=$D$403:$D$594),0))*Weekdays+INDEX(E$403:E$594,MATCH(1,($A604=$A$403:$A$594)*($B604=$B$403:$B$594)*("Weekend"=$D$403:$D$594),0))*WeekendDays)/DaysPerWeek</f>
        <v>2.3666071221507424E-4</v>
      </c>
      <c r="E604" s="11" cm="1">
        <f t="array" ref="E604">(INDEX(F$403:F$594,MATCH(1,($A604=$A$403:$A$594)*($B604=$B$403:$B$594)*("Weekday"=$D$403:$D$594),0))*Weekdays+INDEX(F$403:F$594,MATCH(1,($A604=$A$403:$A$594)*($B604=$B$403:$B$594)*("Weekend"=$D$403:$D$594),0))*WeekendDays)/DaysPerWeek</f>
        <v>1.6855173071517306E-7</v>
      </c>
      <c r="F604" s="11" cm="1">
        <f t="array" ref="F604">(INDEX(G$403:G$594,MATCH(1,($A604=$A$403:$A$594)*($B604=$B$403:$B$594)*("Weekday"=$D$403:$D$594),0))*Weekdays+INDEX(G$403:G$594,MATCH(1,($A604=$A$403:$A$594)*($B604=$B$403:$B$594)*("Weekend"=$D$403:$D$594),0))*WeekendDays)/DaysPerWeek</f>
        <v>0</v>
      </c>
      <c r="G604" s="11" cm="1">
        <f t="array" ref="G604">(INDEX(H$403:H$594,MATCH(1,($A604=$A$403:$A$594)*($B604=$B$403:$B$594)*("Weekday"=$D$403:$D$594),0))*Weekdays+INDEX(H$403:H$594,MATCH(1,($A604=$A$403:$A$594)*($B604=$B$403:$B$594)*("Weekend"=$D$403:$D$594),0))*WeekendDays)/DaysPerWeek</f>
        <v>6.8615568752355277E-5</v>
      </c>
      <c r="H604" s="11" cm="1">
        <f t="array" ref="H604">(INDEX(I$403:I$594,MATCH(1,($A604=$A$403:$A$594)*($B604=$B$403:$B$594)*("Weekday"=$D$403:$D$594),0))*Weekdays+INDEX(I$403:I$594,MATCH(1,($A604=$A$403:$A$594)*($B604=$B$403:$B$594)*("Weekend"=$D$403:$D$594),0))*WeekendDays)/DaysPerWeek</f>
        <v>4.0630933006159699E-5</v>
      </c>
      <c r="I604" s="11" cm="1">
        <f t="array" ref="I604">(INDEX(J$403:J$594,MATCH(1,($A604=$A$403:$A$594)*($B604=$B$403:$B$594)*("Weekday"=$D$403:$D$594),0))*Weekdays+INDEX(J$403:J$594,MATCH(1,($A604=$A$403:$A$594)*($B604=$B$403:$B$594)*("Weekend"=$D$403:$D$594),0))*WeekendDays)/DaysPerWeek</f>
        <v>4.0630933006159699E-5</v>
      </c>
      <c r="J604" s="11" cm="1">
        <f t="array" ref="J604">(INDEX(K$403:K$594,MATCH(1,($A604=$A$403:$A$594)*($B604=$B$403:$B$594)*("Weekday"=$D$403:$D$594),0))*Weekdays+INDEX(K$403:K$594,MATCH(1,($A604=$A$403:$A$594)*($B604=$B$403:$B$594)*("Weekend"=$D$403:$D$594),0))*WeekendDays)/DaysPerWeek</f>
        <v>1.5446163654461652E-4</v>
      </c>
      <c r="K604" s="11" cm="1">
        <f t="array" ref="K604">(INDEX(L$403:L$594,MATCH(1,($A604=$A$403:$A$594)*($B604=$B$403:$B$594)*("Weekday"=$D$403:$D$594),0))*Weekdays+INDEX(L$403:L$594,MATCH(1,($A604=$A$403:$A$594)*($B604=$B$403:$B$594)*("Weekend"=$D$403:$D$594),0))*WeekendDays)/DaysPerWeek</f>
        <v>9.0184803449249569E-8</v>
      </c>
      <c r="L604" s="11" cm="1">
        <f t="array" ref="L604">(INDEX(M$403:M$594,MATCH(1,($A604=$A$403:$A$594)*($B604=$B$403:$B$594)*("Weekday"=$D$403:$D$594),0))*Weekdays+INDEX(M$403:M$594,MATCH(1,($A604=$A$403:$A$594)*($B604=$B$403:$B$594)*("Weekend"=$D$403:$D$594),0))*WeekendDays)/DaysPerWeek</f>
        <v>0</v>
      </c>
      <c r="M604" s="11" cm="1">
        <f t="array" ref="M604">(INDEX(N$403:N$594,MATCH(1,($A604=$A$403:$A$594)*($B604=$B$403:$B$594)*("Weekday"=$D$403:$D$594),0))*Weekdays+INDEX(N$403:N$594,MATCH(1,($A604=$A$403:$A$594)*($B604=$B$403:$B$594)*("Weekend"=$D$403:$D$594),0))*WeekendDays)/DaysPerWeek</f>
        <v>6.1051548733927094E-5</v>
      </c>
      <c r="N604" s="11" cm="1">
        <f t="array" ref="N604">(INDEX(O$403:O$594,MATCH(1,($A604=$A$403:$A$594)*($B604=$B$403:$B$594)*("Weekday"=$D$403:$D$594),0))*Weekdays+INDEX(O$403:O$594,MATCH(1,($A604=$A$403:$A$594)*($B604=$B$403:$B$594)*("Weekend"=$D$403:$D$594),0))*WeekendDays)/DaysPerWeek</f>
        <v>6.1051548733927094E-5</v>
      </c>
      <c r="O604" s="11" cm="1">
        <f t="array" ref="O604">(INDEX(P$403:P$594,MATCH(1,($A604=$A$403:$A$594)*($B604=$B$403:$B$594)*("Weekday"=$D$403:$D$594),0))*Weekdays+INDEX(P$403:P$594,MATCH(1,($A604=$A$403:$A$594)*($B604=$B$403:$B$594)*("Weekend"=$D$403:$D$594),0))*WeekendDays)/DaysPerWeek</f>
        <v>0</v>
      </c>
      <c r="P604" s="11" cm="1">
        <f t="array" ref="P604">(INDEX(Q$403:Q$594,MATCH(1,($A604=$A$403:$A$594)*($B604=$B$403:$B$594)*("Weekday"=$D$403:$D$594),0))*Weekdays+INDEX(Q$403:Q$594,MATCH(1,($A604=$A$403:$A$594)*($B604=$B$403:$B$594)*("Weekend"=$D$403:$D$594),0))*WeekendDays)/DaysPerWeek</f>
        <v>5.6798953278346113E-5</v>
      </c>
      <c r="Q604" s="11" cm="1">
        <f t="array" ref="Q604">(INDEX(R$403:R$594,MATCH(1,($A604=$A$403:$A$594)*($B604=$B$403:$B$594)*("Weekday"=$D$403:$D$594),0))*Weekdays+INDEX(R$403:R$594,MATCH(1,($A604=$A$403:$A$594)*($B604=$B$403:$B$594)*("Weekend"=$D$403:$D$594),0))*WeekendDays)/DaysPerWeek</f>
        <v>5.6798953278346127E-5</v>
      </c>
      <c r="R604" s="11" cm="1">
        <f t="array" ref="R604">(INDEX(S$403:S$594,MATCH(1,($A604=$A$403:$A$594)*($B604=$B$403:$B$594)*("Weekday"=$D$403:$D$594),0))*Weekdays+INDEX(S$403:S$594,MATCH(1,($A604=$A$403:$A$594)*($B604=$B$403:$B$594)*("Weekend"=$D$403:$D$594),0))*WeekendDays)/DaysPerWeek</f>
        <v>0</v>
      </c>
      <c r="S604" s="11" cm="1">
        <f t="array" ref="S604">(INDEX(T$403:T$594,MATCH(1,($A604=$A$403:$A$594)*($B604=$B$403:$B$594)*("Weekday"=$D$403:$D$594),0))*Weekdays+INDEX(T$403:T$594,MATCH(1,($A604=$A$403:$A$594)*($B604=$B$403:$B$594)*("Weekend"=$D$403:$D$594),0))*WeekendDays)/DaysPerWeek</f>
        <v>5.6798953278346134E-5</v>
      </c>
      <c r="T604" s="11" cm="1">
        <f t="array" ref="T604">(INDEX(U$403:U$594,MATCH(1,($A604=$A$403:$A$594)*($B604=$B$403:$B$594)*("Weekday"=$D$403:$D$594),0))*Weekdays+INDEX(U$403:U$594,MATCH(1,($A604=$A$403:$A$594)*($B604=$B$403:$B$594)*("Weekend"=$D$403:$D$594),0))*WeekendDays)/DaysPerWeek</f>
        <v>0</v>
      </c>
      <c r="U604" s="11" t="e" cm="1">
        <f t="array" ref="U604">(INDEX(V$403:V$594,MATCH(1,($A604=$A$403:$A$594)*($B604=$B$403:$B$594)*("Weekday"=$D$403:$D$594),0))*Weekdays+INDEX(V$403:V$594,MATCH(1,($A604=$A$403:$A$594)*($B604=$B$403:$B$594)*("Weekend"=$D$403:$D$594),0))*WeekendDays)/DaysPerWeek</f>
        <v>#DIV/0!</v>
      </c>
      <c r="V604" s="11" cm="1">
        <f t="array" ref="V604">(INDEX(W$403:W$594,MATCH(1,($A604=$A$403:$A$594)*($B604=$B$403:$B$594)*("Weekday"=$D$403:$D$594),0))*Weekdays+INDEX(W$403:W$594,MATCH(1,($A604=$A$403:$A$594)*($B604=$B$403:$B$594)*("Weekend"=$D$403:$D$594),0))*WeekendDays)/DaysPerWeek</f>
        <v>1.1445074585944046E-4</v>
      </c>
      <c r="W604" s="11" cm="1">
        <f t="array" ref="W604">(INDEX(X$403:X$594,MATCH(1,($A604=$A$403:$A$594)*($B604=$B$403:$B$594)*("Weekday"=$D$403:$D$594),0))*Weekdays+INDEX(X$403:X$594,MATCH(1,($A604=$A$403:$A$594)*($B604=$B$403:$B$594)*("Weekend"=$D$403:$D$594),0))*WeekendDays)/DaysPerWeek</f>
        <v>0</v>
      </c>
      <c r="X604" s="11" cm="1">
        <f t="array" ref="X604">(INDEX(Y$403:Y$594,MATCH(1,($A604=$A$403:$A$594)*($B604=$B$403:$B$594)*("Weekday"=$D$403:$D$594),0))*Weekdays+INDEX(Y$403:Y$594,MATCH(1,($A604=$A$403:$A$594)*($B604=$B$403:$B$594)*("Weekend"=$D$403:$D$594),0))*WeekendDays)/DaysPerWeek</f>
        <v>0</v>
      </c>
      <c r="Y604" s="25" t="e">
        <f t="shared" si="422"/>
        <v>#DIV/0!</v>
      </c>
      <c r="Z604" s="32" t="e">
        <f t="shared" si="421"/>
        <v>#DIV/0!</v>
      </c>
    </row>
    <row r="605" spans="1:26" outlineLevel="1" x14ac:dyDescent="0.25">
      <c r="A605" t="s">
        <v>37</v>
      </c>
      <c r="B605" t="s">
        <v>152</v>
      </c>
      <c r="C605" s="7" t="s">
        <v>4</v>
      </c>
      <c r="D605" s="11" cm="1">
        <f t="array" ref="D605">(INDEX(E$403:E$594,MATCH(1,($A605=$A$403:$A$594)*($B605=$B$403:$B$594)*("Weekday"=$D$403:$D$594),0))*Weekdays+INDEX(E$403:E$594,MATCH(1,($A605=$A$403:$A$594)*($B605=$B$403:$B$594)*("Weekend"=$D$403:$D$594),0))*WeekendDays)/DaysPerWeek</f>
        <v>2.7697890011428968E-4</v>
      </c>
      <c r="E605" s="11" cm="1">
        <f t="array" ref="E605">(INDEX(F$403:F$594,MATCH(1,($A605=$A$403:$A$594)*($B605=$B$403:$B$594)*("Weekday"=$D$403:$D$594),0))*Weekdays+INDEX(F$403:F$594,MATCH(1,($A605=$A$403:$A$594)*($B605=$B$403:$B$594)*("Weekend"=$D$403:$D$594),0))*WeekendDays)/DaysPerWeek</f>
        <v>1.5849798469291963E-7</v>
      </c>
      <c r="F605" s="11" cm="1">
        <f t="array" ref="F605">(INDEX(G$403:G$594,MATCH(1,($A605=$A$403:$A$594)*($B605=$B$403:$B$594)*("Weekday"=$D$403:$D$594),0))*Weekdays+INDEX(G$403:G$594,MATCH(1,($A605=$A$403:$A$594)*($B605=$B$403:$B$594)*("Weekend"=$D$403:$D$594),0))*WeekendDays)/DaysPerWeek</f>
        <v>0</v>
      </c>
      <c r="G605" s="11" cm="1">
        <f t="array" ref="G605">(INDEX(H$403:H$594,MATCH(1,($A605=$A$403:$A$594)*($B605=$B$403:$B$594)*("Weekday"=$D$403:$D$594),0))*Weekdays+INDEX(H$403:H$594,MATCH(1,($A605=$A$403:$A$594)*($B605=$B$403:$B$594)*("Weekend"=$D$403:$D$594),0))*WeekendDays)/DaysPerWeek</f>
        <v>1.0911894903320431E-4</v>
      </c>
      <c r="H605" s="11" cm="1">
        <f t="array" ref="H605">(INDEX(I$403:I$594,MATCH(1,($A605=$A$403:$A$594)*($B605=$B$403:$B$594)*("Weekday"=$D$403:$D$594),0))*Weekdays+INDEX(I$403:I$594,MATCH(1,($A605=$A$403:$A$594)*($B605=$B$403:$B$594)*("Weekend"=$D$403:$D$594),0))*WeekendDays)/DaysPerWeek</f>
        <v>7.7388646929870634E-5</v>
      </c>
      <c r="I605" s="11" cm="1">
        <f t="array" ref="I605">(INDEX(J$403:J$594,MATCH(1,($A605=$A$403:$A$594)*($B605=$B$403:$B$594)*("Weekday"=$D$403:$D$594),0))*Weekdays+INDEX(J$403:J$594,MATCH(1,($A605=$A$403:$A$594)*($B605=$B$403:$B$594)*("Weekend"=$D$403:$D$594),0))*WeekendDays)/DaysPerWeek</f>
        <v>7.7388646929870634E-5</v>
      </c>
      <c r="J605" s="11" cm="1">
        <f t="array" ref="J605">(INDEX(K$403:K$594,MATCH(1,($A605=$A$403:$A$594)*($B605=$B$403:$B$594)*("Weekday"=$D$403:$D$594),0))*Weekdays+INDEX(K$403:K$594,MATCH(1,($A605=$A$403:$A$594)*($B605=$B$403:$B$594)*("Weekend"=$D$403:$D$594),0))*WeekendDays)/DaysPerWeek</f>
        <v>1.5840937488814376E-4</v>
      </c>
      <c r="K605" s="11" cm="1">
        <f t="array" ref="K605">(INDEX(L$403:L$594,MATCH(1,($A605=$A$403:$A$594)*($B605=$B$403:$B$594)*("Weekday"=$D$403:$D$594),0))*Weekdays+INDEX(L$403:L$594,MATCH(1,($A605=$A$403:$A$594)*($B605=$B$403:$B$594)*("Weekend"=$D$403:$D$594),0))*WeekendDays)/DaysPerWeek</f>
        <v>9.2331312290691598E-8</v>
      </c>
      <c r="L605" s="11" cm="1">
        <f t="array" ref="L605">(INDEX(M$403:M$594,MATCH(1,($A605=$A$403:$A$594)*($B605=$B$403:$B$594)*("Weekday"=$D$403:$D$594),0))*Weekdays+INDEX(M$403:M$594,MATCH(1,($A605=$A$403:$A$594)*($B605=$B$403:$B$594)*("Weekend"=$D$403:$D$594),0))*WeekendDays)/DaysPerWeek</f>
        <v>0</v>
      </c>
      <c r="M605" s="11" cm="1">
        <f t="array" ref="M605">(INDEX(N$403:N$594,MATCH(1,($A605=$A$403:$A$594)*($B605=$B$403:$B$594)*("Weekday"=$D$403:$D$594),0))*Weekdays+INDEX(N$403:N$594,MATCH(1,($A605=$A$403:$A$594)*($B605=$B$403:$B$594)*("Weekend"=$D$403:$D$594),0))*WeekendDays)/DaysPerWeek</f>
        <v>6.9628702739148006E-5</v>
      </c>
      <c r="N605" s="11" cm="1">
        <f t="array" ref="N605">(INDEX(O$403:O$594,MATCH(1,($A605=$A$403:$A$594)*($B605=$B$403:$B$594)*("Weekday"=$D$403:$D$594),0))*Weekdays+INDEX(O$403:O$594,MATCH(1,($A605=$A$403:$A$594)*($B605=$B$403:$B$594)*("Weekend"=$D$403:$D$594),0))*WeekendDays)/DaysPerWeek</f>
        <v>6.9628702739148006E-5</v>
      </c>
      <c r="O605" s="11" cm="1">
        <f t="array" ref="O605">(INDEX(P$403:P$594,MATCH(1,($A605=$A$403:$A$594)*($B605=$B$403:$B$594)*("Weekday"=$D$403:$D$594),0))*Weekdays+INDEX(P$403:P$594,MATCH(1,($A605=$A$403:$A$594)*($B605=$B$403:$B$594)*("Weekend"=$D$403:$D$594),0))*WeekendDays)/DaysPerWeek</f>
        <v>0</v>
      </c>
      <c r="P605" s="11" cm="1">
        <f t="array" ref="P605">(INDEX(Q$403:Q$594,MATCH(1,($A605=$A$403:$A$594)*($B605=$B$403:$B$594)*("Weekday"=$D$403:$D$594),0))*Weekdays+INDEX(Q$403:Q$594,MATCH(1,($A605=$A$403:$A$594)*($B605=$B$403:$B$594)*("Weekend"=$D$403:$D$594),0))*WeekendDays)/DaysPerWeek</f>
        <v>5.7951256646403831E-5</v>
      </c>
      <c r="Q605" s="11" cm="1">
        <f t="array" ref="Q605">(INDEX(R$403:R$594,MATCH(1,($A605=$A$403:$A$594)*($B605=$B$403:$B$594)*("Weekday"=$D$403:$D$594),0))*Weekdays+INDEX(R$403:R$594,MATCH(1,($A605=$A$403:$A$594)*($B605=$B$403:$B$594)*("Weekend"=$D$403:$D$594),0))*WeekendDays)/DaysPerWeek</f>
        <v>5.7951256646403837E-5</v>
      </c>
      <c r="R605" s="11" cm="1">
        <f t="array" ref="R605">(INDEX(S$403:S$594,MATCH(1,($A605=$A$403:$A$594)*($B605=$B$403:$B$594)*("Weekday"=$D$403:$D$594),0))*Weekdays+INDEX(S$403:S$594,MATCH(1,($A605=$A$403:$A$594)*($B605=$B$403:$B$594)*("Weekend"=$D$403:$D$594),0))*WeekendDays)/DaysPerWeek</f>
        <v>0</v>
      </c>
      <c r="S605" s="11" cm="1">
        <f t="array" ref="S605">(INDEX(T$403:T$594,MATCH(1,($A605=$A$403:$A$594)*($B605=$B$403:$B$594)*("Weekday"=$D$403:$D$594),0))*Weekdays+INDEX(T$403:T$594,MATCH(1,($A605=$A$403:$A$594)*($B605=$B$403:$B$594)*("Weekend"=$D$403:$D$594),0))*WeekendDays)/DaysPerWeek</f>
        <v>5.7951256646403844E-5</v>
      </c>
      <c r="T605" s="11" cm="1">
        <f t="array" ref="T605">(INDEX(U$403:U$594,MATCH(1,($A605=$A$403:$A$594)*($B605=$B$403:$B$594)*("Weekday"=$D$403:$D$594),0))*Weekdays+INDEX(U$403:U$594,MATCH(1,($A605=$A$403:$A$594)*($B605=$B$403:$B$594)*("Weekend"=$D$403:$D$594),0))*WeekendDays)/DaysPerWeek</f>
        <v>0</v>
      </c>
      <c r="U605" s="11" t="e" cm="1">
        <f t="array" ref="U605">(INDEX(V$403:V$594,MATCH(1,($A605=$A$403:$A$594)*($B605=$B$403:$B$594)*("Weekday"=$D$403:$D$594),0))*Weekdays+INDEX(V$403:V$594,MATCH(1,($A605=$A$403:$A$594)*($B605=$B$403:$B$594)*("Weekend"=$D$403:$D$594),0))*WeekendDays)/DaysPerWeek</f>
        <v>#DIV/0!</v>
      </c>
      <c r="V605" s="11" cm="1">
        <f t="array" ref="V605">(INDEX(W$403:W$594,MATCH(1,($A605=$A$403:$A$594)*($B605=$B$403:$B$594)*("Weekday"=$D$403:$D$594),0))*Weekdays+INDEX(W$403:W$594,MATCH(1,($A605=$A$403:$A$594)*($B605=$B$403:$B$594)*("Weekend"=$D$403:$D$594),0))*WeekendDays)/DaysPerWeek</f>
        <v>1.1531474243110203E-4</v>
      </c>
      <c r="W605" s="11" cm="1">
        <f t="array" ref="W605">(INDEX(X$403:X$594,MATCH(1,($A605=$A$403:$A$594)*($B605=$B$403:$B$594)*("Weekday"=$D$403:$D$594),0))*Weekdays+INDEX(X$403:X$594,MATCH(1,($A605=$A$403:$A$594)*($B605=$B$403:$B$594)*("Weekend"=$D$403:$D$594),0))*WeekendDays)/DaysPerWeek</f>
        <v>0</v>
      </c>
      <c r="X605" s="11" cm="1">
        <f t="array" ref="X605">(INDEX(Y$403:Y$594,MATCH(1,($A605=$A$403:$A$594)*($B605=$B$403:$B$594)*("Weekday"=$D$403:$D$594),0))*Weekdays+INDEX(Y$403:Y$594,MATCH(1,($A605=$A$403:$A$594)*($B605=$B$403:$B$594)*("Weekend"=$D$403:$D$594),0))*WeekendDays)/DaysPerWeek</f>
        <v>0</v>
      </c>
      <c r="Y605" s="25" t="e">
        <f t="shared" si="422"/>
        <v>#DIV/0!</v>
      </c>
      <c r="Z605" s="32" t="e">
        <f t="shared" si="421"/>
        <v>#DIV/0!</v>
      </c>
    </row>
    <row r="606" spans="1:26" outlineLevel="1" x14ac:dyDescent="0.25">
      <c r="A606" t="s">
        <v>37</v>
      </c>
      <c r="B606" t="s">
        <v>153</v>
      </c>
      <c r="C606" s="7" t="s">
        <v>5</v>
      </c>
      <c r="D606" s="11" cm="1">
        <f t="array" ref="D606">(INDEX(E$403:E$594,MATCH(1,($A606=$A$403:$A$594)*($B606=$B$403:$B$594)*("Weekday"=$D$403:$D$594),0))*Weekdays+INDEX(E$403:E$594,MATCH(1,($A606=$A$403:$A$594)*($B606=$B$403:$B$594)*("Weekend"=$D$403:$D$594),0))*WeekendDays)/DaysPerWeek</f>
        <v>2.9245670022946986E-4</v>
      </c>
      <c r="E606" s="11" cm="1">
        <f t="array" ref="E606">(INDEX(F$403:F$594,MATCH(1,($A606=$A$403:$A$594)*($B606=$B$403:$B$594)*("Weekday"=$D$403:$D$594),0))*Weekdays+INDEX(F$403:F$594,MATCH(1,($A606=$A$403:$A$594)*($B606=$B$403:$B$594)*("Weekend"=$D$403:$D$594),0))*WeekendDays)/DaysPerWeek</f>
        <v>1.3737009074981855E-7</v>
      </c>
      <c r="F606" s="11" cm="1">
        <f t="array" ref="F606">(INDEX(G$403:G$594,MATCH(1,($A606=$A$403:$A$594)*($B606=$B$403:$B$594)*("Weekday"=$D$403:$D$594),0))*Weekdays+INDEX(G$403:G$594,MATCH(1,($A606=$A$403:$A$594)*($B606=$B$403:$B$594)*("Weekend"=$D$403:$D$594),0))*WeekendDays)/DaysPerWeek</f>
        <v>0</v>
      </c>
      <c r="G606" s="11" cm="1">
        <f t="array" ref="G606">(INDEX(H$403:H$594,MATCH(1,($A606=$A$403:$A$594)*($B606=$B$403:$B$594)*("Weekday"=$D$403:$D$594),0))*Weekdays+INDEX(H$403:H$594,MATCH(1,($A606=$A$403:$A$594)*($B606=$B$403:$B$594)*("Weekend"=$D$403:$D$594),0))*WeekendDays)/DaysPerWeek</f>
        <v>1.6643053451141887E-4</v>
      </c>
      <c r="H606" s="11" cm="1">
        <f t="array" ref="H606">(INDEX(I$403:I$594,MATCH(1,($A606=$A$403:$A$594)*($B606=$B$403:$B$594)*("Weekday"=$D$403:$D$594),0))*Weekdays+INDEX(I$403:I$594,MATCH(1,($A606=$A$403:$A$594)*($B606=$B$403:$B$594)*("Weekend"=$D$403:$D$594),0))*WeekendDays)/DaysPerWeek</f>
        <v>1.4815894110865407E-4</v>
      </c>
      <c r="I606" s="11" cm="1">
        <f t="array" ref="I606">(INDEX(J$403:J$594,MATCH(1,($A606=$A$403:$A$594)*($B606=$B$403:$B$594)*("Weekday"=$D$403:$D$594),0))*Weekdays+INDEX(J$403:J$594,MATCH(1,($A606=$A$403:$A$594)*($B606=$B$403:$B$594)*("Weekend"=$D$403:$D$594),0))*WeekendDays)/DaysPerWeek</f>
        <v>1.4815894110865407E-4</v>
      </c>
      <c r="J606" s="11" cm="1">
        <f t="array" ref="J606">(INDEX(K$403:K$594,MATCH(1,($A606=$A$403:$A$594)*($B606=$B$403:$B$594)*("Weekday"=$D$403:$D$594),0))*Weekdays+INDEX(K$403:K$594,MATCH(1,($A606=$A$403:$A$594)*($B606=$B$403:$B$594)*("Weekend"=$D$403:$D$594),0))*WeekendDays)/DaysPerWeek</f>
        <v>2.0493668582590203E-4</v>
      </c>
      <c r="K606" s="11" cm="1">
        <f t="array" ref="K606">(INDEX(L$403:L$594,MATCH(1,($A606=$A$403:$A$594)*($B606=$B$403:$B$594)*("Weekday"=$D$403:$D$594),0))*Weekdays+INDEX(L$403:L$594,MATCH(1,($A606=$A$403:$A$594)*($B606=$B$403:$B$594)*("Weekend"=$D$403:$D$594),0))*WeekendDays)/DaysPerWeek</f>
        <v>1.0000632347410939E-7</v>
      </c>
      <c r="L606" s="11" cm="1">
        <f t="array" ref="L606">(INDEX(M$403:M$594,MATCH(1,($A606=$A$403:$A$594)*($B606=$B$403:$B$594)*("Weekday"=$D$403:$D$594),0))*Weekdays+INDEX(M$403:M$594,MATCH(1,($A606=$A$403:$A$594)*($B606=$B$403:$B$594)*("Weekend"=$D$403:$D$594),0))*WeekendDays)/DaysPerWeek</f>
        <v>0</v>
      </c>
      <c r="M606" s="11" cm="1">
        <f t="array" ref="M606">(INDEX(N$403:N$594,MATCH(1,($A606=$A$403:$A$594)*($B606=$B$403:$B$594)*("Weekday"=$D$403:$D$594),0))*Weekdays+INDEX(N$403:N$594,MATCH(1,($A606=$A$403:$A$594)*($B606=$B$403:$B$594)*("Weekend"=$D$403:$D$594),0))*WeekendDays)/DaysPerWeek</f>
        <v>9.7431658373590044E-5</v>
      </c>
      <c r="N606" s="11" cm="1">
        <f t="array" ref="N606">(INDEX(O$403:O$594,MATCH(1,($A606=$A$403:$A$594)*($B606=$B$403:$B$594)*("Weekday"=$D$403:$D$594),0))*Weekdays+INDEX(O$403:O$594,MATCH(1,($A606=$A$403:$A$594)*($B606=$B$403:$B$594)*("Weekend"=$D$403:$D$594),0))*WeekendDays)/DaysPerWeek</f>
        <v>9.7431658373590044E-5</v>
      </c>
      <c r="O606" s="11" cm="1">
        <f t="array" ref="O606">(INDEX(P$403:P$594,MATCH(1,($A606=$A$403:$A$594)*($B606=$B$403:$B$594)*("Weekday"=$D$403:$D$594),0))*Weekdays+INDEX(P$403:P$594,MATCH(1,($A606=$A$403:$A$594)*($B606=$B$403:$B$594)*("Weekend"=$D$403:$D$594),0))*WeekendDays)/DaysPerWeek</f>
        <v>0</v>
      </c>
      <c r="P606" s="11" cm="1">
        <f t="array" ref="P606">(INDEX(Q$403:Q$594,MATCH(1,($A606=$A$403:$A$594)*($B606=$B$403:$B$594)*("Weekday"=$D$403:$D$594),0))*Weekdays+INDEX(Q$403:Q$594,MATCH(1,($A606=$A$403:$A$594)*($B606=$B$403:$B$594)*("Weekend"=$D$403:$D$594),0))*WeekendDays)/DaysPerWeek</f>
        <v>8.1773971353249115E-5</v>
      </c>
      <c r="Q606" s="11" cm="1">
        <f t="array" ref="Q606">(INDEX(R$403:R$594,MATCH(1,($A606=$A$403:$A$594)*($B606=$B$403:$B$594)*("Weekday"=$D$403:$D$594),0))*Weekdays+INDEX(R$403:R$594,MATCH(1,($A606=$A$403:$A$594)*($B606=$B$403:$B$594)*("Weekend"=$D$403:$D$594),0))*WeekendDays)/DaysPerWeek</f>
        <v>8.1773971353249142E-5</v>
      </c>
      <c r="R606" s="11" cm="1">
        <f t="array" ref="R606">(INDEX(S$403:S$594,MATCH(1,($A606=$A$403:$A$594)*($B606=$B$403:$B$594)*("Weekday"=$D$403:$D$594),0))*Weekdays+INDEX(S$403:S$594,MATCH(1,($A606=$A$403:$A$594)*($B606=$B$403:$B$594)*("Weekend"=$D$403:$D$594),0))*WeekendDays)/DaysPerWeek</f>
        <v>0</v>
      </c>
      <c r="S606" s="11" cm="1">
        <f t="array" ref="S606">(INDEX(T$403:T$594,MATCH(1,($A606=$A$403:$A$594)*($B606=$B$403:$B$594)*("Weekday"=$D$403:$D$594),0))*Weekdays+INDEX(T$403:T$594,MATCH(1,($A606=$A$403:$A$594)*($B606=$B$403:$B$594)*("Weekend"=$D$403:$D$594),0))*WeekendDays)/DaysPerWeek</f>
        <v>8.1773971353249155E-5</v>
      </c>
      <c r="T606" s="11" cm="1">
        <f t="array" ref="T606">(INDEX(U$403:U$594,MATCH(1,($A606=$A$403:$A$594)*($B606=$B$403:$B$594)*("Weekday"=$D$403:$D$594),0))*Weekdays+INDEX(U$403:U$594,MATCH(1,($A606=$A$403:$A$594)*($B606=$B$403:$B$594)*("Weekend"=$D$403:$D$594),0))*WeekendDays)/DaysPerWeek</f>
        <v>0</v>
      </c>
      <c r="U606" s="11" t="e" cm="1">
        <f t="array" ref="U606">(INDEX(V$403:V$594,MATCH(1,($A606=$A$403:$A$594)*($B606=$B$403:$B$594)*("Weekday"=$D$403:$D$594),0))*Weekdays+INDEX(V$403:V$594,MATCH(1,($A606=$A$403:$A$594)*($B606=$B$403:$B$594)*("Weekend"=$D$403:$D$594),0))*WeekendDays)/DaysPerWeek</f>
        <v>#DIV/0!</v>
      </c>
      <c r="V606" s="11" cm="1">
        <f t="array" ref="V606">(INDEX(W$403:W$594,MATCH(1,($A606=$A$403:$A$594)*($B606=$B$403:$B$594)*("Weekday"=$D$403:$D$594),0))*Weekdays+INDEX(W$403:W$594,MATCH(1,($A606=$A$403:$A$594)*($B606=$B$403:$B$594)*("Weekend"=$D$403:$D$594),0))*WeekendDays)/DaysPerWeek</f>
        <v>1.1640913808854008E-4</v>
      </c>
      <c r="W606" s="11" cm="1">
        <f t="array" ref="W606">(INDEX(X$403:X$594,MATCH(1,($A606=$A$403:$A$594)*($B606=$B$403:$B$594)*("Weekday"=$D$403:$D$594),0))*Weekdays+INDEX(X$403:X$594,MATCH(1,($A606=$A$403:$A$594)*($B606=$B$403:$B$594)*("Weekend"=$D$403:$D$594),0))*WeekendDays)/DaysPerWeek</f>
        <v>0</v>
      </c>
      <c r="X606" s="11" cm="1">
        <f t="array" ref="X606">(INDEX(Y$403:Y$594,MATCH(1,($A606=$A$403:$A$594)*($B606=$B$403:$B$594)*("Weekday"=$D$403:$D$594),0))*Weekdays+INDEX(Y$403:Y$594,MATCH(1,($A606=$A$403:$A$594)*($B606=$B$403:$B$594)*("Weekend"=$D$403:$D$594),0))*WeekendDays)/DaysPerWeek</f>
        <v>0</v>
      </c>
      <c r="Y606" s="25" t="e">
        <f t="shared" si="422"/>
        <v>#DIV/0!</v>
      </c>
      <c r="Z606" s="32" t="e">
        <f t="shared" si="421"/>
        <v>#DIV/0!</v>
      </c>
    </row>
    <row r="607" spans="1:26" outlineLevel="1" x14ac:dyDescent="0.25">
      <c r="A607" t="s">
        <v>37</v>
      </c>
      <c r="B607" t="s">
        <v>154</v>
      </c>
      <c r="C607" s="7" t="s">
        <v>6</v>
      </c>
      <c r="D607" s="11" cm="1">
        <f t="array" ref="D607">(INDEX(E$403:E$594,MATCH(1,($A607=$A$403:$A$594)*($B607=$B$403:$B$594)*("Weekday"=$D$403:$D$594),0))*Weekdays+INDEX(E$403:E$594,MATCH(1,($A607=$A$403:$A$594)*($B607=$B$403:$B$594)*("Weekend"=$D$403:$D$594),0))*WeekendDays)/DaysPerWeek</f>
        <v>2.9356075921433333E-4</v>
      </c>
      <c r="E607" s="11" cm="1">
        <f t="array" ref="E607">(INDEX(F$403:F$594,MATCH(1,($A607=$A$403:$A$594)*($B607=$B$403:$B$594)*("Weekday"=$D$403:$D$594),0))*Weekdays+INDEX(F$403:F$594,MATCH(1,($A607=$A$403:$A$594)*($B607=$B$403:$B$594)*("Weekend"=$D$403:$D$594),0))*WeekendDays)/DaysPerWeek</f>
        <v>1.1257262798374454E-7</v>
      </c>
      <c r="F607" s="11" cm="1">
        <f t="array" ref="F607">(INDEX(G$403:G$594,MATCH(1,($A607=$A$403:$A$594)*($B607=$B$403:$B$594)*("Weekday"=$D$403:$D$594),0))*Weekdays+INDEX(G$403:G$594,MATCH(1,($A607=$A$403:$A$594)*($B607=$B$403:$B$594)*("Weekend"=$D$403:$D$594),0))*WeekendDays)/DaysPerWeek</f>
        <v>0</v>
      </c>
      <c r="G607" s="11" cm="1">
        <f t="array" ref="G607">(INDEX(H$403:H$594,MATCH(1,($A607=$A$403:$A$594)*($B607=$B$403:$B$594)*("Weekday"=$D$403:$D$594),0))*Weekdays+INDEX(H$403:H$594,MATCH(1,($A607=$A$403:$A$594)*($B607=$B$403:$B$594)*("Weekend"=$D$403:$D$594),0))*WeekendDays)/DaysPerWeek</f>
        <v>1.4689629802574694E-4</v>
      </c>
      <c r="H607" s="11" cm="1">
        <f t="array" ref="H607">(INDEX(I$403:I$594,MATCH(1,($A607=$A$403:$A$594)*($B607=$B$403:$B$594)*("Weekday"=$D$403:$D$594),0))*Weekdays+INDEX(I$403:I$594,MATCH(1,($A607=$A$403:$A$594)*($B607=$B$403:$B$594)*("Weekend"=$D$403:$D$594),0))*WeekendDays)/DaysPerWeek</f>
        <v>2.0989576025767643E-4</v>
      </c>
      <c r="I607" s="11" cm="1">
        <f t="array" ref="I607">(INDEX(J$403:J$594,MATCH(1,($A607=$A$403:$A$594)*($B607=$B$403:$B$594)*("Weekday"=$D$403:$D$594),0))*Weekdays+INDEX(J$403:J$594,MATCH(1,($A607=$A$403:$A$594)*($B607=$B$403:$B$594)*("Weekend"=$D$403:$D$594),0))*WeekendDays)/DaysPerWeek</f>
        <v>2.0989576025767643E-4</v>
      </c>
      <c r="J607" s="11" cm="1">
        <f t="array" ref="J607">(INDEX(K$403:K$594,MATCH(1,($A607=$A$403:$A$594)*($B607=$B$403:$B$594)*("Weekday"=$D$403:$D$594),0))*Weekdays+INDEX(K$403:K$594,MATCH(1,($A607=$A$403:$A$594)*($B607=$B$403:$B$594)*("Weekend"=$D$403:$D$594),0))*WeekendDays)/DaysPerWeek</f>
        <v>4.7954804266775317E-4</v>
      </c>
      <c r="K607" s="11" cm="1">
        <f t="array" ref="K607">(INDEX(L$403:L$594,MATCH(1,($A607=$A$403:$A$594)*($B607=$B$403:$B$594)*("Weekday"=$D$403:$D$594),0))*Weekdays+INDEX(L$403:L$594,MATCH(1,($A607=$A$403:$A$594)*($B607=$B$403:$B$594)*("Weekend"=$D$403:$D$594),0))*WeekendDays)/DaysPerWeek</f>
        <v>1.1514874183277998E-7</v>
      </c>
      <c r="L607" s="11" cm="1">
        <f t="array" ref="L607">(INDEX(M$403:M$594,MATCH(1,($A607=$A$403:$A$594)*($B607=$B$403:$B$594)*("Weekday"=$D$403:$D$594),0))*Weekdays+INDEX(M$403:M$594,MATCH(1,($A607=$A$403:$A$594)*($B607=$B$403:$B$594)*("Weekend"=$D$403:$D$594),0))*WeekendDays)/DaysPerWeek</f>
        <v>0</v>
      </c>
      <c r="M607" s="11" cm="1">
        <f t="array" ref="M607">(INDEX(N$403:N$594,MATCH(1,($A607=$A$403:$A$594)*($B607=$B$403:$B$594)*("Weekday"=$D$403:$D$594),0))*Weekdays+INDEX(N$403:N$594,MATCH(1,($A607=$A$403:$A$594)*($B607=$B$403:$B$594)*("Weekend"=$D$403:$D$594),0))*WeekendDays)/DaysPerWeek</f>
        <v>1.3168780220728892E-4</v>
      </c>
      <c r="N607" s="11" cm="1">
        <f t="array" ref="N607">(INDEX(O$403:O$594,MATCH(1,($A607=$A$403:$A$594)*($B607=$B$403:$B$594)*("Weekday"=$D$403:$D$594),0))*Weekdays+INDEX(O$403:O$594,MATCH(1,($A607=$A$403:$A$594)*($B607=$B$403:$B$594)*("Weekend"=$D$403:$D$594),0))*WeekendDays)/DaysPerWeek</f>
        <v>1.3168780220728892E-4</v>
      </c>
      <c r="O607" s="11" cm="1">
        <f t="array" ref="O607">(INDEX(P$403:P$594,MATCH(1,($A607=$A$403:$A$594)*($B607=$B$403:$B$594)*("Weekday"=$D$403:$D$594),0))*Weekdays+INDEX(P$403:P$594,MATCH(1,($A607=$A$403:$A$594)*($B607=$B$403:$B$594)*("Weekend"=$D$403:$D$594),0))*WeekendDays)/DaysPerWeek</f>
        <v>0</v>
      </c>
      <c r="P607" s="11" cm="1">
        <f t="array" ref="P607">(INDEX(Q$403:Q$594,MATCH(1,($A607=$A$403:$A$594)*($B607=$B$403:$B$594)*("Weekday"=$D$403:$D$594),0))*Weekdays+INDEX(Q$403:Q$594,MATCH(1,($A607=$A$403:$A$594)*($B607=$B$403:$B$594)*("Weekend"=$D$403:$D$594),0))*WeekendDays)/DaysPerWeek</f>
        <v>1.5209513901515942E-4</v>
      </c>
      <c r="Q607" s="11" cm="1">
        <f t="array" ref="Q607">(INDEX(R$403:R$594,MATCH(1,($A607=$A$403:$A$594)*($B607=$B$403:$B$594)*("Weekday"=$D$403:$D$594),0))*Weekdays+INDEX(R$403:R$594,MATCH(1,($A607=$A$403:$A$594)*($B607=$B$403:$B$594)*("Weekend"=$D$403:$D$594),0))*WeekendDays)/DaysPerWeek</f>
        <v>1.5209513901515945E-4</v>
      </c>
      <c r="R607" s="11" cm="1">
        <f t="array" ref="R607">(INDEX(S$403:S$594,MATCH(1,($A607=$A$403:$A$594)*($B607=$B$403:$B$594)*("Weekday"=$D$403:$D$594),0))*Weekdays+INDEX(S$403:S$594,MATCH(1,($A607=$A$403:$A$594)*($B607=$B$403:$B$594)*("Weekend"=$D$403:$D$594),0))*WeekendDays)/DaysPerWeek</f>
        <v>0</v>
      </c>
      <c r="S607" s="11" cm="1">
        <f t="array" ref="S607">(INDEX(T$403:T$594,MATCH(1,($A607=$A$403:$A$594)*($B607=$B$403:$B$594)*("Weekday"=$D$403:$D$594),0))*Weekdays+INDEX(T$403:T$594,MATCH(1,($A607=$A$403:$A$594)*($B607=$B$403:$B$594)*("Weekend"=$D$403:$D$594),0))*WeekendDays)/DaysPerWeek</f>
        <v>1.5209513901515948E-4</v>
      </c>
      <c r="T607" s="11" cm="1">
        <f t="array" ref="T607">(INDEX(U$403:U$594,MATCH(1,($A607=$A$403:$A$594)*($B607=$B$403:$B$594)*("Weekday"=$D$403:$D$594),0))*Weekdays+INDEX(U$403:U$594,MATCH(1,($A607=$A$403:$A$594)*($B607=$B$403:$B$594)*("Weekend"=$D$403:$D$594),0))*WeekendDays)/DaysPerWeek</f>
        <v>0</v>
      </c>
      <c r="U607" s="11" t="e" cm="1">
        <f t="array" ref="U607">(INDEX(V$403:V$594,MATCH(1,($A607=$A$403:$A$594)*($B607=$B$403:$B$594)*("Weekday"=$D$403:$D$594),0))*Weekdays+INDEX(V$403:V$594,MATCH(1,($A607=$A$403:$A$594)*($B607=$B$403:$B$594)*("Weekend"=$D$403:$D$594),0))*WeekendDays)/DaysPerWeek</f>
        <v>#DIV/0!</v>
      </c>
      <c r="V607" s="11" cm="1">
        <f t="array" ref="V607">(INDEX(W$403:W$594,MATCH(1,($A607=$A$403:$A$594)*($B607=$B$403:$B$594)*("Weekday"=$D$403:$D$594),0))*Weekdays+INDEX(W$403:W$594,MATCH(1,($A607=$A$403:$A$594)*($B607=$B$403:$B$594)*("Weekend"=$D$403:$D$594),0))*WeekendDays)/DaysPerWeek</f>
        <v>1.1715793511731347E-4</v>
      </c>
      <c r="W607" s="11" cm="1">
        <f t="array" ref="W607">(INDEX(X$403:X$594,MATCH(1,($A607=$A$403:$A$594)*($B607=$B$403:$B$594)*("Weekday"=$D$403:$D$594),0))*Weekdays+INDEX(X$403:X$594,MATCH(1,($A607=$A$403:$A$594)*($B607=$B$403:$B$594)*("Weekend"=$D$403:$D$594),0))*WeekendDays)/DaysPerWeek</f>
        <v>0</v>
      </c>
      <c r="X607" s="11" cm="1">
        <f t="array" ref="X607">(INDEX(Y$403:Y$594,MATCH(1,($A607=$A$403:$A$594)*($B607=$B$403:$B$594)*("Weekday"=$D$403:$D$594),0))*Weekdays+INDEX(Y$403:Y$594,MATCH(1,($A607=$A$403:$A$594)*($B607=$B$403:$B$594)*("Weekend"=$D$403:$D$594),0))*WeekendDays)/DaysPerWeek</f>
        <v>0</v>
      </c>
      <c r="Y607" s="25" t="e">
        <f t="shared" si="422"/>
        <v>#DIV/0!</v>
      </c>
      <c r="Z607" s="32" t="e">
        <f t="shared" si="421"/>
        <v>#DIV/0!</v>
      </c>
    </row>
    <row r="608" spans="1:26" outlineLevel="1" x14ac:dyDescent="0.25">
      <c r="A608" t="s">
        <v>37</v>
      </c>
      <c r="B608" t="s">
        <v>155</v>
      </c>
      <c r="C608" s="7" t="s">
        <v>7</v>
      </c>
      <c r="D608" s="11" cm="1">
        <f t="array" ref="D608">(INDEX(E$403:E$594,MATCH(1,($A608=$A$403:$A$594)*($B608=$B$403:$B$594)*("Weekday"=$D$403:$D$594),0))*Weekdays+INDEX(E$403:E$594,MATCH(1,($A608=$A$403:$A$594)*($B608=$B$403:$B$594)*("Weekend"=$D$403:$D$594),0))*WeekendDays)/DaysPerWeek</f>
        <v>2.8751794052032334E-4</v>
      </c>
      <c r="E608" s="11" cm="1">
        <f t="array" ref="E608">(INDEX(F$403:F$594,MATCH(1,($A608=$A$403:$A$594)*($B608=$B$403:$B$594)*("Weekday"=$D$403:$D$594),0))*Weekdays+INDEX(F$403:F$594,MATCH(1,($A608=$A$403:$A$594)*($B608=$B$403:$B$594)*("Weekend"=$D$403:$D$594),0))*WeekendDays)/DaysPerWeek</f>
        <v>9.522337195016445E-8</v>
      </c>
      <c r="F608" s="11" cm="1">
        <f t="array" ref="F608">(INDEX(G$403:G$594,MATCH(1,($A608=$A$403:$A$594)*($B608=$B$403:$B$594)*("Weekday"=$D$403:$D$594),0))*Weekdays+INDEX(G$403:G$594,MATCH(1,($A608=$A$403:$A$594)*($B608=$B$403:$B$594)*("Weekend"=$D$403:$D$594),0))*WeekendDays)/DaysPerWeek</f>
        <v>0</v>
      </c>
      <c r="G608" s="11" cm="1">
        <f t="array" ref="G608">(INDEX(H$403:H$594,MATCH(1,($A608=$A$403:$A$594)*($B608=$B$403:$B$594)*("Weekday"=$D$403:$D$594),0))*Weekdays+INDEX(H$403:H$594,MATCH(1,($A608=$A$403:$A$594)*($B608=$B$403:$B$594)*("Weekend"=$D$403:$D$594),0))*WeekendDays)/DaysPerWeek</f>
        <v>6.2615998441085149E-5</v>
      </c>
      <c r="H608" s="11" cm="1">
        <f t="array" ref="H608">(INDEX(I$403:I$594,MATCH(1,($A608=$A$403:$A$594)*($B608=$B$403:$B$594)*("Weekday"=$D$403:$D$594),0))*Weekdays+INDEX(I$403:I$594,MATCH(1,($A608=$A$403:$A$594)*($B608=$B$403:$B$594)*("Weekend"=$D$403:$D$594),0))*WeekendDays)/DaysPerWeek</f>
        <v>1.8087171800945439E-4</v>
      </c>
      <c r="I608" s="11" cm="1">
        <f t="array" ref="I608">(INDEX(J$403:J$594,MATCH(1,($A608=$A$403:$A$594)*($B608=$B$403:$B$594)*("Weekday"=$D$403:$D$594),0))*Weekdays+INDEX(J$403:J$594,MATCH(1,($A608=$A$403:$A$594)*($B608=$B$403:$B$594)*("Weekend"=$D$403:$D$594),0))*WeekendDays)/DaysPerWeek</f>
        <v>1.8087171800945439E-4</v>
      </c>
      <c r="J608" s="11" cm="1">
        <f t="array" ref="J608">(INDEX(K$403:K$594,MATCH(1,($A608=$A$403:$A$594)*($B608=$B$403:$B$594)*("Weekday"=$D$403:$D$594),0))*Weekdays+INDEX(K$403:K$594,MATCH(1,($A608=$A$403:$A$594)*($B608=$B$403:$B$594)*("Weekend"=$D$403:$D$594),0))*WeekendDays)/DaysPerWeek</f>
        <v>5.0578298018535462E-4</v>
      </c>
      <c r="K608" s="11" cm="1">
        <f t="array" ref="K608">(INDEX(L$403:L$594,MATCH(1,($A608=$A$403:$A$594)*($B608=$B$403:$B$594)*("Weekday"=$D$403:$D$594),0))*Weekdays+INDEX(L$403:L$594,MATCH(1,($A608=$A$403:$A$594)*($B608=$B$403:$B$594)*("Weekend"=$D$403:$D$594),0))*WeekendDays)/DaysPerWeek</f>
        <v>1.374069840219844E-7</v>
      </c>
      <c r="L608" s="11" cm="1">
        <f t="array" ref="L608">(INDEX(M$403:M$594,MATCH(1,($A608=$A$403:$A$594)*($B608=$B$403:$B$594)*("Weekday"=$D$403:$D$594),0))*Weekdays+INDEX(M$403:M$594,MATCH(1,($A608=$A$403:$A$594)*($B608=$B$403:$B$594)*("Weekend"=$D$403:$D$594),0))*WeekendDays)/DaysPerWeek</f>
        <v>0</v>
      </c>
      <c r="M608" s="11" cm="1">
        <f t="array" ref="M608">(INDEX(N$403:N$594,MATCH(1,($A608=$A$403:$A$594)*($B608=$B$403:$B$594)*("Weekday"=$D$403:$D$594),0))*Weekdays+INDEX(N$403:N$594,MATCH(1,($A608=$A$403:$A$594)*($B608=$B$403:$B$594)*("Weekend"=$D$403:$D$594),0))*WeekendDays)/DaysPerWeek</f>
        <v>1.6054828204146383E-4</v>
      </c>
      <c r="N608" s="11" cm="1">
        <f t="array" ref="N608">(INDEX(O$403:O$594,MATCH(1,($A608=$A$403:$A$594)*($B608=$B$403:$B$594)*("Weekday"=$D$403:$D$594),0))*Weekdays+INDEX(O$403:O$594,MATCH(1,($A608=$A$403:$A$594)*($B608=$B$403:$B$594)*("Weekend"=$D$403:$D$594),0))*WeekendDays)/DaysPerWeek</f>
        <v>1.6054828204146383E-4</v>
      </c>
      <c r="O608" s="11" cm="1">
        <f t="array" ref="O608">(INDEX(P$403:P$594,MATCH(1,($A608=$A$403:$A$594)*($B608=$B$403:$B$594)*("Weekday"=$D$403:$D$594),0))*Weekdays+INDEX(P$403:P$594,MATCH(1,($A608=$A$403:$A$594)*($B608=$B$403:$B$594)*("Weekend"=$D$403:$D$594),0))*WeekendDays)/DaysPerWeek</f>
        <v>0</v>
      </c>
      <c r="P608" s="11" cm="1">
        <f t="array" ref="P608">(INDEX(Q$403:Q$594,MATCH(1,($A608=$A$403:$A$594)*($B608=$B$403:$B$594)*("Weekday"=$D$403:$D$594),0))*Weekdays+INDEX(Q$403:Q$594,MATCH(1,($A608=$A$403:$A$594)*($B608=$B$403:$B$594)*("Weekend"=$D$403:$D$594),0))*WeekendDays)/DaysPerWeek</f>
        <v>1.6892395027049562E-4</v>
      </c>
      <c r="Q608" s="11" cm="1">
        <f t="array" ref="Q608">(INDEX(R$403:R$594,MATCH(1,($A608=$A$403:$A$594)*($B608=$B$403:$B$594)*("Weekday"=$D$403:$D$594),0))*Weekdays+INDEX(R$403:R$594,MATCH(1,($A608=$A$403:$A$594)*($B608=$B$403:$B$594)*("Weekend"=$D$403:$D$594),0))*WeekendDays)/DaysPerWeek</f>
        <v>1.6892395027049567E-4</v>
      </c>
      <c r="R608" s="11" cm="1">
        <f t="array" ref="R608">(INDEX(S$403:S$594,MATCH(1,($A608=$A$403:$A$594)*($B608=$B$403:$B$594)*("Weekday"=$D$403:$D$594),0))*Weekdays+INDEX(S$403:S$594,MATCH(1,($A608=$A$403:$A$594)*($B608=$B$403:$B$594)*("Weekend"=$D$403:$D$594),0))*WeekendDays)/DaysPerWeek</f>
        <v>0</v>
      </c>
      <c r="S608" s="11" cm="1">
        <f t="array" ref="S608">(INDEX(T$403:T$594,MATCH(1,($A608=$A$403:$A$594)*($B608=$B$403:$B$594)*("Weekday"=$D$403:$D$594),0))*Weekdays+INDEX(T$403:T$594,MATCH(1,($A608=$A$403:$A$594)*($B608=$B$403:$B$594)*("Weekend"=$D$403:$D$594),0))*WeekendDays)/DaysPerWeek</f>
        <v>1.689239502704957E-4</v>
      </c>
      <c r="T608" s="11" cm="1">
        <f t="array" ref="T608">(INDEX(U$403:U$594,MATCH(1,($A608=$A$403:$A$594)*($B608=$B$403:$B$594)*("Weekday"=$D$403:$D$594),0))*Weekdays+INDEX(U$403:U$594,MATCH(1,($A608=$A$403:$A$594)*($B608=$B$403:$B$594)*("Weekend"=$D$403:$D$594),0))*WeekendDays)/DaysPerWeek</f>
        <v>0</v>
      </c>
      <c r="U608" s="11" t="e" cm="1">
        <f t="array" ref="U608">(INDEX(V$403:V$594,MATCH(1,($A608=$A$403:$A$594)*($B608=$B$403:$B$594)*("Weekday"=$D$403:$D$594),0))*Weekdays+INDEX(V$403:V$594,MATCH(1,($A608=$A$403:$A$594)*($B608=$B$403:$B$594)*("Weekend"=$D$403:$D$594),0))*WeekendDays)/DaysPerWeek</f>
        <v>#DIV/0!</v>
      </c>
      <c r="V608" s="11" cm="1">
        <f t="array" ref="V608">(INDEX(W$403:W$594,MATCH(1,($A608=$A$403:$A$594)*($B608=$B$403:$B$594)*("Weekday"=$D$403:$D$594),0))*Weekdays+INDEX(W$403:W$594,MATCH(1,($A608=$A$403:$A$594)*($B608=$B$403:$B$594)*("Weekend"=$D$403:$D$594),0))*WeekendDays)/DaysPerWeek</f>
        <v>1.1733073443164581E-4</v>
      </c>
      <c r="W608" s="11" cm="1">
        <f t="array" ref="W608">(INDEX(X$403:X$594,MATCH(1,($A608=$A$403:$A$594)*($B608=$B$403:$B$594)*("Weekday"=$D$403:$D$594),0))*Weekdays+INDEX(X$403:X$594,MATCH(1,($A608=$A$403:$A$594)*($B608=$B$403:$B$594)*("Weekend"=$D$403:$D$594),0))*WeekendDays)/DaysPerWeek</f>
        <v>0</v>
      </c>
      <c r="X608" s="11" cm="1">
        <f t="array" ref="X608">(INDEX(Y$403:Y$594,MATCH(1,($A608=$A$403:$A$594)*($B608=$B$403:$B$594)*("Weekday"=$D$403:$D$594),0))*Weekdays+INDEX(Y$403:Y$594,MATCH(1,($A608=$A$403:$A$594)*($B608=$B$403:$B$594)*("Weekend"=$D$403:$D$594),0))*WeekendDays)/DaysPerWeek</f>
        <v>0</v>
      </c>
      <c r="Y608" s="25" t="e">
        <f t="shared" si="422"/>
        <v>#DIV/0!</v>
      </c>
      <c r="Z608" s="32" t="e">
        <f t="shared" si="421"/>
        <v>#DIV/0!</v>
      </c>
    </row>
    <row r="609" spans="1:26" outlineLevel="1" x14ac:dyDescent="0.25">
      <c r="A609" t="s">
        <v>37</v>
      </c>
      <c r="B609" t="s">
        <v>156</v>
      </c>
      <c r="C609" s="7" t="s">
        <v>8</v>
      </c>
      <c r="D609" s="11" cm="1">
        <f t="array" ref="D609">(INDEX(E$403:E$594,MATCH(1,($A609=$A$403:$A$594)*($B609=$B$403:$B$594)*("Weekday"=$D$403:$D$594),0))*Weekdays+INDEX(E$403:E$594,MATCH(1,($A609=$A$403:$A$594)*($B609=$B$403:$B$594)*("Weekend"=$D$403:$D$594),0))*WeekendDays)/DaysPerWeek</f>
        <v>2.3387223995924162E-4</v>
      </c>
      <c r="E609" s="11" cm="1">
        <f t="array" ref="E609">(INDEX(F$403:F$594,MATCH(1,($A609=$A$403:$A$594)*($B609=$B$403:$B$594)*("Weekday"=$D$403:$D$594),0))*Weekdays+INDEX(F$403:F$594,MATCH(1,($A609=$A$403:$A$594)*($B609=$B$403:$B$594)*("Weekend"=$D$403:$D$594),0))*WeekendDays)/DaysPerWeek</f>
        <v>8.2634375605038037E-8</v>
      </c>
      <c r="F609" s="11" cm="1">
        <f t="array" ref="F609">(INDEX(G$403:G$594,MATCH(1,($A609=$A$403:$A$594)*($B609=$B$403:$B$594)*("Weekday"=$D$403:$D$594),0))*Weekdays+INDEX(G$403:G$594,MATCH(1,($A609=$A$403:$A$594)*($B609=$B$403:$B$594)*("Weekend"=$D$403:$D$594),0))*WeekendDays)/DaysPerWeek</f>
        <v>0</v>
      </c>
      <c r="G609" s="11" cm="1">
        <f t="array" ref="G609">(INDEX(H$403:H$594,MATCH(1,($A609=$A$403:$A$594)*($B609=$B$403:$B$594)*("Weekday"=$D$403:$D$594),0))*Weekdays+INDEX(H$403:H$594,MATCH(1,($A609=$A$403:$A$594)*($B609=$B$403:$B$594)*("Weekend"=$D$403:$D$594),0))*WeekendDays)/DaysPerWeek</f>
        <v>6.2196279780679458E-5</v>
      </c>
      <c r="H609" s="11" cm="1">
        <f t="array" ref="H609">(INDEX(I$403:I$594,MATCH(1,($A609=$A$403:$A$594)*($B609=$B$403:$B$594)*("Weekday"=$D$403:$D$594),0))*Weekdays+INDEX(I$403:I$594,MATCH(1,($A609=$A$403:$A$594)*($B609=$B$403:$B$594)*("Weekend"=$D$403:$D$594),0))*WeekendDays)/DaysPerWeek</f>
        <v>1.9692821516956264E-4</v>
      </c>
      <c r="I609" s="11" cm="1">
        <f t="array" ref="I609">(INDEX(J$403:J$594,MATCH(1,($A609=$A$403:$A$594)*($B609=$B$403:$B$594)*("Weekday"=$D$403:$D$594),0))*Weekdays+INDEX(J$403:J$594,MATCH(1,($A609=$A$403:$A$594)*($B609=$B$403:$B$594)*("Weekend"=$D$403:$D$594),0))*WeekendDays)/DaysPerWeek</f>
        <v>1.9692821516956264E-4</v>
      </c>
      <c r="J609" s="11" cm="1">
        <f t="array" ref="J609">(INDEX(K$403:K$594,MATCH(1,($A609=$A$403:$A$594)*($B609=$B$403:$B$594)*("Weekday"=$D$403:$D$594),0))*Weekdays+INDEX(K$403:K$594,MATCH(1,($A609=$A$403:$A$594)*($B609=$B$403:$B$594)*("Weekend"=$D$403:$D$594),0))*WeekendDays)/DaysPerWeek</f>
        <v>3.7109129010404516E-4</v>
      </c>
      <c r="K609" s="11" cm="1">
        <f t="array" ref="K609">(INDEX(L$403:L$594,MATCH(1,($A609=$A$403:$A$594)*($B609=$B$403:$B$594)*("Weekday"=$D$403:$D$594),0))*Weekdays+INDEX(L$403:L$594,MATCH(1,($A609=$A$403:$A$594)*($B609=$B$403:$B$594)*("Weekend"=$D$403:$D$594),0))*WeekendDays)/DaysPerWeek</f>
        <v>1.5162088775073032E-7</v>
      </c>
      <c r="L609" s="11" cm="1">
        <f t="array" ref="L609">(INDEX(M$403:M$594,MATCH(1,($A609=$A$403:$A$594)*($B609=$B$403:$B$594)*("Weekday"=$D$403:$D$594),0))*Weekdays+INDEX(M$403:M$594,MATCH(1,($A609=$A$403:$A$594)*($B609=$B$403:$B$594)*("Weekend"=$D$403:$D$594),0))*WeekendDays)/DaysPerWeek</f>
        <v>0</v>
      </c>
      <c r="M609" s="11" cm="1">
        <f t="array" ref="M609">(INDEX(N$403:N$594,MATCH(1,($A609=$A$403:$A$594)*($B609=$B$403:$B$594)*("Weekday"=$D$403:$D$594),0))*Weekdays+INDEX(N$403:N$594,MATCH(1,($A609=$A$403:$A$594)*($B609=$B$403:$B$594)*("Weekend"=$D$403:$D$594),0))*WeekendDays)/DaysPerWeek</f>
        <v>1.698806749282449E-4</v>
      </c>
      <c r="N609" s="11" cm="1">
        <f t="array" ref="N609">(INDEX(O$403:O$594,MATCH(1,($A609=$A$403:$A$594)*($B609=$B$403:$B$594)*("Weekday"=$D$403:$D$594),0))*Weekdays+INDEX(O$403:O$594,MATCH(1,($A609=$A$403:$A$594)*($B609=$B$403:$B$594)*("Weekend"=$D$403:$D$594),0))*WeekendDays)/DaysPerWeek</f>
        <v>1.698806749282449E-4</v>
      </c>
      <c r="O609" s="11" cm="1">
        <f t="array" ref="O609">(INDEX(P$403:P$594,MATCH(1,($A609=$A$403:$A$594)*($B609=$B$403:$B$594)*("Weekday"=$D$403:$D$594),0))*Weekdays+INDEX(P$403:P$594,MATCH(1,($A609=$A$403:$A$594)*($B609=$B$403:$B$594)*("Weekend"=$D$403:$D$594),0))*WeekendDays)/DaysPerWeek</f>
        <v>0</v>
      </c>
      <c r="P609" s="11" cm="1">
        <f t="array" ref="P609">(INDEX(Q$403:Q$594,MATCH(1,($A609=$A$403:$A$594)*($B609=$B$403:$B$594)*("Weekday"=$D$403:$D$594),0))*Weekdays+INDEX(Q$403:Q$594,MATCH(1,($A609=$A$403:$A$594)*($B609=$B$403:$B$594)*("Weekend"=$D$403:$D$594),0))*WeekendDays)/DaysPerWeek</f>
        <v>1.5924331839998855E-4</v>
      </c>
      <c r="Q609" s="11" cm="1">
        <f t="array" ref="Q609">(INDEX(R$403:R$594,MATCH(1,($A609=$A$403:$A$594)*($B609=$B$403:$B$594)*("Weekday"=$D$403:$D$594),0))*Weekdays+INDEX(R$403:R$594,MATCH(1,($A609=$A$403:$A$594)*($B609=$B$403:$B$594)*("Weekend"=$D$403:$D$594),0))*WeekendDays)/DaysPerWeek</f>
        <v>1.5924331839998861E-4</v>
      </c>
      <c r="R609" s="11" cm="1">
        <f t="array" ref="R609">(INDEX(S$403:S$594,MATCH(1,($A609=$A$403:$A$594)*($B609=$B$403:$B$594)*("Weekday"=$D$403:$D$594),0))*Weekdays+INDEX(S$403:S$594,MATCH(1,($A609=$A$403:$A$594)*($B609=$B$403:$B$594)*("Weekend"=$D$403:$D$594),0))*WeekendDays)/DaysPerWeek</f>
        <v>0</v>
      </c>
      <c r="S609" s="11" cm="1">
        <f t="array" ref="S609">(INDEX(T$403:T$594,MATCH(1,($A609=$A$403:$A$594)*($B609=$B$403:$B$594)*("Weekday"=$D$403:$D$594),0))*Weekdays+INDEX(T$403:T$594,MATCH(1,($A609=$A$403:$A$594)*($B609=$B$403:$B$594)*("Weekend"=$D$403:$D$594),0))*WeekendDays)/DaysPerWeek</f>
        <v>1.5924331839998861E-4</v>
      </c>
      <c r="T609" s="11" cm="1">
        <f t="array" ref="T609">(INDEX(U$403:U$594,MATCH(1,($A609=$A$403:$A$594)*($B609=$B$403:$B$594)*("Weekday"=$D$403:$D$594),0))*Weekdays+INDEX(U$403:U$594,MATCH(1,($A609=$A$403:$A$594)*($B609=$B$403:$B$594)*("Weekend"=$D$403:$D$594),0))*WeekendDays)/DaysPerWeek</f>
        <v>0</v>
      </c>
      <c r="U609" s="11" t="e" cm="1">
        <f t="array" ref="U609">(INDEX(V$403:V$594,MATCH(1,($A609=$A$403:$A$594)*($B609=$B$403:$B$594)*("Weekday"=$D$403:$D$594),0))*Weekdays+INDEX(V$403:V$594,MATCH(1,($A609=$A$403:$A$594)*($B609=$B$403:$B$594)*("Weekend"=$D$403:$D$594),0))*WeekendDays)/DaysPerWeek</f>
        <v>#DIV/0!</v>
      </c>
      <c r="V609" s="11" cm="1">
        <f t="array" ref="V609">(INDEX(W$403:W$594,MATCH(1,($A609=$A$403:$A$594)*($B609=$B$403:$B$594)*("Weekday"=$D$403:$D$594),0))*Weekdays+INDEX(W$403:W$594,MATCH(1,($A609=$A$403:$A$594)*($B609=$B$403:$B$594)*("Weekend"=$D$403:$D$594),0))*WeekendDays)/DaysPerWeek</f>
        <v>1.1704273557442527E-4</v>
      </c>
      <c r="W609" s="11" cm="1">
        <f t="array" ref="W609">(INDEX(X$403:X$594,MATCH(1,($A609=$A$403:$A$594)*($B609=$B$403:$B$594)*("Weekday"=$D$403:$D$594),0))*Weekdays+INDEX(X$403:X$594,MATCH(1,($A609=$A$403:$A$594)*($B609=$B$403:$B$594)*("Weekend"=$D$403:$D$594),0))*WeekendDays)/DaysPerWeek</f>
        <v>0</v>
      </c>
      <c r="X609" s="11" cm="1">
        <f t="array" ref="X609">(INDEX(Y$403:Y$594,MATCH(1,($A609=$A$403:$A$594)*($B609=$B$403:$B$594)*("Weekday"=$D$403:$D$594),0))*Weekdays+INDEX(Y$403:Y$594,MATCH(1,($A609=$A$403:$A$594)*($B609=$B$403:$B$594)*("Weekend"=$D$403:$D$594),0))*WeekendDays)/DaysPerWeek</f>
        <v>0</v>
      </c>
      <c r="Y609" s="25" t="e">
        <f t="shared" si="422"/>
        <v>#DIV/0!</v>
      </c>
      <c r="Z609" s="32" t="e">
        <f t="shared" si="421"/>
        <v>#DIV/0!</v>
      </c>
    </row>
    <row r="610" spans="1:26" outlineLevel="1" x14ac:dyDescent="0.25">
      <c r="A610" t="s">
        <v>37</v>
      </c>
      <c r="B610" t="s">
        <v>157</v>
      </c>
      <c r="C610" s="7" t="s">
        <v>9</v>
      </c>
      <c r="D610" s="11" cm="1">
        <f t="array" ref="D610">(INDEX(E$403:E$594,MATCH(1,($A610=$A$403:$A$594)*($B610=$B$403:$B$594)*("Weekday"=$D$403:$D$594),0))*Weekdays+INDEX(E$403:E$594,MATCH(1,($A610=$A$403:$A$594)*($B610=$B$403:$B$594)*("Weekend"=$D$403:$D$594),0))*WeekendDays)/DaysPerWeek</f>
        <v>2.2552095933274667E-4</v>
      </c>
      <c r="E610" s="11" cm="1">
        <f t="array" ref="E610">(INDEX(F$403:F$594,MATCH(1,($A610=$A$403:$A$594)*($B610=$B$403:$B$594)*("Weekday"=$D$403:$D$594),0))*Weekdays+INDEX(F$403:F$594,MATCH(1,($A610=$A$403:$A$594)*($B610=$B$403:$B$594)*("Weekend"=$D$403:$D$594),0))*WeekendDays)/DaysPerWeek</f>
        <v>7.9541661062030486E-8</v>
      </c>
      <c r="F610" s="11" cm="1">
        <f t="array" ref="F610">(INDEX(G$403:G$594,MATCH(1,($A610=$A$403:$A$594)*($B610=$B$403:$B$594)*("Weekday"=$D$403:$D$594),0))*Weekdays+INDEX(G$403:G$594,MATCH(1,($A610=$A$403:$A$594)*($B610=$B$403:$B$594)*("Weekend"=$D$403:$D$594),0))*WeekendDays)/DaysPerWeek</f>
        <v>0</v>
      </c>
      <c r="G610" s="11" cm="1">
        <f t="array" ref="G610">(INDEX(H$403:H$594,MATCH(1,($A610=$A$403:$A$594)*($B610=$B$403:$B$594)*("Weekday"=$D$403:$D$594),0))*Weekdays+INDEX(H$403:H$594,MATCH(1,($A610=$A$403:$A$594)*($B610=$B$403:$B$594)*("Weekend"=$D$403:$D$594),0))*WeekendDays)/DaysPerWeek</f>
        <v>6.295659122137997E-5</v>
      </c>
      <c r="H610" s="11" cm="1">
        <f t="array" ref="H610">(INDEX(I$403:I$594,MATCH(1,($A610=$A$403:$A$594)*($B610=$B$403:$B$594)*("Weekday"=$D$403:$D$594),0))*Weekdays+INDEX(I$403:I$594,MATCH(1,($A610=$A$403:$A$594)*($B610=$B$403:$B$594)*("Weekend"=$D$403:$D$594),0))*WeekendDays)/DaysPerWeek</f>
        <v>1.9330763247659704E-4</v>
      </c>
      <c r="I610" s="11" cm="1">
        <f t="array" ref="I610">(INDEX(J$403:J$594,MATCH(1,($A610=$A$403:$A$594)*($B610=$B$403:$B$594)*("Weekday"=$D$403:$D$594),0))*Weekdays+INDEX(J$403:J$594,MATCH(1,($A610=$A$403:$A$594)*($B610=$B$403:$B$594)*("Weekend"=$D$403:$D$594),0))*WeekendDays)/DaysPerWeek</f>
        <v>1.9330763247659704E-4</v>
      </c>
      <c r="J610" s="11" cm="1">
        <f t="array" ref="J610">(INDEX(K$403:K$594,MATCH(1,($A610=$A$403:$A$594)*($B610=$B$403:$B$594)*("Weekday"=$D$403:$D$594),0))*Weekdays+INDEX(K$403:K$594,MATCH(1,($A610=$A$403:$A$594)*($B610=$B$403:$B$594)*("Weekend"=$D$403:$D$594),0))*WeekendDays)/DaysPerWeek</f>
        <v>3.0835556995325886E-4</v>
      </c>
      <c r="K610" s="11" cm="1">
        <f t="array" ref="K610">(INDEX(L$403:L$594,MATCH(1,($A610=$A$403:$A$594)*($B610=$B$403:$B$594)*("Weekday"=$D$403:$D$594),0))*Weekdays+INDEX(L$403:L$594,MATCH(1,($A610=$A$403:$A$594)*($B610=$B$403:$B$594)*("Weekend"=$D$403:$D$594),0))*WeekendDays)/DaysPerWeek</f>
        <v>1.5900768677629272E-7</v>
      </c>
      <c r="L610" s="11" cm="1">
        <f t="array" ref="L610">(INDEX(M$403:M$594,MATCH(1,($A610=$A$403:$A$594)*($B610=$B$403:$B$594)*("Weekday"=$D$403:$D$594),0))*Weekdays+INDEX(M$403:M$594,MATCH(1,($A610=$A$403:$A$594)*($B610=$B$403:$B$594)*("Weekend"=$D$403:$D$594),0))*WeekendDays)/DaysPerWeek</f>
        <v>0</v>
      </c>
      <c r="M610" s="11" cm="1">
        <f t="array" ref="M610">(INDEX(N$403:N$594,MATCH(1,($A610=$A$403:$A$594)*($B610=$B$403:$B$594)*("Weekday"=$D$403:$D$594),0))*Weekdays+INDEX(N$403:N$594,MATCH(1,($A610=$A$403:$A$594)*($B610=$B$403:$B$594)*("Weekend"=$D$403:$D$594),0))*WeekendDays)/DaysPerWeek</f>
        <v>1.6852387958045056E-4</v>
      </c>
      <c r="N610" s="11" cm="1">
        <f t="array" ref="N610">(INDEX(O$403:O$594,MATCH(1,($A610=$A$403:$A$594)*($B610=$B$403:$B$594)*("Weekday"=$D$403:$D$594),0))*Weekdays+INDEX(O$403:O$594,MATCH(1,($A610=$A$403:$A$594)*($B610=$B$403:$B$594)*("Weekend"=$D$403:$D$594),0))*WeekendDays)/DaysPerWeek</f>
        <v>1.6852387958045056E-4</v>
      </c>
      <c r="O610" s="11" cm="1">
        <f t="array" ref="O610">(INDEX(P$403:P$594,MATCH(1,($A610=$A$403:$A$594)*($B610=$B$403:$B$594)*("Weekday"=$D$403:$D$594),0))*Weekdays+INDEX(P$403:P$594,MATCH(1,($A610=$A$403:$A$594)*($B610=$B$403:$B$594)*("Weekend"=$D$403:$D$594),0))*WeekendDays)/DaysPerWeek</f>
        <v>0</v>
      </c>
      <c r="P610" s="11" cm="1">
        <f t="array" ref="P610">(INDEX(Q$403:Q$594,MATCH(1,($A610=$A$403:$A$594)*($B610=$B$403:$B$594)*("Weekday"=$D$403:$D$594),0))*Weekdays+INDEX(Q$403:Q$594,MATCH(1,($A610=$A$403:$A$594)*($B610=$B$403:$B$594)*("Weekend"=$D$403:$D$594),0))*WeekendDays)/DaysPerWeek</f>
        <v>1.3882524015486542E-4</v>
      </c>
      <c r="Q610" s="11" cm="1">
        <f t="array" ref="Q610">(INDEX(R$403:R$594,MATCH(1,($A610=$A$403:$A$594)*($B610=$B$403:$B$594)*("Weekday"=$D$403:$D$594),0))*Weekdays+INDEX(R$403:R$594,MATCH(1,($A610=$A$403:$A$594)*($B610=$B$403:$B$594)*("Weekend"=$D$403:$D$594),0))*WeekendDays)/DaysPerWeek</f>
        <v>1.3882524015486545E-4</v>
      </c>
      <c r="R610" s="11" cm="1">
        <f t="array" ref="R610">(INDEX(S$403:S$594,MATCH(1,($A610=$A$403:$A$594)*($B610=$B$403:$B$594)*("Weekday"=$D$403:$D$594),0))*Weekdays+INDEX(S$403:S$594,MATCH(1,($A610=$A$403:$A$594)*($B610=$B$403:$B$594)*("Weekend"=$D$403:$D$594),0))*WeekendDays)/DaysPerWeek</f>
        <v>0</v>
      </c>
      <c r="S610" s="11" cm="1">
        <f t="array" ref="S610">(INDEX(T$403:T$594,MATCH(1,($A610=$A$403:$A$594)*($B610=$B$403:$B$594)*("Weekday"=$D$403:$D$594),0))*Weekdays+INDEX(T$403:T$594,MATCH(1,($A610=$A$403:$A$594)*($B610=$B$403:$B$594)*("Weekend"=$D$403:$D$594),0))*WeekendDays)/DaysPerWeek</f>
        <v>1.388252401548655E-4</v>
      </c>
      <c r="T610" s="11" cm="1">
        <f t="array" ref="T610">(INDEX(U$403:U$594,MATCH(1,($A610=$A$403:$A$594)*($B610=$B$403:$B$594)*("Weekday"=$D$403:$D$594),0))*Weekdays+INDEX(U$403:U$594,MATCH(1,($A610=$A$403:$A$594)*($B610=$B$403:$B$594)*("Weekend"=$D$403:$D$594),0))*WeekendDays)/DaysPerWeek</f>
        <v>0</v>
      </c>
      <c r="U610" s="11" t="e" cm="1">
        <f t="array" ref="U610">(INDEX(V$403:V$594,MATCH(1,($A610=$A$403:$A$594)*($B610=$B$403:$B$594)*("Weekday"=$D$403:$D$594),0))*Weekdays+INDEX(V$403:V$594,MATCH(1,($A610=$A$403:$A$594)*($B610=$B$403:$B$594)*("Weekend"=$D$403:$D$594),0))*WeekendDays)/DaysPerWeek</f>
        <v>#DIV/0!</v>
      </c>
      <c r="V610" s="11" cm="1">
        <f t="array" ref="V610">(INDEX(W$403:W$594,MATCH(1,($A610=$A$403:$A$594)*($B610=$B$403:$B$594)*("Weekday"=$D$403:$D$594),0))*Weekdays+INDEX(W$403:W$594,MATCH(1,($A610=$A$403:$A$594)*($B610=$B$403:$B$594)*("Weekend"=$D$403:$D$594),0))*WeekendDays)/DaysPerWeek</f>
        <v>1.1661073728859446E-4</v>
      </c>
      <c r="W610" s="11" cm="1">
        <f t="array" ref="W610">(INDEX(X$403:X$594,MATCH(1,($A610=$A$403:$A$594)*($B610=$B$403:$B$594)*("Weekday"=$D$403:$D$594),0))*Weekdays+INDEX(X$403:X$594,MATCH(1,($A610=$A$403:$A$594)*($B610=$B$403:$B$594)*("Weekend"=$D$403:$D$594),0))*WeekendDays)/DaysPerWeek</f>
        <v>0</v>
      </c>
      <c r="X610" s="11" cm="1">
        <f t="array" ref="X610">(INDEX(Y$403:Y$594,MATCH(1,($A610=$A$403:$A$594)*($B610=$B$403:$B$594)*("Weekday"=$D$403:$D$594),0))*Weekdays+INDEX(Y$403:Y$594,MATCH(1,($A610=$A$403:$A$594)*($B610=$B$403:$B$594)*("Weekend"=$D$403:$D$594),0))*WeekendDays)/DaysPerWeek</f>
        <v>0</v>
      </c>
      <c r="Y610" s="25" t="e">
        <f t="shared" si="422"/>
        <v>#DIV/0!</v>
      </c>
      <c r="Z610" s="32" t="e">
        <f t="shared" si="421"/>
        <v>#DIV/0!</v>
      </c>
    </row>
    <row r="611" spans="1:26" outlineLevel="1" x14ac:dyDescent="0.25">
      <c r="A611" t="s">
        <v>37</v>
      </c>
      <c r="B611" t="s">
        <v>158</v>
      </c>
      <c r="C611" s="7" t="s">
        <v>10</v>
      </c>
      <c r="D611" s="11" cm="1">
        <f t="array" ref="D611">(INDEX(E$403:E$594,MATCH(1,($A611=$A$403:$A$594)*($B611=$B$403:$B$594)*("Weekday"=$D$403:$D$594),0))*Weekdays+INDEX(E$403:E$594,MATCH(1,($A611=$A$403:$A$594)*($B611=$B$403:$B$594)*("Weekend"=$D$403:$D$594),0))*WeekendDays)/DaysPerWeek</f>
        <v>2.0867432239995827E-4</v>
      </c>
      <c r="E611" s="11" cm="1">
        <f t="array" ref="E611">(INDEX(F$403:F$594,MATCH(1,($A611=$A$403:$A$594)*($B611=$B$403:$B$594)*("Weekday"=$D$403:$D$594),0))*Weekdays+INDEX(F$403:F$594,MATCH(1,($A611=$A$403:$A$594)*($B611=$B$403:$B$594)*("Weekend"=$D$403:$D$594),0))*WeekendDays)/DaysPerWeek</f>
        <v>8.5959770866014833E-8</v>
      </c>
      <c r="F611" s="11" cm="1">
        <f t="array" ref="F611">(INDEX(G$403:G$594,MATCH(1,($A611=$A$403:$A$594)*($B611=$B$403:$B$594)*("Weekday"=$D$403:$D$594),0))*Weekdays+INDEX(G$403:G$594,MATCH(1,($A611=$A$403:$A$594)*($B611=$B$403:$B$594)*("Weekend"=$D$403:$D$594),0))*WeekendDays)/DaysPerWeek</f>
        <v>0</v>
      </c>
      <c r="G611" s="11" cm="1">
        <f t="array" ref="G611">(INDEX(H$403:H$594,MATCH(1,($A611=$A$403:$A$594)*($B611=$B$403:$B$594)*("Weekday"=$D$403:$D$594),0))*Weekdays+INDEX(H$403:H$594,MATCH(1,($A611=$A$403:$A$594)*($B611=$B$403:$B$594)*("Weekend"=$D$403:$D$594),0))*WeekendDays)/DaysPerWeek</f>
        <v>6.8042433108837257E-5</v>
      </c>
      <c r="H611" s="11" cm="1">
        <f t="array" ref="H611">(INDEX(I$403:I$594,MATCH(1,($A611=$A$403:$A$594)*($B611=$B$403:$B$594)*("Weekday"=$D$403:$D$594),0))*Weekdays+INDEX(I$403:I$594,MATCH(1,($A611=$A$403:$A$594)*($B611=$B$403:$B$594)*("Weekend"=$D$403:$D$594),0))*WeekendDays)/DaysPerWeek</f>
        <v>1.7284346942940027E-4</v>
      </c>
      <c r="I611" s="11" cm="1">
        <f t="array" ref="I611">(INDEX(J$403:J$594,MATCH(1,($A611=$A$403:$A$594)*($B611=$B$403:$B$594)*("Weekday"=$D$403:$D$594),0))*Weekdays+INDEX(J$403:J$594,MATCH(1,($A611=$A$403:$A$594)*($B611=$B$403:$B$594)*("Weekend"=$D$403:$D$594),0))*WeekendDays)/DaysPerWeek</f>
        <v>1.7284346942940027E-4</v>
      </c>
      <c r="J611" s="11" cm="1">
        <f t="array" ref="J611">(INDEX(K$403:K$594,MATCH(1,($A611=$A$403:$A$594)*($B611=$B$403:$B$594)*("Weekday"=$D$403:$D$594),0))*Weekdays+INDEX(K$403:K$594,MATCH(1,($A611=$A$403:$A$594)*($B611=$B$403:$B$594)*("Weekend"=$D$403:$D$594),0))*WeekendDays)/DaysPerWeek</f>
        <v>2.6957348840550007E-4</v>
      </c>
      <c r="K611" s="11" cm="1">
        <f t="array" ref="K611">(INDEX(L$403:L$594,MATCH(1,($A611=$A$403:$A$594)*($B611=$B$403:$B$594)*("Weekday"=$D$403:$D$594),0))*Weekdays+INDEX(L$403:L$594,MATCH(1,($A611=$A$403:$A$594)*($B611=$B$403:$B$594)*("Weekend"=$D$403:$D$594),0))*WeekendDays)/DaysPerWeek</f>
        <v>1.607387341166573E-7</v>
      </c>
      <c r="L611" s="11" cm="1">
        <f t="array" ref="L611">(INDEX(M$403:M$594,MATCH(1,($A611=$A$403:$A$594)*($B611=$B$403:$B$594)*("Weekday"=$D$403:$D$594),0))*Weekdays+INDEX(M$403:M$594,MATCH(1,($A611=$A$403:$A$594)*($B611=$B$403:$B$594)*("Weekend"=$D$403:$D$594),0))*WeekendDays)/DaysPerWeek</f>
        <v>0</v>
      </c>
      <c r="M611" s="11" cm="1">
        <f t="array" ref="M611">(INDEX(N$403:N$594,MATCH(1,($A611=$A$403:$A$594)*($B611=$B$403:$B$594)*("Weekday"=$D$403:$D$594),0))*Weekdays+INDEX(N$403:N$594,MATCH(1,($A611=$A$403:$A$594)*($B611=$B$403:$B$594)*("Weekend"=$D$403:$D$594),0))*WeekendDays)/DaysPerWeek</f>
        <v>1.681234163988229E-4</v>
      </c>
      <c r="N611" s="11" cm="1">
        <f t="array" ref="N611">(INDEX(O$403:O$594,MATCH(1,($A611=$A$403:$A$594)*($B611=$B$403:$B$594)*("Weekday"=$D$403:$D$594),0))*Weekdays+INDEX(O$403:O$594,MATCH(1,($A611=$A$403:$A$594)*($B611=$B$403:$B$594)*("Weekend"=$D$403:$D$594),0))*WeekendDays)/DaysPerWeek</f>
        <v>1.681234163988229E-4</v>
      </c>
      <c r="O611" s="11" cm="1">
        <f t="array" ref="O611">(INDEX(P$403:P$594,MATCH(1,($A611=$A$403:$A$594)*($B611=$B$403:$B$594)*("Weekday"=$D$403:$D$594),0))*Weekdays+INDEX(P$403:P$594,MATCH(1,($A611=$A$403:$A$594)*($B611=$B$403:$B$594)*("Weekend"=$D$403:$D$594),0))*WeekendDays)/DaysPerWeek</f>
        <v>0</v>
      </c>
      <c r="P611" s="11" cm="1">
        <f t="array" ref="P611">(INDEX(Q$403:Q$594,MATCH(1,($A611=$A$403:$A$594)*($B611=$B$403:$B$594)*("Weekday"=$D$403:$D$594),0))*Weekdays+INDEX(Q$403:Q$594,MATCH(1,($A611=$A$403:$A$594)*($B611=$B$403:$B$594)*("Weekend"=$D$403:$D$594),0))*WeekendDays)/DaysPerWeek</f>
        <v>1.4078571860625384E-4</v>
      </c>
      <c r="Q611" s="11" cm="1">
        <f t="array" ref="Q611">(INDEX(R$403:R$594,MATCH(1,($A611=$A$403:$A$594)*($B611=$B$403:$B$594)*("Weekday"=$D$403:$D$594),0))*Weekdays+INDEX(R$403:R$594,MATCH(1,($A611=$A$403:$A$594)*($B611=$B$403:$B$594)*("Weekend"=$D$403:$D$594),0))*WeekendDays)/DaysPerWeek</f>
        <v>1.4078571860625389E-4</v>
      </c>
      <c r="R611" s="11" cm="1">
        <f t="array" ref="R611">(INDEX(S$403:S$594,MATCH(1,($A611=$A$403:$A$594)*($B611=$B$403:$B$594)*("Weekday"=$D$403:$D$594),0))*Weekdays+INDEX(S$403:S$594,MATCH(1,($A611=$A$403:$A$594)*($B611=$B$403:$B$594)*("Weekend"=$D$403:$D$594),0))*WeekendDays)/DaysPerWeek</f>
        <v>0</v>
      </c>
      <c r="S611" s="11" cm="1">
        <f t="array" ref="S611">(INDEX(T$403:T$594,MATCH(1,($A611=$A$403:$A$594)*($B611=$B$403:$B$594)*("Weekday"=$D$403:$D$594),0))*Weekdays+INDEX(T$403:T$594,MATCH(1,($A611=$A$403:$A$594)*($B611=$B$403:$B$594)*("Weekend"=$D$403:$D$594),0))*WeekendDays)/DaysPerWeek</f>
        <v>1.4078571860625392E-4</v>
      </c>
      <c r="T611" s="11" cm="1">
        <f t="array" ref="T611">(INDEX(U$403:U$594,MATCH(1,($A611=$A$403:$A$594)*($B611=$B$403:$B$594)*("Weekday"=$D$403:$D$594),0))*Weekdays+INDEX(U$403:U$594,MATCH(1,($A611=$A$403:$A$594)*($B611=$B$403:$B$594)*("Weekend"=$D$403:$D$594),0))*WeekendDays)/DaysPerWeek</f>
        <v>0</v>
      </c>
      <c r="U611" s="11" t="e" cm="1">
        <f t="array" ref="U611">(INDEX(V$403:V$594,MATCH(1,($A611=$A$403:$A$594)*($B611=$B$403:$B$594)*("Weekday"=$D$403:$D$594),0))*Weekdays+INDEX(V$403:V$594,MATCH(1,($A611=$A$403:$A$594)*($B611=$B$403:$B$594)*("Weekend"=$D$403:$D$594),0))*WeekendDays)/DaysPerWeek</f>
        <v>#DIV/0!</v>
      </c>
      <c r="V611" s="11" cm="1">
        <f t="array" ref="V611">(INDEX(W$403:W$594,MATCH(1,($A611=$A$403:$A$594)*($B611=$B$403:$B$594)*("Weekday"=$D$403:$D$594),0))*Weekdays+INDEX(W$403:W$594,MATCH(1,($A611=$A$403:$A$594)*($B611=$B$403:$B$594)*("Weekend"=$D$403:$D$594),0))*WeekendDays)/DaysPerWeek</f>
        <v>1.1629393854565186E-4</v>
      </c>
      <c r="W611" s="11" cm="1">
        <f t="array" ref="W611">(INDEX(X$403:X$594,MATCH(1,($A611=$A$403:$A$594)*($B611=$B$403:$B$594)*("Weekday"=$D$403:$D$594),0))*Weekdays+INDEX(X$403:X$594,MATCH(1,($A611=$A$403:$A$594)*($B611=$B$403:$B$594)*("Weekend"=$D$403:$D$594),0))*WeekendDays)/DaysPerWeek</f>
        <v>0</v>
      </c>
      <c r="X611" s="11" cm="1">
        <f t="array" ref="X611">(INDEX(Y$403:Y$594,MATCH(1,($A611=$A$403:$A$594)*($B611=$B$403:$B$594)*("Weekday"=$D$403:$D$594),0))*Weekdays+INDEX(Y$403:Y$594,MATCH(1,($A611=$A$403:$A$594)*($B611=$B$403:$B$594)*("Weekend"=$D$403:$D$594),0))*WeekendDays)/DaysPerWeek</f>
        <v>0</v>
      </c>
      <c r="Y611" s="25" t="e">
        <f t="shared" si="422"/>
        <v>#DIV/0!</v>
      </c>
      <c r="Z611" s="32" t="e">
        <f t="shared" si="421"/>
        <v>#DIV/0!</v>
      </c>
    </row>
    <row r="612" spans="1:26" outlineLevel="1" x14ac:dyDescent="0.25">
      <c r="A612" t="s">
        <v>37</v>
      </c>
      <c r="B612" t="s">
        <v>159</v>
      </c>
      <c r="C612" s="7" t="s">
        <v>11</v>
      </c>
      <c r="D612" s="11" cm="1">
        <f t="array" ref="D612">(INDEX(E$403:E$594,MATCH(1,($A612=$A$403:$A$594)*($B612=$B$403:$B$594)*("Weekday"=$D$403:$D$594),0))*Weekdays+INDEX(E$403:E$594,MATCH(1,($A612=$A$403:$A$594)*($B612=$B$403:$B$594)*("Weekend"=$D$403:$D$594),0))*WeekendDays)/DaysPerWeek</f>
        <v>2.0731704281699539E-4</v>
      </c>
      <c r="E612" s="11" cm="1">
        <f t="array" ref="E612">(INDEX(F$403:F$594,MATCH(1,($A612=$A$403:$A$594)*($B612=$B$403:$B$594)*("Weekday"=$D$403:$D$594),0))*Weekdays+INDEX(F$403:F$594,MATCH(1,($A612=$A$403:$A$594)*($B612=$B$403:$B$594)*("Weekend"=$D$403:$D$594),0))*WeekendDays)/DaysPerWeek</f>
        <v>9.1722254271971335E-8</v>
      </c>
      <c r="F612" s="11" cm="1">
        <f t="array" ref="F612">(INDEX(G$403:G$594,MATCH(1,($A612=$A$403:$A$594)*($B612=$B$403:$B$594)*("Weekday"=$D$403:$D$594),0))*Weekdays+INDEX(G$403:G$594,MATCH(1,($A612=$A$403:$A$594)*($B612=$B$403:$B$594)*("Weekend"=$D$403:$D$594),0))*WeekendDays)/DaysPerWeek</f>
        <v>0</v>
      </c>
      <c r="G612" s="11" cm="1">
        <f t="array" ref="G612">(INDEX(H$403:H$594,MATCH(1,($A612=$A$403:$A$594)*($B612=$B$403:$B$594)*("Weekday"=$D$403:$D$594),0))*Weekdays+INDEX(H$403:H$594,MATCH(1,($A612=$A$403:$A$594)*($B612=$B$403:$B$594)*("Weekend"=$D$403:$D$594),0))*WeekendDays)/DaysPerWeek</f>
        <v>7.1186540977134392E-5</v>
      </c>
      <c r="H612" s="11" cm="1">
        <f t="array" ref="H612">(INDEX(I$403:I$594,MATCH(1,($A612=$A$403:$A$594)*($B612=$B$403:$B$594)*("Weekday"=$D$403:$D$594),0))*Weekdays+INDEX(I$403:I$594,MATCH(1,($A612=$A$403:$A$594)*($B612=$B$403:$B$594)*("Weekend"=$D$403:$D$594),0))*WeekendDays)/DaysPerWeek</f>
        <v>1.4847722968152545E-4</v>
      </c>
      <c r="I612" s="11" cm="1">
        <f t="array" ref="I612">(INDEX(J$403:J$594,MATCH(1,($A612=$A$403:$A$594)*($B612=$B$403:$B$594)*("Weekday"=$D$403:$D$594),0))*Weekdays+INDEX(J$403:J$594,MATCH(1,($A612=$A$403:$A$594)*($B612=$B$403:$B$594)*("Weekend"=$D$403:$D$594),0))*WeekendDays)/DaysPerWeek</f>
        <v>1.4847722968152545E-4</v>
      </c>
      <c r="J612" s="11" cm="1">
        <f t="array" ref="J612">(INDEX(K$403:K$594,MATCH(1,($A612=$A$403:$A$594)*($B612=$B$403:$B$594)*("Weekday"=$D$403:$D$594),0))*Weekdays+INDEX(K$403:K$594,MATCH(1,($A612=$A$403:$A$594)*($B612=$B$403:$B$594)*("Weekend"=$D$403:$D$594),0))*WeekendDays)/DaysPerWeek</f>
        <v>2.386808989373098E-4</v>
      </c>
      <c r="K612" s="11" cm="1">
        <f t="array" ref="K612">(INDEX(L$403:L$594,MATCH(1,($A612=$A$403:$A$594)*($B612=$B$403:$B$594)*("Weekday"=$D$403:$D$594),0))*Weekdays+INDEX(L$403:L$594,MATCH(1,($A612=$A$403:$A$594)*($B612=$B$403:$B$594)*("Weekend"=$D$403:$D$594),0))*WeekendDays)/DaysPerWeek</f>
        <v>1.5672531011021519E-7</v>
      </c>
      <c r="L612" s="11" cm="1">
        <f t="array" ref="L612">(INDEX(M$403:M$594,MATCH(1,($A612=$A$403:$A$594)*($B612=$B$403:$B$594)*("Weekday"=$D$403:$D$594),0))*Weekdays+INDEX(M$403:M$594,MATCH(1,($A612=$A$403:$A$594)*($B612=$B$403:$B$594)*("Weekend"=$D$403:$D$594),0))*WeekendDays)/DaysPerWeek</f>
        <v>0</v>
      </c>
      <c r="M612" s="11" cm="1">
        <f t="array" ref="M612">(INDEX(N$403:N$594,MATCH(1,($A612=$A$403:$A$594)*($B612=$B$403:$B$594)*("Weekday"=$D$403:$D$594),0))*Weekdays+INDEX(N$403:N$594,MATCH(1,($A612=$A$403:$A$594)*($B612=$B$403:$B$594)*("Weekend"=$D$403:$D$594),0))*WeekendDays)/DaysPerWeek</f>
        <v>1.6576946632289002E-4</v>
      </c>
      <c r="N612" s="11" cm="1">
        <f t="array" ref="N612">(INDEX(O$403:O$594,MATCH(1,($A612=$A$403:$A$594)*($B612=$B$403:$B$594)*("Weekday"=$D$403:$D$594),0))*Weekdays+INDEX(O$403:O$594,MATCH(1,($A612=$A$403:$A$594)*($B612=$B$403:$B$594)*("Weekend"=$D$403:$D$594),0))*WeekendDays)/DaysPerWeek</f>
        <v>1.6576946632289002E-4</v>
      </c>
      <c r="O612" s="11" cm="1">
        <f t="array" ref="O612">(INDEX(P$403:P$594,MATCH(1,($A612=$A$403:$A$594)*($B612=$B$403:$B$594)*("Weekday"=$D$403:$D$594),0))*Weekdays+INDEX(P$403:P$594,MATCH(1,($A612=$A$403:$A$594)*($B612=$B$403:$B$594)*("Weekend"=$D$403:$D$594),0))*WeekendDays)/DaysPerWeek</f>
        <v>0</v>
      </c>
      <c r="P612" s="11" cm="1">
        <f t="array" ref="P612">(INDEX(Q$403:Q$594,MATCH(1,($A612=$A$403:$A$594)*($B612=$B$403:$B$594)*("Weekday"=$D$403:$D$594),0))*Weekdays+INDEX(Q$403:Q$594,MATCH(1,($A612=$A$403:$A$594)*($B612=$B$403:$B$594)*("Weekend"=$D$403:$D$594),0))*WeekendDays)/DaysPerWeek</f>
        <v>1.4128123391215556E-4</v>
      </c>
      <c r="Q612" s="11" cm="1">
        <f t="array" ref="Q612">(INDEX(R$403:R$594,MATCH(1,($A612=$A$403:$A$594)*($B612=$B$403:$B$594)*("Weekday"=$D$403:$D$594),0))*Weekdays+INDEX(R$403:R$594,MATCH(1,($A612=$A$403:$A$594)*($B612=$B$403:$B$594)*("Weekend"=$D$403:$D$594),0))*WeekendDays)/DaysPerWeek</f>
        <v>1.4128123391215559E-4</v>
      </c>
      <c r="R612" s="11" cm="1">
        <f t="array" ref="R612">(INDEX(S$403:S$594,MATCH(1,($A612=$A$403:$A$594)*($B612=$B$403:$B$594)*("Weekday"=$D$403:$D$594),0))*Weekdays+INDEX(S$403:S$594,MATCH(1,($A612=$A$403:$A$594)*($B612=$B$403:$B$594)*("Weekend"=$D$403:$D$594),0))*WeekendDays)/DaysPerWeek</f>
        <v>0</v>
      </c>
      <c r="S612" s="11" cm="1">
        <f t="array" ref="S612">(INDEX(T$403:T$594,MATCH(1,($A612=$A$403:$A$594)*($B612=$B$403:$B$594)*("Weekday"=$D$403:$D$594),0))*Weekdays+INDEX(T$403:T$594,MATCH(1,($A612=$A$403:$A$594)*($B612=$B$403:$B$594)*("Weekend"=$D$403:$D$594),0))*WeekendDays)/DaysPerWeek</f>
        <v>1.4128123391215561E-4</v>
      </c>
      <c r="T612" s="11" cm="1">
        <f t="array" ref="T612">(INDEX(U$403:U$594,MATCH(1,($A612=$A$403:$A$594)*($B612=$B$403:$B$594)*("Weekday"=$D$403:$D$594),0))*Weekdays+INDEX(U$403:U$594,MATCH(1,($A612=$A$403:$A$594)*($B612=$B$403:$B$594)*("Weekend"=$D$403:$D$594),0))*WeekendDays)/DaysPerWeek</f>
        <v>0</v>
      </c>
      <c r="U612" s="11" t="e" cm="1">
        <f t="array" ref="U612">(INDEX(V$403:V$594,MATCH(1,($A612=$A$403:$A$594)*($B612=$B$403:$B$594)*("Weekday"=$D$403:$D$594),0))*Weekdays+INDEX(V$403:V$594,MATCH(1,($A612=$A$403:$A$594)*($B612=$B$403:$B$594)*("Weekend"=$D$403:$D$594),0))*WeekendDays)/DaysPerWeek</f>
        <v>#DIV/0!</v>
      </c>
      <c r="V612" s="11" cm="1">
        <f t="array" ref="V612">(INDEX(W$403:W$594,MATCH(1,($A612=$A$403:$A$594)*($B612=$B$403:$B$594)*("Weekday"=$D$403:$D$594),0))*Weekdays+INDEX(W$403:W$594,MATCH(1,($A612=$A$403:$A$594)*($B612=$B$403:$B$594)*("Weekend"=$D$403:$D$594),0))*WeekendDays)/DaysPerWeek</f>
        <v>1.1603473957415339E-4</v>
      </c>
      <c r="W612" s="11" cm="1">
        <f t="array" ref="W612">(INDEX(X$403:X$594,MATCH(1,($A612=$A$403:$A$594)*($B612=$B$403:$B$594)*("Weekday"=$D$403:$D$594),0))*Weekdays+INDEX(X$403:X$594,MATCH(1,($A612=$A$403:$A$594)*($B612=$B$403:$B$594)*("Weekend"=$D$403:$D$594),0))*WeekendDays)/DaysPerWeek</f>
        <v>0</v>
      </c>
      <c r="X612" s="11" cm="1">
        <f t="array" ref="X612">(INDEX(Y$403:Y$594,MATCH(1,($A612=$A$403:$A$594)*($B612=$B$403:$B$594)*("Weekday"=$D$403:$D$594),0))*Weekdays+INDEX(Y$403:Y$594,MATCH(1,($A612=$A$403:$A$594)*($B612=$B$403:$B$594)*("Weekend"=$D$403:$D$594),0))*WeekendDays)/DaysPerWeek</f>
        <v>0</v>
      </c>
      <c r="Y612" s="25" t="e">
        <f t="shared" si="422"/>
        <v>#DIV/0!</v>
      </c>
      <c r="Z612" s="32" t="e">
        <f t="shared" si="421"/>
        <v>#DIV/0!</v>
      </c>
    </row>
    <row r="613" spans="1:26" outlineLevel="1" x14ac:dyDescent="0.25">
      <c r="A613" t="s">
        <v>37</v>
      </c>
      <c r="B613" t="s">
        <v>160</v>
      </c>
      <c r="C613" s="7" t="s">
        <v>12</v>
      </c>
      <c r="D613" s="11" cm="1">
        <f t="array" ref="D613">(INDEX(E$403:E$594,MATCH(1,($A613=$A$403:$A$594)*($B613=$B$403:$B$594)*("Weekday"=$D$403:$D$594),0))*Weekdays+INDEX(E$403:E$594,MATCH(1,($A613=$A$403:$A$594)*($B613=$B$403:$B$594)*("Weekend"=$D$403:$D$594),0))*WeekendDays)/DaysPerWeek</f>
        <v>2.0452224815634563E-4</v>
      </c>
      <c r="E613" s="11" cm="1">
        <f t="array" ref="E613">(INDEX(F$403:F$594,MATCH(1,($A613=$A$403:$A$594)*($B613=$B$403:$B$594)*("Weekday"=$D$403:$D$594),0))*Weekdays+INDEX(F$403:F$594,MATCH(1,($A613=$A$403:$A$594)*($B613=$B$403:$B$594)*("Weekend"=$D$403:$D$594),0))*WeekendDays)/DaysPerWeek</f>
        <v>9.3758210554202016E-8</v>
      </c>
      <c r="F613" s="11" cm="1">
        <f t="array" ref="F613">(INDEX(G$403:G$594,MATCH(1,($A613=$A$403:$A$594)*($B613=$B$403:$B$594)*("Weekday"=$D$403:$D$594),0))*Weekdays+INDEX(G$403:G$594,MATCH(1,($A613=$A$403:$A$594)*($B613=$B$403:$B$594)*("Weekend"=$D$403:$D$594),0))*WeekendDays)/DaysPerWeek</f>
        <v>0</v>
      </c>
      <c r="G613" s="11" cm="1">
        <f t="array" ref="G613">(INDEX(H$403:H$594,MATCH(1,($A613=$A$403:$A$594)*($B613=$B$403:$B$594)*("Weekday"=$D$403:$D$594),0))*Weekdays+INDEX(H$403:H$594,MATCH(1,($A613=$A$403:$A$594)*($B613=$B$403:$B$594)*("Weekend"=$D$403:$D$594),0))*WeekendDays)/DaysPerWeek</f>
        <v>7.1746483560202216E-5</v>
      </c>
      <c r="H613" s="11" cm="1">
        <f t="array" ref="H613">(INDEX(I$403:I$594,MATCH(1,($A613=$A$403:$A$594)*($B613=$B$403:$B$594)*("Weekday"=$D$403:$D$594),0))*Weekdays+INDEX(I$403:I$594,MATCH(1,($A613=$A$403:$A$594)*($B613=$B$403:$B$594)*("Weekend"=$D$403:$D$594),0))*WeekendDays)/DaysPerWeek</f>
        <v>1.2870429726290496E-4</v>
      </c>
      <c r="I613" s="11" cm="1">
        <f t="array" ref="I613">(INDEX(J$403:J$594,MATCH(1,($A613=$A$403:$A$594)*($B613=$B$403:$B$594)*("Weekday"=$D$403:$D$594),0))*Weekdays+INDEX(J$403:J$594,MATCH(1,($A613=$A$403:$A$594)*($B613=$B$403:$B$594)*("Weekend"=$D$403:$D$594),0))*WeekendDays)/DaysPerWeek</f>
        <v>1.2870429726290496E-4</v>
      </c>
      <c r="J613" s="11" cm="1">
        <f t="array" ref="J613">(INDEX(K$403:K$594,MATCH(1,($A613=$A$403:$A$594)*($B613=$B$403:$B$594)*("Weekday"=$D$403:$D$594),0))*Weekdays+INDEX(K$403:K$594,MATCH(1,($A613=$A$403:$A$594)*($B613=$B$403:$B$594)*("Weekend"=$D$403:$D$594),0))*WeekendDays)/DaysPerWeek</f>
        <v>2.2240501365509472E-4</v>
      </c>
      <c r="K613" s="11" cm="1">
        <f t="array" ref="K613">(INDEX(L$403:L$594,MATCH(1,($A613=$A$403:$A$594)*($B613=$B$403:$B$594)*("Weekday"=$D$403:$D$594),0))*Weekdays+INDEX(L$403:L$594,MATCH(1,($A613=$A$403:$A$594)*($B613=$B$403:$B$594)*("Weekend"=$D$403:$D$594),0))*WeekendDays)/DaysPerWeek</f>
        <v>1.5936433981596072E-7</v>
      </c>
      <c r="L613" s="11" cm="1">
        <f t="array" ref="L613">(INDEX(M$403:M$594,MATCH(1,($A613=$A$403:$A$594)*($B613=$B$403:$B$594)*("Weekday"=$D$403:$D$594),0))*Weekdays+INDEX(M$403:M$594,MATCH(1,($A613=$A$403:$A$594)*($B613=$B$403:$B$594)*("Weekend"=$D$403:$D$594),0))*WeekendDays)/DaysPerWeek</f>
        <v>0</v>
      </c>
      <c r="M613" s="11" cm="1">
        <f t="array" ref="M613">(INDEX(N$403:N$594,MATCH(1,($A613=$A$403:$A$594)*($B613=$B$403:$B$594)*("Weekday"=$D$403:$D$594),0))*Weekdays+INDEX(N$403:N$594,MATCH(1,($A613=$A$403:$A$594)*($B613=$B$403:$B$594)*("Weekend"=$D$403:$D$594),0))*WeekendDays)/DaysPerWeek</f>
        <v>1.6455083916000466E-4</v>
      </c>
      <c r="N613" s="11" cm="1">
        <f t="array" ref="N613">(INDEX(O$403:O$594,MATCH(1,($A613=$A$403:$A$594)*($B613=$B$403:$B$594)*("Weekday"=$D$403:$D$594),0))*Weekdays+INDEX(O$403:O$594,MATCH(1,($A613=$A$403:$A$594)*($B613=$B$403:$B$594)*("Weekend"=$D$403:$D$594),0))*WeekendDays)/DaysPerWeek</f>
        <v>1.6455083916000466E-4</v>
      </c>
      <c r="O613" s="11" cm="1">
        <f t="array" ref="O613">(INDEX(P$403:P$594,MATCH(1,($A613=$A$403:$A$594)*($B613=$B$403:$B$594)*("Weekday"=$D$403:$D$594),0))*Weekdays+INDEX(P$403:P$594,MATCH(1,($A613=$A$403:$A$594)*($B613=$B$403:$B$594)*("Weekend"=$D$403:$D$594),0))*WeekendDays)/DaysPerWeek</f>
        <v>0</v>
      </c>
      <c r="P613" s="11" cm="1">
        <f t="array" ref="P613">(INDEX(Q$403:Q$594,MATCH(1,($A613=$A$403:$A$594)*($B613=$B$403:$B$594)*("Weekday"=$D$403:$D$594),0))*Weekdays+INDEX(Q$403:Q$594,MATCH(1,($A613=$A$403:$A$594)*($B613=$B$403:$B$594)*("Weekend"=$D$403:$D$594),0))*WeekendDays)/DaysPerWeek</f>
        <v>1.3849593474078917E-4</v>
      </c>
      <c r="Q613" s="11" cm="1">
        <f t="array" ref="Q613">(INDEX(R$403:R$594,MATCH(1,($A613=$A$403:$A$594)*($B613=$B$403:$B$594)*("Weekday"=$D$403:$D$594),0))*Weekdays+INDEX(R$403:R$594,MATCH(1,($A613=$A$403:$A$594)*($B613=$B$403:$B$594)*("Weekend"=$D$403:$D$594),0))*WeekendDays)/DaysPerWeek</f>
        <v>1.3849593474078923E-4</v>
      </c>
      <c r="R613" s="11" cm="1">
        <f t="array" ref="R613">(INDEX(S$403:S$594,MATCH(1,($A613=$A$403:$A$594)*($B613=$B$403:$B$594)*("Weekday"=$D$403:$D$594),0))*Weekdays+INDEX(S$403:S$594,MATCH(1,($A613=$A$403:$A$594)*($B613=$B$403:$B$594)*("Weekend"=$D$403:$D$594),0))*WeekendDays)/DaysPerWeek</f>
        <v>0</v>
      </c>
      <c r="S613" s="11" cm="1">
        <f t="array" ref="S613">(INDEX(T$403:T$594,MATCH(1,($A613=$A$403:$A$594)*($B613=$B$403:$B$594)*("Weekday"=$D$403:$D$594),0))*Weekdays+INDEX(T$403:T$594,MATCH(1,($A613=$A$403:$A$594)*($B613=$B$403:$B$594)*("Weekend"=$D$403:$D$594),0))*WeekendDays)/DaysPerWeek</f>
        <v>1.3849593474078926E-4</v>
      </c>
      <c r="T613" s="11" cm="1">
        <f t="array" ref="T613">(INDEX(U$403:U$594,MATCH(1,($A613=$A$403:$A$594)*($B613=$B$403:$B$594)*("Weekday"=$D$403:$D$594),0))*Weekdays+INDEX(U$403:U$594,MATCH(1,($A613=$A$403:$A$594)*($B613=$B$403:$B$594)*("Weekend"=$D$403:$D$594),0))*WeekendDays)/DaysPerWeek</f>
        <v>0</v>
      </c>
      <c r="U613" s="11" t="e" cm="1">
        <f t="array" ref="U613">(INDEX(V$403:V$594,MATCH(1,($A613=$A$403:$A$594)*($B613=$B$403:$B$594)*("Weekday"=$D$403:$D$594),0))*Weekdays+INDEX(V$403:V$594,MATCH(1,($A613=$A$403:$A$594)*($B613=$B$403:$B$594)*("Weekend"=$D$403:$D$594),0))*WeekendDays)/DaysPerWeek</f>
        <v>#DIV/0!</v>
      </c>
      <c r="V613" s="11" cm="1">
        <f t="array" ref="V613">(INDEX(W$403:W$594,MATCH(1,($A613=$A$403:$A$594)*($B613=$B$403:$B$594)*("Weekday"=$D$403:$D$594),0))*Weekdays+INDEX(W$403:W$594,MATCH(1,($A613=$A$403:$A$594)*($B613=$B$403:$B$594)*("Weekend"=$D$403:$D$594),0))*WeekendDays)/DaysPerWeek</f>
        <v>1.1597713980270928E-4</v>
      </c>
      <c r="W613" s="11" cm="1">
        <f t="array" ref="W613">(INDEX(X$403:X$594,MATCH(1,($A613=$A$403:$A$594)*($B613=$B$403:$B$594)*("Weekday"=$D$403:$D$594),0))*Weekdays+INDEX(X$403:X$594,MATCH(1,($A613=$A$403:$A$594)*($B613=$B$403:$B$594)*("Weekend"=$D$403:$D$594),0))*WeekendDays)/DaysPerWeek</f>
        <v>0</v>
      </c>
      <c r="X613" s="11" cm="1">
        <f t="array" ref="X613">(INDEX(Y$403:Y$594,MATCH(1,($A613=$A$403:$A$594)*($B613=$B$403:$B$594)*("Weekday"=$D$403:$D$594),0))*Weekdays+INDEX(Y$403:Y$594,MATCH(1,($A613=$A$403:$A$594)*($B613=$B$403:$B$594)*("Weekend"=$D$403:$D$594),0))*WeekendDays)/DaysPerWeek</f>
        <v>0</v>
      </c>
      <c r="Y613" s="25" t="e">
        <f t="shared" si="422"/>
        <v>#DIV/0!</v>
      </c>
      <c r="Z613" s="32" t="e">
        <f t="shared" si="421"/>
        <v>#DIV/0!</v>
      </c>
    </row>
    <row r="614" spans="1:26" outlineLevel="1" x14ac:dyDescent="0.25">
      <c r="A614" t="s">
        <v>37</v>
      </c>
      <c r="B614" t="s">
        <v>161</v>
      </c>
      <c r="C614" s="7" t="s">
        <v>13</v>
      </c>
      <c r="D614" s="11" cm="1">
        <f t="array" ref="D614">(INDEX(E$403:E$594,MATCH(1,($A614=$A$403:$A$594)*($B614=$B$403:$B$594)*("Weekday"=$D$403:$D$594),0))*Weekdays+INDEX(E$403:E$594,MATCH(1,($A614=$A$403:$A$594)*($B614=$B$403:$B$594)*("Weekend"=$D$403:$D$594),0))*WeekendDays)/DaysPerWeek</f>
        <v>2.042499459850514E-4</v>
      </c>
      <c r="E614" s="11" cm="1">
        <f t="array" ref="E614">(INDEX(F$403:F$594,MATCH(1,($A614=$A$403:$A$594)*($B614=$B$403:$B$594)*("Weekday"=$D$403:$D$594),0))*Weekdays+INDEX(F$403:F$594,MATCH(1,($A614=$A$403:$A$594)*($B614=$B$403:$B$594)*("Weekend"=$D$403:$D$594),0))*WeekendDays)/DaysPerWeek</f>
        <v>9.6097136521288462E-8</v>
      </c>
      <c r="F614" s="11" cm="1">
        <f t="array" ref="F614">(INDEX(G$403:G$594,MATCH(1,($A614=$A$403:$A$594)*($B614=$B$403:$B$594)*("Weekday"=$D$403:$D$594),0))*Weekdays+INDEX(G$403:G$594,MATCH(1,($A614=$A$403:$A$594)*($B614=$B$403:$B$594)*("Weekend"=$D$403:$D$594),0))*WeekendDays)/DaysPerWeek</f>
        <v>0</v>
      </c>
      <c r="G614" s="11" cm="1">
        <f t="array" ref="G614">(INDEX(H$403:H$594,MATCH(1,($A614=$A$403:$A$594)*($B614=$B$403:$B$594)*("Weekday"=$D$403:$D$594),0))*Weekdays+INDEX(H$403:H$594,MATCH(1,($A614=$A$403:$A$594)*($B614=$B$403:$B$594)*("Weekend"=$D$403:$D$594),0))*WeekendDays)/DaysPerWeek</f>
        <v>7.2457153055031052E-5</v>
      </c>
      <c r="H614" s="11" cm="1">
        <f t="array" ref="H614">(INDEX(I$403:I$594,MATCH(1,($A614=$A$403:$A$594)*($B614=$B$403:$B$594)*("Weekday"=$D$403:$D$594),0))*Weekdays+INDEX(I$403:I$594,MATCH(1,($A614=$A$403:$A$594)*($B614=$B$403:$B$594)*("Weekend"=$D$403:$D$594),0))*WeekendDays)/DaysPerWeek</f>
        <v>1.2192066176355107E-4</v>
      </c>
      <c r="I614" s="11" cm="1">
        <f t="array" ref="I614">(INDEX(J$403:J$594,MATCH(1,($A614=$A$403:$A$594)*($B614=$B$403:$B$594)*("Weekday"=$D$403:$D$594),0))*Weekdays+INDEX(J$403:J$594,MATCH(1,($A614=$A$403:$A$594)*($B614=$B$403:$B$594)*("Weekend"=$D$403:$D$594),0))*WeekendDays)/DaysPerWeek</f>
        <v>1.2192066176355107E-4</v>
      </c>
      <c r="J614" s="11" cm="1">
        <f t="array" ref="J614">(INDEX(K$403:K$594,MATCH(1,($A614=$A$403:$A$594)*($B614=$B$403:$B$594)*("Weekday"=$D$403:$D$594),0))*Weekdays+INDEX(K$403:K$594,MATCH(1,($A614=$A$403:$A$594)*($B614=$B$403:$B$594)*("Weekend"=$D$403:$D$594),0))*WeekendDays)/DaysPerWeek</f>
        <v>2.0923716145922436E-4</v>
      </c>
      <c r="K614" s="11" cm="1">
        <f t="array" ref="K614">(INDEX(L$403:L$594,MATCH(1,($A614=$A$403:$A$594)*($B614=$B$403:$B$594)*("Weekday"=$D$403:$D$594),0))*Weekdays+INDEX(L$403:L$594,MATCH(1,($A614=$A$403:$A$594)*($B614=$B$403:$B$594)*("Weekend"=$D$403:$D$594),0))*WeekendDays)/DaysPerWeek</f>
        <v>1.6220438292643741E-7</v>
      </c>
      <c r="L614" s="11" cm="1">
        <f t="array" ref="L614">(INDEX(M$403:M$594,MATCH(1,($A614=$A$403:$A$594)*($B614=$B$403:$B$594)*("Weekday"=$D$403:$D$594),0))*Weekdays+INDEX(M$403:M$594,MATCH(1,($A614=$A$403:$A$594)*($B614=$B$403:$B$594)*("Weekend"=$D$403:$D$594),0))*WeekendDays)/DaysPerWeek</f>
        <v>0</v>
      </c>
      <c r="M614" s="11" cm="1">
        <f t="array" ref="M614">(INDEX(N$403:N$594,MATCH(1,($A614=$A$403:$A$594)*($B614=$B$403:$B$594)*("Weekday"=$D$403:$D$594),0))*Weekdays+INDEX(N$403:N$594,MATCH(1,($A614=$A$403:$A$594)*($B614=$B$403:$B$594)*("Weekend"=$D$403:$D$594),0))*WeekendDays)/DaysPerWeek</f>
        <v>1.6299215770866575E-4</v>
      </c>
      <c r="N614" s="11" cm="1">
        <f t="array" ref="N614">(INDEX(O$403:O$594,MATCH(1,($A614=$A$403:$A$594)*($B614=$B$403:$B$594)*("Weekday"=$D$403:$D$594),0))*Weekdays+INDEX(O$403:O$594,MATCH(1,($A614=$A$403:$A$594)*($B614=$B$403:$B$594)*("Weekend"=$D$403:$D$594),0))*WeekendDays)/DaysPerWeek</f>
        <v>1.6299215770866575E-4</v>
      </c>
      <c r="O614" s="11" cm="1">
        <f t="array" ref="O614">(INDEX(P$403:P$594,MATCH(1,($A614=$A$403:$A$594)*($B614=$B$403:$B$594)*("Weekday"=$D$403:$D$594),0))*Weekdays+INDEX(P$403:P$594,MATCH(1,($A614=$A$403:$A$594)*($B614=$B$403:$B$594)*("Weekend"=$D$403:$D$594),0))*WeekendDays)/DaysPerWeek</f>
        <v>0</v>
      </c>
      <c r="P614" s="11" cm="1">
        <f t="array" ref="P614">(INDEX(Q$403:Q$594,MATCH(1,($A614=$A$403:$A$594)*($B614=$B$403:$B$594)*("Weekday"=$D$403:$D$594),0))*Weekdays+INDEX(Q$403:Q$594,MATCH(1,($A614=$A$403:$A$594)*($B614=$B$403:$B$594)*("Weekend"=$D$403:$D$594),0))*WeekendDays)/DaysPerWeek</f>
        <v>1.3700359571354378E-4</v>
      </c>
      <c r="Q614" s="11" cm="1">
        <f t="array" ref="Q614">(INDEX(R$403:R$594,MATCH(1,($A614=$A$403:$A$594)*($B614=$B$403:$B$594)*("Weekday"=$D$403:$D$594),0))*Weekdays+INDEX(R$403:R$594,MATCH(1,($A614=$A$403:$A$594)*($B614=$B$403:$B$594)*("Weekend"=$D$403:$D$594),0))*WeekendDays)/DaysPerWeek</f>
        <v>1.3700359571354378E-4</v>
      </c>
      <c r="R614" s="11" cm="1">
        <f t="array" ref="R614">(INDEX(S$403:S$594,MATCH(1,($A614=$A$403:$A$594)*($B614=$B$403:$B$594)*("Weekday"=$D$403:$D$594),0))*Weekdays+INDEX(S$403:S$594,MATCH(1,($A614=$A$403:$A$594)*($B614=$B$403:$B$594)*("Weekend"=$D$403:$D$594),0))*WeekendDays)/DaysPerWeek</f>
        <v>0</v>
      </c>
      <c r="S614" s="11" cm="1">
        <f t="array" ref="S614">(INDEX(T$403:T$594,MATCH(1,($A614=$A$403:$A$594)*($B614=$B$403:$B$594)*("Weekday"=$D$403:$D$594),0))*Weekdays+INDEX(T$403:T$594,MATCH(1,($A614=$A$403:$A$594)*($B614=$B$403:$B$594)*("Weekend"=$D$403:$D$594),0))*WeekendDays)/DaysPerWeek</f>
        <v>1.370035957135438E-4</v>
      </c>
      <c r="T614" s="11" cm="1">
        <f t="array" ref="T614">(INDEX(U$403:U$594,MATCH(1,($A614=$A$403:$A$594)*($B614=$B$403:$B$594)*("Weekday"=$D$403:$D$594),0))*Weekdays+INDEX(U$403:U$594,MATCH(1,($A614=$A$403:$A$594)*($B614=$B$403:$B$594)*("Weekend"=$D$403:$D$594),0))*WeekendDays)/DaysPerWeek</f>
        <v>0</v>
      </c>
      <c r="U614" s="11" t="e" cm="1">
        <f t="array" ref="U614">(INDEX(V$403:V$594,MATCH(1,($A614=$A$403:$A$594)*($B614=$B$403:$B$594)*("Weekday"=$D$403:$D$594),0))*Weekdays+INDEX(V$403:V$594,MATCH(1,($A614=$A$403:$A$594)*($B614=$B$403:$B$594)*("Weekend"=$D$403:$D$594),0))*WeekendDays)/DaysPerWeek</f>
        <v>#DIV/0!</v>
      </c>
      <c r="V614" s="11" cm="1">
        <f t="array" ref="V614">(INDEX(W$403:W$594,MATCH(1,($A614=$A$403:$A$594)*($B614=$B$403:$B$594)*("Weekday"=$D$403:$D$594),0))*Weekdays+INDEX(W$403:W$594,MATCH(1,($A614=$A$403:$A$594)*($B614=$B$403:$B$594)*("Weekend"=$D$403:$D$594),0))*WeekendDays)/DaysPerWeek</f>
        <v>1.1626513865992981E-4</v>
      </c>
      <c r="W614" s="11" cm="1">
        <f t="array" ref="W614">(INDEX(X$403:X$594,MATCH(1,($A614=$A$403:$A$594)*($B614=$B$403:$B$594)*("Weekday"=$D$403:$D$594),0))*Weekdays+INDEX(X$403:X$594,MATCH(1,($A614=$A$403:$A$594)*($B614=$B$403:$B$594)*("Weekend"=$D$403:$D$594),0))*WeekendDays)/DaysPerWeek</f>
        <v>0</v>
      </c>
      <c r="X614" s="11" cm="1">
        <f t="array" ref="X614">(INDEX(Y$403:Y$594,MATCH(1,($A614=$A$403:$A$594)*($B614=$B$403:$B$594)*("Weekday"=$D$403:$D$594),0))*Weekdays+INDEX(Y$403:Y$594,MATCH(1,($A614=$A$403:$A$594)*($B614=$B$403:$B$594)*("Weekend"=$D$403:$D$594),0))*WeekendDays)/DaysPerWeek</f>
        <v>0</v>
      </c>
      <c r="Y614" s="25" t="e">
        <f t="shared" si="422"/>
        <v>#DIV/0!</v>
      </c>
      <c r="Z614" s="32" t="e">
        <f t="shared" si="421"/>
        <v>#DIV/0!</v>
      </c>
    </row>
    <row r="615" spans="1:26" outlineLevel="1" x14ac:dyDescent="0.25">
      <c r="A615" t="s">
        <v>37</v>
      </c>
      <c r="B615" t="s">
        <v>162</v>
      </c>
      <c r="C615" s="7" t="s">
        <v>14</v>
      </c>
      <c r="D615" s="11" cm="1">
        <f t="array" ref="D615">(INDEX(E$403:E$594,MATCH(1,($A615=$A$403:$A$594)*($B615=$B$403:$B$594)*("Weekday"=$D$403:$D$594),0))*Weekdays+INDEX(E$403:E$594,MATCH(1,($A615=$A$403:$A$594)*($B615=$B$403:$B$594)*("Weekend"=$D$403:$D$594),0))*WeekendDays)/DaysPerWeek</f>
        <v>2.1076432412465241E-4</v>
      </c>
      <c r="E615" s="11" cm="1">
        <f t="array" ref="E615">(INDEX(F$403:F$594,MATCH(1,($A615=$A$403:$A$594)*($B615=$B$403:$B$594)*("Weekday"=$D$403:$D$594),0))*Weekdays+INDEX(F$403:F$594,MATCH(1,($A615=$A$403:$A$594)*($B615=$B$403:$B$594)*("Weekend"=$D$403:$D$594),0))*WeekendDays)/DaysPerWeek</f>
        <v>1.0125125680005461E-7</v>
      </c>
      <c r="F615" s="11" cm="1">
        <f t="array" ref="F615">(INDEX(G$403:G$594,MATCH(1,($A615=$A$403:$A$594)*($B615=$B$403:$B$594)*("Weekday"=$D$403:$D$594),0))*Weekdays+INDEX(G$403:G$594,MATCH(1,($A615=$A$403:$A$594)*($B615=$B$403:$B$594)*("Weekend"=$D$403:$D$594),0))*WeekendDays)/DaysPerWeek</f>
        <v>0</v>
      </c>
      <c r="G615" s="11" cm="1">
        <f t="array" ref="G615">(INDEX(H$403:H$594,MATCH(1,($A615=$A$403:$A$594)*($B615=$B$403:$B$594)*("Weekday"=$D$403:$D$594),0))*Weekdays+INDEX(H$403:H$594,MATCH(1,($A615=$A$403:$A$594)*($B615=$B$403:$B$594)*("Weekend"=$D$403:$D$594),0))*WeekendDays)/DaysPerWeek</f>
        <v>7.612169441905592E-5</v>
      </c>
      <c r="H615" s="11" cm="1">
        <f t="array" ref="H615">(INDEX(I$403:I$594,MATCH(1,($A615=$A$403:$A$594)*($B615=$B$403:$B$594)*("Weekday"=$D$403:$D$594),0))*Weekdays+INDEX(I$403:I$594,MATCH(1,($A615=$A$403:$A$594)*($B615=$B$403:$B$594)*("Weekend"=$D$403:$D$594),0))*WeekendDays)/DaysPerWeek</f>
        <v>1.1391147633845861E-4</v>
      </c>
      <c r="I615" s="11" cm="1">
        <f t="array" ref="I615">(INDEX(J$403:J$594,MATCH(1,($A615=$A$403:$A$594)*($B615=$B$403:$B$594)*("Weekday"=$D$403:$D$594),0))*Weekdays+INDEX(J$403:J$594,MATCH(1,($A615=$A$403:$A$594)*($B615=$B$403:$B$594)*("Weekend"=$D$403:$D$594),0))*WeekendDays)/DaysPerWeek</f>
        <v>1.1391147633845861E-4</v>
      </c>
      <c r="J615" s="11" cm="1">
        <f t="array" ref="J615">(INDEX(K$403:K$594,MATCH(1,($A615=$A$403:$A$594)*($B615=$B$403:$B$594)*("Weekday"=$D$403:$D$594),0))*Weekdays+INDEX(K$403:K$594,MATCH(1,($A615=$A$403:$A$594)*($B615=$B$403:$B$594)*("Weekend"=$D$403:$D$594),0))*WeekendDays)/DaysPerWeek</f>
        <v>2.0509696418439272E-4</v>
      </c>
      <c r="K615" s="11" cm="1">
        <f t="array" ref="K615">(INDEX(L$403:L$594,MATCH(1,($A615=$A$403:$A$594)*($B615=$B$403:$B$594)*("Weekday"=$D$403:$D$594),0))*Weekdays+INDEX(L$403:L$594,MATCH(1,($A615=$A$403:$A$594)*($B615=$B$403:$B$594)*("Weekend"=$D$403:$D$594),0))*WeekendDays)/DaysPerWeek</f>
        <v>1.622636983573417E-7</v>
      </c>
      <c r="L615" s="11" cm="1">
        <f t="array" ref="L615">(INDEX(M$403:M$594,MATCH(1,($A615=$A$403:$A$594)*($B615=$B$403:$B$594)*("Weekday"=$D$403:$D$594),0))*Weekdays+INDEX(M$403:M$594,MATCH(1,($A615=$A$403:$A$594)*($B615=$B$403:$B$594)*("Weekend"=$D$403:$D$594),0))*WeekendDays)/DaysPerWeek</f>
        <v>0</v>
      </c>
      <c r="M615" s="11" cm="1">
        <f t="array" ref="M615">(INDEX(N$403:N$594,MATCH(1,($A615=$A$403:$A$594)*($B615=$B$403:$B$594)*("Weekday"=$D$403:$D$594),0))*Weekdays+INDEX(N$403:N$594,MATCH(1,($A615=$A$403:$A$594)*($B615=$B$403:$B$594)*("Weekend"=$D$403:$D$594),0))*WeekendDays)/DaysPerWeek</f>
        <v>1.6082141500468446E-4</v>
      </c>
      <c r="N615" s="11" cm="1">
        <f t="array" ref="N615">(INDEX(O$403:O$594,MATCH(1,($A615=$A$403:$A$594)*($B615=$B$403:$B$594)*("Weekday"=$D$403:$D$594),0))*Weekdays+INDEX(O$403:O$594,MATCH(1,($A615=$A$403:$A$594)*($B615=$B$403:$B$594)*("Weekend"=$D$403:$D$594),0))*WeekendDays)/DaysPerWeek</f>
        <v>1.6082141500468446E-4</v>
      </c>
      <c r="O615" s="11" cm="1">
        <f t="array" ref="O615">(INDEX(P$403:P$594,MATCH(1,($A615=$A$403:$A$594)*($B615=$B$403:$B$594)*("Weekday"=$D$403:$D$594),0))*Weekdays+INDEX(P$403:P$594,MATCH(1,($A615=$A$403:$A$594)*($B615=$B$403:$B$594)*("Weekend"=$D$403:$D$594),0))*WeekendDays)/DaysPerWeek</f>
        <v>0</v>
      </c>
      <c r="P615" s="11" cm="1">
        <f t="array" ref="P615">(INDEX(Q$403:Q$594,MATCH(1,($A615=$A$403:$A$594)*($B615=$B$403:$B$594)*("Weekday"=$D$403:$D$594),0))*Weekdays+INDEX(Q$403:Q$594,MATCH(1,($A615=$A$403:$A$594)*($B615=$B$403:$B$594)*("Weekend"=$D$403:$D$594),0))*WeekendDays)/DaysPerWeek</f>
        <v>1.5396717510259396E-4</v>
      </c>
      <c r="Q615" s="11" cm="1">
        <f t="array" ref="Q615">(INDEX(R$403:R$594,MATCH(1,($A615=$A$403:$A$594)*($B615=$B$403:$B$594)*("Weekday"=$D$403:$D$594),0))*Weekdays+INDEX(R$403:R$594,MATCH(1,($A615=$A$403:$A$594)*($B615=$B$403:$B$594)*("Weekend"=$D$403:$D$594),0))*WeekendDays)/DaysPerWeek</f>
        <v>1.5396717510259399E-4</v>
      </c>
      <c r="R615" s="11" cm="1">
        <f t="array" ref="R615">(INDEX(S$403:S$594,MATCH(1,($A615=$A$403:$A$594)*($B615=$B$403:$B$594)*("Weekday"=$D$403:$D$594),0))*Weekdays+INDEX(S$403:S$594,MATCH(1,($A615=$A$403:$A$594)*($B615=$B$403:$B$594)*("Weekend"=$D$403:$D$594),0))*WeekendDays)/DaysPerWeek</f>
        <v>0</v>
      </c>
      <c r="S615" s="11" cm="1">
        <f t="array" ref="S615">(INDEX(T$403:T$594,MATCH(1,($A615=$A$403:$A$594)*($B615=$B$403:$B$594)*("Weekday"=$D$403:$D$594),0))*Weekdays+INDEX(T$403:T$594,MATCH(1,($A615=$A$403:$A$594)*($B615=$B$403:$B$594)*("Weekend"=$D$403:$D$594),0))*WeekendDays)/DaysPerWeek</f>
        <v>1.5396717510259402E-4</v>
      </c>
      <c r="T615" s="11" cm="1">
        <f t="array" ref="T615">(INDEX(U$403:U$594,MATCH(1,($A615=$A$403:$A$594)*($B615=$B$403:$B$594)*("Weekday"=$D$403:$D$594),0))*Weekdays+INDEX(U$403:U$594,MATCH(1,($A615=$A$403:$A$594)*($B615=$B$403:$B$594)*("Weekend"=$D$403:$D$594),0))*WeekendDays)/DaysPerWeek</f>
        <v>0</v>
      </c>
      <c r="U615" s="11" t="e" cm="1">
        <f t="array" ref="U615">(INDEX(V$403:V$594,MATCH(1,($A615=$A$403:$A$594)*($B615=$B$403:$B$594)*("Weekday"=$D$403:$D$594),0))*Weekdays+INDEX(V$403:V$594,MATCH(1,($A615=$A$403:$A$594)*($B615=$B$403:$B$594)*("Weekend"=$D$403:$D$594),0))*WeekendDays)/DaysPerWeek</f>
        <v>#DIV/0!</v>
      </c>
      <c r="V615" s="11" cm="1">
        <f t="array" ref="V615">(INDEX(W$403:W$594,MATCH(1,($A615=$A$403:$A$594)*($B615=$B$403:$B$594)*("Weekday"=$D$403:$D$594),0))*Weekdays+INDEX(W$403:W$594,MATCH(1,($A615=$A$403:$A$594)*($B615=$B$403:$B$594)*("Weekend"=$D$403:$D$594),0))*WeekendDays)/DaysPerWeek</f>
        <v>1.1733073443164581E-4</v>
      </c>
      <c r="W615" s="11" cm="1">
        <f t="array" ref="W615">(INDEX(X$403:X$594,MATCH(1,($A615=$A$403:$A$594)*($B615=$B$403:$B$594)*("Weekday"=$D$403:$D$594),0))*Weekdays+INDEX(X$403:X$594,MATCH(1,($A615=$A$403:$A$594)*($B615=$B$403:$B$594)*("Weekend"=$D$403:$D$594),0))*WeekendDays)/DaysPerWeek</f>
        <v>0</v>
      </c>
      <c r="X615" s="11" cm="1">
        <f t="array" ref="X615">(INDEX(Y$403:Y$594,MATCH(1,($A615=$A$403:$A$594)*($B615=$B$403:$B$594)*("Weekday"=$D$403:$D$594),0))*Weekdays+INDEX(Y$403:Y$594,MATCH(1,($A615=$A$403:$A$594)*($B615=$B$403:$B$594)*("Weekend"=$D$403:$D$594),0))*WeekendDays)/DaysPerWeek</f>
        <v>0</v>
      </c>
      <c r="Y615" s="25" t="e">
        <f t="shared" si="422"/>
        <v>#DIV/0!</v>
      </c>
      <c r="Z615" s="32" t="e">
        <f t="shared" si="421"/>
        <v>#DIV/0!</v>
      </c>
    </row>
    <row r="616" spans="1:26" outlineLevel="1" x14ac:dyDescent="0.25">
      <c r="A616" t="s">
        <v>37</v>
      </c>
      <c r="B616" t="s">
        <v>163</v>
      </c>
      <c r="C616" s="7" t="s">
        <v>15</v>
      </c>
      <c r="D616" s="11" cm="1">
        <f t="array" ref="D616">(INDEX(E$403:E$594,MATCH(1,($A616=$A$403:$A$594)*($B616=$B$403:$B$594)*("Weekday"=$D$403:$D$594),0))*Weekdays+INDEX(E$403:E$594,MATCH(1,($A616=$A$403:$A$594)*($B616=$B$403:$B$594)*("Weekend"=$D$403:$D$594),0))*WeekendDays)/DaysPerWeek</f>
        <v>2.213398613068138E-4</v>
      </c>
      <c r="E616" s="11" cm="1">
        <f t="array" ref="E616">(INDEX(F$403:F$594,MATCH(1,($A616=$A$403:$A$594)*($B616=$B$403:$B$594)*("Weekday"=$D$403:$D$594),0))*Weekdays+INDEX(F$403:F$594,MATCH(1,($A616=$A$403:$A$594)*($B616=$B$403:$B$594)*("Weekend"=$D$403:$D$594),0))*WeekendDays)/DaysPerWeek</f>
        <v>1.0730459110347262E-7</v>
      </c>
      <c r="F616" s="11" cm="1">
        <f t="array" ref="F616">(INDEX(G$403:G$594,MATCH(1,($A616=$A$403:$A$594)*($B616=$B$403:$B$594)*("Weekday"=$D$403:$D$594),0))*Weekdays+INDEX(G$403:G$594,MATCH(1,($A616=$A$403:$A$594)*($B616=$B$403:$B$594)*("Weekend"=$D$403:$D$594),0))*WeekendDays)/DaysPerWeek</f>
        <v>0</v>
      </c>
      <c r="G616" s="11" cm="1">
        <f t="array" ref="G616">(INDEX(H$403:H$594,MATCH(1,($A616=$A$403:$A$594)*($B616=$B$403:$B$594)*("Weekday"=$D$403:$D$594),0))*Weekdays+INDEX(H$403:H$594,MATCH(1,($A616=$A$403:$A$594)*($B616=$B$403:$B$594)*("Weekend"=$D$403:$D$594),0))*WeekendDays)/DaysPerWeek</f>
        <v>2.0267426673167653E-4</v>
      </c>
      <c r="H616" s="11" cm="1">
        <f t="array" ref="H616">(INDEX(I$403:I$594,MATCH(1,($A616=$A$403:$A$594)*($B616=$B$403:$B$594)*("Weekday"=$D$403:$D$594),0))*Weekdays+INDEX(I$403:I$594,MATCH(1,($A616=$A$403:$A$594)*($B616=$B$403:$B$594)*("Weekend"=$D$403:$D$594),0))*WeekendDays)/DaysPerWeek</f>
        <v>1.2528487886685969E-4</v>
      </c>
      <c r="I616" s="11" cm="1">
        <f t="array" ref="I616">(INDEX(J$403:J$594,MATCH(1,($A616=$A$403:$A$594)*($B616=$B$403:$B$594)*("Weekday"=$D$403:$D$594),0))*Weekdays+INDEX(J$403:J$594,MATCH(1,($A616=$A$403:$A$594)*($B616=$B$403:$B$594)*("Weekend"=$D$403:$D$594),0))*WeekendDays)/DaysPerWeek</f>
        <v>1.2528487886685969E-4</v>
      </c>
      <c r="J616" s="11" cm="1">
        <f t="array" ref="J616">(INDEX(K$403:K$594,MATCH(1,($A616=$A$403:$A$594)*($B616=$B$403:$B$594)*("Weekday"=$D$403:$D$594),0))*Weekdays+INDEX(K$403:K$594,MATCH(1,($A616=$A$403:$A$594)*($B616=$B$403:$B$594)*("Weekend"=$D$403:$D$594),0))*WeekendDays)/DaysPerWeek</f>
        <v>2.0240855131931228E-4</v>
      </c>
      <c r="K616" s="11" cm="1">
        <f t="array" ref="K616">(INDEX(L$403:L$594,MATCH(1,($A616=$A$403:$A$594)*($B616=$B$403:$B$594)*("Weekday"=$D$403:$D$594),0))*Weekdays+INDEX(L$403:L$594,MATCH(1,($A616=$A$403:$A$594)*($B616=$B$403:$B$594)*("Weekend"=$D$403:$D$594),0))*WeekendDays)/DaysPerWeek</f>
        <v>1.5937523966010125E-7</v>
      </c>
      <c r="L616" s="11" cm="1">
        <f t="array" ref="L616">(INDEX(M$403:M$594,MATCH(1,($A616=$A$403:$A$594)*($B616=$B$403:$B$594)*("Weekday"=$D$403:$D$594),0))*Weekdays+INDEX(M$403:M$594,MATCH(1,($A616=$A$403:$A$594)*($B616=$B$403:$B$594)*("Weekend"=$D$403:$D$594),0))*WeekendDays)/DaysPerWeek</f>
        <v>0</v>
      </c>
      <c r="M616" s="11" cm="1">
        <f t="array" ref="M616">(INDEX(N$403:N$594,MATCH(1,($A616=$A$403:$A$594)*($B616=$B$403:$B$594)*("Weekday"=$D$403:$D$594),0))*Weekdays+INDEX(N$403:N$594,MATCH(1,($A616=$A$403:$A$594)*($B616=$B$403:$B$594)*("Weekend"=$D$403:$D$594),0))*WeekendDays)/DaysPerWeek</f>
        <v>1.5513333217930794E-4</v>
      </c>
      <c r="N616" s="11" cm="1">
        <f t="array" ref="N616">(INDEX(O$403:O$594,MATCH(1,($A616=$A$403:$A$594)*($B616=$B$403:$B$594)*("Weekday"=$D$403:$D$594),0))*Weekdays+INDEX(O$403:O$594,MATCH(1,($A616=$A$403:$A$594)*($B616=$B$403:$B$594)*("Weekend"=$D$403:$D$594),0))*WeekendDays)/DaysPerWeek</f>
        <v>1.5513333217930794E-4</v>
      </c>
      <c r="O616" s="11" cm="1">
        <f t="array" ref="O616">(INDEX(P$403:P$594,MATCH(1,($A616=$A$403:$A$594)*($B616=$B$403:$B$594)*("Weekday"=$D$403:$D$594),0))*Weekdays+INDEX(P$403:P$594,MATCH(1,($A616=$A$403:$A$594)*($B616=$B$403:$B$594)*("Weekend"=$D$403:$D$594),0))*WeekendDays)/DaysPerWeek</f>
        <v>0</v>
      </c>
      <c r="P616" s="11" cm="1">
        <f t="array" ref="P616">(INDEX(Q$403:Q$594,MATCH(1,($A616=$A$403:$A$594)*($B616=$B$403:$B$594)*("Weekday"=$D$403:$D$594),0))*Weekdays+INDEX(Q$403:Q$594,MATCH(1,($A616=$A$403:$A$594)*($B616=$B$403:$B$594)*("Weekend"=$D$403:$D$594),0))*WeekendDays)/DaysPerWeek</f>
        <v>1.771742935838855E-4</v>
      </c>
      <c r="Q616" s="11" cm="1">
        <f t="array" ref="Q616">(INDEX(R$403:R$594,MATCH(1,($A616=$A$403:$A$594)*($B616=$B$403:$B$594)*("Weekday"=$D$403:$D$594),0))*Weekdays+INDEX(R$403:R$594,MATCH(1,($A616=$A$403:$A$594)*($B616=$B$403:$B$594)*("Weekend"=$D$403:$D$594),0))*WeekendDays)/DaysPerWeek</f>
        <v>1.7717429358388555E-4</v>
      </c>
      <c r="R616" s="11" cm="1">
        <f t="array" ref="R616">(INDEX(S$403:S$594,MATCH(1,($A616=$A$403:$A$594)*($B616=$B$403:$B$594)*("Weekday"=$D$403:$D$594),0))*Weekdays+INDEX(S$403:S$594,MATCH(1,($A616=$A$403:$A$594)*($B616=$B$403:$B$594)*("Weekend"=$D$403:$D$594),0))*WeekendDays)/DaysPerWeek</f>
        <v>0</v>
      </c>
      <c r="S616" s="11" cm="1">
        <f t="array" ref="S616">(INDEX(T$403:T$594,MATCH(1,($A616=$A$403:$A$594)*($B616=$B$403:$B$594)*("Weekday"=$D$403:$D$594),0))*Weekdays+INDEX(T$403:T$594,MATCH(1,($A616=$A$403:$A$594)*($B616=$B$403:$B$594)*("Weekend"=$D$403:$D$594),0))*WeekendDays)/DaysPerWeek</f>
        <v>1.7717429358388555E-4</v>
      </c>
      <c r="T616" s="11" cm="1">
        <f t="array" ref="T616">(INDEX(U$403:U$594,MATCH(1,($A616=$A$403:$A$594)*($B616=$B$403:$B$594)*("Weekday"=$D$403:$D$594),0))*Weekdays+INDEX(U$403:U$594,MATCH(1,($A616=$A$403:$A$594)*($B616=$B$403:$B$594)*("Weekend"=$D$403:$D$594),0))*WeekendDays)/DaysPerWeek</f>
        <v>0</v>
      </c>
      <c r="U616" s="11" t="e" cm="1">
        <f t="array" ref="U616">(INDEX(V$403:V$594,MATCH(1,($A616=$A$403:$A$594)*($B616=$B$403:$B$594)*("Weekday"=$D$403:$D$594),0))*Weekdays+INDEX(V$403:V$594,MATCH(1,($A616=$A$403:$A$594)*($B616=$B$403:$B$594)*("Weekend"=$D$403:$D$594),0))*WeekendDays)/DaysPerWeek</f>
        <v>#DIV/0!</v>
      </c>
      <c r="V616" s="11" cm="1">
        <f t="array" ref="V616">(INDEX(W$403:W$594,MATCH(1,($A616=$A$403:$A$594)*($B616=$B$403:$B$594)*("Weekday"=$D$403:$D$594),0))*Weekdays+INDEX(W$403:W$594,MATCH(1,($A616=$A$403:$A$594)*($B616=$B$403:$B$594)*("Weekend"=$D$403:$D$594),0))*WeekendDays)/DaysPerWeek</f>
        <v>1.1856912951769408E-4</v>
      </c>
      <c r="W616" s="11" cm="1">
        <f t="array" ref="W616">(INDEX(X$403:X$594,MATCH(1,($A616=$A$403:$A$594)*($B616=$B$403:$B$594)*("Weekday"=$D$403:$D$594),0))*Weekdays+INDEX(X$403:X$594,MATCH(1,($A616=$A$403:$A$594)*($B616=$B$403:$B$594)*("Weekend"=$D$403:$D$594),0))*WeekendDays)/DaysPerWeek</f>
        <v>0</v>
      </c>
      <c r="X616" s="11" cm="1">
        <f t="array" ref="X616">(INDEX(Y$403:Y$594,MATCH(1,($A616=$A$403:$A$594)*($B616=$B$403:$B$594)*("Weekday"=$D$403:$D$594),0))*Weekdays+INDEX(Y$403:Y$594,MATCH(1,($A616=$A$403:$A$594)*($B616=$B$403:$B$594)*("Weekend"=$D$403:$D$594),0))*WeekendDays)/DaysPerWeek</f>
        <v>0</v>
      </c>
      <c r="Y616" s="25" t="e">
        <f t="shared" si="422"/>
        <v>#DIV/0!</v>
      </c>
      <c r="Z616" s="32" t="e">
        <f t="shared" si="421"/>
        <v>#DIV/0!</v>
      </c>
    </row>
    <row r="617" spans="1:26" outlineLevel="1" x14ac:dyDescent="0.25">
      <c r="A617" t="s">
        <v>37</v>
      </c>
      <c r="B617" t="s">
        <v>164</v>
      </c>
      <c r="C617" s="7" t="s">
        <v>16</v>
      </c>
      <c r="D617" s="11" cm="1">
        <f t="array" ref="D617">(INDEX(E$403:E$594,MATCH(1,($A617=$A$403:$A$594)*($B617=$B$403:$B$594)*("Weekday"=$D$403:$D$594),0))*Weekdays+INDEX(E$403:E$594,MATCH(1,($A617=$A$403:$A$594)*($B617=$B$403:$B$594)*("Weekend"=$D$403:$D$594),0))*WeekendDays)/DaysPerWeek</f>
        <v>2.358059669602172E-4</v>
      </c>
      <c r="E617" s="11" cm="1">
        <f t="array" ref="E617">(INDEX(F$403:F$594,MATCH(1,($A617=$A$403:$A$594)*($B617=$B$403:$B$594)*("Weekday"=$D$403:$D$594),0))*Weekdays+INDEX(F$403:F$594,MATCH(1,($A617=$A$403:$A$594)*($B617=$B$403:$B$594)*("Weekend"=$D$403:$D$594),0))*WeekendDays)/DaysPerWeek</f>
        <v>1.1540357671903674E-7</v>
      </c>
      <c r="F617" s="11" cm="1">
        <f t="array" ref="F617">(INDEX(G$403:G$594,MATCH(1,($A617=$A$403:$A$594)*($B617=$B$403:$B$594)*("Weekday"=$D$403:$D$594),0))*Weekdays+INDEX(G$403:G$594,MATCH(1,($A617=$A$403:$A$594)*($B617=$B$403:$B$594)*("Weekend"=$D$403:$D$594),0))*WeekendDays)/DaysPerWeek</f>
        <v>0</v>
      </c>
      <c r="G617" s="11" cm="1">
        <f t="array" ref="G617">(INDEX(H$403:H$594,MATCH(1,($A617=$A$403:$A$594)*($B617=$B$403:$B$594)*("Weekday"=$D$403:$D$594),0))*Weekdays+INDEX(H$403:H$594,MATCH(1,($A617=$A$403:$A$594)*($B617=$B$403:$B$594)*("Weekend"=$D$403:$D$594),0))*WeekendDays)/DaysPerWeek</f>
        <v>2.9063370176621691E-4</v>
      </c>
      <c r="H617" s="11" cm="1">
        <f t="array" ref="H617">(INDEX(I$403:I$594,MATCH(1,($A617=$A$403:$A$594)*($B617=$B$403:$B$594)*("Weekday"=$D$403:$D$594),0))*Weekdays+INDEX(I$403:I$594,MATCH(1,($A617=$A$403:$A$594)*($B617=$B$403:$B$594)*("Weekend"=$D$403:$D$594),0))*WeekendDays)/DaysPerWeek</f>
        <v>1.5130215154771849E-4</v>
      </c>
      <c r="I617" s="11" cm="1">
        <f t="array" ref="I617">(INDEX(J$403:J$594,MATCH(1,($A617=$A$403:$A$594)*($B617=$B$403:$B$594)*("Weekday"=$D$403:$D$594),0))*Weekdays+INDEX(J$403:J$594,MATCH(1,($A617=$A$403:$A$594)*($B617=$B$403:$B$594)*("Weekend"=$D$403:$D$594),0))*WeekendDays)/DaysPerWeek</f>
        <v>1.5130215154771849E-4</v>
      </c>
      <c r="J617" s="11" cm="1">
        <f t="array" ref="J617">(INDEX(K$403:K$594,MATCH(1,($A617=$A$403:$A$594)*($B617=$B$403:$B$594)*("Weekday"=$D$403:$D$594),0))*Weekdays+INDEX(K$403:K$594,MATCH(1,($A617=$A$403:$A$594)*($B617=$B$403:$B$594)*("Weekend"=$D$403:$D$594),0))*WeekendDays)/DaysPerWeek</f>
        <v>2.1044982486945595E-4</v>
      </c>
      <c r="K617" s="11" cm="1">
        <f t="array" ref="K617">(INDEX(L$403:L$594,MATCH(1,($A617=$A$403:$A$594)*($B617=$B$403:$B$594)*("Weekday"=$D$403:$D$594),0))*Weekdays+INDEX(L$403:L$594,MATCH(1,($A617=$A$403:$A$594)*($B617=$B$403:$B$594)*("Weekend"=$D$403:$D$594),0))*WeekendDays)/DaysPerWeek</f>
        <v>1.5295523146132914E-7</v>
      </c>
      <c r="L617" s="11" cm="1">
        <f t="array" ref="L617">(INDEX(M$403:M$594,MATCH(1,($A617=$A$403:$A$594)*($B617=$B$403:$B$594)*("Weekday"=$D$403:$D$594),0))*Weekdays+INDEX(M$403:M$594,MATCH(1,($A617=$A$403:$A$594)*($B617=$B$403:$B$594)*("Weekend"=$D$403:$D$594),0))*WeekendDays)/DaysPerWeek</f>
        <v>0</v>
      </c>
      <c r="M617" s="11" cm="1">
        <f t="array" ref="M617">(INDEX(N$403:N$594,MATCH(1,($A617=$A$403:$A$594)*($B617=$B$403:$B$594)*("Weekday"=$D$403:$D$594),0))*Weekdays+INDEX(N$403:N$594,MATCH(1,($A617=$A$403:$A$594)*($B617=$B$403:$B$594)*("Weekend"=$D$403:$D$594),0))*WeekendDays)/DaysPerWeek</f>
        <v>1.4755649475809091E-4</v>
      </c>
      <c r="N617" s="11" cm="1">
        <f t="array" ref="N617">(INDEX(O$403:O$594,MATCH(1,($A617=$A$403:$A$594)*($B617=$B$403:$B$594)*("Weekday"=$D$403:$D$594),0))*Weekdays+INDEX(O$403:O$594,MATCH(1,($A617=$A$403:$A$594)*($B617=$B$403:$B$594)*("Weekend"=$D$403:$D$594),0))*WeekendDays)/DaysPerWeek</f>
        <v>1.4755649475809091E-4</v>
      </c>
      <c r="O617" s="11" cm="1">
        <f t="array" ref="O617">(INDEX(P$403:P$594,MATCH(1,($A617=$A$403:$A$594)*($B617=$B$403:$B$594)*("Weekday"=$D$403:$D$594),0))*Weekdays+INDEX(P$403:P$594,MATCH(1,($A617=$A$403:$A$594)*($B617=$B$403:$B$594)*("Weekend"=$D$403:$D$594),0))*WeekendDays)/DaysPerWeek</f>
        <v>0</v>
      </c>
      <c r="P617" s="11" cm="1">
        <f t="array" ref="P617">(INDEX(Q$403:Q$594,MATCH(1,($A617=$A$403:$A$594)*($B617=$B$403:$B$594)*("Weekday"=$D$403:$D$594),0))*Weekdays+INDEX(Q$403:Q$594,MATCH(1,($A617=$A$403:$A$594)*($B617=$B$403:$B$594)*("Weekend"=$D$403:$D$594),0))*WeekendDays)/DaysPerWeek</f>
        <v>1.8409740722389529E-4</v>
      </c>
      <c r="Q617" s="11" cm="1">
        <f t="array" ref="Q617">(INDEX(R$403:R$594,MATCH(1,($A617=$A$403:$A$594)*($B617=$B$403:$B$594)*("Weekday"=$D$403:$D$594),0))*Weekdays+INDEX(R$403:R$594,MATCH(1,($A617=$A$403:$A$594)*($B617=$B$403:$B$594)*("Weekend"=$D$403:$D$594),0))*WeekendDays)/DaysPerWeek</f>
        <v>1.8409740722389529E-4</v>
      </c>
      <c r="R617" s="11" cm="1">
        <f t="array" ref="R617">(INDEX(S$403:S$594,MATCH(1,($A617=$A$403:$A$594)*($B617=$B$403:$B$594)*("Weekday"=$D$403:$D$594),0))*Weekdays+INDEX(S$403:S$594,MATCH(1,($A617=$A$403:$A$594)*($B617=$B$403:$B$594)*("Weekend"=$D$403:$D$594),0))*WeekendDays)/DaysPerWeek</f>
        <v>0</v>
      </c>
      <c r="S617" s="11" cm="1">
        <f t="array" ref="S617">(INDEX(T$403:T$594,MATCH(1,($A617=$A$403:$A$594)*($B617=$B$403:$B$594)*("Weekday"=$D$403:$D$594),0))*Weekdays+INDEX(T$403:T$594,MATCH(1,($A617=$A$403:$A$594)*($B617=$B$403:$B$594)*("Weekend"=$D$403:$D$594),0))*WeekendDays)/DaysPerWeek</f>
        <v>1.8409740722389535E-4</v>
      </c>
      <c r="T617" s="11" cm="1">
        <f t="array" ref="T617">(INDEX(U$403:U$594,MATCH(1,($A617=$A$403:$A$594)*($B617=$B$403:$B$594)*("Weekday"=$D$403:$D$594),0))*Weekdays+INDEX(U$403:U$594,MATCH(1,($A617=$A$403:$A$594)*($B617=$B$403:$B$594)*("Weekend"=$D$403:$D$594),0))*WeekendDays)/DaysPerWeek</f>
        <v>0</v>
      </c>
      <c r="U617" s="11" t="e" cm="1">
        <f t="array" ref="U617">(INDEX(V$403:V$594,MATCH(1,($A617=$A$403:$A$594)*($B617=$B$403:$B$594)*("Weekday"=$D$403:$D$594),0))*Weekdays+INDEX(V$403:V$594,MATCH(1,($A617=$A$403:$A$594)*($B617=$B$403:$B$594)*("Weekend"=$D$403:$D$594),0))*WeekendDays)/DaysPerWeek</f>
        <v>#DIV/0!</v>
      </c>
      <c r="V617" s="11" cm="1">
        <f t="array" ref="V617">(INDEX(W$403:W$594,MATCH(1,($A617=$A$403:$A$594)*($B617=$B$403:$B$594)*("Weekday"=$D$403:$D$594),0))*Weekdays+INDEX(W$403:W$594,MATCH(1,($A617=$A$403:$A$594)*($B617=$B$403:$B$594)*("Weekend"=$D$403:$D$594),0))*WeekendDays)/DaysPerWeek</f>
        <v>1.1879952860347051E-4</v>
      </c>
      <c r="W617" s="11" cm="1">
        <f t="array" ref="W617">(INDEX(X$403:X$594,MATCH(1,($A617=$A$403:$A$594)*($B617=$B$403:$B$594)*("Weekday"=$D$403:$D$594),0))*Weekdays+INDEX(X$403:X$594,MATCH(1,($A617=$A$403:$A$594)*($B617=$B$403:$B$594)*("Weekend"=$D$403:$D$594),0))*WeekendDays)/DaysPerWeek</f>
        <v>0</v>
      </c>
      <c r="X617" s="11" cm="1">
        <f t="array" ref="X617">(INDEX(Y$403:Y$594,MATCH(1,($A617=$A$403:$A$594)*($B617=$B$403:$B$594)*("Weekday"=$D$403:$D$594),0))*Weekdays+INDEX(Y$403:Y$594,MATCH(1,($A617=$A$403:$A$594)*($B617=$B$403:$B$594)*("Weekend"=$D$403:$D$594),0))*WeekendDays)/DaysPerWeek</f>
        <v>0</v>
      </c>
      <c r="Y617" s="25" t="e">
        <f t="shared" si="422"/>
        <v>#DIV/0!</v>
      </c>
      <c r="Z617" s="32" t="e">
        <f t="shared" si="421"/>
        <v>#DIV/0!</v>
      </c>
    </row>
    <row r="618" spans="1:26" outlineLevel="1" x14ac:dyDescent="0.25">
      <c r="A618" t="s">
        <v>37</v>
      </c>
      <c r="B618" t="s">
        <v>165</v>
      </c>
      <c r="C618" s="7" t="s">
        <v>17</v>
      </c>
      <c r="D618" s="11" cm="1">
        <f t="array" ref="D618">(INDEX(E$403:E$594,MATCH(1,($A618=$A$403:$A$594)*($B618=$B$403:$B$594)*("Weekday"=$D$403:$D$594),0))*Weekdays+INDEX(E$403:E$594,MATCH(1,($A618=$A$403:$A$594)*($B618=$B$403:$B$594)*("Weekend"=$D$403:$D$594),0))*WeekendDays)/DaysPerWeek</f>
        <v>2.5321371790398687E-4</v>
      </c>
      <c r="E618" s="11" cm="1">
        <f t="array" ref="E618">(INDEX(F$403:F$594,MATCH(1,($A618=$A$403:$A$594)*($B618=$B$403:$B$594)*("Weekday"=$D$403:$D$594),0))*Weekdays+INDEX(F$403:F$594,MATCH(1,($A618=$A$403:$A$594)*($B618=$B$403:$B$594)*("Weekend"=$D$403:$D$594),0))*WeekendDays)/DaysPerWeek</f>
        <v>1.2613476295662765E-7</v>
      </c>
      <c r="F618" s="11" cm="1">
        <f t="array" ref="F618">(INDEX(G$403:G$594,MATCH(1,($A618=$A$403:$A$594)*($B618=$B$403:$B$594)*("Weekday"=$D$403:$D$594),0))*Weekdays+INDEX(G$403:G$594,MATCH(1,($A618=$A$403:$A$594)*($B618=$B$403:$B$594)*("Weekend"=$D$403:$D$594),0))*WeekendDays)/DaysPerWeek</f>
        <v>0</v>
      </c>
      <c r="G618" s="11" cm="1">
        <f t="array" ref="G618">(INDEX(H$403:H$594,MATCH(1,($A618=$A$403:$A$594)*($B618=$B$403:$B$594)*("Weekday"=$D$403:$D$594),0))*Weekdays+INDEX(H$403:H$594,MATCH(1,($A618=$A$403:$A$594)*($B618=$B$403:$B$594)*("Weekend"=$D$403:$D$594),0))*WeekendDays)/DaysPerWeek</f>
        <v>3.1388439790751424E-4</v>
      </c>
      <c r="H618" s="11" cm="1">
        <f t="array" ref="H618">(INDEX(I$403:I$594,MATCH(1,($A618=$A$403:$A$594)*($B618=$B$403:$B$594)*("Weekday"=$D$403:$D$594),0))*Weekdays+INDEX(I$403:I$594,MATCH(1,($A618=$A$403:$A$594)*($B618=$B$403:$B$594)*("Weekend"=$D$403:$D$594),0))*WeekendDays)/DaysPerWeek</f>
        <v>1.8449230070241999E-4</v>
      </c>
      <c r="I618" s="11" cm="1">
        <f t="array" ref="I618">(INDEX(J$403:J$594,MATCH(1,($A618=$A$403:$A$594)*($B618=$B$403:$B$594)*("Weekday"=$D$403:$D$594),0))*Weekdays+INDEX(J$403:J$594,MATCH(1,($A618=$A$403:$A$594)*($B618=$B$403:$B$594)*("Weekend"=$D$403:$D$594),0))*WeekendDays)/DaysPerWeek</f>
        <v>1.8449230070241999E-4</v>
      </c>
      <c r="J618" s="11" cm="1">
        <f t="array" ref="J618">(INDEX(K$403:K$594,MATCH(1,($A618=$A$403:$A$594)*($B618=$B$403:$B$594)*("Weekday"=$D$403:$D$594),0))*Weekdays+INDEX(K$403:K$594,MATCH(1,($A618=$A$403:$A$594)*($B618=$B$403:$B$594)*("Weekend"=$D$403:$D$594),0))*WeekendDays)/DaysPerWeek</f>
        <v>2.4504952507382909E-4</v>
      </c>
      <c r="K618" s="11" cm="1">
        <f t="array" ref="K618">(INDEX(L$403:L$594,MATCH(1,($A618=$A$403:$A$594)*($B618=$B$403:$B$594)*("Weekday"=$D$403:$D$594),0))*Weekdays+INDEX(L$403:L$594,MATCH(1,($A618=$A$403:$A$594)*($B618=$B$403:$B$594)*("Weekend"=$D$403:$D$594),0))*WeekendDays)/DaysPerWeek</f>
        <v>1.4739174822420471E-7</v>
      </c>
      <c r="L618" s="11" cm="1">
        <f t="array" ref="L618">(INDEX(M$403:M$594,MATCH(1,($A618=$A$403:$A$594)*($B618=$B$403:$B$594)*("Weekday"=$D$403:$D$594),0))*Weekdays+INDEX(M$403:M$594,MATCH(1,($A618=$A$403:$A$594)*($B618=$B$403:$B$594)*("Weekend"=$D$403:$D$594),0))*WeekendDays)/DaysPerWeek</f>
        <v>0</v>
      </c>
      <c r="M618" s="11" cm="1">
        <f t="array" ref="M618">(INDEX(N$403:N$594,MATCH(1,($A618=$A$403:$A$594)*($B618=$B$403:$B$594)*("Weekday"=$D$403:$D$594),0))*Weekdays+INDEX(N$403:N$594,MATCH(1,($A618=$A$403:$A$594)*($B618=$B$403:$B$594)*("Weekend"=$D$403:$D$594),0))*WeekendDays)/DaysPerWeek</f>
        <v>1.4153176428813478E-4</v>
      </c>
      <c r="N618" s="11" cm="1">
        <f t="array" ref="N618">(INDEX(O$403:O$594,MATCH(1,($A618=$A$403:$A$594)*($B618=$B$403:$B$594)*("Weekday"=$D$403:$D$594),0))*Weekdays+INDEX(O$403:O$594,MATCH(1,($A618=$A$403:$A$594)*($B618=$B$403:$B$594)*("Weekend"=$D$403:$D$594),0))*WeekendDays)/DaysPerWeek</f>
        <v>1.4153176428813478E-4</v>
      </c>
      <c r="O618" s="11" cm="1">
        <f t="array" ref="O618">(INDEX(P$403:P$594,MATCH(1,($A618=$A$403:$A$594)*($B618=$B$403:$B$594)*("Weekday"=$D$403:$D$594),0))*Weekdays+INDEX(P$403:P$594,MATCH(1,($A618=$A$403:$A$594)*($B618=$B$403:$B$594)*("Weekend"=$D$403:$D$594),0))*WeekendDays)/DaysPerWeek</f>
        <v>0</v>
      </c>
      <c r="P618" s="11" cm="1">
        <f t="array" ref="P618">(INDEX(Q$403:Q$594,MATCH(1,($A618=$A$403:$A$594)*($B618=$B$403:$B$594)*("Weekday"=$D$403:$D$594),0))*Weekdays+INDEX(Q$403:Q$594,MATCH(1,($A618=$A$403:$A$594)*($B618=$B$403:$B$594)*("Weekend"=$D$403:$D$594),0))*WeekendDays)/DaysPerWeek</f>
        <v>1.7289340726976628E-4</v>
      </c>
      <c r="Q618" s="11" cm="1">
        <f t="array" ref="Q618">(INDEX(R$403:R$594,MATCH(1,($A618=$A$403:$A$594)*($B618=$B$403:$B$594)*("Weekday"=$D$403:$D$594),0))*Weekdays+INDEX(R$403:R$594,MATCH(1,($A618=$A$403:$A$594)*($B618=$B$403:$B$594)*("Weekend"=$D$403:$D$594),0))*WeekendDays)/DaysPerWeek</f>
        <v>1.7289340726976636E-4</v>
      </c>
      <c r="R618" s="11" cm="1">
        <f t="array" ref="R618">(INDEX(S$403:S$594,MATCH(1,($A618=$A$403:$A$594)*($B618=$B$403:$B$594)*("Weekday"=$D$403:$D$594),0))*Weekdays+INDEX(S$403:S$594,MATCH(1,($A618=$A$403:$A$594)*($B618=$B$403:$B$594)*("Weekend"=$D$403:$D$594),0))*WeekendDays)/DaysPerWeek</f>
        <v>0</v>
      </c>
      <c r="S618" s="11" cm="1">
        <f t="array" ref="S618">(INDEX(T$403:T$594,MATCH(1,($A618=$A$403:$A$594)*($B618=$B$403:$B$594)*("Weekday"=$D$403:$D$594),0))*Weekdays+INDEX(T$403:T$594,MATCH(1,($A618=$A$403:$A$594)*($B618=$B$403:$B$594)*("Weekend"=$D$403:$D$594),0))*WeekendDays)/DaysPerWeek</f>
        <v>1.7289340726976639E-4</v>
      </c>
      <c r="T618" s="11" cm="1">
        <f t="array" ref="T618">(INDEX(U$403:U$594,MATCH(1,($A618=$A$403:$A$594)*($B618=$B$403:$B$594)*("Weekday"=$D$403:$D$594),0))*Weekdays+INDEX(U$403:U$594,MATCH(1,($A618=$A$403:$A$594)*($B618=$B$403:$B$594)*("Weekend"=$D$403:$D$594),0))*WeekendDays)/DaysPerWeek</f>
        <v>0</v>
      </c>
      <c r="U618" s="11" t="e" cm="1">
        <f t="array" ref="U618">(INDEX(V$403:V$594,MATCH(1,($A618=$A$403:$A$594)*($B618=$B$403:$B$594)*("Weekday"=$D$403:$D$594),0))*Weekdays+INDEX(V$403:V$594,MATCH(1,($A618=$A$403:$A$594)*($B618=$B$403:$B$594)*("Weekend"=$D$403:$D$594),0))*WeekendDays)/DaysPerWeek</f>
        <v>#DIV/0!</v>
      </c>
      <c r="V618" s="11" cm="1">
        <f t="array" ref="V618">(INDEX(W$403:W$594,MATCH(1,($A618=$A$403:$A$594)*($B618=$B$403:$B$594)*("Weekday"=$D$403:$D$594),0))*Weekdays+INDEX(W$403:W$594,MATCH(1,($A618=$A$403:$A$594)*($B618=$B$403:$B$594)*("Weekend"=$D$403:$D$594),0))*WeekendDays)/DaysPerWeek</f>
        <v>1.1822353088902946E-4</v>
      </c>
      <c r="W618" s="11" cm="1">
        <f t="array" ref="W618">(INDEX(X$403:X$594,MATCH(1,($A618=$A$403:$A$594)*($B618=$B$403:$B$594)*("Weekday"=$D$403:$D$594),0))*Weekdays+INDEX(X$403:X$594,MATCH(1,($A618=$A$403:$A$594)*($B618=$B$403:$B$594)*("Weekend"=$D$403:$D$594),0))*WeekendDays)/DaysPerWeek</f>
        <v>0</v>
      </c>
      <c r="X618" s="11" cm="1">
        <f t="array" ref="X618">(INDEX(Y$403:Y$594,MATCH(1,($A618=$A$403:$A$594)*($B618=$B$403:$B$594)*("Weekday"=$D$403:$D$594),0))*Weekdays+INDEX(Y$403:Y$594,MATCH(1,($A618=$A$403:$A$594)*($B618=$B$403:$B$594)*("Weekend"=$D$403:$D$594),0))*WeekendDays)/DaysPerWeek</f>
        <v>0</v>
      </c>
      <c r="Y618" s="35" t="e">
        <f t="shared" si="422"/>
        <v>#DIV/0!</v>
      </c>
      <c r="Z618" s="32" t="e">
        <f t="shared" si="421"/>
        <v>#DIV/0!</v>
      </c>
    </row>
    <row r="619" spans="1:26" outlineLevel="1" x14ac:dyDescent="0.25">
      <c r="A619" t="s">
        <v>37</v>
      </c>
      <c r="B619" t="s">
        <v>166</v>
      </c>
      <c r="C619" s="7" t="s">
        <v>18</v>
      </c>
      <c r="D619" s="11" cm="1">
        <f t="array" ref="D619">(INDEX(E$403:E$594,MATCH(1,($A619=$A$403:$A$594)*($B619=$B$403:$B$594)*("Weekday"=$D$403:$D$594),0))*Weekdays+INDEX(E$403:E$594,MATCH(1,($A619=$A$403:$A$594)*($B619=$B$403:$B$594)*("Weekend"=$D$403:$D$594),0))*WeekendDays)/DaysPerWeek</f>
        <v>2.7158895548670366E-4</v>
      </c>
      <c r="E619" s="11" cm="1">
        <f t="array" ref="E619">(INDEX(F$403:F$594,MATCH(1,($A619=$A$403:$A$594)*($B619=$B$403:$B$594)*("Weekday"=$D$403:$D$594),0))*Weekdays+INDEX(F$403:F$594,MATCH(1,($A619=$A$403:$A$594)*($B619=$B$403:$B$594)*("Weekend"=$D$403:$D$594),0))*WeekendDays)/DaysPerWeek</f>
        <v>1.3726708105696761E-7</v>
      </c>
      <c r="F619" s="11" cm="1">
        <f t="array" ref="F619">(INDEX(G$403:G$594,MATCH(1,($A619=$A$403:$A$594)*($B619=$B$403:$B$594)*("Weekday"=$D$403:$D$594),0))*Weekdays+INDEX(G$403:G$594,MATCH(1,($A619=$A$403:$A$594)*($B619=$B$403:$B$594)*("Weekend"=$D$403:$D$594),0))*WeekendDays)/DaysPerWeek</f>
        <v>0</v>
      </c>
      <c r="G619" s="11" cm="1">
        <f t="array" ref="G619">(INDEX(H$403:H$594,MATCH(1,($A619=$A$403:$A$594)*($B619=$B$403:$B$594)*("Weekday"=$D$403:$D$594),0))*Weekdays+INDEX(H$403:H$594,MATCH(1,($A619=$A$403:$A$594)*($B619=$B$403:$B$594)*("Weekend"=$D$403:$D$594),0))*WeekendDays)/DaysPerWeek</f>
        <v>3.346561595337468E-4</v>
      </c>
      <c r="H619" s="11" cm="1">
        <f t="array" ref="H619">(INDEX(I$403:I$594,MATCH(1,($A619=$A$403:$A$594)*($B619=$B$403:$B$594)*("Weekday"=$D$403:$D$594),0))*Weekdays+INDEX(I$403:I$594,MATCH(1,($A619=$A$403:$A$594)*($B619=$B$403:$B$594)*("Weekend"=$D$403:$D$594),0))*WeekendDays)/DaysPerWeek</f>
        <v>1.77565968594138E-4</v>
      </c>
      <c r="I619" s="11" cm="1">
        <f t="array" ref="I619">(INDEX(J$403:J$594,MATCH(1,($A619=$A$403:$A$594)*($B619=$B$403:$B$594)*("Weekday"=$D$403:$D$594),0))*Weekdays+INDEX(J$403:J$594,MATCH(1,($A619=$A$403:$A$594)*($B619=$B$403:$B$594)*("Weekend"=$D$403:$D$594),0))*WeekendDays)/DaysPerWeek</f>
        <v>1.77565968594138E-4</v>
      </c>
      <c r="J619" s="11" cm="1">
        <f t="array" ref="J619">(INDEX(K$403:K$594,MATCH(1,($A619=$A$403:$A$594)*($B619=$B$403:$B$594)*("Weekday"=$D$403:$D$594),0))*Weekdays+INDEX(K$403:K$594,MATCH(1,($A619=$A$403:$A$594)*($B619=$B$403:$B$594)*("Weekend"=$D$403:$D$594),0))*WeekendDays)/DaysPerWeek</f>
        <v>2.4767026320660865E-4</v>
      </c>
      <c r="K619" s="11" cm="1">
        <f t="array" ref="K619">(INDEX(L$403:L$594,MATCH(1,($A619=$A$403:$A$594)*($B619=$B$403:$B$594)*("Weekday"=$D$403:$D$594),0))*Weekdays+INDEX(L$403:L$594,MATCH(1,($A619=$A$403:$A$594)*($B619=$B$403:$B$594)*("Weekend"=$D$403:$D$594),0))*WeekendDays)/DaysPerWeek</f>
        <v>1.3945260593393966E-7</v>
      </c>
      <c r="L619" s="11" cm="1">
        <f t="array" ref="L619">(INDEX(M$403:M$594,MATCH(1,($A619=$A$403:$A$594)*($B619=$B$403:$B$594)*("Weekday"=$D$403:$D$594),0))*Weekdays+INDEX(M$403:M$594,MATCH(1,($A619=$A$403:$A$594)*($B619=$B$403:$B$594)*("Weekend"=$D$403:$D$594),0))*WeekendDays)/DaysPerWeek</f>
        <v>0</v>
      </c>
      <c r="M619" s="11" cm="1">
        <f t="array" ref="M619">(INDEX(N$403:N$594,MATCH(1,($A619=$A$403:$A$594)*($B619=$B$403:$B$594)*("Weekday"=$D$403:$D$594),0))*Weekdays+INDEX(N$403:N$594,MATCH(1,($A619=$A$403:$A$594)*($B619=$B$403:$B$594)*("Weekend"=$D$403:$D$594),0))*WeekendDays)/DaysPerWeek</f>
        <v>1.2219352573265393E-4</v>
      </c>
      <c r="N619" s="11" cm="1">
        <f t="array" ref="N619">(INDEX(O$403:O$594,MATCH(1,($A619=$A$403:$A$594)*($B619=$B$403:$B$594)*("Weekday"=$D$403:$D$594),0))*Weekdays+INDEX(O$403:O$594,MATCH(1,($A619=$A$403:$A$594)*($B619=$B$403:$B$594)*("Weekend"=$D$403:$D$594),0))*WeekendDays)/DaysPerWeek</f>
        <v>1.2219352573265393E-4</v>
      </c>
      <c r="O619" s="11" cm="1">
        <f t="array" ref="O619">(INDEX(P$403:P$594,MATCH(1,($A619=$A$403:$A$594)*($B619=$B$403:$B$594)*("Weekday"=$D$403:$D$594),0))*Weekdays+INDEX(P$403:P$594,MATCH(1,($A619=$A$403:$A$594)*($B619=$B$403:$B$594)*("Weekend"=$D$403:$D$594),0))*WeekendDays)/DaysPerWeek</f>
        <v>0</v>
      </c>
      <c r="P619" s="11" cm="1">
        <f t="array" ref="P619">(INDEX(Q$403:Q$594,MATCH(1,($A619=$A$403:$A$594)*($B619=$B$403:$B$594)*("Weekday"=$D$403:$D$594),0))*Weekdays+INDEX(Q$403:Q$594,MATCH(1,($A619=$A$403:$A$594)*($B619=$B$403:$B$594)*("Weekend"=$D$403:$D$594),0))*WeekendDays)/DaysPerWeek</f>
        <v>1.489362587940387E-4</v>
      </c>
      <c r="Q619" s="11" cm="1">
        <f t="array" ref="Q619">(INDEX(R$403:R$594,MATCH(1,($A619=$A$403:$A$594)*($B619=$B$403:$B$594)*("Weekday"=$D$403:$D$594),0))*Weekdays+INDEX(R$403:R$594,MATCH(1,($A619=$A$403:$A$594)*($B619=$B$403:$B$594)*("Weekend"=$D$403:$D$594),0))*WeekendDays)/DaysPerWeek</f>
        <v>1.4893625879403876E-4</v>
      </c>
      <c r="R619" s="11" cm="1">
        <f t="array" ref="R619">(INDEX(S$403:S$594,MATCH(1,($A619=$A$403:$A$594)*($B619=$B$403:$B$594)*("Weekday"=$D$403:$D$594),0))*Weekdays+INDEX(S$403:S$594,MATCH(1,($A619=$A$403:$A$594)*($B619=$B$403:$B$594)*("Weekend"=$D$403:$D$594),0))*WeekendDays)/DaysPerWeek</f>
        <v>0</v>
      </c>
      <c r="S619" s="11" cm="1">
        <f t="array" ref="S619">(INDEX(T$403:T$594,MATCH(1,($A619=$A$403:$A$594)*($B619=$B$403:$B$594)*("Weekday"=$D$403:$D$594),0))*Weekdays+INDEX(T$403:T$594,MATCH(1,($A619=$A$403:$A$594)*($B619=$B$403:$B$594)*("Weekend"=$D$403:$D$594),0))*WeekendDays)/DaysPerWeek</f>
        <v>1.4893625879403878E-4</v>
      </c>
      <c r="T619" s="11" cm="1">
        <f t="array" ref="T619">(INDEX(U$403:U$594,MATCH(1,($A619=$A$403:$A$594)*($B619=$B$403:$B$594)*("Weekday"=$D$403:$D$594),0))*Weekdays+INDEX(U$403:U$594,MATCH(1,($A619=$A$403:$A$594)*($B619=$B$403:$B$594)*("Weekend"=$D$403:$D$594),0))*WeekendDays)/DaysPerWeek</f>
        <v>0</v>
      </c>
      <c r="U619" s="11" t="e" cm="1">
        <f t="array" ref="U619">(INDEX(V$403:V$594,MATCH(1,($A619=$A$403:$A$594)*($B619=$B$403:$B$594)*("Weekday"=$D$403:$D$594),0))*Weekdays+INDEX(V$403:V$594,MATCH(1,($A619=$A$403:$A$594)*($B619=$B$403:$B$594)*("Weekend"=$D$403:$D$594),0))*WeekendDays)/DaysPerWeek</f>
        <v>#DIV/0!</v>
      </c>
      <c r="V619" s="11" cm="1">
        <f t="array" ref="V619">(INDEX(W$403:W$594,MATCH(1,($A619=$A$403:$A$594)*($B619=$B$403:$B$594)*("Weekday"=$D$403:$D$594),0))*Weekdays+INDEX(W$403:W$594,MATCH(1,($A619=$A$403:$A$594)*($B619=$B$403:$B$594)*("Weekend"=$D$403:$D$594),0))*WeekendDays)/DaysPerWeek</f>
        <v>1.1753233363170016E-4</v>
      </c>
      <c r="W619" s="11" cm="1">
        <f t="array" ref="W619">(INDEX(X$403:X$594,MATCH(1,($A619=$A$403:$A$594)*($B619=$B$403:$B$594)*("Weekday"=$D$403:$D$594),0))*Weekdays+INDEX(X$403:X$594,MATCH(1,($A619=$A$403:$A$594)*($B619=$B$403:$B$594)*("Weekend"=$D$403:$D$594),0))*WeekendDays)/DaysPerWeek</f>
        <v>0</v>
      </c>
      <c r="X619" s="11" cm="1">
        <f t="array" ref="X619">(INDEX(Y$403:Y$594,MATCH(1,($A619=$A$403:$A$594)*($B619=$B$403:$B$594)*("Weekday"=$D$403:$D$594),0))*Weekdays+INDEX(Y$403:Y$594,MATCH(1,($A619=$A$403:$A$594)*($B619=$B$403:$B$594)*("Weekend"=$D$403:$D$594),0))*WeekendDays)/DaysPerWeek</f>
        <v>0</v>
      </c>
      <c r="Y619" s="25" t="e">
        <f t="shared" si="422"/>
        <v>#DIV/0!</v>
      </c>
      <c r="Z619" s="32" t="e">
        <f t="shared" si="421"/>
        <v>#DIV/0!</v>
      </c>
    </row>
    <row r="620" spans="1:26" outlineLevel="1" x14ac:dyDescent="0.25">
      <c r="A620" t="s">
        <v>37</v>
      </c>
      <c r="B620" t="s">
        <v>167</v>
      </c>
      <c r="C620" s="7" t="s">
        <v>19</v>
      </c>
      <c r="D620" s="11" cm="1">
        <f t="array" ref="D620">(INDEX(E$403:E$594,MATCH(1,($A620=$A$403:$A$594)*($B620=$B$403:$B$594)*("Weekday"=$D$403:$D$594),0))*Weekdays+INDEX(E$403:E$594,MATCH(1,($A620=$A$403:$A$594)*($B620=$B$403:$B$594)*("Weekend"=$D$403:$D$594),0))*WeekendDays)/DaysPerWeek</f>
        <v>2.8481276810676917E-4</v>
      </c>
      <c r="E620" s="11" cm="1">
        <f t="array" ref="E620">(INDEX(F$403:F$594,MATCH(1,($A620=$A$403:$A$594)*($B620=$B$403:$B$594)*("Weekday"=$D$403:$D$594),0))*Weekdays+INDEX(F$403:F$594,MATCH(1,($A620=$A$403:$A$594)*($B620=$B$403:$B$594)*("Weekend"=$D$403:$D$594),0))*WeekendDays)/DaysPerWeek</f>
        <v>1.4695241594243647E-7</v>
      </c>
      <c r="F620" s="11" cm="1">
        <f t="array" ref="F620">(INDEX(G$403:G$594,MATCH(1,($A620=$A$403:$A$594)*($B620=$B$403:$B$594)*("Weekday"=$D$403:$D$594),0))*Weekdays+INDEX(G$403:G$594,MATCH(1,($A620=$A$403:$A$594)*($B620=$B$403:$B$594)*("Weekend"=$D$403:$D$594),0))*WeekendDays)/DaysPerWeek</f>
        <v>0</v>
      </c>
      <c r="G620" s="11" cm="1">
        <f t="array" ref="G620">(INDEX(H$403:H$594,MATCH(1,($A620=$A$403:$A$594)*($B620=$B$403:$B$594)*("Weekday"=$D$403:$D$594),0))*Weekdays+INDEX(H$403:H$594,MATCH(1,($A620=$A$403:$A$594)*($B620=$B$403:$B$594)*("Weekend"=$D$403:$D$594),0))*WeekendDays)/DaysPerWeek</f>
        <v>3.3739153555036998E-4</v>
      </c>
      <c r="H620" s="11" cm="1">
        <f t="array" ref="H620">(INDEX(I$403:I$594,MATCH(1,($A620=$A$403:$A$594)*($B620=$B$403:$B$594)*("Weekday"=$D$403:$D$594),0))*Weekdays+INDEX(I$403:I$594,MATCH(1,($A620=$A$403:$A$594)*($B620=$B$403:$B$594)*("Weekend"=$D$403:$D$594),0))*WeekendDays)/DaysPerWeek</f>
        <v>1.6216714870604057E-4</v>
      </c>
      <c r="I620" s="11" cm="1">
        <f t="array" ref="I620">(INDEX(J$403:J$594,MATCH(1,($A620=$A$403:$A$594)*($B620=$B$403:$B$594)*("Weekday"=$D$403:$D$594),0))*Weekdays+INDEX(J$403:J$594,MATCH(1,($A620=$A$403:$A$594)*($B620=$B$403:$B$594)*("Weekend"=$D$403:$D$594),0))*WeekendDays)/DaysPerWeek</f>
        <v>1.6216714870604057E-4</v>
      </c>
      <c r="J620" s="11" cm="1">
        <f t="array" ref="J620">(INDEX(K$403:K$594,MATCH(1,($A620=$A$403:$A$594)*($B620=$B$403:$B$594)*("Weekday"=$D$403:$D$594),0))*Weekdays+INDEX(K$403:K$594,MATCH(1,($A620=$A$403:$A$594)*($B620=$B$403:$B$594)*("Weekend"=$D$403:$D$594),0))*WeekendDays)/DaysPerWeek</f>
        <v>2.6364857300678303E-4</v>
      </c>
      <c r="K620" s="11" cm="1">
        <f t="array" ref="K620">(INDEX(L$403:L$594,MATCH(1,($A620=$A$403:$A$594)*($B620=$B$403:$B$594)*("Weekday"=$D$403:$D$594),0))*Weekdays+INDEX(L$403:L$594,MATCH(1,($A620=$A$403:$A$594)*($B620=$B$403:$B$594)*("Weekend"=$D$403:$D$594),0))*WeekendDays)/DaysPerWeek</f>
        <v>1.3277607117074394E-7</v>
      </c>
      <c r="L620" s="11" cm="1">
        <f t="array" ref="L620">(INDEX(M$403:M$594,MATCH(1,($A620=$A$403:$A$594)*($B620=$B$403:$B$594)*("Weekday"=$D$403:$D$594),0))*Weekdays+INDEX(M$403:M$594,MATCH(1,($A620=$A$403:$A$594)*($B620=$B$403:$B$594)*("Weekend"=$D$403:$D$594),0))*WeekendDays)/DaysPerWeek</f>
        <v>0</v>
      </c>
      <c r="M620" s="11" cm="1">
        <f t="array" ref="M620">(INDEX(N$403:N$594,MATCH(1,($A620=$A$403:$A$594)*($B620=$B$403:$B$594)*("Weekday"=$D$403:$D$594),0))*Weekdays+INDEX(N$403:N$594,MATCH(1,($A620=$A$403:$A$594)*($B620=$B$403:$B$594)*("Weekend"=$D$403:$D$594),0))*WeekendDays)/DaysPerWeek</f>
        <v>1.0465812589191202E-4</v>
      </c>
      <c r="N620" s="11" cm="1">
        <f t="array" ref="N620">(INDEX(O$403:O$594,MATCH(1,($A620=$A$403:$A$594)*($B620=$B$403:$B$594)*("Weekday"=$D$403:$D$594),0))*Weekdays+INDEX(O$403:O$594,MATCH(1,($A620=$A$403:$A$594)*($B620=$B$403:$B$594)*("Weekend"=$D$403:$D$594),0))*WeekendDays)/DaysPerWeek</f>
        <v>1.0465812589191202E-4</v>
      </c>
      <c r="O620" s="11" cm="1">
        <f t="array" ref="O620">(INDEX(P$403:P$594,MATCH(1,($A620=$A$403:$A$594)*($B620=$B$403:$B$594)*("Weekday"=$D$403:$D$594),0))*Weekdays+INDEX(P$403:P$594,MATCH(1,($A620=$A$403:$A$594)*($B620=$B$403:$B$594)*("Weekend"=$D$403:$D$594),0))*WeekendDays)/DaysPerWeek</f>
        <v>0</v>
      </c>
      <c r="P620" s="11" cm="1">
        <f t="array" ref="P620">(INDEX(Q$403:Q$594,MATCH(1,($A620=$A$403:$A$594)*($B620=$B$403:$B$594)*("Weekday"=$D$403:$D$594),0))*Weekdays+INDEX(Q$403:Q$594,MATCH(1,($A620=$A$403:$A$594)*($B620=$B$403:$B$594)*("Weekend"=$D$403:$D$594),0))*WeekendDays)/DaysPerWeek</f>
        <v>1.391420900012989E-4</v>
      </c>
      <c r="Q620" s="11" cm="1">
        <f t="array" ref="Q620">(INDEX(R$403:R$594,MATCH(1,($A620=$A$403:$A$594)*($B620=$B$403:$B$594)*("Weekday"=$D$403:$D$594),0))*Weekdays+INDEX(R$403:R$594,MATCH(1,($A620=$A$403:$A$594)*($B620=$B$403:$B$594)*("Weekend"=$D$403:$D$594),0))*WeekendDays)/DaysPerWeek</f>
        <v>1.3914209000129895E-4</v>
      </c>
      <c r="R620" s="11" cm="1">
        <f t="array" ref="R620">(INDEX(S$403:S$594,MATCH(1,($A620=$A$403:$A$594)*($B620=$B$403:$B$594)*("Weekday"=$D$403:$D$594),0))*Weekdays+INDEX(S$403:S$594,MATCH(1,($A620=$A$403:$A$594)*($B620=$B$403:$B$594)*("Weekend"=$D$403:$D$594),0))*WeekendDays)/DaysPerWeek</f>
        <v>0</v>
      </c>
      <c r="S620" s="11" cm="1">
        <f t="array" ref="S620">(INDEX(T$403:T$594,MATCH(1,($A620=$A$403:$A$594)*($B620=$B$403:$B$594)*("Weekday"=$D$403:$D$594),0))*Weekdays+INDEX(T$403:T$594,MATCH(1,($A620=$A$403:$A$594)*($B620=$B$403:$B$594)*("Weekend"=$D$403:$D$594),0))*WeekendDays)/DaysPerWeek</f>
        <v>1.3914209000129898E-4</v>
      </c>
      <c r="T620" s="11" cm="1">
        <f t="array" ref="T620">(INDEX(U$403:U$594,MATCH(1,($A620=$A$403:$A$594)*($B620=$B$403:$B$594)*("Weekday"=$D$403:$D$594),0))*Weekdays+INDEX(U$403:U$594,MATCH(1,($A620=$A$403:$A$594)*($B620=$B$403:$B$594)*("Weekend"=$D$403:$D$594),0))*WeekendDays)/DaysPerWeek</f>
        <v>0</v>
      </c>
      <c r="U620" s="11" t="e" cm="1">
        <f t="array" ref="U620">(INDEX(V$403:V$594,MATCH(1,($A620=$A$403:$A$594)*($B620=$B$403:$B$594)*("Weekday"=$D$403:$D$594),0))*Weekdays+INDEX(V$403:V$594,MATCH(1,($A620=$A$403:$A$594)*($B620=$B$403:$B$594)*("Weekend"=$D$403:$D$594),0))*WeekendDays)/DaysPerWeek</f>
        <v>#DIV/0!</v>
      </c>
      <c r="V620" s="11" cm="1">
        <f t="array" ref="V620">(INDEX(W$403:W$594,MATCH(1,($A620=$A$403:$A$594)*($B620=$B$403:$B$594)*("Weekday"=$D$403:$D$594),0))*Weekdays+INDEX(W$403:W$594,MATCH(1,($A620=$A$403:$A$594)*($B620=$B$403:$B$594)*("Weekend"=$D$403:$D$594),0))*WeekendDays)/DaysPerWeek</f>
        <v>1.1678353660292676E-4</v>
      </c>
      <c r="W620" s="11" cm="1">
        <f t="array" ref="W620">(INDEX(X$403:X$594,MATCH(1,($A620=$A$403:$A$594)*($B620=$B$403:$B$594)*("Weekday"=$D$403:$D$594),0))*Weekdays+INDEX(X$403:X$594,MATCH(1,($A620=$A$403:$A$594)*($B620=$B$403:$B$594)*("Weekend"=$D$403:$D$594),0))*WeekendDays)/DaysPerWeek</f>
        <v>0</v>
      </c>
      <c r="X620" s="11" cm="1">
        <f t="array" ref="X620">(INDEX(Y$403:Y$594,MATCH(1,($A620=$A$403:$A$594)*($B620=$B$403:$B$594)*("Weekday"=$D$403:$D$594),0))*Weekdays+INDEX(Y$403:Y$594,MATCH(1,($A620=$A$403:$A$594)*($B620=$B$403:$B$594)*("Weekend"=$D$403:$D$594),0))*WeekendDays)/DaysPerWeek</f>
        <v>0</v>
      </c>
      <c r="Y620" s="25" t="e">
        <f t="shared" si="422"/>
        <v>#DIV/0!</v>
      </c>
      <c r="Z620" s="32" t="e">
        <f t="shared" si="421"/>
        <v>#DIV/0!</v>
      </c>
    </row>
    <row r="621" spans="1:26" outlineLevel="1" x14ac:dyDescent="0.25">
      <c r="A621" t="s">
        <v>37</v>
      </c>
      <c r="B621" t="s">
        <v>168</v>
      </c>
      <c r="C621" s="7" t="s">
        <v>20</v>
      </c>
      <c r="D621" s="11" cm="1">
        <f t="array" ref="D621">(INDEX(E$403:E$594,MATCH(1,($A621=$A$403:$A$594)*($B621=$B$403:$B$594)*("Weekday"=$D$403:$D$594),0))*Weekdays+INDEX(E$403:E$594,MATCH(1,($A621=$A$403:$A$594)*($B621=$B$403:$B$594)*("Weekend"=$D$403:$D$594),0))*WeekendDays)/DaysPerWeek</f>
        <v>2.709492513465931E-4</v>
      </c>
      <c r="E621" s="11" cm="1">
        <f t="array" ref="E621">(INDEX(F$403:F$594,MATCH(1,($A621=$A$403:$A$594)*($B621=$B$403:$B$594)*("Weekday"=$D$403:$D$594),0))*Weekdays+INDEX(F$403:F$594,MATCH(1,($A621=$A$403:$A$594)*($B621=$B$403:$B$594)*("Weekend"=$D$403:$D$594),0))*WeekendDays)/DaysPerWeek</f>
        <v>1.552719634885755E-7</v>
      </c>
      <c r="F621" s="11" cm="1">
        <f t="array" ref="F621">(INDEX(G$403:G$594,MATCH(1,($A621=$A$403:$A$594)*($B621=$B$403:$B$594)*("Weekday"=$D$403:$D$594),0))*Weekdays+INDEX(G$403:G$594,MATCH(1,($A621=$A$403:$A$594)*($B621=$B$403:$B$594)*("Weekend"=$D$403:$D$594),0))*WeekendDays)/DaysPerWeek</f>
        <v>0</v>
      </c>
      <c r="G621" s="11" cm="1">
        <f t="array" ref="G621">(INDEX(H$403:H$594,MATCH(1,($A621=$A$403:$A$594)*($B621=$B$403:$B$594)*("Weekday"=$D$403:$D$594),0))*Weekdays+INDEX(H$403:H$594,MATCH(1,($A621=$A$403:$A$594)*($B621=$B$403:$B$594)*("Weekend"=$D$403:$D$594),0))*WeekendDays)/DaysPerWeek</f>
        <v>2.7729874368517864E-4</v>
      </c>
      <c r="H621" s="11" cm="1">
        <f t="array" ref="H621">(INDEX(I$403:I$594,MATCH(1,($A621=$A$403:$A$594)*($B621=$B$403:$B$594)*("Weekday"=$D$403:$D$594),0))*Weekdays+INDEX(I$403:I$594,MATCH(1,($A621=$A$403:$A$594)*($B621=$B$403:$B$594)*("Weekend"=$D$403:$D$594),0))*WeekendDays)/DaysPerWeek</f>
        <v>1.4672677554779264E-4</v>
      </c>
      <c r="I621" s="11" cm="1">
        <f t="array" ref="I621">(INDEX(J$403:J$594,MATCH(1,($A621=$A$403:$A$594)*($B621=$B$403:$B$594)*("Weekday"=$D$403:$D$594),0))*Weekdays+INDEX(J$403:J$594,MATCH(1,($A621=$A$403:$A$594)*($B621=$B$403:$B$594)*("Weekend"=$D$403:$D$594),0))*WeekendDays)/DaysPerWeek</f>
        <v>1.4672677554779264E-4</v>
      </c>
      <c r="J621" s="11" cm="1">
        <f t="array" ref="J621">(INDEX(K$403:K$594,MATCH(1,($A621=$A$403:$A$594)*($B621=$B$403:$B$594)*("Weekday"=$D$403:$D$594),0))*Weekdays+INDEX(K$403:K$594,MATCH(1,($A621=$A$403:$A$594)*($B621=$B$403:$B$594)*("Weekend"=$D$403:$D$594),0))*WeekendDays)/DaysPerWeek</f>
        <v>2.8535247256463722E-4</v>
      </c>
      <c r="K621" s="11" cm="1">
        <f t="array" ref="K621">(INDEX(L$403:L$594,MATCH(1,($A621=$A$403:$A$594)*($B621=$B$403:$B$594)*("Weekday"=$D$403:$D$594),0))*Weekdays+INDEX(L$403:L$594,MATCH(1,($A621=$A$403:$A$594)*($B621=$B$403:$B$594)*("Weekend"=$D$403:$D$594),0))*WeekendDays)/DaysPerWeek</f>
        <v>1.2596468252190254E-7</v>
      </c>
      <c r="L621" s="11" cm="1">
        <f t="array" ref="L621">(INDEX(M$403:M$594,MATCH(1,($A621=$A$403:$A$594)*($B621=$B$403:$B$594)*("Weekday"=$D$403:$D$594),0))*Weekdays+INDEX(M$403:M$594,MATCH(1,($A621=$A$403:$A$594)*($B621=$B$403:$B$594)*("Weekend"=$D$403:$D$594),0))*WeekendDays)/DaysPerWeek</f>
        <v>0</v>
      </c>
      <c r="M621" s="11" cm="1">
        <f t="array" ref="M621">(INDEX(N$403:N$594,MATCH(1,($A621=$A$403:$A$594)*($B621=$B$403:$B$594)*("Weekday"=$D$403:$D$594),0))*Weekdays+INDEX(N$403:N$594,MATCH(1,($A621=$A$403:$A$594)*($B621=$B$403:$B$594)*("Weekend"=$D$403:$D$594),0))*WeekendDays)/DaysPerWeek</f>
        <v>8.7895481082581389E-5</v>
      </c>
      <c r="N621" s="11" cm="1">
        <f t="array" ref="N621">(INDEX(O$403:O$594,MATCH(1,($A621=$A$403:$A$594)*($B621=$B$403:$B$594)*("Weekday"=$D$403:$D$594),0))*Weekdays+INDEX(O$403:O$594,MATCH(1,($A621=$A$403:$A$594)*($B621=$B$403:$B$594)*("Weekend"=$D$403:$D$594),0))*WeekendDays)/DaysPerWeek</f>
        <v>8.7895481082581389E-5</v>
      </c>
      <c r="O621" s="11" cm="1">
        <f t="array" ref="O621">(INDEX(P$403:P$594,MATCH(1,($A621=$A$403:$A$594)*($B621=$B$403:$B$594)*("Weekday"=$D$403:$D$594),0))*Weekdays+INDEX(P$403:P$594,MATCH(1,($A621=$A$403:$A$594)*($B621=$B$403:$B$594)*("Weekend"=$D$403:$D$594),0))*WeekendDays)/DaysPerWeek</f>
        <v>0</v>
      </c>
      <c r="P621" s="11" cm="1">
        <f t="array" ref="P621">(INDEX(Q$403:Q$594,MATCH(1,($A621=$A$403:$A$594)*($B621=$B$403:$B$594)*("Weekday"=$D$403:$D$594),0))*Weekdays+INDEX(Q$403:Q$594,MATCH(1,($A621=$A$403:$A$594)*($B621=$B$403:$B$594)*("Weekend"=$D$403:$D$594),0))*WeekendDays)/DaysPerWeek</f>
        <v>1.3222596554159858E-4</v>
      </c>
      <c r="Q621" s="11" cm="1">
        <f t="array" ref="Q621">(INDEX(R$403:R$594,MATCH(1,($A621=$A$403:$A$594)*($B621=$B$403:$B$594)*("Weekday"=$D$403:$D$594),0))*Weekdays+INDEX(R$403:R$594,MATCH(1,($A621=$A$403:$A$594)*($B621=$B$403:$B$594)*("Weekend"=$D$403:$D$594),0))*WeekendDays)/DaysPerWeek</f>
        <v>1.3222596554159863E-4</v>
      </c>
      <c r="R621" s="11" cm="1">
        <f t="array" ref="R621">(INDEX(S$403:S$594,MATCH(1,($A621=$A$403:$A$594)*($B621=$B$403:$B$594)*("Weekday"=$D$403:$D$594),0))*Weekdays+INDEX(S$403:S$594,MATCH(1,($A621=$A$403:$A$594)*($B621=$B$403:$B$594)*("Weekend"=$D$403:$D$594),0))*WeekendDays)/DaysPerWeek</f>
        <v>0</v>
      </c>
      <c r="S621" s="11" cm="1">
        <f t="array" ref="S621">(INDEX(T$403:T$594,MATCH(1,($A621=$A$403:$A$594)*($B621=$B$403:$B$594)*("Weekday"=$D$403:$D$594),0))*Weekdays+INDEX(T$403:T$594,MATCH(1,($A621=$A$403:$A$594)*($B621=$B$403:$B$594)*("Weekend"=$D$403:$D$594),0))*WeekendDays)/DaysPerWeek</f>
        <v>1.3222596554159863E-4</v>
      </c>
      <c r="T621" s="11" cm="1">
        <f t="array" ref="T621">(INDEX(U$403:U$594,MATCH(1,($A621=$A$403:$A$594)*($B621=$B$403:$B$594)*("Weekday"=$D$403:$D$594),0))*Weekdays+INDEX(U$403:U$594,MATCH(1,($A621=$A$403:$A$594)*($B621=$B$403:$B$594)*("Weekend"=$D$403:$D$594),0))*WeekendDays)/DaysPerWeek</f>
        <v>0</v>
      </c>
      <c r="U621" s="11" t="e" cm="1">
        <f t="array" ref="U621">(INDEX(V$403:V$594,MATCH(1,($A621=$A$403:$A$594)*($B621=$B$403:$B$594)*("Weekday"=$D$403:$D$594),0))*Weekdays+INDEX(V$403:V$594,MATCH(1,($A621=$A$403:$A$594)*($B621=$B$403:$B$594)*("Weekend"=$D$403:$D$594),0))*WeekendDays)/DaysPerWeek</f>
        <v>#DIV/0!</v>
      </c>
      <c r="V621" s="11" cm="1">
        <f t="array" ref="V621">(INDEX(W$403:W$594,MATCH(1,($A621=$A$403:$A$594)*($B621=$B$403:$B$594)*("Weekday"=$D$403:$D$594),0))*Weekdays+INDEX(W$403:W$594,MATCH(1,($A621=$A$403:$A$594)*($B621=$B$403:$B$594)*("Weekend"=$D$403:$D$594),0))*WeekendDays)/DaysPerWeek</f>
        <v>1.1577554060265491E-4</v>
      </c>
      <c r="W621" s="11" cm="1">
        <f t="array" ref="W621">(INDEX(X$403:X$594,MATCH(1,($A621=$A$403:$A$594)*($B621=$B$403:$B$594)*("Weekday"=$D$403:$D$594),0))*Weekdays+INDEX(X$403:X$594,MATCH(1,($A621=$A$403:$A$594)*($B621=$B$403:$B$594)*("Weekend"=$D$403:$D$594),0))*WeekendDays)/DaysPerWeek</f>
        <v>0</v>
      </c>
      <c r="X621" s="11" cm="1">
        <f t="array" ref="X621">(INDEX(Y$403:Y$594,MATCH(1,($A621=$A$403:$A$594)*($B621=$B$403:$B$594)*("Weekday"=$D$403:$D$594),0))*Weekdays+INDEX(Y$403:Y$594,MATCH(1,($A621=$A$403:$A$594)*($B621=$B$403:$B$594)*("Weekend"=$D$403:$D$594),0))*WeekendDays)/DaysPerWeek</f>
        <v>0</v>
      </c>
      <c r="Y621" s="25" t="e">
        <f t="shared" si="422"/>
        <v>#DIV/0!</v>
      </c>
      <c r="Z621" s="32" t="e">
        <f t="shared" si="421"/>
        <v>#DIV/0!</v>
      </c>
    </row>
    <row r="622" spans="1:26" outlineLevel="1" x14ac:dyDescent="0.25">
      <c r="A622" t="s">
        <v>37</v>
      </c>
      <c r="B622" t="s">
        <v>169</v>
      </c>
      <c r="C622" s="7" t="s">
        <v>21</v>
      </c>
      <c r="D622" s="11" cm="1">
        <f t="array" ref="D622">(INDEX(E$403:E$594,MATCH(1,($A622=$A$403:$A$594)*($B622=$B$403:$B$594)*("Weekday"=$D$403:$D$594),0))*Weekdays+INDEX(E$403:E$594,MATCH(1,($A622=$A$403:$A$594)*($B622=$B$403:$B$594)*("Weekend"=$D$403:$D$594),0))*WeekendDays)/DaysPerWeek</f>
        <v>2.366617157713944E-4</v>
      </c>
      <c r="E622" s="11" cm="1">
        <f t="array" ref="E622">(INDEX(F$403:F$594,MATCH(1,($A622=$A$403:$A$594)*($B622=$B$403:$B$594)*("Weekday"=$D$403:$D$594),0))*Weekdays+INDEX(F$403:F$594,MATCH(1,($A622=$A$403:$A$594)*($B622=$B$403:$B$594)*("Weekend"=$D$403:$D$594),0))*WeekendDays)/DaysPerWeek</f>
        <v>1.6163311499180702E-7</v>
      </c>
      <c r="F622" s="11" cm="1">
        <f t="array" ref="F622">(INDEX(G$403:G$594,MATCH(1,($A622=$A$403:$A$594)*($B622=$B$403:$B$594)*("Weekday"=$D$403:$D$594),0))*Weekdays+INDEX(G$403:G$594,MATCH(1,($A622=$A$403:$A$594)*($B622=$B$403:$B$594)*("Weekend"=$D$403:$D$594),0))*WeekendDays)/DaysPerWeek</f>
        <v>0</v>
      </c>
      <c r="G622" s="11" cm="1">
        <f t="array" ref="G622">(INDEX(H$403:H$594,MATCH(1,($A622=$A$403:$A$594)*($B622=$B$403:$B$594)*("Weekday"=$D$403:$D$594),0))*Weekdays+INDEX(H$403:H$594,MATCH(1,($A622=$A$403:$A$594)*($B622=$B$403:$B$594)*("Weekend"=$D$403:$D$594),0))*WeekendDays)/DaysPerWeek</f>
        <v>1.6967879353115895E-4</v>
      </c>
      <c r="H622" s="11" cm="1">
        <f t="array" ref="H622">(INDEX(I$403:I$594,MATCH(1,($A622=$A$403:$A$594)*($B622=$B$403:$B$594)*("Weekday"=$D$403:$D$594),0))*Weekdays+INDEX(I$403:I$594,MATCH(1,($A622=$A$403:$A$594)*($B622=$B$403:$B$594)*("Weekend"=$D$403:$D$594),0))*WeekendDays)/DaysPerWeek</f>
        <v>1.2835935333058138E-4</v>
      </c>
      <c r="I622" s="11" cm="1">
        <f t="array" ref="I622">(INDEX(J$403:J$594,MATCH(1,($A622=$A$403:$A$594)*($B622=$B$403:$B$594)*("Weekday"=$D$403:$D$594),0))*Weekdays+INDEX(J$403:J$594,MATCH(1,($A622=$A$403:$A$594)*($B622=$B$403:$B$594)*("Weekend"=$D$403:$D$594),0))*WeekendDays)/DaysPerWeek</f>
        <v>1.2835935333058138E-4</v>
      </c>
      <c r="J622" s="11" cm="1">
        <f t="array" ref="J622">(INDEX(K$403:K$594,MATCH(1,($A622=$A$403:$A$594)*($B622=$B$403:$B$594)*("Weekday"=$D$403:$D$594),0))*Weekdays+INDEX(K$403:K$594,MATCH(1,($A622=$A$403:$A$594)*($B622=$B$403:$B$594)*("Weekend"=$D$403:$D$594),0))*WeekendDays)/DaysPerWeek</f>
        <v>2.8497225607887488E-4</v>
      </c>
      <c r="K622" s="11" cm="1">
        <f t="array" ref="K622">(INDEX(L$403:L$594,MATCH(1,($A622=$A$403:$A$594)*($B622=$B$403:$B$594)*("Weekday"=$D$403:$D$594),0))*Weekdays+INDEX(L$403:L$594,MATCH(1,($A622=$A$403:$A$594)*($B622=$B$403:$B$594)*("Weekend"=$D$403:$D$594),0))*WeekendDays)/DaysPerWeek</f>
        <v>1.177748438164053E-7</v>
      </c>
      <c r="L622" s="11" cm="1">
        <f t="array" ref="L622">(INDEX(M$403:M$594,MATCH(1,($A622=$A$403:$A$594)*($B622=$B$403:$B$594)*("Weekday"=$D$403:$D$594),0))*Weekdays+INDEX(M$403:M$594,MATCH(1,($A622=$A$403:$A$594)*($B622=$B$403:$B$594)*("Weekend"=$D$403:$D$594),0))*WeekendDays)/DaysPerWeek</f>
        <v>0</v>
      </c>
      <c r="M622" s="11" cm="1">
        <f t="array" ref="M622">(INDEX(N$403:N$594,MATCH(1,($A622=$A$403:$A$594)*($B622=$B$403:$B$594)*("Weekday"=$D$403:$D$594),0))*Weekdays+INDEX(N$403:N$594,MATCH(1,($A622=$A$403:$A$594)*($B622=$B$403:$B$594)*("Weekend"=$D$403:$D$594),0))*WeekendDays)/DaysPerWeek</f>
        <v>7.660015386508321E-5</v>
      </c>
      <c r="N622" s="11" cm="1">
        <f t="array" ref="N622">(INDEX(O$403:O$594,MATCH(1,($A622=$A$403:$A$594)*($B622=$B$403:$B$594)*("Weekday"=$D$403:$D$594),0))*Weekdays+INDEX(O$403:O$594,MATCH(1,($A622=$A$403:$A$594)*($B622=$B$403:$B$594)*("Weekend"=$D$403:$D$594),0))*WeekendDays)/DaysPerWeek</f>
        <v>7.660015386508321E-5</v>
      </c>
      <c r="O622" s="11" cm="1">
        <f t="array" ref="O622">(INDEX(P$403:P$594,MATCH(1,($A622=$A$403:$A$594)*($B622=$B$403:$B$594)*("Weekday"=$D$403:$D$594),0))*Weekdays+INDEX(P$403:P$594,MATCH(1,($A622=$A$403:$A$594)*($B622=$B$403:$B$594)*("Weekend"=$D$403:$D$594),0))*WeekendDays)/DaysPerWeek</f>
        <v>0</v>
      </c>
      <c r="P622" s="11" cm="1">
        <f t="array" ref="P622">(INDEX(Q$403:Q$594,MATCH(1,($A622=$A$403:$A$594)*($B622=$B$403:$B$594)*("Weekday"=$D$403:$D$594),0))*Weekdays+INDEX(Q$403:Q$594,MATCH(1,($A622=$A$403:$A$594)*($B622=$B$403:$B$594)*("Weekend"=$D$403:$D$594),0))*WeekendDays)/DaysPerWeek</f>
        <v>1.2691231224206214E-4</v>
      </c>
      <c r="Q622" s="11" cm="1">
        <f t="array" ref="Q622">(INDEX(R$403:R$594,MATCH(1,($A622=$A$403:$A$594)*($B622=$B$403:$B$594)*("Weekday"=$D$403:$D$594),0))*Weekdays+INDEX(R$403:R$594,MATCH(1,($A622=$A$403:$A$594)*($B622=$B$403:$B$594)*("Weekend"=$D$403:$D$594),0))*WeekendDays)/DaysPerWeek</f>
        <v>1.2691231224206217E-4</v>
      </c>
      <c r="R622" s="11" cm="1">
        <f t="array" ref="R622">(INDEX(S$403:S$594,MATCH(1,($A622=$A$403:$A$594)*($B622=$B$403:$B$594)*("Weekday"=$D$403:$D$594),0))*Weekdays+INDEX(S$403:S$594,MATCH(1,($A622=$A$403:$A$594)*($B622=$B$403:$B$594)*("Weekend"=$D$403:$D$594),0))*WeekendDays)/DaysPerWeek</f>
        <v>0</v>
      </c>
      <c r="S622" s="11" cm="1">
        <f t="array" ref="S622">(INDEX(T$403:T$594,MATCH(1,($A622=$A$403:$A$594)*($B622=$B$403:$B$594)*("Weekday"=$D$403:$D$594),0))*Weekdays+INDEX(T$403:T$594,MATCH(1,($A622=$A$403:$A$594)*($B622=$B$403:$B$594)*("Weekend"=$D$403:$D$594),0))*WeekendDays)/DaysPerWeek</f>
        <v>1.269123122420622E-4</v>
      </c>
      <c r="T622" s="11" cm="1">
        <f t="array" ref="T622">(INDEX(U$403:U$594,MATCH(1,($A622=$A$403:$A$594)*($B622=$B$403:$B$594)*("Weekday"=$D$403:$D$594),0))*Weekdays+INDEX(U$403:U$594,MATCH(1,($A622=$A$403:$A$594)*($B622=$B$403:$B$594)*("Weekend"=$D$403:$D$594),0))*WeekendDays)/DaysPerWeek</f>
        <v>0</v>
      </c>
      <c r="U622" s="11" t="e" cm="1">
        <f t="array" ref="U622">(INDEX(V$403:V$594,MATCH(1,($A622=$A$403:$A$594)*($B622=$B$403:$B$594)*("Weekday"=$D$403:$D$594),0))*Weekdays+INDEX(V$403:V$594,MATCH(1,($A622=$A$403:$A$594)*($B622=$B$403:$B$594)*("Weekend"=$D$403:$D$594),0))*WeekendDays)/DaysPerWeek</f>
        <v>#DIV/0!</v>
      </c>
      <c r="V622" s="11" cm="1">
        <f t="array" ref="V622">(INDEX(W$403:W$594,MATCH(1,($A622=$A$403:$A$594)*($B622=$B$403:$B$594)*("Weekday"=$D$403:$D$594),0))*Weekdays+INDEX(W$403:W$594,MATCH(1,($A622=$A$403:$A$594)*($B622=$B$403:$B$594)*("Weekend"=$D$403:$D$594),0))*WeekendDays)/DaysPerWeek</f>
        <v>1.1479634448810509E-4</v>
      </c>
      <c r="W622" s="11" cm="1">
        <f t="array" ref="W622">(INDEX(X$403:X$594,MATCH(1,($A622=$A$403:$A$594)*($B622=$B$403:$B$594)*("Weekday"=$D$403:$D$594),0))*Weekdays+INDEX(X$403:X$594,MATCH(1,($A622=$A$403:$A$594)*($B622=$B$403:$B$594)*("Weekend"=$D$403:$D$594),0))*WeekendDays)/DaysPerWeek</f>
        <v>0</v>
      </c>
      <c r="X622" s="11" cm="1">
        <f t="array" ref="X622">(INDEX(Y$403:Y$594,MATCH(1,($A622=$A$403:$A$594)*($B622=$B$403:$B$594)*("Weekday"=$D$403:$D$594),0))*Weekdays+INDEX(Y$403:Y$594,MATCH(1,($A622=$A$403:$A$594)*($B622=$B$403:$B$594)*("Weekend"=$D$403:$D$594),0))*WeekendDays)/DaysPerWeek</f>
        <v>0</v>
      </c>
      <c r="Y622" s="25" t="e">
        <f t="shared" si="422"/>
        <v>#DIV/0!</v>
      </c>
      <c r="Z622" s="32" t="e">
        <f t="shared" si="421"/>
        <v>#DIV/0!</v>
      </c>
    </row>
    <row r="623" spans="1:26" outlineLevel="1" x14ac:dyDescent="0.25">
      <c r="A623" t="s">
        <v>37</v>
      </c>
      <c r="B623" t="s">
        <v>170</v>
      </c>
      <c r="C623" s="7" t="s">
        <v>22</v>
      </c>
      <c r="D623" s="11" cm="1">
        <f t="array" ref="D623">(INDEX(E$403:E$594,MATCH(1,($A623=$A$403:$A$594)*($B623=$B$403:$B$594)*("Weekday"=$D$403:$D$594),0))*Weekdays+INDEX(E$403:E$594,MATCH(1,($A623=$A$403:$A$594)*($B623=$B$403:$B$594)*("Weekend"=$D$403:$D$594),0))*WeekendDays)/DaysPerWeek</f>
        <v>2.2941360259833436E-4</v>
      </c>
      <c r="E623" s="11" cm="1">
        <f t="array" ref="E623">(INDEX(F$403:F$594,MATCH(1,($A623=$A$403:$A$594)*($B623=$B$403:$B$594)*("Weekday"=$D$403:$D$594),0))*Weekdays+INDEX(F$403:F$594,MATCH(1,($A623=$A$403:$A$594)*($B623=$B$403:$B$594)*("Weekend"=$D$403:$D$594),0))*WeekendDays)/DaysPerWeek</f>
        <v>1.6627339868505779E-7</v>
      </c>
      <c r="F623" s="11" cm="1">
        <f t="array" ref="F623">(INDEX(G$403:G$594,MATCH(1,($A623=$A$403:$A$594)*($B623=$B$403:$B$594)*("Weekday"=$D$403:$D$594),0))*Weekdays+INDEX(G$403:G$594,MATCH(1,($A623=$A$403:$A$594)*($B623=$B$403:$B$594)*("Weekend"=$D$403:$D$594),0))*WeekendDays)/DaysPerWeek</f>
        <v>0</v>
      </c>
      <c r="G623" s="11" cm="1">
        <f t="array" ref="G623">(INDEX(H$403:H$594,MATCH(1,($A623=$A$403:$A$594)*($B623=$B$403:$B$594)*("Weekday"=$D$403:$D$594),0))*Weekdays+INDEX(H$403:H$594,MATCH(1,($A623=$A$403:$A$594)*($B623=$B$403:$B$594)*("Weekend"=$D$403:$D$594),0))*WeekendDays)/DaysPerWeek</f>
        <v>9.1378655055319359E-5</v>
      </c>
      <c r="H623" s="11" cm="1">
        <f t="array" ref="H623">(INDEX(I$403:I$594,MATCH(1,($A623=$A$403:$A$594)*($B623=$B$403:$B$594)*("Weekday"=$D$403:$D$594),0))*Weekdays+INDEX(I$403:I$594,MATCH(1,($A623=$A$403:$A$594)*($B623=$B$403:$B$594)*("Weekend"=$D$403:$D$594),0))*WeekendDays)/DaysPerWeek</f>
        <v>9.3063370960835915E-5</v>
      </c>
      <c r="I623" s="11" cm="1">
        <f t="array" ref="I623">(INDEX(J$403:J$594,MATCH(1,($A623=$A$403:$A$594)*($B623=$B$403:$B$594)*("Weekday"=$D$403:$D$594),0))*Weekdays+INDEX(J$403:J$594,MATCH(1,($A623=$A$403:$A$594)*($B623=$B$403:$B$594)*("Weekend"=$D$403:$D$594),0))*WeekendDays)/DaysPerWeek</f>
        <v>9.3063370960835915E-5</v>
      </c>
      <c r="J623" s="11" cm="1">
        <f t="array" ref="J623">(INDEX(K$403:K$594,MATCH(1,($A623=$A$403:$A$594)*($B623=$B$403:$B$594)*("Weekday"=$D$403:$D$594),0))*Weekdays+INDEX(K$403:K$594,MATCH(1,($A623=$A$403:$A$594)*($B623=$B$403:$B$594)*("Weekend"=$D$403:$D$594),0))*WeekendDays)/DaysPerWeek</f>
        <v>1.6057269357772698E-4</v>
      </c>
      <c r="K623" s="11" cm="1">
        <f t="array" ref="K623">(INDEX(L$403:L$594,MATCH(1,($A623=$A$403:$A$594)*($B623=$B$403:$B$594)*("Weekday"=$D$403:$D$594),0))*Weekdays+INDEX(L$403:L$594,MATCH(1,($A623=$A$403:$A$594)*($B623=$B$403:$B$594)*("Weekend"=$D$403:$D$594),0))*WeekendDays)/DaysPerWeek</f>
        <v>1.065872944875149E-7</v>
      </c>
      <c r="L623" s="11" cm="1">
        <f t="array" ref="L623">(INDEX(M$403:M$594,MATCH(1,($A623=$A$403:$A$594)*($B623=$B$403:$B$594)*("Weekday"=$D$403:$D$594),0))*Weekdays+INDEX(M$403:M$594,MATCH(1,($A623=$A$403:$A$594)*($B623=$B$403:$B$594)*("Weekend"=$D$403:$D$594),0))*WeekendDays)/DaysPerWeek</f>
        <v>0</v>
      </c>
      <c r="M623" s="11" cm="1">
        <f t="array" ref="M623">(INDEX(N$403:N$594,MATCH(1,($A623=$A$403:$A$594)*($B623=$B$403:$B$594)*("Weekday"=$D$403:$D$594),0))*Weekdays+INDEX(N$403:N$594,MATCH(1,($A623=$A$403:$A$594)*($B623=$B$403:$B$594)*("Weekend"=$D$403:$D$594),0))*WeekendDays)/DaysPerWeek</f>
        <v>6.7697489166400622E-5</v>
      </c>
      <c r="N623" s="11" cm="1">
        <f t="array" ref="N623">(INDEX(O$403:O$594,MATCH(1,($A623=$A$403:$A$594)*($B623=$B$403:$B$594)*("Weekday"=$D$403:$D$594),0))*Weekdays+INDEX(O$403:O$594,MATCH(1,($A623=$A$403:$A$594)*($B623=$B$403:$B$594)*("Weekend"=$D$403:$D$594),0))*WeekendDays)/DaysPerWeek</f>
        <v>6.7697489166400622E-5</v>
      </c>
      <c r="O623" s="11" cm="1">
        <f t="array" ref="O623">(INDEX(P$403:P$594,MATCH(1,($A623=$A$403:$A$594)*($B623=$B$403:$B$594)*("Weekday"=$D$403:$D$594),0))*Weekdays+INDEX(P$403:P$594,MATCH(1,($A623=$A$403:$A$594)*($B623=$B$403:$B$594)*("Weekend"=$D$403:$D$594),0))*WeekendDays)/DaysPerWeek</f>
        <v>0</v>
      </c>
      <c r="P623" s="11" cm="1">
        <f t="array" ref="P623">(INDEX(Q$403:Q$594,MATCH(1,($A623=$A$403:$A$594)*($B623=$B$403:$B$594)*("Weekday"=$D$403:$D$594),0))*Weekdays+INDEX(Q$403:Q$594,MATCH(1,($A623=$A$403:$A$594)*($B623=$B$403:$B$594)*("Weekend"=$D$403:$D$594),0))*WeekendDays)/DaysPerWeek</f>
        <v>8.5319885554293267E-5</v>
      </c>
      <c r="Q623" s="11" cm="1">
        <f t="array" ref="Q623">(INDEX(R$403:R$594,MATCH(1,($A623=$A$403:$A$594)*($B623=$B$403:$B$594)*("Weekday"=$D$403:$D$594),0))*Weekdays+INDEX(R$403:R$594,MATCH(1,($A623=$A$403:$A$594)*($B623=$B$403:$B$594)*("Weekend"=$D$403:$D$594),0))*WeekendDays)/DaysPerWeek</f>
        <v>8.5319885554293307E-5</v>
      </c>
      <c r="R623" s="11" cm="1">
        <f t="array" ref="R623">(INDEX(S$403:S$594,MATCH(1,($A623=$A$403:$A$594)*($B623=$B$403:$B$594)*("Weekday"=$D$403:$D$594),0))*Weekdays+INDEX(S$403:S$594,MATCH(1,($A623=$A$403:$A$594)*($B623=$B$403:$B$594)*("Weekend"=$D$403:$D$594),0))*WeekendDays)/DaysPerWeek</f>
        <v>0</v>
      </c>
      <c r="S623" s="11" cm="1">
        <f t="array" ref="S623">(INDEX(T$403:T$594,MATCH(1,($A623=$A$403:$A$594)*($B623=$B$403:$B$594)*("Weekday"=$D$403:$D$594),0))*Weekdays+INDEX(T$403:T$594,MATCH(1,($A623=$A$403:$A$594)*($B623=$B$403:$B$594)*("Weekend"=$D$403:$D$594),0))*WeekendDays)/DaysPerWeek</f>
        <v>8.5319885554293321E-5</v>
      </c>
      <c r="T623" s="11" cm="1">
        <f t="array" ref="T623">(INDEX(U$403:U$594,MATCH(1,($A623=$A$403:$A$594)*($B623=$B$403:$B$594)*("Weekday"=$D$403:$D$594),0))*Weekdays+INDEX(U$403:U$594,MATCH(1,($A623=$A$403:$A$594)*($B623=$B$403:$B$594)*("Weekend"=$D$403:$D$594),0))*WeekendDays)/DaysPerWeek</f>
        <v>0</v>
      </c>
      <c r="U623" s="11" t="e" cm="1">
        <f t="array" ref="U623">(INDEX(V$403:V$594,MATCH(1,($A623=$A$403:$A$594)*($B623=$B$403:$B$594)*("Weekday"=$D$403:$D$594),0))*Weekdays+INDEX(V$403:V$594,MATCH(1,($A623=$A$403:$A$594)*($B623=$B$403:$B$594)*("Weekend"=$D$403:$D$594),0))*WeekendDays)/DaysPerWeek</f>
        <v>#DIV/0!</v>
      </c>
      <c r="V623" s="11" cm="1">
        <f t="array" ref="V623">(INDEX(W$403:W$594,MATCH(1,($A623=$A$403:$A$594)*($B623=$B$403:$B$594)*("Weekday"=$D$403:$D$594),0))*Weekdays+INDEX(W$403:W$594,MATCH(1,($A623=$A$403:$A$594)*($B623=$B$403:$B$594)*("Weekend"=$D$403:$D$594),0))*WeekendDays)/DaysPerWeek</f>
        <v>1.1422034677366401E-4</v>
      </c>
      <c r="W623" s="11" cm="1">
        <f t="array" ref="W623">(INDEX(X$403:X$594,MATCH(1,($A623=$A$403:$A$594)*($B623=$B$403:$B$594)*("Weekday"=$D$403:$D$594),0))*Weekdays+INDEX(X$403:X$594,MATCH(1,($A623=$A$403:$A$594)*($B623=$B$403:$B$594)*("Weekend"=$D$403:$D$594),0))*WeekendDays)/DaysPerWeek</f>
        <v>0</v>
      </c>
      <c r="X623" s="11" cm="1">
        <f t="array" ref="X623">(INDEX(Y$403:Y$594,MATCH(1,($A623=$A$403:$A$594)*($B623=$B$403:$B$594)*("Weekday"=$D$403:$D$594),0))*Weekdays+INDEX(Y$403:Y$594,MATCH(1,($A623=$A$403:$A$594)*($B623=$B$403:$B$594)*("Weekend"=$D$403:$D$594),0))*WeekendDays)/DaysPerWeek</f>
        <v>0</v>
      </c>
      <c r="Y623" s="25" t="e">
        <f t="shared" si="422"/>
        <v>#DIV/0!</v>
      </c>
      <c r="Z623" s="32" t="e">
        <f t="shared" si="421"/>
        <v>#DIV/0!</v>
      </c>
    </row>
    <row r="624" spans="1:26" outlineLevel="1" x14ac:dyDescent="0.25">
      <c r="A624" t="s">
        <v>38</v>
      </c>
      <c r="B624" t="s">
        <v>147</v>
      </c>
      <c r="C624" s="7" t="s">
        <v>34</v>
      </c>
      <c r="D624" s="11" cm="1">
        <f t="array" ref="D624">(INDEX(E$403:E$594,MATCH(1,($A624=$A$403:$A$594)*($B624=$B$403:$B$594)*("Weekday"=$D$403:$D$594),0))*Weekdays+INDEX(E$403:E$594,MATCH(1,($A624=$A$403:$A$594)*($B624=$B$403:$B$594)*("Weekend"=$D$403:$D$594),0))*WeekendDays)/DaysPerWeek</f>
        <v>9.4045620968812068E-5</v>
      </c>
      <c r="E624" s="11" cm="1">
        <f t="array" ref="E624">(INDEX(F$403:F$594,MATCH(1,($A624=$A$403:$A$594)*($B624=$B$403:$B$594)*("Weekday"=$D$403:$D$594),0))*Weekdays+INDEX(F$403:F$594,MATCH(1,($A624=$A$403:$A$594)*($B624=$B$403:$B$594)*("Weekend"=$D$403:$D$594),0))*WeekendDays)/DaysPerWeek</f>
        <v>1.7430662670641319E-7</v>
      </c>
      <c r="F624" s="11" cm="1">
        <f t="array" ref="F624">(INDEX(G$403:G$594,MATCH(1,($A624=$A$403:$A$594)*($B624=$B$403:$B$594)*("Weekday"=$D$403:$D$594),0))*Weekdays+INDEX(G$403:G$594,MATCH(1,($A624=$A$403:$A$594)*($B624=$B$403:$B$594)*("Weekend"=$D$403:$D$594),0))*WeekendDays)/DaysPerWeek</f>
        <v>0</v>
      </c>
      <c r="G624" s="11" cm="1">
        <f t="array" ref="G624">(INDEX(H$403:H$594,MATCH(1,($A624=$A$403:$A$594)*($B624=$B$403:$B$594)*("Weekday"=$D$403:$D$594),0))*Weekdays+INDEX(H$403:H$594,MATCH(1,($A624=$A$403:$A$594)*($B624=$B$403:$B$594)*("Weekend"=$D$403:$D$594),0))*WeekendDays)/DaysPerWeek</f>
        <v>5.4782210963892153E-5</v>
      </c>
      <c r="H624" s="11" cm="1">
        <f t="array" ref="H624">(INDEX(I$403:I$594,MATCH(1,($A624=$A$403:$A$594)*($B624=$B$403:$B$594)*("Weekday"=$D$403:$D$594),0))*Weekdays+INDEX(I$403:I$594,MATCH(1,($A624=$A$403:$A$594)*($B624=$B$403:$B$594)*("Weekend"=$D$403:$D$594),0))*WeekendDays)/DaysPerWeek</f>
        <v>4.8234384778629673E-5</v>
      </c>
      <c r="I624" s="11" cm="1">
        <f t="array" ref="I624">(INDEX(J$403:J$594,MATCH(1,($A624=$A$403:$A$594)*($B624=$B$403:$B$594)*("Weekday"=$D$403:$D$594),0))*Weekdays+INDEX(J$403:J$594,MATCH(1,($A624=$A$403:$A$594)*($B624=$B$403:$B$594)*("Weekend"=$D$403:$D$594),0))*WeekendDays)/DaysPerWeek</f>
        <v>4.8234384778629673E-5</v>
      </c>
      <c r="J624" s="11" cm="1">
        <f t="array" ref="J624">(INDEX(K$403:K$594,MATCH(1,($A624=$A$403:$A$594)*($B624=$B$403:$B$594)*("Weekday"=$D$403:$D$594),0))*Weekdays+INDEX(K$403:K$594,MATCH(1,($A624=$A$403:$A$594)*($B624=$B$403:$B$594)*("Weekend"=$D$403:$D$594),0))*WeekendDays)/DaysPerWeek</f>
        <v>8.673548066665195E-5</v>
      </c>
      <c r="K624" s="11" cm="1">
        <f t="array" ref="K624">(INDEX(L$403:L$594,MATCH(1,($A624=$A$403:$A$594)*($B624=$B$403:$B$594)*("Weekday"=$D$403:$D$594),0))*Weekdays+INDEX(L$403:L$594,MATCH(1,($A624=$A$403:$A$594)*($B624=$B$403:$B$594)*("Weekend"=$D$403:$D$594),0))*WeekendDays)/DaysPerWeek</f>
        <v>3.9715139404056163E-6</v>
      </c>
      <c r="L624" s="11" cm="1">
        <f t="array" ref="L624">(INDEX(M$403:M$594,MATCH(1,($A624=$A$403:$A$594)*($B624=$B$403:$B$594)*("Weekday"=$D$403:$D$594),0))*Weekdays+INDEX(M$403:M$594,MATCH(1,($A624=$A$403:$A$594)*($B624=$B$403:$B$594)*("Weekend"=$D$403:$D$594),0))*WeekendDays)/DaysPerWeek</f>
        <v>0</v>
      </c>
      <c r="M624" s="11" cm="1">
        <f t="array" ref="M624">(INDEX(N$403:N$594,MATCH(1,($A624=$A$403:$A$594)*($B624=$B$403:$B$594)*("Weekday"=$D$403:$D$594),0))*Weekdays+INDEX(N$403:N$594,MATCH(1,($A624=$A$403:$A$594)*($B624=$B$403:$B$594)*("Weekend"=$D$403:$D$594),0))*WeekendDays)/DaysPerWeek</f>
        <v>5.7902083309798427E-5</v>
      </c>
      <c r="N624" s="11" cm="1">
        <f t="array" ref="N624">(INDEX(O$403:O$594,MATCH(1,($A624=$A$403:$A$594)*($B624=$B$403:$B$594)*("Weekday"=$D$403:$D$594),0))*Weekdays+INDEX(O$403:O$594,MATCH(1,($A624=$A$403:$A$594)*($B624=$B$403:$B$594)*("Weekend"=$D$403:$D$594),0))*WeekendDays)/DaysPerWeek</f>
        <v>5.7902083309798427E-5</v>
      </c>
      <c r="O624" s="11" cm="1">
        <f t="array" ref="O624">(INDEX(P$403:P$594,MATCH(1,($A624=$A$403:$A$594)*($B624=$B$403:$B$594)*("Weekday"=$D$403:$D$594),0))*Weekdays+INDEX(P$403:P$594,MATCH(1,($A624=$A$403:$A$594)*($B624=$B$403:$B$594)*("Weekend"=$D$403:$D$594),0))*WeekendDays)/DaysPerWeek</f>
        <v>0</v>
      </c>
      <c r="P624" s="11" cm="1">
        <f t="array" ref="P624">(INDEX(Q$403:Q$594,MATCH(1,($A624=$A$403:$A$594)*($B624=$B$403:$B$594)*("Weekday"=$D$403:$D$594),0))*Weekdays+INDEX(Q$403:Q$594,MATCH(1,($A624=$A$403:$A$594)*($B624=$B$403:$B$594)*("Weekend"=$D$403:$D$594),0))*WeekendDays)/DaysPerWeek</f>
        <v>5.385322511310932E-5</v>
      </c>
      <c r="Q624" s="11" cm="1">
        <f t="array" ref="Q624">(INDEX(R$403:R$594,MATCH(1,($A624=$A$403:$A$594)*($B624=$B$403:$B$594)*("Weekday"=$D$403:$D$594),0))*Weekdays+INDEX(R$403:R$594,MATCH(1,($A624=$A$403:$A$594)*($B624=$B$403:$B$594)*("Weekend"=$D$403:$D$594),0))*WeekendDays)/DaysPerWeek</f>
        <v>5.3853225113109334E-5</v>
      </c>
      <c r="R624" s="11" cm="1">
        <f t="array" ref="R624">(INDEX(S$403:S$594,MATCH(1,($A624=$A$403:$A$594)*($B624=$B$403:$B$594)*("Weekday"=$D$403:$D$594),0))*Weekdays+INDEX(S$403:S$594,MATCH(1,($A624=$A$403:$A$594)*($B624=$B$403:$B$594)*("Weekend"=$D$403:$D$594),0))*WeekendDays)/DaysPerWeek</f>
        <v>0</v>
      </c>
      <c r="S624" s="11" cm="1">
        <f t="array" ref="S624">(INDEX(T$403:T$594,MATCH(1,($A624=$A$403:$A$594)*($B624=$B$403:$B$594)*("Weekday"=$D$403:$D$594),0))*Weekdays+INDEX(T$403:T$594,MATCH(1,($A624=$A$403:$A$594)*($B624=$B$403:$B$594)*("Weekend"=$D$403:$D$594),0))*WeekendDays)/DaysPerWeek</f>
        <v>5.3853225113109341E-5</v>
      </c>
      <c r="T624" s="11" cm="1">
        <f t="array" ref="T624">(INDEX(U$403:U$594,MATCH(1,($A624=$A$403:$A$594)*($B624=$B$403:$B$594)*("Weekday"=$D$403:$D$594),0))*Weekdays+INDEX(U$403:U$594,MATCH(1,($A624=$A$403:$A$594)*($B624=$B$403:$B$594)*("Weekend"=$D$403:$D$594),0))*WeekendDays)/DaysPerWeek</f>
        <v>0</v>
      </c>
      <c r="U624" s="11" t="e" cm="1">
        <f t="array" ref="U624">(INDEX(V$403:V$594,MATCH(1,($A624=$A$403:$A$594)*($B624=$B$403:$B$594)*("Weekday"=$D$403:$D$594),0))*Weekdays+INDEX(V$403:V$594,MATCH(1,($A624=$A$403:$A$594)*($B624=$B$403:$B$594)*("Weekend"=$D$403:$D$594),0))*WeekendDays)/DaysPerWeek</f>
        <v>#DIV/0!</v>
      </c>
      <c r="V624" s="11" cm="1">
        <f t="array" ref="V624">(INDEX(W$403:W$594,MATCH(1,($A624=$A$403:$A$594)*($B624=$B$403:$B$594)*("Weekday"=$D$403:$D$594),0))*Weekdays+INDEX(W$403:W$594,MATCH(1,($A624=$A$403:$A$594)*($B624=$B$403:$B$594)*("Weekend"=$D$403:$D$594),0))*WeekendDays)/DaysPerWeek</f>
        <v>1.1111747212934884E-4</v>
      </c>
      <c r="W624" s="11" cm="1">
        <f t="array" ref="W624">(INDEX(X$403:X$594,MATCH(1,($A624=$A$403:$A$594)*($B624=$B$403:$B$594)*("Weekday"=$D$403:$D$594),0))*Weekdays+INDEX(X$403:X$594,MATCH(1,($A624=$A$403:$A$594)*($B624=$B$403:$B$594)*("Weekend"=$D$403:$D$594),0))*WeekendDays)/DaysPerWeek</f>
        <v>0</v>
      </c>
      <c r="X624" s="11" cm="1">
        <f t="array" ref="X624">(INDEX(Y$403:Y$594,MATCH(1,($A624=$A$403:$A$594)*($B624=$B$403:$B$594)*("Weekday"=$D$403:$D$594),0))*Weekdays+INDEX(Y$403:Y$594,MATCH(1,($A624=$A$403:$A$594)*($B624=$B$403:$B$594)*("Weekend"=$D$403:$D$594),0))*WeekendDays)/DaysPerWeek</f>
        <v>0</v>
      </c>
      <c r="Y624" s="25" t="e">
        <f t="shared" si="422"/>
        <v>#DIV/0!</v>
      </c>
      <c r="Z624" s="32" t="e">
        <f t="shared" si="421"/>
        <v>#DIV/0!</v>
      </c>
    </row>
    <row r="625" spans="1:26" outlineLevel="1" x14ac:dyDescent="0.25">
      <c r="A625" t="s">
        <v>38</v>
      </c>
      <c r="B625" t="s">
        <v>148</v>
      </c>
      <c r="C625" s="7" t="s">
        <v>0</v>
      </c>
      <c r="D625" s="11" cm="1">
        <f t="array" ref="D625">(INDEX(E$403:E$594,MATCH(1,($A625=$A$403:$A$594)*($B625=$B$403:$B$594)*("Weekday"=$D$403:$D$594),0))*Weekdays+INDEX(E$403:E$594,MATCH(1,($A625=$A$403:$A$594)*($B625=$B$403:$B$594)*("Weekend"=$D$403:$D$594),0))*WeekendDays)/DaysPerWeek</f>
        <v>9.641280738446248E-5</v>
      </c>
      <c r="E625" s="11" cm="1">
        <f t="array" ref="E625">(INDEX(F$403:F$594,MATCH(1,($A625=$A$403:$A$594)*($B625=$B$403:$B$594)*("Weekday"=$D$403:$D$594),0))*Weekdays+INDEX(F$403:F$594,MATCH(1,($A625=$A$403:$A$594)*($B625=$B$403:$B$594)*("Weekend"=$D$403:$D$594),0))*WeekendDays)/DaysPerWeek</f>
        <v>1.7580514111289971E-7</v>
      </c>
      <c r="F625" s="11" cm="1">
        <f t="array" ref="F625">(INDEX(G$403:G$594,MATCH(1,($A625=$A$403:$A$594)*($B625=$B$403:$B$594)*("Weekday"=$D$403:$D$594),0))*Weekdays+INDEX(G$403:G$594,MATCH(1,($A625=$A$403:$A$594)*($B625=$B$403:$B$594)*("Weekend"=$D$403:$D$594),0))*WeekendDays)/DaysPerWeek</f>
        <v>0</v>
      </c>
      <c r="G625" s="11" cm="1">
        <f t="array" ref="G625">(INDEX(H$403:H$594,MATCH(1,($A625=$A$403:$A$594)*($B625=$B$403:$B$594)*("Weekday"=$D$403:$D$594),0))*Weekdays+INDEX(H$403:H$594,MATCH(1,($A625=$A$403:$A$594)*($B625=$B$403:$B$594)*("Weekend"=$D$403:$D$594),0))*WeekendDays)/DaysPerWeek</f>
        <v>4.934533336638419E-5</v>
      </c>
      <c r="H625" s="11" cm="1">
        <f t="array" ref="H625">(INDEX(I$403:I$594,MATCH(1,($A625=$A$403:$A$594)*($B625=$B$403:$B$594)*("Weekday"=$D$403:$D$594),0))*Weekdays+INDEX(I$403:I$594,MATCH(1,($A625=$A$403:$A$594)*($B625=$B$403:$B$594)*("Weekend"=$D$403:$D$594),0))*WeekendDays)/DaysPerWeek</f>
        <v>3.2336528685028038E-5</v>
      </c>
      <c r="I625" s="11" cm="1">
        <f t="array" ref="I625">(INDEX(J$403:J$594,MATCH(1,($A625=$A$403:$A$594)*($B625=$B$403:$B$594)*("Weekday"=$D$403:$D$594),0))*Weekdays+INDEX(J$403:J$594,MATCH(1,($A625=$A$403:$A$594)*($B625=$B$403:$B$594)*("Weekend"=$D$403:$D$594),0))*WeekendDays)/DaysPerWeek</f>
        <v>3.2336528685028038E-5</v>
      </c>
      <c r="J625" s="11" cm="1">
        <f t="array" ref="J625">(INDEX(K$403:K$594,MATCH(1,($A625=$A$403:$A$594)*($B625=$B$403:$B$594)*("Weekday"=$D$403:$D$594),0))*Weekdays+INDEX(K$403:K$594,MATCH(1,($A625=$A$403:$A$594)*($B625=$B$403:$B$594)*("Weekend"=$D$403:$D$594),0))*WeekendDays)/DaysPerWeek</f>
        <v>7.7568916628147246E-5</v>
      </c>
      <c r="K625" s="11" cm="1">
        <f t="array" ref="K625">(INDEX(L$403:L$594,MATCH(1,($A625=$A$403:$A$594)*($B625=$B$403:$B$594)*("Weekday"=$D$403:$D$594),0))*Weekdays+INDEX(L$403:L$594,MATCH(1,($A625=$A$403:$A$594)*($B625=$B$403:$B$594)*("Weekend"=$D$403:$D$594),0))*WeekendDays)/DaysPerWeek</f>
        <v>3.7936261696062138E-6</v>
      </c>
      <c r="L625" s="11" cm="1">
        <f t="array" ref="L625">(INDEX(M$403:M$594,MATCH(1,($A625=$A$403:$A$594)*($B625=$B$403:$B$594)*("Weekday"=$D$403:$D$594),0))*Weekdays+INDEX(M$403:M$594,MATCH(1,($A625=$A$403:$A$594)*($B625=$B$403:$B$594)*("Weekend"=$D$403:$D$594),0))*WeekendDays)/DaysPerWeek</f>
        <v>0</v>
      </c>
      <c r="M625" s="11" cm="1">
        <f t="array" ref="M625">(INDEX(N$403:N$594,MATCH(1,($A625=$A$403:$A$594)*($B625=$B$403:$B$594)*("Weekday"=$D$403:$D$594),0))*Weekdays+INDEX(N$403:N$594,MATCH(1,($A625=$A$403:$A$594)*($B625=$B$403:$B$594)*("Weekend"=$D$403:$D$594),0))*WeekendDays)/DaysPerWeek</f>
        <v>5.484143840194883E-5</v>
      </c>
      <c r="N625" s="11" cm="1">
        <f t="array" ref="N625">(INDEX(O$403:O$594,MATCH(1,($A625=$A$403:$A$594)*($B625=$B$403:$B$594)*("Weekday"=$D$403:$D$594),0))*Weekdays+INDEX(O$403:O$594,MATCH(1,($A625=$A$403:$A$594)*($B625=$B$403:$B$594)*("Weekend"=$D$403:$D$594),0))*WeekendDays)/DaysPerWeek</f>
        <v>5.484143840194883E-5</v>
      </c>
      <c r="O625" s="11" cm="1">
        <f t="array" ref="O625">(INDEX(P$403:P$594,MATCH(1,($A625=$A$403:$A$594)*($B625=$B$403:$B$594)*("Weekday"=$D$403:$D$594),0))*Weekdays+INDEX(P$403:P$594,MATCH(1,($A625=$A$403:$A$594)*($B625=$B$403:$B$594)*("Weekend"=$D$403:$D$594),0))*WeekendDays)/DaysPerWeek</f>
        <v>0</v>
      </c>
      <c r="P625" s="11" cm="1">
        <f t="array" ref="P625">(INDEX(Q$403:Q$594,MATCH(1,($A625=$A$403:$A$594)*($B625=$B$403:$B$594)*("Weekday"=$D$403:$D$594),0))*Weekdays+INDEX(Q$403:Q$594,MATCH(1,($A625=$A$403:$A$594)*($B625=$B$403:$B$594)*("Weekend"=$D$403:$D$594),0))*WeekendDays)/DaysPerWeek</f>
        <v>5.2383049946777396E-5</v>
      </c>
      <c r="Q625" s="11" cm="1">
        <f t="array" ref="Q625">(INDEX(R$403:R$594,MATCH(1,($A625=$A$403:$A$594)*($B625=$B$403:$B$594)*("Weekday"=$D$403:$D$594),0))*Weekdays+INDEX(R$403:R$594,MATCH(1,($A625=$A$403:$A$594)*($B625=$B$403:$B$594)*("Weekend"=$D$403:$D$594),0))*WeekendDays)/DaysPerWeek</f>
        <v>5.2383049946777416E-5</v>
      </c>
      <c r="R625" s="11" cm="1">
        <f t="array" ref="R625">(INDEX(S$403:S$594,MATCH(1,($A625=$A$403:$A$594)*($B625=$B$403:$B$594)*("Weekday"=$D$403:$D$594),0))*Weekdays+INDEX(S$403:S$594,MATCH(1,($A625=$A$403:$A$594)*($B625=$B$403:$B$594)*("Weekend"=$D$403:$D$594),0))*WeekendDays)/DaysPerWeek</f>
        <v>0</v>
      </c>
      <c r="S625" s="11" cm="1">
        <f t="array" ref="S625">(INDEX(T$403:T$594,MATCH(1,($A625=$A$403:$A$594)*($B625=$B$403:$B$594)*("Weekday"=$D$403:$D$594),0))*Weekdays+INDEX(T$403:T$594,MATCH(1,($A625=$A$403:$A$594)*($B625=$B$403:$B$594)*("Weekend"=$D$403:$D$594),0))*WeekendDays)/DaysPerWeek</f>
        <v>5.2383049946777416E-5</v>
      </c>
      <c r="T625" s="11" cm="1">
        <f t="array" ref="T625">(INDEX(U$403:U$594,MATCH(1,($A625=$A$403:$A$594)*($B625=$B$403:$B$594)*("Weekday"=$D$403:$D$594),0))*Weekdays+INDEX(U$403:U$594,MATCH(1,($A625=$A$403:$A$594)*($B625=$B$403:$B$594)*("Weekend"=$D$403:$D$594),0))*WeekendDays)/DaysPerWeek</f>
        <v>0</v>
      </c>
      <c r="U625" s="11" t="e" cm="1">
        <f t="array" ref="U625">(INDEX(V$403:V$594,MATCH(1,($A625=$A$403:$A$594)*($B625=$B$403:$B$594)*("Weekday"=$D$403:$D$594),0))*Weekdays+INDEX(V$403:V$594,MATCH(1,($A625=$A$403:$A$594)*($B625=$B$403:$B$594)*("Weekend"=$D$403:$D$594),0))*WeekendDays)/DaysPerWeek</f>
        <v>#DIV/0!</v>
      </c>
      <c r="V625" s="11" cm="1">
        <f t="array" ref="V625">(INDEX(W$403:W$594,MATCH(1,($A625=$A$403:$A$594)*($B625=$B$403:$B$594)*("Weekday"=$D$403:$D$594),0))*Weekdays+INDEX(W$403:W$594,MATCH(1,($A625=$A$403:$A$594)*($B625=$B$403:$B$594)*("Weekend"=$D$403:$D$594),0))*WeekendDays)/DaysPerWeek</f>
        <v>1.1096721185601638E-4</v>
      </c>
      <c r="W625" s="11" cm="1">
        <f t="array" ref="W625">(INDEX(X$403:X$594,MATCH(1,($A625=$A$403:$A$594)*($B625=$B$403:$B$594)*("Weekday"=$D$403:$D$594),0))*Weekdays+INDEX(X$403:X$594,MATCH(1,($A625=$A$403:$A$594)*($B625=$B$403:$B$594)*("Weekend"=$D$403:$D$594),0))*WeekendDays)/DaysPerWeek</f>
        <v>0</v>
      </c>
      <c r="X625" s="11" cm="1">
        <f t="array" ref="X625">(INDEX(Y$403:Y$594,MATCH(1,($A625=$A$403:$A$594)*($B625=$B$403:$B$594)*("Weekday"=$D$403:$D$594),0))*Weekdays+INDEX(Y$403:Y$594,MATCH(1,($A625=$A$403:$A$594)*($B625=$B$403:$B$594)*("Weekend"=$D$403:$D$594),0))*WeekendDays)/DaysPerWeek</f>
        <v>0</v>
      </c>
      <c r="Y625" s="25" t="e">
        <f t="shared" si="422"/>
        <v>#DIV/0!</v>
      </c>
      <c r="Z625" s="32" t="e">
        <f t="shared" si="421"/>
        <v>#DIV/0!</v>
      </c>
    </row>
    <row r="626" spans="1:26" outlineLevel="1" x14ac:dyDescent="0.25">
      <c r="A626" t="s">
        <v>38</v>
      </c>
      <c r="B626" t="s">
        <v>149</v>
      </c>
      <c r="C626" s="7" t="s">
        <v>1</v>
      </c>
      <c r="D626" s="11" cm="1">
        <f t="array" ref="D626">(INDEX(E$403:E$594,MATCH(1,($A626=$A$403:$A$594)*($B626=$B$403:$B$594)*("Weekday"=$D$403:$D$594),0))*Weekdays+INDEX(E$403:E$594,MATCH(1,($A626=$A$403:$A$594)*($B626=$B$403:$B$594)*("Weekend"=$D$403:$D$594),0))*WeekendDays)/DaysPerWeek</f>
        <v>9.7213624018880072E-5</v>
      </c>
      <c r="E626" s="11" cm="1">
        <f t="array" ref="E626">(INDEX(F$403:F$594,MATCH(1,($A626=$A$403:$A$594)*($B626=$B$403:$B$594)*("Weekday"=$D$403:$D$594),0))*Weekdays+INDEX(F$403:F$594,MATCH(1,($A626=$A$403:$A$594)*($B626=$B$403:$B$594)*("Weekend"=$D$403:$D$594),0))*WeekendDays)/DaysPerWeek</f>
        <v>1.7699225537373455E-7</v>
      </c>
      <c r="F626" s="11" cm="1">
        <f t="array" ref="F626">(INDEX(G$403:G$594,MATCH(1,($A626=$A$403:$A$594)*($B626=$B$403:$B$594)*("Weekday"=$D$403:$D$594),0))*Weekdays+INDEX(G$403:G$594,MATCH(1,($A626=$A$403:$A$594)*($B626=$B$403:$B$594)*("Weekend"=$D$403:$D$594),0))*WeekendDays)/DaysPerWeek</f>
        <v>0</v>
      </c>
      <c r="G626" s="11" cm="1">
        <f t="array" ref="G626">(INDEX(H$403:H$594,MATCH(1,($A626=$A$403:$A$594)*($B626=$B$403:$B$594)*("Weekday"=$D$403:$D$594),0))*Weekdays+INDEX(H$403:H$594,MATCH(1,($A626=$A$403:$A$594)*($B626=$B$403:$B$594)*("Weekend"=$D$403:$D$594),0))*WeekendDays)/DaysPerWeek</f>
        <v>4.843234810260978E-5</v>
      </c>
      <c r="H626" s="11" cm="1">
        <f t="array" ref="H626">(INDEX(I$403:I$594,MATCH(1,($A626=$A$403:$A$594)*($B626=$B$403:$B$594)*("Weekday"=$D$403:$D$594),0))*Weekdays+INDEX(I$403:I$594,MATCH(1,($A626=$A$403:$A$594)*($B626=$B$403:$B$594)*("Weekend"=$D$403:$D$594),0))*WeekendDays)/DaysPerWeek</f>
        <v>2.8290346838714431E-5</v>
      </c>
      <c r="I626" s="11" cm="1">
        <f t="array" ref="I626">(INDEX(J$403:J$594,MATCH(1,($A626=$A$403:$A$594)*($B626=$B$403:$B$594)*("Weekday"=$D$403:$D$594),0))*Weekdays+INDEX(J$403:J$594,MATCH(1,($A626=$A$403:$A$594)*($B626=$B$403:$B$594)*("Weekend"=$D$403:$D$594),0))*WeekendDays)/DaysPerWeek</f>
        <v>2.8290346838714431E-5</v>
      </c>
      <c r="J626" s="11" cm="1">
        <f t="array" ref="J626">(INDEX(K$403:K$594,MATCH(1,($A626=$A$403:$A$594)*($B626=$B$403:$B$594)*("Weekday"=$D$403:$D$594),0))*Weekdays+INDEX(K$403:K$594,MATCH(1,($A626=$A$403:$A$594)*($B626=$B$403:$B$594)*("Weekend"=$D$403:$D$594),0))*WeekendDays)/DaysPerWeek</f>
        <v>7.6413420130369976E-5</v>
      </c>
      <c r="K626" s="11" cm="1">
        <f t="array" ref="K626">(INDEX(L$403:L$594,MATCH(1,($A626=$A$403:$A$594)*($B626=$B$403:$B$594)*("Weekday"=$D$403:$D$594),0))*Weekdays+INDEX(L$403:L$594,MATCH(1,($A626=$A$403:$A$594)*($B626=$B$403:$B$594)*("Weekend"=$D$403:$D$594),0))*WeekendDays)/DaysPerWeek</f>
        <v>3.7193972391123676E-6</v>
      </c>
      <c r="L626" s="11" cm="1">
        <f t="array" ref="L626">(INDEX(M$403:M$594,MATCH(1,($A626=$A$403:$A$594)*($B626=$B$403:$B$594)*("Weekday"=$D$403:$D$594),0))*Weekdays+INDEX(M$403:M$594,MATCH(1,($A626=$A$403:$A$594)*($B626=$B$403:$B$594)*("Weekend"=$D$403:$D$594),0))*WeekendDays)/DaysPerWeek</f>
        <v>0</v>
      </c>
      <c r="M626" s="11" cm="1">
        <f t="array" ref="M626">(INDEX(N$403:N$594,MATCH(1,($A626=$A$403:$A$594)*($B626=$B$403:$B$594)*("Weekday"=$D$403:$D$594),0))*Weekdays+INDEX(N$403:N$594,MATCH(1,($A626=$A$403:$A$594)*($B626=$B$403:$B$594)*("Weekend"=$D$403:$D$594),0))*WeekendDays)/DaysPerWeek</f>
        <v>5.4450657385267907E-5</v>
      </c>
      <c r="N626" s="11" cm="1">
        <f t="array" ref="N626">(INDEX(O$403:O$594,MATCH(1,($A626=$A$403:$A$594)*($B626=$B$403:$B$594)*("Weekday"=$D$403:$D$594),0))*Weekdays+INDEX(O$403:O$594,MATCH(1,($A626=$A$403:$A$594)*($B626=$B$403:$B$594)*("Weekend"=$D$403:$D$594),0))*WeekendDays)/DaysPerWeek</f>
        <v>5.4450657385267907E-5</v>
      </c>
      <c r="O626" s="11" cm="1">
        <f t="array" ref="O626">(INDEX(P$403:P$594,MATCH(1,($A626=$A$403:$A$594)*($B626=$B$403:$B$594)*("Weekday"=$D$403:$D$594),0))*Weekdays+INDEX(P$403:P$594,MATCH(1,($A626=$A$403:$A$594)*($B626=$B$403:$B$594)*("Weekend"=$D$403:$D$594),0))*WeekendDays)/DaysPerWeek</f>
        <v>0</v>
      </c>
      <c r="P626" s="11" cm="1">
        <f t="array" ref="P626">(INDEX(Q$403:Q$594,MATCH(1,($A626=$A$403:$A$594)*($B626=$B$403:$B$594)*("Weekday"=$D$403:$D$594),0))*Weekdays+INDEX(Q$403:Q$594,MATCH(1,($A626=$A$403:$A$594)*($B626=$B$403:$B$594)*("Weekend"=$D$403:$D$594),0))*WeekendDays)/DaysPerWeek</f>
        <v>5.1990155901275371E-5</v>
      </c>
      <c r="Q626" s="11" cm="1">
        <f t="array" ref="Q626">(INDEX(R$403:R$594,MATCH(1,($A626=$A$403:$A$594)*($B626=$B$403:$B$594)*("Weekday"=$D$403:$D$594),0))*Weekdays+INDEX(R$403:R$594,MATCH(1,($A626=$A$403:$A$594)*($B626=$B$403:$B$594)*("Weekend"=$D$403:$D$594),0))*WeekendDays)/DaysPerWeek</f>
        <v>5.1990155901275371E-5</v>
      </c>
      <c r="R626" s="11" cm="1">
        <f t="array" ref="R626">(INDEX(S$403:S$594,MATCH(1,($A626=$A$403:$A$594)*($B626=$B$403:$B$594)*("Weekday"=$D$403:$D$594),0))*Weekdays+INDEX(S$403:S$594,MATCH(1,($A626=$A$403:$A$594)*($B626=$B$403:$B$594)*("Weekend"=$D$403:$D$594),0))*WeekendDays)/DaysPerWeek</f>
        <v>0</v>
      </c>
      <c r="S626" s="11" cm="1">
        <f t="array" ref="S626">(INDEX(T$403:T$594,MATCH(1,($A626=$A$403:$A$594)*($B626=$B$403:$B$594)*("Weekday"=$D$403:$D$594),0))*Weekdays+INDEX(T$403:T$594,MATCH(1,($A626=$A$403:$A$594)*($B626=$B$403:$B$594)*("Weekend"=$D$403:$D$594),0))*WeekendDays)/DaysPerWeek</f>
        <v>5.1990155901275385E-5</v>
      </c>
      <c r="T626" s="11" cm="1">
        <f t="array" ref="T626">(INDEX(U$403:U$594,MATCH(1,($A626=$A$403:$A$594)*($B626=$B$403:$B$594)*("Weekday"=$D$403:$D$594),0))*Weekdays+INDEX(U$403:U$594,MATCH(1,($A626=$A$403:$A$594)*($B626=$B$403:$B$594)*("Weekend"=$D$403:$D$594),0))*WeekendDays)/DaysPerWeek</f>
        <v>0</v>
      </c>
      <c r="U626" s="11" t="e" cm="1">
        <f t="array" ref="U626">(INDEX(V$403:V$594,MATCH(1,($A626=$A$403:$A$594)*($B626=$B$403:$B$594)*("Weekday"=$D$403:$D$594),0))*Weekdays+INDEX(V$403:V$594,MATCH(1,($A626=$A$403:$A$594)*($B626=$B$403:$B$594)*("Weekend"=$D$403:$D$594),0))*WeekendDays)/DaysPerWeek</f>
        <v>#DIV/0!</v>
      </c>
      <c r="V626" s="11" cm="1">
        <f t="array" ref="V626">(INDEX(W$403:W$594,MATCH(1,($A626=$A$403:$A$594)*($B626=$B$403:$B$594)*("Weekday"=$D$403:$D$594),0))*Weekdays+INDEX(W$403:W$594,MATCH(1,($A626=$A$403:$A$594)*($B626=$B$403:$B$594)*("Weekend"=$D$403:$D$594),0))*WeekendDays)/DaysPerWeek</f>
        <v>1.1100477692434949E-4</v>
      </c>
      <c r="W626" s="11" cm="1">
        <f t="array" ref="W626">(INDEX(X$403:X$594,MATCH(1,($A626=$A$403:$A$594)*($B626=$B$403:$B$594)*("Weekday"=$D$403:$D$594),0))*Weekdays+INDEX(X$403:X$594,MATCH(1,($A626=$A$403:$A$594)*($B626=$B$403:$B$594)*("Weekend"=$D$403:$D$594),0))*WeekendDays)/DaysPerWeek</f>
        <v>0</v>
      </c>
      <c r="X626" s="11" cm="1">
        <f t="array" ref="X626">(INDEX(Y$403:Y$594,MATCH(1,($A626=$A$403:$A$594)*($B626=$B$403:$B$594)*("Weekday"=$D$403:$D$594),0))*Weekdays+INDEX(Y$403:Y$594,MATCH(1,($A626=$A$403:$A$594)*($B626=$B$403:$B$594)*("Weekend"=$D$403:$D$594),0))*WeekendDays)/DaysPerWeek</f>
        <v>0</v>
      </c>
      <c r="Y626" s="25" t="e">
        <f t="shared" si="422"/>
        <v>#DIV/0!</v>
      </c>
      <c r="Z626" s="32" t="e">
        <f t="shared" si="421"/>
        <v>#DIV/0!</v>
      </c>
    </row>
    <row r="627" spans="1:26" outlineLevel="1" x14ac:dyDescent="0.25">
      <c r="A627" t="s">
        <v>38</v>
      </c>
      <c r="B627" t="s">
        <v>150</v>
      </c>
      <c r="C627" s="7" t="s">
        <v>2</v>
      </c>
      <c r="D627" s="11" cm="1">
        <f t="array" ref="D627">(INDEX(E$403:E$594,MATCH(1,($A627=$A$403:$A$594)*($B627=$B$403:$B$594)*("Weekday"=$D$403:$D$594),0))*Weekdays+INDEX(E$403:E$594,MATCH(1,($A627=$A$403:$A$594)*($B627=$B$403:$B$594)*("Weekend"=$D$403:$D$594),0))*WeekendDays)/DaysPerWeek</f>
        <v>9.641280738446248E-5</v>
      </c>
      <c r="E627" s="11" cm="1">
        <f t="array" ref="E627">(INDEX(F$403:F$594,MATCH(1,($A627=$A$403:$A$594)*($B627=$B$403:$B$594)*("Weekday"=$D$403:$D$594),0))*Weekdays+INDEX(F$403:F$594,MATCH(1,($A627=$A$403:$A$594)*($B627=$B$403:$B$594)*("Weekend"=$D$403:$D$594),0))*WeekendDays)/DaysPerWeek</f>
        <v>1.7716929505045026E-7</v>
      </c>
      <c r="F627" s="11" cm="1">
        <f t="array" ref="F627">(INDEX(G$403:G$594,MATCH(1,($A627=$A$403:$A$594)*($B627=$B$403:$B$594)*("Weekday"=$D$403:$D$594),0))*Weekdays+INDEX(G$403:G$594,MATCH(1,($A627=$A$403:$A$594)*($B627=$B$403:$B$594)*("Weekend"=$D$403:$D$594),0))*WeekendDays)/DaysPerWeek</f>
        <v>0</v>
      </c>
      <c r="G627" s="11" cm="1">
        <f t="array" ref="G627">(INDEX(H$403:H$594,MATCH(1,($A627=$A$403:$A$594)*($B627=$B$403:$B$594)*("Weekday"=$D$403:$D$594),0))*Weekdays+INDEX(H$403:H$594,MATCH(1,($A627=$A$403:$A$594)*($B627=$B$403:$B$594)*("Weekend"=$D$403:$D$594),0))*WeekendDays)/DaysPerWeek</f>
        <v>4.9118831967614233E-5</v>
      </c>
      <c r="H627" s="11" cm="1">
        <f t="array" ref="H627">(INDEX(I$403:I$594,MATCH(1,($A627=$A$403:$A$594)*($B627=$B$403:$B$594)*("Weekday"=$D$403:$D$594),0))*Weekdays+INDEX(I$403:I$594,MATCH(1,($A627=$A$403:$A$594)*($B627=$B$403:$B$594)*("Weekend"=$D$403:$D$594),0))*WeekendDays)/DaysPerWeek</f>
        <v>2.704305883866847E-5</v>
      </c>
      <c r="I627" s="11" cm="1">
        <f t="array" ref="I627">(INDEX(J$403:J$594,MATCH(1,($A627=$A$403:$A$594)*($B627=$B$403:$B$594)*("Weekday"=$D$403:$D$594),0))*Weekdays+INDEX(J$403:J$594,MATCH(1,($A627=$A$403:$A$594)*($B627=$B$403:$B$594)*("Weekend"=$D$403:$D$594),0))*WeekendDays)/DaysPerWeek</f>
        <v>2.704305883866847E-5</v>
      </c>
      <c r="J627" s="11" cm="1">
        <f t="array" ref="J627">(INDEX(K$403:K$594,MATCH(1,($A627=$A$403:$A$594)*($B627=$B$403:$B$594)*("Weekday"=$D$403:$D$594),0))*Weekdays+INDEX(K$403:K$594,MATCH(1,($A627=$A$403:$A$594)*($B627=$B$403:$B$594)*("Weekend"=$D$403:$D$594),0))*WeekendDays)/DaysPerWeek</f>
        <v>7.8314738954648918E-5</v>
      </c>
      <c r="K627" s="11" cm="1">
        <f t="array" ref="K627">(INDEX(L$403:L$594,MATCH(1,($A627=$A$403:$A$594)*($B627=$B$403:$B$594)*("Weekday"=$D$403:$D$594),0))*Weekdays+INDEX(L$403:L$594,MATCH(1,($A627=$A$403:$A$594)*($B627=$B$403:$B$594)*("Weekend"=$D$403:$D$594),0))*WeekendDays)/DaysPerWeek</f>
        <v>3.6775266285278845E-6</v>
      </c>
      <c r="L627" s="11" cm="1">
        <f t="array" ref="L627">(INDEX(M$403:M$594,MATCH(1,($A627=$A$403:$A$594)*($B627=$B$403:$B$594)*("Weekday"=$D$403:$D$594),0))*Weekdays+INDEX(M$403:M$594,MATCH(1,($A627=$A$403:$A$594)*($B627=$B$403:$B$594)*("Weekend"=$D$403:$D$594),0))*WeekendDays)/DaysPerWeek</f>
        <v>0</v>
      </c>
      <c r="M627" s="11" cm="1">
        <f t="array" ref="M627">(INDEX(N$403:N$594,MATCH(1,($A627=$A$403:$A$594)*($B627=$B$403:$B$594)*("Weekday"=$D$403:$D$594),0))*Weekdays+INDEX(N$403:N$594,MATCH(1,($A627=$A$403:$A$594)*($B627=$B$403:$B$594)*("Weekend"=$D$403:$D$594),0))*WeekendDays)/DaysPerWeek</f>
        <v>5.6293099151357641E-5</v>
      </c>
      <c r="N627" s="11" cm="1">
        <f t="array" ref="N627">(INDEX(O$403:O$594,MATCH(1,($A627=$A$403:$A$594)*($B627=$B$403:$B$594)*("Weekday"=$D$403:$D$594),0))*Weekdays+INDEX(O$403:O$594,MATCH(1,($A627=$A$403:$A$594)*($B627=$B$403:$B$594)*("Weekend"=$D$403:$D$594),0))*WeekendDays)/DaysPerWeek</f>
        <v>5.6293099151357641E-5</v>
      </c>
      <c r="O627" s="11" cm="1">
        <f t="array" ref="O627">(INDEX(P$403:P$594,MATCH(1,($A627=$A$403:$A$594)*($B627=$B$403:$B$594)*("Weekday"=$D$403:$D$594),0))*Weekdays+INDEX(P$403:P$594,MATCH(1,($A627=$A$403:$A$594)*($B627=$B$403:$B$594)*("Weekend"=$D$403:$D$594),0))*WeekendDays)/DaysPerWeek</f>
        <v>0</v>
      </c>
      <c r="P627" s="11" cm="1">
        <f t="array" ref="P627">(INDEX(Q$403:Q$594,MATCH(1,($A627=$A$403:$A$594)*($B627=$B$403:$B$594)*("Weekday"=$D$403:$D$594),0))*Weekdays+INDEX(Q$403:Q$594,MATCH(1,($A627=$A$403:$A$594)*($B627=$B$403:$B$594)*("Weekend"=$D$403:$D$594),0))*WeekendDays)/DaysPerWeek</f>
        <v>5.2110043761581111E-5</v>
      </c>
      <c r="Q627" s="11" cm="1">
        <f t="array" ref="Q627">(INDEX(R$403:R$594,MATCH(1,($A627=$A$403:$A$594)*($B627=$B$403:$B$594)*("Weekday"=$D$403:$D$594),0))*Weekdays+INDEX(R$403:R$594,MATCH(1,($A627=$A$403:$A$594)*($B627=$B$403:$B$594)*("Weekend"=$D$403:$D$594),0))*WeekendDays)/DaysPerWeek</f>
        <v>5.2110043761581111E-5</v>
      </c>
      <c r="R627" s="11" cm="1">
        <f t="array" ref="R627">(INDEX(S$403:S$594,MATCH(1,($A627=$A$403:$A$594)*($B627=$B$403:$B$594)*("Weekday"=$D$403:$D$594),0))*Weekdays+INDEX(S$403:S$594,MATCH(1,($A627=$A$403:$A$594)*($B627=$B$403:$B$594)*("Weekend"=$D$403:$D$594),0))*WeekendDays)/DaysPerWeek</f>
        <v>0</v>
      </c>
      <c r="S627" s="11" cm="1">
        <f t="array" ref="S627">(INDEX(T$403:T$594,MATCH(1,($A627=$A$403:$A$594)*($B627=$B$403:$B$594)*("Weekday"=$D$403:$D$594),0))*Weekdays+INDEX(T$403:T$594,MATCH(1,($A627=$A$403:$A$594)*($B627=$B$403:$B$594)*("Weekend"=$D$403:$D$594),0))*WeekendDays)/DaysPerWeek</f>
        <v>5.2110043761581125E-5</v>
      </c>
      <c r="T627" s="11" cm="1">
        <f t="array" ref="T627">(INDEX(U$403:U$594,MATCH(1,($A627=$A$403:$A$594)*($B627=$B$403:$B$594)*("Weekday"=$D$403:$D$594),0))*Weekdays+INDEX(U$403:U$594,MATCH(1,($A627=$A$403:$A$594)*($B627=$B$403:$B$594)*("Weekend"=$D$403:$D$594),0))*WeekendDays)/DaysPerWeek</f>
        <v>0</v>
      </c>
      <c r="U627" s="11" t="e" cm="1">
        <f t="array" ref="U627">(INDEX(V$403:V$594,MATCH(1,($A627=$A$403:$A$594)*($B627=$B$403:$B$594)*("Weekday"=$D$403:$D$594),0))*Weekdays+INDEX(V$403:V$594,MATCH(1,($A627=$A$403:$A$594)*($B627=$B$403:$B$594)*("Weekend"=$D$403:$D$594),0))*WeekendDays)/DaysPerWeek</f>
        <v>#DIV/0!</v>
      </c>
      <c r="V627" s="11" cm="1">
        <f t="array" ref="V627">(INDEX(W$403:W$594,MATCH(1,($A627=$A$403:$A$594)*($B627=$B$403:$B$594)*("Weekday"=$D$403:$D$594),0))*Weekdays+INDEX(W$403:W$594,MATCH(1,($A627=$A$403:$A$594)*($B627=$B$403:$B$594)*("Weekend"=$D$403:$D$594),0))*WeekendDays)/DaysPerWeek</f>
        <v>1.1104234199268263E-4</v>
      </c>
      <c r="W627" s="11" cm="1">
        <f t="array" ref="W627">(INDEX(X$403:X$594,MATCH(1,($A627=$A$403:$A$594)*($B627=$B$403:$B$594)*("Weekday"=$D$403:$D$594),0))*Weekdays+INDEX(X$403:X$594,MATCH(1,($A627=$A$403:$A$594)*($B627=$B$403:$B$594)*("Weekend"=$D$403:$D$594),0))*WeekendDays)/DaysPerWeek</f>
        <v>0</v>
      </c>
      <c r="X627" s="11" cm="1">
        <f t="array" ref="X627">(INDEX(Y$403:Y$594,MATCH(1,($A627=$A$403:$A$594)*($B627=$B$403:$B$594)*("Weekday"=$D$403:$D$594),0))*Weekdays+INDEX(Y$403:Y$594,MATCH(1,($A627=$A$403:$A$594)*($B627=$B$403:$B$594)*("Weekend"=$D$403:$D$594),0))*WeekendDays)/DaysPerWeek</f>
        <v>0</v>
      </c>
      <c r="Y627" s="25" t="e">
        <f t="shared" si="422"/>
        <v>#DIV/0!</v>
      </c>
      <c r="Z627" s="32" t="e">
        <f t="shared" si="421"/>
        <v>#DIV/0!</v>
      </c>
    </row>
    <row r="628" spans="1:26" outlineLevel="1" x14ac:dyDescent="0.25">
      <c r="A628" t="s">
        <v>38</v>
      </c>
      <c r="B628" t="s">
        <v>151</v>
      </c>
      <c r="C628" s="7" t="s">
        <v>3</v>
      </c>
      <c r="D628" s="11" cm="1">
        <f t="array" ref="D628">(INDEX(E$403:E$594,MATCH(1,($A628=$A$403:$A$594)*($B628=$B$403:$B$594)*("Weekday"=$D$403:$D$594),0))*Weekdays+INDEX(E$403:E$594,MATCH(1,($A628=$A$403:$A$594)*($B628=$B$403:$B$594)*("Weekend"=$D$403:$D$594),0))*WeekendDays)/DaysPerWeek</f>
        <v>9.4045620968812068E-5</v>
      </c>
      <c r="E628" s="11" cm="1">
        <f t="array" ref="E628">(INDEX(F$403:F$594,MATCH(1,($A628=$A$403:$A$594)*($B628=$B$403:$B$594)*("Weekday"=$D$403:$D$594),0))*Weekdays+INDEX(F$403:F$594,MATCH(1,($A628=$A$403:$A$594)*($B628=$B$403:$B$594)*("Weekend"=$D$403:$D$594),0))*WeekendDays)/DaysPerWeek</f>
        <v>1.7390670672240355E-7</v>
      </c>
      <c r="F628" s="11" cm="1">
        <f t="array" ref="F628">(INDEX(G$403:G$594,MATCH(1,($A628=$A$403:$A$594)*($B628=$B$403:$B$594)*("Weekday"=$D$403:$D$594),0))*Weekdays+INDEX(G$403:G$594,MATCH(1,($A628=$A$403:$A$594)*($B628=$B$403:$B$594)*("Weekend"=$D$403:$D$594),0))*WeekendDays)/DaysPerWeek</f>
        <v>0</v>
      </c>
      <c r="G628" s="11" cm="1">
        <f t="array" ref="G628">(INDEX(H$403:H$594,MATCH(1,($A628=$A$403:$A$594)*($B628=$B$403:$B$594)*("Weekday"=$D$403:$D$594),0))*Weekdays+INDEX(H$403:H$594,MATCH(1,($A628=$A$403:$A$594)*($B628=$B$403:$B$594)*("Weekend"=$D$403:$D$594),0))*WeekendDays)/DaysPerWeek</f>
        <v>5.9238464064182045E-5</v>
      </c>
      <c r="H628" s="11" cm="1">
        <f t="array" ref="H628">(INDEX(I$403:I$594,MATCH(1,($A628=$A$403:$A$594)*($B628=$B$403:$B$594)*("Weekday"=$D$403:$D$594),0))*Weekdays+INDEX(I$403:I$594,MATCH(1,($A628=$A$403:$A$594)*($B628=$B$403:$B$594)*("Weekend"=$D$403:$D$594),0))*WeekendDays)/DaysPerWeek</f>
        <v>3.3796733639806958E-5</v>
      </c>
      <c r="I628" s="11" cm="1">
        <f t="array" ref="I628">(INDEX(J$403:J$594,MATCH(1,($A628=$A$403:$A$594)*($B628=$B$403:$B$594)*("Weekday"=$D$403:$D$594),0))*Weekdays+INDEX(J$403:J$594,MATCH(1,($A628=$A$403:$A$594)*($B628=$B$403:$B$594)*("Weekend"=$D$403:$D$594),0))*WeekendDays)/DaysPerWeek</f>
        <v>3.3796733639806958E-5</v>
      </c>
      <c r="J628" s="11" cm="1">
        <f t="array" ref="J628">(INDEX(K$403:K$594,MATCH(1,($A628=$A$403:$A$594)*($B628=$B$403:$B$594)*("Weekday"=$D$403:$D$594),0))*Weekdays+INDEX(K$403:K$594,MATCH(1,($A628=$A$403:$A$594)*($B628=$B$403:$B$594)*("Weekend"=$D$403:$D$594),0))*WeekendDays)/DaysPerWeek</f>
        <v>7.8404794469138104E-5</v>
      </c>
      <c r="K628" s="11" cm="1">
        <f t="array" ref="K628">(INDEX(L$403:L$594,MATCH(1,($A628=$A$403:$A$594)*($B628=$B$403:$B$594)*("Weekday"=$D$403:$D$594),0))*Weekdays+INDEX(L$403:L$594,MATCH(1,($A628=$A$403:$A$594)*($B628=$B$403:$B$594)*("Weekend"=$D$403:$D$594),0))*WeekendDays)/DaysPerWeek</f>
        <v>3.6685106169039786E-6</v>
      </c>
      <c r="L628" s="11" cm="1">
        <f t="array" ref="L628">(INDEX(M$403:M$594,MATCH(1,($A628=$A$403:$A$594)*($B628=$B$403:$B$594)*("Weekday"=$D$403:$D$594),0))*Weekdays+INDEX(M$403:M$594,MATCH(1,($A628=$A$403:$A$594)*($B628=$B$403:$B$594)*("Weekend"=$D$403:$D$594),0))*WeekendDays)/DaysPerWeek</f>
        <v>0</v>
      </c>
      <c r="M628" s="11" cm="1">
        <f t="array" ref="M628">(INDEX(N$403:N$594,MATCH(1,($A628=$A$403:$A$594)*($B628=$B$403:$B$594)*("Weekday"=$D$403:$D$594),0))*Weekdays+INDEX(N$403:N$594,MATCH(1,($A628=$A$403:$A$594)*($B628=$B$403:$B$594)*("Weekend"=$D$403:$D$594),0))*WeekendDays)/DaysPerWeek</f>
        <v>5.8906539830113094E-5</v>
      </c>
      <c r="N628" s="11" cm="1">
        <f t="array" ref="N628">(INDEX(O$403:O$594,MATCH(1,($A628=$A$403:$A$594)*($B628=$B$403:$B$594)*("Weekday"=$D$403:$D$594),0))*Weekdays+INDEX(O$403:O$594,MATCH(1,($A628=$A$403:$A$594)*($B628=$B$403:$B$594)*("Weekend"=$D$403:$D$594),0))*WeekendDays)/DaysPerWeek</f>
        <v>5.8906539830113094E-5</v>
      </c>
      <c r="O628" s="11" cm="1">
        <f t="array" ref="O628">(INDEX(P$403:P$594,MATCH(1,($A628=$A$403:$A$594)*($B628=$B$403:$B$594)*("Weekday"=$D$403:$D$594),0))*Weekdays+INDEX(P$403:P$594,MATCH(1,($A628=$A$403:$A$594)*($B628=$B$403:$B$594)*("Weekend"=$D$403:$D$594),0))*WeekendDays)/DaysPerWeek</f>
        <v>0</v>
      </c>
      <c r="P628" s="11" cm="1">
        <f t="array" ref="P628">(INDEX(Q$403:Q$594,MATCH(1,($A628=$A$403:$A$594)*($B628=$B$403:$B$594)*("Weekday"=$D$403:$D$594),0))*Weekdays+INDEX(Q$403:Q$594,MATCH(1,($A628=$A$403:$A$594)*($B628=$B$403:$B$594)*("Weekend"=$D$403:$D$594),0))*WeekendDays)/DaysPerWeek</f>
        <v>5.1891850148612066E-5</v>
      </c>
      <c r="Q628" s="11" cm="1">
        <f t="array" ref="Q628">(INDEX(R$403:R$594,MATCH(1,($A628=$A$403:$A$594)*($B628=$B$403:$B$594)*("Weekday"=$D$403:$D$594),0))*Weekdays+INDEX(R$403:R$594,MATCH(1,($A628=$A$403:$A$594)*($B628=$B$403:$B$594)*("Weekend"=$D$403:$D$594),0))*WeekendDays)/DaysPerWeek</f>
        <v>5.189185014861208E-5</v>
      </c>
      <c r="R628" s="11" cm="1">
        <f t="array" ref="R628">(INDEX(S$403:S$594,MATCH(1,($A628=$A$403:$A$594)*($B628=$B$403:$B$594)*("Weekday"=$D$403:$D$594),0))*Weekdays+INDEX(S$403:S$594,MATCH(1,($A628=$A$403:$A$594)*($B628=$B$403:$B$594)*("Weekend"=$D$403:$D$594),0))*WeekendDays)/DaysPerWeek</f>
        <v>0</v>
      </c>
      <c r="S628" s="11" cm="1">
        <f t="array" ref="S628">(INDEX(T$403:T$594,MATCH(1,($A628=$A$403:$A$594)*($B628=$B$403:$B$594)*("Weekday"=$D$403:$D$594),0))*Weekdays+INDEX(T$403:T$594,MATCH(1,($A628=$A$403:$A$594)*($B628=$B$403:$B$594)*("Weekend"=$D$403:$D$594),0))*WeekendDays)/DaysPerWeek</f>
        <v>5.1891850148612093E-5</v>
      </c>
      <c r="T628" s="11" cm="1">
        <f t="array" ref="T628">(INDEX(U$403:U$594,MATCH(1,($A628=$A$403:$A$594)*($B628=$B$403:$B$594)*("Weekday"=$D$403:$D$594),0))*Weekdays+INDEX(U$403:U$594,MATCH(1,($A628=$A$403:$A$594)*($B628=$B$403:$B$594)*("Weekend"=$D$403:$D$594),0))*WeekendDays)/DaysPerWeek</f>
        <v>0</v>
      </c>
      <c r="U628" s="11" t="e" cm="1">
        <f t="array" ref="U628">(INDEX(V$403:V$594,MATCH(1,($A628=$A$403:$A$594)*($B628=$B$403:$B$594)*("Weekday"=$D$403:$D$594),0))*Weekdays+INDEX(V$403:V$594,MATCH(1,($A628=$A$403:$A$594)*($B628=$B$403:$B$594)*("Weekend"=$D$403:$D$594),0))*WeekendDays)/DaysPerWeek</f>
        <v>#DIV/0!</v>
      </c>
      <c r="V628" s="11" cm="1">
        <f t="array" ref="V628">(INDEX(W$403:W$594,MATCH(1,($A628=$A$403:$A$594)*($B628=$B$403:$B$594)*("Weekday"=$D$403:$D$594),0))*Weekdays+INDEX(W$403:W$594,MATCH(1,($A628=$A$403:$A$594)*($B628=$B$403:$B$594)*("Weekend"=$D$403:$D$594),0))*WeekendDays)/DaysPerWeek</f>
        <v>1.1153068788101309E-4</v>
      </c>
      <c r="W628" s="11" cm="1">
        <f t="array" ref="W628">(INDEX(X$403:X$594,MATCH(1,($A628=$A$403:$A$594)*($B628=$B$403:$B$594)*("Weekday"=$D$403:$D$594),0))*Weekdays+INDEX(X$403:X$594,MATCH(1,($A628=$A$403:$A$594)*($B628=$B$403:$B$594)*("Weekend"=$D$403:$D$594),0))*WeekendDays)/DaysPerWeek</f>
        <v>0</v>
      </c>
      <c r="X628" s="11" cm="1">
        <f t="array" ref="X628">(INDEX(Y$403:Y$594,MATCH(1,($A628=$A$403:$A$594)*($B628=$B$403:$B$594)*("Weekday"=$D$403:$D$594),0))*Weekdays+INDEX(Y$403:Y$594,MATCH(1,($A628=$A$403:$A$594)*($B628=$B$403:$B$594)*("Weekend"=$D$403:$D$594),0))*WeekendDays)/DaysPerWeek</f>
        <v>0</v>
      </c>
      <c r="Y628" s="25" t="e">
        <f t="shared" si="422"/>
        <v>#DIV/0!</v>
      </c>
      <c r="Z628" s="32" t="e">
        <f t="shared" si="421"/>
        <v>#DIV/0!</v>
      </c>
    </row>
    <row r="629" spans="1:26" outlineLevel="1" x14ac:dyDescent="0.25">
      <c r="A629" t="s">
        <v>38</v>
      </c>
      <c r="B629" t="s">
        <v>152</v>
      </c>
      <c r="C629" s="7" t="s">
        <v>4</v>
      </c>
      <c r="D629" s="11" cm="1">
        <f t="array" ref="D629">(INDEX(E$403:E$594,MATCH(1,($A629=$A$403:$A$594)*($B629=$B$403:$B$594)*("Weekday"=$D$403:$D$594),0))*Weekdays+INDEX(E$403:E$594,MATCH(1,($A629=$A$403:$A$594)*($B629=$B$403:$B$594)*("Weekend"=$D$403:$D$594),0))*WeekendDays)/DaysPerWeek</f>
        <v>1.1804398593356838E-4</v>
      </c>
      <c r="E629" s="11" cm="1">
        <f t="array" ref="E629">(INDEX(F$403:F$594,MATCH(1,($A629=$A$403:$A$594)*($B629=$B$403:$B$594)*("Weekday"=$D$403:$D$594),0))*Weekdays+INDEX(F$403:F$594,MATCH(1,($A629=$A$403:$A$594)*($B629=$B$403:$B$594)*("Weekend"=$D$403:$D$594),0))*WeekendDays)/DaysPerWeek</f>
        <v>1.6335703884382622E-7</v>
      </c>
      <c r="F629" s="11" cm="1">
        <f t="array" ref="F629">(INDEX(G$403:G$594,MATCH(1,($A629=$A$403:$A$594)*($B629=$B$403:$B$594)*("Weekday"=$D$403:$D$594),0))*Weekdays+INDEX(G$403:G$594,MATCH(1,($A629=$A$403:$A$594)*($B629=$B$403:$B$594)*("Weekend"=$D$403:$D$594),0))*WeekendDays)/DaysPerWeek</f>
        <v>0</v>
      </c>
      <c r="G629" s="11" cm="1">
        <f t="array" ref="G629">(INDEX(H$403:H$594,MATCH(1,($A629=$A$403:$A$594)*($B629=$B$403:$B$594)*("Weekday"=$D$403:$D$594),0))*Weekdays+INDEX(H$403:H$594,MATCH(1,($A629=$A$403:$A$594)*($B629=$B$403:$B$594)*("Weekend"=$D$403:$D$594),0))*WeekendDays)/DaysPerWeek</f>
        <v>9.2092067879567878E-5</v>
      </c>
      <c r="H629" s="11" cm="1">
        <f t="array" ref="H629">(INDEX(I$403:I$594,MATCH(1,($A629=$A$403:$A$594)*($B629=$B$403:$B$594)*("Weekday"=$D$403:$D$594),0))*Weekdays+INDEX(I$403:I$594,MATCH(1,($A629=$A$403:$A$594)*($B629=$B$403:$B$594)*("Weekend"=$D$403:$D$594),0))*WeekendDays)/DaysPerWeek</f>
        <v>6.437561589331632E-5</v>
      </c>
      <c r="I629" s="11" cm="1">
        <f t="array" ref="I629">(INDEX(J$403:J$594,MATCH(1,($A629=$A$403:$A$594)*($B629=$B$403:$B$594)*("Weekday"=$D$403:$D$594),0))*Weekdays+INDEX(J$403:J$594,MATCH(1,($A629=$A$403:$A$594)*($B629=$B$403:$B$594)*("Weekend"=$D$403:$D$594),0))*WeekendDays)/DaysPerWeek</f>
        <v>6.437561589331632E-5</v>
      </c>
      <c r="J629" s="11" cm="1">
        <f t="array" ref="J629">(INDEX(K$403:K$594,MATCH(1,($A629=$A$403:$A$594)*($B629=$B$403:$B$594)*("Weekday"=$D$403:$D$594),0))*Weekdays+INDEX(K$403:K$594,MATCH(1,($A629=$A$403:$A$594)*($B629=$B$403:$B$594)*("Weekend"=$D$403:$D$594),0))*WeekendDays)/DaysPerWeek</f>
        <v>1.1189538458699692E-4</v>
      </c>
      <c r="K629" s="11" cm="1">
        <f t="array" ref="K629">(INDEX(L$403:L$594,MATCH(1,($A629=$A$403:$A$594)*($B629=$B$403:$B$594)*("Weekday"=$D$403:$D$594),0))*Weekdays+INDEX(L$403:L$594,MATCH(1,($A629=$A$403:$A$594)*($B629=$B$403:$B$594)*("Weekend"=$D$403:$D$594),0))*WeekendDays)/DaysPerWeek</f>
        <v>3.7564878988351824E-6</v>
      </c>
      <c r="L629" s="11" cm="1">
        <f t="array" ref="L629">(INDEX(M$403:M$594,MATCH(1,($A629=$A$403:$A$594)*($B629=$B$403:$B$594)*("Weekday"=$D$403:$D$594),0))*Weekdays+INDEX(M$403:M$594,MATCH(1,($A629=$A$403:$A$594)*($B629=$B$403:$B$594)*("Weekend"=$D$403:$D$594),0))*WeekendDays)/DaysPerWeek</f>
        <v>0</v>
      </c>
      <c r="M629" s="11" cm="1">
        <f t="array" ref="M629">(INDEX(N$403:N$594,MATCH(1,($A629=$A$403:$A$594)*($B629=$B$403:$B$594)*("Weekday"=$D$403:$D$594),0))*Weekdays+INDEX(N$403:N$594,MATCH(1,($A629=$A$403:$A$594)*($B629=$B$403:$B$594)*("Weekend"=$D$403:$D$594),0))*WeekendDays)/DaysPerWeek</f>
        <v>6.7079944198943707E-5</v>
      </c>
      <c r="N629" s="11" cm="1">
        <f t="array" ref="N629">(INDEX(O$403:O$594,MATCH(1,($A629=$A$403:$A$594)*($B629=$B$403:$B$594)*("Weekday"=$D$403:$D$594),0))*Weekdays+INDEX(O$403:O$594,MATCH(1,($A629=$A$403:$A$594)*($B629=$B$403:$B$594)*("Weekend"=$D$403:$D$594),0))*WeekendDays)/DaysPerWeek</f>
        <v>6.7079944198943707E-5</v>
      </c>
      <c r="O629" s="11" cm="1">
        <f t="array" ref="O629">(INDEX(P$403:P$594,MATCH(1,($A629=$A$403:$A$594)*($B629=$B$403:$B$594)*("Weekday"=$D$403:$D$594),0))*Weekdays+INDEX(P$403:P$594,MATCH(1,($A629=$A$403:$A$594)*($B629=$B$403:$B$594)*("Weekend"=$D$403:$D$594),0))*WeekendDays)/DaysPerWeek</f>
        <v>0</v>
      </c>
      <c r="P629" s="11" cm="1">
        <f t="array" ref="P629">(INDEX(Q$403:Q$594,MATCH(1,($A629=$A$403:$A$594)*($B629=$B$403:$B$594)*("Weekday"=$D$403:$D$594),0))*Weekdays+INDEX(Q$403:Q$594,MATCH(1,($A629=$A$403:$A$594)*($B629=$B$403:$B$594)*("Weekend"=$D$403:$D$594),0))*WeekendDays)/DaysPerWeek</f>
        <v>5.3019106558651438E-5</v>
      </c>
      <c r="Q629" s="11" cm="1">
        <f t="array" ref="Q629">(INDEX(R$403:R$594,MATCH(1,($A629=$A$403:$A$594)*($B629=$B$403:$B$594)*("Weekday"=$D$403:$D$594),0))*Weekdays+INDEX(R$403:R$594,MATCH(1,($A629=$A$403:$A$594)*($B629=$B$403:$B$594)*("Weekend"=$D$403:$D$594),0))*WeekendDays)/DaysPerWeek</f>
        <v>5.3019106558651451E-5</v>
      </c>
      <c r="R629" s="11" cm="1">
        <f t="array" ref="R629">(INDEX(S$403:S$594,MATCH(1,($A629=$A$403:$A$594)*($B629=$B$403:$B$594)*("Weekday"=$D$403:$D$594),0))*Weekdays+INDEX(S$403:S$594,MATCH(1,($A629=$A$403:$A$594)*($B629=$B$403:$B$594)*("Weekend"=$D$403:$D$594),0))*WeekendDays)/DaysPerWeek</f>
        <v>0</v>
      </c>
      <c r="S629" s="11" cm="1">
        <f t="array" ref="S629">(INDEX(T$403:T$594,MATCH(1,($A629=$A$403:$A$594)*($B629=$B$403:$B$594)*("Weekday"=$D$403:$D$594),0))*Weekdays+INDEX(T$403:T$594,MATCH(1,($A629=$A$403:$A$594)*($B629=$B$403:$B$594)*("Weekend"=$D$403:$D$594),0))*WeekendDays)/DaysPerWeek</f>
        <v>5.3019106558651451E-5</v>
      </c>
      <c r="T629" s="11" cm="1">
        <f t="array" ref="T629">(INDEX(U$403:U$594,MATCH(1,($A629=$A$403:$A$594)*($B629=$B$403:$B$594)*("Weekday"=$D$403:$D$594),0))*Weekdays+INDEX(U$403:U$594,MATCH(1,($A629=$A$403:$A$594)*($B629=$B$403:$B$594)*("Weekend"=$D$403:$D$594),0))*WeekendDays)/DaysPerWeek</f>
        <v>0</v>
      </c>
      <c r="U629" s="11" t="e" cm="1">
        <f t="array" ref="U629">(INDEX(V$403:V$594,MATCH(1,($A629=$A$403:$A$594)*($B629=$B$403:$B$594)*("Weekday"=$D$403:$D$594),0))*Weekdays+INDEX(V$403:V$594,MATCH(1,($A629=$A$403:$A$594)*($B629=$B$403:$B$594)*("Weekend"=$D$403:$D$594),0))*WeekendDays)/DaysPerWeek</f>
        <v>#DIV/0!</v>
      </c>
      <c r="V629" s="11" cm="1">
        <f t="array" ref="V629">(INDEX(W$403:W$594,MATCH(1,($A629=$A$403:$A$594)*($B629=$B$403:$B$594)*("Weekday"=$D$403:$D$594),0))*Weekdays+INDEX(W$403:W$594,MATCH(1,($A629=$A$403:$A$594)*($B629=$B$403:$B$594)*("Weekend"=$D$403:$D$594),0))*WeekendDays)/DaysPerWeek</f>
        <v>1.1246981458934091E-4</v>
      </c>
      <c r="W629" s="11" cm="1">
        <f t="array" ref="W629">(INDEX(X$403:X$594,MATCH(1,($A629=$A$403:$A$594)*($B629=$B$403:$B$594)*("Weekday"=$D$403:$D$594),0))*Weekdays+INDEX(X$403:X$594,MATCH(1,($A629=$A$403:$A$594)*($B629=$B$403:$B$594)*("Weekend"=$D$403:$D$594),0))*WeekendDays)/DaysPerWeek</f>
        <v>0</v>
      </c>
      <c r="X629" s="11" cm="1">
        <f t="array" ref="X629">(INDEX(Y$403:Y$594,MATCH(1,($A629=$A$403:$A$594)*($B629=$B$403:$B$594)*("Weekday"=$D$403:$D$594),0))*Weekdays+INDEX(Y$403:Y$594,MATCH(1,($A629=$A$403:$A$594)*($B629=$B$403:$B$594)*("Weekend"=$D$403:$D$594),0))*WeekendDays)/DaysPerWeek</f>
        <v>0</v>
      </c>
      <c r="Y629" s="25" t="e">
        <f t="shared" si="422"/>
        <v>#DIV/0!</v>
      </c>
      <c r="Z629" s="32" t="e">
        <f t="shared" si="421"/>
        <v>#DIV/0!</v>
      </c>
    </row>
    <row r="630" spans="1:26" outlineLevel="1" x14ac:dyDescent="0.25">
      <c r="A630" t="s">
        <v>38</v>
      </c>
      <c r="B630" t="s">
        <v>153</v>
      </c>
      <c r="C630" s="7" t="s">
        <v>5</v>
      </c>
      <c r="D630" s="11" cm="1">
        <f t="array" ref="D630">(INDEX(E$403:E$594,MATCH(1,($A630=$A$403:$A$594)*($B630=$B$403:$B$594)*("Weekday"=$D$403:$D$594),0))*Weekdays+INDEX(E$403:E$594,MATCH(1,($A630=$A$403:$A$594)*($B630=$B$403:$B$594)*("Weekend"=$D$403:$D$594),0))*WeekendDays)/DaysPerWeek</f>
        <v>1.2784353988326864E-4</v>
      </c>
      <c r="E630" s="11" cm="1">
        <f t="array" ref="E630">(INDEX(F$403:F$594,MATCH(1,($A630=$A$403:$A$594)*($B630=$B$403:$B$594)*("Weekday"=$D$403:$D$594),0))*Weekdays+INDEX(F$403:F$594,MATCH(1,($A630=$A$403:$A$594)*($B630=$B$403:$B$594)*("Weekend"=$D$403:$D$594),0))*WeekendDays)/DaysPerWeek</f>
        <v>1.4120020716057503E-7</v>
      </c>
      <c r="F630" s="11" cm="1">
        <f t="array" ref="F630">(INDEX(G$403:G$594,MATCH(1,($A630=$A$403:$A$594)*($B630=$B$403:$B$594)*("Weekday"=$D$403:$D$594),0))*Weekdays+INDEX(G$403:G$594,MATCH(1,($A630=$A$403:$A$594)*($B630=$B$403:$B$594)*("Weekend"=$D$403:$D$594),0))*WeekendDays)/DaysPerWeek</f>
        <v>0</v>
      </c>
      <c r="G630" s="11" cm="1">
        <f t="array" ref="G630">(INDEX(H$403:H$594,MATCH(1,($A630=$A$403:$A$594)*($B630=$B$403:$B$594)*("Weekday"=$D$403:$D$594),0))*Weekdays+INDEX(H$403:H$594,MATCH(1,($A630=$A$403:$A$594)*($B630=$B$403:$B$594)*("Weekend"=$D$403:$D$594),0))*WeekendDays)/DaysPerWeek</f>
        <v>8.7468796659239076E-5</v>
      </c>
      <c r="H630" s="11" cm="1">
        <f t="array" ref="H630">(INDEX(I$403:I$594,MATCH(1,($A630=$A$403:$A$594)*($B630=$B$403:$B$594)*("Weekday"=$D$403:$D$594),0))*Weekdays+INDEX(I$403:I$594,MATCH(1,($A630=$A$403:$A$594)*($B630=$B$403:$B$594)*("Weekend"=$D$403:$D$594),0))*WeekendDays)/DaysPerWeek</f>
        <v>1.2312652379559786E-4</v>
      </c>
      <c r="I630" s="11" cm="1">
        <f t="array" ref="I630">(INDEX(J$403:J$594,MATCH(1,($A630=$A$403:$A$594)*($B630=$B$403:$B$594)*("Weekday"=$D$403:$D$594),0))*Weekdays+INDEX(J$403:J$594,MATCH(1,($A630=$A$403:$A$594)*($B630=$B$403:$B$594)*("Weekend"=$D$403:$D$594),0))*WeekendDays)/DaysPerWeek</f>
        <v>1.2312652379559786E-4</v>
      </c>
      <c r="J630" s="11" cm="1">
        <f t="array" ref="J630">(INDEX(K$403:K$594,MATCH(1,($A630=$A$403:$A$594)*($B630=$B$403:$B$594)*("Weekday"=$D$403:$D$594),0))*Weekdays+INDEX(K$403:K$594,MATCH(1,($A630=$A$403:$A$594)*($B630=$B$403:$B$594)*("Weekend"=$D$403:$D$594),0))*WeekendDays)/DaysPerWeek</f>
        <v>2.0695209645903089E-4</v>
      </c>
      <c r="K630" s="11" cm="1">
        <f t="array" ref="K630">(INDEX(L$403:L$594,MATCH(1,($A630=$A$403:$A$594)*($B630=$B$403:$B$594)*("Weekday"=$D$403:$D$594),0))*Weekdays+INDEX(L$403:L$594,MATCH(1,($A630=$A$403:$A$594)*($B630=$B$403:$B$594)*("Weekend"=$D$403:$D$594),0))*WeekendDays)/DaysPerWeek</f>
        <v>4.0711513002981921E-6</v>
      </c>
      <c r="L630" s="11" cm="1">
        <f t="array" ref="L630">(INDEX(M$403:M$594,MATCH(1,($A630=$A$403:$A$594)*($B630=$B$403:$B$594)*("Weekday"=$D$403:$D$594),0))*Weekdays+INDEX(M$403:M$594,MATCH(1,($A630=$A$403:$A$594)*($B630=$B$403:$B$594)*("Weekend"=$D$403:$D$594),0))*WeekendDays)/DaysPerWeek</f>
        <v>0</v>
      </c>
      <c r="M630" s="11" cm="1">
        <f t="array" ref="M630">(INDEX(N$403:N$594,MATCH(1,($A630=$A$403:$A$594)*($B630=$B$403:$B$594)*("Weekday"=$D$403:$D$594),0))*Weekdays+INDEX(N$403:N$594,MATCH(1,($A630=$A$403:$A$594)*($B630=$B$403:$B$594)*("Weekend"=$D$403:$D$594),0))*WeekendDays)/DaysPerWeek</f>
        <v>9.3486445052376834E-5</v>
      </c>
      <c r="N630" s="11" cm="1">
        <f t="array" ref="N630">(INDEX(O$403:O$594,MATCH(1,($A630=$A$403:$A$594)*($B630=$B$403:$B$594)*("Weekday"=$D$403:$D$594),0))*Weekdays+INDEX(O$403:O$594,MATCH(1,($A630=$A$403:$A$594)*($B630=$B$403:$B$594)*("Weekend"=$D$403:$D$594),0))*WeekendDays)/DaysPerWeek</f>
        <v>9.3486445052376834E-5</v>
      </c>
      <c r="O630" s="11" cm="1">
        <f t="array" ref="O630">(INDEX(P$403:P$594,MATCH(1,($A630=$A$403:$A$594)*($B630=$B$403:$B$594)*("Weekday"=$D$403:$D$594),0))*Weekdays+INDEX(P$403:P$594,MATCH(1,($A630=$A$403:$A$594)*($B630=$B$403:$B$594)*("Weekend"=$D$403:$D$594),0))*WeekendDays)/DaysPerWeek</f>
        <v>0</v>
      </c>
      <c r="P630" s="11" cm="1">
        <f t="array" ref="P630">(INDEX(Q$403:Q$594,MATCH(1,($A630=$A$403:$A$594)*($B630=$B$403:$B$594)*("Weekday"=$D$403:$D$594),0))*Weekdays+INDEX(Q$403:Q$594,MATCH(1,($A630=$A$403:$A$594)*($B630=$B$403:$B$594)*("Weekend"=$D$403:$D$594),0))*WeekendDays)/DaysPerWeek</f>
        <v>7.4987621153510116E-5</v>
      </c>
      <c r="Q630" s="11" cm="1">
        <f t="array" ref="Q630">(INDEX(R$403:R$594,MATCH(1,($A630=$A$403:$A$594)*($B630=$B$403:$B$594)*("Weekday"=$D$403:$D$594),0))*Weekdays+INDEX(R$403:R$594,MATCH(1,($A630=$A$403:$A$594)*($B630=$B$403:$B$594)*("Weekend"=$D$403:$D$594),0))*WeekendDays)/DaysPerWeek</f>
        <v>7.4987621153510116E-5</v>
      </c>
      <c r="R630" s="11" cm="1">
        <f t="array" ref="R630">(INDEX(S$403:S$594,MATCH(1,($A630=$A$403:$A$594)*($B630=$B$403:$B$594)*("Weekday"=$D$403:$D$594),0))*Weekdays+INDEX(S$403:S$594,MATCH(1,($A630=$A$403:$A$594)*($B630=$B$403:$B$594)*("Weekend"=$D$403:$D$594),0))*WeekendDays)/DaysPerWeek</f>
        <v>0</v>
      </c>
      <c r="S630" s="11" cm="1">
        <f t="array" ref="S630">(INDEX(T$403:T$594,MATCH(1,($A630=$A$403:$A$594)*($B630=$B$403:$B$594)*("Weekday"=$D$403:$D$594),0))*Weekdays+INDEX(T$403:T$594,MATCH(1,($A630=$A$403:$A$594)*($B630=$B$403:$B$594)*("Weekend"=$D$403:$D$594),0))*WeekendDays)/DaysPerWeek</f>
        <v>7.4987621153510143E-5</v>
      </c>
      <c r="T630" s="11" cm="1">
        <f t="array" ref="T630">(INDEX(U$403:U$594,MATCH(1,($A630=$A$403:$A$594)*($B630=$B$403:$B$594)*("Weekday"=$D$403:$D$594),0))*Weekdays+INDEX(U$403:U$594,MATCH(1,($A630=$A$403:$A$594)*($B630=$B$403:$B$594)*("Weekend"=$D$403:$D$594),0))*WeekendDays)/DaysPerWeek</f>
        <v>0</v>
      </c>
      <c r="U630" s="11" t="e" cm="1">
        <f t="array" ref="U630">(INDEX(V$403:V$594,MATCH(1,($A630=$A$403:$A$594)*($B630=$B$403:$B$594)*("Weekday"=$D$403:$D$594),0))*Weekdays+INDEX(V$403:V$594,MATCH(1,($A630=$A$403:$A$594)*($B630=$B$403:$B$594)*("Weekend"=$D$403:$D$594),0))*WeekendDays)/DaysPerWeek</f>
        <v>#DIV/0!</v>
      </c>
      <c r="V630" s="11" cm="1">
        <f t="array" ref="V630">(INDEX(W$403:W$594,MATCH(1,($A630=$A$403:$A$594)*($B630=$B$403:$B$594)*("Weekday"=$D$403:$D$594),0))*Weekdays+INDEX(W$403:W$594,MATCH(1,($A630=$A$403:$A$594)*($B630=$B$403:$B$594)*("Weekend"=$D$403:$D$594),0))*WeekendDays)/DaysPerWeek</f>
        <v>1.1340894129766875E-4</v>
      </c>
      <c r="W630" s="11" cm="1">
        <f t="array" ref="W630">(INDEX(X$403:X$594,MATCH(1,($A630=$A$403:$A$594)*($B630=$B$403:$B$594)*("Weekday"=$D$403:$D$594),0))*Weekdays+INDEX(X$403:X$594,MATCH(1,($A630=$A$403:$A$594)*($B630=$B$403:$B$594)*("Weekend"=$D$403:$D$594),0))*WeekendDays)/DaysPerWeek</f>
        <v>0</v>
      </c>
      <c r="X630" s="11" cm="1">
        <f t="array" ref="X630">(INDEX(Y$403:Y$594,MATCH(1,($A630=$A$403:$A$594)*($B630=$B$403:$B$594)*("Weekday"=$D$403:$D$594),0))*Weekdays+INDEX(Y$403:Y$594,MATCH(1,($A630=$A$403:$A$594)*($B630=$B$403:$B$594)*("Weekend"=$D$403:$D$594),0))*WeekendDays)/DaysPerWeek</f>
        <v>0</v>
      </c>
      <c r="Y630" s="25" t="e">
        <f t="shared" si="422"/>
        <v>#DIV/0!</v>
      </c>
      <c r="Z630" s="32" t="e">
        <f t="shared" si="421"/>
        <v>#DIV/0!</v>
      </c>
    </row>
    <row r="631" spans="1:26" outlineLevel="1" x14ac:dyDescent="0.25">
      <c r="A631" t="s">
        <v>38</v>
      </c>
      <c r="B631" t="s">
        <v>154</v>
      </c>
      <c r="C631" s="7" t="s">
        <v>6</v>
      </c>
      <c r="D631" s="11" cm="1">
        <f t="array" ref="D631">(INDEX(E$403:E$594,MATCH(1,($A631=$A$403:$A$594)*($B631=$B$403:$B$594)*("Weekday"=$D$403:$D$594),0))*Weekdays+INDEX(E$403:E$594,MATCH(1,($A631=$A$403:$A$594)*($B631=$B$403:$B$594)*("Weekend"=$D$403:$D$594),0))*WeekendDays)/DaysPerWeek</f>
        <v>1.3095042848434621E-4</v>
      </c>
      <c r="E631" s="11" cm="1">
        <f t="array" ref="E631">(INDEX(F$403:F$594,MATCH(1,($A631=$A$403:$A$594)*($B631=$B$403:$B$594)*("Weekday"=$D$403:$D$594),0))*Weekdays+INDEX(F$403:F$594,MATCH(1,($A631=$A$403:$A$594)*($B631=$B$403:$B$594)*("Weekend"=$D$403:$D$594),0))*WeekendDays)/DaysPerWeek</f>
        <v>1.1527812092431644E-7</v>
      </c>
      <c r="F631" s="11" cm="1">
        <f t="array" ref="F631">(INDEX(G$403:G$594,MATCH(1,($A631=$A$403:$A$594)*($B631=$B$403:$B$594)*("Weekday"=$D$403:$D$594),0))*Weekdays+INDEX(G$403:G$594,MATCH(1,($A631=$A$403:$A$594)*($B631=$B$403:$B$594)*("Weekend"=$D$403:$D$594),0))*WeekendDays)/DaysPerWeek</f>
        <v>0</v>
      </c>
      <c r="G631" s="11" cm="1">
        <f t="array" ref="G631">(INDEX(H$403:H$594,MATCH(1,($A631=$A$403:$A$594)*($B631=$B$403:$B$594)*("Weekday"=$D$403:$D$594),0))*Weekdays+INDEX(H$403:H$594,MATCH(1,($A631=$A$403:$A$594)*($B631=$B$403:$B$594)*("Weekend"=$D$403:$D$594),0))*WeekendDays)/DaysPerWeek</f>
        <v>5.1854008034197102E-5</v>
      </c>
      <c r="H631" s="11" cm="1">
        <f t="array" ref="H631">(INDEX(I$403:I$594,MATCH(1,($A631=$A$403:$A$594)*($B631=$B$403:$B$594)*("Weekday"=$D$403:$D$594),0))*Weekdays+INDEX(I$403:I$594,MATCH(1,($A631=$A$403:$A$594)*($B631=$B$403:$B$594)*("Weekend"=$D$403:$D$594),0))*WeekendDays)/DaysPerWeek</f>
        <v>1.743642517288997E-4</v>
      </c>
      <c r="I631" s="11" cm="1">
        <f t="array" ref="I631">(INDEX(J$403:J$594,MATCH(1,($A631=$A$403:$A$594)*($B631=$B$403:$B$594)*("Weekday"=$D$403:$D$594),0))*Weekdays+INDEX(J$403:J$594,MATCH(1,($A631=$A$403:$A$594)*($B631=$B$403:$B$594)*("Weekend"=$D$403:$D$594),0))*WeekendDays)/DaysPerWeek</f>
        <v>1.743642517288997E-4</v>
      </c>
      <c r="J631" s="11" cm="1">
        <f t="array" ref="J631">(INDEX(K$403:K$594,MATCH(1,($A631=$A$403:$A$594)*($B631=$B$403:$B$594)*("Weekday"=$D$403:$D$594),0))*Weekdays+INDEX(K$403:K$594,MATCH(1,($A631=$A$403:$A$594)*($B631=$B$403:$B$594)*("Weekend"=$D$403:$D$594),0))*WeekendDays)/DaysPerWeek</f>
        <v>2.3519024875270174E-4</v>
      </c>
      <c r="K631" s="11" cm="1">
        <f t="array" ref="K631">(INDEX(L$403:L$594,MATCH(1,($A631=$A$403:$A$594)*($B631=$B$403:$B$594)*("Weekday"=$D$403:$D$594),0))*Weekdays+INDEX(L$403:L$594,MATCH(1,($A631=$A$403:$A$594)*($B631=$B$403:$B$594)*("Weekend"=$D$403:$D$594),0))*WeekendDays)/DaysPerWeek</f>
        <v>4.6919266299527078E-6</v>
      </c>
      <c r="L631" s="11" cm="1">
        <f t="array" ref="L631">(INDEX(M$403:M$594,MATCH(1,($A631=$A$403:$A$594)*($B631=$B$403:$B$594)*("Weekday"=$D$403:$D$594),0))*Weekdays+INDEX(M$403:M$594,MATCH(1,($A631=$A$403:$A$594)*($B631=$B$403:$B$594)*("Weekend"=$D$403:$D$594),0))*WeekendDays)/DaysPerWeek</f>
        <v>0</v>
      </c>
      <c r="M631" s="11" cm="1">
        <f t="array" ref="M631">(INDEX(N$403:N$594,MATCH(1,($A631=$A$403:$A$594)*($B631=$B$403:$B$594)*("Weekday"=$D$403:$D$594),0))*Weekdays+INDEX(N$403:N$594,MATCH(1,($A631=$A$403:$A$594)*($B631=$B$403:$B$594)*("Weekend"=$D$403:$D$594),0))*WeekendDays)/DaysPerWeek</f>
        <v>1.2599151244748854E-4</v>
      </c>
      <c r="N631" s="11" cm="1">
        <f t="array" ref="N631">(INDEX(O$403:O$594,MATCH(1,($A631=$A$403:$A$594)*($B631=$B$403:$B$594)*("Weekday"=$D$403:$D$594),0))*Weekdays+INDEX(O$403:O$594,MATCH(1,($A631=$A$403:$A$594)*($B631=$B$403:$B$594)*("Weekend"=$D$403:$D$594),0))*WeekendDays)/DaysPerWeek</f>
        <v>1.2599151244748854E-4</v>
      </c>
      <c r="O631" s="11" cm="1">
        <f t="array" ref="O631">(INDEX(P$403:P$594,MATCH(1,($A631=$A$403:$A$594)*($B631=$B$403:$B$594)*("Weekday"=$D$403:$D$594),0))*Weekdays+INDEX(P$403:P$594,MATCH(1,($A631=$A$403:$A$594)*($B631=$B$403:$B$594)*("Weekend"=$D$403:$D$594),0))*WeekendDays)/DaysPerWeek</f>
        <v>0</v>
      </c>
      <c r="P631" s="11" cm="1">
        <f t="array" ref="P631">(INDEX(Q$403:Q$594,MATCH(1,($A631=$A$403:$A$594)*($B631=$B$403:$B$594)*("Weekday"=$D$403:$D$594),0))*Weekdays+INDEX(Q$403:Q$594,MATCH(1,($A631=$A$403:$A$594)*($B631=$B$403:$B$594)*("Weekend"=$D$403:$D$594),0))*WeekendDays)/DaysPerWeek</f>
        <v>1.4020599162761462E-4</v>
      </c>
      <c r="Q631" s="11" cm="1">
        <f t="array" ref="Q631">(INDEX(R$403:R$594,MATCH(1,($A631=$A$403:$A$594)*($B631=$B$403:$B$594)*("Weekday"=$D$403:$D$594),0))*Weekdays+INDEX(R$403:R$594,MATCH(1,($A631=$A$403:$A$594)*($B631=$B$403:$B$594)*("Weekend"=$D$403:$D$594),0))*WeekendDays)/DaysPerWeek</f>
        <v>1.4020599162761462E-4</v>
      </c>
      <c r="R631" s="11" cm="1">
        <f t="array" ref="R631">(INDEX(S$403:S$594,MATCH(1,($A631=$A$403:$A$594)*($B631=$B$403:$B$594)*("Weekday"=$D$403:$D$594),0))*Weekdays+INDEX(S$403:S$594,MATCH(1,($A631=$A$403:$A$594)*($B631=$B$403:$B$594)*("Weekend"=$D$403:$D$594),0))*WeekendDays)/DaysPerWeek</f>
        <v>0</v>
      </c>
      <c r="S631" s="11" cm="1">
        <f t="array" ref="S631">(INDEX(T$403:T$594,MATCH(1,($A631=$A$403:$A$594)*($B631=$B$403:$B$594)*("Weekday"=$D$403:$D$594),0))*Weekdays+INDEX(T$403:T$594,MATCH(1,($A631=$A$403:$A$594)*($B631=$B$403:$B$594)*("Weekend"=$D$403:$D$594),0))*WeekendDays)/DaysPerWeek</f>
        <v>1.4020599162761465E-4</v>
      </c>
      <c r="T631" s="11" cm="1">
        <f t="array" ref="T631">(INDEX(U$403:U$594,MATCH(1,($A631=$A$403:$A$594)*($B631=$B$403:$B$594)*("Weekday"=$D$403:$D$594),0))*Weekdays+INDEX(U$403:U$594,MATCH(1,($A631=$A$403:$A$594)*($B631=$B$403:$B$594)*("Weekend"=$D$403:$D$594),0))*WeekendDays)/DaysPerWeek</f>
        <v>0</v>
      </c>
      <c r="U631" s="11" t="e" cm="1">
        <f t="array" ref="U631">(INDEX(V$403:V$594,MATCH(1,($A631=$A$403:$A$594)*($B631=$B$403:$B$594)*("Weekday"=$D$403:$D$594),0))*Weekdays+INDEX(V$403:V$594,MATCH(1,($A631=$A$403:$A$594)*($B631=$B$403:$B$594)*("Weekend"=$D$403:$D$594),0))*WeekendDays)/DaysPerWeek</f>
        <v>#DIV/0!</v>
      </c>
      <c r="V631" s="11" cm="1">
        <f t="array" ref="V631">(INDEX(W$403:W$594,MATCH(1,($A631=$A$403:$A$594)*($B631=$B$403:$B$594)*("Weekday"=$D$403:$D$594),0))*Weekdays+INDEX(W$403:W$594,MATCH(1,($A631=$A$403:$A$594)*($B631=$B$403:$B$594)*("Weekend"=$D$403:$D$594),0))*WeekendDays)/DaysPerWeek</f>
        <v>1.1416024266433102E-4</v>
      </c>
      <c r="W631" s="11" cm="1">
        <f t="array" ref="W631">(INDEX(X$403:X$594,MATCH(1,($A631=$A$403:$A$594)*($B631=$B$403:$B$594)*("Weekday"=$D$403:$D$594),0))*Weekdays+INDEX(X$403:X$594,MATCH(1,($A631=$A$403:$A$594)*($B631=$B$403:$B$594)*("Weekend"=$D$403:$D$594),0))*WeekendDays)/DaysPerWeek</f>
        <v>0</v>
      </c>
      <c r="X631" s="11" cm="1">
        <f t="array" ref="X631">(INDEX(Y$403:Y$594,MATCH(1,($A631=$A$403:$A$594)*($B631=$B$403:$B$594)*("Weekday"=$D$403:$D$594),0))*Weekdays+INDEX(Y$403:Y$594,MATCH(1,($A631=$A$403:$A$594)*($B631=$B$403:$B$594)*("Weekend"=$D$403:$D$594),0))*WeekendDays)/DaysPerWeek</f>
        <v>0</v>
      </c>
      <c r="Y631" s="25" t="e">
        <f t="shared" si="422"/>
        <v>#DIV/0!</v>
      </c>
      <c r="Z631" s="32" t="e">
        <f t="shared" si="421"/>
        <v>#DIV/0!</v>
      </c>
    </row>
    <row r="632" spans="1:26" outlineLevel="1" x14ac:dyDescent="0.25">
      <c r="A632" t="s">
        <v>38</v>
      </c>
      <c r="B632" t="s">
        <v>155</v>
      </c>
      <c r="C632" s="7" t="s">
        <v>7</v>
      </c>
      <c r="D632" s="11" cm="1">
        <f t="array" ref="D632">(INDEX(E$403:E$594,MATCH(1,($A632=$A$403:$A$594)*($B632=$B$403:$B$594)*("Weekday"=$D$403:$D$594),0))*Weekdays+INDEX(E$403:E$594,MATCH(1,($A632=$A$403:$A$594)*($B632=$B$403:$B$594)*("Weekend"=$D$403:$D$594),0))*WeekendDays)/DaysPerWeek</f>
        <v>1.3024396237951667E-4</v>
      </c>
      <c r="E632" s="11" cm="1">
        <f t="array" ref="E632">(INDEX(F$403:F$594,MATCH(1,($A632=$A$403:$A$594)*($B632=$B$403:$B$594)*("Weekday"=$D$403:$D$594),0))*Weekdays+INDEX(F$403:F$594,MATCH(1,($A632=$A$403:$A$594)*($B632=$B$403:$B$594)*("Weekend"=$D$403:$D$594),0))*WeekendDays)/DaysPerWeek</f>
        <v>2.5469370491514112E-7</v>
      </c>
      <c r="F632" s="11" cm="1">
        <f t="array" ref="F632">(INDEX(G$403:G$594,MATCH(1,($A632=$A$403:$A$594)*($B632=$B$403:$B$594)*("Weekday"=$D$403:$D$594),0))*Weekdays+INDEX(G$403:G$594,MATCH(1,($A632=$A$403:$A$594)*($B632=$B$403:$B$594)*("Weekend"=$D$403:$D$594),0))*WeekendDays)/DaysPerWeek</f>
        <v>0</v>
      </c>
      <c r="G632" s="11" cm="1">
        <f t="array" ref="G632">(INDEX(H$403:H$594,MATCH(1,($A632=$A$403:$A$594)*($B632=$B$403:$B$594)*("Weekday"=$D$403:$D$594),0))*Weekdays+INDEX(H$403:H$594,MATCH(1,($A632=$A$403:$A$594)*($B632=$B$403:$B$594)*("Weekend"=$D$403:$D$594),0))*WeekendDays)/DaysPerWeek</f>
        <v>5.41231473851826E-5</v>
      </c>
      <c r="H632" s="11" cm="1">
        <f t="array" ref="H632">(INDEX(I$403:I$594,MATCH(1,($A632=$A$403:$A$594)*($B632=$B$403:$B$594)*("Weekday"=$D$403:$D$594),0))*Weekdays+INDEX(I$403:I$594,MATCH(1,($A632=$A$403:$A$594)*($B632=$B$403:$B$594)*("Weekend"=$D$403:$D$594),0))*WeekendDays)/DaysPerWeek</f>
        <v>1.508708039493727E-4</v>
      </c>
      <c r="I632" s="11" cm="1">
        <f t="array" ref="I632">(INDEX(J$403:J$594,MATCH(1,($A632=$A$403:$A$594)*($B632=$B$403:$B$594)*("Weekday"=$D$403:$D$594),0))*Weekdays+INDEX(J$403:J$594,MATCH(1,($A632=$A$403:$A$594)*($B632=$B$403:$B$594)*("Weekend"=$D$403:$D$594),0))*WeekendDays)/DaysPerWeek</f>
        <v>1.508708039493727E-4</v>
      </c>
      <c r="J632" s="11" cm="1">
        <f t="array" ref="J632">(INDEX(K$403:K$594,MATCH(1,($A632=$A$403:$A$594)*($B632=$B$403:$B$594)*("Weekday"=$D$403:$D$594),0))*Weekdays+INDEX(K$403:K$594,MATCH(1,($A632=$A$403:$A$594)*($B632=$B$403:$B$594)*("Weekend"=$D$403:$D$594),0))*WeekendDays)/DaysPerWeek</f>
        <v>1.8835042602419419E-4</v>
      </c>
      <c r="K632" s="11" cm="1">
        <f t="array" ref="K632">(INDEX(L$403:L$594,MATCH(1,($A632=$A$403:$A$594)*($B632=$B$403:$B$594)*("Weekday"=$D$403:$D$594),0))*Weekdays+INDEX(L$403:L$594,MATCH(1,($A632=$A$403:$A$594)*($B632=$B$403:$B$594)*("Weekend"=$D$403:$D$594),0))*WeekendDays)/DaysPerWeek</f>
        <v>5.6313508025647728E-6</v>
      </c>
      <c r="L632" s="11" cm="1">
        <f t="array" ref="L632">(INDEX(M$403:M$594,MATCH(1,($A632=$A$403:$A$594)*($B632=$B$403:$B$594)*("Weekday"=$D$403:$D$594),0))*Weekdays+INDEX(M$403:M$594,MATCH(1,($A632=$A$403:$A$594)*($B632=$B$403:$B$594)*("Weekend"=$D$403:$D$594),0))*WeekendDays)/DaysPerWeek</f>
        <v>0</v>
      </c>
      <c r="M632" s="11" cm="1">
        <f t="array" ref="M632">(INDEX(N$403:N$594,MATCH(1,($A632=$A$403:$A$594)*($B632=$B$403:$B$594)*("Weekday"=$D$403:$D$594),0))*Weekdays+INDEX(N$403:N$594,MATCH(1,($A632=$A$403:$A$594)*($B632=$B$403:$B$594)*("Weekend"=$D$403:$D$594),0))*WeekendDays)/DaysPerWeek</f>
        <v>1.5367366997972296E-4</v>
      </c>
      <c r="N632" s="11" cm="1">
        <f t="array" ref="N632">(INDEX(O$403:O$594,MATCH(1,($A632=$A$403:$A$594)*($B632=$B$403:$B$594)*("Weekday"=$D$403:$D$594),0))*Weekdays+INDEX(O$403:O$594,MATCH(1,($A632=$A$403:$A$594)*($B632=$B$403:$B$594)*("Weekend"=$D$403:$D$594),0))*WeekendDays)/DaysPerWeek</f>
        <v>1.5367366997972296E-4</v>
      </c>
      <c r="O632" s="11" cm="1">
        <f t="array" ref="O632">(INDEX(P$403:P$594,MATCH(1,($A632=$A$403:$A$594)*($B632=$B$403:$B$594)*("Weekday"=$D$403:$D$594),0))*Weekdays+INDEX(P$403:P$594,MATCH(1,($A632=$A$403:$A$594)*($B632=$B$403:$B$594)*("Weekend"=$D$403:$D$594),0))*WeekendDays)/DaysPerWeek</f>
        <v>0</v>
      </c>
      <c r="P632" s="11" cm="1">
        <f t="array" ref="P632">(INDEX(Q$403:Q$594,MATCH(1,($A632=$A$403:$A$594)*($B632=$B$403:$B$594)*("Weekday"=$D$403:$D$594),0))*Weekdays+INDEX(Q$403:Q$594,MATCH(1,($A632=$A$403:$A$594)*($B632=$B$403:$B$594)*("Weekend"=$D$403:$D$594),0))*WeekendDays)/DaysPerWeek</f>
        <v>1.5589260514157745E-4</v>
      </c>
      <c r="Q632" s="11" cm="1">
        <f t="array" ref="Q632">(INDEX(R$403:R$594,MATCH(1,($A632=$A$403:$A$594)*($B632=$B$403:$B$594)*("Weekday"=$D$403:$D$594),0))*Weekdays+INDEX(R$403:R$594,MATCH(1,($A632=$A$403:$A$594)*($B632=$B$403:$B$594)*("Weekend"=$D$403:$D$594),0))*WeekendDays)/DaysPerWeek</f>
        <v>1.5589260514157753E-4</v>
      </c>
      <c r="R632" s="11" cm="1">
        <f t="array" ref="R632">(INDEX(S$403:S$594,MATCH(1,($A632=$A$403:$A$594)*($B632=$B$403:$B$594)*("Weekday"=$D$403:$D$594),0))*Weekdays+INDEX(S$403:S$594,MATCH(1,($A632=$A$403:$A$594)*($B632=$B$403:$B$594)*("Weekend"=$D$403:$D$594),0))*WeekendDays)/DaysPerWeek</f>
        <v>0</v>
      </c>
      <c r="S632" s="11" cm="1">
        <f t="array" ref="S632">(INDEX(T$403:T$594,MATCH(1,($A632=$A$403:$A$594)*($B632=$B$403:$B$594)*("Weekday"=$D$403:$D$594),0))*Weekdays+INDEX(T$403:T$594,MATCH(1,($A632=$A$403:$A$594)*($B632=$B$403:$B$594)*("Weekend"=$D$403:$D$594),0))*WeekendDays)/DaysPerWeek</f>
        <v>1.5589260514157756E-4</v>
      </c>
      <c r="T632" s="11" cm="1">
        <f t="array" ref="T632">(INDEX(U$403:U$594,MATCH(1,($A632=$A$403:$A$594)*($B632=$B$403:$B$594)*("Weekday"=$D$403:$D$594),0))*Weekdays+INDEX(U$403:U$594,MATCH(1,($A632=$A$403:$A$594)*($B632=$B$403:$B$594)*("Weekend"=$D$403:$D$594),0))*WeekendDays)/DaysPerWeek</f>
        <v>0</v>
      </c>
      <c r="U632" s="11" t="e" cm="1">
        <f t="array" ref="U632">(INDEX(V$403:V$594,MATCH(1,($A632=$A$403:$A$594)*($B632=$B$403:$B$594)*("Weekday"=$D$403:$D$594),0))*Weekdays+INDEX(V$403:V$594,MATCH(1,($A632=$A$403:$A$594)*($B632=$B$403:$B$594)*("Weekend"=$D$403:$D$594),0))*WeekendDays)/DaysPerWeek</f>
        <v>#DIV/0!</v>
      </c>
      <c r="V632" s="11" cm="1">
        <f t="array" ref="V632">(INDEX(W$403:W$594,MATCH(1,($A632=$A$403:$A$594)*($B632=$B$403:$B$594)*("Weekday"=$D$403:$D$594),0))*Weekdays+INDEX(W$403:W$594,MATCH(1,($A632=$A$403:$A$594)*($B632=$B$403:$B$594)*("Weekend"=$D$403:$D$594),0))*WeekendDays)/DaysPerWeek</f>
        <v>1.1431050293766346E-4</v>
      </c>
      <c r="W632" s="11" cm="1">
        <f t="array" ref="W632">(INDEX(X$403:X$594,MATCH(1,($A632=$A$403:$A$594)*($B632=$B$403:$B$594)*("Weekday"=$D$403:$D$594),0))*Weekdays+INDEX(X$403:X$594,MATCH(1,($A632=$A$403:$A$594)*($B632=$B$403:$B$594)*("Weekend"=$D$403:$D$594),0))*WeekendDays)/DaysPerWeek</f>
        <v>0</v>
      </c>
      <c r="X632" s="11" cm="1">
        <f t="array" ref="X632">(INDEX(Y$403:Y$594,MATCH(1,($A632=$A$403:$A$594)*($B632=$B$403:$B$594)*("Weekday"=$D$403:$D$594),0))*Weekdays+INDEX(Y$403:Y$594,MATCH(1,($A632=$A$403:$A$594)*($B632=$B$403:$B$594)*("Weekend"=$D$403:$D$594),0))*WeekendDays)/DaysPerWeek</f>
        <v>0</v>
      </c>
      <c r="Y632" s="25" t="e">
        <f t="shared" si="422"/>
        <v>#DIV/0!</v>
      </c>
      <c r="Z632" s="32" t="e">
        <f t="shared" ref="Z632:Z663" si="423">IF(AND(A632=A631,Y632=_xlfn.MAXIFS($Y$600:$Y$743,LoadFactorSeasons,A632)),A632&amp;" Peak","")</f>
        <v>#DIV/0!</v>
      </c>
    </row>
    <row r="633" spans="1:26" outlineLevel="1" x14ac:dyDescent="0.25">
      <c r="A633" t="s">
        <v>38</v>
      </c>
      <c r="B633" t="s">
        <v>156</v>
      </c>
      <c r="C633" s="7" t="s">
        <v>8</v>
      </c>
      <c r="D633" s="11" cm="1">
        <f t="array" ref="D633">(INDEX(E$403:E$594,MATCH(1,($A633=$A$403:$A$594)*($B633=$B$403:$B$594)*("Weekday"=$D$403:$D$594),0))*Weekdays+INDEX(E$403:E$594,MATCH(1,($A633=$A$403:$A$594)*($B633=$B$403:$B$594)*("Weekend"=$D$403:$D$594),0))*WeekendDays)/DaysPerWeek</f>
        <v>1.0316179568263791E-4</v>
      </c>
      <c r="E633" s="11" cm="1">
        <f t="array" ref="E633">(INDEX(F$403:F$594,MATCH(1,($A633=$A$403:$A$594)*($B633=$B$403:$B$594)*("Weekday"=$D$403:$D$594),0))*Weekdays+INDEX(F$403:F$594,MATCH(1,($A633=$A$403:$A$594)*($B633=$B$403:$B$594)*("Weekend"=$D$403:$D$594),0))*WeekendDays)/DaysPerWeek</f>
        <v>2.8461009078615801E-6</v>
      </c>
      <c r="F633" s="11" cm="1">
        <f t="array" ref="F633">(INDEX(G$403:G$594,MATCH(1,($A633=$A$403:$A$594)*($B633=$B$403:$B$594)*("Weekday"=$D$403:$D$594),0))*Weekdays+INDEX(G$403:G$594,MATCH(1,($A633=$A$403:$A$594)*($B633=$B$403:$B$594)*("Weekend"=$D$403:$D$594),0))*WeekendDays)/DaysPerWeek</f>
        <v>0</v>
      </c>
      <c r="G633" s="11" cm="1">
        <f t="array" ref="G633">(INDEX(H$403:H$594,MATCH(1,($A633=$A$403:$A$594)*($B633=$B$403:$B$594)*("Weekday"=$D$403:$D$594),0))*Weekdays+INDEX(H$403:H$594,MATCH(1,($A633=$A$403:$A$594)*($B633=$B$403:$B$594)*("Weekend"=$D$403:$D$594),0))*WeekendDays)/DaysPerWeek</f>
        <v>5.3739345884319756E-5</v>
      </c>
      <c r="H633" s="11" cm="1">
        <f t="array" ref="H633">(INDEX(I$403:I$594,MATCH(1,($A633=$A$403:$A$594)*($B633=$B$403:$B$594)*("Weekday"=$D$403:$D$594),0))*Weekdays+INDEX(I$403:I$594,MATCH(1,($A633=$A$403:$A$594)*($B633=$B$403:$B$594)*("Weekend"=$D$403:$D$594),0))*WeekendDays)/DaysPerWeek</f>
        <v>1.6405551446197533E-4</v>
      </c>
      <c r="I633" s="11" cm="1">
        <f t="array" ref="I633">(INDEX(J$403:J$594,MATCH(1,($A633=$A$403:$A$594)*($B633=$B$403:$B$594)*("Weekday"=$D$403:$D$594),0))*Weekdays+INDEX(J$403:J$594,MATCH(1,($A633=$A$403:$A$594)*($B633=$B$403:$B$594)*("Weekend"=$D$403:$D$594),0))*WeekendDays)/DaysPerWeek</f>
        <v>1.6405551446197533E-4</v>
      </c>
      <c r="J633" s="11" cm="1">
        <f t="array" ref="J633">(INDEX(K$403:K$594,MATCH(1,($A633=$A$403:$A$594)*($B633=$B$403:$B$594)*("Weekday"=$D$403:$D$594),0))*Weekdays+INDEX(K$403:K$594,MATCH(1,($A633=$A$403:$A$594)*($B633=$B$403:$B$594)*("Weekend"=$D$403:$D$594),0))*WeekendDays)/DaysPerWeek</f>
        <v>1.4490105734416293E-4</v>
      </c>
      <c r="K633" s="11" cm="1">
        <f t="array" ref="K633">(INDEX(L$403:L$594,MATCH(1,($A633=$A$403:$A$594)*($B633=$B$403:$B$594)*("Weekday"=$D$403:$D$594),0))*Weekdays+INDEX(L$403:L$594,MATCH(1,($A633=$A$403:$A$594)*($B633=$B$403:$B$594)*("Weekend"=$D$403:$D$594),0))*WeekendDays)/DaysPerWeek</f>
        <v>6.6376053471570549E-6</v>
      </c>
      <c r="L633" s="11" cm="1">
        <f t="array" ref="L633">(INDEX(M$403:M$594,MATCH(1,($A633=$A$403:$A$594)*($B633=$B$403:$B$594)*("Weekday"=$D$403:$D$594),0))*Weekdays+INDEX(M$403:M$594,MATCH(1,($A633=$A$403:$A$594)*($B633=$B$403:$B$594)*("Weekend"=$D$403:$D$594),0))*WeekendDays)/DaysPerWeek</f>
        <v>0</v>
      </c>
      <c r="M633" s="11" cm="1">
        <f t="array" ref="M633">(INDEX(N$403:N$594,MATCH(1,($A633=$A$403:$A$594)*($B633=$B$403:$B$594)*("Weekday"=$D$403:$D$594),0))*Weekdays+INDEX(N$403:N$594,MATCH(1,($A633=$A$403:$A$594)*($B633=$B$403:$B$594)*("Weekend"=$D$403:$D$594),0))*WeekendDays)/DaysPerWeek</f>
        <v>1.6293093967024668E-4</v>
      </c>
      <c r="N633" s="11" cm="1">
        <f t="array" ref="N633">(INDEX(O$403:O$594,MATCH(1,($A633=$A$403:$A$594)*($B633=$B$403:$B$594)*("Weekday"=$D$403:$D$594),0))*Weekdays+INDEX(O$403:O$594,MATCH(1,($A633=$A$403:$A$594)*($B633=$B$403:$B$594)*("Weekend"=$D$403:$D$594),0))*WeekendDays)/DaysPerWeek</f>
        <v>1.6293093967024668E-4</v>
      </c>
      <c r="O633" s="11" cm="1">
        <f t="array" ref="O633">(INDEX(P$403:P$594,MATCH(1,($A633=$A$403:$A$594)*($B633=$B$403:$B$594)*("Weekday"=$D$403:$D$594),0))*Weekdays+INDEX(P$403:P$594,MATCH(1,($A633=$A$403:$A$594)*($B633=$B$403:$B$594)*("Weekend"=$D$403:$D$594),0))*WeekendDays)/DaysPerWeek</f>
        <v>0</v>
      </c>
      <c r="P633" s="11" cm="1">
        <f t="array" ref="P633">(INDEX(Q$403:Q$594,MATCH(1,($A633=$A$403:$A$594)*($B633=$B$403:$B$594)*("Weekday"=$D$403:$D$594),0))*Weekdays+INDEX(Q$403:Q$594,MATCH(1,($A633=$A$403:$A$594)*($B633=$B$403:$B$594)*("Weekend"=$D$403:$D$594),0))*WeekendDays)/DaysPerWeek</f>
        <v>1.4692310114265692E-4</v>
      </c>
      <c r="Q633" s="11" cm="1">
        <f t="array" ref="Q633">(INDEX(R$403:R$594,MATCH(1,($A633=$A$403:$A$594)*($B633=$B$403:$B$594)*("Weekday"=$D$403:$D$594),0))*Weekdays+INDEX(R$403:R$594,MATCH(1,($A633=$A$403:$A$594)*($B633=$B$403:$B$594)*("Weekend"=$D$403:$D$594),0))*WeekendDays)/DaysPerWeek</f>
        <v>1.4692310114265694E-4</v>
      </c>
      <c r="R633" s="11" cm="1">
        <f t="array" ref="R633">(INDEX(S$403:S$594,MATCH(1,($A633=$A$403:$A$594)*($B633=$B$403:$B$594)*("Weekday"=$D$403:$D$594),0))*Weekdays+INDEX(S$403:S$594,MATCH(1,($A633=$A$403:$A$594)*($B633=$B$403:$B$594)*("Weekend"=$D$403:$D$594),0))*WeekendDays)/DaysPerWeek</f>
        <v>0</v>
      </c>
      <c r="S633" s="11" cm="1">
        <f t="array" ref="S633">(INDEX(T$403:T$594,MATCH(1,($A633=$A$403:$A$594)*($B633=$B$403:$B$594)*("Weekday"=$D$403:$D$594),0))*Weekdays+INDEX(T$403:T$594,MATCH(1,($A633=$A$403:$A$594)*($B633=$B$403:$B$594)*("Weekend"=$D$403:$D$594),0))*WeekendDays)/DaysPerWeek</f>
        <v>1.4692310114265694E-4</v>
      </c>
      <c r="T633" s="11" cm="1">
        <f t="array" ref="T633">(INDEX(U$403:U$594,MATCH(1,($A633=$A$403:$A$594)*($B633=$B$403:$B$594)*("Weekday"=$D$403:$D$594),0))*Weekdays+INDEX(U$403:U$594,MATCH(1,($A633=$A$403:$A$594)*($B633=$B$403:$B$594)*("Weekend"=$D$403:$D$594),0))*WeekendDays)/DaysPerWeek</f>
        <v>0</v>
      </c>
      <c r="U633" s="11" t="e" cm="1">
        <f t="array" ref="U633">(INDEX(V$403:V$594,MATCH(1,($A633=$A$403:$A$594)*($B633=$B$403:$B$594)*("Weekday"=$D$403:$D$594),0))*Weekdays+INDEX(V$403:V$594,MATCH(1,($A633=$A$403:$A$594)*($B633=$B$403:$B$594)*("Weekend"=$D$403:$D$594),0))*WeekendDays)/DaysPerWeek</f>
        <v>#DIV/0!</v>
      </c>
      <c r="V633" s="11" cm="1">
        <f t="array" ref="V633">(INDEX(W$403:W$594,MATCH(1,($A633=$A$403:$A$594)*($B633=$B$403:$B$594)*("Weekday"=$D$403:$D$594),0))*Weekdays+INDEX(W$403:W$594,MATCH(1,($A633=$A$403:$A$594)*($B633=$B$403:$B$594)*("Weekend"=$D$403:$D$594),0))*WeekendDays)/DaysPerWeek</f>
        <v>1.1408511252766477E-4</v>
      </c>
      <c r="W633" s="11" cm="1">
        <f t="array" ref="W633">(INDEX(X$403:X$594,MATCH(1,($A633=$A$403:$A$594)*($B633=$B$403:$B$594)*("Weekday"=$D$403:$D$594),0))*Weekdays+INDEX(X$403:X$594,MATCH(1,($A633=$A$403:$A$594)*($B633=$B$403:$B$594)*("Weekend"=$D$403:$D$594),0))*WeekendDays)/DaysPerWeek</f>
        <v>0</v>
      </c>
      <c r="X633" s="11" cm="1">
        <f t="array" ref="X633">(INDEX(Y$403:Y$594,MATCH(1,($A633=$A$403:$A$594)*($B633=$B$403:$B$594)*("Weekday"=$D$403:$D$594),0))*Weekdays+INDEX(Y$403:Y$594,MATCH(1,($A633=$A$403:$A$594)*($B633=$B$403:$B$594)*("Weekend"=$D$403:$D$594),0))*WeekendDays)/DaysPerWeek</f>
        <v>0</v>
      </c>
      <c r="Y633" s="25" t="e">
        <f t="shared" si="422"/>
        <v>#DIV/0!</v>
      </c>
      <c r="Z633" s="32" t="e">
        <f t="shared" si="423"/>
        <v>#DIV/0!</v>
      </c>
    </row>
    <row r="634" spans="1:26" outlineLevel="1" x14ac:dyDescent="0.25">
      <c r="A634" t="s">
        <v>38</v>
      </c>
      <c r="B634" t="s">
        <v>157</v>
      </c>
      <c r="C634" s="7" t="s">
        <v>9</v>
      </c>
      <c r="D634" s="11" cm="1">
        <f t="array" ref="D634">(INDEX(E$403:E$594,MATCH(1,($A634=$A$403:$A$594)*($B634=$B$403:$B$594)*("Weekday"=$D$403:$D$594),0))*Weekdays+INDEX(E$403:E$594,MATCH(1,($A634=$A$403:$A$594)*($B634=$B$403:$B$594)*("Weekend"=$D$403:$D$594),0))*WeekendDays)/DaysPerWeek</f>
        <v>1.0017502942451524E-4</v>
      </c>
      <c r="E634" s="11" cm="1">
        <f t="array" ref="E634">(INDEX(F$403:F$594,MATCH(1,($A634=$A$403:$A$594)*($B634=$B$403:$B$594)*("Weekday"=$D$403:$D$594),0))*Weekdays+INDEX(F$403:F$594,MATCH(1,($A634=$A$403:$A$594)*($B634=$B$403:$B$594)*("Weekend"=$D$403:$D$594),0))*WeekendDays)/DaysPerWeek</f>
        <v>6.4282901122993106E-6</v>
      </c>
      <c r="F634" s="11" cm="1">
        <f t="array" ref="F634">(INDEX(G$403:G$594,MATCH(1,($A634=$A$403:$A$594)*($B634=$B$403:$B$594)*("Weekday"=$D$403:$D$594),0))*Weekdays+INDEX(G$403:G$594,MATCH(1,($A634=$A$403:$A$594)*($B634=$B$403:$B$594)*("Weekend"=$D$403:$D$594),0))*WeekendDays)/DaysPerWeek</f>
        <v>0</v>
      </c>
      <c r="G634" s="11" cm="1">
        <f t="array" ref="G634">(INDEX(H$403:H$594,MATCH(1,($A634=$A$403:$A$594)*($B634=$B$403:$B$594)*("Weekday"=$D$403:$D$594),0))*Weekdays+INDEX(H$403:H$594,MATCH(1,($A634=$A$403:$A$594)*($B634=$B$403:$B$594)*("Weekend"=$D$403:$D$594),0))*WeekendDays)/DaysPerWeek</f>
        <v>5.4374778936142229E-5</v>
      </c>
      <c r="H634" s="11" cm="1">
        <f t="array" ref="H634">(INDEX(I$403:I$594,MATCH(1,($A634=$A$403:$A$594)*($B634=$B$403:$B$594)*("Weekday"=$D$403:$D$594),0))*Weekdays+INDEX(I$403:I$594,MATCH(1,($A634=$A$403:$A$594)*($B634=$B$403:$B$594)*("Weekend"=$D$403:$D$594),0))*WeekendDays)/DaysPerWeek</f>
        <v>1.6077029765172295E-4</v>
      </c>
      <c r="I634" s="11" cm="1">
        <f t="array" ref="I634">(INDEX(J$403:J$594,MATCH(1,($A634=$A$403:$A$594)*($B634=$B$403:$B$594)*("Weekday"=$D$403:$D$594),0))*Weekdays+INDEX(J$403:J$594,MATCH(1,($A634=$A$403:$A$594)*($B634=$B$403:$B$594)*("Weekend"=$D$403:$D$594),0))*WeekendDays)/DaysPerWeek</f>
        <v>1.6077029765172295E-4</v>
      </c>
      <c r="J634" s="11" cm="1">
        <f t="array" ref="J634">(INDEX(K$403:K$594,MATCH(1,($A634=$A$403:$A$594)*($B634=$B$403:$B$594)*("Weekday"=$D$403:$D$594),0))*Weekdays+INDEX(K$403:K$594,MATCH(1,($A634=$A$403:$A$594)*($B634=$B$403:$B$594)*("Weekend"=$D$403:$D$594),0))*WeekendDays)/DaysPerWeek</f>
        <v>1.2038590057020399E-4</v>
      </c>
      <c r="K634" s="11" cm="1">
        <f t="array" ref="K634">(INDEX(L$403:L$594,MATCH(1,($A634=$A$403:$A$594)*($B634=$B$403:$B$594)*("Weekday"=$D$403:$D$594),0))*Weekdays+INDEX(L$403:L$594,MATCH(1,($A634=$A$403:$A$594)*($B634=$B$403:$B$594)*("Weekend"=$D$403:$D$594),0))*WeekendDays)/DaysPerWeek</f>
        <v>7.5199660253190713E-6</v>
      </c>
      <c r="L634" s="11" cm="1">
        <f t="array" ref="L634">(INDEX(M$403:M$594,MATCH(1,($A634=$A$403:$A$594)*($B634=$B$403:$B$594)*("Weekday"=$D$403:$D$594),0))*Weekdays+INDEX(M$403:M$594,MATCH(1,($A634=$A$403:$A$594)*($B634=$B$403:$B$594)*("Weekend"=$D$403:$D$594),0))*WeekendDays)/DaysPerWeek</f>
        <v>0</v>
      </c>
      <c r="M634" s="11" cm="1">
        <f t="array" ref="M634">(INDEX(N$403:N$594,MATCH(1,($A634=$A$403:$A$594)*($B634=$B$403:$B$594)*("Weekday"=$D$403:$D$594),0))*Weekdays+INDEX(N$403:N$594,MATCH(1,($A634=$A$403:$A$594)*($B634=$B$403:$B$594)*("Weekend"=$D$403:$D$594),0))*WeekendDays)/DaysPerWeek</f>
        <v>1.619298332408247E-4</v>
      </c>
      <c r="N634" s="11" cm="1">
        <f t="array" ref="N634">(INDEX(O$403:O$594,MATCH(1,($A634=$A$403:$A$594)*($B634=$B$403:$B$594)*("Weekday"=$D$403:$D$594),0))*Weekdays+INDEX(O$403:O$594,MATCH(1,($A634=$A$403:$A$594)*($B634=$B$403:$B$594)*("Weekend"=$D$403:$D$594),0))*WeekendDays)/DaysPerWeek</f>
        <v>1.619298332408247E-4</v>
      </c>
      <c r="O634" s="11" cm="1">
        <f t="array" ref="O634">(INDEX(P$403:P$594,MATCH(1,($A634=$A$403:$A$594)*($B634=$B$403:$B$594)*("Weekday"=$D$403:$D$594),0))*Weekdays+INDEX(P$403:P$594,MATCH(1,($A634=$A$403:$A$594)*($B634=$B$403:$B$594)*("Weekend"=$D$403:$D$594),0))*WeekendDays)/DaysPerWeek</f>
        <v>0</v>
      </c>
      <c r="P634" s="11" cm="1">
        <f t="array" ref="P634">(INDEX(Q$403:Q$594,MATCH(1,($A634=$A$403:$A$594)*($B634=$B$403:$B$594)*("Weekday"=$D$403:$D$594),0))*Weekdays+INDEX(Q$403:Q$594,MATCH(1,($A634=$A$403:$A$594)*($B634=$B$403:$B$594)*("Weekend"=$D$403:$D$594),0))*WeekendDays)/DaysPerWeek</f>
        <v>1.286014643073252E-4</v>
      </c>
      <c r="Q634" s="11" cm="1">
        <f t="array" ref="Q634">(INDEX(R$403:R$594,MATCH(1,($A634=$A$403:$A$594)*($B634=$B$403:$B$594)*("Weekday"=$D$403:$D$594),0))*Weekdays+INDEX(R$403:R$594,MATCH(1,($A634=$A$403:$A$594)*($B634=$B$403:$B$594)*("Weekend"=$D$403:$D$594),0))*WeekendDays)/DaysPerWeek</f>
        <v>1.2860146430732525E-4</v>
      </c>
      <c r="R634" s="11" cm="1">
        <f t="array" ref="R634">(INDEX(S$403:S$594,MATCH(1,($A634=$A$403:$A$594)*($B634=$B$403:$B$594)*("Weekday"=$D$403:$D$594),0))*Weekdays+INDEX(S$403:S$594,MATCH(1,($A634=$A$403:$A$594)*($B634=$B$403:$B$594)*("Weekend"=$D$403:$D$594),0))*WeekendDays)/DaysPerWeek</f>
        <v>0</v>
      </c>
      <c r="S634" s="11" cm="1">
        <f t="array" ref="S634">(INDEX(T$403:T$594,MATCH(1,($A634=$A$403:$A$594)*($B634=$B$403:$B$594)*("Weekday"=$D$403:$D$594),0))*Weekdays+INDEX(T$403:T$594,MATCH(1,($A634=$A$403:$A$594)*($B634=$B$403:$B$594)*("Weekend"=$D$403:$D$594),0))*WeekendDays)/DaysPerWeek</f>
        <v>1.2860146430732525E-4</v>
      </c>
      <c r="T634" s="11" cm="1">
        <f t="array" ref="T634">(INDEX(U$403:U$594,MATCH(1,($A634=$A$403:$A$594)*($B634=$B$403:$B$594)*("Weekday"=$D$403:$D$594),0))*Weekdays+INDEX(U$403:U$594,MATCH(1,($A634=$A$403:$A$594)*($B634=$B$403:$B$594)*("Weekend"=$D$403:$D$594),0))*WeekendDays)/DaysPerWeek</f>
        <v>0</v>
      </c>
      <c r="U634" s="11" t="e" cm="1">
        <f t="array" ref="U634">(INDEX(V$403:V$594,MATCH(1,($A634=$A$403:$A$594)*($B634=$B$403:$B$594)*("Weekday"=$D$403:$D$594),0))*Weekdays+INDEX(V$403:V$594,MATCH(1,($A634=$A$403:$A$594)*($B634=$B$403:$B$594)*("Weekend"=$D$403:$D$594),0))*WeekendDays)/DaysPerWeek</f>
        <v>#DIV/0!</v>
      </c>
      <c r="V634" s="11" cm="1">
        <f t="array" ref="V634">(INDEX(W$403:W$594,MATCH(1,($A634=$A$403:$A$594)*($B634=$B$403:$B$594)*("Weekday"=$D$403:$D$594),0))*Weekdays+INDEX(W$403:W$594,MATCH(1,($A634=$A$403:$A$594)*($B634=$B$403:$B$594)*("Weekend"=$D$403:$D$594),0))*WeekendDays)/DaysPerWeek</f>
        <v>1.1367189677600053E-4</v>
      </c>
      <c r="W634" s="11" cm="1">
        <f t="array" ref="W634">(INDEX(X$403:X$594,MATCH(1,($A634=$A$403:$A$594)*($B634=$B$403:$B$594)*("Weekday"=$D$403:$D$594),0))*Weekdays+INDEX(X$403:X$594,MATCH(1,($A634=$A$403:$A$594)*($B634=$B$403:$B$594)*("Weekend"=$D$403:$D$594),0))*WeekendDays)/DaysPerWeek</f>
        <v>0</v>
      </c>
      <c r="X634" s="11" cm="1">
        <f t="array" ref="X634">(INDEX(Y$403:Y$594,MATCH(1,($A634=$A$403:$A$594)*($B634=$B$403:$B$594)*("Weekday"=$D$403:$D$594),0))*Weekdays+INDEX(Y$403:Y$594,MATCH(1,($A634=$A$403:$A$594)*($B634=$B$403:$B$594)*("Weekend"=$D$403:$D$594),0))*WeekendDays)/DaysPerWeek</f>
        <v>0</v>
      </c>
      <c r="Y634" s="25" t="e">
        <f t="shared" si="422"/>
        <v>#DIV/0!</v>
      </c>
      <c r="Z634" s="32" t="e">
        <f t="shared" si="423"/>
        <v>#DIV/0!</v>
      </c>
    </row>
    <row r="635" spans="1:26" outlineLevel="1" x14ac:dyDescent="0.25">
      <c r="A635" t="s">
        <v>38</v>
      </c>
      <c r="B635" t="s">
        <v>158</v>
      </c>
      <c r="C635" s="7" t="s">
        <v>10</v>
      </c>
      <c r="D635" s="11" cm="1">
        <f t="array" ref="D635">(INDEX(E$403:E$594,MATCH(1,($A635=$A$403:$A$594)*($B635=$B$403:$B$594)*("Weekday"=$D$403:$D$594),0))*Weekdays+INDEX(E$403:E$594,MATCH(1,($A635=$A$403:$A$594)*($B635=$B$403:$B$594)*("Weekend"=$D$403:$D$594),0))*WeekendDays)/DaysPerWeek</f>
        <v>9.2004463517441181E-5</v>
      </c>
      <c r="E635" s="11" cm="1">
        <f t="array" ref="E635">(INDEX(F$403:F$594,MATCH(1,($A635=$A$403:$A$594)*($B635=$B$403:$B$594)*("Weekday"=$D$403:$D$594),0))*Weekdays+INDEX(F$403:F$594,MATCH(1,($A635=$A$403:$A$594)*($B635=$B$403:$B$594)*("Weekend"=$D$403:$D$594),0))*WeekendDays)/DaysPerWeek</f>
        <v>1.0773988213955938E-5</v>
      </c>
      <c r="F635" s="11" cm="1">
        <f t="array" ref="F635">(INDEX(G$403:G$594,MATCH(1,($A635=$A$403:$A$594)*($B635=$B$403:$B$594)*("Weekday"=$D$403:$D$594),0))*Weekdays+INDEX(G$403:G$594,MATCH(1,($A635=$A$403:$A$594)*($B635=$B$403:$B$594)*("Weekend"=$D$403:$D$594),0))*WeekendDays)/DaysPerWeek</f>
        <v>0</v>
      </c>
      <c r="G635" s="11" cm="1">
        <f t="array" ref="G635">(INDEX(H$403:H$594,MATCH(1,($A635=$A$403:$A$594)*($B635=$B$403:$B$594)*("Weekday"=$D$403:$D$594),0))*Weekdays+INDEX(H$403:H$594,MATCH(1,($A635=$A$403:$A$594)*($B635=$B$403:$B$594)*("Weekend"=$D$403:$D$594),0))*WeekendDays)/DaysPerWeek</f>
        <v>5.872924594461139E-5</v>
      </c>
      <c r="H635" s="11" cm="1">
        <f t="array" ref="H635">(INDEX(I$403:I$594,MATCH(1,($A635=$A$403:$A$594)*($B635=$B$403:$B$594)*("Weekday"=$D$403:$D$594),0))*Weekdays+INDEX(I$403:I$594,MATCH(1,($A635=$A$403:$A$594)*($B635=$B$403:$B$594)*("Weekend"=$D$403:$D$594),0))*WeekendDays)/DaysPerWeek</f>
        <v>1.4380170110945832E-4</v>
      </c>
      <c r="I635" s="11" cm="1">
        <f t="array" ref="I635">(INDEX(J$403:J$594,MATCH(1,($A635=$A$403:$A$594)*($B635=$B$403:$B$594)*("Weekday"=$D$403:$D$594),0))*Weekdays+INDEX(J$403:J$594,MATCH(1,($A635=$A$403:$A$594)*($B635=$B$403:$B$594)*("Weekend"=$D$403:$D$594),0))*WeekendDays)/DaysPerWeek</f>
        <v>1.4380170110945832E-4</v>
      </c>
      <c r="J635" s="11" cm="1">
        <f t="array" ref="J635">(INDEX(K$403:K$594,MATCH(1,($A635=$A$403:$A$594)*($B635=$B$403:$B$594)*("Weekday"=$D$403:$D$594),0))*Weekdays+INDEX(K$403:K$594,MATCH(1,($A635=$A$403:$A$594)*($B635=$B$403:$B$594)*("Weekend"=$D$403:$D$594),0))*WeekendDays)/DaysPerWeek</f>
        <v>1.0261309298219586E-4</v>
      </c>
      <c r="K635" s="11" cm="1">
        <f t="array" ref="K635">(INDEX(L$403:L$594,MATCH(1,($A635=$A$403:$A$594)*($B635=$B$403:$B$594)*("Weekday"=$D$403:$D$594),0))*Weekdays+INDEX(L$403:L$594,MATCH(1,($A635=$A$403:$A$594)*($B635=$B$403:$B$594)*("Weekend"=$D$403:$D$594),0))*WeekendDays)/DaysPerWeek</f>
        <v>8.1765170901216716E-6</v>
      </c>
      <c r="L635" s="11" cm="1">
        <f t="array" ref="L635">(INDEX(M$403:M$594,MATCH(1,($A635=$A$403:$A$594)*($B635=$B$403:$B$594)*("Weekday"=$D$403:$D$594),0))*Weekdays+INDEX(M$403:M$594,MATCH(1,($A635=$A$403:$A$594)*($B635=$B$403:$B$594)*("Weekend"=$D$403:$D$594),0))*WeekendDays)/DaysPerWeek</f>
        <v>0</v>
      </c>
      <c r="M635" s="11" cm="1">
        <f t="array" ref="M635">(INDEX(N$403:N$594,MATCH(1,($A635=$A$403:$A$594)*($B635=$B$403:$B$594)*("Weekday"=$D$403:$D$594),0))*Weekdays+INDEX(N$403:N$594,MATCH(1,($A635=$A$403:$A$594)*($B635=$B$403:$B$594)*("Weekend"=$D$403:$D$594),0))*WeekendDays)/DaysPerWeek</f>
        <v>1.6153842744835029E-4</v>
      </c>
      <c r="N635" s="11" cm="1">
        <f t="array" ref="N635">(INDEX(O$403:O$594,MATCH(1,($A635=$A$403:$A$594)*($B635=$B$403:$B$594)*("Weekday"=$D$403:$D$594),0))*Weekdays+INDEX(O$403:O$594,MATCH(1,($A635=$A$403:$A$594)*($B635=$B$403:$B$594)*("Weekend"=$D$403:$D$594),0))*WeekendDays)/DaysPerWeek</f>
        <v>1.6153842744835029E-4</v>
      </c>
      <c r="O635" s="11" cm="1">
        <f t="array" ref="O635">(INDEX(P$403:P$594,MATCH(1,($A635=$A$403:$A$594)*($B635=$B$403:$B$594)*("Weekday"=$D$403:$D$594),0))*Weekdays+INDEX(P$403:P$594,MATCH(1,($A635=$A$403:$A$594)*($B635=$B$403:$B$594)*("Weekend"=$D$403:$D$594),0))*WeekendDays)/DaysPerWeek</f>
        <v>0</v>
      </c>
      <c r="P635" s="11" cm="1">
        <f t="array" ref="P635">(INDEX(Q$403:Q$594,MATCH(1,($A635=$A$403:$A$594)*($B635=$B$403:$B$594)*("Weekday"=$D$403:$D$594),0))*Weekdays+INDEX(Q$403:Q$594,MATCH(1,($A635=$A$403:$A$594)*($B635=$B$403:$B$594)*("Weekend"=$D$403:$D$594),0))*WeekendDays)/DaysPerWeek</f>
        <v>1.2995858760887831E-4</v>
      </c>
      <c r="Q635" s="11" cm="1">
        <f t="array" ref="Q635">(INDEX(R$403:R$594,MATCH(1,($A635=$A$403:$A$594)*($B635=$B$403:$B$594)*("Weekday"=$D$403:$D$594),0))*Weekdays+INDEX(R$403:R$594,MATCH(1,($A635=$A$403:$A$594)*($B635=$B$403:$B$594)*("Weekend"=$D$403:$D$594),0))*WeekendDays)/DaysPerWeek</f>
        <v>1.2995858760887836E-4</v>
      </c>
      <c r="R635" s="11" cm="1">
        <f t="array" ref="R635">(INDEX(S$403:S$594,MATCH(1,($A635=$A$403:$A$594)*($B635=$B$403:$B$594)*("Weekday"=$D$403:$D$594),0))*Weekdays+INDEX(S$403:S$594,MATCH(1,($A635=$A$403:$A$594)*($B635=$B$403:$B$594)*("Weekend"=$D$403:$D$594),0))*WeekendDays)/DaysPerWeek</f>
        <v>0</v>
      </c>
      <c r="S635" s="11" cm="1">
        <f t="array" ref="S635">(INDEX(T$403:T$594,MATCH(1,($A635=$A$403:$A$594)*($B635=$B$403:$B$594)*("Weekday"=$D$403:$D$594),0))*Weekdays+INDEX(T$403:T$594,MATCH(1,($A635=$A$403:$A$594)*($B635=$B$403:$B$594)*("Weekend"=$D$403:$D$594),0))*WeekendDays)/DaysPerWeek</f>
        <v>1.2995858760887836E-4</v>
      </c>
      <c r="T635" s="11" cm="1">
        <f t="array" ref="T635">(INDEX(U$403:U$594,MATCH(1,($A635=$A$403:$A$594)*($B635=$B$403:$B$594)*("Weekday"=$D$403:$D$594),0))*Weekdays+INDEX(U$403:U$594,MATCH(1,($A635=$A$403:$A$594)*($B635=$B$403:$B$594)*("Weekend"=$D$403:$D$594),0))*WeekendDays)/DaysPerWeek</f>
        <v>0</v>
      </c>
      <c r="U635" s="11" t="e" cm="1">
        <f t="array" ref="U635">(INDEX(V$403:V$594,MATCH(1,($A635=$A$403:$A$594)*($B635=$B$403:$B$594)*("Weekday"=$D$403:$D$594),0))*Weekdays+INDEX(V$403:V$594,MATCH(1,($A635=$A$403:$A$594)*($B635=$B$403:$B$594)*("Weekend"=$D$403:$D$594),0))*WeekendDays)/DaysPerWeek</f>
        <v>#DIV/0!</v>
      </c>
      <c r="V635" s="11" cm="1">
        <f t="array" ref="V635">(INDEX(W$403:W$594,MATCH(1,($A635=$A$403:$A$594)*($B635=$B$403:$B$594)*("Weekday"=$D$403:$D$594),0))*Weekdays+INDEX(W$403:W$594,MATCH(1,($A635=$A$403:$A$594)*($B635=$B$403:$B$594)*("Weekend"=$D$403:$D$594),0))*WeekendDays)/DaysPerWeek</f>
        <v>1.1337137622933565E-4</v>
      </c>
      <c r="W635" s="11" cm="1">
        <f t="array" ref="W635">(INDEX(X$403:X$594,MATCH(1,($A635=$A$403:$A$594)*($B635=$B$403:$B$594)*("Weekday"=$D$403:$D$594),0))*Weekdays+INDEX(X$403:X$594,MATCH(1,($A635=$A$403:$A$594)*($B635=$B$403:$B$594)*("Weekend"=$D$403:$D$594),0))*WeekendDays)/DaysPerWeek</f>
        <v>0</v>
      </c>
      <c r="X635" s="11" cm="1">
        <f t="array" ref="X635">(INDEX(Y$403:Y$594,MATCH(1,($A635=$A$403:$A$594)*($B635=$B$403:$B$594)*("Weekday"=$D$403:$D$594),0))*Weekdays+INDEX(Y$403:Y$594,MATCH(1,($A635=$A$403:$A$594)*($B635=$B$403:$B$594)*("Weekend"=$D$403:$D$594),0))*WeekendDays)/DaysPerWeek</f>
        <v>0</v>
      </c>
      <c r="Y635" s="25" t="e">
        <f t="shared" si="422"/>
        <v>#DIV/0!</v>
      </c>
      <c r="Z635" s="32" t="e">
        <f t="shared" si="423"/>
        <v>#DIV/0!</v>
      </c>
    </row>
    <row r="636" spans="1:26" outlineLevel="1" x14ac:dyDescent="0.25">
      <c r="A636" t="s">
        <v>38</v>
      </c>
      <c r="B636" t="s">
        <v>159</v>
      </c>
      <c r="C636" s="7" t="s">
        <v>11</v>
      </c>
      <c r="D636" s="11" cm="1">
        <f t="array" ref="D636">(INDEX(E$403:E$594,MATCH(1,($A636=$A$403:$A$594)*($B636=$B$403:$B$594)*("Weekday"=$D$403:$D$594),0))*Weekdays+INDEX(E$403:E$594,MATCH(1,($A636=$A$403:$A$594)*($B636=$B$403:$B$594)*("Weekend"=$D$403:$D$594),0))*WeekendDays)/DaysPerWeek</f>
        <v>9.4279716462305035E-5</v>
      </c>
      <c r="E636" s="11" cm="1">
        <f t="array" ref="E636">(INDEX(F$403:F$594,MATCH(1,($A636=$A$403:$A$594)*($B636=$B$403:$B$594)*("Weekday"=$D$403:$D$594),0))*Weekdays+INDEX(F$403:F$594,MATCH(1,($A636=$A$403:$A$594)*($B636=$B$403:$B$594)*("Weekend"=$D$403:$D$594),0))*WeekendDays)/DaysPerWeek</f>
        <v>1.4757877283438819E-5</v>
      </c>
      <c r="F636" s="11" cm="1">
        <f t="array" ref="F636">(INDEX(G$403:G$594,MATCH(1,($A636=$A$403:$A$594)*($B636=$B$403:$B$594)*("Weekday"=$D$403:$D$594),0))*Weekdays+INDEX(G$403:G$594,MATCH(1,($A636=$A$403:$A$594)*($B636=$B$403:$B$594)*("Weekend"=$D$403:$D$594),0))*WeekendDays)/DaysPerWeek</f>
        <v>0</v>
      </c>
      <c r="G636" s="11" cm="1">
        <f t="array" ref="G636">(INDEX(H$403:H$594,MATCH(1,($A636=$A$403:$A$594)*($B636=$B$403:$B$594)*("Weekday"=$D$403:$D$594),0))*Weekdays+INDEX(H$403:H$594,MATCH(1,($A636=$A$403:$A$594)*($B636=$B$403:$B$594)*("Weekend"=$D$403:$D$594),0))*WeekendDays)/DaysPerWeek</f>
        <v>6.1511185791447996E-5</v>
      </c>
      <c r="H636" s="11" cm="1">
        <f t="array" ref="H636">(INDEX(I$403:I$594,MATCH(1,($A636=$A$403:$A$594)*($B636=$B$403:$B$594)*("Weekday"=$D$403:$D$594),0))*Weekdays+INDEX(I$403:I$594,MATCH(1,($A636=$A$403:$A$594)*($B636=$B$403:$B$594)*("Weekend"=$D$403:$D$594),0))*WeekendDays)/DaysPerWeek</f>
        <v>1.2343311460115419E-4</v>
      </c>
      <c r="I636" s="11" cm="1">
        <f t="array" ref="I636">(INDEX(J$403:J$594,MATCH(1,($A636=$A$403:$A$594)*($B636=$B$403:$B$594)*("Weekday"=$D$403:$D$594),0))*Weekdays+INDEX(J$403:J$594,MATCH(1,($A636=$A$403:$A$594)*($B636=$B$403:$B$594)*("Weekend"=$D$403:$D$594),0))*WeekendDays)/DaysPerWeek</f>
        <v>1.2343311460115419E-4</v>
      </c>
      <c r="J636" s="11" cm="1">
        <f t="array" ref="J636">(INDEX(K$403:K$594,MATCH(1,($A636=$A$403:$A$594)*($B636=$B$403:$B$594)*("Weekday"=$D$403:$D$594),0))*Weekdays+INDEX(K$403:K$594,MATCH(1,($A636=$A$403:$A$594)*($B636=$B$403:$B$594)*("Weekend"=$D$403:$D$594),0))*WeekendDays)/DaysPerWeek</f>
        <v>9.2134930848175066E-5</v>
      </c>
      <c r="K636" s="11" cm="1">
        <f t="array" ref="K636">(INDEX(L$403:L$594,MATCH(1,($A636=$A$403:$A$594)*($B636=$B$403:$B$594)*("Weekday"=$D$403:$D$594),0))*Weekdays+INDEX(L$403:L$594,MATCH(1,($A636=$A$403:$A$594)*($B636=$B$403:$B$594)*("Weekend"=$D$403:$D$594),0))*WeekendDays)/DaysPerWeek</f>
        <v>8.4756450726777753E-6</v>
      </c>
      <c r="L636" s="11" cm="1">
        <f t="array" ref="L636">(INDEX(M$403:M$594,MATCH(1,($A636=$A$403:$A$594)*($B636=$B$403:$B$594)*("Weekday"=$D$403:$D$594),0))*Weekdays+INDEX(M$403:M$594,MATCH(1,($A636=$A$403:$A$594)*($B636=$B$403:$B$594)*("Weekend"=$D$403:$D$594),0))*WeekendDays)/DaysPerWeek</f>
        <v>0</v>
      </c>
      <c r="M636" s="11" cm="1">
        <f t="array" ref="M636">(INDEX(N$403:N$594,MATCH(1,($A636=$A$403:$A$594)*($B636=$B$403:$B$594)*("Weekday"=$D$403:$D$594),0))*Weekdays+INDEX(N$403:N$594,MATCH(1,($A636=$A$403:$A$594)*($B636=$B$403:$B$594)*("Weekend"=$D$403:$D$594),0))*WeekendDays)/DaysPerWeek</f>
        <v>1.592280472114571E-4</v>
      </c>
      <c r="N636" s="11" cm="1">
        <f t="array" ref="N636">(INDEX(O$403:O$594,MATCH(1,($A636=$A$403:$A$594)*($B636=$B$403:$B$594)*("Weekday"=$D$403:$D$594),0))*Weekdays+INDEX(O$403:O$594,MATCH(1,($A636=$A$403:$A$594)*($B636=$B$403:$B$594)*("Weekend"=$D$403:$D$594),0))*WeekendDays)/DaysPerWeek</f>
        <v>1.592280472114571E-4</v>
      </c>
      <c r="O636" s="11" cm="1">
        <f t="array" ref="O636">(INDEX(P$403:P$594,MATCH(1,($A636=$A$403:$A$594)*($B636=$B$403:$B$594)*("Weekday"=$D$403:$D$594),0))*Weekdays+INDEX(P$403:P$594,MATCH(1,($A636=$A$403:$A$594)*($B636=$B$403:$B$594)*("Weekend"=$D$403:$D$594),0))*WeekendDays)/DaysPerWeek</f>
        <v>0</v>
      </c>
      <c r="P636" s="11" cm="1">
        <f t="array" ref="P636">(INDEX(Q$403:Q$594,MATCH(1,($A636=$A$403:$A$594)*($B636=$B$403:$B$594)*("Weekday"=$D$403:$D$594),0))*Weekdays+INDEX(Q$403:Q$594,MATCH(1,($A636=$A$403:$A$594)*($B636=$B$403:$B$594)*("Weekend"=$D$403:$D$594),0))*WeekendDays)/DaysPerWeek</f>
        <v>1.3053527597961395E-4</v>
      </c>
      <c r="Q636" s="11" cm="1">
        <f t="array" ref="Q636">(INDEX(R$403:R$594,MATCH(1,($A636=$A$403:$A$594)*($B636=$B$403:$B$594)*("Weekday"=$D$403:$D$594),0))*Weekdays+INDEX(R$403:R$594,MATCH(1,($A636=$A$403:$A$594)*($B636=$B$403:$B$594)*("Weekend"=$D$403:$D$594),0))*WeekendDays)/DaysPerWeek</f>
        <v>1.3053527597961398E-4</v>
      </c>
      <c r="R636" s="11" cm="1">
        <f t="array" ref="R636">(INDEX(S$403:S$594,MATCH(1,($A636=$A$403:$A$594)*($B636=$B$403:$B$594)*("Weekday"=$D$403:$D$594),0))*Weekdays+INDEX(S$403:S$594,MATCH(1,($A636=$A$403:$A$594)*($B636=$B$403:$B$594)*("Weekend"=$D$403:$D$594),0))*WeekendDays)/DaysPerWeek</f>
        <v>0</v>
      </c>
      <c r="S636" s="11" cm="1">
        <f t="array" ref="S636">(INDEX(T$403:T$594,MATCH(1,($A636=$A$403:$A$594)*($B636=$B$403:$B$594)*("Weekday"=$D$403:$D$594),0))*Weekdays+INDEX(T$403:T$594,MATCH(1,($A636=$A$403:$A$594)*($B636=$B$403:$B$594)*("Weekend"=$D$403:$D$594),0))*WeekendDays)/DaysPerWeek</f>
        <v>1.3053527597961401E-4</v>
      </c>
      <c r="T636" s="11" cm="1">
        <f t="array" ref="T636">(INDEX(U$403:U$594,MATCH(1,($A636=$A$403:$A$594)*($B636=$B$403:$B$594)*("Weekday"=$D$403:$D$594),0))*Weekdays+INDEX(U$403:U$594,MATCH(1,($A636=$A$403:$A$594)*($B636=$B$403:$B$594)*("Weekend"=$D$403:$D$594),0))*WeekendDays)/DaysPerWeek</f>
        <v>0</v>
      </c>
      <c r="U636" s="11" t="e" cm="1">
        <f t="array" ref="U636">(INDEX(V$403:V$594,MATCH(1,($A636=$A$403:$A$594)*($B636=$B$403:$B$594)*("Weekday"=$D$403:$D$594),0))*Weekdays+INDEX(V$403:V$594,MATCH(1,($A636=$A$403:$A$594)*($B636=$B$403:$B$594)*("Weekend"=$D$403:$D$594),0))*WeekendDays)/DaysPerWeek</f>
        <v>#DIV/0!</v>
      </c>
      <c r="V636" s="11" cm="1">
        <f t="array" ref="V636">(INDEX(W$403:W$594,MATCH(1,($A636=$A$403:$A$594)*($B636=$B$403:$B$594)*("Weekday"=$D$403:$D$594),0))*Weekdays+INDEX(W$403:W$594,MATCH(1,($A636=$A$403:$A$594)*($B636=$B$403:$B$594)*("Weekend"=$D$403:$D$594),0))*WeekendDays)/DaysPerWeek</f>
        <v>1.1307085568267073E-4</v>
      </c>
      <c r="W636" s="11" cm="1">
        <f t="array" ref="W636">(INDEX(X$403:X$594,MATCH(1,($A636=$A$403:$A$594)*($B636=$B$403:$B$594)*("Weekday"=$D$403:$D$594),0))*Weekdays+INDEX(X$403:X$594,MATCH(1,($A636=$A$403:$A$594)*($B636=$B$403:$B$594)*("Weekend"=$D$403:$D$594),0))*WeekendDays)/DaysPerWeek</f>
        <v>0</v>
      </c>
      <c r="X636" s="11" cm="1">
        <f t="array" ref="X636">(INDEX(Y$403:Y$594,MATCH(1,($A636=$A$403:$A$594)*($B636=$B$403:$B$594)*("Weekday"=$D$403:$D$594),0))*Weekdays+INDEX(Y$403:Y$594,MATCH(1,($A636=$A$403:$A$594)*($B636=$B$403:$B$594)*("Weekend"=$D$403:$D$594),0))*WeekendDays)/DaysPerWeek</f>
        <v>0</v>
      </c>
      <c r="Y636" s="25" t="e">
        <f t="shared" si="422"/>
        <v>#DIV/0!</v>
      </c>
      <c r="Z636" s="32" t="e">
        <f t="shared" si="423"/>
        <v>#DIV/0!</v>
      </c>
    </row>
    <row r="637" spans="1:26" outlineLevel="1" x14ac:dyDescent="0.25">
      <c r="A637" t="s">
        <v>38</v>
      </c>
      <c r="B637" t="s">
        <v>160</v>
      </c>
      <c r="C637" s="7" t="s">
        <v>12</v>
      </c>
      <c r="D637" s="11" cm="1">
        <f t="array" ref="D637">(INDEX(E$403:E$594,MATCH(1,($A637=$A$403:$A$594)*($B637=$B$403:$B$594)*("Weekday"=$D$403:$D$594),0))*Weekdays+INDEX(E$403:E$594,MATCH(1,($A637=$A$403:$A$594)*($B637=$B$403:$B$594)*("Weekend"=$D$403:$D$594),0))*WeekendDays)/DaysPerWeek</f>
        <v>9.4758266707605087E-5</v>
      </c>
      <c r="E637" s="11" cm="1">
        <f t="array" ref="E637">(INDEX(F$403:F$594,MATCH(1,($A637=$A$403:$A$594)*($B637=$B$403:$B$594)*("Weekday"=$D$403:$D$594),0))*Weekdays+INDEX(F$403:F$594,MATCH(1,($A637=$A$403:$A$594)*($B637=$B$403:$B$594)*("Weekend"=$D$403:$D$594),0))*WeekendDays)/DaysPerWeek</f>
        <v>1.8527760159423191E-5</v>
      </c>
      <c r="F637" s="11" cm="1">
        <f t="array" ref="F637">(INDEX(G$403:G$594,MATCH(1,($A637=$A$403:$A$594)*($B637=$B$403:$B$594)*("Weekday"=$D$403:$D$594),0))*Weekdays+INDEX(G$403:G$594,MATCH(1,($A637=$A$403:$A$594)*($B637=$B$403:$B$594)*("Weekend"=$D$403:$D$594),0))*WeekendDays)/DaysPerWeek</f>
        <v>0</v>
      </c>
      <c r="G637" s="11" cm="1">
        <f t="array" ref="G637">(INDEX(H$403:H$594,MATCH(1,($A637=$A$403:$A$594)*($B637=$B$403:$B$594)*("Weekday"=$D$403:$D$594),0))*Weekdays+INDEX(H$403:H$594,MATCH(1,($A637=$A$403:$A$594)*($B637=$B$403:$B$594)*("Weekend"=$D$403:$D$594),0))*WeekendDays)/DaysPerWeek</f>
        <v>6.1924071103476729E-5</v>
      </c>
      <c r="H637" s="11" cm="1">
        <f t="array" ref="H637">(INDEX(I$403:I$594,MATCH(1,($A637=$A$403:$A$594)*($B637=$B$403:$B$594)*("Weekday"=$D$403:$D$594),0))*Weekdays+INDEX(I$403:I$594,MATCH(1,($A637=$A$403:$A$594)*($B637=$B$403:$B$594)*("Weekend"=$D$403:$D$594),0))*WeekendDays)/DaysPerWeek</f>
        <v>1.0715896977410624E-4</v>
      </c>
      <c r="I637" s="11" cm="1">
        <f t="array" ref="I637">(INDEX(J$403:J$594,MATCH(1,($A637=$A$403:$A$594)*($B637=$B$403:$B$594)*("Weekday"=$D$403:$D$594),0))*Weekdays+INDEX(J$403:J$594,MATCH(1,($A637=$A$403:$A$594)*($B637=$B$403:$B$594)*("Weekend"=$D$403:$D$594),0))*WeekendDays)/DaysPerWeek</f>
        <v>1.0715896977410624E-4</v>
      </c>
      <c r="J637" s="11" cm="1">
        <f t="array" ref="J637">(INDEX(K$403:K$594,MATCH(1,($A637=$A$403:$A$594)*($B637=$B$403:$B$594)*("Weekday"=$D$403:$D$594),0))*Weekdays+INDEX(K$403:K$594,MATCH(1,($A637=$A$403:$A$594)*($B637=$B$403:$B$594)*("Weekend"=$D$403:$D$594),0))*WeekendDays)/DaysPerWeek</f>
        <v>8.4984133689115291E-5</v>
      </c>
      <c r="K637" s="11" cm="1">
        <f t="array" ref="K637">(INDEX(L$403:L$594,MATCH(1,($A637=$A$403:$A$594)*($B637=$B$403:$B$594)*("Weekday"=$D$403:$D$594),0))*Weekdays+INDEX(L$403:L$594,MATCH(1,($A637=$A$403:$A$594)*($B637=$B$403:$B$594)*("Weekend"=$D$403:$D$594),0))*WeekendDays)/DaysPerWeek</f>
        <v>8.8552119211973137E-6</v>
      </c>
      <c r="L637" s="11" cm="1">
        <f t="array" ref="L637">(INDEX(M$403:M$594,MATCH(1,($A637=$A$403:$A$594)*($B637=$B$403:$B$594)*("Weekday"=$D$403:$D$594),0))*Weekdays+INDEX(M$403:M$594,MATCH(1,($A637=$A$403:$A$594)*($B637=$B$403:$B$594)*("Weekend"=$D$403:$D$594),0))*WeekendDays)/DaysPerWeek</f>
        <v>0</v>
      </c>
      <c r="M637" s="11" cm="1">
        <f t="array" ref="M637">(INDEX(N$403:N$594,MATCH(1,($A637=$A$403:$A$594)*($B637=$B$403:$B$594)*("Weekday"=$D$403:$D$594),0))*Weekdays+INDEX(N$403:N$594,MATCH(1,($A637=$A$403:$A$594)*($B637=$B$403:$B$594)*("Weekend"=$D$403:$D$594),0))*WeekendDays)/DaysPerWeek</f>
        <v>1.5818615362739129E-4</v>
      </c>
      <c r="N637" s="11" cm="1">
        <f t="array" ref="N637">(INDEX(O$403:O$594,MATCH(1,($A637=$A$403:$A$594)*($B637=$B$403:$B$594)*("Weekday"=$D$403:$D$594),0))*Weekdays+INDEX(O$403:O$594,MATCH(1,($A637=$A$403:$A$594)*($B637=$B$403:$B$594)*("Weekend"=$D$403:$D$594),0))*WeekendDays)/DaysPerWeek</f>
        <v>1.5818615362739129E-4</v>
      </c>
      <c r="O637" s="11" cm="1">
        <f t="array" ref="O637">(INDEX(P$403:P$594,MATCH(1,($A637=$A$403:$A$594)*($B637=$B$403:$B$594)*("Weekday"=$D$403:$D$594),0))*Weekdays+INDEX(P$403:P$594,MATCH(1,($A637=$A$403:$A$594)*($B637=$B$403:$B$594)*("Weekend"=$D$403:$D$594),0))*WeekendDays)/DaysPerWeek</f>
        <v>0</v>
      </c>
      <c r="P637" s="11" cm="1">
        <f t="array" ref="P637">(INDEX(Q$403:Q$594,MATCH(1,($A637=$A$403:$A$594)*($B637=$B$403:$B$594)*("Weekday"=$D$403:$D$594),0))*Weekdays+INDEX(Q$403:Q$594,MATCH(1,($A637=$A$403:$A$594)*($B637=$B$403:$B$594)*("Weekend"=$D$403:$D$594),0))*WeekendDays)/DaysPerWeek</f>
        <v>1.285559225711753E-4</v>
      </c>
      <c r="Q637" s="11" cm="1">
        <f t="array" ref="Q637">(INDEX(R$403:R$594,MATCH(1,($A637=$A$403:$A$594)*($B637=$B$403:$B$594)*("Weekday"=$D$403:$D$594),0))*Weekdays+INDEX(R$403:R$594,MATCH(1,($A637=$A$403:$A$594)*($B637=$B$403:$B$594)*("Weekend"=$D$403:$D$594),0))*WeekendDays)/DaysPerWeek</f>
        <v>1.2855592257117533E-4</v>
      </c>
      <c r="R637" s="11" cm="1">
        <f t="array" ref="R637">(INDEX(S$403:S$594,MATCH(1,($A637=$A$403:$A$594)*($B637=$B$403:$B$594)*("Weekday"=$D$403:$D$594),0))*Weekdays+INDEX(S$403:S$594,MATCH(1,($A637=$A$403:$A$594)*($B637=$B$403:$B$594)*("Weekend"=$D$403:$D$594),0))*WeekendDays)/DaysPerWeek</f>
        <v>0</v>
      </c>
      <c r="S637" s="11" cm="1">
        <f t="array" ref="S637">(INDEX(T$403:T$594,MATCH(1,($A637=$A$403:$A$594)*($B637=$B$403:$B$594)*("Weekday"=$D$403:$D$594),0))*Weekdays+INDEX(T$403:T$594,MATCH(1,($A637=$A$403:$A$594)*($B637=$B$403:$B$594)*("Weekend"=$D$403:$D$594),0))*WeekendDays)/DaysPerWeek</f>
        <v>1.2855592257117536E-4</v>
      </c>
      <c r="T637" s="11" cm="1">
        <f t="array" ref="T637">(INDEX(U$403:U$594,MATCH(1,($A637=$A$403:$A$594)*($B637=$B$403:$B$594)*("Weekday"=$D$403:$D$594),0))*Weekdays+INDEX(U$403:U$594,MATCH(1,($A637=$A$403:$A$594)*($B637=$B$403:$B$594)*("Weekend"=$D$403:$D$594),0))*WeekendDays)/DaysPerWeek</f>
        <v>0</v>
      </c>
      <c r="U637" s="11" t="e" cm="1">
        <f t="array" ref="U637">(INDEX(V$403:V$594,MATCH(1,($A637=$A$403:$A$594)*($B637=$B$403:$B$594)*("Weekday"=$D$403:$D$594),0))*Weekdays+INDEX(V$403:V$594,MATCH(1,($A637=$A$403:$A$594)*($B637=$B$403:$B$594)*("Weekend"=$D$403:$D$594),0))*WeekendDays)/DaysPerWeek</f>
        <v>#DIV/0!</v>
      </c>
      <c r="V637" s="11" cm="1">
        <f t="array" ref="V637">(INDEX(W$403:W$594,MATCH(1,($A637=$A$403:$A$594)*($B637=$B$403:$B$594)*("Weekday"=$D$403:$D$594),0))*Weekdays+INDEX(W$403:W$594,MATCH(1,($A637=$A$403:$A$594)*($B637=$B$403:$B$594)*("Weekend"=$D$403:$D$594),0))*WeekendDays)/DaysPerWeek</f>
        <v>1.1307085568267073E-4</v>
      </c>
      <c r="W637" s="11" cm="1">
        <f t="array" ref="W637">(INDEX(X$403:X$594,MATCH(1,($A637=$A$403:$A$594)*($B637=$B$403:$B$594)*("Weekday"=$D$403:$D$594),0))*Weekdays+INDEX(X$403:X$594,MATCH(1,($A637=$A$403:$A$594)*($B637=$B$403:$B$594)*("Weekend"=$D$403:$D$594),0))*WeekendDays)/DaysPerWeek</f>
        <v>0</v>
      </c>
      <c r="X637" s="11" cm="1">
        <f t="array" ref="X637">(INDEX(Y$403:Y$594,MATCH(1,($A637=$A$403:$A$594)*($B637=$B$403:$B$594)*("Weekday"=$D$403:$D$594),0))*Weekdays+INDEX(Y$403:Y$594,MATCH(1,($A637=$A$403:$A$594)*($B637=$B$403:$B$594)*("Weekend"=$D$403:$D$594),0))*WeekendDays)/DaysPerWeek</f>
        <v>0</v>
      </c>
      <c r="Y637" s="25" t="e">
        <f t="shared" si="422"/>
        <v>#DIV/0!</v>
      </c>
      <c r="Z637" s="32" t="e">
        <f t="shared" si="423"/>
        <v>#DIV/0!</v>
      </c>
    </row>
    <row r="638" spans="1:26" outlineLevel="1" x14ac:dyDescent="0.25">
      <c r="A638" t="s">
        <v>38</v>
      </c>
      <c r="B638" t="s">
        <v>161</v>
      </c>
      <c r="C638" s="7" t="s">
        <v>13</v>
      </c>
      <c r="D638" s="11" cm="1">
        <f t="array" ref="D638">(INDEX(E$403:E$594,MATCH(1,($A638=$A$403:$A$594)*($B638=$B$403:$B$594)*("Weekday"=$D$403:$D$594),0))*Weekdays+INDEX(E$403:E$594,MATCH(1,($A638=$A$403:$A$594)*($B638=$B$403:$B$594)*("Weekend"=$D$403:$D$594),0))*WeekendDays)/DaysPerWeek</f>
        <v>9.5499195687360943E-5</v>
      </c>
      <c r="E638" s="11" cm="1">
        <f t="array" ref="E638">(INDEX(F$403:F$594,MATCH(1,($A638=$A$403:$A$594)*($B638=$B$403:$B$594)*("Weekday"=$D$403:$D$594),0))*Weekdays+INDEX(F$403:F$594,MATCH(1,($A638=$A$403:$A$594)*($B638=$B$403:$B$594)*("Weekend"=$D$403:$D$594),0))*WeekendDays)/DaysPerWeek</f>
        <v>2.0966227211646842E-5</v>
      </c>
      <c r="F638" s="11" cm="1">
        <f t="array" ref="F638">(INDEX(G$403:G$594,MATCH(1,($A638=$A$403:$A$594)*($B638=$B$403:$B$594)*("Weekday"=$D$403:$D$594),0))*Weekdays+INDEX(G$403:G$594,MATCH(1,($A638=$A$403:$A$594)*($B638=$B$403:$B$594)*("Weekend"=$D$403:$D$594),0))*WeekendDays)/DaysPerWeek</f>
        <v>0</v>
      </c>
      <c r="G638" s="11" cm="1">
        <f t="array" ref="G638">(INDEX(H$403:H$594,MATCH(1,($A638=$A$403:$A$594)*($B638=$B$403:$B$594)*("Weekday"=$D$403:$D$594),0))*Weekdays+INDEX(H$403:H$594,MATCH(1,($A638=$A$403:$A$594)*($B638=$B$403:$B$594)*("Weekend"=$D$403:$D$594),0))*WeekendDays)/DaysPerWeek</f>
        <v>6.2544579259908502E-5</v>
      </c>
      <c r="H638" s="11" cm="1">
        <f t="array" ref="H638">(INDEX(I$403:I$594,MATCH(1,($A638=$A$403:$A$594)*($B638=$B$403:$B$594)*("Weekday"=$D$403:$D$594),0))*Weekdays+INDEX(I$403:I$594,MATCH(1,($A638=$A$403:$A$594)*($B638=$B$403:$B$594)*("Weekend"=$D$403:$D$594),0))*WeekendDays)/DaysPerWeek</f>
        <v>1.0147302123520734E-4</v>
      </c>
      <c r="I638" s="11" cm="1">
        <f t="array" ref="I638">(INDEX(J$403:J$594,MATCH(1,($A638=$A$403:$A$594)*($B638=$B$403:$B$594)*("Weekday"=$D$403:$D$594),0))*Weekdays+INDEX(J$403:J$594,MATCH(1,($A638=$A$403:$A$594)*($B638=$B$403:$B$594)*("Weekend"=$D$403:$D$594),0))*WeekendDays)/DaysPerWeek</f>
        <v>1.0147302123520734E-4</v>
      </c>
      <c r="J638" s="11" cm="1">
        <f t="array" ref="J638">(INDEX(K$403:K$594,MATCH(1,($A638=$A$403:$A$594)*($B638=$B$403:$B$594)*("Weekday"=$D$403:$D$594),0))*Weekdays+INDEX(K$403:K$594,MATCH(1,($A638=$A$403:$A$594)*($B638=$B$403:$B$594)*("Weekend"=$D$403:$D$594),0))*WeekendDays)/DaysPerWeek</f>
        <v>8.0416521961700597E-5</v>
      </c>
      <c r="K638" s="11" cm="1">
        <f t="array" ref="K638">(INDEX(L$403:L$594,MATCH(1,($A638=$A$403:$A$594)*($B638=$B$403:$B$594)*("Weekday"=$D$403:$D$594),0))*Weekdays+INDEX(L$403:L$594,MATCH(1,($A638=$A$403:$A$594)*($B638=$B$403:$B$594)*("Weekend"=$D$403:$D$594),0))*WeekendDays)/DaysPerWeek</f>
        <v>9.0989236193187796E-6</v>
      </c>
      <c r="L638" s="11" cm="1">
        <f t="array" ref="L638">(INDEX(M$403:M$594,MATCH(1,($A638=$A$403:$A$594)*($B638=$B$403:$B$594)*("Weekday"=$D$403:$D$594),0))*Weekdays+INDEX(M$403:M$594,MATCH(1,($A638=$A$403:$A$594)*($B638=$B$403:$B$594)*("Weekend"=$D$403:$D$594),0))*WeekendDays)/DaysPerWeek</f>
        <v>0</v>
      </c>
      <c r="M638" s="11" cm="1">
        <f t="array" ref="M638">(INDEX(N$403:N$594,MATCH(1,($A638=$A$403:$A$594)*($B638=$B$403:$B$594)*("Weekday"=$D$403:$D$594),0))*Weekdays+INDEX(N$403:N$594,MATCH(1,($A638=$A$403:$A$594)*($B638=$B$403:$B$594)*("Weekend"=$D$403:$D$594),0))*WeekendDays)/DaysPerWeek</f>
        <v>1.5666687596230027E-4</v>
      </c>
      <c r="N638" s="11" cm="1">
        <f t="array" ref="N638">(INDEX(O$403:O$594,MATCH(1,($A638=$A$403:$A$594)*($B638=$B$403:$B$594)*("Weekday"=$D$403:$D$594),0))*Weekdays+INDEX(O$403:O$594,MATCH(1,($A638=$A$403:$A$594)*($B638=$B$403:$B$594)*("Weekend"=$D$403:$D$594),0))*WeekendDays)/DaysPerWeek</f>
        <v>1.5666687596230027E-4</v>
      </c>
      <c r="O638" s="11" cm="1">
        <f t="array" ref="O638">(INDEX(P$403:P$594,MATCH(1,($A638=$A$403:$A$594)*($B638=$B$403:$B$594)*("Weekday"=$D$403:$D$594),0))*Weekdays+INDEX(P$403:P$594,MATCH(1,($A638=$A$403:$A$594)*($B638=$B$403:$B$594)*("Weekend"=$D$403:$D$594),0))*WeekendDays)/DaysPerWeek</f>
        <v>0</v>
      </c>
      <c r="P638" s="11" cm="1">
        <f t="array" ref="P638">(INDEX(Q$403:Q$594,MATCH(1,($A638=$A$403:$A$594)*($B638=$B$403:$B$594)*("Weekday"=$D$403:$D$594),0))*Weekdays+INDEX(Q$403:Q$594,MATCH(1,($A638=$A$403:$A$594)*($B638=$B$403:$B$594)*("Weekend"=$D$403:$D$594),0))*WeekendDays)/DaysPerWeek</f>
        <v>1.2653529151275029E-4</v>
      </c>
      <c r="Q638" s="11" cm="1">
        <f t="array" ref="Q638">(INDEX(R$403:R$594,MATCH(1,($A638=$A$403:$A$594)*($B638=$B$403:$B$594)*("Weekday"=$D$403:$D$594),0))*Weekdays+INDEX(R$403:R$594,MATCH(1,($A638=$A$403:$A$594)*($B638=$B$403:$B$594)*("Weekend"=$D$403:$D$594),0))*WeekendDays)/DaysPerWeek</f>
        <v>1.2653529151275032E-4</v>
      </c>
      <c r="R638" s="11" cm="1">
        <f t="array" ref="R638">(INDEX(S$403:S$594,MATCH(1,($A638=$A$403:$A$594)*($B638=$B$403:$B$594)*("Weekday"=$D$403:$D$594),0))*Weekdays+INDEX(S$403:S$594,MATCH(1,($A638=$A$403:$A$594)*($B638=$B$403:$B$594)*("Weekend"=$D$403:$D$594),0))*WeekendDays)/DaysPerWeek</f>
        <v>0</v>
      </c>
      <c r="S638" s="11" cm="1">
        <f t="array" ref="S638">(INDEX(T$403:T$594,MATCH(1,($A638=$A$403:$A$594)*($B638=$B$403:$B$594)*("Weekday"=$D$403:$D$594),0))*Weekdays+INDEX(T$403:T$594,MATCH(1,($A638=$A$403:$A$594)*($B638=$B$403:$B$594)*("Weekend"=$D$403:$D$594),0))*WeekendDays)/DaysPerWeek</f>
        <v>1.2653529151275032E-4</v>
      </c>
      <c r="T638" s="11" cm="1">
        <f t="array" ref="T638">(INDEX(U$403:U$594,MATCH(1,($A638=$A$403:$A$594)*($B638=$B$403:$B$594)*("Weekday"=$D$403:$D$594),0))*Weekdays+INDEX(U$403:U$594,MATCH(1,($A638=$A$403:$A$594)*($B638=$B$403:$B$594)*("Weekend"=$D$403:$D$594),0))*WeekendDays)/DaysPerWeek</f>
        <v>0</v>
      </c>
      <c r="U638" s="11" t="e" cm="1">
        <f t="array" ref="U638">(INDEX(V$403:V$594,MATCH(1,($A638=$A$403:$A$594)*($B638=$B$403:$B$594)*("Weekday"=$D$403:$D$594),0))*Weekdays+INDEX(V$403:V$594,MATCH(1,($A638=$A$403:$A$594)*($B638=$B$403:$B$594)*("Weekend"=$D$403:$D$594),0))*WeekendDays)/DaysPerWeek</f>
        <v>#DIV/0!</v>
      </c>
      <c r="V638" s="11" cm="1">
        <f t="array" ref="V638">(INDEX(W$403:W$594,MATCH(1,($A638=$A$403:$A$594)*($B638=$B$403:$B$594)*("Weekday"=$D$403:$D$594),0))*Weekdays+INDEX(W$403:W$594,MATCH(1,($A638=$A$403:$A$594)*($B638=$B$403:$B$594)*("Weekend"=$D$403:$D$594),0))*WeekendDays)/DaysPerWeek</f>
        <v>1.1329624609266942E-4</v>
      </c>
      <c r="W638" s="11" cm="1">
        <f t="array" ref="W638">(INDEX(X$403:X$594,MATCH(1,($A638=$A$403:$A$594)*($B638=$B$403:$B$594)*("Weekday"=$D$403:$D$594),0))*Weekdays+INDEX(X$403:X$594,MATCH(1,($A638=$A$403:$A$594)*($B638=$B$403:$B$594)*("Weekend"=$D$403:$D$594),0))*WeekendDays)/DaysPerWeek</f>
        <v>0</v>
      </c>
      <c r="X638" s="11" cm="1">
        <f t="array" ref="X638">(INDEX(Y$403:Y$594,MATCH(1,($A638=$A$403:$A$594)*($B638=$B$403:$B$594)*("Weekday"=$D$403:$D$594),0))*Weekdays+INDEX(Y$403:Y$594,MATCH(1,($A638=$A$403:$A$594)*($B638=$B$403:$B$594)*("Weekend"=$D$403:$D$594),0))*WeekendDays)/DaysPerWeek</f>
        <v>0</v>
      </c>
      <c r="Y638" s="25" t="e">
        <f t="shared" si="422"/>
        <v>#DIV/0!</v>
      </c>
      <c r="Z638" s="32" t="e">
        <f t="shared" si="423"/>
        <v>#DIV/0!</v>
      </c>
    </row>
    <row r="639" spans="1:26" outlineLevel="1" x14ac:dyDescent="0.25">
      <c r="A639" t="s">
        <v>38</v>
      </c>
      <c r="B639" t="s">
        <v>162</v>
      </c>
      <c r="C639" s="7" t="s">
        <v>14</v>
      </c>
      <c r="D639" s="11" cm="1">
        <f t="array" ref="D639">(INDEX(E$403:E$594,MATCH(1,($A639=$A$403:$A$594)*($B639=$B$403:$B$594)*("Weekday"=$D$403:$D$594),0))*Weekdays+INDEX(E$403:E$594,MATCH(1,($A639=$A$403:$A$594)*($B639=$B$403:$B$594)*("Weekend"=$D$403:$D$594),0))*WeekendDays)/DaysPerWeek</f>
        <v>9.827069150441927E-5</v>
      </c>
      <c r="E639" s="11" cm="1">
        <f t="array" ref="E639">(INDEX(F$403:F$594,MATCH(1,($A639=$A$403:$A$594)*($B639=$B$403:$B$594)*("Weekday"=$D$403:$D$594),0))*Weekdays+INDEX(F$403:F$594,MATCH(1,($A639=$A$403:$A$594)*($B639=$B$403:$B$594)*("Weekend"=$D$403:$D$594),0))*WeekendDays)/DaysPerWeek</f>
        <v>2.0095584018632554E-5</v>
      </c>
      <c r="F639" s="11" cm="1">
        <f t="array" ref="F639">(INDEX(G$403:G$594,MATCH(1,($A639=$A$403:$A$594)*($B639=$B$403:$B$594)*("Weekday"=$D$403:$D$594),0))*Weekdays+INDEX(G$403:G$594,MATCH(1,($A639=$A$403:$A$594)*($B639=$B$403:$B$594)*("Weekend"=$D$403:$D$594),0))*WeekendDays)/DaysPerWeek</f>
        <v>0</v>
      </c>
      <c r="G639" s="11" cm="1">
        <f t="array" ref="G639">(INDEX(H$403:H$594,MATCH(1,($A639=$A$403:$A$594)*($B639=$B$403:$B$594)*("Weekday"=$D$403:$D$594),0))*Weekdays+INDEX(H$403:H$594,MATCH(1,($A639=$A$403:$A$594)*($B639=$B$403:$B$594)*("Weekend"=$D$403:$D$594),0))*WeekendDays)/DaysPerWeek</f>
        <v>6.5619043042535881E-5</v>
      </c>
      <c r="H639" s="11" cm="1">
        <f t="array" ref="H639">(INDEX(I$403:I$594,MATCH(1,($A639=$A$403:$A$594)*($B639=$B$403:$B$594)*("Weekday"=$D$403:$D$594),0))*Weekdays+INDEX(I$403:I$594,MATCH(1,($A639=$A$403:$A$594)*($B639=$B$403:$B$594)*("Weekend"=$D$403:$D$594),0))*WeekendDays)/DaysPerWeek</f>
        <v>9.4695183664429437E-5</v>
      </c>
      <c r="I639" s="11" cm="1">
        <f t="array" ref="I639">(INDEX(J$403:J$594,MATCH(1,($A639=$A$403:$A$594)*($B639=$B$403:$B$594)*("Weekday"=$D$403:$D$594),0))*Weekdays+INDEX(J$403:J$594,MATCH(1,($A639=$A$403:$A$594)*($B639=$B$403:$B$594)*("Weekend"=$D$403:$D$594),0))*WeekendDays)/DaysPerWeek</f>
        <v>9.4695183664429437E-5</v>
      </c>
      <c r="J639" s="11" cm="1">
        <f t="array" ref="J639">(INDEX(K$403:K$594,MATCH(1,($A639=$A$403:$A$594)*($B639=$B$403:$B$594)*("Weekday"=$D$403:$D$594),0))*Weekdays+INDEX(K$403:K$594,MATCH(1,($A639=$A$403:$A$594)*($B639=$B$403:$B$594)*("Weekend"=$D$403:$D$594),0))*WeekendDays)/DaysPerWeek</f>
        <v>7.5209190624366502E-5</v>
      </c>
      <c r="K639" s="11" cm="1">
        <f t="array" ref="K639">(INDEX(L$403:L$594,MATCH(1,($A639=$A$403:$A$594)*($B639=$B$403:$B$594)*("Weekday"=$D$403:$D$594),0))*Weekdays+INDEX(L$403:L$594,MATCH(1,($A639=$A$403:$A$594)*($B639=$B$403:$B$594)*("Weekend"=$D$403:$D$594),0))*WeekendDays)/DaysPerWeek</f>
        <v>8.9956436836052907E-6</v>
      </c>
      <c r="L639" s="11" cm="1">
        <f t="array" ref="L639">(INDEX(M$403:M$594,MATCH(1,($A639=$A$403:$A$594)*($B639=$B$403:$B$594)*("Weekday"=$D$403:$D$594),0))*Weekdays+INDEX(M$403:M$594,MATCH(1,($A639=$A$403:$A$594)*($B639=$B$403:$B$594)*("Weekend"=$D$403:$D$594),0))*WeekendDays)/DaysPerWeek</f>
        <v>0</v>
      </c>
      <c r="M639" s="11" cm="1">
        <f t="array" ref="M639">(INDEX(N$403:N$594,MATCH(1,($A639=$A$403:$A$594)*($B639=$B$403:$B$594)*("Weekday"=$D$403:$D$594),0))*Weekdays+INDEX(N$403:N$594,MATCH(1,($A639=$A$403:$A$594)*($B639=$B$403:$B$594)*("Weekend"=$D$403:$D$594),0))*WeekendDays)/DaysPerWeek</f>
        <v>1.5469024709993773E-4</v>
      </c>
      <c r="N639" s="11" cm="1">
        <f t="array" ref="N639">(INDEX(O$403:O$594,MATCH(1,($A639=$A$403:$A$594)*($B639=$B$403:$B$594)*("Weekday"=$D$403:$D$594),0))*Weekdays+INDEX(O$403:O$594,MATCH(1,($A639=$A$403:$A$594)*($B639=$B$403:$B$594)*("Weekend"=$D$403:$D$594),0))*WeekendDays)/DaysPerWeek</f>
        <v>1.5469024709993773E-4</v>
      </c>
      <c r="O639" s="11" cm="1">
        <f t="array" ref="O639">(INDEX(P$403:P$594,MATCH(1,($A639=$A$403:$A$594)*($B639=$B$403:$B$594)*("Weekday"=$D$403:$D$594),0))*Weekdays+INDEX(P$403:P$594,MATCH(1,($A639=$A$403:$A$594)*($B639=$B$403:$B$594)*("Weekend"=$D$403:$D$594),0))*WeekendDays)/DaysPerWeek</f>
        <v>0</v>
      </c>
      <c r="P639" s="11" cm="1">
        <f t="array" ref="P639">(INDEX(Q$403:Q$594,MATCH(1,($A639=$A$403:$A$594)*($B639=$B$403:$B$594)*("Weekday"=$D$403:$D$594),0))*Weekdays+INDEX(Q$403:Q$594,MATCH(1,($A639=$A$403:$A$594)*($B639=$B$403:$B$594)*("Weekend"=$D$403:$D$594),0))*WeekendDays)/DaysPerWeek</f>
        <v>1.4194632443999324E-4</v>
      </c>
      <c r="Q639" s="11" cm="1">
        <f t="array" ref="Q639">(INDEX(R$403:R$594,MATCH(1,($A639=$A$403:$A$594)*($B639=$B$403:$B$594)*("Weekday"=$D$403:$D$594),0))*Weekdays+INDEX(R$403:R$594,MATCH(1,($A639=$A$403:$A$594)*($B639=$B$403:$B$594)*("Weekend"=$D$403:$D$594),0))*WeekendDays)/DaysPerWeek</f>
        <v>1.4194632443999326E-4</v>
      </c>
      <c r="R639" s="11" cm="1">
        <f t="array" ref="R639">(INDEX(S$403:S$594,MATCH(1,($A639=$A$403:$A$594)*($B639=$B$403:$B$594)*("Weekday"=$D$403:$D$594),0))*Weekdays+INDEX(S$403:S$594,MATCH(1,($A639=$A$403:$A$594)*($B639=$B$403:$B$594)*("Weekend"=$D$403:$D$594),0))*WeekendDays)/DaysPerWeek</f>
        <v>0</v>
      </c>
      <c r="S639" s="11" cm="1">
        <f t="array" ref="S639">(INDEX(T$403:T$594,MATCH(1,($A639=$A$403:$A$594)*($B639=$B$403:$B$594)*("Weekday"=$D$403:$D$594),0))*Weekdays+INDEX(T$403:T$594,MATCH(1,($A639=$A$403:$A$594)*($B639=$B$403:$B$594)*("Weekend"=$D$403:$D$594),0))*WeekendDays)/DaysPerWeek</f>
        <v>1.4194632443999329E-4</v>
      </c>
      <c r="T639" s="11" cm="1">
        <f t="array" ref="T639">(INDEX(U$403:U$594,MATCH(1,($A639=$A$403:$A$594)*($B639=$B$403:$B$594)*("Weekday"=$D$403:$D$594),0))*Weekdays+INDEX(U$403:U$594,MATCH(1,($A639=$A$403:$A$594)*($B639=$B$403:$B$594)*("Weekend"=$D$403:$D$594),0))*WeekendDays)/DaysPerWeek</f>
        <v>0</v>
      </c>
      <c r="U639" s="11" t="e" cm="1">
        <f t="array" ref="U639">(INDEX(V$403:V$594,MATCH(1,($A639=$A$403:$A$594)*($B639=$B$403:$B$594)*("Weekday"=$D$403:$D$594),0))*Weekdays+INDEX(V$403:V$594,MATCH(1,($A639=$A$403:$A$594)*($B639=$B$403:$B$594)*("Weekend"=$D$403:$D$594),0))*WeekendDays)/DaysPerWeek</f>
        <v>#DIV/0!</v>
      </c>
      <c r="V639" s="11" cm="1">
        <f t="array" ref="V639">(INDEX(W$403:W$594,MATCH(1,($A639=$A$403:$A$594)*($B639=$B$403:$B$594)*("Weekday"=$D$403:$D$594),0))*Weekdays+INDEX(W$403:W$594,MATCH(1,($A639=$A$403:$A$594)*($B639=$B$403:$B$594)*("Weekend"=$D$403:$D$594),0))*WeekendDays)/DaysPerWeek</f>
        <v>1.1431050293766346E-4</v>
      </c>
      <c r="W639" s="11" cm="1">
        <f t="array" ref="W639">(INDEX(X$403:X$594,MATCH(1,($A639=$A$403:$A$594)*($B639=$B$403:$B$594)*("Weekday"=$D$403:$D$594),0))*Weekdays+INDEX(X$403:X$594,MATCH(1,($A639=$A$403:$A$594)*($B639=$B$403:$B$594)*("Weekend"=$D$403:$D$594),0))*WeekendDays)/DaysPerWeek</f>
        <v>0</v>
      </c>
      <c r="X639" s="11" cm="1">
        <f t="array" ref="X639">(INDEX(Y$403:Y$594,MATCH(1,($A639=$A$403:$A$594)*($B639=$B$403:$B$594)*("Weekday"=$D$403:$D$594),0))*Weekdays+INDEX(Y$403:Y$594,MATCH(1,($A639=$A$403:$A$594)*($B639=$B$403:$B$594)*("Weekend"=$D$403:$D$594),0))*WeekendDays)/DaysPerWeek</f>
        <v>0</v>
      </c>
      <c r="Y639" s="25" t="e">
        <f t="shared" si="422"/>
        <v>#DIV/0!</v>
      </c>
      <c r="Z639" s="32" t="e">
        <f t="shared" si="423"/>
        <v>#DIV/0!</v>
      </c>
    </row>
    <row r="640" spans="1:26" outlineLevel="1" x14ac:dyDescent="0.25">
      <c r="A640" t="s">
        <v>38</v>
      </c>
      <c r="B640" t="s">
        <v>163</v>
      </c>
      <c r="C640" s="7" t="s">
        <v>15</v>
      </c>
      <c r="D640" s="11" cm="1">
        <f t="array" ref="D640">(INDEX(E$403:E$594,MATCH(1,($A640=$A$403:$A$594)*($B640=$B$403:$B$594)*("Weekday"=$D$403:$D$594),0))*Weekdays+INDEX(E$403:E$594,MATCH(1,($A640=$A$403:$A$594)*($B640=$B$403:$B$594)*("Weekend"=$D$403:$D$594),0))*WeekendDays)/DaysPerWeek</f>
        <v>1.0214629308485103E-4</v>
      </c>
      <c r="E640" s="11" cm="1">
        <f t="array" ref="E640">(INDEX(F$403:F$594,MATCH(1,($A640=$A$403:$A$594)*($B640=$B$403:$B$594)*("Weekday"=$D$403:$D$594),0))*Weekdays+INDEX(F$403:F$594,MATCH(1,($A640=$A$403:$A$594)*($B640=$B$403:$B$594)*("Weekend"=$D$403:$D$594),0))*WeekendDays)/DaysPerWeek</f>
        <v>1.7395098244869646E-5</v>
      </c>
      <c r="F640" s="11" cm="1">
        <f t="array" ref="F640">(INDEX(G$403:G$594,MATCH(1,($A640=$A$403:$A$594)*($B640=$B$403:$B$594)*("Weekday"=$D$403:$D$594),0))*Weekdays+INDEX(G$403:G$594,MATCH(1,($A640=$A$403:$A$594)*($B640=$B$403:$B$594)*("Weekend"=$D$403:$D$594),0))*WeekendDays)/DaysPerWeek</f>
        <v>0</v>
      </c>
      <c r="G640" s="11" cm="1">
        <f t="array" ref="G640">(INDEX(H$403:H$594,MATCH(1,($A640=$A$403:$A$594)*($B640=$B$403:$B$594)*("Weekday"=$D$403:$D$594),0))*Weekdays+INDEX(H$403:H$594,MATCH(1,($A640=$A$403:$A$594)*($B640=$B$403:$B$594)*("Weekend"=$D$403:$D$594),0))*WeekendDays)/DaysPerWeek</f>
        <v>7.1460813896928339E-5</v>
      </c>
      <c r="H640" s="11" cm="1">
        <f t="array" ref="H640">(INDEX(I$403:I$594,MATCH(1,($A640=$A$403:$A$594)*($B640=$B$403:$B$594)*("Weekday"=$D$403:$D$594),0))*Weekdays+INDEX(I$403:I$594,MATCH(1,($A640=$A$403:$A$594)*($B640=$B$403:$B$594)*("Weekend"=$D$403:$D$594),0))*WeekendDays)/DaysPerWeek</f>
        <v>1.04114594261474E-4</v>
      </c>
      <c r="I640" s="11" cm="1">
        <f t="array" ref="I640">(INDEX(J$403:J$594,MATCH(1,($A640=$A$403:$A$594)*($B640=$B$403:$B$594)*("Weekday"=$D$403:$D$594),0))*Weekdays+INDEX(J$403:J$594,MATCH(1,($A640=$A$403:$A$594)*($B640=$B$403:$B$594)*("Weekend"=$D$403:$D$594),0))*WeekendDays)/DaysPerWeek</f>
        <v>1.04114594261474E-4</v>
      </c>
      <c r="J640" s="11" cm="1">
        <f t="array" ref="J640">(INDEX(K$403:K$594,MATCH(1,($A640=$A$403:$A$594)*($B640=$B$403:$B$594)*("Weekday"=$D$403:$D$594),0))*Weekdays+INDEX(K$403:K$594,MATCH(1,($A640=$A$403:$A$594)*($B640=$B$403:$B$594)*("Weekend"=$D$403:$D$594),0))*WeekendDays)/DaysPerWeek</f>
        <v>7.106941915067106E-5</v>
      </c>
      <c r="K640" s="11" cm="1">
        <f t="array" ref="K640">(INDEX(L$403:L$594,MATCH(1,($A640=$A$403:$A$594)*($B640=$B$403:$B$594)*("Weekday"=$D$403:$D$594),0))*Weekdays+INDEX(L$403:L$594,MATCH(1,($A640=$A$403:$A$594)*($B640=$B$403:$B$594)*("Weekend"=$D$403:$D$594),0))*WeekendDays)/DaysPerWeek</f>
        <v>8.5643666078696549E-6</v>
      </c>
      <c r="L640" s="11" cm="1">
        <f t="array" ref="L640">(INDEX(M$403:M$594,MATCH(1,($A640=$A$403:$A$594)*($B640=$B$403:$B$594)*("Weekday"=$D$403:$D$594),0))*Weekdays+INDEX(M$403:M$594,MATCH(1,($A640=$A$403:$A$594)*($B640=$B$403:$B$594)*("Weekend"=$D$403:$D$594),0))*WeekendDays)/DaysPerWeek</f>
        <v>0</v>
      </c>
      <c r="M640" s="11" cm="1">
        <f t="array" ref="M640">(INDEX(N$403:N$594,MATCH(1,($A640=$A$403:$A$594)*($B640=$B$403:$B$594)*("Weekday"=$D$403:$D$594),0))*Weekdays+INDEX(N$403:N$594,MATCH(1,($A640=$A$403:$A$594)*($B640=$B$403:$B$594)*("Weekend"=$D$403:$D$594),0))*WeekendDays)/DaysPerWeek</f>
        <v>1.4910592354978907E-4</v>
      </c>
      <c r="N640" s="11" cm="1">
        <f t="array" ref="N640">(INDEX(O$403:O$594,MATCH(1,($A640=$A$403:$A$594)*($B640=$B$403:$B$594)*("Weekday"=$D$403:$D$594),0))*Weekdays+INDEX(O$403:O$594,MATCH(1,($A640=$A$403:$A$594)*($B640=$B$403:$B$594)*("Weekend"=$D$403:$D$594),0))*WeekendDays)/DaysPerWeek</f>
        <v>1.4910592354978907E-4</v>
      </c>
      <c r="O640" s="11" cm="1">
        <f t="array" ref="O640">(INDEX(P$403:P$594,MATCH(1,($A640=$A$403:$A$594)*($B640=$B$403:$B$594)*("Weekday"=$D$403:$D$594),0))*Weekdays+INDEX(P$403:P$594,MATCH(1,($A640=$A$403:$A$594)*($B640=$B$403:$B$594)*("Weekend"=$D$403:$D$594),0))*WeekendDays)/DaysPerWeek</f>
        <v>0</v>
      </c>
      <c r="P640" s="11" cm="1">
        <f t="array" ref="P640">(INDEX(Q$403:Q$594,MATCH(1,($A640=$A$403:$A$594)*($B640=$B$403:$B$594)*("Weekday"=$D$403:$D$594),0))*Weekdays+INDEX(Q$403:Q$594,MATCH(1,($A640=$A$403:$A$594)*($B640=$B$403:$B$594)*("Weekend"=$D$403:$D$594),0))*WeekendDays)/DaysPerWeek</f>
        <v>1.635181519214709E-4</v>
      </c>
      <c r="Q640" s="11" cm="1">
        <f t="array" ref="Q640">(INDEX(R$403:R$594,MATCH(1,($A640=$A$403:$A$594)*($B640=$B$403:$B$594)*("Weekday"=$D$403:$D$594),0))*Weekdays+INDEX(R$403:R$594,MATCH(1,($A640=$A$403:$A$594)*($B640=$B$403:$B$594)*("Weekend"=$D$403:$D$594),0))*WeekendDays)/DaysPerWeek</f>
        <v>1.6351815192147093E-4</v>
      </c>
      <c r="R640" s="11" cm="1">
        <f t="array" ref="R640">(INDEX(S$403:S$594,MATCH(1,($A640=$A$403:$A$594)*($B640=$B$403:$B$594)*("Weekday"=$D$403:$D$594),0))*Weekdays+INDEX(S$403:S$594,MATCH(1,($A640=$A$403:$A$594)*($B640=$B$403:$B$594)*("Weekend"=$D$403:$D$594),0))*WeekendDays)/DaysPerWeek</f>
        <v>0</v>
      </c>
      <c r="S640" s="11" cm="1">
        <f t="array" ref="S640">(INDEX(T$403:T$594,MATCH(1,($A640=$A$403:$A$594)*($B640=$B$403:$B$594)*("Weekday"=$D$403:$D$594),0))*Weekdays+INDEX(T$403:T$594,MATCH(1,($A640=$A$403:$A$594)*($B640=$B$403:$B$594)*("Weekend"=$D$403:$D$594),0))*WeekendDays)/DaysPerWeek</f>
        <v>1.6351815192147096E-4</v>
      </c>
      <c r="T640" s="11" cm="1">
        <f t="array" ref="T640">(INDEX(U$403:U$594,MATCH(1,($A640=$A$403:$A$594)*($B640=$B$403:$B$594)*("Weekday"=$D$403:$D$594),0))*Weekdays+INDEX(U$403:U$594,MATCH(1,($A640=$A$403:$A$594)*($B640=$B$403:$B$594)*("Weekend"=$D$403:$D$594),0))*WeekendDays)/DaysPerWeek</f>
        <v>0</v>
      </c>
      <c r="U640" s="11" t="e" cm="1">
        <f t="array" ref="U640">(INDEX(V$403:V$594,MATCH(1,($A640=$A$403:$A$594)*($B640=$B$403:$B$594)*("Weekday"=$D$403:$D$594),0))*Weekdays+INDEX(V$403:V$594,MATCH(1,($A640=$A$403:$A$594)*($B640=$B$403:$B$594)*("Weekend"=$D$403:$D$594),0))*WeekendDays)/DaysPerWeek</f>
        <v>#DIV/0!</v>
      </c>
      <c r="V640" s="11" cm="1">
        <f t="array" ref="V640">(INDEX(W$403:W$594,MATCH(1,($A640=$A$403:$A$594)*($B640=$B$403:$B$594)*("Weekday"=$D$403:$D$594),0))*Weekdays+INDEX(W$403:W$594,MATCH(1,($A640=$A$403:$A$594)*($B640=$B$403:$B$594)*("Weekend"=$D$403:$D$594),0))*WeekendDays)/DaysPerWeek</f>
        <v>1.155125851243231E-4</v>
      </c>
      <c r="W640" s="11" cm="1">
        <f t="array" ref="W640">(INDEX(X$403:X$594,MATCH(1,($A640=$A$403:$A$594)*($B640=$B$403:$B$594)*("Weekday"=$D$403:$D$594),0))*Weekdays+INDEX(X$403:X$594,MATCH(1,($A640=$A$403:$A$594)*($B640=$B$403:$B$594)*("Weekend"=$D$403:$D$594),0))*WeekendDays)/DaysPerWeek</f>
        <v>0</v>
      </c>
      <c r="X640" s="11" cm="1">
        <f t="array" ref="X640">(INDEX(Y$403:Y$594,MATCH(1,($A640=$A$403:$A$594)*($B640=$B$403:$B$594)*("Weekday"=$D$403:$D$594),0))*Weekdays+INDEX(Y$403:Y$594,MATCH(1,($A640=$A$403:$A$594)*($B640=$B$403:$B$594)*("Weekend"=$D$403:$D$594),0))*WeekendDays)/DaysPerWeek</f>
        <v>0</v>
      </c>
      <c r="Y640" s="25" t="e">
        <f t="shared" si="422"/>
        <v>#DIV/0!</v>
      </c>
      <c r="Z640" s="32" t="e">
        <f t="shared" si="423"/>
        <v>#DIV/0!</v>
      </c>
    </row>
    <row r="641" spans="1:26" outlineLevel="1" x14ac:dyDescent="0.25">
      <c r="A641" t="s">
        <v>38</v>
      </c>
      <c r="B641" t="s">
        <v>164</v>
      </c>
      <c r="C641" s="7" t="s">
        <v>16</v>
      </c>
      <c r="D641" s="11" cm="1">
        <f t="array" ref="D641">(INDEX(E$403:E$594,MATCH(1,($A641=$A$403:$A$594)*($B641=$B$403:$B$594)*("Weekday"=$D$403:$D$594),0))*Weekdays+INDEX(E$403:E$594,MATCH(1,($A641=$A$403:$A$594)*($B641=$B$403:$B$594)*("Weekend"=$D$403:$D$594),0))*WeekendDays)/DaysPerWeek</f>
        <v>1.0711637481161561E-4</v>
      </c>
      <c r="E641" s="11" cm="1">
        <f t="array" ref="E641">(INDEX(F$403:F$594,MATCH(1,($A641=$A$403:$A$594)*($B641=$B$403:$B$594)*("Weekday"=$D$403:$D$594),0))*Weekdays+INDEX(F$403:F$594,MATCH(1,($A641=$A$403:$A$594)*($B641=$B$403:$B$594)*("Weekend"=$D$403:$D$594),0))*WeekendDays)/DaysPerWeek</f>
        <v>1.4616109600885913E-5</v>
      </c>
      <c r="F641" s="11" cm="1">
        <f t="array" ref="F641">(INDEX(G$403:G$594,MATCH(1,($A641=$A$403:$A$594)*($B641=$B$403:$B$594)*("Weekday"=$D$403:$D$594),0))*Weekdays+INDEX(G$403:G$594,MATCH(1,($A641=$A$403:$A$594)*($B641=$B$403:$B$594)*("Weekend"=$D$403:$D$594),0))*WeekendDays)/DaysPerWeek</f>
        <v>0</v>
      </c>
      <c r="G641" s="11" cm="1">
        <f t="array" ref="G641">(INDEX(H$403:H$594,MATCH(1,($A641=$A$403:$A$594)*($B641=$B$403:$B$594)*("Weekday"=$D$403:$D$594),0))*Weekdays+INDEX(H$403:H$594,MATCH(1,($A641=$A$403:$A$594)*($B641=$B$403:$B$594)*("Weekend"=$D$403:$D$594),0))*WeekendDays)/DaysPerWeek</f>
        <v>1.5255672036300813E-4</v>
      </c>
      <c r="H641" s="11" cm="1">
        <f t="array" ref="H641">(INDEX(I$403:I$594,MATCH(1,($A641=$A$403:$A$594)*($B641=$B$403:$B$594)*("Weekday"=$D$403:$D$594),0))*Weekdays+INDEX(I$403:I$594,MATCH(1,($A641=$A$403:$A$594)*($B641=$B$403:$B$594)*("Weekend"=$D$403:$D$594),0))*WeekendDays)/DaysPerWeek</f>
        <v>1.2566330867192003E-4</v>
      </c>
      <c r="I641" s="11" cm="1">
        <f t="array" ref="I641">(INDEX(J$403:J$594,MATCH(1,($A641=$A$403:$A$594)*($B641=$B$403:$B$594)*("Weekday"=$D$403:$D$594),0))*Weekdays+INDEX(J$403:J$594,MATCH(1,($A641=$A$403:$A$594)*($B641=$B$403:$B$594)*("Weekend"=$D$403:$D$594),0))*WeekendDays)/DaysPerWeek</f>
        <v>1.2566330867192003E-4</v>
      </c>
      <c r="J641" s="11" cm="1">
        <f t="array" ref="J641">(INDEX(K$403:K$594,MATCH(1,($A641=$A$403:$A$594)*($B641=$B$403:$B$594)*("Weekday"=$D$403:$D$594),0))*Weekdays+INDEX(K$403:K$594,MATCH(1,($A641=$A$403:$A$594)*($B641=$B$403:$B$594)*("Weekend"=$D$403:$D$594),0))*WeekendDays)/DaysPerWeek</f>
        <v>7.5756471754300091E-5</v>
      </c>
      <c r="K641" s="11" cm="1">
        <f t="array" ref="K641">(INDEX(L$403:L$594,MATCH(1,($A641=$A$403:$A$594)*($B641=$B$403:$B$594)*("Weekday"=$D$403:$D$594),0))*Weekdays+INDEX(L$403:L$594,MATCH(1,($A641=$A$403:$A$594)*($B641=$B$403:$B$594)*("Weekend"=$D$403:$D$594),0))*WeekendDays)/DaysPerWeek</f>
        <v>7.8426194864433581E-6</v>
      </c>
      <c r="L641" s="11" cm="1">
        <f t="array" ref="L641">(INDEX(M$403:M$594,MATCH(1,($A641=$A$403:$A$594)*($B641=$B$403:$B$594)*("Weekday"=$D$403:$D$594),0))*Weekdays+INDEX(M$403:M$594,MATCH(1,($A641=$A$403:$A$594)*($B641=$B$403:$B$594)*("Weekend"=$D$403:$D$594),0))*WeekendDays)/DaysPerWeek</f>
        <v>0</v>
      </c>
      <c r="M641" s="11" cm="1">
        <f t="array" ref="M641">(INDEX(N$403:N$594,MATCH(1,($A641=$A$403:$A$594)*($B641=$B$403:$B$594)*("Weekday"=$D$403:$D$594),0))*Weekdays+INDEX(N$403:N$594,MATCH(1,($A641=$A$403:$A$594)*($B641=$B$403:$B$594)*("Weekend"=$D$403:$D$594),0))*WeekendDays)/DaysPerWeek</f>
        <v>1.419865217513657E-4</v>
      </c>
      <c r="N641" s="11" cm="1">
        <f t="array" ref="N641">(INDEX(O$403:O$594,MATCH(1,($A641=$A$403:$A$594)*($B641=$B$403:$B$594)*("Weekday"=$D$403:$D$594),0))*Weekdays+INDEX(O$403:O$594,MATCH(1,($A641=$A$403:$A$594)*($B641=$B$403:$B$594)*("Weekend"=$D$403:$D$594),0))*WeekendDays)/DaysPerWeek</f>
        <v>1.419865217513657E-4</v>
      </c>
      <c r="O641" s="11" cm="1">
        <f t="array" ref="O641">(INDEX(P$403:P$594,MATCH(1,($A641=$A$403:$A$594)*($B641=$B$403:$B$594)*("Weekday"=$D$403:$D$594),0))*Weekdays+INDEX(P$403:P$594,MATCH(1,($A641=$A$403:$A$594)*($B641=$B$403:$B$594)*("Weekend"=$D$403:$D$594),0))*WeekendDays)/DaysPerWeek</f>
        <v>0</v>
      </c>
      <c r="P641" s="11" cm="1">
        <f t="array" ref="P641">(INDEX(Q$403:Q$594,MATCH(1,($A641=$A$403:$A$594)*($B641=$B$403:$B$594)*("Weekday"=$D$403:$D$594),0))*Weekdays+INDEX(Q$403:Q$594,MATCH(1,($A641=$A$403:$A$594)*($B641=$B$403:$B$594)*("Weekend"=$D$403:$D$594),0))*WeekendDays)/DaysPerWeek</f>
        <v>1.7029076433712579E-4</v>
      </c>
      <c r="Q641" s="11" cm="1">
        <f t="array" ref="Q641">(INDEX(R$403:R$594,MATCH(1,($A641=$A$403:$A$594)*($B641=$B$403:$B$594)*("Weekday"=$D$403:$D$594),0))*Weekdays+INDEX(R$403:R$594,MATCH(1,($A641=$A$403:$A$594)*($B641=$B$403:$B$594)*("Weekend"=$D$403:$D$594),0))*WeekendDays)/DaysPerWeek</f>
        <v>1.7029076433712587E-4</v>
      </c>
      <c r="R641" s="11" cm="1">
        <f t="array" ref="R641">(INDEX(S$403:S$594,MATCH(1,($A641=$A$403:$A$594)*($B641=$B$403:$B$594)*("Weekday"=$D$403:$D$594),0))*Weekdays+INDEX(S$403:S$594,MATCH(1,($A641=$A$403:$A$594)*($B641=$B$403:$B$594)*("Weekend"=$D$403:$D$594),0))*WeekendDays)/DaysPerWeek</f>
        <v>0</v>
      </c>
      <c r="S641" s="11" cm="1">
        <f t="array" ref="S641">(INDEX(T$403:T$594,MATCH(1,($A641=$A$403:$A$594)*($B641=$B$403:$B$594)*("Weekday"=$D$403:$D$594),0))*Weekdays+INDEX(T$403:T$594,MATCH(1,($A641=$A$403:$A$594)*($B641=$B$403:$B$594)*("Weekend"=$D$403:$D$594),0))*WeekendDays)/DaysPerWeek</f>
        <v>1.702907643371259E-4</v>
      </c>
      <c r="T641" s="11" cm="1">
        <f t="array" ref="T641">(INDEX(U$403:U$594,MATCH(1,($A641=$A$403:$A$594)*($B641=$B$403:$B$594)*("Weekday"=$D$403:$D$594),0))*Weekdays+INDEX(U$403:U$594,MATCH(1,($A641=$A$403:$A$594)*($B641=$B$403:$B$594)*("Weekend"=$D$403:$D$594),0))*WeekendDays)/DaysPerWeek</f>
        <v>0</v>
      </c>
      <c r="U641" s="11" t="e" cm="1">
        <f t="array" ref="U641">(INDEX(V$403:V$594,MATCH(1,($A641=$A$403:$A$594)*($B641=$B$403:$B$594)*("Weekday"=$D$403:$D$594),0))*Weekdays+INDEX(V$403:V$594,MATCH(1,($A641=$A$403:$A$594)*($B641=$B$403:$B$594)*("Weekend"=$D$403:$D$594),0))*WeekendDays)/DaysPerWeek</f>
        <v>#DIV/0!</v>
      </c>
      <c r="V641" s="11" cm="1">
        <f t="array" ref="V641">(INDEX(W$403:W$594,MATCH(1,($A641=$A$403:$A$594)*($B641=$B$403:$B$594)*("Weekday"=$D$403:$D$594),0))*Weekdays+INDEX(W$403:W$594,MATCH(1,($A641=$A$403:$A$594)*($B641=$B$403:$B$594)*("Weekend"=$D$403:$D$594),0))*WeekendDays)/DaysPerWeek</f>
        <v>1.1570041046598865E-4</v>
      </c>
      <c r="W641" s="11" cm="1">
        <f t="array" ref="W641">(INDEX(X$403:X$594,MATCH(1,($A641=$A$403:$A$594)*($B641=$B$403:$B$594)*("Weekday"=$D$403:$D$594),0))*Weekdays+INDEX(X$403:X$594,MATCH(1,($A641=$A$403:$A$594)*($B641=$B$403:$B$594)*("Weekend"=$D$403:$D$594),0))*WeekendDays)/DaysPerWeek</f>
        <v>0</v>
      </c>
      <c r="X641" s="11" cm="1">
        <f t="array" ref="X641">(INDEX(Y$403:Y$594,MATCH(1,($A641=$A$403:$A$594)*($B641=$B$403:$B$594)*("Weekday"=$D$403:$D$594),0))*Weekdays+INDEX(Y$403:Y$594,MATCH(1,($A641=$A$403:$A$594)*($B641=$B$403:$B$594)*("Weekend"=$D$403:$D$594),0))*WeekendDays)/DaysPerWeek</f>
        <v>0</v>
      </c>
      <c r="Y641" s="25" t="e">
        <f t="shared" si="422"/>
        <v>#DIV/0!</v>
      </c>
      <c r="Z641" s="32" t="e">
        <f t="shared" si="423"/>
        <v>#DIV/0!</v>
      </c>
    </row>
    <row r="642" spans="1:26" outlineLevel="1" x14ac:dyDescent="0.25">
      <c r="A642" t="s">
        <v>38</v>
      </c>
      <c r="B642" t="s">
        <v>165</v>
      </c>
      <c r="C642" s="7" t="s">
        <v>17</v>
      </c>
      <c r="D642" s="11" cm="1">
        <f t="array" ref="D642">(INDEX(E$403:E$594,MATCH(1,($A642=$A$403:$A$594)*($B642=$B$403:$B$594)*("Weekday"=$D$403:$D$594),0))*Weekdays+INDEX(E$403:E$594,MATCH(1,($A642=$A$403:$A$594)*($B642=$B$403:$B$594)*("Weekend"=$D$403:$D$594),0))*WeekendDays)/DaysPerWeek</f>
        <v>1.1412290772664389E-4</v>
      </c>
      <c r="E642" s="11" cm="1">
        <f t="array" ref="E642">(INDEX(F$403:F$594,MATCH(1,($A642=$A$403:$A$594)*($B642=$B$403:$B$594)*("Weekday"=$D$403:$D$594),0))*Weekdays+INDEX(F$403:F$594,MATCH(1,($A642=$A$403:$A$594)*($B642=$B$403:$B$594)*("Weekend"=$D$403:$D$594),0))*WeekendDays)/DaysPerWeek</f>
        <v>1.034039591571957E-5</v>
      </c>
      <c r="F642" s="11" cm="1">
        <f t="array" ref="F642">(INDEX(G$403:G$594,MATCH(1,($A642=$A$403:$A$594)*($B642=$B$403:$B$594)*("Weekday"=$D$403:$D$594),0))*Weekdays+INDEX(G$403:G$594,MATCH(1,($A642=$A$403:$A$594)*($B642=$B$403:$B$594)*("Weekend"=$D$403:$D$594),0))*WeekendDays)/DaysPerWeek</f>
        <v>0</v>
      </c>
      <c r="G642" s="11" cm="1">
        <f t="array" ref="G642">(INDEX(H$403:H$594,MATCH(1,($A642=$A$403:$A$594)*($B642=$B$403:$B$594)*("Weekday"=$D$403:$D$594),0))*Weekdays+INDEX(H$403:H$594,MATCH(1,($A642=$A$403:$A$594)*($B642=$B$403:$B$594)*("Weekend"=$D$403:$D$594),0))*WeekendDays)/DaysPerWeek</f>
        <v>2.6491522074035721E-4</v>
      </c>
      <c r="H642" s="11" cm="1">
        <f t="array" ref="H642">(INDEX(I$403:I$594,MATCH(1,($A642=$A$403:$A$594)*($B642=$B$403:$B$594)*("Weekday"=$D$403:$D$594),0))*Weekdays+INDEX(I$403:I$594,MATCH(1,($A642=$A$403:$A$594)*($B642=$B$403:$B$594)*("Weekend"=$D$403:$D$594),0))*WeekendDays)/DaysPerWeek</f>
        <v>1.5377209800361587E-4</v>
      </c>
      <c r="I642" s="11" cm="1">
        <f t="array" ref="I642">(INDEX(J$403:J$594,MATCH(1,($A642=$A$403:$A$594)*($B642=$B$403:$B$594)*("Weekday"=$D$403:$D$594),0))*Weekdays+INDEX(J$403:J$594,MATCH(1,($A642=$A$403:$A$594)*($B642=$B$403:$B$594)*("Weekend"=$D$403:$D$594),0))*WeekendDays)/DaysPerWeek</f>
        <v>1.5377209800361587E-4</v>
      </c>
      <c r="J642" s="11" cm="1">
        <f t="array" ref="J642">(INDEX(K$403:K$594,MATCH(1,($A642=$A$403:$A$594)*($B642=$B$403:$B$594)*("Weekday"=$D$403:$D$594),0))*Weekdays+INDEX(K$403:K$594,MATCH(1,($A642=$A$403:$A$594)*($B642=$B$403:$B$594)*("Weekend"=$D$403:$D$594),0))*WeekendDays)/DaysPerWeek</f>
        <v>8.3034460006701938E-5</v>
      </c>
      <c r="K642" s="11" cm="1">
        <f t="array" ref="K642">(INDEX(L$403:L$594,MATCH(1,($A642=$A$403:$A$594)*($B642=$B$403:$B$594)*("Weekday"=$D$403:$D$594),0))*Weekdays+INDEX(L$403:L$594,MATCH(1,($A642=$A$403:$A$594)*($B642=$B$403:$B$594)*("Weekend"=$D$403:$D$594),0))*WeekendDays)/DaysPerWeek</f>
        <v>7.0527178107582938E-6</v>
      </c>
      <c r="L642" s="11" cm="1">
        <f t="array" ref="L642">(INDEX(M$403:M$594,MATCH(1,($A642=$A$403:$A$594)*($B642=$B$403:$B$594)*("Weekday"=$D$403:$D$594),0))*Weekdays+INDEX(M$403:M$594,MATCH(1,($A642=$A$403:$A$594)*($B642=$B$403:$B$594)*("Weekend"=$D$403:$D$594),0))*WeekendDays)/DaysPerWeek</f>
        <v>0</v>
      </c>
      <c r="M642" s="11" cm="1">
        <f t="array" ref="M642">(INDEX(N$403:N$594,MATCH(1,($A642=$A$403:$A$594)*($B642=$B$403:$B$594)*("Weekday"=$D$403:$D$594),0))*Weekdays+INDEX(N$403:N$594,MATCH(1,($A642=$A$403:$A$594)*($B642=$B$403:$B$594)*("Weekend"=$D$403:$D$594),0))*WeekendDays)/DaysPerWeek</f>
        <v>1.3605510234284714E-4</v>
      </c>
      <c r="N642" s="11" cm="1">
        <f t="array" ref="N642">(INDEX(O$403:O$594,MATCH(1,($A642=$A$403:$A$594)*($B642=$B$403:$B$594)*("Weekday"=$D$403:$D$594),0))*Weekdays+INDEX(O$403:O$594,MATCH(1,($A642=$A$403:$A$594)*($B642=$B$403:$B$594)*("Weekend"=$D$403:$D$594),0))*WeekendDays)/DaysPerWeek</f>
        <v>1.3605510234284714E-4</v>
      </c>
      <c r="O642" s="11" cm="1">
        <f t="array" ref="O642">(INDEX(P$403:P$594,MATCH(1,($A642=$A$403:$A$594)*($B642=$B$403:$B$594)*("Weekday"=$D$403:$D$594),0))*Weekdays+INDEX(P$403:P$594,MATCH(1,($A642=$A$403:$A$594)*($B642=$B$403:$B$594)*("Weekend"=$D$403:$D$594),0))*WeekendDays)/DaysPerWeek</f>
        <v>0</v>
      </c>
      <c r="P642" s="11" cm="1">
        <f t="array" ref="P642">(INDEX(Q$403:Q$594,MATCH(1,($A642=$A$403:$A$594)*($B642=$B$403:$B$594)*("Weekday"=$D$403:$D$594),0))*Weekdays+INDEX(Q$403:Q$594,MATCH(1,($A642=$A$403:$A$594)*($B642=$B$403:$B$594)*("Weekend"=$D$403:$D$594),0))*WeekendDays)/DaysPerWeek</f>
        <v>1.6026488844175413E-4</v>
      </c>
      <c r="Q642" s="11" cm="1">
        <f t="array" ref="Q642">(INDEX(R$403:R$594,MATCH(1,($A642=$A$403:$A$594)*($B642=$B$403:$B$594)*("Weekday"=$D$403:$D$594),0))*Weekdays+INDEX(R$403:R$594,MATCH(1,($A642=$A$403:$A$594)*($B642=$B$403:$B$594)*("Weekend"=$D$403:$D$594),0))*WeekendDays)/DaysPerWeek</f>
        <v>1.6026488844175419E-4</v>
      </c>
      <c r="R642" s="11" cm="1">
        <f t="array" ref="R642">(INDEX(S$403:S$594,MATCH(1,($A642=$A$403:$A$594)*($B642=$B$403:$B$594)*("Weekday"=$D$403:$D$594),0))*Weekdays+INDEX(S$403:S$594,MATCH(1,($A642=$A$403:$A$594)*($B642=$B$403:$B$594)*("Weekend"=$D$403:$D$594),0))*WeekendDays)/DaysPerWeek</f>
        <v>0</v>
      </c>
      <c r="S642" s="11" cm="1">
        <f t="array" ref="S642">(INDEX(T$403:T$594,MATCH(1,($A642=$A$403:$A$594)*($B642=$B$403:$B$594)*("Weekday"=$D$403:$D$594),0))*Weekdays+INDEX(T$403:T$594,MATCH(1,($A642=$A$403:$A$594)*($B642=$B$403:$B$594)*("Weekend"=$D$403:$D$594),0))*WeekendDays)/DaysPerWeek</f>
        <v>1.6026488844175419E-4</v>
      </c>
      <c r="T642" s="11" cm="1">
        <f t="array" ref="T642">(INDEX(U$403:U$594,MATCH(1,($A642=$A$403:$A$594)*($B642=$B$403:$B$594)*("Weekday"=$D$403:$D$594),0))*Weekdays+INDEX(U$403:U$594,MATCH(1,($A642=$A$403:$A$594)*($B642=$B$403:$B$594)*("Weekend"=$D$403:$D$594),0))*WeekendDays)/DaysPerWeek</f>
        <v>0</v>
      </c>
      <c r="U642" s="11" t="e" cm="1">
        <f t="array" ref="U642">(INDEX(V$403:V$594,MATCH(1,($A642=$A$403:$A$594)*($B642=$B$403:$B$594)*("Weekday"=$D$403:$D$594),0))*Weekdays+INDEX(V$403:V$594,MATCH(1,($A642=$A$403:$A$594)*($B642=$B$403:$B$594)*("Weekend"=$D$403:$D$594),0))*WeekendDays)/DaysPerWeek</f>
        <v>#DIV/0!</v>
      </c>
      <c r="V642" s="11" cm="1">
        <f t="array" ref="V642">(INDEX(W$403:W$594,MATCH(1,($A642=$A$403:$A$594)*($B642=$B$403:$B$594)*("Weekday"=$D$403:$D$594),0))*Weekdays+INDEX(W$403:W$594,MATCH(1,($A642=$A$403:$A$594)*($B642=$B$403:$B$594)*("Weekend"=$D$403:$D$594),0))*WeekendDays)/DaysPerWeek</f>
        <v>1.1524962964599129E-4</v>
      </c>
      <c r="W642" s="11" cm="1">
        <f t="array" ref="W642">(INDEX(X$403:X$594,MATCH(1,($A642=$A$403:$A$594)*($B642=$B$403:$B$594)*("Weekday"=$D$403:$D$594),0))*Weekdays+INDEX(X$403:X$594,MATCH(1,($A642=$A$403:$A$594)*($B642=$B$403:$B$594)*("Weekend"=$D$403:$D$594),0))*WeekendDays)/DaysPerWeek</f>
        <v>0</v>
      </c>
      <c r="X642" s="11" cm="1">
        <f t="array" ref="X642">(INDEX(Y$403:Y$594,MATCH(1,($A642=$A$403:$A$594)*($B642=$B$403:$B$594)*("Weekday"=$D$403:$D$594),0))*Weekdays+INDEX(Y$403:Y$594,MATCH(1,($A642=$A$403:$A$594)*($B642=$B$403:$B$594)*("Weekend"=$D$403:$D$594),0))*WeekendDays)/DaysPerWeek</f>
        <v>0</v>
      </c>
      <c r="Y642" s="35" t="e">
        <f t="shared" si="422"/>
        <v>#DIV/0!</v>
      </c>
      <c r="Z642" s="32" t="e">
        <f t="shared" si="423"/>
        <v>#DIV/0!</v>
      </c>
    </row>
    <row r="643" spans="1:26" outlineLevel="1" x14ac:dyDescent="0.25">
      <c r="A643" t="s">
        <v>38</v>
      </c>
      <c r="B643" t="s">
        <v>166</v>
      </c>
      <c r="C643" s="7" t="s">
        <v>18</v>
      </c>
      <c r="D643" s="11" cm="1">
        <f t="array" ref="D643">(INDEX(E$403:E$594,MATCH(1,($A643=$A$403:$A$594)*($B643=$B$403:$B$594)*("Weekday"=$D$403:$D$594),0))*Weekdays+INDEX(E$403:E$594,MATCH(1,($A643=$A$403:$A$594)*($B643=$B$403:$B$594)*("Weekend"=$D$403:$D$594),0))*WeekendDays)/DaysPerWeek</f>
        <v>1.2246995241192688E-4</v>
      </c>
      <c r="E643" s="11" cm="1">
        <f t="array" ref="E643">(INDEX(F$403:F$594,MATCH(1,($A643=$A$403:$A$594)*($B643=$B$403:$B$594)*("Weekday"=$D$403:$D$594),0))*Weekdays+INDEX(F$403:F$594,MATCH(1,($A643=$A$403:$A$594)*($B643=$B$403:$B$594)*("Weekend"=$D$403:$D$594),0))*WeekendDays)/DaysPerWeek</f>
        <v>4.8093966292030605E-6</v>
      </c>
      <c r="F643" s="11" cm="1">
        <f t="array" ref="F643">(INDEX(G$403:G$594,MATCH(1,($A643=$A$403:$A$594)*($B643=$B$403:$B$594)*("Weekday"=$D$403:$D$594),0))*Weekdays+INDEX(G$403:G$594,MATCH(1,($A643=$A$403:$A$594)*($B643=$B$403:$B$594)*("Weekend"=$D$403:$D$594),0))*WeekendDays)/DaysPerWeek</f>
        <v>0</v>
      </c>
      <c r="G643" s="11" cm="1">
        <f t="array" ref="G643">(INDEX(H$403:H$594,MATCH(1,($A643=$A$403:$A$594)*($B643=$B$403:$B$594)*("Weekday"=$D$403:$D$594),0))*Weekdays+INDEX(H$403:H$594,MATCH(1,($A643=$A$403:$A$594)*($B643=$B$403:$B$594)*("Weekend"=$D$403:$D$594),0))*WeekendDays)/DaysPerWeek</f>
        <v>2.8910991893086956E-4</v>
      </c>
      <c r="H643" s="11" cm="1">
        <f t="array" ref="H643">(INDEX(I$403:I$594,MATCH(1,($A643=$A$403:$A$594)*($B643=$B$403:$B$594)*("Weekday"=$D$403:$D$594),0))*Weekdays+INDEX(I$403:I$594,MATCH(1,($A643=$A$403:$A$594)*($B643=$B$403:$B$594)*("Weekend"=$D$403:$D$594),0))*WeekendDays)/DaysPerWeek</f>
        <v>1.4779287405354476E-4</v>
      </c>
      <c r="I643" s="11" cm="1">
        <f t="array" ref="I643">(INDEX(J$403:J$594,MATCH(1,($A643=$A$403:$A$594)*($B643=$B$403:$B$594)*("Weekday"=$D$403:$D$594),0))*Weekdays+INDEX(J$403:J$594,MATCH(1,($A643=$A$403:$A$594)*($B643=$B$403:$B$594)*("Weekend"=$D$403:$D$594),0))*WeekendDays)/DaysPerWeek</f>
        <v>1.4779287405354476E-4</v>
      </c>
      <c r="J643" s="11" cm="1">
        <f t="array" ref="J643">(INDEX(K$403:K$594,MATCH(1,($A643=$A$403:$A$594)*($B643=$B$403:$B$594)*("Weekday"=$D$403:$D$594),0))*Weekdays+INDEX(K$403:K$594,MATCH(1,($A643=$A$403:$A$594)*($B643=$B$403:$B$594)*("Weekend"=$D$403:$D$594),0))*WeekendDays)/DaysPerWeek</f>
        <v>9.2851562467261144E-5</v>
      </c>
      <c r="K643" s="11" cm="1">
        <f t="array" ref="K643">(INDEX(L$403:L$594,MATCH(1,($A643=$A$403:$A$594)*($B643=$B$403:$B$594)*("Weekday"=$D$403:$D$594),0))*Weekdays+INDEX(L$403:L$594,MATCH(1,($A643=$A$403:$A$594)*($B643=$B$403:$B$594)*("Weekend"=$D$403:$D$594),0))*WeekendDays)/DaysPerWeek</f>
        <v>6.1323697981320328E-6</v>
      </c>
      <c r="L643" s="11" cm="1">
        <f t="array" ref="L643">(INDEX(M$403:M$594,MATCH(1,($A643=$A$403:$A$594)*($B643=$B$403:$B$594)*("Weekday"=$D$403:$D$594),0))*Weekdays+INDEX(M$403:M$594,MATCH(1,($A643=$A$403:$A$594)*($B643=$B$403:$B$594)*("Weekend"=$D$403:$D$594),0))*WeekendDays)/DaysPerWeek</f>
        <v>0</v>
      </c>
      <c r="M643" s="11" cm="1">
        <f t="array" ref="M643">(INDEX(N$403:N$594,MATCH(1,($A643=$A$403:$A$594)*($B643=$B$403:$B$594)*("Weekday"=$D$403:$D$594),0))*Weekdays+INDEX(N$403:N$594,MATCH(1,($A643=$A$403:$A$594)*($B643=$B$403:$B$594)*("Weekend"=$D$403:$D$594),0))*WeekendDays)/DaysPerWeek</f>
        <v>1.1736110511983374E-4</v>
      </c>
      <c r="N643" s="11" cm="1">
        <f t="array" ref="N643">(INDEX(O$403:O$594,MATCH(1,($A643=$A$403:$A$594)*($B643=$B$403:$B$594)*("Weekday"=$D$403:$D$594),0))*Weekdays+INDEX(O$403:O$594,MATCH(1,($A643=$A$403:$A$594)*($B643=$B$403:$B$594)*("Weekend"=$D$403:$D$594),0))*WeekendDays)/DaysPerWeek</f>
        <v>1.1736110511983374E-4</v>
      </c>
      <c r="O643" s="11" cm="1">
        <f t="array" ref="O643">(INDEX(P$403:P$594,MATCH(1,($A643=$A$403:$A$594)*($B643=$B$403:$B$594)*("Weekday"=$D$403:$D$594),0))*Weekdays+INDEX(P$403:P$594,MATCH(1,($A643=$A$403:$A$594)*($B643=$B$403:$B$594)*("Weekend"=$D$403:$D$594),0))*WeekendDays)/DaysPerWeek</f>
        <v>0</v>
      </c>
      <c r="P643" s="11" cm="1">
        <f t="array" ref="P643">(INDEX(Q$403:Q$594,MATCH(1,($A643=$A$403:$A$594)*($B643=$B$403:$B$594)*("Weekday"=$D$403:$D$594),0))*Weekdays+INDEX(Q$403:Q$594,MATCH(1,($A643=$A$403:$A$594)*($B643=$B$403:$B$594)*("Weekend"=$D$403:$D$594),0))*WeekendDays)/DaysPerWeek</f>
        <v>1.3782541288200547E-4</v>
      </c>
      <c r="Q643" s="11" cm="1">
        <f t="array" ref="Q643">(INDEX(R$403:R$594,MATCH(1,($A643=$A$403:$A$594)*($B643=$B$403:$B$594)*("Weekday"=$D$403:$D$594),0))*Weekdays+INDEX(R$403:R$594,MATCH(1,($A643=$A$403:$A$594)*($B643=$B$403:$B$594)*("Weekend"=$D$403:$D$594),0))*WeekendDays)/DaysPerWeek</f>
        <v>1.378254128820055E-4</v>
      </c>
      <c r="R643" s="11" cm="1">
        <f t="array" ref="R643">(INDEX(S$403:S$594,MATCH(1,($A643=$A$403:$A$594)*($B643=$B$403:$B$594)*("Weekday"=$D$403:$D$594),0))*Weekdays+INDEX(S$403:S$594,MATCH(1,($A643=$A$403:$A$594)*($B643=$B$403:$B$594)*("Weekend"=$D$403:$D$594),0))*WeekendDays)/DaysPerWeek</f>
        <v>0</v>
      </c>
      <c r="S643" s="11" cm="1">
        <f t="array" ref="S643">(INDEX(T$403:T$594,MATCH(1,($A643=$A$403:$A$594)*($B643=$B$403:$B$594)*("Weekday"=$D$403:$D$594),0))*Weekdays+INDEX(T$403:T$594,MATCH(1,($A643=$A$403:$A$594)*($B643=$B$403:$B$594)*("Weekend"=$D$403:$D$594),0))*WeekendDays)/DaysPerWeek</f>
        <v>1.3782541288200552E-4</v>
      </c>
      <c r="T643" s="11" cm="1">
        <f t="array" ref="T643">(INDEX(U$403:U$594,MATCH(1,($A643=$A$403:$A$594)*($B643=$B$403:$B$594)*("Weekday"=$D$403:$D$594),0))*Weekdays+INDEX(U$403:U$594,MATCH(1,($A643=$A$403:$A$594)*($B643=$B$403:$B$594)*("Weekend"=$D$403:$D$594),0))*WeekendDays)/DaysPerWeek</f>
        <v>0</v>
      </c>
      <c r="U643" s="11" t="e" cm="1">
        <f t="array" ref="U643">(INDEX(V$403:V$594,MATCH(1,($A643=$A$403:$A$594)*($B643=$B$403:$B$594)*("Weekday"=$D$403:$D$594),0))*Weekdays+INDEX(V$403:V$594,MATCH(1,($A643=$A$403:$A$594)*($B643=$B$403:$B$594)*("Weekend"=$D$403:$D$594),0))*WeekendDays)/DaysPerWeek</f>
        <v>#DIV/0!</v>
      </c>
      <c r="V643" s="11" cm="1">
        <f t="array" ref="V643">(INDEX(W$403:W$594,MATCH(1,($A643=$A$403:$A$594)*($B643=$B$403:$B$594)*("Weekday"=$D$403:$D$594),0))*Weekdays+INDEX(W$403:W$594,MATCH(1,($A643=$A$403:$A$594)*($B643=$B$403:$B$594)*("Weekend"=$D$403:$D$594),0))*WeekendDays)/DaysPerWeek</f>
        <v>1.1457345841599526E-4</v>
      </c>
      <c r="W643" s="11" cm="1">
        <f t="array" ref="W643">(INDEX(X$403:X$594,MATCH(1,($A643=$A$403:$A$594)*($B643=$B$403:$B$594)*("Weekday"=$D$403:$D$594),0))*Weekdays+INDEX(X$403:X$594,MATCH(1,($A643=$A$403:$A$594)*($B643=$B$403:$B$594)*("Weekend"=$D$403:$D$594),0))*WeekendDays)/DaysPerWeek</f>
        <v>0</v>
      </c>
      <c r="X643" s="11" cm="1">
        <f t="array" ref="X643">(INDEX(Y$403:Y$594,MATCH(1,($A643=$A$403:$A$594)*($B643=$B$403:$B$594)*("Weekday"=$D$403:$D$594),0))*Weekdays+INDEX(Y$403:Y$594,MATCH(1,($A643=$A$403:$A$594)*($B643=$B$403:$B$594)*("Weekend"=$D$403:$D$594),0))*WeekendDays)/DaysPerWeek</f>
        <v>0</v>
      </c>
      <c r="Y643" s="25" t="e">
        <f t="shared" si="422"/>
        <v>#DIV/0!</v>
      </c>
      <c r="Z643" s="32" t="e">
        <f t="shared" si="423"/>
        <v>#DIV/0!</v>
      </c>
    </row>
    <row r="644" spans="1:26" outlineLevel="1" x14ac:dyDescent="0.25">
      <c r="A644" t="s">
        <v>38</v>
      </c>
      <c r="B644" t="s">
        <v>167</v>
      </c>
      <c r="C644" s="7" t="s">
        <v>19</v>
      </c>
      <c r="D644" s="11" cm="1">
        <f t="array" ref="D644">(INDEX(E$403:E$594,MATCH(1,($A644=$A$403:$A$594)*($B644=$B$403:$B$594)*("Weekday"=$D$403:$D$594),0))*Weekdays+INDEX(E$403:E$594,MATCH(1,($A644=$A$403:$A$594)*($B644=$B$403:$B$594)*("Weekend"=$D$403:$D$594),0))*WeekendDays)/DaysPerWeek</f>
        <v>1.271070797225563E-4</v>
      </c>
      <c r="E644" s="11" cm="1">
        <f t="array" ref="E644">(INDEX(F$403:F$594,MATCH(1,($A644=$A$403:$A$594)*($B644=$B$403:$B$594)*("Weekday"=$D$403:$D$594),0))*Weekdays+INDEX(F$403:F$594,MATCH(1,($A644=$A$403:$A$594)*($B644=$B$403:$B$594)*("Weekend"=$D$403:$D$594),0))*WeekendDays)/DaysPerWeek</f>
        <v>3.9894784649906215E-7</v>
      </c>
      <c r="F644" s="11" cm="1">
        <f t="array" ref="F644">(INDEX(G$403:G$594,MATCH(1,($A644=$A$403:$A$594)*($B644=$B$403:$B$594)*("Weekday"=$D$403:$D$594),0))*Weekdays+INDEX(G$403:G$594,MATCH(1,($A644=$A$403:$A$594)*($B644=$B$403:$B$594)*("Weekend"=$D$403:$D$594),0))*WeekendDays)/DaysPerWeek</f>
        <v>0</v>
      </c>
      <c r="G644" s="11" cm="1">
        <f t="array" ref="G644">(INDEX(H$403:H$594,MATCH(1,($A644=$A$403:$A$594)*($B644=$B$403:$B$594)*("Weekday"=$D$403:$D$594),0))*Weekdays+INDEX(H$403:H$594,MATCH(1,($A644=$A$403:$A$594)*($B644=$B$403:$B$594)*("Weekend"=$D$403:$D$594),0))*WeekendDays)/DaysPerWeek</f>
        <v>2.9133984503137766E-4</v>
      </c>
      <c r="H644" s="11" cm="1">
        <f t="array" ref="H644">(INDEX(I$403:I$594,MATCH(1,($A644=$A$403:$A$594)*($B644=$B$403:$B$594)*("Weekday"=$D$403:$D$594),0))*Weekdays+INDEX(I$403:I$594,MATCH(1,($A644=$A$403:$A$594)*($B644=$B$403:$B$594)*("Weekend"=$D$403:$D$594),0))*WeekendDays)/DaysPerWeek</f>
        <v>1.3505518093905267E-4</v>
      </c>
      <c r="I644" s="11" cm="1">
        <f t="array" ref="I644">(INDEX(J$403:J$594,MATCH(1,($A644=$A$403:$A$594)*($B644=$B$403:$B$594)*("Weekday"=$D$403:$D$594),0))*Weekdays+INDEX(J$403:J$594,MATCH(1,($A644=$A$403:$A$594)*($B644=$B$403:$B$594)*("Weekend"=$D$403:$D$594),0))*WeekendDays)/DaysPerWeek</f>
        <v>1.3505518093905267E-4</v>
      </c>
      <c r="J644" s="11" cm="1">
        <f t="array" ref="J644">(INDEX(K$403:K$594,MATCH(1,($A644=$A$403:$A$594)*($B644=$B$403:$B$594)*("Weekday"=$D$403:$D$594),0))*Weekdays+INDEX(K$403:K$594,MATCH(1,($A644=$A$403:$A$594)*($B644=$B$403:$B$594)*("Weekend"=$D$403:$D$594),0))*WeekendDays)/DaysPerWeek</f>
        <v>1.1097101962452064E-4</v>
      </c>
      <c r="K644" s="11" cm="1">
        <f t="array" ref="K644">(INDEX(L$403:L$594,MATCH(1,($A644=$A$403:$A$594)*($B644=$B$403:$B$594)*("Weekday"=$D$403:$D$594),0))*Weekdays+INDEX(L$403:L$594,MATCH(1,($A644=$A$403:$A$594)*($B644=$B$403:$B$594)*("Weekend"=$D$403:$D$594),0))*WeekendDays)/DaysPerWeek</f>
        <v>5.4247496021028773E-6</v>
      </c>
      <c r="L644" s="11" cm="1">
        <f t="array" ref="L644">(INDEX(M$403:M$594,MATCH(1,($A644=$A$403:$A$594)*($B644=$B$403:$B$594)*("Weekday"=$D$403:$D$594),0))*Weekdays+INDEX(M$403:M$594,MATCH(1,($A644=$A$403:$A$594)*($B644=$B$403:$B$594)*("Weekend"=$D$403:$D$594),0))*WeekendDays)/DaysPerWeek</f>
        <v>0</v>
      </c>
      <c r="M644" s="11" cm="1">
        <f t="array" ref="M644">(INDEX(N$403:N$594,MATCH(1,($A644=$A$403:$A$594)*($B644=$B$403:$B$594)*("Weekday"=$D$403:$D$594),0))*Weekdays+INDEX(N$403:N$594,MATCH(1,($A644=$A$403:$A$594)*($B644=$B$403:$B$594)*("Weekend"=$D$403:$D$594),0))*WeekendDays)/DaysPerWeek</f>
        <v>1.0057411078200854E-4</v>
      </c>
      <c r="N644" s="11" cm="1">
        <f t="array" ref="N644">(INDEX(O$403:O$594,MATCH(1,($A644=$A$403:$A$594)*($B644=$B$403:$B$594)*("Weekday"=$D$403:$D$594),0))*Weekdays+INDEX(O$403:O$594,MATCH(1,($A644=$A$403:$A$594)*($B644=$B$403:$B$594)*("Weekend"=$D$403:$D$594),0))*WeekendDays)/DaysPerWeek</f>
        <v>1.0057411078200854E-4</v>
      </c>
      <c r="O644" s="11" cm="1">
        <f t="array" ref="O644">(INDEX(P$403:P$594,MATCH(1,($A644=$A$403:$A$594)*($B644=$B$403:$B$594)*("Weekday"=$D$403:$D$594),0))*Weekdays+INDEX(P$403:P$594,MATCH(1,($A644=$A$403:$A$594)*($B644=$B$403:$B$594)*("Weekend"=$D$403:$D$594),0))*WeekendDays)/DaysPerWeek</f>
        <v>0</v>
      </c>
      <c r="P644" s="11" cm="1">
        <f t="array" ref="P644">(INDEX(Q$403:Q$594,MATCH(1,($A644=$A$403:$A$594)*($B644=$B$403:$B$594)*("Weekday"=$D$403:$D$594),0))*Weekdays+INDEX(Q$403:Q$594,MATCH(1,($A644=$A$403:$A$594)*($B644=$B$403:$B$594)*("Weekend"=$D$403:$D$594),0))*WeekendDays)/DaysPerWeek</f>
        <v>1.284933768257362E-4</v>
      </c>
      <c r="Q644" s="11" cm="1">
        <f t="array" ref="Q644">(INDEX(R$403:R$594,MATCH(1,($A644=$A$403:$A$594)*($B644=$B$403:$B$594)*("Weekday"=$D$403:$D$594),0))*Weekdays+INDEX(R$403:R$594,MATCH(1,($A644=$A$403:$A$594)*($B644=$B$403:$B$594)*("Weekend"=$D$403:$D$594),0))*WeekendDays)/DaysPerWeek</f>
        <v>1.2849337682573626E-4</v>
      </c>
      <c r="R644" s="11" cm="1">
        <f t="array" ref="R644">(INDEX(S$403:S$594,MATCH(1,($A644=$A$403:$A$594)*($B644=$B$403:$B$594)*("Weekday"=$D$403:$D$594),0))*Weekdays+INDEX(S$403:S$594,MATCH(1,($A644=$A$403:$A$594)*($B644=$B$403:$B$594)*("Weekend"=$D$403:$D$594),0))*WeekendDays)/DaysPerWeek</f>
        <v>0</v>
      </c>
      <c r="S644" s="11" cm="1">
        <f t="array" ref="S644">(INDEX(T$403:T$594,MATCH(1,($A644=$A$403:$A$594)*($B644=$B$403:$B$594)*("Weekday"=$D$403:$D$594),0))*Weekdays+INDEX(T$403:T$594,MATCH(1,($A644=$A$403:$A$594)*($B644=$B$403:$B$594)*("Weekend"=$D$403:$D$594),0))*WeekendDays)/DaysPerWeek</f>
        <v>1.2849337682573628E-4</v>
      </c>
      <c r="T644" s="11" cm="1">
        <f t="array" ref="T644">(INDEX(U$403:U$594,MATCH(1,($A644=$A$403:$A$594)*($B644=$B$403:$B$594)*("Weekday"=$D$403:$D$594),0))*Weekdays+INDEX(U$403:U$594,MATCH(1,($A644=$A$403:$A$594)*($B644=$B$403:$B$594)*("Weekend"=$D$403:$D$594),0))*WeekendDays)/DaysPerWeek</f>
        <v>0</v>
      </c>
      <c r="U644" s="11" t="e" cm="1">
        <f t="array" ref="U644">(INDEX(V$403:V$594,MATCH(1,($A644=$A$403:$A$594)*($B644=$B$403:$B$594)*("Weekday"=$D$403:$D$594),0))*Weekdays+INDEX(V$403:V$594,MATCH(1,($A644=$A$403:$A$594)*($B644=$B$403:$B$594)*("Weekend"=$D$403:$D$594),0))*WeekendDays)/DaysPerWeek</f>
        <v>#DIV/0!</v>
      </c>
      <c r="V644" s="11" cm="1">
        <f t="array" ref="V644">(INDEX(W$403:W$594,MATCH(1,($A644=$A$403:$A$594)*($B644=$B$403:$B$594)*("Weekday"=$D$403:$D$594),0))*Weekdays+INDEX(W$403:W$594,MATCH(1,($A644=$A$403:$A$594)*($B644=$B$403:$B$594)*("Weekend"=$D$403:$D$594),0))*WeekendDays)/DaysPerWeek</f>
        <v>1.137845919809999E-4</v>
      </c>
      <c r="W644" s="11" cm="1">
        <f t="array" ref="W644">(INDEX(X$403:X$594,MATCH(1,($A644=$A$403:$A$594)*($B644=$B$403:$B$594)*("Weekday"=$D$403:$D$594),0))*Weekdays+INDEX(X$403:X$594,MATCH(1,($A644=$A$403:$A$594)*($B644=$B$403:$B$594)*("Weekend"=$D$403:$D$594),0))*WeekendDays)/DaysPerWeek</f>
        <v>0</v>
      </c>
      <c r="X644" s="11" cm="1">
        <f t="array" ref="X644">(INDEX(Y$403:Y$594,MATCH(1,($A644=$A$403:$A$594)*($B644=$B$403:$B$594)*("Weekday"=$D$403:$D$594),0))*Weekdays+INDEX(Y$403:Y$594,MATCH(1,($A644=$A$403:$A$594)*($B644=$B$403:$B$594)*("Weekend"=$D$403:$D$594),0))*WeekendDays)/DaysPerWeek</f>
        <v>0</v>
      </c>
      <c r="Y644" s="25" t="e">
        <f t="shared" si="422"/>
        <v>#DIV/0!</v>
      </c>
      <c r="Z644" s="32" t="e">
        <f t="shared" si="423"/>
        <v>#DIV/0!</v>
      </c>
    </row>
    <row r="645" spans="1:26" outlineLevel="1" x14ac:dyDescent="0.25">
      <c r="A645" t="s">
        <v>38</v>
      </c>
      <c r="B645" t="s">
        <v>168</v>
      </c>
      <c r="C645" s="7" t="s">
        <v>20</v>
      </c>
      <c r="D645" s="11" cm="1">
        <f t="array" ref="D645">(INDEX(E$403:E$594,MATCH(1,($A645=$A$403:$A$594)*($B645=$B$403:$B$594)*("Weekday"=$D$403:$D$594),0))*Weekdays+INDEX(E$403:E$594,MATCH(1,($A645=$A$403:$A$594)*($B645=$B$403:$B$594)*("Weekend"=$D$403:$D$594),0))*WeekendDays)/DaysPerWeek</f>
        <v>1.1674217450152922E-4</v>
      </c>
      <c r="E645" s="11" cm="1">
        <f t="array" ref="E645">(INDEX(F$403:F$594,MATCH(1,($A645=$A$403:$A$594)*($B645=$B$403:$B$594)*("Weekday"=$D$403:$D$594),0))*Weekdays+INDEX(F$403:F$594,MATCH(1,($A645=$A$403:$A$594)*($B645=$B$403:$B$594)*("Weekend"=$D$403:$D$594),0))*WeekendDays)/DaysPerWeek</f>
        <v>1.603299765142674E-7</v>
      </c>
      <c r="F645" s="11" cm="1">
        <f t="array" ref="F645">(INDEX(G$403:G$594,MATCH(1,($A645=$A$403:$A$594)*($B645=$B$403:$B$594)*("Weekday"=$D$403:$D$594),0))*Weekdays+INDEX(G$403:G$594,MATCH(1,($A645=$A$403:$A$594)*($B645=$B$403:$B$594)*("Weekend"=$D$403:$D$594),0))*WeekendDays)/DaysPerWeek</f>
        <v>0</v>
      </c>
      <c r="G645" s="11" cm="1">
        <f t="array" ref="G645">(INDEX(H$403:H$594,MATCH(1,($A645=$A$403:$A$594)*($B645=$B$403:$B$594)*("Weekday"=$D$403:$D$594),0))*Weekdays+INDEX(H$403:H$594,MATCH(1,($A645=$A$403:$A$594)*($B645=$B$403:$B$594)*("Weekend"=$D$403:$D$594),0))*WeekendDays)/DaysPerWeek</f>
        <v>2.3949406319456534E-4</v>
      </c>
      <c r="H645" s="11" cm="1">
        <f t="array" ref="H645">(INDEX(I$403:I$594,MATCH(1,($A645=$A$403:$A$594)*($B645=$B$403:$B$594)*("Weekday"=$D$403:$D$594),0))*Weekdays+INDEX(I$403:I$594,MATCH(1,($A645=$A$403:$A$594)*($B645=$B$403:$B$594)*("Weekend"=$D$403:$D$594),0))*WeekendDays)/DaysPerWeek</f>
        <v>1.2196613799322511E-4</v>
      </c>
      <c r="I645" s="11" cm="1">
        <f t="array" ref="I645">(INDEX(J$403:J$594,MATCH(1,($A645=$A$403:$A$594)*($B645=$B$403:$B$594)*("Weekday"=$D$403:$D$594),0))*Weekdays+INDEX(J$403:J$594,MATCH(1,($A645=$A$403:$A$594)*($B645=$B$403:$B$594)*("Weekend"=$D$403:$D$594),0))*WeekendDays)/DaysPerWeek</f>
        <v>1.2196613799322511E-4</v>
      </c>
      <c r="J645" s="11" cm="1">
        <f t="array" ref="J645">(INDEX(K$403:K$594,MATCH(1,($A645=$A$403:$A$594)*($B645=$B$403:$B$594)*("Weekday"=$D$403:$D$594),0))*Weekdays+INDEX(K$403:K$594,MATCH(1,($A645=$A$403:$A$594)*($B645=$B$403:$B$594)*("Weekend"=$D$403:$D$594),0))*WeekendDays)/DaysPerWeek</f>
        <v>9.822953124389627E-5</v>
      </c>
      <c r="K645" s="11" cm="1">
        <f t="array" ref="K645">(INDEX(L$403:L$594,MATCH(1,($A645=$A$403:$A$594)*($B645=$B$403:$B$594)*("Weekday"=$D$403:$D$594),0))*Weekdays+INDEX(L$403:L$594,MATCH(1,($A645=$A$403:$A$594)*($B645=$B$403:$B$594)*("Weekend"=$D$403:$D$594),0))*WeekendDays)/DaysPerWeek</f>
        <v>5.1244002639070836E-6</v>
      </c>
      <c r="L645" s="11" cm="1">
        <f t="array" ref="L645">(INDEX(M$403:M$594,MATCH(1,($A645=$A$403:$A$594)*($B645=$B$403:$B$594)*("Weekday"=$D$403:$D$594),0))*Weekdays+INDEX(M$403:M$594,MATCH(1,($A645=$A$403:$A$594)*($B645=$B$403:$B$594)*("Weekend"=$D$403:$D$594),0))*WeekendDays)/DaysPerWeek</f>
        <v>0</v>
      </c>
      <c r="M645" s="11" cm="1">
        <f t="array" ref="M645">(INDEX(N$403:N$594,MATCH(1,($A645=$A$403:$A$594)*($B645=$B$403:$B$594)*("Weekday"=$D$403:$D$594),0))*Weekdays+INDEX(N$403:N$594,MATCH(1,($A645=$A$403:$A$594)*($B645=$B$403:$B$594)*("Weekend"=$D$403:$D$594),0))*WeekendDays)/DaysPerWeek</f>
        <v>8.454110149341006E-5</v>
      </c>
      <c r="N645" s="11" cm="1">
        <f t="array" ref="N645">(INDEX(O$403:O$594,MATCH(1,($A645=$A$403:$A$594)*($B645=$B$403:$B$594)*("Weekday"=$D$403:$D$594),0))*Weekdays+INDEX(O$403:O$594,MATCH(1,($A645=$A$403:$A$594)*($B645=$B$403:$B$594)*("Weekend"=$D$403:$D$594),0))*WeekendDays)/DaysPerWeek</f>
        <v>8.454110149341006E-5</v>
      </c>
      <c r="O645" s="11" cm="1">
        <f t="array" ref="O645">(INDEX(P$403:P$594,MATCH(1,($A645=$A$403:$A$594)*($B645=$B$403:$B$594)*("Weekday"=$D$403:$D$594),0))*Weekdays+INDEX(P$403:P$594,MATCH(1,($A645=$A$403:$A$594)*($B645=$B$403:$B$594)*("Weekend"=$D$403:$D$594),0))*WeekendDays)/DaysPerWeek</f>
        <v>0</v>
      </c>
      <c r="P645" s="11" cm="1">
        <f t="array" ref="P645">(INDEX(Q$403:Q$594,MATCH(1,($A645=$A$403:$A$594)*($B645=$B$403:$B$594)*("Weekday"=$D$403:$D$594),0))*Weekdays+INDEX(Q$403:Q$594,MATCH(1,($A645=$A$403:$A$594)*($B645=$B$403:$B$594)*("Weekend"=$D$403:$D$594),0))*WeekendDays)/DaysPerWeek</f>
        <v>1.2122917085059871E-4</v>
      </c>
      <c r="Q645" s="11" cm="1">
        <f t="array" ref="Q645">(INDEX(R$403:R$594,MATCH(1,($A645=$A$403:$A$594)*($B645=$B$403:$B$594)*("Weekday"=$D$403:$D$594),0))*Weekdays+INDEX(R$403:R$594,MATCH(1,($A645=$A$403:$A$594)*($B645=$B$403:$B$594)*("Weekend"=$D$403:$D$594),0))*WeekendDays)/DaysPerWeek</f>
        <v>1.2122917085059875E-4</v>
      </c>
      <c r="R645" s="11" cm="1">
        <f t="array" ref="R645">(INDEX(S$403:S$594,MATCH(1,($A645=$A$403:$A$594)*($B645=$B$403:$B$594)*("Weekday"=$D$403:$D$594),0))*Weekdays+INDEX(S$403:S$594,MATCH(1,($A645=$A$403:$A$594)*($B645=$B$403:$B$594)*("Weekend"=$D$403:$D$594),0))*WeekendDays)/DaysPerWeek</f>
        <v>0</v>
      </c>
      <c r="S645" s="11" cm="1">
        <f t="array" ref="S645">(INDEX(T$403:T$594,MATCH(1,($A645=$A$403:$A$594)*($B645=$B$403:$B$594)*("Weekday"=$D$403:$D$594),0))*Weekdays+INDEX(T$403:T$594,MATCH(1,($A645=$A$403:$A$594)*($B645=$B$403:$B$594)*("Weekend"=$D$403:$D$594),0))*WeekendDays)/DaysPerWeek</f>
        <v>1.2122917085059875E-4</v>
      </c>
      <c r="T645" s="11" cm="1">
        <f t="array" ref="T645">(INDEX(U$403:U$594,MATCH(1,($A645=$A$403:$A$594)*($B645=$B$403:$B$594)*("Weekday"=$D$403:$D$594),0))*Weekdays+INDEX(U$403:U$594,MATCH(1,($A645=$A$403:$A$594)*($B645=$B$403:$B$594)*("Weekend"=$D$403:$D$594),0))*WeekendDays)/DaysPerWeek</f>
        <v>0</v>
      </c>
      <c r="U645" s="11" t="e" cm="1">
        <f t="array" ref="U645">(INDEX(V$403:V$594,MATCH(1,($A645=$A$403:$A$594)*($B645=$B$403:$B$594)*("Weekday"=$D$403:$D$594),0))*Weekdays+INDEX(V$403:V$594,MATCH(1,($A645=$A$403:$A$594)*($B645=$B$403:$B$594)*("Weekend"=$D$403:$D$594),0))*WeekendDays)/DaysPerWeek</f>
        <v>#DIV/0!</v>
      </c>
      <c r="V645" s="11" cm="1">
        <f t="array" ref="V645">(INDEX(W$403:W$594,MATCH(1,($A645=$A$403:$A$594)*($B645=$B$403:$B$594)*("Weekday"=$D$403:$D$594),0))*Weekdays+INDEX(W$403:W$594,MATCH(1,($A645=$A$403:$A$594)*($B645=$B$403:$B$594)*("Weekend"=$D$403:$D$594),0))*WeekendDays)/DaysPerWeek</f>
        <v>1.1284546527267207E-4</v>
      </c>
      <c r="W645" s="11" cm="1">
        <f t="array" ref="W645">(INDEX(X$403:X$594,MATCH(1,($A645=$A$403:$A$594)*($B645=$B$403:$B$594)*("Weekday"=$D$403:$D$594),0))*Weekdays+INDEX(X$403:X$594,MATCH(1,($A645=$A$403:$A$594)*($B645=$B$403:$B$594)*("Weekend"=$D$403:$D$594),0))*WeekendDays)/DaysPerWeek</f>
        <v>0</v>
      </c>
      <c r="X645" s="11" cm="1">
        <f t="array" ref="X645">(INDEX(Y$403:Y$594,MATCH(1,($A645=$A$403:$A$594)*($B645=$B$403:$B$594)*("Weekday"=$D$403:$D$594),0))*Weekdays+INDEX(Y$403:Y$594,MATCH(1,($A645=$A$403:$A$594)*($B645=$B$403:$B$594)*("Weekend"=$D$403:$D$594),0))*WeekendDays)/DaysPerWeek</f>
        <v>0</v>
      </c>
      <c r="Y645" s="25" t="e">
        <f t="shared" si="422"/>
        <v>#DIV/0!</v>
      </c>
      <c r="Z645" s="32" t="e">
        <f t="shared" si="423"/>
        <v>#DIV/0!</v>
      </c>
    </row>
    <row r="646" spans="1:26" outlineLevel="1" x14ac:dyDescent="0.25">
      <c r="A646" t="s">
        <v>38</v>
      </c>
      <c r="B646" t="s">
        <v>169</v>
      </c>
      <c r="C646" s="7" t="s">
        <v>21</v>
      </c>
      <c r="D646" s="11" cm="1">
        <f t="array" ref="D646">(INDEX(E$403:E$594,MATCH(1,($A646=$A$403:$A$594)*($B646=$B$403:$B$594)*("Weekday"=$D$403:$D$594),0))*Weekdays+INDEX(E$403:E$594,MATCH(1,($A646=$A$403:$A$594)*($B646=$B$403:$B$594)*("Weekend"=$D$403:$D$594),0))*WeekendDays)/DaysPerWeek</f>
        <v>9.5505338791468473E-5</v>
      </c>
      <c r="E646" s="11" cm="1">
        <f t="array" ref="E646">(INDEX(F$403:F$594,MATCH(1,($A646=$A$403:$A$594)*($B646=$B$403:$B$594)*("Weekday"=$D$403:$D$594),0))*Weekdays+INDEX(F$403:F$594,MATCH(1,($A646=$A$403:$A$594)*($B646=$B$403:$B$594)*("Weekend"=$D$403:$D$594),0))*WeekendDays)/DaysPerWeek</f>
        <v>1.6691047806933443E-7</v>
      </c>
      <c r="F646" s="11" cm="1">
        <f t="array" ref="F646">(INDEX(G$403:G$594,MATCH(1,($A646=$A$403:$A$594)*($B646=$B$403:$B$594)*("Weekday"=$D$403:$D$594),0))*Weekdays+INDEX(G$403:G$594,MATCH(1,($A646=$A$403:$A$594)*($B646=$B$403:$B$594)*("Weekend"=$D$403:$D$594),0))*WeekendDays)/DaysPerWeek</f>
        <v>0</v>
      </c>
      <c r="G646" s="11" cm="1">
        <f t="array" ref="G646">(INDEX(H$403:H$594,MATCH(1,($A646=$A$403:$A$594)*($B646=$B$403:$B$594)*("Weekday"=$D$403:$D$594),0))*Weekdays+INDEX(H$403:H$594,MATCH(1,($A646=$A$403:$A$594)*($B646=$B$403:$B$594)*("Weekend"=$D$403:$D$594),0))*WeekendDays)/DaysPerWeek</f>
        <v>1.4661764110840476E-4</v>
      </c>
      <c r="H646" s="11" cm="1">
        <f t="array" ref="H646">(INDEX(I$403:I$594,MATCH(1,($A646=$A$403:$A$594)*($B646=$B$403:$B$594)*("Weekday"=$D$403:$D$594),0))*Weekdays+INDEX(I$403:I$594,MATCH(1,($A646=$A$403:$A$594)*($B646=$B$403:$B$594)*("Weekend"=$D$403:$D$594),0))*WeekendDays)/DaysPerWeek</f>
        <v>1.0685347540966037E-4</v>
      </c>
      <c r="I646" s="11" cm="1">
        <f t="array" ref="I646">(INDEX(J$403:J$594,MATCH(1,($A646=$A$403:$A$594)*($B646=$B$403:$B$594)*("Weekday"=$D$403:$D$594),0))*Weekdays+INDEX(J$403:J$594,MATCH(1,($A646=$A$403:$A$594)*($B646=$B$403:$B$594)*("Weekend"=$D$403:$D$594),0))*WeekendDays)/DaysPerWeek</f>
        <v>1.0685347540966037E-4</v>
      </c>
      <c r="J646" s="11" cm="1">
        <f t="array" ref="J646">(INDEX(K$403:K$594,MATCH(1,($A646=$A$403:$A$594)*($B646=$B$403:$B$594)*("Weekday"=$D$403:$D$594),0))*Weekdays+INDEX(K$403:K$594,MATCH(1,($A646=$A$403:$A$594)*($B646=$B$403:$B$594)*("Weekend"=$D$403:$D$594),0))*WeekendDays)/DaysPerWeek</f>
        <v>8.6699914720639177E-5</v>
      </c>
      <c r="K646" s="11" cm="1">
        <f t="array" ref="K646">(INDEX(L$403:L$594,MATCH(1,($A646=$A$403:$A$594)*($B646=$B$403:$B$594)*("Weekday"=$D$403:$D$594),0))*Weekdays+INDEX(L$403:L$594,MATCH(1,($A646=$A$403:$A$594)*($B646=$B$403:$B$594)*("Weekend"=$D$403:$D$594),0))*WeekendDays)/DaysPerWeek</f>
        <v>4.7995953785414698E-6</v>
      </c>
      <c r="L646" s="11" cm="1">
        <f t="array" ref="L646">(INDEX(M$403:M$594,MATCH(1,($A646=$A$403:$A$594)*($B646=$B$403:$B$594)*("Weekday"=$D$403:$D$594),0))*Weekdays+INDEX(M$403:M$594,MATCH(1,($A646=$A$403:$A$594)*($B646=$B$403:$B$594)*("Weekend"=$D$403:$D$594),0))*WeekendDays)/DaysPerWeek</f>
        <v>0</v>
      </c>
      <c r="M646" s="11" cm="1">
        <f t="array" ref="M646">(INDEX(N$403:N$594,MATCH(1,($A646=$A$403:$A$594)*($B646=$B$403:$B$594)*("Weekday"=$D$403:$D$594),0))*Weekdays+INDEX(N$403:N$594,MATCH(1,($A646=$A$403:$A$594)*($B646=$B$403:$B$594)*("Weekend"=$D$403:$D$594),0))*WeekendDays)/DaysPerWeek</f>
        <v>7.3624497734118717E-5</v>
      </c>
      <c r="N646" s="11" cm="1">
        <f t="array" ref="N646">(INDEX(O$403:O$594,MATCH(1,($A646=$A$403:$A$594)*($B646=$B$403:$B$594)*("Weekday"=$D$403:$D$594),0))*Weekdays+INDEX(O$403:O$594,MATCH(1,($A646=$A$403:$A$594)*($B646=$B$403:$B$594)*("Weekend"=$D$403:$D$594),0))*WeekendDays)/DaysPerWeek</f>
        <v>7.3624497734118717E-5</v>
      </c>
      <c r="O646" s="11" cm="1">
        <f t="array" ref="O646">(INDEX(P$403:P$594,MATCH(1,($A646=$A$403:$A$594)*($B646=$B$403:$B$594)*("Weekday"=$D$403:$D$594),0))*Weekdays+INDEX(P$403:P$594,MATCH(1,($A646=$A$403:$A$594)*($B646=$B$403:$B$594)*("Weekend"=$D$403:$D$594),0))*WeekendDays)/DaysPerWeek</f>
        <v>0</v>
      </c>
      <c r="P646" s="11" cm="1">
        <f t="array" ref="P646">(INDEX(Q$403:Q$594,MATCH(1,($A646=$A$403:$A$594)*($B646=$B$403:$B$594)*("Weekday"=$D$403:$D$594),0))*Weekdays+INDEX(Q$403:Q$594,MATCH(1,($A646=$A$403:$A$594)*($B646=$B$403:$B$594)*("Weekend"=$D$403:$D$594),0))*WeekendDays)/DaysPerWeek</f>
        <v>1.1619444145381061E-4</v>
      </c>
      <c r="Q646" s="11" cm="1">
        <f t="array" ref="Q646">(INDEX(R$403:R$594,MATCH(1,($A646=$A$403:$A$594)*($B646=$B$403:$B$594)*("Weekday"=$D$403:$D$594),0))*Weekdays+INDEX(R$403:R$594,MATCH(1,($A646=$A$403:$A$594)*($B646=$B$403:$B$594)*("Weekend"=$D$403:$D$594),0))*WeekendDays)/DaysPerWeek</f>
        <v>1.1619444145381066E-4</v>
      </c>
      <c r="R646" s="11" cm="1">
        <f t="array" ref="R646">(INDEX(S$403:S$594,MATCH(1,($A646=$A$403:$A$594)*($B646=$B$403:$B$594)*("Weekday"=$D$403:$D$594),0))*Weekdays+INDEX(S$403:S$594,MATCH(1,($A646=$A$403:$A$594)*($B646=$B$403:$B$594)*("Weekend"=$D$403:$D$594),0))*WeekendDays)/DaysPerWeek</f>
        <v>0</v>
      </c>
      <c r="S646" s="11" cm="1">
        <f t="array" ref="S646">(INDEX(T$403:T$594,MATCH(1,($A646=$A$403:$A$594)*($B646=$B$403:$B$594)*("Weekday"=$D$403:$D$594),0))*Weekdays+INDEX(T$403:T$594,MATCH(1,($A646=$A$403:$A$594)*($B646=$B$403:$B$594)*("Weekend"=$D$403:$D$594),0))*WeekendDays)/DaysPerWeek</f>
        <v>1.1619444145381069E-4</v>
      </c>
      <c r="T646" s="11" cm="1">
        <f t="array" ref="T646">(INDEX(U$403:U$594,MATCH(1,($A646=$A$403:$A$594)*($B646=$B$403:$B$594)*("Weekday"=$D$403:$D$594),0))*Weekdays+INDEX(U$403:U$594,MATCH(1,($A646=$A$403:$A$594)*($B646=$B$403:$B$594)*("Weekend"=$D$403:$D$594),0))*WeekendDays)/DaysPerWeek</f>
        <v>0</v>
      </c>
      <c r="U646" s="11" t="e" cm="1">
        <f t="array" ref="U646">(INDEX(V$403:V$594,MATCH(1,($A646=$A$403:$A$594)*($B646=$B$403:$B$594)*("Weekday"=$D$403:$D$594),0))*Weekdays+INDEX(V$403:V$594,MATCH(1,($A646=$A$403:$A$594)*($B646=$B$403:$B$594)*("Weekend"=$D$403:$D$594),0))*WeekendDays)/DaysPerWeek</f>
        <v>#DIV/0!</v>
      </c>
      <c r="V646" s="11" cm="1">
        <f t="array" ref="V646">(INDEX(W$403:W$594,MATCH(1,($A646=$A$403:$A$594)*($B646=$B$403:$B$594)*("Weekday"=$D$403:$D$594),0))*Weekdays+INDEX(W$403:W$594,MATCH(1,($A646=$A$403:$A$594)*($B646=$B$403:$B$594)*("Weekend"=$D$403:$D$594),0))*WeekendDays)/DaysPerWeek</f>
        <v>1.1186877349601109E-4</v>
      </c>
      <c r="W646" s="11" cm="1">
        <f t="array" ref="W646">(INDEX(X$403:X$594,MATCH(1,($A646=$A$403:$A$594)*($B646=$B$403:$B$594)*("Weekday"=$D$403:$D$594),0))*Weekdays+INDEX(X$403:X$594,MATCH(1,($A646=$A$403:$A$594)*($B646=$B$403:$B$594)*("Weekend"=$D$403:$D$594),0))*WeekendDays)/DaysPerWeek</f>
        <v>0</v>
      </c>
      <c r="X646" s="11" cm="1">
        <f t="array" ref="X646">(INDEX(Y$403:Y$594,MATCH(1,($A646=$A$403:$A$594)*($B646=$B$403:$B$594)*("Weekday"=$D$403:$D$594),0))*Weekdays+INDEX(Y$403:Y$594,MATCH(1,($A646=$A$403:$A$594)*($B646=$B$403:$B$594)*("Weekend"=$D$403:$D$594),0))*WeekendDays)/DaysPerWeek</f>
        <v>0</v>
      </c>
      <c r="Y646" s="25" t="e">
        <f t="shared" si="422"/>
        <v>#DIV/0!</v>
      </c>
      <c r="Z646" s="32" t="e">
        <f t="shared" si="423"/>
        <v>#DIV/0!</v>
      </c>
    </row>
    <row r="647" spans="1:26" outlineLevel="1" x14ac:dyDescent="0.25">
      <c r="A647" t="s">
        <v>38</v>
      </c>
      <c r="B647" t="s">
        <v>170</v>
      </c>
      <c r="C647" s="7" t="s">
        <v>22</v>
      </c>
      <c r="D647" s="11" cm="1">
        <f t="array" ref="D647">(INDEX(E$403:E$594,MATCH(1,($A647=$A$403:$A$594)*($B647=$B$403:$B$594)*("Weekday"=$D$403:$D$594),0))*Weekdays+INDEX(E$403:E$594,MATCH(1,($A647=$A$403:$A$594)*($B647=$B$403:$B$594)*("Weekend"=$D$403:$D$594),0))*WeekendDays)/DaysPerWeek</f>
        <v>9.0212661906882897E-5</v>
      </c>
      <c r="E647" s="11" cm="1">
        <f t="array" ref="E647">(INDEX(F$403:F$594,MATCH(1,($A647=$A$403:$A$594)*($B647=$B$403:$B$594)*("Weekday"=$D$403:$D$594),0))*Weekdays+INDEX(F$403:F$594,MATCH(1,($A647=$A$403:$A$594)*($B647=$B$403:$B$594)*("Weekend"=$D$403:$D$594),0))*WeekendDays)/DaysPerWeek</f>
        <v>1.716921300520579E-7</v>
      </c>
      <c r="F647" s="11" cm="1">
        <f t="array" ref="F647">(INDEX(G$403:G$594,MATCH(1,($A647=$A$403:$A$594)*($B647=$B$403:$B$594)*("Weekday"=$D$403:$D$594),0))*Weekdays+INDEX(G$403:G$594,MATCH(1,($A647=$A$403:$A$594)*($B647=$B$403:$B$594)*("Weekend"=$D$403:$D$594),0))*WeekendDays)/DaysPerWeek</f>
        <v>0</v>
      </c>
      <c r="G647" s="11" cm="1">
        <f t="array" ref="G647">(INDEX(H$403:H$594,MATCH(1,($A647=$A$403:$A$594)*($B647=$B$403:$B$594)*("Weekday"=$D$403:$D$594),0))*Weekdays+INDEX(H$403:H$594,MATCH(1,($A647=$A$403:$A$594)*($B647=$B$403:$B$594)*("Weekend"=$D$403:$D$594),0))*WeekendDays)/DaysPerWeek</f>
        <v>7.8900831880596574E-5</v>
      </c>
      <c r="H647" s="11" cm="1">
        <f t="array" ref="H647">(INDEX(I$403:I$594,MATCH(1,($A647=$A$403:$A$594)*($B647=$B$403:$B$594)*("Weekday"=$D$403:$D$594),0))*Weekdays+INDEX(I$403:I$594,MATCH(1,($A647=$A$403:$A$594)*($B647=$B$403:$B$594)*("Weekend"=$D$403:$D$594),0))*WeekendDays)/DaysPerWeek</f>
        <v>7.7409935340127118E-5</v>
      </c>
      <c r="I647" s="11" cm="1">
        <f t="array" ref="I647">(INDEX(J$403:J$594,MATCH(1,($A647=$A$403:$A$594)*($B647=$B$403:$B$594)*("Weekday"=$D$403:$D$594),0))*Weekdays+INDEX(J$403:J$594,MATCH(1,($A647=$A$403:$A$594)*($B647=$B$403:$B$594)*("Weekend"=$D$403:$D$594),0))*WeekendDays)/DaysPerWeek</f>
        <v>7.7409935340127118E-5</v>
      </c>
      <c r="J647" s="11" cm="1">
        <f t="array" ref="J647">(INDEX(K$403:K$594,MATCH(1,($A647=$A$403:$A$594)*($B647=$B$403:$B$594)*("Weekday"=$D$403:$D$594),0))*Weekdays+INDEX(K$403:K$594,MATCH(1,($A647=$A$403:$A$594)*($B647=$B$403:$B$594)*("Weekend"=$D$403:$D$594),0))*WeekendDays)/DaysPerWeek</f>
        <v>7.9759351654921077E-5</v>
      </c>
      <c r="K647" s="11" cm="1">
        <f t="array" ref="K647">(INDEX(L$403:L$594,MATCH(1,($A647=$A$403:$A$594)*($B647=$B$403:$B$594)*("Weekday"=$D$403:$D$594),0))*Weekdays+INDEX(L$403:L$594,MATCH(1,($A647=$A$403:$A$594)*($B647=$B$403:$B$594)*("Weekend"=$D$403:$D$594),0))*WeekendDays)/DaysPerWeek</f>
        <v>4.3409412888162273E-6</v>
      </c>
      <c r="L647" s="11" cm="1">
        <f t="array" ref="L647">(INDEX(M$403:M$594,MATCH(1,($A647=$A$403:$A$594)*($B647=$B$403:$B$594)*("Weekday"=$D$403:$D$594),0))*Weekdays+INDEX(M$403:M$594,MATCH(1,($A647=$A$403:$A$594)*($B647=$B$403:$B$594)*("Weekend"=$D$403:$D$594),0))*WeekendDays)/DaysPerWeek</f>
        <v>0</v>
      </c>
      <c r="M647" s="11" cm="1">
        <f t="array" ref="M647">(INDEX(N$403:N$594,MATCH(1,($A647=$A$403:$A$594)*($B647=$B$403:$B$594)*("Weekday"=$D$403:$D$594),0))*Weekdays+INDEX(N$403:N$594,MATCH(1,($A647=$A$403:$A$594)*($B647=$B$403:$B$594)*("Weekend"=$D$403:$D$594),0))*WeekendDays)/DaysPerWeek</f>
        <v>6.5199211856697452E-5</v>
      </c>
      <c r="N647" s="11" cm="1">
        <f t="array" ref="N647">(INDEX(O$403:O$594,MATCH(1,($A647=$A$403:$A$594)*($B647=$B$403:$B$594)*("Weekday"=$D$403:$D$594),0))*Weekdays+INDEX(O$403:O$594,MATCH(1,($A647=$A$403:$A$594)*($B647=$B$403:$B$594)*("Weekend"=$D$403:$D$594),0))*WeekendDays)/DaysPerWeek</f>
        <v>6.5199211856697452E-5</v>
      </c>
      <c r="O647" s="11" cm="1">
        <f t="array" ref="O647">(INDEX(P$403:P$594,MATCH(1,($A647=$A$403:$A$594)*($B647=$B$403:$B$594)*("Weekday"=$D$403:$D$594),0))*Weekdays+INDEX(P$403:P$594,MATCH(1,($A647=$A$403:$A$594)*($B647=$B$403:$B$594)*("Weekend"=$D$403:$D$594),0))*WeekendDays)/DaysPerWeek</f>
        <v>0</v>
      </c>
      <c r="P647" s="11" cm="1">
        <f t="array" ref="P647">(INDEX(Q$403:Q$594,MATCH(1,($A647=$A$403:$A$594)*($B647=$B$403:$B$594)*("Weekday"=$D$403:$D$594),0))*Weekdays+INDEX(Q$403:Q$594,MATCH(1,($A647=$A$403:$A$594)*($B647=$B$403:$B$594)*("Weekend"=$D$403:$D$594),0))*WeekendDays)/DaysPerWeek</f>
        <v>7.8178528291965725E-5</v>
      </c>
      <c r="Q647" s="11" cm="1">
        <f t="array" ref="Q647">(INDEX(R$403:R$594,MATCH(1,($A647=$A$403:$A$594)*($B647=$B$403:$B$594)*("Weekday"=$D$403:$D$594),0))*Weekdays+INDEX(R$403:R$594,MATCH(1,($A647=$A$403:$A$594)*($B647=$B$403:$B$594)*("Weekend"=$D$403:$D$594),0))*WeekendDays)/DaysPerWeek</f>
        <v>7.8178528291965725E-5</v>
      </c>
      <c r="R647" s="11" cm="1">
        <f t="array" ref="R647">(INDEX(S$403:S$594,MATCH(1,($A647=$A$403:$A$594)*($B647=$B$403:$B$594)*("Weekday"=$D$403:$D$594),0))*Weekdays+INDEX(S$403:S$594,MATCH(1,($A647=$A$403:$A$594)*($B647=$B$403:$B$594)*("Weekend"=$D$403:$D$594),0))*WeekendDays)/DaysPerWeek</f>
        <v>0</v>
      </c>
      <c r="S647" s="11" cm="1">
        <f t="array" ref="S647">(INDEX(T$403:T$594,MATCH(1,($A647=$A$403:$A$594)*($B647=$B$403:$B$594)*("Weekday"=$D$403:$D$594),0))*Weekdays+INDEX(T$403:T$594,MATCH(1,($A647=$A$403:$A$594)*($B647=$B$403:$B$594)*("Weekend"=$D$403:$D$594),0))*WeekendDays)/DaysPerWeek</f>
        <v>7.8178528291965752E-5</v>
      </c>
      <c r="T647" s="11" cm="1">
        <f t="array" ref="T647">(INDEX(U$403:U$594,MATCH(1,($A647=$A$403:$A$594)*($B647=$B$403:$B$594)*("Weekday"=$D$403:$D$594),0))*Weekdays+INDEX(U$403:U$594,MATCH(1,($A647=$A$403:$A$594)*($B647=$B$403:$B$594)*("Weekend"=$D$403:$D$594),0))*WeekendDays)/DaysPerWeek</f>
        <v>0</v>
      </c>
      <c r="U647" s="11" t="e" cm="1">
        <f t="array" ref="U647">(INDEX(V$403:V$594,MATCH(1,($A647=$A$403:$A$594)*($B647=$B$403:$B$594)*("Weekday"=$D$403:$D$594),0))*Weekdays+INDEX(V$403:V$594,MATCH(1,($A647=$A$403:$A$594)*($B647=$B$403:$B$594)*("Weekend"=$D$403:$D$594),0))*WeekendDays)/DaysPerWeek</f>
        <v>#DIV/0!</v>
      </c>
      <c r="V647" s="11" cm="1">
        <f t="array" ref="V647">(INDEX(W$403:W$594,MATCH(1,($A647=$A$403:$A$594)*($B647=$B$403:$B$594)*("Weekday"=$D$403:$D$594),0))*Weekdays+INDEX(W$403:W$594,MATCH(1,($A647=$A$403:$A$594)*($B647=$B$403:$B$594)*("Weekend"=$D$403:$D$594),0))*WeekendDays)/DaysPerWeek</f>
        <v>1.1130529747101443E-4</v>
      </c>
      <c r="W647" s="11" cm="1">
        <f t="array" ref="W647">(INDEX(X$403:X$594,MATCH(1,($A647=$A$403:$A$594)*($B647=$B$403:$B$594)*("Weekday"=$D$403:$D$594),0))*Weekdays+INDEX(X$403:X$594,MATCH(1,($A647=$A$403:$A$594)*($B647=$B$403:$B$594)*("Weekend"=$D$403:$D$594),0))*WeekendDays)/DaysPerWeek</f>
        <v>0</v>
      </c>
      <c r="X647" s="11" cm="1">
        <f t="array" ref="X647">(INDEX(Y$403:Y$594,MATCH(1,($A647=$A$403:$A$594)*($B647=$B$403:$B$594)*("Weekday"=$D$403:$D$594),0))*Weekdays+INDEX(Y$403:Y$594,MATCH(1,($A647=$A$403:$A$594)*($B647=$B$403:$B$594)*("Weekend"=$D$403:$D$594),0))*WeekendDays)/DaysPerWeek</f>
        <v>0</v>
      </c>
      <c r="Y647" s="25" t="e">
        <f t="shared" si="422"/>
        <v>#DIV/0!</v>
      </c>
      <c r="Z647" s="32" t="e">
        <f t="shared" si="423"/>
        <v>#DIV/0!</v>
      </c>
    </row>
    <row r="648" spans="1:26" outlineLevel="1" x14ac:dyDescent="0.25">
      <c r="A648" t="s">
        <v>39</v>
      </c>
      <c r="B648" t="s">
        <v>147</v>
      </c>
      <c r="C648" s="7" t="s">
        <v>34</v>
      </c>
      <c r="D648" s="11" cm="1">
        <f t="array" ref="D648">(INDEX(E$403:E$594,MATCH(1,($A648=$A$403:$A$594)*($B648=$B$403:$B$594)*("Weekday"=$D$403:$D$594),0))*Weekdays+INDEX(E$403:E$594,MATCH(1,($A648=$A$403:$A$594)*($B648=$B$403:$B$594)*("Weekend"=$D$403:$D$594),0))*WeekendDays)/DaysPerWeek</f>
        <v>1.6861481347109446E-6</v>
      </c>
      <c r="E648" s="11" cm="1">
        <f t="array" ref="E648">(INDEX(F$403:F$594,MATCH(1,($A648=$A$403:$A$594)*($B648=$B$403:$B$594)*("Weekday"=$D$403:$D$594),0))*Weekdays+INDEX(F$403:F$594,MATCH(1,($A648=$A$403:$A$594)*($B648=$B$403:$B$594)*("Weekend"=$D$403:$D$594),0))*WeekendDays)/DaysPerWeek</f>
        <v>2.6152302467085227E-4</v>
      </c>
      <c r="F648" s="11" cm="1">
        <f t="array" ref="F648">(INDEX(G$403:G$594,MATCH(1,($A648=$A$403:$A$594)*($B648=$B$403:$B$594)*("Weekday"=$D$403:$D$594),0))*Weekdays+INDEX(G$403:G$594,MATCH(1,($A648=$A$403:$A$594)*($B648=$B$403:$B$594)*("Weekend"=$D$403:$D$594),0))*WeekendDays)/DaysPerWeek</f>
        <v>0</v>
      </c>
      <c r="G648" s="11" cm="1">
        <f t="array" ref="G648">(INDEX(H$403:H$594,MATCH(1,($A648=$A$403:$A$594)*($B648=$B$403:$B$594)*("Weekday"=$D$403:$D$594),0))*Weekdays+INDEX(H$403:H$594,MATCH(1,($A648=$A$403:$A$594)*($B648=$B$403:$B$594)*("Weekend"=$D$403:$D$594),0))*WeekendDays)/DaysPerWeek</f>
        <v>5.3571134753817079E-5</v>
      </c>
      <c r="H648" s="11" cm="1">
        <f t="array" ref="H648">(INDEX(I$403:I$594,MATCH(1,($A648=$A$403:$A$594)*($B648=$B$403:$B$594)*("Weekday"=$D$403:$D$594),0))*Weekdays+INDEX(I$403:I$594,MATCH(1,($A648=$A$403:$A$594)*($B648=$B$403:$B$594)*("Weekend"=$D$403:$D$594),0))*WeekendDays)/DaysPerWeek</f>
        <v>4.1604129413270841E-5</v>
      </c>
      <c r="I648" s="11" cm="1">
        <f t="array" ref="I648">(INDEX(J$403:J$594,MATCH(1,($A648=$A$403:$A$594)*($B648=$B$403:$B$594)*("Weekday"=$D$403:$D$594),0))*Weekdays+INDEX(J$403:J$594,MATCH(1,($A648=$A$403:$A$594)*($B648=$B$403:$B$594)*("Weekend"=$D$403:$D$594),0))*WeekendDays)/DaysPerWeek</f>
        <v>4.1604129413270841E-5</v>
      </c>
      <c r="J648" s="11" cm="1">
        <f t="array" ref="J648">(INDEX(K$403:K$594,MATCH(1,($A648=$A$403:$A$594)*($B648=$B$403:$B$594)*("Weekday"=$D$403:$D$594),0))*Weekdays+INDEX(K$403:K$594,MATCH(1,($A648=$A$403:$A$594)*($B648=$B$403:$B$594)*("Weekend"=$D$403:$D$594),0))*WeekendDays)/DaysPerWeek</f>
        <v>2.4825342755668115E-6</v>
      </c>
      <c r="K648" s="11" cm="1">
        <f t="array" ref="K648">(INDEX(L$403:L$594,MATCH(1,($A648=$A$403:$A$594)*($B648=$B$403:$B$594)*("Weekday"=$D$403:$D$594),0))*Weekdays+INDEX(L$403:L$594,MATCH(1,($A648=$A$403:$A$594)*($B648=$B$403:$B$594)*("Weekend"=$D$403:$D$594),0))*WeekendDays)/DaysPerWeek</f>
        <v>2.5594244739689188E-4</v>
      </c>
      <c r="L648" s="11" cm="1">
        <f t="array" ref="L648">(INDEX(M$403:M$594,MATCH(1,($A648=$A$403:$A$594)*($B648=$B$403:$B$594)*("Weekday"=$D$403:$D$594),0))*Weekdays+INDEX(M$403:M$594,MATCH(1,($A648=$A$403:$A$594)*($B648=$B$403:$B$594)*("Weekend"=$D$403:$D$594),0))*WeekendDays)/DaysPerWeek</f>
        <v>0</v>
      </c>
      <c r="M648" s="11" cm="1">
        <f t="array" ref="M648">(INDEX(N$403:N$594,MATCH(1,($A648=$A$403:$A$594)*($B648=$B$403:$B$594)*("Weekday"=$D$403:$D$594),0))*Weekdays+INDEX(N$403:N$594,MATCH(1,($A648=$A$403:$A$594)*($B648=$B$403:$B$594)*("Weekend"=$D$403:$D$594),0))*WeekendDays)/DaysPerWeek</f>
        <v>5.763840234145153E-5</v>
      </c>
      <c r="N648" s="11" cm="1">
        <f t="array" ref="N648">(INDEX(O$403:O$594,MATCH(1,($A648=$A$403:$A$594)*($B648=$B$403:$B$594)*("Weekday"=$D$403:$D$594),0))*Weekdays+INDEX(O$403:O$594,MATCH(1,($A648=$A$403:$A$594)*($B648=$B$403:$B$594)*("Weekend"=$D$403:$D$594),0))*WeekendDays)/DaysPerWeek</f>
        <v>5.763840234145153E-5</v>
      </c>
      <c r="O648" s="11" cm="1">
        <f t="array" ref="O648">(INDEX(P$403:P$594,MATCH(1,($A648=$A$403:$A$594)*($B648=$B$403:$B$594)*("Weekday"=$D$403:$D$594),0))*Weekdays+INDEX(P$403:P$594,MATCH(1,($A648=$A$403:$A$594)*($B648=$B$403:$B$594)*("Weekend"=$D$403:$D$594),0))*WeekendDays)/DaysPerWeek</f>
        <v>0</v>
      </c>
      <c r="P648" s="11" cm="1">
        <f t="array" ref="P648">(INDEX(Q$403:Q$594,MATCH(1,($A648=$A$403:$A$594)*($B648=$B$403:$B$594)*("Weekday"=$D$403:$D$594),0))*Weekdays+INDEX(Q$403:Q$594,MATCH(1,($A648=$A$403:$A$594)*($B648=$B$403:$B$594)*("Weekend"=$D$403:$D$594),0))*WeekendDays)/DaysPerWeek</f>
        <v>5.0324072018803371E-5</v>
      </c>
      <c r="Q648" s="11" cm="1">
        <f t="array" ref="Q648">(INDEX(R$403:R$594,MATCH(1,($A648=$A$403:$A$594)*($B648=$B$403:$B$594)*("Weekday"=$D$403:$D$594),0))*Weekdays+INDEX(R$403:R$594,MATCH(1,($A648=$A$403:$A$594)*($B648=$B$403:$B$594)*("Weekend"=$D$403:$D$594),0))*WeekendDays)/DaysPerWeek</f>
        <v>5.0324072018803384E-5</v>
      </c>
      <c r="R648" s="11" cm="1">
        <f t="array" ref="R648">(INDEX(S$403:S$594,MATCH(1,($A648=$A$403:$A$594)*($B648=$B$403:$B$594)*("Weekday"=$D$403:$D$594),0))*Weekdays+INDEX(S$403:S$594,MATCH(1,($A648=$A$403:$A$594)*($B648=$B$403:$B$594)*("Weekend"=$D$403:$D$594),0))*WeekendDays)/DaysPerWeek</f>
        <v>0</v>
      </c>
      <c r="S648" s="11" cm="1">
        <f t="array" ref="S648">(INDEX(T$403:T$594,MATCH(1,($A648=$A$403:$A$594)*($B648=$B$403:$B$594)*("Weekday"=$D$403:$D$594),0))*Weekdays+INDEX(T$403:T$594,MATCH(1,($A648=$A$403:$A$594)*($B648=$B$403:$B$594)*("Weekend"=$D$403:$D$594),0))*WeekendDays)/DaysPerWeek</f>
        <v>5.0324072018803398E-5</v>
      </c>
      <c r="T648" s="11" cm="1">
        <f t="array" ref="T648">(INDEX(U$403:U$594,MATCH(1,($A648=$A$403:$A$594)*($B648=$B$403:$B$594)*("Weekday"=$D$403:$D$594),0))*Weekdays+INDEX(U$403:U$594,MATCH(1,($A648=$A$403:$A$594)*($B648=$B$403:$B$594)*("Weekend"=$D$403:$D$594),0))*WeekendDays)/DaysPerWeek</f>
        <v>0</v>
      </c>
      <c r="U648" s="11" t="e" cm="1">
        <f t="array" ref="U648">(INDEX(V$403:V$594,MATCH(1,($A648=$A$403:$A$594)*($B648=$B$403:$B$594)*("Weekday"=$D$403:$D$594),0))*Weekdays+INDEX(V$403:V$594,MATCH(1,($A648=$A$403:$A$594)*($B648=$B$403:$B$594)*("Weekend"=$D$403:$D$594),0))*WeekendDays)/DaysPerWeek</f>
        <v>#DIV/0!</v>
      </c>
      <c r="V648" s="11" cm="1">
        <f t="array" ref="V648">(INDEX(W$403:W$594,MATCH(1,($A648=$A$403:$A$594)*($B648=$B$403:$B$594)*("Weekday"=$D$403:$D$594),0))*Weekdays+INDEX(W$403:W$594,MATCH(1,($A648=$A$403:$A$594)*($B648=$B$403:$B$594)*("Weekend"=$D$403:$D$594),0))*WeekendDays)/DaysPerWeek</f>
        <v>1.1002808514768855E-4</v>
      </c>
      <c r="W648" s="11" cm="1">
        <f t="array" ref="W648">(INDEX(X$403:X$594,MATCH(1,($A648=$A$403:$A$594)*($B648=$B$403:$B$594)*("Weekday"=$D$403:$D$594),0))*Weekdays+INDEX(X$403:X$594,MATCH(1,($A648=$A$403:$A$594)*($B648=$B$403:$B$594)*("Weekend"=$D$403:$D$594),0))*WeekendDays)/DaysPerWeek</f>
        <v>0</v>
      </c>
      <c r="X648" s="11" cm="1">
        <f t="array" ref="X648">(INDEX(Y$403:Y$594,MATCH(1,($A648=$A$403:$A$594)*($B648=$B$403:$B$594)*("Weekday"=$D$403:$D$594),0))*Weekdays+INDEX(Y$403:Y$594,MATCH(1,($A648=$A$403:$A$594)*($B648=$B$403:$B$594)*("Weekend"=$D$403:$D$594),0))*WeekendDays)/DaysPerWeek</f>
        <v>0</v>
      </c>
      <c r="Y648" s="25" t="e">
        <f t="shared" si="422"/>
        <v>#DIV/0!</v>
      </c>
      <c r="Z648" s="32" t="e">
        <f t="shared" si="423"/>
        <v>#DIV/0!</v>
      </c>
    </row>
    <row r="649" spans="1:26" outlineLevel="1" x14ac:dyDescent="0.25">
      <c r="A649" t="s">
        <v>39</v>
      </c>
      <c r="B649" t="s">
        <v>148</v>
      </c>
      <c r="C649" s="7" t="s">
        <v>0</v>
      </c>
      <c r="D649" s="11" cm="1">
        <f t="array" ref="D649">(INDEX(E$403:E$594,MATCH(1,($A649=$A$403:$A$594)*($B649=$B$403:$B$594)*("Weekday"=$D$403:$D$594),0))*Weekdays+INDEX(E$403:E$594,MATCH(1,($A649=$A$403:$A$594)*($B649=$B$403:$B$594)*("Weekend"=$D$403:$D$594),0))*WeekendDays)/DaysPerWeek</f>
        <v>1.6861481347109446E-6</v>
      </c>
      <c r="E649" s="11" cm="1">
        <f t="array" ref="E649">(INDEX(F$403:F$594,MATCH(1,($A649=$A$403:$A$594)*($B649=$B$403:$B$594)*("Weekday"=$D$403:$D$594),0))*Weekdays+INDEX(F$403:F$594,MATCH(1,($A649=$A$403:$A$594)*($B649=$B$403:$B$594)*("Weekend"=$D$403:$D$594),0))*WeekendDays)/DaysPerWeek</f>
        <v>2.3520725909918834E-4</v>
      </c>
      <c r="F649" s="11" cm="1">
        <f t="array" ref="F649">(INDEX(G$403:G$594,MATCH(1,($A649=$A$403:$A$594)*($B649=$B$403:$B$594)*("Weekday"=$D$403:$D$594),0))*Weekdays+INDEX(G$403:G$594,MATCH(1,($A649=$A$403:$A$594)*($B649=$B$403:$B$594)*("Weekend"=$D$403:$D$594),0))*WeekendDays)/DaysPerWeek</f>
        <v>0</v>
      </c>
      <c r="G649" s="11" cm="1">
        <f t="array" ref="G649">(INDEX(H$403:H$594,MATCH(1,($A649=$A$403:$A$594)*($B649=$B$403:$B$594)*("Weekday"=$D$403:$D$594),0))*Weekdays+INDEX(H$403:H$594,MATCH(1,($A649=$A$403:$A$594)*($B649=$B$403:$B$594)*("Weekend"=$D$403:$D$594),0))*WeekendDays)/DaysPerWeek</f>
        <v>4.8224600382345095E-5</v>
      </c>
      <c r="H649" s="11" cm="1">
        <f t="array" ref="H649">(INDEX(I$403:I$594,MATCH(1,($A649=$A$403:$A$594)*($B649=$B$403:$B$594)*("Weekday"=$D$403:$D$594),0))*Weekdays+INDEX(I$403:I$594,MATCH(1,($A649=$A$403:$A$594)*($B649=$B$403:$B$594)*("Weekend"=$D$403:$D$594),0))*WeekendDays)/DaysPerWeek</f>
        <v>2.7891581062504486E-5</v>
      </c>
      <c r="I649" s="11" cm="1">
        <f t="array" ref="I649">(INDEX(J$403:J$594,MATCH(1,($A649=$A$403:$A$594)*($B649=$B$403:$B$594)*("Weekday"=$D$403:$D$594),0))*Weekdays+INDEX(J$403:J$594,MATCH(1,($A649=$A$403:$A$594)*($B649=$B$403:$B$594)*("Weekend"=$D$403:$D$594),0))*WeekendDays)/DaysPerWeek</f>
        <v>2.7891581062504486E-5</v>
      </c>
      <c r="J649" s="11" cm="1">
        <f t="array" ref="J649">(INDEX(K$403:K$594,MATCH(1,($A649=$A$403:$A$594)*($B649=$B$403:$B$594)*("Weekday"=$D$403:$D$594),0))*Weekdays+INDEX(K$403:K$594,MATCH(1,($A649=$A$403:$A$594)*($B649=$B$403:$B$594)*("Weekend"=$D$403:$D$594),0))*WeekendDays)/DaysPerWeek</f>
        <v>2.4791904368860472E-6</v>
      </c>
      <c r="K649" s="11" cm="1">
        <f t="array" ref="K649">(INDEX(L$403:L$594,MATCH(1,($A649=$A$403:$A$594)*($B649=$B$403:$B$594)*("Weekday"=$D$403:$D$594),0))*Weekdays+INDEX(L$403:L$594,MATCH(1,($A649=$A$403:$A$594)*($B649=$B$403:$B$594)*("Weekend"=$D$403:$D$594),0))*WeekendDays)/DaysPerWeek</f>
        <v>2.3970840248384783E-4</v>
      </c>
      <c r="L649" s="11" cm="1">
        <f t="array" ref="L649">(INDEX(M$403:M$594,MATCH(1,($A649=$A$403:$A$594)*($B649=$B$403:$B$594)*("Weekday"=$D$403:$D$594),0))*Weekdays+INDEX(M$403:M$594,MATCH(1,($A649=$A$403:$A$594)*($B649=$B$403:$B$594)*("Weekend"=$D$403:$D$594),0))*WeekendDays)/DaysPerWeek</f>
        <v>0</v>
      </c>
      <c r="M649" s="11" cm="1">
        <f t="array" ref="M649">(INDEX(N$403:N$594,MATCH(1,($A649=$A$403:$A$594)*($B649=$B$403:$B$594)*("Weekday"=$D$403:$D$594),0))*Weekdays+INDEX(N$403:N$594,MATCH(1,($A649=$A$403:$A$594)*($B649=$B$403:$B$594)*("Weekend"=$D$403:$D$594),0))*WeekendDays)/DaysPerWeek</f>
        <v>5.4516433467746029E-5</v>
      </c>
      <c r="N649" s="11" cm="1">
        <f t="array" ref="N649">(INDEX(O$403:O$594,MATCH(1,($A649=$A$403:$A$594)*($B649=$B$403:$B$594)*("Weekday"=$D$403:$D$594),0))*Weekdays+INDEX(O$403:O$594,MATCH(1,($A649=$A$403:$A$594)*($B649=$B$403:$B$594)*("Weekend"=$D$403:$D$594),0))*WeekendDays)/DaysPerWeek</f>
        <v>5.4516433467746029E-5</v>
      </c>
      <c r="O649" s="11" cm="1">
        <f t="array" ref="O649">(INDEX(P$403:P$594,MATCH(1,($A649=$A$403:$A$594)*($B649=$B$403:$B$594)*("Weekday"=$D$403:$D$594),0))*Weekdays+INDEX(P$403:P$594,MATCH(1,($A649=$A$403:$A$594)*($B649=$B$403:$B$594)*("Weekend"=$D$403:$D$594),0))*WeekendDays)/DaysPerWeek</f>
        <v>0</v>
      </c>
      <c r="P649" s="11" cm="1">
        <f t="array" ref="P649">(INDEX(Q$403:Q$594,MATCH(1,($A649=$A$403:$A$594)*($B649=$B$403:$B$594)*("Weekday"=$D$403:$D$594),0))*Weekdays+INDEX(Q$403:Q$594,MATCH(1,($A649=$A$403:$A$594)*($B649=$B$403:$B$594)*("Weekend"=$D$403:$D$594),0))*WeekendDays)/DaysPerWeek</f>
        <v>4.8853896852471447E-5</v>
      </c>
      <c r="Q649" s="11" cm="1">
        <f t="array" ref="Q649">(INDEX(R$403:R$594,MATCH(1,($A649=$A$403:$A$594)*($B649=$B$403:$B$594)*("Weekday"=$D$403:$D$594),0))*Weekdays+INDEX(R$403:R$594,MATCH(1,($A649=$A$403:$A$594)*($B649=$B$403:$B$594)*("Weekend"=$D$403:$D$594),0))*WeekendDays)/DaysPerWeek</f>
        <v>4.8853896852471467E-5</v>
      </c>
      <c r="R649" s="11" cm="1">
        <f t="array" ref="R649">(INDEX(S$403:S$594,MATCH(1,($A649=$A$403:$A$594)*($B649=$B$403:$B$594)*("Weekday"=$D$403:$D$594),0))*Weekdays+INDEX(S$403:S$594,MATCH(1,($A649=$A$403:$A$594)*($B649=$B$403:$B$594)*("Weekend"=$D$403:$D$594),0))*WeekendDays)/DaysPerWeek</f>
        <v>0</v>
      </c>
      <c r="S649" s="11" cm="1">
        <f t="array" ref="S649">(INDEX(T$403:T$594,MATCH(1,($A649=$A$403:$A$594)*($B649=$B$403:$B$594)*("Weekday"=$D$403:$D$594),0))*Weekdays+INDEX(T$403:T$594,MATCH(1,($A649=$A$403:$A$594)*($B649=$B$403:$B$594)*("Weekend"=$D$403:$D$594),0))*WeekendDays)/DaysPerWeek</f>
        <v>4.8853896852471481E-5</v>
      </c>
      <c r="T649" s="11" cm="1">
        <f t="array" ref="T649">(INDEX(U$403:U$594,MATCH(1,($A649=$A$403:$A$594)*($B649=$B$403:$B$594)*("Weekday"=$D$403:$D$594),0))*Weekdays+INDEX(U$403:U$594,MATCH(1,($A649=$A$403:$A$594)*($B649=$B$403:$B$594)*("Weekend"=$D$403:$D$594),0))*WeekendDays)/DaysPerWeek</f>
        <v>0</v>
      </c>
      <c r="U649" s="11" t="e" cm="1">
        <f t="array" ref="U649">(INDEX(V$403:V$594,MATCH(1,($A649=$A$403:$A$594)*($B649=$B$403:$B$594)*("Weekday"=$D$403:$D$594),0))*Weekdays+INDEX(V$403:V$594,MATCH(1,($A649=$A$403:$A$594)*($B649=$B$403:$B$594)*("Weekend"=$D$403:$D$594),0))*WeekendDays)/DaysPerWeek</f>
        <v>#DIV/0!</v>
      </c>
      <c r="V649" s="11" cm="1">
        <f t="array" ref="V649">(INDEX(W$403:W$594,MATCH(1,($A649=$A$403:$A$594)*($B649=$B$403:$B$594)*("Weekday"=$D$403:$D$594),0))*Weekdays+INDEX(W$403:W$594,MATCH(1,($A649=$A$403:$A$594)*($B649=$B$403:$B$594)*("Weekend"=$D$403:$D$594),0))*WeekendDays)/DaysPerWeek</f>
        <v>1.0987782487435611E-4</v>
      </c>
      <c r="W649" s="11" cm="1">
        <f t="array" ref="W649">(INDEX(X$403:X$594,MATCH(1,($A649=$A$403:$A$594)*($B649=$B$403:$B$594)*("Weekday"=$D$403:$D$594),0))*Weekdays+INDEX(X$403:X$594,MATCH(1,($A649=$A$403:$A$594)*($B649=$B$403:$B$594)*("Weekend"=$D$403:$D$594),0))*WeekendDays)/DaysPerWeek</f>
        <v>0</v>
      </c>
      <c r="X649" s="11" cm="1">
        <f t="array" ref="X649">(INDEX(Y$403:Y$594,MATCH(1,($A649=$A$403:$A$594)*($B649=$B$403:$B$594)*("Weekday"=$D$403:$D$594),0))*Weekdays+INDEX(Y$403:Y$594,MATCH(1,($A649=$A$403:$A$594)*($B649=$B$403:$B$594)*("Weekend"=$D$403:$D$594),0))*WeekendDays)/DaysPerWeek</f>
        <v>0</v>
      </c>
      <c r="Y649" s="25" t="e">
        <f t="shared" si="422"/>
        <v>#DIV/0!</v>
      </c>
      <c r="Z649" s="32" t="e">
        <f t="shared" si="423"/>
        <v>#DIV/0!</v>
      </c>
    </row>
    <row r="650" spans="1:26" outlineLevel="1" x14ac:dyDescent="0.25">
      <c r="A650" t="s">
        <v>39</v>
      </c>
      <c r="B650" t="s">
        <v>149</v>
      </c>
      <c r="C650" s="7" t="s">
        <v>1</v>
      </c>
      <c r="D650" s="11" cm="1">
        <f t="array" ref="D650">(INDEX(E$403:E$594,MATCH(1,($A650=$A$403:$A$594)*($B650=$B$403:$B$594)*("Weekday"=$D$403:$D$594),0))*Weekdays+INDEX(E$403:E$594,MATCH(1,($A650=$A$403:$A$594)*($B650=$B$403:$B$594)*("Weekend"=$D$403:$D$594),0))*WeekendDays)/DaysPerWeek</f>
        <v>1.6861481347109446E-6</v>
      </c>
      <c r="E650" s="11" cm="1">
        <f t="array" ref="E650">(INDEX(F$403:F$594,MATCH(1,($A650=$A$403:$A$594)*($B650=$B$403:$B$594)*("Weekday"=$D$403:$D$594),0))*Weekdays+INDEX(F$403:F$594,MATCH(1,($A650=$A$403:$A$594)*($B650=$B$403:$B$594)*("Weekend"=$D$403:$D$594),0))*WeekendDays)/DaysPerWeek</f>
        <v>2.2729587125867935E-4</v>
      </c>
      <c r="F650" s="11" cm="1">
        <f t="array" ref="F650">(INDEX(G$403:G$594,MATCH(1,($A650=$A$403:$A$594)*($B650=$B$403:$B$594)*("Weekday"=$D$403:$D$594),0))*Weekdays+INDEX(G$403:G$594,MATCH(1,($A650=$A$403:$A$594)*($B650=$B$403:$B$594)*("Weekend"=$D$403:$D$594),0))*WeekendDays)/DaysPerWeek</f>
        <v>0</v>
      </c>
      <c r="G650" s="11" cm="1">
        <f t="array" ref="G650">(INDEX(H$403:H$594,MATCH(1,($A650=$A$403:$A$594)*($B650=$B$403:$B$594)*("Weekday"=$D$403:$D$594),0))*Weekdays+INDEX(H$403:H$594,MATCH(1,($A650=$A$403:$A$594)*($B650=$B$403:$B$594)*("Weekend"=$D$403:$D$594),0))*WeekendDays)/DaysPerWeek</f>
        <v>4.7334785165718003E-5</v>
      </c>
      <c r="H650" s="11" cm="1">
        <f t="array" ref="H650">(INDEX(I$403:I$594,MATCH(1,($A650=$A$403:$A$594)*($B650=$B$403:$B$594)*("Weekday"=$D$403:$D$594),0))*Weekdays+INDEX(I$403:I$594,MATCH(1,($A650=$A$403:$A$594)*($B650=$B$403:$B$594)*("Weekend"=$D$403:$D$594),0))*WeekendDays)/DaysPerWeek</f>
        <v>2.440158026238509E-5</v>
      </c>
      <c r="I650" s="11" cm="1">
        <f t="array" ref="I650">(INDEX(J$403:J$594,MATCH(1,($A650=$A$403:$A$594)*($B650=$B$403:$B$594)*("Weekday"=$D$403:$D$594),0))*Weekdays+INDEX(J$403:J$594,MATCH(1,($A650=$A$403:$A$594)*($B650=$B$403:$B$594)*("Weekend"=$D$403:$D$594),0))*WeekendDays)/DaysPerWeek</f>
        <v>2.440158026238509E-5</v>
      </c>
      <c r="J650" s="11" cm="1">
        <f t="array" ref="J650">(INDEX(K$403:K$594,MATCH(1,($A650=$A$403:$A$594)*($B650=$B$403:$B$594)*("Weekday"=$D$403:$D$594),0))*Weekdays+INDEX(K$403:K$594,MATCH(1,($A650=$A$403:$A$594)*($B650=$B$403:$B$594)*("Weekend"=$D$403:$D$594),0))*WeekendDays)/DaysPerWeek</f>
        <v>2.5299022239533879E-6</v>
      </c>
      <c r="K650" s="11" cm="1">
        <f t="array" ref="K650">(INDEX(L$403:L$594,MATCH(1,($A650=$A$403:$A$594)*($B650=$B$403:$B$594)*("Weekday"=$D$403:$D$594),0))*Weekdays+INDEX(L$403:L$594,MATCH(1,($A650=$A$403:$A$594)*($B650=$B$403:$B$594)*("Weekend"=$D$403:$D$594),0))*WeekendDays)/DaysPerWeek</f>
        <v>2.3326107303773056E-4</v>
      </c>
      <c r="L650" s="11" cm="1">
        <f t="array" ref="L650">(INDEX(M$403:M$594,MATCH(1,($A650=$A$403:$A$594)*($B650=$B$403:$B$594)*("Weekday"=$D$403:$D$594),0))*Weekdays+INDEX(M$403:M$594,MATCH(1,($A650=$A$403:$A$594)*($B650=$B$403:$B$594)*("Weekend"=$D$403:$D$594),0))*WeekendDays)/DaysPerWeek</f>
        <v>0</v>
      </c>
      <c r="M650" s="11" cm="1">
        <f t="array" ref="M650">(INDEX(N$403:N$594,MATCH(1,($A650=$A$403:$A$594)*($B650=$B$403:$B$594)*("Weekday"=$D$403:$D$594),0))*Weekdays+INDEX(N$403:N$594,MATCH(1,($A650=$A$403:$A$594)*($B650=$B$403:$B$594)*("Weekend"=$D$403:$D$594),0))*WeekendDays)/DaysPerWeek</f>
        <v>5.4117457065680141E-5</v>
      </c>
      <c r="N650" s="11" cm="1">
        <f t="array" ref="N650">(INDEX(O$403:O$594,MATCH(1,($A650=$A$403:$A$594)*($B650=$B$403:$B$594)*("Weekday"=$D$403:$D$594),0))*Weekdays+INDEX(O$403:O$594,MATCH(1,($A650=$A$403:$A$594)*($B650=$B$403:$B$594)*("Weekend"=$D$403:$D$594),0))*WeekendDays)/DaysPerWeek</f>
        <v>5.4117457065680141E-5</v>
      </c>
      <c r="O650" s="11" cm="1">
        <f t="array" ref="O650">(INDEX(P$403:P$594,MATCH(1,($A650=$A$403:$A$594)*($B650=$B$403:$B$594)*("Weekday"=$D$403:$D$594),0))*Weekdays+INDEX(P$403:P$594,MATCH(1,($A650=$A$403:$A$594)*($B650=$B$403:$B$594)*("Weekend"=$D$403:$D$594),0))*WeekendDays)/DaysPerWeek</f>
        <v>0</v>
      </c>
      <c r="P650" s="11" cm="1">
        <f t="array" ref="P650">(INDEX(Q$403:Q$594,MATCH(1,($A650=$A$403:$A$594)*($B650=$B$403:$B$594)*("Weekday"=$D$403:$D$594),0))*Weekdays+INDEX(Q$403:Q$594,MATCH(1,($A650=$A$403:$A$594)*($B650=$B$403:$B$594)*("Weekend"=$D$403:$D$594),0))*WeekendDays)/DaysPerWeek</f>
        <v>4.8461002806969415E-5</v>
      </c>
      <c r="Q650" s="11" cm="1">
        <f t="array" ref="Q650">(INDEX(R$403:R$594,MATCH(1,($A650=$A$403:$A$594)*($B650=$B$403:$B$594)*("Weekday"=$D$403:$D$594),0))*Weekdays+INDEX(R$403:R$594,MATCH(1,($A650=$A$403:$A$594)*($B650=$B$403:$B$594)*("Weekend"=$D$403:$D$594),0))*WeekendDays)/DaysPerWeek</f>
        <v>4.8461002806969428E-5</v>
      </c>
      <c r="R650" s="11" cm="1">
        <f t="array" ref="R650">(INDEX(S$403:S$594,MATCH(1,($A650=$A$403:$A$594)*($B650=$B$403:$B$594)*("Weekday"=$D$403:$D$594),0))*Weekdays+INDEX(S$403:S$594,MATCH(1,($A650=$A$403:$A$594)*($B650=$B$403:$B$594)*("Weekend"=$D$403:$D$594),0))*WeekendDays)/DaysPerWeek</f>
        <v>0</v>
      </c>
      <c r="S650" s="11" cm="1">
        <f t="array" ref="S650">(INDEX(T$403:T$594,MATCH(1,($A650=$A$403:$A$594)*($B650=$B$403:$B$594)*("Weekday"=$D$403:$D$594),0))*Weekdays+INDEX(T$403:T$594,MATCH(1,($A650=$A$403:$A$594)*($B650=$B$403:$B$594)*("Weekend"=$D$403:$D$594),0))*WeekendDays)/DaysPerWeek</f>
        <v>4.8461002806969428E-5</v>
      </c>
      <c r="T650" s="11" cm="1">
        <f t="array" ref="T650">(INDEX(U$403:U$594,MATCH(1,($A650=$A$403:$A$594)*($B650=$B$403:$B$594)*("Weekday"=$D$403:$D$594),0))*Weekdays+INDEX(U$403:U$594,MATCH(1,($A650=$A$403:$A$594)*($B650=$B$403:$B$594)*("Weekend"=$D$403:$D$594),0))*WeekendDays)/DaysPerWeek</f>
        <v>0</v>
      </c>
      <c r="U650" s="11" t="e" cm="1">
        <f t="array" ref="U650">(INDEX(V$403:V$594,MATCH(1,($A650=$A$403:$A$594)*($B650=$B$403:$B$594)*("Weekday"=$D$403:$D$594),0))*Weekdays+INDEX(V$403:V$594,MATCH(1,($A650=$A$403:$A$594)*($B650=$B$403:$B$594)*("Weekend"=$D$403:$D$594),0))*WeekendDays)/DaysPerWeek</f>
        <v>#DIV/0!</v>
      </c>
      <c r="V650" s="11" cm="1">
        <f t="array" ref="V650">(INDEX(W$403:W$594,MATCH(1,($A650=$A$403:$A$594)*($B650=$B$403:$B$594)*("Weekday"=$D$403:$D$594),0))*Weekdays+INDEX(W$403:W$594,MATCH(1,($A650=$A$403:$A$594)*($B650=$B$403:$B$594)*("Weekend"=$D$403:$D$594),0))*WeekendDays)/DaysPerWeek</f>
        <v>1.0991538994268924E-4</v>
      </c>
      <c r="W650" s="11" cm="1">
        <f t="array" ref="W650">(INDEX(X$403:X$594,MATCH(1,($A650=$A$403:$A$594)*($B650=$B$403:$B$594)*("Weekday"=$D$403:$D$594),0))*Weekdays+INDEX(X$403:X$594,MATCH(1,($A650=$A$403:$A$594)*($B650=$B$403:$B$594)*("Weekend"=$D$403:$D$594),0))*WeekendDays)/DaysPerWeek</f>
        <v>0</v>
      </c>
      <c r="X650" s="11" cm="1">
        <f t="array" ref="X650">(INDEX(Y$403:Y$594,MATCH(1,($A650=$A$403:$A$594)*($B650=$B$403:$B$594)*("Weekday"=$D$403:$D$594),0))*Weekdays+INDEX(Y$403:Y$594,MATCH(1,($A650=$A$403:$A$594)*($B650=$B$403:$B$594)*("Weekend"=$D$403:$D$594),0))*WeekendDays)/DaysPerWeek</f>
        <v>0</v>
      </c>
      <c r="Y650" s="25" t="e">
        <f t="shared" si="422"/>
        <v>#DIV/0!</v>
      </c>
      <c r="Z650" s="32" t="e">
        <f t="shared" si="423"/>
        <v>#DIV/0!</v>
      </c>
    </row>
    <row r="651" spans="1:26" outlineLevel="1" x14ac:dyDescent="0.25">
      <c r="A651" t="s">
        <v>39</v>
      </c>
      <c r="B651" t="s">
        <v>150</v>
      </c>
      <c r="C651" s="7" t="s">
        <v>2</v>
      </c>
      <c r="D651" s="11" cm="1">
        <f t="array" ref="D651">(INDEX(E$403:E$594,MATCH(1,($A651=$A$403:$A$594)*($B651=$B$403:$B$594)*("Weekday"=$D$403:$D$594),0))*Weekdays+INDEX(E$403:E$594,MATCH(1,($A651=$A$403:$A$594)*($B651=$B$403:$B$594)*("Weekend"=$D$403:$D$594),0))*WeekendDays)/DaysPerWeek</f>
        <v>1.6861481347109446E-6</v>
      </c>
      <c r="E651" s="11" cm="1">
        <f t="array" ref="E651">(INDEX(F$403:F$594,MATCH(1,($A651=$A$403:$A$594)*($B651=$B$403:$B$594)*("Weekday"=$D$403:$D$594),0))*Weekdays+INDEX(F$403:F$594,MATCH(1,($A651=$A$403:$A$594)*($B651=$B$403:$B$594)*("Weekend"=$D$403:$D$594),0))*WeekendDays)/DaysPerWeek</f>
        <v>2.3698971985574454E-4</v>
      </c>
      <c r="F651" s="11" cm="1">
        <f t="array" ref="F651">(INDEX(G$403:G$594,MATCH(1,($A651=$A$403:$A$594)*($B651=$B$403:$B$594)*("Weekday"=$D$403:$D$594),0))*Weekdays+INDEX(G$403:G$594,MATCH(1,($A651=$A$403:$A$594)*($B651=$B$403:$B$594)*("Weekend"=$D$403:$D$594),0))*WeekendDays)/DaysPerWeek</f>
        <v>0</v>
      </c>
      <c r="G651" s="11" cm="1">
        <f t="array" ref="G651">(INDEX(H$403:H$594,MATCH(1,($A651=$A$403:$A$594)*($B651=$B$403:$B$594)*("Weekday"=$D$403:$D$594),0))*Weekdays+INDEX(H$403:H$594,MATCH(1,($A651=$A$403:$A$594)*($B651=$B$403:$B$594)*("Weekend"=$D$403:$D$594),0))*WeekendDays)/DaysPerWeek</f>
        <v>4.8007964176643788E-5</v>
      </c>
      <c r="H651" s="11" cm="1">
        <f t="array" ref="H651">(INDEX(I$403:I$594,MATCH(1,($A651=$A$403:$A$594)*($B651=$B$403:$B$594)*("Weekday"=$D$403:$D$594),0))*Weekdays+INDEX(I$403:I$594,MATCH(1,($A651=$A$403:$A$594)*($B651=$B$403:$B$594)*("Weekend"=$D$403:$D$594),0))*WeekendDays)/DaysPerWeek</f>
        <v>2.3325745674405687E-5</v>
      </c>
      <c r="I651" s="11" cm="1">
        <f t="array" ref="I651">(INDEX(J$403:J$594,MATCH(1,($A651=$A$403:$A$594)*($B651=$B$403:$B$594)*("Weekday"=$D$403:$D$594),0))*Weekdays+INDEX(J$403:J$594,MATCH(1,($A651=$A$403:$A$594)*($B651=$B$403:$B$594)*("Weekend"=$D$403:$D$594),0))*WeekendDays)/DaysPerWeek</f>
        <v>2.3325745674405687E-5</v>
      </c>
      <c r="J651" s="11" cm="1">
        <f t="array" ref="J651">(INDEX(K$403:K$594,MATCH(1,($A651=$A$403:$A$594)*($B651=$B$403:$B$594)*("Weekday"=$D$403:$D$594),0))*Weekdays+INDEX(K$403:K$594,MATCH(1,($A651=$A$403:$A$594)*($B651=$B$403:$B$594)*("Weekend"=$D$403:$D$594),0))*WeekendDays)/DaysPerWeek</f>
        <v>2.5761456407554443E-6</v>
      </c>
      <c r="K651" s="11" cm="1">
        <f t="array" ref="K651">(INDEX(L$403:L$594,MATCH(1,($A651=$A$403:$A$594)*($B651=$B$403:$B$594)*("Weekday"=$D$403:$D$594),0))*Weekdays+INDEX(L$403:L$594,MATCH(1,($A651=$A$403:$A$594)*($B651=$B$403:$B$594)*("Weekend"=$D$403:$D$594),0))*WeekendDays)/DaysPerWeek</f>
        <v>2.3464972861074042E-4</v>
      </c>
      <c r="L651" s="11" cm="1">
        <f t="array" ref="L651">(INDEX(M$403:M$594,MATCH(1,($A651=$A$403:$A$594)*($B651=$B$403:$B$594)*("Weekday"=$D$403:$D$594),0))*Weekdays+INDEX(M$403:M$594,MATCH(1,($A651=$A$403:$A$594)*($B651=$B$403:$B$594)*("Weekend"=$D$403:$D$594),0))*WeekendDays)/DaysPerWeek</f>
        <v>0</v>
      </c>
      <c r="M651" s="11" cm="1">
        <f t="array" ref="M651">(INDEX(N$403:N$594,MATCH(1,($A651=$A$403:$A$594)*($B651=$B$403:$B$594)*("Weekday"=$D$403:$D$594),0))*Weekdays+INDEX(N$403:N$594,MATCH(1,($A651=$A$403:$A$594)*($B651=$B$403:$B$594)*("Weekend"=$D$403:$D$594),0))*WeekendDays)/DaysPerWeek</f>
        <v>5.5915261361648669E-5</v>
      </c>
      <c r="N651" s="11" cm="1">
        <f t="array" ref="N651">(INDEX(O$403:O$594,MATCH(1,($A651=$A$403:$A$594)*($B651=$B$403:$B$594)*("Weekday"=$D$403:$D$594),0))*Weekdays+INDEX(O$403:O$594,MATCH(1,($A651=$A$403:$A$594)*($B651=$B$403:$B$594)*("Weekend"=$D$403:$D$594),0))*WeekendDays)/DaysPerWeek</f>
        <v>5.5915261361648669E-5</v>
      </c>
      <c r="O651" s="11" cm="1">
        <f t="array" ref="O651">(INDEX(P$403:P$594,MATCH(1,($A651=$A$403:$A$594)*($B651=$B$403:$B$594)*("Weekday"=$D$403:$D$594),0))*Weekdays+INDEX(P$403:P$594,MATCH(1,($A651=$A$403:$A$594)*($B651=$B$403:$B$594)*("Weekend"=$D$403:$D$594),0))*WeekendDays)/DaysPerWeek</f>
        <v>0</v>
      </c>
      <c r="P651" s="11" cm="1">
        <f t="array" ref="P651">(INDEX(Q$403:Q$594,MATCH(1,($A651=$A$403:$A$594)*($B651=$B$403:$B$594)*("Weekday"=$D$403:$D$594),0))*Weekdays+INDEX(Q$403:Q$594,MATCH(1,($A651=$A$403:$A$594)*($B651=$B$403:$B$594)*("Weekend"=$D$403:$D$594),0))*WeekendDays)/DaysPerWeek</f>
        <v>4.8580895651595627E-5</v>
      </c>
      <c r="Q651" s="11" cm="1">
        <f t="array" ref="Q651">(INDEX(R$403:R$594,MATCH(1,($A651=$A$403:$A$594)*($B651=$B$403:$B$594)*("Weekday"=$D$403:$D$594),0))*Weekdays+INDEX(R$403:R$594,MATCH(1,($A651=$A$403:$A$594)*($B651=$B$403:$B$594)*("Weekend"=$D$403:$D$594),0))*WeekendDays)/DaysPerWeek</f>
        <v>4.858089565159564E-5</v>
      </c>
      <c r="R651" s="11" cm="1">
        <f t="array" ref="R651">(INDEX(S$403:S$594,MATCH(1,($A651=$A$403:$A$594)*($B651=$B$403:$B$594)*("Weekday"=$D$403:$D$594),0))*Weekdays+INDEX(S$403:S$594,MATCH(1,($A651=$A$403:$A$594)*($B651=$B$403:$B$594)*("Weekend"=$D$403:$D$594),0))*WeekendDays)/DaysPerWeek</f>
        <v>0</v>
      </c>
      <c r="S651" s="11" cm="1">
        <f t="array" ref="S651">(INDEX(T$403:T$594,MATCH(1,($A651=$A$403:$A$594)*($B651=$B$403:$B$594)*("Weekday"=$D$403:$D$594),0))*Weekdays+INDEX(T$403:T$594,MATCH(1,($A651=$A$403:$A$594)*($B651=$B$403:$B$594)*("Weekend"=$D$403:$D$594),0))*WeekendDays)/DaysPerWeek</f>
        <v>4.8580895651595647E-5</v>
      </c>
      <c r="T651" s="11" cm="1">
        <f t="array" ref="T651">(INDEX(U$403:U$594,MATCH(1,($A651=$A$403:$A$594)*($B651=$B$403:$B$594)*("Weekday"=$D$403:$D$594),0))*Weekdays+INDEX(U$403:U$594,MATCH(1,($A651=$A$403:$A$594)*($B651=$B$403:$B$594)*("Weekend"=$D$403:$D$594),0))*WeekendDays)/DaysPerWeek</f>
        <v>0</v>
      </c>
      <c r="U651" s="11" t="e" cm="1">
        <f t="array" ref="U651">(INDEX(V$403:V$594,MATCH(1,($A651=$A$403:$A$594)*($B651=$B$403:$B$594)*("Weekday"=$D$403:$D$594),0))*Weekdays+INDEX(V$403:V$594,MATCH(1,($A651=$A$403:$A$594)*($B651=$B$403:$B$594)*("Weekend"=$D$403:$D$594),0))*WeekendDays)/DaysPerWeek</f>
        <v>#DIV/0!</v>
      </c>
      <c r="V651" s="11" cm="1">
        <f t="array" ref="V651">(INDEX(W$403:W$594,MATCH(1,($A651=$A$403:$A$594)*($B651=$B$403:$B$594)*("Weekday"=$D$403:$D$594),0))*Weekdays+INDEX(W$403:W$594,MATCH(1,($A651=$A$403:$A$594)*($B651=$B$403:$B$594)*("Weekend"=$D$403:$D$594),0))*WeekendDays)/DaysPerWeek</f>
        <v>1.0999052007935546E-4</v>
      </c>
      <c r="W651" s="11" cm="1">
        <f t="array" ref="W651">(INDEX(X$403:X$594,MATCH(1,($A651=$A$403:$A$594)*($B651=$B$403:$B$594)*("Weekday"=$D$403:$D$594),0))*Weekdays+INDEX(X$403:X$594,MATCH(1,($A651=$A$403:$A$594)*($B651=$B$403:$B$594)*("Weekend"=$D$403:$D$594),0))*WeekendDays)/DaysPerWeek</f>
        <v>0</v>
      </c>
      <c r="X651" s="11" cm="1">
        <f t="array" ref="X651">(INDEX(Y$403:Y$594,MATCH(1,($A651=$A$403:$A$594)*($B651=$B$403:$B$594)*("Weekday"=$D$403:$D$594),0))*Weekdays+INDEX(Y$403:Y$594,MATCH(1,($A651=$A$403:$A$594)*($B651=$B$403:$B$594)*("Weekend"=$D$403:$D$594),0))*WeekendDays)/DaysPerWeek</f>
        <v>0</v>
      </c>
      <c r="Y651" s="25" t="e">
        <f t="shared" si="422"/>
        <v>#DIV/0!</v>
      </c>
      <c r="Z651" s="32" t="e">
        <f t="shared" si="423"/>
        <v>#DIV/0!</v>
      </c>
    </row>
    <row r="652" spans="1:26" outlineLevel="1" x14ac:dyDescent="0.25">
      <c r="A652" t="s">
        <v>39</v>
      </c>
      <c r="B652" t="s">
        <v>151</v>
      </c>
      <c r="C652" s="7" t="s">
        <v>3</v>
      </c>
      <c r="D652" s="11" cm="1">
        <f t="array" ref="D652">(INDEX(E$403:E$594,MATCH(1,($A652=$A$403:$A$594)*($B652=$B$403:$B$594)*("Weekday"=$D$403:$D$594),0))*Weekdays+INDEX(E$403:E$594,MATCH(1,($A652=$A$403:$A$594)*($B652=$B$403:$B$594)*("Weekend"=$D$403:$D$594),0))*WeekendDays)/DaysPerWeek</f>
        <v>1.6861481347109446E-6</v>
      </c>
      <c r="E652" s="11" cm="1">
        <f t="array" ref="E652">(INDEX(F$403:F$594,MATCH(1,($A652=$A$403:$A$594)*($B652=$B$403:$B$594)*("Weekday"=$D$403:$D$594),0))*Weekdays+INDEX(F$403:F$594,MATCH(1,($A652=$A$403:$A$594)*($B652=$B$403:$B$594)*("Weekend"=$D$403:$D$594),0))*WeekendDays)/DaysPerWeek</f>
        <v>2.6102701482159382E-4</v>
      </c>
      <c r="F652" s="11" cm="1">
        <f t="array" ref="F652">(INDEX(G$403:G$594,MATCH(1,($A652=$A$403:$A$594)*($B652=$B$403:$B$594)*("Weekday"=$D$403:$D$594),0))*Weekdays+INDEX(G$403:G$594,MATCH(1,($A652=$A$403:$A$594)*($B652=$B$403:$B$594)*("Weekend"=$D$403:$D$594),0))*WeekendDays)/DaysPerWeek</f>
        <v>0</v>
      </c>
      <c r="G652" s="11" cm="1">
        <f t="array" ref="G652">(INDEX(H$403:H$594,MATCH(1,($A652=$A$403:$A$594)*($B652=$B$403:$B$594)*("Weekday"=$D$403:$D$594),0))*Weekdays+INDEX(H$403:H$594,MATCH(1,($A652=$A$403:$A$594)*($B652=$B$403:$B$594)*("Weekend"=$D$403:$D$594),0))*WeekendDays)/DaysPerWeek</f>
        <v>5.783910069892143E-5</v>
      </c>
      <c r="H652" s="11" cm="1">
        <f t="array" ref="H652">(INDEX(I$403:I$594,MATCH(1,($A652=$A$403:$A$594)*($B652=$B$403:$B$594)*("Weekday"=$D$403:$D$594),0))*Weekdays+INDEX(I$403:I$594,MATCH(1,($A652=$A$403:$A$594)*($B652=$B$403:$B$594)*("Weekend"=$D$403:$D$594),0))*WeekendDays)/DaysPerWeek</f>
        <v>2.915106337669801E-5</v>
      </c>
      <c r="I652" s="11" cm="1">
        <f t="array" ref="I652">(INDEX(J$403:J$594,MATCH(1,($A652=$A$403:$A$594)*($B652=$B$403:$B$594)*("Weekday"=$D$403:$D$594),0))*Weekdays+INDEX(J$403:J$594,MATCH(1,($A652=$A$403:$A$594)*($B652=$B$403:$B$594)*("Weekend"=$D$403:$D$594),0))*WeekendDays)/DaysPerWeek</f>
        <v>2.915106337669801E-5</v>
      </c>
      <c r="J652" s="11" cm="1">
        <f t="array" ref="J652">(INDEX(K$403:K$594,MATCH(1,($A652=$A$403:$A$594)*($B652=$B$403:$B$594)*("Weekday"=$D$403:$D$594),0))*Weekdays+INDEX(K$403:K$594,MATCH(1,($A652=$A$403:$A$594)*($B652=$B$403:$B$594)*("Weekend"=$D$403:$D$594),0))*WeekendDays)/DaysPerWeek</f>
        <v>2.5256495852158945E-6</v>
      </c>
      <c r="K652" s="11" cm="1">
        <f t="array" ref="K652">(INDEX(L$403:L$594,MATCH(1,($A652=$A$403:$A$594)*($B652=$B$403:$B$594)*("Weekday"=$D$403:$D$594),0))*Weekdays+INDEX(L$403:L$594,MATCH(1,($A652=$A$403:$A$594)*($B652=$B$403:$B$594)*("Weekend"=$D$403:$D$594),0))*WeekendDays)/DaysPerWeek</f>
        <v>2.4222120780643713E-4</v>
      </c>
      <c r="L652" s="11" cm="1">
        <f t="array" ref="L652">(INDEX(M$403:M$594,MATCH(1,($A652=$A$403:$A$594)*($B652=$B$403:$B$594)*("Weekday"=$D$403:$D$594),0))*Weekdays+INDEX(M$403:M$594,MATCH(1,($A652=$A$403:$A$594)*($B652=$B$403:$B$594)*("Weekend"=$D$403:$D$594),0))*WeekendDays)/DaysPerWeek</f>
        <v>0</v>
      </c>
      <c r="M652" s="11" cm="1">
        <f t="array" ref="M652">(INDEX(N$403:N$594,MATCH(1,($A652=$A$403:$A$594)*($B652=$B$403:$B$594)*("Weekday"=$D$403:$D$594),0))*Weekdays+INDEX(N$403:N$594,MATCH(1,($A652=$A$403:$A$594)*($B652=$B$403:$B$594)*("Weekend"=$D$403:$D$594),0))*WeekendDays)/DaysPerWeek</f>
        <v>5.8434959919575722E-5</v>
      </c>
      <c r="N652" s="11" cm="1">
        <f t="array" ref="N652">(INDEX(O$403:O$594,MATCH(1,($A652=$A$403:$A$594)*($B652=$B$403:$B$594)*("Weekday"=$D$403:$D$594),0))*Weekdays+INDEX(O$403:O$594,MATCH(1,($A652=$A$403:$A$594)*($B652=$B$403:$B$594)*("Weekend"=$D$403:$D$594),0))*WeekendDays)/DaysPerWeek</f>
        <v>5.8434959919575722E-5</v>
      </c>
      <c r="O652" s="11" cm="1">
        <f t="array" ref="O652">(INDEX(P$403:P$594,MATCH(1,($A652=$A$403:$A$594)*($B652=$B$403:$B$594)*("Weekday"=$D$403:$D$594),0))*Weekdays+INDEX(P$403:P$594,MATCH(1,($A652=$A$403:$A$594)*($B652=$B$403:$B$594)*("Weekend"=$D$403:$D$594),0))*WeekendDays)/DaysPerWeek</f>
        <v>0</v>
      </c>
      <c r="P652" s="11" cm="1">
        <f t="array" ref="P652">(INDEX(Q$403:Q$594,MATCH(1,($A652=$A$403:$A$594)*($B652=$B$403:$B$594)*("Weekday"=$D$403:$D$594),0))*Weekdays+INDEX(Q$403:Q$594,MATCH(1,($A652=$A$403:$A$594)*($B652=$B$403:$B$594)*("Weekend"=$D$403:$D$594),0))*WeekendDays)/DaysPerWeek</f>
        <v>4.8362699546466363E-5</v>
      </c>
      <c r="Q652" s="11" cm="1">
        <f t="array" ref="Q652">(INDEX(R$403:R$594,MATCH(1,($A652=$A$403:$A$594)*($B652=$B$403:$B$594)*("Weekday"=$D$403:$D$594),0))*Weekdays+INDEX(R$403:R$594,MATCH(1,($A652=$A$403:$A$594)*($B652=$B$403:$B$594)*("Weekend"=$D$403:$D$594),0))*WeekendDays)/DaysPerWeek</f>
        <v>4.836269954646637E-5</v>
      </c>
      <c r="R652" s="11" cm="1">
        <f t="array" ref="R652">(INDEX(S$403:S$594,MATCH(1,($A652=$A$403:$A$594)*($B652=$B$403:$B$594)*("Weekday"=$D$403:$D$594),0))*Weekdays+INDEX(S$403:S$594,MATCH(1,($A652=$A$403:$A$594)*($B652=$B$403:$B$594)*("Weekend"=$D$403:$D$594),0))*WeekendDays)/DaysPerWeek</f>
        <v>0</v>
      </c>
      <c r="S652" s="11" cm="1">
        <f t="array" ref="S652">(INDEX(T$403:T$594,MATCH(1,($A652=$A$403:$A$594)*($B652=$B$403:$B$594)*("Weekday"=$D$403:$D$594),0))*Weekdays+INDEX(T$403:T$594,MATCH(1,($A652=$A$403:$A$594)*($B652=$B$403:$B$594)*("Weekend"=$D$403:$D$594),0))*WeekendDays)/DaysPerWeek</f>
        <v>4.8362699546466376E-5</v>
      </c>
      <c r="T652" s="11" cm="1">
        <f t="array" ref="T652">(INDEX(U$403:U$594,MATCH(1,($A652=$A$403:$A$594)*($B652=$B$403:$B$594)*("Weekday"=$D$403:$D$594),0))*Weekdays+INDEX(U$403:U$594,MATCH(1,($A652=$A$403:$A$594)*($B652=$B$403:$B$594)*("Weekend"=$D$403:$D$594),0))*WeekendDays)/DaysPerWeek</f>
        <v>0</v>
      </c>
      <c r="U652" s="11" t="e" cm="1">
        <f t="array" ref="U652">(INDEX(V$403:V$594,MATCH(1,($A652=$A$403:$A$594)*($B652=$B$403:$B$594)*("Weekday"=$D$403:$D$594),0))*Weekdays+INDEX(V$403:V$594,MATCH(1,($A652=$A$403:$A$594)*($B652=$B$403:$B$594)*("Weekend"=$D$403:$D$594),0))*WeekendDays)/DaysPerWeek</f>
        <v>#DIV/0!</v>
      </c>
      <c r="V652" s="11" cm="1">
        <f t="array" ref="V652">(INDEX(W$403:W$594,MATCH(1,($A652=$A$403:$A$594)*($B652=$B$403:$B$594)*("Weekday"=$D$403:$D$594),0))*Weekdays+INDEX(W$403:W$594,MATCH(1,($A652=$A$403:$A$594)*($B652=$B$403:$B$594)*("Weekend"=$D$403:$D$594),0))*WeekendDays)/DaysPerWeek</f>
        <v>1.1047886596768591E-4</v>
      </c>
      <c r="W652" s="11" cm="1">
        <f t="array" ref="W652">(INDEX(X$403:X$594,MATCH(1,($A652=$A$403:$A$594)*($B652=$B$403:$B$594)*("Weekday"=$D$403:$D$594),0))*Weekdays+INDEX(X$403:X$594,MATCH(1,($A652=$A$403:$A$594)*($B652=$B$403:$B$594)*("Weekend"=$D$403:$D$594),0))*WeekendDays)/DaysPerWeek</f>
        <v>0</v>
      </c>
      <c r="X652" s="11" cm="1">
        <f t="array" ref="X652">(INDEX(Y$403:Y$594,MATCH(1,($A652=$A$403:$A$594)*($B652=$B$403:$B$594)*("Weekday"=$D$403:$D$594),0))*Weekdays+INDEX(Y$403:Y$594,MATCH(1,($A652=$A$403:$A$594)*($B652=$B$403:$B$594)*("Weekend"=$D$403:$D$594),0))*WeekendDays)/DaysPerWeek</f>
        <v>0</v>
      </c>
      <c r="Y652" s="25" t="e">
        <f t="shared" si="422"/>
        <v>#DIV/0!</v>
      </c>
      <c r="Z652" s="32" t="e">
        <f t="shared" si="423"/>
        <v>#DIV/0!</v>
      </c>
    </row>
    <row r="653" spans="1:26" outlineLevel="1" x14ac:dyDescent="0.25">
      <c r="A653" t="s">
        <v>39</v>
      </c>
      <c r="B653" t="s">
        <v>152</v>
      </c>
      <c r="C653" s="7" t="s">
        <v>4</v>
      </c>
      <c r="D653" s="11" cm="1">
        <f t="array" ref="D653">(INDEX(E$403:E$594,MATCH(1,($A653=$A$403:$A$594)*($B653=$B$403:$B$594)*("Weekday"=$D$403:$D$594),0))*Weekdays+INDEX(E$403:E$594,MATCH(1,($A653=$A$403:$A$594)*($B653=$B$403:$B$594)*("Weekend"=$D$403:$D$594),0))*WeekendDays)/DaysPerWeek</f>
        <v>2.4145230206415195E-6</v>
      </c>
      <c r="E653" s="11" cm="1">
        <f t="array" ref="E653">(INDEX(F$403:F$594,MATCH(1,($A653=$A$403:$A$594)*($B653=$B$403:$B$594)*("Weekday"=$D$403:$D$594),0))*Weekdays+INDEX(F$403:F$594,MATCH(1,($A653=$A$403:$A$594)*($B653=$B$403:$B$594)*("Weekend"=$D$403:$D$594),0))*WeekendDays)/DaysPerWeek</f>
        <v>2.924329919832486E-4</v>
      </c>
      <c r="F653" s="11" cm="1">
        <f t="array" ref="F653">(INDEX(G$403:G$594,MATCH(1,($A653=$A$403:$A$594)*($B653=$B$403:$B$594)*("Weekday"=$D$403:$D$594),0))*Weekdays+INDEX(G$403:G$594,MATCH(1,($A653=$A$403:$A$594)*($B653=$B$403:$B$594)*("Weekend"=$D$403:$D$594),0))*WeekendDays)/DaysPerWeek</f>
        <v>0</v>
      </c>
      <c r="G653" s="11" cm="1">
        <f t="array" ref="G653">(INDEX(H$403:H$594,MATCH(1,($A653=$A$403:$A$594)*($B653=$B$403:$B$594)*("Weekday"=$D$403:$D$594),0))*Weekdays+INDEX(H$403:H$594,MATCH(1,($A653=$A$403:$A$594)*($B653=$B$403:$B$594)*("Weekend"=$D$403:$D$594),0))*WeekendDays)/DaysPerWeek</f>
        <v>7.2745549025955391E-5</v>
      </c>
      <c r="H653" s="11" cm="1">
        <f t="array" ref="H653">(INDEX(I$403:I$594,MATCH(1,($A653=$A$403:$A$594)*($B653=$B$403:$B$594)*("Weekday"=$D$403:$D$594),0))*Weekdays+INDEX(I$403:I$594,MATCH(1,($A653=$A$403:$A$594)*($B653=$B$403:$B$594)*("Weekend"=$D$403:$D$594),0))*WeekendDays)/DaysPerWeek</f>
        <v>5.5526603118212311E-5</v>
      </c>
      <c r="I653" s="11" cm="1">
        <f t="array" ref="I653">(INDEX(J$403:J$594,MATCH(1,($A653=$A$403:$A$594)*($B653=$B$403:$B$594)*("Weekday"=$D$403:$D$594),0))*Weekdays+INDEX(J$403:J$594,MATCH(1,($A653=$A$403:$A$594)*($B653=$B$403:$B$594)*("Weekend"=$D$403:$D$594),0))*WeekendDays)/DaysPerWeek</f>
        <v>5.5526603118212311E-5</v>
      </c>
      <c r="J653" s="11" cm="1">
        <f t="array" ref="J653">(INDEX(K$403:K$594,MATCH(1,($A653=$A$403:$A$594)*($B653=$B$403:$B$594)*("Weekday"=$D$403:$D$594),0))*Weekdays+INDEX(K$403:K$594,MATCH(1,($A653=$A$403:$A$594)*($B653=$B$403:$B$594)*("Weekend"=$D$403:$D$594),0))*WeekendDays)/DaysPerWeek</f>
        <v>3.1953905929165368E-6</v>
      </c>
      <c r="K653" s="11" cm="1">
        <f t="array" ref="K653">(INDEX(L$403:L$594,MATCH(1,($A653=$A$403:$A$594)*($B653=$B$403:$B$594)*("Weekday"=$D$403:$D$594),0))*Weekdays+INDEX(L$403:L$594,MATCH(1,($A653=$A$403:$A$594)*($B653=$B$403:$B$594)*("Weekend"=$D$403:$D$594),0))*WeekendDays)/DaysPerWeek</f>
        <v>2.5981084506456224E-4</v>
      </c>
      <c r="L653" s="11" cm="1">
        <f t="array" ref="L653">(INDEX(M$403:M$594,MATCH(1,($A653=$A$403:$A$594)*($B653=$B$403:$B$594)*("Weekday"=$D$403:$D$594),0))*Weekdays+INDEX(M$403:M$594,MATCH(1,($A653=$A$403:$A$594)*($B653=$B$403:$B$594)*("Weekend"=$D$403:$D$594),0))*WeekendDays)/DaysPerWeek</f>
        <v>0</v>
      </c>
      <c r="M653" s="11" cm="1">
        <f t="array" ref="M653">(INDEX(N$403:N$594,MATCH(1,($A653=$A$403:$A$594)*($B653=$B$403:$B$594)*("Weekday"=$D$403:$D$594),0))*Weekdays+INDEX(N$403:N$594,MATCH(1,($A653=$A$403:$A$594)*($B653=$B$403:$B$594)*("Weekend"=$D$403:$D$594),0))*WeekendDays)/DaysPerWeek</f>
        <v>6.6451666075948972E-5</v>
      </c>
      <c r="N653" s="11" cm="1">
        <f t="array" ref="N653">(INDEX(O$403:O$594,MATCH(1,($A653=$A$403:$A$594)*($B653=$B$403:$B$594)*("Weekday"=$D$403:$D$594),0))*Weekdays+INDEX(O$403:O$594,MATCH(1,($A653=$A$403:$A$594)*($B653=$B$403:$B$594)*("Weekend"=$D$403:$D$594),0))*WeekendDays)/DaysPerWeek</f>
        <v>6.6451666075948972E-5</v>
      </c>
      <c r="O653" s="11" cm="1">
        <f t="array" ref="O653">(INDEX(P$403:P$594,MATCH(1,($A653=$A$403:$A$594)*($B653=$B$403:$B$594)*("Weekday"=$D$403:$D$594),0))*Weekdays+INDEX(P$403:P$594,MATCH(1,($A653=$A$403:$A$594)*($B653=$B$403:$B$594)*("Weekend"=$D$403:$D$594),0))*WeekendDays)/DaysPerWeek</f>
        <v>0</v>
      </c>
      <c r="P653" s="11" cm="1">
        <f t="array" ref="P653">(INDEX(Q$403:Q$594,MATCH(1,($A653=$A$403:$A$594)*($B653=$B$403:$B$594)*("Weekday"=$D$403:$D$594),0))*Weekdays+INDEX(Q$403:Q$594,MATCH(1,($A653=$A$403:$A$594)*($B653=$B$403:$B$594)*("Weekend"=$D$403:$D$594),0))*WeekendDays)/DaysPerWeek</f>
        <v>4.9489955956505721E-5</v>
      </c>
      <c r="Q653" s="11" cm="1">
        <f t="array" ref="Q653">(INDEX(R$403:R$594,MATCH(1,($A653=$A$403:$A$594)*($B653=$B$403:$B$594)*("Weekday"=$D$403:$D$594),0))*Weekdays+INDEX(R$403:R$594,MATCH(1,($A653=$A$403:$A$594)*($B653=$B$403:$B$594)*("Weekend"=$D$403:$D$594),0))*WeekendDays)/DaysPerWeek</f>
        <v>4.9489955956505734E-5</v>
      </c>
      <c r="R653" s="11" cm="1">
        <f t="array" ref="R653">(INDEX(S$403:S$594,MATCH(1,($A653=$A$403:$A$594)*($B653=$B$403:$B$594)*("Weekday"=$D$403:$D$594),0))*Weekdays+INDEX(S$403:S$594,MATCH(1,($A653=$A$403:$A$594)*($B653=$B$403:$B$594)*("Weekend"=$D$403:$D$594),0))*WeekendDays)/DaysPerWeek</f>
        <v>0</v>
      </c>
      <c r="S653" s="11" cm="1">
        <f t="array" ref="S653">(INDEX(T$403:T$594,MATCH(1,($A653=$A$403:$A$594)*($B653=$B$403:$B$594)*("Weekday"=$D$403:$D$594),0))*Weekdays+INDEX(T$403:T$594,MATCH(1,($A653=$A$403:$A$594)*($B653=$B$403:$B$594)*("Weekend"=$D$403:$D$594),0))*WeekendDays)/DaysPerWeek</f>
        <v>4.9489955956505741E-5</v>
      </c>
      <c r="T653" s="11" cm="1">
        <f t="array" ref="T653">(INDEX(U$403:U$594,MATCH(1,($A653=$A$403:$A$594)*($B653=$B$403:$B$594)*("Weekday"=$D$403:$D$594),0))*Weekdays+INDEX(U$403:U$594,MATCH(1,($A653=$A$403:$A$594)*($B653=$B$403:$B$594)*("Weekend"=$D$403:$D$594),0))*WeekendDays)/DaysPerWeek</f>
        <v>0</v>
      </c>
      <c r="U653" s="11" t="e" cm="1">
        <f t="array" ref="U653">(INDEX(V$403:V$594,MATCH(1,($A653=$A$403:$A$594)*($B653=$B$403:$B$594)*("Weekday"=$D$403:$D$594),0))*Weekdays+INDEX(V$403:V$594,MATCH(1,($A653=$A$403:$A$594)*($B653=$B$403:$B$594)*("Weekend"=$D$403:$D$594),0))*WeekendDays)/DaysPerWeek</f>
        <v>#DIV/0!</v>
      </c>
      <c r="V653" s="11" cm="1">
        <f t="array" ref="V653">(INDEX(W$403:W$594,MATCH(1,($A653=$A$403:$A$594)*($B653=$B$403:$B$594)*("Weekday"=$D$403:$D$594),0))*Weekdays+INDEX(W$403:W$594,MATCH(1,($A653=$A$403:$A$594)*($B653=$B$403:$B$594)*("Weekend"=$D$403:$D$594),0))*WeekendDays)/DaysPerWeek</f>
        <v>1.1141799267601377E-4</v>
      </c>
      <c r="W653" s="11" cm="1">
        <f t="array" ref="W653">(INDEX(X$403:X$594,MATCH(1,($A653=$A$403:$A$594)*($B653=$B$403:$B$594)*("Weekday"=$D$403:$D$594),0))*Weekdays+INDEX(X$403:X$594,MATCH(1,($A653=$A$403:$A$594)*($B653=$B$403:$B$594)*("Weekend"=$D$403:$D$594),0))*WeekendDays)/DaysPerWeek</f>
        <v>0</v>
      </c>
      <c r="X653" s="11" cm="1">
        <f t="array" ref="X653">(INDEX(Y$403:Y$594,MATCH(1,($A653=$A$403:$A$594)*($B653=$B$403:$B$594)*("Weekday"=$D$403:$D$594),0))*Weekdays+INDEX(Y$403:Y$594,MATCH(1,($A653=$A$403:$A$594)*($B653=$B$403:$B$594)*("Weekend"=$D$403:$D$594),0))*WeekendDays)/DaysPerWeek</f>
        <v>0</v>
      </c>
      <c r="Y653" s="25" t="e">
        <f t="shared" si="422"/>
        <v>#DIV/0!</v>
      </c>
      <c r="Z653" s="32" t="e">
        <f t="shared" si="423"/>
        <v>#DIV/0!</v>
      </c>
    </row>
    <row r="654" spans="1:26" outlineLevel="1" x14ac:dyDescent="0.25">
      <c r="A654" t="s">
        <v>39</v>
      </c>
      <c r="B654" t="s">
        <v>153</v>
      </c>
      <c r="C654" s="7" t="s">
        <v>5</v>
      </c>
      <c r="D654" s="11" cm="1">
        <f t="array" ref="D654">(INDEX(E$403:E$594,MATCH(1,($A654=$A$403:$A$594)*($B654=$B$403:$B$594)*("Weekday"=$D$403:$D$594),0))*Weekdays+INDEX(E$403:E$594,MATCH(1,($A654=$A$403:$A$594)*($B654=$B$403:$B$594)*("Weekend"=$D$403:$D$594),0))*WeekendDays)/DaysPerWeek</f>
        <v>2.7412064781733437E-6</v>
      </c>
      <c r="E654" s="11" cm="1">
        <f t="array" ref="E654">(INDEX(F$403:F$594,MATCH(1,($A654=$A$403:$A$594)*($B654=$B$403:$B$594)*("Weekday"=$D$403:$D$594),0))*Weekdays+INDEX(F$403:F$594,MATCH(1,($A654=$A$403:$A$594)*($B654=$B$403:$B$594)*("Weekend"=$D$403:$D$594),0))*WeekendDays)/DaysPerWeek</f>
        <v>3.1295091521566621E-4</v>
      </c>
      <c r="F654" s="11" cm="1">
        <f t="array" ref="F654">(INDEX(G$403:G$594,MATCH(1,($A654=$A$403:$A$594)*($B654=$B$403:$B$594)*("Weekday"=$D$403:$D$594),0))*Weekdays+INDEX(G$403:G$594,MATCH(1,($A654=$A$403:$A$594)*($B654=$B$403:$B$594)*("Weekend"=$D$403:$D$594),0))*WeekendDays)/DaysPerWeek</f>
        <v>0</v>
      </c>
      <c r="G654" s="11" cm="1">
        <f t="array" ref="G654">(INDEX(H$403:H$594,MATCH(1,($A654=$A$403:$A$594)*($B654=$B$403:$B$594)*("Weekday"=$D$403:$D$594),0))*Weekdays+INDEX(H$403:H$594,MATCH(1,($A654=$A$403:$A$594)*($B654=$B$403:$B$594)*("Weekend"=$D$403:$D$594),0))*WeekendDays)/DaysPerWeek</f>
        <v>4.7857855586225036E-5</v>
      </c>
      <c r="H654" s="11" cm="1">
        <f t="array" ref="H654">(INDEX(I$403:I$594,MATCH(1,($A654=$A$403:$A$594)*($B654=$B$403:$B$594)*("Weekday"=$D$403:$D$594),0))*Weekdays+INDEX(I$403:I$594,MATCH(1,($A654=$A$403:$A$594)*($B654=$B$403:$B$594)*("Weekend"=$D$403:$D$594),0))*WeekendDays)/DaysPerWeek</f>
        <v>1.0638249235491903E-4</v>
      </c>
      <c r="I654" s="11" cm="1">
        <f t="array" ref="I654">(INDEX(J$403:J$594,MATCH(1,($A654=$A$403:$A$594)*($B654=$B$403:$B$594)*("Weekday"=$D$403:$D$594),0))*Weekdays+INDEX(J$403:J$594,MATCH(1,($A654=$A$403:$A$594)*($B654=$B$403:$B$594)*("Weekend"=$D$403:$D$594),0))*WeekendDays)/DaysPerWeek</f>
        <v>1.0638249235491903E-4</v>
      </c>
      <c r="J654" s="11" cm="1">
        <f t="array" ref="J654">(INDEX(K$403:K$594,MATCH(1,($A654=$A$403:$A$594)*($B654=$B$403:$B$594)*("Weekday"=$D$403:$D$594),0))*Weekdays+INDEX(K$403:K$594,MATCH(1,($A654=$A$403:$A$594)*($B654=$B$403:$B$594)*("Weekend"=$D$403:$D$594),0))*WeekendDays)/DaysPerWeek</f>
        <v>4.1716278292993025E-6</v>
      </c>
      <c r="K654" s="11" cm="1">
        <f t="array" ref="K654">(INDEX(L$403:L$594,MATCH(1,($A654=$A$403:$A$594)*($B654=$B$403:$B$594)*("Weekday"=$D$403:$D$594),0))*Weekdays+INDEX(L$403:L$594,MATCH(1,($A654=$A$403:$A$594)*($B654=$B$403:$B$594)*("Weekend"=$D$403:$D$594),0))*WeekendDays)/DaysPerWeek</f>
        <v>2.9363452723573134E-4</v>
      </c>
      <c r="L654" s="11" cm="1">
        <f t="array" ref="L654">(INDEX(M$403:M$594,MATCH(1,($A654=$A$403:$A$594)*($B654=$B$403:$B$594)*("Weekday"=$D$403:$D$594),0))*Weekdays+INDEX(M$403:M$594,MATCH(1,($A654=$A$403:$A$594)*($B654=$B$403:$B$594)*("Weekend"=$D$403:$D$594),0))*WeekendDays)/DaysPerWeek</f>
        <v>0</v>
      </c>
      <c r="M654" s="11" cm="1">
        <f t="array" ref="M654">(INDEX(N$403:N$594,MATCH(1,($A654=$A$403:$A$594)*($B654=$B$403:$B$594)*("Weekday"=$D$403:$D$594),0))*Weekdays+INDEX(N$403:N$594,MATCH(1,($A654=$A$403:$A$594)*($B654=$B$403:$B$594)*("Weekend"=$D$403:$D$594),0))*WeekendDays)/DaysPerWeek</f>
        <v>9.2701052816874727E-5</v>
      </c>
      <c r="N654" s="11" cm="1">
        <f t="array" ref="N654">(INDEX(O$403:O$594,MATCH(1,($A654=$A$403:$A$594)*($B654=$B$403:$B$594)*("Weekday"=$D$403:$D$594),0))*Weekdays+INDEX(O$403:O$594,MATCH(1,($A654=$A$403:$A$594)*($B654=$B$403:$B$594)*("Weekend"=$D$403:$D$594),0))*WeekendDays)/DaysPerWeek</f>
        <v>9.2701052816874727E-5</v>
      </c>
      <c r="O654" s="11" cm="1">
        <f t="array" ref="O654">(INDEX(P$403:P$594,MATCH(1,($A654=$A$403:$A$594)*($B654=$B$403:$B$594)*("Weekday"=$D$403:$D$594),0))*Weekdays+INDEX(P$403:P$594,MATCH(1,($A654=$A$403:$A$594)*($B654=$B$403:$B$594)*("Weekend"=$D$403:$D$594),0))*WeekendDays)/DaysPerWeek</f>
        <v>0</v>
      </c>
      <c r="P654" s="11" cm="1">
        <f t="array" ref="P654">(INDEX(Q$403:Q$594,MATCH(1,($A654=$A$403:$A$594)*($B654=$B$403:$B$594)*("Weekday"=$D$403:$D$594),0))*Weekdays+INDEX(Q$403:Q$594,MATCH(1,($A654=$A$403:$A$594)*($B654=$B$403:$B$594)*("Weekend"=$D$403:$D$594),0))*WeekendDays)/DaysPerWeek</f>
        <v>7.0174250413190573E-5</v>
      </c>
      <c r="Q654" s="11" cm="1">
        <f t="array" ref="Q654">(INDEX(R$403:R$594,MATCH(1,($A654=$A$403:$A$594)*($B654=$B$403:$B$594)*("Weekday"=$D$403:$D$594),0))*Weekdays+INDEX(R$403:R$594,MATCH(1,($A654=$A$403:$A$594)*($B654=$B$403:$B$594)*("Weekend"=$D$403:$D$594),0))*WeekendDays)/DaysPerWeek</f>
        <v>7.01742504131906E-5</v>
      </c>
      <c r="R654" s="11" cm="1">
        <f t="array" ref="R654">(INDEX(S$403:S$594,MATCH(1,($A654=$A$403:$A$594)*($B654=$B$403:$B$594)*("Weekday"=$D$403:$D$594),0))*Weekdays+INDEX(S$403:S$594,MATCH(1,($A654=$A$403:$A$594)*($B654=$B$403:$B$594)*("Weekend"=$D$403:$D$594),0))*WeekendDays)/DaysPerWeek</f>
        <v>0</v>
      </c>
      <c r="S654" s="11" cm="1">
        <f t="array" ref="S654">(INDEX(T$403:T$594,MATCH(1,($A654=$A$403:$A$594)*($B654=$B$403:$B$594)*("Weekday"=$D$403:$D$594),0))*Weekdays+INDEX(T$403:T$594,MATCH(1,($A654=$A$403:$A$594)*($B654=$B$403:$B$594)*("Weekend"=$D$403:$D$594),0))*WeekendDays)/DaysPerWeek</f>
        <v>7.01742504131906E-5</v>
      </c>
      <c r="T654" s="11" cm="1">
        <f t="array" ref="T654">(INDEX(U$403:U$594,MATCH(1,($A654=$A$403:$A$594)*($B654=$B$403:$B$594)*("Weekday"=$D$403:$D$594),0))*Weekdays+INDEX(U$403:U$594,MATCH(1,($A654=$A$403:$A$594)*($B654=$B$403:$B$594)*("Weekend"=$D$403:$D$594),0))*WeekendDays)/DaysPerWeek</f>
        <v>0</v>
      </c>
      <c r="U654" s="11" t="e" cm="1">
        <f t="array" ref="U654">(INDEX(V$403:V$594,MATCH(1,($A654=$A$403:$A$594)*($B654=$B$403:$B$594)*("Weekday"=$D$403:$D$594),0))*Weekdays+INDEX(V$403:V$594,MATCH(1,($A654=$A$403:$A$594)*($B654=$B$403:$B$594)*("Weekend"=$D$403:$D$594),0))*WeekendDays)/DaysPerWeek</f>
        <v>#DIV/0!</v>
      </c>
      <c r="V654" s="11" cm="1">
        <f t="array" ref="V654">(INDEX(W$403:W$594,MATCH(1,($A654=$A$403:$A$594)*($B654=$B$403:$B$594)*("Weekday"=$D$403:$D$594),0))*Weekdays+INDEX(W$403:W$594,MATCH(1,($A654=$A$403:$A$594)*($B654=$B$403:$B$594)*("Weekend"=$D$403:$D$594),0))*WeekendDays)/DaysPerWeek</f>
        <v>1.1246981458934091E-4</v>
      </c>
      <c r="W654" s="11" cm="1">
        <f t="array" ref="W654">(INDEX(X$403:X$594,MATCH(1,($A654=$A$403:$A$594)*($B654=$B$403:$B$594)*("Weekday"=$D$403:$D$594),0))*Weekdays+INDEX(X$403:X$594,MATCH(1,($A654=$A$403:$A$594)*($B654=$B$403:$B$594)*("Weekend"=$D$403:$D$594),0))*WeekendDays)/DaysPerWeek</f>
        <v>0</v>
      </c>
      <c r="X654" s="11" cm="1">
        <f t="array" ref="X654">(INDEX(Y$403:Y$594,MATCH(1,($A654=$A$403:$A$594)*($B654=$B$403:$B$594)*("Weekday"=$D$403:$D$594),0))*Weekdays+INDEX(Y$403:Y$594,MATCH(1,($A654=$A$403:$A$594)*($B654=$B$403:$B$594)*("Weekend"=$D$403:$D$594),0))*WeekendDays)/DaysPerWeek</f>
        <v>0</v>
      </c>
      <c r="Y654" s="25" t="e">
        <f t="shared" si="422"/>
        <v>#DIV/0!</v>
      </c>
      <c r="Z654" s="32" t="e">
        <f t="shared" si="423"/>
        <v>#DIV/0!</v>
      </c>
    </row>
    <row r="655" spans="1:26" outlineLevel="1" x14ac:dyDescent="0.25">
      <c r="A655" t="s">
        <v>39</v>
      </c>
      <c r="B655" t="s">
        <v>154</v>
      </c>
      <c r="C655" s="7" t="s">
        <v>6</v>
      </c>
      <c r="D655" s="11" cm="1">
        <f t="array" ref="D655">(INDEX(E$403:E$594,MATCH(1,($A655=$A$403:$A$594)*($B655=$B$403:$B$594)*("Weekday"=$D$403:$D$594),0))*Weekdays+INDEX(E$403:E$594,MATCH(1,($A655=$A$403:$A$594)*($B655=$B$403:$B$594)*("Weekend"=$D$403:$D$594),0))*WeekendDays)/DaysPerWeek</f>
        <v>2.9042544460143924E-6</v>
      </c>
      <c r="E655" s="11" cm="1">
        <f t="array" ref="E655">(INDEX(F$403:F$594,MATCH(1,($A655=$A$403:$A$594)*($B655=$B$403:$B$594)*("Weekday"=$D$403:$D$594),0))*Weekdays+INDEX(F$403:F$594,MATCH(1,($A655=$A$403:$A$594)*($B655=$B$403:$B$594)*("Weekend"=$D$403:$D$594),0))*WeekendDays)/DaysPerWeek</f>
        <v>3.1440349731031353E-4</v>
      </c>
      <c r="F655" s="11" cm="1">
        <f t="array" ref="F655">(INDEX(G$403:G$594,MATCH(1,($A655=$A$403:$A$594)*($B655=$B$403:$B$594)*("Weekday"=$D$403:$D$594),0))*Weekdays+INDEX(G$403:G$594,MATCH(1,($A655=$A$403:$A$594)*($B655=$B$403:$B$594)*("Weekend"=$D$403:$D$594),0))*WeekendDays)/DaysPerWeek</f>
        <v>0</v>
      </c>
      <c r="G655" s="11" cm="1">
        <f t="array" ref="G655">(INDEX(H$403:H$594,MATCH(1,($A655=$A$403:$A$594)*($B655=$B$403:$B$594)*("Weekday"=$D$403:$D$594),0))*Weekdays+INDEX(H$403:H$594,MATCH(1,($A655=$A$403:$A$594)*($B655=$B$403:$B$594)*("Weekend"=$D$403:$D$594),0))*WeekendDays)/DaysPerWeek</f>
        <v>4.9563276308780394E-5</v>
      </c>
      <c r="H655" s="11" cm="1">
        <f t="array" ref="H655">(INDEX(I$403:I$594,MATCH(1,($A655=$A$403:$A$594)*($B655=$B$403:$B$594)*("Weekday"=$D$403:$D$594),0))*Weekdays+INDEX(I$403:I$594,MATCH(1,($A655=$A$403:$A$594)*($B655=$B$403:$B$594)*("Weekend"=$D$403:$D$594),0))*WeekendDays)/DaysPerWeek</f>
        <v>1.5067316325280736E-4</v>
      </c>
      <c r="I655" s="11" cm="1">
        <f t="array" ref="I655">(INDEX(J$403:J$594,MATCH(1,($A655=$A$403:$A$594)*($B655=$B$403:$B$594)*("Weekday"=$D$403:$D$594),0))*Weekdays+INDEX(J$403:J$594,MATCH(1,($A655=$A$403:$A$594)*($B655=$B$403:$B$594)*("Weekend"=$D$403:$D$594),0))*WeekendDays)/DaysPerWeek</f>
        <v>1.5067316325280736E-4</v>
      </c>
      <c r="J655" s="11" cm="1">
        <f t="array" ref="J655">(INDEX(K$403:K$594,MATCH(1,($A655=$A$403:$A$594)*($B655=$B$403:$B$594)*("Weekday"=$D$403:$D$594),0))*Weekdays+INDEX(K$403:K$594,MATCH(1,($A655=$A$403:$A$594)*($B655=$B$403:$B$594)*("Weekend"=$D$403:$D$594),0))*WeekendDays)/DaysPerWeek</f>
        <v>3.6405687183865292E-6</v>
      </c>
      <c r="K655" s="11" cm="1">
        <f t="array" ref="K655">(INDEX(L$403:L$594,MATCH(1,($A655=$A$403:$A$594)*($B655=$B$403:$B$594)*("Weekday"=$D$403:$D$594),0))*Weekdays+INDEX(L$403:L$594,MATCH(1,($A655=$A$403:$A$594)*($B655=$B$403:$B$594)*("Weekend"=$D$403:$D$594),0))*WeekendDays)/DaysPerWeek</f>
        <v>3.4607280673081871E-4</v>
      </c>
      <c r="L655" s="11" cm="1">
        <f t="array" ref="L655">(INDEX(M$403:M$594,MATCH(1,($A655=$A$403:$A$594)*($B655=$B$403:$B$594)*("Weekday"=$D$403:$D$594),0))*Weekdays+INDEX(M$403:M$594,MATCH(1,($A655=$A$403:$A$594)*($B655=$B$403:$B$594)*("Weekend"=$D$403:$D$594),0))*WeekendDays)/DaysPerWeek</f>
        <v>0</v>
      </c>
      <c r="M655" s="11" cm="1">
        <f t="array" ref="M655">(INDEX(N$403:N$594,MATCH(1,($A655=$A$403:$A$594)*($B655=$B$403:$B$594)*("Weekday"=$D$403:$D$594),0))*Weekdays+INDEX(N$403:N$594,MATCH(1,($A655=$A$403:$A$594)*($B655=$B$403:$B$594)*("Weekend"=$D$403:$D$594),0))*WeekendDays)/DaysPerWeek</f>
        <v>1.2458181392605391E-4</v>
      </c>
      <c r="N655" s="11" cm="1">
        <f t="array" ref="N655">(INDEX(O$403:O$594,MATCH(1,($A655=$A$403:$A$594)*($B655=$B$403:$B$594)*("Weekday"=$D$403:$D$594),0))*Weekdays+INDEX(O$403:O$594,MATCH(1,($A655=$A$403:$A$594)*($B655=$B$403:$B$594)*("Weekend"=$D$403:$D$594),0))*WeekendDays)/DaysPerWeek</f>
        <v>1.2458181392605391E-4</v>
      </c>
      <c r="O655" s="11" cm="1">
        <f t="array" ref="O655">(INDEX(P$403:P$594,MATCH(1,($A655=$A$403:$A$594)*($B655=$B$403:$B$594)*("Weekday"=$D$403:$D$594),0))*Weekdays+INDEX(P$403:P$594,MATCH(1,($A655=$A$403:$A$594)*($B655=$B$403:$B$594)*("Weekend"=$D$403:$D$594),0))*WeekendDays)/DaysPerWeek</f>
        <v>0</v>
      </c>
      <c r="P655" s="11" cm="1">
        <f t="array" ref="P655">(INDEX(Q$403:Q$594,MATCH(1,($A655=$A$403:$A$594)*($B655=$B$403:$B$594)*("Weekday"=$D$403:$D$594),0))*Weekdays+INDEX(Q$403:Q$594,MATCH(1,($A655=$A$403:$A$594)*($B655=$B$403:$B$594)*("Weekend"=$D$403:$D$594),0))*WeekendDays)/DaysPerWeek</f>
        <v>1.3132658171338018E-4</v>
      </c>
      <c r="Q655" s="11" cm="1">
        <f t="array" ref="Q655">(INDEX(R$403:R$594,MATCH(1,($A655=$A$403:$A$594)*($B655=$B$403:$B$594)*("Weekday"=$D$403:$D$594),0))*Weekdays+INDEX(R$403:R$594,MATCH(1,($A655=$A$403:$A$594)*($B655=$B$403:$B$594)*("Weekend"=$D$403:$D$594),0))*WeekendDays)/DaysPerWeek</f>
        <v>1.3132658171338023E-4</v>
      </c>
      <c r="R655" s="11" cm="1">
        <f t="array" ref="R655">(INDEX(S$403:S$594,MATCH(1,($A655=$A$403:$A$594)*($B655=$B$403:$B$594)*("Weekday"=$D$403:$D$594),0))*Weekdays+INDEX(S$403:S$594,MATCH(1,($A655=$A$403:$A$594)*($B655=$B$403:$B$594)*("Weekend"=$D$403:$D$594),0))*WeekendDays)/DaysPerWeek</f>
        <v>0</v>
      </c>
      <c r="S655" s="11" cm="1">
        <f t="array" ref="S655">(INDEX(T$403:T$594,MATCH(1,($A655=$A$403:$A$594)*($B655=$B$403:$B$594)*("Weekday"=$D$403:$D$594),0))*Weekdays+INDEX(T$403:T$594,MATCH(1,($A655=$A$403:$A$594)*($B655=$B$403:$B$594)*("Weekend"=$D$403:$D$594),0))*WeekendDays)/DaysPerWeek</f>
        <v>1.3132658171338026E-4</v>
      </c>
      <c r="T655" s="11" cm="1">
        <f t="array" ref="T655">(INDEX(U$403:U$594,MATCH(1,($A655=$A$403:$A$594)*($B655=$B$403:$B$594)*("Weekday"=$D$403:$D$594),0))*Weekdays+INDEX(U$403:U$594,MATCH(1,($A655=$A$403:$A$594)*($B655=$B$403:$B$594)*("Weekend"=$D$403:$D$594),0))*WeekendDays)/DaysPerWeek</f>
        <v>0</v>
      </c>
      <c r="U655" s="11" t="e" cm="1">
        <f t="array" ref="U655">(INDEX(V$403:V$594,MATCH(1,($A655=$A$403:$A$594)*($B655=$B$403:$B$594)*("Weekday"=$D$403:$D$594),0))*Weekdays+INDEX(V$403:V$594,MATCH(1,($A655=$A$403:$A$594)*($B655=$B$403:$B$594)*("Weekend"=$D$403:$D$594),0))*WeekendDays)/DaysPerWeek</f>
        <v>#DIV/0!</v>
      </c>
      <c r="V655" s="11" cm="1">
        <f t="array" ref="V655">(INDEX(W$403:W$594,MATCH(1,($A655=$A$403:$A$594)*($B655=$B$403:$B$594)*("Weekday"=$D$403:$D$594),0))*Weekdays+INDEX(W$403:W$594,MATCH(1,($A655=$A$403:$A$594)*($B655=$B$403:$B$594)*("Weekend"=$D$403:$D$594),0))*WeekendDays)/DaysPerWeek</f>
        <v>1.1322111595600317E-4</v>
      </c>
      <c r="W655" s="11" cm="1">
        <f t="array" ref="W655">(INDEX(X$403:X$594,MATCH(1,($A655=$A$403:$A$594)*($B655=$B$403:$B$594)*("Weekday"=$D$403:$D$594),0))*Weekdays+INDEX(X$403:X$594,MATCH(1,($A655=$A$403:$A$594)*($B655=$B$403:$B$594)*("Weekend"=$D$403:$D$594),0))*WeekendDays)/DaysPerWeek</f>
        <v>0</v>
      </c>
      <c r="X655" s="11" cm="1">
        <f t="array" ref="X655">(INDEX(Y$403:Y$594,MATCH(1,($A655=$A$403:$A$594)*($B655=$B$403:$B$594)*("Weekday"=$D$403:$D$594),0))*Weekdays+INDEX(Y$403:Y$594,MATCH(1,($A655=$A$403:$A$594)*($B655=$B$403:$B$594)*("Weekend"=$D$403:$D$594),0))*WeekendDays)/DaysPerWeek</f>
        <v>0</v>
      </c>
      <c r="Y655" s="25" t="e">
        <f t="shared" si="422"/>
        <v>#DIV/0!</v>
      </c>
      <c r="Z655" s="32" t="e">
        <f t="shared" si="423"/>
        <v>#DIV/0!</v>
      </c>
    </row>
    <row r="656" spans="1:26" outlineLevel="1" x14ac:dyDescent="0.25">
      <c r="A656" t="s">
        <v>39</v>
      </c>
      <c r="B656" t="s">
        <v>155</v>
      </c>
      <c r="C656" s="7" t="s">
        <v>7</v>
      </c>
      <c r="D656" s="11" cm="1">
        <f t="array" ref="D656">(INDEX(E$403:E$594,MATCH(1,($A656=$A$403:$A$594)*($B656=$B$403:$B$594)*("Weekday"=$D$403:$D$594),0))*Weekdays+INDEX(E$403:E$594,MATCH(1,($A656=$A$403:$A$594)*($B656=$B$403:$B$594)*("Weekend"=$D$403:$D$594),0))*WeekendDays)/DaysPerWeek</f>
        <v>2.976814916533225E-6</v>
      </c>
      <c r="E656" s="11" cm="1">
        <f t="array" ref="E656">(INDEX(F$403:F$594,MATCH(1,($A656=$A$403:$A$594)*($B656=$B$403:$B$594)*("Weekday"=$D$403:$D$594),0))*Weekdays+INDEX(F$403:F$594,MATCH(1,($A656=$A$403:$A$594)*($B656=$B$403:$B$594)*("Weekend"=$D$403:$D$594),0))*WeekendDays)/DaysPerWeek</f>
        <v>3.2072634290730316E-4</v>
      </c>
      <c r="F656" s="11" cm="1">
        <f t="array" ref="F656">(INDEX(G$403:G$594,MATCH(1,($A656=$A$403:$A$594)*($B656=$B$403:$B$594)*("Weekday"=$D$403:$D$594),0))*Weekdays+INDEX(G$403:G$594,MATCH(1,($A656=$A$403:$A$594)*($B656=$B$403:$B$594)*("Weekend"=$D$403:$D$594),0))*WeekendDays)/DaysPerWeek</f>
        <v>0</v>
      </c>
      <c r="G656" s="11" cm="1">
        <f t="array" ref="G656">(INDEX(H$403:H$594,MATCH(1,($A656=$A$403:$A$594)*($B656=$B$403:$B$594)*("Weekday"=$D$403:$D$594),0))*Weekdays+INDEX(H$403:H$594,MATCH(1,($A656=$A$403:$A$594)*($B656=$B$403:$B$594)*("Weekend"=$D$403:$D$594),0))*WeekendDays)/DaysPerWeek</f>
        <v>5.2865023079275947E-5</v>
      </c>
      <c r="H656" s="11" cm="1">
        <f t="array" ref="H656">(INDEX(I$403:I$594,MATCH(1,($A656=$A$403:$A$594)*($B656=$B$403:$B$594)*("Weekday"=$D$403:$D$594),0))*Weekdays+INDEX(I$403:I$594,MATCH(1,($A656=$A$403:$A$594)*($B656=$B$403:$B$594)*("Weekend"=$D$403:$D$594),0))*WeekendDays)/DaysPerWeek</f>
        <v>1.2971426640217155E-4</v>
      </c>
      <c r="I656" s="11" cm="1">
        <f t="array" ref="I656">(INDEX(J$403:J$594,MATCH(1,($A656=$A$403:$A$594)*($B656=$B$403:$B$594)*("Weekday"=$D$403:$D$594),0))*Weekdays+INDEX(J$403:J$594,MATCH(1,($A656=$A$403:$A$594)*($B656=$B$403:$B$594)*("Weekend"=$D$403:$D$594),0))*WeekendDays)/DaysPerWeek</f>
        <v>1.2971426640217155E-4</v>
      </c>
      <c r="J656" s="11" cm="1">
        <f t="array" ref="J656">(INDEX(K$403:K$594,MATCH(1,($A656=$A$403:$A$594)*($B656=$B$403:$B$594)*("Weekday"=$D$403:$D$594),0))*Weekdays+INDEX(K$403:K$594,MATCH(1,($A656=$A$403:$A$594)*($B656=$B$403:$B$594)*("Weekend"=$D$403:$D$594),0))*WeekendDays)/DaysPerWeek</f>
        <v>2.7377359940892836E-6</v>
      </c>
      <c r="K656" s="11" cm="1">
        <f t="array" ref="K656">(INDEX(L$403:L$594,MATCH(1,($A656=$A$403:$A$594)*($B656=$B$403:$B$594)*("Weekday"=$D$403:$D$594),0))*Weekdays+INDEX(L$403:L$594,MATCH(1,($A656=$A$403:$A$594)*($B656=$B$403:$B$594)*("Weekend"=$D$403:$D$594),0))*WeekendDays)/DaysPerWeek</f>
        <v>4.1358791816144172E-4</v>
      </c>
      <c r="L656" s="11" cm="1">
        <f t="array" ref="L656">(INDEX(M$403:M$594,MATCH(1,($A656=$A$403:$A$594)*($B656=$B$403:$B$594)*("Weekday"=$D$403:$D$594),0))*Weekdays+INDEX(M$403:M$594,MATCH(1,($A656=$A$403:$A$594)*($B656=$B$403:$B$594)*("Weekend"=$D$403:$D$594),0))*WeekendDays)/DaysPerWeek</f>
        <v>0</v>
      </c>
      <c r="M656" s="11" cm="1">
        <f t="array" ref="M656">(INDEX(N$403:N$594,MATCH(1,($A656=$A$403:$A$594)*($B656=$B$403:$B$594)*("Weekday"=$D$403:$D$594),0))*Weekdays+INDEX(N$403:N$594,MATCH(1,($A656=$A$403:$A$594)*($B656=$B$403:$B$594)*("Weekend"=$D$403:$D$594),0))*WeekendDays)/DaysPerWeek</f>
        <v>1.5231366124720836E-4</v>
      </c>
      <c r="N656" s="11" cm="1">
        <f t="array" ref="N656">(INDEX(O$403:O$594,MATCH(1,($A656=$A$403:$A$594)*($B656=$B$403:$B$594)*("Weekday"=$D$403:$D$594),0))*Weekdays+INDEX(O$403:O$594,MATCH(1,($A656=$A$403:$A$594)*($B656=$B$403:$B$594)*("Weekend"=$D$403:$D$594),0))*WeekendDays)/DaysPerWeek</f>
        <v>1.5231366124720836E-4</v>
      </c>
      <c r="O656" s="11" cm="1">
        <f t="array" ref="O656">(INDEX(P$403:P$594,MATCH(1,($A656=$A$403:$A$594)*($B656=$B$403:$B$594)*("Weekday"=$D$403:$D$594),0))*Weekdays+INDEX(P$403:P$594,MATCH(1,($A656=$A$403:$A$594)*($B656=$B$403:$B$594)*("Weekend"=$D$403:$D$594),0))*WeekendDays)/DaysPerWeek</f>
        <v>0</v>
      </c>
      <c r="P656" s="11" cm="1">
        <f t="array" ref="P656">(INDEX(Q$403:Q$594,MATCH(1,($A656=$A$403:$A$594)*($B656=$B$403:$B$594)*("Weekday"=$D$403:$D$594),0))*Weekdays+INDEX(Q$403:Q$594,MATCH(1,($A656=$A$403:$A$594)*($B656=$B$403:$B$594)*("Weekend"=$D$403:$D$594),0))*WeekendDays)/DaysPerWeek</f>
        <v>1.4724453747771643E-4</v>
      </c>
      <c r="Q656" s="11" cm="1">
        <f t="array" ref="Q656">(INDEX(R$403:R$594,MATCH(1,($A656=$A$403:$A$594)*($B656=$B$403:$B$594)*("Weekday"=$D$403:$D$594),0))*Weekdays+INDEX(R$403:R$594,MATCH(1,($A656=$A$403:$A$594)*($B656=$B$403:$B$594)*("Weekend"=$D$403:$D$594),0))*WeekendDays)/DaysPerWeek</f>
        <v>1.4724453747771651E-4</v>
      </c>
      <c r="R656" s="11" cm="1">
        <f t="array" ref="R656">(INDEX(S$403:S$594,MATCH(1,($A656=$A$403:$A$594)*($B656=$B$403:$B$594)*("Weekday"=$D$403:$D$594),0))*Weekdays+INDEX(S$403:S$594,MATCH(1,($A656=$A$403:$A$594)*($B656=$B$403:$B$594)*("Weekend"=$D$403:$D$594),0))*WeekendDays)/DaysPerWeek</f>
        <v>0</v>
      </c>
      <c r="S656" s="11" cm="1">
        <f t="array" ref="S656">(INDEX(T$403:T$594,MATCH(1,($A656=$A$403:$A$594)*($B656=$B$403:$B$594)*("Weekday"=$D$403:$D$594),0))*Weekdays+INDEX(T$403:T$594,MATCH(1,($A656=$A$403:$A$594)*($B656=$B$403:$B$594)*("Weekend"=$D$403:$D$594),0))*WeekendDays)/DaysPerWeek</f>
        <v>1.4724453747771651E-4</v>
      </c>
      <c r="T656" s="11" cm="1">
        <f t="array" ref="T656">(INDEX(U$403:U$594,MATCH(1,($A656=$A$403:$A$594)*($B656=$B$403:$B$594)*("Weekday"=$D$403:$D$594),0))*Weekdays+INDEX(U$403:U$594,MATCH(1,($A656=$A$403:$A$594)*($B656=$B$403:$B$594)*("Weekend"=$D$403:$D$594),0))*WeekendDays)/DaysPerWeek</f>
        <v>0</v>
      </c>
      <c r="U656" s="11" t="e" cm="1">
        <f t="array" ref="U656">(INDEX(V$403:V$594,MATCH(1,($A656=$A$403:$A$594)*($B656=$B$403:$B$594)*("Weekday"=$D$403:$D$594),0))*Weekdays+INDEX(V$403:V$594,MATCH(1,($A656=$A$403:$A$594)*($B656=$B$403:$B$594)*("Weekend"=$D$403:$D$594),0))*WeekendDays)/DaysPerWeek</f>
        <v>#DIV/0!</v>
      </c>
      <c r="V656" s="11" cm="1">
        <f t="array" ref="V656">(INDEX(W$403:W$594,MATCH(1,($A656=$A$403:$A$594)*($B656=$B$403:$B$594)*("Weekday"=$D$403:$D$594),0))*Weekdays+INDEX(W$403:W$594,MATCH(1,($A656=$A$403:$A$594)*($B656=$B$403:$B$594)*("Weekend"=$D$403:$D$594),0))*WeekendDays)/DaysPerWeek</f>
        <v>1.1344650636600186E-4</v>
      </c>
      <c r="W656" s="11" cm="1">
        <f t="array" ref="W656">(INDEX(X$403:X$594,MATCH(1,($A656=$A$403:$A$594)*($B656=$B$403:$B$594)*("Weekday"=$D$403:$D$594),0))*Weekdays+INDEX(X$403:X$594,MATCH(1,($A656=$A$403:$A$594)*($B656=$B$403:$B$594)*("Weekend"=$D$403:$D$594),0))*WeekendDays)/DaysPerWeek</f>
        <v>0</v>
      </c>
      <c r="X656" s="11" cm="1">
        <f t="array" ref="X656">(INDEX(Y$403:Y$594,MATCH(1,($A656=$A$403:$A$594)*($B656=$B$403:$B$594)*("Weekday"=$D$403:$D$594),0))*Weekdays+INDEX(Y$403:Y$594,MATCH(1,($A656=$A$403:$A$594)*($B656=$B$403:$B$594)*("Weekend"=$D$403:$D$594),0))*WeekendDays)/DaysPerWeek</f>
        <v>0</v>
      </c>
      <c r="Y656" s="25" t="e">
        <f t="shared" si="422"/>
        <v>#DIV/0!</v>
      </c>
      <c r="Z656" s="32" t="e">
        <f t="shared" si="423"/>
        <v>#DIV/0!</v>
      </c>
    </row>
    <row r="657" spans="1:26" outlineLevel="1" x14ac:dyDescent="0.25">
      <c r="A657" t="s">
        <v>39</v>
      </c>
      <c r="B657" t="s">
        <v>156</v>
      </c>
      <c r="C657" s="7" t="s">
        <v>8</v>
      </c>
      <c r="D657" s="11" cm="1">
        <f t="array" ref="D657">(INDEX(E$403:E$594,MATCH(1,($A657=$A$403:$A$594)*($B657=$B$403:$B$594)*("Weekday"=$D$403:$D$594),0))*Weekdays+INDEX(E$403:E$594,MATCH(1,($A657=$A$403:$A$594)*($B657=$B$403:$B$594)*("Weekend"=$D$403:$D$594),0))*WeekendDays)/DaysPerWeek</f>
        <v>2.4124803928634474E-6</v>
      </c>
      <c r="E657" s="11" cm="1">
        <f t="array" ref="E657">(INDEX(F$403:F$594,MATCH(1,($A657=$A$403:$A$594)*($B657=$B$403:$B$594)*("Weekday"=$D$403:$D$594),0))*Weekdays+INDEX(F$403:F$594,MATCH(1,($A657=$A$403:$A$594)*($B657=$B$403:$B$594)*("Weekend"=$D$403:$D$594),0))*WeekendDays)/DaysPerWeek</f>
        <v>3.2720725964421762E-4</v>
      </c>
      <c r="F657" s="11" cm="1">
        <f t="array" ref="F657">(INDEX(G$403:G$594,MATCH(1,($A657=$A$403:$A$594)*($B657=$B$403:$B$594)*("Weekday"=$D$403:$D$594),0))*Weekdays+INDEX(G$403:G$594,MATCH(1,($A657=$A$403:$A$594)*($B657=$B$403:$B$594)*("Weekend"=$D$403:$D$594),0))*WeekendDays)/DaysPerWeek</f>
        <v>0</v>
      </c>
      <c r="G657" s="11" cm="1">
        <f t="array" ref="G657">(INDEX(H$403:H$594,MATCH(1,($A657=$A$403:$A$594)*($B657=$B$403:$B$594)*("Weekday"=$D$403:$D$594),0))*Weekdays+INDEX(H$403:H$594,MATCH(1,($A657=$A$403:$A$594)*($B657=$B$403:$B$594)*("Weekend"=$D$403:$D$594),0))*WeekendDays)/DaysPerWeek</f>
        <v>5.2481528193251921E-5</v>
      </c>
      <c r="H657" s="11" cm="1">
        <f t="array" ref="H657">(INDEX(I$403:I$594,MATCH(1,($A657=$A$403:$A$594)*($B657=$B$403:$B$594)*("Weekday"=$D$403:$D$594),0))*Weekdays+INDEX(I$403:I$594,MATCH(1,($A657=$A$403:$A$594)*($B657=$B$403:$B$594)*("Weekend"=$D$403:$D$594),0))*WeekendDays)/DaysPerWeek</f>
        <v>1.4126432284084981E-4</v>
      </c>
      <c r="I657" s="11" cm="1">
        <f t="array" ref="I657">(INDEX(J$403:J$594,MATCH(1,($A657=$A$403:$A$594)*($B657=$B$403:$B$594)*("Weekday"=$D$403:$D$594),0))*Weekdays+INDEX(J$403:J$594,MATCH(1,($A657=$A$403:$A$594)*($B657=$B$403:$B$594)*("Weekend"=$D$403:$D$594),0))*WeekendDays)/DaysPerWeek</f>
        <v>1.4126432284084981E-4</v>
      </c>
      <c r="J657" s="11" cm="1">
        <f t="array" ref="J657">(INDEX(K$403:K$594,MATCH(1,($A657=$A$403:$A$594)*($B657=$B$403:$B$594)*("Weekday"=$D$403:$D$594),0))*Weekdays+INDEX(K$403:K$594,MATCH(1,($A657=$A$403:$A$594)*($B657=$B$403:$B$594)*("Weekend"=$D$403:$D$594),0))*WeekendDays)/DaysPerWeek</f>
        <v>2.3405134994436439E-6</v>
      </c>
      <c r="K657" s="11" cm="1">
        <f t="array" ref="K657">(INDEX(L$403:L$594,MATCH(1,($A657=$A$403:$A$594)*($B657=$B$403:$B$594)*("Weekday"=$D$403:$D$594),0))*Weekdays+INDEX(L$403:L$594,MATCH(1,($A657=$A$403:$A$594)*($B657=$B$403:$B$594)*("Weekend"=$D$403:$D$594),0))*WeekendDays)/DaysPerWeek</f>
        <v>4.6718341063403722E-4</v>
      </c>
      <c r="L657" s="11" cm="1">
        <f t="array" ref="L657">(INDEX(M$403:M$594,MATCH(1,($A657=$A$403:$A$594)*($B657=$B$403:$B$594)*("Weekday"=$D$403:$D$594),0))*Weekdays+INDEX(M$403:M$594,MATCH(1,($A657=$A$403:$A$594)*($B657=$B$403:$B$594)*("Weekend"=$D$403:$D$594),0))*WeekendDays)/DaysPerWeek</f>
        <v>0</v>
      </c>
      <c r="M657" s="11" cm="1">
        <f t="array" ref="M657">(INDEX(N$403:N$594,MATCH(1,($A657=$A$403:$A$594)*($B657=$B$403:$B$594)*("Weekday"=$D$403:$D$594),0))*Weekdays+INDEX(N$403:N$594,MATCH(1,($A657=$A$403:$A$594)*($B657=$B$403:$B$594)*("Weekend"=$D$403:$D$594),0))*WeekendDays)/DaysPerWeek</f>
        <v>1.614210798438241E-4</v>
      </c>
      <c r="N657" s="11" cm="1">
        <f t="array" ref="N657">(INDEX(O$403:O$594,MATCH(1,($A657=$A$403:$A$594)*($B657=$B$403:$B$594)*("Weekday"=$D$403:$D$594),0))*Weekdays+INDEX(O$403:O$594,MATCH(1,($A657=$A$403:$A$594)*($B657=$B$403:$B$594)*("Weekend"=$D$403:$D$594),0))*WeekendDays)/DaysPerWeek</f>
        <v>1.614210798438241E-4</v>
      </c>
      <c r="O657" s="11" cm="1">
        <f t="array" ref="O657">(INDEX(P$403:P$594,MATCH(1,($A657=$A$403:$A$594)*($B657=$B$403:$B$594)*("Weekday"=$D$403:$D$594),0))*Weekdays+INDEX(P$403:P$594,MATCH(1,($A657=$A$403:$A$594)*($B657=$B$403:$B$594)*("Weekend"=$D$403:$D$594),0))*WeekendDays)/DaysPerWeek</f>
        <v>0</v>
      </c>
      <c r="P657" s="11" cm="1">
        <f t="array" ref="P657">(INDEX(Q$403:Q$594,MATCH(1,($A657=$A$403:$A$594)*($B657=$B$403:$B$594)*("Weekday"=$D$403:$D$594),0))*Weekdays+INDEX(Q$403:Q$594,MATCH(1,($A657=$A$403:$A$594)*($B657=$B$403:$B$594)*("Weekend"=$D$403:$D$594),0))*WeekendDays)/DaysPerWeek</f>
        <v>1.3859600377989133E-4</v>
      </c>
      <c r="Q657" s="11" cm="1">
        <f t="array" ref="Q657">(INDEX(R$403:R$594,MATCH(1,($A657=$A$403:$A$594)*($B657=$B$403:$B$594)*("Weekday"=$D$403:$D$594),0))*Weekdays+INDEX(R$403:R$594,MATCH(1,($A657=$A$403:$A$594)*($B657=$B$403:$B$594)*("Weekend"=$D$403:$D$594),0))*WeekendDays)/DaysPerWeek</f>
        <v>1.3859600377989133E-4</v>
      </c>
      <c r="R657" s="11" cm="1">
        <f t="array" ref="R657">(INDEX(S$403:S$594,MATCH(1,($A657=$A$403:$A$594)*($B657=$B$403:$B$594)*("Weekday"=$D$403:$D$594),0))*Weekdays+INDEX(S$403:S$594,MATCH(1,($A657=$A$403:$A$594)*($B657=$B$403:$B$594)*("Weekend"=$D$403:$D$594),0))*WeekendDays)/DaysPerWeek</f>
        <v>0</v>
      </c>
      <c r="S657" s="11" cm="1">
        <f t="array" ref="S657">(INDEX(T$403:T$594,MATCH(1,($A657=$A$403:$A$594)*($B657=$B$403:$B$594)*("Weekday"=$D$403:$D$594),0))*Weekdays+INDEX(T$403:T$594,MATCH(1,($A657=$A$403:$A$594)*($B657=$B$403:$B$594)*("Weekend"=$D$403:$D$594),0))*WeekendDays)/DaysPerWeek</f>
        <v>1.3859600377989136E-4</v>
      </c>
      <c r="T657" s="11" cm="1">
        <f t="array" ref="T657">(INDEX(U$403:U$594,MATCH(1,($A657=$A$403:$A$594)*($B657=$B$403:$B$594)*("Weekday"=$D$403:$D$594),0))*Weekdays+INDEX(U$403:U$594,MATCH(1,($A657=$A$403:$A$594)*($B657=$B$403:$B$594)*("Weekend"=$D$403:$D$594),0))*WeekendDays)/DaysPerWeek</f>
        <v>0</v>
      </c>
      <c r="U657" s="11" t="e" cm="1">
        <f t="array" ref="U657">(INDEX(V$403:V$594,MATCH(1,($A657=$A$403:$A$594)*($B657=$B$403:$B$594)*("Weekday"=$D$403:$D$594),0))*Weekdays+INDEX(V$403:V$594,MATCH(1,($A657=$A$403:$A$594)*($B657=$B$403:$B$594)*("Weekend"=$D$403:$D$594),0))*WeekendDays)/DaysPerWeek</f>
        <v>#DIV/0!</v>
      </c>
      <c r="V657" s="11" cm="1">
        <f t="array" ref="V657">(INDEX(W$403:W$594,MATCH(1,($A657=$A$403:$A$594)*($B657=$B$403:$B$594)*("Weekday"=$D$403:$D$594),0))*Weekdays+INDEX(W$403:W$594,MATCH(1,($A657=$A$403:$A$594)*($B657=$B$403:$B$594)*("Weekend"=$D$403:$D$594),0))*WeekendDays)/DaysPerWeek</f>
        <v>1.1310842075100385E-4</v>
      </c>
      <c r="W657" s="11" cm="1">
        <f t="array" ref="W657">(INDEX(X$403:X$594,MATCH(1,($A657=$A$403:$A$594)*($B657=$B$403:$B$594)*("Weekday"=$D$403:$D$594),0))*Weekdays+INDEX(X$403:X$594,MATCH(1,($A657=$A$403:$A$594)*($B657=$B$403:$B$594)*("Weekend"=$D$403:$D$594),0))*WeekendDays)/DaysPerWeek</f>
        <v>0</v>
      </c>
      <c r="X657" s="11" cm="1">
        <f t="array" ref="X657">(INDEX(Y$403:Y$594,MATCH(1,($A657=$A$403:$A$594)*($B657=$B$403:$B$594)*("Weekday"=$D$403:$D$594),0))*Weekdays+INDEX(Y$403:Y$594,MATCH(1,($A657=$A$403:$A$594)*($B657=$B$403:$B$594)*("Weekend"=$D$403:$D$594),0))*WeekendDays)/DaysPerWeek</f>
        <v>0</v>
      </c>
      <c r="Y657" s="25" t="e">
        <f t="shared" si="422"/>
        <v>#DIV/0!</v>
      </c>
      <c r="Z657" s="32" t="e">
        <f t="shared" si="423"/>
        <v>#DIV/0!</v>
      </c>
    </row>
    <row r="658" spans="1:26" outlineLevel="1" x14ac:dyDescent="0.25">
      <c r="A658" t="s">
        <v>39</v>
      </c>
      <c r="B658" t="s">
        <v>157</v>
      </c>
      <c r="C658" s="7" t="s">
        <v>9</v>
      </c>
      <c r="D658" s="11" cm="1">
        <f t="array" ref="D658">(INDEX(E$403:E$594,MATCH(1,($A658=$A$403:$A$594)*($B658=$B$403:$B$594)*("Weekday"=$D$403:$D$594),0))*Weekdays+INDEX(E$403:E$594,MATCH(1,($A658=$A$403:$A$594)*($B658=$B$403:$B$594)*("Weekend"=$D$403:$D$594),0))*WeekendDays)/DaysPerWeek</f>
        <v>2.4264956809264067E-6</v>
      </c>
      <c r="E658" s="11" cm="1">
        <f t="array" ref="E658">(INDEX(F$403:F$594,MATCH(1,($A658=$A$403:$A$594)*($B658=$B$403:$B$594)*("Weekday"=$D$403:$D$594),0))*Weekdays+INDEX(F$403:F$594,MATCH(1,($A658=$A$403:$A$594)*($B658=$B$403:$B$594)*("Weekend"=$D$403:$D$594),0))*WeekendDays)/DaysPerWeek</f>
        <v>3.5961184332878991E-4</v>
      </c>
      <c r="F658" s="11" cm="1">
        <f t="array" ref="F658">(INDEX(G$403:G$594,MATCH(1,($A658=$A$403:$A$594)*($B658=$B$403:$B$594)*("Weekday"=$D$403:$D$594),0))*Weekdays+INDEX(G$403:G$594,MATCH(1,($A658=$A$403:$A$594)*($B658=$B$403:$B$594)*("Weekend"=$D$403:$D$594),0))*WeekendDays)/DaysPerWeek</f>
        <v>0</v>
      </c>
      <c r="G658" s="11" cm="1">
        <f t="array" ref="G658">(INDEX(H$403:H$594,MATCH(1,($A658=$A$403:$A$594)*($B658=$B$403:$B$594)*("Weekday"=$D$403:$D$594),0))*Weekdays+INDEX(H$403:H$594,MATCH(1,($A658=$A$403:$A$594)*($B658=$B$403:$B$594)*("Weekend"=$D$403:$D$594),0))*WeekendDays)/DaysPerWeek</f>
        <v>5.3103297372893545E-5</v>
      </c>
      <c r="H658" s="11" cm="1">
        <f t="array" ref="H658">(INDEX(I$403:I$594,MATCH(1,($A658=$A$403:$A$594)*($B658=$B$403:$B$594)*("Weekday"=$D$403:$D$594),0))*Weekdays+INDEX(I$403:I$594,MATCH(1,($A658=$A$403:$A$594)*($B658=$B$403:$B$594)*("Weekend"=$D$403:$D$594),0))*WeekendDays)/DaysPerWeek</f>
        <v>1.3880041023316058E-4</v>
      </c>
      <c r="I658" s="11" cm="1">
        <f t="array" ref="I658">(INDEX(J$403:J$594,MATCH(1,($A658=$A$403:$A$594)*($B658=$B$403:$B$594)*("Weekday"=$D$403:$D$594),0))*Weekdays+INDEX(J$403:J$594,MATCH(1,($A658=$A$403:$A$594)*($B658=$B$403:$B$594)*("Weekend"=$D$403:$D$594),0))*WeekendDays)/DaysPerWeek</f>
        <v>1.3880041023316058E-4</v>
      </c>
      <c r="J658" s="11" cm="1">
        <f t="array" ref="J658">(INDEX(K$403:K$594,MATCH(1,($A658=$A$403:$A$594)*($B658=$B$403:$B$594)*("Weekday"=$D$403:$D$594),0))*Weekdays+INDEX(K$403:K$594,MATCH(1,($A658=$A$403:$A$594)*($B658=$B$403:$B$594)*("Weekend"=$D$403:$D$594),0))*WeekendDays)/DaysPerWeek</f>
        <v>2.1128621848237528E-6</v>
      </c>
      <c r="K658" s="11" cm="1">
        <f t="array" ref="K658">(INDEX(L$403:L$594,MATCH(1,($A658=$A$403:$A$594)*($B658=$B$403:$B$594)*("Weekday"=$D$403:$D$594),0))*Weekdays+INDEX(L$403:L$594,MATCH(1,($A658=$A$403:$A$594)*($B658=$B$403:$B$594)*("Weekend"=$D$403:$D$594),0))*WeekendDays)/DaysPerWeek</f>
        <v>5.0580126085488333E-4</v>
      </c>
      <c r="L658" s="11" cm="1">
        <f t="array" ref="L658">(INDEX(M$403:M$594,MATCH(1,($A658=$A$403:$A$594)*($B658=$B$403:$B$594)*("Weekday"=$D$403:$D$594),0))*Weekdays+INDEX(M$403:M$594,MATCH(1,($A658=$A$403:$A$594)*($B658=$B$403:$B$594)*("Weekend"=$D$403:$D$594),0))*WeekendDays)/DaysPerWeek</f>
        <v>0</v>
      </c>
      <c r="M658" s="11" cm="1">
        <f t="array" ref="M658">(INDEX(N$403:N$594,MATCH(1,($A658=$A$403:$A$594)*($B658=$B$403:$B$594)*("Weekday"=$D$403:$D$594),0))*Weekdays+INDEX(N$403:N$594,MATCH(1,($A658=$A$403:$A$594)*($B658=$B$403:$B$594)*("Weekend"=$D$403:$D$594),0))*WeekendDays)/DaysPerWeek</f>
        <v>1.60527644904814E-4</v>
      </c>
      <c r="N658" s="11" cm="1">
        <f t="array" ref="N658">(INDEX(O$403:O$594,MATCH(1,($A658=$A$403:$A$594)*($B658=$B$403:$B$594)*("Weekday"=$D$403:$D$594),0))*Weekdays+INDEX(O$403:O$594,MATCH(1,($A658=$A$403:$A$594)*($B658=$B$403:$B$594)*("Weekend"=$D$403:$D$594),0))*WeekendDays)/DaysPerWeek</f>
        <v>1.60527644904814E-4</v>
      </c>
      <c r="O658" s="11" cm="1">
        <f t="array" ref="O658">(INDEX(P$403:P$594,MATCH(1,($A658=$A$403:$A$594)*($B658=$B$403:$B$594)*("Weekday"=$D$403:$D$594),0))*Weekdays+INDEX(P$403:P$594,MATCH(1,($A658=$A$403:$A$594)*($B658=$B$403:$B$594)*("Weekend"=$D$403:$D$594),0))*WeekendDays)/DaysPerWeek</f>
        <v>0</v>
      </c>
      <c r="P658" s="11" cm="1">
        <f t="array" ref="P658">(INDEX(Q$403:Q$594,MATCH(1,($A658=$A$403:$A$594)*($B658=$B$403:$B$594)*("Weekday"=$D$403:$D$594),0))*Weekdays+INDEX(Q$403:Q$594,MATCH(1,($A658=$A$403:$A$594)*($B658=$B$403:$B$594)*("Weekend"=$D$403:$D$594),0))*WeekendDays)/DaysPerWeek</f>
        <v>1.206844419427276E-4</v>
      </c>
      <c r="Q658" s="11" cm="1">
        <f t="array" ref="Q658">(INDEX(R$403:R$594,MATCH(1,($A658=$A$403:$A$594)*($B658=$B$403:$B$594)*("Weekday"=$D$403:$D$594),0))*Weekdays+INDEX(R$403:R$594,MATCH(1,($A658=$A$403:$A$594)*($B658=$B$403:$B$594)*("Weekend"=$D$403:$D$594),0))*WeekendDays)/DaysPerWeek</f>
        <v>1.2068444194272762E-4</v>
      </c>
      <c r="R658" s="11" cm="1">
        <f t="array" ref="R658">(INDEX(S$403:S$594,MATCH(1,($A658=$A$403:$A$594)*($B658=$B$403:$B$594)*("Weekday"=$D$403:$D$594),0))*Weekdays+INDEX(S$403:S$594,MATCH(1,($A658=$A$403:$A$594)*($B658=$B$403:$B$594)*("Weekend"=$D$403:$D$594),0))*WeekendDays)/DaysPerWeek</f>
        <v>0</v>
      </c>
      <c r="S658" s="11" cm="1">
        <f t="array" ref="S658">(INDEX(T$403:T$594,MATCH(1,($A658=$A$403:$A$594)*($B658=$B$403:$B$594)*("Weekday"=$D$403:$D$594),0))*Weekdays+INDEX(T$403:T$594,MATCH(1,($A658=$A$403:$A$594)*($B658=$B$403:$B$594)*("Weekend"=$D$403:$D$594),0))*WeekendDays)/DaysPerWeek</f>
        <v>1.2068444194272764E-4</v>
      </c>
      <c r="T658" s="11" cm="1">
        <f t="array" ref="T658">(INDEX(U$403:U$594,MATCH(1,($A658=$A$403:$A$594)*($B658=$B$403:$B$594)*("Weekday"=$D$403:$D$594),0))*Weekdays+INDEX(U$403:U$594,MATCH(1,($A658=$A$403:$A$594)*($B658=$B$403:$B$594)*("Weekend"=$D$403:$D$594),0))*WeekendDays)/DaysPerWeek</f>
        <v>0</v>
      </c>
      <c r="U658" s="11" t="e" cm="1">
        <f t="array" ref="U658">(INDEX(V$403:V$594,MATCH(1,($A658=$A$403:$A$594)*($B658=$B$403:$B$594)*("Weekday"=$D$403:$D$594),0))*Weekdays+INDEX(V$403:V$594,MATCH(1,($A658=$A$403:$A$594)*($B658=$B$403:$B$594)*("Weekend"=$D$403:$D$594),0))*WeekendDays)/DaysPerWeek</f>
        <v>#DIV/0!</v>
      </c>
      <c r="V658" s="11" cm="1">
        <f t="array" ref="V658">(INDEX(W$403:W$594,MATCH(1,($A658=$A$403:$A$594)*($B658=$B$403:$B$594)*("Weekday"=$D$403:$D$594),0))*Weekdays+INDEX(W$403:W$594,MATCH(1,($A658=$A$403:$A$594)*($B658=$B$403:$B$594)*("Weekend"=$D$403:$D$594),0))*WeekendDays)/DaysPerWeek</f>
        <v>1.1273277006767272E-4</v>
      </c>
      <c r="W658" s="11" cm="1">
        <f t="array" ref="W658">(INDEX(X$403:X$594,MATCH(1,($A658=$A$403:$A$594)*($B658=$B$403:$B$594)*("Weekday"=$D$403:$D$594),0))*Weekdays+INDEX(X$403:X$594,MATCH(1,($A658=$A$403:$A$594)*($B658=$B$403:$B$594)*("Weekend"=$D$403:$D$594),0))*WeekendDays)/DaysPerWeek</f>
        <v>0</v>
      </c>
      <c r="X658" s="11" cm="1">
        <f t="array" ref="X658">(INDEX(Y$403:Y$594,MATCH(1,($A658=$A$403:$A$594)*($B658=$B$403:$B$594)*("Weekday"=$D$403:$D$594),0))*Weekdays+INDEX(Y$403:Y$594,MATCH(1,($A658=$A$403:$A$594)*($B658=$B$403:$B$594)*("Weekend"=$D$403:$D$594),0))*WeekendDays)/DaysPerWeek</f>
        <v>0</v>
      </c>
      <c r="Y658" s="25" t="e">
        <f t="shared" si="422"/>
        <v>#DIV/0!</v>
      </c>
      <c r="Z658" s="32" t="e">
        <f t="shared" si="423"/>
        <v>#DIV/0!</v>
      </c>
    </row>
    <row r="659" spans="1:26" outlineLevel="1" x14ac:dyDescent="0.25">
      <c r="A659" t="s">
        <v>39</v>
      </c>
      <c r="B659" t="s">
        <v>158</v>
      </c>
      <c r="C659" s="7" t="s">
        <v>10</v>
      </c>
      <c r="D659" s="11" cm="1">
        <f t="array" ref="D659">(INDEX(E$403:E$594,MATCH(1,($A659=$A$403:$A$594)*($B659=$B$403:$B$594)*("Weekday"=$D$403:$D$594),0))*Weekdays+INDEX(E$403:E$594,MATCH(1,($A659=$A$403:$A$594)*($B659=$B$403:$B$594)*("Weekend"=$D$403:$D$594),0))*WeekendDays)/DaysPerWeek</f>
        <v>2.2353592980208651E-6</v>
      </c>
      <c r="E659" s="11" cm="1">
        <f t="array" ref="E659">(INDEX(F$403:F$594,MATCH(1,($A659=$A$403:$A$594)*($B659=$B$403:$B$594)*("Weekday"=$D$403:$D$594),0))*Weekdays+INDEX(F$403:F$594,MATCH(1,($A659=$A$403:$A$594)*($B659=$B$403:$B$594)*("Weekend"=$D$403:$D$594),0))*WeekendDays)/DaysPerWeek</f>
        <v>4.304277140150747E-4</v>
      </c>
      <c r="F659" s="11" cm="1">
        <f t="array" ref="F659">(INDEX(G$403:G$594,MATCH(1,($A659=$A$403:$A$594)*($B659=$B$403:$B$594)*("Weekday"=$D$403:$D$594),0))*Weekdays+INDEX(G$403:G$594,MATCH(1,($A659=$A$403:$A$594)*($B659=$B$403:$B$594)*("Weekend"=$D$403:$D$594),0))*WeekendDays)/DaysPerWeek</f>
        <v>0</v>
      </c>
      <c r="G659" s="11" cm="1">
        <f t="array" ref="G659">(INDEX(H$403:H$594,MATCH(1,($A659=$A$403:$A$594)*($B659=$B$403:$B$594)*("Weekday"=$D$403:$D$594),0))*Weekdays+INDEX(H$403:H$594,MATCH(1,($A659=$A$403:$A$594)*($B659=$B$403:$B$594)*("Weekend"=$D$403:$D$594),0))*WeekendDays)/DaysPerWeek</f>
        <v>5.7408503083876366E-5</v>
      </c>
      <c r="H659" s="11" cm="1">
        <f t="array" ref="H659">(INDEX(I$403:I$594,MATCH(1,($A659=$A$403:$A$594)*($B659=$B$403:$B$594)*("Weekday"=$D$403:$D$594),0))*Weekdays+INDEX(I$403:I$594,MATCH(1,($A659=$A$403:$A$594)*($B659=$B$403:$B$594)*("Weekend"=$D$403:$D$594),0))*WeekendDays)/DaysPerWeek</f>
        <v>1.2386050077556294E-4</v>
      </c>
      <c r="I659" s="11" cm="1">
        <f t="array" ref="I659">(INDEX(J$403:J$594,MATCH(1,($A659=$A$403:$A$594)*($B659=$B$403:$B$594)*("Weekday"=$D$403:$D$594),0))*Weekdays+INDEX(J$403:J$594,MATCH(1,($A659=$A$403:$A$594)*($B659=$B$403:$B$594)*("Weekend"=$D$403:$D$594),0))*WeekendDays)/DaysPerWeek</f>
        <v>1.2386050077556294E-4</v>
      </c>
      <c r="J659" s="11" cm="1">
        <f t="array" ref="J659">(INDEX(K$403:K$594,MATCH(1,($A659=$A$403:$A$594)*($B659=$B$403:$B$594)*("Weekday"=$D$403:$D$594),0))*Weekdays+INDEX(K$403:K$594,MATCH(1,($A659=$A$403:$A$594)*($B659=$B$403:$B$594)*("Weekend"=$D$403:$D$594),0))*WeekendDays)/DaysPerWeek</f>
        <v>1.9411820431383899E-6</v>
      </c>
      <c r="K659" s="11" cm="1">
        <f t="array" ref="K659">(INDEX(L$403:L$594,MATCH(1,($A659=$A$403:$A$594)*($B659=$B$403:$B$594)*("Weekday"=$D$403:$D$594),0))*Weekdays+INDEX(L$403:L$594,MATCH(1,($A659=$A$403:$A$594)*($B659=$B$403:$B$594)*("Weekend"=$D$403:$D$594),0))*WeekendDays)/DaysPerWeek</f>
        <v>5.3030111275012906E-4</v>
      </c>
      <c r="L659" s="11" cm="1">
        <f t="array" ref="L659">(INDEX(M$403:M$594,MATCH(1,($A659=$A$403:$A$594)*($B659=$B$403:$B$594)*("Weekday"=$D$403:$D$594),0))*Weekdays+INDEX(M$403:M$594,MATCH(1,($A659=$A$403:$A$594)*($B659=$B$403:$B$594)*("Weekend"=$D$403:$D$594),0))*WeekendDays)/DaysPerWeek</f>
        <v>0</v>
      </c>
      <c r="M659" s="11" cm="1">
        <f t="array" ref="M659">(INDEX(N$403:N$594,MATCH(1,($A659=$A$403:$A$594)*($B659=$B$403:$B$594)*("Weekday"=$D$403:$D$594),0))*Weekdays+INDEX(N$403:N$594,MATCH(1,($A659=$A$403:$A$594)*($B659=$B$403:$B$594)*("Weekend"=$D$403:$D$594),0))*WeekendDays)/DaysPerWeek</f>
        <v>1.6027841372812861E-4</v>
      </c>
      <c r="N659" s="11" cm="1">
        <f t="array" ref="N659">(INDEX(O$403:O$594,MATCH(1,($A659=$A$403:$A$594)*($B659=$B$403:$B$594)*("Weekday"=$D$403:$D$594),0))*Weekdays+INDEX(O$403:O$594,MATCH(1,($A659=$A$403:$A$594)*($B659=$B$403:$B$594)*("Weekend"=$D$403:$D$594),0))*WeekendDays)/DaysPerWeek</f>
        <v>1.6027841372812861E-4</v>
      </c>
      <c r="O659" s="11" cm="1">
        <f t="array" ref="O659">(INDEX(P$403:P$594,MATCH(1,($A659=$A$403:$A$594)*($B659=$B$403:$B$594)*("Weekday"=$D$403:$D$594),0))*Weekdays+INDEX(P$403:P$594,MATCH(1,($A659=$A$403:$A$594)*($B659=$B$403:$B$594)*("Weekend"=$D$403:$D$594),0))*WeekendDays)/DaysPerWeek</f>
        <v>0</v>
      </c>
      <c r="P659" s="11" cm="1">
        <f t="array" ref="P659">(INDEX(Q$403:Q$594,MATCH(1,($A659=$A$403:$A$594)*($B659=$B$403:$B$594)*("Weekday"=$D$403:$D$594),0))*Weekdays+INDEX(Q$403:Q$594,MATCH(1,($A659=$A$403:$A$594)*($B659=$B$403:$B$594)*("Weekend"=$D$403:$D$594),0))*WeekendDays)/DaysPerWeek</f>
        <v>1.2253999729145047E-4</v>
      </c>
      <c r="Q659" s="11" cm="1">
        <f t="array" ref="Q659">(INDEX(R$403:R$594,MATCH(1,($A659=$A$403:$A$594)*($B659=$B$403:$B$594)*("Weekday"=$D$403:$D$594),0))*Weekdays+INDEX(R$403:R$594,MATCH(1,($A659=$A$403:$A$594)*($B659=$B$403:$B$594)*("Weekend"=$D$403:$D$594),0))*WeekendDays)/DaysPerWeek</f>
        <v>1.225399972914505E-4</v>
      </c>
      <c r="R659" s="11" cm="1">
        <f t="array" ref="R659">(INDEX(S$403:S$594,MATCH(1,($A659=$A$403:$A$594)*($B659=$B$403:$B$594)*("Weekday"=$D$403:$D$594),0))*Weekdays+INDEX(S$403:S$594,MATCH(1,($A659=$A$403:$A$594)*($B659=$B$403:$B$594)*("Weekend"=$D$403:$D$594),0))*WeekendDays)/DaysPerWeek</f>
        <v>0</v>
      </c>
      <c r="S659" s="11" cm="1">
        <f t="array" ref="S659">(INDEX(T$403:T$594,MATCH(1,($A659=$A$403:$A$594)*($B659=$B$403:$B$594)*("Weekday"=$D$403:$D$594),0))*Weekdays+INDEX(T$403:T$594,MATCH(1,($A659=$A$403:$A$594)*($B659=$B$403:$B$594)*("Weekend"=$D$403:$D$594),0))*WeekendDays)/DaysPerWeek</f>
        <v>1.225399972914505E-4</v>
      </c>
      <c r="T659" s="11" cm="1">
        <f t="array" ref="T659">(INDEX(U$403:U$594,MATCH(1,($A659=$A$403:$A$594)*($B659=$B$403:$B$594)*("Weekday"=$D$403:$D$594),0))*Weekdays+INDEX(U$403:U$594,MATCH(1,($A659=$A$403:$A$594)*($B659=$B$403:$B$594)*("Weekend"=$D$403:$D$594),0))*WeekendDays)/DaysPerWeek</f>
        <v>0</v>
      </c>
      <c r="U659" s="11" t="e" cm="1">
        <f t="array" ref="U659">(INDEX(V$403:V$594,MATCH(1,($A659=$A$403:$A$594)*($B659=$B$403:$B$594)*("Weekday"=$D$403:$D$594),0))*Weekdays+INDEX(V$403:V$594,MATCH(1,($A659=$A$403:$A$594)*($B659=$B$403:$B$594)*("Weekend"=$D$403:$D$594),0))*WeekendDays)/DaysPerWeek</f>
        <v>#DIV/0!</v>
      </c>
      <c r="V659" s="11" cm="1">
        <f t="array" ref="V659">(INDEX(W$403:W$594,MATCH(1,($A659=$A$403:$A$594)*($B659=$B$403:$B$594)*("Weekday"=$D$403:$D$594),0))*Weekdays+INDEX(W$403:W$594,MATCH(1,($A659=$A$403:$A$594)*($B659=$B$403:$B$594)*("Weekend"=$D$403:$D$594),0))*WeekendDays)/DaysPerWeek</f>
        <v>1.1239468445267469E-4</v>
      </c>
      <c r="W659" s="11" cm="1">
        <f t="array" ref="W659">(INDEX(X$403:X$594,MATCH(1,($A659=$A$403:$A$594)*($B659=$B$403:$B$594)*("Weekday"=$D$403:$D$594),0))*Weekdays+INDEX(X$403:X$594,MATCH(1,($A659=$A$403:$A$594)*($B659=$B$403:$B$594)*("Weekend"=$D$403:$D$594),0))*WeekendDays)/DaysPerWeek</f>
        <v>0</v>
      </c>
      <c r="X659" s="11" cm="1">
        <f t="array" ref="X659">(INDEX(Y$403:Y$594,MATCH(1,($A659=$A$403:$A$594)*($B659=$B$403:$B$594)*("Weekday"=$D$403:$D$594),0))*Weekdays+INDEX(Y$403:Y$594,MATCH(1,($A659=$A$403:$A$594)*($B659=$B$403:$B$594)*("Weekend"=$D$403:$D$594),0))*WeekendDays)/DaysPerWeek</f>
        <v>0</v>
      </c>
      <c r="Y659" s="25" t="e">
        <f t="shared" si="422"/>
        <v>#DIV/0!</v>
      </c>
      <c r="Z659" s="32" t="e">
        <f t="shared" si="423"/>
        <v>#DIV/0!</v>
      </c>
    </row>
    <row r="660" spans="1:26" outlineLevel="1" x14ac:dyDescent="0.25">
      <c r="A660" t="s">
        <v>39</v>
      </c>
      <c r="B660" t="s">
        <v>159</v>
      </c>
      <c r="C660" s="7" t="s">
        <v>11</v>
      </c>
      <c r="D660" s="11" cm="1">
        <f t="array" ref="D660">(INDEX(E$403:E$594,MATCH(1,($A660=$A$403:$A$594)*($B660=$B$403:$B$594)*("Weekday"=$D$403:$D$594),0))*Weekdays+INDEX(E$403:E$594,MATCH(1,($A660=$A$403:$A$594)*($B660=$B$403:$B$594)*("Weekend"=$D$403:$D$594),0))*WeekendDays)/DaysPerWeek</f>
        <v>2.2943611036760094E-6</v>
      </c>
      <c r="E660" s="11" cm="1">
        <f t="array" ref="E660">(INDEX(F$403:F$594,MATCH(1,($A660=$A$403:$A$594)*($B660=$B$403:$B$594)*("Weekday"=$D$403:$D$594),0))*Weekdays+INDEX(F$403:F$594,MATCH(1,($A660=$A$403:$A$594)*($B660=$B$403:$B$594)*("Weekend"=$D$403:$D$594),0))*WeekendDays)/DaysPerWeek</f>
        <v>4.9365616998497182E-4</v>
      </c>
      <c r="F660" s="11" cm="1">
        <f t="array" ref="F660">(INDEX(G$403:G$594,MATCH(1,($A660=$A$403:$A$594)*($B660=$B$403:$B$594)*("Weekday"=$D$403:$D$594),0))*Weekdays+INDEX(G$403:G$594,MATCH(1,($A660=$A$403:$A$594)*($B660=$B$403:$B$594)*("Weekend"=$D$403:$D$594),0))*WeekendDays)/DaysPerWeek</f>
        <v>0</v>
      </c>
      <c r="G660" s="11" cm="1">
        <f t="array" ref="G660">(INDEX(H$403:H$594,MATCH(1,($A660=$A$403:$A$594)*($B660=$B$403:$B$594)*("Weekday"=$D$403:$D$594),0))*Weekdays+INDEX(H$403:H$594,MATCH(1,($A660=$A$403:$A$594)*($B660=$B$403:$B$594)*("Weekend"=$D$403:$D$594),0))*WeekendDays)/DaysPerWeek</f>
        <v>5.9885878508942554E-5</v>
      </c>
      <c r="H660" s="11" cm="1">
        <f t="array" ref="H660">(INDEX(I$403:I$594,MATCH(1,($A660=$A$403:$A$594)*($B660=$B$403:$B$594)*("Weekday"=$D$403:$D$594),0))*Weekdays+INDEX(I$403:I$594,MATCH(1,($A660=$A$403:$A$594)*($B660=$B$403:$B$594)*("Weekend"=$D$403:$D$594),0))*WeekendDays)/DaysPerWeek</f>
        <v>1.0669416498022869E-4</v>
      </c>
      <c r="I660" s="11" cm="1">
        <f t="array" ref="I660">(INDEX(J$403:J$594,MATCH(1,($A660=$A$403:$A$594)*($B660=$B$403:$B$594)*("Weekday"=$D$403:$D$594),0))*Weekdays+INDEX(J$403:J$594,MATCH(1,($A660=$A$403:$A$594)*($B660=$B$403:$B$594)*("Weekend"=$D$403:$D$594),0))*WeekendDays)/DaysPerWeek</f>
        <v>1.0669416498022869E-4</v>
      </c>
      <c r="J660" s="11" cm="1">
        <f t="array" ref="J660">(INDEX(K$403:K$594,MATCH(1,($A660=$A$403:$A$594)*($B660=$B$403:$B$594)*("Weekday"=$D$403:$D$594),0))*Weekdays+INDEX(K$403:K$594,MATCH(1,($A660=$A$403:$A$594)*($B660=$B$403:$B$594)*("Weekend"=$D$403:$D$594),0))*WeekendDays)/DaysPerWeek</f>
        <v>1.8371287760701142E-6</v>
      </c>
      <c r="K660" s="11" cm="1">
        <f t="array" ref="K660">(INDEX(L$403:L$594,MATCH(1,($A660=$A$403:$A$594)*($B660=$B$403:$B$594)*("Weekday"=$D$403:$D$594),0))*Weekdays+INDEX(L$403:L$594,MATCH(1,($A660=$A$403:$A$594)*($B660=$B$403:$B$594)*("Weekend"=$D$403:$D$594),0))*WeekendDays)/DaysPerWeek</f>
        <v>5.3926124751883559E-4</v>
      </c>
      <c r="L660" s="11" cm="1">
        <f t="array" ref="L660">(INDEX(M$403:M$594,MATCH(1,($A660=$A$403:$A$594)*($B660=$B$403:$B$594)*("Weekday"=$D$403:$D$594),0))*Weekdays+INDEX(M$403:M$594,MATCH(1,($A660=$A$403:$A$594)*($B660=$B$403:$B$594)*("Weekend"=$D$403:$D$594),0))*WeekendDays)/DaysPerWeek</f>
        <v>0</v>
      </c>
      <c r="M660" s="11" cm="1">
        <f t="array" ref="M660">(INDEX(N$403:N$594,MATCH(1,($A660=$A$403:$A$594)*($B660=$B$403:$B$594)*("Weekday"=$D$403:$D$594),0))*Weekdays+INDEX(N$403:N$594,MATCH(1,($A660=$A$403:$A$594)*($B660=$B$403:$B$594)*("Weekend"=$D$403:$D$594),0))*WeekendDays)/DaysPerWeek</f>
        <v>1.5834146780661858E-4</v>
      </c>
      <c r="N660" s="11" cm="1">
        <f t="array" ref="N660">(INDEX(O$403:O$594,MATCH(1,($A660=$A$403:$A$594)*($B660=$B$403:$B$594)*("Weekday"=$D$403:$D$594),0))*Weekdays+INDEX(O$403:O$594,MATCH(1,($A660=$A$403:$A$594)*($B660=$B$403:$B$594)*("Weekend"=$D$403:$D$594),0))*WeekendDays)/DaysPerWeek</f>
        <v>1.5834146780661858E-4</v>
      </c>
      <c r="O660" s="11" cm="1">
        <f t="array" ref="O660">(INDEX(P$403:P$594,MATCH(1,($A660=$A$403:$A$594)*($B660=$B$403:$B$594)*("Weekday"=$D$403:$D$594),0))*Weekdays+INDEX(P$403:P$594,MATCH(1,($A660=$A$403:$A$594)*($B660=$B$403:$B$594)*("Weekend"=$D$403:$D$594),0))*WeekendDays)/DaysPerWeek</f>
        <v>0</v>
      </c>
      <c r="P660" s="11" cm="1">
        <f t="array" ref="P660">(INDEX(Q$403:Q$594,MATCH(1,($A660=$A$403:$A$594)*($B660=$B$403:$B$594)*("Weekday"=$D$403:$D$594),0))*Weekdays+INDEX(Q$403:Q$594,MATCH(1,($A660=$A$403:$A$594)*($B660=$B$403:$B$594)*("Weekend"=$D$403:$D$594),0))*WeekendDays)/DaysPerWeek</f>
        <v>1.2345425624261255E-4</v>
      </c>
      <c r="Q660" s="11" cm="1">
        <f t="array" ref="Q660">(INDEX(R$403:R$594,MATCH(1,($A660=$A$403:$A$594)*($B660=$B$403:$B$594)*("Weekday"=$D$403:$D$594),0))*Weekdays+INDEX(R$403:R$594,MATCH(1,($A660=$A$403:$A$594)*($B660=$B$403:$B$594)*("Weekend"=$D$403:$D$594),0))*WeekendDays)/DaysPerWeek</f>
        <v>1.2345425624261258E-4</v>
      </c>
      <c r="R660" s="11" cm="1">
        <f t="array" ref="R660">(INDEX(S$403:S$594,MATCH(1,($A660=$A$403:$A$594)*($B660=$B$403:$B$594)*("Weekday"=$D$403:$D$594),0))*Weekdays+INDEX(S$403:S$594,MATCH(1,($A660=$A$403:$A$594)*($B660=$B$403:$B$594)*("Weekend"=$D$403:$D$594),0))*WeekendDays)/DaysPerWeek</f>
        <v>0</v>
      </c>
      <c r="S660" s="11" cm="1">
        <f t="array" ref="S660">(INDEX(T$403:T$594,MATCH(1,($A660=$A$403:$A$594)*($B660=$B$403:$B$594)*("Weekday"=$D$403:$D$594),0))*Weekdays+INDEX(T$403:T$594,MATCH(1,($A660=$A$403:$A$594)*($B660=$B$403:$B$594)*("Weekend"=$D$403:$D$594),0))*WeekendDays)/DaysPerWeek</f>
        <v>1.2345425624261261E-4</v>
      </c>
      <c r="T660" s="11" cm="1">
        <f t="array" ref="T660">(INDEX(U$403:U$594,MATCH(1,($A660=$A$403:$A$594)*($B660=$B$403:$B$594)*("Weekday"=$D$403:$D$594),0))*Weekdays+INDEX(U$403:U$594,MATCH(1,($A660=$A$403:$A$594)*($B660=$B$403:$B$594)*("Weekend"=$D$403:$D$594),0))*WeekendDays)/DaysPerWeek</f>
        <v>0</v>
      </c>
      <c r="U660" s="11" t="e" cm="1">
        <f t="array" ref="U660">(INDEX(V$403:V$594,MATCH(1,($A660=$A$403:$A$594)*($B660=$B$403:$B$594)*("Weekday"=$D$403:$D$594),0))*Weekdays+INDEX(V$403:V$594,MATCH(1,($A660=$A$403:$A$594)*($B660=$B$403:$B$594)*("Weekend"=$D$403:$D$594),0))*WeekendDays)/DaysPerWeek</f>
        <v>#DIV/0!</v>
      </c>
      <c r="V660" s="11" cm="1">
        <f t="array" ref="V660">(INDEX(W$403:W$594,MATCH(1,($A660=$A$403:$A$594)*($B660=$B$403:$B$594)*("Weekday"=$D$403:$D$594),0))*Weekdays+INDEX(W$403:W$594,MATCH(1,($A660=$A$403:$A$594)*($B660=$B$403:$B$594)*("Weekend"=$D$403:$D$594),0))*WeekendDays)/DaysPerWeek</f>
        <v>1.1213172897434291E-4</v>
      </c>
      <c r="W660" s="11" cm="1">
        <f t="array" ref="W660">(INDEX(X$403:X$594,MATCH(1,($A660=$A$403:$A$594)*($B660=$B$403:$B$594)*("Weekday"=$D$403:$D$594),0))*Weekdays+INDEX(X$403:X$594,MATCH(1,($A660=$A$403:$A$594)*($B660=$B$403:$B$594)*("Weekend"=$D$403:$D$594),0))*WeekendDays)/DaysPerWeek</f>
        <v>0</v>
      </c>
      <c r="X660" s="11" cm="1">
        <f t="array" ref="X660">(INDEX(Y$403:Y$594,MATCH(1,($A660=$A$403:$A$594)*($B660=$B$403:$B$594)*("Weekday"=$D$403:$D$594),0))*Weekdays+INDEX(Y$403:Y$594,MATCH(1,($A660=$A$403:$A$594)*($B660=$B$403:$B$594)*("Weekend"=$D$403:$D$594),0))*WeekendDays)/DaysPerWeek</f>
        <v>0</v>
      </c>
      <c r="Y660" s="25" t="e">
        <f t="shared" si="422"/>
        <v>#DIV/0!</v>
      </c>
      <c r="Z660" s="32" t="e">
        <f t="shared" si="423"/>
        <v>#DIV/0!</v>
      </c>
    </row>
    <row r="661" spans="1:26" outlineLevel="1" x14ac:dyDescent="0.25">
      <c r="A661" t="s">
        <v>39</v>
      </c>
      <c r="B661" t="s">
        <v>160</v>
      </c>
      <c r="C661" s="7" t="s">
        <v>12</v>
      </c>
      <c r="D661" s="11" cm="1">
        <f t="array" ref="D661">(INDEX(E$403:E$594,MATCH(1,($A661=$A$403:$A$594)*($B661=$B$403:$B$594)*("Weekday"=$D$403:$D$594),0))*Weekdays+INDEX(E$403:E$594,MATCH(1,($A661=$A$403:$A$594)*($B661=$B$403:$B$594)*("Weekend"=$D$403:$D$594),0))*WeekendDays)/DaysPerWeek</f>
        <v>2.3050095566830104E-6</v>
      </c>
      <c r="E661" s="11" cm="1">
        <f t="array" ref="E661">(INDEX(F$403:F$594,MATCH(1,($A661=$A$403:$A$594)*($B661=$B$403:$B$594)*("Weekday"=$D$403:$D$594),0))*Weekdays+INDEX(F$403:F$594,MATCH(1,($A661=$A$403:$A$594)*($B661=$B$403:$B$594)*("Weekend"=$D$403:$D$594),0))*WeekendDays)/DaysPerWeek</f>
        <v>5.2669303822924307E-4</v>
      </c>
      <c r="F661" s="11" cm="1">
        <f t="array" ref="F661">(INDEX(G$403:G$594,MATCH(1,($A661=$A$403:$A$594)*($B661=$B$403:$B$594)*("Weekday"=$D$403:$D$594),0))*Weekdays+INDEX(G$403:G$594,MATCH(1,($A661=$A$403:$A$594)*($B661=$B$403:$B$594)*("Weekend"=$D$403:$D$594),0))*WeekendDays)/DaysPerWeek</f>
        <v>0</v>
      </c>
      <c r="G661" s="11" cm="1">
        <f t="array" ref="G661">(INDEX(H$403:H$594,MATCH(1,($A661=$A$403:$A$594)*($B661=$B$403:$B$594)*("Weekday"=$D$403:$D$594),0))*Weekdays+INDEX(H$403:H$594,MATCH(1,($A661=$A$403:$A$594)*($B661=$B$403:$B$594)*("Weekend"=$D$403:$D$594),0))*WeekendDays)/DaysPerWeek</f>
        <v>6.0522697459836488E-5</v>
      </c>
      <c r="H661" s="11" cm="1">
        <f t="array" ref="H661">(INDEX(I$403:I$594,MATCH(1,($A661=$A$403:$A$594)*($B661=$B$403:$B$594)*("Weekday"=$D$403:$D$594),0))*Weekdays+INDEX(I$403:I$594,MATCH(1,($A661=$A$403:$A$594)*($B661=$B$403:$B$594)*("Weekend"=$D$403:$D$594),0))*WeekendDays)/DaysPerWeek</f>
        <v>9.2414101585272759E-5</v>
      </c>
      <c r="I661" s="11" cm="1">
        <f t="array" ref="I661">(INDEX(J$403:J$594,MATCH(1,($A661=$A$403:$A$594)*($B661=$B$403:$B$594)*("Weekday"=$D$403:$D$594),0))*Weekdays+INDEX(J$403:J$594,MATCH(1,($A661=$A$403:$A$594)*($B661=$B$403:$B$594)*("Weekend"=$D$403:$D$594),0))*WeekendDays)/DaysPerWeek</f>
        <v>9.2414101585272759E-5</v>
      </c>
      <c r="J661" s="11" cm="1">
        <f t="array" ref="J661">(INDEX(K$403:K$594,MATCH(1,($A661=$A$403:$A$594)*($B661=$B$403:$B$594)*("Weekday"=$D$403:$D$594),0))*Weekdays+INDEX(K$403:K$594,MATCH(1,($A661=$A$403:$A$594)*($B661=$B$403:$B$594)*("Weekend"=$D$403:$D$594),0))*WeekendDays)/DaysPerWeek</f>
        <v>1.753481975759977E-6</v>
      </c>
      <c r="K661" s="11" cm="1">
        <f t="array" ref="K661">(INDEX(L$403:L$594,MATCH(1,($A661=$A$403:$A$594)*($B661=$B$403:$B$594)*("Weekday"=$D$403:$D$594),0))*Weekdays+INDEX(L$403:L$594,MATCH(1,($A661=$A$403:$A$594)*($B661=$B$403:$B$594)*("Weekend"=$D$403:$D$594),0))*WeekendDays)/DaysPerWeek</f>
        <v>5.5456952204987304E-4</v>
      </c>
      <c r="L661" s="11" cm="1">
        <f t="array" ref="L661">(INDEX(M$403:M$594,MATCH(1,($A661=$A$403:$A$594)*($B661=$B$403:$B$594)*("Weekday"=$D$403:$D$594),0))*Weekdays+INDEX(M$403:M$594,MATCH(1,($A661=$A$403:$A$594)*($B661=$B$403:$B$594)*("Weekend"=$D$403:$D$594),0))*WeekendDays)/DaysPerWeek</f>
        <v>0</v>
      </c>
      <c r="M661" s="11" cm="1">
        <f t="array" ref="M661">(INDEX(N$403:N$594,MATCH(1,($A661=$A$403:$A$594)*($B661=$B$403:$B$594)*("Weekday"=$D$403:$D$594),0))*Weekdays+INDEX(N$403:N$594,MATCH(1,($A661=$A$403:$A$594)*($B661=$B$403:$B$594)*("Weekend"=$D$403:$D$594),0))*WeekendDays)/DaysPerWeek</f>
        <v>1.5672293040214788E-4</v>
      </c>
      <c r="N661" s="11" cm="1">
        <f t="array" ref="N661">(INDEX(O$403:O$594,MATCH(1,($A661=$A$403:$A$594)*($B661=$B$403:$B$594)*("Weekday"=$D$403:$D$594),0))*Weekdays+INDEX(O$403:O$594,MATCH(1,($A661=$A$403:$A$594)*($B661=$B$403:$B$594)*("Weekend"=$D$403:$D$594),0))*WeekendDays)/DaysPerWeek</f>
        <v>1.5672293040214788E-4</v>
      </c>
      <c r="O661" s="11" cm="1">
        <f t="array" ref="O661">(INDEX(P$403:P$594,MATCH(1,($A661=$A$403:$A$594)*($B661=$B$403:$B$594)*("Weekday"=$D$403:$D$594),0))*Weekdays+INDEX(P$403:P$594,MATCH(1,($A661=$A$403:$A$594)*($B661=$B$403:$B$594)*("Weekend"=$D$403:$D$594),0))*WeekendDays)/DaysPerWeek</f>
        <v>0</v>
      </c>
      <c r="P661" s="11" cm="1">
        <f t="array" ref="P661">(INDEX(Q$403:Q$594,MATCH(1,($A661=$A$403:$A$594)*($B661=$B$403:$B$594)*("Weekday"=$D$403:$D$594),0))*Weekdays+INDEX(Q$403:Q$594,MATCH(1,($A661=$A$403:$A$594)*($B661=$B$403:$B$594)*("Weekend"=$D$403:$D$594),0))*WeekendDays)/DaysPerWeek</f>
        <v>1.2090472149381404E-4</v>
      </c>
      <c r="Q661" s="11" cm="1">
        <f t="array" ref="Q661">(INDEX(R$403:R$594,MATCH(1,($A661=$A$403:$A$594)*($B661=$B$403:$B$594)*("Weekday"=$D$403:$D$594),0))*Weekdays+INDEX(R$403:R$594,MATCH(1,($A661=$A$403:$A$594)*($B661=$B$403:$B$594)*("Weekend"=$D$403:$D$594),0))*WeekendDays)/DaysPerWeek</f>
        <v>1.2090472149381405E-4</v>
      </c>
      <c r="R661" s="11" cm="1">
        <f t="array" ref="R661">(INDEX(S$403:S$594,MATCH(1,($A661=$A$403:$A$594)*($B661=$B$403:$B$594)*("Weekday"=$D$403:$D$594),0))*Weekdays+INDEX(S$403:S$594,MATCH(1,($A661=$A$403:$A$594)*($B661=$B$403:$B$594)*("Weekend"=$D$403:$D$594),0))*WeekendDays)/DaysPerWeek</f>
        <v>0</v>
      </c>
      <c r="S661" s="11" cm="1">
        <f t="array" ref="S661">(INDEX(T$403:T$594,MATCH(1,($A661=$A$403:$A$594)*($B661=$B$403:$B$594)*("Weekday"=$D$403:$D$594),0))*Weekdays+INDEX(T$403:T$594,MATCH(1,($A661=$A$403:$A$594)*($B661=$B$403:$B$594)*("Weekend"=$D$403:$D$594),0))*WeekendDays)/DaysPerWeek</f>
        <v>1.2090472149381408E-4</v>
      </c>
      <c r="T661" s="11" cm="1">
        <f t="array" ref="T661">(INDEX(U$403:U$594,MATCH(1,($A661=$A$403:$A$594)*($B661=$B$403:$B$594)*("Weekday"=$D$403:$D$594),0))*Weekdays+INDEX(U$403:U$594,MATCH(1,($A661=$A$403:$A$594)*($B661=$B$403:$B$594)*("Weekend"=$D$403:$D$594),0))*WeekendDays)/DaysPerWeek</f>
        <v>0</v>
      </c>
      <c r="U661" s="11" t="e" cm="1">
        <f t="array" ref="U661">(INDEX(V$403:V$594,MATCH(1,($A661=$A$403:$A$594)*($B661=$B$403:$B$594)*("Weekday"=$D$403:$D$594),0))*Weekdays+INDEX(V$403:V$594,MATCH(1,($A661=$A$403:$A$594)*($B661=$B$403:$B$594)*("Weekend"=$D$403:$D$594),0))*WeekendDays)/DaysPerWeek</f>
        <v>#DIV/0!</v>
      </c>
      <c r="V661" s="11" cm="1">
        <f t="array" ref="V661">(INDEX(W$403:W$594,MATCH(1,($A661=$A$403:$A$594)*($B661=$B$403:$B$594)*("Weekday"=$D$403:$D$594),0))*Weekdays+INDEX(W$403:W$594,MATCH(1,($A661=$A$403:$A$594)*($B661=$B$403:$B$594)*("Weekend"=$D$403:$D$594),0))*WeekendDays)/DaysPerWeek</f>
        <v>1.1209416390600979E-4</v>
      </c>
      <c r="W661" s="11" cm="1">
        <f t="array" ref="W661">(INDEX(X$403:X$594,MATCH(1,($A661=$A$403:$A$594)*($B661=$B$403:$B$594)*("Weekday"=$D$403:$D$594),0))*Weekdays+INDEX(X$403:X$594,MATCH(1,($A661=$A$403:$A$594)*($B661=$B$403:$B$594)*("Weekend"=$D$403:$D$594),0))*WeekendDays)/DaysPerWeek</f>
        <v>0</v>
      </c>
      <c r="X661" s="11" cm="1">
        <f t="array" ref="X661">(INDEX(Y$403:Y$594,MATCH(1,($A661=$A$403:$A$594)*($B661=$B$403:$B$594)*("Weekday"=$D$403:$D$594),0))*Weekdays+INDEX(Y$403:Y$594,MATCH(1,($A661=$A$403:$A$594)*($B661=$B$403:$B$594)*("Weekend"=$D$403:$D$594),0))*WeekendDays)/DaysPerWeek</f>
        <v>0</v>
      </c>
      <c r="Y661" s="25" t="e">
        <f t="shared" si="422"/>
        <v>#DIV/0!</v>
      </c>
      <c r="Z661" s="32" t="e">
        <f t="shared" si="423"/>
        <v>#DIV/0!</v>
      </c>
    </row>
    <row r="662" spans="1:26" outlineLevel="1" x14ac:dyDescent="0.25">
      <c r="A662" t="s">
        <v>39</v>
      </c>
      <c r="B662" t="s">
        <v>161</v>
      </c>
      <c r="C662" s="7" t="s">
        <v>13</v>
      </c>
      <c r="D662" s="11" cm="1">
        <f t="array" ref="D662">(INDEX(E$403:E$594,MATCH(1,($A662=$A$403:$A$594)*($B662=$B$403:$B$594)*("Weekday"=$D$403:$D$594),0))*Weekdays+INDEX(E$403:E$594,MATCH(1,($A662=$A$403:$A$594)*($B662=$B$403:$B$594)*("Weekend"=$D$403:$D$594),0))*WeekendDays)/DaysPerWeek</f>
        <v>2.3198498106593201E-6</v>
      </c>
      <c r="E662" s="11" cm="1">
        <f t="array" ref="E662">(INDEX(F$403:F$594,MATCH(1,($A662=$A$403:$A$594)*($B662=$B$403:$B$594)*("Weekday"=$D$403:$D$594),0))*Weekdays+INDEX(F$403:F$594,MATCH(1,($A662=$A$403:$A$594)*($B662=$B$403:$B$594)*("Weekend"=$D$403:$D$594),0))*WeekendDays)/DaysPerWeek</f>
        <v>5.4787457097915855E-4</v>
      </c>
      <c r="F662" s="11" cm="1">
        <f t="array" ref="F662">(INDEX(G$403:G$594,MATCH(1,($A662=$A$403:$A$594)*($B662=$B$403:$B$594)*("Weekday"=$D$403:$D$594),0))*Weekdays+INDEX(G$403:G$594,MATCH(1,($A662=$A$403:$A$594)*($B662=$B$403:$B$594)*("Weekend"=$D$403:$D$594),0))*WeekendDays)/DaysPerWeek</f>
        <v>0</v>
      </c>
      <c r="G662" s="11" cm="1">
        <f t="array" ref="G662">(INDEX(H$403:H$594,MATCH(1,($A662=$A$403:$A$594)*($B662=$B$403:$B$594)*("Weekday"=$D$403:$D$594),0))*Weekdays+INDEX(H$403:H$594,MATCH(1,($A662=$A$403:$A$594)*($B662=$B$403:$B$594)*("Weekend"=$D$403:$D$594),0))*WeekendDays)/DaysPerWeek</f>
        <v>6.1262407430933986E-5</v>
      </c>
      <c r="H662" s="11" cm="1">
        <f t="array" ref="H662">(INDEX(I$403:I$594,MATCH(1,($A662=$A$403:$A$594)*($B662=$B$403:$B$594)*("Weekday"=$D$403:$D$594),0))*Weekdays+INDEX(I$403:I$594,MATCH(1,($A662=$A$403:$A$594)*($B662=$B$403:$B$594)*("Weekend"=$D$403:$D$594),0))*WeekendDays)/DaysPerWeek</f>
        <v>8.7552323600603892E-5</v>
      </c>
      <c r="I662" s="11" cm="1">
        <f t="array" ref="I662">(INDEX(J$403:J$594,MATCH(1,($A662=$A$403:$A$594)*($B662=$B$403:$B$594)*("Weekday"=$D$403:$D$594),0))*Weekdays+INDEX(J$403:J$594,MATCH(1,($A662=$A$403:$A$594)*($B662=$B$403:$B$594)*("Weekend"=$D$403:$D$594),0))*WeekendDays)/DaysPerWeek</f>
        <v>8.7552323600603892E-5</v>
      </c>
      <c r="J662" s="11" cm="1">
        <f t="array" ref="J662">(INDEX(K$403:K$594,MATCH(1,($A662=$A$403:$A$594)*($B662=$B$403:$B$594)*("Weekday"=$D$403:$D$594),0))*Weekdays+INDEX(K$403:K$594,MATCH(1,($A662=$A$403:$A$594)*($B662=$B$403:$B$594)*("Weekend"=$D$403:$D$594),0))*WeekendDays)/DaysPerWeek</f>
        <v>1.6848260369585975E-6</v>
      </c>
      <c r="K662" s="11" cm="1">
        <f t="array" ref="K662">(INDEX(L$403:L$594,MATCH(1,($A662=$A$403:$A$594)*($B662=$B$403:$B$594)*("Weekday"=$D$403:$D$594),0))*Weekdays+INDEX(L$403:L$594,MATCH(1,($A662=$A$403:$A$594)*($B662=$B$403:$B$594)*("Weekend"=$D$403:$D$594),0))*WeekendDays)/DaysPerWeek</f>
        <v>5.6376109941408132E-4</v>
      </c>
      <c r="L662" s="11" cm="1">
        <f t="array" ref="L662">(INDEX(M$403:M$594,MATCH(1,($A662=$A$403:$A$594)*($B662=$B$403:$B$594)*("Weekday"=$D$403:$D$594),0))*Weekdays+INDEX(M$403:M$594,MATCH(1,($A662=$A$403:$A$594)*($B662=$B$403:$B$594)*("Weekend"=$D$403:$D$594),0))*WeekendDays)/DaysPerWeek</f>
        <v>0</v>
      </c>
      <c r="M662" s="11" cm="1">
        <f t="array" ref="M662">(INDEX(N$403:N$594,MATCH(1,($A662=$A$403:$A$594)*($B662=$B$403:$B$594)*("Weekday"=$D$403:$D$594),0))*Weekdays+INDEX(N$403:N$594,MATCH(1,($A662=$A$403:$A$594)*($B662=$B$403:$B$594)*("Weekend"=$D$403:$D$594),0))*WeekendDays)/DaysPerWeek</f>
        <v>1.552296097980712E-4</v>
      </c>
      <c r="N662" s="11" cm="1">
        <f t="array" ref="N662">(INDEX(O$403:O$594,MATCH(1,($A662=$A$403:$A$594)*($B662=$B$403:$B$594)*("Weekday"=$D$403:$D$594),0))*Weekdays+INDEX(O$403:O$594,MATCH(1,($A662=$A$403:$A$594)*($B662=$B$403:$B$594)*("Weekend"=$D$403:$D$594),0))*WeekendDays)/DaysPerWeek</f>
        <v>1.552296097980712E-4</v>
      </c>
      <c r="O662" s="11" cm="1">
        <f t="array" ref="O662">(INDEX(P$403:P$594,MATCH(1,($A662=$A$403:$A$594)*($B662=$B$403:$B$594)*("Weekday"=$D$403:$D$594),0))*Weekdays+INDEX(P$403:P$594,MATCH(1,($A662=$A$403:$A$594)*($B662=$B$403:$B$594)*("Weekend"=$D$403:$D$594),0))*WeekendDays)/DaysPerWeek</f>
        <v>0</v>
      </c>
      <c r="P662" s="11" cm="1">
        <f t="array" ref="P662">(INDEX(Q$403:Q$594,MATCH(1,($A662=$A$403:$A$594)*($B662=$B$403:$B$594)*("Weekday"=$D$403:$D$594),0))*Weekdays+INDEX(Q$403:Q$594,MATCH(1,($A662=$A$403:$A$594)*($B662=$B$403:$B$594)*("Weekend"=$D$403:$D$594),0))*WeekendDays)/DaysPerWeek</f>
        <v>1.1938251999039852E-4</v>
      </c>
      <c r="Q662" s="11" cm="1">
        <f t="array" ref="Q662">(INDEX(R$403:R$594,MATCH(1,($A662=$A$403:$A$594)*($B662=$B$403:$B$594)*("Weekday"=$D$403:$D$594),0))*Weekdays+INDEX(R$403:R$594,MATCH(1,($A662=$A$403:$A$594)*($B662=$B$403:$B$594)*("Weekend"=$D$403:$D$594),0))*WeekendDays)/DaysPerWeek</f>
        <v>1.1938251999039859E-4</v>
      </c>
      <c r="R662" s="11" cm="1">
        <f t="array" ref="R662">(INDEX(S$403:S$594,MATCH(1,($A662=$A$403:$A$594)*($B662=$B$403:$B$594)*("Weekday"=$D$403:$D$594),0))*Weekdays+INDEX(S$403:S$594,MATCH(1,($A662=$A$403:$A$594)*($B662=$B$403:$B$594)*("Weekend"=$D$403:$D$594),0))*WeekendDays)/DaysPerWeek</f>
        <v>0</v>
      </c>
      <c r="S662" s="11" cm="1">
        <f t="array" ref="S662">(INDEX(T$403:T$594,MATCH(1,($A662=$A$403:$A$594)*($B662=$B$403:$B$594)*("Weekday"=$D$403:$D$594),0))*Weekdays+INDEX(T$403:T$594,MATCH(1,($A662=$A$403:$A$594)*($B662=$B$403:$B$594)*("Weekend"=$D$403:$D$594),0))*WeekendDays)/DaysPerWeek</f>
        <v>1.1938251999039859E-4</v>
      </c>
      <c r="T662" s="11" cm="1">
        <f t="array" ref="T662">(INDEX(U$403:U$594,MATCH(1,($A662=$A$403:$A$594)*($B662=$B$403:$B$594)*("Weekday"=$D$403:$D$594),0))*Weekdays+INDEX(U$403:U$594,MATCH(1,($A662=$A$403:$A$594)*($B662=$B$403:$B$594)*("Weekend"=$D$403:$D$594),0))*WeekendDays)/DaysPerWeek</f>
        <v>0</v>
      </c>
      <c r="U662" s="11" t="e" cm="1">
        <f t="array" ref="U662">(INDEX(V$403:V$594,MATCH(1,($A662=$A$403:$A$594)*($B662=$B$403:$B$594)*("Weekday"=$D$403:$D$594),0))*Weekdays+INDEX(V$403:V$594,MATCH(1,($A662=$A$403:$A$594)*($B662=$B$403:$B$594)*("Weekend"=$D$403:$D$594),0))*WeekendDays)/DaysPerWeek</f>
        <v>#DIV/0!</v>
      </c>
      <c r="V662" s="11" cm="1">
        <f t="array" ref="V662">(INDEX(W$403:W$594,MATCH(1,($A662=$A$403:$A$594)*($B662=$B$403:$B$594)*("Weekday"=$D$403:$D$594),0))*Weekdays+INDEX(W$403:W$594,MATCH(1,($A662=$A$403:$A$594)*($B662=$B$403:$B$594)*("Weekend"=$D$403:$D$594),0))*WeekendDays)/DaysPerWeek</f>
        <v>1.1231955431600847E-4</v>
      </c>
      <c r="W662" s="11" cm="1">
        <f t="array" ref="W662">(INDEX(X$403:X$594,MATCH(1,($A662=$A$403:$A$594)*($B662=$B$403:$B$594)*("Weekday"=$D$403:$D$594),0))*Weekdays+INDEX(X$403:X$594,MATCH(1,($A662=$A$403:$A$594)*($B662=$B$403:$B$594)*("Weekend"=$D$403:$D$594),0))*WeekendDays)/DaysPerWeek</f>
        <v>0</v>
      </c>
      <c r="X662" s="11" cm="1">
        <f t="array" ref="X662">(INDEX(Y$403:Y$594,MATCH(1,($A662=$A$403:$A$594)*($B662=$B$403:$B$594)*("Weekday"=$D$403:$D$594),0))*Weekdays+INDEX(Y$403:Y$594,MATCH(1,($A662=$A$403:$A$594)*($B662=$B$403:$B$594)*("Weekend"=$D$403:$D$594),0))*WeekendDays)/DaysPerWeek</f>
        <v>0</v>
      </c>
      <c r="Y662" s="25" t="e">
        <f t="shared" si="422"/>
        <v>#DIV/0!</v>
      </c>
      <c r="Z662" s="32" t="e">
        <f t="shared" si="423"/>
        <v>#DIV/0!</v>
      </c>
    </row>
    <row r="663" spans="1:26" outlineLevel="1" x14ac:dyDescent="0.25">
      <c r="A663" t="s">
        <v>39</v>
      </c>
      <c r="B663" t="s">
        <v>162</v>
      </c>
      <c r="C663" s="7" t="s">
        <v>14</v>
      </c>
      <c r="D663" s="11" cm="1">
        <f t="array" ref="D663">(INDEX(E$403:E$594,MATCH(1,($A663=$A$403:$A$594)*($B663=$B$403:$B$594)*("Weekday"=$D$403:$D$594),0))*Weekdays+INDEX(E$403:E$594,MATCH(1,($A663=$A$403:$A$594)*($B663=$B$403:$B$594)*("Weekend"=$D$403:$D$594),0))*WeekendDays)/DaysPerWeek</f>
        <v>2.3879749478359001E-6</v>
      </c>
      <c r="E663" s="11" cm="1">
        <f t="array" ref="E663">(INDEX(F$403:F$594,MATCH(1,($A663=$A$403:$A$594)*($B663=$B$403:$B$594)*("Weekday"=$D$403:$D$594),0))*Weekdays+INDEX(F$403:F$594,MATCH(1,($A663=$A$403:$A$594)*($B663=$B$403:$B$594)*("Weekend"=$D$403:$D$594),0))*WeekendDays)/DaysPerWeek</f>
        <v>5.7000453056862261E-4</v>
      </c>
      <c r="F663" s="11" cm="1">
        <f t="array" ref="F663">(INDEX(G$403:G$594,MATCH(1,($A663=$A$403:$A$594)*($B663=$B$403:$B$594)*("Weekday"=$D$403:$D$594),0))*Weekdays+INDEX(G$403:G$594,MATCH(1,($A663=$A$403:$A$594)*($B663=$B$403:$B$594)*("Weekend"=$D$403:$D$594),0))*WeekendDays)/DaysPerWeek</f>
        <v>0</v>
      </c>
      <c r="G663" s="11" cm="1">
        <f t="array" ref="G663">(INDEX(H$403:H$594,MATCH(1,($A663=$A$403:$A$594)*($B663=$B$403:$B$594)*("Weekday"=$D$403:$D$594),0))*Weekdays+INDEX(H$403:H$594,MATCH(1,($A663=$A$403:$A$594)*($B663=$B$403:$B$594)*("Weekend"=$D$403:$D$594),0))*WeekendDays)/DaysPerWeek</f>
        <v>6.4112058983812543E-5</v>
      </c>
      <c r="H663" s="11" cm="1">
        <f t="array" ref="H663">(INDEX(I$403:I$594,MATCH(1,($A663=$A$403:$A$594)*($B663=$B$403:$B$594)*("Weekday"=$D$403:$D$594),0))*Weekdays+INDEX(I$403:I$594,MATCH(1,($A663=$A$403:$A$594)*($B663=$B$403:$B$594)*("Weekend"=$D$403:$D$594),0))*WeekendDays)/DaysPerWeek</f>
        <v>8.1678470926461116E-5</v>
      </c>
      <c r="I663" s="11" cm="1">
        <f t="array" ref="I663">(INDEX(J$403:J$594,MATCH(1,($A663=$A$403:$A$594)*($B663=$B$403:$B$594)*("Weekday"=$D$403:$D$594),0))*Weekdays+INDEX(J$403:J$594,MATCH(1,($A663=$A$403:$A$594)*($B663=$B$403:$B$594)*("Weekend"=$D$403:$D$594),0))*WeekendDays)/DaysPerWeek</f>
        <v>8.1678470926461116E-5</v>
      </c>
      <c r="J663" s="11" cm="1">
        <f t="array" ref="J663">(INDEX(K$403:K$594,MATCH(1,($A663=$A$403:$A$594)*($B663=$B$403:$B$594)*("Weekday"=$D$403:$D$594),0))*Weekdays+INDEX(K$403:K$594,MATCH(1,($A663=$A$403:$A$594)*($B663=$B$403:$B$594)*("Weekend"=$D$403:$D$594),0))*WeekendDays)/DaysPerWeek</f>
        <v>1.5842232344986155E-6</v>
      </c>
      <c r="K663" s="11" cm="1">
        <f t="array" ref="K663">(INDEX(L$403:L$594,MATCH(1,($A663=$A$403:$A$594)*($B663=$B$403:$B$594)*("Weekday"=$D$403:$D$594),0))*Weekdays+INDEX(L$403:L$594,MATCH(1,($A663=$A$403:$A$594)*($B663=$B$403:$B$594)*("Weekend"=$D$403:$D$594),0))*WeekendDays)/DaysPerWeek</f>
        <v>5.6052090307705824E-4</v>
      </c>
      <c r="L663" s="11" cm="1">
        <f t="array" ref="L663">(INDEX(M$403:M$594,MATCH(1,($A663=$A$403:$A$594)*($B663=$B$403:$B$594)*("Weekday"=$D$403:$D$594),0))*Weekdays+INDEX(M$403:M$594,MATCH(1,($A663=$A$403:$A$594)*($B663=$B$403:$B$594)*("Weekend"=$D$403:$D$594),0))*WeekendDays)/DaysPerWeek</f>
        <v>0</v>
      </c>
      <c r="M663" s="11" cm="1">
        <f t="array" ref="M663">(INDEX(N$403:N$594,MATCH(1,($A663=$A$403:$A$594)*($B663=$B$403:$B$594)*("Weekday"=$D$403:$D$594),0))*Weekdays+INDEX(N$403:N$594,MATCH(1,($A663=$A$403:$A$594)*($B663=$B$403:$B$594)*("Weekend"=$D$403:$D$594),0))*WeekendDays)/DaysPerWeek</f>
        <v>1.5336817026976067E-4</v>
      </c>
      <c r="N663" s="11" cm="1">
        <f t="array" ref="N663">(INDEX(O$403:O$594,MATCH(1,($A663=$A$403:$A$594)*($B663=$B$403:$B$594)*("Weekday"=$D$403:$D$594),0))*Weekdays+INDEX(O$403:O$594,MATCH(1,($A663=$A$403:$A$594)*($B663=$B$403:$B$594)*("Weekend"=$D$403:$D$594),0))*WeekendDays)/DaysPerWeek</f>
        <v>1.5336817026976067E-4</v>
      </c>
      <c r="O663" s="11" cm="1">
        <f t="array" ref="O663">(INDEX(P$403:P$594,MATCH(1,($A663=$A$403:$A$594)*($B663=$B$403:$B$594)*("Weekday"=$D$403:$D$594),0))*Weekdays+INDEX(P$403:P$594,MATCH(1,($A663=$A$403:$A$594)*($B663=$B$403:$B$594)*("Weekend"=$D$403:$D$594),0))*WeekendDays)/DaysPerWeek</f>
        <v>0</v>
      </c>
      <c r="P663" s="11" cm="1">
        <f t="array" ref="P663">(INDEX(Q$403:Q$594,MATCH(1,($A663=$A$403:$A$594)*($B663=$B$403:$B$594)*("Weekday"=$D$403:$D$594),0))*Weekdays+INDEX(Q$403:Q$594,MATCH(1,($A663=$A$403:$A$594)*($B663=$B$403:$B$594)*("Weekend"=$D$403:$D$594),0))*WeekendDays)/DaysPerWeek</f>
        <v>1.3354747529187733E-4</v>
      </c>
      <c r="Q663" s="11" cm="1">
        <f t="array" ref="Q663">(INDEX(R$403:R$594,MATCH(1,($A663=$A$403:$A$594)*($B663=$B$403:$B$594)*("Weekday"=$D$403:$D$594),0))*Weekdays+INDEX(R$403:R$594,MATCH(1,($A663=$A$403:$A$594)*($B663=$B$403:$B$594)*("Weekend"=$D$403:$D$594),0))*WeekendDays)/DaysPerWeek</f>
        <v>1.3354747529187736E-4</v>
      </c>
      <c r="R663" s="11" cm="1">
        <f t="array" ref="R663">(INDEX(S$403:S$594,MATCH(1,($A663=$A$403:$A$594)*($B663=$B$403:$B$594)*("Weekday"=$D$403:$D$594),0))*Weekdays+INDEX(S$403:S$594,MATCH(1,($A663=$A$403:$A$594)*($B663=$B$403:$B$594)*("Weekend"=$D$403:$D$594),0))*WeekendDays)/DaysPerWeek</f>
        <v>0</v>
      </c>
      <c r="S663" s="11" cm="1">
        <f t="array" ref="S663">(INDEX(T$403:T$594,MATCH(1,($A663=$A$403:$A$594)*($B663=$B$403:$B$594)*("Weekday"=$D$403:$D$594),0))*Weekdays+INDEX(T$403:T$594,MATCH(1,($A663=$A$403:$A$594)*($B663=$B$403:$B$594)*("Weekend"=$D$403:$D$594),0))*WeekendDays)/DaysPerWeek</f>
        <v>1.3354747529187739E-4</v>
      </c>
      <c r="T663" s="11" cm="1">
        <f t="array" ref="T663">(INDEX(U$403:U$594,MATCH(1,($A663=$A$403:$A$594)*($B663=$B$403:$B$594)*("Weekday"=$D$403:$D$594),0))*Weekdays+INDEX(U$403:U$594,MATCH(1,($A663=$A$403:$A$594)*($B663=$B$403:$B$594)*("Weekend"=$D$403:$D$594),0))*WeekendDays)/DaysPerWeek</f>
        <v>0</v>
      </c>
      <c r="U663" s="11" t="e" cm="1">
        <f t="array" ref="U663">(INDEX(V$403:V$594,MATCH(1,($A663=$A$403:$A$594)*($B663=$B$403:$B$594)*("Weekday"=$D$403:$D$594),0))*Weekdays+INDEX(V$403:V$594,MATCH(1,($A663=$A$403:$A$594)*($B663=$B$403:$B$594)*("Weekend"=$D$403:$D$594),0))*WeekendDays)/DaysPerWeek</f>
        <v>#DIV/0!</v>
      </c>
      <c r="V663" s="11" cm="1">
        <f t="array" ref="V663">(INDEX(W$403:W$594,MATCH(1,($A663=$A$403:$A$594)*($B663=$B$403:$B$594)*("Weekday"=$D$403:$D$594),0))*Weekdays+INDEX(W$403:W$594,MATCH(1,($A663=$A$403:$A$594)*($B663=$B$403:$B$594)*("Weekend"=$D$403:$D$594),0))*WeekendDays)/DaysPerWeek</f>
        <v>1.1344650636600186E-4</v>
      </c>
      <c r="W663" s="11" cm="1">
        <f t="array" ref="W663">(INDEX(X$403:X$594,MATCH(1,($A663=$A$403:$A$594)*($B663=$B$403:$B$594)*("Weekday"=$D$403:$D$594),0))*Weekdays+INDEX(X$403:X$594,MATCH(1,($A663=$A$403:$A$594)*($B663=$B$403:$B$594)*("Weekend"=$D$403:$D$594),0))*WeekendDays)/DaysPerWeek</f>
        <v>0</v>
      </c>
      <c r="X663" s="11" cm="1">
        <f t="array" ref="X663">(INDEX(Y$403:Y$594,MATCH(1,($A663=$A$403:$A$594)*($B663=$B$403:$B$594)*("Weekday"=$D$403:$D$594),0))*Weekdays+INDEX(Y$403:Y$594,MATCH(1,($A663=$A$403:$A$594)*($B663=$B$403:$B$594)*("Weekend"=$D$403:$D$594),0))*WeekendDays)/DaysPerWeek</f>
        <v>0</v>
      </c>
      <c r="Y663" s="25" t="e">
        <f t="shared" si="422"/>
        <v>#DIV/0!</v>
      </c>
      <c r="Z663" s="32" t="e">
        <f t="shared" si="423"/>
        <v>#DIV/0!</v>
      </c>
    </row>
    <row r="664" spans="1:26" outlineLevel="1" x14ac:dyDescent="0.25">
      <c r="A664" t="s">
        <v>39</v>
      </c>
      <c r="B664" t="s">
        <v>163</v>
      </c>
      <c r="C664" s="7" t="s">
        <v>15</v>
      </c>
      <c r="D664" s="11" cm="1">
        <f t="array" ref="D664">(INDEX(E$403:E$594,MATCH(1,($A664=$A$403:$A$594)*($B664=$B$403:$B$594)*("Weekday"=$D$403:$D$594),0))*Weekdays+INDEX(E$403:E$594,MATCH(1,($A664=$A$403:$A$594)*($B664=$B$403:$B$594)*("Weekend"=$D$403:$D$594),0))*WeekendDays)/DaysPerWeek</f>
        <v>2.4834183289475366E-6</v>
      </c>
      <c r="E664" s="11" cm="1">
        <f t="array" ref="E664">(INDEX(F$403:F$594,MATCH(1,($A664=$A$403:$A$594)*($B664=$B$403:$B$594)*("Weekday"=$D$403:$D$594),0))*Weekdays+INDEX(F$403:F$594,MATCH(1,($A664=$A$403:$A$594)*($B664=$B$403:$B$594)*("Weekend"=$D$403:$D$594),0))*WeekendDays)/DaysPerWeek</f>
        <v>5.7996301238388143E-4</v>
      </c>
      <c r="F664" s="11" cm="1">
        <f t="array" ref="F664">(INDEX(G$403:G$594,MATCH(1,($A664=$A$403:$A$594)*($B664=$B$403:$B$594)*("Weekday"=$D$403:$D$594),0))*Weekdays+INDEX(G$403:G$594,MATCH(1,($A664=$A$403:$A$594)*($B664=$B$403:$B$594)*("Weekend"=$D$403:$D$594),0))*WeekendDays)/DaysPerWeek</f>
        <v>0</v>
      </c>
      <c r="G664" s="11" cm="1">
        <f t="array" ref="G664">(INDEX(H$403:H$594,MATCH(1,($A664=$A$403:$A$594)*($B664=$B$403:$B$594)*("Weekday"=$D$403:$D$594),0))*Weekdays+INDEX(H$403:H$594,MATCH(1,($A664=$A$403:$A$594)*($B664=$B$403:$B$594)*("Weekend"=$D$403:$D$594),0))*WeekendDays)/DaysPerWeek</f>
        <v>6.8358961046971467E-5</v>
      </c>
      <c r="H664" s="11" cm="1">
        <f t="array" ref="H664">(INDEX(I$403:I$594,MATCH(1,($A664=$A$403:$A$594)*($B664=$B$403:$B$594)*("Weekday"=$D$403:$D$594),0))*Weekdays+INDEX(I$403:I$594,MATCH(1,($A664=$A$403:$A$594)*($B664=$B$403:$B$594)*("Weekend"=$D$403:$D$594),0))*WeekendDays)/DaysPerWeek</f>
        <v>8.9803103661206999E-5</v>
      </c>
      <c r="I664" s="11" cm="1">
        <f t="array" ref="I664">(INDEX(J$403:J$594,MATCH(1,($A664=$A$403:$A$594)*($B664=$B$403:$B$594)*("Weekday"=$D$403:$D$594),0))*Weekdays+INDEX(J$403:J$594,MATCH(1,($A664=$A$403:$A$594)*($B664=$B$403:$B$594)*("Weekend"=$D$403:$D$594),0))*WeekendDays)/DaysPerWeek</f>
        <v>8.9803103661206999E-5</v>
      </c>
      <c r="J664" s="11" cm="1">
        <f t="array" ref="J664">(INDEX(K$403:K$594,MATCH(1,($A664=$A$403:$A$594)*($B664=$B$403:$B$594)*("Weekday"=$D$403:$D$594),0))*Weekdays+INDEX(K$403:K$594,MATCH(1,($A664=$A$403:$A$594)*($B664=$B$403:$B$594)*("Weekend"=$D$403:$D$594),0))*WeekendDays)/DaysPerWeek</f>
        <v>1.5353178890174342E-6</v>
      </c>
      <c r="K664" s="11" cm="1">
        <f t="array" ref="K664">(INDEX(L$403:L$594,MATCH(1,($A664=$A$403:$A$594)*($B664=$B$403:$B$594)*("Weekday"=$D$403:$D$594),0))*Weekdays+INDEX(L$403:L$594,MATCH(1,($A664=$A$403:$A$594)*($B664=$B$403:$B$594)*("Weekend"=$D$403:$D$594),0))*WeekendDays)/DaysPerWeek</f>
        <v>5.443860478478007E-4</v>
      </c>
      <c r="L664" s="11" cm="1">
        <f t="array" ref="L664">(INDEX(M$403:M$594,MATCH(1,($A664=$A$403:$A$594)*($B664=$B$403:$B$594)*("Weekday"=$D$403:$D$594),0))*Weekdays+INDEX(M$403:M$594,MATCH(1,($A664=$A$403:$A$594)*($B664=$B$403:$B$594)*("Weekend"=$D$403:$D$594),0))*WeekendDays)/DaysPerWeek</f>
        <v>0</v>
      </c>
      <c r="M664" s="11" cm="1">
        <f t="array" ref="M664">(INDEX(N$403:N$594,MATCH(1,($A664=$A$403:$A$594)*($B664=$B$403:$B$594)*("Weekday"=$D$403:$D$594),0))*Weekdays+INDEX(N$403:N$594,MATCH(1,($A664=$A$403:$A$594)*($B664=$B$403:$B$594)*("Weekend"=$D$403:$D$594),0))*WeekendDays)/DaysPerWeek</f>
        <v>1.4830528523645121E-4</v>
      </c>
      <c r="N664" s="11" cm="1">
        <f t="array" ref="N664">(INDEX(O$403:O$594,MATCH(1,($A664=$A$403:$A$594)*($B664=$B$403:$B$594)*("Weekday"=$D$403:$D$594),0))*Weekdays+INDEX(O$403:O$594,MATCH(1,($A664=$A$403:$A$594)*($B664=$B$403:$B$594)*("Weekend"=$D$403:$D$594),0))*WeekendDays)/DaysPerWeek</f>
        <v>1.4830528523645121E-4</v>
      </c>
      <c r="O664" s="11" cm="1">
        <f t="array" ref="O664">(INDEX(P$403:P$594,MATCH(1,($A664=$A$403:$A$594)*($B664=$B$403:$B$594)*("Weekday"=$D$403:$D$594),0))*Weekdays+INDEX(P$403:P$594,MATCH(1,($A664=$A$403:$A$594)*($B664=$B$403:$B$594)*("Weekend"=$D$403:$D$594),0))*WeekendDays)/DaysPerWeek</f>
        <v>0</v>
      </c>
      <c r="P664" s="11" cm="1">
        <f t="array" ref="P664">(INDEX(Q$403:Q$594,MATCH(1,($A664=$A$403:$A$594)*($B664=$B$403:$B$594)*("Weekday"=$D$403:$D$594),0))*Weekdays+INDEX(Q$403:Q$594,MATCH(1,($A664=$A$403:$A$594)*($B664=$B$403:$B$594)*("Weekend"=$D$403:$D$594),0))*WeekendDays)/DaysPerWeek</f>
        <v>1.5444201586253909E-4</v>
      </c>
      <c r="Q664" s="11" cm="1">
        <f t="array" ref="Q664">(INDEX(R$403:R$594,MATCH(1,($A664=$A$403:$A$594)*($B664=$B$403:$B$594)*("Weekday"=$D$403:$D$594),0))*Weekdays+INDEX(R$403:R$594,MATCH(1,($A664=$A$403:$A$594)*($B664=$B$403:$B$594)*("Weekend"=$D$403:$D$594),0))*WeekendDays)/DaysPerWeek</f>
        <v>1.5444201586253914E-4</v>
      </c>
      <c r="R664" s="11" cm="1">
        <f t="array" ref="R664">(INDEX(S$403:S$594,MATCH(1,($A664=$A$403:$A$594)*($B664=$B$403:$B$594)*("Weekday"=$D$403:$D$594),0))*Weekdays+INDEX(S$403:S$594,MATCH(1,($A664=$A$403:$A$594)*($B664=$B$403:$B$594)*("Weekend"=$D$403:$D$594),0))*WeekendDays)/DaysPerWeek</f>
        <v>0</v>
      </c>
      <c r="S664" s="11" cm="1">
        <f t="array" ref="S664">(INDEX(T$403:T$594,MATCH(1,($A664=$A$403:$A$594)*($B664=$B$403:$B$594)*("Weekday"=$D$403:$D$594),0))*Weekdays+INDEX(T$403:T$594,MATCH(1,($A664=$A$403:$A$594)*($B664=$B$403:$B$594)*("Weekend"=$D$403:$D$594),0))*WeekendDays)/DaysPerWeek</f>
        <v>1.5444201586253914E-4</v>
      </c>
      <c r="T664" s="11" cm="1">
        <f t="array" ref="T664">(INDEX(U$403:U$594,MATCH(1,($A664=$A$403:$A$594)*($B664=$B$403:$B$594)*("Weekday"=$D$403:$D$594),0))*Weekdays+INDEX(U$403:U$594,MATCH(1,($A664=$A$403:$A$594)*($B664=$B$403:$B$594)*("Weekend"=$D$403:$D$594),0))*WeekendDays)/DaysPerWeek</f>
        <v>0</v>
      </c>
      <c r="U664" s="11" t="e" cm="1">
        <f t="array" ref="U664">(INDEX(V$403:V$594,MATCH(1,($A664=$A$403:$A$594)*($B664=$B$403:$B$594)*("Weekday"=$D$403:$D$594),0))*Weekdays+INDEX(V$403:V$594,MATCH(1,($A664=$A$403:$A$594)*($B664=$B$403:$B$594)*("Weekend"=$D$403:$D$594),0))*WeekendDays)/DaysPerWeek</f>
        <v>#DIV/0!</v>
      </c>
      <c r="V664" s="11" cm="1">
        <f t="array" ref="V664">(INDEX(W$403:W$594,MATCH(1,($A664=$A$403:$A$594)*($B664=$B$403:$B$594)*("Weekday"=$D$403:$D$594),0))*Weekdays+INDEX(W$403:W$594,MATCH(1,($A664=$A$403:$A$594)*($B664=$B$403:$B$594)*("Weekend"=$D$403:$D$594),0))*WeekendDays)/DaysPerWeek</f>
        <v>1.146485885526615E-4</v>
      </c>
      <c r="W664" s="11" cm="1">
        <f t="array" ref="W664">(INDEX(X$403:X$594,MATCH(1,($A664=$A$403:$A$594)*($B664=$B$403:$B$594)*("Weekday"=$D$403:$D$594),0))*Weekdays+INDEX(X$403:X$594,MATCH(1,($A664=$A$403:$A$594)*($B664=$B$403:$B$594)*("Weekend"=$D$403:$D$594),0))*WeekendDays)/DaysPerWeek</f>
        <v>0</v>
      </c>
      <c r="X664" s="11" cm="1">
        <f t="array" ref="X664">(INDEX(Y$403:Y$594,MATCH(1,($A664=$A$403:$A$594)*($B664=$B$403:$B$594)*("Weekday"=$D$403:$D$594),0))*Weekdays+INDEX(Y$403:Y$594,MATCH(1,($A664=$A$403:$A$594)*($B664=$B$403:$B$594)*("Weekend"=$D$403:$D$594),0))*WeekendDays)/DaysPerWeek</f>
        <v>0</v>
      </c>
      <c r="Y664" s="25" t="e">
        <f t="shared" si="422"/>
        <v>#DIV/0!</v>
      </c>
      <c r="Z664" s="32" t="e">
        <f t="shared" ref="Z664:Z695" si="424">IF(AND(A664=A663,Y664=_xlfn.MAXIFS($Y$600:$Y$743,LoadFactorSeasons,A664)),A664&amp;" Peak","")</f>
        <v>#DIV/0!</v>
      </c>
    </row>
    <row r="665" spans="1:26" outlineLevel="1" x14ac:dyDescent="0.25">
      <c r="A665" t="s">
        <v>39</v>
      </c>
      <c r="B665" t="s">
        <v>164</v>
      </c>
      <c r="C665" s="7" t="s">
        <v>16</v>
      </c>
      <c r="D665" s="11" cm="1">
        <f t="array" ref="D665">(INDEX(E$403:E$594,MATCH(1,($A665=$A$403:$A$594)*($B665=$B$403:$B$594)*("Weekday"=$D$403:$D$594),0))*Weekdays+INDEX(E$403:E$594,MATCH(1,($A665=$A$403:$A$594)*($B665=$B$403:$B$594)*("Weekend"=$D$403:$D$594),0))*WeekendDays)/DaysPerWeek</f>
        <v>2.5997872292044354E-6</v>
      </c>
      <c r="E665" s="11" cm="1">
        <f t="array" ref="E665">(INDEX(F$403:F$594,MATCH(1,($A665=$A$403:$A$594)*($B665=$B$403:$B$594)*("Weekday"=$D$403:$D$594),0))*Weekdays+INDEX(F$403:F$594,MATCH(1,($A665=$A$403:$A$594)*($B665=$B$403:$B$594)*("Weekend"=$D$403:$D$594),0))*WeekendDays)/DaysPerWeek</f>
        <v>5.8138565264320415E-4</v>
      </c>
      <c r="F665" s="11" cm="1">
        <f t="array" ref="F665">(INDEX(G$403:G$594,MATCH(1,($A665=$A$403:$A$594)*($B665=$B$403:$B$594)*("Weekday"=$D$403:$D$594),0))*Weekdays+INDEX(G$403:G$594,MATCH(1,($A665=$A$403:$A$594)*($B665=$B$403:$B$594)*("Weekend"=$D$403:$D$594),0))*WeekendDays)/DaysPerWeek</f>
        <v>0</v>
      </c>
      <c r="G665" s="11" cm="1">
        <f t="array" ref="G665">(INDEX(H$403:H$594,MATCH(1,($A665=$A$403:$A$594)*($B665=$B$403:$B$594)*("Weekday"=$D$403:$D$594),0))*Weekdays+INDEX(H$403:H$594,MATCH(1,($A665=$A$403:$A$594)*($B665=$B$403:$B$594)*("Weekend"=$D$403:$D$594),0))*WeekendDays)/DaysPerWeek</f>
        <v>8.3372346595118356E-5</v>
      </c>
      <c r="H665" s="11" cm="1">
        <f t="array" ref="H665">(INDEX(I$403:I$594,MATCH(1,($A665=$A$403:$A$594)*($B665=$B$403:$B$594)*("Weekday"=$D$403:$D$594),0))*Weekdays+INDEX(I$403:I$594,MATCH(1,($A665=$A$403:$A$594)*($B665=$B$403:$B$594)*("Weekend"=$D$403:$D$594),0))*WeekendDays)/DaysPerWeek</f>
        <v>1.0862485199418538E-4</v>
      </c>
      <c r="I665" s="11" cm="1">
        <f t="array" ref="I665">(INDEX(J$403:J$594,MATCH(1,($A665=$A$403:$A$594)*($B665=$B$403:$B$594)*("Weekday"=$D$403:$D$594),0))*Weekdays+INDEX(J$403:J$594,MATCH(1,($A665=$A$403:$A$594)*($B665=$B$403:$B$594)*("Weekend"=$D$403:$D$594),0))*WeekendDays)/DaysPerWeek</f>
        <v>1.0862485199418538E-4</v>
      </c>
      <c r="J665" s="11" cm="1">
        <f t="array" ref="J665">(INDEX(K$403:K$594,MATCH(1,($A665=$A$403:$A$594)*($B665=$B$403:$B$594)*("Weekday"=$D$403:$D$594),0))*Weekdays+INDEX(K$403:K$594,MATCH(1,($A665=$A$403:$A$594)*($B665=$B$403:$B$594)*("Weekend"=$D$403:$D$594),0))*WeekendDays)/DaysPerWeek</f>
        <v>1.5660608715640525E-6</v>
      </c>
      <c r="K665" s="11" cm="1">
        <f t="array" ref="K665">(INDEX(L$403:L$594,MATCH(1,($A665=$A$403:$A$594)*($B665=$B$403:$B$594)*("Weekday"=$D$403:$D$594),0))*Weekdays+INDEX(L$403:L$594,MATCH(1,($A665=$A$403:$A$594)*($B665=$B$403:$B$594)*("Weekend"=$D$403:$D$594),0))*WeekendDays)/DaysPerWeek</f>
        <v>5.1568716600559656E-4</v>
      </c>
      <c r="L665" s="11" cm="1">
        <f t="array" ref="L665">(INDEX(M$403:M$594,MATCH(1,($A665=$A$403:$A$594)*($B665=$B$403:$B$594)*("Weekday"=$D$403:$D$594),0))*Weekdays+INDEX(M$403:M$594,MATCH(1,($A665=$A$403:$A$594)*($B665=$B$403:$B$594)*("Weekend"=$D$403:$D$594),0))*WeekendDays)/DaysPerWeek</f>
        <v>0</v>
      </c>
      <c r="M665" s="11" cm="1">
        <f t="array" ref="M665">(INDEX(N$403:N$594,MATCH(1,($A665=$A$403:$A$594)*($B665=$B$403:$B$594)*("Weekday"=$D$403:$D$594),0))*Weekdays+INDEX(N$403:N$594,MATCH(1,($A665=$A$403:$A$594)*($B665=$B$403:$B$594)*("Weekend"=$D$403:$D$594),0))*WeekendDays)/DaysPerWeek</f>
        <v>1.4121724459084965E-4</v>
      </c>
      <c r="N665" s="11" cm="1">
        <f t="array" ref="N665">(INDEX(O$403:O$594,MATCH(1,($A665=$A$403:$A$594)*($B665=$B$403:$B$594)*("Weekday"=$D$403:$D$594),0))*Weekdays+INDEX(O$403:O$594,MATCH(1,($A665=$A$403:$A$594)*($B665=$B$403:$B$594)*("Weekend"=$D$403:$D$594),0))*WeekendDays)/DaysPerWeek</f>
        <v>1.4121724459084965E-4</v>
      </c>
      <c r="O665" s="11" cm="1">
        <f t="array" ref="O665">(INDEX(P$403:P$594,MATCH(1,($A665=$A$403:$A$594)*($B665=$B$403:$B$594)*("Weekday"=$D$403:$D$594),0))*Weekdays+INDEX(P$403:P$594,MATCH(1,($A665=$A$403:$A$594)*($B665=$B$403:$B$594)*("Weekend"=$D$403:$D$594),0))*WeekendDays)/DaysPerWeek</f>
        <v>0</v>
      </c>
      <c r="P665" s="11" cm="1">
        <f t="array" ref="P665">(INDEX(Q$403:Q$594,MATCH(1,($A665=$A$403:$A$594)*($B665=$B$403:$B$594)*("Weekday"=$D$403:$D$594),0))*Weekdays+INDEX(Q$403:Q$594,MATCH(1,($A665=$A$403:$A$594)*($B665=$B$403:$B$594)*("Weekend"=$D$403:$D$594),0))*WeekendDays)/DaysPerWeek</f>
        <v>1.6121462329387354E-4</v>
      </c>
      <c r="Q665" s="11" cm="1">
        <f t="array" ref="Q665">(INDEX(R$403:R$594,MATCH(1,($A665=$A$403:$A$594)*($B665=$B$403:$B$594)*("Weekday"=$D$403:$D$594),0))*Weekdays+INDEX(R$403:R$594,MATCH(1,($A665=$A$403:$A$594)*($B665=$B$403:$B$594)*("Weekend"=$D$403:$D$594),0))*WeekendDays)/DaysPerWeek</f>
        <v>1.6121462329387356E-4</v>
      </c>
      <c r="R665" s="11" cm="1">
        <f t="array" ref="R665">(INDEX(S$403:S$594,MATCH(1,($A665=$A$403:$A$594)*($B665=$B$403:$B$594)*("Weekday"=$D$403:$D$594),0))*Weekdays+INDEX(S$403:S$594,MATCH(1,($A665=$A$403:$A$594)*($B665=$B$403:$B$594)*("Weekend"=$D$403:$D$594),0))*WeekendDays)/DaysPerWeek</f>
        <v>0</v>
      </c>
      <c r="S665" s="11" cm="1">
        <f t="array" ref="S665">(INDEX(T$403:T$594,MATCH(1,($A665=$A$403:$A$594)*($B665=$B$403:$B$594)*("Weekday"=$D$403:$D$594),0))*Weekdays+INDEX(T$403:T$594,MATCH(1,($A665=$A$403:$A$594)*($B665=$B$403:$B$594)*("Weekend"=$D$403:$D$594),0))*WeekendDays)/DaysPerWeek</f>
        <v>1.6121462329387359E-4</v>
      </c>
      <c r="T665" s="11" cm="1">
        <f t="array" ref="T665">(INDEX(U$403:U$594,MATCH(1,($A665=$A$403:$A$594)*($B665=$B$403:$B$594)*("Weekday"=$D$403:$D$594),0))*Weekdays+INDEX(U$403:U$594,MATCH(1,($A665=$A$403:$A$594)*($B665=$B$403:$B$594)*("Weekend"=$D$403:$D$594),0))*WeekendDays)/DaysPerWeek</f>
        <v>0</v>
      </c>
      <c r="U665" s="11" t="e" cm="1">
        <f t="array" ref="U665">(INDEX(V$403:V$594,MATCH(1,($A665=$A$403:$A$594)*($B665=$B$403:$B$594)*("Weekday"=$D$403:$D$594),0))*Weekdays+INDEX(V$403:V$594,MATCH(1,($A665=$A$403:$A$594)*($B665=$B$403:$B$594)*("Weekend"=$D$403:$D$594),0))*WeekendDays)/DaysPerWeek</f>
        <v>#DIV/0!</v>
      </c>
      <c r="V665" s="11" cm="1">
        <f t="array" ref="V665">(INDEX(W$403:W$594,MATCH(1,($A665=$A$403:$A$594)*($B665=$B$403:$B$594)*("Weekday"=$D$403:$D$594),0))*Weekdays+INDEX(W$403:W$594,MATCH(1,($A665=$A$403:$A$594)*($B665=$B$403:$B$594)*("Weekend"=$D$403:$D$594),0))*WeekendDays)/DaysPerWeek</f>
        <v>1.1491154403099328E-4</v>
      </c>
      <c r="W665" s="11" cm="1">
        <f t="array" ref="W665">(INDEX(X$403:X$594,MATCH(1,($A665=$A$403:$A$594)*($B665=$B$403:$B$594)*("Weekday"=$D$403:$D$594),0))*Weekdays+INDEX(X$403:X$594,MATCH(1,($A665=$A$403:$A$594)*($B665=$B$403:$B$594)*("Weekend"=$D$403:$D$594),0))*WeekendDays)/DaysPerWeek</f>
        <v>0</v>
      </c>
      <c r="X665" s="11" cm="1">
        <f t="array" ref="X665">(INDEX(Y$403:Y$594,MATCH(1,($A665=$A$403:$A$594)*($B665=$B$403:$B$594)*("Weekday"=$D$403:$D$594),0))*Weekdays+INDEX(Y$403:Y$594,MATCH(1,($A665=$A$403:$A$594)*($B665=$B$403:$B$594)*("Weekend"=$D$403:$D$594),0))*WeekendDays)/DaysPerWeek</f>
        <v>0</v>
      </c>
      <c r="Y665" s="25" t="e">
        <f t="shared" ref="Y665:Y728" si="425">SUM(D665:X665)</f>
        <v>#DIV/0!</v>
      </c>
      <c r="Z665" s="32" t="e">
        <f t="shared" si="424"/>
        <v>#DIV/0!</v>
      </c>
    </row>
    <row r="666" spans="1:26" outlineLevel="1" x14ac:dyDescent="0.25">
      <c r="A666" t="s">
        <v>39</v>
      </c>
      <c r="B666" t="s">
        <v>165</v>
      </c>
      <c r="C666" s="7" t="s">
        <v>17</v>
      </c>
      <c r="D666" s="11" cm="1">
        <f t="array" ref="D666">(INDEX(E$403:E$594,MATCH(1,($A666=$A$403:$A$594)*($B666=$B$403:$B$594)*("Weekday"=$D$403:$D$594),0))*Weekdays+INDEX(E$403:E$594,MATCH(1,($A666=$A$403:$A$594)*($B666=$B$403:$B$594)*("Weekend"=$D$403:$D$594),0))*WeekendDays)/DaysPerWeek</f>
        <v>2.7336813278493567E-6</v>
      </c>
      <c r="E666" s="11" cm="1">
        <f t="array" ref="E666">(INDEX(F$403:F$594,MATCH(1,($A666=$A$403:$A$594)*($B666=$B$403:$B$594)*("Weekday"=$D$403:$D$594),0))*Weekdays+INDEX(F$403:F$594,MATCH(1,($A666=$A$403:$A$594)*($B666=$B$403:$B$594)*("Weekend"=$D$403:$D$594),0))*WeekendDays)/DaysPerWeek</f>
        <v>5.7379823792681642E-4</v>
      </c>
      <c r="F666" s="11" cm="1">
        <f t="array" ref="F666">(INDEX(G$403:G$594,MATCH(1,($A666=$A$403:$A$594)*($B666=$B$403:$B$594)*("Weekday"=$D$403:$D$594),0))*Weekdays+INDEX(G$403:G$594,MATCH(1,($A666=$A$403:$A$594)*($B666=$B$403:$B$594)*("Weekend"=$D$403:$D$594),0))*WeekendDays)/DaysPerWeek</f>
        <v>0</v>
      </c>
      <c r="G666" s="11" cm="1">
        <f t="array" ref="G666">(INDEX(H$403:H$594,MATCH(1,($A666=$A$403:$A$594)*($B666=$B$403:$B$594)*("Weekday"=$D$403:$D$594),0))*Weekdays+INDEX(H$403:H$594,MATCH(1,($A666=$A$403:$A$594)*($B666=$B$403:$B$594)*("Weekend"=$D$403:$D$594),0))*WeekendDays)/DaysPerWeek</f>
        <v>2.0927856453268112E-4</v>
      </c>
      <c r="H666" s="11" cm="1">
        <f t="array" ref="H666">(INDEX(I$403:I$594,MATCH(1,($A666=$A$403:$A$594)*($B666=$B$403:$B$594)*("Weekday"=$D$403:$D$594),0))*Weekdays+INDEX(I$403:I$594,MATCH(1,($A666=$A$403:$A$594)*($B666=$B$403:$B$594)*("Weekend"=$D$403:$D$594),0))*WeekendDays)/DaysPerWeek</f>
        <v>1.321508193136129E-4</v>
      </c>
      <c r="I666" s="11" cm="1">
        <f t="array" ref="I666">(INDEX(J$403:J$594,MATCH(1,($A666=$A$403:$A$594)*($B666=$B$403:$B$594)*("Weekday"=$D$403:$D$594),0))*Weekdays+INDEX(J$403:J$594,MATCH(1,($A666=$A$403:$A$594)*($B666=$B$403:$B$594)*("Weekend"=$D$403:$D$594),0))*WeekendDays)/DaysPerWeek</f>
        <v>1.321508193136129E-4</v>
      </c>
      <c r="J666" s="11" cm="1">
        <f t="array" ref="J666">(INDEX(K$403:K$594,MATCH(1,($A666=$A$403:$A$594)*($B666=$B$403:$B$594)*("Weekday"=$D$403:$D$594),0))*Weekdays+INDEX(K$403:K$594,MATCH(1,($A666=$A$403:$A$594)*($B666=$B$403:$B$594)*("Weekend"=$D$403:$D$594),0))*WeekendDays)/DaysPerWeek</f>
        <v>1.7023126890733543E-6</v>
      </c>
      <c r="K666" s="11" cm="1">
        <f t="array" ref="K666">(INDEX(L$403:L$594,MATCH(1,($A666=$A$403:$A$594)*($B666=$B$403:$B$594)*("Weekday"=$D$403:$D$594),0))*Weekdays+INDEX(L$403:L$594,MATCH(1,($A666=$A$403:$A$594)*($B666=$B$403:$B$594)*("Weekend"=$D$403:$D$594),0))*WeekendDays)/DaysPerWeek</f>
        <v>4.8371502459844049E-4</v>
      </c>
      <c r="L666" s="11" cm="1">
        <f t="array" ref="L666">(INDEX(M$403:M$594,MATCH(1,($A666=$A$403:$A$594)*($B666=$B$403:$B$594)*("Weekday"=$D$403:$D$594),0))*Weekdays+INDEX(M$403:M$594,MATCH(1,($A666=$A$403:$A$594)*($B666=$B$403:$B$594)*("Weekend"=$D$403:$D$594),0))*WeekendDays)/DaysPerWeek</f>
        <v>0</v>
      </c>
      <c r="M666" s="11" cm="1">
        <f t="array" ref="M666">(INDEX(N$403:N$594,MATCH(1,($A666=$A$403:$A$594)*($B666=$B$403:$B$594)*("Weekday"=$D$403:$D$594),0))*Weekdays+INDEX(N$403:N$594,MATCH(1,($A666=$A$403:$A$594)*($B666=$B$403:$B$594)*("Weekend"=$D$403:$D$594),0))*WeekendDays)/DaysPerWeek</f>
        <v>1.3520765760107367E-4</v>
      </c>
      <c r="N666" s="11" cm="1">
        <f t="array" ref="N666">(INDEX(O$403:O$594,MATCH(1,($A666=$A$403:$A$594)*($B666=$B$403:$B$594)*("Weekday"=$D$403:$D$594),0))*Weekdays+INDEX(O$403:O$594,MATCH(1,($A666=$A$403:$A$594)*($B666=$B$403:$B$594)*("Weekend"=$D$403:$D$594),0))*WeekendDays)/DaysPerWeek</f>
        <v>1.3520765760107367E-4</v>
      </c>
      <c r="O666" s="11" cm="1">
        <f t="array" ref="O666">(INDEX(P$403:P$594,MATCH(1,($A666=$A$403:$A$594)*($B666=$B$403:$B$594)*("Weekday"=$D$403:$D$594),0))*Weekdays+INDEX(P$403:P$594,MATCH(1,($A666=$A$403:$A$594)*($B666=$B$403:$B$594)*("Weekend"=$D$403:$D$594),0))*WeekendDays)/DaysPerWeek</f>
        <v>0</v>
      </c>
      <c r="P666" s="11" cm="1">
        <f t="array" ref="P666">(INDEX(Q$403:Q$594,MATCH(1,($A666=$A$403:$A$594)*($B666=$B$403:$B$594)*("Weekday"=$D$403:$D$594),0))*Weekdays+INDEX(Q$403:Q$594,MATCH(1,($A666=$A$403:$A$594)*($B666=$B$403:$B$594)*("Weekend"=$D$403:$D$594),0))*WeekendDays)/DaysPerWeek</f>
        <v>1.5193640045357693E-4</v>
      </c>
      <c r="Q666" s="11" cm="1">
        <f t="array" ref="Q666">(INDEX(R$403:R$594,MATCH(1,($A666=$A$403:$A$594)*($B666=$B$403:$B$594)*("Weekday"=$D$403:$D$594),0))*Weekdays+INDEX(R$403:R$594,MATCH(1,($A666=$A$403:$A$594)*($B666=$B$403:$B$594)*("Weekend"=$D$403:$D$594),0))*WeekendDays)/DaysPerWeek</f>
        <v>1.5193640045357699E-4</v>
      </c>
      <c r="R666" s="11" cm="1">
        <f t="array" ref="R666">(INDEX(S$403:S$594,MATCH(1,($A666=$A$403:$A$594)*($B666=$B$403:$B$594)*("Weekday"=$D$403:$D$594),0))*Weekdays+INDEX(S$403:S$594,MATCH(1,($A666=$A$403:$A$594)*($B666=$B$403:$B$594)*("Weekend"=$D$403:$D$594),0))*WeekendDays)/DaysPerWeek</f>
        <v>0</v>
      </c>
      <c r="S666" s="11" cm="1">
        <f t="array" ref="S666">(INDEX(T$403:T$594,MATCH(1,($A666=$A$403:$A$594)*($B666=$B$403:$B$594)*("Weekday"=$D$403:$D$594),0))*Weekdays+INDEX(T$403:T$594,MATCH(1,($A666=$A$403:$A$594)*($B666=$B$403:$B$594)*("Weekend"=$D$403:$D$594),0))*WeekendDays)/DaysPerWeek</f>
        <v>1.5193640045357701E-4</v>
      </c>
      <c r="T666" s="11" cm="1">
        <f t="array" ref="T666">(INDEX(U$403:U$594,MATCH(1,($A666=$A$403:$A$594)*($B666=$B$403:$B$594)*("Weekday"=$D$403:$D$594),0))*Weekdays+INDEX(U$403:U$594,MATCH(1,($A666=$A$403:$A$594)*($B666=$B$403:$B$594)*("Weekend"=$D$403:$D$594),0))*WeekendDays)/DaysPerWeek</f>
        <v>0</v>
      </c>
      <c r="U666" s="11" t="e" cm="1">
        <f t="array" ref="U666">(INDEX(V$403:V$594,MATCH(1,($A666=$A$403:$A$594)*($B666=$B$403:$B$594)*("Weekday"=$D$403:$D$594),0))*Weekdays+INDEX(V$403:V$594,MATCH(1,($A666=$A$403:$A$594)*($B666=$B$403:$B$594)*("Weekend"=$D$403:$D$594),0))*WeekendDays)/DaysPerWeek</f>
        <v>#DIV/0!</v>
      </c>
      <c r="V666" s="11" cm="1">
        <f t="array" ref="V666">(INDEX(W$403:W$594,MATCH(1,($A666=$A$403:$A$594)*($B666=$B$403:$B$594)*("Weekday"=$D$403:$D$594),0))*Weekdays+INDEX(W$403:W$594,MATCH(1,($A666=$A$403:$A$594)*($B666=$B$403:$B$594)*("Weekend"=$D$403:$D$594),0))*WeekendDays)/DaysPerWeek</f>
        <v>1.1431050293766346E-4</v>
      </c>
      <c r="W666" s="11" cm="1">
        <f t="array" ref="W666">(INDEX(X$403:X$594,MATCH(1,($A666=$A$403:$A$594)*($B666=$B$403:$B$594)*("Weekday"=$D$403:$D$594),0))*Weekdays+INDEX(X$403:X$594,MATCH(1,($A666=$A$403:$A$594)*($B666=$B$403:$B$594)*("Weekend"=$D$403:$D$594),0))*WeekendDays)/DaysPerWeek</f>
        <v>0</v>
      </c>
      <c r="X666" s="11" cm="1">
        <f t="array" ref="X666">(INDEX(Y$403:Y$594,MATCH(1,($A666=$A$403:$A$594)*($B666=$B$403:$B$594)*("Weekday"=$D$403:$D$594),0))*Weekdays+INDEX(Y$403:Y$594,MATCH(1,($A666=$A$403:$A$594)*($B666=$B$403:$B$594)*("Weekend"=$D$403:$D$594),0))*WeekendDays)/DaysPerWeek</f>
        <v>0</v>
      </c>
      <c r="Y666" s="35" t="e">
        <f t="shared" si="425"/>
        <v>#DIV/0!</v>
      </c>
      <c r="Z666" s="32" t="e">
        <f t="shared" si="424"/>
        <v>#DIV/0!</v>
      </c>
    </row>
    <row r="667" spans="1:26" outlineLevel="1" x14ac:dyDescent="0.25">
      <c r="A667" t="s">
        <v>39</v>
      </c>
      <c r="B667" t="s">
        <v>166</v>
      </c>
      <c r="C667" s="7" t="s">
        <v>18</v>
      </c>
      <c r="D667" s="11" cm="1">
        <f t="array" ref="D667">(INDEX(E$403:E$594,MATCH(1,($A667=$A$403:$A$594)*($B667=$B$403:$B$594)*("Weekday"=$D$403:$D$594),0))*Weekdays+INDEX(E$403:E$594,MATCH(1,($A667=$A$403:$A$594)*($B667=$B$403:$B$594)*("Weekend"=$D$403:$D$594),0))*WeekendDays)/DaysPerWeek</f>
        <v>2.8519832663165028E-6</v>
      </c>
      <c r="E667" s="11" cm="1">
        <f t="array" ref="E667">(INDEX(F$403:F$594,MATCH(1,($A667=$A$403:$A$594)*($B667=$B$403:$B$594)*("Weekday"=$D$403:$D$594),0))*Weekdays+INDEX(F$403:F$594,MATCH(1,($A667=$A$403:$A$594)*($B667=$B$403:$B$594)*("Weekend"=$D$403:$D$594),0))*WeekendDays)/DaysPerWeek</f>
        <v>5.4834878439893279E-4</v>
      </c>
      <c r="F667" s="11" cm="1">
        <f t="array" ref="F667">(INDEX(G$403:G$594,MATCH(1,($A667=$A$403:$A$594)*($B667=$B$403:$B$594)*("Weekday"=$D$403:$D$594),0))*Weekdays+INDEX(G$403:G$594,MATCH(1,($A667=$A$403:$A$594)*($B667=$B$403:$B$594)*("Weekend"=$D$403:$D$594),0))*WeekendDays)/DaysPerWeek</f>
        <v>0</v>
      </c>
      <c r="G667" s="11" cm="1">
        <f t="array" ref="G667">(INDEX(H$403:H$594,MATCH(1,($A667=$A$403:$A$594)*($B667=$B$403:$B$594)*("Weekday"=$D$403:$D$594),0))*Weekdays+INDEX(H$403:H$594,MATCH(1,($A667=$A$403:$A$594)*($B667=$B$403:$B$594)*("Weekend"=$D$403:$D$594),0))*WeekendDays)/DaysPerWeek</f>
        <v>2.8253163693437079E-4</v>
      </c>
      <c r="H667" s="11" cm="1">
        <f t="array" ref="H667">(INDEX(I$403:I$594,MATCH(1,($A667=$A$403:$A$594)*($B667=$B$403:$B$594)*("Weekday"=$D$403:$D$594),0))*Weekdays+INDEX(I$403:I$594,MATCH(1,($A667=$A$403:$A$594)*($B667=$B$403:$B$594)*("Weekend"=$D$403:$D$594),0))*WeekendDays)/DaysPerWeek</f>
        <v>1.275923510242111E-4</v>
      </c>
      <c r="I667" s="11" cm="1">
        <f t="array" ref="I667">(INDEX(J$403:J$594,MATCH(1,($A667=$A$403:$A$594)*($B667=$B$403:$B$594)*("Weekday"=$D$403:$D$594),0))*Weekdays+INDEX(J$403:J$594,MATCH(1,($A667=$A$403:$A$594)*($B667=$B$403:$B$594)*("Weekend"=$D$403:$D$594),0))*WeekendDays)/DaysPerWeek</f>
        <v>1.275923510242111E-4</v>
      </c>
      <c r="J667" s="11" cm="1">
        <f t="array" ref="J667">(INDEX(K$403:K$594,MATCH(1,($A667=$A$403:$A$594)*($B667=$B$403:$B$594)*("Weekday"=$D$403:$D$594),0))*Weekdays+INDEX(K$403:K$594,MATCH(1,($A667=$A$403:$A$594)*($B667=$B$403:$B$594)*("Weekend"=$D$403:$D$594),0))*WeekendDays)/DaysPerWeek</f>
        <v>1.8517390078143209E-6</v>
      </c>
      <c r="K667" s="11" cm="1">
        <f t="array" ref="K667">(INDEX(L$403:L$594,MATCH(1,($A667=$A$403:$A$594)*($B667=$B$403:$B$594)*("Weekday"=$D$403:$D$594),0))*Weekdays+INDEX(L$403:L$594,MATCH(1,($A667=$A$403:$A$594)*($B667=$B$403:$B$594)*("Weekend"=$D$403:$D$594),0))*WeekendDays)/DaysPerWeek</f>
        <v>4.4374158203251332E-4</v>
      </c>
      <c r="L667" s="11" cm="1">
        <f t="array" ref="L667">(INDEX(M$403:M$594,MATCH(1,($A667=$A$403:$A$594)*($B667=$B$403:$B$594)*("Weekday"=$D$403:$D$594),0))*Weekdays+INDEX(M$403:M$594,MATCH(1,($A667=$A$403:$A$594)*($B667=$B$403:$B$594)*("Weekend"=$D$403:$D$594),0))*WeekendDays)/DaysPerWeek</f>
        <v>0</v>
      </c>
      <c r="M667" s="11" cm="1">
        <f t="array" ref="M667">(INDEX(N$403:N$594,MATCH(1,($A667=$A$403:$A$594)*($B667=$B$403:$B$594)*("Weekday"=$D$403:$D$594),0))*Weekdays+INDEX(N$403:N$594,MATCH(1,($A667=$A$403:$A$594)*($B667=$B$403:$B$594)*("Weekend"=$D$403:$D$594),0))*WeekendDays)/DaysPerWeek</f>
        <v>1.1642226183970728E-4</v>
      </c>
      <c r="N667" s="11" cm="1">
        <f t="array" ref="N667">(INDEX(O$403:O$594,MATCH(1,($A667=$A$403:$A$594)*($B667=$B$403:$B$594)*("Weekday"=$D$403:$D$594),0))*Weekdays+INDEX(O$403:O$594,MATCH(1,($A667=$A$403:$A$594)*($B667=$B$403:$B$594)*("Weekend"=$D$403:$D$594),0))*WeekendDays)/DaysPerWeek</f>
        <v>1.1642226183970728E-4</v>
      </c>
      <c r="O667" s="11" cm="1">
        <f t="array" ref="O667">(INDEX(P$403:P$594,MATCH(1,($A667=$A$403:$A$594)*($B667=$B$403:$B$594)*("Weekday"=$D$403:$D$594),0))*Weekdays+INDEX(P$403:P$594,MATCH(1,($A667=$A$403:$A$594)*($B667=$B$403:$B$594)*("Weekend"=$D$403:$D$594),0))*WeekendDays)/DaysPerWeek</f>
        <v>0</v>
      </c>
      <c r="P667" s="11" cm="1">
        <f t="array" ref="P667">(INDEX(Q$403:Q$594,MATCH(1,($A667=$A$403:$A$594)*($B667=$B$403:$B$594)*("Weekday"=$D$403:$D$594),0))*Weekdays+INDEX(Q$403:Q$594,MATCH(1,($A667=$A$403:$A$594)*($B667=$B$403:$B$594)*("Weekend"=$D$403:$D$594),0))*WeekendDays)/DaysPerWeek</f>
        <v>1.3024456798026244E-4</v>
      </c>
      <c r="Q667" s="11" cm="1">
        <f t="array" ref="Q667">(INDEX(R$403:R$594,MATCH(1,($A667=$A$403:$A$594)*($B667=$B$403:$B$594)*("Weekday"=$D$403:$D$594),0))*Weekdays+INDEX(R$403:R$594,MATCH(1,($A667=$A$403:$A$594)*($B667=$B$403:$B$594)*("Weekend"=$D$403:$D$594),0))*WeekendDays)/DaysPerWeek</f>
        <v>1.3024456798026247E-4</v>
      </c>
      <c r="R667" s="11" cm="1">
        <f t="array" ref="R667">(INDEX(S$403:S$594,MATCH(1,($A667=$A$403:$A$594)*($B667=$B$403:$B$594)*("Weekday"=$D$403:$D$594),0))*Weekdays+INDEX(S$403:S$594,MATCH(1,($A667=$A$403:$A$594)*($B667=$B$403:$B$594)*("Weekend"=$D$403:$D$594),0))*WeekendDays)/DaysPerWeek</f>
        <v>0</v>
      </c>
      <c r="S667" s="11" cm="1">
        <f t="array" ref="S667">(INDEX(T$403:T$594,MATCH(1,($A667=$A$403:$A$594)*($B667=$B$403:$B$594)*("Weekday"=$D$403:$D$594),0))*Weekdays+INDEX(T$403:T$594,MATCH(1,($A667=$A$403:$A$594)*($B667=$B$403:$B$594)*("Weekend"=$D$403:$D$594),0))*WeekendDays)/DaysPerWeek</f>
        <v>1.3024456798026249E-4</v>
      </c>
      <c r="T667" s="11" cm="1">
        <f t="array" ref="T667">(INDEX(U$403:U$594,MATCH(1,($A667=$A$403:$A$594)*($B667=$B$403:$B$594)*("Weekday"=$D$403:$D$594),0))*Weekdays+INDEX(U$403:U$594,MATCH(1,($A667=$A$403:$A$594)*($B667=$B$403:$B$594)*("Weekend"=$D$403:$D$594),0))*WeekendDays)/DaysPerWeek</f>
        <v>0</v>
      </c>
      <c r="U667" s="11" t="e" cm="1">
        <f t="array" ref="U667">(INDEX(V$403:V$594,MATCH(1,($A667=$A$403:$A$594)*($B667=$B$403:$B$594)*("Weekday"=$D$403:$D$594),0))*Weekdays+INDEX(V$403:V$594,MATCH(1,($A667=$A$403:$A$594)*($B667=$B$403:$B$594)*("Weekend"=$D$403:$D$594),0))*WeekendDays)/DaysPerWeek</f>
        <v>#DIV/0!</v>
      </c>
      <c r="V667" s="11" cm="1">
        <f t="array" ref="V667">(INDEX(W$403:W$594,MATCH(1,($A667=$A$403:$A$594)*($B667=$B$403:$B$594)*("Weekday"=$D$403:$D$594),0))*Weekdays+INDEX(W$403:W$594,MATCH(1,($A667=$A$403:$A$594)*($B667=$B$403:$B$594)*("Weekend"=$D$403:$D$594),0))*WeekendDays)/DaysPerWeek</f>
        <v>1.1359676663933432E-4</v>
      </c>
      <c r="W667" s="11" cm="1">
        <f t="array" ref="W667">(INDEX(X$403:X$594,MATCH(1,($A667=$A$403:$A$594)*($B667=$B$403:$B$594)*("Weekday"=$D$403:$D$594),0))*Weekdays+INDEX(X$403:X$594,MATCH(1,($A667=$A$403:$A$594)*($B667=$B$403:$B$594)*("Weekend"=$D$403:$D$594),0))*WeekendDays)/DaysPerWeek</f>
        <v>0</v>
      </c>
      <c r="X667" s="11" cm="1">
        <f t="array" ref="X667">(INDEX(Y$403:Y$594,MATCH(1,($A667=$A$403:$A$594)*($B667=$B$403:$B$594)*("Weekday"=$D$403:$D$594),0))*Weekdays+INDEX(Y$403:Y$594,MATCH(1,($A667=$A$403:$A$594)*($B667=$B$403:$B$594)*("Weekend"=$D$403:$D$594),0))*WeekendDays)/DaysPerWeek</f>
        <v>0</v>
      </c>
      <c r="Y667" s="25" t="e">
        <f t="shared" si="425"/>
        <v>#DIV/0!</v>
      </c>
      <c r="Z667" s="32" t="e">
        <f t="shared" si="424"/>
        <v>#DIV/0!</v>
      </c>
    </row>
    <row r="668" spans="1:26" outlineLevel="1" x14ac:dyDescent="0.25">
      <c r="A668" t="s">
        <v>39</v>
      </c>
      <c r="B668" t="s">
        <v>167</v>
      </c>
      <c r="C668" s="7" t="s">
        <v>19</v>
      </c>
      <c r="D668" s="11" cm="1">
        <f t="array" ref="D668">(INDEX(E$403:E$594,MATCH(1,($A668=$A$403:$A$594)*($B668=$B$403:$B$594)*("Weekday"=$D$403:$D$594),0))*Weekdays+INDEX(E$403:E$594,MATCH(1,($A668=$A$403:$A$594)*($B668=$B$403:$B$594)*("Weekend"=$D$403:$D$594),0))*WeekendDays)/DaysPerWeek</f>
        <v>2.8680838003228002E-6</v>
      </c>
      <c r="E668" s="11" cm="1">
        <f t="array" ref="E668">(INDEX(F$403:F$594,MATCH(1,($A668=$A$403:$A$594)*($B668=$B$403:$B$594)*("Weekday"=$D$403:$D$594),0))*Weekdays+INDEX(F$403:F$594,MATCH(1,($A668=$A$403:$A$594)*($B668=$B$403:$B$594)*("Weekend"=$D$403:$D$594),0))*WeekendDays)/DaysPerWeek</f>
        <v>4.9887251760248835E-4</v>
      </c>
      <c r="F668" s="11" cm="1">
        <f t="array" ref="F668">(INDEX(G$403:G$594,MATCH(1,($A668=$A$403:$A$594)*($B668=$B$403:$B$594)*("Weekday"=$D$403:$D$594),0))*Weekdays+INDEX(G$403:G$594,MATCH(1,($A668=$A$403:$A$594)*($B668=$B$403:$B$594)*("Weekend"=$D$403:$D$594),0))*WeekendDays)/DaysPerWeek</f>
        <v>0</v>
      </c>
      <c r="G668" s="11" cm="1">
        <f t="array" ref="G668">(INDEX(H$403:H$594,MATCH(1,($A668=$A$403:$A$594)*($B668=$B$403:$B$594)*("Weekday"=$D$403:$D$594),0))*Weekdays+INDEX(H$403:H$594,MATCH(1,($A668=$A$403:$A$594)*($B668=$B$403:$B$594)*("Weekend"=$D$403:$D$594),0))*WeekendDays)/DaysPerWeek</f>
        <v>2.8498455564492971E-4</v>
      </c>
      <c r="H668" s="11" cm="1">
        <f t="array" ref="H668">(INDEX(I$403:I$594,MATCH(1,($A668=$A$403:$A$594)*($B668=$B$403:$B$594)*("Weekday"=$D$403:$D$594),0))*Weekdays+INDEX(I$403:I$594,MATCH(1,($A668=$A$403:$A$594)*($B668=$B$403:$B$594)*("Weekend"=$D$403:$D$594),0))*WeekendDays)/DaysPerWeek</f>
        <v>1.1639935864085763E-4</v>
      </c>
      <c r="I668" s="11" cm="1">
        <f t="array" ref="I668">(INDEX(J$403:J$594,MATCH(1,($A668=$A$403:$A$594)*($B668=$B$403:$B$594)*("Weekday"=$D$403:$D$594),0))*Weekdays+INDEX(J$403:J$594,MATCH(1,($A668=$A$403:$A$594)*($B668=$B$403:$B$594)*("Weekend"=$D$403:$D$594),0))*WeekendDays)/DaysPerWeek</f>
        <v>1.1639935864085763E-4</v>
      </c>
      <c r="J668" s="11" cm="1">
        <f t="array" ref="J668">(INDEX(K$403:K$594,MATCH(1,($A668=$A$403:$A$594)*($B668=$B$403:$B$594)*("Weekday"=$D$403:$D$594),0))*Weekdays+INDEX(K$403:K$594,MATCH(1,($A668=$A$403:$A$594)*($B668=$B$403:$B$594)*("Weekend"=$D$403:$D$594),0))*WeekendDays)/DaysPerWeek</f>
        <v>2.2419539473158453E-6</v>
      </c>
      <c r="K668" s="11" cm="1">
        <f t="array" ref="K668">(INDEX(L$403:L$594,MATCH(1,($A668=$A$403:$A$594)*($B668=$B$403:$B$594)*("Weekday"=$D$403:$D$594),0))*Weekdays+INDEX(L$403:L$594,MATCH(1,($A668=$A$403:$A$594)*($B668=$B$403:$B$594)*("Weekend"=$D$403:$D$594),0))*WeekendDays)/DaysPerWeek</f>
        <v>4.0542130086302643E-4</v>
      </c>
      <c r="L668" s="11" cm="1">
        <f t="array" ref="L668">(INDEX(M$403:M$594,MATCH(1,($A668=$A$403:$A$594)*($B668=$B$403:$B$594)*("Weekday"=$D$403:$D$594),0))*Weekdays+INDEX(M$403:M$594,MATCH(1,($A668=$A$403:$A$594)*($B668=$B$403:$B$594)*("Weekend"=$D$403:$D$594),0))*WeekendDays)/DaysPerWeek</f>
        <v>0</v>
      </c>
      <c r="M668" s="11" cm="1">
        <f t="array" ref="M668">(INDEX(N$403:N$594,MATCH(1,($A668=$A$403:$A$594)*($B668=$B$403:$B$594)*("Weekday"=$D$403:$D$594),0))*Weekdays+INDEX(N$403:N$594,MATCH(1,($A668=$A$403:$A$594)*($B668=$B$403:$B$594)*("Weekend"=$D$403:$D$594),0))*WeekendDays)/DaysPerWeek</f>
        <v>9.9556115208668865E-5</v>
      </c>
      <c r="N668" s="11" cm="1">
        <f t="array" ref="N668">(INDEX(O$403:O$594,MATCH(1,($A668=$A$403:$A$594)*($B668=$B$403:$B$594)*("Weekday"=$D$403:$D$594),0))*Weekdays+INDEX(O$403:O$594,MATCH(1,($A668=$A$403:$A$594)*($B668=$B$403:$B$594)*("Weekend"=$D$403:$D$594),0))*WeekendDays)/DaysPerWeek</f>
        <v>9.9556115208668865E-5</v>
      </c>
      <c r="O668" s="11" cm="1">
        <f t="array" ref="O668">(INDEX(P$403:P$594,MATCH(1,($A668=$A$403:$A$594)*($B668=$B$403:$B$594)*("Weekday"=$D$403:$D$594),0))*Weekdays+INDEX(P$403:P$594,MATCH(1,($A668=$A$403:$A$594)*($B668=$B$403:$B$594)*("Weekend"=$D$403:$D$594),0))*WeekendDays)/DaysPerWeek</f>
        <v>0</v>
      </c>
      <c r="P668" s="11" cm="1">
        <f t="array" ref="P668">(INDEX(Q$403:Q$594,MATCH(1,($A668=$A$403:$A$594)*($B668=$B$403:$B$594)*("Weekday"=$D$403:$D$594),0))*Weekdays+INDEX(Q$403:Q$594,MATCH(1,($A668=$A$403:$A$594)*($B668=$B$403:$B$594)*("Weekend"=$D$403:$D$594),0))*WeekendDays)/DaysPerWeek</f>
        <v>1.206633159004083E-4</v>
      </c>
      <c r="Q668" s="11" cm="1">
        <f t="array" ref="Q668">(INDEX(R$403:R$594,MATCH(1,($A668=$A$403:$A$594)*($B668=$B$403:$B$594)*("Weekday"=$D$403:$D$594),0))*Weekdays+INDEX(R$403:R$594,MATCH(1,($A668=$A$403:$A$594)*($B668=$B$403:$B$594)*("Weekend"=$D$403:$D$594),0))*WeekendDays)/DaysPerWeek</f>
        <v>1.2066331590040832E-4</v>
      </c>
      <c r="R668" s="11" cm="1">
        <f t="array" ref="R668">(INDEX(S$403:S$594,MATCH(1,($A668=$A$403:$A$594)*($B668=$B$403:$B$594)*("Weekday"=$D$403:$D$594),0))*Weekdays+INDEX(S$403:S$594,MATCH(1,($A668=$A$403:$A$594)*($B668=$B$403:$B$594)*("Weekend"=$D$403:$D$594),0))*WeekendDays)/DaysPerWeek</f>
        <v>0</v>
      </c>
      <c r="S668" s="11" cm="1">
        <f t="array" ref="S668">(INDEX(T$403:T$594,MATCH(1,($A668=$A$403:$A$594)*($B668=$B$403:$B$594)*("Weekday"=$D$403:$D$594),0))*Weekdays+INDEX(T$403:T$594,MATCH(1,($A668=$A$403:$A$594)*($B668=$B$403:$B$594)*("Weekend"=$D$403:$D$594),0))*WeekendDays)/DaysPerWeek</f>
        <v>1.2066331590040835E-4</v>
      </c>
      <c r="T668" s="11" cm="1">
        <f t="array" ref="T668">(INDEX(U$403:U$594,MATCH(1,($A668=$A$403:$A$594)*($B668=$B$403:$B$594)*("Weekday"=$D$403:$D$594),0))*Weekdays+INDEX(U$403:U$594,MATCH(1,($A668=$A$403:$A$594)*($B668=$B$403:$B$594)*("Weekend"=$D$403:$D$594),0))*WeekendDays)/DaysPerWeek</f>
        <v>0</v>
      </c>
      <c r="U668" s="11" t="e" cm="1">
        <f t="array" ref="U668">(INDEX(V$403:V$594,MATCH(1,($A668=$A$403:$A$594)*($B668=$B$403:$B$594)*("Weekday"=$D$403:$D$594),0))*Weekdays+INDEX(V$403:V$594,MATCH(1,($A668=$A$403:$A$594)*($B668=$B$403:$B$594)*("Weekend"=$D$403:$D$594),0))*WeekendDays)/DaysPerWeek</f>
        <v>#DIV/0!</v>
      </c>
      <c r="V668" s="11" cm="1">
        <f t="array" ref="V668">(INDEX(W$403:W$594,MATCH(1,($A668=$A$403:$A$594)*($B668=$B$403:$B$594)*("Weekday"=$D$403:$D$594),0))*Weekdays+INDEX(W$403:W$594,MATCH(1,($A668=$A$403:$A$594)*($B668=$B$403:$B$594)*("Weekend"=$D$403:$D$594),0))*WeekendDays)/DaysPerWeek</f>
        <v>1.1288303034100516E-4</v>
      </c>
      <c r="W668" s="11" cm="1">
        <f t="array" ref="W668">(INDEX(X$403:X$594,MATCH(1,($A668=$A$403:$A$594)*($B668=$B$403:$B$594)*("Weekday"=$D$403:$D$594),0))*Weekdays+INDEX(X$403:X$594,MATCH(1,($A668=$A$403:$A$594)*($B668=$B$403:$B$594)*("Weekend"=$D$403:$D$594),0))*WeekendDays)/DaysPerWeek</f>
        <v>0</v>
      </c>
      <c r="X668" s="11" cm="1">
        <f t="array" ref="X668">(INDEX(Y$403:Y$594,MATCH(1,($A668=$A$403:$A$594)*($B668=$B$403:$B$594)*("Weekday"=$D$403:$D$594),0))*Weekdays+INDEX(Y$403:Y$594,MATCH(1,($A668=$A$403:$A$594)*($B668=$B$403:$B$594)*("Weekend"=$D$403:$D$594),0))*WeekendDays)/DaysPerWeek</f>
        <v>0</v>
      </c>
      <c r="Y668" s="25" t="e">
        <f t="shared" si="425"/>
        <v>#DIV/0!</v>
      </c>
      <c r="Z668" s="32" t="e">
        <f t="shared" si="424"/>
        <v>#DIV/0!</v>
      </c>
    </row>
    <row r="669" spans="1:26" outlineLevel="1" x14ac:dyDescent="0.25">
      <c r="A669" t="s">
        <v>39</v>
      </c>
      <c r="B669" t="s">
        <v>168</v>
      </c>
      <c r="C669" s="7" t="s">
        <v>20</v>
      </c>
      <c r="D669" s="11" cm="1">
        <f t="array" ref="D669">(INDEX(E$403:E$594,MATCH(1,($A669=$A$403:$A$594)*($B669=$B$403:$B$594)*("Weekday"=$D$403:$D$594),0))*Weekdays+INDEX(E$403:E$594,MATCH(1,($A669=$A$403:$A$594)*($B669=$B$403:$B$594)*("Weekend"=$D$403:$D$594),0))*WeekendDays)/DaysPerWeek</f>
        <v>2.5253180737126495E-6</v>
      </c>
      <c r="E669" s="11" cm="1">
        <f t="array" ref="E669">(INDEX(F$403:F$594,MATCH(1,($A669=$A$403:$A$594)*($B669=$B$403:$B$594)*("Weekday"=$D$403:$D$594),0))*Weekdays+INDEX(F$403:F$594,MATCH(1,($A669=$A$403:$A$594)*($B669=$B$403:$B$594)*("Weekend"=$D$403:$D$594),0))*WeekendDays)/DaysPerWeek</f>
        <v>4.3675055961206439E-4</v>
      </c>
      <c r="F669" s="11" cm="1">
        <f t="array" ref="F669">(INDEX(G$403:G$594,MATCH(1,($A669=$A$403:$A$594)*($B669=$B$403:$B$594)*("Weekday"=$D$403:$D$594),0))*Weekdays+INDEX(G$403:G$594,MATCH(1,($A669=$A$403:$A$594)*($B669=$B$403:$B$594)*("Weekend"=$D$403:$D$594),0))*WeekendDays)/DaysPerWeek</f>
        <v>0</v>
      </c>
      <c r="G669" s="11" cm="1">
        <f t="array" ref="G669">(INDEX(H$403:H$594,MATCH(1,($A669=$A$403:$A$594)*($B669=$B$403:$B$594)*("Weekday"=$D$403:$D$594),0))*Weekdays+INDEX(H$403:H$594,MATCH(1,($A669=$A$403:$A$594)*($B669=$B$403:$B$594)*("Weekend"=$D$403:$D$594),0))*WeekendDays)/DaysPerWeek</f>
        <v>2.339192479432952E-4</v>
      </c>
      <c r="H669" s="11" cm="1">
        <f t="array" ref="H669">(INDEX(I$403:I$594,MATCH(1,($A669=$A$403:$A$594)*($B669=$B$403:$B$594)*("Weekday"=$D$403:$D$594),0))*Weekdays+INDEX(I$403:I$594,MATCH(1,($A669=$A$403:$A$594)*($B669=$B$403:$B$594)*("Weekend"=$D$403:$D$594),0))*WeekendDays)/DaysPerWeek</f>
        <v>1.0544930393410129E-4</v>
      </c>
      <c r="I669" s="11" cm="1">
        <f t="array" ref="I669">(INDEX(J$403:J$594,MATCH(1,($A669=$A$403:$A$594)*($B669=$B$403:$B$594)*("Weekday"=$D$403:$D$594),0))*Weekdays+INDEX(J$403:J$594,MATCH(1,($A669=$A$403:$A$594)*($B669=$B$403:$B$594)*("Weekend"=$D$403:$D$594),0))*WeekendDays)/DaysPerWeek</f>
        <v>1.0544930393410129E-4</v>
      </c>
      <c r="J669" s="11" cm="1">
        <f t="array" ref="J669">(INDEX(K$403:K$594,MATCH(1,($A669=$A$403:$A$594)*($B669=$B$403:$B$594)*("Weekday"=$D$403:$D$594),0))*Weekdays+INDEX(K$403:K$594,MATCH(1,($A669=$A$403:$A$594)*($B669=$B$403:$B$594)*("Weekend"=$D$403:$D$594),0))*WeekendDays)/DaysPerWeek</f>
        <v>2.3219271124716985E-6</v>
      </c>
      <c r="K669" s="11" cm="1">
        <f t="array" ref="K669">(INDEX(L$403:L$594,MATCH(1,($A669=$A$403:$A$594)*($B669=$B$403:$B$594)*("Weekday"=$D$403:$D$594),0))*Weekdays+INDEX(L$403:L$594,MATCH(1,($A669=$A$403:$A$594)*($B669=$B$403:$B$594)*("Weekend"=$D$403:$D$594),0))*WeekendDays)/DaysPerWeek</f>
        <v>3.6614218608360422E-4</v>
      </c>
      <c r="L669" s="11" cm="1">
        <f t="array" ref="L669">(INDEX(M$403:M$594,MATCH(1,($A669=$A$403:$A$594)*($B669=$B$403:$B$594)*("Weekday"=$D$403:$D$594),0))*Weekdays+INDEX(M$403:M$594,MATCH(1,($A669=$A$403:$A$594)*($B669=$B$403:$B$594)*("Weekend"=$D$403:$D$594),0))*WeekendDays)/DaysPerWeek</f>
        <v>0</v>
      </c>
      <c r="M669" s="11" cm="1">
        <f t="array" ref="M669">(INDEX(N$403:N$594,MATCH(1,($A669=$A$403:$A$594)*($B669=$B$403:$B$594)*("Weekday"=$D$403:$D$594),0))*Weekdays+INDEX(N$403:N$594,MATCH(1,($A669=$A$403:$A$594)*($B669=$B$403:$B$594)*("Weekend"=$D$403:$D$594),0))*WeekendDays)/DaysPerWeek</f>
        <v>8.37124858647881E-5</v>
      </c>
      <c r="N669" s="11" cm="1">
        <f t="array" ref="N669">(INDEX(O$403:O$594,MATCH(1,($A669=$A$403:$A$594)*($B669=$B$403:$B$594)*("Weekday"=$D$403:$D$594),0))*Weekdays+INDEX(O$403:O$594,MATCH(1,($A669=$A$403:$A$594)*($B669=$B$403:$B$594)*("Weekend"=$D$403:$D$594),0))*WeekendDays)/DaysPerWeek</f>
        <v>8.37124858647881E-5</v>
      </c>
      <c r="O669" s="11" cm="1">
        <f t="array" ref="O669">(INDEX(P$403:P$594,MATCH(1,($A669=$A$403:$A$594)*($B669=$B$403:$B$594)*("Weekday"=$D$403:$D$594),0))*Weekdays+INDEX(P$403:P$594,MATCH(1,($A669=$A$403:$A$594)*($B669=$B$403:$B$594)*("Weekend"=$D$403:$D$594),0))*WeekendDays)/DaysPerWeek</f>
        <v>0</v>
      </c>
      <c r="P669" s="11" cm="1">
        <f t="array" ref="P669">(INDEX(Q$403:Q$594,MATCH(1,($A669=$A$403:$A$594)*($B669=$B$403:$B$594)*("Weekday"=$D$403:$D$594),0))*Weekdays+INDEX(Q$403:Q$594,MATCH(1,($A669=$A$403:$A$594)*($B669=$B$403:$B$594)*("Weekend"=$D$403:$D$594),0))*WeekendDays)/DaysPerWeek</f>
        <v>1.1381145278925341E-4</v>
      </c>
      <c r="Q669" s="11" cm="1">
        <f t="array" ref="Q669">(INDEX(R$403:R$594,MATCH(1,($A669=$A$403:$A$594)*($B669=$B$403:$B$594)*("Weekday"=$D$403:$D$594),0))*Weekdays+INDEX(R$403:R$594,MATCH(1,($A669=$A$403:$A$594)*($B669=$B$403:$B$594)*("Weekend"=$D$403:$D$594),0))*WeekendDays)/DaysPerWeek</f>
        <v>1.1381145278925345E-4</v>
      </c>
      <c r="R669" s="11" cm="1">
        <f t="array" ref="R669">(INDEX(S$403:S$594,MATCH(1,($A669=$A$403:$A$594)*($B669=$B$403:$B$594)*("Weekday"=$D$403:$D$594),0))*Weekdays+INDEX(S$403:S$594,MATCH(1,($A669=$A$403:$A$594)*($B669=$B$403:$B$594)*("Weekend"=$D$403:$D$594),0))*WeekendDays)/DaysPerWeek</f>
        <v>0</v>
      </c>
      <c r="S669" s="11" cm="1">
        <f t="array" ref="S669">(INDEX(T$403:T$594,MATCH(1,($A669=$A$403:$A$594)*($B669=$B$403:$B$594)*("Weekday"=$D$403:$D$594),0))*Weekdays+INDEX(T$403:T$594,MATCH(1,($A669=$A$403:$A$594)*($B669=$B$403:$B$594)*("Weekend"=$D$403:$D$594),0))*WeekendDays)/DaysPerWeek</f>
        <v>1.1381145278925345E-4</v>
      </c>
      <c r="T669" s="11" cm="1">
        <f t="array" ref="T669">(INDEX(U$403:U$594,MATCH(1,($A669=$A$403:$A$594)*($B669=$B$403:$B$594)*("Weekday"=$D$403:$D$594),0))*Weekdays+INDEX(U$403:U$594,MATCH(1,($A669=$A$403:$A$594)*($B669=$B$403:$B$594)*("Weekend"=$D$403:$D$594),0))*WeekendDays)/DaysPerWeek</f>
        <v>0</v>
      </c>
      <c r="U669" s="11" t="e" cm="1">
        <f t="array" ref="U669">(INDEX(V$403:V$594,MATCH(1,($A669=$A$403:$A$594)*($B669=$B$403:$B$594)*("Weekday"=$D$403:$D$594),0))*Weekdays+INDEX(V$403:V$594,MATCH(1,($A669=$A$403:$A$594)*($B669=$B$403:$B$594)*("Weekend"=$D$403:$D$594),0))*WeekendDays)/DaysPerWeek</f>
        <v>#DIV/0!</v>
      </c>
      <c r="V669" s="11" cm="1">
        <f t="array" ref="V669">(INDEX(W$403:W$594,MATCH(1,($A669=$A$403:$A$594)*($B669=$B$403:$B$594)*("Weekday"=$D$403:$D$594),0))*Weekdays+INDEX(W$403:W$594,MATCH(1,($A669=$A$403:$A$594)*($B669=$B$403:$B$594)*("Weekend"=$D$403:$D$594),0))*WeekendDays)/DaysPerWeek</f>
        <v>1.1183120842767798E-4</v>
      </c>
      <c r="W669" s="11" cm="1">
        <f t="array" ref="W669">(INDEX(X$403:X$594,MATCH(1,($A669=$A$403:$A$594)*($B669=$B$403:$B$594)*("Weekday"=$D$403:$D$594),0))*Weekdays+INDEX(X$403:X$594,MATCH(1,($A669=$A$403:$A$594)*($B669=$B$403:$B$594)*("Weekend"=$D$403:$D$594),0))*WeekendDays)/DaysPerWeek</f>
        <v>0</v>
      </c>
      <c r="X669" s="11" cm="1">
        <f t="array" ref="X669">(INDEX(Y$403:Y$594,MATCH(1,($A669=$A$403:$A$594)*($B669=$B$403:$B$594)*("Weekday"=$D$403:$D$594),0))*Weekdays+INDEX(Y$403:Y$594,MATCH(1,($A669=$A$403:$A$594)*($B669=$B$403:$B$594)*("Weekend"=$D$403:$D$594),0))*WeekendDays)/DaysPerWeek</f>
        <v>0</v>
      </c>
      <c r="Y669" s="25" t="e">
        <f t="shared" si="425"/>
        <v>#DIV/0!</v>
      </c>
      <c r="Z669" s="32" t="e">
        <f t="shared" si="424"/>
        <v>#DIV/0!</v>
      </c>
    </row>
    <row r="670" spans="1:26" outlineLevel="1" x14ac:dyDescent="0.25">
      <c r="A670" t="s">
        <v>39</v>
      </c>
      <c r="B670" t="s">
        <v>169</v>
      </c>
      <c r="C670" s="7" t="s">
        <v>21</v>
      </c>
      <c r="D670" s="11" cm="1">
        <f t="array" ref="D670">(INDEX(E$403:E$594,MATCH(1,($A670=$A$403:$A$594)*($B670=$B$403:$B$594)*("Weekday"=$D$403:$D$594),0))*Weekdays+INDEX(E$403:E$594,MATCH(1,($A670=$A$403:$A$594)*($B670=$B$403:$B$594)*("Weekend"=$D$403:$D$594),0))*WeekendDays)/DaysPerWeek</f>
        <v>1.9127306544985673E-6</v>
      </c>
      <c r="E670" s="11" cm="1">
        <f t="array" ref="E670">(INDEX(F$403:F$594,MATCH(1,($A670=$A$403:$A$594)*($B670=$B$403:$B$594)*("Weekday"=$D$403:$D$594),0))*Weekdays+INDEX(F$403:F$594,MATCH(1,($A670=$A$403:$A$594)*($B670=$B$403:$B$594)*("Weekend"=$D$403:$D$594),0))*WeekendDays)/DaysPerWeek</f>
        <v>3.6933607636037148E-4</v>
      </c>
      <c r="F670" s="11" cm="1">
        <f t="array" ref="F670">(INDEX(G$403:G$594,MATCH(1,($A670=$A$403:$A$594)*($B670=$B$403:$B$594)*("Weekday"=$D$403:$D$594),0))*Weekdays+INDEX(G$403:G$594,MATCH(1,($A670=$A$403:$A$594)*($B670=$B$403:$B$594)*("Weekend"=$D$403:$D$594),0))*WeekendDays)/DaysPerWeek</f>
        <v>0</v>
      </c>
      <c r="G670" s="11" cm="1">
        <f t="array" ref="G670">(INDEX(H$403:H$594,MATCH(1,($A670=$A$403:$A$594)*($B670=$B$403:$B$594)*("Weekday"=$D$403:$D$594),0))*Weekdays+INDEX(H$403:H$594,MATCH(1,($A670=$A$403:$A$594)*($B670=$B$403:$B$594)*("Weekend"=$D$403:$D$594),0))*WeekendDays)/DaysPerWeek</f>
        <v>1.4304975934759185E-4</v>
      </c>
      <c r="H670" s="11" cm="1">
        <f t="array" ref="H670">(INDEX(I$403:I$594,MATCH(1,($A670=$A$403:$A$594)*($B670=$B$403:$B$594)*("Weekday"=$D$403:$D$594),0))*Weekdays+INDEX(I$403:I$594,MATCH(1,($A670=$A$403:$A$594)*($B670=$B$403:$B$594)*("Weekend"=$D$403:$D$594),0))*WeekendDays)/DaysPerWeek</f>
        <v>9.2198765889663255E-5</v>
      </c>
      <c r="I670" s="11" cm="1">
        <f t="array" ref="I670">(INDEX(J$403:J$594,MATCH(1,($A670=$A$403:$A$594)*($B670=$B$403:$B$594)*("Weekday"=$D$403:$D$594),0))*Weekdays+INDEX(J$403:J$594,MATCH(1,($A670=$A$403:$A$594)*($B670=$B$403:$B$594)*("Weekend"=$D$403:$D$594),0))*WeekendDays)/DaysPerWeek</f>
        <v>9.2198765889663255E-5</v>
      </c>
      <c r="J670" s="11" cm="1">
        <f t="array" ref="J670">(INDEX(K$403:K$594,MATCH(1,($A670=$A$403:$A$594)*($B670=$B$403:$B$594)*("Weekday"=$D$403:$D$594),0))*Weekdays+INDEX(K$403:K$594,MATCH(1,($A670=$A$403:$A$594)*($B670=$B$403:$B$594)*("Weekend"=$D$403:$D$594),0))*WeekendDays)/DaysPerWeek</f>
        <v>2.2959711381365856E-6</v>
      </c>
      <c r="K670" s="11" cm="1">
        <f t="array" ref="K670">(INDEX(L$403:L$594,MATCH(1,($A670=$A$403:$A$594)*($B670=$B$403:$B$594)*("Weekday"=$D$403:$D$594),0))*Weekdays+INDEX(L$403:L$594,MATCH(1,($A670=$A$403:$A$594)*($B670=$B$403:$B$594)*("Weekend"=$D$403:$D$594),0))*WeekendDays)/DaysPerWeek</f>
        <v>3.276565887744733E-4</v>
      </c>
      <c r="L670" s="11" cm="1">
        <f t="array" ref="L670">(INDEX(M$403:M$594,MATCH(1,($A670=$A$403:$A$594)*($B670=$B$403:$B$594)*("Weekday"=$D$403:$D$594),0))*Weekdays+INDEX(M$403:M$594,MATCH(1,($A670=$A$403:$A$594)*($B670=$B$403:$B$594)*("Weekend"=$D$403:$D$594),0))*WeekendDays)/DaysPerWeek</f>
        <v>0</v>
      </c>
      <c r="M670" s="11" cm="1">
        <f t="array" ref="M670">(INDEX(N$403:N$594,MATCH(1,($A670=$A$403:$A$594)*($B670=$B$403:$B$594)*("Weekday"=$D$403:$D$594),0))*Weekdays+INDEX(N$403:N$594,MATCH(1,($A670=$A$403:$A$594)*($B670=$B$403:$B$594)*("Weekend"=$D$403:$D$594),0))*WeekendDays)/DaysPerWeek</f>
        <v>7.2807601280217046E-5</v>
      </c>
      <c r="N670" s="11" cm="1">
        <f t="array" ref="N670">(INDEX(O$403:O$594,MATCH(1,($A670=$A$403:$A$594)*($B670=$B$403:$B$594)*("Weekday"=$D$403:$D$594),0))*Weekdays+INDEX(O$403:O$594,MATCH(1,($A670=$A$403:$A$594)*($B670=$B$403:$B$594)*("Weekend"=$D$403:$D$594),0))*WeekendDays)/DaysPerWeek</f>
        <v>7.2807601280217046E-5</v>
      </c>
      <c r="O670" s="11" cm="1">
        <f t="array" ref="O670">(INDEX(P$403:P$594,MATCH(1,($A670=$A$403:$A$594)*($B670=$B$403:$B$594)*("Weekday"=$D$403:$D$594),0))*Weekdays+INDEX(P$403:P$594,MATCH(1,($A670=$A$403:$A$594)*($B670=$B$403:$B$594)*("Weekend"=$D$403:$D$594),0))*WeekendDays)/DaysPerWeek</f>
        <v>0</v>
      </c>
      <c r="P670" s="11" cm="1">
        <f t="array" ref="P670">(INDEX(Q$403:Q$594,MATCH(1,($A670=$A$403:$A$594)*($B670=$B$403:$B$594)*("Weekday"=$D$403:$D$594),0))*Weekdays+INDEX(Q$403:Q$594,MATCH(1,($A670=$A$403:$A$594)*($B670=$B$403:$B$594)*("Weekend"=$D$403:$D$594),0))*WeekendDays)/DaysPerWeek</f>
        <v>1.086179777697622E-4</v>
      </c>
      <c r="Q670" s="11" cm="1">
        <f t="array" ref="Q670">(INDEX(R$403:R$594,MATCH(1,($A670=$A$403:$A$594)*($B670=$B$403:$B$594)*("Weekday"=$D$403:$D$594),0))*Weekdays+INDEX(R$403:R$594,MATCH(1,($A670=$A$403:$A$594)*($B670=$B$403:$B$594)*("Weekend"=$D$403:$D$594),0))*WeekendDays)/DaysPerWeek</f>
        <v>1.0861797776976226E-4</v>
      </c>
      <c r="R670" s="11" cm="1">
        <f t="array" ref="R670">(INDEX(S$403:S$594,MATCH(1,($A670=$A$403:$A$594)*($B670=$B$403:$B$594)*("Weekday"=$D$403:$D$594),0))*Weekdays+INDEX(S$403:S$594,MATCH(1,($A670=$A$403:$A$594)*($B670=$B$403:$B$594)*("Weekend"=$D$403:$D$594),0))*WeekendDays)/DaysPerWeek</f>
        <v>0</v>
      </c>
      <c r="S670" s="11" cm="1">
        <f t="array" ref="S670">(INDEX(T$403:T$594,MATCH(1,($A670=$A$403:$A$594)*($B670=$B$403:$B$594)*("Weekday"=$D$403:$D$594),0))*Weekdays+INDEX(T$403:T$594,MATCH(1,($A670=$A$403:$A$594)*($B670=$B$403:$B$594)*("Weekend"=$D$403:$D$594),0))*WeekendDays)/DaysPerWeek</f>
        <v>1.0861797776976226E-4</v>
      </c>
      <c r="T670" s="11" cm="1">
        <f t="array" ref="T670">(INDEX(U$403:U$594,MATCH(1,($A670=$A$403:$A$594)*($B670=$B$403:$B$594)*("Weekday"=$D$403:$D$594),0))*Weekdays+INDEX(U$403:U$594,MATCH(1,($A670=$A$403:$A$594)*($B670=$B$403:$B$594)*("Weekend"=$D$403:$D$594),0))*WeekendDays)/DaysPerWeek</f>
        <v>0</v>
      </c>
      <c r="U670" s="11" t="e" cm="1">
        <f t="array" ref="U670">(INDEX(V$403:V$594,MATCH(1,($A670=$A$403:$A$594)*($B670=$B$403:$B$594)*("Weekday"=$D$403:$D$594),0))*Weekdays+INDEX(V$403:V$594,MATCH(1,($A670=$A$403:$A$594)*($B670=$B$403:$B$594)*("Weekend"=$D$403:$D$594),0))*WeekendDays)/DaysPerWeek</f>
        <v>#DIV/0!</v>
      </c>
      <c r="V670" s="11" cm="1">
        <f t="array" ref="V670">(INDEX(W$403:W$594,MATCH(1,($A670=$A$403:$A$594)*($B670=$B$403:$B$594)*("Weekday"=$D$403:$D$594),0))*Weekdays+INDEX(W$403:W$594,MATCH(1,($A670=$A$403:$A$594)*($B670=$B$403:$B$594)*("Weekend"=$D$403:$D$594),0))*WeekendDays)/DaysPerWeek</f>
        <v>1.1089208171935017E-4</v>
      </c>
      <c r="W670" s="11" cm="1">
        <f t="array" ref="W670">(INDEX(X$403:X$594,MATCH(1,($A670=$A$403:$A$594)*($B670=$B$403:$B$594)*("Weekday"=$D$403:$D$594),0))*Weekdays+INDEX(X$403:X$594,MATCH(1,($A670=$A$403:$A$594)*($B670=$B$403:$B$594)*("Weekend"=$D$403:$D$594),0))*WeekendDays)/DaysPerWeek</f>
        <v>0</v>
      </c>
      <c r="X670" s="11" cm="1">
        <f t="array" ref="X670">(INDEX(Y$403:Y$594,MATCH(1,($A670=$A$403:$A$594)*($B670=$B$403:$B$594)*("Weekday"=$D$403:$D$594),0))*Weekdays+INDEX(Y$403:Y$594,MATCH(1,($A670=$A$403:$A$594)*($B670=$B$403:$B$594)*("Weekend"=$D$403:$D$594),0))*WeekendDays)/DaysPerWeek</f>
        <v>0</v>
      </c>
      <c r="Y670" s="25" t="e">
        <f t="shared" si="425"/>
        <v>#DIV/0!</v>
      </c>
      <c r="Z670" s="32" t="e">
        <f t="shared" si="424"/>
        <v>#DIV/0!</v>
      </c>
    </row>
    <row r="671" spans="1:26" outlineLevel="1" x14ac:dyDescent="0.25">
      <c r="A671" t="s">
        <v>39</v>
      </c>
      <c r="B671" t="s">
        <v>170</v>
      </c>
      <c r="C671" s="7" t="s">
        <v>22</v>
      </c>
      <c r="D671" s="11" cm="1">
        <f t="array" ref="D671">(INDEX(E$403:E$594,MATCH(1,($A671=$A$403:$A$594)*($B671=$B$403:$B$594)*("Weekday"=$D$403:$D$594),0))*Weekdays+INDEX(E$403:E$594,MATCH(1,($A671=$A$403:$A$594)*($B671=$B$403:$B$594)*("Weekend"=$D$403:$D$594),0))*WeekendDays)/DaysPerWeek</f>
        <v>1.6861481347109446E-6</v>
      </c>
      <c r="E671" s="11" cm="1">
        <f t="array" ref="E671">(INDEX(F$403:F$594,MATCH(1,($A671=$A$403:$A$594)*($B671=$B$403:$B$594)*("Weekday"=$D$403:$D$594),0))*Weekdays+INDEX(F$403:F$594,MATCH(1,($A671=$A$403:$A$594)*($B671=$B$403:$B$594)*("Weekend"=$D$403:$D$594),0))*WeekendDays)/DaysPerWeek</f>
        <v>3.0718550433219831E-4</v>
      </c>
      <c r="F671" s="11" cm="1">
        <f t="array" ref="F671">(INDEX(G$403:G$594,MATCH(1,($A671=$A$403:$A$594)*($B671=$B$403:$B$594)*("Weekday"=$D$403:$D$594),0))*Weekdays+INDEX(G$403:G$594,MATCH(1,($A671=$A$403:$A$594)*($B671=$B$403:$B$594)*("Weekend"=$D$403:$D$594),0))*WeekendDays)/DaysPerWeek</f>
        <v>0</v>
      </c>
      <c r="G671" s="11" cm="1">
        <f t="array" ref="G671">(INDEX(H$403:H$594,MATCH(1,($A671=$A$403:$A$594)*($B671=$B$403:$B$594)*("Weekday"=$D$403:$D$594),0))*Weekdays+INDEX(H$403:H$594,MATCH(1,($A671=$A$403:$A$594)*($B671=$B$403:$B$594)*("Weekend"=$D$403:$D$594),0))*WeekendDays)/DaysPerWeek</f>
        <v>7.715218961539814E-5</v>
      </c>
      <c r="H671" s="11" cm="1">
        <f t="array" ref="H671">(INDEX(I$403:I$594,MATCH(1,($A671=$A$403:$A$594)*($B671=$B$403:$B$594)*("Weekday"=$D$403:$D$594),0))*Weekdays+INDEX(I$403:I$594,MATCH(1,($A671=$A$403:$A$594)*($B671=$B$403:$B$594)*("Weekend"=$D$403:$D$594),0))*WeekendDays)/DaysPerWeek</f>
        <v>6.6769239234089716E-5</v>
      </c>
      <c r="I671" s="11" cm="1">
        <f t="array" ref="I671">(INDEX(J$403:J$594,MATCH(1,($A671=$A$403:$A$594)*($B671=$B$403:$B$594)*("Weekday"=$D$403:$D$594),0))*Weekdays+INDEX(J$403:J$594,MATCH(1,($A671=$A$403:$A$594)*($B671=$B$403:$B$594)*("Weekend"=$D$403:$D$594),0))*WeekendDays)/DaysPerWeek</f>
        <v>6.6769239234089716E-5</v>
      </c>
      <c r="J671" s="11" cm="1">
        <f t="array" ref="J671">(INDEX(K$403:K$594,MATCH(1,($A671=$A$403:$A$594)*($B671=$B$403:$B$594)*("Weekday"=$D$403:$D$594),0))*Weekdays+INDEX(K$403:K$594,MATCH(1,($A671=$A$403:$A$594)*($B671=$B$403:$B$594)*("Weekend"=$D$403:$D$594),0))*WeekendDays)/DaysPerWeek</f>
        <v>2.4045398892520776E-6</v>
      </c>
      <c r="K671" s="11" cm="1">
        <f t="array" ref="K671">(INDEX(L$403:L$594,MATCH(1,($A671=$A$403:$A$594)*($B671=$B$403:$B$594)*("Weekday"=$D$403:$D$594),0))*Weekdays+INDEX(L$403:L$594,MATCH(1,($A671=$A$403:$A$594)*($B671=$B$403:$B$594)*("Weekend"=$D$403:$D$594),0))*WeekendDays)/DaysPerWeek</f>
        <v>2.8665818614275314E-4</v>
      </c>
      <c r="L671" s="11" cm="1">
        <f t="array" ref="L671">(INDEX(M$403:M$594,MATCH(1,($A671=$A$403:$A$594)*($B671=$B$403:$B$594)*("Weekday"=$D$403:$D$594),0))*Weekdays+INDEX(M$403:M$594,MATCH(1,($A671=$A$403:$A$594)*($B671=$B$403:$B$594)*("Weekend"=$D$403:$D$594),0))*WeekendDays)/DaysPerWeek</f>
        <v>0</v>
      </c>
      <c r="M671" s="11" cm="1">
        <f t="array" ref="M671">(INDEX(N$403:N$594,MATCH(1,($A671=$A$403:$A$594)*($B671=$B$403:$B$594)*("Weekday"=$D$403:$D$594),0))*Weekdays+INDEX(N$403:N$594,MATCH(1,($A671=$A$403:$A$594)*($B671=$B$403:$B$594)*("Weekend"=$D$403:$D$594),0))*WeekendDays)/DaysPerWeek</f>
        <v>6.4637078420434004E-5</v>
      </c>
      <c r="N671" s="11" cm="1">
        <f t="array" ref="N671">(INDEX(O$403:O$594,MATCH(1,($A671=$A$403:$A$594)*($B671=$B$403:$B$594)*("Weekday"=$D$403:$D$594),0))*Weekdays+INDEX(O$403:O$594,MATCH(1,($A671=$A$403:$A$594)*($B671=$B$403:$B$594)*("Weekend"=$D$403:$D$594),0))*WeekendDays)/DaysPerWeek</f>
        <v>6.4637078420434004E-5</v>
      </c>
      <c r="O671" s="11" cm="1">
        <f t="array" ref="O671">(INDEX(P$403:P$594,MATCH(1,($A671=$A$403:$A$594)*($B671=$B$403:$B$594)*("Weekday"=$D$403:$D$594),0))*Weekdays+INDEX(P$403:P$594,MATCH(1,($A671=$A$403:$A$594)*($B671=$B$403:$B$594)*("Weekend"=$D$403:$D$594),0))*WeekendDays)/DaysPerWeek</f>
        <v>0</v>
      </c>
      <c r="P671" s="11" cm="1">
        <f t="array" ref="P671">(INDEX(Q$403:Q$594,MATCH(1,($A671=$A$403:$A$594)*($B671=$B$403:$B$594)*("Weekday"=$D$403:$D$594),0))*Weekdays+INDEX(Q$403:Q$594,MATCH(1,($A671=$A$403:$A$594)*($B671=$B$403:$B$594)*("Weekend"=$D$403:$D$594),0))*WeekendDays)/DaysPerWeek</f>
        <v>7.3098070247010015E-5</v>
      </c>
      <c r="Q671" s="11" cm="1">
        <f t="array" ref="Q671">(INDEX(R$403:R$594,MATCH(1,($A671=$A$403:$A$594)*($B671=$B$403:$B$594)*("Weekday"=$D$403:$D$594),0))*Weekdays+INDEX(R$403:R$594,MATCH(1,($A671=$A$403:$A$594)*($B671=$B$403:$B$594)*("Weekend"=$D$403:$D$594),0))*WeekendDays)/DaysPerWeek</f>
        <v>7.3098070247010056E-5</v>
      </c>
      <c r="R671" s="11" cm="1">
        <f t="array" ref="R671">(INDEX(S$403:S$594,MATCH(1,($A671=$A$403:$A$594)*($B671=$B$403:$B$594)*("Weekday"=$D$403:$D$594),0))*Weekdays+INDEX(S$403:S$594,MATCH(1,($A671=$A$403:$A$594)*($B671=$B$403:$B$594)*("Weekend"=$D$403:$D$594),0))*WeekendDays)/DaysPerWeek</f>
        <v>0</v>
      </c>
      <c r="S671" s="11" cm="1">
        <f t="array" ref="S671">(INDEX(T$403:T$594,MATCH(1,($A671=$A$403:$A$594)*($B671=$B$403:$B$594)*("Weekday"=$D$403:$D$594),0))*Weekdays+INDEX(T$403:T$594,MATCH(1,($A671=$A$403:$A$594)*($B671=$B$403:$B$594)*("Weekend"=$D$403:$D$594),0))*WeekendDays)/DaysPerWeek</f>
        <v>7.3098070247010056E-5</v>
      </c>
      <c r="T671" s="11" cm="1">
        <f t="array" ref="T671">(INDEX(U$403:U$594,MATCH(1,($A671=$A$403:$A$594)*($B671=$B$403:$B$594)*("Weekday"=$D$403:$D$594),0))*Weekdays+INDEX(U$403:U$594,MATCH(1,($A671=$A$403:$A$594)*($B671=$B$403:$B$594)*("Weekend"=$D$403:$D$594),0))*WeekendDays)/DaysPerWeek</f>
        <v>0</v>
      </c>
      <c r="U671" s="11" t="e" cm="1">
        <f t="array" ref="U671">(INDEX(V$403:V$594,MATCH(1,($A671=$A$403:$A$594)*($B671=$B$403:$B$594)*("Weekday"=$D$403:$D$594),0))*Weekdays+INDEX(V$403:V$594,MATCH(1,($A671=$A$403:$A$594)*($B671=$B$403:$B$594)*("Weekend"=$D$403:$D$594),0))*WeekendDays)/DaysPerWeek</f>
        <v>#DIV/0!</v>
      </c>
      <c r="V671" s="11" cm="1">
        <f t="array" ref="V671">(INDEX(W$403:W$594,MATCH(1,($A671=$A$403:$A$594)*($B671=$B$403:$B$594)*("Weekday"=$D$403:$D$594),0))*Weekdays+INDEX(W$403:W$594,MATCH(1,($A671=$A$403:$A$594)*($B671=$B$403:$B$594)*("Weekend"=$D$403:$D$594),0))*WeekendDays)/DaysPerWeek</f>
        <v>1.1025347555768724E-4</v>
      </c>
      <c r="W671" s="11" cm="1">
        <f t="array" ref="W671">(INDEX(X$403:X$594,MATCH(1,($A671=$A$403:$A$594)*($B671=$B$403:$B$594)*("Weekday"=$D$403:$D$594),0))*Weekdays+INDEX(X$403:X$594,MATCH(1,($A671=$A$403:$A$594)*($B671=$B$403:$B$594)*("Weekend"=$D$403:$D$594),0))*WeekendDays)/DaysPerWeek</f>
        <v>0</v>
      </c>
      <c r="X671" s="11" cm="1">
        <f t="array" ref="X671">(INDEX(Y$403:Y$594,MATCH(1,($A671=$A$403:$A$594)*($B671=$B$403:$B$594)*("Weekday"=$D$403:$D$594),0))*Weekdays+INDEX(Y$403:Y$594,MATCH(1,($A671=$A$403:$A$594)*($B671=$B$403:$B$594)*("Weekend"=$D$403:$D$594),0))*WeekendDays)/DaysPerWeek</f>
        <v>0</v>
      </c>
      <c r="Y671" s="25" t="e">
        <f t="shared" si="425"/>
        <v>#DIV/0!</v>
      </c>
      <c r="Z671" s="32" t="e">
        <f t="shared" si="424"/>
        <v>#DIV/0!</v>
      </c>
    </row>
    <row r="672" spans="1:26" outlineLevel="1" x14ac:dyDescent="0.25">
      <c r="A672" t="s">
        <v>40</v>
      </c>
      <c r="B672" t="s">
        <v>147</v>
      </c>
      <c r="C672" s="7" t="s">
        <v>34</v>
      </c>
      <c r="D672" s="11" cm="1">
        <f t="array" ref="D672">(INDEX(E$403:E$594,MATCH(1,($A672=$A$403:$A$594)*($B672=$B$403:$B$594)*("Weekday"=$D$403:$D$594),0))*Weekdays+INDEX(E$403:E$594,MATCH(1,($A672=$A$403:$A$594)*($B672=$B$403:$B$594)*("Weekend"=$D$403:$D$594),0))*WeekendDays)/DaysPerWeek</f>
        <v>2.9622393143766293E-5</v>
      </c>
      <c r="E672" s="11" cm="1">
        <f t="array" ref="E672">(INDEX(F$403:F$594,MATCH(1,($A672=$A$403:$A$594)*($B672=$B$403:$B$594)*("Weekday"=$D$403:$D$594),0))*Weekdays+INDEX(F$403:F$594,MATCH(1,($A672=$A$403:$A$594)*($B672=$B$403:$B$594)*("Weekend"=$D$403:$D$594),0))*WeekendDays)/DaysPerWeek</f>
        <v>9.6506258836971839E-6</v>
      </c>
      <c r="F672" s="11" cm="1">
        <f t="array" ref="F672">(INDEX(G$403:G$594,MATCH(1,($A672=$A$403:$A$594)*($B672=$B$403:$B$594)*("Weekday"=$D$403:$D$594),0))*Weekdays+INDEX(G$403:G$594,MATCH(1,($A672=$A$403:$A$594)*($B672=$B$403:$B$594)*("Weekend"=$D$403:$D$594),0))*WeekendDays)/DaysPerWeek</f>
        <v>0</v>
      </c>
      <c r="G672" s="11" cm="1">
        <f t="array" ref="G672">(INDEX(H$403:H$594,MATCH(1,($A672=$A$403:$A$594)*($B672=$B$403:$B$594)*("Weekday"=$D$403:$D$594),0))*Weekdays+INDEX(H$403:H$594,MATCH(1,($A672=$A$403:$A$594)*($B672=$B$403:$B$594)*("Weekend"=$D$403:$D$594),0))*WeekendDays)/DaysPerWeek</f>
        <v>5.7617755821478071E-5</v>
      </c>
      <c r="H672" s="11" cm="1">
        <f t="array" ref="H672">(INDEX(I$403:I$594,MATCH(1,($A672=$A$403:$A$594)*($B672=$B$403:$B$594)*("Weekday"=$D$403:$D$594),0))*Weekdays+INDEX(I$403:I$594,MATCH(1,($A672=$A$403:$A$594)*($B672=$B$403:$B$594)*("Weekend"=$D$403:$D$594),0))*WeekendDays)/DaysPerWeek</f>
        <v>4.4286138611430536E-5</v>
      </c>
      <c r="I672" s="11" cm="1">
        <f t="array" ref="I672">(INDEX(J$403:J$594,MATCH(1,($A672=$A$403:$A$594)*($B672=$B$403:$B$594)*("Weekday"=$D$403:$D$594),0))*Weekdays+INDEX(J$403:J$594,MATCH(1,($A672=$A$403:$A$594)*($B672=$B$403:$B$594)*("Weekend"=$D$403:$D$594),0))*WeekendDays)/DaysPerWeek</f>
        <v>4.4286138611430536E-5</v>
      </c>
      <c r="J672" s="11" cm="1">
        <f t="array" ref="J672">(INDEX(K$403:K$594,MATCH(1,($A672=$A$403:$A$594)*($B672=$B$403:$B$594)*("Weekday"=$D$403:$D$594),0))*Weekdays+INDEX(K$403:K$594,MATCH(1,($A672=$A$403:$A$594)*($B672=$B$403:$B$594)*("Weekend"=$D$403:$D$594),0))*WeekendDays)/DaysPerWeek</f>
        <v>4.0422483190791869E-5</v>
      </c>
      <c r="K672" s="11" cm="1">
        <f t="array" ref="K672">(INDEX(L$403:L$594,MATCH(1,($A672=$A$403:$A$594)*($B672=$B$403:$B$594)*("Weekday"=$D$403:$D$594),0))*Weekdays+INDEX(L$403:L$594,MATCH(1,($A672=$A$403:$A$594)*($B672=$B$403:$B$594)*("Weekend"=$D$403:$D$594),0))*WeekendDays)/DaysPerWeek</f>
        <v>4.1353559544063842E-5</v>
      </c>
      <c r="L672" s="11" cm="1">
        <f t="array" ref="L672">(INDEX(M$403:M$594,MATCH(1,($A672=$A$403:$A$594)*($B672=$B$403:$B$594)*("Weekday"=$D$403:$D$594),0))*Weekdays+INDEX(M$403:M$594,MATCH(1,($A672=$A$403:$A$594)*($B672=$B$403:$B$594)*("Weekend"=$D$403:$D$594),0))*WeekendDays)/DaysPerWeek</f>
        <v>0</v>
      </c>
      <c r="M672" s="11" cm="1">
        <f t="array" ref="M672">(INDEX(N$403:N$594,MATCH(1,($A672=$A$403:$A$594)*($B672=$B$403:$B$594)*("Weekday"=$D$403:$D$594),0))*Weekdays+INDEX(N$403:N$594,MATCH(1,($A672=$A$403:$A$594)*($B672=$B$403:$B$594)*("Weekend"=$D$403:$D$594),0))*WeekendDays)/DaysPerWeek</f>
        <v>5.8214152704217315E-5</v>
      </c>
      <c r="N672" s="11" cm="1">
        <f t="array" ref="N672">(INDEX(O$403:O$594,MATCH(1,($A672=$A$403:$A$594)*($B672=$B$403:$B$594)*("Weekday"=$D$403:$D$594),0))*Weekdays+INDEX(O$403:O$594,MATCH(1,($A672=$A$403:$A$594)*($B672=$B$403:$B$594)*("Weekend"=$D$403:$D$594),0))*WeekendDays)/DaysPerWeek</f>
        <v>5.8214152704217315E-5</v>
      </c>
      <c r="O672" s="11" cm="1">
        <f t="array" ref="O672">(INDEX(P$403:P$594,MATCH(1,($A672=$A$403:$A$594)*($B672=$B$403:$B$594)*("Weekday"=$D$403:$D$594),0))*Weekdays+INDEX(P$403:P$594,MATCH(1,($A672=$A$403:$A$594)*($B672=$B$403:$B$594)*("Weekend"=$D$403:$D$594),0))*WeekendDays)/DaysPerWeek</f>
        <v>0</v>
      </c>
      <c r="P672" s="11" cm="1">
        <f t="array" ref="P672">(INDEX(Q$403:Q$594,MATCH(1,($A672=$A$403:$A$594)*($B672=$B$403:$B$594)*("Weekday"=$D$403:$D$594),0))*Weekdays+INDEX(Q$403:Q$594,MATCH(1,($A672=$A$403:$A$594)*($B672=$B$403:$B$594)*("Weekend"=$D$403:$D$594),0))*WeekendDays)/DaysPerWeek</f>
        <v>5.5074798471216786E-5</v>
      </c>
      <c r="Q672" s="11" cm="1">
        <f t="array" ref="Q672">(INDEX(R$403:R$594,MATCH(1,($A672=$A$403:$A$594)*($B672=$B$403:$B$594)*("Weekday"=$D$403:$D$594),0))*Weekdays+INDEX(R$403:R$594,MATCH(1,($A672=$A$403:$A$594)*($B672=$B$403:$B$594)*("Weekend"=$D$403:$D$594),0))*WeekendDays)/DaysPerWeek</f>
        <v>5.5074798471216793E-5</v>
      </c>
      <c r="R672" s="11" cm="1">
        <f t="array" ref="R672">(INDEX(S$403:S$594,MATCH(1,($A672=$A$403:$A$594)*($B672=$B$403:$B$594)*("Weekday"=$D$403:$D$594),0))*Weekdays+INDEX(S$403:S$594,MATCH(1,($A672=$A$403:$A$594)*($B672=$B$403:$B$594)*("Weekend"=$D$403:$D$594),0))*WeekendDays)/DaysPerWeek</f>
        <v>0</v>
      </c>
      <c r="S672" s="11" cm="1">
        <f t="array" ref="S672">(INDEX(T$403:T$594,MATCH(1,($A672=$A$403:$A$594)*($B672=$B$403:$B$594)*("Weekday"=$D$403:$D$594),0))*Weekdays+INDEX(T$403:T$594,MATCH(1,($A672=$A$403:$A$594)*($B672=$B$403:$B$594)*("Weekend"=$D$403:$D$594),0))*WeekendDays)/DaysPerWeek</f>
        <v>5.5074798471216813E-5</v>
      </c>
      <c r="T672" s="11" cm="1">
        <f t="array" ref="T672">(INDEX(U$403:U$594,MATCH(1,($A672=$A$403:$A$594)*($B672=$B$403:$B$594)*("Weekday"=$D$403:$D$594),0))*Weekdays+INDEX(U$403:U$594,MATCH(1,($A672=$A$403:$A$594)*($B672=$B$403:$B$594)*("Weekend"=$D$403:$D$594),0))*WeekendDays)/DaysPerWeek</f>
        <v>0</v>
      </c>
      <c r="U672" s="11" t="e" cm="1">
        <f t="array" ref="U672">(INDEX(V$403:V$594,MATCH(1,($A672=$A$403:$A$594)*($B672=$B$403:$B$594)*("Weekday"=$D$403:$D$594),0))*Weekdays+INDEX(V$403:V$594,MATCH(1,($A672=$A$403:$A$594)*($B672=$B$403:$B$594)*("Weekend"=$D$403:$D$594),0))*WeekendDays)/DaysPerWeek</f>
        <v>#DIV/0!</v>
      </c>
      <c r="V672" s="11" cm="1">
        <f t="array" ref="V672">(INDEX(W$403:W$594,MATCH(1,($A672=$A$403:$A$594)*($B672=$B$403:$B$594)*("Weekday"=$D$403:$D$594),0))*Weekdays+INDEX(W$403:W$594,MATCH(1,($A672=$A$403:$A$594)*($B672=$B$403:$B$594)*("Weekend"=$D$403:$D$594),0))*WeekendDays)/DaysPerWeek</f>
        <v>1.1268781514983145E-4</v>
      </c>
      <c r="W672" s="11" cm="1">
        <f t="array" ref="W672">(INDEX(X$403:X$594,MATCH(1,($A672=$A$403:$A$594)*($B672=$B$403:$B$594)*("Weekday"=$D$403:$D$594),0))*Weekdays+INDEX(X$403:X$594,MATCH(1,($A672=$A$403:$A$594)*($B672=$B$403:$B$594)*("Weekend"=$D$403:$D$594),0))*WeekendDays)/DaysPerWeek</f>
        <v>0</v>
      </c>
      <c r="X672" s="11" cm="1">
        <f t="array" ref="X672">(INDEX(Y$403:Y$594,MATCH(1,($A672=$A$403:$A$594)*($B672=$B$403:$B$594)*("Weekday"=$D$403:$D$594),0))*Weekdays+INDEX(Y$403:Y$594,MATCH(1,($A672=$A$403:$A$594)*($B672=$B$403:$B$594)*("Weekend"=$D$403:$D$594),0))*WeekendDays)/DaysPerWeek</f>
        <v>0</v>
      </c>
      <c r="Y672" s="25" t="e">
        <f t="shared" si="425"/>
        <v>#DIV/0!</v>
      </c>
      <c r="Z672" s="32" t="e">
        <f t="shared" si="424"/>
        <v>#DIV/0!</v>
      </c>
    </row>
    <row r="673" spans="1:26" outlineLevel="1" x14ac:dyDescent="0.25">
      <c r="A673" t="s">
        <v>40</v>
      </c>
      <c r="B673" t="s">
        <v>148</v>
      </c>
      <c r="C673" s="7" t="s">
        <v>0</v>
      </c>
      <c r="D673" s="11" cm="1">
        <f t="array" ref="D673">(INDEX(E$403:E$594,MATCH(1,($A673=$A$403:$A$594)*($B673=$B$403:$B$594)*("Weekday"=$D$403:$D$594),0))*Weekdays+INDEX(E$403:E$594,MATCH(1,($A673=$A$403:$A$594)*($B673=$B$403:$B$594)*("Weekend"=$D$403:$D$594),0))*WeekendDays)/DaysPerWeek</f>
        <v>2.9622393143766293E-5</v>
      </c>
      <c r="E673" s="11" cm="1">
        <f t="array" ref="E673">(INDEX(F$403:F$594,MATCH(1,($A673=$A$403:$A$594)*($B673=$B$403:$B$594)*("Weekday"=$D$403:$D$594),0))*Weekdays+INDEX(F$403:F$594,MATCH(1,($A673=$A$403:$A$594)*($B673=$B$403:$B$594)*("Weekend"=$D$403:$D$594),0))*WeekendDays)/DaysPerWeek</f>
        <v>8.7295153955790276E-6</v>
      </c>
      <c r="F673" s="11" cm="1">
        <f t="array" ref="F673">(INDEX(G$403:G$594,MATCH(1,($A673=$A$403:$A$594)*($B673=$B$403:$B$594)*("Weekday"=$D$403:$D$594),0))*Weekdays+INDEX(G$403:G$594,MATCH(1,($A673=$A$403:$A$594)*($B673=$B$403:$B$594)*("Weekend"=$D$403:$D$594),0))*WeekendDays)/DaysPerWeek</f>
        <v>0</v>
      </c>
      <c r="G673" s="11" cm="1">
        <f t="array" ref="G673">(INDEX(H$403:H$594,MATCH(1,($A673=$A$403:$A$594)*($B673=$B$403:$B$594)*("Weekday"=$D$403:$D$594),0))*Weekdays+INDEX(H$403:H$594,MATCH(1,($A673=$A$403:$A$594)*($B673=$B$403:$B$594)*("Weekend"=$D$403:$D$594),0))*WeekendDays)/DaysPerWeek</f>
        <v>5.180550498469729E-5</v>
      </c>
      <c r="H673" s="11" cm="1">
        <f t="array" ref="H673">(INDEX(I$403:I$594,MATCH(1,($A673=$A$403:$A$594)*($B673=$B$403:$B$594)*("Weekday"=$D$403:$D$594),0))*Weekdays+INDEX(I$403:I$594,MATCH(1,($A673=$A$403:$A$594)*($B673=$B$403:$B$594)*("Weekend"=$D$403:$D$594),0))*WeekendDays)/DaysPerWeek</f>
        <v>2.9689609035722692E-5</v>
      </c>
      <c r="I673" s="11" cm="1">
        <f t="array" ref="I673">(INDEX(J$403:J$594,MATCH(1,($A673=$A$403:$A$594)*($B673=$B$403:$B$594)*("Weekday"=$D$403:$D$594),0))*Weekdays+INDEX(J$403:J$594,MATCH(1,($A673=$A$403:$A$594)*($B673=$B$403:$B$594)*("Weekend"=$D$403:$D$594),0))*WeekendDays)/DaysPerWeek</f>
        <v>2.9689609035722692E-5</v>
      </c>
      <c r="J673" s="11" cm="1">
        <f t="array" ref="J673">(INDEX(K$403:K$594,MATCH(1,($A673=$A$403:$A$594)*($B673=$B$403:$B$594)*("Weekday"=$D$403:$D$594),0))*Weekdays+INDEX(K$403:K$594,MATCH(1,($A673=$A$403:$A$594)*($B673=$B$403:$B$594)*("Weekend"=$D$403:$D$594),0))*WeekendDays)/DaysPerWeek</f>
        <v>3.690205750250692E-5</v>
      </c>
      <c r="K673" s="11" cm="1">
        <f t="array" ref="K673">(INDEX(L$403:L$594,MATCH(1,($A673=$A$403:$A$594)*($B673=$B$403:$B$594)*("Weekday"=$D$403:$D$594),0))*Weekdays+INDEX(L$403:L$594,MATCH(1,($A673=$A$403:$A$594)*($B673=$B$403:$B$594)*("Weekend"=$D$403:$D$594),0))*WeekendDays)/DaysPerWeek</f>
        <v>3.9415780016845976E-5</v>
      </c>
      <c r="L673" s="11" cm="1">
        <f t="array" ref="L673">(INDEX(M$403:M$594,MATCH(1,($A673=$A$403:$A$594)*($B673=$B$403:$B$594)*("Weekday"=$D$403:$D$594),0))*Weekdays+INDEX(M$403:M$594,MATCH(1,($A673=$A$403:$A$594)*($B673=$B$403:$B$594)*("Weekend"=$D$403:$D$594),0))*WeekendDays)/DaysPerWeek</f>
        <v>0</v>
      </c>
      <c r="M673" s="11" cm="1">
        <f t="array" ref="M673">(INDEX(N$403:N$594,MATCH(1,($A673=$A$403:$A$594)*($B673=$B$403:$B$594)*("Weekday"=$D$403:$D$594),0))*Weekdays+INDEX(N$403:N$594,MATCH(1,($A673=$A$403:$A$594)*($B673=$B$403:$B$594)*("Weekend"=$D$403:$D$594),0))*WeekendDays)/DaysPerWeek</f>
        <v>5.5202071426037032E-5</v>
      </c>
      <c r="N673" s="11" cm="1">
        <f t="array" ref="N673">(INDEX(O$403:O$594,MATCH(1,($A673=$A$403:$A$594)*($B673=$B$403:$B$594)*("Weekday"=$D$403:$D$594),0))*Weekdays+INDEX(O$403:O$594,MATCH(1,($A673=$A$403:$A$594)*($B673=$B$403:$B$594)*("Weekend"=$D$403:$D$594),0))*WeekendDays)/DaysPerWeek</f>
        <v>5.5202071426037032E-5</v>
      </c>
      <c r="O673" s="11" cm="1">
        <f t="array" ref="O673">(INDEX(P$403:P$594,MATCH(1,($A673=$A$403:$A$594)*($B673=$B$403:$B$594)*("Weekday"=$D$403:$D$594),0))*Weekdays+INDEX(P$403:P$594,MATCH(1,($A673=$A$403:$A$594)*($B673=$B$403:$B$594)*("Weekend"=$D$403:$D$594),0))*WeekendDays)/DaysPerWeek</f>
        <v>0</v>
      </c>
      <c r="P673" s="11" cm="1">
        <f t="array" ref="P673">(INDEX(Q$403:Q$594,MATCH(1,($A673=$A$403:$A$594)*($B673=$B$403:$B$594)*("Weekday"=$D$403:$D$594),0))*Weekdays+INDEX(Q$403:Q$594,MATCH(1,($A673=$A$403:$A$594)*($B673=$B$403:$B$594)*("Weekend"=$D$403:$D$594),0))*WeekendDays)/DaysPerWeek</f>
        <v>5.359658956080656E-5</v>
      </c>
      <c r="Q673" s="11" cm="1">
        <f t="array" ref="Q673">(INDEX(R$403:R$594,MATCH(1,($A673=$A$403:$A$594)*($B673=$B$403:$B$594)*("Weekday"=$D$403:$D$594),0))*Weekdays+INDEX(R$403:R$594,MATCH(1,($A673=$A$403:$A$594)*($B673=$B$403:$B$594)*("Weekend"=$D$403:$D$594),0))*WeekendDays)/DaysPerWeek</f>
        <v>5.3596589560806566E-5</v>
      </c>
      <c r="R673" s="11" cm="1">
        <f t="array" ref="R673">(INDEX(S$403:S$594,MATCH(1,($A673=$A$403:$A$594)*($B673=$B$403:$B$594)*("Weekday"=$D$403:$D$594),0))*Weekdays+INDEX(S$403:S$594,MATCH(1,($A673=$A$403:$A$594)*($B673=$B$403:$B$594)*("Weekend"=$D$403:$D$594),0))*WeekendDays)/DaysPerWeek</f>
        <v>0</v>
      </c>
      <c r="S673" s="11" cm="1">
        <f t="array" ref="S673">(INDEX(T$403:T$594,MATCH(1,($A673=$A$403:$A$594)*($B673=$B$403:$B$594)*("Weekday"=$D$403:$D$594),0))*Weekdays+INDEX(T$403:T$594,MATCH(1,($A673=$A$403:$A$594)*($B673=$B$403:$B$594)*("Weekend"=$D$403:$D$594),0))*WeekendDays)/DaysPerWeek</f>
        <v>5.3596589560806573E-5</v>
      </c>
      <c r="T673" s="11" cm="1">
        <f t="array" ref="T673">(INDEX(U$403:U$594,MATCH(1,($A673=$A$403:$A$594)*($B673=$B$403:$B$594)*("Weekday"=$D$403:$D$594),0))*Weekdays+INDEX(U$403:U$594,MATCH(1,($A673=$A$403:$A$594)*($B673=$B$403:$B$594)*("Weekend"=$D$403:$D$594),0))*WeekendDays)/DaysPerWeek</f>
        <v>0</v>
      </c>
      <c r="U673" s="11" t="e" cm="1">
        <f t="array" ref="U673">(INDEX(V$403:V$594,MATCH(1,($A673=$A$403:$A$594)*($B673=$B$403:$B$594)*("Weekday"=$D$403:$D$594),0))*Weekdays+INDEX(V$403:V$594,MATCH(1,($A673=$A$403:$A$594)*($B673=$B$403:$B$594)*("Weekend"=$D$403:$D$594),0))*WeekendDays)/DaysPerWeek</f>
        <v>#DIV/0!</v>
      </c>
      <c r="V673" s="11" cm="1">
        <f t="array" ref="V673">(INDEX(W$403:W$594,MATCH(1,($A673=$A$403:$A$594)*($B673=$B$403:$B$594)*("Weekday"=$D$403:$D$594),0))*Weekdays+INDEX(W$403:W$594,MATCH(1,($A673=$A$403:$A$594)*($B673=$B$403:$B$594)*("Weekend"=$D$403:$D$594),0))*WeekendDays)/DaysPerWeek</f>
        <v>1.1251784861114393E-4</v>
      </c>
      <c r="W673" s="11" cm="1">
        <f t="array" ref="W673">(INDEX(X$403:X$594,MATCH(1,($A673=$A$403:$A$594)*($B673=$B$403:$B$594)*("Weekday"=$D$403:$D$594),0))*Weekdays+INDEX(X$403:X$594,MATCH(1,($A673=$A$403:$A$594)*($B673=$B$403:$B$594)*("Weekend"=$D$403:$D$594),0))*WeekendDays)/DaysPerWeek</f>
        <v>0</v>
      </c>
      <c r="X673" s="11" cm="1">
        <f t="array" ref="X673">(INDEX(Y$403:Y$594,MATCH(1,($A673=$A$403:$A$594)*($B673=$B$403:$B$594)*("Weekday"=$D$403:$D$594),0))*Weekdays+INDEX(Y$403:Y$594,MATCH(1,($A673=$A$403:$A$594)*($B673=$B$403:$B$594)*("Weekend"=$D$403:$D$594),0))*WeekendDays)/DaysPerWeek</f>
        <v>0</v>
      </c>
      <c r="Y673" s="25" t="e">
        <f t="shared" si="425"/>
        <v>#DIV/0!</v>
      </c>
      <c r="Z673" s="32" t="e">
        <f t="shared" si="424"/>
        <v>#DIV/0!</v>
      </c>
    </row>
    <row r="674" spans="1:26" outlineLevel="1" x14ac:dyDescent="0.25">
      <c r="A674" t="s">
        <v>40</v>
      </c>
      <c r="B674" t="s">
        <v>149</v>
      </c>
      <c r="C674" s="7" t="s">
        <v>1</v>
      </c>
      <c r="D674" s="11" cm="1">
        <f t="array" ref="D674">(INDEX(E$403:E$594,MATCH(1,($A674=$A$403:$A$594)*($B674=$B$403:$B$594)*("Weekday"=$D$403:$D$594),0))*Weekdays+INDEX(E$403:E$594,MATCH(1,($A674=$A$403:$A$594)*($B674=$B$403:$B$594)*("Weekend"=$D$403:$D$594),0))*WeekendDays)/DaysPerWeek</f>
        <v>2.9694910896311505E-5</v>
      </c>
      <c r="E674" s="11" cm="1">
        <f t="array" ref="E674">(INDEX(F$403:F$594,MATCH(1,($A674=$A$403:$A$594)*($B674=$B$403:$B$594)*("Weekday"=$D$403:$D$594),0))*Weekdays+INDEX(F$403:F$594,MATCH(1,($A674=$A$403:$A$594)*($B674=$B$403:$B$594)*("Weekend"=$D$403:$D$594),0))*WeekendDays)/DaysPerWeek</f>
        <v>8.4468178593414219E-6</v>
      </c>
      <c r="F674" s="11" cm="1">
        <f t="array" ref="F674">(INDEX(G$403:G$594,MATCH(1,($A674=$A$403:$A$594)*($B674=$B$403:$B$594)*("Weekday"=$D$403:$D$594),0))*Weekdays+INDEX(G$403:G$594,MATCH(1,($A674=$A$403:$A$594)*($B674=$B$403:$B$594)*("Weekend"=$D$403:$D$594),0))*WeekendDays)/DaysPerWeek</f>
        <v>0</v>
      </c>
      <c r="G674" s="11" cm="1">
        <f t="array" ref="G674">(INDEX(H$403:H$594,MATCH(1,($A674=$A$403:$A$594)*($B674=$B$403:$B$594)*("Weekday"=$D$403:$D$594),0))*Weekdays+INDEX(H$403:H$594,MATCH(1,($A674=$A$403:$A$594)*($B674=$B$403:$B$594)*("Weekend"=$D$403:$D$594),0))*WeekendDays)/DaysPerWeek</f>
        <v>5.0917400139667379E-5</v>
      </c>
      <c r="H674" s="11" cm="1">
        <f t="array" ref="H674">(INDEX(I$403:I$594,MATCH(1,($A674=$A$403:$A$594)*($B674=$B$403:$B$594)*("Weekday"=$D$403:$D$594),0))*Weekdays+INDEX(I$403:I$594,MATCH(1,($A674=$A$403:$A$594)*($B674=$B$403:$B$594)*("Weekend"=$D$403:$D$594),0))*WeekendDays)/DaysPerWeek</f>
        <v>2.5974627971475088E-5</v>
      </c>
      <c r="I674" s="11" cm="1">
        <f t="array" ref="I674">(INDEX(J$403:J$594,MATCH(1,($A674=$A$403:$A$594)*($B674=$B$403:$B$594)*("Weekday"=$D$403:$D$594),0))*Weekdays+INDEX(J$403:J$594,MATCH(1,($A674=$A$403:$A$594)*($B674=$B$403:$B$594)*("Weekend"=$D$403:$D$594),0))*WeekendDays)/DaysPerWeek</f>
        <v>2.5974627971475088E-5</v>
      </c>
      <c r="J674" s="11" cm="1">
        <f t="array" ref="J674">(INDEX(K$403:K$594,MATCH(1,($A674=$A$403:$A$594)*($B674=$B$403:$B$594)*("Weekday"=$D$403:$D$594),0))*Weekdays+INDEX(K$403:K$594,MATCH(1,($A674=$A$403:$A$594)*($B674=$B$403:$B$594)*("Weekend"=$D$403:$D$594),0))*WeekendDays)/DaysPerWeek</f>
        <v>3.7312263096104477E-5</v>
      </c>
      <c r="K674" s="11" cm="1">
        <f t="array" ref="K674">(INDEX(L$403:L$594,MATCH(1,($A674=$A$403:$A$594)*($B674=$B$403:$B$594)*("Weekday"=$D$403:$D$594),0))*Weekdays+INDEX(L$403:L$594,MATCH(1,($A674=$A$403:$A$594)*($B674=$B$403:$B$594)*("Weekend"=$D$403:$D$594),0))*WeekendDays)/DaysPerWeek</f>
        <v>3.8600034517832172E-5</v>
      </c>
      <c r="L674" s="11" cm="1">
        <f t="array" ref="L674">(INDEX(M$403:M$594,MATCH(1,($A674=$A$403:$A$594)*($B674=$B$403:$B$594)*("Weekday"=$D$403:$D$594),0))*Weekdays+INDEX(M$403:M$594,MATCH(1,($A674=$A$403:$A$594)*($B674=$B$403:$B$594)*("Weekend"=$D$403:$D$594),0))*WeekendDays)/DaysPerWeek</f>
        <v>0</v>
      </c>
      <c r="M674" s="11" cm="1">
        <f t="array" ref="M674">(INDEX(N$403:N$594,MATCH(1,($A674=$A$403:$A$594)*($B674=$B$403:$B$594)*("Weekday"=$D$403:$D$594),0))*Weekdays+INDEX(N$403:N$594,MATCH(1,($A674=$A$403:$A$594)*($B674=$B$403:$B$594)*("Weekend"=$D$403:$D$594),0))*WeekendDays)/DaysPerWeek</f>
        <v>5.475993233232048E-5</v>
      </c>
      <c r="N674" s="11" cm="1">
        <f t="array" ref="N674">(INDEX(O$403:O$594,MATCH(1,($A674=$A$403:$A$594)*($B674=$B$403:$B$594)*("Weekday"=$D$403:$D$594),0))*Weekdays+INDEX(O$403:O$594,MATCH(1,($A674=$A$403:$A$594)*($B674=$B$403:$B$594)*("Weekend"=$D$403:$D$594),0))*WeekendDays)/DaysPerWeek</f>
        <v>5.475993233232048E-5</v>
      </c>
      <c r="O674" s="11" cm="1">
        <f t="array" ref="O674">(INDEX(P$403:P$594,MATCH(1,($A674=$A$403:$A$594)*($B674=$B$403:$B$594)*("Weekday"=$D$403:$D$594),0))*Weekdays+INDEX(P$403:P$594,MATCH(1,($A674=$A$403:$A$594)*($B674=$B$403:$B$594)*("Weekend"=$D$403:$D$594),0))*WeekendDays)/DaysPerWeek</f>
        <v>0</v>
      </c>
      <c r="P674" s="11" cm="1">
        <f t="array" ref="P674">(INDEX(Q$403:Q$594,MATCH(1,($A674=$A$403:$A$594)*($B674=$B$403:$B$594)*("Weekday"=$D$403:$D$594),0))*Weekdays+INDEX(Q$403:Q$594,MATCH(1,($A674=$A$403:$A$594)*($B674=$B$403:$B$594)*("Weekend"=$D$403:$D$594),0))*WeekendDays)/DaysPerWeek</f>
        <v>5.3201546047528646E-5</v>
      </c>
      <c r="Q674" s="11" cm="1">
        <f t="array" ref="Q674">(INDEX(R$403:R$594,MATCH(1,($A674=$A$403:$A$594)*($B674=$B$403:$B$594)*("Weekday"=$D$403:$D$594),0))*Weekdays+INDEX(R$403:R$594,MATCH(1,($A674=$A$403:$A$594)*($B674=$B$403:$B$594)*("Weekend"=$D$403:$D$594),0))*WeekendDays)/DaysPerWeek</f>
        <v>5.320154604752866E-5</v>
      </c>
      <c r="R674" s="11" cm="1">
        <f t="array" ref="R674">(INDEX(S$403:S$594,MATCH(1,($A674=$A$403:$A$594)*($B674=$B$403:$B$594)*("Weekday"=$D$403:$D$594),0))*Weekdays+INDEX(S$403:S$594,MATCH(1,($A674=$A$403:$A$594)*($B674=$B$403:$B$594)*("Weekend"=$D$403:$D$594),0))*WeekendDays)/DaysPerWeek</f>
        <v>0</v>
      </c>
      <c r="S674" s="11" cm="1">
        <f t="array" ref="S674">(INDEX(T$403:T$594,MATCH(1,($A674=$A$403:$A$594)*($B674=$B$403:$B$594)*("Weekday"=$D$403:$D$594),0))*Weekdays+INDEX(T$403:T$594,MATCH(1,($A674=$A$403:$A$594)*($B674=$B$403:$B$594)*("Weekend"=$D$403:$D$594),0))*WeekendDays)/DaysPerWeek</f>
        <v>5.320154604752866E-5</v>
      </c>
      <c r="T674" s="11" cm="1">
        <f t="array" ref="T674">(INDEX(U$403:U$594,MATCH(1,($A674=$A$403:$A$594)*($B674=$B$403:$B$594)*("Weekday"=$D$403:$D$594),0))*Weekdays+INDEX(U$403:U$594,MATCH(1,($A674=$A$403:$A$594)*($B674=$B$403:$B$594)*("Weekend"=$D$403:$D$594),0))*WeekendDays)/DaysPerWeek</f>
        <v>0</v>
      </c>
      <c r="U674" s="11" t="e" cm="1">
        <f t="array" ref="U674">(INDEX(V$403:V$594,MATCH(1,($A674=$A$403:$A$594)*($B674=$B$403:$B$594)*("Weekday"=$D$403:$D$594),0))*Weekdays+INDEX(V$403:V$594,MATCH(1,($A674=$A$403:$A$594)*($B674=$B$403:$B$594)*("Weekend"=$D$403:$D$594),0))*WeekendDays)/DaysPerWeek</f>
        <v>#DIV/0!</v>
      </c>
      <c r="V674" s="11" cm="1">
        <f t="array" ref="V674">(INDEX(W$403:W$594,MATCH(1,($A674=$A$403:$A$594)*($B674=$B$403:$B$594)*("Weekday"=$D$403:$D$594),0))*Weekdays+INDEX(W$403:W$594,MATCH(1,($A674=$A$403:$A$594)*($B674=$B$403:$B$594)*("Weekend"=$D$403:$D$594),0))*WeekendDays)/DaysPerWeek</f>
        <v>1.1246119309824809E-4</v>
      </c>
      <c r="W674" s="11" cm="1">
        <f t="array" ref="W674">(INDEX(X$403:X$594,MATCH(1,($A674=$A$403:$A$594)*($B674=$B$403:$B$594)*("Weekday"=$D$403:$D$594),0))*Weekdays+INDEX(X$403:X$594,MATCH(1,($A674=$A$403:$A$594)*($B674=$B$403:$B$594)*("Weekend"=$D$403:$D$594),0))*WeekendDays)/DaysPerWeek</f>
        <v>0</v>
      </c>
      <c r="X674" s="11" cm="1">
        <f t="array" ref="X674">(INDEX(Y$403:Y$594,MATCH(1,($A674=$A$403:$A$594)*($B674=$B$403:$B$594)*("Weekday"=$D$403:$D$594),0))*Weekdays+INDEX(Y$403:Y$594,MATCH(1,($A674=$A$403:$A$594)*($B674=$B$403:$B$594)*("Weekend"=$D$403:$D$594),0))*WeekendDays)/DaysPerWeek</f>
        <v>0</v>
      </c>
      <c r="Y674" s="25" t="e">
        <f t="shared" si="425"/>
        <v>#DIV/0!</v>
      </c>
      <c r="Z674" s="32" t="e">
        <f t="shared" si="424"/>
        <v>#DIV/0!</v>
      </c>
    </row>
    <row r="675" spans="1:26" outlineLevel="1" x14ac:dyDescent="0.25">
      <c r="A675" t="s">
        <v>40</v>
      </c>
      <c r="B675" t="s">
        <v>150</v>
      </c>
      <c r="C675" s="7" t="s">
        <v>2</v>
      </c>
      <c r="D675" s="11" cm="1">
        <f t="array" ref="D675">(INDEX(E$403:E$594,MATCH(1,($A675=$A$403:$A$594)*($B675=$B$403:$B$594)*("Weekday"=$D$403:$D$594),0))*Weekdays+INDEX(E$403:E$594,MATCH(1,($A675=$A$403:$A$594)*($B675=$B$403:$B$594)*("Weekend"=$D$403:$D$594),0))*WeekendDays)/DaysPerWeek</f>
        <v>2.9622393143766293E-5</v>
      </c>
      <c r="E675" s="11" cm="1">
        <f t="array" ref="E675">(INDEX(F$403:F$594,MATCH(1,($A675=$A$403:$A$594)*($B675=$B$403:$B$594)*("Weekday"=$D$403:$D$594),0))*Weekdays+INDEX(F$403:F$594,MATCH(1,($A675=$A$403:$A$594)*($B675=$B$403:$B$594)*("Weekend"=$D$403:$D$594),0))*WeekendDays)/DaysPerWeek</f>
        <v>8.7964063339476784E-6</v>
      </c>
      <c r="F675" s="11" cm="1">
        <f t="array" ref="F675">(INDEX(G$403:G$594,MATCH(1,($A675=$A$403:$A$594)*($B675=$B$403:$B$594)*("Weekday"=$D$403:$D$594),0))*Weekdays+INDEX(G$403:G$594,MATCH(1,($A675=$A$403:$A$594)*($B675=$B$403:$B$594)*("Weekend"=$D$403:$D$594),0))*WeekendDays)/DaysPerWeek</f>
        <v>0</v>
      </c>
      <c r="G675" s="11" cm="1">
        <f t="array" ref="G675">(INDEX(H$403:H$594,MATCH(1,($A675=$A$403:$A$594)*($B675=$B$403:$B$594)*("Weekday"=$D$403:$D$594),0))*Weekdays+INDEX(H$403:H$594,MATCH(1,($A675=$A$403:$A$594)*($B675=$B$403:$B$594)*("Weekend"=$D$403:$D$594),0))*WeekendDays)/DaysPerWeek</f>
        <v>5.1694486834317708E-5</v>
      </c>
      <c r="H675" s="11" cm="1">
        <f t="array" ref="H675">(INDEX(I$403:I$594,MATCH(1,($A675=$A$403:$A$594)*($B675=$B$403:$B$594)*("Weekday"=$D$403:$D$594),0))*Weekdays+INDEX(I$403:I$594,MATCH(1,($A675=$A$403:$A$594)*($B675=$B$403:$B$594)*("Weekend"=$D$403:$D$594),0))*WeekendDays)/DaysPerWeek</f>
        <v>2.4829435859269635E-5</v>
      </c>
      <c r="I675" s="11" cm="1">
        <f t="array" ref="I675">(INDEX(J$403:J$594,MATCH(1,($A675=$A$403:$A$594)*($B675=$B$403:$B$594)*("Weekday"=$D$403:$D$594),0))*Weekdays+INDEX(J$403:J$594,MATCH(1,($A675=$A$403:$A$594)*($B675=$B$403:$B$594)*("Weekend"=$D$403:$D$594),0))*WeekendDays)/DaysPerWeek</f>
        <v>2.4829435859269635E-5</v>
      </c>
      <c r="J675" s="11" cm="1">
        <f t="array" ref="J675">(INDEX(K$403:K$594,MATCH(1,($A675=$A$403:$A$594)*($B675=$B$403:$B$594)*("Weekday"=$D$403:$D$594),0))*Weekdays+INDEX(K$403:K$594,MATCH(1,($A675=$A$403:$A$594)*($B675=$B$403:$B$594)*("Weekend"=$D$403:$D$594),0))*WeekendDays)/DaysPerWeek</f>
        <v>3.7913200238297576E-5</v>
      </c>
      <c r="K675" s="11" cm="1">
        <f t="array" ref="K675">(INDEX(L$403:L$594,MATCH(1,($A675=$A$403:$A$594)*($B675=$B$403:$B$594)*("Weekday"=$D$403:$D$594),0))*Weekdays+INDEX(L$403:L$594,MATCH(1,($A675=$A$403:$A$594)*($B675=$B$403:$B$594)*("Weekend"=$D$403:$D$594),0))*WeekendDays)/DaysPerWeek</f>
        <v>3.8240881204346952E-5</v>
      </c>
      <c r="L675" s="11" cm="1">
        <f t="array" ref="L675">(INDEX(M$403:M$594,MATCH(1,($A675=$A$403:$A$594)*($B675=$B$403:$B$594)*("Weekday"=$D$403:$D$594),0))*Weekdays+INDEX(M$403:M$594,MATCH(1,($A675=$A$403:$A$594)*($B675=$B$403:$B$594)*("Weekend"=$D$403:$D$594),0))*WeekendDays)/DaysPerWeek</f>
        <v>0</v>
      </c>
      <c r="M675" s="11" cm="1">
        <f t="array" ref="M675">(INDEX(N$403:N$594,MATCH(1,($A675=$A$403:$A$594)*($B675=$B$403:$B$594)*("Weekday"=$D$403:$D$594),0))*Weekdays+INDEX(N$403:N$594,MATCH(1,($A675=$A$403:$A$594)*($B675=$B$403:$B$594)*("Weekend"=$D$403:$D$594),0))*WeekendDays)/DaysPerWeek</f>
        <v>5.6625573488327282E-5</v>
      </c>
      <c r="N675" s="11" cm="1">
        <f t="array" ref="N675">(INDEX(O$403:O$594,MATCH(1,($A675=$A$403:$A$594)*($B675=$B$403:$B$594)*("Weekday"=$D$403:$D$594),0))*Weekdays+INDEX(O$403:O$594,MATCH(1,($A675=$A$403:$A$594)*($B675=$B$403:$B$594)*("Weekend"=$D$403:$D$594),0))*WeekendDays)/DaysPerWeek</f>
        <v>5.6625573488327282E-5</v>
      </c>
      <c r="O675" s="11" cm="1">
        <f t="array" ref="O675">(INDEX(P$403:P$594,MATCH(1,($A675=$A$403:$A$594)*($B675=$B$403:$B$594)*("Weekday"=$D$403:$D$594),0))*Weekdays+INDEX(P$403:P$594,MATCH(1,($A675=$A$403:$A$594)*($B675=$B$403:$B$594)*("Weekend"=$D$403:$D$594),0))*WeekendDays)/DaysPerWeek</f>
        <v>0</v>
      </c>
      <c r="P675" s="11" cm="1">
        <f t="array" ref="P675">(INDEX(Q$403:Q$594,MATCH(1,($A675=$A$403:$A$594)*($B675=$B$403:$B$594)*("Weekday"=$D$403:$D$594),0))*Weekdays+INDEX(Q$403:Q$594,MATCH(1,($A675=$A$403:$A$594)*($B675=$B$403:$B$594)*("Weekend"=$D$403:$D$594),0))*WeekendDays)/DaysPerWeek</f>
        <v>5.3322094044311288E-5</v>
      </c>
      <c r="Q675" s="11" cm="1">
        <f t="array" ref="Q675">(INDEX(R$403:R$594,MATCH(1,($A675=$A$403:$A$594)*($B675=$B$403:$B$594)*("Weekday"=$D$403:$D$594),0))*Weekdays+INDEX(R$403:R$594,MATCH(1,($A675=$A$403:$A$594)*($B675=$B$403:$B$594)*("Weekend"=$D$403:$D$594),0))*WeekendDays)/DaysPerWeek</f>
        <v>5.3322094044311301E-5</v>
      </c>
      <c r="R675" s="11" cm="1">
        <f t="array" ref="R675">(INDEX(S$403:S$594,MATCH(1,($A675=$A$403:$A$594)*($B675=$B$403:$B$594)*("Weekday"=$D$403:$D$594),0))*Weekdays+INDEX(S$403:S$594,MATCH(1,($A675=$A$403:$A$594)*($B675=$B$403:$B$594)*("Weekend"=$D$403:$D$594),0))*WeekendDays)/DaysPerWeek</f>
        <v>0</v>
      </c>
      <c r="S675" s="11" cm="1">
        <f t="array" ref="S675">(INDEX(T$403:T$594,MATCH(1,($A675=$A$403:$A$594)*($B675=$B$403:$B$594)*("Weekday"=$D$403:$D$594),0))*Weekdays+INDEX(T$403:T$594,MATCH(1,($A675=$A$403:$A$594)*($B675=$B$403:$B$594)*("Weekend"=$D$403:$D$594),0))*WeekendDays)/DaysPerWeek</f>
        <v>5.3322094044311301E-5</v>
      </c>
      <c r="T675" s="11" cm="1">
        <f t="array" ref="T675">(INDEX(U$403:U$594,MATCH(1,($A675=$A$403:$A$594)*($B675=$B$403:$B$594)*("Weekday"=$D$403:$D$594),0))*Weekdays+INDEX(U$403:U$594,MATCH(1,($A675=$A$403:$A$594)*($B675=$B$403:$B$594)*("Weekend"=$D$403:$D$594),0))*WeekendDays)/DaysPerWeek</f>
        <v>0</v>
      </c>
      <c r="U675" s="11" t="e" cm="1">
        <f t="array" ref="U675">(INDEX(V$403:V$594,MATCH(1,($A675=$A$403:$A$594)*($B675=$B$403:$B$594)*("Weekday"=$D$403:$D$594),0))*Weekdays+INDEX(V$403:V$594,MATCH(1,($A675=$A$403:$A$594)*($B675=$B$403:$B$594)*("Weekend"=$D$403:$D$594),0))*WeekendDays)/DaysPerWeek</f>
        <v>#DIV/0!</v>
      </c>
      <c r="V675" s="11" cm="1">
        <f t="array" ref="V675">(INDEX(W$403:W$594,MATCH(1,($A675=$A$403:$A$594)*($B675=$B$403:$B$594)*("Weekday"=$D$403:$D$594),0))*Weekdays+INDEX(W$403:W$594,MATCH(1,($A675=$A$403:$A$594)*($B675=$B$403:$B$594)*("Weekend"=$D$403:$D$594),0))*WeekendDays)/DaysPerWeek</f>
        <v>1.1263115963693561E-4</v>
      </c>
      <c r="W675" s="11" cm="1">
        <f t="array" ref="W675">(INDEX(X$403:X$594,MATCH(1,($A675=$A$403:$A$594)*($B675=$B$403:$B$594)*("Weekday"=$D$403:$D$594),0))*Weekdays+INDEX(X$403:X$594,MATCH(1,($A675=$A$403:$A$594)*($B675=$B$403:$B$594)*("Weekend"=$D$403:$D$594),0))*WeekendDays)/DaysPerWeek</f>
        <v>0</v>
      </c>
      <c r="X675" s="11" cm="1">
        <f t="array" ref="X675">(INDEX(Y$403:Y$594,MATCH(1,($A675=$A$403:$A$594)*($B675=$B$403:$B$594)*("Weekday"=$D$403:$D$594),0))*Weekdays+INDEX(Y$403:Y$594,MATCH(1,($A675=$A$403:$A$594)*($B675=$B$403:$B$594)*("Weekend"=$D$403:$D$594),0))*WeekendDays)/DaysPerWeek</f>
        <v>0</v>
      </c>
      <c r="Y675" s="25" t="e">
        <f t="shared" si="425"/>
        <v>#DIV/0!</v>
      </c>
      <c r="Z675" s="32" t="e">
        <f t="shared" si="424"/>
        <v>#DIV/0!</v>
      </c>
    </row>
    <row r="676" spans="1:26" outlineLevel="1" x14ac:dyDescent="0.25">
      <c r="A676" t="s">
        <v>40</v>
      </c>
      <c r="B676" t="s">
        <v>151</v>
      </c>
      <c r="C676" s="7" t="s">
        <v>3</v>
      </c>
      <c r="D676" s="11" cm="1">
        <f t="array" ref="D676">(INDEX(E$403:E$594,MATCH(1,($A676=$A$403:$A$594)*($B676=$B$403:$B$594)*("Weekday"=$D$403:$D$594),0))*Weekdays+INDEX(E$403:E$594,MATCH(1,($A676=$A$403:$A$594)*($B676=$B$403:$B$594)*("Weekend"=$D$403:$D$594),0))*WeekendDays)/DaysPerWeek</f>
        <v>2.9622393143766293E-5</v>
      </c>
      <c r="E676" s="11" cm="1">
        <f t="array" ref="E676">(INDEX(F$403:F$594,MATCH(1,($A676=$A$403:$A$594)*($B676=$B$403:$B$594)*("Weekday"=$D$403:$D$594),0))*Weekdays+INDEX(F$403:F$594,MATCH(1,($A676=$A$403:$A$594)*($B676=$B$403:$B$594)*("Weekend"=$D$403:$D$594),0))*WeekendDays)/DaysPerWeek</f>
        <v>9.6255602579929987E-6</v>
      </c>
      <c r="F676" s="11" cm="1">
        <f t="array" ref="F676">(INDEX(G$403:G$594,MATCH(1,($A676=$A$403:$A$594)*($B676=$B$403:$B$594)*("Weekday"=$D$403:$D$594),0))*Weekdays+INDEX(G$403:G$594,MATCH(1,($A676=$A$403:$A$594)*($B676=$B$403:$B$594)*("Weekend"=$D$403:$D$594),0))*WeekendDays)/DaysPerWeek</f>
        <v>0</v>
      </c>
      <c r="G676" s="11" cm="1">
        <f t="array" ref="G676">(INDEX(H$403:H$594,MATCH(1,($A676=$A$403:$A$594)*($B676=$B$403:$B$594)*("Weekday"=$D$403:$D$594),0))*Weekdays+INDEX(H$403:H$594,MATCH(1,($A676=$A$403:$A$594)*($B676=$B$403:$B$594)*("Weekend"=$D$403:$D$594),0))*WeekendDays)/DaysPerWeek</f>
        <v>6.2221634123912139E-5</v>
      </c>
      <c r="H676" s="11" cm="1">
        <f t="array" ref="H676">(INDEX(I$403:I$594,MATCH(1,($A676=$A$403:$A$594)*($B676=$B$403:$B$594)*("Weekday"=$D$403:$D$594),0))*Weekdays+INDEX(I$403:I$594,MATCH(1,($A676=$A$403:$A$594)*($B676=$B$403:$B$594)*("Weekend"=$D$403:$D$594),0))*WeekendDays)/DaysPerWeek</f>
        <v>3.1030284742861423E-5</v>
      </c>
      <c r="I676" s="11" cm="1">
        <f t="array" ref="I676">(INDEX(J$403:J$594,MATCH(1,($A676=$A$403:$A$594)*($B676=$B$403:$B$594)*("Weekday"=$D$403:$D$594),0))*Weekdays+INDEX(J$403:J$594,MATCH(1,($A676=$A$403:$A$594)*($B676=$B$403:$B$594)*("Weekend"=$D$403:$D$594),0))*WeekendDays)/DaysPerWeek</f>
        <v>3.1030284742861423E-5</v>
      </c>
      <c r="J676" s="11" cm="1">
        <f t="array" ref="J676">(INDEX(K$403:K$594,MATCH(1,($A676=$A$403:$A$594)*($B676=$B$403:$B$594)*("Weekday"=$D$403:$D$594),0))*Weekdays+INDEX(K$403:K$594,MATCH(1,($A676=$A$403:$A$594)*($B676=$B$403:$B$594)*("Weekend"=$D$403:$D$594),0))*WeekendDays)/DaysPerWeek</f>
        <v>3.69214223644408E-5</v>
      </c>
      <c r="K676" s="11" cm="1">
        <f t="array" ref="K676">(INDEX(L$403:L$594,MATCH(1,($A676=$A$403:$A$594)*($B676=$B$403:$B$594)*("Weekday"=$D$403:$D$594),0))*Weekdays+INDEX(L$403:L$594,MATCH(1,($A676=$A$403:$A$594)*($B676=$B$403:$B$594)*("Weekend"=$D$403:$D$594),0))*WeekendDays)/DaysPerWeek</f>
        <v>3.8288573902476814E-5</v>
      </c>
      <c r="L676" s="11" cm="1">
        <f t="array" ref="L676">(INDEX(M$403:M$594,MATCH(1,($A676=$A$403:$A$594)*($B676=$B$403:$B$594)*("Weekday"=$D$403:$D$594),0))*Weekdays+INDEX(M$403:M$594,MATCH(1,($A676=$A$403:$A$594)*($B676=$B$403:$B$594)*("Weekend"=$D$403:$D$594),0))*WeekendDays)/DaysPerWeek</f>
        <v>0</v>
      </c>
      <c r="M676" s="11" cm="1">
        <f t="array" ref="M676">(INDEX(N$403:N$594,MATCH(1,($A676=$A$403:$A$594)*($B676=$B$403:$B$594)*("Weekday"=$D$403:$D$594),0))*Weekdays+INDEX(N$403:N$594,MATCH(1,($A676=$A$403:$A$594)*($B676=$B$403:$B$594)*("Weekend"=$D$403:$D$594),0))*WeekendDays)/DaysPerWeek</f>
        <v>5.9206543349629689E-5</v>
      </c>
      <c r="N676" s="11" cm="1">
        <f t="array" ref="N676">(INDEX(O$403:O$594,MATCH(1,($A676=$A$403:$A$594)*($B676=$B$403:$B$594)*("Weekday"=$D$403:$D$594),0))*Weekdays+INDEX(O$403:O$594,MATCH(1,($A676=$A$403:$A$594)*($B676=$B$403:$B$594)*("Weekend"=$D$403:$D$594),0))*WeekendDays)/DaysPerWeek</f>
        <v>5.9206543349629689E-5</v>
      </c>
      <c r="O676" s="11" cm="1">
        <f t="array" ref="O676">(INDEX(P$403:P$594,MATCH(1,($A676=$A$403:$A$594)*($B676=$B$403:$B$594)*("Weekday"=$D$403:$D$594),0))*Weekdays+INDEX(P$403:P$594,MATCH(1,($A676=$A$403:$A$594)*($B676=$B$403:$B$594)*("Weekend"=$D$403:$D$594),0))*WeekendDays)/DaysPerWeek</f>
        <v>0</v>
      </c>
      <c r="P676" s="11" cm="1">
        <f t="array" ref="P676">(INDEX(Q$403:Q$594,MATCH(1,($A676=$A$403:$A$594)*($B676=$B$403:$B$594)*("Weekday"=$D$403:$D$594),0))*Weekdays+INDEX(Q$403:Q$594,MATCH(1,($A676=$A$403:$A$594)*($B676=$B$403:$B$594)*("Weekend"=$D$403:$D$594),0))*WeekendDays)/DaysPerWeek</f>
        <v>5.3102708116517274E-5</v>
      </c>
      <c r="Q676" s="11" cm="1">
        <f t="array" ref="Q676">(INDEX(R$403:R$594,MATCH(1,($A676=$A$403:$A$594)*($B676=$B$403:$B$594)*("Weekday"=$D$403:$D$594),0))*Weekdays+INDEX(R$403:R$594,MATCH(1,($A676=$A$403:$A$594)*($B676=$B$403:$B$594)*("Weekend"=$D$403:$D$594),0))*WeekendDays)/DaysPerWeek</f>
        <v>5.3102708116517301E-5</v>
      </c>
      <c r="R676" s="11" cm="1">
        <f t="array" ref="R676">(INDEX(S$403:S$594,MATCH(1,($A676=$A$403:$A$594)*($B676=$B$403:$B$594)*("Weekday"=$D$403:$D$594),0))*Weekdays+INDEX(S$403:S$594,MATCH(1,($A676=$A$403:$A$594)*($B676=$B$403:$B$594)*("Weekend"=$D$403:$D$594),0))*WeekendDays)/DaysPerWeek</f>
        <v>0</v>
      </c>
      <c r="S676" s="11" cm="1">
        <f t="array" ref="S676">(INDEX(T$403:T$594,MATCH(1,($A676=$A$403:$A$594)*($B676=$B$403:$B$594)*("Weekday"=$D$403:$D$594),0))*Weekdays+INDEX(T$403:T$594,MATCH(1,($A676=$A$403:$A$594)*($B676=$B$403:$B$594)*("Weekend"=$D$403:$D$594),0))*WeekendDays)/DaysPerWeek</f>
        <v>5.3102708116517308E-5</v>
      </c>
      <c r="T676" s="11" cm="1">
        <f t="array" ref="T676">(INDEX(U$403:U$594,MATCH(1,($A676=$A$403:$A$594)*($B676=$B$403:$B$594)*("Weekday"=$D$403:$D$594),0))*Weekdays+INDEX(U$403:U$594,MATCH(1,($A676=$A$403:$A$594)*($B676=$B$403:$B$594)*("Weekend"=$D$403:$D$594),0))*WeekendDays)/DaysPerWeek</f>
        <v>0</v>
      </c>
      <c r="U676" s="11" t="e" cm="1">
        <f t="array" ref="U676">(INDEX(V$403:V$594,MATCH(1,($A676=$A$403:$A$594)*($B676=$B$403:$B$594)*("Weekday"=$D$403:$D$594),0))*Weekdays+INDEX(V$403:V$594,MATCH(1,($A676=$A$403:$A$594)*($B676=$B$403:$B$594)*("Weekend"=$D$403:$D$594),0))*WeekendDays)/DaysPerWeek</f>
        <v>#DIV/0!</v>
      </c>
      <c r="V676" s="11" cm="1">
        <f t="array" ref="V676">(INDEX(W$403:W$594,MATCH(1,($A676=$A$403:$A$594)*($B676=$B$403:$B$594)*("Weekday"=$D$403:$D$594),0))*Weekdays+INDEX(W$403:W$594,MATCH(1,($A676=$A$403:$A$594)*($B676=$B$403:$B$594)*("Weekend"=$D$403:$D$594),0))*WeekendDays)/DaysPerWeek</f>
        <v>1.1314105925299821E-4</v>
      </c>
      <c r="W676" s="11" cm="1">
        <f t="array" ref="W676">(INDEX(X$403:X$594,MATCH(1,($A676=$A$403:$A$594)*($B676=$B$403:$B$594)*("Weekday"=$D$403:$D$594),0))*Weekdays+INDEX(X$403:X$594,MATCH(1,($A676=$A$403:$A$594)*($B676=$B$403:$B$594)*("Weekend"=$D$403:$D$594),0))*WeekendDays)/DaysPerWeek</f>
        <v>0</v>
      </c>
      <c r="X676" s="11" cm="1">
        <f t="array" ref="X676">(INDEX(Y$403:Y$594,MATCH(1,($A676=$A$403:$A$594)*($B676=$B$403:$B$594)*("Weekday"=$D$403:$D$594),0))*Weekdays+INDEX(Y$403:Y$594,MATCH(1,($A676=$A$403:$A$594)*($B676=$B$403:$B$594)*("Weekend"=$D$403:$D$594),0))*WeekendDays)/DaysPerWeek</f>
        <v>0</v>
      </c>
      <c r="Y676" s="25" t="e">
        <f t="shared" si="425"/>
        <v>#DIV/0!</v>
      </c>
      <c r="Z676" s="32" t="e">
        <f t="shared" si="424"/>
        <v>#DIV/0!</v>
      </c>
    </row>
    <row r="677" spans="1:26" outlineLevel="1" x14ac:dyDescent="0.25">
      <c r="A677" t="s">
        <v>40</v>
      </c>
      <c r="B677" t="s">
        <v>152</v>
      </c>
      <c r="C677" s="7" t="s">
        <v>4</v>
      </c>
      <c r="D677" s="11" cm="1">
        <f t="array" ref="D677">(INDEX(E$403:E$594,MATCH(1,($A677=$A$403:$A$594)*($B677=$B$403:$B$594)*("Weekday"=$D$403:$D$594),0))*Weekdays+INDEX(E$403:E$594,MATCH(1,($A677=$A$403:$A$594)*($B677=$B$403:$B$594)*("Weekend"=$D$403:$D$594),0))*WeekendDays)/DaysPerWeek</f>
        <v>4.2418771538016865E-5</v>
      </c>
      <c r="E677" s="11" cm="1">
        <f t="array" ref="E677">(INDEX(F$403:F$594,MATCH(1,($A677=$A$403:$A$594)*($B677=$B$403:$B$594)*("Weekday"=$D$403:$D$594),0))*Weekdays+INDEX(F$403:F$594,MATCH(1,($A677=$A$403:$A$594)*($B677=$B$403:$B$594)*("Weekend"=$D$403:$D$594),0))*WeekendDays)/DaysPerWeek</f>
        <v>1.1398811427150938E-5</v>
      </c>
      <c r="F677" s="11" cm="1">
        <f t="array" ref="F677">(INDEX(G$403:G$594,MATCH(1,($A677=$A$403:$A$594)*($B677=$B$403:$B$594)*("Weekday"=$D$403:$D$594),0))*Weekdays+INDEX(G$403:G$594,MATCH(1,($A677=$A$403:$A$594)*($B677=$B$403:$B$594)*("Weekend"=$D$403:$D$594),0))*WeekendDays)/DaysPerWeek</f>
        <v>0</v>
      </c>
      <c r="G677" s="11" cm="1">
        <f t="array" ref="G677">(INDEX(H$403:H$594,MATCH(1,($A677=$A$403:$A$594)*($B677=$B$403:$B$594)*("Weekday"=$D$403:$D$594),0))*Weekdays+INDEX(H$403:H$594,MATCH(1,($A677=$A$403:$A$594)*($B677=$B$403:$B$594)*("Weekend"=$D$403:$D$594),0))*WeekendDays)/DaysPerWeek</f>
        <v>9.9074104097665879E-5</v>
      </c>
      <c r="H677" s="11" cm="1">
        <f t="array" ref="H677">(INDEX(I$403:I$594,MATCH(1,($A677=$A$403:$A$594)*($B677=$B$403:$B$594)*("Weekday"=$D$403:$D$594),0))*Weekdays+INDEX(I$403:I$594,MATCH(1,($A677=$A$403:$A$594)*($B677=$B$403:$B$594)*("Weekend"=$D$403:$D$594),0))*WeekendDays)/DaysPerWeek</f>
        <v>5.9106121364009946E-5</v>
      </c>
      <c r="I677" s="11" cm="1">
        <f t="array" ref="I677">(INDEX(J$403:J$594,MATCH(1,($A677=$A$403:$A$594)*($B677=$B$403:$B$594)*("Weekday"=$D$403:$D$594),0))*Weekdays+INDEX(J$403:J$594,MATCH(1,($A677=$A$403:$A$594)*($B677=$B$403:$B$594)*("Weekend"=$D$403:$D$594),0))*WeekendDays)/DaysPerWeek</f>
        <v>5.9106121364009946E-5</v>
      </c>
      <c r="J677" s="11" cm="1">
        <f t="array" ref="J677">(INDEX(K$403:K$594,MATCH(1,($A677=$A$403:$A$594)*($B677=$B$403:$B$594)*("Weekday"=$D$403:$D$594),0))*Weekdays+INDEX(K$403:K$594,MATCH(1,($A677=$A$403:$A$594)*($B677=$B$403:$B$594)*("Weekend"=$D$403:$D$594),0))*WeekendDays)/DaysPerWeek</f>
        <v>5.6841335543735619E-5</v>
      </c>
      <c r="K677" s="11" cm="1">
        <f t="array" ref="K677">(INDEX(L$403:L$594,MATCH(1,($A677=$A$403:$A$594)*($B677=$B$403:$B$594)*("Weekday"=$D$403:$D$594),0))*Weekdays+INDEX(L$403:L$594,MATCH(1,($A677=$A$403:$A$594)*($B677=$B$403:$B$594)*("Weekend"=$D$403:$D$594),0))*WeekendDays)/DaysPerWeek</f>
        <v>3.9556426153635558E-5</v>
      </c>
      <c r="L677" s="11" cm="1">
        <f t="array" ref="L677">(INDEX(M$403:M$594,MATCH(1,($A677=$A$403:$A$594)*($B677=$B$403:$B$594)*("Weekday"=$D$403:$D$594),0))*Weekdays+INDEX(M$403:M$594,MATCH(1,($A677=$A$403:$A$594)*($B677=$B$403:$B$594)*("Weekend"=$D$403:$D$594),0))*WeekendDays)/DaysPerWeek</f>
        <v>0</v>
      </c>
      <c r="M677" s="11" cm="1">
        <f t="array" ref="M677">(INDEX(N$403:N$594,MATCH(1,($A677=$A$403:$A$594)*($B677=$B$403:$B$594)*("Weekday"=$D$403:$D$594),0))*Weekdays+INDEX(N$403:N$594,MATCH(1,($A677=$A$403:$A$594)*($B677=$B$403:$B$594)*("Weekend"=$D$403:$D$594),0))*WeekendDays)/DaysPerWeek</f>
        <v>6.7317584973724889E-5</v>
      </c>
      <c r="N677" s="11" cm="1">
        <f t="array" ref="N677">(INDEX(O$403:O$594,MATCH(1,($A677=$A$403:$A$594)*($B677=$B$403:$B$594)*("Weekday"=$D$403:$D$594),0))*Weekdays+INDEX(O$403:O$594,MATCH(1,($A677=$A$403:$A$594)*($B677=$B$403:$B$594)*("Weekend"=$D$403:$D$594),0))*WeekendDays)/DaysPerWeek</f>
        <v>6.7317584973724889E-5</v>
      </c>
      <c r="O677" s="11" cm="1">
        <f t="array" ref="O677">(INDEX(P$403:P$594,MATCH(1,($A677=$A$403:$A$594)*($B677=$B$403:$B$594)*("Weekday"=$D$403:$D$594),0))*Weekdays+INDEX(P$403:P$594,MATCH(1,($A677=$A$403:$A$594)*($B677=$B$403:$B$594)*("Weekend"=$D$403:$D$594),0))*WeekendDays)/DaysPerWeek</f>
        <v>0</v>
      </c>
      <c r="P677" s="11" cm="1">
        <f t="array" ref="P677">(INDEX(Q$403:Q$594,MATCH(1,($A677=$A$403:$A$594)*($B677=$B$403:$B$594)*("Weekday"=$D$403:$D$594),0))*Weekdays+INDEX(Q$403:Q$594,MATCH(1,($A677=$A$403:$A$594)*($B677=$B$403:$B$594)*("Weekend"=$D$403:$D$594),0))*WeekendDays)/DaysPerWeek</f>
        <v>5.4236126903428345E-5</v>
      </c>
      <c r="Q677" s="11" cm="1">
        <f t="array" ref="Q677">(INDEX(R$403:R$594,MATCH(1,($A677=$A$403:$A$594)*($B677=$B$403:$B$594)*("Weekday"=$D$403:$D$594),0))*Weekdays+INDEX(R$403:R$594,MATCH(1,($A677=$A$403:$A$594)*($B677=$B$403:$B$594)*("Weekend"=$D$403:$D$594),0))*WeekendDays)/DaysPerWeek</f>
        <v>5.4236126903428359E-5</v>
      </c>
      <c r="R677" s="11" cm="1">
        <f t="array" ref="R677">(INDEX(S$403:S$594,MATCH(1,($A677=$A$403:$A$594)*($B677=$B$403:$B$594)*("Weekday"=$D$403:$D$594),0))*Weekdays+INDEX(S$403:S$594,MATCH(1,($A677=$A$403:$A$594)*($B677=$B$403:$B$594)*("Weekend"=$D$403:$D$594),0))*WeekendDays)/DaysPerWeek</f>
        <v>0</v>
      </c>
      <c r="S677" s="11" cm="1">
        <f t="array" ref="S677">(INDEX(T$403:T$594,MATCH(1,($A677=$A$403:$A$594)*($B677=$B$403:$B$594)*("Weekday"=$D$403:$D$594),0))*Weekdays+INDEX(T$403:T$594,MATCH(1,($A677=$A$403:$A$594)*($B677=$B$403:$B$594)*("Weekend"=$D$403:$D$594),0))*WeekendDays)/DaysPerWeek</f>
        <v>5.4236126903428379E-5</v>
      </c>
      <c r="T677" s="11" cm="1">
        <f t="array" ref="T677">(INDEX(U$403:U$594,MATCH(1,($A677=$A$403:$A$594)*($B677=$B$403:$B$594)*("Weekday"=$D$403:$D$594),0))*Weekdays+INDEX(U$403:U$594,MATCH(1,($A677=$A$403:$A$594)*($B677=$B$403:$B$594)*("Weekend"=$D$403:$D$594),0))*WeekendDays)/DaysPerWeek</f>
        <v>0</v>
      </c>
      <c r="U677" s="11" t="e" cm="1">
        <f t="array" ref="U677">(INDEX(V$403:V$594,MATCH(1,($A677=$A$403:$A$594)*($B677=$B$403:$B$594)*("Weekday"=$D$403:$D$594),0))*Weekdays+INDEX(V$403:V$594,MATCH(1,($A677=$A$403:$A$594)*($B677=$B$403:$B$594)*("Weekend"=$D$403:$D$594),0))*WeekendDays)/DaysPerWeek</f>
        <v>#DIV/0!</v>
      </c>
      <c r="V677" s="11" cm="1">
        <f t="array" ref="V677">(INDEX(W$403:W$594,MATCH(1,($A677=$A$403:$A$594)*($B677=$B$403:$B$594)*("Weekday"=$D$403:$D$594),0))*Weekdays+INDEX(W$403:W$594,MATCH(1,($A677=$A$403:$A$594)*($B677=$B$403:$B$594)*("Weekend"=$D$403:$D$594),0))*WeekendDays)/DaysPerWeek</f>
        <v>1.1404754745933169E-4</v>
      </c>
      <c r="W677" s="11" cm="1">
        <f t="array" ref="W677">(INDEX(X$403:X$594,MATCH(1,($A677=$A$403:$A$594)*($B677=$B$403:$B$594)*("Weekday"=$D$403:$D$594),0))*Weekdays+INDEX(X$403:X$594,MATCH(1,($A677=$A$403:$A$594)*($B677=$B$403:$B$594)*("Weekend"=$D$403:$D$594),0))*WeekendDays)/DaysPerWeek</f>
        <v>0</v>
      </c>
      <c r="X677" s="11" cm="1">
        <f t="array" ref="X677">(INDEX(Y$403:Y$594,MATCH(1,($A677=$A$403:$A$594)*($B677=$B$403:$B$594)*("Weekday"=$D$403:$D$594),0))*Weekdays+INDEX(Y$403:Y$594,MATCH(1,($A677=$A$403:$A$594)*($B677=$B$403:$B$594)*("Weekend"=$D$403:$D$594),0))*WeekendDays)/DaysPerWeek</f>
        <v>0</v>
      </c>
      <c r="Y677" s="25" t="e">
        <f t="shared" si="425"/>
        <v>#DIV/0!</v>
      </c>
      <c r="Z677" s="32" t="e">
        <f t="shared" si="424"/>
        <v>#DIV/0!</v>
      </c>
    </row>
    <row r="678" spans="1:26" outlineLevel="1" x14ac:dyDescent="0.25">
      <c r="A678" t="s">
        <v>40</v>
      </c>
      <c r="B678" t="s">
        <v>153</v>
      </c>
      <c r="C678" s="7" t="s">
        <v>5</v>
      </c>
      <c r="D678" s="11" cm="1">
        <f t="array" ref="D678">(INDEX(E$403:E$594,MATCH(1,($A678=$A$403:$A$594)*($B678=$B$403:$B$594)*("Weekday"=$D$403:$D$594),0))*Weekdays+INDEX(E$403:E$594,MATCH(1,($A678=$A$403:$A$594)*($B678=$B$403:$B$594)*("Weekend"=$D$403:$D$594),0))*WeekendDays)/DaysPerWeek</f>
        <v>4.8158004153269344E-5</v>
      </c>
      <c r="E678" s="11" cm="1">
        <f t="array" ref="E678">(INDEX(F$403:F$594,MATCH(1,($A678=$A$403:$A$594)*($B678=$B$403:$B$594)*("Weekday"=$D$403:$D$594),0))*Weekdays+INDEX(F$403:F$594,MATCH(1,($A678=$A$403:$A$594)*($B678=$B$403:$B$594)*("Weekend"=$D$403:$D$594),0))*WeekendDays)/DaysPerWeek</f>
        <v>1.8536280530738057E-5</v>
      </c>
      <c r="F678" s="11" cm="1">
        <f t="array" ref="F678">(INDEX(G$403:G$594,MATCH(1,($A678=$A$403:$A$594)*($B678=$B$403:$B$594)*("Weekday"=$D$403:$D$594),0))*Weekdays+INDEX(G$403:G$594,MATCH(1,($A678=$A$403:$A$594)*($B678=$B$403:$B$594)*("Weekend"=$D$403:$D$594),0))*WeekendDays)/DaysPerWeek</f>
        <v>0</v>
      </c>
      <c r="G678" s="11" cm="1">
        <f t="array" ref="G678">(INDEX(H$403:H$594,MATCH(1,($A678=$A$403:$A$594)*($B678=$B$403:$B$594)*("Weekday"=$D$403:$D$594),0))*Weekdays+INDEX(H$403:H$594,MATCH(1,($A678=$A$403:$A$594)*($B678=$B$403:$B$594)*("Weekend"=$D$403:$D$594),0))*WeekendDays)/DaysPerWeek</f>
        <v>1.2165098519949786E-4</v>
      </c>
      <c r="H678" s="11" cm="1">
        <f t="array" ref="H678">(INDEX(I$403:I$594,MATCH(1,($A678=$A$403:$A$594)*($B678=$B$403:$B$594)*("Weekday"=$D$403:$D$594),0))*Weekdays+INDEX(I$403:I$594,MATCH(1,($A678=$A$403:$A$594)*($B678=$B$403:$B$594)*("Weekend"=$D$403:$D$594),0))*WeekendDays)/DaysPerWeek</f>
        <v>1.1294286577312248E-4</v>
      </c>
      <c r="I678" s="11" cm="1">
        <f t="array" ref="I678">(INDEX(J$403:J$594,MATCH(1,($A678=$A$403:$A$594)*($B678=$B$403:$B$594)*("Weekday"=$D$403:$D$594),0))*Weekdays+INDEX(J$403:J$594,MATCH(1,($A678=$A$403:$A$594)*($B678=$B$403:$B$594)*("Weekend"=$D$403:$D$594),0))*WeekendDays)/DaysPerWeek</f>
        <v>1.1294286577312248E-4</v>
      </c>
      <c r="J678" s="11" cm="1">
        <f t="array" ref="J678">(INDEX(K$403:K$594,MATCH(1,($A678=$A$403:$A$594)*($B678=$B$403:$B$594)*("Weekday"=$D$403:$D$594),0))*Weekdays+INDEX(K$403:K$594,MATCH(1,($A678=$A$403:$A$594)*($B678=$B$403:$B$594)*("Weekend"=$D$403:$D$594),0))*WeekendDays)/DaysPerWeek</f>
        <v>9.3698834790639755E-5</v>
      </c>
      <c r="K678" s="11" cm="1">
        <f t="array" ref="K678">(INDEX(L$403:L$594,MATCH(1,($A678=$A$403:$A$594)*($B678=$B$403:$B$594)*("Weekday"=$D$403:$D$594),0))*Weekdays+INDEX(L$403:L$594,MATCH(1,($A678=$A$403:$A$594)*($B678=$B$403:$B$594)*("Weekend"=$D$403:$D$594),0))*WeekendDays)/DaysPerWeek</f>
        <v>4.4369527053175952E-5</v>
      </c>
      <c r="L678" s="11" cm="1">
        <f t="array" ref="L678">(INDEX(M$403:M$594,MATCH(1,($A678=$A$403:$A$594)*($B678=$B$403:$B$594)*("Weekday"=$D$403:$D$594),0))*Weekdays+INDEX(M$403:M$594,MATCH(1,($A678=$A$403:$A$594)*($B678=$B$403:$B$594)*("Weekend"=$D$403:$D$594),0))*WeekendDays)/DaysPerWeek</f>
        <v>0</v>
      </c>
      <c r="M678" s="11" cm="1">
        <f t="array" ref="M678">(INDEX(N$403:N$594,MATCH(1,($A678=$A$403:$A$594)*($B678=$B$403:$B$594)*("Weekday"=$D$403:$D$594),0))*Weekdays+INDEX(N$403:N$594,MATCH(1,($A678=$A$403:$A$594)*($B678=$B$403:$B$594)*("Weekend"=$D$403:$D$594),0))*WeekendDays)/DaysPerWeek</f>
        <v>9.4014444729061193E-5</v>
      </c>
      <c r="N678" s="11" cm="1">
        <f t="array" ref="N678">(INDEX(O$403:O$594,MATCH(1,($A678=$A$403:$A$594)*($B678=$B$403:$B$594)*("Weekday"=$D$403:$D$594),0))*Weekdays+INDEX(O$403:O$594,MATCH(1,($A678=$A$403:$A$594)*($B678=$B$403:$B$594)*("Weekend"=$D$403:$D$594),0))*WeekendDays)/DaysPerWeek</f>
        <v>9.4014444729061193E-5</v>
      </c>
      <c r="O678" s="11" cm="1">
        <f t="array" ref="O678">(INDEX(P$403:P$594,MATCH(1,($A678=$A$403:$A$594)*($B678=$B$403:$B$594)*("Weekday"=$D$403:$D$594),0))*Weekdays+INDEX(P$403:P$594,MATCH(1,($A678=$A$403:$A$594)*($B678=$B$403:$B$594)*("Weekend"=$D$403:$D$594),0))*WeekendDays)/DaysPerWeek</f>
        <v>0</v>
      </c>
      <c r="P678" s="11" cm="1">
        <f t="array" ref="P678">(INDEX(Q$403:Q$594,MATCH(1,($A678=$A$403:$A$594)*($B678=$B$403:$B$594)*("Weekday"=$D$403:$D$594),0))*Weekdays+INDEX(Q$403:Q$594,MATCH(1,($A678=$A$403:$A$594)*($B678=$B$403:$B$594)*("Weekend"=$D$403:$D$594),0))*WeekendDays)/DaysPerWeek</f>
        <v>7.6662113666328037E-5</v>
      </c>
      <c r="Q678" s="11" cm="1">
        <f t="array" ref="Q678">(INDEX(R$403:R$594,MATCH(1,($A678=$A$403:$A$594)*($B678=$B$403:$B$594)*("Weekday"=$D$403:$D$594),0))*Weekdays+INDEX(R$403:R$594,MATCH(1,($A678=$A$403:$A$594)*($B678=$B$403:$B$594)*("Weekend"=$D$403:$D$594),0))*WeekendDays)/DaysPerWeek</f>
        <v>7.6662113666328064E-5</v>
      </c>
      <c r="R678" s="11" cm="1">
        <f t="array" ref="R678">(INDEX(S$403:S$594,MATCH(1,($A678=$A$403:$A$594)*($B678=$B$403:$B$594)*("Weekday"=$D$403:$D$594),0))*Weekdays+INDEX(S$403:S$594,MATCH(1,($A678=$A$403:$A$594)*($B678=$B$403:$B$594)*("Weekend"=$D$403:$D$594),0))*WeekendDays)/DaysPerWeek</f>
        <v>0</v>
      </c>
      <c r="S678" s="11" cm="1">
        <f t="array" ref="S678">(INDEX(T$403:T$594,MATCH(1,($A678=$A$403:$A$594)*($B678=$B$403:$B$594)*("Weekday"=$D$403:$D$594),0))*Weekdays+INDEX(T$403:T$594,MATCH(1,($A678=$A$403:$A$594)*($B678=$B$403:$B$594)*("Weekend"=$D$403:$D$594),0))*WeekendDays)/DaysPerWeek</f>
        <v>7.6662113666328064E-5</v>
      </c>
      <c r="T678" s="11" cm="1">
        <f t="array" ref="T678">(INDEX(U$403:U$594,MATCH(1,($A678=$A$403:$A$594)*($B678=$B$403:$B$594)*("Weekday"=$D$403:$D$594),0))*Weekdays+INDEX(U$403:U$594,MATCH(1,($A678=$A$403:$A$594)*($B678=$B$403:$B$594)*("Weekend"=$D$403:$D$594),0))*WeekendDays)/DaysPerWeek</f>
        <v>0</v>
      </c>
      <c r="U678" s="11" t="e" cm="1">
        <f t="array" ref="U678">(INDEX(V$403:V$594,MATCH(1,($A678=$A$403:$A$594)*($B678=$B$403:$B$594)*("Weekday"=$D$403:$D$594),0))*Weekdays+INDEX(V$403:V$594,MATCH(1,($A678=$A$403:$A$594)*($B678=$B$403:$B$594)*("Weekend"=$D$403:$D$594),0))*WeekendDays)/DaysPerWeek</f>
        <v>#DIV/0!</v>
      </c>
      <c r="V678" s="11" cm="1">
        <f t="array" ref="V678">(INDEX(W$403:W$594,MATCH(1,($A678=$A$403:$A$594)*($B678=$B$403:$B$594)*("Weekday"=$D$403:$D$594),0))*Weekdays+INDEX(W$403:W$594,MATCH(1,($A678=$A$403:$A$594)*($B678=$B$403:$B$594)*("Weekend"=$D$403:$D$594),0))*WeekendDays)/DaysPerWeek</f>
        <v>1.151240022043527E-4</v>
      </c>
      <c r="W678" s="11" cm="1">
        <f t="array" ref="W678">(INDEX(X$403:X$594,MATCH(1,($A678=$A$403:$A$594)*($B678=$B$403:$B$594)*("Weekday"=$D$403:$D$594),0))*Weekdays+INDEX(X$403:X$594,MATCH(1,($A678=$A$403:$A$594)*($B678=$B$403:$B$594)*("Weekend"=$D$403:$D$594),0))*WeekendDays)/DaysPerWeek</f>
        <v>0</v>
      </c>
      <c r="X678" s="11" cm="1">
        <f t="array" ref="X678">(INDEX(Y$403:Y$594,MATCH(1,($A678=$A$403:$A$594)*($B678=$B$403:$B$594)*("Weekday"=$D$403:$D$594),0))*Weekdays+INDEX(Y$403:Y$594,MATCH(1,($A678=$A$403:$A$594)*($B678=$B$403:$B$594)*("Weekend"=$D$403:$D$594),0))*WeekendDays)/DaysPerWeek</f>
        <v>0</v>
      </c>
      <c r="Y678" s="25" t="e">
        <f t="shared" si="425"/>
        <v>#DIV/0!</v>
      </c>
      <c r="Z678" s="32" t="e">
        <f t="shared" si="424"/>
        <v>#DIV/0!</v>
      </c>
    </row>
    <row r="679" spans="1:26" outlineLevel="1" x14ac:dyDescent="0.25">
      <c r="A679" t="s">
        <v>40</v>
      </c>
      <c r="B679" t="s">
        <v>154</v>
      </c>
      <c r="C679" s="7" t="s">
        <v>6</v>
      </c>
      <c r="D679" s="11" cm="1">
        <f t="array" ref="D679">(INDEX(E$403:E$594,MATCH(1,($A679=$A$403:$A$594)*($B679=$B$403:$B$594)*("Weekday"=$D$403:$D$594),0))*Weekdays+INDEX(E$403:E$594,MATCH(1,($A679=$A$403:$A$594)*($B679=$B$403:$B$594)*("Weekend"=$D$403:$D$594),0))*WeekendDays)/DaysPerWeek</f>
        <v>5.1022122517959652E-5</v>
      </c>
      <c r="E679" s="11" cm="1">
        <f t="array" ref="E679">(INDEX(F$403:F$594,MATCH(1,($A679=$A$403:$A$594)*($B679=$B$403:$B$594)*("Weekday"=$D$403:$D$594),0))*Weekdays+INDEX(F$403:F$594,MATCH(1,($A679=$A$403:$A$594)*($B679=$B$403:$B$594)*("Weekend"=$D$403:$D$594),0))*WeekendDays)/DaysPerWeek</f>
        <v>3.2380528159365518E-5</v>
      </c>
      <c r="F679" s="11" cm="1">
        <f t="array" ref="F679">(INDEX(G$403:G$594,MATCH(1,($A679=$A$403:$A$594)*($B679=$B$403:$B$594)*("Weekday"=$D$403:$D$594),0))*Weekdays+INDEX(G$403:G$594,MATCH(1,($A679=$A$403:$A$594)*($B679=$B$403:$B$594)*("Weekend"=$D$403:$D$594),0))*WeekendDays)/DaysPerWeek</f>
        <v>0</v>
      </c>
      <c r="G679" s="11" cm="1">
        <f t="array" ref="G679">(INDEX(H$403:H$594,MATCH(1,($A679=$A$403:$A$594)*($B679=$B$403:$B$594)*("Weekday"=$D$403:$D$594),0))*Weekdays+INDEX(H$403:H$594,MATCH(1,($A679=$A$403:$A$594)*($B679=$B$403:$B$594)*("Weekend"=$D$403:$D$594),0))*WeekendDays)/DaysPerWeek</f>
        <v>5.9472216323560975E-5</v>
      </c>
      <c r="H679" s="11" cm="1">
        <f t="array" ref="H679">(INDEX(I$403:I$594,MATCH(1,($A679=$A$403:$A$594)*($B679=$B$403:$B$594)*("Weekday"=$D$403:$D$594),0))*Weekdays+INDEX(I$403:I$594,MATCH(1,($A679=$A$403:$A$594)*($B679=$B$403:$B$594)*("Weekend"=$D$403:$D$594),0))*WeekendDays)/DaysPerWeek</f>
        <v>1.6018438152249506E-4</v>
      </c>
      <c r="I679" s="11" cm="1">
        <f t="array" ref="I679">(INDEX(J$403:J$594,MATCH(1,($A679=$A$403:$A$594)*($B679=$B$403:$B$594)*("Weekday"=$D$403:$D$594),0))*Weekdays+INDEX(J$403:J$594,MATCH(1,($A679=$A$403:$A$594)*($B679=$B$403:$B$594)*("Weekend"=$D$403:$D$594),0))*WeekendDays)/DaysPerWeek</f>
        <v>1.6018438152249506E-4</v>
      </c>
      <c r="J679" s="11" cm="1">
        <f t="array" ref="J679">(INDEX(K$403:K$594,MATCH(1,($A679=$A$403:$A$594)*($B679=$B$403:$B$594)*("Weekday"=$D$403:$D$594),0))*Weekdays+INDEX(K$403:K$594,MATCH(1,($A679=$A$403:$A$594)*($B679=$B$403:$B$594)*("Weekend"=$D$403:$D$594),0))*WeekendDays)/DaysPerWeek</f>
        <v>8.7906609366867697E-5</v>
      </c>
      <c r="K679" s="11" cm="1">
        <f t="array" ref="K679">(INDEX(L$403:L$594,MATCH(1,($A679=$A$403:$A$594)*($B679=$B$403:$B$594)*("Weekday"=$D$403:$D$594),0))*Weekdays+INDEX(L$403:L$594,MATCH(1,($A679=$A$403:$A$594)*($B679=$B$403:$B$594)*("Weekend"=$D$403:$D$594),0))*WeekendDays)/DaysPerWeek</f>
        <v>5.4592058618752235E-5</v>
      </c>
      <c r="L679" s="11" cm="1">
        <f t="array" ref="L679">(INDEX(M$403:M$594,MATCH(1,($A679=$A$403:$A$594)*($B679=$B$403:$B$594)*("Weekday"=$D$403:$D$594),0))*Weekdays+INDEX(M$403:M$594,MATCH(1,($A679=$A$403:$A$594)*($B679=$B$403:$B$594)*("Weekend"=$D$403:$D$594),0))*WeekendDays)/DaysPerWeek</f>
        <v>0</v>
      </c>
      <c r="M679" s="11" cm="1">
        <f t="array" ref="M679">(INDEX(N$403:N$594,MATCH(1,($A679=$A$403:$A$594)*($B679=$B$403:$B$594)*("Weekday"=$D$403:$D$594),0))*Weekdays+INDEX(N$403:N$594,MATCH(1,($A679=$A$403:$A$594)*($B679=$B$403:$B$594)*("Weekend"=$D$403:$D$594),0))*WeekendDays)/DaysPerWeek</f>
        <v>1.2686209696898158E-4</v>
      </c>
      <c r="N679" s="11" cm="1">
        <f t="array" ref="N679">(INDEX(O$403:O$594,MATCH(1,($A679=$A$403:$A$594)*($B679=$B$403:$B$594)*("Weekday"=$D$403:$D$594),0))*Weekdays+INDEX(O$403:O$594,MATCH(1,($A679=$A$403:$A$594)*($B679=$B$403:$B$594)*("Weekend"=$D$403:$D$594),0))*WeekendDays)/DaysPerWeek</f>
        <v>1.2686209696898158E-4</v>
      </c>
      <c r="O679" s="11" cm="1">
        <f t="array" ref="O679">(INDEX(P$403:P$594,MATCH(1,($A679=$A$403:$A$594)*($B679=$B$403:$B$594)*("Weekday"=$D$403:$D$594),0))*Weekdays+INDEX(P$403:P$594,MATCH(1,($A679=$A$403:$A$594)*($B679=$B$403:$B$594)*("Weekend"=$D$403:$D$594),0))*WeekendDays)/DaysPerWeek</f>
        <v>0</v>
      </c>
      <c r="P679" s="11" cm="1">
        <f t="array" ref="P679">(INDEX(Q$403:Q$594,MATCH(1,($A679=$A$403:$A$594)*($B679=$B$403:$B$594)*("Weekday"=$D$403:$D$594),0))*Weekdays+INDEX(Q$403:Q$594,MATCH(1,($A679=$A$403:$A$594)*($B679=$B$403:$B$594)*("Weekend"=$D$403:$D$594),0))*WeekendDays)/DaysPerWeek</f>
        <v>1.4284990991827112E-4</v>
      </c>
      <c r="Q679" s="11" cm="1">
        <f t="array" ref="Q679">(INDEX(R$403:R$594,MATCH(1,($A679=$A$403:$A$594)*($B679=$B$403:$B$594)*("Weekday"=$D$403:$D$594),0))*Weekdays+INDEX(R$403:R$594,MATCH(1,($A679=$A$403:$A$594)*($B679=$B$403:$B$594)*("Weekend"=$D$403:$D$594),0))*WeekendDays)/DaysPerWeek</f>
        <v>1.4284990991827117E-4</v>
      </c>
      <c r="R679" s="11" cm="1">
        <f t="array" ref="R679">(INDEX(S$403:S$594,MATCH(1,($A679=$A$403:$A$594)*($B679=$B$403:$B$594)*("Weekday"=$D$403:$D$594),0))*Weekdays+INDEX(S$403:S$594,MATCH(1,($A679=$A$403:$A$594)*($B679=$B$403:$B$594)*("Weekend"=$D$403:$D$594),0))*WeekendDays)/DaysPerWeek</f>
        <v>0</v>
      </c>
      <c r="S679" s="11" cm="1">
        <f t="array" ref="S679">(INDEX(T$403:T$594,MATCH(1,($A679=$A$403:$A$594)*($B679=$B$403:$B$594)*("Weekday"=$D$403:$D$594),0))*Weekdays+INDEX(T$403:T$594,MATCH(1,($A679=$A$403:$A$594)*($B679=$B$403:$B$594)*("Weekend"=$D$403:$D$594),0))*WeekendDays)/DaysPerWeek</f>
        <v>1.428499099182712E-4</v>
      </c>
      <c r="T679" s="11" cm="1">
        <f t="array" ref="T679">(INDEX(U$403:U$594,MATCH(1,($A679=$A$403:$A$594)*($B679=$B$403:$B$594)*("Weekday"=$D$403:$D$594),0))*Weekdays+INDEX(U$403:U$594,MATCH(1,($A679=$A$403:$A$594)*($B679=$B$403:$B$594)*("Weekend"=$D$403:$D$594),0))*WeekendDays)/DaysPerWeek</f>
        <v>0</v>
      </c>
      <c r="U679" s="11" t="e" cm="1">
        <f t="array" ref="U679">(INDEX(V$403:V$594,MATCH(1,($A679=$A$403:$A$594)*($B679=$B$403:$B$594)*("Weekday"=$D$403:$D$594),0))*Weekdays+INDEX(V$403:V$594,MATCH(1,($A679=$A$403:$A$594)*($B679=$B$403:$B$594)*("Weekend"=$D$403:$D$594),0))*WeekendDays)/DaysPerWeek</f>
        <v>#DIV/0!</v>
      </c>
      <c r="V679" s="11" cm="1">
        <f t="array" ref="V679">(INDEX(W$403:W$594,MATCH(1,($A679=$A$403:$A$594)*($B679=$B$403:$B$594)*("Weekday"=$D$403:$D$594),0))*Weekdays+INDEX(W$403:W$594,MATCH(1,($A679=$A$403:$A$594)*($B679=$B$403:$B$594)*("Weekend"=$D$403:$D$594),0))*WeekendDays)/DaysPerWeek</f>
        <v>1.1591717938489451E-4</v>
      </c>
      <c r="W679" s="11" cm="1">
        <f t="array" ref="W679">(INDEX(X$403:X$594,MATCH(1,($A679=$A$403:$A$594)*($B679=$B$403:$B$594)*("Weekday"=$D$403:$D$594),0))*Weekdays+INDEX(X$403:X$594,MATCH(1,($A679=$A$403:$A$594)*($B679=$B$403:$B$594)*("Weekend"=$D$403:$D$594),0))*WeekendDays)/DaysPerWeek</f>
        <v>0</v>
      </c>
      <c r="X679" s="11" cm="1">
        <f t="array" ref="X679">(INDEX(Y$403:Y$594,MATCH(1,($A679=$A$403:$A$594)*($B679=$B$403:$B$594)*("Weekday"=$D$403:$D$594),0))*Weekdays+INDEX(Y$403:Y$594,MATCH(1,($A679=$A$403:$A$594)*($B679=$B$403:$B$594)*("Weekend"=$D$403:$D$594),0))*WeekendDays)/DaysPerWeek</f>
        <v>0</v>
      </c>
      <c r="Y679" s="25" t="e">
        <f t="shared" si="425"/>
        <v>#DIV/0!</v>
      </c>
      <c r="Z679" s="32" t="e">
        <f t="shared" si="424"/>
        <v>#DIV/0!</v>
      </c>
    </row>
    <row r="680" spans="1:26" outlineLevel="1" x14ac:dyDescent="0.25">
      <c r="A680" t="s">
        <v>40</v>
      </c>
      <c r="B680" t="s">
        <v>155</v>
      </c>
      <c r="C680" s="7" t="s">
        <v>7</v>
      </c>
      <c r="D680" s="11" cm="1">
        <f t="array" ref="D680">(INDEX(E$403:E$594,MATCH(1,($A680=$A$403:$A$594)*($B680=$B$403:$B$594)*("Weekday"=$D$403:$D$594),0))*Weekdays+INDEX(E$403:E$594,MATCH(1,($A680=$A$403:$A$594)*($B680=$B$403:$B$594)*("Weekend"=$D$403:$D$594),0))*WeekendDays)/DaysPerWeek</f>
        <v>5.2296667356884654E-5</v>
      </c>
      <c r="E680" s="11" cm="1">
        <f t="array" ref="E680">(INDEX(F$403:F$594,MATCH(1,($A680=$A$403:$A$594)*($B680=$B$403:$B$594)*("Weekday"=$D$403:$D$594),0))*Weekdays+INDEX(F$403:F$594,MATCH(1,($A680=$A$403:$A$594)*($B680=$B$403:$B$594)*("Weekend"=$D$403:$D$594),0))*WeekendDays)/DaysPerWeek</f>
        <v>4.8593131733594702E-5</v>
      </c>
      <c r="F680" s="11" cm="1">
        <f t="array" ref="F680">(INDEX(G$403:G$594,MATCH(1,($A680=$A$403:$A$594)*($B680=$B$403:$B$594)*("Weekday"=$D$403:$D$594),0))*Weekdays+INDEX(G$403:G$594,MATCH(1,($A680=$A$403:$A$594)*($B680=$B$403:$B$594)*("Weekend"=$D$403:$D$594),0))*WeekendDays)/DaysPerWeek</f>
        <v>0</v>
      </c>
      <c r="G680" s="11" cm="1">
        <f t="array" ref="G680">(INDEX(H$403:H$594,MATCH(1,($A680=$A$403:$A$594)*($B680=$B$403:$B$594)*("Weekday"=$D$403:$D$594),0))*Weekdays+INDEX(H$403:H$594,MATCH(1,($A680=$A$403:$A$594)*($B680=$B$403:$B$594)*("Weekend"=$D$403:$D$594),0))*WeekendDays)/DaysPerWeek</f>
        <v>5.6914505781856797E-5</v>
      </c>
      <c r="H680" s="11" cm="1">
        <f t="array" ref="H680">(INDEX(I$403:I$594,MATCH(1,($A680=$A$403:$A$594)*($B680=$B$403:$B$594)*("Weekday"=$D$403:$D$594),0))*Weekdays+INDEX(I$403:I$594,MATCH(1,($A680=$A$403:$A$594)*($B680=$B$403:$B$594)*("Weekend"=$D$403:$D$594),0))*WeekendDays)/DaysPerWeek</f>
        <v>1.3834229024961176E-4</v>
      </c>
      <c r="I680" s="11" cm="1">
        <f t="array" ref="I680">(INDEX(J$403:J$594,MATCH(1,($A680=$A$403:$A$594)*($B680=$B$403:$B$594)*("Weekday"=$D$403:$D$594),0))*Weekdays+INDEX(J$403:J$594,MATCH(1,($A680=$A$403:$A$594)*($B680=$B$403:$B$594)*("Weekend"=$D$403:$D$594),0))*WeekendDays)/DaysPerWeek</f>
        <v>1.3834229024961176E-4</v>
      </c>
      <c r="J680" s="11" cm="1">
        <f t="array" ref="J680">(INDEX(K$403:K$594,MATCH(1,($A680=$A$403:$A$594)*($B680=$B$403:$B$594)*("Weekday"=$D$403:$D$594),0))*Weekdays+INDEX(K$403:K$594,MATCH(1,($A680=$A$403:$A$594)*($B680=$B$403:$B$594)*("Weekend"=$D$403:$D$594),0))*WeekendDays)/DaysPerWeek</f>
        <v>6.2600132458740621E-5</v>
      </c>
      <c r="K680" s="11" cm="1">
        <f t="array" ref="K680">(INDEX(L$403:L$594,MATCH(1,($A680=$A$403:$A$594)*($B680=$B$403:$B$594)*("Weekday"=$D$403:$D$594),0))*Weekdays+INDEX(L$403:L$594,MATCH(1,($A680=$A$403:$A$594)*($B680=$B$403:$B$594)*("Weekend"=$D$403:$D$594),0))*WeekendDays)/DaysPerWeek</f>
        <v>6.9622339979295264E-5</v>
      </c>
      <c r="L680" s="11" cm="1">
        <f t="array" ref="L680">(INDEX(M$403:M$594,MATCH(1,($A680=$A$403:$A$594)*($B680=$B$403:$B$594)*("Weekday"=$D$403:$D$594),0))*Weekdays+INDEX(M$403:M$594,MATCH(1,($A680=$A$403:$A$594)*($B680=$B$403:$B$594)*("Weekend"=$D$403:$D$594),0))*WeekendDays)/DaysPerWeek</f>
        <v>0</v>
      </c>
      <c r="M680" s="11" cm="1">
        <f t="array" ref="M680">(INDEX(N$403:N$594,MATCH(1,($A680=$A$403:$A$594)*($B680=$B$403:$B$594)*("Weekday"=$D$403:$D$594),0))*Weekdays+INDEX(N$403:N$594,MATCH(1,($A680=$A$403:$A$594)*($B680=$B$403:$B$594)*("Weekend"=$D$403:$D$594),0))*WeekendDays)/DaysPerWeek</f>
        <v>1.5470824312029441E-4</v>
      </c>
      <c r="N680" s="11" cm="1">
        <f t="array" ref="N680">(INDEX(O$403:O$594,MATCH(1,($A680=$A$403:$A$594)*($B680=$B$403:$B$594)*("Weekday"=$D$403:$D$594),0))*Weekdays+INDEX(O$403:O$594,MATCH(1,($A680=$A$403:$A$594)*($B680=$B$403:$B$594)*("Weekend"=$D$403:$D$594),0))*WeekendDays)/DaysPerWeek</f>
        <v>1.5470824312029441E-4</v>
      </c>
      <c r="O680" s="11" cm="1">
        <f t="array" ref="O680">(INDEX(P$403:P$594,MATCH(1,($A680=$A$403:$A$594)*($B680=$B$403:$B$594)*("Weekday"=$D$403:$D$594),0))*Weekdays+INDEX(P$403:P$594,MATCH(1,($A680=$A$403:$A$594)*($B680=$B$403:$B$594)*("Weekend"=$D$403:$D$594),0))*WeekendDays)/DaysPerWeek</f>
        <v>0</v>
      </c>
      <c r="P680" s="11" cm="1">
        <f t="array" ref="P680">(INDEX(Q$403:Q$594,MATCH(1,($A680=$A$403:$A$594)*($B680=$B$403:$B$594)*("Weekday"=$D$403:$D$594),0))*Weekdays+INDEX(Q$403:Q$594,MATCH(1,($A680=$A$403:$A$594)*($B680=$B$403:$B$594)*("Weekend"=$D$403:$D$594),0))*WeekendDays)/DaysPerWeek</f>
        <v>1.5919357518673233E-4</v>
      </c>
      <c r="Q680" s="11" cm="1">
        <f t="array" ref="Q680">(INDEX(R$403:R$594,MATCH(1,($A680=$A$403:$A$594)*($B680=$B$403:$B$594)*("Weekday"=$D$403:$D$594),0))*Weekdays+INDEX(R$403:R$594,MATCH(1,($A680=$A$403:$A$594)*($B680=$B$403:$B$594)*("Weekend"=$D$403:$D$594),0))*WeekendDays)/DaysPerWeek</f>
        <v>1.5919357518673238E-4</v>
      </c>
      <c r="R680" s="11" cm="1">
        <f t="array" ref="R680">(INDEX(S$403:S$594,MATCH(1,($A680=$A$403:$A$594)*($B680=$B$403:$B$594)*("Weekday"=$D$403:$D$594),0))*Weekdays+INDEX(S$403:S$594,MATCH(1,($A680=$A$403:$A$594)*($B680=$B$403:$B$594)*("Weekend"=$D$403:$D$594),0))*WeekendDays)/DaysPerWeek</f>
        <v>0</v>
      </c>
      <c r="S680" s="11" cm="1">
        <f t="array" ref="S680">(INDEX(T$403:T$594,MATCH(1,($A680=$A$403:$A$594)*($B680=$B$403:$B$594)*("Weekday"=$D$403:$D$594),0))*Weekdays+INDEX(T$403:T$594,MATCH(1,($A680=$A$403:$A$594)*($B680=$B$403:$B$594)*("Weekend"=$D$403:$D$594),0))*WeekendDays)/DaysPerWeek</f>
        <v>1.5919357518673238E-4</v>
      </c>
      <c r="T680" s="11" cm="1">
        <f t="array" ref="T680">(INDEX(U$403:U$594,MATCH(1,($A680=$A$403:$A$594)*($B680=$B$403:$B$594)*("Weekday"=$D$403:$D$594),0))*Weekdays+INDEX(U$403:U$594,MATCH(1,($A680=$A$403:$A$594)*($B680=$B$403:$B$594)*("Weekend"=$D$403:$D$594),0))*WeekendDays)/DaysPerWeek</f>
        <v>0</v>
      </c>
      <c r="U680" s="11" t="e" cm="1">
        <f t="array" ref="U680">(INDEX(V$403:V$594,MATCH(1,($A680=$A$403:$A$594)*($B680=$B$403:$B$594)*("Weekday"=$D$403:$D$594),0))*Weekdays+INDEX(V$403:V$594,MATCH(1,($A680=$A$403:$A$594)*($B680=$B$403:$B$594)*("Weekend"=$D$403:$D$594),0))*WeekendDays)/DaysPerWeek</f>
        <v>#DIV/0!</v>
      </c>
      <c r="V680" s="11" cm="1">
        <f t="array" ref="V680">(INDEX(W$403:W$594,MATCH(1,($A680=$A$403:$A$594)*($B680=$B$403:$B$594)*("Weekday"=$D$403:$D$594),0))*Weekdays+INDEX(W$403:W$594,MATCH(1,($A680=$A$403:$A$594)*($B680=$B$403:$B$594)*("Weekend"=$D$403:$D$594),0))*WeekendDays)/DaysPerWeek</f>
        <v>1.1603049041068618E-4</v>
      </c>
      <c r="W680" s="11" cm="1">
        <f t="array" ref="W680">(INDEX(X$403:X$594,MATCH(1,($A680=$A$403:$A$594)*($B680=$B$403:$B$594)*("Weekday"=$D$403:$D$594),0))*Weekdays+INDEX(X$403:X$594,MATCH(1,($A680=$A$403:$A$594)*($B680=$B$403:$B$594)*("Weekend"=$D$403:$D$594),0))*WeekendDays)/DaysPerWeek</f>
        <v>0</v>
      </c>
      <c r="X680" s="11" cm="1">
        <f t="array" ref="X680">(INDEX(Y$403:Y$594,MATCH(1,($A680=$A$403:$A$594)*($B680=$B$403:$B$594)*("Weekday"=$D$403:$D$594),0))*Weekdays+INDEX(Y$403:Y$594,MATCH(1,($A680=$A$403:$A$594)*($B680=$B$403:$B$594)*("Weekend"=$D$403:$D$594),0))*WeekendDays)/DaysPerWeek</f>
        <v>0</v>
      </c>
      <c r="Y680" s="25" t="e">
        <f t="shared" si="425"/>
        <v>#DIV/0!</v>
      </c>
      <c r="Z680" s="32" t="e">
        <f t="shared" si="424"/>
        <v>#DIV/0!</v>
      </c>
    </row>
    <row r="681" spans="1:26" outlineLevel="1" x14ac:dyDescent="0.25">
      <c r="A681" t="s">
        <v>40</v>
      </c>
      <c r="B681" t="s">
        <v>156</v>
      </c>
      <c r="C681" s="7" t="s">
        <v>8</v>
      </c>
      <c r="D681" s="11" cm="1">
        <f t="array" ref="D681">(INDEX(E$403:E$594,MATCH(1,($A681=$A$403:$A$594)*($B681=$B$403:$B$594)*("Weekday"=$D$403:$D$594),0))*Weekdays+INDEX(E$403:E$594,MATCH(1,($A681=$A$403:$A$594)*($B681=$B$403:$B$594)*("Weekend"=$D$403:$D$594),0))*WeekendDays)/DaysPerWeek</f>
        <v>4.2381679361833722E-5</v>
      </c>
      <c r="E681" s="11" cm="1">
        <f t="array" ref="E681">(INDEX(F$403:F$594,MATCH(1,($A681=$A$403:$A$594)*($B681=$B$403:$B$594)*("Weekday"=$D$403:$D$594),0))*Weekdays+INDEX(F$403:F$594,MATCH(1,($A681=$A$403:$A$594)*($B681=$B$403:$B$594)*("Weekend"=$D$403:$D$594),0))*WeekendDays)/DaysPerWeek</f>
        <v>6.2503443044349669E-5</v>
      </c>
      <c r="F681" s="11" cm="1">
        <f t="array" ref="F681">(INDEX(G$403:G$594,MATCH(1,($A681=$A$403:$A$594)*($B681=$B$403:$B$594)*("Weekday"=$D$403:$D$594),0))*Weekdays+INDEX(G$403:G$594,MATCH(1,($A681=$A$403:$A$594)*($B681=$B$403:$B$594)*("Weekend"=$D$403:$D$594),0))*WeekendDays)/DaysPerWeek</f>
        <v>0</v>
      </c>
      <c r="G681" s="11" cm="1">
        <f t="array" ref="G681">(INDEX(H$403:H$594,MATCH(1,($A681=$A$403:$A$594)*($B681=$B$403:$B$594)*("Weekday"=$D$403:$D$594),0))*Weekdays+INDEX(H$403:H$594,MATCH(1,($A681=$A$403:$A$594)*($B681=$B$403:$B$594)*("Weekend"=$D$403:$D$594),0))*WeekendDays)/DaysPerWeek</f>
        <v>5.651481521673603E-5</v>
      </c>
      <c r="H681" s="11" cm="1">
        <f t="array" ref="H681">(INDEX(I$403:I$594,MATCH(1,($A681=$A$403:$A$594)*($B681=$B$403:$B$594)*("Weekday"=$D$403:$D$594),0))*Weekdays+INDEX(I$403:I$594,MATCH(1,($A681=$A$403:$A$594)*($B681=$B$403:$B$594)*("Weekend"=$D$403:$D$594),0))*WeekendDays)/DaysPerWeek</f>
        <v>1.5019095704247809E-4</v>
      </c>
      <c r="I681" s="11" cm="1">
        <f t="array" ref="I681">(INDEX(J$403:J$594,MATCH(1,($A681=$A$403:$A$594)*($B681=$B$403:$B$594)*("Weekday"=$D$403:$D$594),0))*Weekdays+INDEX(J$403:J$594,MATCH(1,($A681=$A$403:$A$594)*($B681=$B$403:$B$594)*("Weekend"=$D$403:$D$594),0))*WeekendDays)/DaysPerWeek</f>
        <v>1.5019095704247809E-4</v>
      </c>
      <c r="J681" s="11" cm="1">
        <f t="array" ref="J681">(INDEX(K$403:K$594,MATCH(1,($A681=$A$403:$A$594)*($B681=$B$403:$B$594)*("Weekday"=$D$403:$D$594),0))*Weekdays+INDEX(K$403:K$594,MATCH(1,($A681=$A$403:$A$594)*($B681=$B$403:$B$594)*("Weekend"=$D$403:$D$594),0))*WeekendDays)/DaysPerWeek</f>
        <v>4.847369754770375E-5</v>
      </c>
      <c r="K681" s="11" cm="1">
        <f t="array" ref="K681">(INDEX(L$403:L$594,MATCH(1,($A681=$A$403:$A$594)*($B681=$B$403:$B$594)*("Weekday"=$D$403:$D$594),0))*Weekdays+INDEX(L$403:L$594,MATCH(1,($A681=$A$403:$A$594)*($B681=$B$403:$B$594)*("Weekend"=$D$403:$D$594),0))*WeekendDays)/DaysPerWeek</f>
        <v>8.1782030740891058E-5</v>
      </c>
      <c r="L681" s="11" cm="1">
        <f t="array" ref="L681">(INDEX(M$403:M$594,MATCH(1,($A681=$A$403:$A$594)*($B681=$B$403:$B$594)*("Weekday"=$D$403:$D$594),0))*Weekdays+INDEX(M$403:M$594,MATCH(1,($A681=$A$403:$A$594)*($B681=$B$403:$B$594)*("Weekend"=$D$403:$D$594),0))*WeekendDays)/DaysPerWeek</f>
        <v>0</v>
      </c>
      <c r="M681" s="11" cm="1">
        <f t="array" ref="M681">(INDEX(N$403:N$594,MATCH(1,($A681=$A$403:$A$594)*($B681=$B$403:$B$594)*("Weekday"=$D$403:$D$594),0))*Weekdays+INDEX(N$403:N$594,MATCH(1,($A681=$A$403:$A$594)*($B681=$B$403:$B$594)*("Weekend"=$D$403:$D$594),0))*WeekendDays)/DaysPerWeek</f>
        <v>1.6399525351350804E-4</v>
      </c>
      <c r="N681" s="11" cm="1">
        <f t="array" ref="N681">(INDEX(O$403:O$594,MATCH(1,($A681=$A$403:$A$594)*($B681=$B$403:$B$594)*("Weekday"=$D$403:$D$594),0))*Weekdays+INDEX(O$403:O$594,MATCH(1,($A681=$A$403:$A$594)*($B681=$B$403:$B$594)*("Weekend"=$D$403:$D$594),0))*WeekendDays)/DaysPerWeek</f>
        <v>1.6399525351350804E-4</v>
      </c>
      <c r="O681" s="11" cm="1">
        <f t="array" ref="O681">(INDEX(P$403:P$594,MATCH(1,($A681=$A$403:$A$594)*($B681=$B$403:$B$594)*("Weekday"=$D$403:$D$594),0))*Weekdays+INDEX(P$403:P$594,MATCH(1,($A681=$A$403:$A$594)*($B681=$B$403:$B$594)*("Weekend"=$D$403:$D$594),0))*WeekendDays)/DaysPerWeek</f>
        <v>0</v>
      </c>
      <c r="P681" s="11" cm="1">
        <f t="array" ref="P681">(INDEX(Q$403:Q$594,MATCH(1,($A681=$A$403:$A$594)*($B681=$B$403:$B$594)*("Weekday"=$D$403:$D$594),0))*Weekdays+INDEX(Q$403:Q$594,MATCH(1,($A681=$A$403:$A$594)*($B681=$B$403:$B$594)*("Weekend"=$D$403:$D$594),0))*WeekendDays)/DaysPerWeek</f>
        <v>1.5009639986168351E-4</v>
      </c>
      <c r="Q681" s="11" cm="1">
        <f t="array" ref="Q681">(INDEX(R$403:R$594,MATCH(1,($A681=$A$403:$A$594)*($B681=$B$403:$B$594)*("Weekday"=$D$403:$D$594),0))*Weekdays+INDEX(R$403:R$594,MATCH(1,($A681=$A$403:$A$594)*($B681=$B$403:$B$594)*("Weekend"=$D$403:$D$594),0))*WeekendDays)/DaysPerWeek</f>
        <v>1.5009639986168357E-4</v>
      </c>
      <c r="R681" s="11" cm="1">
        <f t="array" ref="R681">(INDEX(S$403:S$594,MATCH(1,($A681=$A$403:$A$594)*($B681=$B$403:$B$594)*("Weekday"=$D$403:$D$594),0))*Weekdays+INDEX(S$403:S$594,MATCH(1,($A681=$A$403:$A$594)*($B681=$B$403:$B$594)*("Weekend"=$D$403:$D$594),0))*WeekendDays)/DaysPerWeek</f>
        <v>0</v>
      </c>
      <c r="S681" s="11" cm="1">
        <f t="array" ref="S681">(INDEX(T$403:T$594,MATCH(1,($A681=$A$403:$A$594)*($B681=$B$403:$B$594)*("Weekday"=$D$403:$D$594),0))*Weekdays+INDEX(T$403:T$594,MATCH(1,($A681=$A$403:$A$594)*($B681=$B$403:$B$594)*("Weekend"=$D$403:$D$594),0))*WeekendDays)/DaysPerWeek</f>
        <v>1.5009639986168357E-4</v>
      </c>
      <c r="T681" s="11" cm="1">
        <f t="array" ref="T681">(INDEX(U$403:U$594,MATCH(1,($A681=$A$403:$A$594)*($B681=$B$403:$B$594)*("Weekday"=$D$403:$D$594),0))*Weekdays+INDEX(U$403:U$594,MATCH(1,($A681=$A$403:$A$594)*($B681=$B$403:$B$594)*("Weekend"=$D$403:$D$594),0))*WeekendDays)/DaysPerWeek</f>
        <v>0</v>
      </c>
      <c r="U681" s="11" t="e" cm="1">
        <f t="array" ref="U681">(INDEX(V$403:V$594,MATCH(1,($A681=$A$403:$A$594)*($B681=$B$403:$B$594)*("Weekday"=$D$403:$D$594),0))*Weekdays+INDEX(V$403:V$594,MATCH(1,($A681=$A$403:$A$594)*($B681=$B$403:$B$594)*("Weekend"=$D$403:$D$594),0))*WeekendDays)/DaysPerWeek</f>
        <v>#DIV/0!</v>
      </c>
      <c r="V681" s="11" cm="1">
        <f t="array" ref="V681">(INDEX(W$403:W$594,MATCH(1,($A681=$A$403:$A$594)*($B681=$B$403:$B$594)*("Weekday"=$D$403:$D$594),0))*Weekdays+INDEX(W$403:W$594,MATCH(1,($A681=$A$403:$A$594)*($B681=$B$403:$B$594)*("Weekend"=$D$403:$D$594),0))*WeekendDays)/DaysPerWeek</f>
        <v>1.1580386835910281E-4</v>
      </c>
      <c r="W681" s="11" cm="1">
        <f t="array" ref="W681">(INDEX(X$403:X$594,MATCH(1,($A681=$A$403:$A$594)*($B681=$B$403:$B$594)*("Weekday"=$D$403:$D$594),0))*Weekdays+INDEX(X$403:X$594,MATCH(1,($A681=$A$403:$A$594)*($B681=$B$403:$B$594)*("Weekend"=$D$403:$D$594),0))*WeekendDays)/DaysPerWeek</f>
        <v>0</v>
      </c>
      <c r="X681" s="11" cm="1">
        <f t="array" ref="X681">(INDEX(Y$403:Y$594,MATCH(1,($A681=$A$403:$A$594)*($B681=$B$403:$B$594)*("Weekday"=$D$403:$D$594),0))*Weekdays+INDEX(Y$403:Y$594,MATCH(1,($A681=$A$403:$A$594)*($B681=$B$403:$B$594)*("Weekend"=$D$403:$D$594),0))*WeekendDays)/DaysPerWeek</f>
        <v>0</v>
      </c>
      <c r="Y681" s="25" t="e">
        <f t="shared" si="425"/>
        <v>#DIV/0!</v>
      </c>
      <c r="Z681" s="32" t="e">
        <f t="shared" si="424"/>
        <v>#DIV/0!</v>
      </c>
    </row>
    <row r="682" spans="1:26" outlineLevel="1" x14ac:dyDescent="0.25">
      <c r="A682" t="s">
        <v>40</v>
      </c>
      <c r="B682" t="s">
        <v>157</v>
      </c>
      <c r="C682" s="7" t="s">
        <v>9</v>
      </c>
      <c r="D682" s="11" cm="1">
        <f t="array" ref="D682">(INDEX(E$403:E$594,MATCH(1,($A682=$A$403:$A$594)*($B682=$B$403:$B$594)*("Weekday"=$D$403:$D$594),0))*Weekdays+INDEX(E$403:E$594,MATCH(1,($A682=$A$403:$A$594)*($B682=$B$403:$B$594)*("Weekend"=$D$403:$D$594),0))*WeekendDays)/DaysPerWeek</f>
        <v>4.2627817331552099E-5</v>
      </c>
      <c r="E682" s="11" cm="1">
        <f t="array" ref="E682">(INDEX(F$403:F$594,MATCH(1,($A682=$A$403:$A$594)*($B682=$B$403:$B$594)*("Weekday"=$D$403:$D$594),0))*Weekdays+INDEX(F$403:F$594,MATCH(1,($A682=$A$403:$A$594)*($B682=$B$403:$B$594)*("Weekend"=$D$403:$D$594),0))*WeekendDays)/DaysPerWeek</f>
        <v>7.9653337475886122E-5</v>
      </c>
      <c r="F682" s="11" cm="1">
        <f t="array" ref="F682">(INDEX(G$403:G$594,MATCH(1,($A682=$A$403:$A$594)*($B682=$B$403:$B$594)*("Weekday"=$D$403:$D$594),0))*Weekdays+INDEX(G$403:G$594,MATCH(1,($A682=$A$403:$A$594)*($B682=$B$403:$B$594)*("Weekend"=$D$403:$D$594),0))*WeekendDays)/DaysPerWeek</f>
        <v>0</v>
      </c>
      <c r="G682" s="11" cm="1">
        <f t="array" ref="G682">(INDEX(H$403:H$594,MATCH(1,($A682=$A$403:$A$594)*($B682=$B$403:$B$594)*("Weekday"=$D$403:$D$594),0))*Weekdays+INDEX(H$403:H$594,MATCH(1,($A682=$A$403:$A$594)*($B682=$B$403:$B$594)*("Weekend"=$D$403:$D$594),0))*WeekendDays)/DaysPerWeek</f>
        <v>5.718251826028226E-5</v>
      </c>
      <c r="H682" s="11" cm="1">
        <f t="array" ref="H682">(INDEX(I$403:I$594,MATCH(1,($A682=$A$403:$A$594)*($B682=$B$403:$B$594)*("Weekday"=$D$403:$D$594),0))*Weekdays+INDEX(I$403:I$594,MATCH(1,($A682=$A$403:$A$594)*($B682=$B$403:$B$594)*("Weekend"=$D$403:$D$594),0))*WeekendDays)/DaysPerWeek</f>
        <v>1.4771358043146811E-4</v>
      </c>
      <c r="I682" s="11" cm="1">
        <f t="array" ref="I682">(INDEX(J$403:J$594,MATCH(1,($A682=$A$403:$A$594)*($B682=$B$403:$B$594)*("Weekday"=$D$403:$D$594),0))*Weekdays+INDEX(J$403:J$594,MATCH(1,($A682=$A$403:$A$594)*($B682=$B$403:$B$594)*("Weekend"=$D$403:$D$594),0))*WeekendDays)/DaysPerWeek</f>
        <v>1.4771358043146811E-4</v>
      </c>
      <c r="J682" s="11" cm="1">
        <f t="array" ref="J682">(INDEX(K$403:K$594,MATCH(1,($A682=$A$403:$A$594)*($B682=$B$403:$B$594)*("Weekday"=$D$403:$D$594),0))*Weekdays+INDEX(K$403:K$594,MATCH(1,($A682=$A$403:$A$594)*($B682=$B$403:$B$594)*("Weekend"=$D$403:$D$594),0))*WeekendDays)/DaysPerWeek</f>
        <v>3.943202547843811E-5</v>
      </c>
      <c r="K682" s="11" cm="1">
        <f t="array" ref="K682">(INDEX(L$403:L$594,MATCH(1,($A682=$A$403:$A$594)*($B682=$B$403:$B$594)*("Weekday"=$D$403:$D$594),0))*Weekdays+INDEX(L$403:L$594,MATCH(1,($A682=$A$403:$A$594)*($B682=$B$403:$B$594)*("Weekend"=$D$403:$D$594),0))*WeekendDays)/DaysPerWeek</f>
        <v>9.1039977711187219E-5</v>
      </c>
      <c r="L682" s="11" cm="1">
        <f t="array" ref="L682">(INDEX(M$403:M$594,MATCH(1,($A682=$A$403:$A$594)*($B682=$B$403:$B$594)*("Weekday"=$D$403:$D$594),0))*Weekdays+INDEX(M$403:M$594,MATCH(1,($A682=$A$403:$A$594)*($B682=$B$403:$B$594)*("Weekend"=$D$403:$D$594),0))*WeekendDays)/DaysPerWeek</f>
        <v>0</v>
      </c>
      <c r="M682" s="11" cm="1">
        <f t="array" ref="M682">(INDEX(N$403:N$594,MATCH(1,($A682=$A$403:$A$594)*($B682=$B$403:$B$594)*("Weekday"=$D$403:$D$594),0))*Weekdays+INDEX(N$403:N$594,MATCH(1,($A682=$A$403:$A$594)*($B682=$B$403:$B$594)*("Weekend"=$D$403:$D$594),0))*WeekendDays)/DaysPerWeek</f>
        <v>1.6314100684645618E-4</v>
      </c>
      <c r="N682" s="11" cm="1">
        <f t="array" ref="N682">(INDEX(O$403:O$594,MATCH(1,($A682=$A$403:$A$594)*($B682=$B$403:$B$594)*("Weekday"=$D$403:$D$594),0))*Weekdays+INDEX(O$403:O$594,MATCH(1,($A682=$A$403:$A$594)*($B682=$B$403:$B$594)*("Weekend"=$D$403:$D$594),0))*WeekendDays)/DaysPerWeek</f>
        <v>1.6314100684645618E-4</v>
      </c>
      <c r="O682" s="11" cm="1">
        <f t="array" ref="O682">(INDEX(P$403:P$594,MATCH(1,($A682=$A$403:$A$594)*($B682=$B$403:$B$594)*("Weekday"=$D$403:$D$594),0))*Weekdays+INDEX(P$403:P$594,MATCH(1,($A682=$A$403:$A$594)*($B682=$B$403:$B$594)*("Weekend"=$D$403:$D$594),0))*WeekendDays)/DaysPerWeek</f>
        <v>0</v>
      </c>
      <c r="P682" s="11" cm="1">
        <f t="array" ref="P682">(INDEX(Q$403:Q$594,MATCH(1,($A682=$A$403:$A$594)*($B682=$B$403:$B$594)*("Weekday"=$D$403:$D$594),0))*Weekdays+INDEX(Q$403:Q$594,MATCH(1,($A682=$A$403:$A$594)*($B682=$B$403:$B$594)*("Weekend"=$D$403:$D$594),0))*WeekendDays)/DaysPerWeek</f>
        <v>1.3107141743442851E-4</v>
      </c>
      <c r="Q682" s="11" cm="1">
        <f t="array" ref="Q682">(INDEX(R$403:R$594,MATCH(1,($A682=$A$403:$A$594)*($B682=$B$403:$B$594)*("Weekday"=$D$403:$D$594),0))*Weekdays+INDEX(R$403:R$594,MATCH(1,($A682=$A$403:$A$594)*($B682=$B$403:$B$594)*("Weekend"=$D$403:$D$594),0))*WeekendDays)/DaysPerWeek</f>
        <v>1.3107141743442854E-4</v>
      </c>
      <c r="R682" s="11" cm="1">
        <f t="array" ref="R682">(INDEX(S$403:S$594,MATCH(1,($A682=$A$403:$A$594)*($B682=$B$403:$B$594)*("Weekday"=$D$403:$D$594),0))*Weekdays+INDEX(S$403:S$594,MATCH(1,($A682=$A$403:$A$594)*($B682=$B$403:$B$594)*("Weekend"=$D$403:$D$594),0))*WeekendDays)/DaysPerWeek</f>
        <v>0</v>
      </c>
      <c r="S682" s="11" cm="1">
        <f t="array" ref="S682">(INDEX(T$403:T$594,MATCH(1,($A682=$A$403:$A$594)*($B682=$B$403:$B$594)*("Weekday"=$D$403:$D$594),0))*Weekdays+INDEX(T$403:T$594,MATCH(1,($A682=$A$403:$A$594)*($B682=$B$403:$B$594)*("Weekend"=$D$403:$D$594),0))*WeekendDays)/DaysPerWeek</f>
        <v>1.3107141743442854E-4</v>
      </c>
      <c r="T682" s="11" cm="1">
        <f t="array" ref="T682">(INDEX(U$403:U$594,MATCH(1,($A682=$A$403:$A$594)*($B682=$B$403:$B$594)*("Weekday"=$D$403:$D$594),0))*Weekdays+INDEX(U$403:U$594,MATCH(1,($A682=$A$403:$A$594)*($B682=$B$403:$B$594)*("Weekend"=$D$403:$D$594),0))*WeekendDays)/DaysPerWeek</f>
        <v>0</v>
      </c>
      <c r="U682" s="11" t="e" cm="1">
        <f t="array" ref="U682">(INDEX(V$403:V$594,MATCH(1,($A682=$A$403:$A$594)*($B682=$B$403:$B$594)*("Weekday"=$D$403:$D$594),0))*Weekdays+INDEX(V$403:V$594,MATCH(1,($A682=$A$403:$A$594)*($B682=$B$403:$B$594)*("Weekend"=$D$403:$D$594),0))*WeekendDays)/DaysPerWeek</f>
        <v>#DIV/0!</v>
      </c>
      <c r="V682" s="11" cm="1">
        <f t="array" ref="V682">(INDEX(W$403:W$594,MATCH(1,($A682=$A$403:$A$594)*($B682=$B$403:$B$594)*("Weekday"=$D$403:$D$594),0))*Weekdays+INDEX(W$403:W$594,MATCH(1,($A682=$A$403:$A$594)*($B682=$B$403:$B$594)*("Weekend"=$D$403:$D$594),0))*WeekendDays)/DaysPerWeek</f>
        <v>1.1535062425593607E-4</v>
      </c>
      <c r="W682" s="11" cm="1">
        <f t="array" ref="W682">(INDEX(X$403:X$594,MATCH(1,($A682=$A$403:$A$594)*($B682=$B$403:$B$594)*("Weekday"=$D$403:$D$594),0))*Weekdays+INDEX(X$403:X$594,MATCH(1,($A682=$A$403:$A$594)*($B682=$B$403:$B$594)*("Weekend"=$D$403:$D$594),0))*WeekendDays)/DaysPerWeek</f>
        <v>0</v>
      </c>
      <c r="X682" s="11" cm="1">
        <f t="array" ref="X682">(INDEX(Y$403:Y$594,MATCH(1,($A682=$A$403:$A$594)*($B682=$B$403:$B$594)*("Weekday"=$D$403:$D$594),0))*Weekdays+INDEX(Y$403:Y$594,MATCH(1,($A682=$A$403:$A$594)*($B682=$B$403:$B$594)*("Weekend"=$D$403:$D$594),0))*WeekendDays)/DaysPerWeek</f>
        <v>0</v>
      </c>
      <c r="Y682" s="25" t="e">
        <f t="shared" si="425"/>
        <v>#DIV/0!</v>
      </c>
      <c r="Z682" s="32" t="e">
        <f t="shared" si="424"/>
        <v>#DIV/0!</v>
      </c>
    </row>
    <row r="683" spans="1:26" outlineLevel="1" x14ac:dyDescent="0.25">
      <c r="A683" t="s">
        <v>40</v>
      </c>
      <c r="B683" t="s">
        <v>158</v>
      </c>
      <c r="C683" s="7" t="s">
        <v>10</v>
      </c>
      <c r="D683" s="11" cm="1">
        <f t="array" ref="D683">(INDEX(E$403:E$594,MATCH(1,($A683=$A$403:$A$594)*($B683=$B$403:$B$594)*("Weekday"=$D$403:$D$594),0))*Weekdays+INDEX(E$403:E$594,MATCH(1,($A683=$A$403:$A$594)*($B683=$B$403:$B$594)*("Weekend"=$D$403:$D$594),0))*WeekendDays)/DaysPerWeek</f>
        <v>3.92706700732359E-5</v>
      </c>
      <c r="E683" s="11" cm="1">
        <f t="array" ref="E683">(INDEX(F$403:F$594,MATCH(1,($A683=$A$403:$A$594)*($B683=$B$403:$B$594)*("Weekday"=$D$403:$D$594),0))*Weekdays+INDEX(F$403:F$594,MATCH(1,($A683=$A$403:$A$594)*($B683=$B$403:$B$594)*("Weekend"=$D$403:$D$594),0))*WeekendDays)/DaysPerWeek</f>
        <v>1.0557134703153272E-4</v>
      </c>
      <c r="F683" s="11" cm="1">
        <f t="array" ref="F683">(INDEX(G$403:G$594,MATCH(1,($A683=$A$403:$A$594)*($B683=$B$403:$B$594)*("Weekday"=$D$403:$D$594),0))*Weekdays+INDEX(G$403:G$594,MATCH(1,($A683=$A$403:$A$594)*($B683=$B$403:$B$594)*("Weekend"=$D$403:$D$594),0))*WeekendDays)/DaysPerWeek</f>
        <v>0</v>
      </c>
      <c r="G683" s="11" cm="1">
        <f t="array" ref="G683">(INDEX(H$403:H$594,MATCH(1,($A683=$A$403:$A$594)*($B683=$B$403:$B$594)*("Weekday"=$D$403:$D$594),0))*Weekdays+INDEX(H$403:H$594,MATCH(1,($A683=$A$403:$A$594)*($B683=$B$403:$B$594)*("Weekend"=$D$403:$D$594),0))*WeekendDays)/DaysPerWeek</f>
        <v>6.1791849938385546E-5</v>
      </c>
      <c r="H683" s="11" cm="1">
        <f t="array" ref="H683">(INDEX(I$403:I$594,MATCH(1,($A683=$A$403:$A$594)*($B683=$B$403:$B$594)*("Weekday"=$D$403:$D$594),0))*Weekdays+INDEX(I$403:I$594,MATCH(1,($A683=$A$403:$A$594)*($B683=$B$403:$B$594)*("Weekend"=$D$403:$D$594),0))*WeekendDays)/DaysPerWeek</f>
        <v>1.3220126072101358E-4</v>
      </c>
      <c r="I683" s="11" cm="1">
        <f t="array" ref="I683">(INDEX(J$403:J$594,MATCH(1,($A683=$A$403:$A$594)*($B683=$B$403:$B$594)*("Weekday"=$D$403:$D$594),0))*Weekdays+INDEX(J$403:J$594,MATCH(1,($A683=$A$403:$A$594)*($B683=$B$403:$B$594)*("Weekend"=$D$403:$D$594),0))*WeekendDays)/DaysPerWeek</f>
        <v>1.3220126072101358E-4</v>
      </c>
      <c r="J683" s="11" cm="1">
        <f t="array" ref="J683">(INDEX(K$403:K$594,MATCH(1,($A683=$A$403:$A$594)*($B683=$B$403:$B$594)*("Weekday"=$D$403:$D$594),0))*Weekdays+INDEX(K$403:K$594,MATCH(1,($A683=$A$403:$A$594)*($B683=$B$403:$B$594)*("Weekend"=$D$403:$D$594),0))*WeekendDays)/DaysPerWeek</f>
        <v>3.2875415324912279E-5</v>
      </c>
      <c r="K683" s="11" cm="1">
        <f t="array" ref="K683">(INDEX(L$403:L$594,MATCH(1,($A683=$A$403:$A$594)*($B683=$B$403:$B$594)*("Weekday"=$D$403:$D$594),0))*Weekdays+INDEX(L$403:L$594,MATCH(1,($A683=$A$403:$A$594)*($B683=$B$403:$B$594)*("Weekend"=$D$403:$D$594),0))*WeekendDays)/DaysPerWeek</f>
        <v>9.7193728523184571E-5</v>
      </c>
      <c r="L683" s="11" cm="1">
        <f t="array" ref="L683">(INDEX(M$403:M$594,MATCH(1,($A683=$A$403:$A$594)*($B683=$B$403:$B$594)*("Weekday"=$D$403:$D$594),0))*Weekdays+INDEX(M$403:M$594,MATCH(1,($A683=$A$403:$A$594)*($B683=$B$403:$B$594)*("Weekend"=$D$403:$D$594),0))*WeekendDays)/DaysPerWeek</f>
        <v>0</v>
      </c>
      <c r="M683" s="11" cm="1">
        <f t="array" ref="M683">(INDEX(N$403:N$594,MATCH(1,($A683=$A$403:$A$594)*($B683=$B$403:$B$594)*("Weekday"=$D$403:$D$594),0))*Weekdays+INDEX(N$403:N$594,MATCH(1,($A683=$A$403:$A$594)*($B683=$B$403:$B$594)*("Weekend"=$D$403:$D$594),0))*WeekendDays)/DaysPerWeek</f>
        <v>1.6278127248803561E-4</v>
      </c>
      <c r="N683" s="11" cm="1">
        <f t="array" ref="N683">(INDEX(O$403:O$594,MATCH(1,($A683=$A$403:$A$594)*($B683=$B$403:$B$594)*("Weekday"=$D$403:$D$594),0))*Weekdays+INDEX(O$403:O$594,MATCH(1,($A683=$A$403:$A$594)*($B683=$B$403:$B$594)*("Weekend"=$D$403:$D$594),0))*WeekendDays)/DaysPerWeek</f>
        <v>1.6278127248803561E-4</v>
      </c>
      <c r="O683" s="11" cm="1">
        <f t="array" ref="O683">(INDEX(P$403:P$594,MATCH(1,($A683=$A$403:$A$594)*($B683=$B$403:$B$594)*("Weekday"=$D$403:$D$594),0))*Weekdays+INDEX(P$403:P$594,MATCH(1,($A683=$A$403:$A$594)*($B683=$B$403:$B$594)*("Weekend"=$D$403:$D$594),0))*WeekendDays)/DaysPerWeek</f>
        <v>0</v>
      </c>
      <c r="P683" s="11" cm="1">
        <f t="array" ref="P683">(INDEX(Q$403:Q$594,MATCH(1,($A683=$A$403:$A$594)*($B683=$B$403:$B$594)*("Weekday"=$D$403:$D$594),0))*Weekdays+INDEX(Q$403:Q$594,MATCH(1,($A683=$A$403:$A$594)*($B683=$B$403:$B$594)*("Weekend"=$D$403:$D$594),0))*WeekendDays)/DaysPerWeek</f>
        <v>1.3243595671030703E-4</v>
      </c>
      <c r="Q683" s="11" cm="1">
        <f t="array" ref="Q683">(INDEX(R$403:R$594,MATCH(1,($A683=$A$403:$A$594)*($B683=$B$403:$B$594)*("Weekday"=$D$403:$D$594),0))*Weekdays+INDEX(R$403:R$594,MATCH(1,($A683=$A$403:$A$594)*($B683=$B$403:$B$594)*("Weekend"=$D$403:$D$594),0))*WeekendDays)/DaysPerWeek</f>
        <v>1.3243595671030706E-4</v>
      </c>
      <c r="R683" s="11" cm="1">
        <f t="array" ref="R683">(INDEX(S$403:S$594,MATCH(1,($A683=$A$403:$A$594)*($B683=$B$403:$B$594)*("Weekday"=$D$403:$D$594),0))*Weekdays+INDEX(S$403:S$594,MATCH(1,($A683=$A$403:$A$594)*($B683=$B$403:$B$594)*("Weekend"=$D$403:$D$594),0))*WeekendDays)/DaysPerWeek</f>
        <v>0</v>
      </c>
      <c r="S683" s="11" cm="1">
        <f t="array" ref="S683">(INDEX(T$403:T$594,MATCH(1,($A683=$A$403:$A$594)*($B683=$B$403:$B$594)*("Weekday"=$D$403:$D$594),0))*Weekdays+INDEX(T$403:T$594,MATCH(1,($A683=$A$403:$A$594)*($B683=$B$403:$B$594)*("Weekend"=$D$403:$D$594),0))*WeekendDays)/DaysPerWeek</f>
        <v>1.3243595671030706E-4</v>
      </c>
      <c r="T683" s="11" cm="1">
        <f t="array" ref="T683">(INDEX(U$403:U$594,MATCH(1,($A683=$A$403:$A$594)*($B683=$B$403:$B$594)*("Weekday"=$D$403:$D$594),0))*Weekdays+INDEX(U$403:U$594,MATCH(1,($A683=$A$403:$A$594)*($B683=$B$403:$B$594)*("Weekend"=$D$403:$D$594),0))*WeekendDays)/DaysPerWeek</f>
        <v>0</v>
      </c>
      <c r="U683" s="11" t="e" cm="1">
        <f t="array" ref="U683">(INDEX(V$403:V$594,MATCH(1,($A683=$A$403:$A$594)*($B683=$B$403:$B$594)*("Weekday"=$D$403:$D$594),0))*Weekdays+INDEX(V$403:V$594,MATCH(1,($A683=$A$403:$A$594)*($B683=$B$403:$B$594)*("Weekend"=$D$403:$D$594),0))*WeekendDays)/DaysPerWeek</f>
        <v>#DIV/0!</v>
      </c>
      <c r="V683" s="11" cm="1">
        <f t="array" ref="V683">(INDEX(W$403:W$594,MATCH(1,($A683=$A$403:$A$594)*($B683=$B$403:$B$594)*("Weekday"=$D$403:$D$594),0))*Weekdays+INDEX(W$403:W$594,MATCH(1,($A683=$A$403:$A$594)*($B683=$B$403:$B$594)*("Weekend"=$D$403:$D$594),0))*WeekendDays)/DaysPerWeek</f>
        <v>1.15010691178561E-4</v>
      </c>
      <c r="W683" s="11" cm="1">
        <f t="array" ref="W683">(INDEX(X$403:X$594,MATCH(1,($A683=$A$403:$A$594)*($B683=$B$403:$B$594)*("Weekday"=$D$403:$D$594),0))*Weekdays+INDEX(X$403:X$594,MATCH(1,($A683=$A$403:$A$594)*($B683=$B$403:$B$594)*("Weekend"=$D$403:$D$594),0))*WeekendDays)/DaysPerWeek</f>
        <v>0</v>
      </c>
      <c r="X683" s="11" cm="1">
        <f t="array" ref="X683">(INDEX(Y$403:Y$594,MATCH(1,($A683=$A$403:$A$594)*($B683=$B$403:$B$594)*("Weekday"=$D$403:$D$594),0))*Weekdays+INDEX(Y$403:Y$594,MATCH(1,($A683=$A$403:$A$594)*($B683=$B$403:$B$594)*("Weekend"=$D$403:$D$594),0))*WeekendDays)/DaysPerWeek</f>
        <v>0</v>
      </c>
      <c r="Y683" s="25" t="e">
        <f t="shared" si="425"/>
        <v>#DIV/0!</v>
      </c>
      <c r="Z683" s="32" t="e">
        <f t="shared" si="424"/>
        <v>#DIV/0!</v>
      </c>
    </row>
    <row r="684" spans="1:26" outlineLevel="1" x14ac:dyDescent="0.25">
      <c r="A684" t="s">
        <v>40</v>
      </c>
      <c r="B684" t="s">
        <v>159</v>
      </c>
      <c r="C684" s="7" t="s">
        <v>11</v>
      </c>
      <c r="D684" s="11" cm="1">
        <f t="array" ref="D684">(INDEX(E$403:E$594,MATCH(1,($A684=$A$403:$A$594)*($B684=$B$403:$B$594)*("Weekday"=$D$403:$D$594),0))*Weekdays+INDEX(E$403:E$594,MATCH(1,($A684=$A$403:$A$594)*($B684=$B$403:$B$594)*("Weekend"=$D$403:$D$594),0))*WeekendDays)/DaysPerWeek</f>
        <v>4.0307166608791676E-5</v>
      </c>
      <c r="E684" s="11" cm="1">
        <f t="array" ref="E684">(INDEX(F$403:F$594,MATCH(1,($A684=$A$403:$A$594)*($B684=$B$403:$B$594)*("Weekday"=$D$403:$D$594),0))*Weekdays+INDEX(F$403:F$594,MATCH(1,($A684=$A$403:$A$594)*($B684=$B$403:$B$594)*("Weekend"=$D$403:$D$594),0))*WeekendDays)/DaysPerWeek</f>
        <v>1.300734395857904E-4</v>
      </c>
      <c r="F684" s="11" cm="1">
        <f t="array" ref="F684">(INDEX(G$403:G$594,MATCH(1,($A684=$A$403:$A$594)*($B684=$B$403:$B$594)*("Weekday"=$D$403:$D$594),0))*Weekdays+INDEX(G$403:G$594,MATCH(1,($A684=$A$403:$A$594)*($B684=$B$403:$B$594)*("Weekend"=$D$403:$D$594),0))*WeekendDays)/DaysPerWeek</f>
        <v>0</v>
      </c>
      <c r="G684" s="11" cm="1">
        <f t="array" ref="G684">(INDEX(H$403:H$594,MATCH(1,($A684=$A$403:$A$594)*($B684=$B$403:$B$594)*("Weekday"=$D$403:$D$594),0))*Weekdays+INDEX(H$403:H$594,MATCH(1,($A684=$A$403:$A$594)*($B684=$B$403:$B$594)*("Weekend"=$D$403:$D$594),0))*WeekendDays)/DaysPerWeek</f>
        <v>6.472414836497925E-5</v>
      </c>
      <c r="H684" s="11" cm="1">
        <f t="array" ref="H684">(INDEX(I$403:I$594,MATCH(1,($A684=$A$403:$A$594)*($B684=$B$403:$B$594)*("Weekday"=$D$403:$D$594),0))*Weekdays+INDEX(I$403:I$594,MATCH(1,($A684=$A$403:$A$594)*($B684=$B$403:$B$594)*("Weekend"=$D$403:$D$594),0))*WeekendDays)/DaysPerWeek</f>
        <v>1.1330794747412473E-4</v>
      </c>
      <c r="I684" s="11" cm="1">
        <f t="array" ref="I684">(INDEX(J$403:J$594,MATCH(1,($A684=$A$403:$A$594)*($B684=$B$403:$B$594)*("Weekday"=$D$403:$D$594),0))*Weekdays+INDEX(J$403:J$594,MATCH(1,($A684=$A$403:$A$594)*($B684=$B$403:$B$594)*("Weekend"=$D$403:$D$594),0))*WeekendDays)/DaysPerWeek</f>
        <v>1.1330794747412473E-4</v>
      </c>
      <c r="J684" s="11" cm="1">
        <f t="array" ref="J684">(INDEX(K$403:K$594,MATCH(1,($A684=$A$403:$A$594)*($B684=$B$403:$B$594)*("Weekday"=$D$403:$D$594),0))*Weekdays+INDEX(K$403:K$594,MATCH(1,($A684=$A$403:$A$594)*($B684=$B$403:$B$594)*("Weekend"=$D$403:$D$594),0))*WeekendDays)/DaysPerWeek</f>
        <v>2.9526131933231821E-5</v>
      </c>
      <c r="K684" s="11" cm="1">
        <f t="array" ref="K684">(INDEX(L$403:L$594,MATCH(1,($A684=$A$403:$A$594)*($B684=$B$403:$B$594)*("Weekday"=$D$403:$D$594),0))*Weekdays+INDEX(L$403:L$594,MATCH(1,($A684=$A$403:$A$594)*($B684=$B$403:$B$594)*("Weekend"=$D$403:$D$594),0))*WeekendDays)/DaysPerWeek</f>
        <v>9.9829109876981302E-5</v>
      </c>
      <c r="L684" s="11" cm="1">
        <f t="array" ref="L684">(INDEX(M$403:M$594,MATCH(1,($A684=$A$403:$A$594)*($B684=$B$403:$B$594)*("Weekday"=$D$403:$D$594),0))*Weekdays+INDEX(M$403:M$594,MATCH(1,($A684=$A$403:$A$594)*($B684=$B$403:$B$594)*("Weekend"=$D$403:$D$594),0))*WeekendDays)/DaysPerWeek</f>
        <v>0</v>
      </c>
      <c r="M684" s="11" cm="1">
        <f t="array" ref="M684">(INDEX(N$403:N$594,MATCH(1,($A684=$A$403:$A$594)*($B684=$B$403:$B$594)*("Weekday"=$D$403:$D$594),0))*Weekdays+INDEX(N$403:N$594,MATCH(1,($A684=$A$403:$A$594)*($B684=$B$403:$B$594)*("Weekend"=$D$403:$D$594),0))*WeekendDays)/DaysPerWeek</f>
        <v>1.6068781088063644E-4</v>
      </c>
      <c r="N684" s="11" cm="1">
        <f t="array" ref="N684">(INDEX(O$403:O$594,MATCH(1,($A684=$A$403:$A$594)*($B684=$B$403:$B$594)*("Weekday"=$D$403:$D$594),0))*Weekdays+INDEX(O$403:O$594,MATCH(1,($A684=$A$403:$A$594)*($B684=$B$403:$B$594)*("Weekend"=$D$403:$D$594),0))*WeekendDays)/DaysPerWeek</f>
        <v>1.6068781088063644E-4</v>
      </c>
      <c r="O684" s="11" cm="1">
        <f t="array" ref="O684">(INDEX(P$403:P$594,MATCH(1,($A684=$A$403:$A$594)*($B684=$B$403:$B$594)*("Weekday"=$D$403:$D$594),0))*Weekdays+INDEX(P$403:P$594,MATCH(1,($A684=$A$403:$A$594)*($B684=$B$403:$B$594)*("Weekend"=$D$403:$D$594),0))*WeekendDays)/DaysPerWeek</f>
        <v>0</v>
      </c>
      <c r="P684" s="11" cm="1">
        <f t="array" ref="P684">(INDEX(Q$403:Q$594,MATCH(1,($A684=$A$403:$A$594)*($B684=$B$403:$B$594)*("Weekday"=$D$403:$D$594),0))*Weekdays+INDEX(Q$403:Q$594,MATCH(1,($A684=$A$403:$A$594)*($B684=$B$403:$B$594)*("Weekend"=$D$403:$D$594),0))*WeekendDays)/DaysPerWeek</f>
        <v>1.3336844087012895E-4</v>
      </c>
      <c r="Q684" s="11" cm="1">
        <f t="array" ref="Q684">(INDEX(R$403:R$594,MATCH(1,($A684=$A$403:$A$594)*($B684=$B$403:$B$594)*("Weekday"=$D$403:$D$594),0))*Weekdays+INDEX(R$403:R$594,MATCH(1,($A684=$A$403:$A$594)*($B684=$B$403:$B$594)*("Weekend"=$D$403:$D$594),0))*WeekendDays)/DaysPerWeek</f>
        <v>1.3336844087012898E-4</v>
      </c>
      <c r="R684" s="11" cm="1">
        <f t="array" ref="R684">(INDEX(S$403:S$594,MATCH(1,($A684=$A$403:$A$594)*($B684=$B$403:$B$594)*("Weekday"=$D$403:$D$594),0))*Weekdays+INDEX(S$403:S$594,MATCH(1,($A684=$A$403:$A$594)*($B684=$B$403:$B$594)*("Weekend"=$D$403:$D$594),0))*WeekendDays)/DaysPerWeek</f>
        <v>0</v>
      </c>
      <c r="S684" s="11" cm="1">
        <f t="array" ref="S684">(INDEX(T$403:T$594,MATCH(1,($A684=$A$403:$A$594)*($B684=$B$403:$B$594)*("Weekday"=$D$403:$D$594),0))*Weekdays+INDEX(T$403:T$594,MATCH(1,($A684=$A$403:$A$594)*($B684=$B$403:$B$594)*("Weekend"=$D$403:$D$594),0))*WeekendDays)/DaysPerWeek</f>
        <v>1.3336844087012901E-4</v>
      </c>
      <c r="T684" s="11" cm="1">
        <f t="array" ref="T684">(INDEX(U$403:U$594,MATCH(1,($A684=$A$403:$A$594)*($B684=$B$403:$B$594)*("Weekday"=$D$403:$D$594),0))*Weekdays+INDEX(U$403:U$594,MATCH(1,($A684=$A$403:$A$594)*($B684=$B$403:$B$594)*("Weekend"=$D$403:$D$594),0))*WeekendDays)/DaysPerWeek</f>
        <v>0</v>
      </c>
      <c r="U684" s="11" t="e" cm="1">
        <f t="array" ref="U684">(INDEX(V$403:V$594,MATCH(1,($A684=$A$403:$A$594)*($B684=$B$403:$B$594)*("Weekday"=$D$403:$D$594),0))*Weekdays+INDEX(V$403:V$594,MATCH(1,($A684=$A$403:$A$594)*($B684=$B$403:$B$594)*("Weekend"=$D$403:$D$594),0))*WeekendDays)/DaysPerWeek</f>
        <v>#DIV/0!</v>
      </c>
      <c r="V684" s="11" cm="1">
        <f t="array" ref="V684">(INDEX(W$403:W$594,MATCH(1,($A684=$A$403:$A$594)*($B684=$B$403:$B$594)*("Weekday"=$D$403:$D$594),0))*Weekdays+INDEX(W$403:W$594,MATCH(1,($A684=$A$403:$A$594)*($B684=$B$403:$B$594)*("Weekend"=$D$403:$D$594),0))*WeekendDays)/DaysPerWeek</f>
        <v>1.1478406912697764E-4</v>
      </c>
      <c r="W684" s="11" cm="1">
        <f t="array" ref="W684">(INDEX(X$403:X$594,MATCH(1,($A684=$A$403:$A$594)*($B684=$B$403:$B$594)*("Weekday"=$D$403:$D$594),0))*Weekdays+INDEX(X$403:X$594,MATCH(1,($A684=$A$403:$A$594)*($B684=$B$403:$B$594)*("Weekend"=$D$403:$D$594),0))*WeekendDays)/DaysPerWeek</f>
        <v>0</v>
      </c>
      <c r="X684" s="11" cm="1">
        <f t="array" ref="X684">(INDEX(Y$403:Y$594,MATCH(1,($A684=$A$403:$A$594)*($B684=$B$403:$B$594)*("Weekday"=$D$403:$D$594),0))*Weekdays+INDEX(Y$403:Y$594,MATCH(1,($A684=$A$403:$A$594)*($B684=$B$403:$B$594)*("Weekend"=$D$403:$D$594),0))*WeekendDays)/DaysPerWeek</f>
        <v>0</v>
      </c>
      <c r="Y684" s="25" t="e">
        <f t="shared" si="425"/>
        <v>#DIV/0!</v>
      </c>
      <c r="Z684" s="32" t="e">
        <f t="shared" si="424"/>
        <v>#DIV/0!</v>
      </c>
    </row>
    <row r="685" spans="1:26" outlineLevel="1" x14ac:dyDescent="0.25">
      <c r="A685" t="s">
        <v>40</v>
      </c>
      <c r="B685" t="s">
        <v>160</v>
      </c>
      <c r="C685" s="7" t="s">
        <v>12</v>
      </c>
      <c r="D685" s="11" cm="1">
        <f t="array" ref="D685">(INDEX(E$403:E$594,MATCH(1,($A685=$A$403:$A$594)*($B685=$B$403:$B$594)*("Weekday"=$D$403:$D$594),0))*Weekdays+INDEX(E$403:E$594,MATCH(1,($A685=$A$403:$A$594)*($B685=$B$403:$B$594)*("Weekend"=$D$403:$D$594),0))*WeekendDays)/DaysPerWeek</f>
        <v>4.0494266542424012E-5</v>
      </c>
      <c r="E685" s="11" cm="1">
        <f t="array" ref="E685">(INDEX(F$403:F$594,MATCH(1,($A685=$A$403:$A$594)*($B685=$B$403:$B$594)*("Weekday"=$D$403:$D$594),0))*Weekdays+INDEX(F$403:F$594,MATCH(1,($A685=$A$403:$A$594)*($B685=$B$403:$B$594)*("Weekend"=$D$403:$D$594),0))*WeekendDays)/DaysPerWeek</f>
        <v>1.4444028667656247E-4</v>
      </c>
      <c r="F685" s="11" cm="1">
        <f t="array" ref="F685">(INDEX(G$403:G$594,MATCH(1,($A685=$A$403:$A$594)*($B685=$B$403:$B$594)*("Weekday"=$D$403:$D$594),0))*Weekdays+INDEX(G$403:G$594,MATCH(1,($A685=$A$403:$A$594)*($B685=$B$403:$B$594)*("Weekend"=$D$403:$D$594),0))*WeekendDays)/DaysPerWeek</f>
        <v>0</v>
      </c>
      <c r="G685" s="11" cm="1">
        <f t="array" ref="G685">(INDEX(H$403:H$594,MATCH(1,($A685=$A$403:$A$594)*($B685=$B$403:$B$594)*("Weekday"=$D$403:$D$594),0))*Weekdays+INDEX(H$403:H$594,MATCH(1,($A685=$A$403:$A$594)*($B685=$B$403:$B$594)*("Weekend"=$D$403:$D$594),0))*WeekendDays)/DaysPerWeek</f>
        <v>6.5025580636204531E-5</v>
      </c>
      <c r="H685" s="11" cm="1">
        <f t="array" ref="H685">(INDEX(I$403:I$594,MATCH(1,($A685=$A$403:$A$594)*($B685=$B$403:$B$594)*("Weekday"=$D$403:$D$594),0))*Weekdays+INDEX(I$403:I$594,MATCH(1,($A685=$A$403:$A$594)*($B685=$B$403:$B$594)*("Weekend"=$D$403:$D$594),0))*WeekendDays)/DaysPerWeek</f>
        <v>9.8371568278197784E-5</v>
      </c>
      <c r="I685" s="11" cm="1">
        <f t="array" ref="I685">(INDEX(J$403:J$594,MATCH(1,($A685=$A$403:$A$594)*($B685=$B$403:$B$594)*("Weekday"=$D$403:$D$594),0))*Weekdays+INDEX(J$403:J$594,MATCH(1,($A685=$A$403:$A$594)*($B685=$B$403:$B$594)*("Weekend"=$D$403:$D$594),0))*WeekendDays)/DaysPerWeek</f>
        <v>9.8371568278197784E-5</v>
      </c>
      <c r="J685" s="11" cm="1">
        <f t="array" ref="J685">(INDEX(K$403:K$594,MATCH(1,($A685=$A$403:$A$594)*($B685=$B$403:$B$594)*("Weekday"=$D$403:$D$594),0))*Weekdays+INDEX(K$403:K$594,MATCH(1,($A685=$A$403:$A$594)*($B685=$B$403:$B$594)*("Weekend"=$D$403:$D$594),0))*WeekendDays)/DaysPerWeek</f>
        <v>2.7160252926441361E-5</v>
      </c>
      <c r="K685" s="11" cm="1">
        <f t="array" ref="K685">(INDEX(L$403:L$594,MATCH(1,($A685=$A$403:$A$594)*($B685=$B$403:$B$594)*("Weekday"=$D$403:$D$594),0))*Weekdays+INDEX(L$403:L$594,MATCH(1,($A685=$A$403:$A$594)*($B685=$B$403:$B$594)*("Weekend"=$D$403:$D$594),0))*WeekendDays)/DaysPerWeek</f>
        <v>1.0385398973181328E-4</v>
      </c>
      <c r="L685" s="11" cm="1">
        <f t="array" ref="L685">(INDEX(M$403:M$594,MATCH(1,($A685=$A$403:$A$594)*($B685=$B$403:$B$594)*("Weekday"=$D$403:$D$594),0))*Weekdays+INDEX(M$403:M$594,MATCH(1,($A685=$A$403:$A$594)*($B685=$B$403:$B$594)*("Weekend"=$D$403:$D$594),0))*WeekendDays)/DaysPerWeek</f>
        <v>0</v>
      </c>
      <c r="M685" s="11" cm="1">
        <f t="array" ref="M685">(INDEX(N$403:N$594,MATCH(1,($A685=$A$403:$A$594)*($B685=$B$403:$B$594)*("Weekday"=$D$403:$D$594),0))*Weekdays+INDEX(N$403:N$594,MATCH(1,($A685=$A$403:$A$594)*($B685=$B$403:$B$594)*("Weekend"=$D$403:$D$594),0))*WeekendDays)/DaysPerWeek</f>
        <v>1.5931624541422497E-4</v>
      </c>
      <c r="N685" s="11" cm="1">
        <f t="array" ref="N685">(INDEX(O$403:O$594,MATCH(1,($A685=$A$403:$A$594)*($B685=$B$403:$B$594)*("Weekday"=$D$403:$D$594),0))*Weekdays+INDEX(O$403:O$594,MATCH(1,($A685=$A$403:$A$594)*($B685=$B$403:$B$594)*("Weekend"=$D$403:$D$594),0))*WeekendDays)/DaysPerWeek</f>
        <v>1.5931624541422497E-4</v>
      </c>
      <c r="O685" s="11" cm="1">
        <f t="array" ref="O685">(INDEX(P$403:P$594,MATCH(1,($A685=$A$403:$A$594)*($B685=$B$403:$B$594)*("Weekday"=$D$403:$D$594),0))*Weekdays+INDEX(P$403:P$594,MATCH(1,($A685=$A$403:$A$594)*($B685=$B$403:$B$594)*("Weekend"=$D$403:$D$594),0))*WeekendDays)/DaysPerWeek</f>
        <v>0</v>
      </c>
      <c r="P685" s="11" cm="1">
        <f t="array" ref="P685">(INDEX(Q$403:Q$594,MATCH(1,($A685=$A$403:$A$594)*($B685=$B$403:$B$594)*("Weekday"=$D$403:$D$594),0))*Weekdays+INDEX(Q$403:Q$594,MATCH(1,($A685=$A$403:$A$594)*($B685=$B$403:$B$594)*("Weekend"=$D$403:$D$594),0))*WeekendDays)/DaysPerWeek</f>
        <v>1.309557820165868E-4</v>
      </c>
      <c r="Q685" s="11" cm="1">
        <f t="array" ref="Q685">(INDEX(R$403:R$594,MATCH(1,($A685=$A$403:$A$594)*($B685=$B$403:$B$594)*("Weekday"=$D$403:$D$594),0))*Weekdays+INDEX(R$403:R$594,MATCH(1,($A685=$A$403:$A$594)*($B685=$B$403:$B$594)*("Weekend"=$D$403:$D$594),0))*WeekendDays)/DaysPerWeek</f>
        <v>1.3095578201658686E-4</v>
      </c>
      <c r="R685" s="11" cm="1">
        <f t="array" ref="R685">(INDEX(S$403:S$594,MATCH(1,($A685=$A$403:$A$594)*($B685=$B$403:$B$594)*("Weekday"=$D$403:$D$594),0))*Weekdays+INDEX(S$403:S$594,MATCH(1,($A685=$A$403:$A$594)*($B685=$B$403:$B$594)*("Weekend"=$D$403:$D$594),0))*WeekendDays)/DaysPerWeek</f>
        <v>0</v>
      </c>
      <c r="S685" s="11" cm="1">
        <f t="array" ref="S685">(INDEX(T$403:T$594,MATCH(1,($A685=$A$403:$A$594)*($B685=$B$403:$B$594)*("Weekday"=$D$403:$D$594),0))*Weekdays+INDEX(T$403:T$594,MATCH(1,($A685=$A$403:$A$594)*($B685=$B$403:$B$594)*("Weekend"=$D$403:$D$594),0))*WeekendDays)/DaysPerWeek</f>
        <v>1.3095578201658691E-4</v>
      </c>
      <c r="T685" s="11" cm="1">
        <f t="array" ref="T685">(INDEX(U$403:U$594,MATCH(1,($A685=$A$403:$A$594)*($B685=$B$403:$B$594)*("Weekday"=$D$403:$D$594),0))*Weekdays+INDEX(U$403:U$594,MATCH(1,($A685=$A$403:$A$594)*($B685=$B$403:$B$594)*("Weekend"=$D$403:$D$594),0))*WeekendDays)/DaysPerWeek</f>
        <v>0</v>
      </c>
      <c r="U685" s="11" t="e" cm="1">
        <f t="array" ref="U685">(INDEX(V$403:V$594,MATCH(1,($A685=$A$403:$A$594)*($B685=$B$403:$B$594)*("Weekday"=$D$403:$D$594),0))*Weekdays+INDEX(V$403:V$594,MATCH(1,($A685=$A$403:$A$594)*($B685=$B$403:$B$594)*("Weekend"=$D$403:$D$594),0))*WeekendDays)/DaysPerWeek</f>
        <v>#DIV/0!</v>
      </c>
      <c r="V685" s="11" cm="1">
        <f t="array" ref="V685">(INDEX(W$403:W$594,MATCH(1,($A685=$A$403:$A$594)*($B685=$B$403:$B$594)*("Weekday"=$D$403:$D$594),0))*Weekdays+INDEX(W$403:W$594,MATCH(1,($A685=$A$403:$A$594)*($B685=$B$403:$B$594)*("Weekend"=$D$403:$D$594),0))*WeekendDays)/DaysPerWeek</f>
        <v>1.1467075810118596E-4</v>
      </c>
      <c r="W685" s="11" cm="1">
        <f t="array" ref="W685">(INDEX(X$403:X$594,MATCH(1,($A685=$A$403:$A$594)*($B685=$B$403:$B$594)*("Weekday"=$D$403:$D$594),0))*Weekdays+INDEX(X$403:X$594,MATCH(1,($A685=$A$403:$A$594)*($B685=$B$403:$B$594)*("Weekend"=$D$403:$D$594),0))*WeekendDays)/DaysPerWeek</f>
        <v>0</v>
      </c>
      <c r="X685" s="11" cm="1">
        <f t="array" ref="X685">(INDEX(Y$403:Y$594,MATCH(1,($A685=$A$403:$A$594)*($B685=$B$403:$B$594)*("Weekday"=$D$403:$D$594),0))*Weekdays+INDEX(Y$403:Y$594,MATCH(1,($A685=$A$403:$A$594)*($B685=$B$403:$B$594)*("Weekend"=$D$403:$D$594),0))*WeekendDays)/DaysPerWeek</f>
        <v>0</v>
      </c>
      <c r="Y685" s="25" t="e">
        <f t="shared" si="425"/>
        <v>#DIV/0!</v>
      </c>
      <c r="Z685" s="32" t="e">
        <f t="shared" si="424"/>
        <v>#DIV/0!</v>
      </c>
    </row>
    <row r="686" spans="1:26" outlineLevel="1" x14ac:dyDescent="0.25">
      <c r="A686" t="s">
        <v>40</v>
      </c>
      <c r="B686" t="s">
        <v>161</v>
      </c>
      <c r="C686" s="7" t="s">
        <v>13</v>
      </c>
      <c r="D686" s="11" cm="1">
        <f t="array" ref="D686">(INDEX(E$403:E$594,MATCH(1,($A686=$A$403:$A$594)*($B686=$B$403:$B$594)*("Weekday"=$D$403:$D$594),0))*Weekdays+INDEX(E$403:E$594,MATCH(1,($A686=$A$403:$A$594)*($B686=$B$403:$B$594)*("Weekend"=$D$403:$D$594),0))*WeekendDays)/DaysPerWeek</f>
        <v>4.0755013659885267E-5</v>
      </c>
      <c r="E686" s="11" cm="1">
        <f t="array" ref="E686">(INDEX(F$403:F$594,MATCH(1,($A686=$A$403:$A$594)*($B686=$B$403:$B$594)*("Weekday"=$D$403:$D$594),0))*Weekdays+INDEX(F$403:F$594,MATCH(1,($A686=$A$403:$A$594)*($B686=$B$403:$B$594)*("Weekend"=$D$403:$D$594),0))*WeekendDays)/DaysPerWeek</f>
        <v>1.5210084635118665E-4</v>
      </c>
      <c r="F686" s="11" cm="1">
        <f t="array" ref="F686">(INDEX(G$403:G$594,MATCH(1,($A686=$A$403:$A$594)*($B686=$B$403:$B$594)*("Weekday"=$D$403:$D$594),0))*Weekdays+INDEX(G$403:G$594,MATCH(1,($A686=$A$403:$A$594)*($B686=$B$403:$B$594)*("Weekend"=$D$403:$D$594),0))*WeekendDays)/DaysPerWeek</f>
        <v>0</v>
      </c>
      <c r="G686" s="11" cm="1">
        <f t="array" ref="G686">(INDEX(H$403:H$594,MATCH(1,($A686=$A$403:$A$594)*($B686=$B$403:$B$594)*("Weekday"=$D$403:$D$594),0))*Weekdays+INDEX(H$403:H$594,MATCH(1,($A686=$A$403:$A$594)*($B686=$B$403:$B$594)*("Weekend"=$D$403:$D$594),0))*WeekendDays)/DaysPerWeek</f>
        <v>6.5748436259213807E-5</v>
      </c>
      <c r="H686" s="11" cm="1">
        <f t="array" ref="H686">(INDEX(I$403:I$594,MATCH(1,($A686=$A$403:$A$594)*($B686=$B$403:$B$594)*("Weekday"=$D$403:$D$594),0))*Weekdays+INDEX(I$403:I$594,MATCH(1,($A686=$A$403:$A$594)*($B686=$B$403:$B$594)*("Weekend"=$D$403:$D$594),0))*WeekendDays)/DaysPerWeek</f>
        <v>9.3196374988609466E-5</v>
      </c>
      <c r="I686" s="11" cm="1">
        <f t="array" ref="I686">(INDEX(J$403:J$594,MATCH(1,($A686=$A$403:$A$594)*($B686=$B$403:$B$594)*("Weekday"=$D$403:$D$594),0))*Weekdays+INDEX(J$403:J$594,MATCH(1,($A686=$A$403:$A$594)*($B686=$B$403:$B$594)*("Weekend"=$D$403:$D$594),0))*WeekendDays)/DaysPerWeek</f>
        <v>9.3196374988609466E-5</v>
      </c>
      <c r="J686" s="11" cm="1">
        <f t="array" ref="J686">(INDEX(K$403:K$594,MATCH(1,($A686=$A$403:$A$594)*($B686=$B$403:$B$594)*("Weekday"=$D$403:$D$594),0))*Weekdays+INDEX(K$403:K$594,MATCH(1,($A686=$A$403:$A$594)*($B686=$B$403:$B$594)*("Weekend"=$D$403:$D$594),0))*WeekendDays)/DaysPerWeek</f>
        <v>2.5860802625694267E-5</v>
      </c>
      <c r="K686" s="11" cm="1">
        <f t="array" ref="K686">(INDEX(L$403:L$594,MATCH(1,($A686=$A$403:$A$594)*($B686=$B$403:$B$594)*("Weekday"=$D$403:$D$594),0))*Weekdays+INDEX(L$403:L$594,MATCH(1,($A686=$A$403:$A$594)*($B686=$B$403:$B$594)*("Weekend"=$D$403:$D$594),0))*WeekendDays)/DaysPerWeek</f>
        <v>1.0574814162515292E-4</v>
      </c>
      <c r="L686" s="11" cm="1">
        <f t="array" ref="L686">(INDEX(M$403:M$594,MATCH(1,($A686=$A$403:$A$594)*($B686=$B$403:$B$594)*("Weekday"=$D$403:$D$594),0))*Weekdays+INDEX(M$403:M$594,MATCH(1,($A686=$A$403:$A$594)*($B686=$B$403:$B$594)*("Weekend"=$D$403:$D$594),0))*WeekendDays)/DaysPerWeek</f>
        <v>0</v>
      </c>
      <c r="M686" s="11" cm="1">
        <f t="array" ref="M686">(INDEX(N$403:N$594,MATCH(1,($A686=$A$403:$A$594)*($B686=$B$403:$B$594)*("Weekday"=$D$403:$D$594),0))*Weekdays+INDEX(N$403:N$594,MATCH(1,($A686=$A$403:$A$594)*($B686=$B$403:$B$594)*("Weekend"=$D$403:$D$594),0))*WeekendDays)/DaysPerWeek</f>
        <v>1.5790693423215003E-4</v>
      </c>
      <c r="N686" s="11" cm="1">
        <f t="array" ref="N686">(INDEX(O$403:O$594,MATCH(1,($A686=$A$403:$A$594)*($B686=$B$403:$B$594)*("Weekday"=$D$403:$D$594),0))*Weekdays+INDEX(O$403:O$594,MATCH(1,($A686=$A$403:$A$594)*($B686=$B$403:$B$594)*("Weekend"=$D$403:$D$594),0))*WeekendDays)/DaysPerWeek</f>
        <v>1.5790693423215003E-4</v>
      </c>
      <c r="O686" s="11" cm="1">
        <f t="array" ref="O686">(INDEX(P$403:P$594,MATCH(1,($A686=$A$403:$A$594)*($B686=$B$403:$B$594)*("Weekday"=$D$403:$D$594),0))*Weekdays+INDEX(P$403:P$594,MATCH(1,($A686=$A$403:$A$594)*($B686=$B$403:$B$594)*("Weekend"=$D$403:$D$594),0))*WeekendDays)/DaysPerWeek</f>
        <v>0</v>
      </c>
      <c r="P686" s="11" cm="1">
        <f t="array" ref="P686">(INDEX(Q$403:Q$594,MATCH(1,($A686=$A$403:$A$594)*($B686=$B$403:$B$594)*("Weekday"=$D$403:$D$594),0))*Weekdays+INDEX(Q$403:Q$594,MATCH(1,($A686=$A$403:$A$594)*($B686=$B$403:$B$594)*("Weekend"=$D$403:$D$594),0))*WeekendDays)/DaysPerWeek</f>
        <v>1.2892410549972109E-4</v>
      </c>
      <c r="Q686" s="11" cm="1">
        <f t="array" ref="Q686">(INDEX(R$403:R$594,MATCH(1,($A686=$A$403:$A$594)*($B686=$B$403:$B$594)*("Weekday"=$D$403:$D$594),0))*Weekdays+INDEX(R$403:R$594,MATCH(1,($A686=$A$403:$A$594)*($B686=$B$403:$B$594)*("Weekend"=$D$403:$D$594),0))*WeekendDays)/DaysPerWeek</f>
        <v>1.2892410549972112E-4</v>
      </c>
      <c r="R686" s="11" cm="1">
        <f t="array" ref="R686">(INDEX(S$403:S$594,MATCH(1,($A686=$A$403:$A$594)*($B686=$B$403:$B$594)*("Weekday"=$D$403:$D$594),0))*Weekdays+INDEX(S$403:S$594,MATCH(1,($A686=$A$403:$A$594)*($B686=$B$403:$B$594)*("Weekend"=$D$403:$D$594),0))*WeekendDays)/DaysPerWeek</f>
        <v>0</v>
      </c>
      <c r="S686" s="11" cm="1">
        <f t="array" ref="S686">(INDEX(T$403:T$594,MATCH(1,($A686=$A$403:$A$594)*($B686=$B$403:$B$594)*("Weekday"=$D$403:$D$594),0))*Weekdays+INDEX(T$403:T$594,MATCH(1,($A686=$A$403:$A$594)*($B686=$B$403:$B$594)*("Weekend"=$D$403:$D$594),0))*WeekendDays)/DaysPerWeek</f>
        <v>1.2892410549972112E-4</v>
      </c>
      <c r="T686" s="11" cm="1">
        <f t="array" ref="T686">(INDEX(U$403:U$594,MATCH(1,($A686=$A$403:$A$594)*($B686=$B$403:$B$594)*("Weekday"=$D$403:$D$594),0))*Weekdays+INDEX(U$403:U$594,MATCH(1,($A686=$A$403:$A$594)*($B686=$B$403:$B$594)*("Weekend"=$D$403:$D$594),0))*WeekendDays)/DaysPerWeek</f>
        <v>0</v>
      </c>
      <c r="U686" s="11" t="e" cm="1">
        <f t="array" ref="U686">(INDEX(V$403:V$594,MATCH(1,($A686=$A$403:$A$594)*($B686=$B$403:$B$594)*("Weekday"=$D$403:$D$594),0))*Weekdays+INDEX(V$403:V$594,MATCH(1,($A686=$A$403:$A$594)*($B686=$B$403:$B$594)*("Weekend"=$D$403:$D$594),0))*WeekendDays)/DaysPerWeek</f>
        <v>#DIV/0!</v>
      </c>
      <c r="V686" s="11" cm="1">
        <f t="array" ref="V686">(INDEX(W$403:W$594,MATCH(1,($A686=$A$403:$A$594)*($B686=$B$403:$B$594)*("Weekday"=$D$403:$D$594),0))*Weekdays+INDEX(W$403:W$594,MATCH(1,($A686=$A$403:$A$594)*($B686=$B$403:$B$594)*("Weekend"=$D$403:$D$594),0))*WeekendDays)/DaysPerWeek</f>
        <v>1.1495403566566519E-4</v>
      </c>
      <c r="W686" s="11" cm="1">
        <f t="array" ref="W686">(INDEX(X$403:X$594,MATCH(1,($A686=$A$403:$A$594)*($B686=$B$403:$B$594)*("Weekday"=$D$403:$D$594),0))*Weekdays+INDEX(X$403:X$594,MATCH(1,($A686=$A$403:$A$594)*($B686=$B$403:$B$594)*("Weekend"=$D$403:$D$594),0))*WeekendDays)/DaysPerWeek</f>
        <v>0</v>
      </c>
      <c r="X686" s="11" cm="1">
        <f t="array" ref="X686">(INDEX(Y$403:Y$594,MATCH(1,($A686=$A$403:$A$594)*($B686=$B$403:$B$594)*("Weekday"=$D$403:$D$594),0))*Weekdays+INDEX(Y$403:Y$594,MATCH(1,($A686=$A$403:$A$594)*($B686=$B$403:$B$594)*("Weekend"=$D$403:$D$594),0))*WeekendDays)/DaysPerWeek</f>
        <v>0</v>
      </c>
      <c r="Y686" s="25" t="e">
        <f t="shared" si="425"/>
        <v>#DIV/0!</v>
      </c>
      <c r="Z686" s="32" t="e">
        <f t="shared" si="424"/>
        <v>#DIV/0!</v>
      </c>
    </row>
    <row r="687" spans="1:26" outlineLevel="1" x14ac:dyDescent="0.25">
      <c r="A687" t="s">
        <v>40</v>
      </c>
      <c r="B687" t="s">
        <v>162</v>
      </c>
      <c r="C687" s="7" t="s">
        <v>14</v>
      </c>
      <c r="D687" s="11" cm="1">
        <f t="array" ref="D687">(INDEX(E$403:E$594,MATCH(1,($A687=$A$403:$A$594)*($B687=$B$403:$B$594)*("Weekday"=$D$403:$D$594),0))*Weekdays+INDEX(E$403:E$594,MATCH(1,($A687=$A$403:$A$594)*($B687=$B$403:$B$594)*("Weekend"=$D$403:$D$594),0))*WeekendDays)/DaysPerWeek</f>
        <v>4.1951995034961021E-5</v>
      </c>
      <c r="E687" s="11" cm="1">
        <f t="array" ref="E687">(INDEX(F$403:F$594,MATCH(1,($A687=$A$403:$A$594)*($B687=$B$403:$B$594)*("Weekday"=$D$403:$D$594),0))*Weekdays+INDEX(F$403:F$594,MATCH(1,($A687=$A$403:$A$594)*($B687=$B$403:$B$594)*("Weekend"=$D$403:$D$594),0))*WeekendDays)/DaysPerWeek</f>
        <v>1.5636775537020598E-4</v>
      </c>
      <c r="F687" s="11" cm="1">
        <f t="array" ref="F687">(INDEX(G$403:G$594,MATCH(1,($A687=$A$403:$A$594)*($B687=$B$403:$B$594)*("Weekday"=$D$403:$D$594),0))*Weekdays+INDEX(G$403:G$594,MATCH(1,($A687=$A$403:$A$594)*($B687=$B$403:$B$594)*("Weekend"=$D$403:$D$594),0))*WeekendDays)/DaysPerWeek</f>
        <v>0</v>
      </c>
      <c r="G687" s="11" cm="1">
        <f t="array" ref="G687">(INDEX(H$403:H$594,MATCH(1,($A687=$A$403:$A$594)*($B687=$B$403:$B$594)*("Weekday"=$D$403:$D$594),0))*Weekdays+INDEX(H$403:H$594,MATCH(1,($A687=$A$403:$A$594)*($B687=$B$403:$B$594)*("Weekend"=$D$403:$D$594),0))*WeekendDays)/DaysPerWeek</f>
        <v>6.9010960713302861E-5</v>
      </c>
      <c r="H687" s="11" cm="1">
        <f t="array" ref="H687">(INDEX(I$403:I$594,MATCH(1,($A687=$A$403:$A$594)*($B687=$B$403:$B$594)*("Weekday"=$D$403:$D$594),0))*Weekdays+INDEX(I$403:I$594,MATCH(1,($A687=$A$403:$A$594)*($B687=$B$403:$B$594)*("Weekend"=$D$403:$D$594),0))*WeekendDays)/DaysPerWeek</f>
        <v>8.6943869705957355E-5</v>
      </c>
      <c r="I687" s="11" cm="1">
        <f t="array" ref="I687">(INDEX(J$403:J$594,MATCH(1,($A687=$A$403:$A$594)*($B687=$B$403:$B$594)*("Weekday"=$D$403:$D$594),0))*Weekdays+INDEX(J$403:J$594,MATCH(1,($A687=$A$403:$A$594)*($B687=$B$403:$B$594)*("Weekend"=$D$403:$D$594),0))*WeekendDays)/DaysPerWeek</f>
        <v>8.6943869705957355E-5</v>
      </c>
      <c r="J687" s="11" cm="1">
        <f t="array" ref="J687">(INDEX(K$403:K$594,MATCH(1,($A687=$A$403:$A$594)*($B687=$B$403:$B$594)*("Weekday"=$D$403:$D$594),0))*Weekdays+INDEX(K$403:K$594,MATCH(1,($A687=$A$403:$A$594)*($B687=$B$403:$B$594)*("Weekend"=$D$403:$D$594),0))*WeekendDays)/DaysPerWeek</f>
        <v>2.3906711162404435E-5</v>
      </c>
      <c r="K687" s="11" cm="1">
        <f t="array" ref="K687">(INDEX(L$403:L$594,MATCH(1,($A687=$A$403:$A$594)*($B687=$B$403:$B$594)*("Weekday"=$D$403:$D$594),0))*Weekdays+INDEX(L$403:L$594,MATCH(1,($A687=$A$403:$A$594)*($B687=$B$403:$B$594)*("Weekend"=$D$403:$D$594),0))*WeekendDays)/DaysPerWeek</f>
        <v>1.0488001404329108E-4</v>
      </c>
      <c r="L687" s="11" cm="1">
        <f t="array" ref="L687">(INDEX(M$403:M$594,MATCH(1,($A687=$A$403:$A$594)*($B687=$B$403:$B$594)*("Weekday"=$D$403:$D$594),0))*Weekdays+INDEX(M$403:M$594,MATCH(1,($A687=$A$403:$A$594)*($B687=$B$403:$B$594)*("Weekend"=$D$403:$D$594),0))*WeekendDays)/DaysPerWeek</f>
        <v>0</v>
      </c>
      <c r="M687" s="11" cm="1">
        <f t="array" ref="M687">(INDEX(N$403:N$594,MATCH(1,($A687=$A$403:$A$594)*($B687=$B$403:$B$594)*("Weekday"=$D$403:$D$594),0))*Weekdays+INDEX(N$403:N$594,MATCH(1,($A687=$A$403:$A$594)*($B687=$B$403:$B$594)*("Weekend"=$D$403:$D$594),0))*WeekendDays)/DaysPerWeek</f>
        <v>1.5584897876399272E-4</v>
      </c>
      <c r="N687" s="11" cm="1">
        <f t="array" ref="N687">(INDEX(O$403:O$594,MATCH(1,($A687=$A$403:$A$594)*($B687=$B$403:$B$594)*("Weekday"=$D$403:$D$594),0))*Weekdays+INDEX(O$403:O$594,MATCH(1,($A687=$A$403:$A$594)*($B687=$B$403:$B$594)*("Weekend"=$D$403:$D$594),0))*WeekendDays)/DaysPerWeek</f>
        <v>1.5584897876399272E-4</v>
      </c>
      <c r="O687" s="11" cm="1">
        <f t="array" ref="O687">(INDEX(P$403:P$594,MATCH(1,($A687=$A$403:$A$594)*($B687=$B$403:$B$594)*("Weekday"=$D$403:$D$594),0))*Weekdays+INDEX(P$403:P$594,MATCH(1,($A687=$A$403:$A$594)*($B687=$B$403:$B$594)*("Weekend"=$D$403:$D$594),0))*WeekendDays)/DaysPerWeek</f>
        <v>0</v>
      </c>
      <c r="P687" s="11" cm="1">
        <f t="array" ref="P687">(INDEX(Q$403:Q$594,MATCH(1,($A687=$A$403:$A$594)*($B687=$B$403:$B$594)*("Weekday"=$D$403:$D$594),0))*Weekdays+INDEX(Q$403:Q$594,MATCH(1,($A687=$A$403:$A$594)*($B687=$B$403:$B$594)*("Weekend"=$D$403:$D$594),0))*WeekendDays)/DaysPerWeek</f>
        <v>1.4504579887687536E-4</v>
      </c>
      <c r="Q687" s="11" cm="1">
        <f t="array" ref="Q687">(INDEX(R$403:R$594,MATCH(1,($A687=$A$403:$A$594)*($B687=$B$403:$B$594)*("Weekday"=$D$403:$D$594),0))*Weekdays+INDEX(R$403:R$594,MATCH(1,($A687=$A$403:$A$594)*($B687=$B$403:$B$594)*("Weekend"=$D$403:$D$594),0))*WeekendDays)/DaysPerWeek</f>
        <v>1.4504579887687541E-4</v>
      </c>
      <c r="R687" s="11" cm="1">
        <f t="array" ref="R687">(INDEX(S$403:S$594,MATCH(1,($A687=$A$403:$A$594)*($B687=$B$403:$B$594)*("Weekday"=$D$403:$D$594),0))*Weekdays+INDEX(S$403:S$594,MATCH(1,($A687=$A$403:$A$594)*($B687=$B$403:$B$594)*("Weekend"=$D$403:$D$594),0))*WeekendDays)/DaysPerWeek</f>
        <v>0</v>
      </c>
      <c r="S687" s="11" cm="1">
        <f t="array" ref="S687">(INDEX(T$403:T$594,MATCH(1,($A687=$A$403:$A$594)*($B687=$B$403:$B$594)*("Weekday"=$D$403:$D$594),0))*Weekdays+INDEX(T$403:T$594,MATCH(1,($A687=$A$403:$A$594)*($B687=$B$403:$B$594)*("Weekend"=$D$403:$D$594),0))*WeekendDays)/DaysPerWeek</f>
        <v>1.4504579887687541E-4</v>
      </c>
      <c r="T687" s="11" cm="1">
        <f t="array" ref="T687">(INDEX(U$403:U$594,MATCH(1,($A687=$A$403:$A$594)*($B687=$B$403:$B$594)*("Weekday"=$D$403:$D$594),0))*Weekdays+INDEX(U$403:U$594,MATCH(1,($A687=$A$403:$A$594)*($B687=$B$403:$B$594)*("Weekend"=$D$403:$D$594),0))*WeekendDays)/DaysPerWeek</f>
        <v>0</v>
      </c>
      <c r="U687" s="11" t="e" cm="1">
        <f t="array" ref="U687">(INDEX(V$403:V$594,MATCH(1,($A687=$A$403:$A$594)*($B687=$B$403:$B$594)*("Weekday"=$D$403:$D$594),0))*Weekdays+INDEX(V$403:V$594,MATCH(1,($A687=$A$403:$A$594)*($B687=$B$403:$B$594)*("Weekend"=$D$403:$D$594),0))*WeekendDays)/DaysPerWeek</f>
        <v>#DIV/0!</v>
      </c>
      <c r="V687" s="11" cm="1">
        <f t="array" ref="V687">(INDEX(W$403:W$594,MATCH(1,($A687=$A$403:$A$594)*($B687=$B$403:$B$594)*("Weekday"=$D$403:$D$594),0))*Weekdays+INDEX(W$403:W$594,MATCH(1,($A687=$A$403:$A$594)*($B687=$B$403:$B$594)*("Weekend"=$D$403:$D$594),0))*WeekendDays)/DaysPerWeek</f>
        <v>1.1603049041068618E-4</v>
      </c>
      <c r="W687" s="11" cm="1">
        <f t="array" ref="W687">(INDEX(X$403:X$594,MATCH(1,($A687=$A$403:$A$594)*($B687=$B$403:$B$594)*("Weekday"=$D$403:$D$594),0))*Weekdays+INDEX(X$403:X$594,MATCH(1,($A687=$A$403:$A$594)*($B687=$B$403:$B$594)*("Weekend"=$D$403:$D$594),0))*WeekendDays)/DaysPerWeek</f>
        <v>0</v>
      </c>
      <c r="X687" s="11" cm="1">
        <f t="array" ref="X687">(INDEX(Y$403:Y$594,MATCH(1,($A687=$A$403:$A$594)*($B687=$B$403:$B$594)*("Weekday"=$D$403:$D$594),0))*Weekdays+INDEX(Y$403:Y$594,MATCH(1,($A687=$A$403:$A$594)*($B687=$B$403:$B$594)*("Weekend"=$D$403:$D$594),0))*WeekendDays)/DaysPerWeek</f>
        <v>0</v>
      </c>
      <c r="Y687" s="25" t="e">
        <f t="shared" si="425"/>
        <v>#DIV/0!</v>
      </c>
      <c r="Z687" s="32" t="e">
        <f t="shared" si="424"/>
        <v>#DIV/0!</v>
      </c>
    </row>
    <row r="688" spans="1:26" outlineLevel="1" x14ac:dyDescent="0.25">
      <c r="A688" t="s">
        <v>40</v>
      </c>
      <c r="B688" t="s">
        <v>163</v>
      </c>
      <c r="C688" s="7" t="s">
        <v>15</v>
      </c>
      <c r="D688" s="11" cm="1">
        <f t="array" ref="D688">(INDEX(E$403:E$594,MATCH(1,($A688=$A$403:$A$594)*($B688=$B$403:$B$594)*("Weekday"=$D$403:$D$594),0))*Weekdays+INDEX(E$403:E$594,MATCH(1,($A688=$A$403:$A$594)*($B688=$B$403:$B$594)*("Weekend"=$D$403:$D$594),0))*WeekendDays)/DaysPerWeek</f>
        <v>4.3628704643382593E-5</v>
      </c>
      <c r="E688" s="11" cm="1">
        <f t="array" ref="E688">(INDEX(F$403:F$594,MATCH(1,($A688=$A$403:$A$594)*($B688=$B$403:$B$594)*("Weekday"=$D$403:$D$594),0))*Weekdays+INDEX(F$403:F$594,MATCH(1,($A688=$A$403:$A$594)*($B688=$B$403:$B$594)*("Weekend"=$D$403:$D$594),0))*WeekendDays)/DaysPerWeek</f>
        <v>1.5295575488379981E-4</v>
      </c>
      <c r="F688" s="11" cm="1">
        <f t="array" ref="F688">(INDEX(G$403:G$594,MATCH(1,($A688=$A$403:$A$594)*($B688=$B$403:$B$594)*("Weekday"=$D$403:$D$594),0))*Weekdays+INDEX(G$403:G$594,MATCH(1,($A688=$A$403:$A$594)*($B688=$B$403:$B$594)*("Weekend"=$D$403:$D$594),0))*WeekendDays)/DaysPerWeek</f>
        <v>0</v>
      </c>
      <c r="G688" s="11" cm="1">
        <f t="array" ref="G688">(INDEX(H$403:H$594,MATCH(1,($A688=$A$403:$A$594)*($B688=$B$403:$B$594)*("Weekday"=$D$403:$D$594),0))*Weekdays+INDEX(H$403:H$594,MATCH(1,($A688=$A$403:$A$594)*($B688=$B$403:$B$594)*("Weekend"=$D$403:$D$594),0))*WeekendDays)/DaysPerWeek</f>
        <v>8.2235536282568606E-5</v>
      </c>
      <c r="H688" s="11" cm="1">
        <f t="array" ref="H688">(INDEX(I$403:I$594,MATCH(1,($A688=$A$403:$A$594)*($B688=$B$403:$B$594)*("Weekday"=$D$403:$D$594),0))*Weekdays+INDEX(I$403:I$594,MATCH(1,($A688=$A$403:$A$594)*($B688=$B$403:$B$594)*("Weekend"=$D$403:$D$594),0))*WeekendDays)/DaysPerWeek</f>
        <v>9.5592249005837965E-5</v>
      </c>
      <c r="I688" s="11" cm="1">
        <f t="array" ref="I688">(INDEX(J$403:J$594,MATCH(1,($A688=$A$403:$A$594)*($B688=$B$403:$B$594)*("Weekday"=$D$403:$D$594),0))*Weekdays+INDEX(J$403:J$594,MATCH(1,($A688=$A$403:$A$594)*($B688=$B$403:$B$594)*("Weekend"=$D$403:$D$594),0))*WeekendDays)/DaysPerWeek</f>
        <v>9.5592249005837965E-5</v>
      </c>
      <c r="J688" s="11" cm="1">
        <f t="array" ref="J688">(INDEX(K$403:K$594,MATCH(1,($A688=$A$403:$A$594)*($B688=$B$403:$B$594)*("Weekday"=$D$403:$D$594),0))*Weekdays+INDEX(K$403:K$594,MATCH(1,($A688=$A$403:$A$594)*($B688=$B$403:$B$594)*("Weekend"=$D$403:$D$594),0))*WeekendDays)/DaysPerWeek</f>
        <v>2.2978779739481437E-5</v>
      </c>
      <c r="K688" s="11" cm="1">
        <f t="array" ref="K688">(INDEX(L$403:L$594,MATCH(1,($A688=$A$403:$A$594)*($B688=$B$403:$B$594)*("Weekday"=$D$403:$D$594),0))*Weekdays+INDEX(L$403:L$594,MATCH(1,($A688=$A$403:$A$594)*($B688=$B$403:$B$594)*("Weekend"=$D$403:$D$594),0))*WeekendDays)/DaysPerWeek</f>
        <v>1.0115191130504688E-4</v>
      </c>
      <c r="L688" s="11" cm="1">
        <f t="array" ref="L688">(INDEX(M$403:M$594,MATCH(1,($A688=$A$403:$A$594)*($B688=$B$403:$B$594)*("Weekday"=$D$403:$D$594),0))*Weekdays+INDEX(M$403:M$594,MATCH(1,($A688=$A$403:$A$594)*($B688=$B$403:$B$594)*("Weekend"=$D$403:$D$594),0))*WeekendDays)/DaysPerWeek</f>
        <v>0</v>
      </c>
      <c r="M688" s="11" cm="1">
        <f t="array" ref="M688">(INDEX(N$403:N$594,MATCH(1,($A688=$A$403:$A$594)*($B688=$B$403:$B$594)*("Weekday"=$D$403:$D$594),0))*Weekdays+INDEX(N$403:N$594,MATCH(1,($A688=$A$403:$A$594)*($B688=$B$403:$B$594)*("Weekend"=$D$403:$D$594),0))*WeekendDays)/DaysPerWeek</f>
        <v>1.5038775116155181E-4</v>
      </c>
      <c r="N688" s="11" cm="1">
        <f t="array" ref="N688">(INDEX(O$403:O$594,MATCH(1,($A688=$A$403:$A$594)*($B688=$B$403:$B$594)*("Weekday"=$D$403:$D$594),0))*Weekdays+INDEX(O$403:O$594,MATCH(1,($A688=$A$403:$A$594)*($B688=$B$403:$B$594)*("Weekend"=$D$403:$D$594),0))*WeekendDays)/DaysPerWeek</f>
        <v>1.5038775116155181E-4</v>
      </c>
      <c r="O688" s="11" cm="1">
        <f t="array" ref="O688">(INDEX(P$403:P$594,MATCH(1,($A688=$A$403:$A$594)*($B688=$B$403:$B$594)*("Weekday"=$D$403:$D$594),0))*Weekdays+INDEX(P$403:P$594,MATCH(1,($A688=$A$403:$A$594)*($B688=$B$403:$B$594)*("Weekend"=$D$403:$D$594),0))*WeekendDays)/DaysPerWeek</f>
        <v>0</v>
      </c>
      <c r="P688" s="11" cm="1">
        <f t="array" ref="P688">(INDEX(Q$403:Q$594,MATCH(1,($A688=$A$403:$A$594)*($B688=$B$403:$B$594)*("Weekday"=$D$403:$D$594),0))*Weekdays+INDEX(Q$403:Q$594,MATCH(1,($A688=$A$403:$A$594)*($B688=$B$403:$B$594)*("Weekend"=$D$403:$D$594),0))*WeekendDays)/DaysPerWeek</f>
        <v>1.6697326975796914E-4</v>
      </c>
      <c r="Q688" s="11" cm="1">
        <f t="array" ref="Q688">(INDEX(R$403:R$594,MATCH(1,($A688=$A$403:$A$594)*($B688=$B$403:$B$594)*("Weekday"=$D$403:$D$594),0))*Weekdays+INDEX(R$403:R$594,MATCH(1,($A688=$A$403:$A$594)*($B688=$B$403:$B$594)*("Weekend"=$D$403:$D$594),0))*WeekendDays)/DaysPerWeek</f>
        <v>1.6697326975796917E-4</v>
      </c>
      <c r="R688" s="11" cm="1">
        <f t="array" ref="R688">(INDEX(S$403:S$594,MATCH(1,($A688=$A$403:$A$594)*($B688=$B$403:$B$594)*("Weekday"=$D$403:$D$594),0))*Weekdays+INDEX(S$403:S$594,MATCH(1,($A688=$A$403:$A$594)*($B688=$B$403:$B$594)*("Weekend"=$D$403:$D$594),0))*WeekendDays)/DaysPerWeek</f>
        <v>0</v>
      </c>
      <c r="S688" s="11" cm="1">
        <f t="array" ref="S688">(INDEX(T$403:T$594,MATCH(1,($A688=$A$403:$A$594)*($B688=$B$403:$B$594)*("Weekday"=$D$403:$D$594),0))*Weekdays+INDEX(T$403:T$594,MATCH(1,($A688=$A$403:$A$594)*($B688=$B$403:$B$594)*("Weekend"=$D$403:$D$594),0))*WeekendDays)/DaysPerWeek</f>
        <v>1.6697326975796922E-4</v>
      </c>
      <c r="T688" s="11" cm="1">
        <f t="array" ref="T688">(INDEX(U$403:U$594,MATCH(1,($A688=$A$403:$A$594)*($B688=$B$403:$B$594)*("Weekday"=$D$403:$D$594),0))*Weekdays+INDEX(U$403:U$594,MATCH(1,($A688=$A$403:$A$594)*($B688=$B$403:$B$594)*("Weekend"=$D$403:$D$594),0))*WeekendDays)/DaysPerWeek</f>
        <v>0</v>
      </c>
      <c r="U688" s="11" t="e" cm="1">
        <f t="array" ref="U688">(INDEX(V$403:V$594,MATCH(1,($A688=$A$403:$A$594)*($B688=$B$403:$B$594)*("Weekday"=$D$403:$D$594),0))*Weekdays+INDEX(V$403:V$594,MATCH(1,($A688=$A$403:$A$594)*($B688=$B$403:$B$594)*("Weekend"=$D$403:$D$594),0))*WeekendDays)/DaysPerWeek</f>
        <v>#DIV/0!</v>
      </c>
      <c r="V688" s="11" cm="1">
        <f t="array" ref="V688">(INDEX(W$403:W$594,MATCH(1,($A688=$A$403:$A$594)*($B688=$B$403:$B$594)*("Weekday"=$D$403:$D$594),0))*Weekdays+INDEX(W$403:W$594,MATCH(1,($A688=$A$403:$A$594)*($B688=$B$403:$B$594)*("Weekend"=$D$403:$D$594),0))*WeekendDays)/DaysPerWeek</f>
        <v>1.1722025618149889E-4</v>
      </c>
      <c r="W688" s="11" cm="1">
        <f t="array" ref="W688">(INDEX(X$403:X$594,MATCH(1,($A688=$A$403:$A$594)*($B688=$B$403:$B$594)*("Weekday"=$D$403:$D$594),0))*Weekdays+INDEX(X$403:X$594,MATCH(1,($A688=$A$403:$A$594)*($B688=$B$403:$B$594)*("Weekend"=$D$403:$D$594),0))*WeekendDays)/DaysPerWeek</f>
        <v>0</v>
      </c>
      <c r="X688" s="11" cm="1">
        <f t="array" ref="X688">(INDEX(Y$403:Y$594,MATCH(1,($A688=$A$403:$A$594)*($B688=$B$403:$B$594)*("Weekday"=$D$403:$D$594),0))*Weekdays+INDEX(Y$403:Y$594,MATCH(1,($A688=$A$403:$A$594)*($B688=$B$403:$B$594)*("Weekend"=$D$403:$D$594),0))*WeekendDays)/DaysPerWeek</f>
        <v>0</v>
      </c>
      <c r="Y688" s="25" t="e">
        <f t="shared" si="425"/>
        <v>#DIV/0!</v>
      </c>
      <c r="Z688" s="32" t="e">
        <f t="shared" si="424"/>
        <v>#DIV/0!</v>
      </c>
    </row>
    <row r="689" spans="1:26" outlineLevel="1" x14ac:dyDescent="0.25">
      <c r="A689" t="s">
        <v>40</v>
      </c>
      <c r="B689" t="s">
        <v>164</v>
      </c>
      <c r="C689" s="7" t="s">
        <v>16</v>
      </c>
      <c r="D689" s="11" cm="1">
        <f t="array" ref="D689">(INDEX(E$403:E$594,MATCH(1,($A689=$A$403:$A$594)*($B689=$B$403:$B$594)*("Weekday"=$D$403:$D$594),0))*Weekdays+INDEX(E$403:E$594,MATCH(1,($A689=$A$403:$A$594)*($B689=$B$403:$B$594)*("Weekend"=$D$403:$D$594),0))*WeekendDays)/DaysPerWeek</f>
        <v>4.5673214008461175E-5</v>
      </c>
      <c r="E689" s="11" cm="1">
        <f t="array" ref="E689">(INDEX(F$403:F$594,MATCH(1,($A689=$A$403:$A$594)*($B689=$B$403:$B$594)*("Weekday"=$D$403:$D$594),0))*Weekdays+INDEX(F$403:F$594,MATCH(1,($A689=$A$403:$A$594)*($B689=$B$403:$B$594)*("Weekend"=$D$403:$D$594),0))*WeekendDays)/DaysPerWeek</f>
        <v>1.4310656127796767E-4</v>
      </c>
      <c r="F689" s="11" cm="1">
        <f t="array" ref="F689">(INDEX(G$403:G$594,MATCH(1,($A689=$A$403:$A$594)*($B689=$B$403:$B$594)*("Weekday"=$D$403:$D$594),0))*Weekdays+INDEX(G$403:G$594,MATCH(1,($A689=$A$403:$A$594)*($B689=$B$403:$B$594)*("Weekend"=$D$403:$D$594),0))*WeekendDays)/DaysPerWeek</f>
        <v>0</v>
      </c>
      <c r="G689" s="11" cm="1">
        <f t="array" ref="G689">(INDEX(H$403:H$594,MATCH(1,($A689=$A$403:$A$594)*($B689=$B$403:$B$594)*("Weekday"=$D$403:$D$594),0))*Weekdays+INDEX(H$403:H$594,MATCH(1,($A689=$A$403:$A$594)*($B689=$B$403:$B$594)*("Weekend"=$D$403:$D$594),0))*WeekendDays)/DaysPerWeek</f>
        <v>2.1238401079888051E-4</v>
      </c>
      <c r="H689" s="11" cm="1">
        <f t="array" ref="H689">(INDEX(I$403:I$594,MATCH(1,($A689=$A$403:$A$594)*($B689=$B$403:$B$594)*("Weekday"=$D$403:$D$594),0))*Weekdays+INDEX(I$403:I$594,MATCH(1,($A689=$A$403:$A$594)*($B689=$B$403:$B$594)*("Weekend"=$D$403:$D$594),0))*WeekendDays)/DaysPerWeek</f>
        <v>1.1548625518065357E-4</v>
      </c>
      <c r="I689" s="11" cm="1">
        <f t="array" ref="I689">(INDEX(J$403:J$594,MATCH(1,($A689=$A$403:$A$594)*($B689=$B$403:$B$594)*("Weekday"=$D$403:$D$594),0))*Weekdays+INDEX(J$403:J$594,MATCH(1,($A689=$A$403:$A$594)*($B689=$B$403:$B$594)*("Weekend"=$D$403:$D$594),0))*WeekendDays)/DaysPerWeek</f>
        <v>1.1548625518065357E-4</v>
      </c>
      <c r="J689" s="11" cm="1">
        <f t="array" ref="J689">(INDEX(K$403:K$594,MATCH(1,($A689=$A$403:$A$594)*($B689=$B$403:$B$594)*("Weekday"=$D$403:$D$594),0))*Weekdays+INDEX(K$403:K$594,MATCH(1,($A689=$A$403:$A$594)*($B689=$B$403:$B$594)*("Weekend"=$D$403:$D$594),0))*WeekendDays)/DaysPerWeek</f>
        <v>2.6489822183542338E-5</v>
      </c>
      <c r="K689" s="11" cm="1">
        <f t="array" ref="K689">(INDEX(L$403:L$594,MATCH(1,($A689=$A$403:$A$594)*($B689=$B$403:$B$594)*("Weekday"=$D$403:$D$594),0))*Weekdays+INDEX(L$403:L$594,MATCH(1,($A689=$A$403:$A$594)*($B689=$B$403:$B$594)*("Weekend"=$D$403:$D$594),0))*WeekendDays)/DaysPerWeek</f>
        <v>9.4124861822339644E-5</v>
      </c>
      <c r="L689" s="11" cm="1">
        <f t="array" ref="L689">(INDEX(M$403:M$594,MATCH(1,($A689=$A$403:$A$594)*($B689=$B$403:$B$594)*("Weekday"=$D$403:$D$594),0))*Weekdays+INDEX(M$403:M$594,MATCH(1,($A689=$A$403:$A$594)*($B689=$B$403:$B$594)*("Weekend"=$D$403:$D$594),0))*WeekendDays)/DaysPerWeek</f>
        <v>0</v>
      </c>
      <c r="M689" s="11" cm="1">
        <f t="array" ref="M689">(INDEX(N$403:N$594,MATCH(1,($A689=$A$403:$A$594)*($B689=$B$403:$B$594)*("Weekday"=$D$403:$D$594),0))*Weekdays+INDEX(N$403:N$594,MATCH(1,($A689=$A$403:$A$594)*($B689=$B$403:$B$594)*("Weekend"=$D$403:$D$594),0))*WeekendDays)/DaysPerWeek</f>
        <v>1.4318027016691596E-4</v>
      </c>
      <c r="N689" s="11" cm="1">
        <f t="array" ref="N689">(INDEX(O$403:O$594,MATCH(1,($A689=$A$403:$A$594)*($B689=$B$403:$B$594)*("Weekday"=$D$403:$D$594),0))*Weekdays+INDEX(O$403:O$594,MATCH(1,($A689=$A$403:$A$594)*($B689=$B$403:$B$594)*("Weekend"=$D$403:$D$594),0))*WeekendDays)/DaysPerWeek</f>
        <v>1.4318027016691596E-4</v>
      </c>
      <c r="O689" s="11" cm="1">
        <f t="array" ref="O689">(INDEX(P$403:P$594,MATCH(1,($A689=$A$403:$A$594)*($B689=$B$403:$B$594)*("Weekday"=$D$403:$D$594),0))*Weekdays+INDEX(P$403:P$594,MATCH(1,($A689=$A$403:$A$594)*($B689=$B$403:$B$594)*("Weekend"=$D$403:$D$594),0))*WeekendDays)/DaysPerWeek</f>
        <v>0</v>
      </c>
      <c r="P689" s="11" cm="1">
        <f t="array" ref="P689">(INDEX(Q$403:Q$594,MATCH(1,($A689=$A$403:$A$594)*($B689=$B$403:$B$594)*("Weekday"=$D$403:$D$594),0))*Weekdays+INDEX(Q$403:Q$594,MATCH(1,($A689=$A$403:$A$594)*($B689=$B$403:$B$594)*("Weekend"=$D$403:$D$594),0))*WeekendDays)/DaysPerWeek</f>
        <v>1.7378288973174928E-4</v>
      </c>
      <c r="Q689" s="11" cm="1">
        <f t="array" ref="Q689">(INDEX(R$403:R$594,MATCH(1,($A689=$A$403:$A$594)*($B689=$B$403:$B$594)*("Weekday"=$D$403:$D$594),0))*Weekdays+INDEX(R$403:R$594,MATCH(1,($A689=$A$403:$A$594)*($B689=$B$403:$B$594)*("Weekend"=$D$403:$D$594),0))*WeekendDays)/DaysPerWeek</f>
        <v>1.7378288973174933E-4</v>
      </c>
      <c r="R689" s="11" cm="1">
        <f t="array" ref="R689">(INDEX(S$403:S$594,MATCH(1,($A689=$A$403:$A$594)*($B689=$B$403:$B$594)*("Weekday"=$D$403:$D$594),0))*Weekdays+INDEX(S$403:S$594,MATCH(1,($A689=$A$403:$A$594)*($B689=$B$403:$B$594)*("Weekend"=$D$403:$D$594),0))*WeekendDays)/DaysPerWeek</f>
        <v>0</v>
      </c>
      <c r="S689" s="11" cm="1">
        <f t="array" ref="S689">(INDEX(T$403:T$594,MATCH(1,($A689=$A$403:$A$594)*($B689=$B$403:$B$594)*("Weekday"=$D$403:$D$594),0))*Weekdays+INDEX(T$403:T$594,MATCH(1,($A689=$A$403:$A$594)*($B689=$B$403:$B$594)*("Weekend"=$D$403:$D$594),0))*WeekendDays)/DaysPerWeek</f>
        <v>1.7378288973174933E-4</v>
      </c>
      <c r="T689" s="11" cm="1">
        <f t="array" ref="T689">(INDEX(U$403:U$594,MATCH(1,($A689=$A$403:$A$594)*($B689=$B$403:$B$594)*("Weekday"=$D$403:$D$594),0))*Weekdays+INDEX(U$403:U$594,MATCH(1,($A689=$A$403:$A$594)*($B689=$B$403:$B$594)*("Weekend"=$D$403:$D$594),0))*WeekendDays)/DaysPerWeek</f>
        <v>0</v>
      </c>
      <c r="U689" s="11" t="e" cm="1">
        <f t="array" ref="U689">(INDEX(V$403:V$594,MATCH(1,($A689=$A$403:$A$594)*($B689=$B$403:$B$594)*("Weekday"=$D$403:$D$594),0))*Weekdays+INDEX(V$403:V$594,MATCH(1,($A689=$A$403:$A$594)*($B689=$B$403:$B$594)*("Weekend"=$D$403:$D$594),0))*WeekendDays)/DaysPerWeek</f>
        <v>#DIV/0!</v>
      </c>
      <c r="V689" s="11" cm="1">
        <f t="array" ref="V689">(INDEX(W$403:W$594,MATCH(1,($A689=$A$403:$A$594)*($B689=$B$403:$B$594)*("Weekday"=$D$403:$D$594),0))*Weekdays+INDEX(W$403:W$594,MATCH(1,($A689=$A$403:$A$594)*($B689=$B$403:$B$594)*("Weekend"=$D$403:$D$594),0))*WeekendDays)/DaysPerWeek</f>
        <v>1.1750353374597811E-4</v>
      </c>
      <c r="W689" s="11" cm="1">
        <f t="array" ref="W689">(INDEX(X$403:X$594,MATCH(1,($A689=$A$403:$A$594)*($B689=$B$403:$B$594)*("Weekday"=$D$403:$D$594),0))*Weekdays+INDEX(X$403:X$594,MATCH(1,($A689=$A$403:$A$594)*($B689=$B$403:$B$594)*("Weekend"=$D$403:$D$594),0))*WeekendDays)/DaysPerWeek</f>
        <v>0</v>
      </c>
      <c r="X689" s="11" cm="1">
        <f t="array" ref="X689">(INDEX(Y$403:Y$594,MATCH(1,($A689=$A$403:$A$594)*($B689=$B$403:$B$594)*("Weekday"=$D$403:$D$594),0))*Weekdays+INDEX(Y$403:Y$594,MATCH(1,($A689=$A$403:$A$594)*($B689=$B$403:$B$594)*("Weekend"=$D$403:$D$594),0))*WeekendDays)/DaysPerWeek</f>
        <v>0</v>
      </c>
      <c r="Y689" s="25" t="e">
        <f t="shared" si="425"/>
        <v>#DIV/0!</v>
      </c>
      <c r="Z689" s="32" t="e">
        <f t="shared" si="424"/>
        <v>#DIV/0!</v>
      </c>
    </row>
    <row r="690" spans="1:26" outlineLevel="1" x14ac:dyDescent="0.25">
      <c r="A690" t="s">
        <v>40</v>
      </c>
      <c r="B690" t="s">
        <v>165</v>
      </c>
      <c r="C690" s="7" t="s">
        <v>17</v>
      </c>
      <c r="D690" s="11" cm="1">
        <f t="array" ref="D690">(INDEX(E$403:E$594,MATCH(1,($A690=$A$403:$A$594)*($B690=$B$403:$B$594)*("Weekday"=$D$403:$D$594),0))*Weekdays+INDEX(E$403:E$594,MATCH(1,($A690=$A$403:$A$594)*($B690=$B$403:$B$594)*("Weekend"=$D$403:$D$594),0))*WeekendDays)/DaysPerWeek</f>
        <v>4.8025493398349421E-5</v>
      </c>
      <c r="E690" s="11" cm="1">
        <f t="array" ref="E690">(INDEX(F$403:F$594,MATCH(1,($A690=$A$403:$A$594)*($B690=$B$403:$B$594)*("Weekday"=$D$403:$D$594),0))*Weekdays+INDEX(F$403:F$594,MATCH(1,($A690=$A$403:$A$594)*($B690=$B$403:$B$594)*("Weekend"=$D$403:$D$594),0))*WeekendDays)/DaysPerWeek</f>
        <v>1.2749592370053385E-4</v>
      </c>
      <c r="F690" s="11" cm="1">
        <f t="array" ref="F690">(INDEX(G$403:G$594,MATCH(1,($A690=$A$403:$A$594)*($B690=$B$403:$B$594)*("Weekday"=$D$403:$D$594),0))*Weekdays+INDEX(G$403:G$594,MATCH(1,($A690=$A$403:$A$594)*($B690=$B$403:$B$594)*("Weekend"=$D$403:$D$594),0))*WeekendDays)/DaysPerWeek</f>
        <v>0</v>
      </c>
      <c r="G690" s="11" cm="1">
        <f t="array" ref="G690">(INDEX(H$403:H$594,MATCH(1,($A690=$A$403:$A$594)*($B690=$B$403:$B$594)*("Weekday"=$D$403:$D$594),0))*Weekdays+INDEX(H$403:H$594,MATCH(1,($A690=$A$403:$A$594)*($B690=$B$403:$B$594)*("Weekend"=$D$403:$D$594),0))*WeekendDays)/DaysPerWeek</f>
        <v>2.8502842304362828E-4</v>
      </c>
      <c r="H690" s="11" cm="1">
        <f t="array" ref="H690">(INDEX(I$403:I$594,MATCH(1,($A690=$A$403:$A$594)*($B690=$B$403:$B$594)*("Weekday"=$D$403:$D$594),0))*Weekdays+INDEX(I$403:I$594,MATCH(1,($A690=$A$403:$A$594)*($B690=$B$403:$B$594)*("Weekend"=$D$403:$D$594),0))*WeekendDays)/DaysPerWeek</f>
        <v>1.4099297793488644E-4</v>
      </c>
      <c r="I690" s="11" cm="1">
        <f t="array" ref="I690">(INDEX(J$403:J$594,MATCH(1,($A690=$A$403:$A$594)*($B690=$B$403:$B$594)*("Weekday"=$D$403:$D$594),0))*Weekdays+INDEX(J$403:J$594,MATCH(1,($A690=$A$403:$A$594)*($B690=$B$403:$B$594)*("Weekend"=$D$403:$D$594),0))*WeekendDays)/DaysPerWeek</f>
        <v>1.4099297793488644E-4</v>
      </c>
      <c r="J690" s="11" cm="1">
        <f t="array" ref="J690">(INDEX(K$403:K$594,MATCH(1,($A690=$A$403:$A$594)*($B690=$B$403:$B$594)*("Weekday"=$D$403:$D$594),0))*Weekdays+INDEX(K$403:K$594,MATCH(1,($A690=$A$403:$A$594)*($B690=$B$403:$B$594)*("Weekend"=$D$403:$D$594),0))*WeekendDays)/DaysPerWeek</f>
        <v>3.0163027582086604E-5</v>
      </c>
      <c r="K690" s="11" cm="1">
        <f t="array" ref="K690">(INDEX(L$403:L$594,MATCH(1,($A690=$A$403:$A$594)*($B690=$B$403:$B$594)*("Weekday"=$D$403:$D$594),0))*Weekdays+INDEX(L$403:L$594,MATCH(1,($A690=$A$403:$A$594)*($B690=$B$403:$B$594)*("Weekend"=$D$403:$D$594),0))*WeekendDays)/DaysPerWeek</f>
        <v>8.623780640907902E-5</v>
      </c>
      <c r="L690" s="11" cm="1">
        <f t="array" ref="L690">(INDEX(M$403:M$594,MATCH(1,($A690=$A$403:$A$594)*($B690=$B$403:$B$594)*("Weekday"=$D$403:$D$594),0))*Weekdays+INDEX(M$403:M$594,MATCH(1,($A690=$A$403:$A$594)*($B690=$B$403:$B$594)*("Weekend"=$D$403:$D$594),0))*WeekendDays)/DaysPerWeek</f>
        <v>0</v>
      </c>
      <c r="M690" s="11" cm="1">
        <f t="array" ref="M690">(INDEX(N$403:N$594,MATCH(1,($A690=$A$403:$A$594)*($B690=$B$403:$B$594)*("Weekday"=$D$403:$D$594),0))*Weekdays+INDEX(N$403:N$594,MATCH(1,($A690=$A$403:$A$594)*($B690=$B$403:$B$594)*("Weekend"=$D$403:$D$594),0))*WeekendDays)/DaysPerWeek</f>
        <v>1.3694222520649473E-4</v>
      </c>
      <c r="N690" s="11" cm="1">
        <f t="array" ref="N690">(INDEX(O$403:O$594,MATCH(1,($A690=$A$403:$A$594)*($B690=$B$403:$B$594)*("Weekday"=$D$403:$D$594),0))*Weekdays+INDEX(O$403:O$594,MATCH(1,($A690=$A$403:$A$594)*($B690=$B$403:$B$594)*("Weekend"=$D$403:$D$594),0))*WeekendDays)/DaysPerWeek</f>
        <v>1.3694222520649473E-4</v>
      </c>
      <c r="O690" s="11" cm="1">
        <f t="array" ref="O690">(INDEX(P$403:P$594,MATCH(1,($A690=$A$403:$A$594)*($B690=$B$403:$B$594)*("Weekday"=$D$403:$D$594),0))*Weekdays+INDEX(P$403:P$594,MATCH(1,($A690=$A$403:$A$594)*($B690=$B$403:$B$594)*("Weekend"=$D$403:$D$594),0))*WeekendDays)/DaysPerWeek</f>
        <v>0</v>
      </c>
      <c r="P690" s="11" cm="1">
        <f t="array" ref="P690">(INDEX(Q$403:Q$594,MATCH(1,($A690=$A$403:$A$594)*($B690=$B$403:$B$594)*("Weekday"=$D$403:$D$594),0))*Weekdays+INDEX(Q$403:Q$594,MATCH(1,($A690=$A$403:$A$594)*($B690=$B$403:$B$594)*("Weekend"=$D$403:$D$594),0))*WeekendDays)/DaysPerWeek</f>
        <v>1.6332636209251934E-4</v>
      </c>
      <c r="Q690" s="11" cm="1">
        <f t="array" ref="Q690">(INDEX(R$403:R$594,MATCH(1,($A690=$A$403:$A$594)*($B690=$B$403:$B$594)*("Weekday"=$D$403:$D$594),0))*Weekdays+INDEX(R$403:R$594,MATCH(1,($A690=$A$403:$A$594)*($B690=$B$403:$B$594)*("Weekend"=$D$403:$D$594),0))*WeekendDays)/DaysPerWeek</f>
        <v>1.6332636209251939E-4</v>
      </c>
      <c r="R690" s="11" cm="1">
        <f t="array" ref="R690">(INDEX(S$403:S$594,MATCH(1,($A690=$A$403:$A$594)*($B690=$B$403:$B$594)*("Weekday"=$D$403:$D$594),0))*Weekdays+INDEX(S$403:S$594,MATCH(1,($A690=$A$403:$A$594)*($B690=$B$403:$B$594)*("Weekend"=$D$403:$D$594),0))*WeekendDays)/DaysPerWeek</f>
        <v>0</v>
      </c>
      <c r="S690" s="11" cm="1">
        <f t="array" ref="S690">(INDEX(T$403:T$594,MATCH(1,($A690=$A$403:$A$594)*($B690=$B$403:$B$594)*("Weekday"=$D$403:$D$594),0))*Weekdays+INDEX(T$403:T$594,MATCH(1,($A690=$A$403:$A$594)*($B690=$B$403:$B$594)*("Weekend"=$D$403:$D$594),0))*WeekendDays)/DaysPerWeek</f>
        <v>1.6332636209251945E-4</v>
      </c>
      <c r="T690" s="11" cm="1">
        <f t="array" ref="T690">(INDEX(U$403:U$594,MATCH(1,($A690=$A$403:$A$594)*($B690=$B$403:$B$594)*("Weekday"=$D$403:$D$594),0))*Weekdays+INDEX(U$403:U$594,MATCH(1,($A690=$A$403:$A$594)*($B690=$B$403:$B$594)*("Weekend"=$D$403:$D$594),0))*WeekendDays)/DaysPerWeek</f>
        <v>0</v>
      </c>
      <c r="U690" s="11" t="e" cm="1">
        <f t="array" ref="U690">(INDEX(V$403:V$594,MATCH(1,($A690=$A$403:$A$594)*($B690=$B$403:$B$594)*("Weekday"=$D$403:$D$594),0))*Weekdays+INDEX(V$403:V$594,MATCH(1,($A690=$A$403:$A$594)*($B690=$B$403:$B$594)*("Weekend"=$D$403:$D$594),0))*WeekendDays)/DaysPerWeek</f>
        <v>#DIV/0!</v>
      </c>
      <c r="V690" s="11" cm="1">
        <f t="array" ref="V690">(INDEX(W$403:W$594,MATCH(1,($A690=$A$403:$A$594)*($B690=$B$403:$B$594)*("Weekday"=$D$403:$D$594),0))*Weekdays+INDEX(W$403:W$594,MATCH(1,($A690=$A$403:$A$594)*($B690=$B$403:$B$594)*("Weekend"=$D$403:$D$594),0))*WeekendDays)/DaysPerWeek</f>
        <v>1.169936341299155E-4</v>
      </c>
      <c r="W690" s="11" cm="1">
        <f t="array" ref="W690">(INDEX(X$403:X$594,MATCH(1,($A690=$A$403:$A$594)*($B690=$B$403:$B$594)*("Weekday"=$D$403:$D$594),0))*Weekdays+INDEX(X$403:X$594,MATCH(1,($A690=$A$403:$A$594)*($B690=$B$403:$B$594)*("Weekend"=$D$403:$D$594),0))*WeekendDays)/DaysPerWeek</f>
        <v>0</v>
      </c>
      <c r="X690" s="11" cm="1">
        <f t="array" ref="X690">(INDEX(Y$403:Y$594,MATCH(1,($A690=$A$403:$A$594)*($B690=$B$403:$B$594)*("Weekday"=$D$403:$D$594),0))*Weekdays+INDEX(Y$403:Y$594,MATCH(1,($A690=$A$403:$A$594)*($B690=$B$403:$B$594)*("Weekend"=$D$403:$D$594),0))*WeekendDays)/DaysPerWeek</f>
        <v>0</v>
      </c>
      <c r="Y690" s="35" t="e">
        <f t="shared" si="425"/>
        <v>#DIV/0!</v>
      </c>
      <c r="Z690" s="32" t="e">
        <f t="shared" si="424"/>
        <v>#DIV/0!</v>
      </c>
    </row>
    <row r="691" spans="1:26" outlineLevel="1" x14ac:dyDescent="0.25">
      <c r="A691" t="s">
        <v>40</v>
      </c>
      <c r="B691" t="s">
        <v>166</v>
      </c>
      <c r="C691" s="7" t="s">
        <v>18</v>
      </c>
      <c r="D691" s="11" cm="1">
        <f t="array" ref="D691">(INDEX(E$403:E$594,MATCH(1,($A691=$A$403:$A$594)*($B691=$B$403:$B$594)*("Weekday"=$D$403:$D$594),0))*Weekdays+INDEX(E$403:E$594,MATCH(1,($A691=$A$403:$A$594)*($B691=$B$403:$B$594)*("Weekend"=$D$403:$D$594),0))*WeekendDays)/DaysPerWeek</f>
        <v>5.0103780104705319E-5</v>
      </c>
      <c r="E691" s="11" cm="1">
        <f t="array" ref="E691">(INDEX(F$403:F$594,MATCH(1,($A691=$A$403:$A$594)*($B691=$B$403:$B$594)*("Weekday"=$D$403:$D$594),0))*Weekdays+INDEX(F$403:F$594,MATCH(1,($A691=$A$403:$A$594)*($B691=$B$403:$B$594)*("Weekend"=$D$403:$D$594),0))*WeekendDays)/DaysPerWeek</f>
        <v>1.05206591397831E-4</v>
      </c>
      <c r="F691" s="11" cm="1">
        <f t="array" ref="F691">(INDEX(G$403:G$594,MATCH(1,($A691=$A$403:$A$594)*($B691=$B$403:$B$594)*("Weekday"=$D$403:$D$594),0))*Weekdays+INDEX(G$403:G$594,MATCH(1,($A691=$A$403:$A$594)*($B691=$B$403:$B$594)*("Weekend"=$D$403:$D$594),0))*WeekendDays)/DaysPerWeek</f>
        <v>0</v>
      </c>
      <c r="G691" s="11" cm="1">
        <f t="array" ref="G691">(INDEX(H$403:H$594,MATCH(1,($A691=$A$403:$A$594)*($B691=$B$403:$B$594)*("Weekday"=$D$403:$D$594),0))*Weekdays+INDEX(H$403:H$594,MATCH(1,($A691=$A$403:$A$594)*($B691=$B$403:$B$594)*("Weekend"=$D$403:$D$594),0))*WeekendDays)/DaysPerWeek</f>
        <v>3.0403031791320347E-4</v>
      </c>
      <c r="H691" s="11" cm="1">
        <f t="array" ref="H691">(INDEX(I$403:I$594,MATCH(1,($A691=$A$403:$A$594)*($B691=$B$403:$B$594)*("Weekday"=$D$403:$D$594),0))*Weekdays+INDEX(I$403:I$594,MATCH(1,($A691=$A$403:$A$594)*($B691=$B$403:$B$594)*("Weekend"=$D$403:$D$594),0))*WeekendDays)/DaysPerWeek</f>
        <v>1.3564646166576371E-4</v>
      </c>
      <c r="I691" s="11" cm="1">
        <f t="array" ref="I691">(INDEX(J$403:J$594,MATCH(1,($A691=$A$403:$A$594)*($B691=$B$403:$B$594)*("Weekday"=$D$403:$D$594),0))*Weekdays+INDEX(J$403:J$594,MATCH(1,($A691=$A$403:$A$594)*($B691=$B$403:$B$594)*("Weekend"=$D$403:$D$594),0))*WeekendDays)/DaysPerWeek</f>
        <v>1.3564646166576371E-4</v>
      </c>
      <c r="J691" s="11" cm="1">
        <f t="array" ref="J691">(INDEX(K$403:K$594,MATCH(1,($A691=$A$403:$A$594)*($B691=$B$403:$B$594)*("Weekday"=$D$403:$D$594),0))*Weekdays+INDEX(K$403:K$594,MATCH(1,($A691=$A$403:$A$594)*($B691=$B$403:$B$594)*("Weekend"=$D$403:$D$594),0))*WeekendDays)/DaysPerWeek</f>
        <v>3.5294385019229441E-5</v>
      </c>
      <c r="K691" s="11" cm="1">
        <f t="array" ref="K691">(INDEX(L$403:L$594,MATCH(1,($A691=$A$403:$A$594)*($B691=$B$403:$B$594)*("Weekday"=$D$403:$D$594),0))*Weekdays+INDEX(L$403:L$594,MATCH(1,($A691=$A$403:$A$594)*($B691=$B$403:$B$594)*("Weekend"=$D$403:$D$594),0))*WeekendDays)/DaysPerWeek</f>
        <v>7.6924535769327826E-5</v>
      </c>
      <c r="L691" s="11" cm="1">
        <f t="array" ref="L691">(INDEX(M$403:M$594,MATCH(1,($A691=$A$403:$A$594)*($B691=$B$403:$B$594)*("Weekday"=$D$403:$D$594),0))*Weekdays+INDEX(M$403:M$594,MATCH(1,($A691=$A$403:$A$594)*($B691=$B$403:$B$594)*("Weekend"=$D$403:$D$594),0))*WeekendDays)/DaysPerWeek</f>
        <v>0</v>
      </c>
      <c r="M691" s="11" cm="1">
        <f t="array" ref="M691">(INDEX(N$403:N$594,MATCH(1,($A691=$A$403:$A$594)*($B691=$B$403:$B$594)*("Weekday"=$D$403:$D$594),0))*Weekdays+INDEX(N$403:N$594,MATCH(1,($A691=$A$403:$A$594)*($B691=$B$403:$B$594)*("Weekend"=$D$403:$D$594),0))*WeekendDays)/DaysPerWeek</f>
        <v>1.1814888369744982E-4</v>
      </c>
      <c r="N691" s="11" cm="1">
        <f t="array" ref="N691">(INDEX(O$403:O$594,MATCH(1,($A691=$A$403:$A$594)*($B691=$B$403:$B$594)*("Weekday"=$D$403:$D$594),0))*Weekdays+INDEX(O$403:O$594,MATCH(1,($A691=$A$403:$A$594)*($B691=$B$403:$B$594)*("Weekend"=$D$403:$D$594),0))*WeekendDays)/DaysPerWeek</f>
        <v>1.1814888369744982E-4</v>
      </c>
      <c r="O691" s="11" cm="1">
        <f t="array" ref="O691">(INDEX(P$403:P$594,MATCH(1,($A691=$A$403:$A$594)*($B691=$B$403:$B$594)*("Weekday"=$D$403:$D$594),0))*Weekdays+INDEX(P$403:P$594,MATCH(1,($A691=$A$403:$A$594)*($B691=$B$403:$B$594)*("Weekend"=$D$403:$D$594),0))*WeekendDays)/DaysPerWeek</f>
        <v>0</v>
      </c>
      <c r="P691" s="11" cm="1">
        <f t="array" ref="P691">(INDEX(Q$403:Q$594,MATCH(1,($A691=$A$403:$A$594)*($B691=$B$403:$B$594)*("Weekday"=$D$403:$D$594),0))*Weekdays+INDEX(Q$403:Q$594,MATCH(1,($A691=$A$403:$A$594)*($B691=$B$403:$B$594)*("Weekend"=$D$403:$D$594),0))*WeekendDays)/DaysPerWeek</f>
        <v>1.405136873350761E-4</v>
      </c>
      <c r="Q691" s="11" cm="1">
        <f t="array" ref="Q691">(INDEX(R$403:R$594,MATCH(1,($A691=$A$403:$A$594)*($B691=$B$403:$B$594)*("Weekday"=$D$403:$D$594),0))*Weekdays+INDEX(R$403:R$594,MATCH(1,($A691=$A$403:$A$594)*($B691=$B$403:$B$594)*("Weekend"=$D$403:$D$594),0))*WeekendDays)/DaysPerWeek</f>
        <v>1.405136873350761E-4</v>
      </c>
      <c r="R691" s="11" cm="1">
        <f t="array" ref="R691">(INDEX(S$403:S$594,MATCH(1,($A691=$A$403:$A$594)*($B691=$B$403:$B$594)*("Weekday"=$D$403:$D$594),0))*Weekdays+INDEX(S$403:S$594,MATCH(1,($A691=$A$403:$A$594)*($B691=$B$403:$B$594)*("Weekend"=$D$403:$D$594),0))*WeekendDays)/DaysPerWeek</f>
        <v>0</v>
      </c>
      <c r="S691" s="11" cm="1">
        <f t="array" ref="S691">(INDEX(T$403:T$594,MATCH(1,($A691=$A$403:$A$594)*($B691=$B$403:$B$594)*("Weekday"=$D$403:$D$594),0))*Weekdays+INDEX(T$403:T$594,MATCH(1,($A691=$A$403:$A$594)*($B691=$B$403:$B$594)*("Weekend"=$D$403:$D$594),0))*WeekendDays)/DaysPerWeek</f>
        <v>1.4051368733507616E-4</v>
      </c>
      <c r="T691" s="11" cm="1">
        <f t="array" ref="T691">(INDEX(U$403:U$594,MATCH(1,($A691=$A$403:$A$594)*($B691=$B$403:$B$594)*("Weekday"=$D$403:$D$594),0))*Weekdays+INDEX(U$403:U$594,MATCH(1,($A691=$A$403:$A$594)*($B691=$B$403:$B$594)*("Weekend"=$D$403:$D$594),0))*WeekendDays)/DaysPerWeek</f>
        <v>0</v>
      </c>
      <c r="U691" s="11" t="e" cm="1">
        <f t="array" ref="U691">(INDEX(V$403:V$594,MATCH(1,($A691=$A$403:$A$594)*($B691=$B$403:$B$594)*("Weekday"=$D$403:$D$594),0))*Weekdays+INDEX(V$403:V$594,MATCH(1,($A691=$A$403:$A$594)*($B691=$B$403:$B$594)*("Weekend"=$D$403:$D$594),0))*WeekendDays)/DaysPerWeek</f>
        <v>#DIV/0!</v>
      </c>
      <c r="V691" s="11" cm="1">
        <f t="array" ref="V691">(INDEX(W$403:W$594,MATCH(1,($A691=$A$403:$A$594)*($B691=$B$403:$B$594)*("Weekday"=$D$403:$D$594),0))*Weekdays+INDEX(W$403:W$594,MATCH(1,($A691=$A$403:$A$594)*($B691=$B$403:$B$594)*("Weekend"=$D$403:$D$594),0))*WeekendDays)/DaysPerWeek</f>
        <v>1.1625711246226957E-4</v>
      </c>
      <c r="W691" s="11" cm="1">
        <f t="array" ref="W691">(INDEX(X$403:X$594,MATCH(1,($A691=$A$403:$A$594)*($B691=$B$403:$B$594)*("Weekday"=$D$403:$D$594),0))*Weekdays+INDEX(X$403:X$594,MATCH(1,($A691=$A$403:$A$594)*($B691=$B$403:$B$594)*("Weekend"=$D$403:$D$594),0))*WeekendDays)/DaysPerWeek</f>
        <v>0</v>
      </c>
      <c r="X691" s="11" cm="1">
        <f t="array" ref="X691">(INDEX(Y$403:Y$594,MATCH(1,($A691=$A$403:$A$594)*($B691=$B$403:$B$594)*("Weekday"=$D$403:$D$594),0))*Weekdays+INDEX(Y$403:Y$594,MATCH(1,($A691=$A$403:$A$594)*($B691=$B$403:$B$594)*("Weekend"=$D$403:$D$594),0))*WeekendDays)/DaysPerWeek</f>
        <v>0</v>
      </c>
      <c r="Y691" s="25" t="e">
        <f t="shared" si="425"/>
        <v>#DIV/0!</v>
      </c>
      <c r="Z691" s="32" t="e">
        <f t="shared" si="424"/>
        <v>#DIV/0!</v>
      </c>
    </row>
    <row r="692" spans="1:26" outlineLevel="1" x14ac:dyDescent="0.25">
      <c r="A692" t="s">
        <v>40</v>
      </c>
      <c r="B692" t="s">
        <v>167</v>
      </c>
      <c r="C692" s="7" t="s">
        <v>19</v>
      </c>
      <c r="D692" s="11" cm="1">
        <f t="array" ref="D692">(INDEX(E$403:E$594,MATCH(1,($A692=$A$403:$A$594)*($B692=$B$403:$B$594)*("Weekday"=$D$403:$D$594),0))*Weekdays+INDEX(E$403:E$594,MATCH(1,($A692=$A$403:$A$594)*($B692=$B$403:$B$594)*("Weekend"=$D$403:$D$594),0))*WeekendDays)/DaysPerWeek</f>
        <v>5.0386734779562039E-5</v>
      </c>
      <c r="E692" s="11" cm="1">
        <f t="array" ref="E692">(INDEX(F$403:F$594,MATCH(1,($A692=$A$403:$A$594)*($B692=$B$403:$B$594)*("Weekday"=$D$403:$D$594),0))*Weekdays+INDEX(F$403:F$594,MATCH(1,($A692=$A$403:$A$594)*($B692=$B$403:$B$594)*("Weekend"=$D$403:$D$594),0))*WeekendDays)/DaysPerWeek</f>
        <v>7.6012349124299E-5</v>
      </c>
      <c r="F692" s="11" cm="1">
        <f t="array" ref="F692">(INDEX(G$403:G$594,MATCH(1,($A692=$A$403:$A$594)*($B692=$B$403:$B$594)*("Weekday"=$D$403:$D$594),0))*Weekdays+INDEX(G$403:G$594,MATCH(1,($A692=$A$403:$A$594)*($B692=$B$403:$B$594)*("Weekend"=$D$403:$D$594),0))*WeekendDays)/DaysPerWeek</f>
        <v>0</v>
      </c>
      <c r="G692" s="11" cm="1">
        <f t="array" ref="G692">(INDEX(H$403:H$594,MATCH(1,($A692=$A$403:$A$594)*($B692=$B$403:$B$594)*("Weekday"=$D$403:$D$594),0))*Weekdays+INDEX(H$403:H$594,MATCH(1,($A692=$A$403:$A$594)*($B692=$B$403:$B$594)*("Weekend"=$D$403:$D$594),0))*WeekendDays)/DaysPerWeek</f>
        <v>3.063845349766907E-4</v>
      </c>
      <c r="H692" s="11" cm="1">
        <f t="array" ref="H692">(INDEX(I$403:I$594,MATCH(1,($A692=$A$403:$A$594)*($B692=$B$403:$B$594)*("Weekday"=$D$403:$D$594),0))*Weekdays+INDEX(I$403:I$594,MATCH(1,($A692=$A$403:$A$594)*($B692=$B$403:$B$594)*("Weekend"=$D$403:$D$594),0))*WeekendDays)/DaysPerWeek</f>
        <v>1.2398580917734848E-4</v>
      </c>
      <c r="I692" s="11" cm="1">
        <f t="array" ref="I692">(INDEX(J$403:J$594,MATCH(1,($A692=$A$403:$A$594)*($B692=$B$403:$B$594)*("Weekday"=$D$403:$D$594),0))*Weekdays+INDEX(J$403:J$594,MATCH(1,($A692=$A$403:$A$594)*($B692=$B$403:$B$594)*("Weekend"=$D$403:$D$594),0))*WeekendDays)/DaysPerWeek</f>
        <v>1.2398580917734848E-4</v>
      </c>
      <c r="J692" s="11" cm="1">
        <f t="array" ref="J692">(INDEX(K$403:K$594,MATCH(1,($A692=$A$403:$A$594)*($B692=$B$403:$B$594)*("Weekday"=$D$403:$D$594),0))*Weekdays+INDEX(K$403:K$594,MATCH(1,($A692=$A$403:$A$594)*($B692=$B$403:$B$594)*("Weekend"=$D$403:$D$594),0))*WeekendDays)/DaysPerWeek</f>
        <v>4.2977457568677648E-5</v>
      </c>
      <c r="K692" s="11" cm="1">
        <f t="array" ref="K692">(INDEX(L$403:L$594,MATCH(1,($A692=$A$403:$A$594)*($B692=$B$403:$B$594)*("Weekday"=$D$403:$D$594),0))*Weekdays+INDEX(L$403:L$594,MATCH(1,($A692=$A$403:$A$594)*($B692=$B$403:$B$594)*("Weekend"=$D$403:$D$594),0))*WeekendDays)/DaysPerWeek</f>
        <v>6.7681676709858672E-5</v>
      </c>
      <c r="L692" s="11" cm="1">
        <f t="array" ref="L692">(INDEX(M$403:M$594,MATCH(1,($A692=$A$403:$A$594)*($B692=$B$403:$B$594)*("Weekday"=$D$403:$D$594),0))*Weekdays+INDEX(M$403:M$594,MATCH(1,($A692=$A$403:$A$594)*($B692=$B$403:$B$594)*("Weekend"=$D$403:$D$594),0))*WeekendDays)/DaysPerWeek</f>
        <v>0</v>
      </c>
      <c r="M692" s="11" cm="1">
        <f t="array" ref="M692">(INDEX(N$403:N$594,MATCH(1,($A692=$A$403:$A$594)*($B692=$B$403:$B$594)*("Weekday"=$D$403:$D$594),0))*Weekdays+INDEX(N$403:N$594,MATCH(1,($A692=$A$403:$A$594)*($B692=$B$403:$B$594)*("Weekend"=$D$403:$D$594),0))*WeekendDays)/DaysPerWeek</f>
        <v>1.0106827986569595E-4</v>
      </c>
      <c r="N692" s="11" cm="1">
        <f t="array" ref="N692">(INDEX(O$403:O$594,MATCH(1,($A692=$A$403:$A$594)*($B692=$B$403:$B$594)*("Weekday"=$D$403:$D$594),0))*Weekdays+INDEX(O$403:O$594,MATCH(1,($A692=$A$403:$A$594)*($B692=$B$403:$B$594)*("Weekend"=$D$403:$D$594),0))*WeekendDays)/DaysPerWeek</f>
        <v>1.0106827986569595E-4</v>
      </c>
      <c r="O692" s="11" cm="1">
        <f t="array" ref="O692">(INDEX(P$403:P$594,MATCH(1,($A692=$A$403:$A$594)*($B692=$B$403:$B$594)*("Weekday"=$D$403:$D$594),0))*Weekdays+INDEX(P$403:P$594,MATCH(1,($A692=$A$403:$A$594)*($B692=$B$403:$B$594)*("Weekend"=$D$403:$D$594),0))*WeekendDays)/DaysPerWeek</f>
        <v>0</v>
      </c>
      <c r="P692" s="11" cm="1">
        <f t="array" ref="P692">(INDEX(Q$403:Q$594,MATCH(1,($A692=$A$403:$A$594)*($B692=$B$403:$B$594)*("Weekday"=$D$403:$D$594),0))*Weekdays+INDEX(Q$403:Q$594,MATCH(1,($A692=$A$403:$A$594)*($B692=$B$403:$B$594)*("Weekend"=$D$403:$D$594),0))*WeekendDays)/DaysPerWeek</f>
        <v>1.3125594547614862E-4</v>
      </c>
      <c r="Q692" s="11" cm="1">
        <f t="array" ref="Q692">(INDEX(R$403:R$594,MATCH(1,($A692=$A$403:$A$594)*($B692=$B$403:$B$594)*("Weekday"=$D$403:$D$594),0))*Weekdays+INDEX(R$403:R$594,MATCH(1,($A692=$A$403:$A$594)*($B692=$B$403:$B$594)*("Weekend"=$D$403:$D$594),0))*WeekendDays)/DaysPerWeek</f>
        <v>1.3125594547614862E-4</v>
      </c>
      <c r="R692" s="11" cm="1">
        <f t="array" ref="R692">(INDEX(S$403:S$594,MATCH(1,($A692=$A$403:$A$594)*($B692=$B$403:$B$594)*("Weekday"=$D$403:$D$594),0))*Weekdays+INDEX(S$403:S$594,MATCH(1,($A692=$A$403:$A$594)*($B692=$B$403:$B$594)*("Weekend"=$D$403:$D$594),0))*WeekendDays)/DaysPerWeek</f>
        <v>0</v>
      </c>
      <c r="S692" s="11" cm="1">
        <f t="array" ref="S692">(INDEX(T$403:T$594,MATCH(1,($A692=$A$403:$A$594)*($B692=$B$403:$B$594)*("Weekday"=$D$403:$D$594),0))*Weekdays+INDEX(T$403:T$594,MATCH(1,($A692=$A$403:$A$594)*($B692=$B$403:$B$594)*("Weekend"=$D$403:$D$594),0))*WeekendDays)/DaysPerWeek</f>
        <v>1.3125594547614864E-4</v>
      </c>
      <c r="T692" s="11" cm="1">
        <f t="array" ref="T692">(INDEX(U$403:U$594,MATCH(1,($A692=$A$403:$A$594)*($B692=$B$403:$B$594)*("Weekday"=$D$403:$D$594),0))*Weekdays+INDEX(U$403:U$594,MATCH(1,($A692=$A$403:$A$594)*($B692=$B$403:$B$594)*("Weekend"=$D$403:$D$594),0))*WeekendDays)/DaysPerWeek</f>
        <v>0</v>
      </c>
      <c r="U692" s="11" t="e" cm="1">
        <f t="array" ref="U692">(INDEX(V$403:V$594,MATCH(1,($A692=$A$403:$A$594)*($B692=$B$403:$B$594)*("Weekday"=$D$403:$D$594),0))*Weekdays+INDEX(V$403:V$594,MATCH(1,($A692=$A$403:$A$594)*($B692=$B$403:$B$594)*("Weekend"=$D$403:$D$594),0))*WeekendDays)/DaysPerWeek</f>
        <v>#DIV/0!</v>
      </c>
      <c r="V692" s="11" cm="1">
        <f t="array" ref="V692">(INDEX(W$403:W$594,MATCH(1,($A692=$A$403:$A$594)*($B692=$B$403:$B$594)*("Weekday"=$D$403:$D$594),0))*Weekdays+INDEX(W$403:W$594,MATCH(1,($A692=$A$403:$A$594)*($B692=$B$403:$B$594)*("Weekend"=$D$403:$D$594),0))*WeekendDays)/DaysPerWeek</f>
        <v>1.1552059079462361E-4</v>
      </c>
      <c r="W692" s="11" cm="1">
        <f t="array" ref="W692">(INDEX(X$403:X$594,MATCH(1,($A692=$A$403:$A$594)*($B692=$B$403:$B$594)*("Weekday"=$D$403:$D$594),0))*Weekdays+INDEX(X$403:X$594,MATCH(1,($A692=$A$403:$A$594)*($B692=$B$403:$B$594)*("Weekend"=$D$403:$D$594),0))*WeekendDays)/DaysPerWeek</f>
        <v>0</v>
      </c>
      <c r="X692" s="11" cm="1">
        <f t="array" ref="X692">(INDEX(Y$403:Y$594,MATCH(1,($A692=$A$403:$A$594)*($B692=$B$403:$B$594)*("Weekday"=$D$403:$D$594),0))*Weekdays+INDEX(Y$403:Y$594,MATCH(1,($A692=$A$403:$A$594)*($B692=$B$403:$B$594)*("Weekend"=$D$403:$D$594),0))*WeekendDays)/DaysPerWeek</f>
        <v>0</v>
      </c>
      <c r="Y692" s="25" t="e">
        <f t="shared" si="425"/>
        <v>#DIV/0!</v>
      </c>
      <c r="Z692" s="32" t="e">
        <f t="shared" si="424"/>
        <v>#DIV/0!</v>
      </c>
    </row>
    <row r="693" spans="1:26" outlineLevel="1" x14ac:dyDescent="0.25">
      <c r="A693" t="s">
        <v>40</v>
      </c>
      <c r="B693" t="s">
        <v>168</v>
      </c>
      <c r="C693" s="7" t="s">
        <v>20</v>
      </c>
      <c r="D693" s="11" cm="1">
        <f t="array" ref="D693">(INDEX(E$403:E$594,MATCH(1,($A693=$A$403:$A$594)*($B693=$B$403:$B$594)*("Weekday"=$D$403:$D$594),0))*Weekdays+INDEX(E$403:E$594,MATCH(1,($A693=$A$403:$A$594)*($B693=$B$403:$B$594)*("Weekend"=$D$403:$D$594),0))*WeekendDays)/DaysPerWeek</f>
        <v>4.4364928557731496E-5</v>
      </c>
      <c r="E693" s="11" cm="1">
        <f t="array" ref="E693">(INDEX(F$403:F$594,MATCH(1,($A693=$A$403:$A$594)*($B693=$B$403:$B$594)*("Weekday"=$D$403:$D$594),0))*Weekdays+INDEX(F$403:F$594,MATCH(1,($A693=$A$403:$A$594)*($B693=$B$403:$B$594)*("Weekend"=$D$403:$D$594),0))*WeekendDays)/DaysPerWeek</f>
        <v>4.5247025663629813E-5</v>
      </c>
      <c r="F693" s="11" cm="1">
        <f t="array" ref="F693">(INDEX(G$403:G$594,MATCH(1,($A693=$A$403:$A$594)*($B693=$B$403:$B$594)*("Weekday"=$D$403:$D$594),0))*Weekdays+INDEX(G$403:G$594,MATCH(1,($A693=$A$403:$A$594)*($B693=$B$403:$B$594)*("Weekend"=$D$403:$D$594),0))*WeekendDays)/DaysPerWeek</f>
        <v>0</v>
      </c>
      <c r="G693" s="11" cm="1">
        <f t="array" ref="G693">(INDEX(H$403:H$594,MATCH(1,($A693=$A$403:$A$594)*($B693=$B$403:$B$594)*("Weekday"=$D$403:$D$594),0))*Weekdays+INDEX(H$403:H$594,MATCH(1,($A693=$A$403:$A$594)*($B693=$B$403:$B$594)*("Weekend"=$D$403:$D$594),0))*WeekendDays)/DaysPerWeek</f>
        <v>2.5190122579312992E-4</v>
      </c>
      <c r="H693" s="11" cm="1">
        <f t="array" ref="H693">(INDEX(I$403:I$594,MATCH(1,($A693=$A$403:$A$594)*($B693=$B$403:$B$594)*("Weekday"=$D$403:$D$594),0))*Weekdays+INDEX(I$403:I$594,MATCH(1,($A693=$A$403:$A$594)*($B693=$B$403:$B$594)*("Weekend"=$D$403:$D$594),0))*WeekendDays)/DaysPerWeek</f>
        <v>1.1200126137408907E-4</v>
      </c>
      <c r="I693" s="11" cm="1">
        <f t="array" ref="I693">(INDEX(J$403:J$594,MATCH(1,($A693=$A$403:$A$594)*($B693=$B$403:$B$594)*("Weekday"=$D$403:$D$594),0))*Weekdays+INDEX(J$403:J$594,MATCH(1,($A693=$A$403:$A$594)*($B693=$B$403:$B$594)*("Weekend"=$D$403:$D$594),0))*WeekendDays)/DaysPerWeek</f>
        <v>1.1200126137408907E-4</v>
      </c>
      <c r="J693" s="11" cm="1">
        <f t="array" ref="J693">(INDEX(K$403:K$594,MATCH(1,($A693=$A$403:$A$594)*($B693=$B$403:$B$594)*("Weekday"=$D$403:$D$594),0))*Weekdays+INDEX(K$403:K$594,MATCH(1,($A693=$A$403:$A$594)*($B693=$B$403:$B$594)*("Weekend"=$D$403:$D$594),0))*WeekendDays)/DaysPerWeek</f>
        <v>3.4928474022917478E-5</v>
      </c>
      <c r="K693" s="11" cm="1">
        <f t="array" ref="K693">(INDEX(L$403:L$594,MATCH(1,($A693=$A$403:$A$594)*($B693=$B$403:$B$594)*("Weekday"=$D$403:$D$594),0))*Weekdays+INDEX(L$403:L$594,MATCH(1,($A693=$A$403:$A$594)*($B693=$B$403:$B$594)*("Weekend"=$D$403:$D$594),0))*WeekendDays)/DaysPerWeek</f>
        <v>5.9037273696812492E-5</v>
      </c>
      <c r="L693" s="11" cm="1">
        <f t="array" ref="L693">(INDEX(M$403:M$594,MATCH(1,($A693=$A$403:$A$594)*($B693=$B$403:$B$594)*("Weekday"=$D$403:$D$594),0))*Weekdays+INDEX(M$403:M$594,MATCH(1,($A693=$A$403:$A$594)*($B693=$B$403:$B$594)*("Weekend"=$D$403:$D$594),0))*WeekendDays)/DaysPerWeek</f>
        <v>0</v>
      </c>
      <c r="M693" s="11" cm="1">
        <f t="array" ref="M693">(INDEX(N$403:N$594,MATCH(1,($A693=$A$403:$A$594)*($B693=$B$403:$B$594)*("Weekday"=$D$403:$D$594),0))*Weekdays+INDEX(N$403:N$594,MATCH(1,($A693=$A$403:$A$594)*($B693=$B$403:$B$594)*("Weekend"=$D$403:$D$594),0))*WeekendDays)/DaysPerWeek</f>
        <v>8.4928577998760044E-5</v>
      </c>
      <c r="N693" s="11" cm="1">
        <f t="array" ref="N693">(INDEX(O$403:O$594,MATCH(1,($A693=$A$403:$A$594)*($B693=$B$403:$B$594)*("Weekday"=$D$403:$D$594),0))*Weekdays+INDEX(O$403:O$594,MATCH(1,($A693=$A$403:$A$594)*($B693=$B$403:$B$594)*("Weekend"=$D$403:$D$594),0))*WeekendDays)/DaysPerWeek</f>
        <v>8.4928577998760044E-5</v>
      </c>
      <c r="O693" s="11" cm="1">
        <f t="array" ref="O693">(INDEX(P$403:P$594,MATCH(1,($A693=$A$403:$A$594)*($B693=$B$403:$B$594)*("Weekday"=$D$403:$D$594),0))*Weekdays+INDEX(P$403:P$594,MATCH(1,($A693=$A$403:$A$594)*($B693=$B$403:$B$594)*("Weekend"=$D$403:$D$594),0))*WeekendDays)/DaysPerWeek</f>
        <v>0</v>
      </c>
      <c r="P693" s="11" cm="1">
        <f t="array" ref="P693">(INDEX(Q$403:Q$594,MATCH(1,($A693=$A$403:$A$594)*($B693=$B$403:$B$594)*("Weekday"=$D$403:$D$594),0))*Weekdays+INDEX(Q$403:Q$594,MATCH(1,($A693=$A$403:$A$594)*($B693=$B$403:$B$594)*("Weekend"=$D$403:$D$594),0))*WeekendDays)/DaysPerWeek</f>
        <v>1.2407733331628253E-4</v>
      </c>
      <c r="Q693" s="11" cm="1">
        <f t="array" ref="Q693">(INDEX(R$403:R$594,MATCH(1,($A693=$A$403:$A$594)*($B693=$B$403:$B$594)*("Weekday"=$D$403:$D$594),0))*Weekdays+INDEX(R$403:R$594,MATCH(1,($A693=$A$403:$A$594)*($B693=$B$403:$B$594)*("Weekend"=$D$403:$D$594),0))*WeekendDays)/DaysPerWeek</f>
        <v>1.2407733331628256E-4</v>
      </c>
      <c r="R693" s="11" cm="1">
        <f t="array" ref="R693">(INDEX(S$403:S$594,MATCH(1,($A693=$A$403:$A$594)*($B693=$B$403:$B$594)*("Weekday"=$D$403:$D$594),0))*Weekdays+INDEX(S$403:S$594,MATCH(1,($A693=$A$403:$A$594)*($B693=$B$403:$B$594)*("Weekend"=$D$403:$D$594),0))*WeekendDays)/DaysPerWeek</f>
        <v>0</v>
      </c>
      <c r="S693" s="11" cm="1">
        <f t="array" ref="S693">(INDEX(T$403:T$594,MATCH(1,($A693=$A$403:$A$594)*($B693=$B$403:$B$594)*("Weekday"=$D$403:$D$594),0))*Weekdays+INDEX(T$403:T$594,MATCH(1,($A693=$A$403:$A$594)*($B693=$B$403:$B$594)*("Weekend"=$D$403:$D$594),0))*WeekendDays)/DaysPerWeek</f>
        <v>1.2407733331628259E-4</v>
      </c>
      <c r="T693" s="11" cm="1">
        <f t="array" ref="T693">(INDEX(U$403:U$594,MATCH(1,($A693=$A$403:$A$594)*($B693=$B$403:$B$594)*("Weekday"=$D$403:$D$594),0))*Weekdays+INDEX(U$403:U$594,MATCH(1,($A693=$A$403:$A$594)*($B693=$B$403:$B$594)*("Weekend"=$D$403:$D$594),0))*WeekendDays)/DaysPerWeek</f>
        <v>0</v>
      </c>
      <c r="U693" s="11" t="e" cm="1">
        <f t="array" ref="U693">(INDEX(V$403:V$594,MATCH(1,($A693=$A$403:$A$594)*($B693=$B$403:$B$594)*("Weekday"=$D$403:$D$594),0))*Weekdays+INDEX(V$403:V$594,MATCH(1,($A693=$A$403:$A$594)*($B693=$B$403:$B$594)*("Weekend"=$D$403:$D$594),0))*WeekendDays)/DaysPerWeek</f>
        <v>#DIV/0!</v>
      </c>
      <c r="V693" s="11" cm="1">
        <f t="array" ref="V693">(INDEX(W$403:W$594,MATCH(1,($A693=$A$403:$A$594)*($B693=$B$403:$B$594)*("Weekday"=$D$403:$D$594),0))*Weekdays+INDEX(W$403:W$594,MATCH(1,($A693=$A$403:$A$594)*($B693=$B$403:$B$594)*("Weekend"=$D$403:$D$594),0))*WeekendDays)/DaysPerWeek</f>
        <v>1.1444413604960259E-4</v>
      </c>
      <c r="W693" s="11" cm="1">
        <f t="array" ref="W693">(INDEX(X$403:X$594,MATCH(1,($A693=$A$403:$A$594)*($B693=$B$403:$B$594)*("Weekday"=$D$403:$D$594),0))*Weekdays+INDEX(X$403:X$594,MATCH(1,($A693=$A$403:$A$594)*($B693=$B$403:$B$594)*("Weekend"=$D$403:$D$594),0))*WeekendDays)/DaysPerWeek</f>
        <v>0</v>
      </c>
      <c r="X693" s="11" cm="1">
        <f t="array" ref="X693">(INDEX(Y$403:Y$594,MATCH(1,($A693=$A$403:$A$594)*($B693=$B$403:$B$594)*("Weekday"=$D$403:$D$594),0))*Weekdays+INDEX(Y$403:Y$594,MATCH(1,($A693=$A$403:$A$594)*($B693=$B$403:$B$594)*("Weekend"=$D$403:$D$594),0))*WeekendDays)/DaysPerWeek</f>
        <v>0</v>
      </c>
      <c r="Y693" s="25" t="e">
        <f t="shared" si="425"/>
        <v>#DIV/0!</v>
      </c>
      <c r="Z693" s="32" t="e">
        <f t="shared" si="424"/>
        <v>#DIV/0!</v>
      </c>
    </row>
    <row r="694" spans="1:26" outlineLevel="1" x14ac:dyDescent="0.25">
      <c r="A694" t="s">
        <v>40</v>
      </c>
      <c r="B694" t="s">
        <v>169</v>
      </c>
      <c r="C694" s="7" t="s">
        <v>21</v>
      </c>
      <c r="D694" s="11" cm="1">
        <f t="array" ref="D694">(INDEX(E$403:E$594,MATCH(1,($A694=$A$403:$A$594)*($B694=$B$403:$B$594)*("Weekday"=$D$403:$D$594),0))*Weekdays+INDEX(E$403:E$594,MATCH(1,($A694=$A$403:$A$594)*($B694=$B$403:$B$594)*("Weekend"=$D$403:$D$594),0))*WeekendDays)/DaysPerWeek</f>
        <v>3.3602981879503675E-5</v>
      </c>
      <c r="E694" s="11" cm="1">
        <f t="array" ref="E694">(INDEX(F$403:F$594,MATCH(1,($A694=$A$403:$A$594)*($B694=$B$403:$B$594)*("Weekday"=$D$403:$D$594),0))*Weekdays+INDEX(F$403:F$594,MATCH(1,($A694=$A$403:$A$594)*($B694=$B$403:$B$594)*("Weekend"=$D$403:$D$594),0))*WeekendDays)/DaysPerWeek</f>
        <v>2.1957731287287978E-5</v>
      </c>
      <c r="F694" s="11" cm="1">
        <f t="array" ref="F694">(INDEX(G$403:G$594,MATCH(1,($A694=$A$403:$A$594)*($B694=$B$403:$B$594)*("Weekday"=$D$403:$D$594),0))*Weekdays+INDEX(G$403:G$594,MATCH(1,($A694=$A$403:$A$594)*($B694=$B$403:$B$594)*("Weekend"=$D$403:$D$594),0))*WeekendDays)/DaysPerWeek</f>
        <v>0</v>
      </c>
      <c r="G694" s="11" cm="1">
        <f t="array" ref="G694">(INDEX(H$403:H$594,MATCH(1,($A694=$A$403:$A$594)*($B694=$B$403:$B$594)*("Weekday"=$D$403:$D$594),0))*Weekdays+INDEX(H$403:H$594,MATCH(1,($A694=$A$403:$A$594)*($B694=$B$403:$B$594)*("Weekend"=$D$403:$D$594),0))*WeekendDays)/DaysPerWeek</f>
        <v>1.5403305929673363E-4</v>
      </c>
      <c r="H694" s="11" cm="1">
        <f t="array" ref="H694">(INDEX(I$403:I$594,MATCH(1,($A694=$A$403:$A$594)*($B694=$B$403:$B$594)*("Weekday"=$D$403:$D$594),0))*Weekdays+INDEX(I$403:I$594,MATCH(1,($A694=$A$403:$A$594)*($B694=$B$403:$B$594)*("Weekend"=$D$403:$D$594),0))*WeekendDays)/DaysPerWeek</f>
        <v>9.8046276342289115E-5</v>
      </c>
      <c r="I694" s="11" cm="1">
        <f t="array" ref="I694">(INDEX(J$403:J$594,MATCH(1,($A694=$A$403:$A$594)*($B694=$B$403:$B$594)*("Weekday"=$D$403:$D$594),0))*Weekdays+INDEX(J$403:J$594,MATCH(1,($A694=$A$403:$A$594)*($B694=$B$403:$B$594)*("Weekend"=$D$403:$D$594),0))*WeekendDays)/DaysPerWeek</f>
        <v>9.8046276342289115E-5</v>
      </c>
      <c r="J694" s="11" cm="1">
        <f t="array" ref="J694">(INDEX(K$403:K$594,MATCH(1,($A694=$A$403:$A$594)*($B694=$B$403:$B$594)*("Weekday"=$D$403:$D$594),0))*Weekdays+INDEX(K$403:K$594,MATCH(1,($A694=$A$403:$A$594)*($B694=$B$403:$B$594)*("Weekend"=$D$403:$D$594),0))*WeekendDays)/DaysPerWeek</f>
        <v>3.155381024585381E-5</v>
      </c>
      <c r="K694" s="11" cm="1">
        <f t="array" ref="K694">(INDEX(L$403:L$594,MATCH(1,($A694=$A$403:$A$594)*($B694=$B$403:$B$594)*("Weekday"=$D$403:$D$594),0))*Weekdays+INDEX(L$403:L$594,MATCH(1,($A694=$A$403:$A$594)*($B694=$B$403:$B$594)*("Weekend"=$D$403:$D$594),0))*WeekendDays)/DaysPerWeek</f>
        <v>5.1775657739786476E-5</v>
      </c>
      <c r="L694" s="11" cm="1">
        <f t="array" ref="L694">(INDEX(M$403:M$594,MATCH(1,($A694=$A$403:$A$594)*($B694=$B$403:$B$594)*("Weekday"=$D$403:$D$594),0))*Weekdays+INDEX(M$403:M$594,MATCH(1,($A694=$A$403:$A$594)*($B694=$B$403:$B$594)*("Weekend"=$D$403:$D$594),0))*WeekendDays)/DaysPerWeek</f>
        <v>0</v>
      </c>
      <c r="M694" s="11" cm="1">
        <f t="array" ref="M694">(INDEX(N$403:N$594,MATCH(1,($A694=$A$403:$A$594)*($B694=$B$403:$B$594)*("Weekday"=$D$403:$D$594),0))*Weekdays+INDEX(N$403:N$594,MATCH(1,($A694=$A$403:$A$594)*($B694=$B$403:$B$594)*("Weekend"=$D$403:$D$594),0))*WeekendDays)/DaysPerWeek</f>
        <v>7.3793144470455174E-5</v>
      </c>
      <c r="N694" s="11" cm="1">
        <f t="array" ref="N694">(INDEX(O$403:O$594,MATCH(1,($A694=$A$403:$A$594)*($B694=$B$403:$B$594)*("Weekday"=$D$403:$D$594),0))*Weekdays+INDEX(O$403:O$594,MATCH(1,($A694=$A$403:$A$594)*($B694=$B$403:$B$594)*("Weekend"=$D$403:$D$594),0))*WeekendDays)/DaysPerWeek</f>
        <v>7.3793144470455174E-5</v>
      </c>
      <c r="O694" s="11" cm="1">
        <f t="array" ref="O694">(INDEX(P$403:P$594,MATCH(1,($A694=$A$403:$A$594)*($B694=$B$403:$B$594)*("Weekday"=$D$403:$D$594),0))*Weekdays+INDEX(P$403:P$594,MATCH(1,($A694=$A$403:$A$594)*($B694=$B$403:$B$594)*("Weekend"=$D$403:$D$594),0))*WeekendDays)/DaysPerWeek</f>
        <v>0</v>
      </c>
      <c r="P694" s="11" cm="1">
        <f t="array" ref="P694">(INDEX(Q$403:Q$594,MATCH(1,($A694=$A$403:$A$594)*($B694=$B$403:$B$594)*("Weekday"=$D$403:$D$594),0))*Weekdays+INDEX(Q$403:Q$594,MATCH(1,($A694=$A$403:$A$594)*($B694=$B$403:$B$594)*("Weekend"=$D$403:$D$594),0))*WeekendDays)/DaysPerWeek</f>
        <v>1.1866285569239579E-4</v>
      </c>
      <c r="Q694" s="11" cm="1">
        <f t="array" ref="Q694">(INDEX(R$403:R$594,MATCH(1,($A694=$A$403:$A$594)*($B694=$B$403:$B$594)*("Weekday"=$D$403:$D$594),0))*Weekdays+INDEX(R$403:R$594,MATCH(1,($A694=$A$403:$A$594)*($B694=$B$403:$B$594)*("Weekend"=$D$403:$D$594),0))*WeekendDays)/DaysPerWeek</f>
        <v>1.1866285569239584E-4</v>
      </c>
      <c r="R694" s="11" cm="1">
        <f t="array" ref="R694">(INDEX(S$403:S$594,MATCH(1,($A694=$A$403:$A$594)*($B694=$B$403:$B$594)*("Weekday"=$D$403:$D$594),0))*Weekdays+INDEX(S$403:S$594,MATCH(1,($A694=$A$403:$A$594)*($B694=$B$403:$B$594)*("Weekend"=$D$403:$D$594),0))*WeekendDays)/DaysPerWeek</f>
        <v>0</v>
      </c>
      <c r="S694" s="11" cm="1">
        <f t="array" ref="S694">(INDEX(T$403:T$594,MATCH(1,($A694=$A$403:$A$594)*($B694=$B$403:$B$594)*("Weekday"=$D$403:$D$594),0))*Weekdays+INDEX(T$403:T$594,MATCH(1,($A694=$A$403:$A$594)*($B694=$B$403:$B$594)*("Weekend"=$D$403:$D$594),0))*WeekendDays)/DaysPerWeek</f>
        <v>1.1866285569239584E-4</v>
      </c>
      <c r="T694" s="11" cm="1">
        <f t="array" ref="T694">(INDEX(U$403:U$594,MATCH(1,($A694=$A$403:$A$594)*($B694=$B$403:$B$594)*("Weekday"=$D$403:$D$594),0))*Weekdays+INDEX(U$403:U$594,MATCH(1,($A694=$A$403:$A$594)*($B694=$B$403:$B$594)*("Weekend"=$D$403:$D$594),0))*WeekendDays)/DaysPerWeek</f>
        <v>0</v>
      </c>
      <c r="U694" s="11" t="e" cm="1">
        <f t="array" ref="U694">(INDEX(V$403:V$594,MATCH(1,($A694=$A$403:$A$594)*($B694=$B$403:$B$594)*("Weekday"=$D$403:$D$594),0))*Weekdays+INDEX(V$403:V$594,MATCH(1,($A694=$A$403:$A$594)*($B694=$B$403:$B$594)*("Weekend"=$D$403:$D$594),0))*WeekendDays)/DaysPerWeek</f>
        <v>#DIV/0!</v>
      </c>
      <c r="V694" s="11" cm="1">
        <f t="array" ref="V694">(INDEX(W$403:W$594,MATCH(1,($A694=$A$403:$A$594)*($B694=$B$403:$B$594)*("Weekday"=$D$403:$D$594),0))*Weekdays+INDEX(W$403:W$594,MATCH(1,($A694=$A$403:$A$594)*($B694=$B$403:$B$594)*("Weekend"=$D$403:$D$594),0))*WeekendDays)/DaysPerWeek</f>
        <v>1.1342433681747742E-4</v>
      </c>
      <c r="W694" s="11" cm="1">
        <f t="array" ref="W694">(INDEX(X$403:X$594,MATCH(1,($A694=$A$403:$A$594)*($B694=$B$403:$B$594)*("Weekday"=$D$403:$D$594),0))*Weekdays+INDEX(X$403:X$594,MATCH(1,($A694=$A$403:$A$594)*($B694=$B$403:$B$594)*("Weekend"=$D$403:$D$594),0))*WeekendDays)/DaysPerWeek</f>
        <v>0</v>
      </c>
      <c r="X694" s="11" cm="1">
        <f t="array" ref="X694">(INDEX(Y$403:Y$594,MATCH(1,($A694=$A$403:$A$594)*($B694=$B$403:$B$594)*("Weekday"=$D$403:$D$594),0))*Weekdays+INDEX(Y$403:Y$594,MATCH(1,($A694=$A$403:$A$594)*($B694=$B$403:$B$594)*("Weekend"=$D$403:$D$594),0))*WeekendDays)/DaysPerWeek</f>
        <v>0</v>
      </c>
      <c r="Y694" s="25" t="e">
        <f t="shared" si="425"/>
        <v>#DIV/0!</v>
      </c>
      <c r="Z694" s="32" t="e">
        <f t="shared" si="424"/>
        <v>#DIV/0!</v>
      </c>
    </row>
    <row r="695" spans="1:26" outlineLevel="1" x14ac:dyDescent="0.25">
      <c r="A695" t="s">
        <v>40</v>
      </c>
      <c r="B695" t="s">
        <v>170</v>
      </c>
      <c r="C695" s="7" t="s">
        <v>22</v>
      </c>
      <c r="D695" s="11" cm="1">
        <f t="array" ref="D695">(INDEX(E$403:E$594,MATCH(1,($A695=$A$403:$A$594)*($B695=$B$403:$B$594)*("Weekday"=$D$403:$D$594),0))*Weekdays+INDEX(E$403:E$594,MATCH(1,($A695=$A$403:$A$594)*($B695=$B$403:$B$594)*("Weekend"=$D$403:$D$594),0))*WeekendDays)/DaysPerWeek</f>
        <v>2.9622393143766293E-5</v>
      </c>
      <c r="E695" s="11" cm="1">
        <f t="array" ref="E695">(INDEX(F$403:F$594,MATCH(1,($A695=$A$403:$A$594)*($B695=$B$403:$B$594)*("Weekday"=$D$403:$D$594),0))*Weekdays+INDEX(F$403:F$594,MATCH(1,($A695=$A$403:$A$594)*($B695=$B$403:$B$594)*("Weekend"=$D$403:$D$594),0))*WeekendDays)/DaysPerWeek</f>
        <v>1.1990609562653905E-5</v>
      </c>
      <c r="F695" s="11" cm="1">
        <f t="array" ref="F695">(INDEX(G$403:G$594,MATCH(1,($A695=$A$403:$A$594)*($B695=$B$403:$B$594)*("Weekday"=$D$403:$D$594),0))*Weekdays+INDEX(G$403:G$594,MATCH(1,($A695=$A$403:$A$594)*($B695=$B$403:$B$594)*("Weekend"=$D$403:$D$594),0))*WeekendDays)/DaysPerWeek</f>
        <v>0</v>
      </c>
      <c r="G695" s="11" cm="1">
        <f t="array" ref="G695">(INDEX(H$403:H$594,MATCH(1,($A695=$A$403:$A$594)*($B695=$B$403:$B$594)*("Weekday"=$D$403:$D$594),0))*Weekdays+INDEX(H$403:H$594,MATCH(1,($A695=$A$403:$A$594)*($B695=$B$403:$B$594)*("Weekend"=$D$403:$D$594),0))*WeekendDays)/DaysPerWeek</f>
        <v>8.2923744556737816E-5</v>
      </c>
      <c r="H695" s="11" cm="1">
        <f t="array" ref="H695">(INDEX(I$403:I$594,MATCH(1,($A695=$A$403:$A$594)*($B695=$B$403:$B$594)*("Weekday"=$D$403:$D$594),0))*Weekdays+INDEX(I$403:I$594,MATCH(1,($A695=$A$403:$A$594)*($B695=$B$403:$B$594)*("Weekend"=$D$403:$D$594),0))*WeekendDays)/DaysPerWeek</f>
        <v>7.1073513334238129E-5</v>
      </c>
      <c r="I695" s="11" cm="1">
        <f t="array" ref="I695">(INDEX(J$403:J$594,MATCH(1,($A695=$A$403:$A$594)*($B695=$B$403:$B$594)*("Weekday"=$D$403:$D$594),0))*Weekdays+INDEX(J$403:J$594,MATCH(1,($A695=$A$403:$A$594)*($B695=$B$403:$B$594)*("Weekend"=$D$403:$D$594),0))*WeekendDays)/DaysPerWeek</f>
        <v>7.1073513334238129E-5</v>
      </c>
      <c r="J695" s="11" cm="1">
        <f t="array" ref="J695">(INDEX(K$403:K$594,MATCH(1,($A695=$A$403:$A$594)*($B695=$B$403:$B$594)*("Weekday"=$D$403:$D$594),0))*Weekdays+INDEX(K$403:K$594,MATCH(1,($A695=$A$403:$A$594)*($B695=$B$403:$B$594)*("Weekend"=$D$403:$D$594),0))*WeekendDays)/DaysPerWeek</f>
        <v>3.3126158124381116E-5</v>
      </c>
      <c r="K695" s="11" cm="1">
        <f t="array" ref="K695">(INDEX(L$403:L$594,MATCH(1,($A695=$A$403:$A$594)*($B695=$B$403:$B$594)*("Weekday"=$D$403:$D$594),0))*Weekdays+INDEX(L$403:L$594,MATCH(1,($A695=$A$403:$A$594)*($B695=$B$403:$B$594)*("Weekend"=$D$403:$D$594),0))*WeekendDays)/DaysPerWeek</f>
        <v>4.5481739503178325E-5</v>
      </c>
      <c r="L695" s="11" cm="1">
        <f t="array" ref="L695">(INDEX(M$403:M$594,MATCH(1,($A695=$A$403:$A$594)*($B695=$B$403:$B$594)*("Weekday"=$D$403:$D$594),0))*Weekdays+INDEX(M$403:M$594,MATCH(1,($A695=$A$403:$A$594)*($B695=$B$403:$B$594)*("Weekend"=$D$403:$D$594),0))*WeekendDays)/DaysPerWeek</f>
        <v>0</v>
      </c>
      <c r="M695" s="11" cm="1">
        <f t="array" ref="M695">(INDEX(N$403:N$594,MATCH(1,($A695=$A$403:$A$594)*($B695=$B$403:$B$594)*("Weekday"=$D$403:$D$594),0))*Weekdays+INDEX(N$403:N$594,MATCH(1,($A695=$A$403:$A$594)*($B695=$B$403:$B$594)*("Weekend"=$D$403:$D$594),0))*WeekendDays)/DaysPerWeek</f>
        <v>6.5388334008832871E-5</v>
      </c>
      <c r="N695" s="11" cm="1">
        <f t="array" ref="N695">(INDEX(O$403:O$594,MATCH(1,($A695=$A$403:$A$594)*($B695=$B$403:$B$594)*("Weekday"=$D$403:$D$594),0))*Weekdays+INDEX(O$403:O$594,MATCH(1,($A695=$A$403:$A$594)*($B695=$B$403:$B$594)*("Weekend"=$D$403:$D$594),0))*WeekendDays)/DaysPerWeek</f>
        <v>6.5388334008832871E-5</v>
      </c>
      <c r="O695" s="11" cm="1">
        <f t="array" ref="O695">(INDEX(P$403:P$594,MATCH(1,($A695=$A$403:$A$594)*($B695=$B$403:$B$594)*("Weekday"=$D$403:$D$594),0))*Weekdays+INDEX(P$403:P$594,MATCH(1,($A695=$A$403:$A$594)*($B695=$B$403:$B$594)*("Weekend"=$D$403:$D$594),0))*WeekendDays)/DaysPerWeek</f>
        <v>0</v>
      </c>
      <c r="P695" s="11" cm="1">
        <f t="array" ref="P695">(INDEX(Q$403:Q$594,MATCH(1,($A695=$A$403:$A$594)*($B695=$B$403:$B$594)*("Weekday"=$D$403:$D$594),0))*Weekdays+INDEX(Q$403:Q$594,MATCH(1,($A695=$A$403:$A$594)*($B695=$B$403:$B$594)*("Weekend"=$D$403:$D$594),0))*WeekendDays)/DaysPerWeek</f>
        <v>7.9940634291223261E-5</v>
      </c>
      <c r="Q695" s="11" cm="1">
        <f t="array" ref="Q695">(INDEX(R$403:R$594,MATCH(1,($A695=$A$403:$A$594)*($B695=$B$403:$B$594)*("Weekday"=$D$403:$D$594),0))*Weekdays+INDEX(R$403:R$594,MATCH(1,($A695=$A$403:$A$594)*($B695=$B$403:$B$594)*("Weekend"=$D$403:$D$594),0))*WeekendDays)/DaysPerWeek</f>
        <v>7.9940634291223274E-5</v>
      </c>
      <c r="R695" s="11" cm="1">
        <f t="array" ref="R695">(INDEX(S$403:S$594,MATCH(1,($A695=$A$403:$A$594)*($B695=$B$403:$B$594)*("Weekday"=$D$403:$D$594),0))*Weekdays+INDEX(S$403:S$594,MATCH(1,($A695=$A$403:$A$594)*($B695=$B$403:$B$594)*("Weekend"=$D$403:$D$594),0))*WeekendDays)/DaysPerWeek</f>
        <v>0</v>
      </c>
      <c r="S695" s="11" cm="1">
        <f t="array" ref="S695">(INDEX(T$403:T$594,MATCH(1,($A695=$A$403:$A$594)*($B695=$B$403:$B$594)*("Weekday"=$D$403:$D$594),0))*Weekdays+INDEX(T$403:T$594,MATCH(1,($A695=$A$403:$A$594)*($B695=$B$403:$B$594)*("Weekend"=$D$403:$D$594),0))*WeekendDays)/DaysPerWeek</f>
        <v>7.9940634291223302E-5</v>
      </c>
      <c r="T695" s="11" cm="1">
        <f t="array" ref="T695">(INDEX(U$403:U$594,MATCH(1,($A695=$A$403:$A$594)*($B695=$B$403:$B$594)*("Weekday"=$D$403:$D$594),0))*Weekdays+INDEX(U$403:U$594,MATCH(1,($A695=$A$403:$A$594)*($B695=$B$403:$B$594)*("Weekend"=$D$403:$D$594),0))*WeekendDays)/DaysPerWeek</f>
        <v>0</v>
      </c>
      <c r="U695" s="11" t="e" cm="1">
        <f t="array" ref="U695">(INDEX(V$403:V$594,MATCH(1,($A695=$A$403:$A$594)*($B695=$B$403:$B$594)*("Weekday"=$D$403:$D$594),0))*Weekdays+INDEX(V$403:V$594,MATCH(1,($A695=$A$403:$A$594)*($B695=$B$403:$B$594)*("Weekend"=$D$403:$D$594),0))*WeekendDays)/DaysPerWeek</f>
        <v>#DIV/0!</v>
      </c>
      <c r="V695" s="11" cm="1">
        <f t="array" ref="V695">(INDEX(W$403:W$594,MATCH(1,($A695=$A$403:$A$594)*($B695=$B$403:$B$594)*("Weekday"=$D$403:$D$594),0))*Weekdays+INDEX(W$403:W$594,MATCH(1,($A695=$A$403:$A$594)*($B695=$B$403:$B$594)*("Weekend"=$D$403:$D$594),0))*WeekendDays)/DaysPerWeek</f>
        <v>1.1291443720141482E-4</v>
      </c>
      <c r="W695" s="11" cm="1">
        <f t="array" ref="W695">(INDEX(X$403:X$594,MATCH(1,($A695=$A$403:$A$594)*($B695=$B$403:$B$594)*("Weekday"=$D$403:$D$594),0))*Weekdays+INDEX(X$403:X$594,MATCH(1,($A695=$A$403:$A$594)*($B695=$B$403:$B$594)*("Weekend"=$D$403:$D$594),0))*WeekendDays)/DaysPerWeek</f>
        <v>0</v>
      </c>
      <c r="X695" s="11" cm="1">
        <f t="array" ref="X695">(INDEX(Y$403:Y$594,MATCH(1,($A695=$A$403:$A$594)*($B695=$B$403:$B$594)*("Weekday"=$D$403:$D$594),0))*Weekdays+INDEX(Y$403:Y$594,MATCH(1,($A695=$A$403:$A$594)*($B695=$B$403:$B$594)*("Weekend"=$D$403:$D$594),0))*WeekendDays)/DaysPerWeek</f>
        <v>0</v>
      </c>
      <c r="Y695" s="25" t="e">
        <f t="shared" si="425"/>
        <v>#DIV/0!</v>
      </c>
      <c r="Z695" s="32" t="e">
        <f t="shared" si="424"/>
        <v>#DIV/0!</v>
      </c>
    </row>
    <row r="696" spans="1:26" outlineLevel="1" x14ac:dyDescent="0.25">
      <c r="A696" t="s">
        <v>81</v>
      </c>
      <c r="B696" t="s">
        <v>147</v>
      </c>
      <c r="C696" s="7" t="s">
        <v>34</v>
      </c>
      <c r="D696" s="32">
        <f>_xlfn.MAXIFS(E$403:E$594,$A$403:$A$594,"Winter",$B$403:$B$594,$B696)</f>
        <v>2.9491063931982387E-4</v>
      </c>
      <c r="E696" s="32">
        <f t="shared" ref="E696:X696" si="426">_xlfn.MAXIFS(F$403:F$594,$A$403:$A$594,"Winter",$B$403:$B$594,$B696)</f>
        <v>1.9129505901792507E-7</v>
      </c>
      <c r="F696" s="32">
        <f t="shared" si="426"/>
        <v>0</v>
      </c>
      <c r="G696" s="32">
        <f t="shared" si="426"/>
        <v>8.2739102401590728E-5</v>
      </c>
      <c r="H696" s="32">
        <f t="shared" si="426"/>
        <v>6.538899945423268E-4</v>
      </c>
      <c r="I696" s="32">
        <f t="shared" si="426"/>
        <v>6.538899945423268E-4</v>
      </c>
      <c r="J696" s="32">
        <f t="shared" si="426"/>
        <v>1.8497532032337908E-4</v>
      </c>
      <c r="K696" s="32">
        <f t="shared" si="426"/>
        <v>1.2016102248656528E-7</v>
      </c>
      <c r="L696" s="32">
        <f t="shared" si="426"/>
        <v>0</v>
      </c>
      <c r="M696" s="32">
        <f t="shared" si="426"/>
        <v>7.0988635425295028E-5</v>
      </c>
      <c r="N696" s="32">
        <f t="shared" si="426"/>
        <v>7.0988635425295028E-5</v>
      </c>
      <c r="O696" s="32">
        <f t="shared" si="426"/>
        <v>0</v>
      </c>
      <c r="P696" s="32">
        <f t="shared" si="426"/>
        <v>7.3072050183491607E-5</v>
      </c>
      <c r="Q696" s="32">
        <f t="shared" si="426"/>
        <v>7.307205018349162E-5</v>
      </c>
      <c r="R696" s="32">
        <f t="shared" si="426"/>
        <v>0</v>
      </c>
      <c r="S696" s="32">
        <f t="shared" si="426"/>
        <v>7.3072050183491634E-5</v>
      </c>
      <c r="T696" s="32">
        <f t="shared" si="426"/>
        <v>0</v>
      </c>
      <c r="U696" s="32" t="e">
        <f t="shared" si="426"/>
        <v>#DIV/0!</v>
      </c>
      <c r="V696" s="32">
        <f t="shared" si="426"/>
        <v>1.3628105923675697E-4</v>
      </c>
      <c r="W696" s="32">
        <f t="shared" si="426"/>
        <v>0</v>
      </c>
      <c r="X696" s="32">
        <f t="shared" si="426"/>
        <v>0</v>
      </c>
      <c r="Y696" s="25" t="e">
        <f t="shared" si="425"/>
        <v>#DIV/0!</v>
      </c>
      <c r="Z696" s="11"/>
    </row>
    <row r="697" spans="1:26" outlineLevel="1" x14ac:dyDescent="0.25">
      <c r="A697" t="s">
        <v>81</v>
      </c>
      <c r="B697" t="s">
        <v>148</v>
      </c>
      <c r="C697" s="7" t="s">
        <v>0</v>
      </c>
      <c r="D697" s="32">
        <f t="shared" ref="D697:X697" si="427">_xlfn.MAXIFS(E$403:E$594,$A$403:$A$594,"Winter",$B$403:$B$594,$B697)</f>
        <v>3.0067953965009369E-4</v>
      </c>
      <c r="E697" s="32">
        <f t="shared" si="427"/>
        <v>1.9422174617363168E-7</v>
      </c>
      <c r="F697" s="32">
        <f t="shared" si="427"/>
        <v>0</v>
      </c>
      <c r="G697" s="32">
        <f t="shared" si="427"/>
        <v>7.1486065933162141E-5</v>
      </c>
      <c r="H697" s="32">
        <f t="shared" si="427"/>
        <v>6.0693498659803143E-5</v>
      </c>
      <c r="I697" s="32">
        <f t="shared" si="427"/>
        <v>6.0693498659803143E-5</v>
      </c>
      <c r="J697" s="32">
        <f t="shared" si="427"/>
        <v>1.6887315215134393E-4</v>
      </c>
      <c r="K697" s="32">
        <f t="shared" si="427"/>
        <v>1.1760500903561103E-7</v>
      </c>
      <c r="L697" s="32">
        <f t="shared" si="427"/>
        <v>0</v>
      </c>
      <c r="M697" s="32">
        <f t="shared" si="427"/>
        <v>6.1973162166475558E-5</v>
      </c>
      <c r="N697" s="32">
        <f t="shared" si="427"/>
        <v>6.1973162166475558E-5</v>
      </c>
      <c r="O697" s="32">
        <f t="shared" si="427"/>
        <v>0</v>
      </c>
      <c r="P697" s="32">
        <f t="shared" si="427"/>
        <v>6.9626219974511033E-5</v>
      </c>
      <c r="Q697" s="32">
        <f t="shared" si="427"/>
        <v>6.9626219974511033E-5</v>
      </c>
      <c r="R697" s="32">
        <f t="shared" si="427"/>
        <v>0</v>
      </c>
      <c r="S697" s="32">
        <f t="shared" si="427"/>
        <v>6.9626219974511046E-5</v>
      </c>
      <c r="T697" s="32">
        <f t="shared" si="427"/>
        <v>0</v>
      </c>
      <c r="U697" s="32" t="e">
        <f t="shared" si="427"/>
        <v>#DIV/0!</v>
      </c>
      <c r="V697" s="32">
        <f t="shared" si="427"/>
        <v>1.3597866043667543E-4</v>
      </c>
      <c r="W697" s="32">
        <f t="shared" si="427"/>
        <v>0</v>
      </c>
      <c r="X697" s="32">
        <f t="shared" si="427"/>
        <v>0</v>
      </c>
      <c r="Y697" s="25" t="e">
        <f t="shared" si="425"/>
        <v>#DIV/0!</v>
      </c>
      <c r="Z697" s="11"/>
    </row>
    <row r="698" spans="1:26" outlineLevel="1" x14ac:dyDescent="0.25">
      <c r="A698" t="s">
        <v>81</v>
      </c>
      <c r="B698" t="s">
        <v>149</v>
      </c>
      <c r="C698" s="7" t="s">
        <v>1</v>
      </c>
      <c r="D698" s="32">
        <f t="shared" ref="D698:X698" si="428">_xlfn.MAXIFS(E$403:E$594,$A$403:$A$594,"Winter",$B$403:$B$594,$B698)</f>
        <v>3.0209054683781649E-4</v>
      </c>
      <c r="E698" s="32">
        <f t="shared" si="428"/>
        <v>1.967963825555359E-7</v>
      </c>
      <c r="F698" s="32">
        <f t="shared" si="428"/>
        <v>0</v>
      </c>
      <c r="G698" s="32">
        <f t="shared" si="428"/>
        <v>6.9042687459690933E-5</v>
      </c>
      <c r="H698" s="32">
        <f t="shared" si="428"/>
        <v>5.0585971477508326E-5</v>
      </c>
      <c r="I698" s="32">
        <f t="shared" si="428"/>
        <v>5.0585971477508326E-5</v>
      </c>
      <c r="J698" s="32">
        <f t="shared" si="428"/>
        <v>1.5144022627914058E-4</v>
      </c>
      <c r="K698" s="32">
        <f t="shared" si="428"/>
        <v>1.1653771150645518E-7</v>
      </c>
      <c r="L698" s="32">
        <f t="shared" si="428"/>
        <v>0</v>
      </c>
      <c r="M698" s="32">
        <f t="shared" si="428"/>
        <v>6.1153178566394773E-5</v>
      </c>
      <c r="N698" s="32">
        <f t="shared" si="428"/>
        <v>6.1153178566394773E-5</v>
      </c>
      <c r="O698" s="32">
        <f t="shared" si="428"/>
        <v>0</v>
      </c>
      <c r="P698" s="32">
        <f t="shared" si="428"/>
        <v>6.8686454178695086E-5</v>
      </c>
      <c r="Q698" s="32">
        <f t="shared" si="428"/>
        <v>6.8686454178695086E-5</v>
      </c>
      <c r="R698" s="32">
        <f t="shared" si="428"/>
        <v>0</v>
      </c>
      <c r="S698" s="32">
        <f t="shared" si="428"/>
        <v>6.8686454178695113E-5</v>
      </c>
      <c r="T698" s="32">
        <f t="shared" si="428"/>
        <v>0</v>
      </c>
      <c r="U698" s="32" t="e">
        <f t="shared" si="428"/>
        <v>#DIV/0!</v>
      </c>
      <c r="V698" s="32">
        <f t="shared" si="428"/>
        <v>1.3597866043667543E-4</v>
      </c>
      <c r="W698" s="32">
        <f t="shared" si="428"/>
        <v>0</v>
      </c>
      <c r="X698" s="32">
        <f t="shared" si="428"/>
        <v>0</v>
      </c>
      <c r="Y698" s="25" t="e">
        <f t="shared" si="425"/>
        <v>#DIV/0!</v>
      </c>
      <c r="Z698" s="11"/>
    </row>
    <row r="699" spans="1:26" outlineLevel="1" x14ac:dyDescent="0.25">
      <c r="A699" t="s">
        <v>81</v>
      </c>
      <c r="B699" t="s">
        <v>150</v>
      </c>
      <c r="C699" s="7" t="s">
        <v>2</v>
      </c>
      <c r="D699" s="32">
        <f t="shared" ref="D699:X699" si="429">_xlfn.MAXIFS(E$403:E$594,$A$403:$A$594,"Winter",$B$403:$B$594,$B699)</f>
        <v>3.0067953965009369E-4</v>
      </c>
      <c r="E699" s="32">
        <f t="shared" si="429"/>
        <v>1.9717812435845417E-7</v>
      </c>
      <c r="F699" s="32">
        <f t="shared" si="429"/>
        <v>0</v>
      </c>
      <c r="G699" s="32">
        <f t="shared" si="429"/>
        <v>6.8984409846254281E-5</v>
      </c>
      <c r="H699" s="32">
        <f t="shared" si="429"/>
        <v>4.6889047224295185E-5</v>
      </c>
      <c r="I699" s="32">
        <f t="shared" si="429"/>
        <v>4.6889047224295185E-5</v>
      </c>
      <c r="J699" s="32">
        <f t="shared" si="429"/>
        <v>1.5636402976976292E-4</v>
      </c>
      <c r="K699" s="32">
        <f t="shared" si="429"/>
        <v>1.1593707939736249E-7</v>
      </c>
      <c r="L699" s="32">
        <f t="shared" si="429"/>
        <v>0</v>
      </c>
      <c r="M699" s="32">
        <f t="shared" si="429"/>
        <v>6.173820903543341E-5</v>
      </c>
      <c r="N699" s="32">
        <f t="shared" si="429"/>
        <v>6.173820903543341E-5</v>
      </c>
      <c r="O699" s="32">
        <f t="shared" si="429"/>
        <v>0</v>
      </c>
      <c r="P699" s="32">
        <f t="shared" si="429"/>
        <v>6.8686454178695086E-5</v>
      </c>
      <c r="Q699" s="32">
        <f t="shared" si="429"/>
        <v>6.8686454178695086E-5</v>
      </c>
      <c r="R699" s="32">
        <f t="shared" si="429"/>
        <v>0</v>
      </c>
      <c r="S699" s="32">
        <f t="shared" si="429"/>
        <v>6.8686454178695113E-5</v>
      </c>
      <c r="T699" s="32">
        <f t="shared" si="429"/>
        <v>0</v>
      </c>
      <c r="U699" s="32" t="e">
        <f t="shared" si="429"/>
        <v>#DIV/0!</v>
      </c>
      <c r="V699" s="32">
        <f t="shared" si="429"/>
        <v>1.3638185883678417E-4</v>
      </c>
      <c r="W699" s="32">
        <f t="shared" si="429"/>
        <v>0</v>
      </c>
      <c r="X699" s="32">
        <f t="shared" si="429"/>
        <v>0</v>
      </c>
      <c r="Y699" s="25" t="e">
        <f t="shared" si="425"/>
        <v>#DIV/0!</v>
      </c>
      <c r="Z699" s="11"/>
    </row>
    <row r="700" spans="1:26" outlineLevel="1" x14ac:dyDescent="0.25">
      <c r="A700" t="s">
        <v>81</v>
      </c>
      <c r="B700" t="s">
        <v>151</v>
      </c>
      <c r="C700" s="7" t="s">
        <v>3</v>
      </c>
      <c r="D700" s="32">
        <f t="shared" ref="D700:X700" si="430">_xlfn.MAXIFS(E$403:E$594,$A$403:$A$594,"Winter",$B$403:$B$594,$B700)</f>
        <v>2.9491063931982387E-4</v>
      </c>
      <c r="E700" s="32">
        <f t="shared" si="430"/>
        <v>1.9653764644466908E-7</v>
      </c>
      <c r="F700" s="32">
        <f t="shared" si="430"/>
        <v>0</v>
      </c>
      <c r="G700" s="32">
        <f t="shared" si="430"/>
        <v>7.2612709615071404E-5</v>
      </c>
      <c r="H700" s="32">
        <f t="shared" si="430"/>
        <v>4.8335108738948832E-5</v>
      </c>
      <c r="I700" s="32">
        <f t="shared" si="430"/>
        <v>4.8335108738948832E-5</v>
      </c>
      <c r="J700" s="32">
        <f t="shared" si="430"/>
        <v>1.640824244307384E-4</v>
      </c>
      <c r="K700" s="32">
        <f t="shared" si="430"/>
        <v>1.1580666149479731E-7</v>
      </c>
      <c r="L700" s="32">
        <f t="shared" si="430"/>
        <v>0</v>
      </c>
      <c r="M700" s="32">
        <f t="shared" si="430"/>
        <v>6.2725989621619264E-5</v>
      </c>
      <c r="N700" s="32">
        <f t="shared" si="430"/>
        <v>6.2725989621619264E-5</v>
      </c>
      <c r="O700" s="32">
        <f t="shared" si="430"/>
        <v>0</v>
      </c>
      <c r="P700" s="32">
        <f t="shared" si="430"/>
        <v>6.8373194455225336E-5</v>
      </c>
      <c r="Q700" s="32">
        <f t="shared" si="430"/>
        <v>6.8373194455225364E-5</v>
      </c>
      <c r="R700" s="32">
        <f t="shared" si="430"/>
        <v>0</v>
      </c>
      <c r="S700" s="32">
        <f t="shared" si="430"/>
        <v>6.8373194455225377E-5</v>
      </c>
      <c r="T700" s="32">
        <f t="shared" si="430"/>
        <v>0</v>
      </c>
      <c r="U700" s="32" t="e">
        <f t="shared" si="430"/>
        <v>#DIV/0!</v>
      </c>
      <c r="V700" s="32">
        <f t="shared" si="430"/>
        <v>1.3749065443708323E-4</v>
      </c>
      <c r="W700" s="32">
        <f t="shared" si="430"/>
        <v>0</v>
      </c>
      <c r="X700" s="32">
        <f t="shared" si="430"/>
        <v>0</v>
      </c>
      <c r="Y700" s="25" t="e">
        <f t="shared" si="425"/>
        <v>#DIV/0!</v>
      </c>
      <c r="Z700" s="11"/>
    </row>
    <row r="701" spans="1:26" outlineLevel="1" x14ac:dyDescent="0.25">
      <c r="A701" t="s">
        <v>81</v>
      </c>
      <c r="B701" t="s">
        <v>152</v>
      </c>
      <c r="C701" s="7" t="s">
        <v>4</v>
      </c>
      <c r="D701" s="32">
        <f t="shared" ref="D701:X701" si="431">_xlfn.MAXIFS(E$403:E$594,$A$403:$A$594,"Winter",$B$403:$B$594,$B701)</f>
        <v>3.1022967915900413E-4</v>
      </c>
      <c r="E701" s="32">
        <f t="shared" si="431"/>
        <v>1.9302138028223317E-7</v>
      </c>
      <c r="F701" s="32">
        <f t="shared" si="431"/>
        <v>0</v>
      </c>
      <c r="G701" s="32">
        <f t="shared" si="431"/>
        <v>1.1512513809962967E-4</v>
      </c>
      <c r="H701" s="32">
        <f t="shared" si="431"/>
        <v>8.3294234141357093E-5</v>
      </c>
      <c r="I701" s="32">
        <f t="shared" si="431"/>
        <v>8.3294234141357093E-5</v>
      </c>
      <c r="J701" s="32">
        <f t="shared" si="431"/>
        <v>1.6727624291114208E-4</v>
      </c>
      <c r="K701" s="32">
        <f t="shared" si="431"/>
        <v>1.1707180386934115E-7</v>
      </c>
      <c r="L701" s="32">
        <f t="shared" si="431"/>
        <v>0</v>
      </c>
      <c r="M701" s="32">
        <f t="shared" si="431"/>
        <v>7.0642360566415584E-5</v>
      </c>
      <c r="N701" s="32">
        <f t="shared" si="431"/>
        <v>7.0642360566415584E-5</v>
      </c>
      <c r="O701" s="32">
        <f t="shared" si="431"/>
        <v>0</v>
      </c>
      <c r="P701" s="32">
        <f t="shared" si="431"/>
        <v>6.8843077353133316E-5</v>
      </c>
      <c r="Q701" s="32">
        <f t="shared" si="431"/>
        <v>6.884307735313333E-5</v>
      </c>
      <c r="R701" s="32">
        <f t="shared" si="431"/>
        <v>0</v>
      </c>
      <c r="S701" s="32">
        <f t="shared" si="431"/>
        <v>6.884307735313333E-5</v>
      </c>
      <c r="T701" s="32">
        <f t="shared" si="431"/>
        <v>0</v>
      </c>
      <c r="U701" s="32" t="e">
        <f t="shared" si="431"/>
        <v>#DIV/0!</v>
      </c>
      <c r="V701" s="32">
        <f t="shared" si="431"/>
        <v>1.3870024963740947E-4</v>
      </c>
      <c r="W701" s="32">
        <f t="shared" si="431"/>
        <v>0</v>
      </c>
      <c r="X701" s="32">
        <f t="shared" si="431"/>
        <v>0</v>
      </c>
      <c r="Y701" s="25" t="e">
        <f t="shared" si="425"/>
        <v>#DIV/0!</v>
      </c>
      <c r="Z701" s="11"/>
    </row>
    <row r="702" spans="1:26" outlineLevel="1" x14ac:dyDescent="0.25">
      <c r="A702" t="s">
        <v>81</v>
      </c>
      <c r="B702" t="s">
        <v>153</v>
      </c>
      <c r="C702" s="7" t="s">
        <v>5</v>
      </c>
      <c r="D702" s="32">
        <f t="shared" ref="D702:X702" si="432">_xlfn.MAXIFS(E$403:E$594,$A$403:$A$594,"Winter",$B$403:$B$594,$B702)</f>
        <v>3.276438120208146E-4</v>
      </c>
      <c r="E702" s="32">
        <f t="shared" si="432"/>
        <v>1.8529747113652052E-7</v>
      </c>
      <c r="F702" s="32">
        <f t="shared" si="432"/>
        <v>0</v>
      </c>
      <c r="G702" s="32">
        <f t="shared" si="432"/>
        <v>1.680204718210811E-4</v>
      </c>
      <c r="H702" s="32">
        <f t="shared" si="432"/>
        <v>1.6330402111663011E-4</v>
      </c>
      <c r="I702" s="32">
        <f t="shared" si="432"/>
        <v>1.6330402111663011E-4</v>
      </c>
      <c r="J702" s="32">
        <f t="shared" si="432"/>
        <v>2.1904271744768489E-4</v>
      </c>
      <c r="K702" s="32">
        <f t="shared" si="432"/>
        <v>1.2159207062831788E-7</v>
      </c>
      <c r="L702" s="32">
        <f t="shared" si="432"/>
        <v>0</v>
      </c>
      <c r="M702" s="32">
        <f t="shared" si="432"/>
        <v>1.063285516110642E-4</v>
      </c>
      <c r="N702" s="32">
        <f t="shared" si="432"/>
        <v>1.063285516110642E-4</v>
      </c>
      <c r="O702" s="32">
        <f t="shared" si="432"/>
        <v>0</v>
      </c>
      <c r="P702" s="32">
        <f t="shared" si="432"/>
        <v>8.5339788859728873E-5</v>
      </c>
      <c r="Q702" s="32">
        <f t="shared" si="432"/>
        <v>8.5339788859728886E-5</v>
      </c>
      <c r="R702" s="32">
        <f t="shared" si="432"/>
        <v>0</v>
      </c>
      <c r="S702" s="32">
        <f t="shared" si="432"/>
        <v>8.5339788859728886E-5</v>
      </c>
      <c r="T702" s="32">
        <f t="shared" si="432"/>
        <v>0</v>
      </c>
      <c r="U702" s="32" t="e">
        <f t="shared" si="432"/>
        <v>#DIV/0!</v>
      </c>
      <c r="V702" s="32">
        <f t="shared" si="432"/>
        <v>1.3940584683759977E-4</v>
      </c>
      <c r="W702" s="32">
        <f t="shared" si="432"/>
        <v>0</v>
      </c>
      <c r="X702" s="32">
        <f t="shared" si="432"/>
        <v>0</v>
      </c>
      <c r="Y702" s="25" t="e">
        <f t="shared" si="425"/>
        <v>#DIV/0!</v>
      </c>
      <c r="Z702" s="11"/>
    </row>
    <row r="703" spans="1:26" outlineLevel="1" x14ac:dyDescent="0.25">
      <c r="A703" t="s">
        <v>81</v>
      </c>
      <c r="B703" t="s">
        <v>154</v>
      </c>
      <c r="C703" s="7" t="s">
        <v>6</v>
      </c>
      <c r="D703" s="32">
        <f t="shared" ref="D703:X703" si="433">_xlfn.MAXIFS(E$403:E$594,$A$403:$A$594,"Winter",$B$403:$B$594,$B703)</f>
        <v>3.5029552632228928E-4</v>
      </c>
      <c r="E703" s="32">
        <f t="shared" si="433"/>
        <v>1.7224190147671623E-7</v>
      </c>
      <c r="F703" s="32">
        <f t="shared" si="433"/>
        <v>0</v>
      </c>
      <c r="G703" s="32">
        <f t="shared" si="433"/>
        <v>1.8802893360831506E-4</v>
      </c>
      <c r="H703" s="32">
        <f t="shared" si="433"/>
        <v>2.2501134353586954E-4</v>
      </c>
      <c r="I703" s="32">
        <f t="shared" si="433"/>
        <v>2.2501134353586954E-4</v>
      </c>
      <c r="J703" s="32">
        <f t="shared" si="433"/>
        <v>5.3869071702808532E-4</v>
      </c>
      <c r="K703" s="32">
        <f t="shared" si="433"/>
        <v>1.3051283260309926E-7</v>
      </c>
      <c r="L703" s="32">
        <f t="shared" si="433"/>
        <v>0</v>
      </c>
      <c r="M703" s="32">
        <f t="shared" si="433"/>
        <v>1.4623083230283067E-4</v>
      </c>
      <c r="N703" s="32">
        <f t="shared" si="433"/>
        <v>1.4623083230283067E-4</v>
      </c>
      <c r="O703" s="32">
        <f t="shared" si="433"/>
        <v>0</v>
      </c>
      <c r="P703" s="32">
        <f t="shared" si="433"/>
        <v>1.6851987514809546E-4</v>
      </c>
      <c r="Q703" s="32">
        <f t="shared" si="433"/>
        <v>1.6851987514809552E-4</v>
      </c>
      <c r="R703" s="32">
        <f t="shared" si="433"/>
        <v>0</v>
      </c>
      <c r="S703" s="32">
        <f t="shared" si="433"/>
        <v>1.6851987514809554E-4</v>
      </c>
      <c r="T703" s="32">
        <f t="shared" si="433"/>
        <v>0</v>
      </c>
      <c r="U703" s="32" t="e">
        <f t="shared" si="433"/>
        <v>#DIV/0!</v>
      </c>
      <c r="V703" s="32">
        <f t="shared" si="433"/>
        <v>1.3950664643762697E-4</v>
      </c>
      <c r="W703" s="32">
        <f t="shared" si="433"/>
        <v>0</v>
      </c>
      <c r="X703" s="32">
        <f t="shared" si="433"/>
        <v>0</v>
      </c>
      <c r="Y703" s="25" t="e">
        <f t="shared" si="425"/>
        <v>#DIV/0!</v>
      </c>
      <c r="Z703" s="11"/>
    </row>
    <row r="704" spans="1:26" outlineLevel="1" x14ac:dyDescent="0.25">
      <c r="A704" t="s">
        <v>81</v>
      </c>
      <c r="B704" t="s">
        <v>155</v>
      </c>
      <c r="C704" s="7" t="s">
        <v>7</v>
      </c>
      <c r="D704" s="32">
        <f t="shared" ref="D704:X704" si="434">_xlfn.MAXIFS(E$403:E$594,$A$403:$A$594,"Winter",$B$403:$B$594,$B704)</f>
        <v>3.6018589126148048E-4</v>
      </c>
      <c r="E704" s="32">
        <f t="shared" si="434"/>
        <v>1.5407099165780732E-7</v>
      </c>
      <c r="F704" s="32">
        <f t="shared" si="434"/>
        <v>0</v>
      </c>
      <c r="G704" s="32">
        <f t="shared" si="434"/>
        <v>9.1704568269259978E-5</v>
      </c>
      <c r="H704" s="32">
        <f t="shared" si="434"/>
        <v>2.6170516204588158E-4</v>
      </c>
      <c r="I704" s="32">
        <f t="shared" si="434"/>
        <v>2.6170516204588158E-4</v>
      </c>
      <c r="J704" s="32">
        <f t="shared" si="434"/>
        <v>5.458768086089935E-4</v>
      </c>
      <c r="K704" s="32">
        <f t="shared" si="434"/>
        <v>1.4362382419567204E-7</v>
      </c>
      <c r="L704" s="32">
        <f t="shared" si="434"/>
        <v>0</v>
      </c>
      <c r="M704" s="32">
        <f t="shared" si="434"/>
        <v>1.8132557143861385E-4</v>
      </c>
      <c r="N704" s="32">
        <f t="shared" si="434"/>
        <v>1.8132557143861385E-4</v>
      </c>
      <c r="O704" s="32">
        <f t="shared" si="434"/>
        <v>0</v>
      </c>
      <c r="P704" s="32">
        <f t="shared" si="434"/>
        <v>1.8349941960570391E-4</v>
      </c>
      <c r="Q704" s="32">
        <f t="shared" si="434"/>
        <v>1.83499419605704E-4</v>
      </c>
      <c r="R704" s="32">
        <f t="shared" si="434"/>
        <v>0</v>
      </c>
      <c r="S704" s="32">
        <f t="shared" si="434"/>
        <v>1.8349941960570402E-4</v>
      </c>
      <c r="T704" s="32">
        <f t="shared" si="434"/>
        <v>0</v>
      </c>
      <c r="U704" s="32" t="e">
        <f t="shared" si="434"/>
        <v>#DIV/0!</v>
      </c>
      <c r="V704" s="32">
        <f t="shared" si="434"/>
        <v>1.393050472375726E-4</v>
      </c>
      <c r="W704" s="32">
        <f t="shared" si="434"/>
        <v>0</v>
      </c>
      <c r="X704" s="32">
        <f t="shared" si="434"/>
        <v>0</v>
      </c>
      <c r="Y704" s="25" t="e">
        <f t="shared" si="425"/>
        <v>#DIV/0!</v>
      </c>
      <c r="Z704" s="11"/>
    </row>
    <row r="705" spans="1:26" outlineLevel="1" x14ac:dyDescent="0.25">
      <c r="A705" t="s">
        <v>81</v>
      </c>
      <c r="B705" t="s">
        <v>156</v>
      </c>
      <c r="C705" s="7" t="s">
        <v>8</v>
      </c>
      <c r="D705" s="32">
        <f t="shared" ref="D705:X705" si="435">_xlfn.MAXIFS(E$403:E$594,$A$403:$A$594,"Winter",$B$403:$B$594,$B705)</f>
        <v>3.508710040248345E-4</v>
      </c>
      <c r="E705" s="32">
        <f t="shared" si="435"/>
        <v>1.3428404153987784E-7</v>
      </c>
      <c r="F705" s="32">
        <f t="shared" si="435"/>
        <v>0</v>
      </c>
      <c r="G705" s="32">
        <f t="shared" si="435"/>
        <v>9.5022460986930716E-5</v>
      </c>
      <c r="H705" s="32">
        <f t="shared" si="435"/>
        <v>3.5702093685417111E-4</v>
      </c>
      <c r="I705" s="32">
        <f t="shared" si="435"/>
        <v>3.5702093685417111E-4</v>
      </c>
      <c r="J705" s="32">
        <f t="shared" si="435"/>
        <v>3.8818202113906244E-4</v>
      </c>
      <c r="K705" s="32">
        <f t="shared" si="435"/>
        <v>1.5199807305494217E-7</v>
      </c>
      <c r="L705" s="32">
        <f t="shared" si="435"/>
        <v>0</v>
      </c>
      <c r="M705" s="32">
        <f t="shared" si="435"/>
        <v>1.9048961837282393E-4</v>
      </c>
      <c r="N705" s="32">
        <f t="shared" si="435"/>
        <v>1.9048961837282393E-4</v>
      </c>
      <c r="O705" s="32">
        <f t="shared" si="435"/>
        <v>0</v>
      </c>
      <c r="P705" s="32">
        <f t="shared" si="435"/>
        <v>1.6290254597649227E-4</v>
      </c>
      <c r="Q705" s="32">
        <f t="shared" si="435"/>
        <v>1.6290254597649232E-4</v>
      </c>
      <c r="R705" s="32">
        <f t="shared" si="435"/>
        <v>0</v>
      </c>
      <c r="S705" s="32">
        <f t="shared" si="435"/>
        <v>1.6290254597649232E-4</v>
      </c>
      <c r="T705" s="32">
        <f t="shared" si="435"/>
        <v>0</v>
      </c>
      <c r="U705" s="32" t="e">
        <f t="shared" si="435"/>
        <v>#DIV/0!</v>
      </c>
      <c r="V705" s="32">
        <f t="shared" si="435"/>
        <v>1.3870024963740947E-4</v>
      </c>
      <c r="W705" s="32">
        <f t="shared" si="435"/>
        <v>0</v>
      </c>
      <c r="X705" s="32">
        <f t="shared" si="435"/>
        <v>0</v>
      </c>
      <c r="Y705" s="25" t="e">
        <f t="shared" si="425"/>
        <v>#DIV/0!</v>
      </c>
      <c r="Z705" s="11"/>
    </row>
    <row r="706" spans="1:26" outlineLevel="1" x14ac:dyDescent="0.25">
      <c r="A706" t="s">
        <v>81</v>
      </c>
      <c r="B706" t="s">
        <v>157</v>
      </c>
      <c r="C706" s="7" t="s">
        <v>9</v>
      </c>
      <c r="D706" s="32">
        <f t="shared" ref="D706:X706" si="436">_xlfn.MAXIFS(E$403:E$594,$A$403:$A$594,"Winter",$B$403:$B$594,$B706)</f>
        <v>3.3994100374883129E-4</v>
      </c>
      <c r="E706" s="32">
        <f t="shared" si="436"/>
        <v>1.253046260201229E-7</v>
      </c>
      <c r="F706" s="32">
        <f t="shared" si="436"/>
        <v>0</v>
      </c>
      <c r="G706" s="32">
        <f t="shared" si="436"/>
        <v>9.5589278766655344E-5</v>
      </c>
      <c r="H706" s="32">
        <f t="shared" si="436"/>
        <v>3.674891433360064E-4</v>
      </c>
      <c r="I706" s="32">
        <f t="shared" si="436"/>
        <v>3.674891433360064E-4</v>
      </c>
      <c r="J706" s="32">
        <f t="shared" si="436"/>
        <v>3.2031337843048451E-4</v>
      </c>
      <c r="K706" s="32">
        <f t="shared" si="436"/>
        <v>1.6007120738271147E-7</v>
      </c>
      <c r="L706" s="32">
        <f t="shared" si="436"/>
        <v>0</v>
      </c>
      <c r="M706" s="32">
        <f t="shared" si="436"/>
        <v>1.8940349695914719E-4</v>
      </c>
      <c r="N706" s="32">
        <f t="shared" si="436"/>
        <v>1.8940349695914719E-4</v>
      </c>
      <c r="O706" s="32">
        <f t="shared" si="436"/>
        <v>0</v>
      </c>
      <c r="P706" s="32">
        <f t="shared" si="436"/>
        <v>1.5887953519512949E-4</v>
      </c>
      <c r="Q706" s="32">
        <f t="shared" si="436"/>
        <v>1.5887953519512954E-4</v>
      </c>
      <c r="R706" s="32">
        <f t="shared" si="436"/>
        <v>0</v>
      </c>
      <c r="S706" s="32">
        <f t="shared" si="436"/>
        <v>1.5887953519512957E-4</v>
      </c>
      <c r="T706" s="32">
        <f t="shared" si="436"/>
        <v>0</v>
      </c>
      <c r="U706" s="32" t="e">
        <f t="shared" si="436"/>
        <v>#DIV/0!</v>
      </c>
      <c r="V706" s="32">
        <f t="shared" si="436"/>
        <v>1.3829705123730073E-4</v>
      </c>
      <c r="W706" s="32">
        <f t="shared" si="436"/>
        <v>0</v>
      </c>
      <c r="X706" s="32">
        <f t="shared" si="436"/>
        <v>0</v>
      </c>
      <c r="Y706" s="25" t="e">
        <f t="shared" si="425"/>
        <v>#DIV/0!</v>
      </c>
      <c r="Z706" s="11"/>
    </row>
    <row r="707" spans="1:26" outlineLevel="1" x14ac:dyDescent="0.25">
      <c r="A707" t="s">
        <v>81</v>
      </c>
      <c r="B707" t="s">
        <v>158</v>
      </c>
      <c r="C707" s="7" t="s">
        <v>10</v>
      </c>
      <c r="D707" s="32">
        <f t="shared" ref="D707:X707" si="437">_xlfn.MAXIFS(E$403:E$594,$A$403:$A$594,"Winter",$B$403:$B$594,$B707)</f>
        <v>2.7988617943531971E-4</v>
      </c>
      <c r="E707" s="32">
        <f t="shared" si="437"/>
        <v>1.2963527469545108E-7</v>
      </c>
      <c r="F707" s="32">
        <f t="shared" si="437"/>
        <v>0</v>
      </c>
      <c r="G707" s="32">
        <f t="shared" si="437"/>
        <v>1.0142245530002929E-4</v>
      </c>
      <c r="H707" s="32">
        <f t="shared" si="437"/>
        <v>3.3883931506993093E-4</v>
      </c>
      <c r="I707" s="32">
        <f t="shared" si="437"/>
        <v>3.3883931506993093E-4</v>
      </c>
      <c r="J707" s="32">
        <f t="shared" si="437"/>
        <v>2.7892681395525365E-4</v>
      </c>
      <c r="K707" s="32">
        <f t="shared" si="437"/>
        <v>1.6208691809446713E-7</v>
      </c>
      <c r="L707" s="32">
        <f t="shared" si="437"/>
        <v>0</v>
      </c>
      <c r="M707" s="32">
        <f t="shared" si="437"/>
        <v>1.8877972291643662E-4</v>
      </c>
      <c r="N707" s="32">
        <f t="shared" si="437"/>
        <v>1.8877972291643662E-4</v>
      </c>
      <c r="O707" s="32">
        <f t="shared" si="437"/>
        <v>0</v>
      </c>
      <c r="P707" s="32">
        <f t="shared" si="437"/>
        <v>1.6373502078513062E-4</v>
      </c>
      <c r="Q707" s="32">
        <f t="shared" si="437"/>
        <v>1.6373502078513067E-4</v>
      </c>
      <c r="R707" s="32">
        <f t="shared" si="437"/>
        <v>0</v>
      </c>
      <c r="S707" s="32">
        <f t="shared" si="437"/>
        <v>1.637350207851307E-4</v>
      </c>
      <c r="T707" s="32">
        <f t="shared" si="437"/>
        <v>0</v>
      </c>
      <c r="U707" s="32" t="e">
        <f t="shared" si="437"/>
        <v>#DIV/0!</v>
      </c>
      <c r="V707" s="32">
        <f t="shared" si="437"/>
        <v>1.3809545203724634E-4</v>
      </c>
      <c r="W707" s="32">
        <f t="shared" si="437"/>
        <v>0</v>
      </c>
      <c r="X707" s="32">
        <f t="shared" si="437"/>
        <v>0</v>
      </c>
      <c r="Y707" s="25" t="e">
        <f t="shared" si="425"/>
        <v>#DIV/0!</v>
      </c>
      <c r="Z707" s="11"/>
    </row>
    <row r="708" spans="1:26" outlineLevel="1" x14ac:dyDescent="0.25">
      <c r="A708" t="s">
        <v>81</v>
      </c>
      <c r="B708" t="s">
        <v>159</v>
      </c>
      <c r="C708" s="7" t="s">
        <v>11</v>
      </c>
      <c r="D708" s="32">
        <f t="shared" ref="D708:X708" si="438">_xlfn.MAXIFS(E$403:E$594,$A$403:$A$594,"Winter",$B$403:$B$594,$B708)</f>
        <v>2.7705073607599902E-4</v>
      </c>
      <c r="E708" s="32">
        <f t="shared" si="438"/>
        <v>1.3516204768658981E-7</v>
      </c>
      <c r="F708" s="32">
        <f t="shared" si="438"/>
        <v>0</v>
      </c>
      <c r="G708" s="32">
        <f t="shared" si="438"/>
        <v>1.0494728904361513E-4</v>
      </c>
      <c r="H708" s="32">
        <f t="shared" si="438"/>
        <v>3.030270297373366E-4</v>
      </c>
      <c r="I708" s="32">
        <f t="shared" si="438"/>
        <v>3.030270297373366E-4</v>
      </c>
      <c r="J708" s="32">
        <f t="shared" si="438"/>
        <v>2.4472634106093103E-4</v>
      </c>
      <c r="K708" s="32">
        <f t="shared" si="438"/>
        <v>1.5823151647958799E-7</v>
      </c>
      <c r="L708" s="32">
        <f t="shared" si="438"/>
        <v>0</v>
      </c>
      <c r="M708" s="32">
        <f t="shared" si="438"/>
        <v>1.8577332927009066E-4</v>
      </c>
      <c r="N708" s="32">
        <f t="shared" si="438"/>
        <v>1.8577332927009066E-4</v>
      </c>
      <c r="O708" s="32">
        <f t="shared" si="438"/>
        <v>0</v>
      </c>
      <c r="P708" s="32">
        <f t="shared" si="438"/>
        <v>1.6011948704949794E-4</v>
      </c>
      <c r="Q708" s="32">
        <f t="shared" si="438"/>
        <v>1.6011948704949797E-4</v>
      </c>
      <c r="R708" s="32">
        <f t="shared" si="438"/>
        <v>0</v>
      </c>
      <c r="S708" s="32">
        <f t="shared" si="438"/>
        <v>1.60119487049498E-4</v>
      </c>
      <c r="T708" s="32">
        <f t="shared" si="438"/>
        <v>0</v>
      </c>
      <c r="U708" s="32" t="e">
        <f t="shared" si="438"/>
        <v>#DIV/0!</v>
      </c>
      <c r="V708" s="32">
        <f t="shared" si="438"/>
        <v>1.3789385283719197E-4</v>
      </c>
      <c r="W708" s="32">
        <f t="shared" si="438"/>
        <v>0</v>
      </c>
      <c r="X708" s="32">
        <f t="shared" si="438"/>
        <v>0</v>
      </c>
      <c r="Y708" s="25" t="e">
        <f t="shared" si="425"/>
        <v>#DIV/0!</v>
      </c>
      <c r="Z708" s="11"/>
    </row>
    <row r="709" spans="1:26" outlineLevel="1" x14ac:dyDescent="0.25">
      <c r="A709" t="s">
        <v>81</v>
      </c>
      <c r="B709" t="s">
        <v>160</v>
      </c>
      <c r="C709" s="7" t="s">
        <v>12</v>
      </c>
      <c r="D709" s="32">
        <f t="shared" ref="D709:X709" si="439">_xlfn.MAXIFS(E$403:E$594,$A$403:$A$594,"Winter",$B$403:$B$594,$B709)</f>
        <v>2.7237661650233476E-4</v>
      </c>
      <c r="E709" s="32">
        <f t="shared" si="439"/>
        <v>1.3643452036298398E-7</v>
      </c>
      <c r="F709" s="32">
        <f t="shared" si="439"/>
        <v>0</v>
      </c>
      <c r="G709" s="32">
        <f t="shared" si="439"/>
        <v>1.0481281582162542E-4</v>
      </c>
      <c r="H709" s="32">
        <f t="shared" si="439"/>
        <v>2.600522873382234E-4</v>
      </c>
      <c r="I709" s="32">
        <f t="shared" si="439"/>
        <v>2.600522873382234E-4</v>
      </c>
      <c r="J709" s="32">
        <f t="shared" si="439"/>
        <v>2.2889032442892951E-4</v>
      </c>
      <c r="K709" s="32">
        <f t="shared" si="439"/>
        <v>1.598174691505098E-7</v>
      </c>
      <c r="L709" s="32">
        <f t="shared" si="439"/>
        <v>0</v>
      </c>
      <c r="M709" s="32">
        <f t="shared" si="439"/>
        <v>1.8585368377926003E-4</v>
      </c>
      <c r="N709" s="32">
        <f t="shared" si="439"/>
        <v>1.8585368377926003E-4</v>
      </c>
      <c r="O709" s="32">
        <f t="shared" si="439"/>
        <v>0</v>
      </c>
      <c r="P709" s="32">
        <f t="shared" si="439"/>
        <v>1.523771289395739E-4</v>
      </c>
      <c r="Q709" s="32">
        <f t="shared" si="439"/>
        <v>1.5237712893957392E-4</v>
      </c>
      <c r="R709" s="32">
        <f t="shared" si="439"/>
        <v>0</v>
      </c>
      <c r="S709" s="32">
        <f t="shared" si="439"/>
        <v>1.5237712893957395E-4</v>
      </c>
      <c r="T709" s="32">
        <f t="shared" si="439"/>
        <v>0</v>
      </c>
      <c r="U709" s="32" t="e">
        <f t="shared" si="439"/>
        <v>#DIV/0!</v>
      </c>
      <c r="V709" s="32">
        <f t="shared" si="439"/>
        <v>1.3809545203724634E-4</v>
      </c>
      <c r="W709" s="32">
        <f t="shared" si="439"/>
        <v>0</v>
      </c>
      <c r="X709" s="32">
        <f t="shared" si="439"/>
        <v>0</v>
      </c>
      <c r="Y709" s="25" t="e">
        <f t="shared" si="425"/>
        <v>#DIV/0!</v>
      </c>
      <c r="Z709" s="11"/>
    </row>
    <row r="710" spans="1:26" outlineLevel="1" x14ac:dyDescent="0.25">
      <c r="A710" t="s">
        <v>81</v>
      </c>
      <c r="B710" t="s">
        <v>161</v>
      </c>
      <c r="C710" s="7" t="s">
        <v>13</v>
      </c>
      <c r="D710" s="32">
        <f t="shared" ref="D710:X710" si="440">_xlfn.MAXIFS(E$403:E$594,$A$403:$A$594,"Winter",$B$403:$B$594,$B710)</f>
        <v>2.694964833797655E-4</v>
      </c>
      <c r="E710" s="32">
        <f t="shared" si="440"/>
        <v>1.361460932230013E-7</v>
      </c>
      <c r="F710" s="32">
        <f t="shared" si="440"/>
        <v>0</v>
      </c>
      <c r="G710" s="32">
        <f t="shared" si="440"/>
        <v>1.0370997803170835E-4</v>
      </c>
      <c r="H710" s="32">
        <f t="shared" si="440"/>
        <v>2.3964457389770915E-4</v>
      </c>
      <c r="I710" s="32">
        <f t="shared" si="440"/>
        <v>2.3964457389770915E-4</v>
      </c>
      <c r="J710" s="32">
        <f t="shared" si="440"/>
        <v>2.1451814126711302E-4</v>
      </c>
      <c r="K710" s="32">
        <f t="shared" si="440"/>
        <v>1.6379352950517718E-7</v>
      </c>
      <c r="L710" s="32">
        <f t="shared" si="440"/>
        <v>0</v>
      </c>
      <c r="M710" s="32">
        <f t="shared" si="440"/>
        <v>1.8574427853377702E-4</v>
      </c>
      <c r="N710" s="32">
        <f t="shared" si="440"/>
        <v>1.8574427853377702E-4</v>
      </c>
      <c r="O710" s="32">
        <f t="shared" si="440"/>
        <v>0</v>
      </c>
      <c r="P710" s="32">
        <f t="shared" si="440"/>
        <v>1.5049759066064537E-4</v>
      </c>
      <c r="Q710" s="32">
        <f t="shared" si="440"/>
        <v>1.504975906606454E-4</v>
      </c>
      <c r="R710" s="32">
        <f t="shared" si="440"/>
        <v>0</v>
      </c>
      <c r="S710" s="32">
        <f t="shared" si="440"/>
        <v>1.5049759066064543E-4</v>
      </c>
      <c r="T710" s="32">
        <f t="shared" si="440"/>
        <v>0</v>
      </c>
      <c r="U710" s="32" t="e">
        <f t="shared" si="440"/>
        <v>#DIV/0!</v>
      </c>
      <c r="V710" s="32">
        <f t="shared" si="440"/>
        <v>1.3870024963740947E-4</v>
      </c>
      <c r="W710" s="32">
        <f t="shared" si="440"/>
        <v>0</v>
      </c>
      <c r="X710" s="32">
        <f t="shared" si="440"/>
        <v>0</v>
      </c>
      <c r="Y710" s="25" t="e">
        <f t="shared" si="425"/>
        <v>#DIV/0!</v>
      </c>
      <c r="Z710" s="11"/>
    </row>
    <row r="711" spans="1:26" outlineLevel="1" x14ac:dyDescent="0.25">
      <c r="A711" t="s">
        <v>81</v>
      </c>
      <c r="B711" t="s">
        <v>162</v>
      </c>
      <c r="C711" s="7" t="s">
        <v>14</v>
      </c>
      <c r="D711" s="32">
        <f t="shared" ref="D711:X711" si="441">_xlfn.MAXIFS(E$403:E$594,$A$403:$A$594,"Winter",$B$403:$B$594,$B711)</f>
        <v>2.7155676233349321E-4</v>
      </c>
      <c r="E711" s="32">
        <f t="shared" si="441"/>
        <v>1.3571345251302728E-7</v>
      </c>
      <c r="F711" s="32">
        <f t="shared" si="441"/>
        <v>0</v>
      </c>
      <c r="G711" s="32">
        <f t="shared" si="441"/>
        <v>1.0397023922943247E-4</v>
      </c>
      <c r="H711" s="32">
        <f t="shared" si="441"/>
        <v>2.0960419315924555E-4</v>
      </c>
      <c r="I711" s="32">
        <f t="shared" si="441"/>
        <v>2.0960419315924555E-4</v>
      </c>
      <c r="J711" s="32">
        <f t="shared" si="441"/>
        <v>2.0666667083612066E-4</v>
      </c>
      <c r="K711" s="32">
        <f t="shared" si="441"/>
        <v>1.6386273084123216E-7</v>
      </c>
      <c r="L711" s="32">
        <f t="shared" si="441"/>
        <v>0</v>
      </c>
      <c r="M711" s="32">
        <f t="shared" si="441"/>
        <v>1.8573522815203193E-4</v>
      </c>
      <c r="N711" s="32">
        <f t="shared" si="441"/>
        <v>1.8573522815203193E-4</v>
      </c>
      <c r="O711" s="32">
        <f t="shared" si="441"/>
        <v>0</v>
      </c>
      <c r="P711" s="32">
        <f t="shared" si="441"/>
        <v>1.5648274120894578E-4</v>
      </c>
      <c r="Q711" s="32">
        <f t="shared" si="441"/>
        <v>1.5648274120894583E-4</v>
      </c>
      <c r="R711" s="32">
        <f t="shared" si="441"/>
        <v>0</v>
      </c>
      <c r="S711" s="32">
        <f t="shared" si="441"/>
        <v>1.5648274120894586E-4</v>
      </c>
      <c r="T711" s="32">
        <f t="shared" si="441"/>
        <v>0</v>
      </c>
      <c r="U711" s="32" t="e">
        <f t="shared" si="441"/>
        <v>#DIV/0!</v>
      </c>
      <c r="V711" s="32">
        <f t="shared" si="441"/>
        <v>1.401114440377901E-4</v>
      </c>
      <c r="W711" s="32">
        <f t="shared" si="441"/>
        <v>0</v>
      </c>
      <c r="X711" s="32">
        <f t="shared" si="441"/>
        <v>0</v>
      </c>
      <c r="Y711" s="25" t="e">
        <f t="shared" si="425"/>
        <v>#DIV/0!</v>
      </c>
      <c r="Z711" s="11"/>
    </row>
    <row r="712" spans="1:26" outlineLevel="1" x14ac:dyDescent="0.25">
      <c r="A712" t="s">
        <v>81</v>
      </c>
      <c r="B712" t="s">
        <v>163</v>
      </c>
      <c r="C712" s="7" t="s">
        <v>15</v>
      </c>
      <c r="D712" s="32">
        <f t="shared" ref="D712:X712" si="442">_xlfn.MAXIFS(E$403:E$594,$A$403:$A$594,"Winter",$B$403:$B$594,$B712)</f>
        <v>2.796795250174024E-4</v>
      </c>
      <c r="E712" s="32">
        <f t="shared" si="442"/>
        <v>1.3679505428796234E-7</v>
      </c>
      <c r="F712" s="32">
        <f t="shared" si="442"/>
        <v>0</v>
      </c>
      <c r="G712" s="32">
        <f t="shared" si="442"/>
        <v>2.6716930437362086E-4</v>
      </c>
      <c r="H712" s="32">
        <f t="shared" si="442"/>
        <v>2.0972267672787287E-4</v>
      </c>
      <c r="I712" s="32">
        <f t="shared" si="442"/>
        <v>2.0972267672787287E-4</v>
      </c>
      <c r="J712" s="32">
        <f t="shared" si="442"/>
        <v>2.0333977658570018E-4</v>
      </c>
      <c r="K712" s="32">
        <f t="shared" si="442"/>
        <v>1.604991910303131E-7</v>
      </c>
      <c r="L712" s="32">
        <f t="shared" si="442"/>
        <v>0</v>
      </c>
      <c r="M712" s="32">
        <f t="shared" si="442"/>
        <v>1.7954863830203977E-4</v>
      </c>
      <c r="N712" s="32">
        <f t="shared" si="442"/>
        <v>1.7954863830203977E-4</v>
      </c>
      <c r="O712" s="32">
        <f t="shared" si="442"/>
        <v>0</v>
      </c>
      <c r="P712" s="32">
        <f t="shared" si="442"/>
        <v>1.8028951722193071E-4</v>
      </c>
      <c r="Q712" s="32">
        <f t="shared" si="442"/>
        <v>1.8028951722193074E-4</v>
      </c>
      <c r="R712" s="32">
        <f t="shared" si="442"/>
        <v>0</v>
      </c>
      <c r="S712" s="32">
        <f t="shared" si="442"/>
        <v>1.8028951722193077E-4</v>
      </c>
      <c r="T712" s="32">
        <f t="shared" si="442"/>
        <v>0</v>
      </c>
      <c r="U712" s="32" t="e">
        <f t="shared" si="442"/>
        <v>#DIV/0!</v>
      </c>
      <c r="V712" s="32">
        <f t="shared" si="442"/>
        <v>1.4182503723825227E-4</v>
      </c>
      <c r="W712" s="32">
        <f t="shared" si="442"/>
        <v>0</v>
      </c>
      <c r="X712" s="32">
        <f t="shared" si="442"/>
        <v>0</v>
      </c>
      <c r="Y712" s="25" t="e">
        <f t="shared" si="425"/>
        <v>#DIV/0!</v>
      </c>
      <c r="Z712" s="11"/>
    </row>
    <row r="713" spans="1:26" outlineLevel="1" x14ac:dyDescent="0.25">
      <c r="A713" t="s">
        <v>81</v>
      </c>
      <c r="B713" t="s">
        <v>164</v>
      </c>
      <c r="C713" s="7" t="s">
        <v>16</v>
      </c>
      <c r="D713" s="32">
        <f t="shared" ref="D713:X713" si="443">_xlfn.MAXIFS(E$403:E$594,$A$403:$A$594,"Winter",$B$403:$B$594,$B713)</f>
        <v>2.9436957543057895E-4</v>
      </c>
      <c r="E713" s="32">
        <f t="shared" si="443"/>
        <v>1.4220306316263761E-7</v>
      </c>
      <c r="F713" s="32">
        <f t="shared" si="443"/>
        <v>0</v>
      </c>
      <c r="G713" s="32">
        <f t="shared" si="443"/>
        <v>3.7397718977270558E-4</v>
      </c>
      <c r="H713" s="32">
        <f t="shared" si="443"/>
        <v>2.4030445657682991E-4</v>
      </c>
      <c r="I713" s="32">
        <f t="shared" si="443"/>
        <v>2.4030445657682991E-4</v>
      </c>
      <c r="J713" s="32">
        <f t="shared" si="443"/>
        <v>2.1724619455245784E-4</v>
      </c>
      <c r="K713" s="32">
        <f t="shared" si="443"/>
        <v>1.5302402722178819E-7</v>
      </c>
      <c r="L713" s="32">
        <f t="shared" si="443"/>
        <v>0</v>
      </c>
      <c r="M713" s="32">
        <f t="shared" si="443"/>
        <v>1.6859379356490306E-4</v>
      </c>
      <c r="N713" s="32">
        <f t="shared" si="443"/>
        <v>1.6859379356490306E-4</v>
      </c>
      <c r="O713" s="32">
        <f t="shared" si="443"/>
        <v>0</v>
      </c>
      <c r="P713" s="32">
        <f t="shared" si="443"/>
        <v>1.8991922437325046E-4</v>
      </c>
      <c r="Q713" s="32">
        <f t="shared" si="443"/>
        <v>1.8991922437325048E-4</v>
      </c>
      <c r="R713" s="32">
        <f t="shared" si="443"/>
        <v>0</v>
      </c>
      <c r="S713" s="32">
        <f t="shared" si="443"/>
        <v>1.8991922437325054E-4</v>
      </c>
      <c r="T713" s="32">
        <f t="shared" si="443"/>
        <v>0</v>
      </c>
      <c r="U713" s="32" t="e">
        <f t="shared" si="443"/>
        <v>#DIV/0!</v>
      </c>
      <c r="V713" s="32">
        <f t="shared" si="443"/>
        <v>1.4202663643830664E-4</v>
      </c>
      <c r="W713" s="32">
        <f t="shared" si="443"/>
        <v>0</v>
      </c>
      <c r="X713" s="32">
        <f t="shared" si="443"/>
        <v>0</v>
      </c>
      <c r="Y713" s="25" t="e">
        <f t="shared" si="425"/>
        <v>#DIV/0!</v>
      </c>
      <c r="Z713" s="11"/>
    </row>
    <row r="714" spans="1:26" outlineLevel="1" x14ac:dyDescent="0.25">
      <c r="A714" t="s">
        <v>81</v>
      </c>
      <c r="B714" t="s">
        <v>165</v>
      </c>
      <c r="C714" s="7" t="s">
        <v>17</v>
      </c>
      <c r="D714" s="32">
        <f t="shared" ref="D714:X714" si="444">_xlfn.MAXIFS(E$403:E$594,$A$403:$A$594,"Winter",$B$403:$B$594,$B714)</f>
        <v>3.1200375085177338E-4</v>
      </c>
      <c r="E714" s="32">
        <f t="shared" si="444"/>
        <v>1.5094495044946563E-7</v>
      </c>
      <c r="F714" s="32">
        <f t="shared" si="444"/>
        <v>0</v>
      </c>
      <c r="G714" s="32">
        <f t="shared" si="444"/>
        <v>3.9462073064815893E-4</v>
      </c>
      <c r="H714" s="32">
        <f t="shared" si="444"/>
        <v>2.7437720147126113E-4</v>
      </c>
      <c r="I714" s="32">
        <f t="shared" si="444"/>
        <v>2.7437720147126113E-4</v>
      </c>
      <c r="J714" s="32">
        <f t="shared" si="444"/>
        <v>2.5018244763162068E-4</v>
      </c>
      <c r="K714" s="32">
        <f t="shared" si="444"/>
        <v>1.4950593776034635E-7</v>
      </c>
      <c r="L714" s="32">
        <f t="shared" si="444"/>
        <v>0</v>
      </c>
      <c r="M714" s="32">
        <f t="shared" si="444"/>
        <v>1.6060144286106134E-4</v>
      </c>
      <c r="N714" s="32">
        <f t="shared" si="444"/>
        <v>1.6060144286106134E-4</v>
      </c>
      <c r="O714" s="32">
        <f t="shared" si="444"/>
        <v>0</v>
      </c>
      <c r="P714" s="32">
        <f t="shared" si="444"/>
        <v>1.7467218805032749E-4</v>
      </c>
      <c r="Q714" s="32">
        <f t="shared" si="444"/>
        <v>1.7467218805032755E-4</v>
      </c>
      <c r="R714" s="32">
        <f t="shared" si="444"/>
        <v>0</v>
      </c>
      <c r="S714" s="32">
        <f t="shared" si="444"/>
        <v>1.7467218805032757E-4</v>
      </c>
      <c r="T714" s="32">
        <f t="shared" si="444"/>
        <v>0</v>
      </c>
      <c r="U714" s="32" t="e">
        <f t="shared" si="444"/>
        <v>#DIV/0!</v>
      </c>
      <c r="V714" s="32">
        <f t="shared" si="444"/>
        <v>1.4142183883814353E-4</v>
      </c>
      <c r="W714" s="32">
        <f t="shared" si="444"/>
        <v>0</v>
      </c>
      <c r="X714" s="32">
        <f t="shared" si="444"/>
        <v>0</v>
      </c>
      <c r="Y714" s="25" t="e">
        <f t="shared" si="425"/>
        <v>#DIV/0!</v>
      </c>
      <c r="Z714" s="11"/>
    </row>
    <row r="715" spans="1:26" outlineLevel="1" x14ac:dyDescent="0.25">
      <c r="A715" t="s">
        <v>81</v>
      </c>
      <c r="B715" t="s">
        <v>166</v>
      </c>
      <c r="C715" s="7" t="s">
        <v>18</v>
      </c>
      <c r="D715" s="32">
        <f t="shared" ref="D715:X715" si="445">_xlfn.MAXIFS(E$403:E$594,$A$403:$A$594,"Winter",$B$403:$B$594,$B715)</f>
        <v>3.3302412950928265E-4</v>
      </c>
      <c r="E715" s="32">
        <f t="shared" si="445"/>
        <v>1.6041214716183832E-7</v>
      </c>
      <c r="F715" s="32">
        <f t="shared" si="445"/>
        <v>0</v>
      </c>
      <c r="G715" s="32">
        <f t="shared" si="445"/>
        <v>4.1346918101270327E-4</v>
      </c>
      <c r="H715" s="32">
        <f t="shared" si="445"/>
        <v>2.5013503909227419E-4</v>
      </c>
      <c r="I715" s="32">
        <f t="shared" si="445"/>
        <v>2.5013503909227419E-4</v>
      </c>
      <c r="J715" s="32">
        <f t="shared" si="445"/>
        <v>2.7613222278490045E-4</v>
      </c>
      <c r="K715" s="32">
        <f t="shared" si="445"/>
        <v>1.4482863720032174E-7</v>
      </c>
      <c r="L715" s="32">
        <f t="shared" si="445"/>
        <v>0</v>
      </c>
      <c r="M715" s="32">
        <f t="shared" si="445"/>
        <v>1.3450812940419616E-4</v>
      </c>
      <c r="N715" s="32">
        <f t="shared" si="445"/>
        <v>1.3450812940419616E-4</v>
      </c>
      <c r="O715" s="32">
        <f t="shared" si="445"/>
        <v>0</v>
      </c>
      <c r="P715" s="32">
        <f t="shared" si="445"/>
        <v>1.6484399524764785E-4</v>
      </c>
      <c r="Q715" s="32">
        <f t="shared" si="445"/>
        <v>1.6484399524764788E-4</v>
      </c>
      <c r="R715" s="32">
        <f t="shared" si="445"/>
        <v>0</v>
      </c>
      <c r="S715" s="32">
        <f t="shared" si="445"/>
        <v>1.6484399524764793E-4</v>
      </c>
      <c r="T715" s="32">
        <f t="shared" si="445"/>
        <v>0</v>
      </c>
      <c r="U715" s="32" t="e">
        <f t="shared" si="445"/>
        <v>#DIV/0!</v>
      </c>
      <c r="V715" s="32">
        <f t="shared" si="445"/>
        <v>1.4061544203792603E-4</v>
      </c>
      <c r="W715" s="32">
        <f t="shared" si="445"/>
        <v>0</v>
      </c>
      <c r="X715" s="32">
        <f t="shared" si="445"/>
        <v>0</v>
      </c>
      <c r="Y715" s="25" t="e">
        <f t="shared" si="425"/>
        <v>#DIV/0!</v>
      </c>
      <c r="Z715" s="11"/>
    </row>
    <row r="716" spans="1:26" outlineLevel="1" x14ac:dyDescent="0.25">
      <c r="A716" t="s">
        <v>81</v>
      </c>
      <c r="B716" t="s">
        <v>167</v>
      </c>
      <c r="C716" s="7" t="s">
        <v>19</v>
      </c>
      <c r="D716" s="32">
        <f t="shared" ref="D716:X716" si="446">_xlfn.MAXIFS(E$403:E$594,$A$403:$A$594,"Winter",$B$403:$B$594,$B716)</f>
        <v>3.4745039514370103E-4</v>
      </c>
      <c r="E716" s="32">
        <f t="shared" si="446"/>
        <v>1.6794518540609186E-7</v>
      </c>
      <c r="F716" s="32">
        <f t="shared" si="446"/>
        <v>0</v>
      </c>
      <c r="G716" s="32">
        <f t="shared" si="446"/>
        <v>4.1107572699815791E-4</v>
      </c>
      <c r="H716" s="32">
        <f t="shared" si="446"/>
        <v>2.3315337128829972E-4</v>
      </c>
      <c r="I716" s="32">
        <f t="shared" si="446"/>
        <v>2.3315337128829972E-4</v>
      </c>
      <c r="J716" s="32">
        <f t="shared" si="446"/>
        <v>2.9689204290752426E-4</v>
      </c>
      <c r="K716" s="32">
        <f t="shared" si="446"/>
        <v>1.4089658179781245E-7</v>
      </c>
      <c r="L716" s="32">
        <f t="shared" si="446"/>
        <v>0</v>
      </c>
      <c r="M716" s="32">
        <f t="shared" si="446"/>
        <v>1.1160300895068047E-4</v>
      </c>
      <c r="N716" s="32">
        <f t="shared" si="446"/>
        <v>1.1160300895068047E-4</v>
      </c>
      <c r="O716" s="32">
        <f t="shared" si="446"/>
        <v>0</v>
      </c>
      <c r="P716" s="32">
        <f t="shared" si="446"/>
        <v>1.5998850965764669E-4</v>
      </c>
      <c r="Q716" s="32">
        <f t="shared" si="446"/>
        <v>1.5998850965764677E-4</v>
      </c>
      <c r="R716" s="32">
        <f t="shared" si="446"/>
        <v>0</v>
      </c>
      <c r="S716" s="32">
        <f t="shared" si="446"/>
        <v>1.5998850965764677E-4</v>
      </c>
      <c r="T716" s="32">
        <f t="shared" si="446"/>
        <v>0</v>
      </c>
      <c r="U716" s="32" t="e">
        <f t="shared" si="446"/>
        <v>#DIV/0!</v>
      </c>
      <c r="V716" s="32">
        <f t="shared" si="446"/>
        <v>1.3980904523770853E-4</v>
      </c>
      <c r="W716" s="32">
        <f t="shared" si="446"/>
        <v>0</v>
      </c>
      <c r="X716" s="32">
        <f t="shared" si="446"/>
        <v>0</v>
      </c>
      <c r="Y716" s="25" t="e">
        <f t="shared" si="425"/>
        <v>#DIV/0!</v>
      </c>
      <c r="Z716" s="11"/>
    </row>
    <row r="717" spans="1:26" outlineLevel="1" x14ac:dyDescent="0.25">
      <c r="A717" t="s">
        <v>81</v>
      </c>
      <c r="B717" t="s">
        <v>168</v>
      </c>
      <c r="C717" s="7" t="s">
        <v>20</v>
      </c>
      <c r="D717" s="32">
        <f t="shared" ref="D717:X717" si="447">_xlfn.MAXIFS(E$403:E$594,$A$403:$A$594,"Winter",$B$403:$B$594,$B717)</f>
        <v>3.332357095216505E-4</v>
      </c>
      <c r="E717" s="32">
        <f t="shared" si="447"/>
        <v>1.7508799869625119E-7</v>
      </c>
      <c r="F717" s="32">
        <f t="shared" si="447"/>
        <v>0</v>
      </c>
      <c r="G717" s="32">
        <f t="shared" si="447"/>
        <v>3.4016965181725298E-4</v>
      </c>
      <c r="H717" s="32">
        <f t="shared" si="447"/>
        <v>2.0390518584930491E-4</v>
      </c>
      <c r="I717" s="32">
        <f t="shared" si="447"/>
        <v>2.0390518584930491E-4</v>
      </c>
      <c r="J717" s="32">
        <f t="shared" si="447"/>
        <v>3.2177721190066952E-4</v>
      </c>
      <c r="K717" s="32">
        <f t="shared" si="447"/>
        <v>1.3688379150323898E-7</v>
      </c>
      <c r="L717" s="32">
        <f t="shared" si="447"/>
        <v>0</v>
      </c>
      <c r="M717" s="32">
        <f t="shared" si="447"/>
        <v>9.0495449133379041E-5</v>
      </c>
      <c r="N717" s="32">
        <f t="shared" si="447"/>
        <v>9.0495449133379041E-5</v>
      </c>
      <c r="O717" s="32">
        <f t="shared" si="447"/>
        <v>0</v>
      </c>
      <c r="P717" s="32">
        <f t="shared" si="447"/>
        <v>1.5450650462070612E-4</v>
      </c>
      <c r="Q717" s="32">
        <f t="shared" si="447"/>
        <v>1.5450650462070617E-4</v>
      </c>
      <c r="R717" s="32">
        <f t="shared" si="447"/>
        <v>0</v>
      </c>
      <c r="S717" s="32">
        <f t="shared" si="447"/>
        <v>1.5450650462070614E-4</v>
      </c>
      <c r="T717" s="32">
        <f t="shared" si="447"/>
        <v>0</v>
      </c>
      <c r="U717" s="32" t="e">
        <f t="shared" si="447"/>
        <v>#DIV/0!</v>
      </c>
      <c r="V717" s="32">
        <f t="shared" si="447"/>
        <v>1.385994500373823E-4</v>
      </c>
      <c r="W717" s="32">
        <f t="shared" si="447"/>
        <v>0</v>
      </c>
      <c r="X717" s="32">
        <f t="shared" si="447"/>
        <v>0</v>
      </c>
      <c r="Y717" s="25" t="e">
        <f t="shared" si="425"/>
        <v>#DIV/0!</v>
      </c>
      <c r="Z717" s="11"/>
    </row>
    <row r="718" spans="1:26" outlineLevel="1" x14ac:dyDescent="0.25">
      <c r="A718" t="s">
        <v>81</v>
      </c>
      <c r="B718" t="s">
        <v>169</v>
      </c>
      <c r="C718" s="7" t="s">
        <v>21</v>
      </c>
      <c r="D718" s="32">
        <f t="shared" ref="D718:X718" si="448">_xlfn.MAXIFS(E$403:E$594,$A$403:$A$594,"Winter",$B$403:$B$594,$B718)</f>
        <v>2.98181544437284E-4</v>
      </c>
      <c r="E718" s="32">
        <f t="shared" si="448"/>
        <v>1.817090981890889E-7</v>
      </c>
      <c r="F718" s="32">
        <f t="shared" si="448"/>
        <v>0</v>
      </c>
      <c r="G718" s="32">
        <f t="shared" si="448"/>
        <v>2.1930022408271451E-4</v>
      </c>
      <c r="H718" s="32">
        <f t="shared" si="448"/>
        <v>1.7708436812931806E-4</v>
      </c>
      <c r="I718" s="32">
        <f t="shared" si="448"/>
        <v>1.7708436812931806E-4</v>
      </c>
      <c r="J718" s="32">
        <f t="shared" si="448"/>
        <v>3.2004722689045088E-4</v>
      </c>
      <c r="K718" s="32">
        <f t="shared" si="448"/>
        <v>1.3206010350155958E-7</v>
      </c>
      <c r="L718" s="32">
        <f t="shared" si="448"/>
        <v>0</v>
      </c>
      <c r="M718" s="32">
        <f t="shared" si="448"/>
        <v>7.7693353916967499E-5</v>
      </c>
      <c r="N718" s="32">
        <f t="shared" si="448"/>
        <v>7.7693353916967499E-5</v>
      </c>
      <c r="O718" s="32">
        <f t="shared" si="448"/>
        <v>0</v>
      </c>
      <c r="P718" s="32">
        <f t="shared" si="448"/>
        <v>1.5262695965448096E-4</v>
      </c>
      <c r="Q718" s="32">
        <f t="shared" si="448"/>
        <v>1.5262695965448099E-4</v>
      </c>
      <c r="R718" s="32">
        <f t="shared" si="448"/>
        <v>0</v>
      </c>
      <c r="S718" s="32">
        <f t="shared" si="448"/>
        <v>1.5262695965448102E-4</v>
      </c>
      <c r="T718" s="32">
        <f t="shared" si="448"/>
        <v>0</v>
      </c>
      <c r="U718" s="32" t="e">
        <f t="shared" si="448"/>
        <v>#DIV/0!</v>
      </c>
      <c r="V718" s="32">
        <f t="shared" si="448"/>
        <v>1.3749065443708323E-4</v>
      </c>
      <c r="W718" s="32">
        <f t="shared" si="448"/>
        <v>0</v>
      </c>
      <c r="X718" s="32">
        <f t="shared" si="448"/>
        <v>0</v>
      </c>
      <c r="Y718" s="25" t="e">
        <f t="shared" si="425"/>
        <v>#DIV/0!</v>
      </c>
      <c r="Z718" s="11"/>
    </row>
    <row r="719" spans="1:26" outlineLevel="1" x14ac:dyDescent="0.25">
      <c r="A719" t="s">
        <v>81</v>
      </c>
      <c r="B719" t="s">
        <v>170</v>
      </c>
      <c r="C719" s="7" t="s">
        <v>22</v>
      </c>
      <c r="D719" s="32">
        <f t="shared" ref="D719:X719" si="449">_xlfn.MAXIFS(E$403:E$594,$A$403:$A$594,"Winter",$B$403:$B$594,$B719)</f>
        <v>2.8506587084534726E-4</v>
      </c>
      <c r="E719" s="32">
        <f t="shared" si="449"/>
        <v>1.8739280947698292E-7</v>
      </c>
      <c r="F719" s="32">
        <f t="shared" si="449"/>
        <v>0</v>
      </c>
      <c r="G719" s="32">
        <f t="shared" si="449"/>
        <v>1.2266451824544743E-4</v>
      </c>
      <c r="H719" s="32">
        <f t="shared" si="449"/>
        <v>1.3486247710204903E-4</v>
      </c>
      <c r="I719" s="32">
        <f t="shared" si="449"/>
        <v>1.3486247710204903E-4</v>
      </c>
      <c r="J719" s="32">
        <f t="shared" si="449"/>
        <v>1.6344249632167007E-4</v>
      </c>
      <c r="K719" s="32">
        <f t="shared" si="449"/>
        <v>1.2546911984062962E-7</v>
      </c>
      <c r="L719" s="32">
        <f t="shared" si="449"/>
        <v>0</v>
      </c>
      <c r="M719" s="32">
        <f t="shared" si="449"/>
        <v>7.098195750002518E-5</v>
      </c>
      <c r="N719" s="32">
        <f t="shared" si="449"/>
        <v>7.098195750002518E-5</v>
      </c>
      <c r="O719" s="32">
        <f t="shared" si="449"/>
        <v>0</v>
      </c>
      <c r="P719" s="32">
        <f t="shared" si="449"/>
        <v>1.0256277421713625E-4</v>
      </c>
      <c r="Q719" s="32">
        <f t="shared" si="449"/>
        <v>1.025627742171363E-4</v>
      </c>
      <c r="R719" s="32">
        <f t="shared" si="449"/>
        <v>0</v>
      </c>
      <c r="S719" s="32">
        <f t="shared" si="449"/>
        <v>1.0256277421713631E-4</v>
      </c>
      <c r="T719" s="32">
        <f t="shared" si="449"/>
        <v>0</v>
      </c>
      <c r="U719" s="32" t="e">
        <f t="shared" si="449"/>
        <v>#DIV/0!</v>
      </c>
      <c r="V719" s="32">
        <f t="shared" si="449"/>
        <v>1.3668425763686573E-4</v>
      </c>
      <c r="W719" s="32">
        <f t="shared" si="449"/>
        <v>0</v>
      </c>
      <c r="X719" s="32">
        <f t="shared" si="449"/>
        <v>0</v>
      </c>
      <c r="Y719" s="25" t="e">
        <f t="shared" si="425"/>
        <v>#DIV/0!</v>
      </c>
      <c r="Z719" s="11"/>
    </row>
    <row r="720" spans="1:26" outlineLevel="1" x14ac:dyDescent="0.25">
      <c r="A720" t="s">
        <v>80</v>
      </c>
      <c r="B720" t="s">
        <v>147</v>
      </c>
      <c r="C720" s="7" t="s">
        <v>34</v>
      </c>
      <c r="D720" s="36">
        <f>_xlfn.MAXIFS(E$403:E$594,$A$403:$A$594,"Summer",$B$403:$B$594,$B720)</f>
        <v>2.0151786354870222E-6</v>
      </c>
      <c r="E720" s="36">
        <f t="shared" ref="E720:X720" si="450">_xlfn.MAXIFS(F$403:F$594,$A$403:$A$594,"Summer",$B$403:$B$594,$B720)</f>
        <v>2.8628917934004901E-4</v>
      </c>
      <c r="F720" s="36">
        <f t="shared" si="450"/>
        <v>0</v>
      </c>
      <c r="G720" s="36">
        <f t="shared" si="450"/>
        <v>6.9257140158920038E-5</v>
      </c>
      <c r="H720" s="36">
        <f t="shared" si="450"/>
        <v>6.7391374087640495E-5</v>
      </c>
      <c r="I720" s="36">
        <f t="shared" si="450"/>
        <v>6.7391374087640495E-5</v>
      </c>
      <c r="J720" s="36">
        <f t="shared" si="450"/>
        <v>2.6235673980403322E-6</v>
      </c>
      <c r="K720" s="36">
        <f t="shared" si="450"/>
        <v>2.9566791575335303E-4</v>
      </c>
      <c r="L720" s="36">
        <f t="shared" si="450"/>
        <v>0</v>
      </c>
      <c r="M720" s="36">
        <f t="shared" si="450"/>
        <v>6.8043004568112719E-5</v>
      </c>
      <c r="N720" s="36">
        <f t="shared" si="450"/>
        <v>6.8043004568112719E-5</v>
      </c>
      <c r="O720" s="36">
        <f t="shared" si="450"/>
        <v>0</v>
      </c>
      <c r="P720" s="36">
        <f t="shared" si="450"/>
        <v>6.2844646415224066E-5</v>
      </c>
      <c r="Q720" s="36">
        <f t="shared" si="450"/>
        <v>6.2844646415224079E-5</v>
      </c>
      <c r="R720" s="36">
        <f t="shared" si="450"/>
        <v>0</v>
      </c>
      <c r="S720" s="36">
        <f t="shared" si="450"/>
        <v>6.2844646415224093E-5</v>
      </c>
      <c r="T720" s="36">
        <f t="shared" si="450"/>
        <v>0</v>
      </c>
      <c r="U720" s="36" t="e">
        <f t="shared" si="450"/>
        <v>#DIV/0!</v>
      </c>
      <c r="V720" s="36">
        <f t="shared" si="450"/>
        <v>1.3147773916589623E-4</v>
      </c>
      <c r="W720" s="36">
        <f t="shared" si="450"/>
        <v>0</v>
      </c>
      <c r="X720" s="36">
        <f t="shared" si="450"/>
        <v>0</v>
      </c>
      <c r="Y720" s="25" t="e">
        <f t="shared" si="425"/>
        <v>#DIV/0!</v>
      </c>
      <c r="Z720" s="11"/>
    </row>
    <row r="721" spans="1:26" outlineLevel="1" x14ac:dyDescent="0.25">
      <c r="A721" t="s">
        <v>80</v>
      </c>
      <c r="B721" t="s">
        <v>148</v>
      </c>
      <c r="C721" s="7" t="s">
        <v>0</v>
      </c>
      <c r="D721" s="36">
        <f t="shared" ref="D721:X721" si="451">_xlfn.MAXIFS(E$403:E$594,$A$403:$A$594,"Summer",$B$403:$B$594,$B721)</f>
        <v>2.0151786354870222E-6</v>
      </c>
      <c r="E721" s="36">
        <f t="shared" si="451"/>
        <v>2.5944816629073044E-4</v>
      </c>
      <c r="F721" s="36">
        <f t="shared" si="451"/>
        <v>0</v>
      </c>
      <c r="G721" s="36">
        <f t="shared" si="451"/>
        <v>5.9837738306803271E-5</v>
      </c>
      <c r="H721" s="36">
        <f t="shared" si="451"/>
        <v>4.3545156647137797E-5</v>
      </c>
      <c r="I721" s="36">
        <f t="shared" si="451"/>
        <v>4.3545156647137797E-5</v>
      </c>
      <c r="J721" s="36">
        <f t="shared" si="451"/>
        <v>2.6220104115311356E-6</v>
      </c>
      <c r="K721" s="36">
        <f t="shared" si="451"/>
        <v>2.8143419613000178E-4</v>
      </c>
      <c r="L721" s="36">
        <f t="shared" si="451"/>
        <v>0</v>
      </c>
      <c r="M721" s="36">
        <f t="shared" si="451"/>
        <v>5.953113287837271E-5</v>
      </c>
      <c r="N721" s="36">
        <f t="shared" si="451"/>
        <v>5.953113287837271E-5</v>
      </c>
      <c r="O721" s="36">
        <f t="shared" si="451"/>
        <v>0</v>
      </c>
      <c r="P721" s="36">
        <f t="shared" si="451"/>
        <v>5.9473725558612626E-5</v>
      </c>
      <c r="Q721" s="36">
        <f t="shared" si="451"/>
        <v>5.9473725558612633E-5</v>
      </c>
      <c r="R721" s="36">
        <f t="shared" si="451"/>
        <v>0</v>
      </c>
      <c r="S721" s="36">
        <f t="shared" si="451"/>
        <v>5.9473725558612653E-5</v>
      </c>
      <c r="T721" s="36">
        <f t="shared" si="451"/>
        <v>0</v>
      </c>
      <c r="U721" s="36" t="e">
        <f t="shared" si="451"/>
        <v>#DIV/0!</v>
      </c>
      <c r="V721" s="36">
        <f t="shared" si="451"/>
        <v>1.3134626142673032E-4</v>
      </c>
      <c r="W721" s="36">
        <f t="shared" si="451"/>
        <v>0</v>
      </c>
      <c r="X721" s="36">
        <f t="shared" si="451"/>
        <v>0</v>
      </c>
      <c r="Y721" s="25" t="e">
        <f t="shared" si="425"/>
        <v>#DIV/0!</v>
      </c>
      <c r="Z721" s="11"/>
    </row>
    <row r="722" spans="1:26" outlineLevel="1" x14ac:dyDescent="0.25">
      <c r="A722" t="s">
        <v>80</v>
      </c>
      <c r="B722" t="s">
        <v>149</v>
      </c>
      <c r="C722" s="7" t="s">
        <v>1</v>
      </c>
      <c r="D722" s="36">
        <f t="shared" ref="D722:X722" si="452">_xlfn.MAXIFS(E$403:E$594,$A$403:$A$594,"Summer",$B$403:$B$594,$B722)</f>
        <v>2.0151786354870222E-6</v>
      </c>
      <c r="E722" s="36">
        <f t="shared" si="452"/>
        <v>2.5271545803502992E-4</v>
      </c>
      <c r="F722" s="36">
        <f t="shared" si="452"/>
        <v>0</v>
      </c>
      <c r="G722" s="36">
        <f t="shared" si="452"/>
        <v>5.7792490226087085E-5</v>
      </c>
      <c r="H722" s="36">
        <f t="shared" si="452"/>
        <v>3.6293406018875936E-5</v>
      </c>
      <c r="I722" s="36">
        <f t="shared" si="452"/>
        <v>3.6293406018875936E-5</v>
      </c>
      <c r="J722" s="36">
        <f t="shared" si="452"/>
        <v>2.6760345454355284E-6</v>
      </c>
      <c r="K722" s="36">
        <f t="shared" si="452"/>
        <v>2.7599529513571314E-4</v>
      </c>
      <c r="L722" s="36">
        <f t="shared" si="452"/>
        <v>0</v>
      </c>
      <c r="M722" s="36">
        <f t="shared" si="452"/>
        <v>5.8791885855868464E-5</v>
      </c>
      <c r="N722" s="36">
        <f t="shared" si="452"/>
        <v>5.8791885855868464E-5</v>
      </c>
      <c r="O722" s="36">
        <f t="shared" si="452"/>
        <v>0</v>
      </c>
      <c r="P722" s="36">
        <f t="shared" si="452"/>
        <v>5.8554385092729652E-5</v>
      </c>
      <c r="Q722" s="36">
        <f t="shared" si="452"/>
        <v>5.8554385092729672E-5</v>
      </c>
      <c r="R722" s="36">
        <f t="shared" si="452"/>
        <v>0</v>
      </c>
      <c r="S722" s="36">
        <f t="shared" si="452"/>
        <v>5.8554385092729679E-5</v>
      </c>
      <c r="T722" s="36">
        <f t="shared" si="452"/>
        <v>0</v>
      </c>
      <c r="U722" s="36" t="e">
        <f t="shared" si="452"/>
        <v>#DIV/0!</v>
      </c>
      <c r="V722" s="36">
        <f t="shared" si="452"/>
        <v>1.3147773916589623E-4</v>
      </c>
      <c r="W722" s="36">
        <f t="shared" si="452"/>
        <v>0</v>
      </c>
      <c r="X722" s="36">
        <f t="shared" si="452"/>
        <v>0</v>
      </c>
      <c r="Y722" s="25" t="e">
        <f t="shared" si="425"/>
        <v>#DIV/0!</v>
      </c>
      <c r="Z722" s="11"/>
    </row>
    <row r="723" spans="1:26" outlineLevel="1" x14ac:dyDescent="0.25">
      <c r="A723" t="s">
        <v>80</v>
      </c>
      <c r="B723" t="s">
        <v>150</v>
      </c>
      <c r="C723" s="7" t="s">
        <v>2</v>
      </c>
      <c r="D723" s="36">
        <f t="shared" ref="D723:X723" si="453">_xlfn.MAXIFS(E$403:E$594,$A$403:$A$594,"Summer",$B$403:$B$594,$B723)</f>
        <v>2.0151786354870222E-6</v>
      </c>
      <c r="E723" s="36">
        <f t="shared" si="453"/>
        <v>2.6341304177314749E-4</v>
      </c>
      <c r="F723" s="36">
        <f t="shared" si="453"/>
        <v>0</v>
      </c>
      <c r="G723" s="36">
        <f t="shared" si="453"/>
        <v>5.7743710592638468E-5</v>
      </c>
      <c r="H723" s="36">
        <f t="shared" si="453"/>
        <v>3.3641009229849739E-5</v>
      </c>
      <c r="I723" s="36">
        <f t="shared" si="453"/>
        <v>3.3641009229849739E-5</v>
      </c>
      <c r="J723" s="36">
        <f t="shared" si="453"/>
        <v>2.7253477970813266E-6</v>
      </c>
      <c r="K723" s="36">
        <f t="shared" si="453"/>
        <v>2.7923549147273612E-4</v>
      </c>
      <c r="L723" s="36">
        <f t="shared" si="453"/>
        <v>0</v>
      </c>
      <c r="M723" s="36">
        <f t="shared" si="453"/>
        <v>5.9319452123869707E-5</v>
      </c>
      <c r="N723" s="36">
        <f t="shared" si="453"/>
        <v>5.9319452123869707E-5</v>
      </c>
      <c r="O723" s="36">
        <f t="shared" si="453"/>
        <v>0</v>
      </c>
      <c r="P723" s="36">
        <f t="shared" si="453"/>
        <v>5.8554385092729652E-5</v>
      </c>
      <c r="Q723" s="36">
        <f t="shared" si="453"/>
        <v>5.8554385092729672E-5</v>
      </c>
      <c r="R723" s="36">
        <f t="shared" si="453"/>
        <v>0</v>
      </c>
      <c r="S723" s="36">
        <f t="shared" si="453"/>
        <v>5.8554385092729679E-5</v>
      </c>
      <c r="T723" s="36">
        <f t="shared" si="453"/>
        <v>0</v>
      </c>
      <c r="U723" s="36" t="e">
        <f t="shared" si="453"/>
        <v>#DIV/0!</v>
      </c>
      <c r="V723" s="36">
        <f t="shared" si="453"/>
        <v>1.31740694644228E-4</v>
      </c>
      <c r="W723" s="36">
        <f t="shared" si="453"/>
        <v>0</v>
      </c>
      <c r="X723" s="36">
        <f t="shared" si="453"/>
        <v>0</v>
      </c>
      <c r="Y723" s="25" t="e">
        <f t="shared" si="425"/>
        <v>#DIV/0!</v>
      </c>
      <c r="Z723" s="11"/>
    </row>
    <row r="724" spans="1:26" outlineLevel="1" x14ac:dyDescent="0.25">
      <c r="A724" t="s">
        <v>80</v>
      </c>
      <c r="B724" t="s">
        <v>151</v>
      </c>
      <c r="C724" s="7" t="s">
        <v>3</v>
      </c>
      <c r="D724" s="36">
        <f t="shared" ref="D724:X724" si="454">_xlfn.MAXIFS(E$403:E$594,$A$403:$A$594,"Summer",$B$403:$B$594,$B724)</f>
        <v>2.0151786354870222E-6</v>
      </c>
      <c r="E724" s="36">
        <f t="shared" si="454"/>
        <v>2.9428463968739411E-4</v>
      </c>
      <c r="F724" s="36">
        <f t="shared" si="454"/>
        <v>0</v>
      </c>
      <c r="G724" s="36">
        <f t="shared" si="454"/>
        <v>6.0780796911450658E-5</v>
      </c>
      <c r="H724" s="36">
        <f t="shared" si="454"/>
        <v>3.4678497124611471E-5</v>
      </c>
      <c r="I724" s="36">
        <f t="shared" si="454"/>
        <v>3.4678497124611471E-5</v>
      </c>
      <c r="J724" s="36">
        <f t="shared" si="454"/>
        <v>2.660928131177402E-6</v>
      </c>
      <c r="K724" s="36">
        <f t="shared" si="454"/>
        <v>2.8849319529280202E-4</v>
      </c>
      <c r="L724" s="36">
        <f t="shared" si="454"/>
        <v>0</v>
      </c>
      <c r="M724" s="36">
        <f t="shared" si="454"/>
        <v>6.0145247887876825E-5</v>
      </c>
      <c r="N724" s="36">
        <f t="shared" si="454"/>
        <v>6.0145247887876825E-5</v>
      </c>
      <c r="O724" s="36">
        <f t="shared" si="454"/>
        <v>0</v>
      </c>
      <c r="P724" s="36">
        <f t="shared" si="454"/>
        <v>5.824793536324839E-5</v>
      </c>
      <c r="Q724" s="36">
        <f t="shared" si="454"/>
        <v>5.8247935363248396E-5</v>
      </c>
      <c r="R724" s="36">
        <f t="shared" si="454"/>
        <v>0</v>
      </c>
      <c r="S724" s="36">
        <f t="shared" si="454"/>
        <v>5.8247935363248417E-5</v>
      </c>
      <c r="T724" s="36">
        <f t="shared" si="454"/>
        <v>0</v>
      </c>
      <c r="U724" s="36" t="e">
        <f t="shared" si="454"/>
        <v>#DIV/0!</v>
      </c>
      <c r="V724" s="36">
        <f t="shared" si="454"/>
        <v>1.3266103881838927E-4</v>
      </c>
      <c r="W724" s="36">
        <f t="shared" si="454"/>
        <v>0</v>
      </c>
      <c r="X724" s="36">
        <f t="shared" si="454"/>
        <v>0</v>
      </c>
      <c r="Y724" s="25" t="e">
        <f t="shared" si="425"/>
        <v>#DIV/0!</v>
      </c>
      <c r="Z724" s="11"/>
    </row>
    <row r="725" spans="1:26" outlineLevel="1" x14ac:dyDescent="0.25">
      <c r="A725" t="s">
        <v>80</v>
      </c>
      <c r="B725" t="s">
        <v>152</v>
      </c>
      <c r="C725" s="7" t="s">
        <v>4</v>
      </c>
      <c r="D725" s="36">
        <f t="shared" ref="D725:X725" si="455">_xlfn.MAXIFS(E$403:E$594,$A$403:$A$594,"Summer",$B$403:$B$594,$B725)</f>
        <v>2.6631026020153604E-6</v>
      </c>
      <c r="E725" s="36">
        <f t="shared" si="455"/>
        <v>3.4442881000385254E-4</v>
      </c>
      <c r="F725" s="36">
        <f t="shared" si="455"/>
        <v>0</v>
      </c>
      <c r="G725" s="36">
        <f t="shared" si="455"/>
        <v>7.6954749728533049E-5</v>
      </c>
      <c r="H725" s="36">
        <f t="shared" si="455"/>
        <v>5.9764968505317265E-5</v>
      </c>
      <c r="I725" s="36">
        <f t="shared" si="455"/>
        <v>5.9764968505317265E-5</v>
      </c>
      <c r="J725" s="36">
        <f t="shared" si="455"/>
        <v>3.5517552719694284E-6</v>
      </c>
      <c r="K725" s="36">
        <f t="shared" si="455"/>
        <v>3.0712432423068449E-4</v>
      </c>
      <c r="L725" s="36">
        <f t="shared" si="455"/>
        <v>0</v>
      </c>
      <c r="M725" s="36">
        <f t="shared" si="455"/>
        <v>6.7339730602471588E-5</v>
      </c>
      <c r="N725" s="36">
        <f t="shared" si="455"/>
        <v>6.7339730602471588E-5</v>
      </c>
      <c r="O725" s="36">
        <f t="shared" si="455"/>
        <v>0</v>
      </c>
      <c r="P725" s="36">
        <f t="shared" si="455"/>
        <v>5.8707614318750701E-5</v>
      </c>
      <c r="Q725" s="36">
        <f t="shared" si="455"/>
        <v>5.8707614318750707E-5</v>
      </c>
      <c r="R725" s="36">
        <f t="shared" si="455"/>
        <v>0</v>
      </c>
      <c r="S725" s="36">
        <f t="shared" si="455"/>
        <v>5.8707614318750721E-5</v>
      </c>
      <c r="T725" s="36">
        <f t="shared" si="455"/>
        <v>0</v>
      </c>
      <c r="U725" s="36" t="e">
        <f t="shared" si="455"/>
        <v>#DIV/0!</v>
      </c>
      <c r="V725" s="36">
        <f t="shared" si="455"/>
        <v>1.3410729394921415E-4</v>
      </c>
      <c r="W725" s="36">
        <f t="shared" si="455"/>
        <v>0</v>
      </c>
      <c r="X725" s="36">
        <f t="shared" si="455"/>
        <v>0</v>
      </c>
      <c r="Y725" s="25" t="e">
        <f t="shared" si="425"/>
        <v>#DIV/0!</v>
      </c>
      <c r="Z725" s="11"/>
    </row>
    <row r="726" spans="1:26" outlineLevel="1" x14ac:dyDescent="0.25">
      <c r="A726" t="s">
        <v>80</v>
      </c>
      <c r="B726" t="s">
        <v>153</v>
      </c>
      <c r="C726" s="7" t="s">
        <v>5</v>
      </c>
      <c r="D726" s="36">
        <f t="shared" ref="D726:X726" si="456">_xlfn.MAXIFS(E$403:E$594,$A$403:$A$594,"Summer",$B$403:$B$594,$B726)</f>
        <v>3.0421698729675609E-6</v>
      </c>
      <c r="E726" s="36">
        <f t="shared" si="456"/>
        <v>4.0819295800197483E-4</v>
      </c>
      <c r="F726" s="36">
        <f t="shared" si="456"/>
        <v>0</v>
      </c>
      <c r="G726" s="36">
        <f t="shared" si="456"/>
        <v>4.8501424077439996E-5</v>
      </c>
      <c r="H726" s="36">
        <f t="shared" si="456"/>
        <v>1.1728224012600786E-4</v>
      </c>
      <c r="I726" s="36">
        <f t="shared" si="456"/>
        <v>1.1728224012600786E-4</v>
      </c>
      <c r="J726" s="36">
        <f t="shared" si="456"/>
        <v>4.8162487603432046E-6</v>
      </c>
      <c r="K726" s="36">
        <f t="shared" si="456"/>
        <v>3.3836907462340678E-4</v>
      </c>
      <c r="L726" s="36">
        <f t="shared" si="456"/>
        <v>0</v>
      </c>
      <c r="M726" s="36">
        <f t="shared" si="456"/>
        <v>1.0115034390321793E-4</v>
      </c>
      <c r="N726" s="36">
        <f t="shared" si="456"/>
        <v>1.0115034390321793E-4</v>
      </c>
      <c r="O726" s="36">
        <f t="shared" si="456"/>
        <v>0</v>
      </c>
      <c r="P726" s="36">
        <f t="shared" si="456"/>
        <v>7.2951085128459905E-5</v>
      </c>
      <c r="Q726" s="36">
        <f t="shared" si="456"/>
        <v>7.2951085128459932E-5</v>
      </c>
      <c r="R726" s="36">
        <f t="shared" si="456"/>
        <v>0</v>
      </c>
      <c r="S726" s="36">
        <f t="shared" si="456"/>
        <v>7.2951085128459932E-5</v>
      </c>
      <c r="T726" s="36">
        <f t="shared" si="456"/>
        <v>0</v>
      </c>
      <c r="U726" s="36" t="e">
        <f t="shared" si="456"/>
        <v>#DIV/0!</v>
      </c>
      <c r="V726" s="36">
        <f t="shared" si="456"/>
        <v>1.347646826450436E-4</v>
      </c>
      <c r="W726" s="36">
        <f t="shared" si="456"/>
        <v>0</v>
      </c>
      <c r="X726" s="36">
        <f t="shared" si="456"/>
        <v>0</v>
      </c>
      <c r="Y726" s="25" t="e">
        <f t="shared" si="425"/>
        <v>#DIV/0!</v>
      </c>
      <c r="Z726" s="11"/>
    </row>
    <row r="727" spans="1:26" outlineLevel="1" x14ac:dyDescent="0.25">
      <c r="A727" t="s">
        <v>80</v>
      </c>
      <c r="B727" t="s">
        <v>154</v>
      </c>
      <c r="C727" s="7" t="s">
        <v>6</v>
      </c>
      <c r="D727" s="36">
        <f t="shared" ref="D727:X727" si="457">_xlfn.MAXIFS(E$403:E$594,$A$403:$A$594,"Summer",$B$403:$B$594,$B727)</f>
        <v>3.5310002285605386E-6</v>
      </c>
      <c r="E727" s="36">
        <f t="shared" si="457"/>
        <v>4.6638889834795379E-4</v>
      </c>
      <c r="F727" s="36">
        <f t="shared" si="457"/>
        <v>0</v>
      </c>
      <c r="G727" s="36">
        <f t="shared" si="457"/>
        <v>6.2922175991396686E-5</v>
      </c>
      <c r="H727" s="36">
        <f t="shared" si="457"/>
        <v>1.6155053664415787E-4</v>
      </c>
      <c r="I727" s="36">
        <f t="shared" si="457"/>
        <v>1.6155053664415787E-4</v>
      </c>
      <c r="J727" s="36">
        <f t="shared" si="457"/>
        <v>4.0078325509710721E-6</v>
      </c>
      <c r="K727" s="36">
        <f t="shared" si="457"/>
        <v>3.8269033166197201E-4</v>
      </c>
      <c r="L727" s="36">
        <f t="shared" si="457"/>
        <v>0</v>
      </c>
      <c r="M727" s="36">
        <f t="shared" si="457"/>
        <v>1.3828276504183678E-4</v>
      </c>
      <c r="N727" s="36">
        <f t="shared" si="457"/>
        <v>1.3828276504183678E-4</v>
      </c>
      <c r="O727" s="36">
        <f t="shared" si="457"/>
        <v>0</v>
      </c>
      <c r="P727" s="36">
        <f t="shared" si="457"/>
        <v>1.4584121700187138E-4</v>
      </c>
      <c r="Q727" s="36">
        <f t="shared" si="457"/>
        <v>1.4584121700187146E-4</v>
      </c>
      <c r="R727" s="36">
        <f t="shared" si="457"/>
        <v>0</v>
      </c>
      <c r="S727" s="36">
        <f t="shared" si="457"/>
        <v>1.4584121700187146E-4</v>
      </c>
      <c r="T727" s="36">
        <f t="shared" si="457"/>
        <v>0</v>
      </c>
      <c r="U727" s="36" t="e">
        <f t="shared" si="457"/>
        <v>#DIV/0!</v>
      </c>
      <c r="V727" s="36">
        <f t="shared" si="457"/>
        <v>1.347646826450436E-4</v>
      </c>
      <c r="W727" s="36">
        <f t="shared" si="457"/>
        <v>0</v>
      </c>
      <c r="X727" s="36">
        <f t="shared" si="457"/>
        <v>0</v>
      </c>
      <c r="Y727" s="25" t="e">
        <f t="shared" si="425"/>
        <v>#DIV/0!</v>
      </c>
      <c r="Z727" s="11"/>
    </row>
    <row r="728" spans="1:26" outlineLevel="1" x14ac:dyDescent="0.25">
      <c r="A728" t="s">
        <v>80</v>
      </c>
      <c r="B728" t="s">
        <v>155</v>
      </c>
      <c r="C728" s="7" t="s">
        <v>7</v>
      </c>
      <c r="D728" s="36">
        <f t="shared" ref="D728:X728" si="458">_xlfn.MAXIFS(E$403:E$594,$A$403:$A$594,"Summer",$B$403:$B$594,$B728)</f>
        <v>3.8367003280085275E-6</v>
      </c>
      <c r="E728" s="36">
        <f t="shared" si="458"/>
        <v>5.0345658066030586E-4</v>
      </c>
      <c r="F728" s="36">
        <f t="shared" si="458"/>
        <v>0</v>
      </c>
      <c r="G728" s="36">
        <f t="shared" si="458"/>
        <v>7.6761722865420888E-5</v>
      </c>
      <c r="H728" s="36">
        <f t="shared" si="458"/>
        <v>1.8810269682780316E-4</v>
      </c>
      <c r="I728" s="36">
        <f t="shared" si="458"/>
        <v>1.8810269682780316E-4</v>
      </c>
      <c r="J728" s="36">
        <f t="shared" si="458"/>
        <v>2.9023756009831795E-6</v>
      </c>
      <c r="K728" s="36">
        <f t="shared" si="458"/>
        <v>4.3499635824534408E-4</v>
      </c>
      <c r="L728" s="36">
        <f t="shared" si="458"/>
        <v>0</v>
      </c>
      <c r="M728" s="36">
        <f t="shared" si="458"/>
        <v>1.7217177008235394E-4</v>
      </c>
      <c r="N728" s="36">
        <f t="shared" si="458"/>
        <v>1.7217177008235394E-4</v>
      </c>
      <c r="O728" s="36">
        <f t="shared" si="458"/>
        <v>0</v>
      </c>
      <c r="P728" s="36">
        <f t="shared" si="458"/>
        <v>1.604951191886623E-4</v>
      </c>
      <c r="Q728" s="36">
        <f t="shared" si="458"/>
        <v>1.6049511918866236E-4</v>
      </c>
      <c r="R728" s="36">
        <f t="shared" si="458"/>
        <v>0</v>
      </c>
      <c r="S728" s="36">
        <f t="shared" si="458"/>
        <v>1.6049511918866239E-4</v>
      </c>
      <c r="T728" s="36">
        <f t="shared" si="458"/>
        <v>0</v>
      </c>
      <c r="U728" s="36" t="e">
        <f t="shared" si="458"/>
        <v>#DIV/0!</v>
      </c>
      <c r="V728" s="36">
        <f t="shared" si="458"/>
        <v>1.3463320490587772E-4</v>
      </c>
      <c r="W728" s="36">
        <f t="shared" si="458"/>
        <v>0</v>
      </c>
      <c r="X728" s="36">
        <f t="shared" si="458"/>
        <v>0</v>
      </c>
      <c r="Y728" s="25" t="e">
        <f t="shared" si="425"/>
        <v>#DIV/0!</v>
      </c>
      <c r="Z728" s="11"/>
    </row>
    <row r="729" spans="1:26" outlineLevel="1" x14ac:dyDescent="0.25">
      <c r="A729" t="s">
        <v>80</v>
      </c>
      <c r="B729" t="s">
        <v>156</v>
      </c>
      <c r="C729" s="7" t="s">
        <v>8</v>
      </c>
      <c r="D729" s="36">
        <f t="shared" ref="D729:X729" si="459">_xlfn.MAXIFS(E$403:E$594,$A$403:$A$594,"Summer",$B$403:$B$594,$B729)</f>
        <v>3.898038522366609E-6</v>
      </c>
      <c r="E729" s="36">
        <f t="shared" si="459"/>
        <v>5.156280584345111E-4</v>
      </c>
      <c r="F729" s="36">
        <f t="shared" si="459"/>
        <v>0</v>
      </c>
      <c r="G729" s="36">
        <f t="shared" si="459"/>
        <v>7.9538973735149664E-5</v>
      </c>
      <c r="H729" s="36">
        <f t="shared" si="459"/>
        <v>2.5655490027564221E-4</v>
      </c>
      <c r="I729" s="36">
        <f t="shared" si="459"/>
        <v>2.5655490027564221E-4</v>
      </c>
      <c r="J729" s="36">
        <f t="shared" si="459"/>
        <v>2.4538176815777902E-6</v>
      </c>
      <c r="K729" s="36">
        <f t="shared" si="459"/>
        <v>4.8255781162093235E-4</v>
      </c>
      <c r="L729" s="36">
        <f t="shared" si="459"/>
        <v>0</v>
      </c>
      <c r="M729" s="36">
        <f t="shared" si="459"/>
        <v>1.8127425754513077E-4</v>
      </c>
      <c r="N729" s="36">
        <f t="shared" si="459"/>
        <v>1.8127425754513077E-4</v>
      </c>
      <c r="O729" s="36">
        <f t="shared" si="459"/>
        <v>0</v>
      </c>
      <c r="P729" s="36">
        <f t="shared" si="459"/>
        <v>1.4200329023866427E-4</v>
      </c>
      <c r="Q729" s="36">
        <f t="shared" si="459"/>
        <v>1.4200329023866427E-4</v>
      </c>
      <c r="R729" s="36">
        <f t="shared" si="459"/>
        <v>0</v>
      </c>
      <c r="S729" s="36">
        <f t="shared" si="459"/>
        <v>1.4200329023866432E-4</v>
      </c>
      <c r="T729" s="36">
        <f t="shared" si="459"/>
        <v>0</v>
      </c>
      <c r="U729" s="36" t="e">
        <f t="shared" si="459"/>
        <v>#DIV/0!</v>
      </c>
      <c r="V729" s="36">
        <f t="shared" si="459"/>
        <v>1.3397581621004824E-4</v>
      </c>
      <c r="W729" s="36">
        <f t="shared" si="459"/>
        <v>0</v>
      </c>
      <c r="X729" s="36">
        <f t="shared" si="459"/>
        <v>0</v>
      </c>
      <c r="Y729" s="25" t="e">
        <f t="shared" ref="Y729:Y743" si="460">SUM(D729:X729)</f>
        <v>#DIV/0!</v>
      </c>
      <c r="Z729" s="11"/>
    </row>
    <row r="730" spans="1:26" outlineLevel="1" x14ac:dyDescent="0.25">
      <c r="A730" t="s">
        <v>80</v>
      </c>
      <c r="B730" t="s">
        <v>157</v>
      </c>
      <c r="C730" s="7" t="s">
        <v>9</v>
      </c>
      <c r="D730" s="36">
        <f t="shared" ref="D730:X730" si="461">_xlfn.MAXIFS(E$403:E$594,$A$403:$A$594,"Summer",$B$403:$B$594,$B730)</f>
        <v>3.9085225910218715E-6</v>
      </c>
      <c r="E730" s="36">
        <f t="shared" si="461"/>
        <v>5.482697488289705E-4</v>
      </c>
      <c r="F730" s="36">
        <f t="shared" si="461"/>
        <v>0</v>
      </c>
      <c r="G730" s="36">
        <f t="shared" si="461"/>
        <v>8.0013439571406965E-5</v>
      </c>
      <c r="H730" s="36">
        <f t="shared" si="461"/>
        <v>2.637413120480692E-4</v>
      </c>
      <c r="I730" s="36">
        <f t="shared" si="461"/>
        <v>2.637413120480692E-4</v>
      </c>
      <c r="J730" s="36">
        <f t="shared" si="461"/>
        <v>2.2081679103910037E-6</v>
      </c>
      <c r="K730" s="36">
        <f t="shared" si="461"/>
        <v>5.193571843056941E-4</v>
      </c>
      <c r="L730" s="36">
        <f t="shared" si="461"/>
        <v>0</v>
      </c>
      <c r="M730" s="36">
        <f t="shared" si="461"/>
        <v>1.804662005073512E-4</v>
      </c>
      <c r="N730" s="36">
        <f t="shared" si="461"/>
        <v>1.804662005073512E-4</v>
      </c>
      <c r="O730" s="36">
        <f t="shared" si="461"/>
        <v>0</v>
      </c>
      <c r="P730" s="36">
        <f t="shared" si="461"/>
        <v>1.3804006388919927E-4</v>
      </c>
      <c r="Q730" s="36">
        <f t="shared" si="461"/>
        <v>1.380400638891993E-4</v>
      </c>
      <c r="R730" s="36">
        <f t="shared" si="461"/>
        <v>0</v>
      </c>
      <c r="S730" s="36">
        <f t="shared" si="461"/>
        <v>1.380400638891993E-4</v>
      </c>
      <c r="T730" s="36">
        <f t="shared" si="461"/>
        <v>0</v>
      </c>
      <c r="U730" s="36" t="e">
        <f t="shared" si="461"/>
        <v>#DIV/0!</v>
      </c>
      <c r="V730" s="36">
        <f t="shared" si="461"/>
        <v>1.3371286073171645E-4</v>
      </c>
      <c r="W730" s="36">
        <f t="shared" si="461"/>
        <v>0</v>
      </c>
      <c r="X730" s="36">
        <f t="shared" si="461"/>
        <v>0</v>
      </c>
      <c r="Y730" s="25" t="e">
        <f t="shared" si="460"/>
        <v>#DIV/0!</v>
      </c>
      <c r="Z730" s="11"/>
    </row>
    <row r="731" spans="1:26" outlineLevel="1" x14ac:dyDescent="0.25">
      <c r="A731" t="s">
        <v>80</v>
      </c>
      <c r="B731" t="s">
        <v>158</v>
      </c>
      <c r="C731" s="7" t="s">
        <v>10</v>
      </c>
      <c r="D731" s="36">
        <f t="shared" ref="D731:X731" si="462">_xlfn.MAXIFS(E$403:E$594,$A$403:$A$594,"Summer",$B$403:$B$594,$B731)</f>
        <v>3.0087891950235159E-6</v>
      </c>
      <c r="E731" s="36">
        <f t="shared" si="462"/>
        <v>6.2793760335104096E-4</v>
      </c>
      <c r="F731" s="36">
        <f t="shared" si="462"/>
        <v>0</v>
      </c>
      <c r="G731" s="36">
        <f t="shared" si="462"/>
        <v>8.4896120882415495E-5</v>
      </c>
      <c r="H731" s="36">
        <f t="shared" si="462"/>
        <v>2.4218207673078833E-4</v>
      </c>
      <c r="I731" s="36">
        <f t="shared" si="462"/>
        <v>2.4218207673078833E-4</v>
      </c>
      <c r="J731" s="36">
        <f t="shared" si="462"/>
        <v>2.0129735281109416E-6</v>
      </c>
      <c r="K731" s="36">
        <f t="shared" si="462"/>
        <v>5.4724601706364242E-4</v>
      </c>
      <c r="L731" s="36">
        <f t="shared" si="462"/>
        <v>0</v>
      </c>
      <c r="M731" s="36">
        <f t="shared" si="462"/>
        <v>1.7989035613739457E-4</v>
      </c>
      <c r="N731" s="36">
        <f t="shared" si="462"/>
        <v>1.7989035613739457E-4</v>
      </c>
      <c r="O731" s="36">
        <f t="shared" si="462"/>
        <v>0</v>
      </c>
      <c r="P731" s="36">
        <f t="shared" si="462"/>
        <v>1.4278999544463513E-4</v>
      </c>
      <c r="Q731" s="36">
        <f t="shared" si="462"/>
        <v>1.4278999544463516E-4</v>
      </c>
      <c r="R731" s="36">
        <f t="shared" si="462"/>
        <v>0</v>
      </c>
      <c r="S731" s="36">
        <f t="shared" si="462"/>
        <v>1.4278999544463521E-4</v>
      </c>
      <c r="T731" s="36">
        <f t="shared" si="462"/>
        <v>0</v>
      </c>
      <c r="U731" s="36" t="e">
        <f t="shared" si="462"/>
        <v>#DIV/0!</v>
      </c>
      <c r="V731" s="36">
        <f t="shared" si="462"/>
        <v>1.3344990525338465E-4</v>
      </c>
      <c r="W731" s="36">
        <f t="shared" si="462"/>
        <v>0</v>
      </c>
      <c r="X731" s="36">
        <f t="shared" si="462"/>
        <v>0</v>
      </c>
      <c r="Y731" s="25" t="e">
        <f t="shared" si="460"/>
        <v>#DIV/0!</v>
      </c>
      <c r="Z731" s="11"/>
    </row>
    <row r="732" spans="1:26" outlineLevel="1" x14ac:dyDescent="0.25">
      <c r="A732" t="s">
        <v>80</v>
      </c>
      <c r="B732" t="s">
        <v>159</v>
      </c>
      <c r="C732" s="7" t="s">
        <v>11</v>
      </c>
      <c r="D732" s="36">
        <f t="shared" ref="D732:X732" si="463">_xlfn.MAXIFS(E$403:E$594,$A$403:$A$594,"Summer",$B$403:$B$594,$B732)</f>
        <v>3.0739630242554739E-6</v>
      </c>
      <c r="E732" s="36">
        <f t="shared" si="463"/>
        <v>7.0262621696548185E-4</v>
      </c>
      <c r="F732" s="36">
        <f t="shared" si="463"/>
        <v>0</v>
      </c>
      <c r="G732" s="36">
        <f t="shared" si="463"/>
        <v>8.7846609693559012E-5</v>
      </c>
      <c r="H732" s="36">
        <f t="shared" si="463"/>
        <v>2.177482767045367E-4</v>
      </c>
      <c r="I732" s="36">
        <f t="shared" si="463"/>
        <v>2.177482767045367E-4</v>
      </c>
      <c r="J732" s="36">
        <f t="shared" si="463"/>
        <v>1.9021532341536742E-6</v>
      </c>
      <c r="K732" s="36">
        <f t="shared" si="463"/>
        <v>5.6934878493404974E-4</v>
      </c>
      <c r="L732" s="36">
        <f t="shared" si="463"/>
        <v>0</v>
      </c>
      <c r="M732" s="36">
        <f t="shared" si="463"/>
        <v>1.7742368534078427E-4</v>
      </c>
      <c r="N732" s="36">
        <f t="shared" si="463"/>
        <v>1.7742368534078427E-4</v>
      </c>
      <c r="O732" s="36">
        <f t="shared" si="463"/>
        <v>0</v>
      </c>
      <c r="P732" s="36">
        <f t="shared" si="463"/>
        <v>1.3988410919587283E-4</v>
      </c>
      <c r="Q732" s="36">
        <f t="shared" si="463"/>
        <v>1.3988410919587289E-4</v>
      </c>
      <c r="R732" s="36">
        <f t="shared" si="463"/>
        <v>0</v>
      </c>
      <c r="S732" s="36">
        <f t="shared" si="463"/>
        <v>1.3988410919587292E-4</v>
      </c>
      <c r="T732" s="36">
        <f t="shared" si="463"/>
        <v>0</v>
      </c>
      <c r="U732" s="36" t="e">
        <f t="shared" si="463"/>
        <v>#DIV/0!</v>
      </c>
      <c r="V732" s="36">
        <f t="shared" si="463"/>
        <v>1.3331842751421877E-4</v>
      </c>
      <c r="W732" s="36">
        <f t="shared" si="463"/>
        <v>0</v>
      </c>
      <c r="X732" s="36">
        <f t="shared" si="463"/>
        <v>0</v>
      </c>
      <c r="Y732" s="25" t="e">
        <f t="shared" si="460"/>
        <v>#DIV/0!</v>
      </c>
      <c r="Z732" s="11"/>
    </row>
    <row r="733" spans="1:26" outlineLevel="1" x14ac:dyDescent="0.25">
      <c r="A733" t="s">
        <v>80</v>
      </c>
      <c r="B733" t="s">
        <v>160</v>
      </c>
      <c r="C733" s="7" t="s">
        <v>12</v>
      </c>
      <c r="D733" s="36">
        <f t="shared" ref="D733:X733" si="464">_xlfn.MAXIFS(E$403:E$594,$A$403:$A$594,"Summer",$B$403:$B$594,$B733)</f>
        <v>3.0714805161287704E-6</v>
      </c>
      <c r="E733" s="36">
        <f t="shared" si="464"/>
        <v>7.4024714826757061E-4</v>
      </c>
      <c r="F733" s="36">
        <f t="shared" si="464"/>
        <v>0</v>
      </c>
      <c r="G733" s="36">
        <f t="shared" si="464"/>
        <v>8.7734053616154347E-5</v>
      </c>
      <c r="H733" s="36">
        <f t="shared" si="464"/>
        <v>1.8683583304208911E-4</v>
      </c>
      <c r="I733" s="36">
        <f t="shared" si="464"/>
        <v>1.8683583304208911E-4</v>
      </c>
      <c r="J733" s="36">
        <f t="shared" si="464"/>
        <v>1.8094526527599579E-6</v>
      </c>
      <c r="K733" s="36">
        <f t="shared" si="464"/>
        <v>5.8242529157989263E-4</v>
      </c>
      <c r="L733" s="36">
        <f t="shared" si="464"/>
        <v>0</v>
      </c>
      <c r="M733" s="36">
        <f t="shared" si="464"/>
        <v>1.7684088401157707E-4</v>
      </c>
      <c r="N733" s="36">
        <f t="shared" si="464"/>
        <v>1.7684088401157707E-4</v>
      </c>
      <c r="O733" s="36">
        <f t="shared" si="464"/>
        <v>0</v>
      </c>
      <c r="P733" s="36">
        <f t="shared" si="464"/>
        <v>1.3357750582271933E-4</v>
      </c>
      <c r="Q733" s="36">
        <f t="shared" si="464"/>
        <v>1.3357750582271936E-4</v>
      </c>
      <c r="R733" s="36">
        <f t="shared" si="464"/>
        <v>0</v>
      </c>
      <c r="S733" s="36">
        <f t="shared" si="464"/>
        <v>1.3357750582271936E-4</v>
      </c>
      <c r="T733" s="36">
        <f t="shared" si="464"/>
        <v>0</v>
      </c>
      <c r="U733" s="36" t="e">
        <f t="shared" si="464"/>
        <v>#DIV/0!</v>
      </c>
      <c r="V733" s="36">
        <f t="shared" si="464"/>
        <v>1.3344990525338465E-4</v>
      </c>
      <c r="W733" s="36">
        <f t="shared" si="464"/>
        <v>0</v>
      </c>
      <c r="X733" s="36">
        <f t="shared" si="464"/>
        <v>0</v>
      </c>
      <c r="Y733" s="25" t="e">
        <f t="shared" si="460"/>
        <v>#DIV/0!</v>
      </c>
      <c r="Z733" s="11"/>
    </row>
    <row r="734" spans="1:26" outlineLevel="1" x14ac:dyDescent="0.25">
      <c r="A734" t="s">
        <v>80</v>
      </c>
      <c r="B734" t="s">
        <v>161</v>
      </c>
      <c r="C734" s="7" t="s">
        <v>13</v>
      </c>
      <c r="D734" s="36">
        <f t="shared" ref="D734:X734" si="465">_xlfn.MAXIFS(E$403:E$594,$A$403:$A$594,"Summer",$B$403:$B$594,$B734)</f>
        <v>3.0510877240493251E-6</v>
      </c>
      <c r="E734" s="36">
        <f t="shared" si="465"/>
        <v>7.4909913210335628E-4</v>
      </c>
      <c r="F734" s="36">
        <f t="shared" si="465"/>
        <v>0</v>
      </c>
      <c r="G734" s="36">
        <f t="shared" si="465"/>
        <v>8.6810904906695356E-5</v>
      </c>
      <c r="H734" s="36">
        <f t="shared" si="465"/>
        <v>1.7221234026820116E-4</v>
      </c>
      <c r="I734" s="36">
        <f t="shared" si="465"/>
        <v>1.7221234026820116E-4</v>
      </c>
      <c r="J734" s="36">
        <f t="shared" si="465"/>
        <v>1.7281161635353732E-6</v>
      </c>
      <c r="K734" s="36">
        <f t="shared" si="465"/>
        <v>5.8682270089442396E-4</v>
      </c>
      <c r="L734" s="36">
        <f t="shared" si="465"/>
        <v>0</v>
      </c>
      <c r="M734" s="36">
        <f t="shared" si="465"/>
        <v>1.7672858616750054E-4</v>
      </c>
      <c r="N734" s="36">
        <f t="shared" si="465"/>
        <v>1.7672858616750054E-4</v>
      </c>
      <c r="O734" s="36">
        <f t="shared" si="465"/>
        <v>0</v>
      </c>
      <c r="P734" s="36">
        <f t="shared" si="465"/>
        <v>1.3173882489095337E-4</v>
      </c>
      <c r="Q734" s="36">
        <f t="shared" si="465"/>
        <v>1.3173882489095343E-4</v>
      </c>
      <c r="R734" s="36">
        <f t="shared" si="465"/>
        <v>0</v>
      </c>
      <c r="S734" s="36">
        <f t="shared" si="465"/>
        <v>1.3173882489095345E-4</v>
      </c>
      <c r="T734" s="36">
        <f t="shared" si="465"/>
        <v>0</v>
      </c>
      <c r="U734" s="36" t="e">
        <f t="shared" si="465"/>
        <v>#DIV/0!</v>
      </c>
      <c r="V734" s="36">
        <f t="shared" si="465"/>
        <v>1.3384433847088233E-4</v>
      </c>
      <c r="W734" s="36">
        <f t="shared" si="465"/>
        <v>0</v>
      </c>
      <c r="X734" s="36">
        <f t="shared" si="465"/>
        <v>0</v>
      </c>
      <c r="Y734" s="25" t="e">
        <f t="shared" si="460"/>
        <v>#DIV/0!</v>
      </c>
      <c r="Z734" s="11"/>
    </row>
    <row r="735" spans="1:26" outlineLevel="1" x14ac:dyDescent="0.25">
      <c r="A735" t="s">
        <v>80</v>
      </c>
      <c r="B735" t="s">
        <v>162</v>
      </c>
      <c r="C735" s="7" t="s">
        <v>14</v>
      </c>
      <c r="D735" s="36">
        <f t="shared" ref="D735:X735" si="466">_xlfn.MAXIFS(E$403:E$594,$A$403:$A$594,"Summer",$B$403:$B$594,$B735)</f>
        <v>3.0558929221829873E-6</v>
      </c>
      <c r="E735" s="36">
        <f t="shared" si="466"/>
        <v>7.3637440533941452E-4</v>
      </c>
      <c r="F735" s="36">
        <f t="shared" si="466"/>
        <v>0</v>
      </c>
      <c r="G735" s="36">
        <f t="shared" si="466"/>
        <v>8.7028758652047536E-5</v>
      </c>
      <c r="H735" s="36">
        <f t="shared" si="466"/>
        <v>1.5021303783962399E-4</v>
      </c>
      <c r="I735" s="36">
        <f t="shared" si="466"/>
        <v>1.5021303783962399E-4</v>
      </c>
      <c r="J735" s="36">
        <f t="shared" si="466"/>
        <v>1.6451636715905412E-6</v>
      </c>
      <c r="K735" s="36">
        <f t="shared" si="466"/>
        <v>5.8242529157989263E-4</v>
      </c>
      <c r="L735" s="36">
        <f t="shared" si="466"/>
        <v>0</v>
      </c>
      <c r="M735" s="36">
        <f t="shared" si="466"/>
        <v>1.7708767285687599E-4</v>
      </c>
      <c r="N735" s="36">
        <f t="shared" si="466"/>
        <v>1.7708767285687599E-4</v>
      </c>
      <c r="O735" s="36">
        <f t="shared" si="466"/>
        <v>0</v>
      </c>
      <c r="P735" s="36">
        <f t="shared" si="466"/>
        <v>1.3537414401130647E-4</v>
      </c>
      <c r="Q735" s="36">
        <f t="shared" si="466"/>
        <v>1.353741440113065E-4</v>
      </c>
      <c r="R735" s="36">
        <f t="shared" si="466"/>
        <v>0</v>
      </c>
      <c r="S735" s="36">
        <f t="shared" si="466"/>
        <v>1.3537414401130652E-4</v>
      </c>
      <c r="T735" s="36">
        <f t="shared" si="466"/>
        <v>0</v>
      </c>
      <c r="U735" s="36" t="e">
        <f t="shared" si="466"/>
        <v>#DIV/0!</v>
      </c>
      <c r="V735" s="36">
        <f t="shared" si="466"/>
        <v>1.354220713408731E-4</v>
      </c>
      <c r="W735" s="36">
        <f t="shared" si="466"/>
        <v>0</v>
      </c>
      <c r="X735" s="36">
        <f t="shared" si="466"/>
        <v>0</v>
      </c>
      <c r="Y735" s="25" t="e">
        <f t="shared" si="460"/>
        <v>#DIV/0!</v>
      </c>
      <c r="Z735" s="11"/>
    </row>
    <row r="736" spans="1:26" outlineLevel="1" x14ac:dyDescent="0.25">
      <c r="A736" t="s">
        <v>80</v>
      </c>
      <c r="B736" t="s">
        <v>163</v>
      </c>
      <c r="C736" s="7" t="s">
        <v>15</v>
      </c>
      <c r="D736" s="36">
        <f t="shared" ref="D736:X736" si="467">_xlfn.MAXIFS(E$403:E$594,$A$403:$A$594,"Summer",$B$403:$B$594,$B736)</f>
        <v>3.1083985017898351E-6</v>
      </c>
      <c r="E736" s="36">
        <f t="shared" si="467"/>
        <v>7.1147820080126752E-4</v>
      </c>
      <c r="F736" s="36">
        <f t="shared" si="467"/>
        <v>0</v>
      </c>
      <c r="G736" s="36">
        <f t="shared" si="467"/>
        <v>8.9405329710258717E-5</v>
      </c>
      <c r="H736" s="36">
        <f t="shared" si="467"/>
        <v>1.5032906964410159E-4</v>
      </c>
      <c r="I736" s="36">
        <f t="shared" si="467"/>
        <v>1.5032906964410159E-4</v>
      </c>
      <c r="J736" s="36">
        <f t="shared" si="467"/>
        <v>1.5809575055089479E-6</v>
      </c>
      <c r="K736" s="36">
        <f t="shared" si="467"/>
        <v>5.6645575249027907E-4</v>
      </c>
      <c r="L736" s="36">
        <f t="shared" si="467"/>
        <v>0</v>
      </c>
      <c r="M736" s="36">
        <f t="shared" si="467"/>
        <v>1.716723702623305E-4</v>
      </c>
      <c r="N736" s="36">
        <f t="shared" si="467"/>
        <v>1.716723702623305E-4</v>
      </c>
      <c r="O736" s="36">
        <f t="shared" si="467"/>
        <v>0</v>
      </c>
      <c r="P736" s="36">
        <f t="shared" si="467"/>
        <v>1.5735499729149284E-4</v>
      </c>
      <c r="Q736" s="36">
        <f t="shared" si="467"/>
        <v>1.5735499729149286E-4</v>
      </c>
      <c r="R736" s="36">
        <f t="shared" si="467"/>
        <v>0</v>
      </c>
      <c r="S736" s="36">
        <f t="shared" si="467"/>
        <v>1.5735499729149289E-4</v>
      </c>
      <c r="T736" s="36">
        <f t="shared" si="467"/>
        <v>0</v>
      </c>
      <c r="U736" s="36" t="e">
        <f t="shared" si="467"/>
        <v>#DIV/0!</v>
      </c>
      <c r="V736" s="36">
        <f t="shared" si="467"/>
        <v>1.3713128195002976E-4</v>
      </c>
      <c r="W736" s="36">
        <f t="shared" si="467"/>
        <v>0</v>
      </c>
      <c r="X736" s="36">
        <f t="shared" si="467"/>
        <v>0</v>
      </c>
      <c r="Y736" s="25" t="e">
        <f t="shared" si="460"/>
        <v>#DIV/0!</v>
      </c>
      <c r="Z736" s="11"/>
    </row>
    <row r="737" spans="1:26" outlineLevel="1" x14ac:dyDescent="0.25">
      <c r="A737" t="s">
        <v>80</v>
      </c>
      <c r="B737" t="s">
        <v>164</v>
      </c>
      <c r="C737" s="7" t="s">
        <v>16</v>
      </c>
      <c r="D737" s="36">
        <f t="shared" ref="D737:X737" si="468">_xlfn.MAXIFS(E$403:E$594,$A$403:$A$594,"Summer",$B$403:$B$594,$B737)</f>
        <v>3.2063883182760735E-6</v>
      </c>
      <c r="E737" s="36">
        <f t="shared" si="468"/>
        <v>6.8879499222206683E-4</v>
      </c>
      <c r="F737" s="36">
        <f t="shared" si="468"/>
        <v>0</v>
      </c>
      <c r="G737" s="36">
        <f t="shared" si="468"/>
        <v>1.0644060597818203E-4</v>
      </c>
      <c r="H737" s="36">
        <f t="shared" si="468"/>
        <v>1.7255636817257081E-4</v>
      </c>
      <c r="I737" s="36">
        <f t="shared" si="468"/>
        <v>1.7255636817257081E-4</v>
      </c>
      <c r="J737" s="36">
        <f t="shared" si="468"/>
        <v>1.5987265923480197E-6</v>
      </c>
      <c r="K737" s="36">
        <f t="shared" si="468"/>
        <v>5.4007129660309141E-4</v>
      </c>
      <c r="L737" s="36">
        <f t="shared" si="468"/>
        <v>0</v>
      </c>
      <c r="M737" s="36">
        <f t="shared" si="468"/>
        <v>1.6130311757908228E-4</v>
      </c>
      <c r="N737" s="36">
        <f t="shared" si="468"/>
        <v>1.6130311757908228E-4</v>
      </c>
      <c r="O737" s="36">
        <f t="shared" si="468"/>
        <v>0</v>
      </c>
      <c r="P737" s="36">
        <f t="shared" si="468"/>
        <v>1.6677536298300127E-4</v>
      </c>
      <c r="Q737" s="36">
        <f t="shared" si="468"/>
        <v>1.6677536298300132E-4</v>
      </c>
      <c r="R737" s="36">
        <f t="shared" si="468"/>
        <v>0</v>
      </c>
      <c r="S737" s="36">
        <f t="shared" si="468"/>
        <v>1.6677536298300135E-4</v>
      </c>
      <c r="T737" s="36">
        <f t="shared" si="468"/>
        <v>0</v>
      </c>
      <c r="U737" s="36" t="e">
        <f t="shared" si="468"/>
        <v>#DIV/0!</v>
      </c>
      <c r="V737" s="36">
        <f t="shared" si="468"/>
        <v>1.3739423742836152E-4</v>
      </c>
      <c r="W737" s="36">
        <f t="shared" si="468"/>
        <v>0</v>
      </c>
      <c r="X737" s="36">
        <f t="shared" si="468"/>
        <v>0</v>
      </c>
      <c r="Y737" s="25" t="e">
        <f t="shared" si="460"/>
        <v>#DIV/0!</v>
      </c>
      <c r="Z737" s="11"/>
    </row>
    <row r="738" spans="1:26" outlineLevel="1" x14ac:dyDescent="0.25">
      <c r="A738" t="s">
        <v>80</v>
      </c>
      <c r="B738" t="s">
        <v>165</v>
      </c>
      <c r="C738" s="7" t="s">
        <v>17</v>
      </c>
      <c r="D738" s="36">
        <f t="shared" ref="D738:X738" si="469">_xlfn.MAXIFS(E$403:E$594,$A$403:$A$594,"Summer",$B$403:$B$594,$B738)</f>
        <v>3.3232260183508905E-6</v>
      </c>
      <c r="E738" s="36">
        <f t="shared" si="469"/>
        <v>6.6057929374550026E-4</v>
      </c>
      <c r="F738" s="36">
        <f t="shared" si="469"/>
        <v>0</v>
      </c>
      <c r="G738" s="36">
        <f t="shared" si="469"/>
        <v>2.6106859821698082E-4</v>
      </c>
      <c r="H738" s="36">
        <f t="shared" si="469"/>
        <v>1.9663063201784791E-4</v>
      </c>
      <c r="I738" s="36">
        <f t="shared" si="469"/>
        <v>1.9663063201784791E-4</v>
      </c>
      <c r="J738" s="36">
        <f t="shared" si="469"/>
        <v>1.7485201506207783E-6</v>
      </c>
      <c r="K738" s="36">
        <f t="shared" si="469"/>
        <v>5.0801649712611341E-4</v>
      </c>
      <c r="L738" s="36">
        <f t="shared" si="469"/>
        <v>0</v>
      </c>
      <c r="M738" s="36">
        <f t="shared" si="469"/>
        <v>1.5328127770801212E-4</v>
      </c>
      <c r="N738" s="36">
        <f t="shared" si="469"/>
        <v>1.5328127770801212E-4</v>
      </c>
      <c r="O738" s="36">
        <f t="shared" si="469"/>
        <v>0</v>
      </c>
      <c r="P738" s="36">
        <f t="shared" si="469"/>
        <v>1.5421487539432334E-4</v>
      </c>
      <c r="Q738" s="36">
        <f t="shared" si="469"/>
        <v>1.5421487539432339E-4</v>
      </c>
      <c r="R738" s="36">
        <f t="shared" si="469"/>
        <v>0</v>
      </c>
      <c r="S738" s="36">
        <f t="shared" si="469"/>
        <v>1.5421487539432339E-4</v>
      </c>
      <c r="T738" s="36">
        <f t="shared" si="469"/>
        <v>0</v>
      </c>
      <c r="U738" s="36" t="e">
        <f t="shared" si="469"/>
        <v>#DIV/0!</v>
      </c>
      <c r="V738" s="36">
        <f t="shared" si="469"/>
        <v>1.3673684873253208E-4</v>
      </c>
      <c r="W738" s="36">
        <f t="shared" si="469"/>
        <v>0</v>
      </c>
      <c r="X738" s="36">
        <f t="shared" si="469"/>
        <v>0</v>
      </c>
      <c r="Y738" s="25" t="e">
        <f t="shared" si="460"/>
        <v>#DIV/0!</v>
      </c>
      <c r="Z738" s="11"/>
    </row>
    <row r="739" spans="1:26" outlineLevel="1" x14ac:dyDescent="0.25">
      <c r="A739" t="s">
        <v>80</v>
      </c>
      <c r="B739" t="s">
        <v>166</v>
      </c>
      <c r="C739" s="7" t="s">
        <v>18</v>
      </c>
      <c r="D739" s="36">
        <f t="shared" ref="D739:X739" si="470">_xlfn.MAXIFS(E$403:E$594,$A$403:$A$594,"Summer",$B$403:$B$594,$B739)</f>
        <v>3.4270332143958422E-6</v>
      </c>
      <c r="E739" s="36">
        <f t="shared" si="470"/>
        <v>6.1576612557683573E-4</v>
      </c>
      <c r="F739" s="36">
        <f t="shared" si="470"/>
        <v>0</v>
      </c>
      <c r="G739" s="36">
        <f t="shared" si="470"/>
        <v>3.4614027895136319E-4</v>
      </c>
      <c r="H739" s="36">
        <f t="shared" si="470"/>
        <v>1.7923871065045617E-4</v>
      </c>
      <c r="I739" s="36">
        <f t="shared" si="470"/>
        <v>1.7923871065045617E-4</v>
      </c>
      <c r="J739" s="36">
        <f t="shared" si="470"/>
        <v>1.9218177828300291E-6</v>
      </c>
      <c r="K739" s="36">
        <f t="shared" si="470"/>
        <v>4.6994419016609259E-4</v>
      </c>
      <c r="L739" s="36">
        <f t="shared" si="470"/>
        <v>0</v>
      </c>
      <c r="M739" s="36">
        <f t="shared" si="470"/>
        <v>1.2817412935036695E-4</v>
      </c>
      <c r="N739" s="36">
        <f t="shared" si="470"/>
        <v>1.2817412935036695E-4</v>
      </c>
      <c r="O739" s="36">
        <f t="shared" si="470"/>
        <v>0</v>
      </c>
      <c r="P739" s="36">
        <f t="shared" si="470"/>
        <v>1.4271605429651762E-4</v>
      </c>
      <c r="Q739" s="36">
        <f t="shared" si="470"/>
        <v>1.4271605429651767E-4</v>
      </c>
      <c r="R739" s="36">
        <f t="shared" si="470"/>
        <v>0</v>
      </c>
      <c r="S739" s="36">
        <f t="shared" si="470"/>
        <v>1.4271605429651767E-4</v>
      </c>
      <c r="T739" s="36">
        <f t="shared" si="470"/>
        <v>0</v>
      </c>
      <c r="U739" s="36" t="e">
        <f t="shared" si="470"/>
        <v>#DIV/0!</v>
      </c>
      <c r="V739" s="36">
        <f t="shared" si="470"/>
        <v>1.3594798229753669E-4</v>
      </c>
      <c r="W739" s="36">
        <f t="shared" si="470"/>
        <v>0</v>
      </c>
      <c r="X739" s="36">
        <f t="shared" si="470"/>
        <v>0</v>
      </c>
      <c r="Y739" s="25" t="e">
        <f t="shared" si="460"/>
        <v>#DIV/0!</v>
      </c>
      <c r="Z739" s="11"/>
    </row>
    <row r="740" spans="1:26" outlineLevel="1" x14ac:dyDescent="0.25">
      <c r="A740" t="s">
        <v>80</v>
      </c>
      <c r="B740" t="s">
        <v>167</v>
      </c>
      <c r="C740" s="7" t="s">
        <v>19</v>
      </c>
      <c r="D740" s="36">
        <f t="shared" ref="D740:X740" si="471">_xlfn.MAXIFS(E$403:E$594,$A$403:$A$594,"Summer",$B$403:$B$594,$B740)</f>
        <v>3.4146419828449564E-6</v>
      </c>
      <c r="E740" s="36">
        <f t="shared" si="471"/>
        <v>5.4882299781870713E-4</v>
      </c>
      <c r="F740" s="36">
        <f t="shared" si="471"/>
        <v>0</v>
      </c>
      <c r="G740" s="36">
        <f t="shared" si="471"/>
        <v>3.4418909361341867E-4</v>
      </c>
      <c r="H740" s="36">
        <f t="shared" si="471"/>
        <v>1.6737160204394145E-4</v>
      </c>
      <c r="I740" s="36">
        <f t="shared" si="471"/>
        <v>1.6737160204394145E-4</v>
      </c>
      <c r="J740" s="36">
        <f t="shared" si="471"/>
        <v>2.3636895126775294E-6</v>
      </c>
      <c r="K740" s="36">
        <f t="shared" si="471"/>
        <v>4.3187188320607177E-4</v>
      </c>
      <c r="L740" s="36">
        <f t="shared" si="471"/>
        <v>0</v>
      </c>
      <c r="M740" s="36">
        <f t="shared" si="471"/>
        <v>1.062298562199442E-4</v>
      </c>
      <c r="N740" s="36">
        <f t="shared" si="471"/>
        <v>1.062298562199442E-4</v>
      </c>
      <c r="O740" s="36">
        <f t="shared" si="471"/>
        <v>0</v>
      </c>
      <c r="P740" s="36">
        <f t="shared" si="471"/>
        <v>1.3796612274108173E-4</v>
      </c>
      <c r="Q740" s="36">
        <f t="shared" si="471"/>
        <v>1.3796612274108178E-4</v>
      </c>
      <c r="R740" s="36">
        <f t="shared" si="471"/>
        <v>0</v>
      </c>
      <c r="S740" s="36">
        <f t="shared" si="471"/>
        <v>1.3796612274108181E-4</v>
      </c>
      <c r="T740" s="36">
        <f t="shared" si="471"/>
        <v>0</v>
      </c>
      <c r="U740" s="36" t="e">
        <f t="shared" si="471"/>
        <v>#DIV/0!</v>
      </c>
      <c r="V740" s="36">
        <f t="shared" si="471"/>
        <v>1.3515911586254131E-4</v>
      </c>
      <c r="W740" s="36">
        <f t="shared" si="471"/>
        <v>0</v>
      </c>
      <c r="X740" s="36">
        <f t="shared" si="471"/>
        <v>0</v>
      </c>
      <c r="Y740" s="25" t="e">
        <f t="shared" si="460"/>
        <v>#DIV/0!</v>
      </c>
      <c r="Z740" s="11"/>
    </row>
    <row r="741" spans="1:26" outlineLevel="1" x14ac:dyDescent="0.25">
      <c r="A741" t="s">
        <v>80</v>
      </c>
      <c r="B741" t="s">
        <v>168</v>
      </c>
      <c r="C741" s="7" t="s">
        <v>20</v>
      </c>
      <c r="D741" s="36">
        <f t="shared" ref="D741:X741" si="472">_xlfn.MAXIFS(E$403:E$594,$A$403:$A$594,"Summer",$B$403:$B$594,$B741)</f>
        <v>3.0197100998727484E-6</v>
      </c>
      <c r="E741" s="36">
        <f t="shared" si="472"/>
        <v>4.7468763319400277E-4</v>
      </c>
      <c r="F741" s="36">
        <f t="shared" si="472"/>
        <v>0</v>
      </c>
      <c r="G741" s="36">
        <f t="shared" si="472"/>
        <v>2.8448282227231547E-4</v>
      </c>
      <c r="H741" s="36">
        <f t="shared" si="472"/>
        <v>1.4629379882411903E-4</v>
      </c>
      <c r="I741" s="36">
        <f t="shared" si="472"/>
        <v>1.4629379882411903E-4</v>
      </c>
      <c r="J741" s="36">
        <f t="shared" si="472"/>
        <v>2.4513459437973041E-6</v>
      </c>
      <c r="K741" s="36">
        <f t="shared" si="472"/>
        <v>3.9275808456629358E-4</v>
      </c>
      <c r="L741" s="36">
        <f t="shared" si="472"/>
        <v>0</v>
      </c>
      <c r="M741" s="36">
        <f t="shared" si="472"/>
        <v>8.6194725495177506E-5</v>
      </c>
      <c r="N741" s="36">
        <f t="shared" si="472"/>
        <v>8.6194725495177506E-5</v>
      </c>
      <c r="O741" s="36">
        <f t="shared" si="472"/>
        <v>0</v>
      </c>
      <c r="P741" s="36">
        <f t="shared" si="472"/>
        <v>1.3260329172668333E-4</v>
      </c>
      <c r="Q741" s="36">
        <f t="shared" si="472"/>
        <v>1.3260329172668336E-4</v>
      </c>
      <c r="R741" s="36">
        <f t="shared" si="472"/>
        <v>0</v>
      </c>
      <c r="S741" s="36">
        <f t="shared" si="472"/>
        <v>1.3260329172668338E-4</v>
      </c>
      <c r="T741" s="36">
        <f t="shared" si="472"/>
        <v>0</v>
      </c>
      <c r="U741" s="36" t="e">
        <f t="shared" si="472"/>
        <v>#DIV/0!</v>
      </c>
      <c r="V741" s="36">
        <f t="shared" si="472"/>
        <v>1.3384433847088233E-4</v>
      </c>
      <c r="W741" s="36">
        <f t="shared" si="472"/>
        <v>0</v>
      </c>
      <c r="X741" s="36">
        <f t="shared" si="472"/>
        <v>0</v>
      </c>
      <c r="Y741" s="25" t="e">
        <f t="shared" si="460"/>
        <v>#DIV/0!</v>
      </c>
      <c r="Z741" s="11"/>
    </row>
    <row r="742" spans="1:26" outlineLevel="1" x14ac:dyDescent="0.25">
      <c r="A742" t="s">
        <v>80</v>
      </c>
      <c r="B742" t="s">
        <v>169</v>
      </c>
      <c r="C742" s="7" t="s">
        <v>21</v>
      </c>
      <c r="D742" s="36">
        <f t="shared" ref="D742:X742" si="473">_xlfn.MAXIFS(E$403:E$594,$A$403:$A$594,"Summer",$B$403:$B$594,$B742)</f>
        <v>2.3496992691956692E-6</v>
      </c>
      <c r="E742" s="36">
        <f t="shared" si="473"/>
        <v>4.0028564681616449E-4</v>
      </c>
      <c r="F742" s="36">
        <f t="shared" si="473"/>
        <v>0</v>
      </c>
      <c r="G742" s="36">
        <f t="shared" si="473"/>
        <v>1.8341142176678772E-4</v>
      </c>
      <c r="H742" s="36">
        <f t="shared" si="473"/>
        <v>1.2705093805420923E-4</v>
      </c>
      <c r="I742" s="36">
        <f t="shared" si="473"/>
        <v>1.2705093805420923E-4</v>
      </c>
      <c r="J742" s="36">
        <f t="shared" si="473"/>
        <v>2.3912500832383171E-6</v>
      </c>
      <c r="K742" s="36">
        <f t="shared" si="473"/>
        <v>3.5665303966803677E-4</v>
      </c>
      <c r="L742" s="36">
        <f t="shared" si="473"/>
        <v>0</v>
      </c>
      <c r="M742" s="36">
        <f t="shared" si="473"/>
        <v>7.3438109795568318E-5</v>
      </c>
      <c r="N742" s="36">
        <f t="shared" si="473"/>
        <v>7.3438109795568318E-5</v>
      </c>
      <c r="O742" s="36">
        <f t="shared" si="473"/>
        <v>0</v>
      </c>
      <c r="P742" s="36">
        <f t="shared" si="473"/>
        <v>1.3076461951747818E-4</v>
      </c>
      <c r="Q742" s="36">
        <f t="shared" si="473"/>
        <v>1.3076461951747824E-4</v>
      </c>
      <c r="R742" s="36">
        <f t="shared" si="473"/>
        <v>0</v>
      </c>
      <c r="S742" s="36">
        <f t="shared" si="473"/>
        <v>1.3076461951747826E-4</v>
      </c>
      <c r="T742" s="36">
        <f t="shared" si="473"/>
        <v>0</v>
      </c>
      <c r="U742" s="36" t="e">
        <f t="shared" si="473"/>
        <v>#DIV/0!</v>
      </c>
      <c r="V742" s="36">
        <f t="shared" si="473"/>
        <v>1.3266103881838927E-4</v>
      </c>
      <c r="W742" s="36">
        <f t="shared" si="473"/>
        <v>0</v>
      </c>
      <c r="X742" s="36">
        <f t="shared" si="473"/>
        <v>0</v>
      </c>
      <c r="Y742" s="25" t="e">
        <f t="shared" si="460"/>
        <v>#DIV/0!</v>
      </c>
      <c r="Z742" s="11"/>
    </row>
    <row r="743" spans="1:26" outlineLevel="1" x14ac:dyDescent="0.25">
      <c r="A743" t="s">
        <v>80</v>
      </c>
      <c r="B743" t="s">
        <v>170</v>
      </c>
      <c r="C743" s="7" t="s">
        <v>22</v>
      </c>
      <c r="D743" s="36">
        <f t="shared" ref="D743:X743" si="474">_xlfn.MAXIFS(E$403:E$594,$A$403:$A$594,"Summer",$B$403:$B$594,$B743)</f>
        <v>2.0151786354870222E-6</v>
      </c>
      <c r="E743" s="36">
        <f t="shared" si="474"/>
        <v>3.3448227836677206E-4</v>
      </c>
      <c r="F743" s="36">
        <f t="shared" si="474"/>
        <v>0</v>
      </c>
      <c r="G743" s="36">
        <f t="shared" si="474"/>
        <v>1.0262096165825111E-4</v>
      </c>
      <c r="H743" s="36">
        <f t="shared" si="474"/>
        <v>9.6758423016898295E-5</v>
      </c>
      <c r="I743" s="36">
        <f t="shared" si="474"/>
        <v>9.6758423016898295E-5</v>
      </c>
      <c r="J743" s="36">
        <f t="shared" si="474"/>
        <v>2.5097251269230738E-6</v>
      </c>
      <c r="K743" s="36">
        <f t="shared" si="474"/>
        <v>3.2124232255628497E-4</v>
      </c>
      <c r="L743" s="36">
        <f t="shared" si="474"/>
        <v>0</v>
      </c>
      <c r="M743" s="36">
        <f t="shared" si="474"/>
        <v>6.742366724424096E-5</v>
      </c>
      <c r="N743" s="36">
        <f t="shared" si="474"/>
        <v>6.742366724424096E-5</v>
      </c>
      <c r="O743" s="36">
        <f t="shared" si="474"/>
        <v>0</v>
      </c>
      <c r="P743" s="36">
        <f t="shared" si="474"/>
        <v>8.789212529506449E-5</v>
      </c>
      <c r="Q743" s="36">
        <f t="shared" si="474"/>
        <v>8.7892125295064503E-5</v>
      </c>
      <c r="R743" s="36">
        <f t="shared" si="474"/>
        <v>0</v>
      </c>
      <c r="S743" s="36">
        <f t="shared" si="474"/>
        <v>8.789212529506453E-5</v>
      </c>
      <c r="T743" s="36">
        <f t="shared" si="474"/>
        <v>0</v>
      </c>
      <c r="U743" s="36" t="e">
        <f t="shared" si="474"/>
        <v>#DIV/0!</v>
      </c>
      <c r="V743" s="36">
        <f t="shared" si="474"/>
        <v>1.3187217238339388E-4</v>
      </c>
      <c r="W743" s="36">
        <f t="shared" si="474"/>
        <v>0</v>
      </c>
      <c r="X743" s="36">
        <f t="shared" si="474"/>
        <v>0</v>
      </c>
      <c r="Y743" s="25" t="e">
        <f t="shared" si="460"/>
        <v>#DIV/0!</v>
      </c>
      <c r="Z743" s="11"/>
    </row>
    <row r="744" spans="1:26" outlineLevel="1" x14ac:dyDescent="0.25">
      <c r="C744" s="7"/>
    </row>
    <row r="745" spans="1:26" x14ac:dyDescent="0.25">
      <c r="C745" s="7"/>
    </row>
    <row r="746" spans="1:26" x14ac:dyDescent="0.25">
      <c r="C746" s="7"/>
    </row>
    <row r="747" spans="1:26" x14ac:dyDescent="0.25">
      <c r="C747" s="7"/>
    </row>
    <row r="748" spans="1:26" x14ac:dyDescent="0.25">
      <c r="C748" s="7"/>
    </row>
    <row r="749" spans="1:26" x14ac:dyDescent="0.25">
      <c r="C749" s="7"/>
    </row>
    <row r="750" spans="1:26" x14ac:dyDescent="0.25">
      <c r="C750" s="7"/>
    </row>
    <row r="751" spans="1:26" x14ac:dyDescent="0.25">
      <c r="C751" s="7"/>
    </row>
    <row r="752" spans="1:26" x14ac:dyDescent="0.25">
      <c r="C752" s="7"/>
    </row>
    <row r="753" spans="3:3" x14ac:dyDescent="0.25">
      <c r="C753" s="7"/>
    </row>
    <row r="754" spans="3:3" x14ac:dyDescent="0.25">
      <c r="C754" s="7"/>
    </row>
    <row r="755" spans="3:3" x14ac:dyDescent="0.25">
      <c r="C755" s="7"/>
    </row>
    <row r="756" spans="3:3" x14ac:dyDescent="0.25">
      <c r="C756" s="7"/>
    </row>
    <row r="757" spans="3:3" x14ac:dyDescent="0.25">
      <c r="C757" s="7"/>
    </row>
    <row r="758" spans="3:3" x14ac:dyDescent="0.25">
      <c r="C758" s="7"/>
    </row>
    <row r="759" spans="3:3" x14ac:dyDescent="0.25">
      <c r="C759" s="7"/>
    </row>
    <row r="760" spans="3:3" x14ac:dyDescent="0.25">
      <c r="C760" s="7"/>
    </row>
    <row r="761" spans="3:3" x14ac:dyDescent="0.25">
      <c r="C761" s="7"/>
    </row>
    <row r="762" spans="3:3" x14ac:dyDescent="0.25">
      <c r="C762" s="7"/>
    </row>
    <row r="763" spans="3:3" x14ac:dyDescent="0.25">
      <c r="C763" s="7"/>
    </row>
    <row r="764" spans="3:3" x14ac:dyDescent="0.25">
      <c r="C764" s="7"/>
    </row>
    <row r="765" spans="3:3" x14ac:dyDescent="0.25">
      <c r="C765" s="7"/>
    </row>
    <row r="766" spans="3:3" x14ac:dyDescent="0.25">
      <c r="C766" s="7"/>
    </row>
    <row r="767" spans="3:3" x14ac:dyDescent="0.25">
      <c r="C767" s="7"/>
    </row>
    <row r="768" spans="3:3" x14ac:dyDescent="0.25">
      <c r="C768" s="7"/>
    </row>
    <row r="769" spans="3:3" x14ac:dyDescent="0.25">
      <c r="C769" s="7"/>
    </row>
    <row r="770" spans="3:3" x14ac:dyDescent="0.25">
      <c r="C770" s="7"/>
    </row>
    <row r="771" spans="3:3" x14ac:dyDescent="0.25">
      <c r="C771" s="7"/>
    </row>
    <row r="772" spans="3:3" x14ac:dyDescent="0.25">
      <c r="C772" s="7"/>
    </row>
    <row r="773" spans="3:3" x14ac:dyDescent="0.25">
      <c r="C773" s="7"/>
    </row>
    <row r="774" spans="3:3" x14ac:dyDescent="0.25">
      <c r="C774" s="7"/>
    </row>
    <row r="775" spans="3:3" x14ac:dyDescent="0.25">
      <c r="C775" s="7"/>
    </row>
    <row r="776" spans="3:3" x14ac:dyDescent="0.25">
      <c r="C776" s="7"/>
    </row>
    <row r="777" spans="3:3" x14ac:dyDescent="0.25">
      <c r="C777" s="7"/>
    </row>
    <row r="778" spans="3:3" x14ac:dyDescent="0.25">
      <c r="C778" s="7"/>
    </row>
    <row r="779" spans="3:3" x14ac:dyDescent="0.25">
      <c r="C779" s="7"/>
    </row>
    <row r="780" spans="3:3" x14ac:dyDescent="0.25">
      <c r="C780" s="7"/>
    </row>
    <row r="781" spans="3:3" x14ac:dyDescent="0.25">
      <c r="C781" s="7"/>
    </row>
    <row r="782" spans="3:3" x14ac:dyDescent="0.25">
      <c r="C782" s="7"/>
    </row>
    <row r="783" spans="3:3" x14ac:dyDescent="0.25">
      <c r="C783" s="7"/>
    </row>
    <row r="784" spans="3:3" x14ac:dyDescent="0.25">
      <c r="C784" s="7"/>
    </row>
    <row r="785" spans="3:3" x14ac:dyDescent="0.25">
      <c r="C785" s="7"/>
    </row>
    <row r="786" spans="3:3" x14ac:dyDescent="0.25">
      <c r="C786" s="7"/>
    </row>
    <row r="787" spans="3:3" x14ac:dyDescent="0.25">
      <c r="C787" s="7"/>
    </row>
    <row r="788" spans="3:3" x14ac:dyDescent="0.25">
      <c r="C788" s="7"/>
    </row>
    <row r="789" spans="3:3" x14ac:dyDescent="0.25">
      <c r="C789" s="7"/>
    </row>
    <row r="790" spans="3:3" x14ac:dyDescent="0.25">
      <c r="C790" s="7"/>
    </row>
    <row r="791" spans="3:3" x14ac:dyDescent="0.25">
      <c r="C791" s="7"/>
    </row>
  </sheetData>
  <mergeCells count="9">
    <mergeCell ref="B599:C599"/>
    <mergeCell ref="A1:Y1"/>
    <mergeCell ref="A198:Y198"/>
    <mergeCell ref="A395:Y395"/>
    <mergeCell ref="A400:Y400"/>
    <mergeCell ref="A597:Y597"/>
    <mergeCell ref="B3:C3"/>
    <mergeCell ref="B200:C200"/>
    <mergeCell ref="B402:C40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67E9A-9E47-4EEF-903C-51E7E43741C8}">
  <dimension ref="A1:G49"/>
  <sheetViews>
    <sheetView topLeftCell="A29" workbookViewId="0">
      <selection activeCell="F47" sqref="F47"/>
    </sheetView>
  </sheetViews>
  <sheetFormatPr defaultRowHeight="15" x14ac:dyDescent="0.25"/>
  <cols>
    <col min="1" max="1" width="33.85546875" bestFit="1" customWidth="1"/>
    <col min="2" max="2" width="19.5703125" customWidth="1"/>
    <col min="3" max="3" width="15.5703125" bestFit="1" customWidth="1"/>
    <col min="4" max="4" width="14" bestFit="1" customWidth="1"/>
    <col min="5" max="5" width="49.5703125" style="23" customWidth="1"/>
    <col min="6" max="6" width="11.5703125" style="19" bestFit="1" customWidth="1"/>
  </cols>
  <sheetData>
    <row r="1" spans="1:5" s="18" customFormat="1" x14ac:dyDescent="0.25">
      <c r="A1" s="18" t="s">
        <v>204</v>
      </c>
      <c r="B1" s="18" t="s">
        <v>116</v>
      </c>
      <c r="C1" s="18" t="s">
        <v>108</v>
      </c>
      <c r="D1" s="18" t="s">
        <v>111</v>
      </c>
      <c r="E1" s="22" t="s">
        <v>186</v>
      </c>
    </row>
    <row r="2" spans="1:5" x14ac:dyDescent="0.25">
      <c r="A2" t="s">
        <v>84</v>
      </c>
      <c r="B2" t="s">
        <v>117</v>
      </c>
      <c r="C2" t="s">
        <v>109</v>
      </c>
      <c r="D2" t="s">
        <v>109</v>
      </c>
    </row>
    <row r="3" spans="1:5" x14ac:dyDescent="0.25">
      <c r="A3" t="s">
        <v>85</v>
      </c>
      <c r="B3" t="s">
        <v>114</v>
      </c>
      <c r="C3" t="s">
        <v>109</v>
      </c>
      <c r="D3" t="s">
        <v>109</v>
      </c>
    </row>
    <row r="4" spans="1:5" x14ac:dyDescent="0.25">
      <c r="A4" t="s">
        <v>86</v>
      </c>
      <c r="B4" t="s">
        <v>117</v>
      </c>
      <c r="C4" t="s">
        <v>31</v>
      </c>
      <c r="D4" t="s">
        <v>43</v>
      </c>
    </row>
    <row r="5" spans="1:5" x14ac:dyDescent="0.25">
      <c r="A5" t="s">
        <v>87</v>
      </c>
      <c r="B5" t="s">
        <v>114</v>
      </c>
      <c r="C5" t="s">
        <v>31</v>
      </c>
      <c r="D5" t="s">
        <v>43</v>
      </c>
    </row>
    <row r="6" spans="1:5" x14ac:dyDescent="0.25">
      <c r="A6" t="s">
        <v>88</v>
      </c>
      <c r="B6" t="s">
        <v>117</v>
      </c>
      <c r="C6" t="s">
        <v>31</v>
      </c>
      <c r="D6" t="s">
        <v>42</v>
      </c>
    </row>
    <row r="7" spans="1:5" x14ac:dyDescent="0.25">
      <c r="A7" t="s">
        <v>89</v>
      </c>
      <c r="B7" t="s">
        <v>114</v>
      </c>
      <c r="C7" t="s">
        <v>31</v>
      </c>
      <c r="D7" t="s">
        <v>42</v>
      </c>
    </row>
    <row r="8" spans="1:5" x14ac:dyDescent="0.25">
      <c r="A8" t="s">
        <v>90</v>
      </c>
      <c r="B8" t="s">
        <v>117</v>
      </c>
      <c r="C8" t="s">
        <v>31</v>
      </c>
      <c r="D8" t="s">
        <v>112</v>
      </c>
    </row>
    <row r="9" spans="1:5" x14ac:dyDescent="0.25">
      <c r="A9" t="s">
        <v>91</v>
      </c>
      <c r="B9" t="s">
        <v>114</v>
      </c>
      <c r="C9" t="s">
        <v>31</v>
      </c>
      <c r="D9" t="s">
        <v>112</v>
      </c>
    </row>
    <row r="10" spans="1:5" ht="43.35" customHeight="1" x14ac:dyDescent="0.25">
      <c r="A10" t="s">
        <v>92</v>
      </c>
      <c r="B10" t="s">
        <v>117</v>
      </c>
      <c r="C10" t="s">
        <v>31</v>
      </c>
      <c r="D10" t="s">
        <v>110</v>
      </c>
      <c r="E10" s="65" t="s">
        <v>201</v>
      </c>
    </row>
    <row r="11" spans="1:5" x14ac:dyDescent="0.25">
      <c r="A11" t="s">
        <v>93</v>
      </c>
      <c r="B11" t="s">
        <v>114</v>
      </c>
      <c r="C11" t="s">
        <v>31</v>
      </c>
      <c r="D11" t="s">
        <v>110</v>
      </c>
      <c r="E11" s="65"/>
    </row>
    <row r="12" spans="1:5" x14ac:dyDescent="0.25">
      <c r="A12" t="s">
        <v>94</v>
      </c>
      <c r="B12" t="s">
        <v>117</v>
      </c>
      <c r="C12" t="s">
        <v>31</v>
      </c>
      <c r="D12" t="s">
        <v>113</v>
      </c>
    </row>
    <row r="13" spans="1:5" x14ac:dyDescent="0.25">
      <c r="A13" t="s">
        <v>95</v>
      </c>
      <c r="B13" t="s">
        <v>114</v>
      </c>
      <c r="C13" t="s">
        <v>31</v>
      </c>
      <c r="D13" t="s">
        <v>113</v>
      </c>
    </row>
    <row r="14" spans="1:5" x14ac:dyDescent="0.25">
      <c r="A14" t="s">
        <v>96</v>
      </c>
      <c r="B14" t="s">
        <v>117</v>
      </c>
      <c r="C14" t="s">
        <v>30</v>
      </c>
      <c r="D14" t="s">
        <v>43</v>
      </c>
    </row>
    <row r="15" spans="1:5" x14ac:dyDescent="0.25">
      <c r="A15" t="s">
        <v>97</v>
      </c>
      <c r="B15" t="s">
        <v>114</v>
      </c>
      <c r="C15" t="s">
        <v>30</v>
      </c>
      <c r="D15" t="s">
        <v>43</v>
      </c>
    </row>
    <row r="16" spans="1:5" x14ac:dyDescent="0.25">
      <c r="A16" t="s">
        <v>98</v>
      </c>
      <c r="B16" t="s">
        <v>117</v>
      </c>
      <c r="C16" t="s">
        <v>30</v>
      </c>
      <c r="D16" t="s">
        <v>42</v>
      </c>
    </row>
    <row r="17" spans="1:7" x14ac:dyDescent="0.25">
      <c r="A17" t="s">
        <v>99</v>
      </c>
      <c r="B17" t="s">
        <v>114</v>
      </c>
      <c r="C17" t="s">
        <v>30</v>
      </c>
      <c r="D17" t="s">
        <v>42</v>
      </c>
    </row>
    <row r="18" spans="1:7" ht="32.450000000000003" customHeight="1" x14ac:dyDescent="0.25">
      <c r="A18" t="s">
        <v>100</v>
      </c>
      <c r="B18" t="s">
        <v>117</v>
      </c>
      <c r="C18" t="s">
        <v>30</v>
      </c>
      <c r="D18" t="s">
        <v>110</v>
      </c>
      <c r="E18" s="65" t="s">
        <v>200</v>
      </c>
    </row>
    <row r="19" spans="1:7" ht="32.450000000000003" customHeight="1" x14ac:dyDescent="0.25">
      <c r="A19" t="s">
        <v>101</v>
      </c>
      <c r="B19" t="s">
        <v>114</v>
      </c>
      <c r="C19" t="s">
        <v>30</v>
      </c>
      <c r="D19" t="s">
        <v>110</v>
      </c>
      <c r="E19" s="65"/>
    </row>
    <row r="20" spans="1:7" x14ac:dyDescent="0.25">
      <c r="A20" t="s">
        <v>102</v>
      </c>
      <c r="B20" t="s">
        <v>117</v>
      </c>
      <c r="C20" t="s">
        <v>30</v>
      </c>
      <c r="D20" t="s">
        <v>113</v>
      </c>
    </row>
    <row r="21" spans="1:7" x14ac:dyDescent="0.25">
      <c r="A21" t="s">
        <v>103</v>
      </c>
      <c r="B21" t="s">
        <v>114</v>
      </c>
      <c r="C21" t="s">
        <v>30</v>
      </c>
      <c r="D21" t="s">
        <v>113</v>
      </c>
    </row>
    <row r="22" spans="1:7" x14ac:dyDescent="0.25">
      <c r="A22" t="s">
        <v>104</v>
      </c>
      <c r="B22" t="s">
        <v>117</v>
      </c>
      <c r="C22" t="s">
        <v>137</v>
      </c>
      <c r="D22" t="s">
        <v>110</v>
      </c>
    </row>
    <row r="23" spans="1:7" x14ac:dyDescent="0.25">
      <c r="A23" t="s">
        <v>105</v>
      </c>
      <c r="B23" t="s">
        <v>114</v>
      </c>
      <c r="C23" t="s">
        <v>137</v>
      </c>
      <c r="D23" t="s">
        <v>110</v>
      </c>
    </row>
    <row r="24" spans="1:7" x14ac:dyDescent="0.25">
      <c r="A24" t="s">
        <v>106</v>
      </c>
      <c r="B24" t="s">
        <v>117</v>
      </c>
      <c r="C24" t="s">
        <v>32</v>
      </c>
      <c r="D24" t="s">
        <v>32</v>
      </c>
    </row>
    <row r="25" spans="1:7" x14ac:dyDescent="0.25">
      <c r="A25" t="s">
        <v>107</v>
      </c>
      <c r="B25" t="s">
        <v>114</v>
      </c>
      <c r="C25" t="s">
        <v>32</v>
      </c>
      <c r="D25" t="s">
        <v>32</v>
      </c>
    </row>
    <row r="26" spans="1:7" ht="33" customHeight="1" x14ac:dyDescent="0.25">
      <c r="A26" t="s">
        <v>196</v>
      </c>
      <c r="B26" t="s">
        <v>117</v>
      </c>
      <c r="C26" t="s">
        <v>31</v>
      </c>
      <c r="D26" t="s">
        <v>136</v>
      </c>
      <c r="E26" s="63" t="s">
        <v>205</v>
      </c>
    </row>
    <row r="27" spans="1:7" ht="33" customHeight="1" x14ac:dyDescent="0.25">
      <c r="A27" t="s">
        <v>197</v>
      </c>
      <c r="B27" t="s">
        <v>114</v>
      </c>
      <c r="C27" t="s">
        <v>31</v>
      </c>
      <c r="D27" t="s">
        <v>136</v>
      </c>
      <c r="E27" s="63"/>
    </row>
    <row r="28" spans="1:7" ht="51.75" customHeight="1" x14ac:dyDescent="0.25">
      <c r="A28" t="s">
        <v>198</v>
      </c>
      <c r="B28" t="s">
        <v>117</v>
      </c>
      <c r="C28" t="s">
        <v>30</v>
      </c>
      <c r="D28" t="s">
        <v>112</v>
      </c>
      <c r="E28" s="63" t="s">
        <v>206</v>
      </c>
    </row>
    <row r="29" spans="1:7" ht="51.75" customHeight="1" x14ac:dyDescent="0.25">
      <c r="A29" t="s">
        <v>199</v>
      </c>
      <c r="B29" t="s">
        <v>114</v>
      </c>
      <c r="C29" t="s">
        <v>30</v>
      </c>
      <c r="D29" t="s">
        <v>112</v>
      </c>
      <c r="E29" s="63"/>
    </row>
    <row r="31" spans="1:7" s="1" customFormat="1" x14ac:dyDescent="0.25">
      <c r="A31" s="18" t="s">
        <v>36</v>
      </c>
      <c r="B31" s="18" t="s">
        <v>182</v>
      </c>
      <c r="C31" s="18" t="s">
        <v>183</v>
      </c>
      <c r="D31" s="18" t="s">
        <v>184</v>
      </c>
      <c r="E31" s="22" t="s">
        <v>185</v>
      </c>
      <c r="F31" s="18" t="s">
        <v>115</v>
      </c>
      <c r="G31" s="1" t="s">
        <v>35</v>
      </c>
    </row>
    <row r="32" spans="1:7" x14ac:dyDescent="0.25">
      <c r="A32" s="19">
        <v>1</v>
      </c>
      <c r="B32" s="19" t="s">
        <v>55</v>
      </c>
      <c r="C32" s="19" t="s">
        <v>171</v>
      </c>
      <c r="D32" s="19">
        <v>31</v>
      </c>
      <c r="E32" s="24">
        <f>D32*(2/7)</f>
        <v>8.8571428571428559</v>
      </c>
      <c r="F32" s="20">
        <f>D32*(5/7)</f>
        <v>22.142857142857142</v>
      </c>
      <c r="G32" t="str">
        <f>IF(AND(A32&gt;=3,A32&lt;=5),"Spring",IF(AND(A32&gt;=6,A32&lt;=8),"Summer",IF(AND(A32&gt;=9,A32&lt;=10),"Fall","Winter")))</f>
        <v>Winter</v>
      </c>
    </row>
    <row r="33" spans="1:7" x14ac:dyDescent="0.25">
      <c r="A33" s="19">
        <v>2</v>
      </c>
      <c r="B33" s="19" t="s">
        <v>54</v>
      </c>
      <c r="C33" s="19" t="s">
        <v>172</v>
      </c>
      <c r="D33" s="19">
        <v>28</v>
      </c>
      <c r="E33" s="24">
        <f t="shared" ref="E33:E43" si="0">D33*(2/7)</f>
        <v>8</v>
      </c>
      <c r="F33" s="20">
        <f t="shared" ref="F33:F43" si="1">D33*(5/7)</f>
        <v>20</v>
      </c>
      <c r="G33" t="str">
        <f t="shared" ref="G33:G43" si="2">IF(AND(A33&gt;=3,A33&lt;=5),"Spring",IF(AND(A33&gt;=6,A33&lt;=8),"Summer",IF(AND(A33&gt;=9,A33&lt;=10),"Fall","Winter")))</f>
        <v>Winter</v>
      </c>
    </row>
    <row r="34" spans="1:7" x14ac:dyDescent="0.25">
      <c r="A34" s="19">
        <v>3</v>
      </c>
      <c r="B34" s="19" t="s">
        <v>53</v>
      </c>
      <c r="C34" s="19" t="s">
        <v>173</v>
      </c>
      <c r="D34" s="19">
        <v>31</v>
      </c>
      <c r="E34" s="24">
        <f t="shared" si="0"/>
        <v>8.8571428571428559</v>
      </c>
      <c r="F34" s="20">
        <f t="shared" si="1"/>
        <v>22.142857142857142</v>
      </c>
      <c r="G34" t="str">
        <f t="shared" si="2"/>
        <v>Spring</v>
      </c>
    </row>
    <row r="35" spans="1:7" x14ac:dyDescent="0.25">
      <c r="A35" s="19">
        <v>4</v>
      </c>
      <c r="B35" s="19" t="s">
        <v>52</v>
      </c>
      <c r="C35" s="19" t="s">
        <v>174</v>
      </c>
      <c r="D35" s="19">
        <v>30</v>
      </c>
      <c r="E35" s="24">
        <f t="shared" si="0"/>
        <v>8.5714285714285712</v>
      </c>
      <c r="F35" s="20">
        <f t="shared" si="1"/>
        <v>21.428571428571431</v>
      </c>
      <c r="G35" t="str">
        <f t="shared" si="2"/>
        <v>Spring</v>
      </c>
    </row>
    <row r="36" spans="1:7" x14ac:dyDescent="0.25">
      <c r="A36" s="19">
        <v>5</v>
      </c>
      <c r="B36" s="19" t="s">
        <v>51</v>
      </c>
      <c r="C36" s="19" t="s">
        <v>51</v>
      </c>
      <c r="D36" s="19">
        <v>31</v>
      </c>
      <c r="E36" s="24">
        <f t="shared" si="0"/>
        <v>8.8571428571428559</v>
      </c>
      <c r="F36" s="20">
        <f t="shared" si="1"/>
        <v>22.142857142857142</v>
      </c>
      <c r="G36" t="str">
        <f t="shared" si="2"/>
        <v>Spring</v>
      </c>
    </row>
    <row r="37" spans="1:7" x14ac:dyDescent="0.25">
      <c r="A37" s="19">
        <v>6</v>
      </c>
      <c r="B37" s="19" t="s">
        <v>50</v>
      </c>
      <c r="C37" s="19" t="s">
        <v>175</v>
      </c>
      <c r="D37" s="19">
        <v>30</v>
      </c>
      <c r="E37" s="24">
        <f t="shared" si="0"/>
        <v>8.5714285714285712</v>
      </c>
      <c r="F37" s="20">
        <f t="shared" si="1"/>
        <v>21.428571428571431</v>
      </c>
      <c r="G37" t="str">
        <f t="shared" si="2"/>
        <v>Summer</v>
      </c>
    </row>
    <row r="38" spans="1:7" x14ac:dyDescent="0.25">
      <c r="A38" s="19">
        <v>7</v>
      </c>
      <c r="B38" s="19" t="s">
        <v>49</v>
      </c>
      <c r="C38" s="19" t="s">
        <v>176</v>
      </c>
      <c r="D38" s="19">
        <v>31</v>
      </c>
      <c r="E38" s="24">
        <f t="shared" si="0"/>
        <v>8.8571428571428559</v>
      </c>
      <c r="F38" s="20">
        <f t="shared" si="1"/>
        <v>22.142857142857142</v>
      </c>
      <c r="G38" t="str">
        <f t="shared" si="2"/>
        <v>Summer</v>
      </c>
    </row>
    <row r="39" spans="1:7" x14ac:dyDescent="0.25">
      <c r="A39" s="19">
        <v>8</v>
      </c>
      <c r="B39" s="19" t="s">
        <v>48</v>
      </c>
      <c r="C39" s="19" t="s">
        <v>177</v>
      </c>
      <c r="D39" s="19">
        <v>31</v>
      </c>
      <c r="E39" s="24">
        <f t="shared" si="0"/>
        <v>8.8571428571428559</v>
      </c>
      <c r="F39" s="20">
        <f t="shared" si="1"/>
        <v>22.142857142857142</v>
      </c>
      <c r="G39" t="str">
        <f t="shared" si="2"/>
        <v>Summer</v>
      </c>
    </row>
    <row r="40" spans="1:7" x14ac:dyDescent="0.25">
      <c r="A40" s="19">
        <v>9</v>
      </c>
      <c r="B40" s="19" t="s">
        <v>47</v>
      </c>
      <c r="C40" s="19" t="s">
        <v>178</v>
      </c>
      <c r="D40" s="19">
        <v>30</v>
      </c>
      <c r="E40" s="24">
        <f t="shared" si="0"/>
        <v>8.5714285714285712</v>
      </c>
      <c r="F40" s="20">
        <f t="shared" si="1"/>
        <v>21.428571428571431</v>
      </c>
      <c r="G40" t="str">
        <f t="shared" si="2"/>
        <v>Fall</v>
      </c>
    </row>
    <row r="41" spans="1:7" x14ac:dyDescent="0.25">
      <c r="A41" s="19">
        <v>10</v>
      </c>
      <c r="B41" s="19" t="s">
        <v>46</v>
      </c>
      <c r="C41" s="19" t="s">
        <v>179</v>
      </c>
      <c r="D41" s="19">
        <v>31</v>
      </c>
      <c r="E41" s="24">
        <f t="shared" si="0"/>
        <v>8.8571428571428559</v>
      </c>
      <c r="F41" s="20">
        <f t="shared" si="1"/>
        <v>22.142857142857142</v>
      </c>
      <c r="G41" t="str">
        <f t="shared" si="2"/>
        <v>Fall</v>
      </c>
    </row>
    <row r="42" spans="1:7" x14ac:dyDescent="0.25">
      <c r="A42" s="19">
        <v>11</v>
      </c>
      <c r="B42" s="19" t="s">
        <v>45</v>
      </c>
      <c r="C42" s="19" t="s">
        <v>180</v>
      </c>
      <c r="D42" s="19">
        <v>30</v>
      </c>
      <c r="E42" s="24">
        <f t="shared" si="0"/>
        <v>8.5714285714285712</v>
      </c>
      <c r="F42" s="20">
        <f t="shared" si="1"/>
        <v>21.428571428571431</v>
      </c>
      <c r="G42" t="str">
        <f t="shared" si="2"/>
        <v>Winter</v>
      </c>
    </row>
    <row r="43" spans="1:7" x14ac:dyDescent="0.25">
      <c r="A43" s="19">
        <v>12</v>
      </c>
      <c r="B43" s="19" t="s">
        <v>44</v>
      </c>
      <c r="C43" s="19" t="s">
        <v>181</v>
      </c>
      <c r="D43" s="19">
        <v>31</v>
      </c>
      <c r="E43" s="24">
        <f t="shared" si="0"/>
        <v>8.8571428571428559</v>
      </c>
      <c r="F43" s="20">
        <f t="shared" si="1"/>
        <v>22.142857142857142</v>
      </c>
      <c r="G43" t="str">
        <f t="shared" si="2"/>
        <v>Winter</v>
      </c>
    </row>
    <row r="45" spans="1:7" s="18" customFormat="1" x14ac:dyDescent="0.25">
      <c r="A45" s="18" t="s">
        <v>35</v>
      </c>
      <c r="B45" s="18" t="s">
        <v>187</v>
      </c>
      <c r="C45" s="18" t="s">
        <v>188</v>
      </c>
      <c r="D45" s="18" t="s">
        <v>185</v>
      </c>
      <c r="E45" s="22" t="s">
        <v>115</v>
      </c>
    </row>
    <row r="46" spans="1:7" s="19" customFormat="1" x14ac:dyDescent="0.25">
      <c r="A46" s="19" t="s">
        <v>37</v>
      </c>
      <c r="B46" s="26">
        <f>SUMIF($G$32:$G$43,A46,$F$32:$F$43)+SUMIF($G$32:$G$43,A46,$E$32:$E$43)</f>
        <v>119.99999999999999</v>
      </c>
      <c r="C46" s="19">
        <f>B46*24</f>
        <v>2879.9999999999995</v>
      </c>
      <c r="D46" s="20">
        <f>B46*(2/7)</f>
        <v>34.285714285714278</v>
      </c>
      <c r="E46" s="24">
        <f>B46*(5/7)</f>
        <v>85.714285714285708</v>
      </c>
      <c r="F46" s="19" t="s">
        <v>209</v>
      </c>
    </row>
    <row r="47" spans="1:7" s="19" customFormat="1" x14ac:dyDescent="0.25">
      <c r="A47" s="19" t="s">
        <v>38</v>
      </c>
      <c r="B47" s="26">
        <f t="shared" ref="B47:B49" si="3">SUMIF($G$32:$G$43,A47,$F$32:$F$43)+SUMIF($G$32:$G$43,A47,$E$32:$E$43)</f>
        <v>92</v>
      </c>
      <c r="C47" s="19">
        <f t="shared" ref="C47:C49" si="4">B47*24</f>
        <v>2208</v>
      </c>
      <c r="D47" s="20">
        <f t="shared" ref="D47:D49" si="5">B47*(2/7)</f>
        <v>26.285714285714285</v>
      </c>
      <c r="E47" s="24">
        <f t="shared" ref="E47:E49" si="6">B47*(5/7)</f>
        <v>65.714285714285722</v>
      </c>
    </row>
    <row r="48" spans="1:7" s="19" customFormat="1" x14ac:dyDescent="0.25">
      <c r="A48" s="19" t="s">
        <v>39</v>
      </c>
      <c r="B48" s="26">
        <f t="shared" si="3"/>
        <v>92</v>
      </c>
      <c r="C48" s="19">
        <f t="shared" si="4"/>
        <v>2208</v>
      </c>
      <c r="D48" s="20">
        <f t="shared" si="5"/>
        <v>26.285714285714285</v>
      </c>
      <c r="E48" s="24">
        <f t="shared" si="6"/>
        <v>65.714285714285722</v>
      </c>
    </row>
    <row r="49" spans="1:5" s="19" customFormat="1" x14ac:dyDescent="0.25">
      <c r="A49" s="19" t="s">
        <v>40</v>
      </c>
      <c r="B49" s="26">
        <f t="shared" si="3"/>
        <v>61</v>
      </c>
      <c r="C49" s="19">
        <f t="shared" si="4"/>
        <v>1464</v>
      </c>
      <c r="D49" s="20">
        <f t="shared" si="5"/>
        <v>17.428571428571427</v>
      </c>
      <c r="E49" s="24">
        <f t="shared" si="6"/>
        <v>43.571428571428569</v>
      </c>
    </row>
  </sheetData>
  <mergeCells count="4">
    <mergeCell ref="E10:E11"/>
    <mergeCell ref="E18:E19"/>
    <mergeCell ref="E26:E27"/>
    <mergeCell ref="E28:E29"/>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4F0FE9E-28FA-4421-84C3-479D11029F57}">
          <x14:formula1>
            <xm:f>About!$A$24:$A$25</xm:f>
          </x14:formula1>
          <xm:sqref>B2:B25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42C27-F649-4EF2-930A-B79DC87FFC8A}">
  <sheetPr>
    <tabColor theme="5"/>
  </sheetPr>
  <dimension ref="A1:W21"/>
  <sheetViews>
    <sheetView workbookViewId="0">
      <selection activeCell="H20" sqref="H20"/>
    </sheetView>
  </sheetViews>
  <sheetFormatPr defaultRowHeight="15" x14ac:dyDescent="0.25"/>
  <cols>
    <col min="1" max="1" width="17.28515625" customWidth="1"/>
    <col min="2" max="2" width="20.5703125" customWidth="1"/>
    <col min="3" max="23" width="13.140625" customWidth="1"/>
  </cols>
  <sheetData>
    <row r="1" spans="1:23" s="9" customFormat="1" ht="45" x14ac:dyDescent="0.25">
      <c r="B1" s="9" t="s">
        <v>56</v>
      </c>
      <c r="C1" s="10" t="s">
        <v>78</v>
      </c>
      <c r="D1" s="9" t="s">
        <v>79</v>
      </c>
      <c r="E1" s="9" t="s">
        <v>60</v>
      </c>
      <c r="F1" s="9" t="s">
        <v>61</v>
      </c>
      <c r="G1" s="9" t="s">
        <v>62</v>
      </c>
      <c r="H1" s="9" t="s">
        <v>63</v>
      </c>
      <c r="I1" s="9" t="s">
        <v>64</v>
      </c>
      <c r="J1" s="9" t="s">
        <v>65</v>
      </c>
      <c r="K1" s="9" t="s">
        <v>66</v>
      </c>
      <c r="L1" s="9" t="s">
        <v>67</v>
      </c>
      <c r="M1" s="9" t="s">
        <v>68</v>
      </c>
      <c r="N1" s="9" t="s">
        <v>82</v>
      </c>
      <c r="O1" s="9" t="s">
        <v>69</v>
      </c>
      <c r="P1" s="9" t="s">
        <v>70</v>
      </c>
      <c r="Q1" s="9" t="s">
        <v>71</v>
      </c>
      <c r="R1" s="9" t="s">
        <v>72</v>
      </c>
      <c r="S1" s="9" t="s">
        <v>73</v>
      </c>
      <c r="T1" s="9" t="s">
        <v>74</v>
      </c>
      <c r="U1" s="9" t="s">
        <v>75</v>
      </c>
      <c r="V1" s="9" t="s">
        <v>76</v>
      </c>
      <c r="W1" s="9" t="s">
        <v>77</v>
      </c>
    </row>
    <row r="2" spans="1:23" x14ac:dyDescent="0.25">
      <c r="A2" s="8" t="s">
        <v>37</v>
      </c>
      <c r="B2" s="21">
        <f>'SHELF-days-per-timeslice'!B2</f>
        <v>119.99999999999999</v>
      </c>
      <c r="C2">
        <f ca="1">SUM(INDIRECT("'"&amp;C$1&amp;"'!B"&amp;ROW($A2)&amp;":Y"&amp;ROW($A2)))</f>
        <v>5.848608418806002E-3</v>
      </c>
      <c r="D2">
        <f ca="1">SUM(INDIRECT("'"&amp;D$1&amp;"'!B"&amp;ROW($A2)&amp;":Y"&amp;ROW($A2)))</f>
        <v>3.1016836575580382E-6</v>
      </c>
      <c r="E2">
        <f t="shared" ref="E2:W5" ca="1" si="0">SUM(INDIRECT("'"&amp;E$1&amp;"'!B"&amp;ROW($A2)&amp;":Y"&amp;ROW($A2)))</f>
        <v>0</v>
      </c>
      <c r="F2">
        <f t="shared" ca="1" si="0"/>
        <v>3.2894142238843863E-3</v>
      </c>
      <c r="G2">
        <f t="shared" ca="1" si="0"/>
        <v>3.5013005906578505E-3</v>
      </c>
      <c r="H2">
        <f t="shared" ca="1" si="0"/>
        <v>3.5013005906578505E-3</v>
      </c>
      <c r="I2">
        <f t="shared" ca="1" si="0"/>
        <v>5.8485680918690056E-3</v>
      </c>
      <c r="J2">
        <f t="shared" ca="1" si="0"/>
        <v>3.1019260610987656E-6</v>
      </c>
      <c r="K2">
        <f t="shared" ca="1" si="0"/>
        <v>0</v>
      </c>
      <c r="L2">
        <f t="shared" ca="1" si="0"/>
        <v>2.8155705605209646E-3</v>
      </c>
      <c r="M2">
        <f t="shared" ca="1" si="0"/>
        <v>2.8155705605209646E-3</v>
      </c>
      <c r="N2">
        <f t="shared" ca="1" si="0"/>
        <v>0</v>
      </c>
      <c r="O2">
        <f t="shared" ca="1" si="0"/>
        <v>2.9238735117942003E-3</v>
      </c>
      <c r="P2">
        <f t="shared" ca="1" si="0"/>
        <v>2.9238735117942012E-3</v>
      </c>
      <c r="Q2">
        <f t="shared" ca="1" si="0"/>
        <v>0</v>
      </c>
      <c r="R2">
        <f t="shared" ca="1" si="0"/>
        <v>2.9238735117942016E-3</v>
      </c>
      <c r="S2">
        <f t="shared" ca="1" si="0"/>
        <v>0</v>
      </c>
      <c r="T2">
        <f t="shared" ca="1" si="0"/>
        <v>0</v>
      </c>
      <c r="U2">
        <f t="shared" ca="1" si="0"/>
        <v>2.7864177434943939E-3</v>
      </c>
      <c r="V2">
        <f t="shared" ca="1" si="0"/>
        <v>0</v>
      </c>
      <c r="W2">
        <f t="shared" ca="1" si="0"/>
        <v>0</v>
      </c>
    </row>
    <row r="3" spans="1:23" x14ac:dyDescent="0.25">
      <c r="A3" s="8" t="s">
        <v>38</v>
      </c>
      <c r="B3" s="21">
        <f>'SHELF-days-per-timeslice'!B3</f>
        <v>92</v>
      </c>
      <c r="C3">
        <f t="shared" ref="C3:R5" ca="1" si="1">SUM(INDIRECT("'"&amp;C$1&amp;"'!B"&amp;ROW($A3)&amp;":Y"&amp;ROW($A3)))</f>
        <v>2.5387843393498877E-3</v>
      </c>
      <c r="D3">
        <f t="shared" ca="1" si="1"/>
        <v>1.4400741782588094E-4</v>
      </c>
      <c r="E3">
        <f t="shared" ca="1" si="1"/>
        <v>0</v>
      </c>
      <c r="F3">
        <f t="shared" ca="1" si="1"/>
        <v>2.499292513531419E-3</v>
      </c>
      <c r="G3">
        <f t="shared" ca="1" si="1"/>
        <v>2.550453655318708E-3</v>
      </c>
      <c r="H3">
        <f t="shared" ca="1" si="1"/>
        <v>2.550453655318708E-3</v>
      </c>
      <c r="I3">
        <f t="shared" ca="1" si="1"/>
        <v>2.5388420653147115E-3</v>
      </c>
      <c r="J3">
        <f t="shared" ca="1" si="1"/>
        <v>1.4402276422217485E-4</v>
      </c>
      <c r="K3">
        <f t="shared" ca="1" si="1"/>
        <v>0</v>
      </c>
      <c r="L3">
        <f t="shared" ca="1" si="1"/>
        <v>2.7062434886475964E-3</v>
      </c>
      <c r="M3">
        <f t="shared" ca="1" si="1"/>
        <v>2.7062434886475964E-3</v>
      </c>
      <c r="N3">
        <f t="shared" ca="1" si="1"/>
        <v>0</v>
      </c>
      <c r="O3">
        <f t="shared" ca="1" si="1"/>
        <v>2.6953843519195698E-3</v>
      </c>
      <c r="P3">
        <f t="shared" ca="1" si="1"/>
        <v>2.6953843519195698E-3</v>
      </c>
      <c r="Q3">
        <f t="shared" ca="1" si="1"/>
        <v>0</v>
      </c>
      <c r="R3">
        <f t="shared" ca="1" si="1"/>
        <v>2.6953843519195702E-3</v>
      </c>
      <c r="S3">
        <f t="shared" ca="1" si="0"/>
        <v>0</v>
      </c>
      <c r="T3">
        <f t="shared" ca="1" si="0"/>
        <v>0</v>
      </c>
      <c r="U3">
        <f t="shared" ca="1" si="0"/>
        <v>2.7157290500740856E-3</v>
      </c>
      <c r="V3">
        <f t="shared" ca="1" si="0"/>
        <v>0</v>
      </c>
      <c r="W3">
        <f t="shared" ca="1" si="0"/>
        <v>0</v>
      </c>
    </row>
    <row r="4" spans="1:23" x14ac:dyDescent="0.25">
      <c r="A4" s="8" t="s">
        <v>39</v>
      </c>
      <c r="B4" s="21">
        <f>'SHELF-days-per-timeslice'!B4</f>
        <v>92</v>
      </c>
      <c r="C4">
        <f t="shared" ca="1" si="1"/>
        <v>5.5510221141144949E-5</v>
      </c>
      <c r="D4">
        <f t="shared" ca="1" si="1"/>
        <v>9.6136721091326267E-3</v>
      </c>
      <c r="E4">
        <f t="shared" ca="1" si="0"/>
        <v>0</v>
      </c>
      <c r="F4">
        <f t="shared" ca="1" si="0"/>
        <v>2.2694329218715861E-3</v>
      </c>
      <c r="G4">
        <f t="shared" ca="1" si="0"/>
        <v>2.1999227135514427E-3</v>
      </c>
      <c r="H4">
        <f t="shared" ca="1" si="0"/>
        <v>2.1999227135514427E-3</v>
      </c>
      <c r="I4">
        <f t="shared" ca="1" si="0"/>
        <v>5.5512785592407702E-5</v>
      </c>
      <c r="J4">
        <f t="shared" ca="1" si="0"/>
        <v>9.6136955951753068E-3</v>
      </c>
      <c r="K4">
        <f t="shared" ca="1" si="0"/>
        <v>0</v>
      </c>
      <c r="L4">
        <f t="shared" ca="1" si="0"/>
        <v>2.6844257550177426E-3</v>
      </c>
      <c r="M4">
        <f t="shared" ca="1" si="0"/>
        <v>2.6844257550177426E-3</v>
      </c>
      <c r="N4">
        <f t="shared" ca="1" si="0"/>
        <v>0</v>
      </c>
      <c r="O4">
        <f t="shared" ca="1" si="0"/>
        <v>2.5359557327665574E-3</v>
      </c>
      <c r="P4">
        <f t="shared" ca="1" si="0"/>
        <v>2.5359557327665578E-3</v>
      </c>
      <c r="Q4">
        <f t="shared" ca="1" si="0"/>
        <v>0</v>
      </c>
      <c r="R4">
        <f t="shared" ca="1" si="0"/>
        <v>2.5359557327665583E-3</v>
      </c>
      <c r="S4">
        <f t="shared" ca="1" si="0"/>
        <v>0</v>
      </c>
      <c r="T4">
        <f t="shared" ca="1" si="0"/>
        <v>0</v>
      </c>
      <c r="U4">
        <f t="shared" ca="1" si="0"/>
        <v>2.6924011426392221E-3</v>
      </c>
      <c r="V4">
        <f t="shared" ca="1" si="0"/>
        <v>0</v>
      </c>
      <c r="W4">
        <f t="shared" ca="1" si="0"/>
        <v>0</v>
      </c>
    </row>
    <row r="5" spans="1:23" x14ac:dyDescent="0.25">
      <c r="A5" s="8" t="s">
        <v>40</v>
      </c>
      <c r="B5" s="21">
        <f>'SHELF-days-per-timeslice'!B5</f>
        <v>61</v>
      </c>
      <c r="C5">
        <f t="shared" ca="1" si="1"/>
        <v>9.7527688816565318E-4</v>
      </c>
      <c r="D5">
        <f t="shared" ca="1" si="1"/>
        <v>1.6708406800149248E-3</v>
      </c>
      <c r="E5">
        <f t="shared" ca="1" si="0"/>
        <v>0</v>
      </c>
      <c r="F5">
        <f t="shared" ca="1" si="0"/>
        <v>2.7302877553573314E-3</v>
      </c>
      <c r="G5">
        <f t="shared" ca="1" si="0"/>
        <v>2.341136117786954E-3</v>
      </c>
      <c r="H5">
        <f t="shared" ca="1" si="0"/>
        <v>2.341136117786954E-3</v>
      </c>
      <c r="I5">
        <f t="shared" ca="1" si="0"/>
        <v>9.7526529003712117E-4</v>
      </c>
      <c r="J5">
        <f t="shared" ca="1" si="0"/>
        <v>1.6707816361983556E-3</v>
      </c>
      <c r="K5">
        <f t="shared" ca="1" si="0"/>
        <v>0</v>
      </c>
      <c r="L5">
        <f t="shared" ca="1" si="0"/>
        <v>2.7244256118077537E-3</v>
      </c>
      <c r="M5">
        <f t="shared" ca="1" si="0"/>
        <v>2.7244256118077537E-3</v>
      </c>
      <c r="N5">
        <f t="shared" ca="1" si="0"/>
        <v>0</v>
      </c>
      <c r="O5">
        <f t="shared" ca="1" si="0"/>
        <v>2.7516703408782357E-3</v>
      </c>
      <c r="P5">
        <f t="shared" ca="1" si="0"/>
        <v>2.7516703408782357E-3</v>
      </c>
      <c r="Q5">
        <f t="shared" ca="1" si="0"/>
        <v>0</v>
      </c>
      <c r="R5">
        <f t="shared" ca="1" si="0"/>
        <v>2.7516703408782366E-3</v>
      </c>
      <c r="S5">
        <f t="shared" ca="1" si="0"/>
        <v>0</v>
      </c>
      <c r="T5">
        <f t="shared" ca="1" si="0"/>
        <v>0</v>
      </c>
      <c r="U5">
        <f t="shared" ca="1" si="0"/>
        <v>2.755440869689318E-3</v>
      </c>
      <c r="V5">
        <f t="shared" ca="1" si="0"/>
        <v>0</v>
      </c>
      <c r="W5">
        <f t="shared" ca="1" si="0"/>
        <v>0</v>
      </c>
    </row>
    <row r="7" spans="1:23" x14ac:dyDescent="0.25">
      <c r="A7" s="8" t="s">
        <v>57</v>
      </c>
      <c r="C7" s="11">
        <f t="shared" ref="C7:W7" ca="1" si="2">ROUND(SUMPRODUCT($B2:$B5,C2:C5),10)</f>
        <v>1</v>
      </c>
      <c r="D7" s="11">
        <f t="shared" ca="1" si="2"/>
        <v>1</v>
      </c>
      <c r="E7" s="11">
        <f t="shared" ca="1" si="2"/>
        <v>0</v>
      </c>
      <c r="F7" s="11">
        <f t="shared" ca="1" si="2"/>
        <v>1</v>
      </c>
      <c r="G7" s="11">
        <f t="shared" ca="1" si="2"/>
        <v>1</v>
      </c>
      <c r="H7" s="11">
        <f t="shared" ca="1" si="2"/>
        <v>1</v>
      </c>
      <c r="I7" s="11">
        <f t="shared" ca="1" si="2"/>
        <v>1</v>
      </c>
      <c r="J7" s="11">
        <f t="shared" ca="1" si="2"/>
        <v>1</v>
      </c>
      <c r="K7" s="11">
        <f t="shared" ca="1" si="2"/>
        <v>0</v>
      </c>
      <c r="L7" s="11">
        <f t="shared" ca="1" si="2"/>
        <v>1</v>
      </c>
      <c r="M7" s="11">
        <f t="shared" ca="1" si="2"/>
        <v>1</v>
      </c>
      <c r="N7" s="11">
        <f t="shared" ca="1" si="2"/>
        <v>0</v>
      </c>
      <c r="O7" s="11">
        <f t="shared" ca="1" si="2"/>
        <v>1</v>
      </c>
      <c r="P7" s="11">
        <f t="shared" ca="1" si="2"/>
        <v>1</v>
      </c>
      <c r="Q7" s="11">
        <f t="shared" ca="1" si="2"/>
        <v>0</v>
      </c>
      <c r="R7" s="11">
        <f t="shared" ca="1" si="2"/>
        <v>1</v>
      </c>
      <c r="S7" s="11">
        <f t="shared" ca="1" si="2"/>
        <v>0</v>
      </c>
      <c r="T7" s="11">
        <f t="shared" ca="1" si="2"/>
        <v>0</v>
      </c>
      <c r="U7" s="11">
        <f t="shared" ca="1" si="2"/>
        <v>1</v>
      </c>
      <c r="V7" s="11">
        <f t="shared" ca="1" si="2"/>
        <v>0</v>
      </c>
      <c r="W7" s="11">
        <f t="shared" ca="1" si="2"/>
        <v>0</v>
      </c>
    </row>
    <row r="8" spans="1:23" x14ac:dyDescent="0.25">
      <c r="A8" s="8"/>
    </row>
    <row r="9" spans="1:23" x14ac:dyDescent="0.25">
      <c r="A9" s="8"/>
    </row>
    <row r="10" spans="1:23" x14ac:dyDescent="0.25">
      <c r="A10" s="8"/>
    </row>
    <row r="11" spans="1:23" x14ac:dyDescent="0.25">
      <c r="A11" s="8"/>
      <c r="B11" s="12"/>
    </row>
    <row r="12" spans="1:23" x14ac:dyDescent="0.25">
      <c r="A12" s="8"/>
    </row>
    <row r="13" spans="1:23" x14ac:dyDescent="0.25">
      <c r="A13" s="8"/>
    </row>
    <row r="14" spans="1:23" x14ac:dyDescent="0.25">
      <c r="A14" s="8"/>
    </row>
    <row r="15" spans="1:23" x14ac:dyDescent="0.25">
      <c r="A15" s="8"/>
    </row>
    <row r="16" spans="1:23" x14ac:dyDescent="0.25">
      <c r="A16" s="8"/>
    </row>
    <row r="17" spans="1:1" x14ac:dyDescent="0.25">
      <c r="A17" s="8"/>
    </row>
    <row r="18" spans="1:1" x14ac:dyDescent="0.25">
      <c r="A18" s="8"/>
    </row>
    <row r="19" spans="1:1" x14ac:dyDescent="0.25">
      <c r="A19" s="8"/>
    </row>
    <row r="20" spans="1:1" x14ac:dyDescent="0.25">
      <c r="A20" s="8"/>
    </row>
    <row r="21" spans="1:1" x14ac:dyDescent="0.25">
      <c r="A21" s="8"/>
    </row>
  </sheetData>
  <conditionalFormatting sqref="C7:W7">
    <cfRule type="cellIs" dxfId="4" priority="1" operator="greaterThan">
      <formula>1</formula>
    </cfRule>
    <cfRule type="cellIs" dxfId="3" priority="2" operator="between">
      <formula>0.0001</formula>
      <formula>0.9999</formula>
    </cfRule>
    <cfRule type="cellIs" dxfId="2" priority="3" operator="lessThan">
      <formula>0</formula>
    </cfRule>
    <cfRule type="cellIs" dxfId="1" priority="4" operator="equal">
      <formula>0</formula>
    </cfRule>
    <cfRule type="cellIs" dxfId="0" priority="5" operator="equal">
      <formula>1</formula>
    </cfRule>
  </conditionalFormatting>
  <pageMargins left="0.7" right="0.7" top="0.75" bottom="0.75" header="0.3" footer="0.3"/>
  <pageSetup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4D0AD-F739-4ED5-80B9-96133A844933}">
  <sheetPr codeName="Sheet8">
    <tabColor rgb="FF002060"/>
  </sheetPr>
  <dimension ref="A1:B15"/>
  <sheetViews>
    <sheetView workbookViewId="0">
      <selection activeCell="B12" sqref="B12"/>
    </sheetView>
  </sheetViews>
  <sheetFormatPr defaultRowHeight="15" x14ac:dyDescent="0.25"/>
  <cols>
    <col min="1" max="1" width="28.42578125" customWidth="1"/>
    <col min="2" max="2" width="19.85546875" customWidth="1"/>
  </cols>
  <sheetData>
    <row r="1" spans="1:2" x14ac:dyDescent="0.25">
      <c r="A1" s="6" t="s">
        <v>58</v>
      </c>
      <c r="B1" s="7" t="s">
        <v>59</v>
      </c>
    </row>
    <row r="2" spans="1:2" x14ac:dyDescent="0.25">
      <c r="A2" s="8" t="s">
        <v>37</v>
      </c>
      <c r="B2" s="26">
        <f>'Category Mapping'!B46</f>
        <v>119.99999999999999</v>
      </c>
    </row>
    <row r="3" spans="1:2" x14ac:dyDescent="0.25">
      <c r="A3" s="8" t="s">
        <v>38</v>
      </c>
      <c r="B3" s="26">
        <f>'Category Mapping'!B47</f>
        <v>92</v>
      </c>
    </row>
    <row r="4" spans="1:2" x14ac:dyDescent="0.25">
      <c r="A4" s="8" t="s">
        <v>39</v>
      </c>
      <c r="B4" s="26">
        <f>'Category Mapping'!B48</f>
        <v>92</v>
      </c>
    </row>
    <row r="5" spans="1:2" x14ac:dyDescent="0.25">
      <c r="A5" s="8" t="s">
        <v>40</v>
      </c>
      <c r="B5" s="26">
        <f>'Category Mapping'!B49</f>
        <v>61</v>
      </c>
    </row>
    <row r="6" spans="1:2" x14ac:dyDescent="0.25">
      <c r="A6" s="8" t="s">
        <v>80</v>
      </c>
      <c r="B6" s="34">
        <v>0</v>
      </c>
    </row>
    <row r="7" spans="1:2" x14ac:dyDescent="0.25">
      <c r="A7" s="8" t="s">
        <v>81</v>
      </c>
      <c r="B7" s="34">
        <v>0</v>
      </c>
    </row>
    <row r="8" spans="1:2" x14ac:dyDescent="0.25">
      <c r="A8" s="8"/>
    </row>
    <row r="9" spans="1:2" x14ac:dyDescent="0.25">
      <c r="A9" s="8"/>
    </row>
    <row r="10" spans="1:2" x14ac:dyDescent="0.25">
      <c r="A10" s="8"/>
    </row>
    <row r="11" spans="1:2" x14ac:dyDescent="0.25">
      <c r="A11" s="8"/>
    </row>
    <row r="12" spans="1:2" x14ac:dyDescent="0.25">
      <c r="A12" s="8"/>
    </row>
    <row r="13" spans="1:2" x14ac:dyDescent="0.25">
      <c r="A13" s="8"/>
    </row>
    <row r="14" spans="1:2" x14ac:dyDescent="0.25">
      <c r="A14" s="8"/>
    </row>
    <row r="15" spans="1:2" x14ac:dyDescent="0.25">
      <c r="A15" s="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F1E6E-1D2E-4BA8-8B1A-FF688D9C6ABB}">
  <sheetPr codeName="Sheet9">
    <tabColor rgb="FF002060"/>
  </sheetPr>
  <dimension ref="A1:Y29"/>
  <sheetViews>
    <sheetView workbookViewId="0">
      <selection activeCell="E27" sqref="E27"/>
    </sheetView>
  </sheetViews>
  <sheetFormatPr defaultRowHeight="15" x14ac:dyDescent="0.25"/>
  <cols>
    <col min="1" max="1" width="28.42578125" customWidth="1"/>
    <col min="2" max="2" width="10.5703125" bestFit="1" customWidth="1"/>
    <col min="3" max="3" width="10.42578125" bestFit="1" customWidth="1"/>
    <col min="4" max="25" width="10.5703125" bestFit="1" customWidth="1"/>
  </cols>
  <sheetData>
    <row r="1" spans="1:25" x14ac:dyDescent="0.25">
      <c r="A1" s="6" t="s">
        <v>25</v>
      </c>
      <c r="B1" s="7" t="s">
        <v>34</v>
      </c>
      <c r="C1" s="7" t="s">
        <v>0</v>
      </c>
      <c r="D1" s="7" t="s">
        <v>1</v>
      </c>
      <c r="E1" s="7" t="s">
        <v>2</v>
      </c>
      <c r="F1" s="7" t="s">
        <v>3</v>
      </c>
      <c r="G1" s="7" t="s">
        <v>4</v>
      </c>
      <c r="H1" s="7" t="s">
        <v>5</v>
      </c>
      <c r="I1" s="7" t="s">
        <v>6</v>
      </c>
      <c r="J1" s="7" t="s">
        <v>7</v>
      </c>
      <c r="K1" s="7" t="s">
        <v>8</v>
      </c>
      <c r="L1" s="7" t="s">
        <v>9</v>
      </c>
      <c r="M1" s="7" t="s">
        <v>10</v>
      </c>
      <c r="N1" s="7" t="s">
        <v>11</v>
      </c>
      <c r="O1" s="7" t="s">
        <v>12</v>
      </c>
      <c r="P1" s="7" t="s">
        <v>13</v>
      </c>
      <c r="Q1" s="7" t="s">
        <v>14</v>
      </c>
      <c r="R1" s="7" t="s">
        <v>15</v>
      </c>
      <c r="S1" s="7" t="s">
        <v>16</v>
      </c>
      <c r="T1" s="7" t="s">
        <v>17</v>
      </c>
      <c r="U1" s="7" t="s">
        <v>18</v>
      </c>
      <c r="V1" s="7" t="s">
        <v>19</v>
      </c>
      <c r="W1" s="7" t="s">
        <v>20</v>
      </c>
      <c r="X1" s="7" t="s">
        <v>21</v>
      </c>
      <c r="Y1" s="7" t="s">
        <v>22</v>
      </c>
    </row>
    <row r="2" spans="1:25" x14ac:dyDescent="0.25">
      <c r="A2" s="8" t="s">
        <v>37</v>
      </c>
      <c r="B2" s="8" cm="1">
        <f t="array" ref="B2">INDEX('Summarized Modified Source Data'!$D$600:$D$743,MATCH(1,($A2=LoadFactorSeasons)*(B$1=LoadFactorHours),0),)</f>
        <v>2.3666071221507424E-4</v>
      </c>
      <c r="C2" s="8" cm="1">
        <f t="array" ref="C2">INDEX('Summarized Modified Source Data'!$D$600:$D$743,MATCH(1,($A2=LoadFactorSeasons)*(C$1=LoadFactorHours),0),)</f>
        <v>2.4157636212263376E-4</v>
      </c>
      <c r="D2" s="8" cm="1">
        <f t="array" ref="D2">INDEX('Summarized Modified Source Data'!$D$600:$D$743,MATCH(1,($A2=LoadFactorSeasons)*(D$1=LoadFactorHours),0),)</f>
        <v>2.4291304779636586E-4</v>
      </c>
      <c r="E2" s="8" cm="1">
        <f t="array" ref="E2">INDEX('Summarized Modified Source Data'!$D$600:$D$743,MATCH(1,($A2=LoadFactorSeasons)*(E$1=LoadFactorHours),0),)</f>
        <v>2.4157636212263376E-4</v>
      </c>
      <c r="F2" s="8" cm="1">
        <f t="array" ref="F2">INDEX('Summarized Modified Source Data'!$D$600:$D$743,MATCH(1,($A2=LoadFactorSeasons)*(F$1=LoadFactorHours),0),)</f>
        <v>2.3666071221507424E-4</v>
      </c>
      <c r="G2" s="8" cm="1">
        <f t="array" ref="G2">INDEX('Summarized Modified Source Data'!$D$600:$D$743,MATCH(1,($A2=LoadFactorSeasons)*(G$1=LoadFactorHours),0),)</f>
        <v>2.7697890011428968E-4</v>
      </c>
      <c r="H2" s="8" cm="1">
        <f t="array" ref="H2">INDEX('Summarized Modified Source Data'!$D$600:$D$743,MATCH(1,($A2=LoadFactorSeasons)*(H$1=LoadFactorHours),0),)</f>
        <v>2.9245670022946986E-4</v>
      </c>
      <c r="I2" s="8" cm="1">
        <f t="array" ref="I2">INDEX('Summarized Modified Source Data'!$D$600:$D$743,MATCH(1,($A2=LoadFactorSeasons)*(I$1=LoadFactorHours),0),)</f>
        <v>2.9356075921433333E-4</v>
      </c>
      <c r="J2" s="8" cm="1">
        <f t="array" ref="J2">INDEX('Summarized Modified Source Data'!$D$600:$D$743,MATCH(1,($A2=LoadFactorSeasons)*(J$1=LoadFactorHours),0),)</f>
        <v>2.8751794052032334E-4</v>
      </c>
      <c r="K2" s="8" cm="1">
        <f t="array" ref="K2">INDEX('Summarized Modified Source Data'!$D$600:$D$743,MATCH(1,($A2=LoadFactorSeasons)*(K$1=LoadFactorHours),0),)</f>
        <v>2.3387223995924162E-4</v>
      </c>
      <c r="L2" s="8" cm="1">
        <f t="array" ref="L2">INDEX('Summarized Modified Source Data'!$D$600:$D$743,MATCH(1,($A2=LoadFactorSeasons)*(L$1=LoadFactorHours),0),)</f>
        <v>2.2552095933274667E-4</v>
      </c>
      <c r="M2" s="8" cm="1">
        <f t="array" ref="M2">INDEX('Summarized Modified Source Data'!$D$600:$D$743,MATCH(1,($A2=LoadFactorSeasons)*(M$1=LoadFactorHours),0),)</f>
        <v>2.0867432239995827E-4</v>
      </c>
      <c r="N2" s="8" cm="1">
        <f t="array" ref="N2">INDEX('Summarized Modified Source Data'!$D$600:$D$743,MATCH(1,($A2=LoadFactorSeasons)*(N$1=LoadFactorHours),0),)</f>
        <v>2.0731704281699539E-4</v>
      </c>
      <c r="O2" s="8" cm="1">
        <f t="array" ref="O2">INDEX('Summarized Modified Source Data'!$D$600:$D$743,MATCH(1,($A2=LoadFactorSeasons)*(O$1=LoadFactorHours),0),)</f>
        <v>2.0452224815634563E-4</v>
      </c>
      <c r="P2" s="8" cm="1">
        <f t="array" ref="P2">INDEX('Summarized Modified Source Data'!$D$600:$D$743,MATCH(1,($A2=LoadFactorSeasons)*(P$1=LoadFactorHours),0),)</f>
        <v>2.042499459850514E-4</v>
      </c>
      <c r="Q2" s="8" cm="1">
        <f t="array" ref="Q2">INDEX('Summarized Modified Source Data'!$D$600:$D$743,MATCH(1,($A2=LoadFactorSeasons)*(Q$1=LoadFactorHours),0),)</f>
        <v>2.1076432412465241E-4</v>
      </c>
      <c r="R2" s="8" cm="1">
        <f t="array" ref="R2">INDEX('Summarized Modified Source Data'!$D$600:$D$743,MATCH(1,($A2=LoadFactorSeasons)*(R$1=LoadFactorHours),0),)</f>
        <v>2.213398613068138E-4</v>
      </c>
      <c r="S2" s="8" cm="1">
        <f t="array" ref="S2">INDEX('Summarized Modified Source Data'!$D$600:$D$743,MATCH(1,($A2=LoadFactorSeasons)*(S$1=LoadFactorHours),0),)</f>
        <v>2.358059669602172E-4</v>
      </c>
      <c r="T2" s="8" cm="1">
        <f t="array" ref="T2">INDEX('Summarized Modified Source Data'!$D$600:$D$743,MATCH(1,($A2=LoadFactorSeasons)*(T$1=LoadFactorHours),0),)</f>
        <v>2.5321371790398687E-4</v>
      </c>
      <c r="U2" s="8" cm="1">
        <f t="array" ref="U2">INDEX('Summarized Modified Source Data'!$D$600:$D$743,MATCH(1,($A2=LoadFactorSeasons)*(U$1=LoadFactorHours),0),)</f>
        <v>2.7158895548670366E-4</v>
      </c>
      <c r="V2" s="8" cm="1">
        <f t="array" ref="V2">INDEX('Summarized Modified Source Data'!$D$600:$D$743,MATCH(1,($A2=LoadFactorSeasons)*(V$1=LoadFactorHours),0),)</f>
        <v>2.8481276810676917E-4</v>
      </c>
      <c r="W2" s="8" cm="1">
        <f t="array" ref="W2">INDEX('Summarized Modified Source Data'!$D$600:$D$743,MATCH(1,($A2=LoadFactorSeasons)*(W$1=LoadFactorHours),0),)</f>
        <v>2.709492513465931E-4</v>
      </c>
      <c r="X2" s="8" cm="1">
        <f t="array" ref="X2">INDEX('Summarized Modified Source Data'!$D$600:$D$743,MATCH(1,($A2=LoadFactorSeasons)*(X$1=LoadFactorHours),0),)</f>
        <v>2.366617157713944E-4</v>
      </c>
      <c r="Y2" s="8" cm="1">
        <f t="array" ref="Y2">INDEX('Summarized Modified Source Data'!$D$600:$D$743,MATCH(1,($A2=LoadFactorSeasons)*(Y$1=LoadFactorHours),0),)</f>
        <v>2.2941360259833436E-4</v>
      </c>
    </row>
    <row r="3" spans="1:25" x14ac:dyDescent="0.25">
      <c r="A3" s="8" t="s">
        <v>38</v>
      </c>
      <c r="B3" s="8" cm="1">
        <f t="array" ref="B3">INDEX('Summarized Modified Source Data'!$D$600:$D$743,MATCH(1,($A3=LoadFactorSeasons)*(B$1=LoadFactorHours),0),)</f>
        <v>9.4045620968812068E-5</v>
      </c>
      <c r="C3" s="8" cm="1">
        <f t="array" ref="C3">INDEX('Summarized Modified Source Data'!$D$600:$D$743,MATCH(1,($A3=LoadFactorSeasons)*(C$1=LoadFactorHours),0),)</f>
        <v>9.641280738446248E-5</v>
      </c>
      <c r="D3" s="8" cm="1">
        <f t="array" ref="D3">INDEX('Summarized Modified Source Data'!$D$600:$D$743,MATCH(1,($A3=LoadFactorSeasons)*(D$1=LoadFactorHours),0),)</f>
        <v>9.7213624018880072E-5</v>
      </c>
      <c r="E3" s="8" cm="1">
        <f t="array" ref="E3">INDEX('Summarized Modified Source Data'!$D$600:$D$743,MATCH(1,($A3=LoadFactorSeasons)*(E$1=LoadFactorHours),0),)</f>
        <v>9.641280738446248E-5</v>
      </c>
      <c r="F3" s="8" cm="1">
        <f t="array" ref="F3">INDEX('Summarized Modified Source Data'!$D$600:$D$743,MATCH(1,($A3=LoadFactorSeasons)*(F$1=LoadFactorHours),0),)</f>
        <v>9.4045620968812068E-5</v>
      </c>
      <c r="G3" s="8" cm="1">
        <f t="array" ref="G3">INDEX('Summarized Modified Source Data'!$D$600:$D$743,MATCH(1,($A3=LoadFactorSeasons)*(G$1=LoadFactorHours),0),)</f>
        <v>1.1804398593356838E-4</v>
      </c>
      <c r="H3" s="8" cm="1">
        <f t="array" ref="H3">INDEX('Summarized Modified Source Data'!$D$600:$D$743,MATCH(1,($A3=LoadFactorSeasons)*(H$1=LoadFactorHours),0),)</f>
        <v>1.2784353988326864E-4</v>
      </c>
      <c r="I3" s="8" cm="1">
        <f t="array" ref="I3">INDEX('Summarized Modified Source Data'!$D$600:$D$743,MATCH(1,($A3=LoadFactorSeasons)*(I$1=LoadFactorHours),0),)</f>
        <v>1.3095042848434621E-4</v>
      </c>
      <c r="J3" s="8" cm="1">
        <f t="array" ref="J3">INDEX('Summarized Modified Source Data'!$D$600:$D$743,MATCH(1,($A3=LoadFactorSeasons)*(J$1=LoadFactorHours),0),)</f>
        <v>1.3024396237951667E-4</v>
      </c>
      <c r="K3" s="8" cm="1">
        <f t="array" ref="K3">INDEX('Summarized Modified Source Data'!$D$600:$D$743,MATCH(1,($A3=LoadFactorSeasons)*(K$1=LoadFactorHours),0),)</f>
        <v>1.0316179568263791E-4</v>
      </c>
      <c r="L3" s="8" cm="1">
        <f t="array" ref="L3">INDEX('Summarized Modified Source Data'!$D$600:$D$743,MATCH(1,($A3=LoadFactorSeasons)*(L$1=LoadFactorHours),0),)</f>
        <v>1.0017502942451524E-4</v>
      </c>
      <c r="M3" s="8" cm="1">
        <f t="array" ref="M3">INDEX('Summarized Modified Source Data'!$D$600:$D$743,MATCH(1,($A3=LoadFactorSeasons)*(M$1=LoadFactorHours),0),)</f>
        <v>9.2004463517441181E-5</v>
      </c>
      <c r="N3" s="8" cm="1">
        <f t="array" ref="N3">INDEX('Summarized Modified Source Data'!$D$600:$D$743,MATCH(1,($A3=LoadFactorSeasons)*(N$1=LoadFactorHours),0),)</f>
        <v>9.4279716462305035E-5</v>
      </c>
      <c r="O3" s="8" cm="1">
        <f t="array" ref="O3">INDEX('Summarized Modified Source Data'!$D$600:$D$743,MATCH(1,($A3=LoadFactorSeasons)*(O$1=LoadFactorHours),0),)</f>
        <v>9.4758266707605087E-5</v>
      </c>
      <c r="P3" s="8" cm="1">
        <f t="array" ref="P3">INDEX('Summarized Modified Source Data'!$D$600:$D$743,MATCH(1,($A3=LoadFactorSeasons)*(P$1=LoadFactorHours),0),)</f>
        <v>9.5499195687360943E-5</v>
      </c>
      <c r="Q3" s="8" cm="1">
        <f t="array" ref="Q3">INDEX('Summarized Modified Source Data'!$D$600:$D$743,MATCH(1,($A3=LoadFactorSeasons)*(Q$1=LoadFactorHours),0),)</f>
        <v>9.827069150441927E-5</v>
      </c>
      <c r="R3" s="8" cm="1">
        <f t="array" ref="R3">INDEX('Summarized Modified Source Data'!$D$600:$D$743,MATCH(1,($A3=LoadFactorSeasons)*(R$1=LoadFactorHours),0),)</f>
        <v>1.0214629308485103E-4</v>
      </c>
      <c r="S3" s="8" cm="1">
        <f t="array" ref="S3">INDEX('Summarized Modified Source Data'!$D$600:$D$743,MATCH(1,($A3=LoadFactorSeasons)*(S$1=LoadFactorHours),0),)</f>
        <v>1.0711637481161561E-4</v>
      </c>
      <c r="T3" s="8" cm="1">
        <f t="array" ref="T3">INDEX('Summarized Modified Source Data'!$D$600:$D$743,MATCH(1,($A3=LoadFactorSeasons)*(T$1=LoadFactorHours),0),)</f>
        <v>1.1412290772664389E-4</v>
      </c>
      <c r="U3" s="8" cm="1">
        <f t="array" ref="U3">INDEX('Summarized Modified Source Data'!$D$600:$D$743,MATCH(1,($A3=LoadFactorSeasons)*(U$1=LoadFactorHours),0),)</f>
        <v>1.2246995241192688E-4</v>
      </c>
      <c r="V3" s="8" cm="1">
        <f t="array" ref="V3">INDEX('Summarized Modified Source Data'!$D$600:$D$743,MATCH(1,($A3=LoadFactorSeasons)*(V$1=LoadFactorHours),0),)</f>
        <v>1.271070797225563E-4</v>
      </c>
      <c r="W3" s="8" cm="1">
        <f t="array" ref="W3">INDEX('Summarized Modified Source Data'!$D$600:$D$743,MATCH(1,($A3=LoadFactorSeasons)*(W$1=LoadFactorHours),0),)</f>
        <v>1.1674217450152922E-4</v>
      </c>
      <c r="X3" s="8" cm="1">
        <f t="array" ref="X3">INDEX('Summarized Modified Source Data'!$D$600:$D$743,MATCH(1,($A3=LoadFactorSeasons)*(X$1=LoadFactorHours),0),)</f>
        <v>9.5505338791468473E-5</v>
      </c>
      <c r="Y3" s="8" cm="1">
        <f t="array" ref="Y3">INDEX('Summarized Modified Source Data'!$D$600:$D$743,MATCH(1,($A3=LoadFactorSeasons)*(Y$1=LoadFactorHours),0),)</f>
        <v>9.0212661906882897E-5</v>
      </c>
    </row>
    <row r="4" spans="1:25" x14ac:dyDescent="0.25">
      <c r="A4" s="8" t="s">
        <v>39</v>
      </c>
      <c r="B4" s="8" cm="1">
        <f t="array" ref="B4">INDEX('Summarized Modified Source Data'!$D$600:$D$743,MATCH(1,($A4=LoadFactorSeasons)*(B$1=LoadFactorHours),0),)</f>
        <v>1.6861481347109446E-6</v>
      </c>
      <c r="C4" s="8" cm="1">
        <f t="array" ref="C4">INDEX('Summarized Modified Source Data'!$D$600:$D$743,MATCH(1,($A4=LoadFactorSeasons)*(C$1=LoadFactorHours),0),)</f>
        <v>1.6861481347109446E-6</v>
      </c>
      <c r="D4" s="8" cm="1">
        <f t="array" ref="D4">INDEX('Summarized Modified Source Data'!$D$600:$D$743,MATCH(1,($A4=LoadFactorSeasons)*(D$1=LoadFactorHours),0),)</f>
        <v>1.6861481347109446E-6</v>
      </c>
      <c r="E4" s="8" cm="1">
        <f t="array" ref="E4">INDEX('Summarized Modified Source Data'!$D$600:$D$743,MATCH(1,($A4=LoadFactorSeasons)*(E$1=LoadFactorHours),0),)</f>
        <v>1.6861481347109446E-6</v>
      </c>
      <c r="F4" s="8" cm="1">
        <f t="array" ref="F4">INDEX('Summarized Modified Source Data'!$D$600:$D$743,MATCH(1,($A4=LoadFactorSeasons)*(F$1=LoadFactorHours),0),)</f>
        <v>1.6861481347109446E-6</v>
      </c>
      <c r="G4" s="8" cm="1">
        <f t="array" ref="G4">INDEX('Summarized Modified Source Data'!$D$600:$D$743,MATCH(1,($A4=LoadFactorSeasons)*(G$1=LoadFactorHours),0),)</f>
        <v>2.4145230206415195E-6</v>
      </c>
      <c r="H4" s="8" cm="1">
        <f t="array" ref="H4">INDEX('Summarized Modified Source Data'!$D$600:$D$743,MATCH(1,($A4=LoadFactorSeasons)*(H$1=LoadFactorHours),0),)</f>
        <v>2.7412064781733437E-6</v>
      </c>
      <c r="I4" s="8" cm="1">
        <f t="array" ref="I4">INDEX('Summarized Modified Source Data'!$D$600:$D$743,MATCH(1,($A4=LoadFactorSeasons)*(I$1=LoadFactorHours),0),)</f>
        <v>2.9042544460143924E-6</v>
      </c>
      <c r="J4" s="8" cm="1">
        <f t="array" ref="J4">INDEX('Summarized Modified Source Data'!$D$600:$D$743,MATCH(1,($A4=LoadFactorSeasons)*(J$1=LoadFactorHours),0),)</f>
        <v>2.976814916533225E-6</v>
      </c>
      <c r="K4" s="8" cm="1">
        <f t="array" ref="K4">INDEX('Summarized Modified Source Data'!$D$600:$D$743,MATCH(1,($A4=LoadFactorSeasons)*(K$1=LoadFactorHours),0),)</f>
        <v>2.4124803928634474E-6</v>
      </c>
      <c r="L4" s="8" cm="1">
        <f t="array" ref="L4">INDEX('Summarized Modified Source Data'!$D$600:$D$743,MATCH(1,($A4=LoadFactorSeasons)*(L$1=LoadFactorHours),0),)</f>
        <v>2.4264956809264067E-6</v>
      </c>
      <c r="M4" s="8" cm="1">
        <f t="array" ref="M4">INDEX('Summarized Modified Source Data'!$D$600:$D$743,MATCH(1,($A4=LoadFactorSeasons)*(M$1=LoadFactorHours),0),)</f>
        <v>2.2353592980208651E-6</v>
      </c>
      <c r="N4" s="8" cm="1">
        <f t="array" ref="N4">INDEX('Summarized Modified Source Data'!$D$600:$D$743,MATCH(1,($A4=LoadFactorSeasons)*(N$1=LoadFactorHours),0),)</f>
        <v>2.2943611036760094E-6</v>
      </c>
      <c r="O4" s="8" cm="1">
        <f t="array" ref="O4">INDEX('Summarized Modified Source Data'!$D$600:$D$743,MATCH(1,($A4=LoadFactorSeasons)*(O$1=LoadFactorHours),0),)</f>
        <v>2.3050095566830104E-6</v>
      </c>
      <c r="P4" s="8" cm="1">
        <f t="array" ref="P4">INDEX('Summarized Modified Source Data'!$D$600:$D$743,MATCH(1,($A4=LoadFactorSeasons)*(P$1=LoadFactorHours),0),)</f>
        <v>2.3198498106593201E-6</v>
      </c>
      <c r="Q4" s="8" cm="1">
        <f t="array" ref="Q4">INDEX('Summarized Modified Source Data'!$D$600:$D$743,MATCH(1,($A4=LoadFactorSeasons)*(Q$1=LoadFactorHours),0),)</f>
        <v>2.3879749478359001E-6</v>
      </c>
      <c r="R4" s="8" cm="1">
        <f t="array" ref="R4">INDEX('Summarized Modified Source Data'!$D$600:$D$743,MATCH(1,($A4=LoadFactorSeasons)*(R$1=LoadFactorHours),0),)</f>
        <v>2.4834183289475366E-6</v>
      </c>
      <c r="S4" s="8" cm="1">
        <f t="array" ref="S4">INDEX('Summarized Modified Source Data'!$D$600:$D$743,MATCH(1,($A4=LoadFactorSeasons)*(S$1=LoadFactorHours),0),)</f>
        <v>2.5997872292044354E-6</v>
      </c>
      <c r="T4" s="8" cm="1">
        <f t="array" ref="T4">INDEX('Summarized Modified Source Data'!$D$600:$D$743,MATCH(1,($A4=LoadFactorSeasons)*(T$1=LoadFactorHours),0),)</f>
        <v>2.7336813278493567E-6</v>
      </c>
      <c r="U4" s="8" cm="1">
        <f t="array" ref="U4">INDEX('Summarized Modified Source Data'!$D$600:$D$743,MATCH(1,($A4=LoadFactorSeasons)*(U$1=LoadFactorHours),0),)</f>
        <v>2.8519832663165028E-6</v>
      </c>
      <c r="V4" s="8" cm="1">
        <f t="array" ref="V4">INDEX('Summarized Modified Source Data'!$D$600:$D$743,MATCH(1,($A4=LoadFactorSeasons)*(V$1=LoadFactorHours),0),)</f>
        <v>2.8680838003228002E-6</v>
      </c>
      <c r="W4" s="8" cm="1">
        <f t="array" ref="W4">INDEX('Summarized Modified Source Data'!$D$600:$D$743,MATCH(1,($A4=LoadFactorSeasons)*(W$1=LoadFactorHours),0),)</f>
        <v>2.5253180737126495E-6</v>
      </c>
      <c r="X4" s="8" cm="1">
        <f t="array" ref="X4">INDEX('Summarized Modified Source Data'!$D$600:$D$743,MATCH(1,($A4=LoadFactorSeasons)*(X$1=LoadFactorHours),0),)</f>
        <v>1.9127306544985673E-6</v>
      </c>
      <c r="Y4" s="8" cm="1">
        <f t="array" ref="Y4">INDEX('Summarized Modified Source Data'!$D$600:$D$743,MATCH(1,($A4=LoadFactorSeasons)*(Y$1=LoadFactorHours),0),)</f>
        <v>1.6861481347109446E-6</v>
      </c>
    </row>
    <row r="5" spans="1:25" x14ac:dyDescent="0.25">
      <c r="A5" s="8" t="s">
        <v>40</v>
      </c>
      <c r="B5" s="8" cm="1">
        <f t="array" ref="B5">INDEX('Summarized Modified Source Data'!$D$600:$D$743,MATCH(1,($A5=LoadFactorSeasons)*(B$1=LoadFactorHours),0),)</f>
        <v>2.9622393143766293E-5</v>
      </c>
      <c r="C5" s="8" cm="1">
        <f t="array" ref="C5">INDEX('Summarized Modified Source Data'!$D$600:$D$743,MATCH(1,($A5=LoadFactorSeasons)*(C$1=LoadFactorHours),0),)</f>
        <v>2.9622393143766293E-5</v>
      </c>
      <c r="D5" s="8" cm="1">
        <f t="array" ref="D5">INDEX('Summarized Modified Source Data'!$D$600:$D$743,MATCH(1,($A5=LoadFactorSeasons)*(D$1=LoadFactorHours),0),)</f>
        <v>2.9694910896311505E-5</v>
      </c>
      <c r="E5" s="8" cm="1">
        <f t="array" ref="E5">INDEX('Summarized Modified Source Data'!$D$600:$D$743,MATCH(1,($A5=LoadFactorSeasons)*(E$1=LoadFactorHours),0),)</f>
        <v>2.9622393143766293E-5</v>
      </c>
      <c r="F5" s="8" cm="1">
        <f t="array" ref="F5">INDEX('Summarized Modified Source Data'!$D$600:$D$743,MATCH(1,($A5=LoadFactorSeasons)*(F$1=LoadFactorHours),0),)</f>
        <v>2.9622393143766293E-5</v>
      </c>
      <c r="G5" s="8" cm="1">
        <f t="array" ref="G5">INDEX('Summarized Modified Source Data'!$D$600:$D$743,MATCH(1,($A5=LoadFactorSeasons)*(G$1=LoadFactorHours),0),)</f>
        <v>4.2418771538016865E-5</v>
      </c>
      <c r="H5" s="8" cm="1">
        <f t="array" ref="H5">INDEX('Summarized Modified Source Data'!$D$600:$D$743,MATCH(1,($A5=LoadFactorSeasons)*(H$1=LoadFactorHours),0),)</f>
        <v>4.8158004153269344E-5</v>
      </c>
      <c r="I5" s="8" cm="1">
        <f t="array" ref="I5">INDEX('Summarized Modified Source Data'!$D$600:$D$743,MATCH(1,($A5=LoadFactorSeasons)*(I$1=LoadFactorHours),0),)</f>
        <v>5.1022122517959652E-5</v>
      </c>
      <c r="J5" s="8" cm="1">
        <f t="array" ref="J5">INDEX('Summarized Modified Source Data'!$D$600:$D$743,MATCH(1,($A5=LoadFactorSeasons)*(J$1=LoadFactorHours),0),)</f>
        <v>5.2296667356884654E-5</v>
      </c>
      <c r="K5" s="8" cm="1">
        <f t="array" ref="K5">INDEX('Summarized Modified Source Data'!$D$600:$D$743,MATCH(1,($A5=LoadFactorSeasons)*(K$1=LoadFactorHours),0),)</f>
        <v>4.2381679361833722E-5</v>
      </c>
      <c r="L5" s="8" cm="1">
        <f t="array" ref="L5">INDEX('Summarized Modified Source Data'!$D$600:$D$743,MATCH(1,($A5=LoadFactorSeasons)*(L$1=LoadFactorHours),0),)</f>
        <v>4.2627817331552099E-5</v>
      </c>
      <c r="M5" s="8" cm="1">
        <f t="array" ref="M5">INDEX('Summarized Modified Source Data'!$D$600:$D$743,MATCH(1,($A5=LoadFactorSeasons)*(M$1=LoadFactorHours),0),)</f>
        <v>3.92706700732359E-5</v>
      </c>
      <c r="N5" s="8" cm="1">
        <f t="array" ref="N5">INDEX('Summarized Modified Source Data'!$D$600:$D$743,MATCH(1,($A5=LoadFactorSeasons)*(N$1=LoadFactorHours),0),)</f>
        <v>4.0307166608791676E-5</v>
      </c>
      <c r="O5" s="8" cm="1">
        <f t="array" ref="O5">INDEX('Summarized Modified Source Data'!$D$600:$D$743,MATCH(1,($A5=LoadFactorSeasons)*(O$1=LoadFactorHours),0),)</f>
        <v>4.0494266542424012E-5</v>
      </c>
      <c r="P5" s="8" cm="1">
        <f t="array" ref="P5">INDEX('Summarized Modified Source Data'!$D$600:$D$743,MATCH(1,($A5=LoadFactorSeasons)*(P$1=LoadFactorHours),0),)</f>
        <v>4.0755013659885267E-5</v>
      </c>
      <c r="Q5" s="8" cm="1">
        <f t="array" ref="Q5">INDEX('Summarized Modified Source Data'!$D$600:$D$743,MATCH(1,($A5=LoadFactorSeasons)*(Q$1=LoadFactorHours),0),)</f>
        <v>4.1951995034961021E-5</v>
      </c>
      <c r="R5" s="8" cm="1">
        <f t="array" ref="R5">INDEX('Summarized Modified Source Data'!$D$600:$D$743,MATCH(1,($A5=LoadFactorSeasons)*(R$1=LoadFactorHours),0),)</f>
        <v>4.3628704643382593E-5</v>
      </c>
      <c r="S5" s="8" cm="1">
        <f t="array" ref="S5">INDEX('Summarized Modified Source Data'!$D$600:$D$743,MATCH(1,($A5=LoadFactorSeasons)*(S$1=LoadFactorHours),0),)</f>
        <v>4.5673214008461175E-5</v>
      </c>
      <c r="T5" s="8" cm="1">
        <f t="array" ref="T5">INDEX('Summarized Modified Source Data'!$D$600:$D$743,MATCH(1,($A5=LoadFactorSeasons)*(T$1=LoadFactorHours),0),)</f>
        <v>4.8025493398349421E-5</v>
      </c>
      <c r="U5" s="8" cm="1">
        <f t="array" ref="U5">INDEX('Summarized Modified Source Data'!$D$600:$D$743,MATCH(1,($A5=LoadFactorSeasons)*(U$1=LoadFactorHours),0),)</f>
        <v>5.0103780104705319E-5</v>
      </c>
      <c r="V5" s="8" cm="1">
        <f t="array" ref="V5">INDEX('Summarized Modified Source Data'!$D$600:$D$743,MATCH(1,($A5=LoadFactorSeasons)*(V$1=LoadFactorHours),0),)</f>
        <v>5.0386734779562039E-5</v>
      </c>
      <c r="W5" s="8" cm="1">
        <f t="array" ref="W5">INDEX('Summarized Modified Source Data'!$D$600:$D$743,MATCH(1,($A5=LoadFactorSeasons)*(W$1=LoadFactorHours),0),)</f>
        <v>4.4364928557731496E-5</v>
      </c>
      <c r="X5" s="8" cm="1">
        <f t="array" ref="X5">INDEX('Summarized Modified Source Data'!$D$600:$D$743,MATCH(1,($A5=LoadFactorSeasons)*(X$1=LoadFactorHours),0),)</f>
        <v>3.3602981879503675E-5</v>
      </c>
      <c r="Y5" s="8" cm="1">
        <f t="array" ref="Y5">INDEX('Summarized Modified Source Data'!$D$600:$D$743,MATCH(1,($A5=LoadFactorSeasons)*(Y$1=LoadFactorHours),0),)</f>
        <v>2.9622393143766293E-5</v>
      </c>
    </row>
    <row r="6" spans="1:25" x14ac:dyDescent="0.25">
      <c r="A6" s="8" t="s">
        <v>80</v>
      </c>
      <c r="B6" s="8" cm="1">
        <f t="array" ref="B6">INDEX('Summarized Modified Source Data'!$D$600:$D$743,MATCH(1,($A6=LoadFactorSeasons)*(B$1=LoadFactorHours),0),)</f>
        <v>2.0151786354870222E-6</v>
      </c>
      <c r="C6" s="8" cm="1">
        <f t="array" ref="C6">INDEX('Summarized Modified Source Data'!$D$600:$D$743,MATCH(1,($A6=LoadFactorSeasons)*(C$1=LoadFactorHours),0),)</f>
        <v>2.0151786354870222E-6</v>
      </c>
      <c r="D6" s="8" cm="1">
        <f t="array" ref="D6">INDEX('Summarized Modified Source Data'!$D$600:$D$743,MATCH(1,($A6=LoadFactorSeasons)*(D$1=LoadFactorHours),0),)</f>
        <v>2.0151786354870222E-6</v>
      </c>
      <c r="E6" s="8" cm="1">
        <f t="array" ref="E6">INDEX('Summarized Modified Source Data'!$D$600:$D$743,MATCH(1,($A6=LoadFactorSeasons)*(E$1=LoadFactorHours),0),)</f>
        <v>2.0151786354870222E-6</v>
      </c>
      <c r="F6" s="8" cm="1">
        <f t="array" ref="F6">INDEX('Summarized Modified Source Data'!$D$600:$D$743,MATCH(1,($A6=LoadFactorSeasons)*(F$1=LoadFactorHours),0),)</f>
        <v>2.0151786354870222E-6</v>
      </c>
      <c r="G6" s="8" cm="1">
        <f t="array" ref="G6">INDEX('Summarized Modified Source Data'!$D$600:$D$743,MATCH(1,($A6=LoadFactorSeasons)*(G$1=LoadFactorHours),0),)</f>
        <v>2.6631026020153604E-6</v>
      </c>
      <c r="H6" s="8" cm="1">
        <f t="array" ref="H6">INDEX('Summarized Modified Source Data'!$D$600:$D$743,MATCH(1,($A6=LoadFactorSeasons)*(H$1=LoadFactorHours),0),)</f>
        <v>3.0421698729675609E-6</v>
      </c>
      <c r="I6" s="8" cm="1">
        <f t="array" ref="I6">INDEX('Summarized Modified Source Data'!$D$600:$D$743,MATCH(1,($A6=LoadFactorSeasons)*(I$1=LoadFactorHours),0),)</f>
        <v>3.5310002285605386E-6</v>
      </c>
      <c r="J6" s="8" cm="1">
        <f t="array" ref="J6">INDEX('Summarized Modified Source Data'!$D$600:$D$743,MATCH(1,($A6=LoadFactorSeasons)*(J$1=LoadFactorHours),0),)</f>
        <v>3.8367003280085275E-6</v>
      </c>
      <c r="K6" s="8" cm="1">
        <f t="array" ref="K6">INDEX('Summarized Modified Source Data'!$D$600:$D$743,MATCH(1,($A6=LoadFactorSeasons)*(K$1=LoadFactorHours),0),)</f>
        <v>3.898038522366609E-6</v>
      </c>
      <c r="L6" s="8" cm="1">
        <f t="array" ref="L6">INDEX('Summarized Modified Source Data'!$D$600:$D$743,MATCH(1,($A6=LoadFactorSeasons)*(L$1=LoadFactorHours),0),)</f>
        <v>3.9085225910218715E-6</v>
      </c>
      <c r="M6" s="8" cm="1">
        <f t="array" ref="M6">INDEX('Summarized Modified Source Data'!$D$600:$D$743,MATCH(1,($A6=LoadFactorSeasons)*(M$1=LoadFactorHours),0),)</f>
        <v>3.0087891950235159E-6</v>
      </c>
      <c r="N6" s="8" cm="1">
        <f t="array" ref="N6">INDEX('Summarized Modified Source Data'!$D$600:$D$743,MATCH(1,($A6=LoadFactorSeasons)*(N$1=LoadFactorHours),0),)</f>
        <v>3.0739630242554739E-6</v>
      </c>
      <c r="O6" s="8" cm="1">
        <f t="array" ref="O6">INDEX('Summarized Modified Source Data'!$D$600:$D$743,MATCH(1,($A6=LoadFactorSeasons)*(O$1=LoadFactorHours),0),)</f>
        <v>3.0714805161287704E-6</v>
      </c>
      <c r="P6" s="8" cm="1">
        <f t="array" ref="P6">INDEX('Summarized Modified Source Data'!$D$600:$D$743,MATCH(1,($A6=LoadFactorSeasons)*(P$1=LoadFactorHours),0),)</f>
        <v>3.0510877240493251E-6</v>
      </c>
      <c r="Q6" s="8" cm="1">
        <f t="array" ref="Q6">INDEX('Summarized Modified Source Data'!$D$600:$D$743,MATCH(1,($A6=LoadFactorSeasons)*(Q$1=LoadFactorHours),0),)</f>
        <v>3.0558929221829873E-6</v>
      </c>
      <c r="R6" s="8" cm="1">
        <f t="array" ref="R6">INDEX('Summarized Modified Source Data'!$D$600:$D$743,MATCH(1,($A6=LoadFactorSeasons)*(R$1=LoadFactorHours),0),)</f>
        <v>3.1083985017898351E-6</v>
      </c>
      <c r="S6" s="8" cm="1">
        <f t="array" ref="S6">INDEX('Summarized Modified Source Data'!$D$600:$D$743,MATCH(1,($A6=LoadFactorSeasons)*(S$1=LoadFactorHours),0),)</f>
        <v>3.2063883182760735E-6</v>
      </c>
      <c r="T6" s="8" cm="1">
        <f t="array" ref="T6">INDEX('Summarized Modified Source Data'!$D$600:$D$743,MATCH(1,($A6=LoadFactorSeasons)*(T$1=LoadFactorHours),0),)</f>
        <v>3.3232260183508905E-6</v>
      </c>
      <c r="U6" s="8" cm="1">
        <f t="array" ref="U6">INDEX('Summarized Modified Source Data'!$D$600:$D$743,MATCH(1,($A6=LoadFactorSeasons)*(U$1=LoadFactorHours),0),)</f>
        <v>3.4270332143958422E-6</v>
      </c>
      <c r="V6" s="8" cm="1">
        <f t="array" ref="V6">INDEX('Summarized Modified Source Data'!$D$600:$D$743,MATCH(1,($A6=LoadFactorSeasons)*(V$1=LoadFactorHours),0),)</f>
        <v>3.4146419828449564E-6</v>
      </c>
      <c r="W6" s="8" cm="1">
        <f t="array" ref="W6">INDEX('Summarized Modified Source Data'!$D$600:$D$743,MATCH(1,($A6=LoadFactorSeasons)*(W$1=LoadFactorHours),0),)</f>
        <v>3.0197100998727484E-6</v>
      </c>
      <c r="X6" s="8" cm="1">
        <f t="array" ref="X6">INDEX('Summarized Modified Source Data'!$D$600:$D$743,MATCH(1,($A6=LoadFactorSeasons)*(X$1=LoadFactorHours),0),)</f>
        <v>2.3496992691956692E-6</v>
      </c>
      <c r="Y6" s="8" cm="1">
        <f t="array" ref="Y6">INDEX('Summarized Modified Source Data'!$D$600:$D$743,MATCH(1,($A6=LoadFactorSeasons)*(Y$1=LoadFactorHours),0),)</f>
        <v>2.0151786354870222E-6</v>
      </c>
    </row>
    <row r="7" spans="1:25" x14ac:dyDescent="0.25">
      <c r="A7" s="8" t="s">
        <v>81</v>
      </c>
      <c r="B7" s="8" cm="1">
        <f t="array" ref="B7">INDEX('Summarized Modified Source Data'!$D$600:$D$743,MATCH(1,($A7=LoadFactorSeasons)*(B$1=LoadFactorHours),0),)</f>
        <v>2.9491063931982387E-4</v>
      </c>
      <c r="C7" s="8" cm="1">
        <f t="array" ref="C7">INDEX('Summarized Modified Source Data'!$D$600:$D$743,MATCH(1,($A7=LoadFactorSeasons)*(C$1=LoadFactorHours),0),)</f>
        <v>3.0067953965009369E-4</v>
      </c>
      <c r="D7" s="8" cm="1">
        <f t="array" ref="D7">INDEX('Summarized Modified Source Data'!$D$600:$D$743,MATCH(1,($A7=LoadFactorSeasons)*(D$1=LoadFactorHours),0),)</f>
        <v>3.0209054683781649E-4</v>
      </c>
      <c r="E7" s="8" cm="1">
        <f t="array" ref="E7">INDEX('Summarized Modified Source Data'!$D$600:$D$743,MATCH(1,($A7=LoadFactorSeasons)*(E$1=LoadFactorHours),0),)</f>
        <v>3.0067953965009369E-4</v>
      </c>
      <c r="F7" s="8" cm="1">
        <f t="array" ref="F7">INDEX('Summarized Modified Source Data'!$D$600:$D$743,MATCH(1,($A7=LoadFactorSeasons)*(F$1=LoadFactorHours),0),)</f>
        <v>2.9491063931982387E-4</v>
      </c>
      <c r="G7" s="8" cm="1">
        <f t="array" ref="G7">INDEX('Summarized Modified Source Data'!$D$600:$D$743,MATCH(1,($A7=LoadFactorSeasons)*(G$1=LoadFactorHours),0),)</f>
        <v>3.1022967915900413E-4</v>
      </c>
      <c r="H7" s="8" cm="1">
        <f t="array" ref="H7">INDEX('Summarized Modified Source Data'!$D$600:$D$743,MATCH(1,($A7=LoadFactorSeasons)*(H$1=LoadFactorHours),0),)</f>
        <v>3.276438120208146E-4</v>
      </c>
      <c r="I7" s="8" cm="1">
        <f t="array" ref="I7">INDEX('Summarized Modified Source Data'!$D$600:$D$743,MATCH(1,($A7=LoadFactorSeasons)*(I$1=LoadFactorHours),0),)</f>
        <v>3.5029552632228928E-4</v>
      </c>
      <c r="J7" s="8" cm="1">
        <f t="array" ref="J7">INDEX('Summarized Modified Source Data'!$D$600:$D$743,MATCH(1,($A7=LoadFactorSeasons)*(J$1=LoadFactorHours),0),)</f>
        <v>3.6018589126148048E-4</v>
      </c>
      <c r="K7" s="8" cm="1">
        <f t="array" ref="K7">INDEX('Summarized Modified Source Data'!$D$600:$D$743,MATCH(1,($A7=LoadFactorSeasons)*(K$1=LoadFactorHours),0),)</f>
        <v>3.508710040248345E-4</v>
      </c>
      <c r="L7" s="8" cm="1">
        <f t="array" ref="L7">INDEX('Summarized Modified Source Data'!$D$600:$D$743,MATCH(1,($A7=LoadFactorSeasons)*(L$1=LoadFactorHours),0),)</f>
        <v>3.3994100374883129E-4</v>
      </c>
      <c r="M7" s="8" cm="1">
        <f t="array" ref="M7">INDEX('Summarized Modified Source Data'!$D$600:$D$743,MATCH(1,($A7=LoadFactorSeasons)*(M$1=LoadFactorHours),0),)</f>
        <v>2.7988617943531971E-4</v>
      </c>
      <c r="N7" s="8" cm="1">
        <f t="array" ref="N7">INDEX('Summarized Modified Source Data'!$D$600:$D$743,MATCH(1,($A7=LoadFactorSeasons)*(N$1=LoadFactorHours),0),)</f>
        <v>2.7705073607599902E-4</v>
      </c>
      <c r="O7" s="8" cm="1">
        <f t="array" ref="O7">INDEX('Summarized Modified Source Data'!$D$600:$D$743,MATCH(1,($A7=LoadFactorSeasons)*(O$1=LoadFactorHours),0),)</f>
        <v>2.7237661650233476E-4</v>
      </c>
      <c r="P7" s="8" cm="1">
        <f t="array" ref="P7">INDEX('Summarized Modified Source Data'!$D$600:$D$743,MATCH(1,($A7=LoadFactorSeasons)*(P$1=LoadFactorHours),0),)</f>
        <v>2.694964833797655E-4</v>
      </c>
      <c r="Q7" s="8" cm="1">
        <f t="array" ref="Q7">INDEX('Summarized Modified Source Data'!$D$600:$D$743,MATCH(1,($A7=LoadFactorSeasons)*(Q$1=LoadFactorHours),0),)</f>
        <v>2.7155676233349321E-4</v>
      </c>
      <c r="R7" s="8" cm="1">
        <f t="array" ref="R7">INDEX('Summarized Modified Source Data'!$D$600:$D$743,MATCH(1,($A7=LoadFactorSeasons)*(R$1=LoadFactorHours),0),)</f>
        <v>2.796795250174024E-4</v>
      </c>
      <c r="S7" s="8" cm="1">
        <f t="array" ref="S7">INDEX('Summarized Modified Source Data'!$D$600:$D$743,MATCH(1,($A7=LoadFactorSeasons)*(S$1=LoadFactorHours),0),)</f>
        <v>2.9436957543057895E-4</v>
      </c>
      <c r="T7" s="8" cm="1">
        <f t="array" ref="T7">INDEX('Summarized Modified Source Data'!$D$600:$D$743,MATCH(1,($A7=LoadFactorSeasons)*(T$1=LoadFactorHours),0),)</f>
        <v>3.1200375085177338E-4</v>
      </c>
      <c r="U7" s="8" cm="1">
        <f t="array" ref="U7">INDEX('Summarized Modified Source Data'!$D$600:$D$743,MATCH(1,($A7=LoadFactorSeasons)*(U$1=LoadFactorHours),0),)</f>
        <v>3.3302412950928265E-4</v>
      </c>
      <c r="V7" s="8" cm="1">
        <f t="array" ref="V7">INDEX('Summarized Modified Source Data'!$D$600:$D$743,MATCH(1,($A7=LoadFactorSeasons)*(V$1=LoadFactorHours),0),)</f>
        <v>3.4745039514370103E-4</v>
      </c>
      <c r="W7" s="8" cm="1">
        <f t="array" ref="W7">INDEX('Summarized Modified Source Data'!$D$600:$D$743,MATCH(1,($A7=LoadFactorSeasons)*(W$1=LoadFactorHours),0),)</f>
        <v>3.332357095216505E-4</v>
      </c>
      <c r="X7" s="8" cm="1">
        <f t="array" ref="X7">INDEX('Summarized Modified Source Data'!$D$600:$D$743,MATCH(1,($A7=LoadFactorSeasons)*(X$1=LoadFactorHours),0),)</f>
        <v>2.98181544437284E-4</v>
      </c>
      <c r="Y7" s="8" cm="1">
        <f t="array" ref="Y7">INDEX('Summarized Modified Source Data'!$D$600:$D$743,MATCH(1,($A7=LoadFactorSeasons)*(Y$1=LoadFactorHours),0),)</f>
        <v>2.8506587084534726E-4</v>
      </c>
    </row>
    <row r="8" spans="1:25" x14ac:dyDescent="0.25">
      <c r="A8" s="8"/>
      <c r="B8" s="8"/>
      <c r="C8" s="8"/>
      <c r="D8" s="8"/>
      <c r="E8" s="8"/>
      <c r="F8" s="8"/>
      <c r="G8" s="8"/>
      <c r="H8" s="8"/>
      <c r="I8" s="8"/>
      <c r="J8" s="8"/>
      <c r="K8" s="8"/>
      <c r="L8" s="8"/>
      <c r="M8" s="8"/>
      <c r="N8" s="8"/>
      <c r="O8" s="8"/>
      <c r="P8" s="8"/>
      <c r="Q8" s="8"/>
      <c r="R8" s="8"/>
      <c r="S8" s="8"/>
      <c r="T8" s="8"/>
      <c r="U8" s="8"/>
      <c r="V8" s="8"/>
      <c r="W8" s="8"/>
      <c r="X8" s="8"/>
      <c r="Y8" s="8"/>
    </row>
    <row r="9" spans="1:25" x14ac:dyDescent="0.25">
      <c r="A9" s="8"/>
      <c r="B9" s="8"/>
      <c r="C9" s="8"/>
      <c r="D9" s="8"/>
      <c r="E9" s="8"/>
      <c r="F9" s="8"/>
      <c r="G9" s="8"/>
      <c r="H9" s="8"/>
      <c r="I9" s="8"/>
      <c r="J9" s="8"/>
      <c r="K9" s="8"/>
      <c r="L9" s="8"/>
      <c r="M9" s="8"/>
      <c r="N9" s="8"/>
      <c r="O9" s="8"/>
      <c r="P9" s="8"/>
      <c r="Q9" s="8"/>
      <c r="R9" s="8"/>
      <c r="S9" s="8"/>
      <c r="T9" s="8"/>
      <c r="U9" s="8"/>
      <c r="V9" s="8"/>
      <c r="W9" s="8"/>
      <c r="X9" s="8"/>
      <c r="Y9" s="8"/>
    </row>
    <row r="10" spans="1:25" x14ac:dyDescent="0.25">
      <c r="A10" s="6"/>
      <c r="B10" s="7"/>
      <c r="C10" s="7"/>
      <c r="D10" s="7"/>
      <c r="E10" s="7"/>
      <c r="F10" s="7"/>
      <c r="G10" s="7"/>
      <c r="H10" s="7"/>
      <c r="I10" s="7"/>
      <c r="J10" s="7"/>
      <c r="K10" s="7"/>
      <c r="L10" s="7"/>
      <c r="M10" s="7"/>
      <c r="N10" s="7"/>
      <c r="O10" s="7"/>
      <c r="P10" s="7"/>
      <c r="Q10" s="7"/>
      <c r="R10" s="7"/>
      <c r="S10" s="7"/>
      <c r="T10" s="7"/>
      <c r="U10" s="7"/>
      <c r="V10" s="7"/>
      <c r="W10" s="7"/>
      <c r="X10" s="7"/>
      <c r="Y10" s="7"/>
    </row>
    <row r="11" spans="1:25" x14ac:dyDescent="0.25">
      <c r="A11" s="8" t="s">
        <v>25</v>
      </c>
      <c r="B11" s="8" t="s">
        <v>34</v>
      </c>
      <c r="C11" s="8" t="s">
        <v>0</v>
      </c>
      <c r="D11" s="8" t="s">
        <v>1</v>
      </c>
      <c r="E11" s="8" t="s">
        <v>2</v>
      </c>
      <c r="F11" s="8" t="s">
        <v>3</v>
      </c>
      <c r="G11" s="8" t="s">
        <v>4</v>
      </c>
      <c r="H11" s="8" t="s">
        <v>5</v>
      </c>
      <c r="I11" s="8" t="s">
        <v>6</v>
      </c>
      <c r="J11" s="8" t="s">
        <v>7</v>
      </c>
      <c r="K11" s="8" t="s">
        <v>8</v>
      </c>
      <c r="L11" s="8" t="s">
        <v>9</v>
      </c>
      <c r="M11" s="8" t="s">
        <v>10</v>
      </c>
      <c r="N11" s="8" t="s">
        <v>11</v>
      </c>
      <c r="O11" s="8" t="s">
        <v>12</v>
      </c>
      <c r="P11" s="8" t="s">
        <v>13</v>
      </c>
      <c r="Q11" s="8" t="s">
        <v>14</v>
      </c>
      <c r="R11" s="8" t="s">
        <v>15</v>
      </c>
      <c r="S11" s="8" t="s">
        <v>16</v>
      </c>
      <c r="T11" s="8" t="s">
        <v>17</v>
      </c>
      <c r="U11" s="8" t="s">
        <v>18</v>
      </c>
      <c r="V11" s="8" t="s">
        <v>19</v>
      </c>
      <c r="W11" s="8" t="s">
        <v>20</v>
      </c>
      <c r="X11" s="8" t="s">
        <v>21</v>
      </c>
      <c r="Y11" s="8" t="s">
        <v>22</v>
      </c>
    </row>
    <row r="12" spans="1:25" x14ac:dyDescent="0.25">
      <c r="A12" s="8" t="s">
        <v>37</v>
      </c>
      <c r="B12" s="8">
        <v>1.9896147257069467E-4</v>
      </c>
      <c r="C12" s="8">
        <v>2.0282678876429878E-4</v>
      </c>
      <c r="D12" s="8">
        <v>2.0381069638526625E-4</v>
      </c>
      <c r="E12" s="8">
        <v>2.0282678876429878E-4</v>
      </c>
      <c r="F12" s="8">
        <v>1.9896147257069467E-4</v>
      </c>
      <c r="G12" s="8">
        <v>2.3054969603447857E-4</v>
      </c>
      <c r="H12" s="8">
        <v>2.429539835588214E-4</v>
      </c>
      <c r="I12" s="8">
        <v>2.4388752432177556E-4</v>
      </c>
      <c r="J12" s="8">
        <v>2.3921982050700475E-4</v>
      </c>
      <c r="K12" s="8">
        <v>1.9674371579259022E-4</v>
      </c>
      <c r="L12" s="8">
        <v>1.8857523411674131E-4</v>
      </c>
      <c r="M12" s="8">
        <v>1.7459342607263945E-4</v>
      </c>
      <c r="N12" s="8">
        <v>1.7233555038024704E-4</v>
      </c>
      <c r="O12" s="8">
        <v>1.6937710368999953E-4</v>
      </c>
      <c r="P12" s="8">
        <v>1.6887545622561848E-4</v>
      </c>
      <c r="Q12" s="8">
        <v>1.7434446242041912E-4</v>
      </c>
      <c r="R12" s="8">
        <v>1.8344060822011942E-4</v>
      </c>
      <c r="S12" s="8">
        <v>1.9608412490037689E-4</v>
      </c>
      <c r="T12" s="8">
        <v>2.1158816918025566E-4</v>
      </c>
      <c r="U12" s="8">
        <v>2.270837905886006E-4</v>
      </c>
      <c r="V12" s="8">
        <v>2.3735273898109642E-4</v>
      </c>
      <c r="W12" s="8">
        <v>2.2638363501638497E-4</v>
      </c>
      <c r="X12" s="8">
        <v>1.9903839866341401E-4</v>
      </c>
      <c r="Y12" s="8">
        <v>1.9320551928388101E-4</v>
      </c>
    </row>
    <row r="13" spans="1:25" x14ac:dyDescent="0.25">
      <c r="A13" s="8" t="s">
        <v>38</v>
      </c>
      <c r="B13" s="8">
        <v>9.4045620968812068E-5</v>
      </c>
      <c r="C13" s="8">
        <v>9.641280738446248E-5</v>
      </c>
      <c r="D13" s="8">
        <v>9.7213624018880072E-5</v>
      </c>
      <c r="E13" s="8">
        <v>9.641280738446248E-5</v>
      </c>
      <c r="F13" s="8">
        <v>9.4045620968812068E-5</v>
      </c>
      <c r="G13" s="8">
        <v>1.1804398593356838E-4</v>
      </c>
      <c r="H13" s="8">
        <v>1.2784353988326864E-4</v>
      </c>
      <c r="I13" s="8">
        <v>1.3095042848434621E-4</v>
      </c>
      <c r="J13" s="8">
        <v>1.3024396237951667E-4</v>
      </c>
      <c r="K13" s="8">
        <v>1.0316179568263791E-4</v>
      </c>
      <c r="L13" s="8">
        <v>1.0017502942451524E-4</v>
      </c>
      <c r="M13" s="8">
        <v>9.2004463517441181E-5</v>
      </c>
      <c r="N13" s="8">
        <v>9.4279716462305035E-5</v>
      </c>
      <c r="O13" s="8">
        <v>9.4758266707605087E-5</v>
      </c>
      <c r="P13" s="8">
        <v>9.5499195687360943E-5</v>
      </c>
      <c r="Q13" s="8">
        <v>9.827069150441927E-5</v>
      </c>
      <c r="R13" s="8">
        <v>1.0214629308485103E-4</v>
      </c>
      <c r="S13" s="8">
        <v>1.0711637481161561E-4</v>
      </c>
      <c r="T13" s="8">
        <v>1.1412290772664389E-4</v>
      </c>
      <c r="U13" s="8">
        <v>1.2246995241192688E-4</v>
      </c>
      <c r="V13" s="8">
        <v>1.271070797225563E-4</v>
      </c>
      <c r="W13" s="8">
        <v>1.1674217450152922E-4</v>
      </c>
      <c r="X13" s="8">
        <v>9.5505338791468473E-5</v>
      </c>
      <c r="Y13" s="8">
        <v>9.0212661906882897E-5</v>
      </c>
    </row>
    <row r="14" spans="1:25" x14ac:dyDescent="0.25">
      <c r="A14" s="8" t="s">
        <v>39</v>
      </c>
      <c r="B14" s="8">
        <v>1.6861481347109446E-6</v>
      </c>
      <c r="C14" s="8">
        <v>1.6861481347109446E-6</v>
      </c>
      <c r="D14" s="8">
        <v>1.6861481347109446E-6</v>
      </c>
      <c r="E14" s="8">
        <v>1.6861481347109446E-6</v>
      </c>
      <c r="F14" s="8">
        <v>1.6861481347109446E-6</v>
      </c>
      <c r="G14" s="8">
        <v>2.4145230206415195E-6</v>
      </c>
      <c r="H14" s="8">
        <v>2.7412064781733437E-6</v>
      </c>
      <c r="I14" s="8">
        <v>2.9042544460143924E-6</v>
      </c>
      <c r="J14" s="8">
        <v>2.976814916533225E-6</v>
      </c>
      <c r="K14" s="8">
        <v>2.4124803928634474E-6</v>
      </c>
      <c r="L14" s="8">
        <v>2.4264956809264067E-6</v>
      </c>
      <c r="M14" s="8">
        <v>2.2353592980208651E-6</v>
      </c>
      <c r="N14" s="8">
        <v>2.2943611036760094E-6</v>
      </c>
      <c r="O14" s="8">
        <v>2.3050095566830104E-6</v>
      </c>
      <c r="P14" s="8">
        <v>2.3198498106593201E-6</v>
      </c>
      <c r="Q14" s="8">
        <v>2.3879749478359001E-6</v>
      </c>
      <c r="R14" s="8">
        <v>2.4834183289475366E-6</v>
      </c>
      <c r="S14" s="8">
        <v>2.5997872292044354E-6</v>
      </c>
      <c r="T14" s="8">
        <v>2.7336813278493567E-6</v>
      </c>
      <c r="U14" s="8">
        <v>2.8519832663165028E-6</v>
      </c>
      <c r="V14" s="8">
        <v>2.8680838003228002E-6</v>
      </c>
      <c r="W14" s="8">
        <v>2.5253180737126495E-6</v>
      </c>
      <c r="X14" s="8">
        <v>1.9127306544985673E-6</v>
      </c>
      <c r="Y14" s="8">
        <v>1.6861481347109446E-6</v>
      </c>
    </row>
    <row r="15" spans="1:25" x14ac:dyDescent="0.25">
      <c r="A15" s="8" t="s">
        <v>40</v>
      </c>
      <c r="B15" s="8">
        <v>1.0378483178844736E-4</v>
      </c>
      <c r="C15" s="8">
        <v>1.0585106204540889E-4</v>
      </c>
      <c r="D15" s="8">
        <v>1.0661756940995015E-4</v>
      </c>
      <c r="E15" s="8">
        <v>1.0585106204540889E-4</v>
      </c>
      <c r="F15" s="8">
        <v>1.0378483178844736E-4</v>
      </c>
      <c r="G15" s="8">
        <v>1.3375491071141574E-4</v>
      </c>
      <c r="H15" s="8">
        <v>1.4554039760372527E-4</v>
      </c>
      <c r="I15" s="8">
        <v>1.487399616508601E-4</v>
      </c>
      <c r="J15" s="8">
        <v>1.4730936246505239E-4</v>
      </c>
      <c r="K15" s="8">
        <v>1.1542139903393468E-4</v>
      </c>
      <c r="L15" s="8">
        <v>1.1530793251057906E-4</v>
      </c>
      <c r="M15" s="8">
        <v>1.0631505629091221E-4</v>
      </c>
      <c r="N15" s="8">
        <v>1.0912321730403424E-4</v>
      </c>
      <c r="O15" s="8">
        <v>1.0963225565654743E-4</v>
      </c>
      <c r="P15" s="8">
        <v>1.1034417384237628E-4</v>
      </c>
      <c r="Q15" s="8">
        <v>1.1359762461705928E-4</v>
      </c>
      <c r="R15" s="8">
        <v>1.1818461235491252E-4</v>
      </c>
      <c r="S15" s="8">
        <v>1.2381454265076997E-4</v>
      </c>
      <c r="T15" s="8">
        <v>1.2991181875650926E-4</v>
      </c>
      <c r="U15" s="8">
        <v>1.3765492416654732E-4</v>
      </c>
      <c r="V15" s="8">
        <v>1.4375072650219686E-4</v>
      </c>
      <c r="W15" s="8">
        <v>1.3203499346961628E-4</v>
      </c>
      <c r="X15" s="8">
        <v>1.0761606471487491E-4</v>
      </c>
      <c r="Y15" s="8">
        <v>1.0085140950006789E-4</v>
      </c>
    </row>
    <row r="16" spans="1:25" x14ac:dyDescent="0.25">
      <c r="A16" s="8" t="s">
        <v>80</v>
      </c>
      <c r="B16" s="8">
        <v>2.0151786354870222E-6</v>
      </c>
      <c r="C16" s="8">
        <v>2.0151786354870222E-6</v>
      </c>
      <c r="D16" s="8">
        <v>2.0151786354870222E-6</v>
      </c>
      <c r="E16" s="8">
        <v>2.0151786354870222E-6</v>
      </c>
      <c r="F16" s="8">
        <v>2.0151786354870222E-6</v>
      </c>
      <c r="G16" s="8">
        <v>2.6631026020153604E-6</v>
      </c>
      <c r="H16" s="8">
        <v>3.0421698729675609E-6</v>
      </c>
      <c r="I16" s="8">
        <v>3.5310002285605386E-6</v>
      </c>
      <c r="J16" s="8">
        <v>3.8367003280085275E-6</v>
      </c>
      <c r="K16" s="8">
        <v>3.898038522366609E-6</v>
      </c>
      <c r="L16" s="8">
        <v>3.9085225910218715E-6</v>
      </c>
      <c r="M16" s="8">
        <v>3.0087891950235159E-6</v>
      </c>
      <c r="N16" s="8">
        <v>3.0739630242554739E-6</v>
      </c>
      <c r="O16" s="8">
        <v>3.0714805161287704E-6</v>
      </c>
      <c r="P16" s="8">
        <v>3.0510877240493251E-6</v>
      </c>
      <c r="Q16" s="8">
        <v>3.0558929221829873E-6</v>
      </c>
      <c r="R16" s="8">
        <v>3.1083985017898351E-6</v>
      </c>
      <c r="S16" s="8">
        <v>3.2063883182760735E-6</v>
      </c>
      <c r="T16" s="8">
        <v>3.3232260183508905E-6</v>
      </c>
      <c r="U16" s="8">
        <v>3.4270332143958422E-6</v>
      </c>
      <c r="V16" s="8">
        <v>3.4146419828449564E-6</v>
      </c>
      <c r="W16" s="8">
        <v>3.0197100998727484E-6</v>
      </c>
      <c r="X16" s="8">
        <v>2.3496992691956692E-6</v>
      </c>
      <c r="Y16" s="8">
        <v>2.0151786354870222E-6</v>
      </c>
    </row>
    <row r="17" spans="1:25" x14ac:dyDescent="0.25">
      <c r="A17" s="8" t="s">
        <v>81</v>
      </c>
      <c r="B17" s="8">
        <v>2.4791550999332445E-4</v>
      </c>
      <c r="C17" s="8">
        <v>2.5245878682750495E-4</v>
      </c>
      <c r="D17" s="8">
        <v>2.5345191899813635E-4</v>
      </c>
      <c r="E17" s="8">
        <v>2.5245878682750495E-4</v>
      </c>
      <c r="F17" s="8">
        <v>2.4791550999332445E-4</v>
      </c>
      <c r="G17" s="8">
        <v>2.5881881567121098E-4</v>
      </c>
      <c r="H17" s="8">
        <v>2.728272879733547E-4</v>
      </c>
      <c r="I17" s="8">
        <v>2.907979476602224E-4</v>
      </c>
      <c r="J17" s="8">
        <v>2.9896642933607132E-4</v>
      </c>
      <c r="K17" s="8">
        <v>2.9161479582780729E-4</v>
      </c>
      <c r="L17" s="8">
        <v>2.8099576964920367E-4</v>
      </c>
      <c r="M17" s="8">
        <v>2.3450998599760183E-4</v>
      </c>
      <c r="N17" s="8">
        <v>2.3069166191215295E-4</v>
      </c>
      <c r="O17" s="8">
        <v>2.2605503566938085E-4</v>
      </c>
      <c r="P17" s="8">
        <v>2.2348242137646231E-4</v>
      </c>
      <c r="Q17" s="8">
        <v>2.2547013153898171E-4</v>
      </c>
      <c r="R17" s="8">
        <v>2.3280119681038598E-4</v>
      </c>
      <c r="S17" s="8">
        <v>2.4601327482306112E-4</v>
      </c>
      <c r="T17" s="8">
        <v>2.6188556592614672E-4</v>
      </c>
      <c r="U17" s="8">
        <v>2.7854522514644901E-4</v>
      </c>
      <c r="V17" s="8">
        <v>2.8998109949263746E-4</v>
      </c>
      <c r="W17" s="8">
        <v>2.7854522514644901E-4</v>
      </c>
      <c r="X17" s="8">
        <v>2.5063529582059678E-4</v>
      </c>
      <c r="Y17" s="8">
        <v>2.4002239600325008E-4</v>
      </c>
    </row>
    <row r="19" spans="1:25" x14ac:dyDescent="0.25">
      <c r="A19" s="8" t="s">
        <v>472</v>
      </c>
      <c r="N19" s="8"/>
    </row>
    <row r="20" spans="1:25" x14ac:dyDescent="0.25">
      <c r="A20" s="8" t="s">
        <v>37</v>
      </c>
      <c r="B20" s="49">
        <f>(B12-B2)/B2</f>
        <v>-0.1592965697243359</v>
      </c>
      <c r="C20" s="49">
        <f t="shared" ref="C20:Y25" si="0">(C12-C2)/C2</f>
        <v>-0.16040300059930601</v>
      </c>
      <c r="D20" s="49">
        <f t="shared" si="0"/>
        <v>-0.16097262689602054</v>
      </c>
      <c r="E20" s="49">
        <f t="shared" si="0"/>
        <v>-0.16040300059930601</v>
      </c>
      <c r="F20" s="49">
        <f t="shared" si="0"/>
        <v>-0.1592965697243359</v>
      </c>
      <c r="G20" s="49">
        <f t="shared" si="0"/>
        <v>-0.16762722380893655</v>
      </c>
      <c r="H20" s="49">
        <f t="shared" si="0"/>
        <v>-0.1692651138845758</v>
      </c>
      <c r="I20" s="49">
        <f t="shared" si="0"/>
        <v>-0.16920938283951825</v>
      </c>
      <c r="J20" s="49">
        <f t="shared" si="0"/>
        <v>-0.16798297847401497</v>
      </c>
      <c r="K20" s="49">
        <f t="shared" si="0"/>
        <v>-0.15875558455814173</v>
      </c>
      <c r="L20" s="49">
        <f t="shared" si="0"/>
        <v>-0.16382390942871747</v>
      </c>
      <c r="M20" s="49">
        <f t="shared" si="0"/>
        <v>-0.16332098715048055</v>
      </c>
      <c r="N20" s="49">
        <f t="shared" si="0"/>
        <v>-0.1687342823408276</v>
      </c>
      <c r="O20" s="49">
        <f t="shared" si="0"/>
        <v>-0.171840202145048</v>
      </c>
      <c r="P20" s="49">
        <f t="shared" si="0"/>
        <v>-0.1731921621267988</v>
      </c>
      <c r="Q20" s="49">
        <f t="shared" si="0"/>
        <v>-0.17279898699883139</v>
      </c>
      <c r="R20" s="49">
        <f t="shared" si="0"/>
        <v>-0.17122651502053543</v>
      </c>
      <c r="S20" s="49">
        <f t="shared" si="0"/>
        <v>-0.16845138641695939</v>
      </c>
      <c r="T20" s="49">
        <f t="shared" si="0"/>
        <v>-0.16438899546317123</v>
      </c>
      <c r="U20" s="49">
        <f t="shared" si="0"/>
        <v>-0.16386956832742752</v>
      </c>
      <c r="V20" s="49">
        <f t="shared" si="0"/>
        <v>-0.16663589010125127</v>
      </c>
      <c r="W20" s="49">
        <f t="shared" si="0"/>
        <v>-0.16447956991473894</v>
      </c>
      <c r="X20" s="49">
        <f t="shared" si="0"/>
        <v>-0.15897508807179861</v>
      </c>
      <c r="Y20" s="49">
        <f t="shared" si="0"/>
        <v>-0.15782884233698979</v>
      </c>
    </row>
    <row r="21" spans="1:25" x14ac:dyDescent="0.25">
      <c r="A21" s="8" t="s">
        <v>38</v>
      </c>
      <c r="B21" s="49">
        <f t="shared" ref="B21:Q25" si="1">(B13-B3)/B3</f>
        <v>0</v>
      </c>
      <c r="C21" s="49">
        <f t="shared" si="1"/>
        <v>0</v>
      </c>
      <c r="D21" s="49">
        <f t="shared" si="1"/>
        <v>0</v>
      </c>
      <c r="E21" s="49">
        <f t="shared" si="1"/>
        <v>0</v>
      </c>
      <c r="F21" s="49">
        <f t="shared" si="1"/>
        <v>0</v>
      </c>
      <c r="G21" s="49">
        <f t="shared" si="1"/>
        <v>0</v>
      </c>
      <c r="H21" s="49">
        <f t="shared" si="1"/>
        <v>0</v>
      </c>
      <c r="I21" s="49">
        <f t="shared" si="1"/>
        <v>0</v>
      </c>
      <c r="J21" s="49">
        <f t="shared" si="1"/>
        <v>0</v>
      </c>
      <c r="K21" s="49">
        <f t="shared" si="1"/>
        <v>0</v>
      </c>
      <c r="L21" s="49">
        <f t="shared" si="1"/>
        <v>0</v>
      </c>
      <c r="M21" s="49">
        <f t="shared" si="1"/>
        <v>0</v>
      </c>
      <c r="N21" s="49">
        <f t="shared" si="1"/>
        <v>0</v>
      </c>
      <c r="O21" s="49">
        <f t="shared" si="1"/>
        <v>0</v>
      </c>
      <c r="P21" s="49">
        <f t="shared" si="1"/>
        <v>0</v>
      </c>
      <c r="Q21" s="49">
        <f t="shared" si="1"/>
        <v>0</v>
      </c>
      <c r="R21" s="49">
        <f t="shared" si="0"/>
        <v>0</v>
      </c>
      <c r="S21" s="49">
        <f t="shared" si="0"/>
        <v>0</v>
      </c>
      <c r="T21" s="49">
        <f t="shared" si="0"/>
        <v>0</v>
      </c>
      <c r="U21" s="49">
        <f t="shared" si="0"/>
        <v>0</v>
      </c>
      <c r="V21" s="49">
        <f t="shared" si="0"/>
        <v>0</v>
      </c>
      <c r="W21" s="49">
        <f t="shared" si="0"/>
        <v>0</v>
      </c>
      <c r="X21" s="49">
        <f t="shared" si="0"/>
        <v>0</v>
      </c>
      <c r="Y21" s="49">
        <f t="shared" si="0"/>
        <v>0</v>
      </c>
    </row>
    <row r="22" spans="1:25" x14ac:dyDescent="0.25">
      <c r="A22" s="8" t="s">
        <v>39</v>
      </c>
      <c r="B22" s="49">
        <f t="shared" si="1"/>
        <v>0</v>
      </c>
      <c r="C22" s="49">
        <f t="shared" si="0"/>
        <v>0</v>
      </c>
      <c r="D22" s="49">
        <f t="shared" si="0"/>
        <v>0</v>
      </c>
      <c r="E22" s="49">
        <f t="shared" si="0"/>
        <v>0</v>
      </c>
      <c r="F22" s="49">
        <f t="shared" si="0"/>
        <v>0</v>
      </c>
      <c r="G22" s="49">
        <f t="shared" si="0"/>
        <v>0</v>
      </c>
      <c r="H22" s="49">
        <f t="shared" si="0"/>
        <v>0</v>
      </c>
      <c r="I22" s="49">
        <f t="shared" si="0"/>
        <v>0</v>
      </c>
      <c r="J22" s="49">
        <f t="shared" si="0"/>
        <v>0</v>
      </c>
      <c r="K22" s="49">
        <f t="shared" si="0"/>
        <v>0</v>
      </c>
      <c r="L22" s="49">
        <f t="shared" si="0"/>
        <v>0</v>
      </c>
      <c r="M22" s="49">
        <f t="shared" si="0"/>
        <v>0</v>
      </c>
      <c r="N22" s="49">
        <f t="shared" si="0"/>
        <v>0</v>
      </c>
      <c r="O22" s="49">
        <f t="shared" si="0"/>
        <v>0</v>
      </c>
      <c r="P22" s="49">
        <f t="shared" si="0"/>
        <v>0</v>
      </c>
      <c r="Q22" s="49">
        <f t="shared" si="0"/>
        <v>0</v>
      </c>
      <c r="R22" s="49">
        <f t="shared" si="0"/>
        <v>0</v>
      </c>
      <c r="S22" s="49">
        <f t="shared" si="0"/>
        <v>0</v>
      </c>
      <c r="T22" s="49">
        <f t="shared" si="0"/>
        <v>0</v>
      </c>
      <c r="U22" s="49">
        <f t="shared" si="0"/>
        <v>0</v>
      </c>
      <c r="V22" s="49">
        <f t="shared" si="0"/>
        <v>0</v>
      </c>
      <c r="W22" s="49">
        <f t="shared" si="0"/>
        <v>0</v>
      </c>
      <c r="X22" s="49">
        <f t="shared" si="0"/>
        <v>0</v>
      </c>
      <c r="Y22" s="49">
        <f t="shared" si="0"/>
        <v>0</v>
      </c>
    </row>
    <row r="23" spans="1:25" x14ac:dyDescent="0.25">
      <c r="A23" s="8" t="s">
        <v>40</v>
      </c>
      <c r="B23" s="49">
        <f t="shared" si="1"/>
        <v>2.5035937604618463</v>
      </c>
      <c r="C23" s="49">
        <f t="shared" si="0"/>
        <v>2.5733460673377122</v>
      </c>
      <c r="D23" s="49">
        <f t="shared" si="0"/>
        <v>2.5904323734877224</v>
      </c>
      <c r="E23" s="49">
        <f t="shared" si="0"/>
        <v>2.5733460673377122</v>
      </c>
      <c r="F23" s="49">
        <f t="shared" si="0"/>
        <v>2.5035937604618463</v>
      </c>
      <c r="G23" s="49">
        <f t="shared" si="0"/>
        <v>2.1532009499978311</v>
      </c>
      <c r="H23" s="49">
        <f t="shared" si="0"/>
        <v>2.0221434663389148</v>
      </c>
      <c r="I23" s="49">
        <f t="shared" si="0"/>
        <v>1.9152052935176114</v>
      </c>
      <c r="J23" s="49">
        <f t="shared" si="0"/>
        <v>1.8168021005961805</v>
      </c>
      <c r="K23" s="49">
        <f t="shared" si="0"/>
        <v>1.7233795538993189</v>
      </c>
      <c r="L23" s="49">
        <f t="shared" si="0"/>
        <v>1.7049926486672558</v>
      </c>
      <c r="M23" s="49">
        <f t="shared" si="0"/>
        <v>1.7072381523576043</v>
      </c>
      <c r="N23" s="49">
        <f t="shared" si="0"/>
        <v>1.7072907000174165</v>
      </c>
      <c r="O23" s="49">
        <f t="shared" si="0"/>
        <v>1.7073525468522974</v>
      </c>
      <c r="P23" s="49">
        <f t="shared" si="0"/>
        <v>1.7074993708316899</v>
      </c>
      <c r="Q23" s="49">
        <f t="shared" si="0"/>
        <v>1.707800297039314</v>
      </c>
      <c r="R23" s="49">
        <f t="shared" si="0"/>
        <v>1.7088728240029982</v>
      </c>
      <c r="S23" s="49">
        <f t="shared" si="0"/>
        <v>1.7108786920016785</v>
      </c>
      <c r="T23" s="49">
        <f t="shared" si="0"/>
        <v>1.7050595332556056</v>
      </c>
      <c r="U23" s="49">
        <f t="shared" si="0"/>
        <v>1.7473959824763787</v>
      </c>
      <c r="V23" s="49">
        <f t="shared" si="0"/>
        <v>1.8529478469103995</v>
      </c>
      <c r="W23" s="49">
        <f t="shared" si="0"/>
        <v>1.9761119371081799</v>
      </c>
      <c r="X23" s="49">
        <f t="shared" si="0"/>
        <v>2.2025748518620585</v>
      </c>
      <c r="Y23" s="49">
        <f t="shared" si="0"/>
        <v>2.4045665726805385</v>
      </c>
    </row>
    <row r="24" spans="1:25" x14ac:dyDescent="0.25">
      <c r="A24" s="8" t="s">
        <v>80</v>
      </c>
      <c r="B24" s="49">
        <f t="shared" si="1"/>
        <v>0</v>
      </c>
      <c r="C24" s="49">
        <f t="shared" si="0"/>
        <v>0</v>
      </c>
      <c r="D24" s="49">
        <f t="shared" si="0"/>
        <v>0</v>
      </c>
      <c r="E24" s="49">
        <f t="shared" si="0"/>
        <v>0</v>
      </c>
      <c r="F24" s="49">
        <f t="shared" si="0"/>
        <v>0</v>
      </c>
      <c r="G24" s="49">
        <f t="shared" si="0"/>
        <v>0</v>
      </c>
      <c r="H24" s="49">
        <f t="shared" si="0"/>
        <v>0</v>
      </c>
      <c r="I24" s="49">
        <f t="shared" si="0"/>
        <v>0</v>
      </c>
      <c r="J24" s="49">
        <f t="shared" si="0"/>
        <v>0</v>
      </c>
      <c r="K24" s="49">
        <f t="shared" si="0"/>
        <v>0</v>
      </c>
      <c r="L24" s="49">
        <f t="shared" si="0"/>
        <v>0</v>
      </c>
      <c r="M24" s="49">
        <f t="shared" si="0"/>
        <v>0</v>
      </c>
      <c r="N24" s="49">
        <f t="shared" si="0"/>
        <v>0</v>
      </c>
      <c r="O24" s="49">
        <f t="shared" si="0"/>
        <v>0</v>
      </c>
      <c r="P24" s="49">
        <f t="shared" si="0"/>
        <v>0</v>
      </c>
      <c r="Q24" s="49">
        <f t="shared" si="0"/>
        <v>0</v>
      </c>
      <c r="R24" s="49">
        <f t="shared" si="0"/>
        <v>0</v>
      </c>
      <c r="S24" s="49">
        <f t="shared" si="0"/>
        <v>0</v>
      </c>
      <c r="T24" s="49">
        <f t="shared" si="0"/>
        <v>0</v>
      </c>
      <c r="U24" s="49">
        <f t="shared" si="0"/>
        <v>0</v>
      </c>
      <c r="V24" s="49">
        <f t="shared" si="0"/>
        <v>0</v>
      </c>
      <c r="W24" s="49">
        <f t="shared" si="0"/>
        <v>0</v>
      </c>
      <c r="X24" s="49">
        <f t="shared" si="0"/>
        <v>0</v>
      </c>
      <c r="Y24" s="49">
        <f t="shared" si="0"/>
        <v>0</v>
      </c>
    </row>
    <row r="25" spans="1:25" x14ac:dyDescent="0.25">
      <c r="A25" s="8" t="s">
        <v>81</v>
      </c>
      <c r="B25" s="49">
        <f t="shared" si="1"/>
        <v>-0.15935379420317985</v>
      </c>
      <c r="C25" s="49">
        <f t="shared" si="0"/>
        <v>-0.1603725776576089</v>
      </c>
      <c r="D25" s="49">
        <f t="shared" si="0"/>
        <v>-0.16100678537879831</v>
      </c>
      <c r="E25" s="49">
        <f t="shared" si="0"/>
        <v>-0.1603725776576089</v>
      </c>
      <c r="F25" s="49">
        <f t="shared" si="0"/>
        <v>-0.15935379420317985</v>
      </c>
      <c r="G25" s="49">
        <f t="shared" si="0"/>
        <v>-0.16571871404168004</v>
      </c>
      <c r="H25" s="49">
        <f t="shared" si="0"/>
        <v>-0.167305232195191</v>
      </c>
      <c r="I25" s="49">
        <f t="shared" si="0"/>
        <v>-0.16984966746999261</v>
      </c>
      <c r="J25" s="49">
        <f t="shared" si="0"/>
        <v>-0.16996629632271268</v>
      </c>
      <c r="K25" s="49">
        <f t="shared" si="0"/>
        <v>-0.16888317221229565</v>
      </c>
      <c r="L25" s="49">
        <f t="shared" si="0"/>
        <v>-0.17339842340166731</v>
      </c>
      <c r="M25" s="49">
        <f t="shared" si="0"/>
        <v>-0.1621237373323183</v>
      </c>
      <c r="N25" s="49">
        <f t="shared" si="0"/>
        <v>-0.16733062983499564</v>
      </c>
      <c r="O25" s="49">
        <f t="shared" si="0"/>
        <v>-0.17006445497334699</v>
      </c>
      <c r="P25" s="49">
        <f t="shared" si="0"/>
        <v>-0.17074086246410014</v>
      </c>
      <c r="Q25" s="49">
        <f t="shared" si="0"/>
        <v>-0.16971269799539537</v>
      </c>
      <c r="R25" s="49">
        <f t="shared" si="0"/>
        <v>-0.16761444443993362</v>
      </c>
      <c r="S25" s="49">
        <f t="shared" si="0"/>
        <v>-0.16427071492285272</v>
      </c>
      <c r="T25" s="49">
        <f t="shared" si="0"/>
        <v>-0.16063327696799642</v>
      </c>
      <c r="U25" s="49">
        <f t="shared" si="0"/>
        <v>-0.16358845962035645</v>
      </c>
      <c r="V25" s="49">
        <f t="shared" si="0"/>
        <v>-0.16540287895569958</v>
      </c>
      <c r="W25" s="49">
        <f t="shared" si="0"/>
        <v>-0.16411951904466657</v>
      </c>
      <c r="X25" s="49">
        <f t="shared" si="0"/>
        <v>-0.15945402894204788</v>
      </c>
      <c r="Y25" s="49">
        <f t="shared" si="0"/>
        <v>-0.1580107597886875</v>
      </c>
    </row>
    <row r="26" spans="1:25" x14ac:dyDescent="0.25">
      <c r="B26" s="49"/>
    </row>
    <row r="27" spans="1:25" x14ac:dyDescent="0.25">
      <c r="B27" s="49"/>
    </row>
    <row r="28" spans="1:25" x14ac:dyDescent="0.25">
      <c r="B28" s="49"/>
    </row>
    <row r="29" spans="1:25" x14ac:dyDescent="0.25">
      <c r="B29" s="4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16D6B-B09E-46F0-9CED-FF728890DF22}">
  <sheetPr codeName="Sheet10">
    <tabColor rgb="FF002060"/>
  </sheetPr>
  <dimension ref="A1:Y26"/>
  <sheetViews>
    <sheetView workbookViewId="0">
      <selection activeCell="B24" sqref="B24"/>
    </sheetView>
  </sheetViews>
  <sheetFormatPr defaultRowHeight="15" x14ac:dyDescent="0.25"/>
  <cols>
    <col min="1" max="1" width="28.42578125" customWidth="1"/>
    <col min="2" max="2" width="10.5703125" bestFit="1" customWidth="1"/>
    <col min="3" max="3" width="10.42578125" bestFit="1" customWidth="1"/>
    <col min="4" max="25" width="10.5703125" bestFit="1" customWidth="1"/>
  </cols>
  <sheetData>
    <row r="1" spans="1:25" x14ac:dyDescent="0.25">
      <c r="A1" s="6" t="s">
        <v>25</v>
      </c>
      <c r="B1" s="7" t="s">
        <v>34</v>
      </c>
      <c r="C1" s="7" t="s">
        <v>0</v>
      </c>
      <c r="D1" s="7" t="s">
        <v>1</v>
      </c>
      <c r="E1" s="7" t="s">
        <v>2</v>
      </c>
      <c r="F1" s="7" t="s">
        <v>3</v>
      </c>
      <c r="G1" s="7" t="s">
        <v>4</v>
      </c>
      <c r="H1" s="7" t="s">
        <v>5</v>
      </c>
      <c r="I1" s="7" t="s">
        <v>6</v>
      </c>
      <c r="J1" s="7" t="s">
        <v>7</v>
      </c>
      <c r="K1" s="7" t="s">
        <v>8</v>
      </c>
      <c r="L1" s="7" t="s">
        <v>9</v>
      </c>
      <c r="M1" s="7" t="s">
        <v>10</v>
      </c>
      <c r="N1" s="7" t="s">
        <v>11</v>
      </c>
      <c r="O1" s="7" t="s">
        <v>12</v>
      </c>
      <c r="P1" s="7" t="s">
        <v>13</v>
      </c>
      <c r="Q1" s="7" t="s">
        <v>14</v>
      </c>
      <c r="R1" s="7" t="s">
        <v>15</v>
      </c>
      <c r="S1" s="7" t="s">
        <v>16</v>
      </c>
      <c r="T1" s="7" t="s">
        <v>17</v>
      </c>
      <c r="U1" s="7" t="s">
        <v>18</v>
      </c>
      <c r="V1" s="7" t="s">
        <v>19</v>
      </c>
      <c r="W1" s="7" t="s">
        <v>20</v>
      </c>
      <c r="X1" s="7" t="s">
        <v>21</v>
      </c>
      <c r="Y1" s="7" t="s">
        <v>22</v>
      </c>
    </row>
    <row r="2" spans="1:25" x14ac:dyDescent="0.25">
      <c r="A2" s="8" t="s">
        <v>37</v>
      </c>
      <c r="B2" s="8" cm="1">
        <f t="array" ref="B2">INDEX('Summarized Modified Source Data'!$E$600:$E$743,MATCH(1,($A2=LoadFactorSeasons)*(B$1=LoadFactorHours),0),)</f>
        <v>1.6882682718902211E-7</v>
      </c>
      <c r="C2" s="8" cm="1">
        <f t="array" ref="C2">INDEX('Summarized Modified Source Data'!$E$600:$E$743,MATCH(1,($A2=LoadFactorSeasons)*(C$1=LoadFactorHours),0),)</f>
        <v>1.7030410737237877E-7</v>
      </c>
      <c r="D2" s="8" cm="1">
        <f t="array" ref="D2">INDEX('Summarized Modified Source Data'!$E$600:$E$743,MATCH(1,($A2=LoadFactorSeasons)*(D$1=LoadFactorHours),0),)</f>
        <v>1.714796297496191E-7</v>
      </c>
      <c r="E2" s="8" cm="1">
        <f t="array" ref="E2">INDEX('Summarized Modified Source Data'!$E$600:$E$743,MATCH(1,($A2=LoadFactorSeasons)*(E$1=LoadFactorHours),0),)</f>
        <v>1.7165171653061718E-7</v>
      </c>
      <c r="F2" s="8" cm="1">
        <f t="array" ref="F2">INDEX('Summarized Modified Source Data'!$E$600:$E$743,MATCH(1,($A2=LoadFactorSeasons)*(F$1=LoadFactorHours),0),)</f>
        <v>1.6855173071517306E-7</v>
      </c>
      <c r="G2" s="8" cm="1">
        <f t="array" ref="G2">INDEX('Summarized Modified Source Data'!$E$600:$E$743,MATCH(1,($A2=LoadFactorSeasons)*(G$1=LoadFactorHours),0),)</f>
        <v>1.5849798469291963E-7</v>
      </c>
      <c r="H2" s="8" cm="1">
        <f t="array" ref="H2">INDEX('Summarized Modified Source Data'!$E$600:$E$743,MATCH(1,($A2=LoadFactorSeasons)*(H$1=LoadFactorHours),0),)</f>
        <v>1.3737009074981855E-7</v>
      </c>
      <c r="I2" s="8" cm="1">
        <f t="array" ref="I2">INDEX('Summarized Modified Source Data'!$E$600:$E$743,MATCH(1,($A2=LoadFactorSeasons)*(I$1=LoadFactorHours),0),)</f>
        <v>1.1257262798374454E-7</v>
      </c>
      <c r="J2" s="8" cm="1">
        <f t="array" ref="J2">INDEX('Summarized Modified Source Data'!$E$600:$E$743,MATCH(1,($A2=LoadFactorSeasons)*(J$1=LoadFactorHours),0),)</f>
        <v>9.522337195016445E-8</v>
      </c>
      <c r="K2" s="8" cm="1">
        <f t="array" ref="K2">INDEX('Summarized Modified Source Data'!$E$600:$E$743,MATCH(1,($A2=LoadFactorSeasons)*(K$1=LoadFactorHours),0),)</f>
        <v>8.2634375605038037E-8</v>
      </c>
      <c r="L2" s="8" cm="1">
        <f t="array" ref="L2">INDEX('Summarized Modified Source Data'!$E$600:$E$743,MATCH(1,($A2=LoadFactorSeasons)*(L$1=LoadFactorHours),0),)</f>
        <v>7.9541661062030486E-8</v>
      </c>
      <c r="M2" s="8" cm="1">
        <f t="array" ref="M2">INDEX('Summarized Modified Source Data'!$E$600:$E$743,MATCH(1,($A2=LoadFactorSeasons)*(M$1=LoadFactorHours),0),)</f>
        <v>8.5959770866014833E-8</v>
      </c>
      <c r="N2" s="8" cm="1">
        <f t="array" ref="N2">INDEX('Summarized Modified Source Data'!$E$600:$E$743,MATCH(1,($A2=LoadFactorSeasons)*(N$1=LoadFactorHours),0),)</f>
        <v>9.1722254271971335E-8</v>
      </c>
      <c r="O2" s="8" cm="1">
        <f t="array" ref="O2">INDEX('Summarized Modified Source Data'!$E$600:$E$743,MATCH(1,($A2=LoadFactorSeasons)*(O$1=LoadFactorHours),0),)</f>
        <v>9.3758210554202016E-8</v>
      </c>
      <c r="P2" s="8" cm="1">
        <f t="array" ref="P2">INDEX('Summarized Modified Source Data'!$E$600:$E$743,MATCH(1,($A2=LoadFactorSeasons)*(P$1=LoadFactorHours),0),)</f>
        <v>9.6097136521288462E-8</v>
      </c>
      <c r="Q2" s="8" cm="1">
        <f t="array" ref="Q2">INDEX('Summarized Modified Source Data'!$E$600:$E$743,MATCH(1,($A2=LoadFactorSeasons)*(Q$1=LoadFactorHours),0),)</f>
        <v>1.0125125680005461E-7</v>
      </c>
      <c r="R2" s="8" cm="1">
        <f t="array" ref="R2">INDEX('Summarized Modified Source Data'!$E$600:$E$743,MATCH(1,($A2=LoadFactorSeasons)*(R$1=LoadFactorHours),0),)</f>
        <v>1.0730459110347262E-7</v>
      </c>
      <c r="S2" s="8" cm="1">
        <f t="array" ref="S2">INDEX('Summarized Modified Source Data'!$E$600:$E$743,MATCH(1,($A2=LoadFactorSeasons)*(S$1=LoadFactorHours),0),)</f>
        <v>1.1540357671903674E-7</v>
      </c>
      <c r="T2" s="8" cm="1">
        <f t="array" ref="T2">INDEX('Summarized Modified Source Data'!$E$600:$E$743,MATCH(1,($A2=LoadFactorSeasons)*(T$1=LoadFactorHours),0),)</f>
        <v>1.2613476295662765E-7</v>
      </c>
      <c r="U2" s="8" cm="1">
        <f t="array" ref="U2">INDEX('Summarized Modified Source Data'!$E$600:$E$743,MATCH(1,($A2=LoadFactorSeasons)*(U$1=LoadFactorHours),0),)</f>
        <v>1.3726708105696761E-7</v>
      </c>
      <c r="V2" s="8" cm="1">
        <f t="array" ref="V2">INDEX('Summarized Modified Source Data'!$E$600:$E$743,MATCH(1,($A2=LoadFactorSeasons)*(V$1=LoadFactorHours),0),)</f>
        <v>1.4695241594243647E-7</v>
      </c>
      <c r="W2" s="8" cm="1">
        <f t="array" ref="W2">INDEX('Summarized Modified Source Data'!$E$600:$E$743,MATCH(1,($A2=LoadFactorSeasons)*(W$1=LoadFactorHours),0),)</f>
        <v>1.552719634885755E-7</v>
      </c>
      <c r="X2" s="8" cm="1">
        <f t="array" ref="X2">INDEX('Summarized Modified Source Data'!$E$600:$E$743,MATCH(1,($A2=LoadFactorSeasons)*(X$1=LoadFactorHours),0),)</f>
        <v>1.6163311499180702E-7</v>
      </c>
      <c r="Y2" s="8" cm="1">
        <f t="array" ref="Y2">INDEX('Summarized Modified Source Data'!$E$600:$E$743,MATCH(1,($A2=LoadFactorSeasons)*(Y$1=LoadFactorHours),0),)</f>
        <v>1.6627339868505779E-7</v>
      </c>
    </row>
    <row r="3" spans="1:25" x14ac:dyDescent="0.25">
      <c r="A3" s="8" t="s">
        <v>38</v>
      </c>
      <c r="B3" s="8" cm="1">
        <f t="array" ref="B3">INDEX('Summarized Modified Source Data'!$E$600:$E$743,MATCH(1,($A3=LoadFactorSeasons)*(B$1=LoadFactorHours),0),)</f>
        <v>1.7430662670641319E-7</v>
      </c>
      <c r="C3" s="8" cm="1">
        <f t="array" ref="C3">INDEX('Summarized Modified Source Data'!$E$600:$E$743,MATCH(1,($A3=LoadFactorSeasons)*(C$1=LoadFactorHours),0),)</f>
        <v>1.7580514111289971E-7</v>
      </c>
      <c r="D3" s="8" cm="1">
        <f t="array" ref="D3">INDEX('Summarized Modified Source Data'!$E$600:$E$743,MATCH(1,($A3=LoadFactorSeasons)*(D$1=LoadFactorHours),0),)</f>
        <v>1.7699225537373455E-7</v>
      </c>
      <c r="E3" s="8" cm="1">
        <f t="array" ref="E3">INDEX('Summarized Modified Source Data'!$E$600:$E$743,MATCH(1,($A3=LoadFactorSeasons)*(E$1=LoadFactorHours),0),)</f>
        <v>1.7716929505045026E-7</v>
      </c>
      <c r="F3" s="8" cm="1">
        <f t="array" ref="F3">INDEX('Summarized Modified Source Data'!$E$600:$E$743,MATCH(1,($A3=LoadFactorSeasons)*(F$1=LoadFactorHours),0),)</f>
        <v>1.7390670672240355E-7</v>
      </c>
      <c r="G3" s="8" cm="1">
        <f t="array" ref="G3">INDEX('Summarized Modified Source Data'!$E$600:$E$743,MATCH(1,($A3=LoadFactorSeasons)*(G$1=LoadFactorHours),0),)</f>
        <v>1.6335703884382622E-7</v>
      </c>
      <c r="H3" s="8" cm="1">
        <f t="array" ref="H3">INDEX('Summarized Modified Source Data'!$E$600:$E$743,MATCH(1,($A3=LoadFactorSeasons)*(H$1=LoadFactorHours),0),)</f>
        <v>1.4120020716057503E-7</v>
      </c>
      <c r="I3" s="8" cm="1">
        <f t="array" ref="I3">INDEX('Summarized Modified Source Data'!$E$600:$E$743,MATCH(1,($A3=LoadFactorSeasons)*(I$1=LoadFactorHours),0),)</f>
        <v>1.1527812092431644E-7</v>
      </c>
      <c r="J3" s="8" cm="1">
        <f t="array" ref="J3">INDEX('Summarized Modified Source Data'!$E$600:$E$743,MATCH(1,($A3=LoadFactorSeasons)*(J$1=LoadFactorHours),0),)</f>
        <v>2.5469370491514112E-7</v>
      </c>
      <c r="K3" s="8" cm="1">
        <f t="array" ref="K3">INDEX('Summarized Modified Source Data'!$E$600:$E$743,MATCH(1,($A3=LoadFactorSeasons)*(K$1=LoadFactorHours),0),)</f>
        <v>2.8461009078615801E-6</v>
      </c>
      <c r="L3" s="8" cm="1">
        <f t="array" ref="L3">INDEX('Summarized Modified Source Data'!$E$600:$E$743,MATCH(1,($A3=LoadFactorSeasons)*(L$1=LoadFactorHours),0),)</f>
        <v>6.4282901122993106E-6</v>
      </c>
      <c r="M3" s="8" cm="1">
        <f t="array" ref="M3">INDEX('Summarized Modified Source Data'!$E$600:$E$743,MATCH(1,($A3=LoadFactorSeasons)*(M$1=LoadFactorHours),0),)</f>
        <v>1.0773988213955938E-5</v>
      </c>
      <c r="N3" s="8" cm="1">
        <f t="array" ref="N3">INDEX('Summarized Modified Source Data'!$E$600:$E$743,MATCH(1,($A3=LoadFactorSeasons)*(N$1=LoadFactorHours),0),)</f>
        <v>1.4757877283438819E-5</v>
      </c>
      <c r="O3" s="8" cm="1">
        <f t="array" ref="O3">INDEX('Summarized Modified Source Data'!$E$600:$E$743,MATCH(1,($A3=LoadFactorSeasons)*(O$1=LoadFactorHours),0),)</f>
        <v>1.8527760159423191E-5</v>
      </c>
      <c r="P3" s="8" cm="1">
        <f t="array" ref="P3">INDEX('Summarized Modified Source Data'!$E$600:$E$743,MATCH(1,($A3=LoadFactorSeasons)*(P$1=LoadFactorHours),0),)</f>
        <v>2.0966227211646842E-5</v>
      </c>
      <c r="Q3" s="8" cm="1">
        <f t="array" ref="Q3">INDEX('Summarized Modified Source Data'!$E$600:$E$743,MATCH(1,($A3=LoadFactorSeasons)*(Q$1=LoadFactorHours),0),)</f>
        <v>2.0095584018632554E-5</v>
      </c>
      <c r="R3" s="8" cm="1">
        <f t="array" ref="R3">INDEX('Summarized Modified Source Data'!$E$600:$E$743,MATCH(1,($A3=LoadFactorSeasons)*(R$1=LoadFactorHours),0),)</f>
        <v>1.7395098244869646E-5</v>
      </c>
      <c r="S3" s="8" cm="1">
        <f t="array" ref="S3">INDEX('Summarized Modified Source Data'!$E$600:$E$743,MATCH(1,($A3=LoadFactorSeasons)*(S$1=LoadFactorHours),0),)</f>
        <v>1.4616109600885913E-5</v>
      </c>
      <c r="T3" s="8" cm="1">
        <f t="array" ref="T3">INDEX('Summarized Modified Source Data'!$E$600:$E$743,MATCH(1,($A3=LoadFactorSeasons)*(T$1=LoadFactorHours),0),)</f>
        <v>1.034039591571957E-5</v>
      </c>
      <c r="U3" s="8" cm="1">
        <f t="array" ref="U3">INDEX('Summarized Modified Source Data'!$E$600:$E$743,MATCH(1,($A3=LoadFactorSeasons)*(U$1=LoadFactorHours),0),)</f>
        <v>4.8093966292030605E-6</v>
      </c>
      <c r="V3" s="8" cm="1">
        <f t="array" ref="V3">INDEX('Summarized Modified Source Data'!$E$600:$E$743,MATCH(1,($A3=LoadFactorSeasons)*(V$1=LoadFactorHours),0),)</f>
        <v>3.9894784649906215E-7</v>
      </c>
      <c r="W3" s="8" cm="1">
        <f t="array" ref="W3">INDEX('Summarized Modified Source Data'!$E$600:$E$743,MATCH(1,($A3=LoadFactorSeasons)*(W$1=LoadFactorHours),0),)</f>
        <v>1.603299765142674E-7</v>
      </c>
      <c r="X3" s="8" cm="1">
        <f t="array" ref="X3">INDEX('Summarized Modified Source Data'!$E$600:$E$743,MATCH(1,($A3=LoadFactorSeasons)*(X$1=LoadFactorHours),0),)</f>
        <v>1.6691047806933443E-7</v>
      </c>
      <c r="Y3" s="8" cm="1">
        <f t="array" ref="Y3">INDEX('Summarized Modified Source Data'!$E$600:$E$743,MATCH(1,($A3=LoadFactorSeasons)*(Y$1=LoadFactorHours),0),)</f>
        <v>1.716921300520579E-7</v>
      </c>
    </row>
    <row r="4" spans="1:25" x14ac:dyDescent="0.25">
      <c r="A4" s="8" t="s">
        <v>39</v>
      </c>
      <c r="B4" s="8" cm="1">
        <f t="array" ref="B4">INDEX('Summarized Modified Source Data'!$E$600:$E$743,MATCH(1,($A4=LoadFactorSeasons)*(B$1=LoadFactorHours),0),)</f>
        <v>2.6152302467085227E-4</v>
      </c>
      <c r="C4" s="8" cm="1">
        <f t="array" ref="C4">INDEX('Summarized Modified Source Data'!$E$600:$E$743,MATCH(1,($A4=LoadFactorSeasons)*(C$1=LoadFactorHours),0),)</f>
        <v>2.3520725909918834E-4</v>
      </c>
      <c r="D4" s="8" cm="1">
        <f t="array" ref="D4">INDEX('Summarized Modified Source Data'!$E$600:$E$743,MATCH(1,($A4=LoadFactorSeasons)*(D$1=LoadFactorHours),0),)</f>
        <v>2.2729587125867935E-4</v>
      </c>
      <c r="E4" s="8" cm="1">
        <f t="array" ref="E4">INDEX('Summarized Modified Source Data'!$E$600:$E$743,MATCH(1,($A4=LoadFactorSeasons)*(E$1=LoadFactorHours),0),)</f>
        <v>2.3698971985574454E-4</v>
      </c>
      <c r="F4" s="8" cm="1">
        <f t="array" ref="F4">INDEX('Summarized Modified Source Data'!$E$600:$E$743,MATCH(1,($A4=LoadFactorSeasons)*(F$1=LoadFactorHours),0),)</f>
        <v>2.6102701482159382E-4</v>
      </c>
      <c r="G4" s="8" cm="1">
        <f t="array" ref="G4">INDEX('Summarized Modified Source Data'!$E$600:$E$743,MATCH(1,($A4=LoadFactorSeasons)*(G$1=LoadFactorHours),0),)</f>
        <v>2.924329919832486E-4</v>
      </c>
      <c r="H4" s="8" cm="1">
        <f t="array" ref="H4">INDEX('Summarized Modified Source Data'!$E$600:$E$743,MATCH(1,($A4=LoadFactorSeasons)*(H$1=LoadFactorHours),0),)</f>
        <v>3.1295091521566621E-4</v>
      </c>
      <c r="I4" s="8" cm="1">
        <f t="array" ref="I4">INDEX('Summarized Modified Source Data'!$E$600:$E$743,MATCH(1,($A4=LoadFactorSeasons)*(I$1=LoadFactorHours),0),)</f>
        <v>3.1440349731031353E-4</v>
      </c>
      <c r="J4" s="8" cm="1">
        <f t="array" ref="J4">INDEX('Summarized Modified Source Data'!$E$600:$E$743,MATCH(1,($A4=LoadFactorSeasons)*(J$1=LoadFactorHours),0),)</f>
        <v>3.2072634290730316E-4</v>
      </c>
      <c r="K4" s="8" cm="1">
        <f t="array" ref="K4">INDEX('Summarized Modified Source Data'!$E$600:$E$743,MATCH(1,($A4=LoadFactorSeasons)*(K$1=LoadFactorHours),0),)</f>
        <v>3.2720725964421762E-4</v>
      </c>
      <c r="L4" s="8" cm="1">
        <f t="array" ref="L4">INDEX('Summarized Modified Source Data'!$E$600:$E$743,MATCH(1,($A4=LoadFactorSeasons)*(L$1=LoadFactorHours),0),)</f>
        <v>3.5961184332878991E-4</v>
      </c>
      <c r="M4" s="8" cm="1">
        <f t="array" ref="M4">INDEX('Summarized Modified Source Data'!$E$600:$E$743,MATCH(1,($A4=LoadFactorSeasons)*(M$1=LoadFactorHours),0),)</f>
        <v>4.304277140150747E-4</v>
      </c>
      <c r="N4" s="8" cm="1">
        <f t="array" ref="N4">INDEX('Summarized Modified Source Data'!$E$600:$E$743,MATCH(1,($A4=LoadFactorSeasons)*(N$1=LoadFactorHours),0),)</f>
        <v>4.9365616998497182E-4</v>
      </c>
      <c r="O4" s="8" cm="1">
        <f t="array" ref="O4">INDEX('Summarized Modified Source Data'!$E$600:$E$743,MATCH(1,($A4=LoadFactorSeasons)*(O$1=LoadFactorHours),0),)</f>
        <v>5.2669303822924307E-4</v>
      </c>
      <c r="P4" s="8" cm="1">
        <f t="array" ref="P4">INDEX('Summarized Modified Source Data'!$E$600:$E$743,MATCH(1,($A4=LoadFactorSeasons)*(P$1=LoadFactorHours),0),)</f>
        <v>5.4787457097915855E-4</v>
      </c>
      <c r="Q4" s="8" cm="1">
        <f t="array" ref="Q4">INDEX('Summarized Modified Source Data'!$E$600:$E$743,MATCH(1,($A4=LoadFactorSeasons)*(Q$1=LoadFactorHours),0),)</f>
        <v>5.7000453056862261E-4</v>
      </c>
      <c r="R4" s="8" cm="1">
        <f t="array" ref="R4">INDEX('Summarized Modified Source Data'!$E$600:$E$743,MATCH(1,($A4=LoadFactorSeasons)*(R$1=LoadFactorHours),0),)</f>
        <v>5.7996301238388143E-4</v>
      </c>
      <c r="S4" s="8" cm="1">
        <f t="array" ref="S4">INDEX('Summarized Modified Source Data'!$E$600:$E$743,MATCH(1,($A4=LoadFactorSeasons)*(S$1=LoadFactorHours),0),)</f>
        <v>5.8138565264320415E-4</v>
      </c>
      <c r="T4" s="8" cm="1">
        <f t="array" ref="T4">INDEX('Summarized Modified Source Data'!$E$600:$E$743,MATCH(1,($A4=LoadFactorSeasons)*(T$1=LoadFactorHours),0),)</f>
        <v>5.7379823792681642E-4</v>
      </c>
      <c r="U4" s="8" cm="1">
        <f t="array" ref="U4">INDEX('Summarized Modified Source Data'!$E$600:$E$743,MATCH(1,($A4=LoadFactorSeasons)*(U$1=LoadFactorHours),0),)</f>
        <v>5.4834878439893279E-4</v>
      </c>
      <c r="V4" s="8" cm="1">
        <f t="array" ref="V4">INDEX('Summarized Modified Source Data'!$E$600:$E$743,MATCH(1,($A4=LoadFactorSeasons)*(V$1=LoadFactorHours),0),)</f>
        <v>4.9887251760248835E-4</v>
      </c>
      <c r="W4" s="8" cm="1">
        <f t="array" ref="W4">INDEX('Summarized Modified Source Data'!$E$600:$E$743,MATCH(1,($A4=LoadFactorSeasons)*(W$1=LoadFactorHours),0),)</f>
        <v>4.3675055961206439E-4</v>
      </c>
      <c r="X4" s="8" cm="1">
        <f t="array" ref="X4">INDEX('Summarized Modified Source Data'!$E$600:$E$743,MATCH(1,($A4=LoadFactorSeasons)*(X$1=LoadFactorHours),0),)</f>
        <v>3.6933607636037148E-4</v>
      </c>
      <c r="Y4" s="8" cm="1">
        <f t="array" ref="Y4">INDEX('Summarized Modified Source Data'!$E$600:$E$743,MATCH(1,($A4=LoadFactorSeasons)*(Y$1=LoadFactorHours),0),)</f>
        <v>3.0718550433219831E-4</v>
      </c>
    </row>
    <row r="5" spans="1:25" x14ac:dyDescent="0.25">
      <c r="A5" s="8" t="s">
        <v>40</v>
      </c>
      <c r="B5" s="8" cm="1">
        <f t="array" ref="B5">INDEX('Summarized Modified Source Data'!$E$600:$E$743,MATCH(1,($A5=LoadFactorSeasons)*(B$1=LoadFactorHours),0),)</f>
        <v>9.6506258836971839E-6</v>
      </c>
      <c r="C5" s="8" cm="1">
        <f t="array" ref="C5">INDEX('Summarized Modified Source Data'!$E$600:$E$743,MATCH(1,($A5=LoadFactorSeasons)*(C$1=LoadFactorHours),0),)</f>
        <v>8.7295153955790276E-6</v>
      </c>
      <c r="D5" s="8" cm="1">
        <f t="array" ref="D5">INDEX('Summarized Modified Source Data'!$E$600:$E$743,MATCH(1,($A5=LoadFactorSeasons)*(D$1=LoadFactorHours),0),)</f>
        <v>8.4468178593414219E-6</v>
      </c>
      <c r="E5" s="8" cm="1">
        <f t="array" ref="E5">INDEX('Summarized Modified Source Data'!$E$600:$E$743,MATCH(1,($A5=LoadFactorSeasons)*(E$1=LoadFactorHours),0),)</f>
        <v>8.7964063339476784E-6</v>
      </c>
      <c r="F5" s="8" cm="1">
        <f t="array" ref="F5">INDEX('Summarized Modified Source Data'!$E$600:$E$743,MATCH(1,($A5=LoadFactorSeasons)*(F$1=LoadFactorHours),0),)</f>
        <v>9.6255602579929987E-6</v>
      </c>
      <c r="G5" s="8" cm="1">
        <f t="array" ref="G5">INDEX('Summarized Modified Source Data'!$E$600:$E$743,MATCH(1,($A5=LoadFactorSeasons)*(G$1=LoadFactorHours),0),)</f>
        <v>1.1398811427150938E-5</v>
      </c>
      <c r="H5" s="8" cm="1">
        <f t="array" ref="H5">INDEX('Summarized Modified Source Data'!$E$600:$E$743,MATCH(1,($A5=LoadFactorSeasons)*(H$1=LoadFactorHours),0),)</f>
        <v>1.8536280530738057E-5</v>
      </c>
      <c r="I5" s="8" cm="1">
        <f t="array" ref="I5">INDEX('Summarized Modified Source Data'!$E$600:$E$743,MATCH(1,($A5=LoadFactorSeasons)*(I$1=LoadFactorHours),0),)</f>
        <v>3.2380528159365518E-5</v>
      </c>
      <c r="J5" s="8" cm="1">
        <f t="array" ref="J5">INDEX('Summarized Modified Source Data'!$E$600:$E$743,MATCH(1,($A5=LoadFactorSeasons)*(J$1=LoadFactorHours),0),)</f>
        <v>4.8593131733594702E-5</v>
      </c>
      <c r="K5" s="8" cm="1">
        <f t="array" ref="K5">INDEX('Summarized Modified Source Data'!$E$600:$E$743,MATCH(1,($A5=LoadFactorSeasons)*(K$1=LoadFactorHours),0),)</f>
        <v>6.2503443044349669E-5</v>
      </c>
      <c r="L5" s="8" cm="1">
        <f t="array" ref="L5">INDEX('Summarized Modified Source Data'!$E$600:$E$743,MATCH(1,($A5=LoadFactorSeasons)*(L$1=LoadFactorHours),0),)</f>
        <v>7.9653337475886122E-5</v>
      </c>
      <c r="M5" s="8" cm="1">
        <f t="array" ref="M5">INDEX('Summarized Modified Source Data'!$E$600:$E$743,MATCH(1,($A5=LoadFactorSeasons)*(M$1=LoadFactorHours),0),)</f>
        <v>1.0557134703153272E-4</v>
      </c>
      <c r="N5" s="8" cm="1">
        <f t="array" ref="N5">INDEX('Summarized Modified Source Data'!$E$600:$E$743,MATCH(1,($A5=LoadFactorSeasons)*(N$1=LoadFactorHours),0),)</f>
        <v>1.300734395857904E-4</v>
      </c>
      <c r="O5" s="8" cm="1">
        <f t="array" ref="O5">INDEX('Summarized Modified Source Data'!$E$600:$E$743,MATCH(1,($A5=LoadFactorSeasons)*(O$1=LoadFactorHours),0),)</f>
        <v>1.4444028667656247E-4</v>
      </c>
      <c r="P5" s="8" cm="1">
        <f t="array" ref="P5">INDEX('Summarized Modified Source Data'!$E$600:$E$743,MATCH(1,($A5=LoadFactorSeasons)*(P$1=LoadFactorHours),0),)</f>
        <v>1.5210084635118665E-4</v>
      </c>
      <c r="Q5" s="8" cm="1">
        <f t="array" ref="Q5">INDEX('Summarized Modified Source Data'!$E$600:$E$743,MATCH(1,($A5=LoadFactorSeasons)*(Q$1=LoadFactorHours),0),)</f>
        <v>1.5636775537020598E-4</v>
      </c>
      <c r="R5" s="8" cm="1">
        <f t="array" ref="R5">INDEX('Summarized Modified Source Data'!$E$600:$E$743,MATCH(1,($A5=LoadFactorSeasons)*(R$1=LoadFactorHours),0),)</f>
        <v>1.5295575488379981E-4</v>
      </c>
      <c r="S5" s="8" cm="1">
        <f t="array" ref="S5">INDEX('Summarized Modified Source Data'!$E$600:$E$743,MATCH(1,($A5=LoadFactorSeasons)*(S$1=LoadFactorHours),0),)</f>
        <v>1.4310656127796767E-4</v>
      </c>
      <c r="T5" s="8" cm="1">
        <f t="array" ref="T5">INDEX('Summarized Modified Source Data'!$E$600:$E$743,MATCH(1,($A5=LoadFactorSeasons)*(T$1=LoadFactorHours),0),)</f>
        <v>1.2749592370053385E-4</v>
      </c>
      <c r="U5" s="8" cm="1">
        <f t="array" ref="U5">INDEX('Summarized Modified Source Data'!$E$600:$E$743,MATCH(1,($A5=LoadFactorSeasons)*(U$1=LoadFactorHours),0),)</f>
        <v>1.05206591397831E-4</v>
      </c>
      <c r="V5" s="8" cm="1">
        <f t="array" ref="V5">INDEX('Summarized Modified Source Data'!$E$600:$E$743,MATCH(1,($A5=LoadFactorSeasons)*(V$1=LoadFactorHours),0),)</f>
        <v>7.6012349124299E-5</v>
      </c>
      <c r="W5" s="8" cm="1">
        <f t="array" ref="W5">INDEX('Summarized Modified Source Data'!$E$600:$E$743,MATCH(1,($A5=LoadFactorSeasons)*(W$1=LoadFactorHours),0),)</f>
        <v>4.5247025663629813E-5</v>
      </c>
      <c r="X5" s="8" cm="1">
        <f t="array" ref="X5">INDEX('Summarized Modified Source Data'!$E$600:$E$743,MATCH(1,($A5=LoadFactorSeasons)*(X$1=LoadFactorHours),0),)</f>
        <v>2.1957731287287978E-5</v>
      </c>
      <c r="Y5" s="8" cm="1">
        <f t="array" ref="Y5">INDEX('Summarized Modified Source Data'!$E$600:$E$743,MATCH(1,($A5=LoadFactorSeasons)*(Y$1=LoadFactorHours),0),)</f>
        <v>1.1990609562653905E-5</v>
      </c>
    </row>
    <row r="6" spans="1:25" x14ac:dyDescent="0.25">
      <c r="A6" s="8" t="s">
        <v>80</v>
      </c>
      <c r="B6" s="8" cm="1">
        <f t="array" ref="B6">INDEX('Summarized Modified Source Data'!$E$600:$E$743,MATCH(1,($A6=LoadFactorSeasons)*(B$1=LoadFactorHours),0),)</f>
        <v>2.8628917934004901E-4</v>
      </c>
      <c r="C6" s="8" cm="1">
        <f t="array" ref="C6">INDEX('Summarized Modified Source Data'!$E$600:$E$743,MATCH(1,($A6=LoadFactorSeasons)*(C$1=LoadFactorHours),0),)</f>
        <v>2.5944816629073044E-4</v>
      </c>
      <c r="D6" s="8" cm="1">
        <f t="array" ref="D6">INDEX('Summarized Modified Source Data'!$E$600:$E$743,MATCH(1,($A6=LoadFactorSeasons)*(D$1=LoadFactorHours),0),)</f>
        <v>2.5271545803502992E-4</v>
      </c>
      <c r="E6" s="8" cm="1">
        <f t="array" ref="E6">INDEX('Summarized Modified Source Data'!$E$600:$E$743,MATCH(1,($A6=LoadFactorSeasons)*(E$1=LoadFactorHours),0),)</f>
        <v>2.6341304177314749E-4</v>
      </c>
      <c r="F6" s="8" cm="1">
        <f t="array" ref="F6">INDEX('Summarized Modified Source Data'!$E$600:$E$743,MATCH(1,($A6=LoadFactorSeasons)*(F$1=LoadFactorHours),0),)</f>
        <v>2.9428463968739411E-4</v>
      </c>
      <c r="G6" s="8" cm="1">
        <f t="array" ref="G6">INDEX('Summarized Modified Source Data'!$E$600:$E$743,MATCH(1,($A6=LoadFactorSeasons)*(G$1=LoadFactorHours),0),)</f>
        <v>3.4442881000385254E-4</v>
      </c>
      <c r="H6" s="8" cm="1">
        <f t="array" ref="H6">INDEX('Summarized Modified Source Data'!$E$600:$E$743,MATCH(1,($A6=LoadFactorSeasons)*(H$1=LoadFactorHours),0),)</f>
        <v>4.0819295800197483E-4</v>
      </c>
      <c r="I6" s="8" cm="1">
        <f t="array" ref="I6">INDEX('Summarized Modified Source Data'!$E$600:$E$743,MATCH(1,($A6=LoadFactorSeasons)*(I$1=LoadFactorHours),0),)</f>
        <v>4.6638889834795379E-4</v>
      </c>
      <c r="J6" s="8" cm="1">
        <f t="array" ref="J6">INDEX('Summarized Modified Source Data'!$E$600:$E$743,MATCH(1,($A6=LoadFactorSeasons)*(J$1=LoadFactorHours),0),)</f>
        <v>5.0345658066030586E-4</v>
      </c>
      <c r="K6" s="8" cm="1">
        <f t="array" ref="K6">INDEX('Summarized Modified Source Data'!$E$600:$E$743,MATCH(1,($A6=LoadFactorSeasons)*(K$1=LoadFactorHours),0),)</f>
        <v>5.156280584345111E-4</v>
      </c>
      <c r="L6" s="8" cm="1">
        <f t="array" ref="L6">INDEX('Summarized Modified Source Data'!$E$600:$E$743,MATCH(1,($A6=LoadFactorSeasons)*(L$1=LoadFactorHours),0),)</f>
        <v>5.482697488289705E-4</v>
      </c>
      <c r="M6" s="8" cm="1">
        <f t="array" ref="M6">INDEX('Summarized Modified Source Data'!$E$600:$E$743,MATCH(1,($A6=LoadFactorSeasons)*(M$1=LoadFactorHours),0),)</f>
        <v>6.2793760335104096E-4</v>
      </c>
      <c r="N6" s="8" cm="1">
        <f t="array" ref="N6">INDEX('Summarized Modified Source Data'!$E$600:$E$743,MATCH(1,($A6=LoadFactorSeasons)*(N$1=LoadFactorHours),0),)</f>
        <v>7.0262621696548185E-4</v>
      </c>
      <c r="O6" s="8" cm="1">
        <f t="array" ref="O6">INDEX('Summarized Modified Source Data'!$E$600:$E$743,MATCH(1,($A6=LoadFactorSeasons)*(O$1=LoadFactorHours),0),)</f>
        <v>7.4024714826757061E-4</v>
      </c>
      <c r="P6" s="8" cm="1">
        <f t="array" ref="P6">INDEX('Summarized Modified Source Data'!$E$600:$E$743,MATCH(1,($A6=LoadFactorSeasons)*(P$1=LoadFactorHours),0),)</f>
        <v>7.4909913210335628E-4</v>
      </c>
      <c r="Q6" s="8" cm="1">
        <f t="array" ref="Q6">INDEX('Summarized Modified Source Data'!$E$600:$E$743,MATCH(1,($A6=LoadFactorSeasons)*(Q$1=LoadFactorHours),0),)</f>
        <v>7.3637440533941452E-4</v>
      </c>
      <c r="R6" s="8" cm="1">
        <f t="array" ref="R6">INDEX('Summarized Modified Source Data'!$E$600:$E$743,MATCH(1,($A6=LoadFactorSeasons)*(R$1=LoadFactorHours),0),)</f>
        <v>7.1147820080126752E-4</v>
      </c>
      <c r="S6" s="8" cm="1">
        <f t="array" ref="S6">INDEX('Summarized Modified Source Data'!$E$600:$E$743,MATCH(1,($A6=LoadFactorSeasons)*(S$1=LoadFactorHours),0),)</f>
        <v>6.8879499222206683E-4</v>
      </c>
      <c r="T6" s="8" cm="1">
        <f t="array" ref="T6">INDEX('Summarized Modified Source Data'!$E$600:$E$743,MATCH(1,($A6=LoadFactorSeasons)*(T$1=LoadFactorHours),0),)</f>
        <v>6.6057929374550026E-4</v>
      </c>
      <c r="U6" s="8" cm="1">
        <f t="array" ref="U6">INDEX('Summarized Modified Source Data'!$E$600:$E$743,MATCH(1,($A6=LoadFactorSeasons)*(U$1=LoadFactorHours),0),)</f>
        <v>6.1576612557683573E-4</v>
      </c>
      <c r="V6" s="8" cm="1">
        <f t="array" ref="V6">INDEX('Summarized Modified Source Data'!$E$600:$E$743,MATCH(1,($A6=LoadFactorSeasons)*(V$1=LoadFactorHours),0),)</f>
        <v>5.4882299781870713E-4</v>
      </c>
      <c r="W6" s="8" cm="1">
        <f t="array" ref="W6">INDEX('Summarized Modified Source Data'!$E$600:$E$743,MATCH(1,($A6=LoadFactorSeasons)*(W$1=LoadFactorHours),0),)</f>
        <v>4.7468763319400277E-4</v>
      </c>
      <c r="X6" s="8" cm="1">
        <f t="array" ref="X6">INDEX('Summarized Modified Source Data'!$E$600:$E$743,MATCH(1,($A6=LoadFactorSeasons)*(X$1=LoadFactorHours),0),)</f>
        <v>4.0028564681616449E-4</v>
      </c>
      <c r="Y6" s="8" cm="1">
        <f t="array" ref="Y6">INDEX('Summarized Modified Source Data'!$E$600:$E$743,MATCH(1,($A6=LoadFactorSeasons)*(Y$1=LoadFactorHours),0),)</f>
        <v>3.3448227836677206E-4</v>
      </c>
    </row>
    <row r="7" spans="1:25" x14ac:dyDescent="0.25">
      <c r="A7" s="8" t="s">
        <v>81</v>
      </c>
      <c r="B7" s="8" cm="1">
        <f t="array" ref="B7">INDEX('Summarized Modified Source Data'!$E$600:$E$743,MATCH(1,($A7=LoadFactorSeasons)*(B$1=LoadFactorHours),0),)</f>
        <v>1.9129505901792507E-7</v>
      </c>
      <c r="C7" s="8" cm="1">
        <f t="array" ref="C7">INDEX('Summarized Modified Source Data'!$E$600:$E$743,MATCH(1,($A7=LoadFactorSeasons)*(C$1=LoadFactorHours),0),)</f>
        <v>1.9422174617363168E-7</v>
      </c>
      <c r="D7" s="8" cm="1">
        <f t="array" ref="D7">INDEX('Summarized Modified Source Data'!$E$600:$E$743,MATCH(1,($A7=LoadFactorSeasons)*(D$1=LoadFactorHours),0),)</f>
        <v>1.967963825555359E-7</v>
      </c>
      <c r="E7" s="8" cm="1">
        <f t="array" ref="E7">INDEX('Summarized Modified Source Data'!$E$600:$E$743,MATCH(1,($A7=LoadFactorSeasons)*(E$1=LoadFactorHours),0),)</f>
        <v>1.9717812435845417E-7</v>
      </c>
      <c r="F7" s="8" cm="1">
        <f t="array" ref="F7">INDEX('Summarized Modified Source Data'!$E$600:$E$743,MATCH(1,($A7=LoadFactorSeasons)*(F$1=LoadFactorHours),0),)</f>
        <v>1.9653764644466908E-7</v>
      </c>
      <c r="G7" s="8" cm="1">
        <f t="array" ref="G7">INDEX('Summarized Modified Source Data'!$E$600:$E$743,MATCH(1,($A7=LoadFactorSeasons)*(G$1=LoadFactorHours),0),)</f>
        <v>1.9302138028223317E-7</v>
      </c>
      <c r="H7" s="8" cm="1">
        <f t="array" ref="H7">INDEX('Summarized Modified Source Data'!$E$600:$E$743,MATCH(1,($A7=LoadFactorSeasons)*(H$1=LoadFactorHours),0),)</f>
        <v>1.8529747113652052E-7</v>
      </c>
      <c r="I7" s="8" cm="1">
        <f t="array" ref="I7">INDEX('Summarized Modified Source Data'!$E$600:$E$743,MATCH(1,($A7=LoadFactorSeasons)*(I$1=LoadFactorHours),0),)</f>
        <v>1.7224190147671623E-7</v>
      </c>
      <c r="J7" s="8" cm="1">
        <f t="array" ref="J7">INDEX('Summarized Modified Source Data'!$E$600:$E$743,MATCH(1,($A7=LoadFactorSeasons)*(J$1=LoadFactorHours),0),)</f>
        <v>1.5407099165780732E-7</v>
      </c>
      <c r="K7" s="8" cm="1">
        <f t="array" ref="K7">INDEX('Summarized Modified Source Data'!$E$600:$E$743,MATCH(1,($A7=LoadFactorSeasons)*(K$1=LoadFactorHours),0),)</f>
        <v>1.3428404153987784E-7</v>
      </c>
      <c r="L7" s="8" cm="1">
        <f t="array" ref="L7">INDEX('Summarized Modified Source Data'!$E$600:$E$743,MATCH(1,($A7=LoadFactorSeasons)*(L$1=LoadFactorHours),0),)</f>
        <v>1.253046260201229E-7</v>
      </c>
      <c r="M7" s="8" cm="1">
        <f t="array" ref="M7">INDEX('Summarized Modified Source Data'!$E$600:$E$743,MATCH(1,($A7=LoadFactorSeasons)*(M$1=LoadFactorHours),0),)</f>
        <v>1.2963527469545108E-7</v>
      </c>
      <c r="N7" s="8" cm="1">
        <f t="array" ref="N7">INDEX('Summarized Modified Source Data'!$E$600:$E$743,MATCH(1,($A7=LoadFactorSeasons)*(N$1=LoadFactorHours),0),)</f>
        <v>1.3516204768658981E-7</v>
      </c>
      <c r="O7" s="8" cm="1">
        <f t="array" ref="O7">INDEX('Summarized Modified Source Data'!$E$600:$E$743,MATCH(1,($A7=LoadFactorSeasons)*(O$1=LoadFactorHours),0),)</f>
        <v>1.3643452036298398E-7</v>
      </c>
      <c r="P7" s="8" cm="1">
        <f t="array" ref="P7">INDEX('Summarized Modified Source Data'!$E$600:$E$743,MATCH(1,($A7=LoadFactorSeasons)*(P$1=LoadFactorHours),0),)</f>
        <v>1.361460932230013E-7</v>
      </c>
      <c r="Q7" s="8" cm="1">
        <f t="array" ref="Q7">INDEX('Summarized Modified Source Data'!$E$600:$E$743,MATCH(1,($A7=LoadFactorSeasons)*(Q$1=LoadFactorHours),0),)</f>
        <v>1.3571345251302728E-7</v>
      </c>
      <c r="R7" s="8" cm="1">
        <f t="array" ref="R7">INDEX('Summarized Modified Source Data'!$E$600:$E$743,MATCH(1,($A7=LoadFactorSeasons)*(R$1=LoadFactorHours),0),)</f>
        <v>1.3679505428796234E-7</v>
      </c>
      <c r="S7" s="8" cm="1">
        <f t="array" ref="S7">INDEX('Summarized Modified Source Data'!$E$600:$E$743,MATCH(1,($A7=LoadFactorSeasons)*(S$1=LoadFactorHours),0),)</f>
        <v>1.4220306316263761E-7</v>
      </c>
      <c r="T7" s="8" cm="1">
        <f t="array" ref="T7">INDEX('Summarized Modified Source Data'!$E$600:$E$743,MATCH(1,($A7=LoadFactorSeasons)*(T$1=LoadFactorHours),0),)</f>
        <v>1.5094495044946563E-7</v>
      </c>
      <c r="U7" s="8" cm="1">
        <f t="array" ref="U7">INDEX('Summarized Modified Source Data'!$E$600:$E$743,MATCH(1,($A7=LoadFactorSeasons)*(U$1=LoadFactorHours),0),)</f>
        <v>1.6041214716183832E-7</v>
      </c>
      <c r="V7" s="8" cm="1">
        <f t="array" ref="V7">INDEX('Summarized Modified Source Data'!$E$600:$E$743,MATCH(1,($A7=LoadFactorSeasons)*(V$1=LoadFactorHours),0),)</f>
        <v>1.6794518540609186E-7</v>
      </c>
      <c r="W7" s="8" cm="1">
        <f t="array" ref="W7">INDEX('Summarized Modified Source Data'!$E$600:$E$743,MATCH(1,($A7=LoadFactorSeasons)*(W$1=LoadFactorHours),0),)</f>
        <v>1.7508799869625119E-7</v>
      </c>
      <c r="X7" s="8" cm="1">
        <f t="array" ref="X7">INDEX('Summarized Modified Source Data'!$E$600:$E$743,MATCH(1,($A7=LoadFactorSeasons)*(X$1=LoadFactorHours),0),)</f>
        <v>1.817090981890889E-7</v>
      </c>
      <c r="Y7" s="8" cm="1">
        <f t="array" ref="Y7">INDEX('Summarized Modified Source Data'!$E$600:$E$743,MATCH(1,($A7=LoadFactorSeasons)*(Y$1=LoadFactorHours),0),)</f>
        <v>1.8739280947698292E-7</v>
      </c>
    </row>
    <row r="8" spans="1:25" x14ac:dyDescent="0.25">
      <c r="A8" s="8"/>
      <c r="B8" s="8"/>
      <c r="C8" s="8"/>
      <c r="D8" s="8"/>
      <c r="E8" s="8"/>
      <c r="F8" s="8"/>
      <c r="G8" s="8"/>
      <c r="H8" s="8"/>
      <c r="I8" s="8"/>
      <c r="J8" s="8"/>
      <c r="K8" s="8"/>
      <c r="L8" s="8"/>
      <c r="M8" s="8"/>
      <c r="N8" s="8"/>
      <c r="O8" s="8"/>
      <c r="P8" s="8"/>
      <c r="Q8" s="8"/>
      <c r="R8" s="8"/>
      <c r="S8" s="8"/>
      <c r="T8" s="8"/>
      <c r="U8" s="8"/>
      <c r="V8" s="8"/>
      <c r="W8" s="8"/>
      <c r="X8" s="8"/>
      <c r="Y8" s="8"/>
    </row>
    <row r="9" spans="1:25" x14ac:dyDescent="0.25">
      <c r="A9" s="8"/>
      <c r="B9" s="8"/>
      <c r="C9" s="8"/>
      <c r="D9" s="8"/>
      <c r="E9" s="8"/>
      <c r="F9" s="8"/>
      <c r="G9" s="8"/>
      <c r="H9" s="8"/>
      <c r="I9" s="8"/>
      <c r="J9" s="8"/>
      <c r="K9" s="8"/>
      <c r="L9" s="8"/>
      <c r="M9" s="8"/>
      <c r="N9" s="8"/>
      <c r="O9" s="8"/>
      <c r="P9" s="8"/>
      <c r="Q9" s="8"/>
      <c r="R9" s="8"/>
      <c r="S9" s="8"/>
      <c r="T9" s="8"/>
      <c r="U9" s="8"/>
      <c r="V9" s="8"/>
      <c r="W9" s="8"/>
      <c r="X9" s="8"/>
      <c r="Y9" s="8"/>
    </row>
    <row r="10" spans="1:25" x14ac:dyDescent="0.25">
      <c r="A10" s="8"/>
      <c r="B10" s="8"/>
      <c r="C10" s="8"/>
      <c r="D10" s="8"/>
      <c r="E10" s="8"/>
      <c r="F10" s="8"/>
      <c r="G10" s="8"/>
      <c r="H10" s="8"/>
      <c r="I10" s="8"/>
      <c r="J10" s="8"/>
      <c r="K10" s="8"/>
      <c r="L10" s="8"/>
      <c r="M10" s="8"/>
      <c r="N10" s="8"/>
      <c r="O10" s="8"/>
      <c r="P10" s="8"/>
      <c r="Q10" s="8"/>
      <c r="R10" s="8"/>
      <c r="S10" s="8"/>
      <c r="T10" s="8"/>
      <c r="U10" s="8"/>
      <c r="V10" s="8"/>
      <c r="W10" s="8"/>
      <c r="X10" s="8"/>
      <c r="Y10" s="8"/>
    </row>
    <row r="11" spans="1:25" x14ac:dyDescent="0.25">
      <c r="A11" s="8" t="s">
        <v>25</v>
      </c>
      <c r="B11" s="8" t="s">
        <v>34</v>
      </c>
      <c r="C11" s="8" t="s">
        <v>0</v>
      </c>
      <c r="D11" s="8" t="s">
        <v>1</v>
      </c>
      <c r="E11" s="8" t="s">
        <v>2</v>
      </c>
      <c r="F11" s="8" t="s">
        <v>3</v>
      </c>
      <c r="G11" s="8" t="s">
        <v>4</v>
      </c>
      <c r="H11" s="8" t="s">
        <v>5</v>
      </c>
      <c r="I11" s="8" t="s">
        <v>6</v>
      </c>
      <c r="J11" s="8" t="s">
        <v>7</v>
      </c>
      <c r="K11" s="8" t="s">
        <v>8</v>
      </c>
      <c r="L11" s="8" t="s">
        <v>9</v>
      </c>
      <c r="M11" s="8" t="s">
        <v>10</v>
      </c>
      <c r="N11" s="8" t="s">
        <v>11</v>
      </c>
      <c r="O11" s="8" t="s">
        <v>12</v>
      </c>
      <c r="P11" s="8" t="s">
        <v>13</v>
      </c>
      <c r="Q11" s="8" t="s">
        <v>14</v>
      </c>
      <c r="R11" s="8" t="s">
        <v>15</v>
      </c>
      <c r="S11" s="8" t="s">
        <v>16</v>
      </c>
      <c r="T11" s="8" t="s">
        <v>17</v>
      </c>
      <c r="U11" s="8" t="s">
        <v>18</v>
      </c>
      <c r="V11" s="8" t="s">
        <v>19</v>
      </c>
      <c r="W11" s="8" t="s">
        <v>20</v>
      </c>
      <c r="X11" s="8" t="s">
        <v>21</v>
      </c>
      <c r="Y11" s="8" t="s">
        <v>22</v>
      </c>
    </row>
    <row r="12" spans="1:25" x14ac:dyDescent="0.25">
      <c r="A12" s="8" t="s">
        <v>37</v>
      </c>
      <c r="B12" s="8">
        <v>8.3354231576255331E-8</v>
      </c>
      <c r="C12" s="8">
        <v>8.408378257738798E-8</v>
      </c>
      <c r="D12" s="8">
        <v>8.4663060614832193E-8</v>
      </c>
      <c r="E12" s="8">
        <v>8.4749104005331232E-8</v>
      </c>
      <c r="F12" s="8">
        <v>8.3217289278700534E-8</v>
      </c>
      <c r="G12" s="8">
        <v>7.8254645840763214E-8</v>
      </c>
      <c r="H12" s="8">
        <v>6.7822793651809788E-8</v>
      </c>
      <c r="I12" s="8">
        <v>5.5580394626158352E-8</v>
      </c>
      <c r="J12" s="8">
        <v>4.7013623817176964E-8</v>
      </c>
      <c r="K12" s="8">
        <v>4.0799109641415685E-8</v>
      </c>
      <c r="L12" s="8">
        <v>3.927214242974267E-8</v>
      </c>
      <c r="M12" s="8">
        <v>4.244120533333388E-8</v>
      </c>
      <c r="N12" s="8">
        <v>4.528548473475973E-8</v>
      </c>
      <c r="O12" s="8">
        <v>4.629013220974142E-8</v>
      </c>
      <c r="P12" s="8">
        <v>4.7446264527150986E-8</v>
      </c>
      <c r="Q12" s="8">
        <v>4.9989998001199927E-8</v>
      </c>
      <c r="R12" s="8">
        <v>5.297849097261712E-8</v>
      </c>
      <c r="S12" s="8">
        <v>5.6977690812713101E-8</v>
      </c>
      <c r="T12" s="8">
        <v>6.2276024661470583E-8</v>
      </c>
      <c r="U12" s="8">
        <v>6.7771894744754029E-8</v>
      </c>
      <c r="V12" s="8">
        <v>7.2553968250517305E-8</v>
      </c>
      <c r="W12" s="8">
        <v>7.6661025298421935E-8</v>
      </c>
      <c r="X12" s="8">
        <v>7.980221499100643E-8</v>
      </c>
      <c r="Y12" s="8">
        <v>8.2093877687255373E-8</v>
      </c>
    </row>
    <row r="13" spans="1:25" x14ac:dyDescent="0.25">
      <c r="A13" s="8" t="s">
        <v>38</v>
      </c>
      <c r="B13" s="8">
        <v>1.7430662670641319E-7</v>
      </c>
      <c r="C13" s="8">
        <v>1.7580514111289971E-7</v>
      </c>
      <c r="D13" s="8">
        <v>1.7699225537373455E-7</v>
      </c>
      <c r="E13" s="8">
        <v>1.7716929505045026E-7</v>
      </c>
      <c r="F13" s="8">
        <v>1.7390670672240355E-7</v>
      </c>
      <c r="G13" s="8">
        <v>1.6335703884382622E-7</v>
      </c>
      <c r="H13" s="8">
        <v>1.4120020716057503E-7</v>
      </c>
      <c r="I13" s="8">
        <v>1.1527812092431644E-7</v>
      </c>
      <c r="J13" s="8">
        <v>2.5469370491514112E-7</v>
      </c>
      <c r="K13" s="8">
        <v>2.8461009078615801E-6</v>
      </c>
      <c r="L13" s="8">
        <v>6.4282901122993106E-6</v>
      </c>
      <c r="M13" s="8">
        <v>1.0773988213955938E-5</v>
      </c>
      <c r="N13" s="8">
        <v>1.4757877283438819E-5</v>
      </c>
      <c r="O13" s="8">
        <v>1.8527760159423191E-5</v>
      </c>
      <c r="P13" s="8">
        <v>2.0966227211646842E-5</v>
      </c>
      <c r="Q13" s="8">
        <v>2.0095584018632554E-5</v>
      </c>
      <c r="R13" s="8">
        <v>1.7395098244869646E-5</v>
      </c>
      <c r="S13" s="8">
        <v>1.4616109600885913E-5</v>
      </c>
      <c r="T13" s="8">
        <v>1.034039591571957E-5</v>
      </c>
      <c r="U13" s="8">
        <v>4.8093966292030605E-6</v>
      </c>
      <c r="V13" s="8">
        <v>3.9894784649906215E-7</v>
      </c>
      <c r="W13" s="8">
        <v>1.603299765142674E-7</v>
      </c>
      <c r="X13" s="8">
        <v>1.6691047806933443E-7</v>
      </c>
      <c r="Y13" s="8">
        <v>1.716921300520579E-7</v>
      </c>
    </row>
    <row r="14" spans="1:25" x14ac:dyDescent="0.25">
      <c r="A14" s="8" t="s">
        <v>39</v>
      </c>
      <c r="B14" s="8">
        <v>2.6152302467085227E-4</v>
      </c>
      <c r="C14" s="8">
        <v>2.3520725909918834E-4</v>
      </c>
      <c r="D14" s="8">
        <v>2.2729587125867935E-4</v>
      </c>
      <c r="E14" s="8">
        <v>2.3698971985574454E-4</v>
      </c>
      <c r="F14" s="8">
        <v>2.6102701482159382E-4</v>
      </c>
      <c r="G14" s="8">
        <v>2.924329919832486E-4</v>
      </c>
      <c r="H14" s="8">
        <v>3.1295091521566621E-4</v>
      </c>
      <c r="I14" s="8">
        <v>3.1440349731031353E-4</v>
      </c>
      <c r="J14" s="8">
        <v>3.2072634290730316E-4</v>
      </c>
      <c r="K14" s="8">
        <v>3.2720725964421762E-4</v>
      </c>
      <c r="L14" s="8">
        <v>3.5961184332878991E-4</v>
      </c>
      <c r="M14" s="8">
        <v>4.304277140150747E-4</v>
      </c>
      <c r="N14" s="8">
        <v>4.9365616998497182E-4</v>
      </c>
      <c r="O14" s="8">
        <v>5.2669303822924307E-4</v>
      </c>
      <c r="P14" s="8">
        <v>5.4787457097915855E-4</v>
      </c>
      <c r="Q14" s="8">
        <v>5.7000453056862261E-4</v>
      </c>
      <c r="R14" s="8">
        <v>5.7996301238388143E-4</v>
      </c>
      <c r="S14" s="8">
        <v>5.8138565264320415E-4</v>
      </c>
      <c r="T14" s="8">
        <v>5.7379823792681642E-4</v>
      </c>
      <c r="U14" s="8">
        <v>5.4834878439893279E-4</v>
      </c>
      <c r="V14" s="8">
        <v>4.9887251760248835E-4</v>
      </c>
      <c r="W14" s="8">
        <v>4.3675055961206439E-4</v>
      </c>
      <c r="X14" s="8">
        <v>3.6933607636037148E-4</v>
      </c>
      <c r="Y14" s="8">
        <v>3.0718550433219831E-4</v>
      </c>
    </row>
    <row r="15" spans="1:25" x14ac:dyDescent="0.25">
      <c r="A15" s="8" t="s">
        <v>40</v>
      </c>
      <c r="B15" s="8">
        <v>9.8187686947386924E-6</v>
      </c>
      <c r="C15" s="8">
        <v>8.8991291492740904E-6</v>
      </c>
      <c r="D15" s="8">
        <v>8.6176045527213306E-6</v>
      </c>
      <c r="E15" s="8">
        <v>8.9673622930138153E-6</v>
      </c>
      <c r="F15" s="8">
        <v>9.7934312903270427E-6</v>
      </c>
      <c r="G15" s="8">
        <v>1.1556667175712557E-5</v>
      </c>
      <c r="H15" s="8">
        <v>1.8673094885684957E-5</v>
      </c>
      <c r="I15" s="8">
        <v>3.2492644028265688E-5</v>
      </c>
      <c r="J15" s="8">
        <v>4.8687970582380908E-5</v>
      </c>
      <c r="K15" s="8">
        <v>6.2585741928212536E-5</v>
      </c>
      <c r="L15" s="8">
        <v>7.9732556201064387E-5</v>
      </c>
      <c r="M15" s="8">
        <v>1.056569573243839E-4</v>
      </c>
      <c r="N15" s="8">
        <v>1.3016479060783083E-4</v>
      </c>
      <c r="O15" s="8">
        <v>1.4453366650281387E-4</v>
      </c>
      <c r="P15" s="8">
        <v>1.5219655298461776E-4</v>
      </c>
      <c r="Q15" s="8">
        <v>1.5646859719079388E-4</v>
      </c>
      <c r="R15" s="8">
        <v>1.530626259004507E-4</v>
      </c>
      <c r="S15" s="8">
        <v>1.4322149744696368E-4</v>
      </c>
      <c r="T15" s="8">
        <v>1.2762154744799974E-4</v>
      </c>
      <c r="U15" s="8">
        <v>1.0534330323975665E-4</v>
      </c>
      <c r="V15" s="8">
        <v>7.6158706726315881E-5</v>
      </c>
      <c r="W15" s="8">
        <v>4.5401670132200614E-5</v>
      </c>
      <c r="X15" s="8">
        <v>2.211871010696168E-5</v>
      </c>
      <c r="Y15" s="8">
        <v>1.21562086203545E-5</v>
      </c>
    </row>
    <row r="16" spans="1:25" x14ac:dyDescent="0.25">
      <c r="A16" t="s">
        <v>80</v>
      </c>
      <c r="B16">
        <v>2.8628917934004901E-4</v>
      </c>
      <c r="C16">
        <v>2.5944816629073044E-4</v>
      </c>
      <c r="D16">
        <v>2.5271545803502992E-4</v>
      </c>
      <c r="E16">
        <v>2.6341304177314749E-4</v>
      </c>
      <c r="F16">
        <v>2.9428463968739411E-4</v>
      </c>
      <c r="G16">
        <v>3.4442881000385254E-4</v>
      </c>
      <c r="H16">
        <v>4.0819295800197483E-4</v>
      </c>
      <c r="I16">
        <v>4.6638889834795379E-4</v>
      </c>
      <c r="J16">
        <v>5.0345658066030586E-4</v>
      </c>
      <c r="K16">
        <v>5.156280584345111E-4</v>
      </c>
      <c r="L16">
        <v>5.482697488289705E-4</v>
      </c>
      <c r="M16">
        <v>6.2793760335104096E-4</v>
      </c>
      <c r="N16">
        <v>7.0262621696548185E-4</v>
      </c>
      <c r="O16">
        <v>7.4024714826757061E-4</v>
      </c>
      <c r="P16">
        <v>7.4909913210335628E-4</v>
      </c>
      <c r="Q16">
        <v>7.3637440533941452E-4</v>
      </c>
      <c r="R16">
        <v>7.1147820080126752E-4</v>
      </c>
      <c r="S16">
        <v>6.8879499222206683E-4</v>
      </c>
      <c r="T16">
        <v>6.6057929374550026E-4</v>
      </c>
      <c r="U16">
        <v>6.1576612557683573E-4</v>
      </c>
      <c r="V16">
        <v>5.4882299781870713E-4</v>
      </c>
      <c r="W16">
        <v>4.7468763319400277E-4</v>
      </c>
      <c r="X16">
        <v>4.0028564681616449E-4</v>
      </c>
      <c r="Y16">
        <v>3.3448227836677206E-4</v>
      </c>
    </row>
    <row r="17" spans="1:25" x14ac:dyDescent="0.25">
      <c r="A17" t="s">
        <v>81</v>
      </c>
      <c r="B17">
        <v>9.4447163617564013E-8</v>
      </c>
      <c r="C17">
        <v>9.5893540893065413E-8</v>
      </c>
      <c r="D17">
        <v>9.7161771993871611E-8</v>
      </c>
      <c r="E17">
        <v>9.7352642895330736E-8</v>
      </c>
      <c r="F17">
        <v>9.7034524726232194E-8</v>
      </c>
      <c r="G17">
        <v>9.5299720310748135E-8</v>
      </c>
      <c r="H17">
        <v>9.1486543857153575E-8</v>
      </c>
      <c r="I17">
        <v>8.5039348963423059E-8</v>
      </c>
      <c r="J17">
        <v>7.6068416594844084E-8</v>
      </c>
      <c r="K17">
        <v>6.6300068015724756E-8</v>
      </c>
      <c r="L17">
        <v>6.1867621526285046E-8</v>
      </c>
      <c r="M17">
        <v>6.4005375622627258E-8</v>
      </c>
      <c r="N17">
        <v>6.6732708725698779E-8</v>
      </c>
      <c r="O17">
        <v>6.7360461912719909E-8</v>
      </c>
      <c r="P17">
        <v>6.7220489918316556E-8</v>
      </c>
      <c r="Q17">
        <v>6.7004169563329545E-8</v>
      </c>
      <c r="R17">
        <v>6.7538608087415098E-8</v>
      </c>
      <c r="S17">
        <v>7.0206559132254894E-8</v>
      </c>
      <c r="T17">
        <v>7.452448308081915E-8</v>
      </c>
      <c r="U17">
        <v>7.9198699378773771E-8</v>
      </c>
      <c r="V17">
        <v>8.2918561169432753E-8</v>
      </c>
      <c r="W17">
        <v>8.644331048304464E-8</v>
      </c>
      <c r="X17">
        <v>8.971356526137768E-8</v>
      </c>
      <c r="Y17">
        <v>9.2521488300620842E-8</v>
      </c>
    </row>
    <row r="19" spans="1:25" x14ac:dyDescent="0.25">
      <c r="N19" s="8"/>
    </row>
    <row r="20" spans="1:25" x14ac:dyDescent="0.25">
      <c r="A20" s="8" t="s">
        <v>472</v>
      </c>
    </row>
    <row r="21" spans="1:25" x14ac:dyDescent="0.25">
      <c r="A21" s="8" t="s">
        <v>37</v>
      </c>
      <c r="B21" s="49">
        <f>(B12-B2)/B2</f>
        <v>-0.50627377790539085</v>
      </c>
      <c r="C21" s="49">
        <f t="shared" ref="C21:Y26" si="0">(C12-C2)/C2</f>
        <v>-0.50627272662582101</v>
      </c>
      <c r="D21" s="49">
        <f t="shared" si="0"/>
        <v>-0.50627919631940865</v>
      </c>
      <c r="E21" s="49">
        <f t="shared" si="0"/>
        <v>-0.50627290120798352</v>
      </c>
      <c r="F21" s="49">
        <f t="shared" si="0"/>
        <v>-0.5062804224815397</v>
      </c>
      <c r="G21" s="49">
        <f t="shared" si="0"/>
        <v>-0.5062735592987071</v>
      </c>
      <c r="H21" s="49">
        <f t="shared" si="0"/>
        <v>-0.50627685195804262</v>
      </c>
      <c r="I21" s="49">
        <f t="shared" si="0"/>
        <v>-0.50627079049638823</v>
      </c>
      <c r="J21" s="49">
        <f t="shared" si="0"/>
        <v>-0.50628062360801773</v>
      </c>
      <c r="K21" s="49">
        <f t="shared" si="0"/>
        <v>-0.50626952351621268</v>
      </c>
      <c r="L21" s="49">
        <f t="shared" si="0"/>
        <v>-0.50626952083492038</v>
      </c>
      <c r="M21" s="49">
        <f t="shared" si="0"/>
        <v>-0.5062666535083391</v>
      </c>
      <c r="N21" s="49">
        <f t="shared" si="0"/>
        <v>-0.50627592949818989</v>
      </c>
      <c r="O21" s="49">
        <f t="shared" si="0"/>
        <v>-0.50628182922730913</v>
      </c>
      <c r="P21" s="49">
        <f t="shared" si="0"/>
        <v>-0.50626765536723162</v>
      </c>
      <c r="Q21" s="49">
        <f t="shared" si="0"/>
        <v>-0.50627775317478363</v>
      </c>
      <c r="R21" s="49">
        <f t="shared" si="0"/>
        <v>-0.5062793639320563</v>
      </c>
      <c r="S21" s="49">
        <f t="shared" si="0"/>
        <v>-0.50627448097703387</v>
      </c>
      <c r="T21" s="49">
        <f t="shared" si="0"/>
        <v>-0.50627389942545309</v>
      </c>
      <c r="U21" s="49">
        <f t="shared" si="0"/>
        <v>-0.50627714800296642</v>
      </c>
      <c r="V21" s="49">
        <f t="shared" si="0"/>
        <v>-0.50627577107042721</v>
      </c>
      <c r="W21" s="49">
        <f t="shared" si="0"/>
        <v>-0.50627902439024386</v>
      </c>
      <c r="X21" s="49">
        <f t="shared" si="0"/>
        <v>-0.50627558594628641</v>
      </c>
      <c r="Y21" s="49">
        <f t="shared" si="0"/>
        <v>-0.50627172875228676</v>
      </c>
    </row>
    <row r="22" spans="1:25" x14ac:dyDescent="0.25">
      <c r="A22" s="8" t="s">
        <v>38</v>
      </c>
      <c r="B22" s="49">
        <f t="shared" ref="B22:Q26" si="1">(B13-B3)/B3</f>
        <v>0</v>
      </c>
      <c r="C22" s="49">
        <f t="shared" si="1"/>
        <v>0</v>
      </c>
      <c r="D22" s="49">
        <f t="shared" si="1"/>
        <v>0</v>
      </c>
      <c r="E22" s="49">
        <f t="shared" si="1"/>
        <v>0</v>
      </c>
      <c r="F22" s="49">
        <f t="shared" si="1"/>
        <v>0</v>
      </c>
      <c r="G22" s="49">
        <f t="shared" si="1"/>
        <v>0</v>
      </c>
      <c r="H22" s="49">
        <f t="shared" si="1"/>
        <v>0</v>
      </c>
      <c r="I22" s="49">
        <f t="shared" si="1"/>
        <v>0</v>
      </c>
      <c r="J22" s="49">
        <f t="shared" si="1"/>
        <v>0</v>
      </c>
      <c r="K22" s="49">
        <f t="shared" si="1"/>
        <v>0</v>
      </c>
      <c r="L22" s="49">
        <f t="shared" si="1"/>
        <v>0</v>
      </c>
      <c r="M22" s="49">
        <f t="shared" si="1"/>
        <v>0</v>
      </c>
      <c r="N22" s="49">
        <f t="shared" si="1"/>
        <v>0</v>
      </c>
      <c r="O22" s="49">
        <f t="shared" si="1"/>
        <v>0</v>
      </c>
      <c r="P22" s="49">
        <f t="shared" si="1"/>
        <v>0</v>
      </c>
      <c r="Q22" s="49">
        <f t="shared" si="1"/>
        <v>0</v>
      </c>
      <c r="R22" s="49">
        <f t="shared" si="0"/>
        <v>0</v>
      </c>
      <c r="S22" s="49">
        <f t="shared" si="0"/>
        <v>0</v>
      </c>
      <c r="T22" s="49">
        <f t="shared" si="0"/>
        <v>0</v>
      </c>
      <c r="U22" s="49">
        <f t="shared" si="0"/>
        <v>0</v>
      </c>
      <c r="V22" s="49">
        <f t="shared" si="0"/>
        <v>0</v>
      </c>
      <c r="W22" s="49">
        <f t="shared" si="0"/>
        <v>0</v>
      </c>
      <c r="X22" s="49">
        <f t="shared" si="0"/>
        <v>0</v>
      </c>
      <c r="Y22" s="49">
        <f t="shared" si="0"/>
        <v>0</v>
      </c>
    </row>
    <row r="23" spans="1:25" x14ac:dyDescent="0.25">
      <c r="A23" s="8" t="s">
        <v>39</v>
      </c>
      <c r="B23" s="49">
        <f t="shared" si="1"/>
        <v>0</v>
      </c>
      <c r="C23" s="49">
        <f t="shared" si="0"/>
        <v>0</v>
      </c>
      <c r="D23" s="49">
        <f t="shared" si="0"/>
        <v>0</v>
      </c>
      <c r="E23" s="49">
        <f t="shared" si="0"/>
        <v>0</v>
      </c>
      <c r="F23" s="49">
        <f t="shared" si="0"/>
        <v>0</v>
      </c>
      <c r="G23" s="49">
        <f t="shared" si="0"/>
        <v>0</v>
      </c>
      <c r="H23" s="49">
        <f t="shared" si="0"/>
        <v>0</v>
      </c>
      <c r="I23" s="49">
        <f t="shared" si="0"/>
        <v>0</v>
      </c>
      <c r="J23" s="49">
        <f t="shared" si="0"/>
        <v>0</v>
      </c>
      <c r="K23" s="49">
        <f t="shared" si="0"/>
        <v>0</v>
      </c>
      <c r="L23" s="49">
        <f t="shared" si="0"/>
        <v>0</v>
      </c>
      <c r="M23" s="49">
        <f t="shared" si="0"/>
        <v>0</v>
      </c>
      <c r="N23" s="49">
        <f t="shared" si="0"/>
        <v>0</v>
      </c>
      <c r="O23" s="49">
        <f t="shared" si="0"/>
        <v>0</v>
      </c>
      <c r="P23" s="49">
        <f t="shared" si="0"/>
        <v>0</v>
      </c>
      <c r="Q23" s="49">
        <f t="shared" si="0"/>
        <v>0</v>
      </c>
      <c r="R23" s="49">
        <f t="shared" si="0"/>
        <v>0</v>
      </c>
      <c r="S23" s="49">
        <f t="shared" si="0"/>
        <v>0</v>
      </c>
      <c r="T23" s="49">
        <f t="shared" si="0"/>
        <v>0</v>
      </c>
      <c r="U23" s="49">
        <f t="shared" si="0"/>
        <v>0</v>
      </c>
      <c r="V23" s="49">
        <f t="shared" si="0"/>
        <v>0</v>
      </c>
      <c r="W23" s="49">
        <f t="shared" si="0"/>
        <v>0</v>
      </c>
      <c r="X23" s="49">
        <f t="shared" si="0"/>
        <v>0</v>
      </c>
      <c r="Y23" s="49">
        <f t="shared" si="0"/>
        <v>0</v>
      </c>
    </row>
    <row r="24" spans="1:25" x14ac:dyDescent="0.25">
      <c r="A24" s="8" t="s">
        <v>40</v>
      </c>
      <c r="B24" s="49">
        <f t="shared" si="1"/>
        <v>1.7422995468672393E-2</v>
      </c>
      <c r="C24" s="49">
        <f t="shared" si="0"/>
        <v>1.9429916325133228E-2</v>
      </c>
      <c r="D24" s="49">
        <f t="shared" si="0"/>
        <v>2.0219057190991038E-2</v>
      </c>
      <c r="E24" s="49">
        <f t="shared" si="0"/>
        <v>1.9434750121350382E-2</v>
      </c>
      <c r="F24" s="49">
        <f t="shared" si="0"/>
        <v>1.7440131050516783E-2</v>
      </c>
      <c r="G24" s="49">
        <f t="shared" si="0"/>
        <v>1.3848439336896208E-2</v>
      </c>
      <c r="H24" s="49">
        <f t="shared" si="0"/>
        <v>7.3808957908263056E-3</v>
      </c>
      <c r="I24" s="49">
        <f t="shared" si="0"/>
        <v>3.4624471950665805E-3</v>
      </c>
      <c r="J24" s="49">
        <f t="shared" si="0"/>
        <v>1.9516924594641654E-3</v>
      </c>
      <c r="K24" s="49">
        <f t="shared" si="0"/>
        <v>1.3167096059727658E-3</v>
      </c>
      <c r="L24" s="49">
        <f t="shared" si="0"/>
        <v>9.9454370260691326E-4</v>
      </c>
      <c r="M24" s="49">
        <f t="shared" si="0"/>
        <v>8.1092356267469987E-4</v>
      </c>
      <c r="N24" s="49">
        <f t="shared" si="0"/>
        <v>7.0230342436799326E-4</v>
      </c>
      <c r="O24" s="49">
        <f t="shared" si="0"/>
        <v>6.4649432924830956E-4</v>
      </c>
      <c r="P24" s="49">
        <f t="shared" si="0"/>
        <v>6.2923143248086336E-4</v>
      </c>
      <c r="Q24" s="49">
        <f t="shared" si="0"/>
        <v>6.4490163172808588E-4</v>
      </c>
      <c r="R24" s="49">
        <f t="shared" si="0"/>
        <v>6.9870543107105189E-4</v>
      </c>
      <c r="S24" s="49">
        <f t="shared" si="0"/>
        <v>8.0315093850070606E-4</v>
      </c>
      <c r="T24" s="49">
        <f t="shared" si="0"/>
        <v>9.853157953579265E-4</v>
      </c>
      <c r="U24" s="49">
        <f t="shared" si="0"/>
        <v>1.2994608047768564E-3</v>
      </c>
      <c r="V24" s="49">
        <f t="shared" si="0"/>
        <v>1.9254450586384405E-3</v>
      </c>
      <c r="W24" s="49">
        <f t="shared" si="0"/>
        <v>3.4177819713596281E-3</v>
      </c>
      <c r="X24" s="49">
        <f t="shared" si="0"/>
        <v>7.3313047494527779E-3</v>
      </c>
      <c r="Y24" s="49">
        <f t="shared" si="0"/>
        <v>1.3810728873732338E-2</v>
      </c>
    </row>
    <row r="25" spans="1:25" x14ac:dyDescent="0.25">
      <c r="A25" s="8" t="s">
        <v>80</v>
      </c>
      <c r="B25" s="49">
        <f t="shared" si="1"/>
        <v>0</v>
      </c>
      <c r="C25" s="49">
        <f t="shared" si="0"/>
        <v>0</v>
      </c>
      <c r="D25" s="49">
        <f t="shared" si="0"/>
        <v>0</v>
      </c>
      <c r="E25" s="49">
        <f t="shared" si="0"/>
        <v>0</v>
      </c>
      <c r="F25" s="49">
        <f t="shared" si="0"/>
        <v>0</v>
      </c>
      <c r="G25" s="49">
        <f t="shared" si="0"/>
        <v>0</v>
      </c>
      <c r="H25" s="49">
        <f t="shared" si="0"/>
        <v>0</v>
      </c>
      <c r="I25" s="49">
        <f t="shared" si="0"/>
        <v>0</v>
      </c>
      <c r="J25" s="49">
        <f t="shared" si="0"/>
        <v>0</v>
      </c>
      <c r="K25" s="49">
        <f t="shared" si="0"/>
        <v>0</v>
      </c>
      <c r="L25" s="49">
        <f t="shared" si="0"/>
        <v>0</v>
      </c>
      <c r="M25" s="49">
        <f t="shared" si="0"/>
        <v>0</v>
      </c>
      <c r="N25" s="49">
        <f t="shared" si="0"/>
        <v>0</v>
      </c>
      <c r="O25" s="49">
        <f t="shared" si="0"/>
        <v>0</v>
      </c>
      <c r="P25" s="49">
        <f t="shared" si="0"/>
        <v>0</v>
      </c>
      <c r="Q25" s="49">
        <f t="shared" si="0"/>
        <v>0</v>
      </c>
      <c r="R25" s="49">
        <f t="shared" si="0"/>
        <v>0</v>
      </c>
      <c r="S25" s="49">
        <f t="shared" si="0"/>
        <v>0</v>
      </c>
      <c r="T25" s="49">
        <f t="shared" si="0"/>
        <v>0</v>
      </c>
      <c r="U25" s="49">
        <f t="shared" si="0"/>
        <v>0</v>
      </c>
      <c r="V25" s="49">
        <f t="shared" si="0"/>
        <v>0</v>
      </c>
      <c r="W25" s="49">
        <f t="shared" si="0"/>
        <v>0</v>
      </c>
      <c r="X25" s="49">
        <f t="shared" si="0"/>
        <v>0</v>
      </c>
      <c r="Y25" s="49">
        <f t="shared" si="0"/>
        <v>0</v>
      </c>
    </row>
    <row r="26" spans="1:25" x14ac:dyDescent="0.25">
      <c r="A26" s="8" t="s">
        <v>81</v>
      </c>
      <c r="B26" s="49">
        <f t="shared" si="1"/>
        <v>-0.50627494456762756</v>
      </c>
      <c r="C26" s="49">
        <f t="shared" si="0"/>
        <v>-0.50626774404891894</v>
      </c>
      <c r="D26" s="49">
        <f t="shared" si="0"/>
        <v>-0.50628273379744371</v>
      </c>
      <c r="E26" s="49">
        <f t="shared" si="0"/>
        <v>-0.50627057026695643</v>
      </c>
      <c r="F26" s="49">
        <f t="shared" si="0"/>
        <v>-0.50628021408839774</v>
      </c>
      <c r="G26" s="49">
        <f t="shared" si="0"/>
        <v>-0.50627376008086666</v>
      </c>
      <c r="H26" s="49">
        <f t="shared" si="0"/>
        <v>-0.50627203223000505</v>
      </c>
      <c r="I26" s="49">
        <f t="shared" si="0"/>
        <v>-0.50627955082742315</v>
      </c>
      <c r="J26" s="49">
        <f t="shared" si="0"/>
        <v>-0.50627684175751564</v>
      </c>
      <c r="K26" s="49">
        <f t="shared" si="0"/>
        <v>-0.50626993903787243</v>
      </c>
      <c r="L26" s="49">
        <f t="shared" si="0"/>
        <v>-0.50626227066549312</v>
      </c>
      <c r="M26" s="49">
        <f t="shared" si="0"/>
        <v>-0.50626574616366193</v>
      </c>
      <c r="N26" s="49">
        <f t="shared" si="0"/>
        <v>-0.50627628193058438</v>
      </c>
      <c r="O26" s="49">
        <f t="shared" si="0"/>
        <v>-0.50627992289995649</v>
      </c>
      <c r="P26" s="49">
        <f t="shared" si="0"/>
        <v>-0.50626207240326493</v>
      </c>
      <c r="Q26" s="49">
        <f t="shared" si="0"/>
        <v>-0.50628203525440674</v>
      </c>
      <c r="R26" s="49">
        <f t="shared" si="0"/>
        <v>-0.50627887507364111</v>
      </c>
      <c r="S26" s="49">
        <f t="shared" si="0"/>
        <v>-0.50629362285987001</v>
      </c>
      <c r="T26" s="49">
        <f t="shared" si="0"/>
        <v>-0.50628038328603142</v>
      </c>
      <c r="U26" s="49">
        <f t="shared" si="0"/>
        <v>-0.50627991221343771</v>
      </c>
      <c r="V26" s="49">
        <f t="shared" si="0"/>
        <v>-0.50627604495517109</v>
      </c>
      <c r="W26" s="49">
        <f t="shared" si="0"/>
        <v>-0.50628648949829202</v>
      </c>
      <c r="X26" s="49">
        <f t="shared" si="0"/>
        <v>-0.50627917833800185</v>
      </c>
      <c r="Y26" s="49">
        <f t="shared" si="0"/>
        <v>-0.50626980534178356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8366F-B3FC-41F0-AB7A-18ACDEC9FCCF}">
  <sheetPr codeName="Sheet11">
    <tabColor rgb="FF002060"/>
  </sheetPr>
  <dimension ref="A1:Y19"/>
  <sheetViews>
    <sheetView workbookViewId="0">
      <selection activeCell="B2" sqref="B2"/>
    </sheetView>
  </sheetViews>
  <sheetFormatPr defaultRowHeight="15" x14ac:dyDescent="0.25"/>
  <cols>
    <col min="1" max="1" width="28.42578125" customWidth="1"/>
    <col min="2" max="2" width="10.5703125" bestFit="1" customWidth="1"/>
    <col min="3" max="3" width="10.42578125" bestFit="1" customWidth="1"/>
    <col min="4" max="25" width="10.5703125" bestFit="1" customWidth="1"/>
  </cols>
  <sheetData>
    <row r="1" spans="1:25" x14ac:dyDescent="0.25">
      <c r="A1" s="6" t="s">
        <v>25</v>
      </c>
      <c r="B1" s="7" t="s">
        <v>34</v>
      </c>
      <c r="C1" s="7" t="s">
        <v>0</v>
      </c>
      <c r="D1" s="7" t="s">
        <v>1</v>
      </c>
      <c r="E1" s="7" t="s">
        <v>2</v>
      </c>
      <c r="F1" s="7" t="s">
        <v>3</v>
      </c>
      <c r="G1" s="7" t="s">
        <v>4</v>
      </c>
      <c r="H1" s="7" t="s">
        <v>5</v>
      </c>
      <c r="I1" s="7" t="s">
        <v>6</v>
      </c>
      <c r="J1" s="7" t="s">
        <v>7</v>
      </c>
      <c r="K1" s="7" t="s">
        <v>8</v>
      </c>
      <c r="L1" s="7" t="s">
        <v>9</v>
      </c>
      <c r="M1" s="7" t="s">
        <v>10</v>
      </c>
      <c r="N1" s="7" t="s">
        <v>11</v>
      </c>
      <c r="O1" s="7" t="s">
        <v>12</v>
      </c>
      <c r="P1" s="7" t="s">
        <v>13</v>
      </c>
      <c r="Q1" s="7" t="s">
        <v>14</v>
      </c>
      <c r="R1" s="7" t="s">
        <v>15</v>
      </c>
      <c r="S1" s="7" t="s">
        <v>16</v>
      </c>
      <c r="T1" s="7" t="s">
        <v>17</v>
      </c>
      <c r="U1" s="7" t="s">
        <v>18</v>
      </c>
      <c r="V1" s="7" t="s">
        <v>19</v>
      </c>
      <c r="W1" s="7" t="s">
        <v>20</v>
      </c>
      <c r="X1" s="7" t="s">
        <v>21</v>
      </c>
      <c r="Y1" s="7" t="s">
        <v>22</v>
      </c>
    </row>
    <row r="2" spans="1:25" x14ac:dyDescent="0.25">
      <c r="A2" s="8" t="s">
        <v>37</v>
      </c>
      <c r="B2" s="8">
        <v>0</v>
      </c>
      <c r="C2" s="8">
        <v>0</v>
      </c>
      <c r="D2" s="8">
        <v>0</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row>
    <row r="3" spans="1:25" x14ac:dyDescent="0.25">
      <c r="A3" s="8" t="s">
        <v>38</v>
      </c>
      <c r="B3" s="8">
        <v>0</v>
      </c>
      <c r="C3" s="8">
        <v>0</v>
      </c>
      <c r="D3" s="8">
        <v>0</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row>
    <row r="4" spans="1:25" x14ac:dyDescent="0.25">
      <c r="A4" s="8" t="s">
        <v>39</v>
      </c>
      <c r="B4" s="8">
        <v>0</v>
      </c>
      <c r="C4" s="8">
        <v>0</v>
      </c>
      <c r="D4" s="8">
        <v>0</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row>
    <row r="5" spans="1:25" x14ac:dyDescent="0.25">
      <c r="A5" s="8" t="s">
        <v>40</v>
      </c>
      <c r="B5" s="8">
        <v>0</v>
      </c>
      <c r="C5" s="8">
        <v>0</v>
      </c>
      <c r="D5" s="8">
        <v>0</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row>
    <row r="6" spans="1:25" x14ac:dyDescent="0.25">
      <c r="A6" s="8" t="s">
        <v>80</v>
      </c>
      <c r="B6" s="8">
        <v>0</v>
      </c>
      <c r="C6" s="8">
        <v>0</v>
      </c>
      <c r="D6" s="8">
        <v>0</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row>
    <row r="7" spans="1:25" x14ac:dyDescent="0.25">
      <c r="A7" s="8" t="s">
        <v>81</v>
      </c>
      <c r="B7" s="8">
        <v>0</v>
      </c>
      <c r="C7" s="8">
        <v>0</v>
      </c>
      <c r="D7" s="8">
        <v>0</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row>
    <row r="8" spans="1:25" x14ac:dyDescent="0.25">
      <c r="A8" s="8"/>
      <c r="B8" s="8"/>
      <c r="C8" s="8"/>
      <c r="D8" s="8"/>
      <c r="E8" s="8"/>
      <c r="F8" s="8"/>
      <c r="G8" s="8"/>
      <c r="H8" s="8"/>
      <c r="I8" s="8"/>
      <c r="J8" s="8"/>
      <c r="K8" s="8"/>
      <c r="L8" s="8"/>
      <c r="M8" s="8"/>
      <c r="N8" s="8"/>
      <c r="O8" s="8"/>
      <c r="P8" s="8"/>
      <c r="Q8" s="8"/>
      <c r="R8" s="8"/>
      <c r="S8" s="8"/>
      <c r="T8" s="8"/>
      <c r="U8" s="8"/>
      <c r="V8" s="8"/>
      <c r="W8" s="8"/>
      <c r="X8" s="8"/>
      <c r="Y8" s="8"/>
    </row>
    <row r="9" spans="1:25" x14ac:dyDescent="0.25">
      <c r="A9" s="8"/>
      <c r="B9" s="8"/>
      <c r="C9" s="8"/>
      <c r="D9" s="8"/>
      <c r="E9" s="8"/>
      <c r="F9" s="8"/>
      <c r="G9" s="8"/>
      <c r="H9" s="8"/>
      <c r="I9" s="8"/>
      <c r="J9" s="8"/>
      <c r="K9" s="8"/>
      <c r="L9" s="8"/>
      <c r="M9" s="8"/>
      <c r="N9" s="8"/>
      <c r="O9" s="8"/>
      <c r="P9" s="8"/>
      <c r="Q9" s="8"/>
      <c r="R9" s="8"/>
      <c r="S9" s="8"/>
      <c r="T9" s="8"/>
      <c r="U9" s="8"/>
      <c r="V9" s="8"/>
      <c r="W9" s="8"/>
      <c r="X9" s="8"/>
      <c r="Y9" s="8"/>
    </row>
    <row r="10" spans="1:25" x14ac:dyDescent="0.25">
      <c r="A10" s="8"/>
      <c r="B10" s="8"/>
      <c r="C10" s="8"/>
      <c r="D10" s="8"/>
      <c r="E10" s="8"/>
      <c r="F10" s="8"/>
      <c r="G10" s="8"/>
      <c r="H10" s="8"/>
      <c r="I10" s="8"/>
      <c r="J10" s="8"/>
      <c r="K10" s="8"/>
      <c r="L10" s="8"/>
      <c r="M10" s="8"/>
      <c r="N10" s="8"/>
      <c r="O10" s="8"/>
      <c r="P10" s="8"/>
      <c r="Q10" s="8"/>
      <c r="R10" s="8"/>
      <c r="S10" s="8"/>
      <c r="T10" s="8"/>
      <c r="U10" s="8"/>
      <c r="V10" s="8"/>
      <c r="W10" s="8"/>
      <c r="X10" s="8"/>
      <c r="Y10" s="8"/>
    </row>
    <row r="11" spans="1:25" x14ac:dyDescent="0.25">
      <c r="A11" s="8"/>
      <c r="B11" s="8"/>
      <c r="C11" s="8"/>
      <c r="D11" s="8"/>
      <c r="E11" s="8"/>
      <c r="F11" s="8"/>
      <c r="G11" s="8"/>
      <c r="H11" s="8"/>
      <c r="I11" s="8"/>
      <c r="J11" s="8"/>
      <c r="K11" s="8"/>
      <c r="L11" s="8"/>
      <c r="M11" s="8"/>
      <c r="N11" s="8"/>
      <c r="O11" s="8"/>
      <c r="P11" s="8"/>
      <c r="Q11" s="8"/>
      <c r="R11" s="8"/>
      <c r="S11" s="8"/>
      <c r="T11" s="8"/>
      <c r="U11" s="8"/>
      <c r="V11" s="8"/>
      <c r="W11" s="8"/>
      <c r="X11" s="8"/>
      <c r="Y11" s="8"/>
    </row>
    <row r="12" spans="1:25" x14ac:dyDescent="0.25">
      <c r="A12" s="8"/>
      <c r="B12" s="8"/>
      <c r="C12" s="8"/>
      <c r="D12" s="8"/>
      <c r="E12" s="8"/>
      <c r="F12" s="8"/>
      <c r="G12" s="8"/>
      <c r="H12" s="8"/>
      <c r="I12" s="8"/>
      <c r="J12" s="8"/>
      <c r="K12" s="8"/>
      <c r="L12" s="8"/>
      <c r="M12" s="8"/>
      <c r="N12" s="8"/>
      <c r="O12" s="8"/>
      <c r="P12" s="8"/>
      <c r="Q12" s="8"/>
      <c r="R12" s="8"/>
      <c r="S12" s="8"/>
      <c r="T12" s="8"/>
      <c r="U12" s="8"/>
      <c r="V12" s="8"/>
      <c r="W12" s="8"/>
      <c r="X12" s="8"/>
      <c r="Y12" s="8"/>
    </row>
    <row r="13" spans="1:25" x14ac:dyDescent="0.25">
      <c r="A13" s="8"/>
      <c r="B13" s="8"/>
      <c r="C13" s="8"/>
      <c r="D13" s="8"/>
      <c r="E13" s="8"/>
      <c r="F13" s="8"/>
      <c r="G13" s="8"/>
      <c r="H13" s="8"/>
      <c r="I13" s="8"/>
      <c r="J13" s="8"/>
      <c r="K13" s="8"/>
      <c r="L13" s="8"/>
      <c r="M13" s="8"/>
      <c r="N13" s="8"/>
      <c r="O13" s="8"/>
      <c r="P13" s="8"/>
      <c r="Q13" s="8"/>
      <c r="R13" s="8"/>
      <c r="S13" s="8"/>
      <c r="T13" s="8"/>
      <c r="U13" s="8"/>
      <c r="V13" s="8"/>
      <c r="W13" s="8"/>
      <c r="X13" s="8"/>
      <c r="Y13" s="8"/>
    </row>
    <row r="14" spans="1:25" x14ac:dyDescent="0.25">
      <c r="A14" s="8"/>
      <c r="B14" s="8"/>
      <c r="C14" s="8"/>
      <c r="D14" s="8"/>
      <c r="E14" s="8"/>
      <c r="F14" s="8"/>
      <c r="G14" s="8"/>
      <c r="H14" s="8"/>
      <c r="I14" s="8"/>
      <c r="J14" s="8"/>
      <c r="K14" s="8"/>
      <c r="L14" s="8"/>
      <c r="M14" s="8"/>
      <c r="N14" s="8"/>
      <c r="O14" s="8"/>
      <c r="P14" s="8"/>
      <c r="Q14" s="8"/>
      <c r="R14" s="8"/>
      <c r="S14" s="8"/>
      <c r="T14" s="8"/>
      <c r="U14" s="8"/>
      <c r="V14" s="8"/>
      <c r="W14" s="8"/>
      <c r="X14" s="8"/>
      <c r="Y14" s="8"/>
    </row>
    <row r="15" spans="1:25" x14ac:dyDescent="0.25">
      <c r="A15" s="8"/>
      <c r="B15" s="8"/>
      <c r="C15" s="8"/>
      <c r="D15" s="8"/>
      <c r="E15" s="8"/>
      <c r="F15" s="8"/>
      <c r="G15" s="8"/>
      <c r="H15" s="8"/>
      <c r="I15" s="8"/>
      <c r="J15" s="8"/>
      <c r="K15" s="8"/>
      <c r="L15" s="8"/>
      <c r="M15" s="8"/>
      <c r="N15" s="8"/>
      <c r="O15" s="8"/>
      <c r="P15" s="8"/>
      <c r="Q15" s="8"/>
      <c r="R15" s="8"/>
      <c r="S15" s="8"/>
      <c r="T15" s="8"/>
      <c r="U15" s="8"/>
      <c r="V15" s="8"/>
      <c r="W15" s="8"/>
      <c r="X15" s="8"/>
      <c r="Y15" s="8"/>
    </row>
    <row r="19" spans="14:14" x14ac:dyDescent="0.25">
      <c r="N19" s="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A0843-E7EB-4C51-9409-5933C166EB15}">
  <sheetPr codeName="Sheet12">
    <tabColor rgb="FF002060"/>
  </sheetPr>
  <dimension ref="A1:Y26"/>
  <sheetViews>
    <sheetView workbookViewId="0">
      <selection activeCell="N7" sqref="N7"/>
    </sheetView>
  </sheetViews>
  <sheetFormatPr defaultRowHeight="15" x14ac:dyDescent="0.25"/>
  <cols>
    <col min="1" max="1" width="28.42578125" customWidth="1"/>
    <col min="2" max="2" width="10.5703125" bestFit="1" customWidth="1"/>
    <col min="3" max="3" width="10.42578125" bestFit="1" customWidth="1"/>
    <col min="4" max="25" width="10.5703125" bestFit="1" customWidth="1"/>
  </cols>
  <sheetData>
    <row r="1" spans="1:25" x14ac:dyDescent="0.25">
      <c r="A1" s="6" t="s">
        <v>25</v>
      </c>
      <c r="B1" s="7" t="s">
        <v>34</v>
      </c>
      <c r="C1" s="7" t="s">
        <v>0</v>
      </c>
      <c r="D1" s="7" t="s">
        <v>1</v>
      </c>
      <c r="E1" s="7" t="s">
        <v>2</v>
      </c>
      <c r="F1" s="7" t="s">
        <v>3</v>
      </c>
      <c r="G1" s="7" t="s">
        <v>4</v>
      </c>
      <c r="H1" s="7" t="s">
        <v>5</v>
      </c>
      <c r="I1" s="7" t="s">
        <v>6</v>
      </c>
      <c r="J1" s="7" t="s">
        <v>7</v>
      </c>
      <c r="K1" s="7" t="s">
        <v>8</v>
      </c>
      <c r="L1" s="7" t="s">
        <v>9</v>
      </c>
      <c r="M1" s="7" t="s">
        <v>10</v>
      </c>
      <c r="N1" s="7" t="s">
        <v>11</v>
      </c>
      <c r="O1" s="7" t="s">
        <v>12</v>
      </c>
      <c r="P1" s="7" t="s">
        <v>13</v>
      </c>
      <c r="Q1" s="7" t="s">
        <v>14</v>
      </c>
      <c r="R1" s="7" t="s">
        <v>15</v>
      </c>
      <c r="S1" s="7" t="s">
        <v>16</v>
      </c>
      <c r="T1" s="7" t="s">
        <v>17</v>
      </c>
      <c r="U1" s="7" t="s">
        <v>18</v>
      </c>
      <c r="V1" s="7" t="s">
        <v>19</v>
      </c>
      <c r="W1" s="7" t="s">
        <v>20</v>
      </c>
      <c r="X1" s="7" t="s">
        <v>21</v>
      </c>
      <c r="Y1" s="7" t="s">
        <v>22</v>
      </c>
    </row>
    <row r="2" spans="1:25" x14ac:dyDescent="0.25">
      <c r="A2" s="8" t="s">
        <v>37</v>
      </c>
      <c r="B2" s="8" cm="1">
        <f t="array" ref="B2">INDEX('Summarized Modified Source Data'!$G$600:$G$743,MATCH(1,($A2=LoadFactorSeasons)*(B$1=LoadFactorHours),0),)</f>
        <v>6.3473656785387246E-5</v>
      </c>
      <c r="C2" s="8" cm="1">
        <f t="array" ref="C2">INDEX('Summarized Modified Source Data'!$G$600:$G$743,MATCH(1,($A2=LoadFactorSeasons)*(C$1=LoadFactorHours),0),)</f>
        <v>5.7095724989472761E-5</v>
      </c>
      <c r="D2" s="8" cm="1">
        <f t="array" ref="D2">INDEX('Summarized Modified Source Data'!$G$600:$G$743,MATCH(1,($A2=LoadFactorSeasons)*(D$1=LoadFactorHours),0),)</f>
        <v>5.6055694852117371E-5</v>
      </c>
      <c r="E2" s="8" cm="1">
        <f t="array" ref="E2">INDEX('Summarized Modified Source Data'!$G$600:$G$743,MATCH(1,($A2=LoadFactorSeasons)*(E$1=LoadFactorHours),0),)</f>
        <v>5.6808368610096469E-5</v>
      </c>
      <c r="F2" s="8" cm="1">
        <f t="array" ref="F2">INDEX('Summarized Modified Source Data'!$G$600:$G$743,MATCH(1,($A2=LoadFactorSeasons)*(F$1=LoadFactorHours),0),)</f>
        <v>6.8615568752355277E-5</v>
      </c>
      <c r="G2" s="8" cm="1">
        <f t="array" ref="G2">INDEX('Summarized Modified Source Data'!$G$600:$G$743,MATCH(1,($A2=LoadFactorSeasons)*(G$1=LoadFactorHours),0),)</f>
        <v>1.0911894903320431E-4</v>
      </c>
      <c r="H2" s="8" cm="1">
        <f t="array" ref="H2">INDEX('Summarized Modified Source Data'!$G$600:$G$743,MATCH(1,($A2=LoadFactorSeasons)*(H$1=LoadFactorHours),0),)</f>
        <v>1.6643053451141887E-4</v>
      </c>
      <c r="I2" s="8" cm="1">
        <f t="array" ref="I2">INDEX('Summarized Modified Source Data'!$G$600:$G$743,MATCH(1,($A2=LoadFactorSeasons)*(I$1=LoadFactorHours),0),)</f>
        <v>1.4689629802574694E-4</v>
      </c>
      <c r="J2" s="8" cm="1">
        <f t="array" ref="J2">INDEX('Summarized Modified Source Data'!$G$600:$G$743,MATCH(1,($A2=LoadFactorSeasons)*(J$1=LoadFactorHours),0),)</f>
        <v>6.2615998441085149E-5</v>
      </c>
      <c r="K2" s="8" cm="1">
        <f t="array" ref="K2">INDEX('Summarized Modified Source Data'!$G$600:$G$743,MATCH(1,($A2=LoadFactorSeasons)*(K$1=LoadFactorHours),0),)</f>
        <v>6.2196279780679458E-5</v>
      </c>
      <c r="L2" s="8" cm="1">
        <f t="array" ref="L2">INDEX('Summarized Modified Source Data'!$G$600:$G$743,MATCH(1,($A2=LoadFactorSeasons)*(L$1=LoadFactorHours),0),)</f>
        <v>6.295659122137997E-5</v>
      </c>
      <c r="M2" s="8" cm="1">
        <f t="array" ref="M2">INDEX('Summarized Modified Source Data'!$G$600:$G$743,MATCH(1,($A2=LoadFactorSeasons)*(M$1=LoadFactorHours),0),)</f>
        <v>6.8042433108837257E-5</v>
      </c>
      <c r="N2" s="8" cm="1">
        <f t="array" ref="N2">INDEX('Summarized Modified Source Data'!$G$600:$G$743,MATCH(1,($A2=LoadFactorSeasons)*(N$1=LoadFactorHours),0),)</f>
        <v>7.1186540977134392E-5</v>
      </c>
      <c r="O2" s="8" cm="1">
        <f t="array" ref="O2">INDEX('Summarized Modified Source Data'!$G$600:$G$743,MATCH(1,($A2=LoadFactorSeasons)*(O$1=LoadFactorHours),0),)</f>
        <v>7.1746483560202216E-5</v>
      </c>
      <c r="P2" s="8" cm="1">
        <f t="array" ref="P2">INDEX('Summarized Modified Source Data'!$G$600:$G$743,MATCH(1,($A2=LoadFactorSeasons)*(P$1=LoadFactorHours),0),)</f>
        <v>7.2457153055031052E-5</v>
      </c>
      <c r="Q2" s="8" cm="1">
        <f t="array" ref="Q2">INDEX('Summarized Modified Source Data'!$G$600:$G$743,MATCH(1,($A2=LoadFactorSeasons)*(Q$1=LoadFactorHours),0),)</f>
        <v>7.612169441905592E-5</v>
      </c>
      <c r="R2" s="8" cm="1">
        <f t="array" ref="R2">INDEX('Summarized Modified Source Data'!$G$600:$G$743,MATCH(1,($A2=LoadFactorSeasons)*(R$1=LoadFactorHours),0),)</f>
        <v>2.0267426673167653E-4</v>
      </c>
      <c r="S2" s="8" cm="1">
        <f t="array" ref="S2">INDEX('Summarized Modified Source Data'!$G$600:$G$743,MATCH(1,($A2=LoadFactorSeasons)*(S$1=LoadFactorHours),0),)</f>
        <v>2.9063370176621691E-4</v>
      </c>
      <c r="T2" s="8" cm="1">
        <f t="array" ref="T2">INDEX('Summarized Modified Source Data'!$G$600:$G$743,MATCH(1,($A2=LoadFactorSeasons)*(T$1=LoadFactorHours),0),)</f>
        <v>3.1388439790751424E-4</v>
      </c>
      <c r="U2" s="8" cm="1">
        <f t="array" ref="U2">INDEX('Summarized Modified Source Data'!$G$600:$G$743,MATCH(1,($A2=LoadFactorSeasons)*(U$1=LoadFactorHours),0),)</f>
        <v>3.346561595337468E-4</v>
      </c>
      <c r="V2" s="8" cm="1">
        <f t="array" ref="V2">INDEX('Summarized Modified Source Data'!$G$600:$G$743,MATCH(1,($A2=LoadFactorSeasons)*(V$1=LoadFactorHours),0),)</f>
        <v>3.3739153555036998E-4</v>
      </c>
      <c r="W2" s="8" cm="1">
        <f t="array" ref="W2">INDEX('Summarized Modified Source Data'!$G$600:$G$743,MATCH(1,($A2=LoadFactorSeasons)*(W$1=LoadFactorHours),0),)</f>
        <v>2.7729874368517864E-4</v>
      </c>
      <c r="X2" s="8" cm="1">
        <f t="array" ref="X2">INDEX('Summarized Modified Source Data'!$G$600:$G$743,MATCH(1,($A2=LoadFactorSeasons)*(X$1=LoadFactorHours),0),)</f>
        <v>1.6967879353115895E-4</v>
      </c>
      <c r="Y2" s="8" cm="1">
        <f t="array" ref="Y2">INDEX('Summarized Modified Source Data'!$G$600:$G$743,MATCH(1,($A2=LoadFactorSeasons)*(Y$1=LoadFactorHours),0),)</f>
        <v>9.1378655055319359E-5</v>
      </c>
    </row>
    <row r="3" spans="1:25" x14ac:dyDescent="0.25">
      <c r="A3" s="8" t="s">
        <v>38</v>
      </c>
      <c r="B3" s="8" cm="1">
        <f t="array" ref="B3">INDEX('Summarized Modified Source Data'!$G$600:$G$743,MATCH(1,($A3=LoadFactorSeasons)*(B$1=LoadFactorHours),0),)</f>
        <v>5.4782210963892153E-5</v>
      </c>
      <c r="C3" s="8" cm="1">
        <f t="array" ref="C3">INDEX('Summarized Modified Source Data'!$G$600:$G$743,MATCH(1,($A3=LoadFactorSeasons)*(C$1=LoadFactorHours),0),)</f>
        <v>4.934533336638419E-5</v>
      </c>
      <c r="D3" s="8" cm="1">
        <f t="array" ref="D3">INDEX('Summarized Modified Source Data'!$G$600:$G$743,MATCH(1,($A3=LoadFactorSeasons)*(D$1=LoadFactorHours),0),)</f>
        <v>4.843234810260978E-5</v>
      </c>
      <c r="E3" s="8" cm="1">
        <f t="array" ref="E3">INDEX('Summarized Modified Source Data'!$G$600:$G$743,MATCH(1,($A3=LoadFactorSeasons)*(E$1=LoadFactorHours),0),)</f>
        <v>4.9118831967614233E-5</v>
      </c>
      <c r="F3" s="8" cm="1">
        <f t="array" ref="F3">INDEX('Summarized Modified Source Data'!$G$600:$G$743,MATCH(1,($A3=LoadFactorSeasons)*(F$1=LoadFactorHours),0),)</f>
        <v>5.9238464064182045E-5</v>
      </c>
      <c r="G3" s="8" cm="1">
        <f t="array" ref="G3">INDEX('Summarized Modified Source Data'!$G$600:$G$743,MATCH(1,($A3=LoadFactorSeasons)*(G$1=LoadFactorHours),0),)</f>
        <v>9.2092067879567878E-5</v>
      </c>
      <c r="H3" s="8" cm="1">
        <f t="array" ref="H3">INDEX('Summarized Modified Source Data'!$G$600:$G$743,MATCH(1,($A3=LoadFactorSeasons)*(H$1=LoadFactorHours),0),)</f>
        <v>8.7468796659239076E-5</v>
      </c>
      <c r="I3" s="8" cm="1">
        <f t="array" ref="I3">INDEX('Summarized Modified Source Data'!$G$600:$G$743,MATCH(1,($A3=LoadFactorSeasons)*(I$1=LoadFactorHours),0),)</f>
        <v>5.1854008034197102E-5</v>
      </c>
      <c r="J3" s="8" cm="1">
        <f t="array" ref="J3">INDEX('Summarized Modified Source Data'!$G$600:$G$743,MATCH(1,($A3=LoadFactorSeasons)*(J$1=LoadFactorHours),0),)</f>
        <v>5.41231473851826E-5</v>
      </c>
      <c r="K3" s="8" cm="1">
        <f t="array" ref="K3">INDEX('Summarized Modified Source Data'!$G$600:$G$743,MATCH(1,($A3=LoadFactorSeasons)*(K$1=LoadFactorHours),0),)</f>
        <v>5.3739345884319756E-5</v>
      </c>
      <c r="L3" s="8" cm="1">
        <f t="array" ref="L3">INDEX('Summarized Modified Source Data'!$G$600:$G$743,MATCH(1,($A3=LoadFactorSeasons)*(L$1=LoadFactorHours),0),)</f>
        <v>5.4374778936142229E-5</v>
      </c>
      <c r="M3" s="8" cm="1">
        <f t="array" ref="M3">INDEX('Summarized Modified Source Data'!$G$600:$G$743,MATCH(1,($A3=LoadFactorSeasons)*(M$1=LoadFactorHours),0),)</f>
        <v>5.872924594461139E-5</v>
      </c>
      <c r="N3" s="8" cm="1">
        <f t="array" ref="N3">INDEX('Summarized Modified Source Data'!$G$600:$G$743,MATCH(1,($A3=LoadFactorSeasons)*(N$1=LoadFactorHours),0),)</f>
        <v>6.1511185791447996E-5</v>
      </c>
      <c r="O3" s="8" cm="1">
        <f t="array" ref="O3">INDEX('Summarized Modified Source Data'!$G$600:$G$743,MATCH(1,($A3=LoadFactorSeasons)*(O$1=LoadFactorHours),0),)</f>
        <v>6.1924071103476729E-5</v>
      </c>
      <c r="P3" s="8" cm="1">
        <f t="array" ref="P3">INDEX('Summarized Modified Source Data'!$G$600:$G$743,MATCH(1,($A3=LoadFactorSeasons)*(P$1=LoadFactorHours),0),)</f>
        <v>6.2544579259908502E-5</v>
      </c>
      <c r="Q3" s="8" cm="1">
        <f t="array" ref="Q3">INDEX('Summarized Modified Source Data'!$G$600:$G$743,MATCH(1,($A3=LoadFactorSeasons)*(Q$1=LoadFactorHours),0),)</f>
        <v>6.5619043042535881E-5</v>
      </c>
      <c r="R3" s="8" cm="1">
        <f t="array" ref="R3">INDEX('Summarized Modified Source Data'!$G$600:$G$743,MATCH(1,($A3=LoadFactorSeasons)*(R$1=LoadFactorHours),0),)</f>
        <v>7.1460813896928339E-5</v>
      </c>
      <c r="S3" s="8" cm="1">
        <f t="array" ref="S3">INDEX('Summarized Modified Source Data'!$G$600:$G$743,MATCH(1,($A3=LoadFactorSeasons)*(S$1=LoadFactorHours),0),)</f>
        <v>1.5255672036300813E-4</v>
      </c>
      <c r="T3" s="8" cm="1">
        <f t="array" ref="T3">INDEX('Summarized Modified Source Data'!$G$600:$G$743,MATCH(1,($A3=LoadFactorSeasons)*(T$1=LoadFactorHours),0),)</f>
        <v>2.6491522074035721E-4</v>
      </c>
      <c r="U3" s="8" cm="1">
        <f t="array" ref="U3">INDEX('Summarized Modified Source Data'!$G$600:$G$743,MATCH(1,($A3=LoadFactorSeasons)*(U$1=LoadFactorHours),0),)</f>
        <v>2.8910991893086956E-4</v>
      </c>
      <c r="V3" s="8" cm="1">
        <f t="array" ref="V3">INDEX('Summarized Modified Source Data'!$G$600:$G$743,MATCH(1,($A3=LoadFactorSeasons)*(V$1=LoadFactorHours),0),)</f>
        <v>2.9133984503137766E-4</v>
      </c>
      <c r="W3" s="8" cm="1">
        <f t="array" ref="W3">INDEX('Summarized Modified Source Data'!$G$600:$G$743,MATCH(1,($A3=LoadFactorSeasons)*(W$1=LoadFactorHours),0),)</f>
        <v>2.3949406319456534E-4</v>
      </c>
      <c r="X3" s="8" cm="1">
        <f t="array" ref="X3">INDEX('Summarized Modified Source Data'!$G$600:$G$743,MATCH(1,($A3=LoadFactorSeasons)*(X$1=LoadFactorHours),0),)</f>
        <v>1.4661764110840476E-4</v>
      </c>
      <c r="Y3" s="8" cm="1">
        <f t="array" ref="Y3">INDEX('Summarized Modified Source Data'!$G$600:$G$743,MATCH(1,($A3=LoadFactorSeasons)*(Y$1=LoadFactorHours),0),)</f>
        <v>7.8900831880596574E-5</v>
      </c>
    </row>
    <row r="4" spans="1:25" x14ac:dyDescent="0.25">
      <c r="A4" s="8" t="s">
        <v>39</v>
      </c>
      <c r="B4" s="8" cm="1">
        <f t="array" ref="B4">INDEX('Summarized Modified Source Data'!$G$600:$G$743,MATCH(1,($A4=LoadFactorSeasons)*(B$1=LoadFactorHours),0),)</f>
        <v>5.3571134753817079E-5</v>
      </c>
      <c r="C4" s="8" cm="1">
        <f t="array" ref="C4">INDEX('Summarized Modified Source Data'!$G$600:$G$743,MATCH(1,($A4=LoadFactorSeasons)*(C$1=LoadFactorHours),0),)</f>
        <v>4.8224600382345095E-5</v>
      </c>
      <c r="D4" s="8" cm="1">
        <f t="array" ref="D4">INDEX('Summarized Modified Source Data'!$G$600:$G$743,MATCH(1,($A4=LoadFactorSeasons)*(D$1=LoadFactorHours),0),)</f>
        <v>4.7334785165718003E-5</v>
      </c>
      <c r="E4" s="8" cm="1">
        <f t="array" ref="E4">INDEX('Summarized Modified Source Data'!$G$600:$G$743,MATCH(1,($A4=LoadFactorSeasons)*(E$1=LoadFactorHours),0),)</f>
        <v>4.8007964176643788E-5</v>
      </c>
      <c r="F4" s="8" cm="1">
        <f t="array" ref="F4">INDEX('Summarized Modified Source Data'!$G$600:$G$743,MATCH(1,($A4=LoadFactorSeasons)*(F$1=LoadFactorHours),0),)</f>
        <v>5.783910069892143E-5</v>
      </c>
      <c r="G4" s="8" cm="1">
        <f t="array" ref="G4">INDEX('Summarized Modified Source Data'!$G$600:$G$743,MATCH(1,($A4=LoadFactorSeasons)*(G$1=LoadFactorHours),0),)</f>
        <v>7.2745549025955391E-5</v>
      </c>
      <c r="H4" s="8" cm="1">
        <f t="array" ref="H4">INDEX('Summarized Modified Source Data'!$G$600:$G$743,MATCH(1,($A4=LoadFactorSeasons)*(H$1=LoadFactorHours),0),)</f>
        <v>4.7857855586225036E-5</v>
      </c>
      <c r="I4" s="8" cm="1">
        <f t="array" ref="I4">INDEX('Summarized Modified Source Data'!$G$600:$G$743,MATCH(1,($A4=LoadFactorSeasons)*(I$1=LoadFactorHours),0),)</f>
        <v>4.9563276308780394E-5</v>
      </c>
      <c r="J4" s="8" cm="1">
        <f t="array" ref="J4">INDEX('Summarized Modified Source Data'!$G$600:$G$743,MATCH(1,($A4=LoadFactorSeasons)*(J$1=LoadFactorHours),0),)</f>
        <v>5.2865023079275947E-5</v>
      </c>
      <c r="K4" s="8" cm="1">
        <f t="array" ref="K4">INDEX('Summarized Modified Source Data'!$G$600:$G$743,MATCH(1,($A4=LoadFactorSeasons)*(K$1=LoadFactorHours),0),)</f>
        <v>5.2481528193251921E-5</v>
      </c>
      <c r="L4" s="8" cm="1">
        <f t="array" ref="L4">INDEX('Summarized Modified Source Data'!$G$600:$G$743,MATCH(1,($A4=LoadFactorSeasons)*(L$1=LoadFactorHours),0),)</f>
        <v>5.3103297372893545E-5</v>
      </c>
      <c r="M4" s="8" cm="1">
        <f t="array" ref="M4">INDEX('Summarized Modified Source Data'!$G$600:$G$743,MATCH(1,($A4=LoadFactorSeasons)*(M$1=LoadFactorHours),0),)</f>
        <v>5.7408503083876366E-5</v>
      </c>
      <c r="N4" s="8" cm="1">
        <f t="array" ref="N4">INDEX('Summarized Modified Source Data'!$G$600:$G$743,MATCH(1,($A4=LoadFactorSeasons)*(N$1=LoadFactorHours),0),)</f>
        <v>5.9885878508942554E-5</v>
      </c>
      <c r="O4" s="8" cm="1">
        <f t="array" ref="O4">INDEX('Summarized Modified Source Data'!$G$600:$G$743,MATCH(1,($A4=LoadFactorSeasons)*(O$1=LoadFactorHours),0),)</f>
        <v>6.0522697459836488E-5</v>
      </c>
      <c r="P4" s="8" cm="1">
        <f t="array" ref="P4">INDEX('Summarized Modified Source Data'!$G$600:$G$743,MATCH(1,($A4=LoadFactorSeasons)*(P$1=LoadFactorHours),0),)</f>
        <v>6.1262407430933986E-5</v>
      </c>
      <c r="Q4" s="8" cm="1">
        <f t="array" ref="Q4">INDEX('Summarized Modified Source Data'!$G$600:$G$743,MATCH(1,($A4=LoadFactorSeasons)*(Q$1=LoadFactorHours),0),)</f>
        <v>6.4112058983812543E-5</v>
      </c>
      <c r="R4" s="8" cm="1">
        <f t="array" ref="R4">INDEX('Summarized Modified Source Data'!$G$600:$G$743,MATCH(1,($A4=LoadFactorSeasons)*(R$1=LoadFactorHours),0),)</f>
        <v>6.8358961046971467E-5</v>
      </c>
      <c r="S4" s="8" cm="1">
        <f t="array" ref="S4">INDEX('Summarized Modified Source Data'!$G$600:$G$743,MATCH(1,($A4=LoadFactorSeasons)*(S$1=LoadFactorHours),0),)</f>
        <v>8.3372346595118356E-5</v>
      </c>
      <c r="T4" s="8" cm="1">
        <f t="array" ref="T4">INDEX('Summarized Modified Source Data'!$G$600:$G$743,MATCH(1,($A4=LoadFactorSeasons)*(T$1=LoadFactorHours),0),)</f>
        <v>2.0927856453268112E-4</v>
      </c>
      <c r="U4" s="8" cm="1">
        <f t="array" ref="U4">INDEX('Summarized Modified Source Data'!$G$600:$G$743,MATCH(1,($A4=LoadFactorSeasons)*(U$1=LoadFactorHours),0),)</f>
        <v>2.8253163693437079E-4</v>
      </c>
      <c r="V4" s="8" cm="1">
        <f t="array" ref="V4">INDEX('Summarized Modified Source Data'!$G$600:$G$743,MATCH(1,($A4=LoadFactorSeasons)*(V$1=LoadFactorHours),0),)</f>
        <v>2.8498455564492971E-4</v>
      </c>
      <c r="W4" s="8" cm="1">
        <f t="array" ref="W4">INDEX('Summarized Modified Source Data'!$G$600:$G$743,MATCH(1,($A4=LoadFactorSeasons)*(W$1=LoadFactorHours),0),)</f>
        <v>2.339192479432952E-4</v>
      </c>
      <c r="X4" s="8" cm="1">
        <f t="array" ref="X4">INDEX('Summarized Modified Source Data'!$G$600:$G$743,MATCH(1,($A4=LoadFactorSeasons)*(X$1=LoadFactorHours),0),)</f>
        <v>1.4304975934759185E-4</v>
      </c>
      <c r="Y4" s="8" cm="1">
        <f t="array" ref="Y4">INDEX('Summarized Modified Source Data'!$G$600:$G$743,MATCH(1,($A4=LoadFactorSeasons)*(Y$1=LoadFactorHours),0),)</f>
        <v>7.715218961539814E-5</v>
      </c>
    </row>
    <row r="5" spans="1:25" x14ac:dyDescent="0.25">
      <c r="A5" s="8" t="s">
        <v>40</v>
      </c>
      <c r="B5" s="8" cm="1">
        <f t="array" ref="B5">INDEX('Summarized Modified Source Data'!$G$600:$G$743,MATCH(1,($A5=LoadFactorSeasons)*(B$1=LoadFactorHours),0),)</f>
        <v>5.7617755821478071E-5</v>
      </c>
      <c r="C5" s="8" cm="1">
        <f t="array" ref="C5">INDEX('Summarized Modified Source Data'!$G$600:$G$743,MATCH(1,($A5=LoadFactorSeasons)*(C$1=LoadFactorHours),0),)</f>
        <v>5.180550498469729E-5</v>
      </c>
      <c r="D5" s="8" cm="1">
        <f t="array" ref="D5">INDEX('Summarized Modified Source Data'!$G$600:$G$743,MATCH(1,($A5=LoadFactorSeasons)*(D$1=LoadFactorHours),0),)</f>
        <v>5.0917400139667379E-5</v>
      </c>
      <c r="E5" s="8" cm="1">
        <f t="array" ref="E5">INDEX('Summarized Modified Source Data'!$G$600:$G$743,MATCH(1,($A5=LoadFactorSeasons)*(E$1=LoadFactorHours),0),)</f>
        <v>5.1694486834317708E-5</v>
      </c>
      <c r="F5" s="8" cm="1">
        <f t="array" ref="F5">INDEX('Summarized Modified Source Data'!$G$600:$G$743,MATCH(1,($A5=LoadFactorSeasons)*(F$1=LoadFactorHours),0),)</f>
        <v>6.2221634123912139E-5</v>
      </c>
      <c r="G5" s="8" cm="1">
        <f t="array" ref="G5">INDEX('Summarized Modified Source Data'!$G$600:$G$743,MATCH(1,($A5=LoadFactorSeasons)*(G$1=LoadFactorHours),0),)</f>
        <v>9.9074104097665879E-5</v>
      </c>
      <c r="H5" s="8" cm="1">
        <f t="array" ref="H5">INDEX('Summarized Modified Source Data'!$G$600:$G$743,MATCH(1,($A5=LoadFactorSeasons)*(H$1=LoadFactorHours),0),)</f>
        <v>1.2165098519949786E-4</v>
      </c>
      <c r="I5" s="8" cm="1">
        <f t="array" ref="I5">INDEX('Summarized Modified Source Data'!$G$600:$G$743,MATCH(1,($A5=LoadFactorSeasons)*(I$1=LoadFactorHours),0),)</f>
        <v>5.9472216323560975E-5</v>
      </c>
      <c r="J5" s="8" cm="1">
        <f t="array" ref="J5">INDEX('Summarized Modified Source Data'!$G$600:$G$743,MATCH(1,($A5=LoadFactorSeasons)*(J$1=LoadFactorHours),0),)</f>
        <v>5.6914505781856797E-5</v>
      </c>
      <c r="K5" s="8" cm="1">
        <f t="array" ref="K5">INDEX('Summarized Modified Source Data'!$G$600:$G$743,MATCH(1,($A5=LoadFactorSeasons)*(K$1=LoadFactorHours),0),)</f>
        <v>5.651481521673603E-5</v>
      </c>
      <c r="L5" s="8" cm="1">
        <f t="array" ref="L5">INDEX('Summarized Modified Source Data'!$G$600:$G$743,MATCH(1,($A5=LoadFactorSeasons)*(L$1=LoadFactorHours),0),)</f>
        <v>5.718251826028226E-5</v>
      </c>
      <c r="M5" s="8" cm="1">
        <f t="array" ref="M5">INDEX('Summarized Modified Source Data'!$G$600:$G$743,MATCH(1,($A5=LoadFactorSeasons)*(M$1=LoadFactorHours),0),)</f>
        <v>6.1791849938385546E-5</v>
      </c>
      <c r="N5" s="8" cm="1">
        <f t="array" ref="N5">INDEX('Summarized Modified Source Data'!$G$600:$G$743,MATCH(1,($A5=LoadFactorSeasons)*(N$1=LoadFactorHours),0),)</f>
        <v>6.472414836497925E-5</v>
      </c>
      <c r="O5" s="8" cm="1">
        <f t="array" ref="O5">INDEX('Summarized Modified Source Data'!$G$600:$G$743,MATCH(1,($A5=LoadFactorSeasons)*(O$1=LoadFactorHours),0),)</f>
        <v>6.5025580636204531E-5</v>
      </c>
      <c r="P5" s="8" cm="1">
        <f t="array" ref="P5">INDEX('Summarized Modified Source Data'!$G$600:$G$743,MATCH(1,($A5=LoadFactorSeasons)*(P$1=LoadFactorHours),0),)</f>
        <v>6.5748436259213807E-5</v>
      </c>
      <c r="Q5" s="8" cm="1">
        <f t="array" ref="Q5">INDEX('Summarized Modified Source Data'!$G$600:$G$743,MATCH(1,($A5=LoadFactorSeasons)*(Q$1=LoadFactorHours),0),)</f>
        <v>6.9010960713302861E-5</v>
      </c>
      <c r="R5" s="8" cm="1">
        <f t="array" ref="R5">INDEX('Summarized Modified Source Data'!$G$600:$G$743,MATCH(1,($A5=LoadFactorSeasons)*(R$1=LoadFactorHours),0),)</f>
        <v>8.2235536282568606E-5</v>
      </c>
      <c r="S5" s="8" cm="1">
        <f t="array" ref="S5">INDEX('Summarized Modified Source Data'!$G$600:$G$743,MATCH(1,($A5=LoadFactorSeasons)*(S$1=LoadFactorHours),0),)</f>
        <v>2.1238401079888051E-4</v>
      </c>
      <c r="T5" s="8" cm="1">
        <f t="array" ref="T5">INDEX('Summarized Modified Source Data'!$G$600:$G$743,MATCH(1,($A5=LoadFactorSeasons)*(T$1=LoadFactorHours),0),)</f>
        <v>2.8502842304362828E-4</v>
      </c>
      <c r="U5" s="8" cm="1">
        <f t="array" ref="U5">INDEX('Summarized Modified Source Data'!$G$600:$G$743,MATCH(1,($A5=LoadFactorSeasons)*(U$1=LoadFactorHours),0),)</f>
        <v>3.0403031791320347E-4</v>
      </c>
      <c r="V5" s="8" cm="1">
        <f t="array" ref="V5">INDEX('Summarized Modified Source Data'!$G$600:$G$743,MATCH(1,($A5=LoadFactorSeasons)*(V$1=LoadFactorHours),0),)</f>
        <v>3.063845349766907E-4</v>
      </c>
      <c r="W5" s="8" cm="1">
        <f t="array" ref="W5">INDEX('Summarized Modified Source Data'!$G$600:$G$743,MATCH(1,($A5=LoadFactorSeasons)*(W$1=LoadFactorHours),0),)</f>
        <v>2.5190122579312992E-4</v>
      </c>
      <c r="X5" s="8" cm="1">
        <f t="array" ref="X5">INDEX('Summarized Modified Source Data'!$G$600:$G$743,MATCH(1,($A5=LoadFactorSeasons)*(X$1=LoadFactorHours),0),)</f>
        <v>1.5403305929673363E-4</v>
      </c>
      <c r="Y5" s="8" cm="1">
        <f t="array" ref="Y5">INDEX('Summarized Modified Source Data'!$G$600:$G$743,MATCH(1,($A5=LoadFactorSeasons)*(Y$1=LoadFactorHours),0),)</f>
        <v>8.2923744556737816E-5</v>
      </c>
    </row>
    <row r="6" spans="1:25" x14ac:dyDescent="0.25">
      <c r="A6" s="8" t="s">
        <v>80</v>
      </c>
      <c r="B6" s="8" cm="1">
        <f t="array" ref="B6">INDEX('Summarized Modified Source Data'!$G$600:$G$743,MATCH(1,($A6=LoadFactorSeasons)*(B$1=LoadFactorHours),0),)</f>
        <v>6.9257140158920038E-5</v>
      </c>
      <c r="C6" s="8" cm="1">
        <f t="array" ref="C6">INDEX('Summarized Modified Source Data'!$G$600:$G$743,MATCH(1,($A6=LoadFactorSeasons)*(C$1=LoadFactorHours),0),)</f>
        <v>5.9837738306803271E-5</v>
      </c>
      <c r="D6" s="8" cm="1">
        <f t="array" ref="D6">INDEX('Summarized Modified Source Data'!$G$600:$G$743,MATCH(1,($A6=LoadFactorSeasons)*(D$1=LoadFactorHours),0),)</f>
        <v>5.7792490226087085E-5</v>
      </c>
      <c r="E6" s="8" cm="1">
        <f t="array" ref="E6">INDEX('Summarized Modified Source Data'!$G$600:$G$743,MATCH(1,($A6=LoadFactorSeasons)*(E$1=LoadFactorHours),0),)</f>
        <v>5.7743710592638468E-5</v>
      </c>
      <c r="F6" s="8" cm="1">
        <f t="array" ref="F6">INDEX('Summarized Modified Source Data'!$G$600:$G$743,MATCH(1,($A6=LoadFactorSeasons)*(F$1=LoadFactorHours),0),)</f>
        <v>6.0780796911450658E-5</v>
      </c>
      <c r="G6" s="8" cm="1">
        <f t="array" ref="G6">INDEX('Summarized Modified Source Data'!$G$600:$G$743,MATCH(1,($A6=LoadFactorSeasons)*(G$1=LoadFactorHours),0),)</f>
        <v>7.6954749728533049E-5</v>
      </c>
      <c r="H6" s="8" cm="1">
        <f t="array" ref="H6">INDEX('Summarized Modified Source Data'!$G$600:$G$743,MATCH(1,($A6=LoadFactorSeasons)*(H$1=LoadFactorHours),0),)</f>
        <v>4.8501424077439996E-5</v>
      </c>
      <c r="I6" s="8" cm="1">
        <f t="array" ref="I6">INDEX('Summarized Modified Source Data'!$G$600:$G$743,MATCH(1,($A6=LoadFactorSeasons)*(I$1=LoadFactorHours),0),)</f>
        <v>6.2922175991396686E-5</v>
      </c>
      <c r="J6" s="8" cm="1">
        <f t="array" ref="J6">INDEX('Summarized Modified Source Data'!$G$600:$G$743,MATCH(1,($A6=LoadFactorSeasons)*(J$1=LoadFactorHours),0),)</f>
        <v>7.6761722865420888E-5</v>
      </c>
      <c r="K6" s="8" cm="1">
        <f t="array" ref="K6">INDEX('Summarized Modified Source Data'!$G$600:$G$743,MATCH(1,($A6=LoadFactorSeasons)*(K$1=LoadFactorHours),0),)</f>
        <v>7.9538973735149664E-5</v>
      </c>
      <c r="L6" s="8" cm="1">
        <f t="array" ref="L6">INDEX('Summarized Modified Source Data'!$G$600:$G$743,MATCH(1,($A6=LoadFactorSeasons)*(L$1=LoadFactorHours),0),)</f>
        <v>8.0013439571406965E-5</v>
      </c>
      <c r="M6" s="8" cm="1">
        <f t="array" ref="M6">INDEX('Summarized Modified Source Data'!$G$600:$G$743,MATCH(1,($A6=LoadFactorSeasons)*(M$1=LoadFactorHours),0),)</f>
        <v>8.4896120882415495E-5</v>
      </c>
      <c r="N6" s="8" cm="1">
        <f t="array" ref="N6">INDEX('Summarized Modified Source Data'!$G$600:$G$743,MATCH(1,($A6=LoadFactorSeasons)*(N$1=LoadFactorHours),0),)</f>
        <v>8.7846609693559012E-5</v>
      </c>
      <c r="O6" s="8" cm="1">
        <f t="array" ref="O6">INDEX('Summarized Modified Source Data'!$G$600:$G$743,MATCH(1,($A6=LoadFactorSeasons)*(O$1=LoadFactorHours),0),)</f>
        <v>8.7734053616154347E-5</v>
      </c>
      <c r="P6" s="8" cm="1">
        <f t="array" ref="P6">INDEX('Summarized Modified Source Data'!$G$600:$G$743,MATCH(1,($A6=LoadFactorSeasons)*(P$1=LoadFactorHours),0),)</f>
        <v>8.6810904906695356E-5</v>
      </c>
      <c r="Q6" s="8" cm="1">
        <f t="array" ref="Q6">INDEX('Summarized Modified Source Data'!$G$600:$G$743,MATCH(1,($A6=LoadFactorSeasons)*(Q$1=LoadFactorHours),0),)</f>
        <v>8.7028758652047536E-5</v>
      </c>
      <c r="R6" s="8" cm="1">
        <f t="array" ref="R6">INDEX('Summarized Modified Source Data'!$G$600:$G$743,MATCH(1,($A6=LoadFactorSeasons)*(R$1=LoadFactorHours),0),)</f>
        <v>8.9405329710258717E-5</v>
      </c>
      <c r="S6" s="8" cm="1">
        <f t="array" ref="S6">INDEX('Summarized Modified Source Data'!$G$600:$G$743,MATCH(1,($A6=LoadFactorSeasons)*(S$1=LoadFactorHours),0),)</f>
        <v>1.0644060597818203E-4</v>
      </c>
      <c r="T6" s="8" cm="1">
        <f t="array" ref="T6">INDEX('Summarized Modified Source Data'!$G$600:$G$743,MATCH(1,($A6=LoadFactorSeasons)*(T$1=LoadFactorHours),0),)</f>
        <v>2.6106859821698082E-4</v>
      </c>
      <c r="U6" s="8" cm="1">
        <f t="array" ref="U6">INDEX('Summarized Modified Source Data'!$G$600:$G$743,MATCH(1,($A6=LoadFactorSeasons)*(U$1=LoadFactorHours),0),)</f>
        <v>3.4614027895136319E-4</v>
      </c>
      <c r="V6" s="8" cm="1">
        <f t="array" ref="V6">INDEX('Summarized Modified Source Data'!$G$600:$G$743,MATCH(1,($A6=LoadFactorSeasons)*(V$1=LoadFactorHours),0),)</f>
        <v>3.4418909361341867E-4</v>
      </c>
      <c r="W6" s="8" cm="1">
        <f t="array" ref="W6">INDEX('Summarized Modified Source Data'!$G$600:$G$743,MATCH(1,($A6=LoadFactorSeasons)*(W$1=LoadFactorHours),0),)</f>
        <v>2.8448282227231547E-4</v>
      </c>
      <c r="X6" s="8" cm="1">
        <f t="array" ref="X6">INDEX('Summarized Modified Source Data'!$G$600:$G$743,MATCH(1,($A6=LoadFactorSeasons)*(X$1=LoadFactorHours),0),)</f>
        <v>1.8341142176678772E-4</v>
      </c>
      <c r="Y6" s="8" cm="1">
        <f t="array" ref="Y6">INDEX('Summarized Modified Source Data'!$G$600:$G$743,MATCH(1,($A6=LoadFactorSeasons)*(Y$1=LoadFactorHours),0),)</f>
        <v>1.0262096165825111E-4</v>
      </c>
    </row>
    <row r="7" spans="1:25" x14ac:dyDescent="0.25">
      <c r="A7" s="8" t="s">
        <v>81</v>
      </c>
      <c r="B7" s="8" cm="1">
        <f t="array" ref="B7">INDEX('Summarized Modified Source Data'!$G$600:$G$743,MATCH(1,($A7=LoadFactorSeasons)*(B$1=LoadFactorHours),0),)</f>
        <v>8.2739102401590728E-5</v>
      </c>
      <c r="C7" s="8" cm="1">
        <f t="array" ref="C7">INDEX('Summarized Modified Source Data'!$G$600:$G$743,MATCH(1,($A7=LoadFactorSeasons)*(C$1=LoadFactorHours),0),)</f>
        <v>7.1486065933162141E-5</v>
      </c>
      <c r="D7" s="8" cm="1">
        <f t="array" ref="D7">INDEX('Summarized Modified Source Data'!$G$600:$G$743,MATCH(1,($A7=LoadFactorSeasons)*(D$1=LoadFactorHours),0),)</f>
        <v>6.9042687459690933E-5</v>
      </c>
      <c r="E7" s="8" cm="1">
        <f t="array" ref="E7">INDEX('Summarized Modified Source Data'!$G$600:$G$743,MATCH(1,($A7=LoadFactorSeasons)*(E$1=LoadFactorHours),0),)</f>
        <v>6.8984409846254281E-5</v>
      </c>
      <c r="F7" s="8" cm="1">
        <f t="array" ref="F7">INDEX('Summarized Modified Source Data'!$G$600:$G$743,MATCH(1,($A7=LoadFactorSeasons)*(F$1=LoadFactorHours),0),)</f>
        <v>7.2612709615071404E-5</v>
      </c>
      <c r="G7" s="8" cm="1">
        <f t="array" ref="G7">INDEX('Summarized Modified Source Data'!$G$600:$G$743,MATCH(1,($A7=LoadFactorSeasons)*(G$1=LoadFactorHours),0),)</f>
        <v>1.1512513809962967E-4</v>
      </c>
      <c r="H7" s="8" cm="1">
        <f t="array" ref="H7">INDEX('Summarized Modified Source Data'!$G$600:$G$743,MATCH(1,($A7=LoadFactorSeasons)*(H$1=LoadFactorHours),0),)</f>
        <v>1.680204718210811E-4</v>
      </c>
      <c r="I7" s="8" cm="1">
        <f t="array" ref="I7">INDEX('Summarized Modified Source Data'!$G$600:$G$743,MATCH(1,($A7=LoadFactorSeasons)*(I$1=LoadFactorHours),0),)</f>
        <v>1.8802893360831506E-4</v>
      </c>
      <c r="J7" s="8" cm="1">
        <f t="array" ref="J7">INDEX('Summarized Modified Source Data'!$G$600:$G$743,MATCH(1,($A7=LoadFactorSeasons)*(J$1=LoadFactorHours),0),)</f>
        <v>9.1704568269259978E-5</v>
      </c>
      <c r="K7" s="8" cm="1">
        <f t="array" ref="K7">INDEX('Summarized Modified Source Data'!$G$600:$G$743,MATCH(1,($A7=LoadFactorSeasons)*(K$1=LoadFactorHours),0),)</f>
        <v>9.5022460986930716E-5</v>
      </c>
      <c r="L7" s="8" cm="1">
        <f t="array" ref="L7">INDEX('Summarized Modified Source Data'!$G$600:$G$743,MATCH(1,($A7=LoadFactorSeasons)*(L$1=LoadFactorHours),0),)</f>
        <v>9.5589278766655344E-5</v>
      </c>
      <c r="M7" s="8" cm="1">
        <f t="array" ref="M7">INDEX('Summarized Modified Source Data'!$G$600:$G$743,MATCH(1,($A7=LoadFactorSeasons)*(M$1=LoadFactorHours),0),)</f>
        <v>1.0142245530002929E-4</v>
      </c>
      <c r="N7" s="8" cm="1">
        <f t="array" ref="N7">INDEX('Summarized Modified Source Data'!$G$600:$G$743,MATCH(1,($A7=LoadFactorSeasons)*(N$1=LoadFactorHours),0),)</f>
        <v>1.0494728904361513E-4</v>
      </c>
      <c r="O7" s="8" cm="1">
        <f t="array" ref="O7">INDEX('Summarized Modified Source Data'!$G$600:$G$743,MATCH(1,($A7=LoadFactorSeasons)*(O$1=LoadFactorHours),0),)</f>
        <v>1.0481281582162542E-4</v>
      </c>
      <c r="P7" s="8" cm="1">
        <f t="array" ref="P7">INDEX('Summarized Modified Source Data'!$G$600:$G$743,MATCH(1,($A7=LoadFactorSeasons)*(P$1=LoadFactorHours),0),)</f>
        <v>1.0370997803170835E-4</v>
      </c>
      <c r="Q7" s="8" cm="1">
        <f t="array" ref="Q7">INDEX('Summarized Modified Source Data'!$G$600:$G$743,MATCH(1,($A7=LoadFactorSeasons)*(Q$1=LoadFactorHours),0),)</f>
        <v>1.0397023922943247E-4</v>
      </c>
      <c r="R7" s="8" cm="1">
        <f t="array" ref="R7">INDEX('Summarized Modified Source Data'!$G$600:$G$743,MATCH(1,($A7=LoadFactorSeasons)*(R$1=LoadFactorHours),0),)</f>
        <v>2.6716930437362086E-4</v>
      </c>
      <c r="S7" s="8" cm="1">
        <f t="array" ref="S7">INDEX('Summarized Modified Source Data'!$G$600:$G$743,MATCH(1,($A7=LoadFactorSeasons)*(S$1=LoadFactorHours),0),)</f>
        <v>3.7397718977270558E-4</v>
      </c>
      <c r="T7" s="8" cm="1">
        <f t="array" ref="T7">INDEX('Summarized Modified Source Data'!$G$600:$G$743,MATCH(1,($A7=LoadFactorSeasons)*(T$1=LoadFactorHours),0),)</f>
        <v>3.9462073064815893E-4</v>
      </c>
      <c r="U7" s="8" cm="1">
        <f t="array" ref="U7">INDEX('Summarized Modified Source Data'!$G$600:$G$743,MATCH(1,($A7=LoadFactorSeasons)*(U$1=LoadFactorHours),0),)</f>
        <v>4.1346918101270327E-4</v>
      </c>
      <c r="V7" s="8" cm="1">
        <f t="array" ref="V7">INDEX('Summarized Modified Source Data'!$G$600:$G$743,MATCH(1,($A7=LoadFactorSeasons)*(V$1=LoadFactorHours),0),)</f>
        <v>4.1107572699815791E-4</v>
      </c>
      <c r="W7" s="8" cm="1">
        <f t="array" ref="W7">INDEX('Summarized Modified Source Data'!$G$600:$G$743,MATCH(1,($A7=LoadFactorSeasons)*(W$1=LoadFactorHours),0),)</f>
        <v>3.4016965181725298E-4</v>
      </c>
      <c r="X7" s="8" cm="1">
        <f t="array" ref="X7">INDEX('Summarized Modified Source Data'!$G$600:$G$743,MATCH(1,($A7=LoadFactorSeasons)*(X$1=LoadFactorHours),0),)</f>
        <v>2.1930022408271451E-4</v>
      </c>
      <c r="Y7" s="8" cm="1">
        <f t="array" ref="Y7">INDEX('Summarized Modified Source Data'!$G$600:$G$743,MATCH(1,($A7=LoadFactorSeasons)*(Y$1=LoadFactorHours),0),)</f>
        <v>1.2266451824544743E-4</v>
      </c>
    </row>
    <row r="8" spans="1:25" x14ac:dyDescent="0.25">
      <c r="A8" s="8"/>
      <c r="B8" s="8"/>
      <c r="C8" s="8"/>
      <c r="D8" s="8"/>
      <c r="E8" s="8"/>
      <c r="F8" s="8"/>
      <c r="G8" s="8"/>
      <c r="H8" s="8"/>
      <c r="I8" s="8"/>
      <c r="J8" s="8"/>
      <c r="K8" s="8"/>
      <c r="L8" s="8"/>
      <c r="M8" s="8"/>
      <c r="N8" s="8"/>
      <c r="O8" s="8"/>
      <c r="P8" s="8"/>
      <c r="Q8" s="8"/>
      <c r="R8" s="8"/>
      <c r="S8" s="8"/>
      <c r="T8" s="8"/>
      <c r="U8" s="8"/>
      <c r="V8" s="8"/>
      <c r="W8" s="8"/>
      <c r="X8" s="8"/>
      <c r="Y8" s="8"/>
    </row>
    <row r="9" spans="1:25" x14ac:dyDescent="0.25">
      <c r="A9" s="8"/>
      <c r="B9" s="8"/>
      <c r="C9" s="8"/>
      <c r="D9" s="8"/>
      <c r="E9" s="8"/>
      <c r="F9" s="8"/>
      <c r="G9" s="8"/>
      <c r="H9" s="8"/>
      <c r="I9" s="8"/>
      <c r="J9" s="8"/>
      <c r="K9" s="8"/>
      <c r="L9" s="8"/>
      <c r="M9" s="8"/>
      <c r="N9" s="8"/>
      <c r="O9" s="8"/>
      <c r="P9" s="8"/>
      <c r="Q9" s="8"/>
      <c r="R9" s="8"/>
      <c r="S9" s="8"/>
      <c r="T9" s="8"/>
      <c r="U9" s="8"/>
      <c r="V9" s="8"/>
      <c r="W9" s="8"/>
      <c r="X9" s="8"/>
      <c r="Y9" s="8"/>
    </row>
    <row r="10" spans="1:25" x14ac:dyDescent="0.25">
      <c r="A10" s="8"/>
      <c r="B10" s="8"/>
      <c r="C10" s="8"/>
      <c r="D10" s="8"/>
      <c r="E10" s="8"/>
      <c r="F10" s="8"/>
      <c r="G10" s="8"/>
      <c r="H10" s="8"/>
      <c r="I10" s="8"/>
      <c r="J10" s="8"/>
      <c r="K10" s="8"/>
      <c r="L10" s="8"/>
      <c r="M10" s="8"/>
      <c r="N10" s="8"/>
      <c r="O10" s="8"/>
      <c r="P10" s="8"/>
      <c r="Q10" s="8"/>
      <c r="R10" s="8"/>
      <c r="S10" s="8"/>
      <c r="T10" s="8"/>
      <c r="U10" s="8"/>
      <c r="V10" s="8"/>
      <c r="W10" s="8"/>
      <c r="X10" s="8"/>
      <c r="Y10" s="8"/>
    </row>
    <row r="11" spans="1:25" x14ac:dyDescent="0.25">
      <c r="A11" s="8" t="s">
        <v>25</v>
      </c>
      <c r="B11" s="8" t="s">
        <v>34</v>
      </c>
      <c r="C11" s="8" t="s">
        <v>0</v>
      </c>
      <c r="D11" s="8" t="s">
        <v>1</v>
      </c>
      <c r="E11" s="8" t="s">
        <v>2</v>
      </c>
      <c r="F11" s="8" t="s">
        <v>3</v>
      </c>
      <c r="G11" s="8" t="s">
        <v>4</v>
      </c>
      <c r="H11" s="8" t="s">
        <v>5</v>
      </c>
      <c r="I11" s="8" t="s">
        <v>6</v>
      </c>
      <c r="J11" s="8" t="s">
        <v>7</v>
      </c>
      <c r="K11" s="8" t="s">
        <v>8</v>
      </c>
      <c r="L11" s="8" t="s">
        <v>9</v>
      </c>
      <c r="M11" s="8" t="s">
        <v>10</v>
      </c>
      <c r="N11" s="8" t="s">
        <v>11</v>
      </c>
      <c r="O11" s="8" t="s">
        <v>12</v>
      </c>
      <c r="P11" s="8" t="s">
        <v>13</v>
      </c>
      <c r="Q11" s="8" t="s">
        <v>14</v>
      </c>
      <c r="R11" s="8" t="s">
        <v>15</v>
      </c>
      <c r="S11" s="8" t="s">
        <v>16</v>
      </c>
      <c r="T11" s="8" t="s">
        <v>17</v>
      </c>
      <c r="U11" s="8" t="s">
        <v>18</v>
      </c>
      <c r="V11" s="8" t="s">
        <v>19</v>
      </c>
      <c r="W11" s="8" t="s">
        <v>20</v>
      </c>
      <c r="X11" s="8" t="s">
        <v>21</v>
      </c>
      <c r="Y11" s="8" t="s">
        <v>22</v>
      </c>
    </row>
    <row r="12" spans="1:25" x14ac:dyDescent="0.25">
      <c r="A12" s="8" t="s">
        <v>37</v>
      </c>
      <c r="B12" s="8">
        <v>4.755346491286327E-5</v>
      </c>
      <c r="C12" s="8">
        <v>4.2835355864615735E-5</v>
      </c>
      <c r="D12" s="8">
        <v>4.2055600174462073E-5</v>
      </c>
      <c r="E12" s="8">
        <v>4.255600131489307E-5</v>
      </c>
      <c r="F12" s="8">
        <v>5.1453745256025759E-5</v>
      </c>
      <c r="G12" s="8">
        <v>8.178619313555977E-5</v>
      </c>
      <c r="H12" s="8">
        <v>1.2480153075843429E-4</v>
      </c>
      <c r="I12" s="8">
        <v>1.172345643454889E-4</v>
      </c>
      <c r="J12" s="8">
        <v>4.6909242830308258E-5</v>
      </c>
      <c r="K12" s="8">
        <v>4.6594091611383039E-5</v>
      </c>
      <c r="L12" s="8">
        <v>4.722837316653265E-5</v>
      </c>
      <c r="M12" s="8">
        <v>5.104211732499424E-5</v>
      </c>
      <c r="N12" s="8">
        <v>5.333570276117265E-5</v>
      </c>
      <c r="O12" s="8">
        <v>5.3819783964444463E-5</v>
      </c>
      <c r="P12" s="8">
        <v>5.4352907040474323E-5</v>
      </c>
      <c r="Q12" s="8">
        <v>5.705854439096681E-5</v>
      </c>
      <c r="R12" s="8">
        <v>1.6181458748336722E-4</v>
      </c>
      <c r="S12" s="8">
        <v>2.1788979582414316E-4</v>
      </c>
      <c r="T12" s="8">
        <v>2.3532781793011621E-4</v>
      </c>
      <c r="U12" s="8">
        <v>2.5088526902466068E-4</v>
      </c>
      <c r="V12" s="8">
        <v>2.5293680103712811E-4</v>
      </c>
      <c r="W12" s="8">
        <v>2.0788857726336454E-4</v>
      </c>
      <c r="X12" s="8">
        <v>1.2728046527349908E-4</v>
      </c>
      <c r="Y12" s="8">
        <v>6.8469880916099911E-5</v>
      </c>
    </row>
    <row r="13" spans="1:25" x14ac:dyDescent="0.25">
      <c r="A13" s="8" t="s">
        <v>38</v>
      </c>
      <c r="B13" s="8">
        <v>5.4782210963892153E-5</v>
      </c>
      <c r="C13" s="8">
        <v>4.934533336638419E-5</v>
      </c>
      <c r="D13" s="8">
        <v>4.843234810260978E-5</v>
      </c>
      <c r="E13" s="8">
        <v>4.9118831967614233E-5</v>
      </c>
      <c r="F13" s="8">
        <v>5.9238464064182045E-5</v>
      </c>
      <c r="G13" s="8">
        <v>9.2092067879567878E-5</v>
      </c>
      <c r="H13" s="8">
        <v>8.7468796659239076E-5</v>
      </c>
      <c r="I13" s="8">
        <v>5.1854008034197102E-5</v>
      </c>
      <c r="J13" s="8">
        <v>5.41231473851826E-5</v>
      </c>
      <c r="K13" s="8">
        <v>5.3739345884319756E-5</v>
      </c>
      <c r="L13" s="8">
        <v>5.4374778936142229E-5</v>
      </c>
      <c r="M13" s="8">
        <v>5.872924594461139E-5</v>
      </c>
      <c r="N13" s="8">
        <v>6.1511185791447996E-5</v>
      </c>
      <c r="O13" s="8">
        <v>6.1924071103476729E-5</v>
      </c>
      <c r="P13" s="8">
        <v>6.2544579259908502E-5</v>
      </c>
      <c r="Q13" s="8">
        <v>6.5619043042535881E-5</v>
      </c>
      <c r="R13" s="8">
        <v>7.1460813896928339E-5</v>
      </c>
      <c r="S13" s="8">
        <v>1.5255672036300813E-4</v>
      </c>
      <c r="T13" s="8">
        <v>2.6491522074035721E-4</v>
      </c>
      <c r="U13" s="8">
        <v>2.8910991893086956E-4</v>
      </c>
      <c r="V13" s="8">
        <v>2.9133984503137766E-4</v>
      </c>
      <c r="W13" s="8">
        <v>2.3949406319456534E-4</v>
      </c>
      <c r="X13" s="8">
        <v>1.4661764110840476E-4</v>
      </c>
      <c r="Y13" s="8">
        <v>7.8900831880596574E-5</v>
      </c>
    </row>
    <row r="14" spans="1:25" x14ac:dyDescent="0.25">
      <c r="A14" s="8" t="s">
        <v>39</v>
      </c>
      <c r="B14" s="8">
        <v>5.3571134753817079E-5</v>
      </c>
      <c r="C14" s="8">
        <v>4.8224600382345095E-5</v>
      </c>
      <c r="D14" s="8">
        <v>4.7334785165718003E-5</v>
      </c>
      <c r="E14" s="8">
        <v>4.8007964176643788E-5</v>
      </c>
      <c r="F14" s="8">
        <v>5.783910069892143E-5</v>
      </c>
      <c r="G14" s="8">
        <v>7.2745549025955391E-5</v>
      </c>
      <c r="H14" s="8">
        <v>4.7857855586225036E-5</v>
      </c>
      <c r="I14" s="8">
        <v>4.9563276308780394E-5</v>
      </c>
      <c r="J14" s="8">
        <v>5.2865023079275947E-5</v>
      </c>
      <c r="K14" s="8">
        <v>5.2481528193251921E-5</v>
      </c>
      <c r="L14" s="8">
        <v>5.3103297372893545E-5</v>
      </c>
      <c r="M14" s="8">
        <v>5.7408503083876366E-5</v>
      </c>
      <c r="N14" s="8">
        <v>5.9885878508942554E-5</v>
      </c>
      <c r="O14" s="8">
        <v>6.0522697459836488E-5</v>
      </c>
      <c r="P14" s="8">
        <v>6.1262407430933986E-5</v>
      </c>
      <c r="Q14" s="8">
        <v>6.4112058983812543E-5</v>
      </c>
      <c r="R14" s="8">
        <v>6.8358961046971467E-5</v>
      </c>
      <c r="S14" s="8">
        <v>8.3372346595118356E-5</v>
      </c>
      <c r="T14" s="8">
        <v>2.0927856453268112E-4</v>
      </c>
      <c r="U14" s="8">
        <v>2.8253163693437079E-4</v>
      </c>
      <c r="V14" s="8">
        <v>2.8498455564492971E-4</v>
      </c>
      <c r="W14" s="8">
        <v>2.339192479432952E-4</v>
      </c>
      <c r="X14" s="8">
        <v>1.4304975934759185E-4</v>
      </c>
      <c r="Y14" s="8">
        <v>7.715218961539814E-5</v>
      </c>
    </row>
    <row r="15" spans="1:25" x14ac:dyDescent="0.25">
      <c r="A15" s="8" t="s">
        <v>40</v>
      </c>
      <c r="B15" s="8">
        <v>8.8936166062508827E-5</v>
      </c>
      <c r="C15" s="8">
        <v>7.9858690148350436E-5</v>
      </c>
      <c r="D15" s="8">
        <v>7.8458569997349952E-5</v>
      </c>
      <c r="E15" s="8">
        <v>7.9731930693734211E-5</v>
      </c>
      <c r="F15" s="8">
        <v>9.5982598378986609E-5</v>
      </c>
      <c r="G15" s="8">
        <v>1.5284345996188463E-4</v>
      </c>
      <c r="H15" s="8">
        <v>2.0354410733651674E-4</v>
      </c>
      <c r="I15" s="8">
        <v>1.1782316782570788E-4</v>
      </c>
      <c r="J15" s="8">
        <v>8.781304140961461E-5</v>
      </c>
      <c r="K15" s="8">
        <v>8.7207644402237172E-5</v>
      </c>
      <c r="L15" s="8">
        <v>8.8123275089490097E-5</v>
      </c>
      <c r="M15" s="8">
        <v>9.5235094103322606E-5</v>
      </c>
      <c r="N15" s="8">
        <v>9.9840551412772843E-5</v>
      </c>
      <c r="O15" s="8">
        <v>1.0029121918523621E-4</v>
      </c>
      <c r="P15" s="8">
        <v>1.0136334645178443E-4</v>
      </c>
      <c r="Q15" s="8">
        <v>1.0651223945708472E-4</v>
      </c>
      <c r="R15" s="8">
        <v>1.6261523316448857E-4</v>
      </c>
      <c r="S15" s="8">
        <v>3.554867765865665E-4</v>
      </c>
      <c r="T15" s="8">
        <v>4.3956595742539493E-4</v>
      </c>
      <c r="U15" s="8">
        <v>4.6882551235730716E-4</v>
      </c>
      <c r="V15" s="8">
        <v>4.7252499631421553E-4</v>
      </c>
      <c r="W15" s="8">
        <v>3.8844581547538715E-4</v>
      </c>
      <c r="X15" s="8">
        <v>2.3743960668885138E-4</v>
      </c>
      <c r="Y15" s="8">
        <v>1.2799018548634983E-4</v>
      </c>
    </row>
    <row r="16" spans="1:25" x14ac:dyDescent="0.25">
      <c r="A16" t="s">
        <v>80</v>
      </c>
      <c r="B16">
        <v>6.9257140158920038E-5</v>
      </c>
      <c r="C16">
        <v>5.9837738306803271E-5</v>
      </c>
      <c r="D16">
        <v>5.7792490226087085E-5</v>
      </c>
      <c r="E16">
        <v>5.7743710592638468E-5</v>
      </c>
      <c r="F16">
        <v>6.0780796911450658E-5</v>
      </c>
      <c r="G16">
        <v>7.6954749728533049E-5</v>
      </c>
      <c r="H16">
        <v>4.8501424077439996E-5</v>
      </c>
      <c r="I16">
        <v>6.2922175991396686E-5</v>
      </c>
      <c r="J16">
        <v>7.6761722865420888E-5</v>
      </c>
      <c r="K16">
        <v>7.9538973735149664E-5</v>
      </c>
      <c r="L16">
        <v>8.0013439571406965E-5</v>
      </c>
      <c r="M16">
        <v>8.4896120882415495E-5</v>
      </c>
      <c r="N16">
        <v>8.7846609693559012E-5</v>
      </c>
      <c r="O16">
        <v>8.7734053616154347E-5</v>
      </c>
      <c r="P16">
        <v>8.6810904906695356E-5</v>
      </c>
      <c r="Q16">
        <v>8.7028758652047536E-5</v>
      </c>
      <c r="R16">
        <v>8.9405329710258717E-5</v>
      </c>
      <c r="S16">
        <v>1.0644060597818203E-4</v>
      </c>
      <c r="T16">
        <v>2.6106859821698082E-4</v>
      </c>
      <c r="U16">
        <v>3.4614027895136319E-4</v>
      </c>
      <c r="V16">
        <v>3.4418909361341867E-4</v>
      </c>
      <c r="W16">
        <v>2.8448282227231547E-4</v>
      </c>
      <c r="X16">
        <v>1.8341142176678772E-4</v>
      </c>
      <c r="Y16">
        <v>1.0262096165825111E-4</v>
      </c>
    </row>
    <row r="17" spans="1:25" x14ac:dyDescent="0.25">
      <c r="A17" t="s">
        <v>81</v>
      </c>
      <c r="B17">
        <v>6.2022695810482078E-5</v>
      </c>
      <c r="C17">
        <v>5.3587221440706159E-5</v>
      </c>
      <c r="D17">
        <v>5.17556217806228E-5</v>
      </c>
      <c r="E17">
        <v>5.1711935261222316E-5</v>
      </c>
      <c r="F17">
        <v>5.4431772632461104E-5</v>
      </c>
      <c r="G17">
        <v>8.6284017224358607E-5</v>
      </c>
      <c r="H17">
        <v>1.2601535386581083E-4</v>
      </c>
      <c r="I17">
        <v>1.5003285112740817E-4</v>
      </c>
      <c r="J17">
        <v>6.8743371076084454E-5</v>
      </c>
      <c r="K17">
        <v>7.1230522831664187E-5</v>
      </c>
      <c r="L17">
        <v>7.1655417763778816E-5</v>
      </c>
      <c r="M17">
        <v>7.6028069763849467E-5</v>
      </c>
      <c r="N17">
        <v>7.8670347257746908E-5</v>
      </c>
      <c r="O17">
        <v>7.8569540958289298E-5</v>
      </c>
      <c r="P17">
        <v>7.7742835958030313E-5</v>
      </c>
      <c r="Q17">
        <v>7.7937932378390934E-5</v>
      </c>
      <c r="R17">
        <v>2.1331658904635124E-4</v>
      </c>
      <c r="S17">
        <v>2.8033330145362011E-4</v>
      </c>
      <c r="T17">
        <v>2.9589075254816461E-4</v>
      </c>
      <c r="U17">
        <v>3.0995229488361834E-4</v>
      </c>
      <c r="V17">
        <v>3.0815720437270939E-4</v>
      </c>
      <c r="W17">
        <v>2.5490285254907609E-4</v>
      </c>
      <c r="X17">
        <v>1.6454996349999043E-4</v>
      </c>
      <c r="Y17">
        <v>9.1848797808176475E-5</v>
      </c>
    </row>
    <row r="19" spans="1:25" x14ac:dyDescent="0.25">
      <c r="N19" s="8"/>
    </row>
    <row r="20" spans="1:25" x14ac:dyDescent="0.25">
      <c r="A20" s="8" t="s">
        <v>472</v>
      </c>
    </row>
    <row r="21" spans="1:25" x14ac:dyDescent="0.25">
      <c r="A21" s="8" t="s">
        <v>37</v>
      </c>
      <c r="B21" s="49">
        <f>(B12-B2)/B2</f>
        <v>-0.25081573488592646</v>
      </c>
      <c r="C21" s="49">
        <f t="shared" ref="C21:Y26" si="0">(C12-C2)/C2</f>
        <v>-0.24976246693577031</v>
      </c>
      <c r="D21" s="49">
        <f t="shared" si="0"/>
        <v>-0.24975329829715737</v>
      </c>
      <c r="E21" s="49">
        <f t="shared" si="0"/>
        <v>-0.25088499536088327</v>
      </c>
      <c r="F21" s="49">
        <f t="shared" si="0"/>
        <v>-0.25011559050496723</v>
      </c>
      <c r="G21" s="49">
        <f t="shared" si="0"/>
        <v>-0.2504858793070609</v>
      </c>
      <c r="H21" s="49">
        <f t="shared" si="0"/>
        <v>-0.25012840267077552</v>
      </c>
      <c r="I21" s="49">
        <f t="shared" si="0"/>
        <v>-0.20192294890276363</v>
      </c>
      <c r="J21" s="49">
        <f t="shared" si="0"/>
        <v>-0.25084253228917591</v>
      </c>
      <c r="K21" s="49">
        <f t="shared" si="0"/>
        <v>-0.25085404182233834</v>
      </c>
      <c r="L21" s="49">
        <f t="shared" si="0"/>
        <v>-0.24982639227623937</v>
      </c>
      <c r="M21" s="49">
        <f t="shared" si="0"/>
        <v>-0.24984873419576525</v>
      </c>
      <c r="N21" s="49">
        <f t="shared" si="0"/>
        <v>-0.25076142162456738</v>
      </c>
      <c r="O21" s="49">
        <f t="shared" si="0"/>
        <v>-0.24986171734417512</v>
      </c>
      <c r="P21" s="49">
        <f t="shared" si="0"/>
        <v>-0.2498614043089244</v>
      </c>
      <c r="Q21" s="49">
        <f t="shared" si="0"/>
        <v>-0.25042992242323153</v>
      </c>
      <c r="R21" s="49">
        <f t="shared" si="0"/>
        <v>-0.20160269928300295</v>
      </c>
      <c r="S21" s="49">
        <f t="shared" si="0"/>
        <v>-0.250294117647059</v>
      </c>
      <c r="T21" s="49">
        <f t="shared" si="0"/>
        <v>-0.25027233115468406</v>
      </c>
      <c r="U21" s="49">
        <f t="shared" si="0"/>
        <v>-0.25031928480204363</v>
      </c>
      <c r="V21" s="49">
        <f t="shared" si="0"/>
        <v>-0.25031669622498109</v>
      </c>
      <c r="W21" s="49">
        <f t="shared" si="0"/>
        <v>-0.25030826140567192</v>
      </c>
      <c r="X21" s="49">
        <f t="shared" si="0"/>
        <v>-0.24987405541561716</v>
      </c>
      <c r="Y21" s="49">
        <f t="shared" si="0"/>
        <v>-0.25070159027128158</v>
      </c>
    </row>
    <row r="22" spans="1:25" x14ac:dyDescent="0.25">
      <c r="A22" s="8" t="s">
        <v>38</v>
      </c>
      <c r="B22" s="49">
        <f t="shared" ref="B22:Q26" si="1">(B13-B3)/B3</f>
        <v>0</v>
      </c>
      <c r="C22" s="49">
        <f t="shared" si="1"/>
        <v>0</v>
      </c>
      <c r="D22" s="49">
        <f t="shared" si="1"/>
        <v>0</v>
      </c>
      <c r="E22" s="49">
        <f t="shared" si="1"/>
        <v>0</v>
      </c>
      <c r="F22" s="49">
        <f t="shared" si="1"/>
        <v>0</v>
      </c>
      <c r="G22" s="49">
        <f t="shared" si="1"/>
        <v>0</v>
      </c>
      <c r="H22" s="49">
        <f t="shared" si="1"/>
        <v>0</v>
      </c>
      <c r="I22" s="49">
        <f t="shared" si="1"/>
        <v>0</v>
      </c>
      <c r="J22" s="49">
        <f t="shared" si="1"/>
        <v>0</v>
      </c>
      <c r="K22" s="49">
        <f t="shared" si="1"/>
        <v>0</v>
      </c>
      <c r="L22" s="49">
        <f t="shared" si="1"/>
        <v>0</v>
      </c>
      <c r="M22" s="49">
        <f t="shared" si="1"/>
        <v>0</v>
      </c>
      <c r="N22" s="49">
        <f t="shared" si="1"/>
        <v>0</v>
      </c>
      <c r="O22" s="49">
        <f t="shared" si="1"/>
        <v>0</v>
      </c>
      <c r="P22" s="49">
        <f t="shared" si="1"/>
        <v>0</v>
      </c>
      <c r="Q22" s="49">
        <f t="shared" si="1"/>
        <v>0</v>
      </c>
      <c r="R22" s="49">
        <f t="shared" si="0"/>
        <v>0</v>
      </c>
      <c r="S22" s="49">
        <f t="shared" si="0"/>
        <v>0</v>
      </c>
      <c r="T22" s="49">
        <f t="shared" si="0"/>
        <v>0</v>
      </c>
      <c r="U22" s="49">
        <f t="shared" si="0"/>
        <v>0</v>
      </c>
      <c r="V22" s="49">
        <f t="shared" si="0"/>
        <v>0</v>
      </c>
      <c r="W22" s="49">
        <f t="shared" si="0"/>
        <v>0</v>
      </c>
      <c r="X22" s="49">
        <f t="shared" si="0"/>
        <v>0</v>
      </c>
      <c r="Y22" s="49">
        <f t="shared" si="0"/>
        <v>0</v>
      </c>
    </row>
    <row r="23" spans="1:25" x14ac:dyDescent="0.25">
      <c r="A23" s="8" t="s">
        <v>39</v>
      </c>
      <c r="B23" s="49">
        <f t="shared" si="1"/>
        <v>0</v>
      </c>
      <c r="C23" s="49">
        <f t="shared" si="0"/>
        <v>0</v>
      </c>
      <c r="D23" s="49">
        <f t="shared" si="0"/>
        <v>0</v>
      </c>
      <c r="E23" s="49">
        <f t="shared" si="0"/>
        <v>0</v>
      </c>
      <c r="F23" s="49">
        <f t="shared" si="0"/>
        <v>0</v>
      </c>
      <c r="G23" s="49">
        <f t="shared" si="0"/>
        <v>0</v>
      </c>
      <c r="H23" s="49">
        <f t="shared" si="0"/>
        <v>0</v>
      </c>
      <c r="I23" s="49">
        <f t="shared" si="0"/>
        <v>0</v>
      </c>
      <c r="J23" s="49">
        <f t="shared" si="0"/>
        <v>0</v>
      </c>
      <c r="K23" s="49">
        <f t="shared" si="0"/>
        <v>0</v>
      </c>
      <c r="L23" s="49">
        <f t="shared" si="0"/>
        <v>0</v>
      </c>
      <c r="M23" s="49">
        <f t="shared" si="0"/>
        <v>0</v>
      </c>
      <c r="N23" s="49">
        <f t="shared" si="0"/>
        <v>0</v>
      </c>
      <c r="O23" s="49">
        <f t="shared" si="0"/>
        <v>0</v>
      </c>
      <c r="P23" s="49">
        <f t="shared" si="0"/>
        <v>0</v>
      </c>
      <c r="Q23" s="49">
        <f t="shared" si="0"/>
        <v>0</v>
      </c>
      <c r="R23" s="49">
        <f t="shared" si="0"/>
        <v>0</v>
      </c>
      <c r="S23" s="49">
        <f t="shared" si="0"/>
        <v>0</v>
      </c>
      <c r="T23" s="49">
        <f t="shared" si="0"/>
        <v>0</v>
      </c>
      <c r="U23" s="49">
        <f t="shared" si="0"/>
        <v>0</v>
      </c>
      <c r="V23" s="49">
        <f t="shared" si="0"/>
        <v>0</v>
      </c>
      <c r="W23" s="49">
        <f t="shared" si="0"/>
        <v>0</v>
      </c>
      <c r="X23" s="49">
        <f t="shared" si="0"/>
        <v>0</v>
      </c>
      <c r="Y23" s="49">
        <f t="shared" si="0"/>
        <v>0</v>
      </c>
    </row>
    <row r="24" spans="1:25" x14ac:dyDescent="0.25">
      <c r="A24" s="8" t="s">
        <v>40</v>
      </c>
      <c r="B24" s="49">
        <f t="shared" si="1"/>
        <v>0.54355484337271331</v>
      </c>
      <c r="C24" s="49">
        <f t="shared" si="0"/>
        <v>0.54150973283514392</v>
      </c>
      <c r="D24" s="49">
        <f t="shared" si="0"/>
        <v>0.54089898113683399</v>
      </c>
      <c r="E24" s="49">
        <f t="shared" si="0"/>
        <v>0.54236816295860146</v>
      </c>
      <c r="F24" s="49">
        <f t="shared" si="0"/>
        <v>0.54259205388017817</v>
      </c>
      <c r="G24" s="49">
        <f t="shared" si="0"/>
        <v>0.54271856762099679</v>
      </c>
      <c r="H24" s="49">
        <f t="shared" si="0"/>
        <v>0.67318092001244978</v>
      </c>
      <c r="I24" s="49">
        <f t="shared" si="0"/>
        <v>0.9811464093533393</v>
      </c>
      <c r="J24" s="49">
        <f t="shared" si="0"/>
        <v>0.54289385813497915</v>
      </c>
      <c r="K24" s="49">
        <f t="shared" si="0"/>
        <v>0.54309350685821423</v>
      </c>
      <c r="L24" s="49">
        <f t="shared" si="0"/>
        <v>0.54108769201755524</v>
      </c>
      <c r="M24" s="49">
        <f t="shared" si="0"/>
        <v>0.5412241937777279</v>
      </c>
      <c r="N24" s="49">
        <f t="shared" si="0"/>
        <v>0.54255488770238147</v>
      </c>
      <c r="O24" s="49">
        <f t="shared" si="0"/>
        <v>0.54233485043879337</v>
      </c>
      <c r="P24" s="49">
        <f t="shared" si="0"/>
        <v>0.54168452086310481</v>
      </c>
      <c r="Q24" s="49">
        <f t="shared" si="0"/>
        <v>0.5434104721361015</v>
      </c>
      <c r="R24" s="49">
        <f t="shared" si="0"/>
        <v>0.97743263454534046</v>
      </c>
      <c r="S24" s="49">
        <f t="shared" si="0"/>
        <v>0.67379255740300903</v>
      </c>
      <c r="T24" s="49">
        <f t="shared" si="0"/>
        <v>0.54218289085545734</v>
      </c>
      <c r="U24" s="49">
        <f t="shared" si="0"/>
        <v>0.54203539823008862</v>
      </c>
      <c r="V24" s="49">
        <f t="shared" si="0"/>
        <v>0.54226125137211822</v>
      </c>
      <c r="W24" s="49">
        <f t="shared" si="0"/>
        <v>0.54205607476635476</v>
      </c>
      <c r="X24" s="49">
        <f t="shared" si="0"/>
        <v>0.54148471615720506</v>
      </c>
      <c r="Y24" s="49">
        <f t="shared" si="0"/>
        <v>0.54346847420495825</v>
      </c>
    </row>
    <row r="25" spans="1:25" x14ac:dyDescent="0.25">
      <c r="A25" s="8" t="s">
        <v>80</v>
      </c>
      <c r="B25" s="49">
        <f t="shared" si="1"/>
        <v>0</v>
      </c>
      <c r="C25" s="49">
        <f t="shared" si="0"/>
        <v>0</v>
      </c>
      <c r="D25" s="49">
        <f t="shared" si="0"/>
        <v>0</v>
      </c>
      <c r="E25" s="49">
        <f t="shared" si="0"/>
        <v>0</v>
      </c>
      <c r="F25" s="49">
        <f t="shared" si="0"/>
        <v>0</v>
      </c>
      <c r="G25" s="49">
        <f t="shared" si="0"/>
        <v>0</v>
      </c>
      <c r="H25" s="49">
        <f t="shared" si="0"/>
        <v>0</v>
      </c>
      <c r="I25" s="49">
        <f t="shared" si="0"/>
        <v>0</v>
      </c>
      <c r="J25" s="49">
        <f t="shared" si="0"/>
        <v>0</v>
      </c>
      <c r="K25" s="49">
        <f t="shared" si="0"/>
        <v>0</v>
      </c>
      <c r="L25" s="49">
        <f t="shared" si="0"/>
        <v>0</v>
      </c>
      <c r="M25" s="49">
        <f t="shared" si="0"/>
        <v>0</v>
      </c>
      <c r="N25" s="49">
        <f t="shared" si="0"/>
        <v>0</v>
      </c>
      <c r="O25" s="49">
        <f t="shared" si="0"/>
        <v>0</v>
      </c>
      <c r="P25" s="49">
        <f t="shared" si="0"/>
        <v>0</v>
      </c>
      <c r="Q25" s="49">
        <f t="shared" si="0"/>
        <v>0</v>
      </c>
      <c r="R25" s="49">
        <f t="shared" si="0"/>
        <v>0</v>
      </c>
      <c r="S25" s="49">
        <f t="shared" si="0"/>
        <v>0</v>
      </c>
      <c r="T25" s="49">
        <f t="shared" si="0"/>
        <v>0</v>
      </c>
      <c r="U25" s="49">
        <f t="shared" si="0"/>
        <v>0</v>
      </c>
      <c r="V25" s="49">
        <f t="shared" si="0"/>
        <v>0</v>
      </c>
      <c r="W25" s="49">
        <f t="shared" si="0"/>
        <v>0</v>
      </c>
      <c r="X25" s="49">
        <f t="shared" si="0"/>
        <v>0</v>
      </c>
      <c r="Y25" s="49">
        <f t="shared" si="0"/>
        <v>0</v>
      </c>
    </row>
    <row r="26" spans="1:25" x14ac:dyDescent="0.25">
      <c r="A26" s="8" t="s">
        <v>81</v>
      </c>
      <c r="B26" s="49">
        <f t="shared" si="1"/>
        <v>-0.25038229796786338</v>
      </c>
      <c r="C26" s="49">
        <f t="shared" si="0"/>
        <v>-0.25038228441877047</v>
      </c>
      <c r="D26" s="49">
        <f t="shared" si="0"/>
        <v>-0.25038228254311234</v>
      </c>
      <c r="E26" s="49">
        <f t="shared" si="0"/>
        <v>-0.25038229106441834</v>
      </c>
      <c r="F26" s="49">
        <f t="shared" si="0"/>
        <v>-0.25038229641876203</v>
      </c>
      <c r="G26" s="49">
        <f t="shared" si="0"/>
        <v>-0.25051975051975062</v>
      </c>
      <c r="H26" s="49">
        <f t="shared" si="0"/>
        <v>-0.24999999999999997</v>
      </c>
      <c r="I26" s="49">
        <f t="shared" si="0"/>
        <v>-0.20207572181447833</v>
      </c>
      <c r="J26" s="49">
        <f t="shared" si="0"/>
        <v>-0.25038226150040421</v>
      </c>
      <c r="K26" s="49">
        <f t="shared" si="0"/>
        <v>-0.25038225602827574</v>
      </c>
      <c r="L26" s="49">
        <f t="shared" si="0"/>
        <v>-0.25038227415965647</v>
      </c>
      <c r="M26" s="49">
        <f t="shared" si="0"/>
        <v>-0.25038227935872592</v>
      </c>
      <c r="N26" s="49">
        <f t="shared" si="0"/>
        <v>-0.25038228262330592</v>
      </c>
      <c r="O26" s="49">
        <f t="shared" si="0"/>
        <v>-0.25038230923972088</v>
      </c>
      <c r="P26" s="49">
        <f t="shared" si="0"/>
        <v>-0.25038229268295503</v>
      </c>
      <c r="Q26" s="49">
        <f t="shared" si="0"/>
        <v>-0.25038229250964505</v>
      </c>
      <c r="R26" s="49">
        <f t="shared" si="0"/>
        <v>-0.20156774916013445</v>
      </c>
      <c r="S26" s="49">
        <f t="shared" si="0"/>
        <v>-0.25039999999999996</v>
      </c>
      <c r="T26" s="49">
        <f t="shared" si="0"/>
        <v>-0.25018953752843076</v>
      </c>
      <c r="U26" s="49">
        <f t="shared" si="0"/>
        <v>-0.25036179450072366</v>
      </c>
      <c r="V26" s="49">
        <f t="shared" si="0"/>
        <v>-0.25036390101892275</v>
      </c>
      <c r="W26" s="49">
        <f t="shared" si="0"/>
        <v>-0.25065963060686025</v>
      </c>
      <c r="X26" s="49">
        <f t="shared" si="0"/>
        <v>-0.24965893587994539</v>
      </c>
      <c r="Y26" s="49">
        <f t="shared" si="0"/>
        <v>-0.25121951219512206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D8F9E-6BA2-4B0E-8E9D-93D40A7A4F01}">
  <sheetPr codeName="Sheet13">
    <tabColor rgb="FF002060"/>
  </sheetPr>
  <dimension ref="A1:Y27"/>
  <sheetViews>
    <sheetView workbookViewId="0">
      <selection activeCell="B2" sqref="B2"/>
    </sheetView>
  </sheetViews>
  <sheetFormatPr defaultRowHeight="15" x14ac:dyDescent="0.25"/>
  <cols>
    <col min="1" max="1" width="28.42578125" customWidth="1"/>
    <col min="2" max="2" width="10.5703125" bestFit="1" customWidth="1"/>
    <col min="3" max="3" width="10.42578125" bestFit="1" customWidth="1"/>
    <col min="4" max="25" width="10.5703125" bestFit="1" customWidth="1"/>
  </cols>
  <sheetData>
    <row r="1" spans="1:25" x14ac:dyDescent="0.25">
      <c r="A1" s="6" t="s">
        <v>25</v>
      </c>
      <c r="B1" s="7" t="s">
        <v>34</v>
      </c>
      <c r="C1" s="7" t="s">
        <v>0</v>
      </c>
      <c r="D1" s="7" t="s">
        <v>1</v>
      </c>
      <c r="E1" s="7" t="s">
        <v>2</v>
      </c>
      <c r="F1" s="7" t="s">
        <v>3</v>
      </c>
      <c r="G1" s="7" t="s">
        <v>4</v>
      </c>
      <c r="H1" s="7" t="s">
        <v>5</v>
      </c>
      <c r="I1" s="7" t="s">
        <v>6</v>
      </c>
      <c r="J1" s="7" t="s">
        <v>7</v>
      </c>
      <c r="K1" s="7" t="s">
        <v>8</v>
      </c>
      <c r="L1" s="7" t="s">
        <v>9</v>
      </c>
      <c r="M1" s="7" t="s">
        <v>10</v>
      </c>
      <c r="N1" s="7" t="s">
        <v>11</v>
      </c>
      <c r="O1" s="7" t="s">
        <v>12</v>
      </c>
      <c r="P1" s="7" t="s">
        <v>13</v>
      </c>
      <c r="Q1" s="7" t="s">
        <v>14</v>
      </c>
      <c r="R1" s="7" t="s">
        <v>15</v>
      </c>
      <c r="S1" s="7" t="s">
        <v>16</v>
      </c>
      <c r="T1" s="7" t="s">
        <v>17</v>
      </c>
      <c r="U1" s="7" t="s">
        <v>18</v>
      </c>
      <c r="V1" s="7" t="s">
        <v>19</v>
      </c>
      <c r="W1" s="7" t="s">
        <v>20</v>
      </c>
      <c r="X1" s="7" t="s">
        <v>21</v>
      </c>
      <c r="Y1" s="7" t="s">
        <v>22</v>
      </c>
    </row>
    <row r="2" spans="1:25" x14ac:dyDescent="0.25">
      <c r="A2" s="8" t="s">
        <v>37</v>
      </c>
      <c r="B2" s="8" cm="1">
        <f t="array" ref="B2">INDEX('Summarized Modified Source Data'!$H$600:$H$743,MATCH(1,($A2=LoadFactorSeasons)*(B$1=LoadFactorHours),0),)</f>
        <v>4.9390157082593799E-4</v>
      </c>
      <c r="C2" s="8" cm="1">
        <f t="array" ref="C2">INDEX('Summarized Modified Source Data'!$H$600:$H$743,MATCH(1,($A2=LoadFactorSeasons)*(C$1=LoadFactorHours),0),)</f>
        <v>3.8875454133315639E-5</v>
      </c>
      <c r="D2" s="8" cm="1">
        <f t="array" ref="D2">INDEX('Summarized Modified Source Data'!$H$600:$H$743,MATCH(1,($A2=LoadFactorSeasons)*(D$1=LoadFactorHours),0),)</f>
        <v>3.4011072203672542E-5</v>
      </c>
      <c r="E2" s="8" cm="1">
        <f t="array" ref="E2">INDEX('Summarized Modified Source Data'!$H$600:$H$743,MATCH(1,($A2=LoadFactorSeasons)*(E$1=LoadFactorHours),0),)</f>
        <v>3.2511563804721979E-5</v>
      </c>
      <c r="F2" s="8" cm="1">
        <f t="array" ref="F2">INDEX('Summarized Modified Source Data'!$H$600:$H$743,MATCH(1,($A2=LoadFactorSeasons)*(F$1=LoadFactorHours),0),)</f>
        <v>4.0630933006159699E-5</v>
      </c>
      <c r="G2" s="8" cm="1">
        <f t="array" ref="G2">INDEX('Summarized Modified Source Data'!$H$600:$H$743,MATCH(1,($A2=LoadFactorSeasons)*(G$1=LoadFactorHours),0),)</f>
        <v>7.7388646929870634E-5</v>
      </c>
      <c r="H2" s="8" cm="1">
        <f t="array" ref="H2">INDEX('Summarized Modified Source Data'!$H$600:$H$743,MATCH(1,($A2=LoadFactorSeasons)*(H$1=LoadFactorHours),0),)</f>
        <v>1.4815894110865407E-4</v>
      </c>
      <c r="I2" s="8" cm="1">
        <f t="array" ref="I2">INDEX('Summarized Modified Source Data'!$H$600:$H$743,MATCH(1,($A2=LoadFactorSeasons)*(I$1=LoadFactorHours),0),)</f>
        <v>2.0989576025767643E-4</v>
      </c>
      <c r="J2" s="8" cm="1">
        <f t="array" ref="J2">INDEX('Summarized Modified Source Data'!$H$600:$H$743,MATCH(1,($A2=LoadFactorSeasons)*(J$1=LoadFactorHours),0),)</f>
        <v>1.8087171800945439E-4</v>
      </c>
      <c r="K2" s="8" cm="1">
        <f t="array" ref="K2">INDEX('Summarized Modified Source Data'!$H$600:$H$743,MATCH(1,($A2=LoadFactorSeasons)*(K$1=LoadFactorHours),0),)</f>
        <v>1.9692821516956264E-4</v>
      </c>
      <c r="L2" s="8" cm="1">
        <f t="array" ref="L2">INDEX('Summarized Modified Source Data'!$H$600:$H$743,MATCH(1,($A2=LoadFactorSeasons)*(L$1=LoadFactorHours),0),)</f>
        <v>1.9330763247659704E-4</v>
      </c>
      <c r="M2" s="8" cm="1">
        <f t="array" ref="M2">INDEX('Summarized Modified Source Data'!$H$600:$H$743,MATCH(1,($A2=LoadFactorSeasons)*(M$1=LoadFactorHours),0),)</f>
        <v>1.7284346942940027E-4</v>
      </c>
      <c r="N2" s="8" cm="1">
        <f t="array" ref="N2">INDEX('Summarized Modified Source Data'!$H$600:$H$743,MATCH(1,($A2=LoadFactorSeasons)*(N$1=LoadFactorHours),0),)</f>
        <v>1.4847722968152545E-4</v>
      </c>
      <c r="O2" s="8" cm="1">
        <f t="array" ref="O2">INDEX('Summarized Modified Source Data'!$H$600:$H$743,MATCH(1,($A2=LoadFactorSeasons)*(O$1=LoadFactorHours),0),)</f>
        <v>1.2870429726290496E-4</v>
      </c>
      <c r="P2" s="8" cm="1">
        <f t="array" ref="P2">INDEX('Summarized Modified Source Data'!$H$600:$H$743,MATCH(1,($A2=LoadFactorSeasons)*(P$1=LoadFactorHours),0),)</f>
        <v>1.2192066176355107E-4</v>
      </c>
      <c r="Q2" s="8" cm="1">
        <f t="array" ref="Q2">INDEX('Summarized Modified Source Data'!$H$600:$H$743,MATCH(1,($A2=LoadFactorSeasons)*(Q$1=LoadFactorHours),0),)</f>
        <v>1.1391147633845861E-4</v>
      </c>
      <c r="R2" s="8" cm="1">
        <f t="array" ref="R2">INDEX('Summarized Modified Source Data'!$H$600:$H$743,MATCH(1,($A2=LoadFactorSeasons)*(R$1=LoadFactorHours),0),)</f>
        <v>1.2528487886685969E-4</v>
      </c>
      <c r="S2" s="8" cm="1">
        <f t="array" ref="S2">INDEX('Summarized Modified Source Data'!$H$600:$H$743,MATCH(1,($A2=LoadFactorSeasons)*(S$1=LoadFactorHours),0),)</f>
        <v>1.5130215154771849E-4</v>
      </c>
      <c r="T2" s="8" cm="1">
        <f t="array" ref="T2">INDEX('Summarized Modified Source Data'!$H$600:$H$743,MATCH(1,($A2=LoadFactorSeasons)*(T$1=LoadFactorHours),0),)</f>
        <v>1.8449230070241999E-4</v>
      </c>
      <c r="U2" s="8" cm="1">
        <f t="array" ref="U2">INDEX('Summarized Modified Source Data'!$H$600:$H$743,MATCH(1,($A2=LoadFactorSeasons)*(U$1=LoadFactorHours),0),)</f>
        <v>1.77565968594138E-4</v>
      </c>
      <c r="V2" s="8" cm="1">
        <f t="array" ref="V2">INDEX('Summarized Modified Source Data'!$H$600:$H$743,MATCH(1,($A2=LoadFactorSeasons)*(V$1=LoadFactorHours),0),)</f>
        <v>1.6216714870604057E-4</v>
      </c>
      <c r="W2" s="8" cm="1">
        <f t="array" ref="W2">INDEX('Summarized Modified Source Data'!$H$600:$H$743,MATCH(1,($A2=LoadFactorSeasons)*(W$1=LoadFactorHours),0),)</f>
        <v>1.4672677554779264E-4</v>
      </c>
      <c r="X2" s="8" cm="1">
        <f t="array" ref="X2">INDEX('Summarized Modified Source Data'!$H$600:$H$743,MATCH(1,($A2=LoadFactorSeasons)*(X$1=LoadFactorHours),0),)</f>
        <v>1.2835935333058138E-4</v>
      </c>
      <c r="Y2" s="8" cm="1">
        <f t="array" ref="Y2">INDEX('Summarized Modified Source Data'!$H$600:$H$743,MATCH(1,($A2=LoadFactorSeasons)*(Y$1=LoadFactorHours),0),)</f>
        <v>9.3063370960835915E-5</v>
      </c>
    </row>
    <row r="3" spans="1:25" x14ac:dyDescent="0.25">
      <c r="A3" s="8" t="s">
        <v>38</v>
      </c>
      <c r="B3" s="8" cm="1">
        <f t="array" ref="B3">INDEX('Summarized Modified Source Data'!$H$600:$H$743,MATCH(1,($A3=LoadFactorSeasons)*(B$1=LoadFactorHours),0),)</f>
        <v>4.8234384778629673E-5</v>
      </c>
      <c r="C3" s="8" cm="1">
        <f t="array" ref="C3">INDEX('Summarized Modified Source Data'!$H$600:$H$743,MATCH(1,($A3=LoadFactorSeasons)*(C$1=LoadFactorHours),0),)</f>
        <v>3.2336528685028038E-5</v>
      </c>
      <c r="D3" s="8" cm="1">
        <f t="array" ref="D3">INDEX('Summarized Modified Source Data'!$H$600:$H$743,MATCH(1,($A3=LoadFactorSeasons)*(D$1=LoadFactorHours),0),)</f>
        <v>2.8290346838714431E-5</v>
      </c>
      <c r="E3" s="8" cm="1">
        <f t="array" ref="E3">INDEX('Summarized Modified Source Data'!$H$600:$H$743,MATCH(1,($A3=LoadFactorSeasons)*(E$1=LoadFactorHours),0),)</f>
        <v>2.704305883866847E-5</v>
      </c>
      <c r="F3" s="8" cm="1">
        <f t="array" ref="F3">INDEX('Summarized Modified Source Data'!$H$600:$H$743,MATCH(1,($A3=LoadFactorSeasons)*(F$1=LoadFactorHours),0),)</f>
        <v>3.3796733639806958E-5</v>
      </c>
      <c r="G3" s="8" cm="1">
        <f t="array" ref="G3">INDEX('Summarized Modified Source Data'!$H$600:$H$743,MATCH(1,($A3=LoadFactorSeasons)*(G$1=LoadFactorHours),0),)</f>
        <v>6.437561589331632E-5</v>
      </c>
      <c r="H3" s="8" cm="1">
        <f t="array" ref="H3">INDEX('Summarized Modified Source Data'!$H$600:$H$743,MATCH(1,($A3=LoadFactorSeasons)*(H$1=LoadFactorHours),0),)</f>
        <v>1.2312652379559786E-4</v>
      </c>
      <c r="I3" s="8" cm="1">
        <f t="array" ref="I3">INDEX('Summarized Modified Source Data'!$H$600:$H$743,MATCH(1,($A3=LoadFactorSeasons)*(I$1=LoadFactorHours),0),)</f>
        <v>1.743642517288997E-4</v>
      </c>
      <c r="J3" s="8" cm="1">
        <f t="array" ref="J3">INDEX('Summarized Modified Source Data'!$H$600:$H$743,MATCH(1,($A3=LoadFactorSeasons)*(J$1=LoadFactorHours),0),)</f>
        <v>1.508708039493727E-4</v>
      </c>
      <c r="K3" s="8" cm="1">
        <f t="array" ref="K3">INDEX('Summarized Modified Source Data'!$H$600:$H$743,MATCH(1,($A3=LoadFactorSeasons)*(K$1=LoadFactorHours),0),)</f>
        <v>1.6405551446197533E-4</v>
      </c>
      <c r="L3" s="8" cm="1">
        <f t="array" ref="L3">INDEX('Summarized Modified Source Data'!$H$600:$H$743,MATCH(1,($A3=LoadFactorSeasons)*(L$1=LoadFactorHours),0),)</f>
        <v>1.6077029765172295E-4</v>
      </c>
      <c r="M3" s="8" cm="1">
        <f t="array" ref="M3">INDEX('Summarized Modified Source Data'!$H$600:$H$743,MATCH(1,($A3=LoadFactorSeasons)*(M$1=LoadFactorHours),0),)</f>
        <v>1.4380170110945832E-4</v>
      </c>
      <c r="N3" s="8" cm="1">
        <f t="array" ref="N3">INDEX('Summarized Modified Source Data'!$H$600:$H$743,MATCH(1,($A3=LoadFactorSeasons)*(N$1=LoadFactorHours),0),)</f>
        <v>1.2343311460115419E-4</v>
      </c>
      <c r="O3" s="8" cm="1">
        <f t="array" ref="O3">INDEX('Summarized Modified Source Data'!$H$600:$H$743,MATCH(1,($A3=LoadFactorSeasons)*(O$1=LoadFactorHours),0),)</f>
        <v>1.0715896977410624E-4</v>
      </c>
      <c r="P3" s="8" cm="1">
        <f t="array" ref="P3">INDEX('Summarized Modified Source Data'!$H$600:$H$743,MATCH(1,($A3=LoadFactorSeasons)*(P$1=LoadFactorHours),0),)</f>
        <v>1.0147302123520734E-4</v>
      </c>
      <c r="Q3" s="8" cm="1">
        <f t="array" ref="Q3">INDEX('Summarized Modified Source Data'!$H$600:$H$743,MATCH(1,($A3=LoadFactorSeasons)*(Q$1=LoadFactorHours),0),)</f>
        <v>9.4695183664429437E-5</v>
      </c>
      <c r="R3" s="8" cm="1">
        <f t="array" ref="R3">INDEX('Summarized Modified Source Data'!$H$600:$H$743,MATCH(1,($A3=LoadFactorSeasons)*(R$1=LoadFactorHours),0),)</f>
        <v>1.04114594261474E-4</v>
      </c>
      <c r="S3" s="8" cm="1">
        <f t="array" ref="S3">INDEX('Summarized Modified Source Data'!$H$600:$H$743,MATCH(1,($A3=LoadFactorSeasons)*(S$1=LoadFactorHours),0),)</f>
        <v>1.2566330867192003E-4</v>
      </c>
      <c r="T3" s="8" cm="1">
        <f t="array" ref="T3">INDEX('Summarized Modified Source Data'!$H$600:$H$743,MATCH(1,($A3=LoadFactorSeasons)*(T$1=LoadFactorHours),0),)</f>
        <v>1.5377209800361587E-4</v>
      </c>
      <c r="U3" s="8" cm="1">
        <f t="array" ref="U3">INDEX('Summarized Modified Source Data'!$H$600:$H$743,MATCH(1,($A3=LoadFactorSeasons)*(U$1=LoadFactorHours),0),)</f>
        <v>1.4779287405354476E-4</v>
      </c>
      <c r="V3" s="8" cm="1">
        <f t="array" ref="V3">INDEX('Summarized Modified Source Data'!$H$600:$H$743,MATCH(1,($A3=LoadFactorSeasons)*(V$1=LoadFactorHours),0),)</f>
        <v>1.3505518093905267E-4</v>
      </c>
      <c r="W3" s="8" cm="1">
        <f t="array" ref="W3">INDEX('Summarized Modified Source Data'!$H$600:$H$743,MATCH(1,($A3=LoadFactorSeasons)*(W$1=LoadFactorHours),0),)</f>
        <v>1.2196613799322511E-4</v>
      </c>
      <c r="X3" s="8" cm="1">
        <f t="array" ref="X3">INDEX('Summarized Modified Source Data'!$H$600:$H$743,MATCH(1,($A3=LoadFactorSeasons)*(X$1=LoadFactorHours),0),)</f>
        <v>1.0685347540966037E-4</v>
      </c>
      <c r="Y3" s="8" cm="1">
        <f t="array" ref="Y3">INDEX('Summarized Modified Source Data'!$H$600:$H$743,MATCH(1,($A3=LoadFactorSeasons)*(Y$1=LoadFactorHours),0),)</f>
        <v>7.7409935340127118E-5</v>
      </c>
    </row>
    <row r="4" spans="1:25" x14ac:dyDescent="0.25">
      <c r="A4" s="8" t="s">
        <v>39</v>
      </c>
      <c r="B4" s="8" cm="1">
        <f t="array" ref="B4">INDEX('Summarized Modified Source Data'!$H$600:$H$743,MATCH(1,($A4=LoadFactorSeasons)*(B$1=LoadFactorHours),0),)</f>
        <v>4.1604129413270841E-5</v>
      </c>
      <c r="C4" s="8" cm="1">
        <f t="array" ref="C4">INDEX('Summarized Modified Source Data'!$H$600:$H$743,MATCH(1,($A4=LoadFactorSeasons)*(C$1=LoadFactorHours),0),)</f>
        <v>2.7891581062504486E-5</v>
      </c>
      <c r="D4" s="8" cm="1">
        <f t="array" ref="D4">INDEX('Summarized Modified Source Data'!$H$600:$H$743,MATCH(1,($A4=LoadFactorSeasons)*(D$1=LoadFactorHours),0),)</f>
        <v>2.440158026238509E-5</v>
      </c>
      <c r="E4" s="8" cm="1">
        <f t="array" ref="E4">INDEX('Summarized Modified Source Data'!$H$600:$H$743,MATCH(1,($A4=LoadFactorSeasons)*(E$1=LoadFactorHours),0),)</f>
        <v>2.3325745674405687E-5</v>
      </c>
      <c r="F4" s="8" cm="1">
        <f t="array" ref="F4">INDEX('Summarized Modified Source Data'!$H$600:$H$743,MATCH(1,($A4=LoadFactorSeasons)*(F$1=LoadFactorHours),0),)</f>
        <v>2.915106337669801E-5</v>
      </c>
      <c r="G4" s="8" cm="1">
        <f t="array" ref="G4">INDEX('Summarized Modified Source Data'!$H$600:$H$743,MATCH(1,($A4=LoadFactorSeasons)*(G$1=LoadFactorHours),0),)</f>
        <v>5.5526603118212311E-5</v>
      </c>
      <c r="H4" s="8" cm="1">
        <f t="array" ref="H4">INDEX('Summarized Modified Source Data'!$H$600:$H$743,MATCH(1,($A4=LoadFactorSeasons)*(H$1=LoadFactorHours),0),)</f>
        <v>1.0638249235491903E-4</v>
      </c>
      <c r="I4" s="8" cm="1">
        <f t="array" ref="I4">INDEX('Summarized Modified Source Data'!$H$600:$H$743,MATCH(1,($A4=LoadFactorSeasons)*(I$1=LoadFactorHours),0),)</f>
        <v>1.5067316325280736E-4</v>
      </c>
      <c r="J4" s="8" cm="1">
        <f t="array" ref="J4">INDEX('Summarized Modified Source Data'!$H$600:$H$743,MATCH(1,($A4=LoadFactorSeasons)*(J$1=LoadFactorHours),0),)</f>
        <v>1.2971426640217155E-4</v>
      </c>
      <c r="K4" s="8" cm="1">
        <f t="array" ref="K4">INDEX('Summarized Modified Source Data'!$H$600:$H$743,MATCH(1,($A4=LoadFactorSeasons)*(K$1=LoadFactorHours),0),)</f>
        <v>1.4126432284084981E-4</v>
      </c>
      <c r="L4" s="8" cm="1">
        <f t="array" ref="L4">INDEX('Summarized Modified Source Data'!$H$600:$H$743,MATCH(1,($A4=LoadFactorSeasons)*(L$1=LoadFactorHours),0),)</f>
        <v>1.3880041023316058E-4</v>
      </c>
      <c r="M4" s="8" cm="1">
        <f t="array" ref="M4">INDEX('Summarized Modified Source Data'!$H$600:$H$743,MATCH(1,($A4=LoadFactorSeasons)*(M$1=LoadFactorHours),0),)</f>
        <v>1.2386050077556294E-4</v>
      </c>
      <c r="N4" s="8" cm="1">
        <f t="array" ref="N4">INDEX('Summarized Modified Source Data'!$H$600:$H$743,MATCH(1,($A4=LoadFactorSeasons)*(N$1=LoadFactorHours),0),)</f>
        <v>1.0669416498022869E-4</v>
      </c>
      <c r="O4" s="8" cm="1">
        <f t="array" ref="O4">INDEX('Summarized Modified Source Data'!$H$600:$H$743,MATCH(1,($A4=LoadFactorSeasons)*(O$1=LoadFactorHours),0),)</f>
        <v>9.2414101585272759E-5</v>
      </c>
      <c r="P4" s="8" cm="1">
        <f t="array" ref="P4">INDEX('Summarized Modified Source Data'!$H$600:$H$743,MATCH(1,($A4=LoadFactorSeasons)*(P$1=LoadFactorHours),0),)</f>
        <v>8.7552323600603892E-5</v>
      </c>
      <c r="Q4" s="8" cm="1">
        <f t="array" ref="Q4">INDEX('Summarized Modified Source Data'!$H$600:$H$743,MATCH(1,($A4=LoadFactorSeasons)*(Q$1=LoadFactorHours),0),)</f>
        <v>8.1678470926461116E-5</v>
      </c>
      <c r="R4" s="8" cm="1">
        <f t="array" ref="R4">INDEX('Summarized Modified Source Data'!$H$600:$H$743,MATCH(1,($A4=LoadFactorSeasons)*(R$1=LoadFactorHours),0),)</f>
        <v>8.9803103661206999E-5</v>
      </c>
      <c r="S4" s="8" cm="1">
        <f t="array" ref="S4">INDEX('Summarized Modified Source Data'!$H$600:$H$743,MATCH(1,($A4=LoadFactorSeasons)*(S$1=LoadFactorHours),0),)</f>
        <v>1.0862485199418538E-4</v>
      </c>
      <c r="T4" s="8" cm="1">
        <f t="array" ref="T4">INDEX('Summarized Modified Source Data'!$H$600:$H$743,MATCH(1,($A4=LoadFactorSeasons)*(T$1=LoadFactorHours),0),)</f>
        <v>1.321508193136129E-4</v>
      </c>
      <c r="U4" s="8" cm="1">
        <f t="array" ref="U4">INDEX('Summarized Modified Source Data'!$H$600:$H$743,MATCH(1,($A4=LoadFactorSeasons)*(U$1=LoadFactorHours),0),)</f>
        <v>1.275923510242111E-4</v>
      </c>
      <c r="V4" s="8" cm="1">
        <f t="array" ref="V4">INDEX('Summarized Modified Source Data'!$H$600:$H$743,MATCH(1,($A4=LoadFactorSeasons)*(V$1=LoadFactorHours),0),)</f>
        <v>1.1639935864085763E-4</v>
      </c>
      <c r="W4" s="8" cm="1">
        <f t="array" ref="W4">INDEX('Summarized Modified Source Data'!$H$600:$H$743,MATCH(1,($A4=LoadFactorSeasons)*(W$1=LoadFactorHours),0),)</f>
        <v>1.0544930393410129E-4</v>
      </c>
      <c r="X4" s="8" cm="1">
        <f t="array" ref="X4">INDEX('Summarized Modified Source Data'!$H$600:$H$743,MATCH(1,($A4=LoadFactorSeasons)*(X$1=LoadFactorHours),0),)</f>
        <v>9.2198765889663255E-5</v>
      </c>
      <c r="Y4" s="8" cm="1">
        <f t="array" ref="Y4">INDEX('Summarized Modified Source Data'!$H$600:$H$743,MATCH(1,($A4=LoadFactorSeasons)*(Y$1=LoadFactorHours),0),)</f>
        <v>6.6769239234089716E-5</v>
      </c>
    </row>
    <row r="5" spans="1:25" x14ac:dyDescent="0.25">
      <c r="A5" s="8" t="s">
        <v>40</v>
      </c>
      <c r="B5" s="8" cm="1">
        <f t="array" ref="B5">INDEX('Summarized Modified Source Data'!$H$600:$H$743,MATCH(1,($A5=LoadFactorSeasons)*(B$1=LoadFactorHours),0),)</f>
        <v>4.4286138611430536E-5</v>
      </c>
      <c r="C5" s="8" cm="1">
        <f t="array" ref="C5">INDEX('Summarized Modified Source Data'!$H$600:$H$743,MATCH(1,($A5=LoadFactorSeasons)*(C$1=LoadFactorHours),0),)</f>
        <v>2.9689609035722692E-5</v>
      </c>
      <c r="D5" s="8" cm="1">
        <f t="array" ref="D5">INDEX('Summarized Modified Source Data'!$H$600:$H$743,MATCH(1,($A5=LoadFactorSeasons)*(D$1=LoadFactorHours),0),)</f>
        <v>2.5974627971475088E-5</v>
      </c>
      <c r="E5" s="8" cm="1">
        <f t="array" ref="E5">INDEX('Summarized Modified Source Data'!$H$600:$H$743,MATCH(1,($A5=LoadFactorSeasons)*(E$1=LoadFactorHours),0),)</f>
        <v>2.4829435859269635E-5</v>
      </c>
      <c r="F5" s="8" cm="1">
        <f t="array" ref="F5">INDEX('Summarized Modified Source Data'!$H$600:$H$743,MATCH(1,($A5=LoadFactorSeasons)*(F$1=LoadFactorHours),0),)</f>
        <v>3.1030284742861423E-5</v>
      </c>
      <c r="G5" s="8" cm="1">
        <f t="array" ref="G5">INDEX('Summarized Modified Source Data'!$H$600:$H$743,MATCH(1,($A5=LoadFactorSeasons)*(G$1=LoadFactorHours),0),)</f>
        <v>5.9106121364009946E-5</v>
      </c>
      <c r="H5" s="8" cm="1">
        <f t="array" ref="H5">INDEX('Summarized Modified Source Data'!$H$600:$H$743,MATCH(1,($A5=LoadFactorSeasons)*(H$1=LoadFactorHours),0),)</f>
        <v>1.1294286577312248E-4</v>
      </c>
      <c r="I5" s="8" cm="1">
        <f t="array" ref="I5">INDEX('Summarized Modified Source Data'!$H$600:$H$743,MATCH(1,($A5=LoadFactorSeasons)*(I$1=LoadFactorHours),0),)</f>
        <v>1.6018438152249506E-4</v>
      </c>
      <c r="J5" s="8" cm="1">
        <f t="array" ref="J5">INDEX('Summarized Modified Source Data'!$H$600:$H$743,MATCH(1,($A5=LoadFactorSeasons)*(J$1=LoadFactorHours),0),)</f>
        <v>1.3834229024961176E-4</v>
      </c>
      <c r="K5" s="8" cm="1">
        <f t="array" ref="K5">INDEX('Summarized Modified Source Data'!$H$600:$H$743,MATCH(1,($A5=LoadFactorSeasons)*(K$1=LoadFactorHours),0),)</f>
        <v>1.5019095704247809E-4</v>
      </c>
      <c r="L5" s="8" cm="1">
        <f t="array" ref="L5">INDEX('Summarized Modified Source Data'!$H$600:$H$743,MATCH(1,($A5=LoadFactorSeasons)*(L$1=LoadFactorHours),0),)</f>
        <v>1.4771358043146811E-4</v>
      </c>
      <c r="M5" s="8" cm="1">
        <f t="array" ref="M5">INDEX('Summarized Modified Source Data'!$H$600:$H$743,MATCH(1,($A5=LoadFactorSeasons)*(M$1=LoadFactorHours),0),)</f>
        <v>1.3220126072101358E-4</v>
      </c>
      <c r="N5" s="8" cm="1">
        <f t="array" ref="N5">INDEX('Summarized Modified Source Data'!$H$600:$H$743,MATCH(1,($A5=LoadFactorSeasons)*(N$1=LoadFactorHours),0),)</f>
        <v>1.1330794747412473E-4</v>
      </c>
      <c r="O5" s="8" cm="1">
        <f t="array" ref="O5">INDEX('Summarized Modified Source Data'!$H$600:$H$743,MATCH(1,($A5=LoadFactorSeasons)*(O$1=LoadFactorHours),0),)</f>
        <v>9.8371568278197784E-5</v>
      </c>
      <c r="P5" s="8" cm="1">
        <f t="array" ref="P5">INDEX('Summarized Modified Source Data'!$H$600:$H$743,MATCH(1,($A5=LoadFactorSeasons)*(P$1=LoadFactorHours),0),)</f>
        <v>9.3196374988609466E-5</v>
      </c>
      <c r="Q5" s="8" cm="1">
        <f t="array" ref="Q5">INDEX('Summarized Modified Source Data'!$H$600:$H$743,MATCH(1,($A5=LoadFactorSeasons)*(Q$1=LoadFactorHours),0),)</f>
        <v>8.6943869705957355E-5</v>
      </c>
      <c r="R5" s="8" cm="1">
        <f t="array" ref="R5">INDEX('Summarized Modified Source Data'!$H$600:$H$743,MATCH(1,($A5=LoadFactorSeasons)*(R$1=LoadFactorHours),0),)</f>
        <v>9.5592249005837965E-5</v>
      </c>
      <c r="S5" s="8" cm="1">
        <f t="array" ref="S5">INDEX('Summarized Modified Source Data'!$H$600:$H$743,MATCH(1,($A5=LoadFactorSeasons)*(S$1=LoadFactorHours),0),)</f>
        <v>1.1548625518065357E-4</v>
      </c>
      <c r="T5" s="8" cm="1">
        <f t="array" ref="T5">INDEX('Summarized Modified Source Data'!$H$600:$H$743,MATCH(1,($A5=LoadFactorSeasons)*(T$1=LoadFactorHours),0),)</f>
        <v>1.4099297793488644E-4</v>
      </c>
      <c r="U5" s="8" cm="1">
        <f t="array" ref="U5">INDEX('Summarized Modified Source Data'!$H$600:$H$743,MATCH(1,($A5=LoadFactorSeasons)*(U$1=LoadFactorHours),0),)</f>
        <v>1.3564646166576371E-4</v>
      </c>
      <c r="V5" s="8" cm="1">
        <f t="array" ref="V5">INDEX('Summarized Modified Source Data'!$H$600:$H$743,MATCH(1,($A5=LoadFactorSeasons)*(V$1=LoadFactorHours),0),)</f>
        <v>1.2398580917734848E-4</v>
      </c>
      <c r="W5" s="8" cm="1">
        <f t="array" ref="W5">INDEX('Summarized Modified Source Data'!$H$600:$H$743,MATCH(1,($A5=LoadFactorSeasons)*(W$1=LoadFactorHours),0),)</f>
        <v>1.1200126137408907E-4</v>
      </c>
      <c r="X5" s="8" cm="1">
        <f t="array" ref="X5">INDEX('Summarized Modified Source Data'!$H$600:$H$743,MATCH(1,($A5=LoadFactorSeasons)*(X$1=LoadFactorHours),0),)</f>
        <v>9.8046276342289115E-5</v>
      </c>
      <c r="Y5" s="8" cm="1">
        <f t="array" ref="Y5">INDEX('Summarized Modified Source Data'!$H$600:$H$743,MATCH(1,($A5=LoadFactorSeasons)*(Y$1=LoadFactorHours),0),)</f>
        <v>7.1073513334238129E-5</v>
      </c>
    </row>
    <row r="6" spans="1:25" x14ac:dyDescent="0.25">
      <c r="A6" s="8" t="s">
        <v>80</v>
      </c>
      <c r="B6" s="8" cm="1">
        <f t="array" ref="B6">INDEX('Summarized Modified Source Data'!$H$600:$H$743,MATCH(1,($A6=LoadFactorSeasons)*(B$1=LoadFactorHours),0),)</f>
        <v>6.7391374087640495E-5</v>
      </c>
      <c r="C6" s="8" cm="1">
        <f t="array" ref="C6">INDEX('Summarized Modified Source Data'!$H$600:$H$743,MATCH(1,($A6=LoadFactorSeasons)*(C$1=LoadFactorHours),0),)</f>
        <v>4.3545156647137797E-5</v>
      </c>
      <c r="D6" s="8" cm="1">
        <f t="array" ref="D6">INDEX('Summarized Modified Source Data'!$H$600:$H$743,MATCH(1,($A6=LoadFactorSeasons)*(D$1=LoadFactorHours),0),)</f>
        <v>3.6293406018875936E-5</v>
      </c>
      <c r="E6" s="8" cm="1">
        <f t="array" ref="E6">INDEX('Summarized Modified Source Data'!$H$600:$H$743,MATCH(1,($A6=LoadFactorSeasons)*(E$1=LoadFactorHours),0),)</f>
        <v>3.3641009229849739E-5</v>
      </c>
      <c r="F6" s="8" cm="1">
        <f t="array" ref="F6">INDEX('Summarized Modified Source Data'!$H$600:$H$743,MATCH(1,($A6=LoadFactorSeasons)*(F$1=LoadFactorHours),0),)</f>
        <v>3.4678497124611471E-5</v>
      </c>
      <c r="G6" s="8" cm="1">
        <f t="array" ref="G6">INDEX('Summarized Modified Source Data'!$H$600:$H$743,MATCH(1,($A6=LoadFactorSeasons)*(G$1=LoadFactorHours),0),)</f>
        <v>5.9764968505317265E-5</v>
      </c>
      <c r="H6" s="8" cm="1">
        <f t="array" ref="H6">INDEX('Summarized Modified Source Data'!$H$600:$H$743,MATCH(1,($A6=LoadFactorSeasons)*(H$1=LoadFactorHours),0),)</f>
        <v>1.1728224012600786E-4</v>
      </c>
      <c r="I6" s="8" cm="1">
        <f t="array" ref="I6">INDEX('Summarized Modified Source Data'!$H$600:$H$743,MATCH(1,($A6=LoadFactorSeasons)*(I$1=LoadFactorHours),0),)</f>
        <v>1.6155053664415787E-4</v>
      </c>
      <c r="J6" s="8" cm="1">
        <f t="array" ref="J6">INDEX('Summarized Modified Source Data'!$H$600:$H$743,MATCH(1,($A6=LoadFactorSeasons)*(J$1=LoadFactorHours),0),)</f>
        <v>1.8810269682780316E-4</v>
      </c>
      <c r="K6" s="8" cm="1">
        <f t="array" ref="K6">INDEX('Summarized Modified Source Data'!$H$600:$H$743,MATCH(1,($A6=LoadFactorSeasons)*(K$1=LoadFactorHours),0),)</f>
        <v>2.5655490027564221E-4</v>
      </c>
      <c r="L6" s="8" cm="1">
        <f t="array" ref="L6">INDEX('Summarized Modified Source Data'!$H$600:$H$743,MATCH(1,($A6=LoadFactorSeasons)*(L$1=LoadFactorHours),0),)</f>
        <v>2.637413120480692E-4</v>
      </c>
      <c r="M6" s="8" cm="1">
        <f t="array" ref="M6">INDEX('Summarized Modified Source Data'!$H$600:$H$743,MATCH(1,($A6=LoadFactorSeasons)*(M$1=LoadFactorHours),0),)</f>
        <v>2.4218207673078833E-4</v>
      </c>
      <c r="N6" s="8" cm="1">
        <f t="array" ref="N6">INDEX('Summarized Modified Source Data'!$H$600:$H$743,MATCH(1,($A6=LoadFactorSeasons)*(N$1=LoadFactorHours),0),)</f>
        <v>2.177482767045367E-4</v>
      </c>
      <c r="O6" s="8" cm="1">
        <f t="array" ref="O6">INDEX('Summarized Modified Source Data'!$H$600:$H$743,MATCH(1,($A6=LoadFactorSeasons)*(O$1=LoadFactorHours),0),)</f>
        <v>1.8683583304208911E-4</v>
      </c>
      <c r="P6" s="8" cm="1">
        <f t="array" ref="P6">INDEX('Summarized Modified Source Data'!$H$600:$H$743,MATCH(1,($A6=LoadFactorSeasons)*(P$1=LoadFactorHours),0),)</f>
        <v>1.7221234026820116E-4</v>
      </c>
      <c r="Q6" s="8" cm="1">
        <f t="array" ref="Q6">INDEX('Summarized Modified Source Data'!$H$600:$H$743,MATCH(1,($A6=LoadFactorSeasons)*(Q$1=LoadFactorHours),0),)</f>
        <v>1.5021303783962399E-4</v>
      </c>
      <c r="R6" s="8" cm="1">
        <f t="array" ref="R6">INDEX('Summarized Modified Source Data'!$H$600:$H$743,MATCH(1,($A6=LoadFactorSeasons)*(R$1=LoadFactorHours),0),)</f>
        <v>1.5032906964410159E-4</v>
      </c>
      <c r="S6" s="8" cm="1">
        <f t="array" ref="S6">INDEX('Summarized Modified Source Data'!$H$600:$H$743,MATCH(1,($A6=LoadFactorSeasons)*(S$1=LoadFactorHours),0),)</f>
        <v>1.7255636817257081E-4</v>
      </c>
      <c r="T6" s="8" cm="1">
        <f t="array" ref="T6">INDEX('Summarized Modified Source Data'!$H$600:$H$743,MATCH(1,($A6=LoadFactorSeasons)*(T$1=LoadFactorHours),0),)</f>
        <v>1.9663063201784791E-4</v>
      </c>
      <c r="U6" s="8" cm="1">
        <f t="array" ref="U6">INDEX('Summarized Modified Source Data'!$H$600:$H$743,MATCH(1,($A6=LoadFactorSeasons)*(U$1=LoadFactorHours),0),)</f>
        <v>1.7923871065045617E-4</v>
      </c>
      <c r="V6" s="8" cm="1">
        <f t="array" ref="V6">INDEX('Summarized Modified Source Data'!$H$600:$H$743,MATCH(1,($A6=LoadFactorSeasons)*(V$1=LoadFactorHours),0),)</f>
        <v>1.6737160204394145E-4</v>
      </c>
      <c r="W6" s="8" cm="1">
        <f t="array" ref="W6">INDEX('Summarized Modified Source Data'!$H$600:$H$743,MATCH(1,($A6=LoadFactorSeasons)*(W$1=LoadFactorHours),0),)</f>
        <v>1.4629379882411903E-4</v>
      </c>
      <c r="X6" s="8" cm="1">
        <f t="array" ref="X6">INDEX('Summarized Modified Source Data'!$H$600:$H$743,MATCH(1,($A6=LoadFactorSeasons)*(X$1=LoadFactorHours),0),)</f>
        <v>1.2705093805420923E-4</v>
      </c>
      <c r="Y6" s="8" cm="1">
        <f t="array" ref="Y6">INDEX('Summarized Modified Source Data'!$H$600:$H$743,MATCH(1,($A6=LoadFactorSeasons)*(Y$1=LoadFactorHours),0),)</f>
        <v>9.6758423016898295E-5</v>
      </c>
    </row>
    <row r="7" spans="1:25" x14ac:dyDescent="0.25">
      <c r="A7" s="8" t="s">
        <v>81</v>
      </c>
      <c r="B7" s="8" cm="1">
        <f t="array" ref="B7">INDEX('Summarized Modified Source Data'!$H$600:$H$743,MATCH(1,($A7=LoadFactorSeasons)*(B$1=LoadFactorHours),0),)</f>
        <v>6.538899945423268E-4</v>
      </c>
      <c r="C7" s="8" cm="1">
        <f t="array" ref="C7">INDEX('Summarized Modified Source Data'!$H$600:$H$743,MATCH(1,($A7=LoadFactorSeasons)*(C$1=LoadFactorHours),0),)</f>
        <v>6.0693498659803143E-5</v>
      </c>
      <c r="D7" s="8" cm="1">
        <f t="array" ref="D7">INDEX('Summarized Modified Source Data'!$H$600:$H$743,MATCH(1,($A7=LoadFactorSeasons)*(D$1=LoadFactorHours),0),)</f>
        <v>5.0585971477508326E-5</v>
      </c>
      <c r="E7" s="8" cm="1">
        <f t="array" ref="E7">INDEX('Summarized Modified Source Data'!$H$600:$H$743,MATCH(1,($A7=LoadFactorSeasons)*(E$1=LoadFactorHours),0),)</f>
        <v>4.6889047224295185E-5</v>
      </c>
      <c r="F7" s="8" cm="1">
        <f t="array" ref="F7">INDEX('Summarized Modified Source Data'!$H$600:$H$743,MATCH(1,($A7=LoadFactorSeasons)*(F$1=LoadFactorHours),0),)</f>
        <v>4.8335108738948832E-5</v>
      </c>
      <c r="G7" s="8" cm="1">
        <f t="array" ref="G7">INDEX('Summarized Modified Source Data'!$H$600:$H$743,MATCH(1,($A7=LoadFactorSeasons)*(G$1=LoadFactorHours),0),)</f>
        <v>8.3294234141357093E-5</v>
      </c>
      <c r="H7" s="8" cm="1">
        <f t="array" ref="H7">INDEX('Summarized Modified Source Data'!$H$600:$H$743,MATCH(1,($A7=LoadFactorSeasons)*(H$1=LoadFactorHours),0),)</f>
        <v>1.6330402111663011E-4</v>
      </c>
      <c r="I7" s="8" cm="1">
        <f t="array" ref="I7">INDEX('Summarized Modified Source Data'!$H$600:$H$743,MATCH(1,($A7=LoadFactorSeasons)*(I$1=LoadFactorHours),0),)</f>
        <v>2.2501134353586954E-4</v>
      </c>
      <c r="J7" s="8" cm="1">
        <f t="array" ref="J7">INDEX('Summarized Modified Source Data'!$H$600:$H$743,MATCH(1,($A7=LoadFactorSeasons)*(J$1=LoadFactorHours),0),)</f>
        <v>2.6170516204588158E-4</v>
      </c>
      <c r="K7" s="8" cm="1">
        <f t="array" ref="K7">INDEX('Summarized Modified Source Data'!$H$600:$H$743,MATCH(1,($A7=LoadFactorSeasons)*(K$1=LoadFactorHours),0),)</f>
        <v>3.5702093685417111E-4</v>
      </c>
      <c r="L7" s="8" cm="1">
        <f t="array" ref="L7">INDEX('Summarized Modified Source Data'!$H$600:$H$743,MATCH(1,($A7=LoadFactorSeasons)*(L$1=LoadFactorHours),0),)</f>
        <v>3.674891433360064E-4</v>
      </c>
      <c r="M7" s="8" cm="1">
        <f t="array" ref="M7">INDEX('Summarized Modified Source Data'!$H$600:$H$743,MATCH(1,($A7=LoadFactorSeasons)*(M$1=LoadFactorHours),0),)</f>
        <v>3.3883931506993093E-4</v>
      </c>
      <c r="N7" s="8" cm="1">
        <f t="array" ref="N7">INDEX('Summarized Modified Source Data'!$H$600:$H$743,MATCH(1,($A7=LoadFactorSeasons)*(N$1=LoadFactorHours),0),)</f>
        <v>3.030270297373366E-4</v>
      </c>
      <c r="O7" s="8" cm="1">
        <f t="array" ref="O7">INDEX('Summarized Modified Source Data'!$H$600:$H$743,MATCH(1,($A7=LoadFactorSeasons)*(O$1=LoadFactorHours),0),)</f>
        <v>2.600522873382234E-4</v>
      </c>
      <c r="P7" s="8" cm="1">
        <f t="array" ref="P7">INDEX('Summarized Modified Source Data'!$H$600:$H$743,MATCH(1,($A7=LoadFactorSeasons)*(P$1=LoadFactorHours),0),)</f>
        <v>2.3964457389770915E-4</v>
      </c>
      <c r="Q7" s="8" cm="1">
        <f t="array" ref="Q7">INDEX('Summarized Modified Source Data'!$H$600:$H$743,MATCH(1,($A7=LoadFactorSeasons)*(Q$1=LoadFactorHours),0),)</f>
        <v>2.0960419315924555E-4</v>
      </c>
      <c r="R7" s="8" cm="1">
        <f t="array" ref="R7">INDEX('Summarized Modified Source Data'!$H$600:$H$743,MATCH(1,($A7=LoadFactorSeasons)*(R$1=LoadFactorHours),0),)</f>
        <v>2.0972267672787287E-4</v>
      </c>
      <c r="S7" s="8" cm="1">
        <f t="array" ref="S7">INDEX('Summarized Modified Source Data'!$H$600:$H$743,MATCH(1,($A7=LoadFactorSeasons)*(S$1=LoadFactorHours),0),)</f>
        <v>2.4030445657682991E-4</v>
      </c>
      <c r="T7" s="8" cm="1">
        <f t="array" ref="T7">INDEX('Summarized Modified Source Data'!$H$600:$H$743,MATCH(1,($A7=LoadFactorSeasons)*(T$1=LoadFactorHours),0),)</f>
        <v>2.7437720147126113E-4</v>
      </c>
      <c r="U7" s="8" cm="1">
        <f t="array" ref="U7">INDEX('Summarized Modified Source Data'!$H$600:$H$743,MATCH(1,($A7=LoadFactorSeasons)*(U$1=LoadFactorHours),0),)</f>
        <v>2.5013503909227419E-4</v>
      </c>
      <c r="V7" s="8" cm="1">
        <f t="array" ref="V7">INDEX('Summarized Modified Source Data'!$H$600:$H$743,MATCH(1,($A7=LoadFactorSeasons)*(V$1=LoadFactorHours),0),)</f>
        <v>2.3315337128829972E-4</v>
      </c>
      <c r="W7" s="8" cm="1">
        <f t="array" ref="W7">INDEX('Summarized Modified Source Data'!$H$600:$H$743,MATCH(1,($A7=LoadFactorSeasons)*(W$1=LoadFactorHours),0),)</f>
        <v>2.0390518584930491E-4</v>
      </c>
      <c r="X7" s="8" cm="1">
        <f t="array" ref="X7">INDEX('Summarized Modified Source Data'!$H$600:$H$743,MATCH(1,($A7=LoadFactorSeasons)*(X$1=LoadFactorHours),0),)</f>
        <v>1.7708436812931806E-4</v>
      </c>
      <c r="Y7" s="8" cm="1">
        <f t="array" ref="Y7">INDEX('Summarized Modified Source Data'!$H$600:$H$743,MATCH(1,($A7=LoadFactorSeasons)*(Y$1=LoadFactorHours),0),)</f>
        <v>1.3486247710204903E-4</v>
      </c>
    </row>
    <row r="8" spans="1:25" x14ac:dyDescent="0.25">
      <c r="A8" s="8"/>
      <c r="B8" s="8"/>
      <c r="C8" s="8"/>
      <c r="D8" s="8"/>
      <c r="E8" s="8"/>
      <c r="F8" s="8"/>
      <c r="G8" s="8"/>
      <c r="H8" s="8"/>
      <c r="I8" s="8"/>
      <c r="J8" s="8"/>
      <c r="K8" s="8"/>
      <c r="L8" s="8"/>
      <c r="M8" s="8"/>
      <c r="N8" s="8"/>
      <c r="O8" s="8"/>
      <c r="P8" s="8"/>
      <c r="Q8" s="8"/>
      <c r="R8" s="8"/>
      <c r="S8" s="8"/>
      <c r="T8" s="8"/>
      <c r="U8" s="8"/>
      <c r="V8" s="8"/>
      <c r="W8" s="8"/>
      <c r="X8" s="8"/>
      <c r="Y8" s="8"/>
    </row>
    <row r="9" spans="1:25" x14ac:dyDescent="0.25">
      <c r="A9" s="8"/>
      <c r="B9" s="8"/>
      <c r="C9" s="8"/>
      <c r="D9" s="8"/>
      <c r="E9" s="8"/>
      <c r="F9" s="8"/>
      <c r="G9" s="8"/>
      <c r="H9" s="8"/>
      <c r="I9" s="8"/>
      <c r="J9" s="8"/>
      <c r="K9" s="8"/>
      <c r="L9" s="8"/>
      <c r="M9" s="8"/>
      <c r="N9" s="8"/>
      <c r="O9" s="8"/>
      <c r="P9" s="8"/>
      <c r="Q9" s="8"/>
      <c r="R9" s="8"/>
      <c r="S9" s="8"/>
      <c r="T9" s="8"/>
      <c r="U9" s="8"/>
      <c r="V9" s="8"/>
      <c r="W9" s="8"/>
      <c r="X9" s="8"/>
      <c r="Y9" s="8"/>
    </row>
    <row r="10" spans="1:25" x14ac:dyDescent="0.25">
      <c r="A10" s="8"/>
      <c r="B10" s="8"/>
      <c r="C10" s="8"/>
      <c r="D10" s="8"/>
      <c r="E10" s="8"/>
      <c r="F10" s="8"/>
      <c r="G10" s="8"/>
      <c r="H10" s="8"/>
      <c r="I10" s="8"/>
      <c r="J10" s="8"/>
      <c r="K10" s="8"/>
      <c r="L10" s="8"/>
      <c r="M10" s="8"/>
      <c r="N10" s="8"/>
      <c r="O10" s="8"/>
      <c r="P10" s="8"/>
      <c r="Q10" s="8"/>
      <c r="R10" s="8"/>
      <c r="S10" s="8"/>
      <c r="T10" s="8"/>
      <c r="U10" s="8"/>
      <c r="V10" s="8"/>
      <c r="W10" s="8"/>
      <c r="X10" s="8"/>
      <c r="Y10" s="8"/>
    </row>
    <row r="11" spans="1:25" x14ac:dyDescent="0.25">
      <c r="A11" s="8" t="s">
        <v>25</v>
      </c>
      <c r="B11" s="8" t="s">
        <v>34</v>
      </c>
      <c r="C11" s="8" t="s">
        <v>0</v>
      </c>
      <c r="D11" s="8" t="s">
        <v>1</v>
      </c>
      <c r="E11" s="8" t="s">
        <v>2</v>
      </c>
      <c r="F11" s="8" t="s">
        <v>3</v>
      </c>
      <c r="G11" s="8" t="s">
        <v>4</v>
      </c>
      <c r="H11" s="8" t="s">
        <v>5</v>
      </c>
      <c r="I11" s="8" t="s">
        <v>6</v>
      </c>
      <c r="J11" s="8" t="s">
        <v>7</v>
      </c>
      <c r="K11" s="8" t="s">
        <v>8</v>
      </c>
      <c r="L11" s="8" t="s">
        <v>9</v>
      </c>
      <c r="M11" s="8" t="s">
        <v>10</v>
      </c>
      <c r="N11" s="8" t="s">
        <v>11</v>
      </c>
      <c r="O11" s="8" t="s">
        <v>12</v>
      </c>
      <c r="P11" s="8" t="s">
        <v>13</v>
      </c>
      <c r="Q11" s="8" t="s">
        <v>14</v>
      </c>
      <c r="R11" s="8" t="s">
        <v>15</v>
      </c>
      <c r="S11" s="8" t="s">
        <v>16</v>
      </c>
      <c r="T11" s="8" t="s">
        <v>17</v>
      </c>
      <c r="U11" s="8" t="s">
        <v>18</v>
      </c>
      <c r="V11" s="8" t="s">
        <v>19</v>
      </c>
      <c r="W11" s="8" t="s">
        <v>20</v>
      </c>
      <c r="X11" s="8" t="s">
        <v>21</v>
      </c>
      <c r="Y11" s="8" t="s">
        <v>22</v>
      </c>
    </row>
    <row r="12" spans="1:25" x14ac:dyDescent="0.25">
      <c r="A12" s="8" t="s">
        <v>37</v>
      </c>
      <c r="B12" s="8">
        <v>5.8446398111879579E-5</v>
      </c>
      <c r="C12" s="8">
        <v>4.3441745954311673E-5</v>
      </c>
      <c r="D12" s="8">
        <v>3.4610451553917016E-5</v>
      </c>
      <c r="E12" s="8">
        <v>2.9571210574874993E-5</v>
      </c>
      <c r="F12" s="8">
        <v>3.0944612562363986E-5</v>
      </c>
      <c r="G12" s="8">
        <v>4.0566388139795055E-5</v>
      </c>
      <c r="H12" s="8">
        <v>6.3387141456897839E-5</v>
      </c>
      <c r="I12" s="8">
        <v>8.3389772755303198E-5</v>
      </c>
      <c r="J12" s="8">
        <v>8.974460246037148E-5</v>
      </c>
      <c r="K12" s="8">
        <v>9.7930343836327621E-5</v>
      </c>
      <c r="L12" s="8">
        <v>1.0607900974080916E-4</v>
      </c>
      <c r="M12" s="8">
        <v>1.1118094462002348E-4</v>
      </c>
      <c r="N12" s="8">
        <v>1.0431804208407838E-4</v>
      </c>
      <c r="O12" s="8">
        <v>9.7890322287886455E-5</v>
      </c>
      <c r="P12" s="8">
        <v>1.0160364270945708E-4</v>
      </c>
      <c r="Q12" s="8">
        <v>1.101549295140366E-4</v>
      </c>
      <c r="R12" s="8">
        <v>1.2718349887932826E-4</v>
      </c>
      <c r="S12" s="8">
        <v>1.3564664562710441E-4</v>
      </c>
      <c r="T12" s="8">
        <v>1.3218263174191971E-4</v>
      </c>
      <c r="U12" s="8">
        <v>1.2477959130795168E-4</v>
      </c>
      <c r="V12" s="8">
        <v>1.201481257405613E-4</v>
      </c>
      <c r="W12" s="8">
        <v>1.1589689538087429E-4</v>
      </c>
      <c r="X12" s="8">
        <v>9.3229241994550102E-5</v>
      </c>
      <c r="Y12" s="8">
        <v>7.4135442264570026E-5</v>
      </c>
    </row>
    <row r="13" spans="1:25" x14ac:dyDescent="0.25">
      <c r="A13" s="8" t="s">
        <v>38</v>
      </c>
      <c r="B13" s="8">
        <v>7.4682033517330608E-5</v>
      </c>
      <c r="C13" s="8">
        <v>5.5456705277784185E-5</v>
      </c>
      <c r="D13" s="8">
        <v>4.4019863205615229E-5</v>
      </c>
      <c r="E13" s="8">
        <v>3.7449451360420427E-5</v>
      </c>
      <c r="F13" s="8">
        <v>3.9118038359958209E-5</v>
      </c>
      <c r="G13" s="8">
        <v>5.1030922671306509E-5</v>
      </c>
      <c r="H13" s="8">
        <v>7.9145004532615618E-5</v>
      </c>
      <c r="I13" s="8">
        <v>1.0394532249413659E-4</v>
      </c>
      <c r="J13" s="8">
        <v>1.1343573324713441E-4</v>
      </c>
      <c r="K13" s="8">
        <v>1.2373583525928145E-4</v>
      </c>
      <c r="L13" s="8">
        <v>1.3474447467930333E-4</v>
      </c>
      <c r="M13" s="8">
        <v>1.4137722337952469E-4</v>
      </c>
      <c r="N13" s="8">
        <v>1.3264090270242494E-4</v>
      </c>
      <c r="O13" s="8">
        <v>1.2468222531606901E-4</v>
      </c>
      <c r="P13" s="8">
        <v>1.2956335362357676E-4</v>
      </c>
      <c r="Q13" s="8">
        <v>1.4130173724729854E-4</v>
      </c>
      <c r="R13" s="8">
        <v>1.6235118258695603E-4</v>
      </c>
      <c r="S13" s="8">
        <v>1.7303216333098569E-4</v>
      </c>
      <c r="T13" s="8">
        <v>1.684411965216629E-4</v>
      </c>
      <c r="U13" s="8">
        <v>1.5876276821096382E-4</v>
      </c>
      <c r="V13" s="8">
        <v>1.527376883969443E-4</v>
      </c>
      <c r="W13" s="8">
        <v>1.4758909176047414E-4</v>
      </c>
      <c r="X13" s="8">
        <v>1.184638594887697E-4</v>
      </c>
      <c r="Y13" s="8">
        <v>9.4386681229653566E-5</v>
      </c>
    </row>
    <row r="14" spans="1:25" x14ac:dyDescent="0.25">
      <c r="A14" s="8" t="s">
        <v>39</v>
      </c>
      <c r="B14" s="8">
        <v>7.5085462979013908E-5</v>
      </c>
      <c r="C14" s="8">
        <v>5.5757720119006453E-5</v>
      </c>
      <c r="D14" s="8">
        <v>4.4309156319160224E-5</v>
      </c>
      <c r="E14" s="8">
        <v>3.7877666183024418E-5</v>
      </c>
      <c r="F14" s="8">
        <v>3.9585116832228355E-5</v>
      </c>
      <c r="G14" s="8">
        <v>5.0949398189411473E-5</v>
      </c>
      <c r="H14" s="8">
        <v>7.8025068492934237E-5</v>
      </c>
      <c r="I14" s="8">
        <v>1.0229790014458226E-4</v>
      </c>
      <c r="J14" s="8">
        <v>1.1210522801843573E-4</v>
      </c>
      <c r="K14" s="8">
        <v>1.2223134929192185E-4</v>
      </c>
      <c r="L14" s="8">
        <v>1.3344118236692564E-4</v>
      </c>
      <c r="M14" s="8">
        <v>1.409691709472379E-4</v>
      </c>
      <c r="N14" s="8">
        <v>1.3257576641692521E-4</v>
      </c>
      <c r="O14" s="8">
        <v>1.2503128776898554E-4</v>
      </c>
      <c r="P14" s="8">
        <v>1.3042498320919835E-4</v>
      </c>
      <c r="Q14" s="8">
        <v>1.4223974614145779E-4</v>
      </c>
      <c r="R14" s="8">
        <v>1.6339372218343064E-4</v>
      </c>
      <c r="S14" s="8">
        <v>1.72994050643588E-4</v>
      </c>
      <c r="T14" s="8">
        <v>1.6822320876300911E-4</v>
      </c>
      <c r="U14" s="8">
        <v>1.5861331184453605E-4</v>
      </c>
      <c r="V14" s="8">
        <v>1.5254942923313504E-4</v>
      </c>
      <c r="W14" s="8">
        <v>1.47188252352329E-4</v>
      </c>
      <c r="X14" s="8">
        <v>1.1830582565475089E-4</v>
      </c>
      <c r="Y14" s="8">
        <v>9.443718231531377E-5</v>
      </c>
    </row>
    <row r="15" spans="1:25" x14ac:dyDescent="0.25">
      <c r="A15" s="8" t="s">
        <v>40</v>
      </c>
      <c r="B15" s="8">
        <v>1.1233797995643145E-4</v>
      </c>
      <c r="C15" s="8">
        <v>8.3388685509713076E-5</v>
      </c>
      <c r="D15" s="8">
        <v>6.6149442210284022E-5</v>
      </c>
      <c r="E15" s="8">
        <v>5.6279313840199096E-5</v>
      </c>
      <c r="F15" s="8">
        <v>5.8774170049479147E-5</v>
      </c>
      <c r="G15" s="8">
        <v>7.6524146418877824E-5</v>
      </c>
      <c r="H15" s="8">
        <v>1.1860482706494002E-4</v>
      </c>
      <c r="I15" s="8">
        <v>1.5561575400277781E-4</v>
      </c>
      <c r="J15" s="8">
        <v>1.6991419254013164E-4</v>
      </c>
      <c r="K15" s="8">
        <v>1.8554213554658025E-4</v>
      </c>
      <c r="L15" s="8">
        <v>2.022618453607522E-4</v>
      </c>
      <c r="M15" s="8">
        <v>2.127500324371028E-4</v>
      </c>
      <c r="N15" s="8">
        <v>1.9995886063917031E-4</v>
      </c>
      <c r="O15" s="8">
        <v>1.8775384102833094E-4</v>
      </c>
      <c r="P15" s="8">
        <v>1.952636313948475E-4</v>
      </c>
      <c r="Q15" s="8">
        <v>2.1291799595997876E-4</v>
      </c>
      <c r="R15" s="8">
        <v>2.4519855453681709E-4</v>
      </c>
      <c r="S15" s="8">
        <v>2.6090446670733739E-4</v>
      </c>
      <c r="T15" s="8">
        <v>2.5383948991537564E-4</v>
      </c>
      <c r="U15" s="8">
        <v>2.3863108469822253E-4</v>
      </c>
      <c r="V15" s="8">
        <v>2.300359852408475E-4</v>
      </c>
      <c r="W15" s="8">
        <v>2.2237194252764088E-4</v>
      </c>
      <c r="X15" s="8">
        <v>1.7804181386945145E-4</v>
      </c>
      <c r="Y15" s="8">
        <v>1.4185418430716034E-4</v>
      </c>
    </row>
    <row r="16" spans="1:25" x14ac:dyDescent="0.25">
      <c r="A16" t="s">
        <v>80</v>
      </c>
      <c r="B16">
        <v>8.8282645463598741E-5</v>
      </c>
      <c r="C16">
        <v>6.8692381903439969E-5</v>
      </c>
      <c r="D16">
        <v>5.373706614134177E-5</v>
      </c>
      <c r="E16">
        <v>4.4491164262993674E-5</v>
      </c>
      <c r="F16">
        <v>4.5707279817746794E-5</v>
      </c>
      <c r="G16">
        <v>5.2574918111375562E-5</v>
      </c>
      <c r="H16">
        <v>7.8602803193720888E-5</v>
      </c>
      <c r="I16">
        <v>1.0841978467455369E-4</v>
      </c>
      <c r="J16">
        <v>1.3541724266349757E-4</v>
      </c>
      <c r="K16">
        <v>1.6979629531389619E-4</v>
      </c>
      <c r="L16">
        <v>2.1063967534550593E-4</v>
      </c>
      <c r="M16">
        <v>2.3622385310940636E-4</v>
      </c>
      <c r="N16">
        <v>2.1471872884611551E-4</v>
      </c>
      <c r="O16">
        <v>1.8965700073863832E-4</v>
      </c>
      <c r="P16">
        <v>1.9962655731002252E-4</v>
      </c>
      <c r="Q16">
        <v>2.0770707145038276E-4</v>
      </c>
      <c r="R16">
        <v>2.2181606299065602E-4</v>
      </c>
      <c r="S16">
        <v>2.2159948058170963E-4</v>
      </c>
      <c r="T16">
        <v>2.1486678594806439E-4</v>
      </c>
      <c r="U16">
        <v>1.9853040403352735E-4</v>
      </c>
      <c r="V16">
        <v>1.8559457647708495E-4</v>
      </c>
      <c r="W16">
        <v>1.7118830169291204E-4</v>
      </c>
      <c r="X16">
        <v>1.4350924999739938E-4</v>
      </c>
      <c r="Y16">
        <v>1.1450278256621809E-4</v>
      </c>
    </row>
    <row r="17" spans="1:25" x14ac:dyDescent="0.25">
      <c r="A17" t="s">
        <v>81</v>
      </c>
      <c r="B17">
        <v>6.9606633397044216E-5</v>
      </c>
      <c r="C17">
        <v>5.3981267186070025E-5</v>
      </c>
      <c r="D17">
        <v>4.2303420778669603E-5</v>
      </c>
      <c r="E17">
        <v>3.5068077438885393E-5</v>
      </c>
      <c r="F17">
        <v>3.5822329558407396E-5</v>
      </c>
      <c r="G17">
        <v>4.1435147791366539E-5</v>
      </c>
      <c r="H17">
        <v>6.4338838462465886E-5</v>
      </c>
      <c r="I17">
        <v>8.6803484838547323E-5</v>
      </c>
      <c r="J17">
        <v>1.0898191613961029E-4</v>
      </c>
      <c r="K17">
        <v>1.3793268575636614E-4</v>
      </c>
      <c r="L17">
        <v>1.6911385914125315E-4</v>
      </c>
      <c r="M17">
        <v>1.8739524445356389E-4</v>
      </c>
      <c r="N17">
        <v>1.7081474445249041E-4</v>
      </c>
      <c r="O17">
        <v>1.5007195995674056E-4</v>
      </c>
      <c r="P17">
        <v>1.5641674647679025E-4</v>
      </c>
      <c r="Q17">
        <v>1.6227784253826315E-4</v>
      </c>
      <c r="R17">
        <v>1.7367935781199611E-4</v>
      </c>
      <c r="S17">
        <v>1.7487795972237437E-4</v>
      </c>
      <c r="T17">
        <v>1.6995266125064982E-4</v>
      </c>
      <c r="U17">
        <v>1.5680466973584331E-4</v>
      </c>
      <c r="V17">
        <v>1.4724882813848124E-4</v>
      </c>
      <c r="W17">
        <v>1.3587871476219366E-4</v>
      </c>
      <c r="X17">
        <v>1.1375394318604663E-4</v>
      </c>
      <c r="Y17">
        <v>9.0651007705467473E-5</v>
      </c>
    </row>
    <row r="19" spans="1:25" x14ac:dyDescent="0.25">
      <c r="N19" s="8"/>
    </row>
    <row r="21" spans="1:25" x14ac:dyDescent="0.25">
      <c r="A21" s="8" t="s">
        <v>472</v>
      </c>
    </row>
    <row r="22" spans="1:25" x14ac:dyDescent="0.25">
      <c r="A22" s="8" t="s">
        <v>37</v>
      </c>
      <c r="B22" s="49">
        <f>(B12-B2)/B2</f>
        <v>-0.8816638748199539</v>
      </c>
      <c r="C22" s="49">
        <f t="shared" ref="C22:X27" si="0">(C12-C2)/C2</f>
        <v>0.11745951070659766</v>
      </c>
      <c r="D22" s="49">
        <f t="shared" si="0"/>
        <v>1.762306541396693E-2</v>
      </c>
      <c r="E22" s="49">
        <f t="shared" si="0"/>
        <v>-9.0440227591264896E-2</v>
      </c>
      <c r="F22" s="49">
        <f t="shared" si="0"/>
        <v>-0.23839768686402685</v>
      </c>
      <c r="G22" s="49">
        <f t="shared" si="0"/>
        <v>-0.47580956963162568</v>
      </c>
      <c r="H22" s="49">
        <f t="shared" si="0"/>
        <v>-0.57216796379226187</v>
      </c>
      <c r="I22" s="49">
        <f t="shared" si="0"/>
        <v>-0.60270863664453933</v>
      </c>
      <c r="J22" s="49">
        <f t="shared" si="0"/>
        <v>-0.50382180559770862</v>
      </c>
      <c r="K22" s="49">
        <f t="shared" si="0"/>
        <v>-0.50271044831231582</v>
      </c>
      <c r="L22" s="49">
        <f t="shared" si="0"/>
        <v>-0.45124251752629729</v>
      </c>
      <c r="M22" s="49">
        <f t="shared" si="0"/>
        <v>-0.35675357022709786</v>
      </c>
      <c r="N22" s="49">
        <f t="shared" si="0"/>
        <v>-0.29741387074749315</v>
      </c>
      <c r="O22" s="49">
        <f t="shared" si="0"/>
        <v>-0.23941683090871962</v>
      </c>
      <c r="P22" s="49">
        <f t="shared" si="0"/>
        <v>-0.16664131214687924</v>
      </c>
      <c r="Q22" s="49">
        <f t="shared" si="0"/>
        <v>-3.2977773137277268E-2</v>
      </c>
      <c r="R22" s="49">
        <f t="shared" si="0"/>
        <v>1.51544227016114E-2</v>
      </c>
      <c r="S22" s="49">
        <f t="shared" si="0"/>
        <v>-0.10347179970984456</v>
      </c>
      <c r="T22" s="49">
        <f t="shared" si="0"/>
        <v>-0.28353307298646602</v>
      </c>
      <c r="U22" s="49">
        <f t="shared" si="0"/>
        <v>-0.29727755664059696</v>
      </c>
      <c r="V22" s="49">
        <f t="shared" si="0"/>
        <v>-0.25910934058319607</v>
      </c>
      <c r="W22" s="49">
        <f t="shared" si="0"/>
        <v>-0.21011761521929087</v>
      </c>
      <c r="X22" s="49">
        <f t="shared" si="0"/>
        <v>-0.27368563664819895</v>
      </c>
      <c r="Y22" s="49">
        <f>(Y12-Y2)/Y2</f>
        <v>-0.20338752509009561</v>
      </c>
    </row>
    <row r="23" spans="1:25" x14ac:dyDescent="0.25">
      <c r="A23" s="8" t="s">
        <v>38</v>
      </c>
      <c r="B23" s="49">
        <f t="shared" ref="B23:Q27" si="1">(B13-B3)/B3</f>
        <v>0.54831524979704127</v>
      </c>
      <c r="C23" s="49">
        <f t="shared" si="1"/>
        <v>0.71498634927566906</v>
      </c>
      <c r="D23" s="49">
        <f t="shared" si="1"/>
        <v>0.55600295240549891</v>
      </c>
      <c r="E23" s="49">
        <f t="shared" si="1"/>
        <v>0.38480826388145156</v>
      </c>
      <c r="F23" s="49">
        <f t="shared" si="1"/>
        <v>0.15745026655131059</v>
      </c>
      <c r="G23" s="49">
        <f t="shared" si="1"/>
        <v>-0.20729422214965246</v>
      </c>
      <c r="H23" s="49">
        <f t="shared" si="1"/>
        <v>-0.35720588795307739</v>
      </c>
      <c r="I23" s="49">
        <f t="shared" si="1"/>
        <v>-0.40386104684032348</v>
      </c>
      <c r="J23" s="49">
        <f t="shared" si="1"/>
        <v>-0.24812667343378295</v>
      </c>
      <c r="K23" s="49">
        <f t="shared" si="1"/>
        <v>-0.24576850912280149</v>
      </c>
      <c r="L23" s="49">
        <f t="shared" si="1"/>
        <v>-0.1618820351306397</v>
      </c>
      <c r="M23" s="49">
        <f t="shared" si="1"/>
        <v>-1.6859868215941189E-2</v>
      </c>
      <c r="N23" s="49">
        <f t="shared" si="1"/>
        <v>7.4597389290739391E-2</v>
      </c>
      <c r="O23" s="49">
        <f t="shared" si="1"/>
        <v>0.1635257933041184</v>
      </c>
      <c r="P23" s="49">
        <f t="shared" si="1"/>
        <v>0.27682562366264818</v>
      </c>
      <c r="Q23" s="49">
        <f t="shared" si="1"/>
        <v>0.49217448849382217</v>
      </c>
      <c r="R23" s="49">
        <f t="shared" si="0"/>
        <v>0.55935086467538186</v>
      </c>
      <c r="S23" s="49">
        <f t="shared" si="0"/>
        <v>0.37695056066632454</v>
      </c>
      <c r="T23" s="49">
        <f t="shared" si="0"/>
        <v>9.539506001733869E-2</v>
      </c>
      <c r="U23" s="49">
        <f t="shared" si="0"/>
        <v>7.4224784027440371E-2</v>
      </c>
      <c r="V23" s="49">
        <f t="shared" si="0"/>
        <v>0.13092802019843541</v>
      </c>
      <c r="W23" s="49">
        <f t="shared" si="0"/>
        <v>0.21008252117216591</v>
      </c>
      <c r="X23" s="49">
        <f t="shared" si="0"/>
        <v>0.10865705616590232</v>
      </c>
      <c r="Y23" s="49">
        <f t="shared" ref="Y23" si="2">(Y13-Y3)/Y3</f>
        <v>0.21930965082109019</v>
      </c>
    </row>
    <row r="24" spans="1:25" x14ac:dyDescent="0.25">
      <c r="A24" s="8" t="s">
        <v>39</v>
      </c>
      <c r="B24" s="49">
        <f t="shared" si="1"/>
        <v>0.80475986489608475</v>
      </c>
      <c r="C24" s="49">
        <f t="shared" si="0"/>
        <v>0.99908782489076164</v>
      </c>
      <c r="D24" s="49">
        <f t="shared" si="0"/>
        <v>0.81583142742040193</v>
      </c>
      <c r="E24" s="49">
        <f t="shared" si="0"/>
        <v>0.62385660513249586</v>
      </c>
      <c r="F24" s="49">
        <f t="shared" si="0"/>
        <v>0.35793045765427678</v>
      </c>
      <c r="G24" s="49">
        <f t="shared" si="0"/>
        <v>-8.2432647987781354E-2</v>
      </c>
      <c r="H24" s="49">
        <f t="shared" si="0"/>
        <v>-0.2665610029832467</v>
      </c>
      <c r="I24" s="49">
        <f t="shared" si="0"/>
        <v>-0.32106091133866049</v>
      </c>
      <c r="J24" s="49">
        <f t="shared" si="0"/>
        <v>-0.13575251876412744</v>
      </c>
      <c r="K24" s="49">
        <f t="shared" si="0"/>
        <v>-0.13473305337237027</v>
      </c>
      <c r="L24" s="49">
        <f t="shared" si="0"/>
        <v>-3.8611037656389992E-2</v>
      </c>
      <c r="M24" s="49">
        <f t="shared" si="0"/>
        <v>0.13812854028966123</v>
      </c>
      <c r="N24" s="49">
        <f t="shared" si="0"/>
        <v>0.24257747779827135</v>
      </c>
      <c r="O24" s="49">
        <f t="shared" si="0"/>
        <v>0.35294598577703101</v>
      </c>
      <c r="P24" s="49">
        <f t="shared" si="0"/>
        <v>0.48968043160305968</v>
      </c>
      <c r="Q24" s="49">
        <f t="shared" si="0"/>
        <v>0.74145946328406143</v>
      </c>
      <c r="R24" s="49">
        <f t="shared" si="0"/>
        <v>0.81946631599563746</v>
      </c>
      <c r="S24" s="49">
        <f t="shared" si="0"/>
        <v>0.59258261316524763</v>
      </c>
      <c r="T24" s="49">
        <f t="shared" si="0"/>
        <v>0.27296379724889364</v>
      </c>
      <c r="U24" s="49">
        <f t="shared" si="0"/>
        <v>0.24312555236511485</v>
      </c>
      <c r="V24" s="49">
        <f t="shared" si="0"/>
        <v>0.3105693279961792</v>
      </c>
      <c r="W24" s="49">
        <f t="shared" si="0"/>
        <v>0.39582004680004096</v>
      </c>
      <c r="X24" s="49">
        <f t="shared" si="0"/>
        <v>0.28316062056980962</v>
      </c>
      <c r="Y24" s="49">
        <f t="shared" ref="Y24" si="3">(Y14-Y4)/Y4</f>
        <v>0.41438158347471338</v>
      </c>
    </row>
    <row r="25" spans="1:25" x14ac:dyDescent="0.25">
      <c r="A25" s="8" t="s">
        <v>40</v>
      </c>
      <c r="B25" s="49">
        <f t="shared" si="1"/>
        <v>1.5366397585956229</v>
      </c>
      <c r="C25" s="49">
        <f t="shared" si="0"/>
        <v>1.8086825060370237</v>
      </c>
      <c r="D25" s="49">
        <f t="shared" si="0"/>
        <v>1.5466945006076027</v>
      </c>
      <c r="E25" s="49">
        <f t="shared" si="0"/>
        <v>1.2666368321529222</v>
      </c>
      <c r="F25" s="49">
        <f t="shared" si="0"/>
        <v>0.89409058075112435</v>
      </c>
      <c r="G25" s="49">
        <f t="shared" si="0"/>
        <v>0.29469071312593031</v>
      </c>
      <c r="H25" s="49">
        <f t="shared" si="0"/>
        <v>5.013119910726524E-2</v>
      </c>
      <c r="I25" s="49">
        <f t="shared" si="0"/>
        <v>-2.8521054776340132E-2</v>
      </c>
      <c r="J25" s="49">
        <f t="shared" si="0"/>
        <v>0.22821584226742606</v>
      </c>
      <c r="K25" s="49">
        <f t="shared" si="0"/>
        <v>0.23537488008751342</v>
      </c>
      <c r="L25" s="49">
        <f t="shared" si="0"/>
        <v>0.36928402094072743</v>
      </c>
      <c r="M25" s="49">
        <f t="shared" si="0"/>
        <v>0.60928898315177626</v>
      </c>
      <c r="N25" s="49">
        <f t="shared" si="0"/>
        <v>0.7647381767711694</v>
      </c>
      <c r="O25" s="49">
        <f t="shared" si="0"/>
        <v>0.90861896699011013</v>
      </c>
      <c r="P25" s="49">
        <f t="shared" si="0"/>
        <v>1.0951848333018614</v>
      </c>
      <c r="Q25" s="49">
        <f t="shared" si="0"/>
        <v>1.4489132664564355</v>
      </c>
      <c r="R25" s="49">
        <f t="shared" si="0"/>
        <v>1.5650464037292653</v>
      </c>
      <c r="S25" s="49">
        <f t="shared" si="0"/>
        <v>1.2591819805673681</v>
      </c>
      <c r="T25" s="49">
        <f t="shared" si="0"/>
        <v>0.80036973211959617</v>
      </c>
      <c r="U25" s="49">
        <f t="shared" si="0"/>
        <v>0.75921348605624173</v>
      </c>
      <c r="V25" s="49">
        <f t="shared" si="0"/>
        <v>0.85534124241432774</v>
      </c>
      <c r="W25" s="49">
        <f t="shared" si="0"/>
        <v>0.98544141199364677</v>
      </c>
      <c r="X25" s="49">
        <f t="shared" si="0"/>
        <v>0.81589572303480562</v>
      </c>
      <c r="Y25" s="49">
        <f t="shared" ref="Y25" si="4">(Y15-Y5)/Y5</f>
        <v>0.99587972582783735</v>
      </c>
    </row>
    <row r="26" spans="1:25" x14ac:dyDescent="0.25">
      <c r="A26" s="8" t="s">
        <v>80</v>
      </c>
      <c r="B26" s="49">
        <f t="shared" si="1"/>
        <v>0.30999918993771758</v>
      </c>
      <c r="C26" s="49">
        <f t="shared" si="0"/>
        <v>0.57749764135835502</v>
      </c>
      <c r="D26" s="49">
        <f t="shared" si="0"/>
        <v>0.48062890855141877</v>
      </c>
      <c r="E26" s="49">
        <f t="shared" si="0"/>
        <v>0.32252763164776194</v>
      </c>
      <c r="F26" s="49">
        <f t="shared" si="0"/>
        <v>0.31802943055765098</v>
      </c>
      <c r="G26" s="49">
        <f t="shared" si="0"/>
        <v>-0.12030543265997047</v>
      </c>
      <c r="H26" s="49">
        <f t="shared" si="0"/>
        <v>-0.32979790367859485</v>
      </c>
      <c r="I26" s="49">
        <f t="shared" si="0"/>
        <v>-0.32888007104942996</v>
      </c>
      <c r="J26" s="49">
        <f t="shared" si="0"/>
        <v>-0.28008877625255951</v>
      </c>
      <c r="K26" s="49">
        <f t="shared" si="0"/>
        <v>-0.33816779515235412</v>
      </c>
      <c r="L26" s="49">
        <f t="shared" si="0"/>
        <v>-0.20133985188063758</v>
      </c>
      <c r="M26" s="49">
        <f t="shared" si="0"/>
        <v>-2.4602248447993847E-2</v>
      </c>
      <c r="N26" s="49">
        <f t="shared" si="0"/>
        <v>-1.3913073868005808E-2</v>
      </c>
      <c r="O26" s="49">
        <f t="shared" si="0"/>
        <v>1.5099714281861971E-2</v>
      </c>
      <c r="P26" s="49">
        <f t="shared" si="0"/>
        <v>0.15918845884752991</v>
      </c>
      <c r="Q26" s="49">
        <f t="shared" si="0"/>
        <v>0.38274995591356509</v>
      </c>
      <c r="R26" s="49">
        <f t="shared" si="0"/>
        <v>0.47553672430619831</v>
      </c>
      <c r="S26" s="49">
        <f t="shared" si="0"/>
        <v>0.28421502450776903</v>
      </c>
      <c r="T26" s="49">
        <f t="shared" si="0"/>
        <v>9.2743199485628508E-2</v>
      </c>
      <c r="U26" s="49">
        <f t="shared" si="0"/>
        <v>0.10763128853729052</v>
      </c>
      <c r="V26" s="49">
        <f t="shared" si="0"/>
        <v>0.10887733767619234</v>
      </c>
      <c r="W26" s="49">
        <f t="shared" si="0"/>
        <v>0.17016786130984476</v>
      </c>
      <c r="X26" s="49">
        <f t="shared" si="0"/>
        <v>0.129541050190183</v>
      </c>
      <c r="Y26" s="49">
        <f t="shared" ref="Y26" si="5">(Y16-Y6)/Y6</f>
        <v>0.18338826735757</v>
      </c>
    </row>
    <row r="27" spans="1:25" x14ac:dyDescent="0.25">
      <c r="A27" s="8" t="s">
        <v>81</v>
      </c>
      <c r="B27" s="49">
        <f t="shared" si="1"/>
        <v>-0.89354993350867296</v>
      </c>
      <c r="C27" s="49">
        <f t="shared" si="0"/>
        <v>-0.11059226477215062</v>
      </c>
      <c r="D27" s="49">
        <f t="shared" si="0"/>
        <v>-0.16373216638769769</v>
      </c>
      <c r="E27" s="49">
        <f t="shared" si="0"/>
        <v>-0.25210513937004997</v>
      </c>
      <c r="F27" s="49">
        <f t="shared" si="0"/>
        <v>-0.25887557733905614</v>
      </c>
      <c r="G27" s="49">
        <f t="shared" si="0"/>
        <v>-0.50254482535912726</v>
      </c>
      <c r="H27" s="49">
        <f t="shared" si="0"/>
        <v>-0.60601803909950436</v>
      </c>
      <c r="I27" s="49">
        <f t="shared" si="0"/>
        <v>-0.61422618311369814</v>
      </c>
      <c r="J27" s="49">
        <f t="shared" si="0"/>
        <v>-0.58356986431737323</v>
      </c>
      <c r="K27" s="49">
        <f t="shared" si="0"/>
        <v>-0.61365659120236371</v>
      </c>
      <c r="L27" s="49">
        <f t="shared" si="0"/>
        <v>-0.53981263880052299</v>
      </c>
      <c r="M27" s="49">
        <f t="shared" si="0"/>
        <v>-0.44694952409849914</v>
      </c>
      <c r="N27" s="49">
        <f t="shared" si="0"/>
        <v>-0.43630525435122935</v>
      </c>
      <c r="O27" s="49">
        <f t="shared" si="0"/>
        <v>-0.42291620853325812</v>
      </c>
      <c r="P27" s="49">
        <f t="shared" si="0"/>
        <v>-0.3472969409123538</v>
      </c>
      <c r="Q27" s="49">
        <f t="shared" si="0"/>
        <v>-0.22578914051126109</v>
      </c>
      <c r="R27" s="49">
        <f t="shared" si="0"/>
        <v>-0.1718618104547894</v>
      </c>
      <c r="S27" s="49">
        <f t="shared" si="0"/>
        <v>-0.27226501658131941</v>
      </c>
      <c r="T27" s="49">
        <f t="shared" si="0"/>
        <v>-0.38058752571521132</v>
      </c>
      <c r="U27" s="49">
        <f t="shared" si="0"/>
        <v>-0.37311993431676538</v>
      </c>
      <c r="V27" s="49">
        <f t="shared" si="0"/>
        <v>-0.36844649800750878</v>
      </c>
      <c r="W27" s="49">
        <f t="shared" si="0"/>
        <v>-0.33361815102331854</v>
      </c>
      <c r="X27" s="49">
        <f t="shared" si="0"/>
        <v>-0.35762854515212544</v>
      </c>
      <c r="Y27" s="49">
        <f t="shared" ref="Y27" si="6">(Y17-Y7)/Y7</f>
        <v>-0.32782631868111989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458CA-F1E1-4160-AA64-2AF735802A3B}">
  <sheetPr codeName="Sheet14">
    <tabColor rgb="FF002060"/>
  </sheetPr>
  <dimension ref="A1:Y27"/>
  <sheetViews>
    <sheetView workbookViewId="0">
      <selection activeCell="B2" sqref="B2"/>
    </sheetView>
  </sheetViews>
  <sheetFormatPr defaultRowHeight="15" x14ac:dyDescent="0.25"/>
  <cols>
    <col min="1" max="1" width="28.42578125" customWidth="1"/>
    <col min="2" max="2" width="10.5703125" bestFit="1" customWidth="1"/>
    <col min="3" max="3" width="10.42578125" bestFit="1" customWidth="1"/>
    <col min="4" max="25" width="10.5703125" bestFit="1" customWidth="1"/>
  </cols>
  <sheetData>
    <row r="1" spans="1:25" x14ac:dyDescent="0.25">
      <c r="A1" s="6" t="s">
        <v>25</v>
      </c>
      <c r="B1" s="7" t="s">
        <v>34</v>
      </c>
      <c r="C1" s="7" t="s">
        <v>0</v>
      </c>
      <c r="D1" s="7" t="s">
        <v>1</v>
      </c>
      <c r="E1" s="7" t="s">
        <v>2</v>
      </c>
      <c r="F1" s="7" t="s">
        <v>3</v>
      </c>
      <c r="G1" s="7" t="s">
        <v>4</v>
      </c>
      <c r="H1" s="7" t="s">
        <v>5</v>
      </c>
      <c r="I1" s="7" t="s">
        <v>6</v>
      </c>
      <c r="J1" s="7" t="s">
        <v>7</v>
      </c>
      <c r="K1" s="7" t="s">
        <v>8</v>
      </c>
      <c r="L1" s="7" t="s">
        <v>9</v>
      </c>
      <c r="M1" s="7" t="s">
        <v>10</v>
      </c>
      <c r="N1" s="7" t="s">
        <v>11</v>
      </c>
      <c r="O1" s="7" t="s">
        <v>12</v>
      </c>
      <c r="P1" s="7" t="s">
        <v>13</v>
      </c>
      <c r="Q1" s="7" t="s">
        <v>14</v>
      </c>
      <c r="R1" s="7" t="s">
        <v>15</v>
      </c>
      <c r="S1" s="7" t="s">
        <v>16</v>
      </c>
      <c r="T1" s="7" t="s">
        <v>17</v>
      </c>
      <c r="U1" s="7" t="s">
        <v>18</v>
      </c>
      <c r="V1" s="7" t="s">
        <v>19</v>
      </c>
      <c r="W1" s="7" t="s">
        <v>20</v>
      </c>
      <c r="X1" s="7" t="s">
        <v>21</v>
      </c>
      <c r="Y1" s="7" t="s">
        <v>22</v>
      </c>
    </row>
    <row r="2" spans="1:25" x14ac:dyDescent="0.25">
      <c r="A2" s="8" t="s">
        <v>37</v>
      </c>
      <c r="B2" s="8" cm="1">
        <f t="array" ref="B2">INDEX('Summarized Modified Source Data'!$I$600:$I$743,MATCH(1,($A2=LoadFactorSeasons)*(B$1=LoadFactorHours),0),)</f>
        <v>4.9390157082593799E-4</v>
      </c>
      <c r="C2" s="8" cm="1">
        <f t="array" ref="C2">INDEX('Summarized Modified Source Data'!$I$600:$I$743,MATCH(1,($A2=LoadFactorSeasons)*(C$1=LoadFactorHours),0),)</f>
        <v>3.8875454133315639E-5</v>
      </c>
      <c r="D2" s="8" cm="1">
        <f t="array" ref="D2">INDEX('Summarized Modified Source Data'!$I$600:$I$743,MATCH(1,($A2=LoadFactorSeasons)*(D$1=LoadFactorHours),0),)</f>
        <v>3.4011072203672542E-5</v>
      </c>
      <c r="E2" s="8" cm="1">
        <f t="array" ref="E2">INDEX('Summarized Modified Source Data'!$I$600:$I$743,MATCH(1,($A2=LoadFactorSeasons)*(E$1=LoadFactorHours),0),)</f>
        <v>3.2511563804721979E-5</v>
      </c>
      <c r="F2" s="8" cm="1">
        <f t="array" ref="F2">INDEX('Summarized Modified Source Data'!$I$600:$I$743,MATCH(1,($A2=LoadFactorSeasons)*(F$1=LoadFactorHours),0),)</f>
        <v>4.0630933006159699E-5</v>
      </c>
      <c r="G2" s="8" cm="1">
        <f t="array" ref="G2">INDEX('Summarized Modified Source Data'!$I$600:$I$743,MATCH(1,($A2=LoadFactorSeasons)*(G$1=LoadFactorHours),0),)</f>
        <v>7.7388646929870634E-5</v>
      </c>
      <c r="H2" s="8" cm="1">
        <f t="array" ref="H2">INDEX('Summarized Modified Source Data'!$I$600:$I$743,MATCH(1,($A2=LoadFactorSeasons)*(H$1=LoadFactorHours),0),)</f>
        <v>1.4815894110865407E-4</v>
      </c>
      <c r="I2" s="8" cm="1">
        <f t="array" ref="I2">INDEX('Summarized Modified Source Data'!$I$600:$I$743,MATCH(1,($A2=LoadFactorSeasons)*(I$1=LoadFactorHours),0),)</f>
        <v>2.0989576025767643E-4</v>
      </c>
      <c r="J2" s="8" cm="1">
        <f t="array" ref="J2">INDEX('Summarized Modified Source Data'!$I$600:$I$743,MATCH(1,($A2=LoadFactorSeasons)*(J$1=LoadFactorHours),0),)</f>
        <v>1.8087171800945439E-4</v>
      </c>
      <c r="K2" s="8" cm="1">
        <f t="array" ref="K2">INDEX('Summarized Modified Source Data'!$I$600:$I$743,MATCH(1,($A2=LoadFactorSeasons)*(K$1=LoadFactorHours),0),)</f>
        <v>1.9692821516956264E-4</v>
      </c>
      <c r="L2" s="8" cm="1">
        <f t="array" ref="L2">INDEX('Summarized Modified Source Data'!$I$600:$I$743,MATCH(1,($A2=LoadFactorSeasons)*(L$1=LoadFactorHours),0),)</f>
        <v>1.9330763247659704E-4</v>
      </c>
      <c r="M2" s="8" cm="1">
        <f t="array" ref="M2">INDEX('Summarized Modified Source Data'!$I$600:$I$743,MATCH(1,($A2=LoadFactorSeasons)*(M$1=LoadFactorHours),0),)</f>
        <v>1.7284346942940027E-4</v>
      </c>
      <c r="N2" s="8" cm="1">
        <f t="array" ref="N2">INDEX('Summarized Modified Source Data'!$I$600:$I$743,MATCH(1,($A2=LoadFactorSeasons)*(N$1=LoadFactorHours),0),)</f>
        <v>1.4847722968152545E-4</v>
      </c>
      <c r="O2" s="8" cm="1">
        <f t="array" ref="O2">INDEX('Summarized Modified Source Data'!$I$600:$I$743,MATCH(1,($A2=LoadFactorSeasons)*(O$1=LoadFactorHours),0),)</f>
        <v>1.2870429726290496E-4</v>
      </c>
      <c r="P2" s="8" cm="1">
        <f t="array" ref="P2">INDEX('Summarized Modified Source Data'!$I$600:$I$743,MATCH(1,($A2=LoadFactorSeasons)*(P$1=LoadFactorHours),0),)</f>
        <v>1.2192066176355107E-4</v>
      </c>
      <c r="Q2" s="8" cm="1">
        <f t="array" ref="Q2">INDEX('Summarized Modified Source Data'!$I$600:$I$743,MATCH(1,($A2=LoadFactorSeasons)*(Q$1=LoadFactorHours),0),)</f>
        <v>1.1391147633845861E-4</v>
      </c>
      <c r="R2" s="8" cm="1">
        <f t="array" ref="R2">INDEX('Summarized Modified Source Data'!$I$600:$I$743,MATCH(1,($A2=LoadFactorSeasons)*(R$1=LoadFactorHours),0),)</f>
        <v>1.2528487886685969E-4</v>
      </c>
      <c r="S2" s="8" cm="1">
        <f t="array" ref="S2">INDEX('Summarized Modified Source Data'!$I$600:$I$743,MATCH(1,($A2=LoadFactorSeasons)*(S$1=LoadFactorHours),0),)</f>
        <v>1.5130215154771849E-4</v>
      </c>
      <c r="T2" s="8" cm="1">
        <f t="array" ref="T2">INDEX('Summarized Modified Source Data'!$I$600:$I$743,MATCH(1,($A2=LoadFactorSeasons)*(T$1=LoadFactorHours),0),)</f>
        <v>1.8449230070241999E-4</v>
      </c>
      <c r="U2" s="8" cm="1">
        <f t="array" ref="U2">INDEX('Summarized Modified Source Data'!$I$600:$I$743,MATCH(1,($A2=LoadFactorSeasons)*(U$1=LoadFactorHours),0),)</f>
        <v>1.77565968594138E-4</v>
      </c>
      <c r="V2" s="8" cm="1">
        <f t="array" ref="V2">INDEX('Summarized Modified Source Data'!$I$600:$I$743,MATCH(1,($A2=LoadFactorSeasons)*(V$1=LoadFactorHours),0),)</f>
        <v>1.6216714870604057E-4</v>
      </c>
      <c r="W2" s="8" cm="1">
        <f t="array" ref="W2">INDEX('Summarized Modified Source Data'!$I$600:$I$743,MATCH(1,($A2=LoadFactorSeasons)*(W$1=LoadFactorHours),0),)</f>
        <v>1.4672677554779264E-4</v>
      </c>
      <c r="X2" s="8" cm="1">
        <f t="array" ref="X2">INDEX('Summarized Modified Source Data'!$I$600:$I$743,MATCH(1,($A2=LoadFactorSeasons)*(X$1=LoadFactorHours),0),)</f>
        <v>1.2835935333058138E-4</v>
      </c>
      <c r="Y2" s="8" cm="1">
        <f t="array" ref="Y2">INDEX('Summarized Modified Source Data'!$I$600:$I$743,MATCH(1,($A2=LoadFactorSeasons)*(Y$1=LoadFactorHours),0),)</f>
        <v>9.3063370960835915E-5</v>
      </c>
    </row>
    <row r="3" spans="1:25" x14ac:dyDescent="0.25">
      <c r="A3" s="8" t="s">
        <v>38</v>
      </c>
      <c r="B3" s="8" cm="1">
        <f t="array" ref="B3">INDEX('Summarized Modified Source Data'!$I$600:$I$743,MATCH(1,($A3=LoadFactorSeasons)*(B$1=LoadFactorHours),0),)</f>
        <v>4.8234384778629673E-5</v>
      </c>
      <c r="C3" s="8" cm="1">
        <f t="array" ref="C3">INDEX('Summarized Modified Source Data'!$I$600:$I$743,MATCH(1,($A3=LoadFactorSeasons)*(C$1=LoadFactorHours),0),)</f>
        <v>3.2336528685028038E-5</v>
      </c>
      <c r="D3" s="8" cm="1">
        <f t="array" ref="D3">INDEX('Summarized Modified Source Data'!$I$600:$I$743,MATCH(1,($A3=LoadFactorSeasons)*(D$1=LoadFactorHours),0),)</f>
        <v>2.8290346838714431E-5</v>
      </c>
      <c r="E3" s="8" cm="1">
        <f t="array" ref="E3">INDEX('Summarized Modified Source Data'!$I$600:$I$743,MATCH(1,($A3=LoadFactorSeasons)*(E$1=LoadFactorHours),0),)</f>
        <v>2.704305883866847E-5</v>
      </c>
      <c r="F3" s="8" cm="1">
        <f t="array" ref="F3">INDEX('Summarized Modified Source Data'!$I$600:$I$743,MATCH(1,($A3=LoadFactorSeasons)*(F$1=LoadFactorHours),0),)</f>
        <v>3.3796733639806958E-5</v>
      </c>
      <c r="G3" s="8" cm="1">
        <f t="array" ref="G3">INDEX('Summarized Modified Source Data'!$I$600:$I$743,MATCH(1,($A3=LoadFactorSeasons)*(G$1=LoadFactorHours),0),)</f>
        <v>6.437561589331632E-5</v>
      </c>
      <c r="H3" s="8" cm="1">
        <f t="array" ref="H3">INDEX('Summarized Modified Source Data'!$I$600:$I$743,MATCH(1,($A3=LoadFactorSeasons)*(H$1=LoadFactorHours),0),)</f>
        <v>1.2312652379559786E-4</v>
      </c>
      <c r="I3" s="8" cm="1">
        <f t="array" ref="I3">INDEX('Summarized Modified Source Data'!$I$600:$I$743,MATCH(1,($A3=LoadFactorSeasons)*(I$1=LoadFactorHours),0),)</f>
        <v>1.743642517288997E-4</v>
      </c>
      <c r="J3" s="8" cm="1">
        <f t="array" ref="J3">INDEX('Summarized Modified Source Data'!$I$600:$I$743,MATCH(1,($A3=LoadFactorSeasons)*(J$1=LoadFactorHours),0),)</f>
        <v>1.508708039493727E-4</v>
      </c>
      <c r="K3" s="8" cm="1">
        <f t="array" ref="K3">INDEX('Summarized Modified Source Data'!$I$600:$I$743,MATCH(1,($A3=LoadFactorSeasons)*(K$1=LoadFactorHours),0),)</f>
        <v>1.6405551446197533E-4</v>
      </c>
      <c r="L3" s="8" cm="1">
        <f t="array" ref="L3">INDEX('Summarized Modified Source Data'!$I$600:$I$743,MATCH(1,($A3=LoadFactorSeasons)*(L$1=LoadFactorHours),0),)</f>
        <v>1.6077029765172295E-4</v>
      </c>
      <c r="M3" s="8" cm="1">
        <f t="array" ref="M3">INDEX('Summarized Modified Source Data'!$I$600:$I$743,MATCH(1,($A3=LoadFactorSeasons)*(M$1=LoadFactorHours),0),)</f>
        <v>1.4380170110945832E-4</v>
      </c>
      <c r="N3" s="8" cm="1">
        <f t="array" ref="N3">INDEX('Summarized Modified Source Data'!$I$600:$I$743,MATCH(1,($A3=LoadFactorSeasons)*(N$1=LoadFactorHours),0),)</f>
        <v>1.2343311460115419E-4</v>
      </c>
      <c r="O3" s="8" cm="1">
        <f t="array" ref="O3">INDEX('Summarized Modified Source Data'!$I$600:$I$743,MATCH(1,($A3=LoadFactorSeasons)*(O$1=LoadFactorHours),0),)</f>
        <v>1.0715896977410624E-4</v>
      </c>
      <c r="P3" s="8" cm="1">
        <f t="array" ref="P3">INDEX('Summarized Modified Source Data'!$I$600:$I$743,MATCH(1,($A3=LoadFactorSeasons)*(P$1=LoadFactorHours),0),)</f>
        <v>1.0147302123520734E-4</v>
      </c>
      <c r="Q3" s="8" cm="1">
        <f t="array" ref="Q3">INDEX('Summarized Modified Source Data'!$I$600:$I$743,MATCH(1,($A3=LoadFactorSeasons)*(Q$1=LoadFactorHours),0),)</f>
        <v>9.4695183664429437E-5</v>
      </c>
      <c r="R3" s="8" cm="1">
        <f t="array" ref="R3">INDEX('Summarized Modified Source Data'!$I$600:$I$743,MATCH(1,($A3=LoadFactorSeasons)*(R$1=LoadFactorHours),0),)</f>
        <v>1.04114594261474E-4</v>
      </c>
      <c r="S3" s="8" cm="1">
        <f t="array" ref="S3">INDEX('Summarized Modified Source Data'!$I$600:$I$743,MATCH(1,($A3=LoadFactorSeasons)*(S$1=LoadFactorHours),0),)</f>
        <v>1.2566330867192003E-4</v>
      </c>
      <c r="T3" s="8" cm="1">
        <f t="array" ref="T3">INDEX('Summarized Modified Source Data'!$I$600:$I$743,MATCH(1,($A3=LoadFactorSeasons)*(T$1=LoadFactorHours),0),)</f>
        <v>1.5377209800361587E-4</v>
      </c>
      <c r="U3" s="8" cm="1">
        <f t="array" ref="U3">INDEX('Summarized Modified Source Data'!$I$600:$I$743,MATCH(1,($A3=LoadFactorSeasons)*(U$1=LoadFactorHours),0),)</f>
        <v>1.4779287405354476E-4</v>
      </c>
      <c r="V3" s="8" cm="1">
        <f t="array" ref="V3">INDEX('Summarized Modified Source Data'!$I$600:$I$743,MATCH(1,($A3=LoadFactorSeasons)*(V$1=LoadFactorHours),0),)</f>
        <v>1.3505518093905267E-4</v>
      </c>
      <c r="W3" s="8" cm="1">
        <f t="array" ref="W3">INDEX('Summarized Modified Source Data'!$I$600:$I$743,MATCH(1,($A3=LoadFactorSeasons)*(W$1=LoadFactorHours),0),)</f>
        <v>1.2196613799322511E-4</v>
      </c>
      <c r="X3" s="8" cm="1">
        <f t="array" ref="X3">INDEX('Summarized Modified Source Data'!$I$600:$I$743,MATCH(1,($A3=LoadFactorSeasons)*(X$1=LoadFactorHours),0),)</f>
        <v>1.0685347540966037E-4</v>
      </c>
      <c r="Y3" s="8" cm="1">
        <f t="array" ref="Y3">INDEX('Summarized Modified Source Data'!$I$600:$I$743,MATCH(1,($A3=LoadFactorSeasons)*(Y$1=LoadFactorHours),0),)</f>
        <v>7.7409935340127118E-5</v>
      </c>
    </row>
    <row r="4" spans="1:25" x14ac:dyDescent="0.25">
      <c r="A4" s="8" t="s">
        <v>39</v>
      </c>
      <c r="B4" s="8" cm="1">
        <f t="array" ref="B4">INDEX('Summarized Modified Source Data'!$I$600:$I$743,MATCH(1,($A4=LoadFactorSeasons)*(B$1=LoadFactorHours),0),)</f>
        <v>4.1604129413270841E-5</v>
      </c>
      <c r="C4" s="8" cm="1">
        <f t="array" ref="C4">INDEX('Summarized Modified Source Data'!$I$600:$I$743,MATCH(1,($A4=LoadFactorSeasons)*(C$1=LoadFactorHours),0),)</f>
        <v>2.7891581062504486E-5</v>
      </c>
      <c r="D4" s="8" cm="1">
        <f t="array" ref="D4">INDEX('Summarized Modified Source Data'!$I$600:$I$743,MATCH(1,($A4=LoadFactorSeasons)*(D$1=LoadFactorHours),0),)</f>
        <v>2.440158026238509E-5</v>
      </c>
      <c r="E4" s="8" cm="1">
        <f t="array" ref="E4">INDEX('Summarized Modified Source Data'!$I$600:$I$743,MATCH(1,($A4=LoadFactorSeasons)*(E$1=LoadFactorHours),0),)</f>
        <v>2.3325745674405687E-5</v>
      </c>
      <c r="F4" s="8" cm="1">
        <f t="array" ref="F4">INDEX('Summarized Modified Source Data'!$I$600:$I$743,MATCH(1,($A4=LoadFactorSeasons)*(F$1=LoadFactorHours),0),)</f>
        <v>2.915106337669801E-5</v>
      </c>
      <c r="G4" s="8" cm="1">
        <f t="array" ref="G4">INDEX('Summarized Modified Source Data'!$I$600:$I$743,MATCH(1,($A4=LoadFactorSeasons)*(G$1=LoadFactorHours),0),)</f>
        <v>5.5526603118212311E-5</v>
      </c>
      <c r="H4" s="8" cm="1">
        <f t="array" ref="H4">INDEX('Summarized Modified Source Data'!$I$600:$I$743,MATCH(1,($A4=LoadFactorSeasons)*(H$1=LoadFactorHours),0),)</f>
        <v>1.0638249235491903E-4</v>
      </c>
      <c r="I4" s="8" cm="1">
        <f t="array" ref="I4">INDEX('Summarized Modified Source Data'!$I$600:$I$743,MATCH(1,($A4=LoadFactorSeasons)*(I$1=LoadFactorHours),0),)</f>
        <v>1.5067316325280736E-4</v>
      </c>
      <c r="J4" s="8" cm="1">
        <f t="array" ref="J4">INDEX('Summarized Modified Source Data'!$I$600:$I$743,MATCH(1,($A4=LoadFactorSeasons)*(J$1=LoadFactorHours),0),)</f>
        <v>1.2971426640217155E-4</v>
      </c>
      <c r="K4" s="8" cm="1">
        <f t="array" ref="K4">INDEX('Summarized Modified Source Data'!$I$600:$I$743,MATCH(1,($A4=LoadFactorSeasons)*(K$1=LoadFactorHours),0),)</f>
        <v>1.4126432284084981E-4</v>
      </c>
      <c r="L4" s="8" cm="1">
        <f t="array" ref="L4">INDEX('Summarized Modified Source Data'!$I$600:$I$743,MATCH(1,($A4=LoadFactorSeasons)*(L$1=LoadFactorHours),0),)</f>
        <v>1.3880041023316058E-4</v>
      </c>
      <c r="M4" s="8" cm="1">
        <f t="array" ref="M4">INDEX('Summarized Modified Source Data'!$I$600:$I$743,MATCH(1,($A4=LoadFactorSeasons)*(M$1=LoadFactorHours),0),)</f>
        <v>1.2386050077556294E-4</v>
      </c>
      <c r="N4" s="8" cm="1">
        <f t="array" ref="N4">INDEX('Summarized Modified Source Data'!$I$600:$I$743,MATCH(1,($A4=LoadFactorSeasons)*(N$1=LoadFactorHours),0),)</f>
        <v>1.0669416498022869E-4</v>
      </c>
      <c r="O4" s="8" cm="1">
        <f t="array" ref="O4">INDEX('Summarized Modified Source Data'!$I$600:$I$743,MATCH(1,($A4=LoadFactorSeasons)*(O$1=LoadFactorHours),0),)</f>
        <v>9.2414101585272759E-5</v>
      </c>
      <c r="P4" s="8" cm="1">
        <f t="array" ref="P4">INDEX('Summarized Modified Source Data'!$I$600:$I$743,MATCH(1,($A4=LoadFactorSeasons)*(P$1=LoadFactorHours),0),)</f>
        <v>8.7552323600603892E-5</v>
      </c>
      <c r="Q4" s="8" cm="1">
        <f t="array" ref="Q4">INDEX('Summarized Modified Source Data'!$I$600:$I$743,MATCH(1,($A4=LoadFactorSeasons)*(Q$1=LoadFactorHours),0),)</f>
        <v>8.1678470926461116E-5</v>
      </c>
      <c r="R4" s="8" cm="1">
        <f t="array" ref="R4">INDEX('Summarized Modified Source Data'!$I$600:$I$743,MATCH(1,($A4=LoadFactorSeasons)*(R$1=LoadFactorHours),0),)</f>
        <v>8.9803103661206999E-5</v>
      </c>
      <c r="S4" s="8" cm="1">
        <f t="array" ref="S4">INDEX('Summarized Modified Source Data'!$I$600:$I$743,MATCH(1,($A4=LoadFactorSeasons)*(S$1=LoadFactorHours),0),)</f>
        <v>1.0862485199418538E-4</v>
      </c>
      <c r="T4" s="8" cm="1">
        <f t="array" ref="T4">INDEX('Summarized Modified Source Data'!$I$600:$I$743,MATCH(1,($A4=LoadFactorSeasons)*(T$1=LoadFactorHours),0),)</f>
        <v>1.321508193136129E-4</v>
      </c>
      <c r="U4" s="8" cm="1">
        <f t="array" ref="U4">INDEX('Summarized Modified Source Data'!$I$600:$I$743,MATCH(1,($A4=LoadFactorSeasons)*(U$1=LoadFactorHours),0),)</f>
        <v>1.275923510242111E-4</v>
      </c>
      <c r="V4" s="8" cm="1">
        <f t="array" ref="V4">INDEX('Summarized Modified Source Data'!$I$600:$I$743,MATCH(1,($A4=LoadFactorSeasons)*(V$1=LoadFactorHours),0),)</f>
        <v>1.1639935864085763E-4</v>
      </c>
      <c r="W4" s="8" cm="1">
        <f t="array" ref="W4">INDEX('Summarized Modified Source Data'!$I$600:$I$743,MATCH(1,($A4=LoadFactorSeasons)*(W$1=LoadFactorHours),0),)</f>
        <v>1.0544930393410129E-4</v>
      </c>
      <c r="X4" s="8" cm="1">
        <f t="array" ref="X4">INDEX('Summarized Modified Source Data'!$I$600:$I$743,MATCH(1,($A4=LoadFactorSeasons)*(X$1=LoadFactorHours),0),)</f>
        <v>9.2198765889663255E-5</v>
      </c>
      <c r="Y4" s="8" cm="1">
        <f t="array" ref="Y4">INDEX('Summarized Modified Source Data'!$I$600:$I$743,MATCH(1,($A4=LoadFactorSeasons)*(Y$1=LoadFactorHours),0),)</f>
        <v>6.6769239234089716E-5</v>
      </c>
    </row>
    <row r="5" spans="1:25" x14ac:dyDescent="0.25">
      <c r="A5" s="8" t="s">
        <v>40</v>
      </c>
      <c r="B5" s="8" cm="1">
        <f t="array" ref="B5">INDEX('Summarized Modified Source Data'!$I$600:$I$743,MATCH(1,($A5=LoadFactorSeasons)*(B$1=LoadFactorHours),0),)</f>
        <v>4.4286138611430536E-5</v>
      </c>
      <c r="C5" s="8" cm="1">
        <f t="array" ref="C5">INDEX('Summarized Modified Source Data'!$I$600:$I$743,MATCH(1,($A5=LoadFactorSeasons)*(C$1=LoadFactorHours),0),)</f>
        <v>2.9689609035722692E-5</v>
      </c>
      <c r="D5" s="8" cm="1">
        <f t="array" ref="D5">INDEX('Summarized Modified Source Data'!$I$600:$I$743,MATCH(1,($A5=LoadFactorSeasons)*(D$1=LoadFactorHours),0),)</f>
        <v>2.5974627971475088E-5</v>
      </c>
      <c r="E5" s="8" cm="1">
        <f t="array" ref="E5">INDEX('Summarized Modified Source Data'!$I$600:$I$743,MATCH(1,($A5=LoadFactorSeasons)*(E$1=LoadFactorHours),0),)</f>
        <v>2.4829435859269635E-5</v>
      </c>
      <c r="F5" s="8" cm="1">
        <f t="array" ref="F5">INDEX('Summarized Modified Source Data'!$I$600:$I$743,MATCH(1,($A5=LoadFactorSeasons)*(F$1=LoadFactorHours),0),)</f>
        <v>3.1030284742861423E-5</v>
      </c>
      <c r="G5" s="8" cm="1">
        <f t="array" ref="G5">INDEX('Summarized Modified Source Data'!$I$600:$I$743,MATCH(1,($A5=LoadFactorSeasons)*(G$1=LoadFactorHours),0),)</f>
        <v>5.9106121364009946E-5</v>
      </c>
      <c r="H5" s="8" cm="1">
        <f t="array" ref="H5">INDEX('Summarized Modified Source Data'!$I$600:$I$743,MATCH(1,($A5=LoadFactorSeasons)*(H$1=LoadFactorHours),0),)</f>
        <v>1.1294286577312248E-4</v>
      </c>
      <c r="I5" s="8" cm="1">
        <f t="array" ref="I5">INDEX('Summarized Modified Source Data'!$I$600:$I$743,MATCH(1,($A5=LoadFactorSeasons)*(I$1=LoadFactorHours),0),)</f>
        <v>1.6018438152249506E-4</v>
      </c>
      <c r="J5" s="8" cm="1">
        <f t="array" ref="J5">INDEX('Summarized Modified Source Data'!$I$600:$I$743,MATCH(1,($A5=LoadFactorSeasons)*(J$1=LoadFactorHours),0),)</f>
        <v>1.3834229024961176E-4</v>
      </c>
      <c r="K5" s="8" cm="1">
        <f t="array" ref="K5">INDEX('Summarized Modified Source Data'!$I$600:$I$743,MATCH(1,($A5=LoadFactorSeasons)*(K$1=LoadFactorHours),0),)</f>
        <v>1.5019095704247809E-4</v>
      </c>
      <c r="L5" s="8" cm="1">
        <f t="array" ref="L5">INDEX('Summarized Modified Source Data'!$I$600:$I$743,MATCH(1,($A5=LoadFactorSeasons)*(L$1=LoadFactorHours),0),)</f>
        <v>1.4771358043146811E-4</v>
      </c>
      <c r="M5" s="8" cm="1">
        <f t="array" ref="M5">INDEX('Summarized Modified Source Data'!$I$600:$I$743,MATCH(1,($A5=LoadFactorSeasons)*(M$1=LoadFactorHours),0),)</f>
        <v>1.3220126072101358E-4</v>
      </c>
      <c r="N5" s="8" cm="1">
        <f t="array" ref="N5">INDEX('Summarized Modified Source Data'!$I$600:$I$743,MATCH(1,($A5=LoadFactorSeasons)*(N$1=LoadFactorHours),0),)</f>
        <v>1.1330794747412473E-4</v>
      </c>
      <c r="O5" s="8" cm="1">
        <f t="array" ref="O5">INDEX('Summarized Modified Source Data'!$I$600:$I$743,MATCH(1,($A5=LoadFactorSeasons)*(O$1=LoadFactorHours),0),)</f>
        <v>9.8371568278197784E-5</v>
      </c>
      <c r="P5" s="8" cm="1">
        <f t="array" ref="P5">INDEX('Summarized Modified Source Data'!$I$600:$I$743,MATCH(1,($A5=LoadFactorSeasons)*(P$1=LoadFactorHours),0),)</f>
        <v>9.3196374988609466E-5</v>
      </c>
      <c r="Q5" s="8" cm="1">
        <f t="array" ref="Q5">INDEX('Summarized Modified Source Data'!$I$600:$I$743,MATCH(1,($A5=LoadFactorSeasons)*(Q$1=LoadFactorHours),0),)</f>
        <v>8.6943869705957355E-5</v>
      </c>
      <c r="R5" s="8" cm="1">
        <f t="array" ref="R5">INDEX('Summarized Modified Source Data'!$I$600:$I$743,MATCH(1,($A5=LoadFactorSeasons)*(R$1=LoadFactorHours),0),)</f>
        <v>9.5592249005837965E-5</v>
      </c>
      <c r="S5" s="8" cm="1">
        <f t="array" ref="S5">INDEX('Summarized Modified Source Data'!$I$600:$I$743,MATCH(1,($A5=LoadFactorSeasons)*(S$1=LoadFactorHours),0),)</f>
        <v>1.1548625518065357E-4</v>
      </c>
      <c r="T5" s="8" cm="1">
        <f t="array" ref="T5">INDEX('Summarized Modified Source Data'!$I$600:$I$743,MATCH(1,($A5=LoadFactorSeasons)*(T$1=LoadFactorHours),0),)</f>
        <v>1.4099297793488644E-4</v>
      </c>
      <c r="U5" s="8" cm="1">
        <f t="array" ref="U5">INDEX('Summarized Modified Source Data'!$I$600:$I$743,MATCH(1,($A5=LoadFactorSeasons)*(U$1=LoadFactorHours),0),)</f>
        <v>1.3564646166576371E-4</v>
      </c>
      <c r="V5" s="8" cm="1">
        <f t="array" ref="V5">INDEX('Summarized Modified Source Data'!$I$600:$I$743,MATCH(1,($A5=LoadFactorSeasons)*(V$1=LoadFactorHours),0),)</f>
        <v>1.2398580917734848E-4</v>
      </c>
      <c r="W5" s="8" cm="1">
        <f t="array" ref="W5">INDEX('Summarized Modified Source Data'!$I$600:$I$743,MATCH(1,($A5=LoadFactorSeasons)*(W$1=LoadFactorHours),0),)</f>
        <v>1.1200126137408907E-4</v>
      </c>
      <c r="X5" s="8" cm="1">
        <f t="array" ref="X5">INDEX('Summarized Modified Source Data'!$I$600:$I$743,MATCH(1,($A5=LoadFactorSeasons)*(X$1=LoadFactorHours),0),)</f>
        <v>9.8046276342289115E-5</v>
      </c>
      <c r="Y5" s="8" cm="1">
        <f t="array" ref="Y5">INDEX('Summarized Modified Source Data'!$I$600:$I$743,MATCH(1,($A5=LoadFactorSeasons)*(Y$1=LoadFactorHours),0),)</f>
        <v>7.1073513334238129E-5</v>
      </c>
    </row>
    <row r="6" spans="1:25" x14ac:dyDescent="0.25">
      <c r="A6" s="8" t="s">
        <v>80</v>
      </c>
      <c r="B6" s="8" cm="1">
        <f t="array" ref="B6">INDEX('Summarized Modified Source Data'!$I$600:$I$743,MATCH(1,($A6=LoadFactorSeasons)*(B$1=LoadFactorHours),0),)</f>
        <v>6.7391374087640495E-5</v>
      </c>
      <c r="C6" s="8" cm="1">
        <f t="array" ref="C6">INDEX('Summarized Modified Source Data'!$I$600:$I$743,MATCH(1,($A6=LoadFactorSeasons)*(C$1=LoadFactorHours),0),)</f>
        <v>4.3545156647137797E-5</v>
      </c>
      <c r="D6" s="8" cm="1">
        <f t="array" ref="D6">INDEX('Summarized Modified Source Data'!$I$600:$I$743,MATCH(1,($A6=LoadFactorSeasons)*(D$1=LoadFactorHours),0),)</f>
        <v>3.6293406018875936E-5</v>
      </c>
      <c r="E6" s="8" cm="1">
        <f t="array" ref="E6">INDEX('Summarized Modified Source Data'!$I$600:$I$743,MATCH(1,($A6=LoadFactorSeasons)*(E$1=LoadFactorHours),0),)</f>
        <v>3.3641009229849739E-5</v>
      </c>
      <c r="F6" s="8" cm="1">
        <f t="array" ref="F6">INDEX('Summarized Modified Source Data'!$I$600:$I$743,MATCH(1,($A6=LoadFactorSeasons)*(F$1=LoadFactorHours),0),)</f>
        <v>3.4678497124611471E-5</v>
      </c>
      <c r="G6" s="8" cm="1">
        <f t="array" ref="G6">INDEX('Summarized Modified Source Data'!$I$600:$I$743,MATCH(1,($A6=LoadFactorSeasons)*(G$1=LoadFactorHours),0),)</f>
        <v>5.9764968505317265E-5</v>
      </c>
      <c r="H6" s="8" cm="1">
        <f t="array" ref="H6">INDEX('Summarized Modified Source Data'!$I$600:$I$743,MATCH(1,($A6=LoadFactorSeasons)*(H$1=LoadFactorHours),0),)</f>
        <v>1.1728224012600786E-4</v>
      </c>
      <c r="I6" s="8" cm="1">
        <f t="array" ref="I6">INDEX('Summarized Modified Source Data'!$I$600:$I$743,MATCH(1,($A6=LoadFactorSeasons)*(I$1=LoadFactorHours),0),)</f>
        <v>1.6155053664415787E-4</v>
      </c>
      <c r="J6" s="8" cm="1">
        <f t="array" ref="J6">INDEX('Summarized Modified Source Data'!$I$600:$I$743,MATCH(1,($A6=LoadFactorSeasons)*(J$1=LoadFactorHours),0),)</f>
        <v>1.8810269682780316E-4</v>
      </c>
      <c r="K6" s="8" cm="1">
        <f t="array" ref="K6">INDEX('Summarized Modified Source Data'!$I$600:$I$743,MATCH(1,($A6=LoadFactorSeasons)*(K$1=LoadFactorHours),0),)</f>
        <v>2.5655490027564221E-4</v>
      </c>
      <c r="L6" s="8" cm="1">
        <f t="array" ref="L6">INDEX('Summarized Modified Source Data'!$I$600:$I$743,MATCH(1,($A6=LoadFactorSeasons)*(L$1=LoadFactorHours),0),)</f>
        <v>2.637413120480692E-4</v>
      </c>
      <c r="M6" s="8" cm="1">
        <f t="array" ref="M6">INDEX('Summarized Modified Source Data'!$I$600:$I$743,MATCH(1,($A6=LoadFactorSeasons)*(M$1=LoadFactorHours),0),)</f>
        <v>2.4218207673078833E-4</v>
      </c>
      <c r="N6" s="8" cm="1">
        <f t="array" ref="N6">INDEX('Summarized Modified Source Data'!$I$600:$I$743,MATCH(1,($A6=LoadFactorSeasons)*(N$1=LoadFactorHours),0),)</f>
        <v>2.177482767045367E-4</v>
      </c>
      <c r="O6" s="8" cm="1">
        <f t="array" ref="O6">INDEX('Summarized Modified Source Data'!$I$600:$I$743,MATCH(1,($A6=LoadFactorSeasons)*(O$1=LoadFactorHours),0),)</f>
        <v>1.8683583304208911E-4</v>
      </c>
      <c r="P6" s="8" cm="1">
        <f t="array" ref="P6">INDEX('Summarized Modified Source Data'!$I$600:$I$743,MATCH(1,($A6=LoadFactorSeasons)*(P$1=LoadFactorHours),0),)</f>
        <v>1.7221234026820116E-4</v>
      </c>
      <c r="Q6" s="8" cm="1">
        <f t="array" ref="Q6">INDEX('Summarized Modified Source Data'!$I$600:$I$743,MATCH(1,($A6=LoadFactorSeasons)*(Q$1=LoadFactorHours),0),)</f>
        <v>1.5021303783962399E-4</v>
      </c>
      <c r="R6" s="8" cm="1">
        <f t="array" ref="R6">INDEX('Summarized Modified Source Data'!$I$600:$I$743,MATCH(1,($A6=LoadFactorSeasons)*(R$1=LoadFactorHours),0),)</f>
        <v>1.5032906964410159E-4</v>
      </c>
      <c r="S6" s="8" cm="1">
        <f t="array" ref="S6">INDEX('Summarized Modified Source Data'!$I$600:$I$743,MATCH(1,($A6=LoadFactorSeasons)*(S$1=LoadFactorHours),0),)</f>
        <v>1.7255636817257081E-4</v>
      </c>
      <c r="T6" s="8" cm="1">
        <f t="array" ref="T6">INDEX('Summarized Modified Source Data'!$I$600:$I$743,MATCH(1,($A6=LoadFactorSeasons)*(T$1=LoadFactorHours),0),)</f>
        <v>1.9663063201784791E-4</v>
      </c>
      <c r="U6" s="8" cm="1">
        <f t="array" ref="U6">INDEX('Summarized Modified Source Data'!$I$600:$I$743,MATCH(1,($A6=LoadFactorSeasons)*(U$1=LoadFactorHours),0),)</f>
        <v>1.7923871065045617E-4</v>
      </c>
      <c r="V6" s="8" cm="1">
        <f t="array" ref="V6">INDEX('Summarized Modified Source Data'!$I$600:$I$743,MATCH(1,($A6=LoadFactorSeasons)*(V$1=LoadFactorHours),0),)</f>
        <v>1.6737160204394145E-4</v>
      </c>
      <c r="W6" s="8" cm="1">
        <f t="array" ref="W6">INDEX('Summarized Modified Source Data'!$I$600:$I$743,MATCH(1,($A6=LoadFactorSeasons)*(W$1=LoadFactorHours),0),)</f>
        <v>1.4629379882411903E-4</v>
      </c>
      <c r="X6" s="8" cm="1">
        <f t="array" ref="X6">INDEX('Summarized Modified Source Data'!$I$600:$I$743,MATCH(1,($A6=LoadFactorSeasons)*(X$1=LoadFactorHours),0),)</f>
        <v>1.2705093805420923E-4</v>
      </c>
      <c r="Y6" s="8" cm="1">
        <f t="array" ref="Y6">INDEX('Summarized Modified Source Data'!$I$600:$I$743,MATCH(1,($A6=LoadFactorSeasons)*(Y$1=LoadFactorHours),0),)</f>
        <v>9.6758423016898295E-5</v>
      </c>
    </row>
    <row r="7" spans="1:25" x14ac:dyDescent="0.25">
      <c r="A7" s="8" t="s">
        <v>81</v>
      </c>
      <c r="B7" s="8" cm="1">
        <f t="array" ref="B7">INDEX('Summarized Modified Source Data'!$I$600:$I$743,MATCH(1,($A7=LoadFactorSeasons)*(B$1=LoadFactorHours),0),)</f>
        <v>6.538899945423268E-4</v>
      </c>
      <c r="C7" s="8" cm="1">
        <f t="array" ref="C7">INDEX('Summarized Modified Source Data'!$I$600:$I$743,MATCH(1,($A7=LoadFactorSeasons)*(C$1=LoadFactorHours),0),)</f>
        <v>6.0693498659803143E-5</v>
      </c>
      <c r="D7" s="8" cm="1">
        <f t="array" ref="D7">INDEX('Summarized Modified Source Data'!$I$600:$I$743,MATCH(1,($A7=LoadFactorSeasons)*(D$1=LoadFactorHours),0),)</f>
        <v>5.0585971477508326E-5</v>
      </c>
      <c r="E7" s="8" cm="1">
        <f t="array" ref="E7">INDEX('Summarized Modified Source Data'!$I$600:$I$743,MATCH(1,($A7=LoadFactorSeasons)*(E$1=LoadFactorHours),0),)</f>
        <v>4.6889047224295185E-5</v>
      </c>
      <c r="F7" s="8" cm="1">
        <f t="array" ref="F7">INDEX('Summarized Modified Source Data'!$I$600:$I$743,MATCH(1,($A7=LoadFactorSeasons)*(F$1=LoadFactorHours),0),)</f>
        <v>4.8335108738948832E-5</v>
      </c>
      <c r="G7" s="8" cm="1">
        <f t="array" ref="G7">INDEX('Summarized Modified Source Data'!$I$600:$I$743,MATCH(1,($A7=LoadFactorSeasons)*(G$1=LoadFactorHours),0),)</f>
        <v>8.3294234141357093E-5</v>
      </c>
      <c r="H7" s="8" cm="1">
        <f t="array" ref="H7">INDEX('Summarized Modified Source Data'!$I$600:$I$743,MATCH(1,($A7=LoadFactorSeasons)*(H$1=LoadFactorHours),0),)</f>
        <v>1.6330402111663011E-4</v>
      </c>
      <c r="I7" s="8" cm="1">
        <f t="array" ref="I7">INDEX('Summarized Modified Source Data'!$I$600:$I$743,MATCH(1,($A7=LoadFactorSeasons)*(I$1=LoadFactorHours),0),)</f>
        <v>2.2501134353586954E-4</v>
      </c>
      <c r="J7" s="8" cm="1">
        <f t="array" ref="J7">INDEX('Summarized Modified Source Data'!$I$600:$I$743,MATCH(1,($A7=LoadFactorSeasons)*(J$1=LoadFactorHours),0),)</f>
        <v>2.6170516204588158E-4</v>
      </c>
      <c r="K7" s="8" cm="1">
        <f t="array" ref="K7">INDEX('Summarized Modified Source Data'!$I$600:$I$743,MATCH(1,($A7=LoadFactorSeasons)*(K$1=LoadFactorHours),0),)</f>
        <v>3.5702093685417111E-4</v>
      </c>
      <c r="L7" s="8" cm="1">
        <f t="array" ref="L7">INDEX('Summarized Modified Source Data'!$I$600:$I$743,MATCH(1,($A7=LoadFactorSeasons)*(L$1=LoadFactorHours),0),)</f>
        <v>3.674891433360064E-4</v>
      </c>
      <c r="M7" s="8" cm="1">
        <f t="array" ref="M7">INDEX('Summarized Modified Source Data'!$I$600:$I$743,MATCH(1,($A7=LoadFactorSeasons)*(M$1=LoadFactorHours),0),)</f>
        <v>3.3883931506993093E-4</v>
      </c>
      <c r="N7" s="8" cm="1">
        <f t="array" ref="N7">INDEX('Summarized Modified Source Data'!$I$600:$I$743,MATCH(1,($A7=LoadFactorSeasons)*(N$1=LoadFactorHours),0),)</f>
        <v>3.030270297373366E-4</v>
      </c>
      <c r="O7" s="8" cm="1">
        <f t="array" ref="O7">INDEX('Summarized Modified Source Data'!$I$600:$I$743,MATCH(1,($A7=LoadFactorSeasons)*(O$1=LoadFactorHours),0),)</f>
        <v>2.600522873382234E-4</v>
      </c>
      <c r="P7" s="8" cm="1">
        <f t="array" ref="P7">INDEX('Summarized Modified Source Data'!$I$600:$I$743,MATCH(1,($A7=LoadFactorSeasons)*(P$1=LoadFactorHours),0),)</f>
        <v>2.3964457389770915E-4</v>
      </c>
      <c r="Q7" s="8" cm="1">
        <f t="array" ref="Q7">INDEX('Summarized Modified Source Data'!$I$600:$I$743,MATCH(1,($A7=LoadFactorSeasons)*(Q$1=LoadFactorHours),0),)</f>
        <v>2.0960419315924555E-4</v>
      </c>
      <c r="R7" s="8" cm="1">
        <f t="array" ref="R7">INDEX('Summarized Modified Source Data'!$I$600:$I$743,MATCH(1,($A7=LoadFactorSeasons)*(R$1=LoadFactorHours),0),)</f>
        <v>2.0972267672787287E-4</v>
      </c>
      <c r="S7" s="8" cm="1">
        <f t="array" ref="S7">INDEX('Summarized Modified Source Data'!$I$600:$I$743,MATCH(1,($A7=LoadFactorSeasons)*(S$1=LoadFactorHours),0),)</f>
        <v>2.4030445657682991E-4</v>
      </c>
      <c r="T7" s="8" cm="1">
        <f t="array" ref="T7">INDEX('Summarized Modified Source Data'!$I$600:$I$743,MATCH(1,($A7=LoadFactorSeasons)*(T$1=LoadFactorHours),0),)</f>
        <v>2.7437720147126113E-4</v>
      </c>
      <c r="U7" s="8" cm="1">
        <f t="array" ref="U7">INDEX('Summarized Modified Source Data'!$I$600:$I$743,MATCH(1,($A7=LoadFactorSeasons)*(U$1=LoadFactorHours),0),)</f>
        <v>2.5013503909227419E-4</v>
      </c>
      <c r="V7" s="8" cm="1">
        <f t="array" ref="V7">INDEX('Summarized Modified Source Data'!$I$600:$I$743,MATCH(1,($A7=LoadFactorSeasons)*(V$1=LoadFactorHours),0),)</f>
        <v>2.3315337128829972E-4</v>
      </c>
      <c r="W7" s="8" cm="1">
        <f t="array" ref="W7">INDEX('Summarized Modified Source Data'!$I$600:$I$743,MATCH(1,($A7=LoadFactorSeasons)*(W$1=LoadFactorHours),0),)</f>
        <v>2.0390518584930491E-4</v>
      </c>
      <c r="X7" s="8" cm="1">
        <f t="array" ref="X7">INDEX('Summarized Modified Source Data'!$I$600:$I$743,MATCH(1,($A7=LoadFactorSeasons)*(X$1=LoadFactorHours),0),)</f>
        <v>1.7708436812931806E-4</v>
      </c>
      <c r="Y7" s="8" cm="1">
        <f t="array" ref="Y7">INDEX('Summarized Modified Source Data'!$I$600:$I$743,MATCH(1,($A7=LoadFactorSeasons)*(Y$1=LoadFactorHours),0),)</f>
        <v>1.3486247710204903E-4</v>
      </c>
    </row>
    <row r="8" spans="1:25" x14ac:dyDescent="0.25">
      <c r="A8" s="8"/>
      <c r="B8" s="8"/>
      <c r="C8" s="8"/>
      <c r="D8" s="8"/>
      <c r="E8" s="8"/>
      <c r="F8" s="8"/>
      <c r="G8" s="8"/>
      <c r="H8" s="8"/>
      <c r="I8" s="8"/>
      <c r="J8" s="8"/>
      <c r="K8" s="8"/>
      <c r="L8" s="8"/>
      <c r="M8" s="8"/>
      <c r="N8" s="8"/>
      <c r="O8" s="8"/>
      <c r="P8" s="8"/>
      <c r="Q8" s="8"/>
      <c r="R8" s="8"/>
      <c r="S8" s="8"/>
      <c r="T8" s="8"/>
      <c r="U8" s="8"/>
      <c r="V8" s="8"/>
      <c r="W8" s="8"/>
      <c r="X8" s="8"/>
      <c r="Y8" s="8"/>
    </row>
    <row r="9" spans="1:25" x14ac:dyDescent="0.25">
      <c r="A9" s="8"/>
      <c r="B9" s="8"/>
      <c r="C9" s="8"/>
      <c r="D9" s="8"/>
      <c r="E9" s="8"/>
      <c r="F9" s="8"/>
      <c r="G9" s="8"/>
      <c r="H9" s="8"/>
      <c r="I9" s="8"/>
      <c r="J9" s="8"/>
      <c r="K9" s="8"/>
      <c r="L9" s="8"/>
      <c r="M9" s="8"/>
      <c r="N9" s="8"/>
      <c r="O9" s="8"/>
      <c r="P9" s="8"/>
      <c r="Q9" s="8"/>
      <c r="R9" s="8"/>
      <c r="S9" s="8"/>
      <c r="T9" s="8"/>
      <c r="U9" s="8"/>
      <c r="V9" s="8"/>
      <c r="W9" s="8"/>
      <c r="X9" s="8"/>
      <c r="Y9" s="8"/>
    </row>
    <row r="10" spans="1:25" x14ac:dyDescent="0.25">
      <c r="A10" s="8"/>
      <c r="B10" s="8"/>
      <c r="C10" s="8"/>
      <c r="D10" s="8"/>
      <c r="E10" s="8"/>
      <c r="F10" s="8"/>
      <c r="G10" s="8"/>
      <c r="H10" s="8"/>
      <c r="I10" s="8"/>
      <c r="J10" s="8"/>
      <c r="K10" s="8"/>
      <c r="L10" s="8"/>
      <c r="M10" s="8"/>
      <c r="N10" s="8"/>
      <c r="O10" s="8"/>
      <c r="P10" s="8"/>
      <c r="Q10" s="8"/>
      <c r="R10" s="8"/>
      <c r="S10" s="8"/>
      <c r="T10" s="8"/>
      <c r="U10" s="8"/>
      <c r="V10" s="8"/>
      <c r="W10" s="8"/>
      <c r="X10" s="8"/>
      <c r="Y10" s="8"/>
    </row>
    <row r="11" spans="1:25" x14ac:dyDescent="0.25">
      <c r="A11" s="8" t="s">
        <v>25</v>
      </c>
      <c r="B11" s="8" t="s">
        <v>34</v>
      </c>
      <c r="C11" s="8" t="s">
        <v>0</v>
      </c>
      <c r="D11" s="8" t="s">
        <v>1</v>
      </c>
      <c r="E11" s="8" t="s">
        <v>2</v>
      </c>
      <c r="F11" s="8" t="s">
        <v>3</v>
      </c>
      <c r="G11" s="8" t="s">
        <v>4</v>
      </c>
      <c r="H11" s="8" t="s">
        <v>5</v>
      </c>
      <c r="I11" s="8" t="s">
        <v>6</v>
      </c>
      <c r="J11" s="8" t="s">
        <v>7</v>
      </c>
      <c r="K11" s="8" t="s">
        <v>8</v>
      </c>
      <c r="L11" s="8" t="s">
        <v>9</v>
      </c>
      <c r="M11" s="8" t="s">
        <v>10</v>
      </c>
      <c r="N11" s="8" t="s">
        <v>11</v>
      </c>
      <c r="O11" s="8" t="s">
        <v>12</v>
      </c>
      <c r="P11" s="8" t="s">
        <v>13</v>
      </c>
      <c r="Q11" s="8" t="s">
        <v>14</v>
      </c>
      <c r="R11" s="8" t="s">
        <v>15</v>
      </c>
      <c r="S11" s="8" t="s">
        <v>16</v>
      </c>
      <c r="T11" s="8" t="s">
        <v>17</v>
      </c>
      <c r="U11" s="8" t="s">
        <v>18</v>
      </c>
      <c r="V11" s="8" t="s">
        <v>19</v>
      </c>
      <c r="W11" s="8" t="s">
        <v>20</v>
      </c>
      <c r="X11" s="8" t="s">
        <v>21</v>
      </c>
      <c r="Y11" s="8" t="s">
        <v>22</v>
      </c>
    </row>
    <row r="12" spans="1:25" x14ac:dyDescent="0.25">
      <c r="A12" s="8" t="s">
        <v>37</v>
      </c>
      <c r="B12" s="8">
        <v>5.8446398111879579E-5</v>
      </c>
      <c r="C12" s="8">
        <v>4.3441745954311673E-5</v>
      </c>
      <c r="D12" s="8">
        <v>3.4610451553917016E-5</v>
      </c>
      <c r="E12" s="8">
        <v>2.9571210574874993E-5</v>
      </c>
      <c r="F12" s="8">
        <v>3.0944612562363986E-5</v>
      </c>
      <c r="G12" s="8">
        <v>4.0566388139795055E-5</v>
      </c>
      <c r="H12" s="8">
        <v>6.3387141456897839E-5</v>
      </c>
      <c r="I12" s="8">
        <v>8.3389772755303198E-5</v>
      </c>
      <c r="J12" s="8">
        <v>8.974460246037148E-5</v>
      </c>
      <c r="K12" s="8">
        <v>9.7930343836327621E-5</v>
      </c>
      <c r="L12" s="8">
        <v>1.0607900974080916E-4</v>
      </c>
      <c r="M12" s="8">
        <v>1.1118094462002348E-4</v>
      </c>
      <c r="N12" s="8">
        <v>1.0431804208407838E-4</v>
      </c>
      <c r="O12" s="8">
        <v>9.7890322287886455E-5</v>
      </c>
      <c r="P12" s="8">
        <v>1.0160364270945708E-4</v>
      </c>
      <c r="Q12" s="8">
        <v>1.101549295140366E-4</v>
      </c>
      <c r="R12" s="8">
        <v>1.2718349887932826E-4</v>
      </c>
      <c r="S12" s="8">
        <v>1.3564664562710441E-4</v>
      </c>
      <c r="T12" s="8">
        <v>1.3218263174191971E-4</v>
      </c>
      <c r="U12" s="8">
        <v>1.2477959130795168E-4</v>
      </c>
      <c r="V12" s="8">
        <v>1.201481257405613E-4</v>
      </c>
      <c r="W12" s="8">
        <v>1.1589689538087429E-4</v>
      </c>
      <c r="X12" s="8">
        <v>9.3229241994550102E-5</v>
      </c>
      <c r="Y12" s="8">
        <v>7.4135442264570026E-5</v>
      </c>
    </row>
    <row r="13" spans="1:25" x14ac:dyDescent="0.25">
      <c r="A13" s="8" t="s">
        <v>38</v>
      </c>
      <c r="B13" s="8">
        <v>7.4682033517330608E-5</v>
      </c>
      <c r="C13" s="8">
        <v>5.5456705277784185E-5</v>
      </c>
      <c r="D13" s="8">
        <v>4.4019863205615229E-5</v>
      </c>
      <c r="E13" s="8">
        <v>3.7449451360420427E-5</v>
      </c>
      <c r="F13" s="8">
        <v>3.9118038359958209E-5</v>
      </c>
      <c r="G13" s="8">
        <v>5.1030922671306509E-5</v>
      </c>
      <c r="H13" s="8">
        <v>7.9145004532615618E-5</v>
      </c>
      <c r="I13" s="8">
        <v>1.0394532249413659E-4</v>
      </c>
      <c r="J13" s="8">
        <v>1.1343573324713441E-4</v>
      </c>
      <c r="K13" s="8">
        <v>1.2373583525928145E-4</v>
      </c>
      <c r="L13" s="8">
        <v>1.3474447467930333E-4</v>
      </c>
      <c r="M13" s="8">
        <v>1.4137722337952469E-4</v>
      </c>
      <c r="N13" s="8">
        <v>1.3264090270242494E-4</v>
      </c>
      <c r="O13" s="8">
        <v>1.2468222531606901E-4</v>
      </c>
      <c r="P13" s="8">
        <v>1.2956335362357676E-4</v>
      </c>
      <c r="Q13" s="8">
        <v>1.4130173724729854E-4</v>
      </c>
      <c r="R13" s="8">
        <v>1.6235118258695603E-4</v>
      </c>
      <c r="S13" s="8">
        <v>1.7303216333098569E-4</v>
      </c>
      <c r="T13" s="8">
        <v>1.684411965216629E-4</v>
      </c>
      <c r="U13" s="8">
        <v>1.5876276821096382E-4</v>
      </c>
      <c r="V13" s="8">
        <v>1.527376883969443E-4</v>
      </c>
      <c r="W13" s="8">
        <v>1.4758909176047414E-4</v>
      </c>
      <c r="X13" s="8">
        <v>1.184638594887697E-4</v>
      </c>
      <c r="Y13" s="8">
        <v>9.4386681229653566E-5</v>
      </c>
    </row>
    <row r="14" spans="1:25" x14ac:dyDescent="0.25">
      <c r="A14" s="8" t="s">
        <v>39</v>
      </c>
      <c r="B14" s="8">
        <v>7.5085462979013908E-5</v>
      </c>
      <c r="C14" s="8">
        <v>5.5757720119006453E-5</v>
      </c>
      <c r="D14" s="8">
        <v>4.4309156319160224E-5</v>
      </c>
      <c r="E14" s="8">
        <v>3.7877666183024418E-5</v>
      </c>
      <c r="F14" s="8">
        <v>3.9585116832228355E-5</v>
      </c>
      <c r="G14" s="8">
        <v>5.0949398189411473E-5</v>
      </c>
      <c r="H14" s="8">
        <v>7.8025068492934237E-5</v>
      </c>
      <c r="I14" s="8">
        <v>1.0229790014458226E-4</v>
      </c>
      <c r="J14" s="8">
        <v>1.1210522801843573E-4</v>
      </c>
      <c r="K14" s="8">
        <v>1.2223134929192185E-4</v>
      </c>
      <c r="L14" s="8">
        <v>1.3344118236692564E-4</v>
      </c>
      <c r="M14" s="8">
        <v>1.409691709472379E-4</v>
      </c>
      <c r="N14" s="8">
        <v>1.3257576641692521E-4</v>
      </c>
      <c r="O14" s="8">
        <v>1.2503128776898554E-4</v>
      </c>
      <c r="P14" s="8">
        <v>1.3042498320919835E-4</v>
      </c>
      <c r="Q14" s="8">
        <v>1.4223974614145779E-4</v>
      </c>
      <c r="R14" s="8">
        <v>1.6339372218343064E-4</v>
      </c>
      <c r="S14" s="8">
        <v>1.72994050643588E-4</v>
      </c>
      <c r="T14" s="8">
        <v>1.6822320876300911E-4</v>
      </c>
      <c r="U14" s="8">
        <v>1.5861331184453605E-4</v>
      </c>
      <c r="V14" s="8">
        <v>1.5254942923313504E-4</v>
      </c>
      <c r="W14" s="8">
        <v>1.47188252352329E-4</v>
      </c>
      <c r="X14" s="8">
        <v>1.1830582565475089E-4</v>
      </c>
      <c r="Y14" s="8">
        <v>9.443718231531377E-5</v>
      </c>
    </row>
    <row r="15" spans="1:25" x14ac:dyDescent="0.25">
      <c r="A15" s="8" t="s">
        <v>40</v>
      </c>
      <c r="B15" s="8">
        <v>1.1233797995643145E-4</v>
      </c>
      <c r="C15" s="8">
        <v>8.3388685509713076E-5</v>
      </c>
      <c r="D15" s="8">
        <v>6.6149442210284022E-5</v>
      </c>
      <c r="E15" s="8">
        <v>5.6279313840199096E-5</v>
      </c>
      <c r="F15" s="8">
        <v>5.8774170049479147E-5</v>
      </c>
      <c r="G15" s="8">
        <v>7.6524146418877824E-5</v>
      </c>
      <c r="H15" s="8">
        <v>1.1860482706494002E-4</v>
      </c>
      <c r="I15" s="8">
        <v>1.5561575400277781E-4</v>
      </c>
      <c r="J15" s="8">
        <v>1.6991419254013164E-4</v>
      </c>
      <c r="K15" s="8">
        <v>1.8554213554658025E-4</v>
      </c>
      <c r="L15" s="8">
        <v>2.022618453607522E-4</v>
      </c>
      <c r="M15" s="8">
        <v>2.127500324371028E-4</v>
      </c>
      <c r="N15" s="8">
        <v>1.9995886063917031E-4</v>
      </c>
      <c r="O15" s="8">
        <v>1.8775384102833094E-4</v>
      </c>
      <c r="P15" s="8">
        <v>1.952636313948475E-4</v>
      </c>
      <c r="Q15" s="8">
        <v>2.1291799595997876E-4</v>
      </c>
      <c r="R15" s="8">
        <v>2.4519855453681709E-4</v>
      </c>
      <c r="S15" s="8">
        <v>2.6090446670733739E-4</v>
      </c>
      <c r="T15" s="8">
        <v>2.5383948991537564E-4</v>
      </c>
      <c r="U15" s="8">
        <v>2.3863108469822253E-4</v>
      </c>
      <c r="V15" s="8">
        <v>2.300359852408475E-4</v>
      </c>
      <c r="W15" s="8">
        <v>2.2237194252764088E-4</v>
      </c>
      <c r="X15" s="8">
        <v>1.7804181386945145E-4</v>
      </c>
      <c r="Y15" s="8">
        <v>1.4185418430716034E-4</v>
      </c>
    </row>
    <row r="16" spans="1:25" x14ac:dyDescent="0.25">
      <c r="A16" t="s">
        <v>80</v>
      </c>
      <c r="B16">
        <v>8.8282645463598741E-5</v>
      </c>
      <c r="C16">
        <v>6.8692381903439969E-5</v>
      </c>
      <c r="D16">
        <v>5.373706614134177E-5</v>
      </c>
      <c r="E16">
        <v>4.4491164262993674E-5</v>
      </c>
      <c r="F16">
        <v>4.5707279817746794E-5</v>
      </c>
      <c r="G16">
        <v>5.2574918111375562E-5</v>
      </c>
      <c r="H16">
        <v>7.8602803193720888E-5</v>
      </c>
      <c r="I16">
        <v>1.0841978467455369E-4</v>
      </c>
      <c r="J16">
        <v>1.3541724266349757E-4</v>
      </c>
      <c r="K16">
        <v>1.6979629531389619E-4</v>
      </c>
      <c r="L16">
        <v>2.1063967534550593E-4</v>
      </c>
      <c r="M16">
        <v>2.3622385310940636E-4</v>
      </c>
      <c r="N16">
        <v>2.1471872884611551E-4</v>
      </c>
      <c r="O16">
        <v>1.8965700073863832E-4</v>
      </c>
      <c r="P16">
        <v>1.9962655731002252E-4</v>
      </c>
      <c r="Q16">
        <v>2.0770707145038276E-4</v>
      </c>
      <c r="R16">
        <v>2.2181606299065602E-4</v>
      </c>
      <c r="S16">
        <v>2.2159948058170963E-4</v>
      </c>
      <c r="T16">
        <v>2.1486678594806439E-4</v>
      </c>
      <c r="U16">
        <v>1.9853040403352735E-4</v>
      </c>
      <c r="V16">
        <v>1.8559457647708495E-4</v>
      </c>
      <c r="W16">
        <v>1.7118830169291204E-4</v>
      </c>
      <c r="X16">
        <v>1.4350924999739938E-4</v>
      </c>
      <c r="Y16">
        <v>1.1450278256621809E-4</v>
      </c>
    </row>
    <row r="17" spans="1:25" x14ac:dyDescent="0.25">
      <c r="A17" t="s">
        <v>81</v>
      </c>
      <c r="B17">
        <v>6.9606633397044216E-5</v>
      </c>
      <c r="C17">
        <v>5.3981267186070025E-5</v>
      </c>
      <c r="D17">
        <v>4.2303420778669603E-5</v>
      </c>
      <c r="E17">
        <v>3.5068077438885393E-5</v>
      </c>
      <c r="F17">
        <v>3.5822329558407396E-5</v>
      </c>
      <c r="G17">
        <v>4.1435147791366539E-5</v>
      </c>
      <c r="H17">
        <v>6.4338838462465886E-5</v>
      </c>
      <c r="I17">
        <v>8.6803484838547323E-5</v>
      </c>
      <c r="J17">
        <v>1.0898191613961029E-4</v>
      </c>
      <c r="K17">
        <v>1.3793268575636614E-4</v>
      </c>
      <c r="L17">
        <v>1.6911385914125315E-4</v>
      </c>
      <c r="M17">
        <v>1.8739524445356389E-4</v>
      </c>
      <c r="N17">
        <v>1.7081474445249041E-4</v>
      </c>
      <c r="O17">
        <v>1.5007195995674056E-4</v>
      </c>
      <c r="P17">
        <v>1.5641674647679025E-4</v>
      </c>
      <c r="Q17">
        <v>1.6227784253826315E-4</v>
      </c>
      <c r="R17">
        <v>1.7367935781199611E-4</v>
      </c>
      <c r="S17">
        <v>1.7487795972237437E-4</v>
      </c>
      <c r="T17">
        <v>1.6995266125064982E-4</v>
      </c>
      <c r="U17">
        <v>1.5680466973584331E-4</v>
      </c>
      <c r="V17">
        <v>1.4724882813848124E-4</v>
      </c>
      <c r="W17">
        <v>1.3587871476219366E-4</v>
      </c>
      <c r="X17">
        <v>1.1375394318604663E-4</v>
      </c>
      <c r="Y17">
        <v>9.0651007705467473E-5</v>
      </c>
    </row>
    <row r="19" spans="1:25" x14ac:dyDescent="0.25">
      <c r="N19" s="8"/>
    </row>
    <row r="21" spans="1:25" x14ac:dyDescent="0.25">
      <c r="A21" s="8" t="s">
        <v>472</v>
      </c>
    </row>
    <row r="22" spans="1:25" x14ac:dyDescent="0.25">
      <c r="A22" s="8" t="s">
        <v>37</v>
      </c>
      <c r="B22" s="49">
        <f>(B12-B2)/B2</f>
        <v>-0.8816638748199539</v>
      </c>
      <c r="C22" s="49">
        <f t="shared" ref="C22:X27" si="0">(C12-C2)/C2</f>
        <v>0.11745951070659766</v>
      </c>
      <c r="D22" s="49">
        <f t="shared" si="0"/>
        <v>1.762306541396693E-2</v>
      </c>
      <c r="E22" s="49">
        <f t="shared" si="0"/>
        <v>-9.0440227591264896E-2</v>
      </c>
      <c r="F22" s="49">
        <f t="shared" si="0"/>
        <v>-0.23839768686402685</v>
      </c>
      <c r="G22" s="49">
        <f t="shared" si="0"/>
        <v>-0.47580956963162568</v>
      </c>
      <c r="H22" s="49">
        <f t="shared" si="0"/>
        <v>-0.57216796379226187</v>
      </c>
      <c r="I22" s="49">
        <f t="shared" si="0"/>
        <v>-0.60270863664453933</v>
      </c>
      <c r="J22" s="49">
        <f t="shared" si="0"/>
        <v>-0.50382180559770862</v>
      </c>
      <c r="K22" s="49">
        <f t="shared" si="0"/>
        <v>-0.50271044831231582</v>
      </c>
      <c r="L22" s="49">
        <f t="shared" si="0"/>
        <v>-0.45124251752629729</v>
      </c>
      <c r="M22" s="49">
        <f t="shared" si="0"/>
        <v>-0.35675357022709786</v>
      </c>
      <c r="N22" s="49">
        <f t="shared" si="0"/>
        <v>-0.29741387074749315</v>
      </c>
      <c r="O22" s="49">
        <f t="shared" si="0"/>
        <v>-0.23941683090871962</v>
      </c>
      <c r="P22" s="49">
        <f t="shared" si="0"/>
        <v>-0.16664131214687924</v>
      </c>
      <c r="Q22" s="49">
        <f t="shared" si="0"/>
        <v>-3.2977773137277268E-2</v>
      </c>
      <c r="R22" s="49">
        <f t="shared" si="0"/>
        <v>1.51544227016114E-2</v>
      </c>
      <c r="S22" s="49">
        <f t="shared" si="0"/>
        <v>-0.10347179970984456</v>
      </c>
      <c r="T22" s="49">
        <f t="shared" si="0"/>
        <v>-0.28353307298646602</v>
      </c>
      <c r="U22" s="49">
        <f t="shared" si="0"/>
        <v>-0.29727755664059696</v>
      </c>
      <c r="V22" s="49">
        <f t="shared" si="0"/>
        <v>-0.25910934058319607</v>
      </c>
      <c r="W22" s="49">
        <f t="shared" si="0"/>
        <v>-0.21011761521929087</v>
      </c>
      <c r="X22" s="49">
        <f t="shared" si="0"/>
        <v>-0.27368563664819895</v>
      </c>
      <c r="Y22" s="49">
        <f>(Y12-Y2)/Y2</f>
        <v>-0.20338752509009561</v>
      </c>
    </row>
    <row r="23" spans="1:25" x14ac:dyDescent="0.25">
      <c r="A23" s="8" t="s">
        <v>38</v>
      </c>
      <c r="B23" s="49">
        <f t="shared" ref="B23:Q27" si="1">(B13-B3)/B3</f>
        <v>0.54831524979704127</v>
      </c>
      <c r="C23" s="49">
        <f t="shared" si="1"/>
        <v>0.71498634927566906</v>
      </c>
      <c r="D23" s="49">
        <f t="shared" si="1"/>
        <v>0.55600295240549891</v>
      </c>
      <c r="E23" s="49">
        <f t="shared" si="1"/>
        <v>0.38480826388145156</v>
      </c>
      <c r="F23" s="49">
        <f t="shared" si="1"/>
        <v>0.15745026655131059</v>
      </c>
      <c r="G23" s="49">
        <f t="shared" si="1"/>
        <v>-0.20729422214965246</v>
      </c>
      <c r="H23" s="49">
        <f t="shared" si="1"/>
        <v>-0.35720588795307739</v>
      </c>
      <c r="I23" s="49">
        <f t="shared" si="1"/>
        <v>-0.40386104684032348</v>
      </c>
      <c r="J23" s="49">
        <f t="shared" si="1"/>
        <v>-0.24812667343378295</v>
      </c>
      <c r="K23" s="49">
        <f t="shared" si="1"/>
        <v>-0.24576850912280149</v>
      </c>
      <c r="L23" s="49">
        <f t="shared" si="1"/>
        <v>-0.1618820351306397</v>
      </c>
      <c r="M23" s="49">
        <f t="shared" si="1"/>
        <v>-1.6859868215941189E-2</v>
      </c>
      <c r="N23" s="49">
        <f t="shared" si="1"/>
        <v>7.4597389290739391E-2</v>
      </c>
      <c r="O23" s="49">
        <f t="shared" si="1"/>
        <v>0.1635257933041184</v>
      </c>
      <c r="P23" s="49">
        <f t="shared" si="1"/>
        <v>0.27682562366264818</v>
      </c>
      <c r="Q23" s="49">
        <f t="shared" si="1"/>
        <v>0.49217448849382217</v>
      </c>
      <c r="R23" s="49">
        <f t="shared" si="0"/>
        <v>0.55935086467538186</v>
      </c>
      <c r="S23" s="49">
        <f t="shared" si="0"/>
        <v>0.37695056066632454</v>
      </c>
      <c r="T23" s="49">
        <f t="shared" si="0"/>
        <v>9.539506001733869E-2</v>
      </c>
      <c r="U23" s="49">
        <f t="shared" si="0"/>
        <v>7.4224784027440371E-2</v>
      </c>
      <c r="V23" s="49">
        <f t="shared" si="0"/>
        <v>0.13092802019843541</v>
      </c>
      <c r="W23" s="49">
        <f t="shared" si="0"/>
        <v>0.21008252117216591</v>
      </c>
      <c r="X23" s="49">
        <f t="shared" si="0"/>
        <v>0.10865705616590232</v>
      </c>
      <c r="Y23" s="49">
        <f t="shared" ref="Y23:Y27" si="2">(Y13-Y3)/Y3</f>
        <v>0.21930965082109019</v>
      </c>
    </row>
    <row r="24" spans="1:25" x14ac:dyDescent="0.25">
      <c r="A24" s="8" t="s">
        <v>39</v>
      </c>
      <c r="B24" s="49">
        <f t="shared" si="1"/>
        <v>0.80475986489608475</v>
      </c>
      <c r="C24" s="49">
        <f t="shared" si="0"/>
        <v>0.99908782489076164</v>
      </c>
      <c r="D24" s="49">
        <f t="shared" si="0"/>
        <v>0.81583142742040193</v>
      </c>
      <c r="E24" s="49">
        <f t="shared" si="0"/>
        <v>0.62385660513249586</v>
      </c>
      <c r="F24" s="49">
        <f t="shared" si="0"/>
        <v>0.35793045765427678</v>
      </c>
      <c r="G24" s="49">
        <f t="shared" si="0"/>
        <v>-8.2432647987781354E-2</v>
      </c>
      <c r="H24" s="49">
        <f t="shared" si="0"/>
        <v>-0.2665610029832467</v>
      </c>
      <c r="I24" s="49">
        <f t="shared" si="0"/>
        <v>-0.32106091133866049</v>
      </c>
      <c r="J24" s="49">
        <f t="shared" si="0"/>
        <v>-0.13575251876412744</v>
      </c>
      <c r="K24" s="49">
        <f t="shared" si="0"/>
        <v>-0.13473305337237027</v>
      </c>
      <c r="L24" s="49">
        <f t="shared" si="0"/>
        <v>-3.8611037656389992E-2</v>
      </c>
      <c r="M24" s="49">
        <f t="shared" si="0"/>
        <v>0.13812854028966123</v>
      </c>
      <c r="N24" s="49">
        <f t="shared" si="0"/>
        <v>0.24257747779827135</v>
      </c>
      <c r="O24" s="49">
        <f t="shared" si="0"/>
        <v>0.35294598577703101</v>
      </c>
      <c r="P24" s="49">
        <f t="shared" si="0"/>
        <v>0.48968043160305968</v>
      </c>
      <c r="Q24" s="49">
        <f t="shared" si="0"/>
        <v>0.74145946328406143</v>
      </c>
      <c r="R24" s="49">
        <f t="shared" si="0"/>
        <v>0.81946631599563746</v>
      </c>
      <c r="S24" s="49">
        <f t="shared" si="0"/>
        <v>0.59258261316524763</v>
      </c>
      <c r="T24" s="49">
        <f t="shared" si="0"/>
        <v>0.27296379724889364</v>
      </c>
      <c r="U24" s="49">
        <f t="shared" si="0"/>
        <v>0.24312555236511485</v>
      </c>
      <c r="V24" s="49">
        <f t="shared" si="0"/>
        <v>0.3105693279961792</v>
      </c>
      <c r="W24" s="49">
        <f t="shared" si="0"/>
        <v>0.39582004680004096</v>
      </c>
      <c r="X24" s="49">
        <f t="shared" si="0"/>
        <v>0.28316062056980962</v>
      </c>
      <c r="Y24" s="49">
        <f t="shared" si="2"/>
        <v>0.41438158347471338</v>
      </c>
    </row>
    <row r="25" spans="1:25" x14ac:dyDescent="0.25">
      <c r="A25" s="8" t="s">
        <v>40</v>
      </c>
      <c r="B25" s="49">
        <f t="shared" si="1"/>
        <v>1.5366397585956229</v>
      </c>
      <c r="C25" s="49">
        <f t="shared" si="0"/>
        <v>1.8086825060370237</v>
      </c>
      <c r="D25" s="49">
        <f t="shared" si="0"/>
        <v>1.5466945006076027</v>
      </c>
      <c r="E25" s="49">
        <f t="shared" si="0"/>
        <v>1.2666368321529222</v>
      </c>
      <c r="F25" s="49">
        <f t="shared" si="0"/>
        <v>0.89409058075112435</v>
      </c>
      <c r="G25" s="49">
        <f t="shared" si="0"/>
        <v>0.29469071312593031</v>
      </c>
      <c r="H25" s="49">
        <f t="shared" si="0"/>
        <v>5.013119910726524E-2</v>
      </c>
      <c r="I25" s="49">
        <f t="shared" si="0"/>
        <v>-2.8521054776340132E-2</v>
      </c>
      <c r="J25" s="49">
        <f t="shared" si="0"/>
        <v>0.22821584226742606</v>
      </c>
      <c r="K25" s="49">
        <f t="shared" si="0"/>
        <v>0.23537488008751342</v>
      </c>
      <c r="L25" s="49">
        <f t="shared" si="0"/>
        <v>0.36928402094072743</v>
      </c>
      <c r="M25" s="49">
        <f t="shared" si="0"/>
        <v>0.60928898315177626</v>
      </c>
      <c r="N25" s="49">
        <f t="shared" si="0"/>
        <v>0.7647381767711694</v>
      </c>
      <c r="O25" s="49">
        <f t="shared" si="0"/>
        <v>0.90861896699011013</v>
      </c>
      <c r="P25" s="49">
        <f t="shared" si="0"/>
        <v>1.0951848333018614</v>
      </c>
      <c r="Q25" s="49">
        <f t="shared" si="0"/>
        <v>1.4489132664564355</v>
      </c>
      <c r="R25" s="49">
        <f t="shared" si="0"/>
        <v>1.5650464037292653</v>
      </c>
      <c r="S25" s="49">
        <f t="shared" si="0"/>
        <v>1.2591819805673681</v>
      </c>
      <c r="T25" s="49">
        <f t="shared" si="0"/>
        <v>0.80036973211959617</v>
      </c>
      <c r="U25" s="49">
        <f t="shared" si="0"/>
        <v>0.75921348605624173</v>
      </c>
      <c r="V25" s="49">
        <f t="shared" si="0"/>
        <v>0.85534124241432774</v>
      </c>
      <c r="W25" s="49">
        <f t="shared" si="0"/>
        <v>0.98544141199364677</v>
      </c>
      <c r="X25" s="49">
        <f t="shared" si="0"/>
        <v>0.81589572303480562</v>
      </c>
      <c r="Y25" s="49">
        <f t="shared" si="2"/>
        <v>0.99587972582783735</v>
      </c>
    </row>
    <row r="26" spans="1:25" x14ac:dyDescent="0.25">
      <c r="A26" s="8" t="s">
        <v>80</v>
      </c>
      <c r="B26" s="49">
        <f t="shared" si="1"/>
        <v>0.30999918993771758</v>
      </c>
      <c r="C26" s="49">
        <f t="shared" si="0"/>
        <v>0.57749764135835502</v>
      </c>
      <c r="D26" s="49">
        <f t="shared" si="0"/>
        <v>0.48062890855141877</v>
      </c>
      <c r="E26" s="49">
        <f t="shared" si="0"/>
        <v>0.32252763164776194</v>
      </c>
      <c r="F26" s="49">
        <f t="shared" si="0"/>
        <v>0.31802943055765098</v>
      </c>
      <c r="G26" s="49">
        <f t="shared" si="0"/>
        <v>-0.12030543265997047</v>
      </c>
      <c r="H26" s="49">
        <f t="shared" si="0"/>
        <v>-0.32979790367859485</v>
      </c>
      <c r="I26" s="49">
        <f t="shared" si="0"/>
        <v>-0.32888007104942996</v>
      </c>
      <c r="J26" s="49">
        <f t="shared" si="0"/>
        <v>-0.28008877625255951</v>
      </c>
      <c r="K26" s="49">
        <f t="shared" si="0"/>
        <v>-0.33816779515235412</v>
      </c>
      <c r="L26" s="49">
        <f t="shared" si="0"/>
        <v>-0.20133985188063758</v>
      </c>
      <c r="M26" s="49">
        <f t="shared" si="0"/>
        <v>-2.4602248447993847E-2</v>
      </c>
      <c r="N26" s="49">
        <f t="shared" si="0"/>
        <v>-1.3913073868005808E-2</v>
      </c>
      <c r="O26" s="49">
        <f t="shared" si="0"/>
        <v>1.5099714281861971E-2</v>
      </c>
      <c r="P26" s="49">
        <f t="shared" si="0"/>
        <v>0.15918845884752991</v>
      </c>
      <c r="Q26" s="49">
        <f t="shared" si="0"/>
        <v>0.38274995591356509</v>
      </c>
      <c r="R26" s="49">
        <f t="shared" si="0"/>
        <v>0.47553672430619831</v>
      </c>
      <c r="S26" s="49">
        <f t="shared" si="0"/>
        <v>0.28421502450776903</v>
      </c>
      <c r="T26" s="49">
        <f t="shared" si="0"/>
        <v>9.2743199485628508E-2</v>
      </c>
      <c r="U26" s="49">
        <f t="shared" si="0"/>
        <v>0.10763128853729052</v>
      </c>
      <c r="V26" s="49">
        <f t="shared" si="0"/>
        <v>0.10887733767619234</v>
      </c>
      <c r="W26" s="49">
        <f t="shared" si="0"/>
        <v>0.17016786130984476</v>
      </c>
      <c r="X26" s="49">
        <f t="shared" si="0"/>
        <v>0.129541050190183</v>
      </c>
      <c r="Y26" s="49">
        <f t="shared" si="2"/>
        <v>0.18338826735757</v>
      </c>
    </row>
    <row r="27" spans="1:25" x14ac:dyDescent="0.25">
      <c r="A27" s="8" t="s">
        <v>81</v>
      </c>
      <c r="B27" s="49">
        <f t="shared" si="1"/>
        <v>-0.89354993350867296</v>
      </c>
      <c r="C27" s="49">
        <f t="shared" si="0"/>
        <v>-0.11059226477215062</v>
      </c>
      <c r="D27" s="49">
        <f t="shared" si="0"/>
        <v>-0.16373216638769769</v>
      </c>
      <c r="E27" s="49">
        <f t="shared" si="0"/>
        <v>-0.25210513937004997</v>
      </c>
      <c r="F27" s="49">
        <f t="shared" si="0"/>
        <v>-0.25887557733905614</v>
      </c>
      <c r="G27" s="49">
        <f t="shared" si="0"/>
        <v>-0.50254482535912726</v>
      </c>
      <c r="H27" s="49">
        <f t="shared" si="0"/>
        <v>-0.60601803909950436</v>
      </c>
      <c r="I27" s="49">
        <f t="shared" si="0"/>
        <v>-0.61422618311369814</v>
      </c>
      <c r="J27" s="49">
        <f t="shared" si="0"/>
        <v>-0.58356986431737323</v>
      </c>
      <c r="K27" s="49">
        <f t="shared" si="0"/>
        <v>-0.61365659120236371</v>
      </c>
      <c r="L27" s="49">
        <f t="shared" si="0"/>
        <v>-0.53981263880052299</v>
      </c>
      <c r="M27" s="49">
        <f t="shared" si="0"/>
        <v>-0.44694952409849914</v>
      </c>
      <c r="N27" s="49">
        <f t="shared" si="0"/>
        <v>-0.43630525435122935</v>
      </c>
      <c r="O27" s="49">
        <f t="shared" si="0"/>
        <v>-0.42291620853325812</v>
      </c>
      <c r="P27" s="49">
        <f t="shared" si="0"/>
        <v>-0.3472969409123538</v>
      </c>
      <c r="Q27" s="49">
        <f t="shared" si="0"/>
        <v>-0.22578914051126109</v>
      </c>
      <c r="R27" s="49">
        <f t="shared" si="0"/>
        <v>-0.1718618104547894</v>
      </c>
      <c r="S27" s="49">
        <f t="shared" si="0"/>
        <v>-0.27226501658131941</v>
      </c>
      <c r="T27" s="49">
        <f t="shared" si="0"/>
        <v>-0.38058752571521132</v>
      </c>
      <c r="U27" s="49">
        <f t="shared" si="0"/>
        <v>-0.37311993431676538</v>
      </c>
      <c r="V27" s="49">
        <f t="shared" si="0"/>
        <v>-0.36844649800750878</v>
      </c>
      <c r="W27" s="49">
        <f t="shared" si="0"/>
        <v>-0.33361815102331854</v>
      </c>
      <c r="X27" s="49">
        <f t="shared" si="0"/>
        <v>-0.35762854515212544</v>
      </c>
      <c r="Y27" s="49">
        <f t="shared" si="2"/>
        <v>-0.32782631868111989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3F2E0-B87A-4DCC-BBCF-890C4AFF5DB9}">
  <sheetPr codeName="Sheet15">
    <tabColor rgb="FF002060"/>
  </sheetPr>
  <dimension ref="A1:Y27"/>
  <sheetViews>
    <sheetView workbookViewId="0">
      <selection activeCell="C15" sqref="C15"/>
    </sheetView>
  </sheetViews>
  <sheetFormatPr defaultRowHeight="15" x14ac:dyDescent="0.25"/>
  <cols>
    <col min="1" max="1" width="28.42578125" customWidth="1"/>
    <col min="2" max="2" width="10.5703125" bestFit="1" customWidth="1"/>
    <col min="3" max="3" width="10.42578125" bestFit="1" customWidth="1"/>
    <col min="4" max="25" width="10.5703125" bestFit="1" customWidth="1"/>
  </cols>
  <sheetData>
    <row r="1" spans="1:25" x14ac:dyDescent="0.25">
      <c r="A1" s="6" t="s">
        <v>25</v>
      </c>
      <c r="B1" s="7" t="s">
        <v>34</v>
      </c>
      <c r="C1" s="7" t="s">
        <v>0</v>
      </c>
      <c r="D1" s="7" t="s">
        <v>1</v>
      </c>
      <c r="E1" s="7" t="s">
        <v>2</v>
      </c>
      <c r="F1" s="7" t="s">
        <v>3</v>
      </c>
      <c r="G1" s="7" t="s">
        <v>4</v>
      </c>
      <c r="H1" s="7" t="s">
        <v>5</v>
      </c>
      <c r="I1" s="7" t="s">
        <v>6</v>
      </c>
      <c r="J1" s="7" t="s">
        <v>7</v>
      </c>
      <c r="K1" s="7" t="s">
        <v>8</v>
      </c>
      <c r="L1" s="7" t="s">
        <v>9</v>
      </c>
      <c r="M1" s="7" t="s">
        <v>10</v>
      </c>
      <c r="N1" s="7" t="s">
        <v>11</v>
      </c>
      <c r="O1" s="7" t="s">
        <v>12</v>
      </c>
      <c r="P1" s="7" t="s">
        <v>13</v>
      </c>
      <c r="Q1" s="7" t="s">
        <v>14</v>
      </c>
      <c r="R1" s="7" t="s">
        <v>15</v>
      </c>
      <c r="S1" s="7" t="s">
        <v>16</v>
      </c>
      <c r="T1" s="7" t="s">
        <v>17</v>
      </c>
      <c r="U1" s="7" t="s">
        <v>18</v>
      </c>
      <c r="V1" s="7" t="s">
        <v>19</v>
      </c>
      <c r="W1" s="7" t="s">
        <v>20</v>
      </c>
      <c r="X1" s="7" t="s">
        <v>21</v>
      </c>
      <c r="Y1" s="7" t="s">
        <v>22</v>
      </c>
    </row>
    <row r="2" spans="1:25" x14ac:dyDescent="0.25">
      <c r="A2" s="8" t="s">
        <v>37</v>
      </c>
      <c r="B2" s="8" cm="1">
        <f t="array" ref="B2">INDEX('Summarized Modified Source Data'!$J$600:$J$743,MATCH(1,($A2=LoadFactorSeasons)*(B$1=LoadFactorHours),0),)</f>
        <v>1.725270905625341E-4</v>
      </c>
      <c r="C2" s="8" cm="1">
        <f t="array" ref="C2">INDEX('Summarized Modified Source Data'!$J$600:$J$743,MATCH(1,($A2=LoadFactorSeasons)*(C$1=LoadFactorHours),0),)</f>
        <v>1.5857912919200088E-4</v>
      </c>
      <c r="D2" s="8" cm="1">
        <f t="array" ref="D2">INDEX('Summarized Modified Source Data'!$J$600:$J$743,MATCH(1,($A2=LoadFactorSeasons)*(D$1=LoadFactorHours),0),)</f>
        <v>1.4235562823611167E-4</v>
      </c>
      <c r="E2" s="8" cm="1">
        <f t="array" ref="E2">INDEX('Summarized Modified Source Data'!$J$600:$J$743,MATCH(1,($A2=LoadFactorSeasons)*(E$1=LoadFactorHours),0),)</f>
        <v>1.4740297737053518E-4</v>
      </c>
      <c r="F2" s="8" cm="1">
        <f t="array" ref="F2">INDEX('Summarized Modified Source Data'!$J$600:$J$743,MATCH(1,($A2=LoadFactorSeasons)*(F$1=LoadFactorHours),0),)</f>
        <v>1.5446163654461652E-4</v>
      </c>
      <c r="G2" s="8" cm="1">
        <f t="array" ref="G2">INDEX('Summarized Modified Source Data'!$J$600:$J$743,MATCH(1,($A2=LoadFactorSeasons)*(G$1=LoadFactorHours),0),)</f>
        <v>1.5840937488814376E-4</v>
      </c>
      <c r="H2" s="8" cm="1">
        <f t="array" ref="H2">INDEX('Summarized Modified Source Data'!$J$600:$J$743,MATCH(1,($A2=LoadFactorSeasons)*(H$1=LoadFactorHours),0),)</f>
        <v>2.0493668582590203E-4</v>
      </c>
      <c r="I2" s="8" cm="1">
        <f t="array" ref="I2">INDEX('Summarized Modified Source Data'!$J$600:$J$743,MATCH(1,($A2=LoadFactorSeasons)*(I$1=LoadFactorHours),0),)</f>
        <v>4.7954804266775317E-4</v>
      </c>
      <c r="J2" s="8" cm="1">
        <f t="array" ref="J2">INDEX('Summarized Modified Source Data'!$J$600:$J$743,MATCH(1,($A2=LoadFactorSeasons)*(J$1=LoadFactorHours),0),)</f>
        <v>5.0578298018535462E-4</v>
      </c>
      <c r="K2" s="8" cm="1">
        <f t="array" ref="K2">INDEX('Summarized Modified Source Data'!$J$600:$J$743,MATCH(1,($A2=LoadFactorSeasons)*(K$1=LoadFactorHours),0),)</f>
        <v>3.7109129010404516E-4</v>
      </c>
      <c r="L2" s="8" cm="1">
        <f t="array" ref="L2">INDEX('Summarized Modified Source Data'!$J$600:$J$743,MATCH(1,($A2=LoadFactorSeasons)*(L$1=LoadFactorHours),0),)</f>
        <v>3.0835556995325886E-4</v>
      </c>
      <c r="M2" s="8" cm="1">
        <f t="array" ref="M2">INDEX('Summarized Modified Source Data'!$J$600:$J$743,MATCH(1,($A2=LoadFactorSeasons)*(M$1=LoadFactorHours),0),)</f>
        <v>2.6957348840550007E-4</v>
      </c>
      <c r="N2" s="8" cm="1">
        <f t="array" ref="N2">INDEX('Summarized Modified Source Data'!$J$600:$J$743,MATCH(1,($A2=LoadFactorSeasons)*(N$1=LoadFactorHours),0),)</f>
        <v>2.386808989373098E-4</v>
      </c>
      <c r="O2" s="8" cm="1">
        <f t="array" ref="O2">INDEX('Summarized Modified Source Data'!$J$600:$J$743,MATCH(1,($A2=LoadFactorSeasons)*(O$1=LoadFactorHours),0),)</f>
        <v>2.2240501365509472E-4</v>
      </c>
      <c r="P2" s="8" cm="1">
        <f t="array" ref="P2">INDEX('Summarized Modified Source Data'!$J$600:$J$743,MATCH(1,($A2=LoadFactorSeasons)*(P$1=LoadFactorHours),0),)</f>
        <v>2.0923716145922436E-4</v>
      </c>
      <c r="Q2" s="8" cm="1">
        <f t="array" ref="Q2">INDEX('Summarized Modified Source Data'!$J$600:$J$743,MATCH(1,($A2=LoadFactorSeasons)*(Q$1=LoadFactorHours),0),)</f>
        <v>2.0509696418439272E-4</v>
      </c>
      <c r="R2" s="8" cm="1">
        <f t="array" ref="R2">INDEX('Summarized Modified Source Data'!$J$600:$J$743,MATCH(1,($A2=LoadFactorSeasons)*(R$1=LoadFactorHours),0),)</f>
        <v>2.0240855131931228E-4</v>
      </c>
      <c r="S2" s="8" cm="1">
        <f t="array" ref="S2">INDEX('Summarized Modified Source Data'!$J$600:$J$743,MATCH(1,($A2=LoadFactorSeasons)*(S$1=LoadFactorHours),0),)</f>
        <v>2.1044982486945595E-4</v>
      </c>
      <c r="T2" s="8" cm="1">
        <f t="array" ref="T2">INDEX('Summarized Modified Source Data'!$J$600:$J$743,MATCH(1,($A2=LoadFactorSeasons)*(T$1=LoadFactorHours),0),)</f>
        <v>2.4504952507382909E-4</v>
      </c>
      <c r="U2" s="8" cm="1">
        <f t="array" ref="U2">INDEX('Summarized Modified Source Data'!$J$600:$J$743,MATCH(1,($A2=LoadFactorSeasons)*(U$1=LoadFactorHours),0),)</f>
        <v>2.4767026320660865E-4</v>
      </c>
      <c r="V2" s="8" cm="1">
        <f t="array" ref="V2">INDEX('Summarized Modified Source Data'!$J$600:$J$743,MATCH(1,($A2=LoadFactorSeasons)*(V$1=LoadFactorHours),0),)</f>
        <v>2.6364857300678303E-4</v>
      </c>
      <c r="W2" s="8" cm="1">
        <f t="array" ref="W2">INDEX('Summarized Modified Source Data'!$J$600:$J$743,MATCH(1,($A2=LoadFactorSeasons)*(W$1=LoadFactorHours),0),)</f>
        <v>2.8535247256463722E-4</v>
      </c>
      <c r="X2" s="8" cm="1">
        <f t="array" ref="X2">INDEX('Summarized Modified Source Data'!$J$600:$J$743,MATCH(1,($A2=LoadFactorSeasons)*(X$1=LoadFactorHours),0),)</f>
        <v>2.8497225607887488E-4</v>
      </c>
      <c r="Y2" s="8" cm="1">
        <f t="array" ref="Y2">INDEX('Summarized Modified Source Data'!$J$600:$J$743,MATCH(1,($A2=LoadFactorSeasons)*(Y$1=LoadFactorHours),0),)</f>
        <v>1.6057269357772698E-4</v>
      </c>
    </row>
    <row r="3" spans="1:25" x14ac:dyDescent="0.25">
      <c r="A3" s="8" t="s">
        <v>38</v>
      </c>
      <c r="B3" s="8" cm="1">
        <f t="array" ref="B3">INDEX('Summarized Modified Source Data'!$J$600:$J$743,MATCH(1,($A3=LoadFactorSeasons)*(B$1=LoadFactorHours),0),)</f>
        <v>8.673548066665195E-5</v>
      </c>
      <c r="C3" s="8" cm="1">
        <f t="array" ref="C3">INDEX('Summarized Modified Source Data'!$J$600:$J$743,MATCH(1,($A3=LoadFactorSeasons)*(C$1=LoadFactorHours),0),)</f>
        <v>7.7568916628147246E-5</v>
      </c>
      <c r="D3" s="8" cm="1">
        <f t="array" ref="D3">INDEX('Summarized Modified Source Data'!$J$600:$J$743,MATCH(1,($A3=LoadFactorSeasons)*(D$1=LoadFactorHours),0),)</f>
        <v>7.6413420130369976E-5</v>
      </c>
      <c r="E3" s="8" cm="1">
        <f t="array" ref="E3">INDEX('Summarized Modified Source Data'!$J$600:$J$743,MATCH(1,($A3=LoadFactorSeasons)*(E$1=LoadFactorHours),0),)</f>
        <v>7.8314738954648918E-5</v>
      </c>
      <c r="F3" s="8" cm="1">
        <f t="array" ref="F3">INDEX('Summarized Modified Source Data'!$J$600:$J$743,MATCH(1,($A3=LoadFactorSeasons)*(F$1=LoadFactorHours),0),)</f>
        <v>7.8404794469138104E-5</v>
      </c>
      <c r="G3" s="8" cm="1">
        <f t="array" ref="G3">INDEX('Summarized Modified Source Data'!$J$600:$J$743,MATCH(1,($A3=LoadFactorSeasons)*(G$1=LoadFactorHours),0),)</f>
        <v>1.1189538458699692E-4</v>
      </c>
      <c r="H3" s="8" cm="1">
        <f t="array" ref="H3">INDEX('Summarized Modified Source Data'!$J$600:$J$743,MATCH(1,($A3=LoadFactorSeasons)*(H$1=LoadFactorHours),0),)</f>
        <v>2.0695209645903089E-4</v>
      </c>
      <c r="I3" s="8" cm="1">
        <f t="array" ref="I3">INDEX('Summarized Modified Source Data'!$J$600:$J$743,MATCH(1,($A3=LoadFactorSeasons)*(I$1=LoadFactorHours),0),)</f>
        <v>2.3519024875270174E-4</v>
      </c>
      <c r="J3" s="8" cm="1">
        <f t="array" ref="J3">INDEX('Summarized Modified Source Data'!$J$600:$J$743,MATCH(1,($A3=LoadFactorSeasons)*(J$1=LoadFactorHours),0),)</f>
        <v>1.8835042602419419E-4</v>
      </c>
      <c r="K3" s="8" cm="1">
        <f t="array" ref="K3">INDEX('Summarized Modified Source Data'!$J$600:$J$743,MATCH(1,($A3=LoadFactorSeasons)*(K$1=LoadFactorHours),0),)</f>
        <v>1.4490105734416293E-4</v>
      </c>
      <c r="L3" s="8" cm="1">
        <f t="array" ref="L3">INDEX('Summarized Modified Source Data'!$J$600:$J$743,MATCH(1,($A3=LoadFactorSeasons)*(L$1=LoadFactorHours),0),)</f>
        <v>1.2038590057020399E-4</v>
      </c>
      <c r="M3" s="8" cm="1">
        <f t="array" ref="M3">INDEX('Summarized Modified Source Data'!$J$600:$J$743,MATCH(1,($A3=LoadFactorSeasons)*(M$1=LoadFactorHours),0),)</f>
        <v>1.0261309298219586E-4</v>
      </c>
      <c r="N3" s="8" cm="1">
        <f t="array" ref="N3">INDEX('Summarized Modified Source Data'!$J$600:$J$743,MATCH(1,($A3=LoadFactorSeasons)*(N$1=LoadFactorHours),0),)</f>
        <v>9.2134930848175066E-5</v>
      </c>
      <c r="O3" s="8" cm="1">
        <f t="array" ref="O3">INDEX('Summarized Modified Source Data'!$J$600:$J$743,MATCH(1,($A3=LoadFactorSeasons)*(O$1=LoadFactorHours),0),)</f>
        <v>8.4984133689115291E-5</v>
      </c>
      <c r="P3" s="8" cm="1">
        <f t="array" ref="P3">INDEX('Summarized Modified Source Data'!$J$600:$J$743,MATCH(1,($A3=LoadFactorSeasons)*(P$1=LoadFactorHours),0),)</f>
        <v>8.0416521961700597E-5</v>
      </c>
      <c r="Q3" s="8" cm="1">
        <f t="array" ref="Q3">INDEX('Summarized Modified Source Data'!$J$600:$J$743,MATCH(1,($A3=LoadFactorSeasons)*(Q$1=LoadFactorHours),0),)</f>
        <v>7.5209190624366502E-5</v>
      </c>
      <c r="R3" s="8" cm="1">
        <f t="array" ref="R3">INDEX('Summarized Modified Source Data'!$J$600:$J$743,MATCH(1,($A3=LoadFactorSeasons)*(R$1=LoadFactorHours),0),)</f>
        <v>7.106941915067106E-5</v>
      </c>
      <c r="S3" s="8" cm="1">
        <f t="array" ref="S3">INDEX('Summarized Modified Source Data'!$J$600:$J$743,MATCH(1,($A3=LoadFactorSeasons)*(S$1=LoadFactorHours),0),)</f>
        <v>7.5756471754300091E-5</v>
      </c>
      <c r="T3" s="8" cm="1">
        <f t="array" ref="T3">INDEX('Summarized Modified Source Data'!$J$600:$J$743,MATCH(1,($A3=LoadFactorSeasons)*(T$1=LoadFactorHours),0),)</f>
        <v>8.3034460006701938E-5</v>
      </c>
      <c r="U3" s="8" cm="1">
        <f t="array" ref="U3">INDEX('Summarized Modified Source Data'!$J$600:$J$743,MATCH(1,($A3=LoadFactorSeasons)*(U$1=LoadFactorHours),0),)</f>
        <v>9.2851562467261144E-5</v>
      </c>
      <c r="V3" s="8" cm="1">
        <f t="array" ref="V3">INDEX('Summarized Modified Source Data'!$J$600:$J$743,MATCH(1,($A3=LoadFactorSeasons)*(V$1=LoadFactorHours),0),)</f>
        <v>1.1097101962452064E-4</v>
      </c>
      <c r="W3" s="8" cm="1">
        <f t="array" ref="W3">INDEX('Summarized Modified Source Data'!$J$600:$J$743,MATCH(1,($A3=LoadFactorSeasons)*(W$1=LoadFactorHours),0),)</f>
        <v>9.822953124389627E-5</v>
      </c>
      <c r="X3" s="8" cm="1">
        <f t="array" ref="X3">INDEX('Summarized Modified Source Data'!$J$600:$J$743,MATCH(1,($A3=LoadFactorSeasons)*(X$1=LoadFactorHours),0),)</f>
        <v>8.6699914720639177E-5</v>
      </c>
      <c r="Y3" s="8" cm="1">
        <f t="array" ref="Y3">INDEX('Summarized Modified Source Data'!$J$600:$J$743,MATCH(1,($A3=LoadFactorSeasons)*(Y$1=LoadFactorHours),0),)</f>
        <v>7.9759351654921077E-5</v>
      </c>
    </row>
    <row r="4" spans="1:25" x14ac:dyDescent="0.25">
      <c r="A4" s="8" t="s">
        <v>39</v>
      </c>
      <c r="B4" s="8" cm="1">
        <f t="array" ref="B4">INDEX('Summarized Modified Source Data'!$J$600:$J$743,MATCH(1,($A4=LoadFactorSeasons)*(B$1=LoadFactorHours),0),)</f>
        <v>2.4825342755668115E-6</v>
      </c>
      <c r="C4" s="8" cm="1">
        <f t="array" ref="C4">INDEX('Summarized Modified Source Data'!$J$600:$J$743,MATCH(1,($A4=LoadFactorSeasons)*(C$1=LoadFactorHours),0),)</f>
        <v>2.4791904368860472E-6</v>
      </c>
      <c r="D4" s="8" cm="1">
        <f t="array" ref="D4">INDEX('Summarized Modified Source Data'!$J$600:$J$743,MATCH(1,($A4=LoadFactorSeasons)*(D$1=LoadFactorHours),0),)</f>
        <v>2.5299022239533879E-6</v>
      </c>
      <c r="E4" s="8" cm="1">
        <f t="array" ref="E4">INDEX('Summarized Modified Source Data'!$J$600:$J$743,MATCH(1,($A4=LoadFactorSeasons)*(E$1=LoadFactorHours),0),)</f>
        <v>2.5761456407554443E-6</v>
      </c>
      <c r="F4" s="8" cm="1">
        <f t="array" ref="F4">INDEX('Summarized Modified Source Data'!$J$600:$J$743,MATCH(1,($A4=LoadFactorSeasons)*(F$1=LoadFactorHours),0),)</f>
        <v>2.5256495852158945E-6</v>
      </c>
      <c r="G4" s="8" cm="1">
        <f t="array" ref="G4">INDEX('Summarized Modified Source Data'!$J$600:$J$743,MATCH(1,($A4=LoadFactorSeasons)*(G$1=LoadFactorHours),0),)</f>
        <v>3.1953905929165368E-6</v>
      </c>
      <c r="H4" s="8" cm="1">
        <f t="array" ref="H4">INDEX('Summarized Modified Source Data'!$J$600:$J$743,MATCH(1,($A4=LoadFactorSeasons)*(H$1=LoadFactorHours),0),)</f>
        <v>4.1716278292993025E-6</v>
      </c>
      <c r="I4" s="8" cm="1">
        <f t="array" ref="I4">INDEX('Summarized Modified Source Data'!$J$600:$J$743,MATCH(1,($A4=LoadFactorSeasons)*(I$1=LoadFactorHours),0),)</f>
        <v>3.6405687183865292E-6</v>
      </c>
      <c r="J4" s="8" cm="1">
        <f t="array" ref="J4">INDEX('Summarized Modified Source Data'!$J$600:$J$743,MATCH(1,($A4=LoadFactorSeasons)*(J$1=LoadFactorHours),0),)</f>
        <v>2.7377359940892836E-6</v>
      </c>
      <c r="K4" s="8" cm="1">
        <f t="array" ref="K4">INDEX('Summarized Modified Source Data'!$J$600:$J$743,MATCH(1,($A4=LoadFactorSeasons)*(K$1=LoadFactorHours),0),)</f>
        <v>2.3405134994436439E-6</v>
      </c>
      <c r="L4" s="8" cm="1">
        <f t="array" ref="L4">INDEX('Summarized Modified Source Data'!$J$600:$J$743,MATCH(1,($A4=LoadFactorSeasons)*(L$1=LoadFactorHours),0),)</f>
        <v>2.1128621848237528E-6</v>
      </c>
      <c r="M4" s="8" cm="1">
        <f t="array" ref="M4">INDEX('Summarized Modified Source Data'!$J$600:$J$743,MATCH(1,($A4=LoadFactorSeasons)*(M$1=LoadFactorHours),0),)</f>
        <v>1.9411820431383899E-6</v>
      </c>
      <c r="N4" s="8" cm="1">
        <f t="array" ref="N4">INDEX('Summarized Modified Source Data'!$J$600:$J$743,MATCH(1,($A4=LoadFactorSeasons)*(N$1=LoadFactorHours),0),)</f>
        <v>1.8371287760701142E-6</v>
      </c>
      <c r="O4" s="8" cm="1">
        <f t="array" ref="O4">INDEX('Summarized Modified Source Data'!$J$600:$J$743,MATCH(1,($A4=LoadFactorSeasons)*(O$1=LoadFactorHours),0),)</f>
        <v>1.753481975759977E-6</v>
      </c>
      <c r="P4" s="8" cm="1">
        <f t="array" ref="P4">INDEX('Summarized Modified Source Data'!$J$600:$J$743,MATCH(1,($A4=LoadFactorSeasons)*(P$1=LoadFactorHours),0),)</f>
        <v>1.6848260369585975E-6</v>
      </c>
      <c r="Q4" s="8" cm="1">
        <f t="array" ref="Q4">INDEX('Summarized Modified Source Data'!$J$600:$J$743,MATCH(1,($A4=LoadFactorSeasons)*(Q$1=LoadFactorHours),0),)</f>
        <v>1.5842232344986155E-6</v>
      </c>
      <c r="R4" s="8" cm="1">
        <f t="array" ref="R4">INDEX('Summarized Modified Source Data'!$J$600:$J$743,MATCH(1,($A4=LoadFactorSeasons)*(R$1=LoadFactorHours),0),)</f>
        <v>1.5353178890174342E-6</v>
      </c>
      <c r="S4" s="8" cm="1">
        <f t="array" ref="S4">INDEX('Summarized Modified Source Data'!$J$600:$J$743,MATCH(1,($A4=LoadFactorSeasons)*(S$1=LoadFactorHours),0),)</f>
        <v>1.5660608715640525E-6</v>
      </c>
      <c r="T4" s="8" cm="1">
        <f t="array" ref="T4">INDEX('Summarized Modified Source Data'!$J$600:$J$743,MATCH(1,($A4=LoadFactorSeasons)*(T$1=LoadFactorHours),0),)</f>
        <v>1.7023126890733543E-6</v>
      </c>
      <c r="U4" s="8" cm="1">
        <f t="array" ref="U4">INDEX('Summarized Modified Source Data'!$J$600:$J$743,MATCH(1,($A4=LoadFactorSeasons)*(U$1=LoadFactorHours),0),)</f>
        <v>1.8517390078143209E-6</v>
      </c>
      <c r="V4" s="8" cm="1">
        <f t="array" ref="V4">INDEX('Summarized Modified Source Data'!$J$600:$J$743,MATCH(1,($A4=LoadFactorSeasons)*(V$1=LoadFactorHours),0),)</f>
        <v>2.2419539473158453E-6</v>
      </c>
      <c r="W4" s="8" cm="1">
        <f t="array" ref="W4">INDEX('Summarized Modified Source Data'!$J$600:$J$743,MATCH(1,($A4=LoadFactorSeasons)*(W$1=LoadFactorHours),0),)</f>
        <v>2.3219271124716985E-6</v>
      </c>
      <c r="X4" s="8" cm="1">
        <f t="array" ref="X4">INDEX('Summarized Modified Source Data'!$J$600:$J$743,MATCH(1,($A4=LoadFactorSeasons)*(X$1=LoadFactorHours),0),)</f>
        <v>2.2959711381365856E-6</v>
      </c>
      <c r="Y4" s="8" cm="1">
        <f t="array" ref="Y4">INDEX('Summarized Modified Source Data'!$J$600:$J$743,MATCH(1,($A4=LoadFactorSeasons)*(Y$1=LoadFactorHours),0),)</f>
        <v>2.4045398892520776E-6</v>
      </c>
    </row>
    <row r="5" spans="1:25" x14ac:dyDescent="0.25">
      <c r="A5" s="8" t="s">
        <v>40</v>
      </c>
      <c r="B5" s="8" cm="1">
        <f t="array" ref="B5">INDEX('Summarized Modified Source Data'!$J$600:$J$743,MATCH(1,($A5=LoadFactorSeasons)*(B$1=LoadFactorHours),0),)</f>
        <v>4.0422483190791869E-5</v>
      </c>
      <c r="C5" s="8" cm="1">
        <f t="array" ref="C5">INDEX('Summarized Modified Source Data'!$J$600:$J$743,MATCH(1,($A5=LoadFactorSeasons)*(C$1=LoadFactorHours),0),)</f>
        <v>3.690205750250692E-5</v>
      </c>
      <c r="D5" s="8" cm="1">
        <f t="array" ref="D5">INDEX('Summarized Modified Source Data'!$J$600:$J$743,MATCH(1,($A5=LoadFactorSeasons)*(D$1=LoadFactorHours),0),)</f>
        <v>3.7312263096104477E-5</v>
      </c>
      <c r="E5" s="8" cm="1">
        <f t="array" ref="E5">INDEX('Summarized Modified Source Data'!$J$600:$J$743,MATCH(1,($A5=LoadFactorSeasons)*(E$1=LoadFactorHours),0),)</f>
        <v>3.7913200238297576E-5</v>
      </c>
      <c r="F5" s="8" cm="1">
        <f t="array" ref="F5">INDEX('Summarized Modified Source Data'!$J$600:$J$743,MATCH(1,($A5=LoadFactorSeasons)*(F$1=LoadFactorHours),0),)</f>
        <v>3.69214223644408E-5</v>
      </c>
      <c r="G5" s="8" cm="1">
        <f t="array" ref="G5">INDEX('Summarized Modified Source Data'!$J$600:$J$743,MATCH(1,($A5=LoadFactorSeasons)*(G$1=LoadFactorHours),0),)</f>
        <v>5.6841335543735619E-5</v>
      </c>
      <c r="H5" s="8" cm="1">
        <f t="array" ref="H5">INDEX('Summarized Modified Source Data'!$J$600:$J$743,MATCH(1,($A5=LoadFactorSeasons)*(H$1=LoadFactorHours),0),)</f>
        <v>9.3698834790639755E-5</v>
      </c>
      <c r="I5" s="8" cm="1">
        <f t="array" ref="I5">INDEX('Summarized Modified Source Data'!$J$600:$J$743,MATCH(1,($A5=LoadFactorSeasons)*(I$1=LoadFactorHours),0),)</f>
        <v>8.7906609366867697E-5</v>
      </c>
      <c r="J5" s="8" cm="1">
        <f t="array" ref="J5">INDEX('Summarized Modified Source Data'!$J$600:$J$743,MATCH(1,($A5=LoadFactorSeasons)*(J$1=LoadFactorHours),0),)</f>
        <v>6.2600132458740621E-5</v>
      </c>
      <c r="K5" s="8" cm="1">
        <f t="array" ref="K5">INDEX('Summarized Modified Source Data'!$J$600:$J$743,MATCH(1,($A5=LoadFactorSeasons)*(K$1=LoadFactorHours),0),)</f>
        <v>4.847369754770375E-5</v>
      </c>
      <c r="L5" s="8" cm="1">
        <f t="array" ref="L5">INDEX('Summarized Modified Source Data'!$J$600:$J$743,MATCH(1,($A5=LoadFactorSeasons)*(L$1=LoadFactorHours),0),)</f>
        <v>3.943202547843811E-5</v>
      </c>
      <c r="M5" s="8" cm="1">
        <f t="array" ref="M5">INDEX('Summarized Modified Source Data'!$J$600:$J$743,MATCH(1,($A5=LoadFactorSeasons)*(M$1=LoadFactorHours),0),)</f>
        <v>3.2875415324912279E-5</v>
      </c>
      <c r="N5" s="8" cm="1">
        <f t="array" ref="N5">INDEX('Summarized Modified Source Data'!$J$600:$J$743,MATCH(1,($A5=LoadFactorSeasons)*(N$1=LoadFactorHours),0),)</f>
        <v>2.9526131933231821E-5</v>
      </c>
      <c r="O5" s="8" cm="1">
        <f t="array" ref="O5">INDEX('Summarized Modified Source Data'!$J$600:$J$743,MATCH(1,($A5=LoadFactorSeasons)*(O$1=LoadFactorHours),0),)</f>
        <v>2.7160252926441361E-5</v>
      </c>
      <c r="P5" s="8" cm="1">
        <f t="array" ref="P5">INDEX('Summarized Modified Source Data'!$J$600:$J$743,MATCH(1,($A5=LoadFactorSeasons)*(P$1=LoadFactorHours),0),)</f>
        <v>2.5860802625694267E-5</v>
      </c>
      <c r="Q5" s="8" cm="1">
        <f t="array" ref="Q5">INDEX('Summarized Modified Source Data'!$J$600:$J$743,MATCH(1,($A5=LoadFactorSeasons)*(Q$1=LoadFactorHours),0),)</f>
        <v>2.3906711162404435E-5</v>
      </c>
      <c r="R5" s="8" cm="1">
        <f t="array" ref="R5">INDEX('Summarized Modified Source Data'!$J$600:$J$743,MATCH(1,($A5=LoadFactorSeasons)*(R$1=LoadFactorHours),0),)</f>
        <v>2.2978779739481437E-5</v>
      </c>
      <c r="S5" s="8" cm="1">
        <f t="array" ref="S5">INDEX('Summarized Modified Source Data'!$J$600:$J$743,MATCH(1,($A5=LoadFactorSeasons)*(S$1=LoadFactorHours),0),)</f>
        <v>2.6489822183542338E-5</v>
      </c>
      <c r="T5" s="8" cm="1">
        <f t="array" ref="T5">INDEX('Summarized Modified Source Data'!$J$600:$J$743,MATCH(1,($A5=LoadFactorSeasons)*(T$1=LoadFactorHours),0),)</f>
        <v>3.0163027582086604E-5</v>
      </c>
      <c r="U5" s="8" cm="1">
        <f t="array" ref="U5">INDEX('Summarized Modified Source Data'!$J$600:$J$743,MATCH(1,($A5=LoadFactorSeasons)*(U$1=LoadFactorHours),0),)</f>
        <v>3.5294385019229441E-5</v>
      </c>
      <c r="V5" s="8" cm="1">
        <f t="array" ref="V5">INDEX('Summarized Modified Source Data'!$J$600:$J$743,MATCH(1,($A5=LoadFactorSeasons)*(V$1=LoadFactorHours),0),)</f>
        <v>4.2977457568677648E-5</v>
      </c>
      <c r="W5" s="8" cm="1">
        <f t="array" ref="W5">INDEX('Summarized Modified Source Data'!$J$600:$J$743,MATCH(1,($A5=LoadFactorSeasons)*(W$1=LoadFactorHours),0),)</f>
        <v>3.4928474022917478E-5</v>
      </c>
      <c r="X5" s="8" cm="1">
        <f t="array" ref="X5">INDEX('Summarized Modified Source Data'!$J$600:$J$743,MATCH(1,($A5=LoadFactorSeasons)*(X$1=LoadFactorHours),0),)</f>
        <v>3.155381024585381E-5</v>
      </c>
      <c r="Y5" s="8" cm="1">
        <f t="array" ref="Y5">INDEX('Summarized Modified Source Data'!$J$600:$J$743,MATCH(1,($A5=LoadFactorSeasons)*(Y$1=LoadFactorHours),0),)</f>
        <v>3.3126158124381116E-5</v>
      </c>
    </row>
    <row r="6" spans="1:25" x14ac:dyDescent="0.25">
      <c r="A6" s="8" t="s">
        <v>80</v>
      </c>
      <c r="B6" s="8" cm="1">
        <f t="array" ref="B6">INDEX('Summarized Modified Source Data'!$J$600:$J$743,MATCH(1,($A6=LoadFactorSeasons)*(B$1=LoadFactorHours),0),)</f>
        <v>2.6235673980403322E-6</v>
      </c>
      <c r="C6" s="8" cm="1">
        <f t="array" ref="C6">INDEX('Summarized Modified Source Data'!$J$600:$J$743,MATCH(1,($A6=LoadFactorSeasons)*(C$1=LoadFactorHours),0),)</f>
        <v>2.6220104115311356E-6</v>
      </c>
      <c r="D6" s="8" cm="1">
        <f t="array" ref="D6">INDEX('Summarized Modified Source Data'!$J$600:$J$743,MATCH(1,($A6=LoadFactorSeasons)*(D$1=LoadFactorHours),0),)</f>
        <v>2.6760345454355284E-6</v>
      </c>
      <c r="E6" s="8" cm="1">
        <f t="array" ref="E6">INDEX('Summarized Modified Source Data'!$J$600:$J$743,MATCH(1,($A6=LoadFactorSeasons)*(E$1=LoadFactorHours),0),)</f>
        <v>2.7253477970813266E-6</v>
      </c>
      <c r="F6" s="8" cm="1">
        <f t="array" ref="F6">INDEX('Summarized Modified Source Data'!$J$600:$J$743,MATCH(1,($A6=LoadFactorSeasons)*(F$1=LoadFactorHours),0),)</f>
        <v>2.660928131177402E-6</v>
      </c>
      <c r="G6" s="8" cm="1">
        <f t="array" ref="G6">INDEX('Summarized Modified Source Data'!$J$600:$J$743,MATCH(1,($A6=LoadFactorSeasons)*(G$1=LoadFactorHours),0),)</f>
        <v>3.5517552719694284E-6</v>
      </c>
      <c r="H6" s="8" cm="1">
        <f t="array" ref="H6">INDEX('Summarized Modified Source Data'!$J$600:$J$743,MATCH(1,($A6=LoadFactorSeasons)*(H$1=LoadFactorHours),0),)</f>
        <v>4.8162487603432046E-6</v>
      </c>
      <c r="I6" s="8" cm="1">
        <f t="array" ref="I6">INDEX('Summarized Modified Source Data'!$J$600:$J$743,MATCH(1,($A6=LoadFactorSeasons)*(I$1=LoadFactorHours),0),)</f>
        <v>4.0078325509710721E-6</v>
      </c>
      <c r="J6" s="8" cm="1">
        <f t="array" ref="J6">INDEX('Summarized Modified Source Data'!$J$600:$J$743,MATCH(1,($A6=LoadFactorSeasons)*(J$1=LoadFactorHours),0),)</f>
        <v>2.9023756009831795E-6</v>
      </c>
      <c r="K6" s="8" cm="1">
        <f t="array" ref="K6">INDEX('Summarized Modified Source Data'!$J$600:$J$743,MATCH(1,($A6=LoadFactorSeasons)*(K$1=LoadFactorHours),0),)</f>
        <v>2.4538176815777902E-6</v>
      </c>
      <c r="L6" s="8" cm="1">
        <f t="array" ref="L6">INDEX('Summarized Modified Source Data'!$J$600:$J$743,MATCH(1,($A6=LoadFactorSeasons)*(L$1=LoadFactorHours),0),)</f>
        <v>2.2081679103910037E-6</v>
      </c>
      <c r="M6" s="8" cm="1">
        <f t="array" ref="M6">INDEX('Summarized Modified Source Data'!$J$600:$J$743,MATCH(1,($A6=LoadFactorSeasons)*(M$1=LoadFactorHours),0),)</f>
        <v>2.0129735281109416E-6</v>
      </c>
      <c r="N6" s="8" cm="1">
        <f t="array" ref="N6">INDEX('Summarized Modified Source Data'!$J$600:$J$743,MATCH(1,($A6=LoadFactorSeasons)*(N$1=LoadFactorHours),0),)</f>
        <v>1.9021532341536742E-6</v>
      </c>
      <c r="O6" s="8" cm="1">
        <f t="array" ref="O6">INDEX('Summarized Modified Source Data'!$J$600:$J$743,MATCH(1,($A6=LoadFactorSeasons)*(O$1=LoadFactorHours),0),)</f>
        <v>1.8094526527599579E-6</v>
      </c>
      <c r="P6" s="8" cm="1">
        <f t="array" ref="P6">INDEX('Summarized Modified Source Data'!$J$600:$J$743,MATCH(1,($A6=LoadFactorSeasons)*(P$1=LoadFactorHours),0),)</f>
        <v>1.7281161635353732E-6</v>
      </c>
      <c r="Q6" s="8" cm="1">
        <f t="array" ref="Q6">INDEX('Summarized Modified Source Data'!$J$600:$J$743,MATCH(1,($A6=LoadFactorSeasons)*(Q$1=LoadFactorHours),0),)</f>
        <v>1.6451636715905412E-6</v>
      </c>
      <c r="R6" s="8" cm="1">
        <f t="array" ref="R6">INDEX('Summarized Modified Source Data'!$J$600:$J$743,MATCH(1,($A6=LoadFactorSeasons)*(R$1=LoadFactorHours),0),)</f>
        <v>1.5809575055089479E-6</v>
      </c>
      <c r="S6" s="8" cm="1">
        <f t="array" ref="S6">INDEX('Summarized Modified Source Data'!$J$600:$J$743,MATCH(1,($A6=LoadFactorSeasons)*(S$1=LoadFactorHours),0),)</f>
        <v>1.5987265923480197E-6</v>
      </c>
      <c r="T6" s="8" cm="1">
        <f t="array" ref="T6">INDEX('Summarized Modified Source Data'!$J$600:$J$743,MATCH(1,($A6=LoadFactorSeasons)*(T$1=LoadFactorHours),0),)</f>
        <v>1.7485201506207783E-6</v>
      </c>
      <c r="U6" s="8" cm="1">
        <f t="array" ref="U6">INDEX('Summarized Modified Source Data'!$J$600:$J$743,MATCH(1,($A6=LoadFactorSeasons)*(U$1=LoadFactorHours),0),)</f>
        <v>1.9218177828300291E-6</v>
      </c>
      <c r="V6" s="8" cm="1">
        <f t="array" ref="V6">INDEX('Summarized Modified Source Data'!$J$600:$J$743,MATCH(1,($A6=LoadFactorSeasons)*(V$1=LoadFactorHours),0),)</f>
        <v>2.3636895126775294E-6</v>
      </c>
      <c r="W6" s="8" cm="1">
        <f t="array" ref="W6">INDEX('Summarized Modified Source Data'!$J$600:$J$743,MATCH(1,($A6=LoadFactorSeasons)*(W$1=LoadFactorHours),0),)</f>
        <v>2.4513459437973041E-6</v>
      </c>
      <c r="X6" s="8" cm="1">
        <f t="array" ref="X6">INDEX('Summarized Modified Source Data'!$J$600:$J$743,MATCH(1,($A6=LoadFactorSeasons)*(X$1=LoadFactorHours),0),)</f>
        <v>2.3912500832383171E-6</v>
      </c>
      <c r="Y6" s="8" cm="1">
        <f t="array" ref="Y6">INDEX('Summarized Modified Source Data'!$J$600:$J$743,MATCH(1,($A6=LoadFactorSeasons)*(Y$1=LoadFactorHours),0),)</f>
        <v>2.5097251269230738E-6</v>
      </c>
    </row>
    <row r="7" spans="1:25" x14ac:dyDescent="0.25">
      <c r="A7" s="8" t="s">
        <v>81</v>
      </c>
      <c r="B7" s="8" cm="1">
        <f t="array" ref="B7">INDEX('Summarized Modified Source Data'!$J$600:$J$743,MATCH(1,($A7=LoadFactorSeasons)*(B$1=LoadFactorHours),0),)</f>
        <v>1.8497532032337908E-4</v>
      </c>
      <c r="C7" s="8" cm="1">
        <f t="array" ref="C7">INDEX('Summarized Modified Source Data'!$J$600:$J$743,MATCH(1,($A7=LoadFactorSeasons)*(C$1=LoadFactorHours),0),)</f>
        <v>1.6887315215134393E-4</v>
      </c>
      <c r="D7" s="8" cm="1">
        <f t="array" ref="D7">INDEX('Summarized Modified Source Data'!$J$600:$J$743,MATCH(1,($A7=LoadFactorSeasons)*(D$1=LoadFactorHours),0),)</f>
        <v>1.5144022627914058E-4</v>
      </c>
      <c r="E7" s="8" cm="1">
        <f t="array" ref="E7">INDEX('Summarized Modified Source Data'!$J$600:$J$743,MATCH(1,($A7=LoadFactorSeasons)*(E$1=LoadFactorHours),0),)</f>
        <v>1.5636402976976292E-4</v>
      </c>
      <c r="F7" s="8" cm="1">
        <f t="array" ref="F7">INDEX('Summarized Modified Source Data'!$J$600:$J$743,MATCH(1,($A7=LoadFactorSeasons)*(F$1=LoadFactorHours),0),)</f>
        <v>1.640824244307384E-4</v>
      </c>
      <c r="G7" s="8" cm="1">
        <f t="array" ref="G7">INDEX('Summarized Modified Source Data'!$J$600:$J$743,MATCH(1,($A7=LoadFactorSeasons)*(G$1=LoadFactorHours),0),)</f>
        <v>1.6727624291114208E-4</v>
      </c>
      <c r="H7" s="8" cm="1">
        <f t="array" ref="H7">INDEX('Summarized Modified Source Data'!$J$600:$J$743,MATCH(1,($A7=LoadFactorSeasons)*(H$1=LoadFactorHours),0),)</f>
        <v>2.1904271744768489E-4</v>
      </c>
      <c r="I7" s="8" cm="1">
        <f t="array" ref="I7">INDEX('Summarized Modified Source Data'!$J$600:$J$743,MATCH(1,($A7=LoadFactorSeasons)*(I$1=LoadFactorHours),0),)</f>
        <v>5.3869071702808532E-4</v>
      </c>
      <c r="J7" s="8" cm="1">
        <f t="array" ref="J7">INDEX('Summarized Modified Source Data'!$J$600:$J$743,MATCH(1,($A7=LoadFactorSeasons)*(J$1=LoadFactorHours),0),)</f>
        <v>5.458768086089935E-4</v>
      </c>
      <c r="K7" s="8" cm="1">
        <f t="array" ref="K7">INDEX('Summarized Modified Source Data'!$J$600:$J$743,MATCH(1,($A7=LoadFactorSeasons)*(K$1=LoadFactorHours),0),)</f>
        <v>3.8818202113906244E-4</v>
      </c>
      <c r="L7" s="8" cm="1">
        <f t="array" ref="L7">INDEX('Summarized Modified Source Data'!$J$600:$J$743,MATCH(1,($A7=LoadFactorSeasons)*(L$1=LoadFactorHours),0),)</f>
        <v>3.2031337843048451E-4</v>
      </c>
      <c r="M7" s="8" cm="1">
        <f t="array" ref="M7">INDEX('Summarized Modified Source Data'!$J$600:$J$743,MATCH(1,($A7=LoadFactorSeasons)*(M$1=LoadFactorHours),0),)</f>
        <v>2.7892681395525365E-4</v>
      </c>
      <c r="N7" s="8" cm="1">
        <f t="array" ref="N7">INDEX('Summarized Modified Source Data'!$J$600:$J$743,MATCH(1,($A7=LoadFactorSeasons)*(N$1=LoadFactorHours),0),)</f>
        <v>2.4472634106093103E-4</v>
      </c>
      <c r="O7" s="8" cm="1">
        <f t="array" ref="O7">INDEX('Summarized Modified Source Data'!$J$600:$J$743,MATCH(1,($A7=LoadFactorSeasons)*(O$1=LoadFactorHours),0),)</f>
        <v>2.2889032442892951E-4</v>
      </c>
      <c r="P7" s="8" cm="1">
        <f t="array" ref="P7">INDEX('Summarized Modified Source Data'!$J$600:$J$743,MATCH(1,($A7=LoadFactorSeasons)*(P$1=LoadFactorHours),0),)</f>
        <v>2.1451814126711302E-4</v>
      </c>
      <c r="Q7" s="8" cm="1">
        <f t="array" ref="Q7">INDEX('Summarized Modified Source Data'!$J$600:$J$743,MATCH(1,($A7=LoadFactorSeasons)*(Q$1=LoadFactorHours),0),)</f>
        <v>2.0666667083612066E-4</v>
      </c>
      <c r="R7" s="8" cm="1">
        <f t="array" ref="R7">INDEX('Summarized Modified Source Data'!$J$600:$J$743,MATCH(1,($A7=LoadFactorSeasons)*(R$1=LoadFactorHours),0),)</f>
        <v>2.0333977658570018E-4</v>
      </c>
      <c r="S7" s="8" cm="1">
        <f t="array" ref="S7">INDEX('Summarized Modified Source Data'!$J$600:$J$743,MATCH(1,($A7=LoadFactorSeasons)*(S$1=LoadFactorHours),0),)</f>
        <v>2.1724619455245784E-4</v>
      </c>
      <c r="T7" s="8" cm="1">
        <f t="array" ref="T7">INDEX('Summarized Modified Source Data'!$J$600:$J$743,MATCH(1,($A7=LoadFactorSeasons)*(T$1=LoadFactorHours),0),)</f>
        <v>2.5018244763162068E-4</v>
      </c>
      <c r="U7" s="8" cm="1">
        <f t="array" ref="U7">INDEX('Summarized Modified Source Data'!$J$600:$J$743,MATCH(1,($A7=LoadFactorSeasons)*(U$1=LoadFactorHours),0),)</f>
        <v>2.7613222278490045E-4</v>
      </c>
      <c r="V7" s="8" cm="1">
        <f t="array" ref="V7">INDEX('Summarized Modified Source Data'!$J$600:$J$743,MATCH(1,($A7=LoadFactorSeasons)*(V$1=LoadFactorHours),0),)</f>
        <v>2.9689204290752426E-4</v>
      </c>
      <c r="W7" s="8" cm="1">
        <f t="array" ref="W7">INDEX('Summarized Modified Source Data'!$J$600:$J$743,MATCH(1,($A7=LoadFactorSeasons)*(W$1=LoadFactorHours),0),)</f>
        <v>3.2177721190066952E-4</v>
      </c>
      <c r="X7" s="8" cm="1">
        <f t="array" ref="X7">INDEX('Summarized Modified Source Data'!$J$600:$J$743,MATCH(1,($A7=LoadFactorSeasons)*(X$1=LoadFactorHours),0),)</f>
        <v>3.2004722689045088E-4</v>
      </c>
      <c r="Y7" s="8" cm="1">
        <f t="array" ref="Y7">INDEX('Summarized Modified Source Data'!$J$600:$J$743,MATCH(1,($A7=LoadFactorSeasons)*(Y$1=LoadFactorHours),0),)</f>
        <v>1.6344249632167007E-4</v>
      </c>
    </row>
    <row r="8" spans="1:25" x14ac:dyDescent="0.25">
      <c r="A8" s="8"/>
      <c r="B8" s="8"/>
      <c r="C8" s="8"/>
      <c r="D8" s="8"/>
      <c r="E8" s="8"/>
      <c r="F8" s="8"/>
      <c r="G8" s="8"/>
      <c r="H8" s="8"/>
      <c r="I8" s="8"/>
      <c r="J8" s="8"/>
      <c r="K8" s="8"/>
      <c r="L8" s="8"/>
      <c r="M8" s="8"/>
      <c r="N8" s="8"/>
      <c r="O8" s="8"/>
      <c r="P8" s="8"/>
      <c r="Q8" s="8"/>
      <c r="R8" s="8"/>
      <c r="S8" s="8"/>
      <c r="T8" s="8"/>
      <c r="U8" s="8"/>
      <c r="V8" s="8"/>
      <c r="W8" s="8"/>
      <c r="X8" s="8"/>
      <c r="Y8" s="8"/>
    </row>
    <row r="9" spans="1:25" x14ac:dyDescent="0.25">
      <c r="A9" s="8"/>
      <c r="B9" s="8"/>
      <c r="C9" s="8"/>
      <c r="D9" s="8"/>
      <c r="E9" s="8"/>
      <c r="F9" s="8"/>
      <c r="G9" s="8"/>
      <c r="H9" s="8"/>
      <c r="I9" s="8"/>
      <c r="J9" s="8"/>
      <c r="K9" s="8"/>
      <c r="L9" s="8"/>
      <c r="M9" s="8"/>
      <c r="N9" s="8"/>
      <c r="O9" s="8"/>
      <c r="P9" s="8"/>
      <c r="Q9" s="8"/>
      <c r="R9" s="8"/>
      <c r="S9" s="8"/>
      <c r="T9" s="8"/>
      <c r="U9" s="8"/>
      <c r="V9" s="8"/>
      <c r="W9" s="8"/>
      <c r="X9" s="8"/>
      <c r="Y9" s="8"/>
    </row>
    <row r="10" spans="1:25" x14ac:dyDescent="0.25">
      <c r="A10" s="8"/>
      <c r="B10" s="8"/>
      <c r="C10" s="8"/>
      <c r="D10" s="8"/>
      <c r="E10" s="8"/>
      <c r="F10" s="8"/>
      <c r="G10" s="8"/>
      <c r="H10" s="8"/>
      <c r="I10" s="8"/>
      <c r="J10" s="8"/>
      <c r="K10" s="8"/>
      <c r="L10" s="8"/>
      <c r="M10" s="8"/>
      <c r="N10" s="8"/>
      <c r="O10" s="8"/>
      <c r="P10" s="8"/>
      <c r="Q10" s="8"/>
      <c r="R10" s="8"/>
      <c r="S10" s="8"/>
      <c r="T10" s="8"/>
      <c r="U10" s="8"/>
      <c r="V10" s="8"/>
      <c r="W10" s="8"/>
      <c r="X10" s="8"/>
      <c r="Y10" s="8"/>
    </row>
    <row r="11" spans="1:25" x14ac:dyDescent="0.25">
      <c r="A11" s="8" t="s">
        <v>25</v>
      </c>
      <c r="B11" s="8" t="s">
        <v>34</v>
      </c>
      <c r="C11" s="8" t="s">
        <v>0</v>
      </c>
      <c r="D11" s="8" t="s">
        <v>1</v>
      </c>
      <c r="E11" s="8" t="s">
        <v>2</v>
      </c>
      <c r="F11" s="8" t="s">
        <v>3</v>
      </c>
      <c r="G11" s="8" t="s">
        <v>4</v>
      </c>
      <c r="H11" s="8" t="s">
        <v>5</v>
      </c>
      <c r="I11" s="8" t="s">
        <v>6</v>
      </c>
      <c r="J11" s="8" t="s">
        <v>7</v>
      </c>
      <c r="K11" s="8" t="s">
        <v>8</v>
      </c>
      <c r="L11" s="8" t="s">
        <v>9</v>
      </c>
      <c r="M11" s="8" t="s">
        <v>10</v>
      </c>
      <c r="N11" s="8" t="s">
        <v>11</v>
      </c>
      <c r="O11" s="8" t="s">
        <v>12</v>
      </c>
      <c r="P11" s="8" t="s">
        <v>13</v>
      </c>
      <c r="Q11" s="8" t="s">
        <v>14</v>
      </c>
      <c r="R11" s="8" t="s">
        <v>15</v>
      </c>
      <c r="S11" s="8" t="s">
        <v>16</v>
      </c>
      <c r="T11" s="8" t="s">
        <v>17</v>
      </c>
      <c r="U11" s="8" t="s">
        <v>18</v>
      </c>
      <c r="V11" s="8" t="s">
        <v>19</v>
      </c>
      <c r="W11" s="8" t="s">
        <v>20</v>
      </c>
      <c r="X11" s="8" t="s">
        <v>21</v>
      </c>
      <c r="Y11" s="8" t="s">
        <v>22</v>
      </c>
    </row>
    <row r="12" spans="1:25" x14ac:dyDescent="0.25">
      <c r="A12" s="8" t="s">
        <v>37</v>
      </c>
      <c r="B12" s="8">
        <v>1.4106031621782868E-4</v>
      </c>
      <c r="C12" s="8">
        <v>1.296538216449584E-4</v>
      </c>
      <c r="D12" s="8">
        <v>1.165493296748167E-4</v>
      </c>
      <c r="E12" s="8">
        <v>1.2107305131883682E-4</v>
      </c>
      <c r="F12" s="8">
        <v>1.2747990061866973E-4</v>
      </c>
      <c r="G12" s="8">
        <v>1.2984392988783959E-4</v>
      </c>
      <c r="H12" s="8">
        <v>1.7223806805034066E-4</v>
      </c>
      <c r="I12" s="8">
        <v>3.905773849993652E-4</v>
      </c>
      <c r="J12" s="8">
        <v>4.2432159811077295E-4</v>
      </c>
      <c r="K12" s="8">
        <v>3.1225278893232285E-4</v>
      </c>
      <c r="L12" s="8">
        <v>2.6035323862576325E-4</v>
      </c>
      <c r="M12" s="8">
        <v>2.2822494557884541E-4</v>
      </c>
      <c r="N12" s="8">
        <v>2.0256033278988743E-4</v>
      </c>
      <c r="O12" s="8">
        <v>1.8887253930244309E-4</v>
      </c>
      <c r="P12" s="8">
        <v>1.7765615297245401E-4</v>
      </c>
      <c r="Q12" s="8">
        <v>1.7423420460059295E-4</v>
      </c>
      <c r="R12" s="8">
        <v>1.7166774332169713E-4</v>
      </c>
      <c r="S12" s="8">
        <v>1.7746604472957287E-4</v>
      </c>
      <c r="T12" s="8">
        <v>2.0607733528318906E-4</v>
      </c>
      <c r="U12" s="8">
        <v>2.0617238940462963E-4</v>
      </c>
      <c r="V12" s="8">
        <v>2.1881458755622748E-4</v>
      </c>
      <c r="W12" s="8">
        <v>2.3754024948002283E-4</v>
      </c>
      <c r="X12" s="8">
        <v>2.3830068245154747E-4</v>
      </c>
      <c r="Y12" s="8">
        <v>1.2993898400928016E-4</v>
      </c>
    </row>
    <row r="13" spans="1:25" x14ac:dyDescent="0.25">
      <c r="A13" s="8" t="s">
        <v>38</v>
      </c>
      <c r="B13" s="8">
        <v>8.673548066665195E-5</v>
      </c>
      <c r="C13" s="8">
        <v>7.7568916628147246E-5</v>
      </c>
      <c r="D13" s="8">
        <v>7.6413420130369976E-5</v>
      </c>
      <c r="E13" s="8">
        <v>7.8314738954648918E-5</v>
      </c>
      <c r="F13" s="8">
        <v>7.8404794469138104E-5</v>
      </c>
      <c r="G13" s="8">
        <v>1.1189538458699692E-4</v>
      </c>
      <c r="H13" s="8">
        <v>2.0695209645903089E-4</v>
      </c>
      <c r="I13" s="8">
        <v>2.3519024875270174E-4</v>
      </c>
      <c r="J13" s="8">
        <v>1.8835042602419419E-4</v>
      </c>
      <c r="K13" s="8">
        <v>1.4490105734416293E-4</v>
      </c>
      <c r="L13" s="8">
        <v>1.2038590057020399E-4</v>
      </c>
      <c r="M13" s="8">
        <v>1.0261309298219586E-4</v>
      </c>
      <c r="N13" s="8">
        <v>9.2134930848175066E-5</v>
      </c>
      <c r="O13" s="8">
        <v>8.4984133689115291E-5</v>
      </c>
      <c r="P13" s="8">
        <v>8.0416521961700597E-5</v>
      </c>
      <c r="Q13" s="8">
        <v>7.5209190624366502E-5</v>
      </c>
      <c r="R13" s="8">
        <v>7.106941915067106E-5</v>
      </c>
      <c r="S13" s="8">
        <v>7.5756471754300091E-5</v>
      </c>
      <c r="T13" s="8">
        <v>8.3034460006701938E-5</v>
      </c>
      <c r="U13" s="8">
        <v>9.2851562467261144E-5</v>
      </c>
      <c r="V13" s="8">
        <v>1.1097101962452064E-4</v>
      </c>
      <c r="W13" s="8">
        <v>9.822953124389627E-5</v>
      </c>
      <c r="X13" s="8">
        <v>8.6699914720639177E-5</v>
      </c>
      <c r="Y13" s="8">
        <v>7.9759351654921077E-5</v>
      </c>
    </row>
    <row r="14" spans="1:25" x14ac:dyDescent="0.25">
      <c r="A14" s="8" t="s">
        <v>39</v>
      </c>
      <c r="B14" s="8">
        <v>2.4825342755668115E-6</v>
      </c>
      <c r="C14" s="8">
        <v>2.4791904368860472E-6</v>
      </c>
      <c r="D14" s="8">
        <v>2.5299022239533879E-6</v>
      </c>
      <c r="E14" s="8">
        <v>2.5761456407554443E-6</v>
      </c>
      <c r="F14" s="8">
        <v>2.5256495852158945E-6</v>
      </c>
      <c r="G14" s="8">
        <v>3.1953905929165368E-6</v>
      </c>
      <c r="H14" s="8">
        <v>4.1716278292993025E-6</v>
      </c>
      <c r="I14" s="8">
        <v>3.6405687183865292E-6</v>
      </c>
      <c r="J14" s="8">
        <v>2.7377359940892836E-6</v>
      </c>
      <c r="K14" s="8">
        <v>2.3405134994436439E-6</v>
      </c>
      <c r="L14" s="8">
        <v>2.1128621848237528E-6</v>
      </c>
      <c r="M14" s="8">
        <v>1.9411820431383899E-6</v>
      </c>
      <c r="N14" s="8">
        <v>1.8371287760701142E-6</v>
      </c>
      <c r="O14" s="8">
        <v>1.753481975759977E-6</v>
      </c>
      <c r="P14" s="8">
        <v>1.6848260369585975E-6</v>
      </c>
      <c r="Q14" s="8">
        <v>1.5842232344986155E-6</v>
      </c>
      <c r="R14" s="8">
        <v>1.5353178890174342E-6</v>
      </c>
      <c r="S14" s="8">
        <v>1.5660608715640525E-6</v>
      </c>
      <c r="T14" s="8">
        <v>1.7023126890733543E-6</v>
      </c>
      <c r="U14" s="8">
        <v>1.8517390078143209E-6</v>
      </c>
      <c r="V14" s="8">
        <v>2.2419539473158453E-6</v>
      </c>
      <c r="W14" s="8">
        <v>2.3219271124716985E-6</v>
      </c>
      <c r="X14" s="8">
        <v>2.2959711381365856E-6</v>
      </c>
      <c r="Y14" s="8">
        <v>2.4045398892520776E-6</v>
      </c>
    </row>
    <row r="15" spans="1:25" x14ac:dyDescent="0.25">
      <c r="A15" s="8" t="s">
        <v>40</v>
      </c>
      <c r="B15" s="8">
        <v>1.0232433436070424E-4</v>
      </c>
      <c r="C15" s="8">
        <v>9.3804301857344525E-5</v>
      </c>
      <c r="D15" s="8">
        <v>8.8078752069143743E-5</v>
      </c>
      <c r="E15" s="8">
        <v>8.9709776077704167E-5</v>
      </c>
      <c r="F15" s="8">
        <v>9.0000247136795138E-5</v>
      </c>
      <c r="G15" s="8">
        <v>1.1303565357712088E-4</v>
      </c>
      <c r="H15" s="8">
        <v>1.5802398451305555E-4</v>
      </c>
      <c r="I15" s="8">
        <v>2.629308539604176E-4</v>
      </c>
      <c r="J15" s="8">
        <v>2.2285203162185206E-4</v>
      </c>
      <c r="K15" s="8">
        <v>1.6422156870519029E-4</v>
      </c>
      <c r="L15" s="8">
        <v>1.3386284120465896E-4</v>
      </c>
      <c r="M15" s="8">
        <v>1.1421681104947875E-4</v>
      </c>
      <c r="N15" s="8">
        <v>1.0058298337078414E-4</v>
      </c>
      <c r="O15" s="8">
        <v>9.3125776243133059E-5</v>
      </c>
      <c r="P15" s="8">
        <v>8.798737669802932E-5</v>
      </c>
      <c r="Q15" s="8">
        <v>8.4620336573158043E-5</v>
      </c>
      <c r="R15" s="8">
        <v>8.3452500390527584E-5</v>
      </c>
      <c r="S15" s="8">
        <v>9.137594704888617E-5</v>
      </c>
      <c r="T15" s="8">
        <v>1.0682963044891935E-4</v>
      </c>
      <c r="U15" s="8">
        <v>1.1692954659689306E-4</v>
      </c>
      <c r="V15" s="8">
        <v>1.3117546173370501E-4</v>
      </c>
      <c r="W15" s="8">
        <v>1.2898530632051962E-4</v>
      </c>
      <c r="X15" s="8">
        <v>1.2336674197174378E-4</v>
      </c>
      <c r="Y15" s="8">
        <v>9.3389193340997776E-5</v>
      </c>
    </row>
    <row r="16" spans="1:25" x14ac:dyDescent="0.25">
      <c r="A16" t="s">
        <v>80</v>
      </c>
      <c r="B16">
        <v>2.6235673980403322E-6</v>
      </c>
      <c r="C16">
        <v>2.6220104115311356E-6</v>
      </c>
      <c r="D16">
        <v>2.6760345454355284E-6</v>
      </c>
      <c r="E16">
        <v>2.7253477970813266E-6</v>
      </c>
      <c r="F16">
        <v>2.660928131177402E-6</v>
      </c>
      <c r="G16">
        <v>3.5517552719694284E-6</v>
      </c>
      <c r="H16">
        <v>4.8162487603432046E-6</v>
      </c>
      <c r="I16">
        <v>4.0078325509710721E-6</v>
      </c>
      <c r="J16">
        <v>2.9023756009831795E-6</v>
      </c>
      <c r="K16">
        <v>2.4538176815777902E-6</v>
      </c>
      <c r="L16">
        <v>2.2081679103910037E-6</v>
      </c>
      <c r="M16">
        <v>2.0129735281109416E-6</v>
      </c>
      <c r="N16">
        <v>1.9021532341536742E-6</v>
      </c>
      <c r="O16">
        <v>1.8094526527599579E-6</v>
      </c>
      <c r="P16">
        <v>1.7281161635353732E-6</v>
      </c>
      <c r="Q16">
        <v>1.6451636715905412E-6</v>
      </c>
      <c r="R16">
        <v>1.5809575055089479E-6</v>
      </c>
      <c r="S16">
        <v>1.5987265923480197E-6</v>
      </c>
      <c r="T16">
        <v>1.7485201506207783E-6</v>
      </c>
      <c r="U16">
        <v>1.9218177828300291E-6</v>
      </c>
      <c r="V16">
        <v>2.3636895126775294E-6</v>
      </c>
      <c r="W16">
        <v>2.4513459437973041E-6</v>
      </c>
      <c r="X16">
        <v>2.3912500832383171E-6</v>
      </c>
      <c r="Y16">
        <v>2.5097251269230738E-6</v>
      </c>
    </row>
    <row r="17" spans="1:25" x14ac:dyDescent="0.25">
      <c r="A17" t="s">
        <v>81</v>
      </c>
      <c r="B17">
        <v>1.5130715050912374E-4</v>
      </c>
      <c r="C17">
        <v>1.3786649773742498E-4</v>
      </c>
      <c r="D17">
        <v>1.2389354188565893E-4</v>
      </c>
      <c r="E17">
        <v>1.2828504229621399E-4</v>
      </c>
      <c r="F17">
        <v>1.353380581071054E-4</v>
      </c>
      <c r="G17">
        <v>1.3680189157729044E-4</v>
      </c>
      <c r="H17">
        <v>1.8737068418368184E-4</v>
      </c>
      <c r="I17">
        <v>4.3781928335533609E-4</v>
      </c>
      <c r="J17">
        <v>4.5644989115769082E-4</v>
      </c>
      <c r="K17">
        <v>3.2603563654120773E-4</v>
      </c>
      <c r="L17">
        <v>2.7027688890416036E-4</v>
      </c>
      <c r="M17">
        <v>2.3620949177985458E-4</v>
      </c>
      <c r="N17">
        <v>2.0786435276627205E-4</v>
      </c>
      <c r="O17">
        <v>1.945567757645901E-4</v>
      </c>
      <c r="P17">
        <v>1.824468806930595E-4</v>
      </c>
      <c r="Q17">
        <v>1.7566001642220171E-4</v>
      </c>
      <c r="R17">
        <v>1.7259927371181488E-4</v>
      </c>
      <c r="S17">
        <v>1.8264649434808478E-4</v>
      </c>
      <c r="T17">
        <v>2.122558531768271E-4</v>
      </c>
      <c r="U17">
        <v>2.3075338520916501E-4</v>
      </c>
      <c r="V17">
        <v>2.4725478069125061E-4</v>
      </c>
      <c r="W17">
        <v>2.6881305543397541E-4</v>
      </c>
      <c r="X17">
        <v>2.6814767658389128E-4</v>
      </c>
      <c r="Y17">
        <v>1.350719065670718E-4</v>
      </c>
    </row>
    <row r="19" spans="1:25" x14ac:dyDescent="0.25">
      <c r="N19" s="8"/>
    </row>
    <row r="21" spans="1:25" x14ac:dyDescent="0.25">
      <c r="A21" s="8" t="s">
        <v>472</v>
      </c>
    </row>
    <row r="22" spans="1:25" x14ac:dyDescent="0.25">
      <c r="A22" s="8" t="s">
        <v>37</v>
      </c>
      <c r="B22" s="49">
        <f>(B12-B2)/B2</f>
        <v>-0.1823874398049968</v>
      </c>
      <c r="C22" s="49">
        <f t="shared" ref="C22:X27" si="0">(C12-C2)/C2</f>
        <v>-0.18240299145558395</v>
      </c>
      <c r="D22" s="49">
        <f t="shared" si="0"/>
        <v>-0.18128049365559701</v>
      </c>
      <c r="E22" s="49">
        <f t="shared" si="0"/>
        <v>-0.17862546958947337</v>
      </c>
      <c r="F22" s="49">
        <f t="shared" si="0"/>
        <v>-0.17468244238208019</v>
      </c>
      <c r="G22" s="49">
        <f t="shared" si="0"/>
        <v>-0.18032673268532773</v>
      </c>
      <c r="H22" s="49">
        <f t="shared" si="0"/>
        <v>-0.15955473098330245</v>
      </c>
      <c r="I22" s="49">
        <f t="shared" si="0"/>
        <v>-0.18553022794846397</v>
      </c>
      <c r="J22" s="49">
        <f t="shared" si="0"/>
        <v>-0.16105995113700439</v>
      </c>
      <c r="K22" s="49">
        <f t="shared" si="0"/>
        <v>-0.15855532786885243</v>
      </c>
      <c r="L22" s="49">
        <f t="shared" si="0"/>
        <v>-0.15567200986436502</v>
      </c>
      <c r="M22" s="49">
        <f t="shared" si="0"/>
        <v>-0.15338504936530337</v>
      </c>
      <c r="N22" s="49">
        <f t="shared" si="0"/>
        <v>-0.15133412982875324</v>
      </c>
      <c r="O22" s="49">
        <f t="shared" si="0"/>
        <v>-0.15077211525749923</v>
      </c>
      <c r="P22" s="49">
        <f t="shared" si="0"/>
        <v>-0.15093403230345764</v>
      </c>
      <c r="Q22" s="49">
        <f t="shared" si="0"/>
        <v>-0.15047887084302505</v>
      </c>
      <c r="R22" s="49">
        <f t="shared" si="0"/>
        <v>-0.15187504577867159</v>
      </c>
      <c r="S22" s="49">
        <f t="shared" si="0"/>
        <v>-0.15672990063233949</v>
      </c>
      <c r="T22" s="49">
        <f t="shared" si="0"/>
        <v>-0.15903801396431355</v>
      </c>
      <c r="U22" s="49">
        <f t="shared" si="0"/>
        <v>-0.16755291194309083</v>
      </c>
      <c r="V22" s="49">
        <f t="shared" si="0"/>
        <v>-0.17005206946218551</v>
      </c>
      <c r="W22" s="49">
        <f t="shared" si="0"/>
        <v>-0.16755496335776135</v>
      </c>
      <c r="X22" s="49">
        <f t="shared" si="0"/>
        <v>-0.16377585056704472</v>
      </c>
      <c r="Y22" s="49">
        <f>(Y12-Y2)/Y2</f>
        <v>-0.19077782707567423</v>
      </c>
    </row>
    <row r="23" spans="1:25" x14ac:dyDescent="0.25">
      <c r="A23" s="8" t="s">
        <v>38</v>
      </c>
      <c r="B23" s="49">
        <f t="shared" ref="B23:Q27" si="1">(B13-B3)/B3</f>
        <v>0</v>
      </c>
      <c r="C23" s="49">
        <f t="shared" si="1"/>
        <v>0</v>
      </c>
      <c r="D23" s="49">
        <f t="shared" si="1"/>
        <v>0</v>
      </c>
      <c r="E23" s="49">
        <f t="shared" si="1"/>
        <v>0</v>
      </c>
      <c r="F23" s="49">
        <f t="shared" si="1"/>
        <v>0</v>
      </c>
      <c r="G23" s="49">
        <f t="shared" si="1"/>
        <v>0</v>
      </c>
      <c r="H23" s="49">
        <f t="shared" si="1"/>
        <v>0</v>
      </c>
      <c r="I23" s="49">
        <f t="shared" si="1"/>
        <v>0</v>
      </c>
      <c r="J23" s="49">
        <f t="shared" si="1"/>
        <v>0</v>
      </c>
      <c r="K23" s="49">
        <f t="shared" si="1"/>
        <v>0</v>
      </c>
      <c r="L23" s="49">
        <f t="shared" si="1"/>
        <v>0</v>
      </c>
      <c r="M23" s="49">
        <f t="shared" si="1"/>
        <v>0</v>
      </c>
      <c r="N23" s="49">
        <f t="shared" si="1"/>
        <v>0</v>
      </c>
      <c r="O23" s="49">
        <f t="shared" si="1"/>
        <v>0</v>
      </c>
      <c r="P23" s="49">
        <f t="shared" si="1"/>
        <v>0</v>
      </c>
      <c r="Q23" s="49">
        <f t="shared" si="1"/>
        <v>0</v>
      </c>
      <c r="R23" s="49">
        <f t="shared" si="0"/>
        <v>0</v>
      </c>
      <c r="S23" s="49">
        <f t="shared" si="0"/>
        <v>0</v>
      </c>
      <c r="T23" s="49">
        <f t="shared" si="0"/>
        <v>0</v>
      </c>
      <c r="U23" s="49">
        <f t="shared" si="0"/>
        <v>0</v>
      </c>
      <c r="V23" s="49">
        <f t="shared" si="0"/>
        <v>0</v>
      </c>
      <c r="W23" s="49">
        <f t="shared" si="0"/>
        <v>0</v>
      </c>
      <c r="X23" s="49">
        <f t="shared" si="0"/>
        <v>0</v>
      </c>
      <c r="Y23" s="49">
        <f t="shared" ref="Y23:Y27" si="2">(Y13-Y3)/Y3</f>
        <v>0</v>
      </c>
    </row>
    <row r="24" spans="1:25" x14ac:dyDescent="0.25">
      <c r="A24" s="8" t="s">
        <v>39</v>
      </c>
      <c r="B24" s="49">
        <f t="shared" si="1"/>
        <v>0</v>
      </c>
      <c r="C24" s="49">
        <f t="shared" si="0"/>
        <v>0</v>
      </c>
      <c r="D24" s="49">
        <f t="shared" si="0"/>
        <v>0</v>
      </c>
      <c r="E24" s="49">
        <f t="shared" si="0"/>
        <v>0</v>
      </c>
      <c r="F24" s="49">
        <f t="shared" si="0"/>
        <v>0</v>
      </c>
      <c r="G24" s="49">
        <f t="shared" si="0"/>
        <v>0</v>
      </c>
      <c r="H24" s="49">
        <f t="shared" si="0"/>
        <v>0</v>
      </c>
      <c r="I24" s="49">
        <f t="shared" si="0"/>
        <v>0</v>
      </c>
      <c r="J24" s="49">
        <f t="shared" si="0"/>
        <v>0</v>
      </c>
      <c r="K24" s="49">
        <f t="shared" si="0"/>
        <v>0</v>
      </c>
      <c r="L24" s="49">
        <f t="shared" si="0"/>
        <v>0</v>
      </c>
      <c r="M24" s="49">
        <f t="shared" si="0"/>
        <v>0</v>
      </c>
      <c r="N24" s="49">
        <f t="shared" si="0"/>
        <v>0</v>
      </c>
      <c r="O24" s="49">
        <f t="shared" si="0"/>
        <v>0</v>
      </c>
      <c r="P24" s="49">
        <f t="shared" si="0"/>
        <v>0</v>
      </c>
      <c r="Q24" s="49">
        <f t="shared" si="0"/>
        <v>0</v>
      </c>
      <c r="R24" s="49">
        <f t="shared" si="0"/>
        <v>0</v>
      </c>
      <c r="S24" s="49">
        <f t="shared" si="0"/>
        <v>0</v>
      </c>
      <c r="T24" s="49">
        <f t="shared" si="0"/>
        <v>0</v>
      </c>
      <c r="U24" s="49">
        <f t="shared" si="0"/>
        <v>0</v>
      </c>
      <c r="V24" s="49">
        <f t="shared" si="0"/>
        <v>0</v>
      </c>
      <c r="W24" s="49">
        <f t="shared" si="0"/>
        <v>0</v>
      </c>
      <c r="X24" s="49">
        <f t="shared" si="0"/>
        <v>0</v>
      </c>
      <c r="Y24" s="49">
        <f t="shared" si="2"/>
        <v>0</v>
      </c>
    </row>
    <row r="25" spans="1:25" x14ac:dyDescent="0.25">
      <c r="A25" s="8" t="s">
        <v>40</v>
      </c>
      <c r="B25" s="49">
        <f t="shared" si="1"/>
        <v>1.5313718080539256</v>
      </c>
      <c r="C25" s="49">
        <f t="shared" si="0"/>
        <v>1.5419802635929443</v>
      </c>
      <c r="D25" s="49">
        <f t="shared" si="0"/>
        <v>1.360584557475943</v>
      </c>
      <c r="E25" s="49">
        <f t="shared" si="0"/>
        <v>1.3661884386927823</v>
      </c>
      <c r="F25" s="49">
        <f t="shared" si="0"/>
        <v>1.4376159252053846</v>
      </c>
      <c r="G25" s="49">
        <f t="shared" si="0"/>
        <v>0.98861713040059518</v>
      </c>
      <c r="H25" s="49">
        <f t="shared" si="0"/>
        <v>0.68650960138558415</v>
      </c>
      <c r="I25" s="49">
        <f t="shared" si="0"/>
        <v>1.99102485983855</v>
      </c>
      <c r="J25" s="49">
        <f t="shared" si="0"/>
        <v>2.5599290747305132</v>
      </c>
      <c r="K25" s="49">
        <f t="shared" si="0"/>
        <v>2.3878490194311501</v>
      </c>
      <c r="L25" s="49">
        <f t="shared" si="0"/>
        <v>2.3947746680640769</v>
      </c>
      <c r="M25" s="49">
        <f t="shared" si="0"/>
        <v>2.4742317297183383</v>
      </c>
      <c r="N25" s="49">
        <f t="shared" si="0"/>
        <v>2.4065750162681296</v>
      </c>
      <c r="O25" s="49">
        <f t="shared" si="0"/>
        <v>2.4287521730871724</v>
      </c>
      <c r="P25" s="49">
        <f t="shared" si="0"/>
        <v>2.4023451619637108</v>
      </c>
      <c r="Q25" s="49">
        <f t="shared" si="0"/>
        <v>2.539605928992505</v>
      </c>
      <c r="R25" s="49">
        <f t="shared" si="0"/>
        <v>2.6317202800435071</v>
      </c>
      <c r="S25" s="49">
        <f t="shared" si="0"/>
        <v>2.4494737796185149</v>
      </c>
      <c r="T25" s="49">
        <f t="shared" si="0"/>
        <v>2.5417409660946624</v>
      </c>
      <c r="U25" s="49">
        <f t="shared" si="0"/>
        <v>2.3129787226264553</v>
      </c>
      <c r="V25" s="49">
        <f t="shared" si="0"/>
        <v>2.0521922224944933</v>
      </c>
      <c r="W25" s="49">
        <f t="shared" si="0"/>
        <v>2.6928411540649906</v>
      </c>
      <c r="X25" s="49">
        <f t="shared" si="0"/>
        <v>2.9097256721303331</v>
      </c>
      <c r="Y25" s="49">
        <f t="shared" si="2"/>
        <v>1.8191978372602944</v>
      </c>
    </row>
    <row r="26" spans="1:25" x14ac:dyDescent="0.25">
      <c r="A26" s="8" t="s">
        <v>80</v>
      </c>
      <c r="B26" s="49">
        <f t="shared" si="1"/>
        <v>0</v>
      </c>
      <c r="C26" s="49">
        <f t="shared" si="0"/>
        <v>0</v>
      </c>
      <c r="D26" s="49">
        <f t="shared" si="0"/>
        <v>0</v>
      </c>
      <c r="E26" s="49">
        <f t="shared" si="0"/>
        <v>0</v>
      </c>
      <c r="F26" s="49">
        <f t="shared" si="0"/>
        <v>0</v>
      </c>
      <c r="G26" s="49">
        <f t="shared" si="0"/>
        <v>0</v>
      </c>
      <c r="H26" s="49">
        <f t="shared" si="0"/>
        <v>0</v>
      </c>
      <c r="I26" s="49">
        <f t="shared" si="0"/>
        <v>0</v>
      </c>
      <c r="J26" s="49">
        <f t="shared" si="0"/>
        <v>0</v>
      </c>
      <c r="K26" s="49">
        <f t="shared" si="0"/>
        <v>0</v>
      </c>
      <c r="L26" s="49">
        <f t="shared" si="0"/>
        <v>0</v>
      </c>
      <c r="M26" s="49">
        <f t="shared" si="0"/>
        <v>0</v>
      </c>
      <c r="N26" s="49">
        <f t="shared" si="0"/>
        <v>0</v>
      </c>
      <c r="O26" s="49">
        <f t="shared" si="0"/>
        <v>0</v>
      </c>
      <c r="P26" s="49">
        <f t="shared" si="0"/>
        <v>0</v>
      </c>
      <c r="Q26" s="49">
        <f t="shared" si="0"/>
        <v>0</v>
      </c>
      <c r="R26" s="49">
        <f t="shared" si="0"/>
        <v>0</v>
      </c>
      <c r="S26" s="49">
        <f t="shared" si="0"/>
        <v>0</v>
      </c>
      <c r="T26" s="49">
        <f t="shared" si="0"/>
        <v>0</v>
      </c>
      <c r="U26" s="49">
        <f t="shared" si="0"/>
        <v>0</v>
      </c>
      <c r="V26" s="49">
        <f t="shared" si="0"/>
        <v>0</v>
      </c>
      <c r="W26" s="49">
        <f t="shared" si="0"/>
        <v>0</v>
      </c>
      <c r="X26" s="49">
        <f t="shared" si="0"/>
        <v>0</v>
      </c>
      <c r="Y26" s="49">
        <f t="shared" si="2"/>
        <v>0</v>
      </c>
    </row>
    <row r="27" spans="1:25" x14ac:dyDescent="0.25">
      <c r="A27" s="8" t="s">
        <v>81</v>
      </c>
      <c r="B27" s="49">
        <f t="shared" si="1"/>
        <v>-0.1820143884892087</v>
      </c>
      <c r="C27" s="49">
        <f t="shared" si="0"/>
        <v>-0.18360914105594964</v>
      </c>
      <c r="D27" s="49">
        <f t="shared" si="0"/>
        <v>-0.18189806678383139</v>
      </c>
      <c r="E27" s="49">
        <f t="shared" si="0"/>
        <v>-0.17957446808510649</v>
      </c>
      <c r="F27" s="49">
        <f t="shared" si="0"/>
        <v>-0.1751824817518248</v>
      </c>
      <c r="G27" s="49">
        <f t="shared" si="0"/>
        <v>-0.18217979315831331</v>
      </c>
      <c r="H27" s="49">
        <f t="shared" si="0"/>
        <v>-0.14459295261239372</v>
      </c>
      <c r="I27" s="49">
        <f t="shared" si="0"/>
        <v>-0.18725296442687756</v>
      </c>
      <c r="J27" s="49">
        <f t="shared" si="0"/>
        <v>-0.16382252559726962</v>
      </c>
      <c r="K27" s="49">
        <f t="shared" si="0"/>
        <v>-0.16009598902982519</v>
      </c>
      <c r="L27" s="49">
        <f t="shared" si="0"/>
        <v>-0.15621105110095559</v>
      </c>
      <c r="M27" s="49">
        <f t="shared" si="0"/>
        <v>-0.15314885496183211</v>
      </c>
      <c r="N27" s="49">
        <f t="shared" si="0"/>
        <v>-0.15062533985861876</v>
      </c>
      <c r="O27" s="49">
        <f t="shared" si="0"/>
        <v>-0.14999999999999994</v>
      </c>
      <c r="P27" s="49">
        <f t="shared" si="0"/>
        <v>-0.14950372208436732</v>
      </c>
      <c r="Q27" s="49">
        <f t="shared" si="0"/>
        <v>-0.15003219575016102</v>
      </c>
      <c r="R27" s="49">
        <f t="shared" si="0"/>
        <v>-0.15117801047120416</v>
      </c>
      <c r="S27" s="49">
        <f t="shared" si="0"/>
        <v>-0.1592649310872894</v>
      </c>
      <c r="T27" s="49">
        <f t="shared" si="0"/>
        <v>-0.15159574468085113</v>
      </c>
      <c r="U27" s="49">
        <f t="shared" si="0"/>
        <v>-0.16433734939759032</v>
      </c>
      <c r="V27" s="49">
        <f t="shared" si="0"/>
        <v>-0.16718960107575073</v>
      </c>
      <c r="W27" s="49">
        <f t="shared" si="0"/>
        <v>-0.16459884201819672</v>
      </c>
      <c r="X27" s="49">
        <f t="shared" si="0"/>
        <v>-0.16216216216216214</v>
      </c>
      <c r="Y27" s="49">
        <f t="shared" si="2"/>
        <v>-0.17358147601198101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109A3-7618-4502-B6C4-154A6D83895E}">
  <sheetPr codeName="Sheet16">
    <tabColor rgb="FF002060"/>
  </sheetPr>
  <dimension ref="A1:Y27"/>
  <sheetViews>
    <sheetView workbookViewId="0">
      <selection activeCell="B17" sqref="B17"/>
    </sheetView>
  </sheetViews>
  <sheetFormatPr defaultRowHeight="15" x14ac:dyDescent="0.25"/>
  <cols>
    <col min="1" max="1" width="28.42578125" customWidth="1"/>
    <col min="2" max="2" width="10.5703125" bestFit="1" customWidth="1"/>
    <col min="3" max="3" width="10.42578125" bestFit="1" customWidth="1"/>
    <col min="4" max="25" width="10.5703125" bestFit="1" customWidth="1"/>
  </cols>
  <sheetData>
    <row r="1" spans="1:25" x14ac:dyDescent="0.25">
      <c r="A1" s="6" t="s">
        <v>25</v>
      </c>
      <c r="B1" s="7" t="s">
        <v>34</v>
      </c>
      <c r="C1" s="7" t="s">
        <v>0</v>
      </c>
      <c r="D1" s="7" t="s">
        <v>1</v>
      </c>
      <c r="E1" s="7" t="s">
        <v>2</v>
      </c>
      <c r="F1" s="7" t="s">
        <v>3</v>
      </c>
      <c r="G1" s="7" t="s">
        <v>4</v>
      </c>
      <c r="H1" s="7" t="s">
        <v>5</v>
      </c>
      <c r="I1" s="7" t="s">
        <v>6</v>
      </c>
      <c r="J1" s="7" t="s">
        <v>7</v>
      </c>
      <c r="K1" s="7" t="s">
        <v>8</v>
      </c>
      <c r="L1" s="7" t="s">
        <v>9</v>
      </c>
      <c r="M1" s="7" t="s">
        <v>10</v>
      </c>
      <c r="N1" s="7" t="s">
        <v>11</v>
      </c>
      <c r="O1" s="7" t="s">
        <v>12</v>
      </c>
      <c r="P1" s="7" t="s">
        <v>13</v>
      </c>
      <c r="Q1" s="7" t="s">
        <v>14</v>
      </c>
      <c r="R1" s="7" t="s">
        <v>15</v>
      </c>
      <c r="S1" s="7" t="s">
        <v>16</v>
      </c>
      <c r="T1" s="7" t="s">
        <v>17</v>
      </c>
      <c r="U1" s="7" t="s">
        <v>18</v>
      </c>
      <c r="V1" s="7" t="s">
        <v>19</v>
      </c>
      <c r="W1" s="7" t="s">
        <v>20</v>
      </c>
      <c r="X1" s="7" t="s">
        <v>21</v>
      </c>
      <c r="Y1" s="7" t="s">
        <v>22</v>
      </c>
    </row>
    <row r="2" spans="1:25" x14ac:dyDescent="0.25">
      <c r="A2" s="8" t="s">
        <v>37</v>
      </c>
      <c r="B2" s="8" cm="1">
        <f t="array" ref="B2">INDEX('Summarized Modified Source Data'!$K$600:$K$743,MATCH(1,($A2=LoadFactorSeasons)*(B$1=LoadFactorHours),0),)</f>
        <v>9.7576165200266107E-8</v>
      </c>
      <c r="C2" s="8" cm="1">
        <f t="array" ref="C2">INDEX('Summarized Modified Source Data'!$K$600:$K$743,MATCH(1,($A2=LoadFactorSeasons)*(C$1=LoadFactorHours),0),)</f>
        <v>9.3237266778092845E-8</v>
      </c>
      <c r="D2" s="8" cm="1">
        <f t="array" ref="D2">INDEX('Summarized Modified Source Data'!$K$600:$K$743,MATCH(1,($A2=LoadFactorSeasons)*(D$1=LoadFactorHours),0),)</f>
        <v>9.1426371742280168E-8</v>
      </c>
      <c r="E2" s="8" cm="1">
        <f t="array" ref="E2">INDEX('Summarized Modified Source Data'!$K$600:$K$743,MATCH(1,($A2=LoadFactorSeasons)*(E$1=LoadFactorHours),0),)</f>
        <v>9.04053351795347E-8</v>
      </c>
      <c r="F2" s="8" cm="1">
        <f t="array" ref="F2">INDEX('Summarized Modified Source Data'!$K$600:$K$743,MATCH(1,($A2=LoadFactorSeasons)*(F$1=LoadFactorHours),0),)</f>
        <v>9.0184803449249569E-8</v>
      </c>
      <c r="G2" s="8" cm="1">
        <f t="array" ref="G2">INDEX('Summarized Modified Source Data'!$K$600:$K$743,MATCH(1,($A2=LoadFactorSeasons)*(G$1=LoadFactorHours),0),)</f>
        <v>9.2331312290691598E-8</v>
      </c>
      <c r="H2" s="8" cm="1">
        <f t="array" ref="H2">INDEX('Summarized Modified Source Data'!$K$600:$K$743,MATCH(1,($A2=LoadFactorSeasons)*(H$1=LoadFactorHours),0),)</f>
        <v>1.0000632347410939E-7</v>
      </c>
      <c r="I2" s="8" cm="1">
        <f t="array" ref="I2">INDEX('Summarized Modified Source Data'!$K$600:$K$743,MATCH(1,($A2=LoadFactorSeasons)*(I$1=LoadFactorHours),0),)</f>
        <v>1.1514874183277998E-7</v>
      </c>
      <c r="J2" s="8" cm="1">
        <f t="array" ref="J2">INDEX('Summarized Modified Source Data'!$K$600:$K$743,MATCH(1,($A2=LoadFactorSeasons)*(J$1=LoadFactorHours),0),)</f>
        <v>1.374069840219844E-7</v>
      </c>
      <c r="K2" s="8" cm="1">
        <f t="array" ref="K2">INDEX('Summarized Modified Source Data'!$K$600:$K$743,MATCH(1,($A2=LoadFactorSeasons)*(K$1=LoadFactorHours),0),)</f>
        <v>1.5162088775073032E-7</v>
      </c>
      <c r="L2" s="8" cm="1">
        <f t="array" ref="L2">INDEX('Summarized Modified Source Data'!$K$600:$K$743,MATCH(1,($A2=LoadFactorSeasons)*(L$1=LoadFactorHours),0),)</f>
        <v>1.5900768677629272E-7</v>
      </c>
      <c r="M2" s="8" cm="1">
        <f t="array" ref="M2">INDEX('Summarized Modified Source Data'!$K$600:$K$743,MATCH(1,($A2=LoadFactorSeasons)*(M$1=LoadFactorHours),0),)</f>
        <v>1.607387341166573E-7</v>
      </c>
      <c r="N2" s="8" cm="1">
        <f t="array" ref="N2">INDEX('Summarized Modified Source Data'!$K$600:$K$743,MATCH(1,($A2=LoadFactorSeasons)*(N$1=LoadFactorHours),0),)</f>
        <v>1.5672531011021519E-7</v>
      </c>
      <c r="O2" s="8" cm="1">
        <f t="array" ref="O2">INDEX('Summarized Modified Source Data'!$K$600:$K$743,MATCH(1,($A2=LoadFactorSeasons)*(O$1=LoadFactorHours),0),)</f>
        <v>1.5936433981596072E-7</v>
      </c>
      <c r="P2" s="8" cm="1">
        <f t="array" ref="P2">INDEX('Summarized Modified Source Data'!$K$600:$K$743,MATCH(1,($A2=LoadFactorSeasons)*(P$1=LoadFactorHours),0),)</f>
        <v>1.6220438292643741E-7</v>
      </c>
      <c r="Q2" s="8" cm="1">
        <f t="array" ref="Q2">INDEX('Summarized Modified Source Data'!$K$600:$K$743,MATCH(1,($A2=LoadFactorSeasons)*(Q$1=LoadFactorHours),0),)</f>
        <v>1.622636983573417E-7</v>
      </c>
      <c r="R2" s="8" cm="1">
        <f t="array" ref="R2">INDEX('Summarized Modified Source Data'!$K$600:$K$743,MATCH(1,($A2=LoadFactorSeasons)*(R$1=LoadFactorHours),0),)</f>
        <v>1.5937523966010125E-7</v>
      </c>
      <c r="S2" s="8" cm="1">
        <f t="array" ref="S2">INDEX('Summarized Modified Source Data'!$K$600:$K$743,MATCH(1,($A2=LoadFactorSeasons)*(S$1=LoadFactorHours),0),)</f>
        <v>1.5295523146132914E-7</v>
      </c>
      <c r="T2" s="8" cm="1">
        <f t="array" ref="T2">INDEX('Summarized Modified Source Data'!$K$600:$K$743,MATCH(1,($A2=LoadFactorSeasons)*(T$1=LoadFactorHours),0),)</f>
        <v>1.4739174822420471E-7</v>
      </c>
      <c r="U2" s="8" cm="1">
        <f t="array" ref="U2">INDEX('Summarized Modified Source Data'!$K$600:$K$743,MATCH(1,($A2=LoadFactorSeasons)*(U$1=LoadFactorHours),0),)</f>
        <v>1.3945260593393966E-7</v>
      </c>
      <c r="V2" s="8" cm="1">
        <f t="array" ref="V2">INDEX('Summarized Modified Source Data'!$K$600:$K$743,MATCH(1,($A2=LoadFactorSeasons)*(V$1=LoadFactorHours),0),)</f>
        <v>1.3277607117074394E-7</v>
      </c>
      <c r="W2" s="8" cm="1">
        <f t="array" ref="W2">INDEX('Summarized Modified Source Data'!$K$600:$K$743,MATCH(1,($A2=LoadFactorSeasons)*(W$1=LoadFactorHours),0),)</f>
        <v>1.2596468252190254E-7</v>
      </c>
      <c r="X2" s="8" cm="1">
        <f t="array" ref="X2">INDEX('Summarized Modified Source Data'!$K$600:$K$743,MATCH(1,($A2=LoadFactorSeasons)*(X$1=LoadFactorHours),0),)</f>
        <v>1.177748438164053E-7</v>
      </c>
      <c r="Y2" s="8" cm="1">
        <f t="array" ref="Y2">INDEX('Summarized Modified Source Data'!$K$600:$K$743,MATCH(1,($A2=LoadFactorSeasons)*(Y$1=LoadFactorHours),0),)</f>
        <v>1.065872944875149E-7</v>
      </c>
    </row>
    <row r="3" spans="1:25" x14ac:dyDescent="0.25">
      <c r="A3" s="8" t="s">
        <v>38</v>
      </c>
      <c r="B3" s="8" cm="1">
        <f t="array" ref="B3">INDEX('Summarized Modified Source Data'!$K$600:$K$743,MATCH(1,($A3=LoadFactorSeasons)*(B$1=LoadFactorHours),0),)</f>
        <v>3.9715139404056163E-6</v>
      </c>
      <c r="C3" s="8" cm="1">
        <f t="array" ref="C3">INDEX('Summarized Modified Source Data'!$K$600:$K$743,MATCH(1,($A3=LoadFactorSeasons)*(C$1=LoadFactorHours),0),)</f>
        <v>3.7936261696062138E-6</v>
      </c>
      <c r="D3" s="8" cm="1">
        <f t="array" ref="D3">INDEX('Summarized Modified Source Data'!$K$600:$K$743,MATCH(1,($A3=LoadFactorSeasons)*(D$1=LoadFactorHours),0),)</f>
        <v>3.7193972391123676E-6</v>
      </c>
      <c r="E3" s="8" cm="1">
        <f t="array" ref="E3">INDEX('Summarized Modified Source Data'!$K$600:$K$743,MATCH(1,($A3=LoadFactorSeasons)*(E$1=LoadFactorHours),0),)</f>
        <v>3.6775266285278845E-6</v>
      </c>
      <c r="F3" s="8" cm="1">
        <f t="array" ref="F3">INDEX('Summarized Modified Source Data'!$K$600:$K$743,MATCH(1,($A3=LoadFactorSeasons)*(F$1=LoadFactorHours),0),)</f>
        <v>3.6685106169039786E-6</v>
      </c>
      <c r="G3" s="8" cm="1">
        <f t="array" ref="G3">INDEX('Summarized Modified Source Data'!$K$600:$K$743,MATCH(1,($A3=LoadFactorSeasons)*(G$1=LoadFactorHours),0),)</f>
        <v>3.7564878988351824E-6</v>
      </c>
      <c r="H3" s="8" cm="1">
        <f t="array" ref="H3">INDEX('Summarized Modified Source Data'!$K$600:$K$743,MATCH(1,($A3=LoadFactorSeasons)*(H$1=LoadFactorHours),0),)</f>
        <v>4.0711513002981921E-6</v>
      </c>
      <c r="I3" s="8" cm="1">
        <f t="array" ref="I3">INDEX('Summarized Modified Source Data'!$K$600:$K$743,MATCH(1,($A3=LoadFactorSeasons)*(I$1=LoadFactorHours),0),)</f>
        <v>4.6919266299527078E-6</v>
      </c>
      <c r="J3" s="8" cm="1">
        <f t="array" ref="J3">INDEX('Summarized Modified Source Data'!$K$600:$K$743,MATCH(1,($A3=LoadFactorSeasons)*(J$1=LoadFactorHours),0),)</f>
        <v>5.6313508025647728E-6</v>
      </c>
      <c r="K3" s="8" cm="1">
        <f t="array" ref="K3">INDEX('Summarized Modified Source Data'!$K$600:$K$743,MATCH(1,($A3=LoadFactorSeasons)*(K$1=LoadFactorHours),0),)</f>
        <v>6.6376053471570549E-6</v>
      </c>
      <c r="L3" s="8" cm="1">
        <f t="array" ref="L3">INDEX('Summarized Modified Source Data'!$K$600:$K$743,MATCH(1,($A3=LoadFactorSeasons)*(L$1=LoadFactorHours),0),)</f>
        <v>7.5199660253190713E-6</v>
      </c>
      <c r="M3" s="8" cm="1">
        <f t="array" ref="M3">INDEX('Summarized Modified Source Data'!$K$600:$K$743,MATCH(1,($A3=LoadFactorSeasons)*(M$1=LoadFactorHours),0),)</f>
        <v>8.1765170901216716E-6</v>
      </c>
      <c r="N3" s="8" cm="1">
        <f t="array" ref="N3">INDEX('Summarized Modified Source Data'!$K$600:$K$743,MATCH(1,($A3=LoadFactorSeasons)*(N$1=LoadFactorHours),0),)</f>
        <v>8.4756450726777753E-6</v>
      </c>
      <c r="O3" s="8" cm="1">
        <f t="array" ref="O3">INDEX('Summarized Modified Source Data'!$K$600:$K$743,MATCH(1,($A3=LoadFactorSeasons)*(O$1=LoadFactorHours),0),)</f>
        <v>8.8552119211973137E-6</v>
      </c>
      <c r="P3" s="8" cm="1">
        <f t="array" ref="P3">INDEX('Summarized Modified Source Data'!$K$600:$K$743,MATCH(1,($A3=LoadFactorSeasons)*(P$1=LoadFactorHours),0),)</f>
        <v>9.0989236193187796E-6</v>
      </c>
      <c r="Q3" s="8" cm="1">
        <f t="array" ref="Q3">INDEX('Summarized Modified Source Data'!$K$600:$K$743,MATCH(1,($A3=LoadFactorSeasons)*(Q$1=LoadFactorHours),0),)</f>
        <v>8.9956436836052907E-6</v>
      </c>
      <c r="R3" s="8" cm="1">
        <f t="array" ref="R3">INDEX('Summarized Modified Source Data'!$K$600:$K$743,MATCH(1,($A3=LoadFactorSeasons)*(R$1=LoadFactorHours),0),)</f>
        <v>8.5643666078696549E-6</v>
      </c>
      <c r="S3" s="8" cm="1">
        <f t="array" ref="S3">INDEX('Summarized Modified Source Data'!$K$600:$K$743,MATCH(1,($A3=LoadFactorSeasons)*(S$1=LoadFactorHours),0),)</f>
        <v>7.8426194864433581E-6</v>
      </c>
      <c r="T3" s="8" cm="1">
        <f t="array" ref="T3">INDEX('Summarized Modified Source Data'!$K$600:$K$743,MATCH(1,($A3=LoadFactorSeasons)*(T$1=LoadFactorHours),0),)</f>
        <v>7.0527178107582938E-6</v>
      </c>
      <c r="U3" s="8" cm="1">
        <f t="array" ref="U3">INDEX('Summarized Modified Source Data'!$K$600:$K$743,MATCH(1,($A3=LoadFactorSeasons)*(U$1=LoadFactorHours),0),)</f>
        <v>6.1323697981320328E-6</v>
      </c>
      <c r="V3" s="8" cm="1">
        <f t="array" ref="V3">INDEX('Summarized Modified Source Data'!$K$600:$K$743,MATCH(1,($A3=LoadFactorSeasons)*(V$1=LoadFactorHours),0),)</f>
        <v>5.4247496021028773E-6</v>
      </c>
      <c r="W3" s="8" cm="1">
        <f t="array" ref="W3">INDEX('Summarized Modified Source Data'!$K$600:$K$743,MATCH(1,($A3=LoadFactorSeasons)*(W$1=LoadFactorHours),0),)</f>
        <v>5.1244002639070836E-6</v>
      </c>
      <c r="X3" s="8" cm="1">
        <f t="array" ref="X3">INDEX('Summarized Modified Source Data'!$K$600:$K$743,MATCH(1,($A3=LoadFactorSeasons)*(X$1=LoadFactorHours),0),)</f>
        <v>4.7995953785414698E-6</v>
      </c>
      <c r="Y3" s="8" cm="1">
        <f t="array" ref="Y3">INDEX('Summarized Modified Source Data'!$K$600:$K$743,MATCH(1,($A3=LoadFactorSeasons)*(Y$1=LoadFactorHours),0),)</f>
        <v>4.3409412888162273E-6</v>
      </c>
    </row>
    <row r="4" spans="1:25" x14ac:dyDescent="0.25">
      <c r="A4" s="8" t="s">
        <v>39</v>
      </c>
      <c r="B4" s="8" cm="1">
        <f t="array" ref="B4">INDEX('Summarized Modified Source Data'!$K$600:$K$743,MATCH(1,($A4=LoadFactorSeasons)*(B$1=LoadFactorHours),0),)</f>
        <v>2.5594244739689188E-4</v>
      </c>
      <c r="C4" s="8" cm="1">
        <f t="array" ref="C4">INDEX('Summarized Modified Source Data'!$K$600:$K$743,MATCH(1,($A4=LoadFactorSeasons)*(C$1=LoadFactorHours),0),)</f>
        <v>2.3970840248384783E-4</v>
      </c>
      <c r="D4" s="8" cm="1">
        <f t="array" ref="D4">INDEX('Summarized Modified Source Data'!$K$600:$K$743,MATCH(1,($A4=LoadFactorSeasons)*(D$1=LoadFactorHours),0),)</f>
        <v>2.3326107303773056E-4</v>
      </c>
      <c r="E4" s="8" cm="1">
        <f t="array" ref="E4">INDEX('Summarized Modified Source Data'!$K$600:$K$743,MATCH(1,($A4=LoadFactorSeasons)*(E$1=LoadFactorHours),0),)</f>
        <v>2.3464972861074042E-4</v>
      </c>
      <c r="F4" s="8" cm="1">
        <f t="array" ref="F4">INDEX('Summarized Modified Source Data'!$K$600:$K$743,MATCH(1,($A4=LoadFactorSeasons)*(F$1=LoadFactorHours),0),)</f>
        <v>2.4222120780643713E-4</v>
      </c>
      <c r="G4" s="8" cm="1">
        <f t="array" ref="G4">INDEX('Summarized Modified Source Data'!$K$600:$K$743,MATCH(1,($A4=LoadFactorSeasons)*(G$1=LoadFactorHours),0),)</f>
        <v>2.5981084506456224E-4</v>
      </c>
      <c r="H4" s="8" cm="1">
        <f t="array" ref="H4">INDEX('Summarized Modified Source Data'!$K$600:$K$743,MATCH(1,($A4=LoadFactorSeasons)*(H$1=LoadFactorHours),0),)</f>
        <v>2.9363452723573134E-4</v>
      </c>
      <c r="I4" s="8" cm="1">
        <f t="array" ref="I4">INDEX('Summarized Modified Source Data'!$K$600:$K$743,MATCH(1,($A4=LoadFactorSeasons)*(I$1=LoadFactorHours),0),)</f>
        <v>3.4607280673081871E-4</v>
      </c>
      <c r="J4" s="8" cm="1">
        <f t="array" ref="J4">INDEX('Summarized Modified Source Data'!$K$600:$K$743,MATCH(1,($A4=LoadFactorSeasons)*(J$1=LoadFactorHours),0),)</f>
        <v>4.1358791816144172E-4</v>
      </c>
      <c r="K4" s="8" cm="1">
        <f t="array" ref="K4">INDEX('Summarized Modified Source Data'!$K$600:$K$743,MATCH(1,($A4=LoadFactorSeasons)*(K$1=LoadFactorHours),0),)</f>
        <v>4.6718341063403722E-4</v>
      </c>
      <c r="L4" s="8" cm="1">
        <f t="array" ref="L4">INDEX('Summarized Modified Source Data'!$K$600:$K$743,MATCH(1,($A4=LoadFactorSeasons)*(L$1=LoadFactorHours),0),)</f>
        <v>5.0580126085488333E-4</v>
      </c>
      <c r="M4" s="8" cm="1">
        <f t="array" ref="M4">INDEX('Summarized Modified Source Data'!$K$600:$K$743,MATCH(1,($A4=LoadFactorSeasons)*(M$1=LoadFactorHours),0),)</f>
        <v>5.3030111275012906E-4</v>
      </c>
      <c r="N4" s="8" cm="1">
        <f t="array" ref="N4">INDEX('Summarized Modified Source Data'!$K$600:$K$743,MATCH(1,($A4=LoadFactorSeasons)*(N$1=LoadFactorHours),0),)</f>
        <v>5.3926124751883559E-4</v>
      </c>
      <c r="O4" s="8" cm="1">
        <f t="array" ref="O4">INDEX('Summarized Modified Source Data'!$K$600:$K$743,MATCH(1,($A4=LoadFactorSeasons)*(O$1=LoadFactorHours),0),)</f>
        <v>5.5456952204987304E-4</v>
      </c>
      <c r="P4" s="8" cm="1">
        <f t="array" ref="P4">INDEX('Summarized Modified Source Data'!$K$600:$K$743,MATCH(1,($A4=LoadFactorSeasons)*(P$1=LoadFactorHours),0),)</f>
        <v>5.6376109941408132E-4</v>
      </c>
      <c r="Q4" s="8" cm="1">
        <f t="array" ref="Q4">INDEX('Summarized Modified Source Data'!$K$600:$K$743,MATCH(1,($A4=LoadFactorSeasons)*(Q$1=LoadFactorHours),0),)</f>
        <v>5.6052090307705824E-4</v>
      </c>
      <c r="R4" s="8" cm="1">
        <f t="array" ref="R4">INDEX('Summarized Modified Source Data'!$K$600:$K$743,MATCH(1,($A4=LoadFactorSeasons)*(R$1=LoadFactorHours),0),)</f>
        <v>5.443860478478007E-4</v>
      </c>
      <c r="S4" s="8" cm="1">
        <f t="array" ref="S4">INDEX('Summarized Modified Source Data'!$K$600:$K$743,MATCH(1,($A4=LoadFactorSeasons)*(S$1=LoadFactorHours),0),)</f>
        <v>5.1568716600559656E-4</v>
      </c>
      <c r="T4" s="8" cm="1">
        <f t="array" ref="T4">INDEX('Summarized Modified Source Data'!$K$600:$K$743,MATCH(1,($A4=LoadFactorSeasons)*(T$1=LoadFactorHours),0),)</f>
        <v>4.8371502459844049E-4</v>
      </c>
      <c r="U4" s="8" cm="1">
        <f t="array" ref="U4">INDEX('Summarized Modified Source Data'!$K$600:$K$743,MATCH(1,($A4=LoadFactorSeasons)*(U$1=LoadFactorHours),0),)</f>
        <v>4.4374158203251332E-4</v>
      </c>
      <c r="V4" s="8" cm="1">
        <f t="array" ref="V4">INDEX('Summarized Modified Source Data'!$K$600:$K$743,MATCH(1,($A4=LoadFactorSeasons)*(V$1=LoadFactorHours),0),)</f>
        <v>4.0542130086302643E-4</v>
      </c>
      <c r="W4" s="8" cm="1">
        <f t="array" ref="W4">INDEX('Summarized Modified Source Data'!$K$600:$K$743,MATCH(1,($A4=LoadFactorSeasons)*(W$1=LoadFactorHours),0),)</f>
        <v>3.6614218608360422E-4</v>
      </c>
      <c r="X4" s="8" cm="1">
        <f t="array" ref="X4">INDEX('Summarized Modified Source Data'!$K$600:$K$743,MATCH(1,($A4=LoadFactorSeasons)*(X$1=LoadFactorHours),0),)</f>
        <v>3.276565887744733E-4</v>
      </c>
      <c r="Y4" s="8" cm="1">
        <f t="array" ref="Y4">INDEX('Summarized Modified Source Data'!$K$600:$K$743,MATCH(1,($A4=LoadFactorSeasons)*(Y$1=LoadFactorHours),0),)</f>
        <v>2.8665818614275314E-4</v>
      </c>
    </row>
    <row r="5" spans="1:25" x14ac:dyDescent="0.25">
      <c r="A5" s="8" t="s">
        <v>40</v>
      </c>
      <c r="B5" s="8" cm="1">
        <f t="array" ref="B5">INDEX('Summarized Modified Source Data'!$K$600:$K$743,MATCH(1,($A5=LoadFactorSeasons)*(B$1=LoadFactorHours),0),)</f>
        <v>4.1353559544063842E-5</v>
      </c>
      <c r="C5" s="8" cm="1">
        <f t="array" ref="C5">INDEX('Summarized Modified Source Data'!$K$600:$K$743,MATCH(1,($A5=LoadFactorSeasons)*(C$1=LoadFactorHours),0),)</f>
        <v>3.9415780016845976E-5</v>
      </c>
      <c r="D5" s="8" cm="1">
        <f t="array" ref="D5">INDEX('Summarized Modified Source Data'!$K$600:$K$743,MATCH(1,($A5=LoadFactorSeasons)*(D$1=LoadFactorHours),0),)</f>
        <v>3.8600034517832172E-5</v>
      </c>
      <c r="E5" s="8" cm="1">
        <f t="array" ref="E5">INDEX('Summarized Modified Source Data'!$K$600:$K$743,MATCH(1,($A5=LoadFactorSeasons)*(E$1=LoadFactorHours),0),)</f>
        <v>3.8240881204346952E-5</v>
      </c>
      <c r="F5" s="8" cm="1">
        <f t="array" ref="F5">INDEX('Summarized Modified Source Data'!$K$600:$K$743,MATCH(1,($A5=LoadFactorSeasons)*(F$1=LoadFactorHours),0),)</f>
        <v>3.8288573902476814E-5</v>
      </c>
      <c r="G5" s="8" cm="1">
        <f t="array" ref="G5">INDEX('Summarized Modified Source Data'!$K$600:$K$743,MATCH(1,($A5=LoadFactorSeasons)*(G$1=LoadFactorHours),0),)</f>
        <v>3.9556426153635558E-5</v>
      </c>
      <c r="H5" s="8" cm="1">
        <f t="array" ref="H5">INDEX('Summarized Modified Source Data'!$K$600:$K$743,MATCH(1,($A5=LoadFactorSeasons)*(H$1=LoadFactorHours),0),)</f>
        <v>4.4369527053175952E-5</v>
      </c>
      <c r="I5" s="8" cm="1">
        <f t="array" ref="I5">INDEX('Summarized Modified Source Data'!$K$600:$K$743,MATCH(1,($A5=LoadFactorSeasons)*(I$1=LoadFactorHours),0),)</f>
        <v>5.4592058618752235E-5</v>
      </c>
      <c r="J5" s="8" cm="1">
        <f t="array" ref="J5">INDEX('Summarized Modified Source Data'!$K$600:$K$743,MATCH(1,($A5=LoadFactorSeasons)*(J$1=LoadFactorHours),0),)</f>
        <v>6.9622339979295264E-5</v>
      </c>
      <c r="K5" s="8" cm="1">
        <f t="array" ref="K5">INDEX('Summarized Modified Source Data'!$K$600:$K$743,MATCH(1,($A5=LoadFactorSeasons)*(K$1=LoadFactorHours),0),)</f>
        <v>8.1782030740891058E-5</v>
      </c>
      <c r="L5" s="8" cm="1">
        <f t="array" ref="L5">INDEX('Summarized Modified Source Data'!$K$600:$K$743,MATCH(1,($A5=LoadFactorSeasons)*(L$1=LoadFactorHours),0),)</f>
        <v>9.1039977711187219E-5</v>
      </c>
      <c r="M5" s="8" cm="1">
        <f t="array" ref="M5">INDEX('Summarized Modified Source Data'!$K$600:$K$743,MATCH(1,($A5=LoadFactorSeasons)*(M$1=LoadFactorHours),0),)</f>
        <v>9.7193728523184571E-5</v>
      </c>
      <c r="N5" s="8" cm="1">
        <f t="array" ref="N5">INDEX('Summarized Modified Source Data'!$K$600:$K$743,MATCH(1,($A5=LoadFactorSeasons)*(N$1=LoadFactorHours),0),)</f>
        <v>9.9829109876981302E-5</v>
      </c>
      <c r="O5" s="8" cm="1">
        <f t="array" ref="O5">INDEX('Summarized Modified Source Data'!$K$600:$K$743,MATCH(1,($A5=LoadFactorSeasons)*(O$1=LoadFactorHours),0),)</f>
        <v>1.0385398973181328E-4</v>
      </c>
      <c r="P5" s="8" cm="1">
        <f t="array" ref="P5">INDEX('Summarized Modified Source Data'!$K$600:$K$743,MATCH(1,($A5=LoadFactorSeasons)*(P$1=LoadFactorHours),0),)</f>
        <v>1.0574814162515292E-4</v>
      </c>
      <c r="Q5" s="8" cm="1">
        <f t="array" ref="Q5">INDEX('Summarized Modified Source Data'!$K$600:$K$743,MATCH(1,($A5=LoadFactorSeasons)*(Q$1=LoadFactorHours),0),)</f>
        <v>1.0488001404329108E-4</v>
      </c>
      <c r="R5" s="8" cm="1">
        <f t="array" ref="R5">INDEX('Summarized Modified Source Data'!$K$600:$K$743,MATCH(1,($A5=LoadFactorSeasons)*(R$1=LoadFactorHours),0),)</f>
        <v>1.0115191130504688E-4</v>
      </c>
      <c r="S5" s="8" cm="1">
        <f t="array" ref="S5">INDEX('Summarized Modified Source Data'!$K$600:$K$743,MATCH(1,($A5=LoadFactorSeasons)*(S$1=LoadFactorHours),0),)</f>
        <v>9.4124861822339644E-5</v>
      </c>
      <c r="T5" s="8" cm="1">
        <f t="array" ref="T5">INDEX('Summarized Modified Source Data'!$K$600:$K$743,MATCH(1,($A5=LoadFactorSeasons)*(T$1=LoadFactorHours),0),)</f>
        <v>8.623780640907902E-5</v>
      </c>
      <c r="U5" s="8" cm="1">
        <f t="array" ref="U5">INDEX('Summarized Modified Source Data'!$K$600:$K$743,MATCH(1,($A5=LoadFactorSeasons)*(U$1=LoadFactorHours),0),)</f>
        <v>7.6924535769327826E-5</v>
      </c>
      <c r="V5" s="8" cm="1">
        <f t="array" ref="V5">INDEX('Summarized Modified Source Data'!$K$600:$K$743,MATCH(1,($A5=LoadFactorSeasons)*(V$1=LoadFactorHours),0),)</f>
        <v>6.7681676709858672E-5</v>
      </c>
      <c r="W5" s="8" cm="1">
        <f t="array" ref="W5">INDEX('Summarized Modified Source Data'!$K$600:$K$743,MATCH(1,($A5=LoadFactorSeasons)*(W$1=LoadFactorHours),0),)</f>
        <v>5.9037273696812492E-5</v>
      </c>
      <c r="X5" s="8" cm="1">
        <f t="array" ref="X5">INDEX('Summarized Modified Source Data'!$K$600:$K$743,MATCH(1,($A5=LoadFactorSeasons)*(X$1=LoadFactorHours),0),)</f>
        <v>5.1775657739786476E-5</v>
      </c>
      <c r="Y5" s="8" cm="1">
        <f t="array" ref="Y5">INDEX('Summarized Modified Source Data'!$K$600:$K$743,MATCH(1,($A5=LoadFactorSeasons)*(Y$1=LoadFactorHours),0),)</f>
        <v>4.5481739503178325E-5</v>
      </c>
    </row>
    <row r="6" spans="1:25" x14ac:dyDescent="0.25">
      <c r="A6" s="8" t="s">
        <v>80</v>
      </c>
      <c r="B6" s="8" cm="1">
        <f t="array" ref="B6">INDEX('Summarized Modified Source Data'!$K$600:$K$743,MATCH(1,($A6=LoadFactorSeasons)*(B$1=LoadFactorHours),0),)</f>
        <v>2.9566791575335303E-4</v>
      </c>
      <c r="C6" s="8" cm="1">
        <f t="array" ref="C6">INDEX('Summarized Modified Source Data'!$K$600:$K$743,MATCH(1,($A6=LoadFactorSeasons)*(C$1=LoadFactorHours),0),)</f>
        <v>2.8143419613000178E-4</v>
      </c>
      <c r="D6" s="8" cm="1">
        <f t="array" ref="D6">INDEX('Summarized Modified Source Data'!$K$600:$K$743,MATCH(1,($A6=LoadFactorSeasons)*(D$1=LoadFactorHours),0),)</f>
        <v>2.7599529513571314E-4</v>
      </c>
      <c r="E6" s="8" cm="1">
        <f t="array" ref="E6">INDEX('Summarized Modified Source Data'!$K$600:$K$743,MATCH(1,($A6=LoadFactorSeasons)*(E$1=LoadFactorHours),0),)</f>
        <v>2.7923549147273612E-4</v>
      </c>
      <c r="F6" s="8" cm="1">
        <f t="array" ref="F6">INDEX('Summarized Modified Source Data'!$K$600:$K$743,MATCH(1,($A6=LoadFactorSeasons)*(F$1=LoadFactorHours),0),)</f>
        <v>2.8849319529280202E-4</v>
      </c>
      <c r="G6" s="8" cm="1">
        <f t="array" ref="G6">INDEX('Summarized Modified Source Data'!$K$600:$K$743,MATCH(1,($A6=LoadFactorSeasons)*(G$1=LoadFactorHours),0),)</f>
        <v>3.0712432423068449E-4</v>
      </c>
      <c r="H6" s="8" cm="1">
        <f t="array" ref="H6">INDEX('Summarized Modified Source Data'!$K$600:$K$743,MATCH(1,($A6=LoadFactorSeasons)*(H$1=LoadFactorHours),0),)</f>
        <v>3.3836907462340678E-4</v>
      </c>
      <c r="I6" s="8" cm="1">
        <f t="array" ref="I6">INDEX('Summarized Modified Source Data'!$K$600:$K$743,MATCH(1,($A6=LoadFactorSeasons)*(I$1=LoadFactorHours),0),)</f>
        <v>3.8269033166197201E-4</v>
      </c>
      <c r="J6" s="8" cm="1">
        <f t="array" ref="J6">INDEX('Summarized Modified Source Data'!$K$600:$K$743,MATCH(1,($A6=LoadFactorSeasons)*(J$1=LoadFactorHours),0),)</f>
        <v>4.3499635824534408E-4</v>
      </c>
      <c r="K6" s="8" cm="1">
        <f t="array" ref="K6">INDEX('Summarized Modified Source Data'!$K$600:$K$743,MATCH(1,($A6=LoadFactorSeasons)*(K$1=LoadFactorHours),0),)</f>
        <v>4.8255781162093235E-4</v>
      </c>
      <c r="L6" s="8" cm="1">
        <f t="array" ref="L6">INDEX('Summarized Modified Source Data'!$K$600:$K$743,MATCH(1,($A6=LoadFactorSeasons)*(L$1=LoadFactorHours),0),)</f>
        <v>5.193571843056941E-4</v>
      </c>
      <c r="M6" s="8" cm="1">
        <f t="array" ref="M6">INDEX('Summarized Modified Source Data'!$K$600:$K$743,MATCH(1,($A6=LoadFactorSeasons)*(M$1=LoadFactorHours),0),)</f>
        <v>5.4724601706364242E-4</v>
      </c>
      <c r="N6" s="8" cm="1">
        <f t="array" ref="N6">INDEX('Summarized Modified Source Data'!$K$600:$K$743,MATCH(1,($A6=LoadFactorSeasons)*(N$1=LoadFactorHours),0),)</f>
        <v>5.6934878493404974E-4</v>
      </c>
      <c r="O6" s="8" cm="1">
        <f t="array" ref="O6">INDEX('Summarized Modified Source Data'!$K$600:$K$743,MATCH(1,($A6=LoadFactorSeasons)*(O$1=LoadFactorHours),0),)</f>
        <v>5.8242529157989263E-4</v>
      </c>
      <c r="P6" s="8" cm="1">
        <f t="array" ref="P6">INDEX('Summarized Modified Source Data'!$K$600:$K$743,MATCH(1,($A6=LoadFactorSeasons)*(P$1=LoadFactorHours),0),)</f>
        <v>5.8682270089442396E-4</v>
      </c>
      <c r="Q6" s="8" cm="1">
        <f t="array" ref="Q6">INDEX('Summarized Modified Source Data'!$K$600:$K$743,MATCH(1,($A6=LoadFactorSeasons)*(Q$1=LoadFactorHours),0),)</f>
        <v>5.8242529157989263E-4</v>
      </c>
      <c r="R6" s="8" cm="1">
        <f t="array" ref="R6">INDEX('Summarized Modified Source Data'!$K$600:$K$743,MATCH(1,($A6=LoadFactorSeasons)*(R$1=LoadFactorHours),0),)</f>
        <v>5.6645575249027907E-4</v>
      </c>
      <c r="S6" s="8" cm="1">
        <f t="array" ref="S6">INDEX('Summarized Modified Source Data'!$K$600:$K$743,MATCH(1,($A6=LoadFactorSeasons)*(S$1=LoadFactorHours),0),)</f>
        <v>5.4007129660309141E-4</v>
      </c>
      <c r="T6" s="8" cm="1">
        <f t="array" ref="T6">INDEX('Summarized Modified Source Data'!$K$600:$K$743,MATCH(1,($A6=LoadFactorSeasons)*(T$1=LoadFactorHours),0),)</f>
        <v>5.0801649712611341E-4</v>
      </c>
      <c r="U6" s="8" cm="1">
        <f t="array" ref="U6">INDEX('Summarized Modified Source Data'!$K$600:$K$743,MATCH(1,($A6=LoadFactorSeasons)*(U$1=LoadFactorHours),0),)</f>
        <v>4.6994419016609259E-4</v>
      </c>
      <c r="V6" s="8" cm="1">
        <f t="array" ref="V6">INDEX('Summarized Modified Source Data'!$K$600:$K$743,MATCH(1,($A6=LoadFactorSeasons)*(V$1=LoadFactorHours),0),)</f>
        <v>4.3187188320607177E-4</v>
      </c>
      <c r="W6" s="8" cm="1">
        <f t="array" ref="W6">INDEX('Summarized Modified Source Data'!$K$600:$K$743,MATCH(1,($A6=LoadFactorSeasons)*(W$1=LoadFactorHours),0),)</f>
        <v>3.9275808456629358E-4</v>
      </c>
      <c r="X6" s="8" cm="1">
        <f t="array" ref="X6">INDEX('Summarized Modified Source Data'!$K$600:$K$743,MATCH(1,($A6=LoadFactorSeasons)*(X$1=LoadFactorHours),0),)</f>
        <v>3.5665303966803677E-4</v>
      </c>
      <c r="Y6" s="8" cm="1">
        <f t="array" ref="Y6">INDEX('Summarized Modified Source Data'!$K$600:$K$743,MATCH(1,($A6=LoadFactorSeasons)*(Y$1=LoadFactorHours),0),)</f>
        <v>3.2124232255628497E-4</v>
      </c>
    </row>
    <row r="7" spans="1:25" x14ac:dyDescent="0.25">
      <c r="A7" s="8" t="s">
        <v>81</v>
      </c>
      <c r="B7" s="8" cm="1">
        <f t="array" ref="B7">INDEX('Summarized Modified Source Data'!$K$600:$K$743,MATCH(1,($A7=LoadFactorSeasons)*(B$1=LoadFactorHours),0),)</f>
        <v>1.2016102248656528E-7</v>
      </c>
      <c r="C7" s="8" cm="1">
        <f t="array" ref="C7">INDEX('Summarized Modified Source Data'!$K$600:$K$743,MATCH(1,($A7=LoadFactorSeasons)*(C$1=LoadFactorHours),0),)</f>
        <v>1.1760500903561103E-7</v>
      </c>
      <c r="D7" s="8" cm="1">
        <f t="array" ref="D7">INDEX('Summarized Modified Source Data'!$K$600:$K$743,MATCH(1,($A7=LoadFactorSeasons)*(D$1=LoadFactorHours),0),)</f>
        <v>1.1653771150645518E-7</v>
      </c>
      <c r="E7" s="8" cm="1">
        <f t="array" ref="E7">INDEX('Summarized Modified Source Data'!$K$600:$K$743,MATCH(1,($A7=LoadFactorSeasons)*(E$1=LoadFactorHours),0),)</f>
        <v>1.1593707939736249E-7</v>
      </c>
      <c r="F7" s="8" cm="1">
        <f t="array" ref="F7">INDEX('Summarized Modified Source Data'!$K$600:$K$743,MATCH(1,($A7=LoadFactorSeasons)*(F$1=LoadFactorHours),0),)</f>
        <v>1.1580666149479731E-7</v>
      </c>
      <c r="G7" s="8" cm="1">
        <f t="array" ref="G7">INDEX('Summarized Modified Source Data'!$K$600:$K$743,MATCH(1,($A7=LoadFactorSeasons)*(G$1=LoadFactorHours),0),)</f>
        <v>1.1707180386934115E-7</v>
      </c>
      <c r="H7" s="8" cm="1">
        <f t="array" ref="H7">INDEX('Summarized Modified Source Data'!$K$600:$K$743,MATCH(1,($A7=LoadFactorSeasons)*(H$1=LoadFactorHours),0),)</f>
        <v>1.2159207062831788E-7</v>
      </c>
      <c r="I7" s="8" cm="1">
        <f t="array" ref="I7">INDEX('Summarized Modified Source Data'!$K$600:$K$743,MATCH(1,($A7=LoadFactorSeasons)*(I$1=LoadFactorHours),0),)</f>
        <v>1.3051283260309926E-7</v>
      </c>
      <c r="J7" s="8" cm="1">
        <f t="array" ref="J7">INDEX('Summarized Modified Source Data'!$K$600:$K$743,MATCH(1,($A7=LoadFactorSeasons)*(J$1=LoadFactorHours),0),)</f>
        <v>1.4362382419567204E-7</v>
      </c>
      <c r="K7" s="8" cm="1">
        <f t="array" ref="K7">INDEX('Summarized Modified Source Data'!$K$600:$K$743,MATCH(1,($A7=LoadFactorSeasons)*(K$1=LoadFactorHours),0),)</f>
        <v>1.5199807305494217E-7</v>
      </c>
      <c r="L7" s="8" cm="1">
        <f t="array" ref="L7">INDEX('Summarized Modified Source Data'!$K$600:$K$743,MATCH(1,($A7=LoadFactorSeasons)*(L$1=LoadFactorHours),0),)</f>
        <v>1.6007120738271147E-7</v>
      </c>
      <c r="M7" s="8" cm="1">
        <f t="array" ref="M7">INDEX('Summarized Modified Source Data'!$K$600:$K$743,MATCH(1,($A7=LoadFactorSeasons)*(M$1=LoadFactorHours),0),)</f>
        <v>1.6208691809446713E-7</v>
      </c>
      <c r="N7" s="8" cm="1">
        <f t="array" ref="N7">INDEX('Summarized Modified Source Data'!$K$600:$K$743,MATCH(1,($A7=LoadFactorSeasons)*(N$1=LoadFactorHours),0),)</f>
        <v>1.5823151647958799E-7</v>
      </c>
      <c r="O7" s="8" cm="1">
        <f t="array" ref="O7">INDEX('Summarized Modified Source Data'!$K$600:$K$743,MATCH(1,($A7=LoadFactorSeasons)*(O$1=LoadFactorHours),0),)</f>
        <v>1.598174691505098E-7</v>
      </c>
      <c r="P7" s="8" cm="1">
        <f t="array" ref="P7">INDEX('Summarized Modified Source Data'!$K$600:$K$743,MATCH(1,($A7=LoadFactorSeasons)*(P$1=LoadFactorHours),0),)</f>
        <v>1.6379352950517718E-7</v>
      </c>
      <c r="Q7" s="8" cm="1">
        <f t="array" ref="Q7">INDEX('Summarized Modified Source Data'!$K$600:$K$743,MATCH(1,($A7=LoadFactorSeasons)*(Q$1=LoadFactorHours),0),)</f>
        <v>1.6386273084123216E-7</v>
      </c>
      <c r="R7" s="8" cm="1">
        <f t="array" ref="R7">INDEX('Summarized Modified Source Data'!$K$600:$K$743,MATCH(1,($A7=LoadFactorSeasons)*(R$1=LoadFactorHours),0),)</f>
        <v>1.604991910303131E-7</v>
      </c>
      <c r="S7" s="8" cm="1">
        <f t="array" ref="S7">INDEX('Summarized Modified Source Data'!$K$600:$K$743,MATCH(1,($A7=LoadFactorSeasons)*(S$1=LoadFactorHours),0),)</f>
        <v>1.5302402722178819E-7</v>
      </c>
      <c r="T7" s="8" cm="1">
        <f t="array" ref="T7">INDEX('Summarized Modified Source Data'!$K$600:$K$743,MATCH(1,($A7=LoadFactorSeasons)*(T$1=LoadFactorHours),0),)</f>
        <v>1.4950593776034635E-7</v>
      </c>
      <c r="U7" s="8" cm="1">
        <f t="array" ref="U7">INDEX('Summarized Modified Source Data'!$K$600:$K$743,MATCH(1,($A7=LoadFactorSeasons)*(U$1=LoadFactorHours),0),)</f>
        <v>1.4482863720032174E-7</v>
      </c>
      <c r="V7" s="8" cm="1">
        <f t="array" ref="V7">INDEX('Summarized Modified Source Data'!$K$600:$K$743,MATCH(1,($A7=LoadFactorSeasons)*(V$1=LoadFactorHours),0),)</f>
        <v>1.4089658179781245E-7</v>
      </c>
      <c r="W7" s="8" cm="1">
        <f t="array" ref="W7">INDEX('Summarized Modified Source Data'!$K$600:$K$743,MATCH(1,($A7=LoadFactorSeasons)*(W$1=LoadFactorHours),0),)</f>
        <v>1.3688379150323898E-7</v>
      </c>
      <c r="X7" s="8" cm="1">
        <f t="array" ref="X7">INDEX('Summarized Modified Source Data'!$K$600:$K$743,MATCH(1,($A7=LoadFactorSeasons)*(X$1=LoadFactorHours),0),)</f>
        <v>1.3206010350155958E-7</v>
      </c>
      <c r="Y7" s="8" cm="1">
        <f t="array" ref="Y7">INDEX('Summarized Modified Source Data'!$K$600:$K$743,MATCH(1,($A7=LoadFactorSeasons)*(Y$1=LoadFactorHours),0),)</f>
        <v>1.2546911984062962E-7</v>
      </c>
    </row>
    <row r="8" spans="1:25" x14ac:dyDescent="0.25">
      <c r="A8" s="8"/>
      <c r="B8" s="8"/>
      <c r="C8" s="8"/>
      <c r="D8" s="8"/>
      <c r="E8" s="8"/>
      <c r="F8" s="8"/>
      <c r="G8" s="8"/>
      <c r="H8" s="8"/>
      <c r="I8" s="8"/>
      <c r="J8" s="8"/>
      <c r="K8" s="8"/>
      <c r="L8" s="8"/>
      <c r="M8" s="8"/>
      <c r="N8" s="8"/>
      <c r="O8" s="8"/>
      <c r="P8" s="8"/>
      <c r="Q8" s="8"/>
      <c r="R8" s="8"/>
      <c r="S8" s="8"/>
      <c r="T8" s="8"/>
      <c r="U8" s="8"/>
      <c r="V8" s="8"/>
      <c r="W8" s="8"/>
      <c r="X8" s="8"/>
      <c r="Y8" s="8"/>
    </row>
    <row r="9" spans="1:25" x14ac:dyDescent="0.25">
      <c r="A9" s="8"/>
      <c r="B9" s="8"/>
      <c r="C9" s="8"/>
      <c r="D9" s="8"/>
      <c r="E9" s="8"/>
      <c r="F9" s="8"/>
      <c r="G9" s="8"/>
      <c r="H9" s="8"/>
      <c r="I9" s="8"/>
      <c r="J9" s="8"/>
      <c r="K9" s="8"/>
      <c r="L9" s="8"/>
      <c r="M9" s="8"/>
      <c r="N9" s="8"/>
      <c r="O9" s="8"/>
      <c r="P9" s="8"/>
      <c r="Q9" s="8"/>
      <c r="R9" s="8"/>
      <c r="S9" s="8"/>
      <c r="T9" s="8"/>
      <c r="U9" s="8"/>
      <c r="V9" s="8"/>
      <c r="W9" s="8"/>
      <c r="X9" s="8"/>
      <c r="Y9" s="8"/>
    </row>
    <row r="10" spans="1:25" x14ac:dyDescent="0.25">
      <c r="A10" s="8"/>
      <c r="B10" s="8"/>
      <c r="C10" s="8"/>
      <c r="D10" s="8"/>
      <c r="E10" s="8"/>
      <c r="F10" s="8"/>
      <c r="G10" s="8"/>
      <c r="H10" s="8"/>
      <c r="I10" s="8"/>
      <c r="J10" s="8"/>
      <c r="K10" s="8"/>
      <c r="L10" s="8"/>
      <c r="M10" s="8"/>
      <c r="N10" s="8"/>
      <c r="O10" s="8"/>
      <c r="P10" s="8"/>
      <c r="Q10" s="8"/>
      <c r="R10" s="8"/>
      <c r="S10" s="8"/>
      <c r="T10" s="8"/>
      <c r="U10" s="8"/>
      <c r="V10" s="8"/>
      <c r="W10" s="8"/>
      <c r="X10" s="8"/>
      <c r="Y10" s="8"/>
    </row>
    <row r="11" spans="1:25" x14ac:dyDescent="0.25">
      <c r="A11" s="8" t="s">
        <v>25</v>
      </c>
      <c r="B11" s="8" t="s">
        <v>34</v>
      </c>
      <c r="C11" s="8" t="s">
        <v>0</v>
      </c>
      <c r="D11" s="8" t="s">
        <v>1</v>
      </c>
      <c r="E11" s="8" t="s">
        <v>2</v>
      </c>
      <c r="F11" s="8" t="s">
        <v>3</v>
      </c>
      <c r="G11" s="8" t="s">
        <v>4</v>
      </c>
      <c r="H11" s="8" t="s">
        <v>5</v>
      </c>
      <c r="I11" s="8" t="s">
        <v>6</v>
      </c>
      <c r="J11" s="8" t="s">
        <v>7</v>
      </c>
      <c r="K11" s="8" t="s">
        <v>8</v>
      </c>
      <c r="L11" s="8" t="s">
        <v>9</v>
      </c>
      <c r="M11" s="8" t="s">
        <v>10</v>
      </c>
      <c r="N11" s="8" t="s">
        <v>11</v>
      </c>
      <c r="O11" s="8" t="s">
        <v>12</v>
      </c>
      <c r="P11" s="8" t="s">
        <v>13</v>
      </c>
      <c r="Q11" s="8" t="s">
        <v>14</v>
      </c>
      <c r="R11" s="8" t="s">
        <v>15</v>
      </c>
      <c r="S11" s="8" t="s">
        <v>16</v>
      </c>
      <c r="T11" s="8" t="s">
        <v>17</v>
      </c>
      <c r="U11" s="8" t="s">
        <v>18</v>
      </c>
      <c r="V11" s="8" t="s">
        <v>19</v>
      </c>
      <c r="W11" s="8" t="s">
        <v>20</v>
      </c>
      <c r="X11" s="8" t="s">
        <v>21</v>
      </c>
      <c r="Y11" s="8" t="s">
        <v>22</v>
      </c>
    </row>
    <row r="12" spans="1:25" x14ac:dyDescent="0.25">
      <c r="A12" s="8" t="s">
        <v>37</v>
      </c>
      <c r="B12" s="8">
        <v>4.8175790192657478E-8</v>
      </c>
      <c r="C12" s="8">
        <v>4.603359059192217E-8</v>
      </c>
      <c r="D12" s="8">
        <v>4.5139549887651259E-8</v>
      </c>
      <c r="E12" s="8">
        <v>4.4635368724964892E-8</v>
      </c>
      <c r="F12" s="8">
        <v>4.4526370283559589E-8</v>
      </c>
      <c r="G12" s="8">
        <v>4.5586443497412992E-8</v>
      </c>
      <c r="H12" s="8">
        <v>4.9375533502358127E-8</v>
      </c>
      <c r="I12" s="8">
        <v>5.6852066128519296E-8</v>
      </c>
      <c r="J12" s="8">
        <v>6.7841136900153066E-8</v>
      </c>
      <c r="K12" s="8">
        <v>7.4859115618169597E-8</v>
      </c>
      <c r="L12" s="8">
        <v>7.8506000679792951E-8</v>
      </c>
      <c r="M12" s="8">
        <v>7.9360497763460991E-8</v>
      </c>
      <c r="N12" s="8">
        <v>7.7379260977359102E-8</v>
      </c>
      <c r="O12" s="8">
        <v>7.8682172579273595E-8</v>
      </c>
      <c r="P12" s="8">
        <v>8.0084450202190161E-8</v>
      </c>
      <c r="Q12" s="8">
        <v>8.011360094814739E-8</v>
      </c>
      <c r="R12" s="8">
        <v>7.8687749243717609E-8</v>
      </c>
      <c r="S12" s="8">
        <v>7.5517922476803035E-8</v>
      </c>
      <c r="T12" s="8">
        <v>7.2770908268642039E-8</v>
      </c>
      <c r="U12" s="8">
        <v>6.8851273618758001E-8</v>
      </c>
      <c r="V12" s="8">
        <v>6.5554957962863786E-8</v>
      </c>
      <c r="W12" s="8">
        <v>6.2191975818389132E-8</v>
      </c>
      <c r="X12" s="8">
        <v>5.8148387126999991E-8</v>
      </c>
      <c r="Y12" s="8">
        <v>5.2624954479973319E-8</v>
      </c>
    </row>
    <row r="13" spans="1:25" x14ac:dyDescent="0.25">
      <c r="A13" s="8" t="s">
        <v>38</v>
      </c>
      <c r="B13" s="8">
        <v>3.9715139404056163E-6</v>
      </c>
      <c r="C13" s="8">
        <v>3.7936261696062138E-6</v>
      </c>
      <c r="D13" s="8">
        <v>3.7193972391123676E-6</v>
      </c>
      <c r="E13" s="8">
        <v>3.6775266285278845E-6</v>
      </c>
      <c r="F13" s="8">
        <v>3.6685106169039786E-6</v>
      </c>
      <c r="G13" s="8">
        <v>3.7564878988351824E-6</v>
      </c>
      <c r="H13" s="8">
        <v>4.0711513002981921E-6</v>
      </c>
      <c r="I13" s="8">
        <v>4.6919266299527078E-6</v>
      </c>
      <c r="J13" s="8">
        <v>5.6313508025647728E-6</v>
      </c>
      <c r="K13" s="8">
        <v>6.6376053471570549E-6</v>
      </c>
      <c r="L13" s="8">
        <v>7.5199660253190713E-6</v>
      </c>
      <c r="M13" s="8">
        <v>8.1765170901216716E-6</v>
      </c>
      <c r="N13" s="8">
        <v>8.4756450726777753E-6</v>
      </c>
      <c r="O13" s="8">
        <v>8.8552119211973137E-6</v>
      </c>
      <c r="P13" s="8">
        <v>9.0989236193187796E-6</v>
      </c>
      <c r="Q13" s="8">
        <v>8.9956436836052907E-6</v>
      </c>
      <c r="R13" s="8">
        <v>8.5643666078696549E-6</v>
      </c>
      <c r="S13" s="8">
        <v>7.8426194864433581E-6</v>
      </c>
      <c r="T13" s="8">
        <v>7.0527178107582938E-6</v>
      </c>
      <c r="U13" s="8">
        <v>6.1323697981320328E-6</v>
      </c>
      <c r="V13" s="8">
        <v>5.4247496021028773E-6</v>
      </c>
      <c r="W13" s="8">
        <v>5.1244002639070836E-6</v>
      </c>
      <c r="X13" s="8">
        <v>4.7995953785414698E-6</v>
      </c>
      <c r="Y13" s="8">
        <v>4.3409412888162273E-6</v>
      </c>
    </row>
    <row r="14" spans="1:25" x14ac:dyDescent="0.25">
      <c r="A14" s="8" t="s">
        <v>39</v>
      </c>
      <c r="B14" s="8">
        <v>2.5594244739689188E-4</v>
      </c>
      <c r="C14" s="8">
        <v>2.3970840248384783E-4</v>
      </c>
      <c r="D14" s="8">
        <v>2.3326107303773056E-4</v>
      </c>
      <c r="E14" s="8">
        <v>2.3464972861074042E-4</v>
      </c>
      <c r="F14" s="8">
        <v>2.4222120780643713E-4</v>
      </c>
      <c r="G14" s="8">
        <v>2.5981084506456224E-4</v>
      </c>
      <c r="H14" s="8">
        <v>2.9363452723573134E-4</v>
      </c>
      <c r="I14" s="8">
        <v>3.4607280673081871E-4</v>
      </c>
      <c r="J14" s="8">
        <v>4.1358791816144172E-4</v>
      </c>
      <c r="K14" s="8">
        <v>4.6718341063403722E-4</v>
      </c>
      <c r="L14" s="8">
        <v>5.0580126085488333E-4</v>
      </c>
      <c r="M14" s="8">
        <v>5.3030111275012906E-4</v>
      </c>
      <c r="N14" s="8">
        <v>5.3926124751883559E-4</v>
      </c>
      <c r="O14" s="8">
        <v>5.5456952204987304E-4</v>
      </c>
      <c r="P14" s="8">
        <v>5.6376109941408132E-4</v>
      </c>
      <c r="Q14" s="8">
        <v>5.6052090307705824E-4</v>
      </c>
      <c r="R14" s="8">
        <v>5.443860478478007E-4</v>
      </c>
      <c r="S14" s="8">
        <v>5.1568716600559656E-4</v>
      </c>
      <c r="T14" s="8">
        <v>4.8371502459844049E-4</v>
      </c>
      <c r="U14" s="8">
        <v>4.4374158203251332E-4</v>
      </c>
      <c r="V14" s="8">
        <v>4.0542130086302643E-4</v>
      </c>
      <c r="W14" s="8">
        <v>3.6614218608360422E-4</v>
      </c>
      <c r="X14" s="8">
        <v>3.276565887744733E-4</v>
      </c>
      <c r="Y14" s="8">
        <v>2.8665818614275314E-4</v>
      </c>
    </row>
    <row r="15" spans="1:25" x14ac:dyDescent="0.25">
      <c r="A15" s="8" t="s">
        <v>40</v>
      </c>
      <c r="B15" s="8">
        <v>4.1450740609652583E-5</v>
      </c>
      <c r="C15" s="8">
        <v>3.9508639707704027E-5</v>
      </c>
      <c r="D15" s="8">
        <v>3.8691090560824884E-5</v>
      </c>
      <c r="E15" s="8">
        <v>3.8330920482618235E-5</v>
      </c>
      <c r="F15" s="8">
        <v>3.8378393770999481E-5</v>
      </c>
      <c r="G15" s="8">
        <v>3.9648383272573161E-5</v>
      </c>
      <c r="H15" s="8">
        <v>4.4469128607218744E-5</v>
      </c>
      <c r="I15" s="8">
        <v>5.4706740603744219E-5</v>
      </c>
      <c r="J15" s="8">
        <v>6.9759190826092321E-5</v>
      </c>
      <c r="K15" s="8">
        <v>8.1933037505741991E-5</v>
      </c>
      <c r="L15" s="8">
        <v>9.1198341683836068E-5</v>
      </c>
      <c r="M15" s="8">
        <v>9.7353816856994143E-5</v>
      </c>
      <c r="N15" s="8">
        <v>9.9985200465439386E-5</v>
      </c>
      <c r="O15" s="8">
        <v>1.0401270874932807E-4</v>
      </c>
      <c r="P15" s="8">
        <v>1.0590968903379076E-4</v>
      </c>
      <c r="Q15" s="8">
        <v>1.0504162079229277E-4</v>
      </c>
      <c r="R15" s="8">
        <v>1.0131064079439059E-4</v>
      </c>
      <c r="S15" s="8">
        <v>9.4277197512145249E-5</v>
      </c>
      <c r="T15" s="8">
        <v>8.6384601504073565E-5</v>
      </c>
      <c r="U15" s="8">
        <v>7.7063423636177371E-5</v>
      </c>
      <c r="V15" s="8">
        <v>6.7813914965349575E-5</v>
      </c>
      <c r="W15" s="8">
        <v>5.916272820180301E-5</v>
      </c>
      <c r="X15" s="8">
        <v>5.189295568737218E-5</v>
      </c>
      <c r="Y15" s="8">
        <v>4.5587894926143983E-5</v>
      </c>
    </row>
    <row r="16" spans="1:25" x14ac:dyDescent="0.25">
      <c r="A16" t="s">
        <v>80</v>
      </c>
      <c r="B16">
        <v>2.9566791575335303E-4</v>
      </c>
      <c r="C16">
        <v>2.8143419613000178E-4</v>
      </c>
      <c r="D16">
        <v>2.7599529513571314E-4</v>
      </c>
      <c r="E16">
        <v>2.7923549147273612E-4</v>
      </c>
      <c r="F16">
        <v>2.8849319529280202E-4</v>
      </c>
      <c r="G16">
        <v>3.0712432423068449E-4</v>
      </c>
      <c r="H16">
        <v>3.3836907462340678E-4</v>
      </c>
      <c r="I16">
        <v>3.8269033166197201E-4</v>
      </c>
      <c r="J16">
        <v>4.3499635824534408E-4</v>
      </c>
      <c r="K16">
        <v>4.8255781162093235E-4</v>
      </c>
      <c r="L16">
        <v>5.193571843056941E-4</v>
      </c>
      <c r="M16">
        <v>5.4724601706364242E-4</v>
      </c>
      <c r="N16">
        <v>5.6934878493404974E-4</v>
      </c>
      <c r="O16">
        <v>5.8242529157989263E-4</v>
      </c>
      <c r="P16">
        <v>5.8682270089442396E-4</v>
      </c>
      <c r="Q16">
        <v>5.8242529157989263E-4</v>
      </c>
      <c r="R16">
        <v>5.6645575249027907E-4</v>
      </c>
      <c r="S16">
        <v>5.4007129660309141E-4</v>
      </c>
      <c r="T16">
        <v>5.0801649712611341E-4</v>
      </c>
      <c r="U16">
        <v>4.6994419016609259E-4</v>
      </c>
      <c r="V16">
        <v>4.3187188320607177E-4</v>
      </c>
      <c r="W16">
        <v>3.9275808456629358E-4</v>
      </c>
      <c r="X16">
        <v>3.5665303966803677E-4</v>
      </c>
      <c r="Y16">
        <v>3.2124232255628497E-4</v>
      </c>
    </row>
    <row r="17" spans="1:25" x14ac:dyDescent="0.25">
      <c r="A17" t="s">
        <v>81</v>
      </c>
      <c r="B17">
        <v>5.9326837717914491E-8</v>
      </c>
      <c r="C17">
        <v>5.8064356933218931E-8</v>
      </c>
      <c r="D17">
        <v>5.7537362143261677E-8</v>
      </c>
      <c r="E17">
        <v>5.7241038473487733E-8</v>
      </c>
      <c r="F17">
        <v>5.7176273120513194E-8</v>
      </c>
      <c r="G17">
        <v>5.7801746734856392E-8</v>
      </c>
      <c r="H17">
        <v>6.0033046224321853E-8</v>
      </c>
      <c r="I17">
        <v>6.443797742320693E-8</v>
      </c>
      <c r="J17">
        <v>7.0910076737580887E-8</v>
      </c>
      <c r="K17">
        <v>7.5045300165174718E-8</v>
      </c>
      <c r="L17">
        <v>7.9031119682619031E-8</v>
      </c>
      <c r="M17">
        <v>8.002619940722517E-8</v>
      </c>
      <c r="N17">
        <v>7.8122985226389688E-8</v>
      </c>
      <c r="O17">
        <v>7.8905847520427174E-8</v>
      </c>
      <c r="P17">
        <v>8.0869036192510345E-8</v>
      </c>
      <c r="Q17">
        <v>8.0903104542568185E-8</v>
      </c>
      <c r="R17">
        <v>7.9242627355894803E-8</v>
      </c>
      <c r="S17">
        <v>7.5551889432961892E-8</v>
      </c>
      <c r="T17">
        <v>7.3814758458658387E-8</v>
      </c>
      <c r="U17">
        <v>7.1505385666977034E-8</v>
      </c>
      <c r="V17">
        <v>6.9564199470972891E-8</v>
      </c>
      <c r="W17">
        <v>6.7583089427244725E-8</v>
      </c>
      <c r="X17">
        <v>6.5201853709660125E-8</v>
      </c>
      <c r="Y17">
        <v>6.1947616521843304E-8</v>
      </c>
    </row>
    <row r="19" spans="1:25" x14ac:dyDescent="0.25">
      <c r="N19" s="8"/>
    </row>
    <row r="21" spans="1:25" x14ac:dyDescent="0.25">
      <c r="A21" s="8" t="s">
        <v>472</v>
      </c>
    </row>
    <row r="22" spans="1:25" x14ac:dyDescent="0.25">
      <c r="A22" s="8" t="s">
        <v>37</v>
      </c>
      <c r="B22" s="49">
        <f>(B12-B2)/B2</f>
        <v>-0.5062750201980053</v>
      </c>
      <c r="C22" s="49">
        <f t="shared" ref="C22:X27" si="0">(C12-C2)/C2</f>
        <v>-0.50627477421143918</v>
      </c>
      <c r="D22" s="49">
        <f t="shared" si="0"/>
        <v>-0.50627429452309269</v>
      </c>
      <c r="E22" s="49">
        <f t="shared" si="0"/>
        <v>-0.50627505958222341</v>
      </c>
      <c r="F22" s="49">
        <f t="shared" si="0"/>
        <v>-0.50627635055371301</v>
      </c>
      <c r="G22" s="49">
        <f t="shared" si="0"/>
        <v>-0.50627319848015628</v>
      </c>
      <c r="H22" s="49">
        <f t="shared" si="0"/>
        <v>-0.50627588549297142</v>
      </c>
      <c r="I22" s="49">
        <f t="shared" si="0"/>
        <v>-0.50627279791662538</v>
      </c>
      <c r="J22" s="49">
        <f t="shared" si="0"/>
        <v>-0.50627591906610192</v>
      </c>
      <c r="K22" s="49">
        <f t="shared" si="0"/>
        <v>-0.50627438785848278</v>
      </c>
      <c r="L22" s="49">
        <f t="shared" si="0"/>
        <v>-0.5062754369212179</v>
      </c>
      <c r="M22" s="49">
        <f t="shared" si="0"/>
        <v>-0.50627645415034483</v>
      </c>
      <c r="N22" s="49">
        <f t="shared" si="0"/>
        <v>-0.50627463475463497</v>
      </c>
      <c r="O22" s="49">
        <f t="shared" si="0"/>
        <v>-0.50627491275564906</v>
      </c>
      <c r="P22" s="49">
        <f t="shared" si="0"/>
        <v>-0.50627443748847467</v>
      </c>
      <c r="Q22" s="49">
        <f t="shared" si="0"/>
        <v>-0.50627526822592839</v>
      </c>
      <c r="R22" s="49">
        <f t="shared" si="0"/>
        <v>-0.50627368836254261</v>
      </c>
      <c r="S22" s="49">
        <f t="shared" si="0"/>
        <v>-0.50627434082961831</v>
      </c>
      <c r="T22" s="49">
        <f t="shared" si="0"/>
        <v>-0.50627556056973633</v>
      </c>
      <c r="U22" s="49">
        <f t="shared" si="0"/>
        <v>-0.50627474361164926</v>
      </c>
      <c r="V22" s="49">
        <f t="shared" si="0"/>
        <v>-0.50627430541634932</v>
      </c>
      <c r="W22" s="49">
        <f t="shared" si="0"/>
        <v>-0.50627450033404964</v>
      </c>
      <c r="X22" s="49">
        <f t="shared" si="0"/>
        <v>-0.50627497992996462</v>
      </c>
      <c r="Y22" s="49">
        <f>(Y12-Y2)/Y2</f>
        <v>-0.50627366298205889</v>
      </c>
    </row>
    <row r="23" spans="1:25" x14ac:dyDescent="0.25">
      <c r="A23" s="8" t="s">
        <v>38</v>
      </c>
      <c r="B23" s="49">
        <f t="shared" ref="B23:Q27" si="1">(B13-B3)/B3</f>
        <v>0</v>
      </c>
      <c r="C23" s="49">
        <f t="shared" si="1"/>
        <v>0</v>
      </c>
      <c r="D23" s="49">
        <f t="shared" si="1"/>
        <v>0</v>
      </c>
      <c r="E23" s="49">
        <f t="shared" si="1"/>
        <v>0</v>
      </c>
      <c r="F23" s="49">
        <f t="shared" si="1"/>
        <v>0</v>
      </c>
      <c r="G23" s="49">
        <f t="shared" si="1"/>
        <v>0</v>
      </c>
      <c r="H23" s="49">
        <f t="shared" si="1"/>
        <v>0</v>
      </c>
      <c r="I23" s="49">
        <f t="shared" si="1"/>
        <v>0</v>
      </c>
      <c r="J23" s="49">
        <f t="shared" si="1"/>
        <v>0</v>
      </c>
      <c r="K23" s="49">
        <f t="shared" si="1"/>
        <v>0</v>
      </c>
      <c r="L23" s="49">
        <f t="shared" si="1"/>
        <v>0</v>
      </c>
      <c r="M23" s="49">
        <f t="shared" si="1"/>
        <v>0</v>
      </c>
      <c r="N23" s="49">
        <f t="shared" si="1"/>
        <v>0</v>
      </c>
      <c r="O23" s="49">
        <f t="shared" si="1"/>
        <v>0</v>
      </c>
      <c r="P23" s="49">
        <f t="shared" si="1"/>
        <v>0</v>
      </c>
      <c r="Q23" s="49">
        <f t="shared" si="1"/>
        <v>0</v>
      </c>
      <c r="R23" s="49">
        <f t="shared" si="0"/>
        <v>0</v>
      </c>
      <c r="S23" s="49">
        <f t="shared" si="0"/>
        <v>0</v>
      </c>
      <c r="T23" s="49">
        <f t="shared" si="0"/>
        <v>0</v>
      </c>
      <c r="U23" s="49">
        <f t="shared" si="0"/>
        <v>0</v>
      </c>
      <c r="V23" s="49">
        <f t="shared" si="0"/>
        <v>0</v>
      </c>
      <c r="W23" s="49">
        <f t="shared" si="0"/>
        <v>0</v>
      </c>
      <c r="X23" s="49">
        <f t="shared" si="0"/>
        <v>0</v>
      </c>
      <c r="Y23" s="49">
        <f t="shared" ref="Y23:Y27" si="2">(Y13-Y3)/Y3</f>
        <v>0</v>
      </c>
    </row>
    <row r="24" spans="1:25" x14ac:dyDescent="0.25">
      <c r="A24" s="8" t="s">
        <v>39</v>
      </c>
      <c r="B24" s="49">
        <f t="shared" si="1"/>
        <v>0</v>
      </c>
      <c r="C24" s="49">
        <f t="shared" si="0"/>
        <v>0</v>
      </c>
      <c r="D24" s="49">
        <f t="shared" si="0"/>
        <v>0</v>
      </c>
      <c r="E24" s="49">
        <f t="shared" si="0"/>
        <v>0</v>
      </c>
      <c r="F24" s="49">
        <f t="shared" si="0"/>
        <v>0</v>
      </c>
      <c r="G24" s="49">
        <f t="shared" si="0"/>
        <v>0</v>
      </c>
      <c r="H24" s="49">
        <f t="shared" si="0"/>
        <v>0</v>
      </c>
      <c r="I24" s="49">
        <f t="shared" si="0"/>
        <v>0</v>
      </c>
      <c r="J24" s="49">
        <f t="shared" si="0"/>
        <v>0</v>
      </c>
      <c r="K24" s="49">
        <f t="shared" si="0"/>
        <v>0</v>
      </c>
      <c r="L24" s="49">
        <f t="shared" si="0"/>
        <v>0</v>
      </c>
      <c r="M24" s="49">
        <f t="shared" si="0"/>
        <v>0</v>
      </c>
      <c r="N24" s="49">
        <f t="shared" si="0"/>
        <v>0</v>
      </c>
      <c r="O24" s="49">
        <f t="shared" si="0"/>
        <v>0</v>
      </c>
      <c r="P24" s="49">
        <f t="shared" si="0"/>
        <v>0</v>
      </c>
      <c r="Q24" s="49">
        <f t="shared" si="0"/>
        <v>0</v>
      </c>
      <c r="R24" s="49">
        <f t="shared" si="0"/>
        <v>0</v>
      </c>
      <c r="S24" s="49">
        <f t="shared" si="0"/>
        <v>0</v>
      </c>
      <c r="T24" s="49">
        <f t="shared" si="0"/>
        <v>0</v>
      </c>
      <c r="U24" s="49">
        <f t="shared" si="0"/>
        <v>0</v>
      </c>
      <c r="V24" s="49">
        <f t="shared" si="0"/>
        <v>0</v>
      </c>
      <c r="W24" s="49">
        <f t="shared" si="0"/>
        <v>0</v>
      </c>
      <c r="X24" s="49">
        <f t="shared" si="0"/>
        <v>0</v>
      </c>
      <c r="Y24" s="49">
        <f t="shared" si="2"/>
        <v>0</v>
      </c>
    </row>
    <row r="25" spans="1:25" x14ac:dyDescent="0.25">
      <c r="A25" s="8" t="s">
        <v>40</v>
      </c>
      <c r="B25" s="49">
        <f t="shared" si="1"/>
        <v>2.3500048523075767E-3</v>
      </c>
      <c r="C25" s="49">
        <f t="shared" si="0"/>
        <v>2.3559013881842084E-3</v>
      </c>
      <c r="D25" s="49">
        <f t="shared" si="0"/>
        <v>2.3589627348816603E-3</v>
      </c>
      <c r="E25" s="49">
        <f t="shared" si="0"/>
        <v>2.3545293789162991E-3</v>
      </c>
      <c r="F25" s="49">
        <f t="shared" si="0"/>
        <v>2.3458661257910293E-3</v>
      </c>
      <c r="G25" s="49">
        <f t="shared" si="0"/>
        <v>2.3247074591735075E-3</v>
      </c>
      <c r="H25" s="49">
        <f t="shared" si="0"/>
        <v>2.2448189254625382E-3</v>
      </c>
      <c r="I25" s="49">
        <f t="shared" si="0"/>
        <v>2.1007081962758378E-3</v>
      </c>
      <c r="J25" s="49">
        <f t="shared" si="0"/>
        <v>1.9656168815606434E-3</v>
      </c>
      <c r="K25" s="49">
        <f t="shared" si="0"/>
        <v>1.846454086342827E-3</v>
      </c>
      <c r="L25" s="49">
        <f t="shared" si="0"/>
        <v>1.7394992467071801E-3</v>
      </c>
      <c r="M25" s="49">
        <f t="shared" si="0"/>
        <v>1.6471055925319717E-3</v>
      </c>
      <c r="N25" s="49">
        <f t="shared" si="0"/>
        <v>1.5635778847515865E-3</v>
      </c>
      <c r="O25" s="49">
        <f t="shared" si="0"/>
        <v>1.5282900341591068E-3</v>
      </c>
      <c r="P25" s="49">
        <f t="shared" si="0"/>
        <v>1.5276619158990214E-3</v>
      </c>
      <c r="Q25" s="49">
        <f t="shared" si="0"/>
        <v>1.540872686525288E-3</v>
      </c>
      <c r="R25" s="49">
        <f t="shared" si="0"/>
        <v>1.5692188837146464E-3</v>
      </c>
      <c r="S25" s="49">
        <f t="shared" si="0"/>
        <v>1.618442639449905E-3</v>
      </c>
      <c r="T25" s="49">
        <f t="shared" si="0"/>
        <v>1.7022127661527621E-3</v>
      </c>
      <c r="U25" s="49">
        <f t="shared" si="0"/>
        <v>1.8055080275820598E-3</v>
      </c>
      <c r="V25" s="49">
        <f t="shared" si="0"/>
        <v>1.9538265291178967E-3</v>
      </c>
      <c r="W25" s="49">
        <f t="shared" si="0"/>
        <v>2.1250050541763293E-3</v>
      </c>
      <c r="X25" s="49">
        <f t="shared" si="0"/>
        <v>2.2655037657892925E-3</v>
      </c>
      <c r="Y25" s="49">
        <f t="shared" si="2"/>
        <v>2.3340229315160495E-3</v>
      </c>
    </row>
    <row r="26" spans="1:25" x14ac:dyDescent="0.25">
      <c r="A26" s="8" t="s">
        <v>80</v>
      </c>
      <c r="B26" s="49">
        <f t="shared" si="1"/>
        <v>0</v>
      </c>
      <c r="C26" s="49">
        <f t="shared" si="0"/>
        <v>0</v>
      </c>
      <c r="D26" s="49">
        <f t="shared" si="0"/>
        <v>0</v>
      </c>
      <c r="E26" s="49">
        <f t="shared" si="0"/>
        <v>0</v>
      </c>
      <c r="F26" s="49">
        <f t="shared" si="0"/>
        <v>0</v>
      </c>
      <c r="G26" s="49">
        <f t="shared" si="0"/>
        <v>0</v>
      </c>
      <c r="H26" s="49">
        <f t="shared" si="0"/>
        <v>0</v>
      </c>
      <c r="I26" s="49">
        <f t="shared" si="0"/>
        <v>0</v>
      </c>
      <c r="J26" s="49">
        <f t="shared" si="0"/>
        <v>0</v>
      </c>
      <c r="K26" s="49">
        <f t="shared" si="0"/>
        <v>0</v>
      </c>
      <c r="L26" s="49">
        <f t="shared" si="0"/>
        <v>0</v>
      </c>
      <c r="M26" s="49">
        <f t="shared" si="0"/>
        <v>0</v>
      </c>
      <c r="N26" s="49">
        <f t="shared" si="0"/>
        <v>0</v>
      </c>
      <c r="O26" s="49">
        <f t="shared" si="0"/>
        <v>0</v>
      </c>
      <c r="P26" s="49">
        <f t="shared" si="0"/>
        <v>0</v>
      </c>
      <c r="Q26" s="49">
        <f t="shared" si="0"/>
        <v>0</v>
      </c>
      <c r="R26" s="49">
        <f t="shared" si="0"/>
        <v>0</v>
      </c>
      <c r="S26" s="49">
        <f t="shared" si="0"/>
        <v>0</v>
      </c>
      <c r="T26" s="49">
        <f t="shared" si="0"/>
        <v>0</v>
      </c>
      <c r="U26" s="49">
        <f t="shared" si="0"/>
        <v>0</v>
      </c>
      <c r="V26" s="49">
        <f t="shared" si="0"/>
        <v>0</v>
      </c>
      <c r="W26" s="49">
        <f t="shared" si="0"/>
        <v>0</v>
      </c>
      <c r="X26" s="49">
        <f t="shared" si="0"/>
        <v>0</v>
      </c>
      <c r="Y26" s="49">
        <f t="shared" si="2"/>
        <v>0</v>
      </c>
    </row>
    <row r="27" spans="1:25" x14ac:dyDescent="0.25">
      <c r="A27" s="8" t="s">
        <v>81</v>
      </c>
      <c r="B27" s="49">
        <f t="shared" si="1"/>
        <v>-0.50627219633931142</v>
      </c>
      <c r="C27" s="49">
        <f t="shared" si="0"/>
        <v>-0.50627649783491002</v>
      </c>
      <c r="D27" s="49">
        <f t="shared" si="0"/>
        <v>-0.50627688325530051</v>
      </c>
      <c r="E27" s="49">
        <f t="shared" si="0"/>
        <v>-0.50627496594683119</v>
      </c>
      <c r="F27" s="49">
        <f t="shared" si="0"/>
        <v>-0.50627820211290808</v>
      </c>
      <c r="G27" s="49">
        <f t="shared" si="0"/>
        <v>-0.5062709822139031</v>
      </c>
      <c r="H27" s="49">
        <f t="shared" si="0"/>
        <v>-0.50627499051454916</v>
      </c>
      <c r="I27" s="49">
        <f t="shared" si="0"/>
        <v>-0.50627094563820896</v>
      </c>
      <c r="J27" s="49">
        <f t="shared" si="0"/>
        <v>-0.50627914877845392</v>
      </c>
      <c r="K27" s="49">
        <f t="shared" si="0"/>
        <v>-0.506274660876468</v>
      </c>
      <c r="L27" s="49">
        <f t="shared" si="0"/>
        <v>-0.50627523228668536</v>
      </c>
      <c r="M27" s="49">
        <f t="shared" si="0"/>
        <v>-0.50627601321542504</v>
      </c>
      <c r="N27" s="49">
        <f t="shared" si="0"/>
        <v>-0.50627417998317914</v>
      </c>
      <c r="O27" s="49">
        <f t="shared" si="0"/>
        <v>-0.50627520295596251</v>
      </c>
      <c r="P27" s="49">
        <f t="shared" si="0"/>
        <v>-0.50627453699290215</v>
      </c>
      <c r="Q27" s="49">
        <f t="shared" si="0"/>
        <v>-0.50627513573567984</v>
      </c>
      <c r="R27" s="49">
        <f t="shared" si="0"/>
        <v>-0.50627397654030271</v>
      </c>
      <c r="S27" s="49">
        <f t="shared" si="0"/>
        <v>-0.50627433609847838</v>
      </c>
      <c r="T27" s="49">
        <f t="shared" si="0"/>
        <v>-0.50627540575022989</v>
      </c>
      <c r="U27" s="49">
        <f t="shared" si="0"/>
        <v>-0.50627591994756282</v>
      </c>
      <c r="V27" s="49">
        <f t="shared" si="0"/>
        <v>-0.50627475426765156</v>
      </c>
      <c r="W27" s="49">
        <f t="shared" si="0"/>
        <v>-0.50627398112620547</v>
      </c>
      <c r="X27" s="49">
        <f t="shared" si="0"/>
        <v>-0.50627137204318395</v>
      </c>
      <c r="Y27" s="49">
        <f t="shared" si="2"/>
        <v>-0.50627200859837929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10335-104A-43E1-8BB9-3B8DD97A7DD0}">
  <sheetPr codeName="Sheet17">
    <tabColor rgb="FF002060"/>
  </sheetPr>
  <dimension ref="A1:Y19"/>
  <sheetViews>
    <sheetView workbookViewId="0">
      <selection activeCell="B2" sqref="B2"/>
    </sheetView>
  </sheetViews>
  <sheetFormatPr defaultRowHeight="15" x14ac:dyDescent="0.25"/>
  <cols>
    <col min="1" max="1" width="28.42578125" customWidth="1"/>
    <col min="2" max="2" width="10.5703125" bestFit="1" customWidth="1"/>
    <col min="3" max="3" width="10.42578125" bestFit="1" customWidth="1"/>
    <col min="4" max="25" width="10.5703125" bestFit="1" customWidth="1"/>
  </cols>
  <sheetData>
    <row r="1" spans="1:25" x14ac:dyDescent="0.25">
      <c r="A1" s="6" t="s">
        <v>25</v>
      </c>
      <c r="B1" s="7" t="s">
        <v>34</v>
      </c>
      <c r="C1" s="7" t="s">
        <v>0</v>
      </c>
      <c r="D1" s="7" t="s">
        <v>1</v>
      </c>
      <c r="E1" s="7" t="s">
        <v>2</v>
      </c>
      <c r="F1" s="7" t="s">
        <v>3</v>
      </c>
      <c r="G1" s="7" t="s">
        <v>4</v>
      </c>
      <c r="H1" s="7" t="s">
        <v>5</v>
      </c>
      <c r="I1" s="7" t="s">
        <v>6</v>
      </c>
      <c r="J1" s="7" t="s">
        <v>7</v>
      </c>
      <c r="K1" s="7" t="s">
        <v>8</v>
      </c>
      <c r="L1" s="7" t="s">
        <v>9</v>
      </c>
      <c r="M1" s="7" t="s">
        <v>10</v>
      </c>
      <c r="N1" s="7" t="s">
        <v>11</v>
      </c>
      <c r="O1" s="7" t="s">
        <v>12</v>
      </c>
      <c r="P1" s="7" t="s">
        <v>13</v>
      </c>
      <c r="Q1" s="7" t="s">
        <v>14</v>
      </c>
      <c r="R1" s="7" t="s">
        <v>15</v>
      </c>
      <c r="S1" s="7" t="s">
        <v>16</v>
      </c>
      <c r="T1" s="7" t="s">
        <v>17</v>
      </c>
      <c r="U1" s="7" t="s">
        <v>18</v>
      </c>
      <c r="V1" s="7" t="s">
        <v>19</v>
      </c>
      <c r="W1" s="7" t="s">
        <v>20</v>
      </c>
      <c r="X1" s="7" t="s">
        <v>21</v>
      </c>
      <c r="Y1" s="7" t="s">
        <v>22</v>
      </c>
    </row>
    <row r="2" spans="1:25" x14ac:dyDescent="0.25">
      <c r="A2" s="8" t="s">
        <v>37</v>
      </c>
      <c r="B2" s="8">
        <v>0</v>
      </c>
      <c r="C2" s="8">
        <v>0</v>
      </c>
      <c r="D2" s="8">
        <v>0</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row>
    <row r="3" spans="1:25" x14ac:dyDescent="0.25">
      <c r="A3" s="8" t="s">
        <v>38</v>
      </c>
      <c r="B3" s="8">
        <v>0</v>
      </c>
      <c r="C3" s="8">
        <v>0</v>
      </c>
      <c r="D3" s="8">
        <v>0</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row>
    <row r="4" spans="1:25" x14ac:dyDescent="0.25">
      <c r="A4" s="8" t="s">
        <v>39</v>
      </c>
      <c r="B4" s="8">
        <v>0</v>
      </c>
      <c r="C4" s="8">
        <v>0</v>
      </c>
      <c r="D4" s="8">
        <v>0</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row>
    <row r="5" spans="1:25" x14ac:dyDescent="0.25">
      <c r="A5" s="8" t="s">
        <v>40</v>
      </c>
      <c r="B5" s="8">
        <v>0</v>
      </c>
      <c r="C5" s="8">
        <v>0</v>
      </c>
      <c r="D5" s="8">
        <v>0</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row>
    <row r="6" spans="1:25" x14ac:dyDescent="0.25">
      <c r="A6" s="8" t="s">
        <v>80</v>
      </c>
      <c r="B6" s="8">
        <v>0</v>
      </c>
      <c r="C6" s="8">
        <v>0</v>
      </c>
      <c r="D6" s="8">
        <v>0</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row>
    <row r="7" spans="1:25" x14ac:dyDescent="0.25">
      <c r="A7" s="8" t="s">
        <v>81</v>
      </c>
      <c r="B7" s="8">
        <v>0</v>
      </c>
      <c r="C7" s="8">
        <v>0</v>
      </c>
      <c r="D7" s="8">
        <v>0</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row>
    <row r="8" spans="1:25" x14ac:dyDescent="0.25">
      <c r="A8" s="8"/>
      <c r="B8" s="8"/>
      <c r="C8" s="8"/>
      <c r="D8" s="8"/>
      <c r="E8" s="8"/>
      <c r="F8" s="8"/>
      <c r="G8" s="8"/>
      <c r="H8" s="8"/>
      <c r="I8" s="8"/>
      <c r="J8" s="8"/>
      <c r="K8" s="8"/>
      <c r="L8" s="8"/>
      <c r="M8" s="8"/>
      <c r="N8" s="8"/>
      <c r="O8" s="8"/>
      <c r="P8" s="8"/>
      <c r="Q8" s="8"/>
      <c r="R8" s="8"/>
      <c r="S8" s="8"/>
      <c r="T8" s="8"/>
      <c r="U8" s="8"/>
      <c r="V8" s="8"/>
      <c r="W8" s="8"/>
      <c r="X8" s="8"/>
      <c r="Y8" s="8"/>
    </row>
    <row r="9" spans="1:25" x14ac:dyDescent="0.25">
      <c r="A9" s="8"/>
      <c r="B9" s="8"/>
      <c r="C9" s="8"/>
      <c r="D9" s="8"/>
      <c r="E9" s="8"/>
      <c r="F9" s="8"/>
      <c r="G9" s="8"/>
      <c r="H9" s="8"/>
      <c r="I9" s="8"/>
      <c r="J9" s="8"/>
      <c r="K9" s="8"/>
      <c r="L9" s="8"/>
      <c r="M9" s="8"/>
      <c r="N9" s="8"/>
      <c r="O9" s="8"/>
      <c r="P9" s="8"/>
      <c r="Q9" s="8"/>
      <c r="R9" s="8"/>
      <c r="S9" s="8"/>
      <c r="T9" s="8"/>
      <c r="U9" s="8"/>
      <c r="V9" s="8"/>
      <c r="W9" s="8"/>
      <c r="X9" s="8"/>
      <c r="Y9" s="8"/>
    </row>
    <row r="10" spans="1:25" x14ac:dyDescent="0.25">
      <c r="A10" s="8"/>
      <c r="B10" s="8"/>
      <c r="C10" s="8"/>
      <c r="D10" s="8"/>
      <c r="E10" s="8"/>
      <c r="F10" s="8"/>
      <c r="G10" s="8"/>
      <c r="H10" s="8"/>
      <c r="I10" s="8"/>
      <c r="J10" s="8"/>
      <c r="K10" s="8"/>
      <c r="L10" s="8"/>
      <c r="M10" s="8"/>
      <c r="N10" s="8"/>
      <c r="O10" s="8"/>
      <c r="P10" s="8"/>
      <c r="Q10" s="8"/>
      <c r="R10" s="8"/>
      <c r="S10" s="8"/>
      <c r="T10" s="8"/>
      <c r="U10" s="8"/>
      <c r="V10" s="8"/>
      <c r="W10" s="8"/>
      <c r="X10" s="8"/>
      <c r="Y10" s="8"/>
    </row>
    <row r="11" spans="1:25" x14ac:dyDescent="0.25">
      <c r="A11" s="8"/>
      <c r="B11" s="8"/>
      <c r="C11" s="8"/>
      <c r="D11" s="8"/>
      <c r="E11" s="8"/>
      <c r="F11" s="8"/>
      <c r="G11" s="8"/>
      <c r="H11" s="8"/>
      <c r="I11" s="8"/>
      <c r="J11" s="8"/>
      <c r="K11" s="8"/>
      <c r="L11" s="8"/>
      <c r="M11" s="8"/>
      <c r="N11" s="8"/>
      <c r="O11" s="8"/>
      <c r="P11" s="8"/>
      <c r="Q11" s="8"/>
      <c r="R11" s="8"/>
      <c r="S11" s="8"/>
      <c r="T11" s="8"/>
      <c r="U11" s="8"/>
      <c r="V11" s="8"/>
      <c r="W11" s="8"/>
      <c r="X11" s="8"/>
      <c r="Y11" s="8"/>
    </row>
    <row r="12" spans="1:25" x14ac:dyDescent="0.25">
      <c r="A12" s="8"/>
      <c r="B12" s="8"/>
      <c r="C12" s="8"/>
      <c r="D12" s="8"/>
      <c r="E12" s="8"/>
      <c r="F12" s="8"/>
      <c r="G12" s="8"/>
      <c r="H12" s="8"/>
      <c r="I12" s="8"/>
      <c r="J12" s="8"/>
      <c r="K12" s="8"/>
      <c r="L12" s="8"/>
      <c r="M12" s="8"/>
      <c r="N12" s="8"/>
      <c r="O12" s="8"/>
      <c r="P12" s="8"/>
      <c r="Q12" s="8"/>
      <c r="R12" s="8"/>
      <c r="S12" s="8"/>
      <c r="T12" s="8"/>
      <c r="U12" s="8"/>
      <c r="V12" s="8"/>
      <c r="W12" s="8"/>
      <c r="X12" s="8"/>
      <c r="Y12" s="8"/>
    </row>
    <row r="13" spans="1:25" x14ac:dyDescent="0.25">
      <c r="A13" s="8"/>
      <c r="B13" s="8"/>
      <c r="C13" s="8"/>
      <c r="D13" s="8"/>
      <c r="E13" s="8"/>
      <c r="F13" s="8"/>
      <c r="G13" s="8"/>
      <c r="H13" s="8"/>
      <c r="I13" s="8"/>
      <c r="J13" s="8"/>
      <c r="K13" s="8"/>
      <c r="L13" s="8"/>
      <c r="M13" s="8"/>
      <c r="N13" s="8"/>
      <c r="O13" s="8"/>
      <c r="P13" s="8"/>
      <c r="Q13" s="8"/>
      <c r="R13" s="8"/>
      <c r="S13" s="8"/>
      <c r="T13" s="8"/>
      <c r="U13" s="8"/>
      <c r="V13" s="8"/>
      <c r="W13" s="8"/>
      <c r="X13" s="8"/>
      <c r="Y13" s="8"/>
    </row>
    <row r="14" spans="1:25" x14ac:dyDescent="0.25">
      <c r="A14" s="8"/>
      <c r="B14" s="8"/>
      <c r="C14" s="8"/>
      <c r="D14" s="8"/>
      <c r="E14" s="8"/>
      <c r="F14" s="8"/>
      <c r="G14" s="8"/>
      <c r="H14" s="8"/>
      <c r="I14" s="8"/>
      <c r="J14" s="8"/>
      <c r="K14" s="8"/>
      <c r="L14" s="8"/>
      <c r="M14" s="8"/>
      <c r="N14" s="8"/>
      <c r="O14" s="8"/>
      <c r="P14" s="8"/>
      <c r="Q14" s="8"/>
      <c r="R14" s="8"/>
      <c r="S14" s="8"/>
      <c r="T14" s="8"/>
      <c r="U14" s="8"/>
      <c r="V14" s="8"/>
      <c r="W14" s="8"/>
      <c r="X14" s="8"/>
      <c r="Y14" s="8"/>
    </row>
    <row r="15" spans="1:25" x14ac:dyDescent="0.25">
      <c r="A15" s="8"/>
      <c r="B15" s="8"/>
      <c r="C15" s="8"/>
      <c r="D15" s="8"/>
      <c r="E15" s="8"/>
      <c r="F15" s="8"/>
      <c r="G15" s="8"/>
      <c r="H15" s="8"/>
      <c r="I15" s="8"/>
      <c r="J15" s="8"/>
      <c r="K15" s="8"/>
      <c r="L15" s="8"/>
      <c r="M15" s="8"/>
      <c r="N15" s="8"/>
      <c r="O15" s="8"/>
      <c r="P15" s="8"/>
      <c r="Q15" s="8"/>
      <c r="R15" s="8"/>
      <c r="S15" s="8"/>
      <c r="T15" s="8"/>
      <c r="U15" s="8"/>
      <c r="V15" s="8"/>
      <c r="W15" s="8"/>
      <c r="X15" s="8"/>
      <c r="Y15" s="8"/>
    </row>
    <row r="19" spans="14:14" x14ac:dyDescent="0.25">
      <c r="N19" s="8"/>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7FA03-780D-4CF8-8452-AE3A7CC3231B}">
  <sheetPr codeName="Sheet18">
    <tabColor rgb="FF002060"/>
  </sheetPr>
  <dimension ref="A1:Y27"/>
  <sheetViews>
    <sheetView workbookViewId="0">
      <selection activeCell="C24" sqref="C24"/>
    </sheetView>
  </sheetViews>
  <sheetFormatPr defaultRowHeight="15" x14ac:dyDescent="0.25"/>
  <cols>
    <col min="1" max="1" width="28.42578125" customWidth="1"/>
    <col min="2" max="2" width="10.5703125" bestFit="1" customWidth="1"/>
    <col min="3" max="3" width="10.42578125" bestFit="1" customWidth="1"/>
    <col min="4" max="25" width="10.5703125" bestFit="1" customWidth="1"/>
  </cols>
  <sheetData>
    <row r="1" spans="1:25" x14ac:dyDescent="0.25">
      <c r="A1" s="6" t="s">
        <v>25</v>
      </c>
      <c r="B1" s="7" t="s">
        <v>34</v>
      </c>
      <c r="C1" s="7" t="s">
        <v>0</v>
      </c>
      <c r="D1" s="7" t="s">
        <v>1</v>
      </c>
      <c r="E1" s="7" t="s">
        <v>2</v>
      </c>
      <c r="F1" s="7" t="s">
        <v>3</v>
      </c>
      <c r="G1" s="7" t="s">
        <v>4</v>
      </c>
      <c r="H1" s="7" t="s">
        <v>5</v>
      </c>
      <c r="I1" s="7" t="s">
        <v>6</v>
      </c>
      <c r="J1" s="7" t="s">
        <v>7</v>
      </c>
      <c r="K1" s="7" t="s">
        <v>8</v>
      </c>
      <c r="L1" s="7" t="s">
        <v>9</v>
      </c>
      <c r="M1" s="7" t="s">
        <v>10</v>
      </c>
      <c r="N1" s="7" t="s">
        <v>11</v>
      </c>
      <c r="O1" s="7" t="s">
        <v>12</v>
      </c>
      <c r="P1" s="7" t="s">
        <v>13</v>
      </c>
      <c r="Q1" s="7" t="s">
        <v>14</v>
      </c>
      <c r="R1" s="7" t="s">
        <v>15</v>
      </c>
      <c r="S1" s="7" t="s">
        <v>16</v>
      </c>
      <c r="T1" s="7" t="s">
        <v>17</v>
      </c>
      <c r="U1" s="7" t="s">
        <v>18</v>
      </c>
      <c r="V1" s="7" t="s">
        <v>19</v>
      </c>
      <c r="W1" s="7" t="s">
        <v>20</v>
      </c>
      <c r="X1" s="7" t="s">
        <v>21</v>
      </c>
      <c r="Y1" s="7" t="s">
        <v>22</v>
      </c>
    </row>
    <row r="2" spans="1:25" x14ac:dyDescent="0.25">
      <c r="A2" s="8" t="s">
        <v>37</v>
      </c>
      <c r="B2" s="8" cm="1">
        <f t="array" ref="B2">INDEX('Summarized Modified Source Data'!$M$600:$M$743,MATCH(1,($A2=LoadFactorSeasons)*(B$1=LoadFactorHours),0),)</f>
        <v>6.0010548111898448E-5</v>
      </c>
      <c r="C2" s="8" cm="1">
        <f t="array" ref="C2">INDEX('Summarized Modified Source Data'!$M$600:$M$743,MATCH(1,($A2=LoadFactorSeasons)*(C$1=LoadFactorHours),0),)</f>
        <v>5.6732351616109226E-5</v>
      </c>
      <c r="D2" s="8" cm="1">
        <f t="array" ref="D2">INDEX('Summarized Modified Source Data'!$M$600:$M$743,MATCH(1,($A2=LoadFactorSeasons)*(D$1=LoadFactorHours),0),)</f>
        <v>5.6375866335821876E-5</v>
      </c>
      <c r="E2" s="8" cm="1">
        <f t="array" ref="E2">INDEX('Summarized Modified Source Data'!$M$600:$M$743,MATCH(1,($A2=LoadFactorSeasons)*(E$1=LoadFactorHours),0),)</f>
        <v>5.8175584293789145E-5</v>
      </c>
      <c r="F2" s="8" cm="1">
        <f t="array" ref="F2">INDEX('Summarized Modified Source Data'!$M$600:$M$743,MATCH(1,($A2=LoadFactorSeasons)*(F$1=LoadFactorHours),0),)</f>
        <v>6.1051548733927094E-5</v>
      </c>
      <c r="G2" s="8" cm="1">
        <f t="array" ref="G2">INDEX('Summarized Modified Source Data'!$M$600:$M$743,MATCH(1,($A2=LoadFactorSeasons)*(G$1=LoadFactorHours),0),)</f>
        <v>6.9628702739148006E-5</v>
      </c>
      <c r="H2" s="8" cm="1">
        <f t="array" ref="H2">INDEX('Summarized Modified Source Data'!$M$600:$M$743,MATCH(1,($A2=LoadFactorSeasons)*(H$1=LoadFactorHours),0),)</f>
        <v>9.7431658373590044E-5</v>
      </c>
      <c r="I2" s="8" cm="1">
        <f t="array" ref="I2">INDEX('Summarized Modified Source Data'!$M$600:$M$743,MATCH(1,($A2=LoadFactorSeasons)*(I$1=LoadFactorHours),0),)</f>
        <v>1.3168780220728892E-4</v>
      </c>
      <c r="J2" s="8" cm="1">
        <f t="array" ref="J2">INDEX('Summarized Modified Source Data'!$M$600:$M$743,MATCH(1,($A2=LoadFactorSeasons)*(J$1=LoadFactorHours),0),)</f>
        <v>1.6054828204146383E-4</v>
      </c>
      <c r="K2" s="8" cm="1">
        <f t="array" ref="K2">INDEX('Summarized Modified Source Data'!$M$600:$M$743,MATCH(1,($A2=LoadFactorSeasons)*(K$1=LoadFactorHours),0),)</f>
        <v>1.698806749282449E-4</v>
      </c>
      <c r="L2" s="8" cm="1">
        <f t="array" ref="L2">INDEX('Summarized Modified Source Data'!$M$600:$M$743,MATCH(1,($A2=LoadFactorSeasons)*(L$1=LoadFactorHours),0),)</f>
        <v>1.6852387958045056E-4</v>
      </c>
      <c r="M2" s="8" cm="1">
        <f t="array" ref="M2">INDEX('Summarized Modified Source Data'!$M$600:$M$743,MATCH(1,($A2=LoadFactorSeasons)*(M$1=LoadFactorHours),0),)</f>
        <v>1.681234163988229E-4</v>
      </c>
      <c r="N2" s="8" cm="1">
        <f t="array" ref="N2">INDEX('Summarized Modified Source Data'!$M$600:$M$743,MATCH(1,($A2=LoadFactorSeasons)*(N$1=LoadFactorHours),0),)</f>
        <v>1.6576946632289002E-4</v>
      </c>
      <c r="O2" s="8" cm="1">
        <f t="array" ref="O2">INDEX('Summarized Modified Source Data'!$M$600:$M$743,MATCH(1,($A2=LoadFactorSeasons)*(O$1=LoadFactorHours),0),)</f>
        <v>1.6455083916000466E-4</v>
      </c>
      <c r="P2" s="8" cm="1">
        <f t="array" ref="P2">INDEX('Summarized Modified Source Data'!$M$600:$M$743,MATCH(1,($A2=LoadFactorSeasons)*(P$1=LoadFactorHours),0),)</f>
        <v>1.6299215770866575E-4</v>
      </c>
      <c r="Q2" s="8" cm="1">
        <f t="array" ref="Q2">INDEX('Summarized Modified Source Data'!$M$600:$M$743,MATCH(1,($A2=LoadFactorSeasons)*(Q$1=LoadFactorHours),0),)</f>
        <v>1.6082141500468446E-4</v>
      </c>
      <c r="R2" s="8" cm="1">
        <f t="array" ref="R2">INDEX('Summarized Modified Source Data'!$M$600:$M$743,MATCH(1,($A2=LoadFactorSeasons)*(R$1=LoadFactorHours),0),)</f>
        <v>1.5513333217930794E-4</v>
      </c>
      <c r="S2" s="8" cm="1">
        <f t="array" ref="S2">INDEX('Summarized Modified Source Data'!$M$600:$M$743,MATCH(1,($A2=LoadFactorSeasons)*(S$1=LoadFactorHours),0),)</f>
        <v>1.4755649475809091E-4</v>
      </c>
      <c r="T2" s="8" cm="1">
        <f t="array" ref="T2">INDEX('Summarized Modified Source Data'!$M$600:$M$743,MATCH(1,($A2=LoadFactorSeasons)*(T$1=LoadFactorHours),0),)</f>
        <v>1.4153176428813478E-4</v>
      </c>
      <c r="U2" s="8" cm="1">
        <f t="array" ref="U2">INDEX('Summarized Modified Source Data'!$M$600:$M$743,MATCH(1,($A2=LoadFactorSeasons)*(U$1=LoadFactorHours),0),)</f>
        <v>1.2219352573265393E-4</v>
      </c>
      <c r="V2" s="8" cm="1">
        <f t="array" ref="V2">INDEX('Summarized Modified Source Data'!$M$600:$M$743,MATCH(1,($A2=LoadFactorSeasons)*(V$1=LoadFactorHours),0),)</f>
        <v>1.0465812589191202E-4</v>
      </c>
      <c r="W2" s="8" cm="1">
        <f t="array" ref="W2">INDEX('Summarized Modified Source Data'!$M$600:$M$743,MATCH(1,($A2=LoadFactorSeasons)*(W$1=LoadFactorHours),0),)</f>
        <v>8.7895481082581389E-5</v>
      </c>
      <c r="X2" s="8" cm="1">
        <f t="array" ref="X2">INDEX('Summarized Modified Source Data'!$M$600:$M$743,MATCH(1,($A2=LoadFactorSeasons)*(X$1=LoadFactorHours),0),)</f>
        <v>7.660015386508321E-5</v>
      </c>
      <c r="Y2" s="8" cm="1">
        <f t="array" ref="Y2">INDEX('Summarized Modified Source Data'!$M$600:$M$743,MATCH(1,($A2=LoadFactorSeasons)*(Y$1=LoadFactorHours),0),)</f>
        <v>6.7697489166400622E-5</v>
      </c>
    </row>
    <row r="3" spans="1:25" x14ac:dyDescent="0.25">
      <c r="A3" s="8" t="s">
        <v>38</v>
      </c>
      <c r="B3" s="8" cm="1">
        <f t="array" ref="B3">INDEX('Summarized Modified Source Data'!$M$600:$M$743,MATCH(1,($A3=LoadFactorSeasons)*(B$1=LoadFactorHours),0),)</f>
        <v>5.7902083309798427E-5</v>
      </c>
      <c r="C3" s="8" cm="1">
        <f t="array" ref="C3">INDEX('Summarized Modified Source Data'!$M$600:$M$743,MATCH(1,($A3=LoadFactorSeasons)*(C$1=LoadFactorHours),0),)</f>
        <v>5.484143840194883E-5</v>
      </c>
      <c r="D3" s="8" cm="1">
        <f t="array" ref="D3">INDEX('Summarized Modified Source Data'!$M$600:$M$743,MATCH(1,($A3=LoadFactorSeasons)*(D$1=LoadFactorHours),0),)</f>
        <v>5.4450657385267907E-5</v>
      </c>
      <c r="E3" s="8" cm="1">
        <f t="array" ref="E3">INDEX('Summarized Modified Source Data'!$M$600:$M$743,MATCH(1,($A3=LoadFactorSeasons)*(E$1=LoadFactorHours),0),)</f>
        <v>5.6293099151357641E-5</v>
      </c>
      <c r="F3" s="8" cm="1">
        <f t="array" ref="F3">INDEX('Summarized Modified Source Data'!$M$600:$M$743,MATCH(1,($A3=LoadFactorSeasons)*(F$1=LoadFactorHours),0),)</f>
        <v>5.8906539830113094E-5</v>
      </c>
      <c r="G3" s="8" cm="1">
        <f t="array" ref="G3">INDEX('Summarized Modified Source Data'!$M$600:$M$743,MATCH(1,($A3=LoadFactorSeasons)*(G$1=LoadFactorHours),0),)</f>
        <v>6.7079944198943707E-5</v>
      </c>
      <c r="H3" s="8" cm="1">
        <f t="array" ref="H3">INDEX('Summarized Modified Source Data'!$M$600:$M$743,MATCH(1,($A3=LoadFactorSeasons)*(H$1=LoadFactorHours),0),)</f>
        <v>9.3486445052376834E-5</v>
      </c>
      <c r="I3" s="8" cm="1">
        <f t="array" ref="I3">INDEX('Summarized Modified Source Data'!$M$600:$M$743,MATCH(1,($A3=LoadFactorSeasons)*(I$1=LoadFactorHours),0),)</f>
        <v>1.2599151244748854E-4</v>
      </c>
      <c r="J3" s="8" cm="1">
        <f t="array" ref="J3">INDEX('Summarized Modified Source Data'!$M$600:$M$743,MATCH(1,($A3=LoadFactorSeasons)*(J$1=LoadFactorHours),0),)</f>
        <v>1.5367366997972296E-4</v>
      </c>
      <c r="K3" s="8" cm="1">
        <f t="array" ref="K3">INDEX('Summarized Modified Source Data'!$M$600:$M$743,MATCH(1,($A3=LoadFactorSeasons)*(K$1=LoadFactorHours),0),)</f>
        <v>1.6293093967024668E-4</v>
      </c>
      <c r="L3" s="8" cm="1">
        <f t="array" ref="L3">INDEX('Summarized Modified Source Data'!$M$600:$M$743,MATCH(1,($A3=LoadFactorSeasons)*(L$1=LoadFactorHours),0),)</f>
        <v>1.619298332408247E-4</v>
      </c>
      <c r="M3" s="8" cm="1">
        <f t="array" ref="M3">INDEX('Summarized Modified Source Data'!$M$600:$M$743,MATCH(1,($A3=LoadFactorSeasons)*(M$1=LoadFactorHours),0),)</f>
        <v>1.6153842744835029E-4</v>
      </c>
      <c r="N3" s="8" cm="1">
        <f t="array" ref="N3">INDEX('Summarized Modified Source Data'!$M$600:$M$743,MATCH(1,($A3=LoadFactorSeasons)*(N$1=LoadFactorHours),0),)</f>
        <v>1.592280472114571E-4</v>
      </c>
      <c r="O3" s="8" cm="1">
        <f t="array" ref="O3">INDEX('Summarized Modified Source Data'!$M$600:$M$743,MATCH(1,($A3=LoadFactorSeasons)*(O$1=LoadFactorHours),0),)</f>
        <v>1.5818615362739129E-4</v>
      </c>
      <c r="P3" s="8" cm="1">
        <f t="array" ref="P3">INDEX('Summarized Modified Source Data'!$M$600:$M$743,MATCH(1,($A3=LoadFactorSeasons)*(P$1=LoadFactorHours),0),)</f>
        <v>1.5666687596230027E-4</v>
      </c>
      <c r="Q3" s="8" cm="1">
        <f t="array" ref="Q3">INDEX('Summarized Modified Source Data'!$M$600:$M$743,MATCH(1,($A3=LoadFactorSeasons)*(Q$1=LoadFactorHours),0),)</f>
        <v>1.5469024709993773E-4</v>
      </c>
      <c r="R3" s="8" cm="1">
        <f t="array" ref="R3">INDEX('Summarized Modified Source Data'!$M$600:$M$743,MATCH(1,($A3=LoadFactorSeasons)*(R$1=LoadFactorHours),0),)</f>
        <v>1.4910592354978907E-4</v>
      </c>
      <c r="S3" s="8" cm="1">
        <f t="array" ref="S3">INDEX('Summarized Modified Source Data'!$M$600:$M$743,MATCH(1,($A3=LoadFactorSeasons)*(S$1=LoadFactorHours),0),)</f>
        <v>1.419865217513657E-4</v>
      </c>
      <c r="T3" s="8" cm="1">
        <f t="array" ref="T3">INDEX('Summarized Modified Source Data'!$M$600:$M$743,MATCH(1,($A3=LoadFactorSeasons)*(T$1=LoadFactorHours),0),)</f>
        <v>1.3605510234284714E-4</v>
      </c>
      <c r="U3" s="8" cm="1">
        <f t="array" ref="U3">INDEX('Summarized Modified Source Data'!$M$600:$M$743,MATCH(1,($A3=LoadFactorSeasons)*(U$1=LoadFactorHours),0),)</f>
        <v>1.1736110511983374E-4</v>
      </c>
      <c r="V3" s="8" cm="1">
        <f t="array" ref="V3">INDEX('Summarized Modified Source Data'!$M$600:$M$743,MATCH(1,($A3=LoadFactorSeasons)*(V$1=LoadFactorHours),0),)</f>
        <v>1.0057411078200854E-4</v>
      </c>
      <c r="W3" s="8" cm="1">
        <f t="array" ref="W3">INDEX('Summarized Modified Source Data'!$M$600:$M$743,MATCH(1,($A3=LoadFactorSeasons)*(W$1=LoadFactorHours),0),)</f>
        <v>8.454110149341006E-5</v>
      </c>
      <c r="X3" s="8" cm="1">
        <f t="array" ref="X3">INDEX('Summarized Modified Source Data'!$M$600:$M$743,MATCH(1,($A3=LoadFactorSeasons)*(X$1=LoadFactorHours),0),)</f>
        <v>7.3624497734118717E-5</v>
      </c>
      <c r="Y3" s="8" cm="1">
        <f t="array" ref="Y3">INDEX('Summarized Modified Source Data'!$M$600:$M$743,MATCH(1,($A3=LoadFactorSeasons)*(Y$1=LoadFactorHours),0),)</f>
        <v>6.5199211856697452E-5</v>
      </c>
    </row>
    <row r="4" spans="1:25" x14ac:dyDescent="0.25">
      <c r="A4" s="8" t="s">
        <v>39</v>
      </c>
      <c r="B4" s="8" cm="1">
        <f t="array" ref="B4">INDEX('Summarized Modified Source Data'!$M$600:$M$743,MATCH(1,($A4=LoadFactorSeasons)*(B$1=LoadFactorHours),0),)</f>
        <v>5.763840234145153E-5</v>
      </c>
      <c r="C4" s="8" cm="1">
        <f t="array" ref="C4">INDEX('Summarized Modified Source Data'!$M$600:$M$743,MATCH(1,($A4=LoadFactorSeasons)*(C$1=LoadFactorHours),0),)</f>
        <v>5.4516433467746029E-5</v>
      </c>
      <c r="D4" s="8" cm="1">
        <f t="array" ref="D4">INDEX('Summarized Modified Source Data'!$M$600:$M$743,MATCH(1,($A4=LoadFactorSeasons)*(D$1=LoadFactorHours),0),)</f>
        <v>5.4117457065680141E-5</v>
      </c>
      <c r="E4" s="8" cm="1">
        <f t="array" ref="E4">INDEX('Summarized Modified Source Data'!$M$600:$M$743,MATCH(1,($A4=LoadFactorSeasons)*(E$1=LoadFactorHours),0),)</f>
        <v>5.5915261361648669E-5</v>
      </c>
      <c r="F4" s="8" cm="1">
        <f t="array" ref="F4">INDEX('Summarized Modified Source Data'!$M$600:$M$743,MATCH(1,($A4=LoadFactorSeasons)*(F$1=LoadFactorHours),0),)</f>
        <v>5.8434959919575722E-5</v>
      </c>
      <c r="G4" s="8" cm="1">
        <f t="array" ref="G4">INDEX('Summarized Modified Source Data'!$M$600:$M$743,MATCH(1,($A4=LoadFactorSeasons)*(G$1=LoadFactorHours),0),)</f>
        <v>6.6451666075948972E-5</v>
      </c>
      <c r="H4" s="8" cm="1">
        <f t="array" ref="H4">INDEX('Summarized Modified Source Data'!$M$600:$M$743,MATCH(1,($A4=LoadFactorSeasons)*(H$1=LoadFactorHours),0),)</f>
        <v>9.2701052816874727E-5</v>
      </c>
      <c r="I4" s="8" cm="1">
        <f t="array" ref="I4">INDEX('Summarized Modified Source Data'!$M$600:$M$743,MATCH(1,($A4=LoadFactorSeasons)*(I$1=LoadFactorHours),0),)</f>
        <v>1.2458181392605391E-4</v>
      </c>
      <c r="J4" s="8" cm="1">
        <f t="array" ref="J4">INDEX('Summarized Modified Source Data'!$M$600:$M$743,MATCH(1,($A4=LoadFactorSeasons)*(J$1=LoadFactorHours),0),)</f>
        <v>1.5231366124720836E-4</v>
      </c>
      <c r="K4" s="8" cm="1">
        <f t="array" ref="K4">INDEX('Summarized Modified Source Data'!$M$600:$M$743,MATCH(1,($A4=LoadFactorSeasons)*(K$1=LoadFactorHours),0),)</f>
        <v>1.614210798438241E-4</v>
      </c>
      <c r="L4" s="8" cm="1">
        <f t="array" ref="L4">INDEX('Summarized Modified Source Data'!$M$600:$M$743,MATCH(1,($A4=LoadFactorSeasons)*(L$1=LoadFactorHours),0),)</f>
        <v>1.60527644904814E-4</v>
      </c>
      <c r="M4" s="8" cm="1">
        <f t="array" ref="M4">INDEX('Summarized Modified Source Data'!$M$600:$M$743,MATCH(1,($A4=LoadFactorSeasons)*(M$1=LoadFactorHours),0),)</f>
        <v>1.6027841372812861E-4</v>
      </c>
      <c r="N4" s="8" cm="1">
        <f t="array" ref="N4">INDEX('Summarized Modified Source Data'!$M$600:$M$743,MATCH(1,($A4=LoadFactorSeasons)*(N$1=LoadFactorHours),0),)</f>
        <v>1.5834146780661858E-4</v>
      </c>
      <c r="O4" s="8" cm="1">
        <f t="array" ref="O4">INDEX('Summarized Modified Source Data'!$M$600:$M$743,MATCH(1,($A4=LoadFactorSeasons)*(O$1=LoadFactorHours),0),)</f>
        <v>1.5672293040214788E-4</v>
      </c>
      <c r="P4" s="8" cm="1">
        <f t="array" ref="P4">INDEX('Summarized Modified Source Data'!$M$600:$M$743,MATCH(1,($A4=LoadFactorSeasons)*(P$1=LoadFactorHours),0),)</f>
        <v>1.552296097980712E-4</v>
      </c>
      <c r="Q4" s="8" cm="1">
        <f t="array" ref="Q4">INDEX('Summarized Modified Source Data'!$M$600:$M$743,MATCH(1,($A4=LoadFactorSeasons)*(Q$1=LoadFactorHours),0),)</f>
        <v>1.5336817026976067E-4</v>
      </c>
      <c r="R4" s="8" cm="1">
        <f t="array" ref="R4">INDEX('Summarized Modified Source Data'!$M$600:$M$743,MATCH(1,($A4=LoadFactorSeasons)*(R$1=LoadFactorHours),0),)</f>
        <v>1.4830528523645121E-4</v>
      </c>
      <c r="S4" s="8" cm="1">
        <f t="array" ref="S4">INDEX('Summarized Modified Source Data'!$M$600:$M$743,MATCH(1,($A4=LoadFactorSeasons)*(S$1=LoadFactorHours),0),)</f>
        <v>1.4121724459084965E-4</v>
      </c>
      <c r="T4" s="8" cm="1">
        <f t="array" ref="T4">INDEX('Summarized Modified Source Data'!$M$600:$M$743,MATCH(1,($A4=LoadFactorSeasons)*(T$1=LoadFactorHours),0),)</f>
        <v>1.3520765760107367E-4</v>
      </c>
      <c r="U4" s="8" cm="1">
        <f t="array" ref="U4">INDEX('Summarized Modified Source Data'!$M$600:$M$743,MATCH(1,($A4=LoadFactorSeasons)*(U$1=LoadFactorHours),0),)</f>
        <v>1.1642226183970728E-4</v>
      </c>
      <c r="V4" s="8" cm="1">
        <f t="array" ref="V4">INDEX('Summarized Modified Source Data'!$M$600:$M$743,MATCH(1,($A4=LoadFactorSeasons)*(V$1=LoadFactorHours),0),)</f>
        <v>9.9556115208668865E-5</v>
      </c>
      <c r="W4" s="8" cm="1">
        <f t="array" ref="W4">INDEX('Summarized Modified Source Data'!$M$600:$M$743,MATCH(1,($A4=LoadFactorSeasons)*(W$1=LoadFactorHours),0),)</f>
        <v>8.37124858647881E-5</v>
      </c>
      <c r="X4" s="8" cm="1">
        <f t="array" ref="X4">INDEX('Summarized Modified Source Data'!$M$600:$M$743,MATCH(1,($A4=LoadFactorSeasons)*(X$1=LoadFactorHours),0),)</f>
        <v>7.2807601280217046E-5</v>
      </c>
      <c r="Y4" s="8" cm="1">
        <f t="array" ref="Y4">INDEX('Summarized Modified Source Data'!$M$600:$M$743,MATCH(1,($A4=LoadFactorSeasons)*(Y$1=LoadFactorHours),0),)</f>
        <v>6.4637078420434004E-5</v>
      </c>
    </row>
    <row r="5" spans="1:25" x14ac:dyDescent="0.25">
      <c r="A5" s="8" t="s">
        <v>40</v>
      </c>
      <c r="B5" s="8" cm="1">
        <f t="array" ref="B5">INDEX('Summarized Modified Source Data'!$M$600:$M$743,MATCH(1,($A5=LoadFactorSeasons)*(B$1=LoadFactorHours),0),)</f>
        <v>5.8214152704217315E-5</v>
      </c>
      <c r="C5" s="8" cm="1">
        <f t="array" ref="C5">INDEX('Summarized Modified Source Data'!$M$600:$M$743,MATCH(1,($A5=LoadFactorSeasons)*(C$1=LoadFactorHours),0),)</f>
        <v>5.5202071426037032E-5</v>
      </c>
      <c r="D5" s="8" cm="1">
        <f t="array" ref="D5">INDEX('Summarized Modified Source Data'!$M$600:$M$743,MATCH(1,($A5=LoadFactorSeasons)*(D$1=LoadFactorHours),0),)</f>
        <v>5.475993233232048E-5</v>
      </c>
      <c r="E5" s="8" cm="1">
        <f t="array" ref="E5">INDEX('Summarized Modified Source Data'!$M$600:$M$743,MATCH(1,($A5=LoadFactorSeasons)*(E$1=LoadFactorHours),0),)</f>
        <v>5.6625573488327282E-5</v>
      </c>
      <c r="F5" s="8" cm="1">
        <f t="array" ref="F5">INDEX('Summarized Modified Source Data'!$M$600:$M$743,MATCH(1,($A5=LoadFactorSeasons)*(F$1=LoadFactorHours),0),)</f>
        <v>5.9206543349629689E-5</v>
      </c>
      <c r="G5" s="8" cm="1">
        <f t="array" ref="G5">INDEX('Summarized Modified Source Data'!$M$600:$M$743,MATCH(1,($A5=LoadFactorSeasons)*(G$1=LoadFactorHours),0),)</f>
        <v>6.7317584973724889E-5</v>
      </c>
      <c r="H5" s="8" cm="1">
        <f t="array" ref="H5">INDEX('Summarized Modified Source Data'!$M$600:$M$743,MATCH(1,($A5=LoadFactorSeasons)*(H$1=LoadFactorHours),0),)</f>
        <v>9.4014444729061193E-5</v>
      </c>
      <c r="I5" s="8" cm="1">
        <f t="array" ref="I5">INDEX('Summarized Modified Source Data'!$M$600:$M$743,MATCH(1,($A5=LoadFactorSeasons)*(I$1=LoadFactorHours),0),)</f>
        <v>1.2686209696898158E-4</v>
      </c>
      <c r="J5" s="8" cm="1">
        <f t="array" ref="J5">INDEX('Summarized Modified Source Data'!$M$600:$M$743,MATCH(1,($A5=LoadFactorSeasons)*(J$1=LoadFactorHours),0),)</f>
        <v>1.5470824312029441E-4</v>
      </c>
      <c r="K5" s="8" cm="1">
        <f t="array" ref="K5">INDEX('Summarized Modified Source Data'!$M$600:$M$743,MATCH(1,($A5=LoadFactorSeasons)*(K$1=LoadFactorHours),0),)</f>
        <v>1.6399525351350804E-4</v>
      </c>
      <c r="L5" s="8" cm="1">
        <f t="array" ref="L5">INDEX('Summarized Modified Source Data'!$M$600:$M$743,MATCH(1,($A5=LoadFactorSeasons)*(L$1=LoadFactorHours),0),)</f>
        <v>1.6314100684645618E-4</v>
      </c>
      <c r="M5" s="8" cm="1">
        <f t="array" ref="M5">INDEX('Summarized Modified Source Data'!$M$600:$M$743,MATCH(1,($A5=LoadFactorSeasons)*(M$1=LoadFactorHours),0),)</f>
        <v>1.6278127248803561E-4</v>
      </c>
      <c r="N5" s="8" cm="1">
        <f t="array" ref="N5">INDEX('Summarized Modified Source Data'!$M$600:$M$743,MATCH(1,($A5=LoadFactorSeasons)*(N$1=LoadFactorHours),0),)</f>
        <v>1.6068781088063644E-4</v>
      </c>
      <c r="O5" s="8" cm="1">
        <f t="array" ref="O5">INDEX('Summarized Modified Source Data'!$M$600:$M$743,MATCH(1,($A5=LoadFactorSeasons)*(O$1=LoadFactorHours),0),)</f>
        <v>1.5931624541422497E-4</v>
      </c>
      <c r="P5" s="8" cm="1">
        <f t="array" ref="P5">INDEX('Summarized Modified Source Data'!$M$600:$M$743,MATCH(1,($A5=LoadFactorSeasons)*(P$1=LoadFactorHours),0),)</f>
        <v>1.5790693423215003E-4</v>
      </c>
      <c r="Q5" s="8" cm="1">
        <f t="array" ref="Q5">INDEX('Summarized Modified Source Data'!$M$600:$M$743,MATCH(1,($A5=LoadFactorSeasons)*(Q$1=LoadFactorHours),0),)</f>
        <v>1.5584897876399272E-4</v>
      </c>
      <c r="R5" s="8" cm="1">
        <f t="array" ref="R5">INDEX('Summarized Modified Source Data'!$M$600:$M$743,MATCH(1,($A5=LoadFactorSeasons)*(R$1=LoadFactorHours),0),)</f>
        <v>1.5038775116155181E-4</v>
      </c>
      <c r="S5" s="8" cm="1">
        <f t="array" ref="S5">INDEX('Summarized Modified Source Data'!$M$600:$M$743,MATCH(1,($A5=LoadFactorSeasons)*(S$1=LoadFactorHours),0),)</f>
        <v>1.4318027016691596E-4</v>
      </c>
      <c r="T5" s="8" cm="1">
        <f t="array" ref="T5">INDEX('Summarized Modified Source Data'!$M$600:$M$743,MATCH(1,($A5=LoadFactorSeasons)*(T$1=LoadFactorHours),0),)</f>
        <v>1.3694222520649473E-4</v>
      </c>
      <c r="U5" s="8" cm="1">
        <f t="array" ref="U5">INDEX('Summarized Modified Source Data'!$M$600:$M$743,MATCH(1,($A5=LoadFactorSeasons)*(U$1=LoadFactorHours),0),)</f>
        <v>1.1814888369744982E-4</v>
      </c>
      <c r="V5" s="8" cm="1">
        <f t="array" ref="V5">INDEX('Summarized Modified Source Data'!$M$600:$M$743,MATCH(1,($A5=LoadFactorSeasons)*(V$1=LoadFactorHours),0),)</f>
        <v>1.0106827986569595E-4</v>
      </c>
      <c r="W5" s="8" cm="1">
        <f t="array" ref="W5">INDEX('Summarized Modified Source Data'!$M$600:$M$743,MATCH(1,($A5=LoadFactorSeasons)*(W$1=LoadFactorHours),0),)</f>
        <v>8.4928577998760044E-5</v>
      </c>
      <c r="X5" s="8" cm="1">
        <f t="array" ref="X5">INDEX('Summarized Modified Source Data'!$M$600:$M$743,MATCH(1,($A5=LoadFactorSeasons)*(X$1=LoadFactorHours),0),)</f>
        <v>7.3793144470455174E-5</v>
      </c>
      <c r="Y5" s="8" cm="1">
        <f t="array" ref="Y5">INDEX('Summarized Modified Source Data'!$M$600:$M$743,MATCH(1,($A5=LoadFactorSeasons)*(Y$1=LoadFactorHours),0),)</f>
        <v>6.5388334008832871E-5</v>
      </c>
    </row>
    <row r="6" spans="1:25" x14ac:dyDescent="0.25">
      <c r="A6" s="8" t="s">
        <v>80</v>
      </c>
      <c r="B6" s="8" cm="1">
        <f t="array" ref="B6">INDEX('Summarized Modified Source Data'!$M$600:$M$743,MATCH(1,($A6=LoadFactorSeasons)*(B$1=LoadFactorHours),0),)</f>
        <v>6.8043004568112719E-5</v>
      </c>
      <c r="C6" s="8" cm="1">
        <f t="array" ref="C6">INDEX('Summarized Modified Source Data'!$M$600:$M$743,MATCH(1,($A6=LoadFactorSeasons)*(C$1=LoadFactorHours),0),)</f>
        <v>5.953113287837271E-5</v>
      </c>
      <c r="D6" s="8" cm="1">
        <f t="array" ref="D6">INDEX('Summarized Modified Source Data'!$M$600:$M$743,MATCH(1,($A6=LoadFactorSeasons)*(D$1=LoadFactorHours),0),)</f>
        <v>5.8791885855868464E-5</v>
      </c>
      <c r="E6" s="8" cm="1">
        <f t="array" ref="E6">INDEX('Summarized Modified Source Data'!$M$600:$M$743,MATCH(1,($A6=LoadFactorSeasons)*(E$1=LoadFactorHours),0),)</f>
        <v>5.9319452123869707E-5</v>
      </c>
      <c r="F6" s="8" cm="1">
        <f t="array" ref="F6">INDEX('Summarized Modified Source Data'!$M$600:$M$743,MATCH(1,($A6=LoadFactorSeasons)*(F$1=LoadFactorHours),0),)</f>
        <v>6.0145247887876825E-5</v>
      </c>
      <c r="G6" s="8" cm="1">
        <f t="array" ref="G6">INDEX('Summarized Modified Source Data'!$M$600:$M$743,MATCH(1,($A6=LoadFactorSeasons)*(G$1=LoadFactorHours),0),)</f>
        <v>6.7339730602471588E-5</v>
      </c>
      <c r="H6" s="8" cm="1">
        <f t="array" ref="H6">INDEX('Summarized Modified Source Data'!$M$600:$M$743,MATCH(1,($A6=LoadFactorSeasons)*(H$1=LoadFactorHours),0),)</f>
        <v>1.0115034390321793E-4</v>
      </c>
      <c r="I6" s="8" cm="1">
        <f t="array" ref="I6">INDEX('Summarized Modified Source Data'!$M$600:$M$743,MATCH(1,($A6=LoadFactorSeasons)*(I$1=LoadFactorHours),0),)</f>
        <v>1.3828276504183678E-4</v>
      </c>
      <c r="J6" s="8" cm="1">
        <f t="array" ref="J6">INDEX('Summarized Modified Source Data'!$M$600:$M$743,MATCH(1,($A6=LoadFactorSeasons)*(J$1=LoadFactorHours),0),)</f>
        <v>1.7217177008235394E-4</v>
      </c>
      <c r="K6" s="8" cm="1">
        <f t="array" ref="K6">INDEX('Summarized Modified Source Data'!$M$600:$M$743,MATCH(1,($A6=LoadFactorSeasons)*(K$1=LoadFactorHours),0),)</f>
        <v>1.8127425754513077E-4</v>
      </c>
      <c r="L6" s="8" cm="1">
        <f t="array" ref="L6">INDEX('Summarized Modified Source Data'!$M$600:$M$743,MATCH(1,($A6=LoadFactorSeasons)*(L$1=LoadFactorHours),0),)</f>
        <v>1.804662005073512E-4</v>
      </c>
      <c r="M6" s="8" cm="1">
        <f t="array" ref="M6">INDEX('Summarized Modified Source Data'!$M$600:$M$743,MATCH(1,($A6=LoadFactorSeasons)*(M$1=LoadFactorHours),0),)</f>
        <v>1.7989035613739457E-4</v>
      </c>
      <c r="N6" s="8" cm="1">
        <f t="array" ref="N6">INDEX('Summarized Modified Source Data'!$M$600:$M$743,MATCH(1,($A6=LoadFactorSeasons)*(N$1=LoadFactorHours),0),)</f>
        <v>1.7742368534078427E-4</v>
      </c>
      <c r="O6" s="8" cm="1">
        <f t="array" ref="O6">INDEX('Summarized Modified Source Data'!$M$600:$M$743,MATCH(1,($A6=LoadFactorSeasons)*(O$1=LoadFactorHours),0),)</f>
        <v>1.7684088401157707E-4</v>
      </c>
      <c r="P6" s="8" cm="1">
        <f t="array" ref="P6">INDEX('Summarized Modified Source Data'!$M$600:$M$743,MATCH(1,($A6=LoadFactorSeasons)*(P$1=LoadFactorHours),0),)</f>
        <v>1.7672858616750054E-4</v>
      </c>
      <c r="Q6" s="8" cm="1">
        <f t="array" ref="Q6">INDEX('Summarized Modified Source Data'!$M$600:$M$743,MATCH(1,($A6=LoadFactorSeasons)*(Q$1=LoadFactorHours),0),)</f>
        <v>1.7708767285687599E-4</v>
      </c>
      <c r="R6" s="8" cm="1">
        <f t="array" ref="R6">INDEX('Summarized Modified Source Data'!$M$600:$M$743,MATCH(1,($A6=LoadFactorSeasons)*(R$1=LoadFactorHours),0),)</f>
        <v>1.716723702623305E-4</v>
      </c>
      <c r="S6" s="8" cm="1">
        <f t="array" ref="S6">INDEX('Summarized Modified Source Data'!$M$600:$M$743,MATCH(1,($A6=LoadFactorSeasons)*(S$1=LoadFactorHours),0),)</f>
        <v>1.6130311757908228E-4</v>
      </c>
      <c r="T6" s="8" cm="1">
        <f t="array" ref="T6">INDEX('Summarized Modified Source Data'!$M$600:$M$743,MATCH(1,($A6=LoadFactorSeasons)*(T$1=LoadFactorHours),0),)</f>
        <v>1.5328127770801212E-4</v>
      </c>
      <c r="U6" s="8" cm="1">
        <f t="array" ref="U6">INDEX('Summarized Modified Source Data'!$M$600:$M$743,MATCH(1,($A6=LoadFactorSeasons)*(U$1=LoadFactorHours),0),)</f>
        <v>1.2817412935036695E-4</v>
      </c>
      <c r="V6" s="8" cm="1">
        <f t="array" ref="V6">INDEX('Summarized Modified Source Data'!$M$600:$M$743,MATCH(1,($A6=LoadFactorSeasons)*(V$1=LoadFactorHours),0),)</f>
        <v>1.062298562199442E-4</v>
      </c>
      <c r="W6" s="8" cm="1">
        <f t="array" ref="W6">INDEX('Summarized Modified Source Data'!$M$600:$M$743,MATCH(1,($A6=LoadFactorSeasons)*(W$1=LoadFactorHours),0),)</f>
        <v>8.6194725495177506E-5</v>
      </c>
      <c r="X6" s="8" cm="1">
        <f t="array" ref="X6">INDEX('Summarized Modified Source Data'!$M$600:$M$743,MATCH(1,($A6=LoadFactorSeasons)*(X$1=LoadFactorHours),0),)</f>
        <v>7.3438109795568318E-5</v>
      </c>
      <c r="Y6" s="8" cm="1">
        <f t="array" ref="Y6">INDEX('Summarized Modified Source Data'!$M$600:$M$743,MATCH(1,($A6=LoadFactorSeasons)*(Y$1=LoadFactorHours),0),)</f>
        <v>6.742366724424096E-5</v>
      </c>
    </row>
    <row r="7" spans="1:25" x14ac:dyDescent="0.25">
      <c r="A7" s="8" t="s">
        <v>81</v>
      </c>
      <c r="B7" s="8" cm="1">
        <f t="array" ref="B7">INDEX('Summarized Modified Source Data'!$M$600:$M$743,MATCH(1,($A7=LoadFactorSeasons)*(B$1=LoadFactorHours),0),)</f>
        <v>7.0988635425295028E-5</v>
      </c>
      <c r="C7" s="8" cm="1">
        <f t="array" ref="C7">INDEX('Summarized Modified Source Data'!$M$600:$M$743,MATCH(1,($A7=LoadFactorSeasons)*(C$1=LoadFactorHours),0),)</f>
        <v>6.1973162166475558E-5</v>
      </c>
      <c r="D7" s="8" cm="1">
        <f t="array" ref="D7">INDEX('Summarized Modified Source Data'!$M$600:$M$743,MATCH(1,($A7=LoadFactorSeasons)*(D$1=LoadFactorHours),0),)</f>
        <v>6.1153178566394773E-5</v>
      </c>
      <c r="E7" s="8" cm="1">
        <f t="array" ref="E7">INDEX('Summarized Modified Source Data'!$M$600:$M$743,MATCH(1,($A7=LoadFactorSeasons)*(E$1=LoadFactorHours),0),)</f>
        <v>6.173820903543341E-5</v>
      </c>
      <c r="F7" s="8" cm="1">
        <f t="array" ref="F7">INDEX('Summarized Modified Source Data'!$M$600:$M$743,MATCH(1,($A7=LoadFactorSeasons)*(F$1=LoadFactorHours),0),)</f>
        <v>6.2725989621619264E-5</v>
      </c>
      <c r="G7" s="8" cm="1">
        <f t="array" ref="G7">INDEX('Summarized Modified Source Data'!$M$600:$M$743,MATCH(1,($A7=LoadFactorSeasons)*(G$1=LoadFactorHours),0),)</f>
        <v>7.0642360566415584E-5</v>
      </c>
      <c r="H7" s="8" cm="1">
        <f t="array" ref="H7">INDEX('Summarized Modified Source Data'!$M$600:$M$743,MATCH(1,($A7=LoadFactorSeasons)*(H$1=LoadFactorHours),0),)</f>
        <v>1.063285516110642E-4</v>
      </c>
      <c r="I7" s="8" cm="1">
        <f t="array" ref="I7">INDEX('Summarized Modified Source Data'!$M$600:$M$743,MATCH(1,($A7=LoadFactorSeasons)*(I$1=LoadFactorHours),0),)</f>
        <v>1.4623083230283067E-4</v>
      </c>
      <c r="J7" s="8" cm="1">
        <f t="array" ref="J7">INDEX('Summarized Modified Source Data'!$M$600:$M$743,MATCH(1,($A7=LoadFactorSeasons)*(J$1=LoadFactorHours),0),)</f>
        <v>1.8132557143861385E-4</v>
      </c>
      <c r="K7" s="8" cm="1">
        <f t="array" ref="K7">INDEX('Summarized Modified Source Data'!$M$600:$M$743,MATCH(1,($A7=LoadFactorSeasons)*(K$1=LoadFactorHours),0),)</f>
        <v>1.9048961837282393E-4</v>
      </c>
      <c r="L7" s="8" cm="1">
        <f t="array" ref="L7">INDEX('Summarized Modified Source Data'!$M$600:$M$743,MATCH(1,($A7=LoadFactorSeasons)*(L$1=LoadFactorHours),0),)</f>
        <v>1.8940349695914719E-4</v>
      </c>
      <c r="M7" s="8" cm="1">
        <f t="array" ref="M7">INDEX('Summarized Modified Source Data'!$M$600:$M$743,MATCH(1,($A7=LoadFactorSeasons)*(M$1=LoadFactorHours),0),)</f>
        <v>1.8877972291643662E-4</v>
      </c>
      <c r="N7" s="8" cm="1">
        <f t="array" ref="N7">INDEX('Summarized Modified Source Data'!$M$600:$M$743,MATCH(1,($A7=LoadFactorSeasons)*(N$1=LoadFactorHours),0),)</f>
        <v>1.8577332927009066E-4</v>
      </c>
      <c r="O7" s="8" cm="1">
        <f t="array" ref="O7">INDEX('Summarized Modified Source Data'!$M$600:$M$743,MATCH(1,($A7=LoadFactorSeasons)*(O$1=LoadFactorHours),0),)</f>
        <v>1.8585368377926003E-4</v>
      </c>
      <c r="P7" s="8" cm="1">
        <f t="array" ref="P7">INDEX('Summarized Modified Source Data'!$M$600:$M$743,MATCH(1,($A7=LoadFactorSeasons)*(P$1=LoadFactorHours),0),)</f>
        <v>1.8574427853377702E-4</v>
      </c>
      <c r="Q7" s="8" cm="1">
        <f t="array" ref="Q7">INDEX('Summarized Modified Source Data'!$M$600:$M$743,MATCH(1,($A7=LoadFactorSeasons)*(Q$1=LoadFactorHours),0),)</f>
        <v>1.8573522815203193E-4</v>
      </c>
      <c r="R7" s="8" cm="1">
        <f t="array" ref="R7">INDEX('Summarized Modified Source Data'!$M$600:$M$743,MATCH(1,($A7=LoadFactorSeasons)*(R$1=LoadFactorHours),0),)</f>
        <v>1.7954863830203977E-4</v>
      </c>
      <c r="S7" s="8" cm="1">
        <f t="array" ref="S7">INDEX('Summarized Modified Source Data'!$M$600:$M$743,MATCH(1,($A7=LoadFactorSeasons)*(S$1=LoadFactorHours),0),)</f>
        <v>1.6859379356490306E-4</v>
      </c>
      <c r="T7" s="8" cm="1">
        <f t="array" ref="T7">INDEX('Summarized Modified Source Data'!$M$600:$M$743,MATCH(1,($A7=LoadFactorSeasons)*(T$1=LoadFactorHours),0),)</f>
        <v>1.6060144286106134E-4</v>
      </c>
      <c r="U7" s="8" cm="1">
        <f t="array" ref="U7">INDEX('Summarized Modified Source Data'!$M$600:$M$743,MATCH(1,($A7=LoadFactorSeasons)*(U$1=LoadFactorHours),0),)</f>
        <v>1.3450812940419616E-4</v>
      </c>
      <c r="V7" s="8" cm="1">
        <f t="array" ref="V7">INDEX('Summarized Modified Source Data'!$M$600:$M$743,MATCH(1,($A7=LoadFactorSeasons)*(V$1=LoadFactorHours),0),)</f>
        <v>1.1160300895068047E-4</v>
      </c>
      <c r="W7" s="8" cm="1">
        <f t="array" ref="W7">INDEX('Summarized Modified Source Data'!$M$600:$M$743,MATCH(1,($A7=LoadFactorSeasons)*(W$1=LoadFactorHours),0),)</f>
        <v>9.0495449133379041E-5</v>
      </c>
      <c r="X7" s="8" cm="1">
        <f t="array" ref="X7">INDEX('Summarized Modified Source Data'!$M$600:$M$743,MATCH(1,($A7=LoadFactorSeasons)*(X$1=LoadFactorHours),0),)</f>
        <v>7.7693353916967499E-5</v>
      </c>
      <c r="Y7" s="8" cm="1">
        <f t="array" ref="Y7">INDEX('Summarized Modified Source Data'!$M$600:$M$743,MATCH(1,($A7=LoadFactorSeasons)*(Y$1=LoadFactorHours),0),)</f>
        <v>7.098195750002518E-5</v>
      </c>
    </row>
    <row r="8" spans="1:25" x14ac:dyDescent="0.25">
      <c r="A8" s="8"/>
      <c r="B8" s="8"/>
      <c r="C8" s="8"/>
      <c r="D8" s="8"/>
      <c r="E8" s="8"/>
      <c r="F8" s="8"/>
      <c r="G8" s="8"/>
      <c r="H8" s="8"/>
      <c r="I8" s="8"/>
      <c r="J8" s="8"/>
      <c r="K8" s="8"/>
      <c r="L8" s="8"/>
      <c r="M8" s="8"/>
      <c r="N8" s="8"/>
      <c r="O8" s="8"/>
      <c r="P8" s="8"/>
      <c r="Q8" s="8"/>
      <c r="R8" s="8"/>
      <c r="S8" s="8"/>
      <c r="T8" s="8"/>
      <c r="U8" s="8"/>
      <c r="V8" s="8"/>
      <c r="W8" s="8"/>
      <c r="X8" s="8"/>
      <c r="Y8" s="8"/>
    </row>
    <row r="9" spans="1:25" x14ac:dyDescent="0.25">
      <c r="A9" s="8"/>
      <c r="B9" s="8"/>
      <c r="C9" s="8"/>
      <c r="D9" s="8"/>
      <c r="E9" s="8"/>
      <c r="F9" s="8"/>
      <c r="G9" s="8"/>
      <c r="H9" s="8"/>
      <c r="I9" s="8"/>
      <c r="J9" s="8"/>
      <c r="K9" s="8"/>
      <c r="L9" s="8"/>
      <c r="M9" s="8"/>
      <c r="N9" s="8"/>
      <c r="O9" s="8"/>
      <c r="P9" s="8"/>
      <c r="Q9" s="8"/>
      <c r="R9" s="8"/>
      <c r="S9" s="8"/>
      <c r="T9" s="8"/>
      <c r="U9" s="8"/>
      <c r="V9" s="8"/>
      <c r="W9" s="8"/>
      <c r="X9" s="8"/>
      <c r="Y9" s="8"/>
    </row>
    <row r="10" spans="1:25" x14ac:dyDescent="0.25">
      <c r="A10" s="8"/>
      <c r="B10" s="8"/>
      <c r="C10" s="8"/>
      <c r="D10" s="8"/>
      <c r="E10" s="8"/>
      <c r="F10" s="8"/>
      <c r="G10" s="8"/>
      <c r="H10" s="8"/>
      <c r="I10" s="8"/>
      <c r="J10" s="8"/>
      <c r="K10" s="8"/>
      <c r="L10" s="8"/>
      <c r="M10" s="8"/>
      <c r="N10" s="8"/>
      <c r="O10" s="8"/>
      <c r="P10" s="8"/>
      <c r="Q10" s="8"/>
      <c r="R10" s="8"/>
      <c r="S10" s="8"/>
      <c r="T10" s="8"/>
      <c r="U10" s="8"/>
      <c r="V10" s="8"/>
      <c r="W10" s="8"/>
      <c r="X10" s="8"/>
      <c r="Y10" s="8"/>
    </row>
    <row r="11" spans="1:25" x14ac:dyDescent="0.25">
      <c r="A11" s="8" t="s">
        <v>25</v>
      </c>
      <c r="B11" s="8" t="s">
        <v>34</v>
      </c>
      <c r="C11" s="8" t="s">
        <v>0</v>
      </c>
      <c r="D11" s="8" t="s">
        <v>1</v>
      </c>
      <c r="E11" s="8" t="s">
        <v>2</v>
      </c>
      <c r="F11" s="8" t="s">
        <v>3</v>
      </c>
      <c r="G11" s="8" t="s">
        <v>4</v>
      </c>
      <c r="H11" s="8" t="s">
        <v>5</v>
      </c>
      <c r="I11" s="8" t="s">
        <v>6</v>
      </c>
      <c r="J11" s="8" t="s">
        <v>7</v>
      </c>
      <c r="K11" s="8" t="s">
        <v>8</v>
      </c>
      <c r="L11" s="8" t="s">
        <v>9</v>
      </c>
      <c r="M11" s="8" t="s">
        <v>10</v>
      </c>
      <c r="N11" s="8" t="s">
        <v>11</v>
      </c>
      <c r="O11" s="8" t="s">
        <v>12</v>
      </c>
      <c r="P11" s="8" t="s">
        <v>13</v>
      </c>
      <c r="Q11" s="8" t="s">
        <v>14</v>
      </c>
      <c r="R11" s="8" t="s">
        <v>15</v>
      </c>
      <c r="S11" s="8" t="s">
        <v>16</v>
      </c>
      <c r="T11" s="8" t="s">
        <v>17</v>
      </c>
      <c r="U11" s="8" t="s">
        <v>18</v>
      </c>
      <c r="V11" s="8" t="s">
        <v>19</v>
      </c>
      <c r="W11" s="8" t="s">
        <v>20</v>
      </c>
      <c r="X11" s="8" t="s">
        <v>21</v>
      </c>
      <c r="Y11" s="8" t="s">
        <v>22</v>
      </c>
    </row>
    <row r="12" spans="1:25" x14ac:dyDescent="0.25">
      <c r="A12" s="8" t="s">
        <v>37</v>
      </c>
      <c r="B12" s="8">
        <v>4.5054797342951761E-5</v>
      </c>
      <c r="C12" s="8">
        <v>4.26100433035964E-5</v>
      </c>
      <c r="D12" s="8">
        <v>4.2331955028454192E-5</v>
      </c>
      <c r="E12" s="8">
        <v>4.3663829421394961E-5</v>
      </c>
      <c r="F12" s="8">
        <v>4.586138686452889E-5</v>
      </c>
      <c r="G12" s="8">
        <v>5.2275218713595056E-5</v>
      </c>
      <c r="H12" s="8">
        <v>7.3178659862642767E-5</v>
      </c>
      <c r="I12" s="8">
        <v>9.8900789287084955E-5</v>
      </c>
      <c r="J12" s="8">
        <v>1.2060889494584189E-4</v>
      </c>
      <c r="K12" s="8">
        <v>1.2763331164164564E-4</v>
      </c>
      <c r="L12" s="8">
        <v>1.2657425916211276E-4</v>
      </c>
      <c r="M12" s="8">
        <v>1.2623853886019226E-4</v>
      </c>
      <c r="N12" s="8">
        <v>1.244970093475027E-4</v>
      </c>
      <c r="O12" s="8">
        <v>1.2355468906890047E-4</v>
      </c>
      <c r="P12" s="8">
        <v>1.2238007232531962E-4</v>
      </c>
      <c r="Q12" s="8">
        <v>1.207412627388775E-4</v>
      </c>
      <c r="R12" s="8">
        <v>1.1646396488895881E-4</v>
      </c>
      <c r="S12" s="8">
        <v>1.1078057994162014E-4</v>
      </c>
      <c r="T12" s="8">
        <v>1.0625844324144759E-4</v>
      </c>
      <c r="U12" s="8">
        <v>9.1800560377175498E-5</v>
      </c>
      <c r="V12" s="8">
        <v>7.8620010311545471E-5</v>
      </c>
      <c r="W12" s="8">
        <v>6.6058867009891341E-5</v>
      </c>
      <c r="X12" s="8">
        <v>5.7556190498287103E-5</v>
      </c>
      <c r="Y12" s="8">
        <v>5.0847540268589696E-5</v>
      </c>
    </row>
    <row r="13" spans="1:25" x14ac:dyDescent="0.25">
      <c r="A13" s="8" t="s">
        <v>38</v>
      </c>
      <c r="B13" s="8">
        <v>5.7902083309798427E-5</v>
      </c>
      <c r="C13" s="8">
        <v>5.484143840194883E-5</v>
      </c>
      <c r="D13" s="8">
        <v>5.4450657385267907E-5</v>
      </c>
      <c r="E13" s="8">
        <v>5.6293099151357641E-5</v>
      </c>
      <c r="F13" s="8">
        <v>5.8906539830113094E-5</v>
      </c>
      <c r="G13" s="8">
        <v>6.7079944198943707E-5</v>
      </c>
      <c r="H13" s="8">
        <v>9.3486445052376834E-5</v>
      </c>
      <c r="I13" s="8">
        <v>1.2599151244748854E-4</v>
      </c>
      <c r="J13" s="8">
        <v>1.5367366997972296E-4</v>
      </c>
      <c r="K13" s="8">
        <v>1.6293093967024668E-4</v>
      </c>
      <c r="L13" s="8">
        <v>1.619298332408247E-4</v>
      </c>
      <c r="M13" s="8">
        <v>1.6153842744835029E-4</v>
      </c>
      <c r="N13" s="8">
        <v>1.592280472114571E-4</v>
      </c>
      <c r="O13" s="8">
        <v>1.5818615362739129E-4</v>
      </c>
      <c r="P13" s="8">
        <v>1.5666687596230027E-4</v>
      </c>
      <c r="Q13" s="8">
        <v>1.5469024709993773E-4</v>
      </c>
      <c r="R13" s="8">
        <v>1.4910592354978907E-4</v>
      </c>
      <c r="S13" s="8">
        <v>1.419865217513657E-4</v>
      </c>
      <c r="T13" s="8">
        <v>1.3605510234284714E-4</v>
      </c>
      <c r="U13" s="8">
        <v>1.1736110511983374E-4</v>
      </c>
      <c r="V13" s="8">
        <v>1.0057411078200854E-4</v>
      </c>
      <c r="W13" s="8">
        <v>8.454110149341006E-5</v>
      </c>
      <c r="X13" s="8">
        <v>7.3624497734118717E-5</v>
      </c>
      <c r="Y13" s="8">
        <v>6.5199211856697452E-5</v>
      </c>
    </row>
    <row r="14" spans="1:25" x14ac:dyDescent="0.25">
      <c r="A14" s="8" t="s">
        <v>39</v>
      </c>
      <c r="B14" s="8">
        <v>5.763840234145153E-5</v>
      </c>
      <c r="C14" s="8">
        <v>5.4516433467746029E-5</v>
      </c>
      <c r="D14" s="8">
        <v>5.4117457065680141E-5</v>
      </c>
      <c r="E14" s="8">
        <v>5.5915261361648669E-5</v>
      </c>
      <c r="F14" s="8">
        <v>5.8434959919575722E-5</v>
      </c>
      <c r="G14" s="8">
        <v>6.6451666075948972E-5</v>
      </c>
      <c r="H14" s="8">
        <v>9.2701052816874727E-5</v>
      </c>
      <c r="I14" s="8">
        <v>1.2458181392605391E-4</v>
      </c>
      <c r="J14" s="8">
        <v>1.5231366124720836E-4</v>
      </c>
      <c r="K14" s="8">
        <v>1.614210798438241E-4</v>
      </c>
      <c r="L14" s="8">
        <v>1.60527644904814E-4</v>
      </c>
      <c r="M14" s="8">
        <v>1.6027841372812861E-4</v>
      </c>
      <c r="N14" s="8">
        <v>1.5834146780661858E-4</v>
      </c>
      <c r="O14" s="8">
        <v>1.5672293040214788E-4</v>
      </c>
      <c r="P14" s="8">
        <v>1.552296097980712E-4</v>
      </c>
      <c r="Q14" s="8">
        <v>1.5336817026976067E-4</v>
      </c>
      <c r="R14" s="8">
        <v>1.4830528523645121E-4</v>
      </c>
      <c r="S14" s="8">
        <v>1.4121724459084965E-4</v>
      </c>
      <c r="T14" s="8">
        <v>1.3520765760107367E-4</v>
      </c>
      <c r="U14" s="8">
        <v>1.1642226183970728E-4</v>
      </c>
      <c r="V14" s="8">
        <v>9.9556115208668865E-5</v>
      </c>
      <c r="W14" s="8">
        <v>8.37124858647881E-5</v>
      </c>
      <c r="X14" s="8">
        <v>7.2807601280217046E-5</v>
      </c>
      <c r="Y14" s="8">
        <v>6.4637078420434004E-5</v>
      </c>
    </row>
    <row r="15" spans="1:25" x14ac:dyDescent="0.25">
      <c r="A15" s="8" t="s">
        <v>40</v>
      </c>
      <c r="B15" s="8">
        <v>8.7635301757882933E-5</v>
      </c>
      <c r="C15" s="8">
        <v>8.2983661549013081E-5</v>
      </c>
      <c r="D15" s="8">
        <v>8.2387298838617571E-5</v>
      </c>
      <c r="E15" s="8">
        <v>8.5173287991397812E-5</v>
      </c>
      <c r="F15" s="8">
        <v>8.9088828994347464E-5</v>
      </c>
      <c r="G15" s="8">
        <v>1.0145558633546843E-4</v>
      </c>
      <c r="H15" s="8">
        <v>1.4172526147190827E-4</v>
      </c>
      <c r="I15" s="8">
        <v>1.9136113877921891E-4</v>
      </c>
      <c r="J15" s="8">
        <v>2.332775292100424E-4</v>
      </c>
      <c r="K15" s="8">
        <v>2.4710482063468699E-4</v>
      </c>
      <c r="L15" s="8">
        <v>2.4566485029236656E-4</v>
      </c>
      <c r="M15" s="8">
        <v>2.4517775289189918E-4</v>
      </c>
      <c r="N15" s="8">
        <v>2.418795295207427E-4</v>
      </c>
      <c r="O15" s="8">
        <v>2.3996440952787264E-4</v>
      </c>
      <c r="P15" s="8">
        <v>2.3779956121578171E-4</v>
      </c>
      <c r="Q15" s="8">
        <v>2.3469517994262942E-4</v>
      </c>
      <c r="R15" s="8">
        <v>2.2645863763436975E-4</v>
      </c>
      <c r="S15" s="8">
        <v>2.1552633210095685E-4</v>
      </c>
      <c r="T15" s="8">
        <v>2.0633236497046953E-4</v>
      </c>
      <c r="U15" s="8">
        <v>1.7793832374101397E-4</v>
      </c>
      <c r="V15" s="8">
        <v>1.5229080231887602E-4</v>
      </c>
      <c r="W15" s="8">
        <v>1.2788585158437981E-4</v>
      </c>
      <c r="X15" s="8">
        <v>1.1125667896251308E-4</v>
      </c>
      <c r="Y15" s="8">
        <v>9.8535774463542848E-5</v>
      </c>
    </row>
    <row r="16" spans="1:25" x14ac:dyDescent="0.25">
      <c r="A16" t="s">
        <v>80</v>
      </c>
      <c r="B16">
        <v>6.8043004568112719E-5</v>
      </c>
      <c r="C16">
        <v>5.953113287837271E-5</v>
      </c>
      <c r="D16">
        <v>5.8791885855868464E-5</v>
      </c>
      <c r="E16">
        <v>5.9319452123869707E-5</v>
      </c>
      <c r="F16">
        <v>6.0145247887876825E-5</v>
      </c>
      <c r="G16">
        <v>6.7339730602471588E-5</v>
      </c>
      <c r="H16">
        <v>1.0115034390321793E-4</v>
      </c>
      <c r="I16">
        <v>1.3828276504183678E-4</v>
      </c>
      <c r="J16">
        <v>1.7217177008235394E-4</v>
      </c>
      <c r="K16">
        <v>1.8127425754513077E-4</v>
      </c>
      <c r="L16">
        <v>1.804662005073512E-4</v>
      </c>
      <c r="M16">
        <v>1.7989035613739457E-4</v>
      </c>
      <c r="N16">
        <v>1.7742368534078427E-4</v>
      </c>
      <c r="O16">
        <v>1.7684088401157707E-4</v>
      </c>
      <c r="P16">
        <v>1.7672858616750054E-4</v>
      </c>
      <c r="Q16">
        <v>1.7708767285687599E-4</v>
      </c>
      <c r="R16">
        <v>1.716723702623305E-4</v>
      </c>
      <c r="S16">
        <v>1.6130311757908228E-4</v>
      </c>
      <c r="T16">
        <v>1.5328127770801212E-4</v>
      </c>
      <c r="U16">
        <v>1.2817412935036695E-4</v>
      </c>
      <c r="V16">
        <v>1.062298562199442E-4</v>
      </c>
      <c r="W16">
        <v>8.6194725495177506E-5</v>
      </c>
      <c r="X16">
        <v>7.3438109795568318E-5</v>
      </c>
      <c r="Y16">
        <v>6.742366724424096E-5</v>
      </c>
    </row>
    <row r="17" spans="1:25" x14ac:dyDescent="0.25">
      <c r="A17" t="s">
        <v>81</v>
      </c>
      <c r="B17">
        <v>5.3323393611486806E-5</v>
      </c>
      <c r="C17">
        <v>4.6549139066368567E-5</v>
      </c>
      <c r="D17">
        <v>4.5913896569960118E-5</v>
      </c>
      <c r="E17">
        <v>4.6352264245646319E-5</v>
      </c>
      <c r="F17">
        <v>4.7110985355991497E-5</v>
      </c>
      <c r="G17">
        <v>5.3030053301370349E-5</v>
      </c>
      <c r="H17">
        <v>7.9856250765248141E-5</v>
      </c>
      <c r="I17">
        <v>1.0982475874622654E-4</v>
      </c>
      <c r="J17">
        <v>1.3619718391663898E-4</v>
      </c>
      <c r="K17">
        <v>1.4306000768615426E-4</v>
      </c>
      <c r="L17">
        <v>1.4223694495100569E-4</v>
      </c>
      <c r="M17">
        <v>1.4174892220841515E-4</v>
      </c>
      <c r="N17">
        <v>1.3951857799876201E-4</v>
      </c>
      <c r="O17">
        <v>1.3951811371449465E-4</v>
      </c>
      <c r="P17">
        <v>1.3943631911114728E-4</v>
      </c>
      <c r="Q17">
        <v>1.3944534320753791E-4</v>
      </c>
      <c r="R17">
        <v>1.3477582487344368E-4</v>
      </c>
      <c r="S17">
        <v>1.2654791277197296E-4</v>
      </c>
      <c r="T17">
        <v>1.2056903458010923E-4</v>
      </c>
      <c r="U17">
        <v>1.0102328657146022E-4</v>
      </c>
      <c r="V17">
        <v>8.3825873573458991E-5</v>
      </c>
      <c r="W17">
        <v>6.8001460979754126E-5</v>
      </c>
      <c r="X17">
        <v>5.842541207076487E-5</v>
      </c>
      <c r="Y17">
        <v>5.3367890380820145E-5</v>
      </c>
    </row>
    <row r="19" spans="1:25" x14ac:dyDescent="0.25">
      <c r="N19" s="8"/>
    </row>
    <row r="21" spans="1:25" x14ac:dyDescent="0.25">
      <c r="A21" s="8" t="s">
        <v>472</v>
      </c>
    </row>
    <row r="22" spans="1:25" x14ac:dyDescent="0.25">
      <c r="A22" s="8" t="s">
        <v>37</v>
      </c>
      <c r="B22" s="49">
        <f>(B12-B2)/B2</f>
        <v>-0.24921869970358379</v>
      </c>
      <c r="C22" s="49">
        <f t="shared" ref="C22:X27" si="0">(C12-C2)/C2</f>
        <v>-0.24892866081198683</v>
      </c>
      <c r="D22" s="49">
        <f t="shared" si="0"/>
        <v>-0.24911211516840176</v>
      </c>
      <c r="E22" s="49">
        <f t="shared" si="0"/>
        <v>-0.24944751391080514</v>
      </c>
      <c r="F22" s="49">
        <f t="shared" si="0"/>
        <v>-0.24880878838306758</v>
      </c>
      <c r="G22" s="49">
        <f t="shared" si="0"/>
        <v>-0.24922888611848482</v>
      </c>
      <c r="H22" s="49">
        <f t="shared" si="0"/>
        <v>-0.24892318283192977</v>
      </c>
      <c r="I22" s="49">
        <f t="shared" si="0"/>
        <v>-0.24897532171274406</v>
      </c>
      <c r="J22" s="49">
        <f t="shared" si="0"/>
        <v>-0.24876869803756005</v>
      </c>
      <c r="K22" s="49">
        <f t="shared" si="0"/>
        <v>-0.24868845914606785</v>
      </c>
      <c r="L22" s="49">
        <f t="shared" si="0"/>
        <v>-0.24892389448174157</v>
      </c>
      <c r="M22" s="49">
        <f t="shared" si="0"/>
        <v>-0.24913172974828918</v>
      </c>
      <c r="N22" s="49">
        <f t="shared" si="0"/>
        <v>-0.24897502471894173</v>
      </c>
      <c r="O22" s="49">
        <f t="shared" si="0"/>
        <v>-0.24913972058957823</v>
      </c>
      <c r="P22" s="49">
        <f t="shared" si="0"/>
        <v>-0.24916588598045733</v>
      </c>
      <c r="Q22" s="49">
        <f t="shared" si="0"/>
        <v>-0.24922148747814146</v>
      </c>
      <c r="R22" s="49">
        <f t="shared" si="0"/>
        <v>-0.24926536900305776</v>
      </c>
      <c r="S22" s="49">
        <f t="shared" si="0"/>
        <v>-0.24923277607510563</v>
      </c>
      <c r="T22" s="49">
        <f t="shared" si="0"/>
        <v>-0.24922547404183185</v>
      </c>
      <c r="U22" s="49">
        <f t="shared" si="0"/>
        <v>-0.24872811528472397</v>
      </c>
      <c r="V22" s="49">
        <f t="shared" si="0"/>
        <v>-0.24879210628382536</v>
      </c>
      <c r="W22" s="49">
        <f t="shared" si="0"/>
        <v>-0.24843841576080183</v>
      </c>
      <c r="X22" s="49">
        <f t="shared" si="0"/>
        <v>-0.2486152103602621</v>
      </c>
      <c r="Y22" s="49">
        <f>(Y12-Y2)/Y2</f>
        <v>-0.24890064765022088</v>
      </c>
    </row>
    <row r="23" spans="1:25" x14ac:dyDescent="0.25">
      <c r="A23" s="8" t="s">
        <v>38</v>
      </c>
      <c r="B23" s="49">
        <f t="shared" ref="B23:Q27" si="1">(B13-B3)/B3</f>
        <v>0</v>
      </c>
      <c r="C23" s="49">
        <f t="shared" si="1"/>
        <v>0</v>
      </c>
      <c r="D23" s="49">
        <f t="shared" si="1"/>
        <v>0</v>
      </c>
      <c r="E23" s="49">
        <f t="shared" si="1"/>
        <v>0</v>
      </c>
      <c r="F23" s="49">
        <f t="shared" si="1"/>
        <v>0</v>
      </c>
      <c r="G23" s="49">
        <f t="shared" si="1"/>
        <v>0</v>
      </c>
      <c r="H23" s="49">
        <f t="shared" si="1"/>
        <v>0</v>
      </c>
      <c r="I23" s="49">
        <f t="shared" si="1"/>
        <v>0</v>
      </c>
      <c r="J23" s="49">
        <f t="shared" si="1"/>
        <v>0</v>
      </c>
      <c r="K23" s="49">
        <f t="shared" si="1"/>
        <v>0</v>
      </c>
      <c r="L23" s="49">
        <f t="shared" si="1"/>
        <v>0</v>
      </c>
      <c r="M23" s="49">
        <f t="shared" si="1"/>
        <v>0</v>
      </c>
      <c r="N23" s="49">
        <f t="shared" si="1"/>
        <v>0</v>
      </c>
      <c r="O23" s="49">
        <f t="shared" si="1"/>
        <v>0</v>
      </c>
      <c r="P23" s="49">
        <f t="shared" si="1"/>
        <v>0</v>
      </c>
      <c r="Q23" s="49">
        <f t="shared" si="1"/>
        <v>0</v>
      </c>
      <c r="R23" s="49">
        <f t="shared" si="0"/>
        <v>0</v>
      </c>
      <c r="S23" s="49">
        <f t="shared" si="0"/>
        <v>0</v>
      </c>
      <c r="T23" s="49">
        <f t="shared" si="0"/>
        <v>0</v>
      </c>
      <c r="U23" s="49">
        <f t="shared" si="0"/>
        <v>0</v>
      </c>
      <c r="V23" s="49">
        <f t="shared" si="0"/>
        <v>0</v>
      </c>
      <c r="W23" s="49">
        <f t="shared" si="0"/>
        <v>0</v>
      </c>
      <c r="X23" s="49">
        <f t="shared" si="0"/>
        <v>0</v>
      </c>
      <c r="Y23" s="49">
        <f t="shared" ref="Y23:Y27" si="2">(Y13-Y3)/Y3</f>
        <v>0</v>
      </c>
    </row>
    <row r="24" spans="1:25" x14ac:dyDescent="0.25">
      <c r="A24" s="8" t="s">
        <v>39</v>
      </c>
      <c r="B24" s="49">
        <f t="shared" si="1"/>
        <v>0</v>
      </c>
      <c r="C24" s="49">
        <f t="shared" si="0"/>
        <v>0</v>
      </c>
      <c r="D24" s="49">
        <f t="shared" si="0"/>
        <v>0</v>
      </c>
      <c r="E24" s="49">
        <f t="shared" si="0"/>
        <v>0</v>
      </c>
      <c r="F24" s="49">
        <f t="shared" si="0"/>
        <v>0</v>
      </c>
      <c r="G24" s="49">
        <f t="shared" si="0"/>
        <v>0</v>
      </c>
      <c r="H24" s="49">
        <f t="shared" si="0"/>
        <v>0</v>
      </c>
      <c r="I24" s="49">
        <f t="shared" si="0"/>
        <v>0</v>
      </c>
      <c r="J24" s="49">
        <f t="shared" si="0"/>
        <v>0</v>
      </c>
      <c r="K24" s="49">
        <f t="shared" si="0"/>
        <v>0</v>
      </c>
      <c r="L24" s="49">
        <f t="shared" si="0"/>
        <v>0</v>
      </c>
      <c r="M24" s="49">
        <f t="shared" si="0"/>
        <v>0</v>
      </c>
      <c r="N24" s="49">
        <f t="shared" si="0"/>
        <v>0</v>
      </c>
      <c r="O24" s="49">
        <f t="shared" si="0"/>
        <v>0</v>
      </c>
      <c r="P24" s="49">
        <f t="shared" si="0"/>
        <v>0</v>
      </c>
      <c r="Q24" s="49">
        <f t="shared" si="0"/>
        <v>0</v>
      </c>
      <c r="R24" s="49">
        <f t="shared" si="0"/>
        <v>0</v>
      </c>
      <c r="S24" s="49">
        <f t="shared" si="0"/>
        <v>0</v>
      </c>
      <c r="T24" s="49">
        <f t="shared" si="0"/>
        <v>0</v>
      </c>
      <c r="U24" s="49">
        <f t="shared" si="0"/>
        <v>0</v>
      </c>
      <c r="V24" s="49">
        <f t="shared" si="0"/>
        <v>0</v>
      </c>
      <c r="W24" s="49">
        <f t="shared" si="0"/>
        <v>0</v>
      </c>
      <c r="X24" s="49">
        <f t="shared" si="0"/>
        <v>0</v>
      </c>
      <c r="Y24" s="49">
        <f t="shared" si="2"/>
        <v>0</v>
      </c>
    </row>
    <row r="25" spans="1:25" x14ac:dyDescent="0.25">
      <c r="A25" s="8" t="s">
        <v>40</v>
      </c>
      <c r="B25" s="49">
        <f t="shared" si="1"/>
        <v>0.50539512621875204</v>
      </c>
      <c r="C25" s="49">
        <f t="shared" si="0"/>
        <v>0.50327079048472756</v>
      </c>
      <c r="D25" s="49">
        <f t="shared" si="0"/>
        <v>0.5045179080689044</v>
      </c>
      <c r="E25" s="49">
        <f t="shared" si="0"/>
        <v>0.50414879257611966</v>
      </c>
      <c r="F25" s="49">
        <f t="shared" si="0"/>
        <v>0.50471255293955064</v>
      </c>
      <c r="G25" s="49">
        <f t="shared" si="0"/>
        <v>0.50711862843962896</v>
      </c>
      <c r="H25" s="49">
        <f t="shared" si="0"/>
        <v>0.5074838965474312</v>
      </c>
      <c r="I25" s="49">
        <f t="shared" si="0"/>
        <v>0.50841853754007915</v>
      </c>
      <c r="J25" s="49">
        <f t="shared" si="0"/>
        <v>0.50785455580835415</v>
      </c>
      <c r="K25" s="49">
        <f t="shared" si="0"/>
        <v>0.50678032040929366</v>
      </c>
      <c r="L25" s="49">
        <f t="shared" si="0"/>
        <v>0.50584365660792774</v>
      </c>
      <c r="M25" s="49">
        <f t="shared" si="0"/>
        <v>0.50617911473765942</v>
      </c>
      <c r="N25" s="49">
        <f t="shared" si="0"/>
        <v>0.50527615128454151</v>
      </c>
      <c r="O25" s="49">
        <f t="shared" si="0"/>
        <v>0.5062143154576676</v>
      </c>
      <c r="P25" s="49">
        <f t="shared" si="0"/>
        <v>0.50594755304523831</v>
      </c>
      <c r="Q25" s="49">
        <f t="shared" si="0"/>
        <v>0.50591413433665233</v>
      </c>
      <c r="R25" s="49">
        <f t="shared" si="0"/>
        <v>0.50583166438269245</v>
      </c>
      <c r="S25" s="49">
        <f t="shared" si="0"/>
        <v>0.50527954619516835</v>
      </c>
      <c r="T25" s="49">
        <f t="shared" si="0"/>
        <v>0.50671105759630841</v>
      </c>
      <c r="U25" s="49">
        <f t="shared" si="0"/>
        <v>0.50605167118353966</v>
      </c>
      <c r="V25" s="49">
        <f t="shared" si="0"/>
        <v>0.50681106397820208</v>
      </c>
      <c r="W25" s="49">
        <f t="shared" si="0"/>
        <v>0.50580469610885204</v>
      </c>
      <c r="X25" s="49">
        <f t="shared" si="0"/>
        <v>0.50768312911583968</v>
      </c>
      <c r="Y25" s="49">
        <f t="shared" si="2"/>
        <v>0.50693202322959185</v>
      </c>
    </row>
    <row r="26" spans="1:25" x14ac:dyDescent="0.25">
      <c r="A26" s="8" t="s">
        <v>80</v>
      </c>
      <c r="B26" s="49">
        <f t="shared" si="1"/>
        <v>0</v>
      </c>
      <c r="C26" s="49">
        <f t="shared" si="0"/>
        <v>0</v>
      </c>
      <c r="D26" s="49">
        <f t="shared" si="0"/>
        <v>0</v>
      </c>
      <c r="E26" s="49">
        <f t="shared" si="0"/>
        <v>0</v>
      </c>
      <c r="F26" s="49">
        <f t="shared" si="0"/>
        <v>0</v>
      </c>
      <c r="G26" s="49">
        <f t="shared" si="0"/>
        <v>0</v>
      </c>
      <c r="H26" s="49">
        <f t="shared" si="0"/>
        <v>0</v>
      </c>
      <c r="I26" s="49">
        <f t="shared" si="0"/>
        <v>0</v>
      </c>
      <c r="J26" s="49">
        <f t="shared" si="0"/>
        <v>0</v>
      </c>
      <c r="K26" s="49">
        <f t="shared" si="0"/>
        <v>0</v>
      </c>
      <c r="L26" s="49">
        <f t="shared" si="0"/>
        <v>0</v>
      </c>
      <c r="M26" s="49">
        <f t="shared" si="0"/>
        <v>0</v>
      </c>
      <c r="N26" s="49">
        <f t="shared" si="0"/>
        <v>0</v>
      </c>
      <c r="O26" s="49">
        <f t="shared" si="0"/>
        <v>0</v>
      </c>
      <c r="P26" s="49">
        <f t="shared" si="0"/>
        <v>0</v>
      </c>
      <c r="Q26" s="49">
        <f t="shared" si="0"/>
        <v>0</v>
      </c>
      <c r="R26" s="49">
        <f t="shared" si="0"/>
        <v>0</v>
      </c>
      <c r="S26" s="49">
        <f t="shared" si="0"/>
        <v>0</v>
      </c>
      <c r="T26" s="49">
        <f t="shared" si="0"/>
        <v>0</v>
      </c>
      <c r="U26" s="49">
        <f t="shared" si="0"/>
        <v>0</v>
      </c>
      <c r="V26" s="49">
        <f t="shared" si="0"/>
        <v>0</v>
      </c>
      <c r="W26" s="49">
        <f t="shared" si="0"/>
        <v>0</v>
      </c>
      <c r="X26" s="49">
        <f t="shared" si="0"/>
        <v>0</v>
      </c>
      <c r="Y26" s="49">
        <f t="shared" si="2"/>
        <v>0</v>
      </c>
    </row>
    <row r="27" spans="1:25" x14ac:dyDescent="0.25">
      <c r="A27" s="8" t="s">
        <v>81</v>
      </c>
      <c r="B27" s="49">
        <f t="shared" si="1"/>
        <v>-0.24884605413211894</v>
      </c>
      <c r="C27" s="49">
        <f t="shared" si="0"/>
        <v>-0.24888229938427495</v>
      </c>
      <c r="D27" s="49">
        <f t="shared" si="0"/>
        <v>-0.24919852661279371</v>
      </c>
      <c r="E27" s="49">
        <f t="shared" si="0"/>
        <v>-0.24921268417353401</v>
      </c>
      <c r="F27" s="49">
        <f t="shared" si="0"/>
        <v>-0.24893994275453996</v>
      </c>
      <c r="G27" s="49">
        <f t="shared" si="0"/>
        <v>-0.24931651665981253</v>
      </c>
      <c r="H27" s="49">
        <f t="shared" si="0"/>
        <v>-0.24896700316814471</v>
      </c>
      <c r="I27" s="49">
        <f t="shared" si="0"/>
        <v>-0.2489630468710626</v>
      </c>
      <c r="J27" s="49">
        <f t="shared" si="0"/>
        <v>-0.24888043734776086</v>
      </c>
      <c r="K27" s="49">
        <f t="shared" si="0"/>
        <v>-0.24898790333991339</v>
      </c>
      <c r="L27" s="49">
        <f t="shared" si="0"/>
        <v>-0.2490268277270242</v>
      </c>
      <c r="M27" s="49">
        <f t="shared" si="0"/>
        <v>-0.24913057388499113</v>
      </c>
      <c r="N27" s="49">
        <f t="shared" si="0"/>
        <v>-0.2489848863292973</v>
      </c>
      <c r="O27" s="49">
        <f t="shared" si="0"/>
        <v>-0.2493120885341101</v>
      </c>
      <c r="P27" s="49">
        <f t="shared" si="0"/>
        <v>-0.24931028717640302</v>
      </c>
      <c r="Q27" s="49">
        <f t="shared" si="0"/>
        <v>-0.24922512226169524</v>
      </c>
      <c r="R27" s="49">
        <f t="shared" si="0"/>
        <v>-0.24936314667716114</v>
      </c>
      <c r="S27" s="49">
        <f t="shared" si="0"/>
        <v>-0.24939162886054769</v>
      </c>
      <c r="T27" s="49">
        <f t="shared" si="0"/>
        <v>-0.24926555806590561</v>
      </c>
      <c r="U27" s="49">
        <f t="shared" si="0"/>
        <v>-0.24894289275344972</v>
      </c>
      <c r="V27" s="49">
        <f t="shared" si="0"/>
        <v>-0.24889235190331413</v>
      </c>
      <c r="W27" s="49">
        <f t="shared" si="0"/>
        <v>-0.24856485457596406</v>
      </c>
      <c r="X27" s="49">
        <f t="shared" si="0"/>
        <v>-0.24799987225155293</v>
      </c>
      <c r="Y27" s="49">
        <f t="shared" si="2"/>
        <v>-0.24814851181300243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96B3C-8B91-4643-B139-9FCA440C0A09}">
  <sheetPr codeName="Sheet19">
    <tabColor rgb="FF002060"/>
  </sheetPr>
  <dimension ref="A1:Y27"/>
  <sheetViews>
    <sheetView workbookViewId="0">
      <selection activeCell="B2" sqref="B2"/>
    </sheetView>
  </sheetViews>
  <sheetFormatPr defaultRowHeight="15" x14ac:dyDescent="0.25"/>
  <cols>
    <col min="1" max="1" width="28.42578125" customWidth="1"/>
    <col min="2" max="2" width="10.5703125" bestFit="1" customWidth="1"/>
    <col min="3" max="3" width="10.42578125" bestFit="1" customWidth="1"/>
    <col min="4" max="25" width="10.5703125" bestFit="1" customWidth="1"/>
  </cols>
  <sheetData>
    <row r="1" spans="1:25" x14ac:dyDescent="0.25">
      <c r="A1" s="6" t="s">
        <v>25</v>
      </c>
      <c r="B1" s="7" t="s">
        <v>34</v>
      </c>
      <c r="C1" s="7" t="s">
        <v>0</v>
      </c>
      <c r="D1" s="7" t="s">
        <v>1</v>
      </c>
      <c r="E1" s="7" t="s">
        <v>2</v>
      </c>
      <c r="F1" s="7" t="s">
        <v>3</v>
      </c>
      <c r="G1" s="7" t="s">
        <v>4</v>
      </c>
      <c r="H1" s="7" t="s">
        <v>5</v>
      </c>
      <c r="I1" s="7" t="s">
        <v>6</v>
      </c>
      <c r="J1" s="7" t="s">
        <v>7</v>
      </c>
      <c r="K1" s="7" t="s">
        <v>8</v>
      </c>
      <c r="L1" s="7" t="s">
        <v>9</v>
      </c>
      <c r="M1" s="7" t="s">
        <v>10</v>
      </c>
      <c r="N1" s="7" t="s">
        <v>11</v>
      </c>
      <c r="O1" s="7" t="s">
        <v>12</v>
      </c>
      <c r="P1" s="7" t="s">
        <v>13</v>
      </c>
      <c r="Q1" s="7" t="s">
        <v>14</v>
      </c>
      <c r="R1" s="7" t="s">
        <v>15</v>
      </c>
      <c r="S1" s="7" t="s">
        <v>16</v>
      </c>
      <c r="T1" s="7" t="s">
        <v>17</v>
      </c>
      <c r="U1" s="7" t="s">
        <v>18</v>
      </c>
      <c r="V1" s="7" t="s">
        <v>19</v>
      </c>
      <c r="W1" s="7" t="s">
        <v>20</v>
      </c>
      <c r="X1" s="7" t="s">
        <v>21</v>
      </c>
      <c r="Y1" s="7" t="s">
        <v>22</v>
      </c>
    </row>
    <row r="2" spans="1:25" x14ac:dyDescent="0.25">
      <c r="A2" s="8" t="s">
        <v>37</v>
      </c>
      <c r="B2" s="8" cm="1">
        <f t="array" ref="B2">INDEX('Summarized Modified Source Data'!$N$600:$N$743,MATCH(1,($A2=LoadFactorSeasons)*(B$1=LoadFactorHours),0),)</f>
        <v>6.0010548111898448E-5</v>
      </c>
      <c r="C2" s="8" cm="1">
        <f t="array" ref="C2">INDEX('Summarized Modified Source Data'!$N$600:$N$743,MATCH(1,($A2=LoadFactorSeasons)*(C$1=LoadFactorHours),0),)</f>
        <v>5.6732351616109226E-5</v>
      </c>
      <c r="D2" s="8" cm="1">
        <f t="array" ref="D2">INDEX('Summarized Modified Source Data'!$N$600:$N$743,MATCH(1,($A2=LoadFactorSeasons)*(D$1=LoadFactorHours),0),)</f>
        <v>5.6375866335821876E-5</v>
      </c>
      <c r="E2" s="8" cm="1">
        <f t="array" ref="E2">INDEX('Summarized Modified Source Data'!$N$600:$N$743,MATCH(1,($A2=LoadFactorSeasons)*(E$1=LoadFactorHours),0),)</f>
        <v>5.8175584293789145E-5</v>
      </c>
      <c r="F2" s="8" cm="1">
        <f t="array" ref="F2">INDEX('Summarized Modified Source Data'!$N$600:$N$743,MATCH(1,($A2=LoadFactorSeasons)*(F$1=LoadFactorHours),0),)</f>
        <v>6.1051548733927094E-5</v>
      </c>
      <c r="G2" s="8" cm="1">
        <f t="array" ref="G2">INDEX('Summarized Modified Source Data'!$N$600:$N$743,MATCH(1,($A2=LoadFactorSeasons)*(G$1=LoadFactorHours),0),)</f>
        <v>6.9628702739148006E-5</v>
      </c>
      <c r="H2" s="8" cm="1">
        <f t="array" ref="H2">INDEX('Summarized Modified Source Data'!$N$600:$N$743,MATCH(1,($A2=LoadFactorSeasons)*(H$1=LoadFactorHours),0),)</f>
        <v>9.7431658373590044E-5</v>
      </c>
      <c r="I2" s="8" cm="1">
        <f t="array" ref="I2">INDEX('Summarized Modified Source Data'!$N$600:$N$743,MATCH(1,($A2=LoadFactorSeasons)*(I$1=LoadFactorHours),0),)</f>
        <v>1.3168780220728892E-4</v>
      </c>
      <c r="J2" s="8" cm="1">
        <f t="array" ref="J2">INDEX('Summarized Modified Source Data'!$N$600:$N$743,MATCH(1,($A2=LoadFactorSeasons)*(J$1=LoadFactorHours),0),)</f>
        <v>1.6054828204146383E-4</v>
      </c>
      <c r="K2" s="8" cm="1">
        <f t="array" ref="K2">INDEX('Summarized Modified Source Data'!$N$600:$N$743,MATCH(1,($A2=LoadFactorSeasons)*(K$1=LoadFactorHours),0),)</f>
        <v>1.698806749282449E-4</v>
      </c>
      <c r="L2" s="8" cm="1">
        <f t="array" ref="L2">INDEX('Summarized Modified Source Data'!$N$600:$N$743,MATCH(1,($A2=LoadFactorSeasons)*(L$1=LoadFactorHours),0),)</f>
        <v>1.6852387958045056E-4</v>
      </c>
      <c r="M2" s="8" cm="1">
        <f t="array" ref="M2">INDEX('Summarized Modified Source Data'!$N$600:$N$743,MATCH(1,($A2=LoadFactorSeasons)*(M$1=LoadFactorHours),0),)</f>
        <v>1.681234163988229E-4</v>
      </c>
      <c r="N2" s="8" cm="1">
        <f t="array" ref="N2">INDEX('Summarized Modified Source Data'!$N$600:$N$743,MATCH(1,($A2=LoadFactorSeasons)*(N$1=LoadFactorHours),0),)</f>
        <v>1.6576946632289002E-4</v>
      </c>
      <c r="O2" s="8" cm="1">
        <f t="array" ref="O2">INDEX('Summarized Modified Source Data'!$N$600:$N$743,MATCH(1,($A2=LoadFactorSeasons)*(O$1=LoadFactorHours),0),)</f>
        <v>1.6455083916000466E-4</v>
      </c>
      <c r="P2" s="8" cm="1">
        <f t="array" ref="P2">INDEX('Summarized Modified Source Data'!$N$600:$N$743,MATCH(1,($A2=LoadFactorSeasons)*(P$1=LoadFactorHours),0),)</f>
        <v>1.6299215770866575E-4</v>
      </c>
      <c r="Q2" s="8" cm="1">
        <f t="array" ref="Q2">INDEX('Summarized Modified Source Data'!$N$600:$N$743,MATCH(1,($A2=LoadFactorSeasons)*(Q$1=LoadFactorHours),0),)</f>
        <v>1.6082141500468446E-4</v>
      </c>
      <c r="R2" s="8" cm="1">
        <f t="array" ref="R2">INDEX('Summarized Modified Source Data'!$N$600:$N$743,MATCH(1,($A2=LoadFactorSeasons)*(R$1=LoadFactorHours),0),)</f>
        <v>1.5513333217930794E-4</v>
      </c>
      <c r="S2" s="8" cm="1">
        <f t="array" ref="S2">INDEX('Summarized Modified Source Data'!$N$600:$N$743,MATCH(1,($A2=LoadFactorSeasons)*(S$1=LoadFactorHours),0),)</f>
        <v>1.4755649475809091E-4</v>
      </c>
      <c r="T2" s="8" cm="1">
        <f t="array" ref="T2">INDEX('Summarized Modified Source Data'!$N$600:$N$743,MATCH(1,($A2=LoadFactorSeasons)*(T$1=LoadFactorHours),0),)</f>
        <v>1.4153176428813478E-4</v>
      </c>
      <c r="U2" s="8" cm="1">
        <f t="array" ref="U2">INDEX('Summarized Modified Source Data'!$N$600:$N$743,MATCH(1,($A2=LoadFactorSeasons)*(U$1=LoadFactorHours),0),)</f>
        <v>1.2219352573265393E-4</v>
      </c>
      <c r="V2" s="8" cm="1">
        <f t="array" ref="V2">INDEX('Summarized Modified Source Data'!$N$600:$N$743,MATCH(1,($A2=LoadFactorSeasons)*(V$1=LoadFactorHours),0),)</f>
        <v>1.0465812589191202E-4</v>
      </c>
      <c r="W2" s="8" cm="1">
        <f t="array" ref="W2">INDEX('Summarized Modified Source Data'!$N$600:$N$743,MATCH(1,($A2=LoadFactorSeasons)*(W$1=LoadFactorHours),0),)</f>
        <v>8.7895481082581389E-5</v>
      </c>
      <c r="X2" s="8" cm="1">
        <f t="array" ref="X2">INDEX('Summarized Modified Source Data'!$N$600:$N$743,MATCH(1,($A2=LoadFactorSeasons)*(X$1=LoadFactorHours),0),)</f>
        <v>7.660015386508321E-5</v>
      </c>
      <c r="Y2" s="8" cm="1">
        <f t="array" ref="Y2">INDEX('Summarized Modified Source Data'!$N$600:$N$743,MATCH(1,($A2=LoadFactorSeasons)*(Y$1=LoadFactorHours),0),)</f>
        <v>6.7697489166400622E-5</v>
      </c>
    </row>
    <row r="3" spans="1:25" x14ac:dyDescent="0.25">
      <c r="A3" s="8" t="s">
        <v>38</v>
      </c>
      <c r="B3" s="8" cm="1">
        <f t="array" ref="B3">INDEX('Summarized Modified Source Data'!$N$600:$N$743,MATCH(1,($A3=LoadFactorSeasons)*(B$1=LoadFactorHours),0),)</f>
        <v>5.7902083309798427E-5</v>
      </c>
      <c r="C3" s="8" cm="1">
        <f t="array" ref="C3">INDEX('Summarized Modified Source Data'!$N$600:$N$743,MATCH(1,($A3=LoadFactorSeasons)*(C$1=LoadFactorHours),0),)</f>
        <v>5.484143840194883E-5</v>
      </c>
      <c r="D3" s="8" cm="1">
        <f t="array" ref="D3">INDEX('Summarized Modified Source Data'!$N$600:$N$743,MATCH(1,($A3=LoadFactorSeasons)*(D$1=LoadFactorHours),0),)</f>
        <v>5.4450657385267907E-5</v>
      </c>
      <c r="E3" s="8" cm="1">
        <f t="array" ref="E3">INDEX('Summarized Modified Source Data'!$N$600:$N$743,MATCH(1,($A3=LoadFactorSeasons)*(E$1=LoadFactorHours),0),)</f>
        <v>5.6293099151357641E-5</v>
      </c>
      <c r="F3" s="8" cm="1">
        <f t="array" ref="F3">INDEX('Summarized Modified Source Data'!$N$600:$N$743,MATCH(1,($A3=LoadFactorSeasons)*(F$1=LoadFactorHours),0),)</f>
        <v>5.8906539830113094E-5</v>
      </c>
      <c r="G3" s="8" cm="1">
        <f t="array" ref="G3">INDEX('Summarized Modified Source Data'!$N$600:$N$743,MATCH(1,($A3=LoadFactorSeasons)*(G$1=LoadFactorHours),0),)</f>
        <v>6.7079944198943707E-5</v>
      </c>
      <c r="H3" s="8" cm="1">
        <f t="array" ref="H3">INDEX('Summarized Modified Source Data'!$N$600:$N$743,MATCH(1,($A3=LoadFactorSeasons)*(H$1=LoadFactorHours),0),)</f>
        <v>9.3486445052376834E-5</v>
      </c>
      <c r="I3" s="8" cm="1">
        <f t="array" ref="I3">INDEX('Summarized Modified Source Data'!$N$600:$N$743,MATCH(1,($A3=LoadFactorSeasons)*(I$1=LoadFactorHours),0),)</f>
        <v>1.2599151244748854E-4</v>
      </c>
      <c r="J3" s="8" cm="1">
        <f t="array" ref="J3">INDEX('Summarized Modified Source Data'!$N$600:$N$743,MATCH(1,($A3=LoadFactorSeasons)*(J$1=LoadFactorHours),0),)</f>
        <v>1.5367366997972296E-4</v>
      </c>
      <c r="K3" s="8" cm="1">
        <f t="array" ref="K3">INDEX('Summarized Modified Source Data'!$N$600:$N$743,MATCH(1,($A3=LoadFactorSeasons)*(K$1=LoadFactorHours),0),)</f>
        <v>1.6293093967024668E-4</v>
      </c>
      <c r="L3" s="8" cm="1">
        <f t="array" ref="L3">INDEX('Summarized Modified Source Data'!$N$600:$N$743,MATCH(1,($A3=LoadFactorSeasons)*(L$1=LoadFactorHours),0),)</f>
        <v>1.619298332408247E-4</v>
      </c>
      <c r="M3" s="8" cm="1">
        <f t="array" ref="M3">INDEX('Summarized Modified Source Data'!$N$600:$N$743,MATCH(1,($A3=LoadFactorSeasons)*(M$1=LoadFactorHours),0),)</f>
        <v>1.6153842744835029E-4</v>
      </c>
      <c r="N3" s="8" cm="1">
        <f t="array" ref="N3">INDEX('Summarized Modified Source Data'!$N$600:$N$743,MATCH(1,($A3=LoadFactorSeasons)*(N$1=LoadFactorHours),0),)</f>
        <v>1.592280472114571E-4</v>
      </c>
      <c r="O3" s="8" cm="1">
        <f t="array" ref="O3">INDEX('Summarized Modified Source Data'!$N$600:$N$743,MATCH(1,($A3=LoadFactorSeasons)*(O$1=LoadFactorHours),0),)</f>
        <v>1.5818615362739129E-4</v>
      </c>
      <c r="P3" s="8" cm="1">
        <f t="array" ref="P3">INDEX('Summarized Modified Source Data'!$N$600:$N$743,MATCH(1,($A3=LoadFactorSeasons)*(P$1=LoadFactorHours),0),)</f>
        <v>1.5666687596230027E-4</v>
      </c>
      <c r="Q3" s="8" cm="1">
        <f t="array" ref="Q3">INDEX('Summarized Modified Source Data'!$N$600:$N$743,MATCH(1,($A3=LoadFactorSeasons)*(Q$1=LoadFactorHours),0),)</f>
        <v>1.5469024709993773E-4</v>
      </c>
      <c r="R3" s="8" cm="1">
        <f t="array" ref="R3">INDEX('Summarized Modified Source Data'!$N$600:$N$743,MATCH(1,($A3=LoadFactorSeasons)*(R$1=LoadFactorHours),0),)</f>
        <v>1.4910592354978907E-4</v>
      </c>
      <c r="S3" s="8" cm="1">
        <f t="array" ref="S3">INDEX('Summarized Modified Source Data'!$N$600:$N$743,MATCH(1,($A3=LoadFactorSeasons)*(S$1=LoadFactorHours),0),)</f>
        <v>1.419865217513657E-4</v>
      </c>
      <c r="T3" s="8" cm="1">
        <f t="array" ref="T3">INDEX('Summarized Modified Source Data'!$N$600:$N$743,MATCH(1,($A3=LoadFactorSeasons)*(T$1=LoadFactorHours),0),)</f>
        <v>1.3605510234284714E-4</v>
      </c>
      <c r="U3" s="8" cm="1">
        <f t="array" ref="U3">INDEX('Summarized Modified Source Data'!$N$600:$N$743,MATCH(1,($A3=LoadFactorSeasons)*(U$1=LoadFactorHours),0),)</f>
        <v>1.1736110511983374E-4</v>
      </c>
      <c r="V3" s="8" cm="1">
        <f t="array" ref="V3">INDEX('Summarized Modified Source Data'!$N$600:$N$743,MATCH(1,($A3=LoadFactorSeasons)*(V$1=LoadFactorHours),0),)</f>
        <v>1.0057411078200854E-4</v>
      </c>
      <c r="W3" s="8" cm="1">
        <f t="array" ref="W3">INDEX('Summarized Modified Source Data'!$N$600:$N$743,MATCH(1,($A3=LoadFactorSeasons)*(W$1=LoadFactorHours),0),)</f>
        <v>8.454110149341006E-5</v>
      </c>
      <c r="X3" s="8" cm="1">
        <f t="array" ref="X3">INDEX('Summarized Modified Source Data'!$N$600:$N$743,MATCH(1,($A3=LoadFactorSeasons)*(X$1=LoadFactorHours),0),)</f>
        <v>7.3624497734118717E-5</v>
      </c>
      <c r="Y3" s="8" cm="1">
        <f t="array" ref="Y3">INDEX('Summarized Modified Source Data'!$N$600:$N$743,MATCH(1,($A3=LoadFactorSeasons)*(Y$1=LoadFactorHours),0),)</f>
        <v>6.5199211856697452E-5</v>
      </c>
    </row>
    <row r="4" spans="1:25" x14ac:dyDescent="0.25">
      <c r="A4" s="8" t="s">
        <v>39</v>
      </c>
      <c r="B4" s="8" cm="1">
        <f t="array" ref="B4">INDEX('Summarized Modified Source Data'!$N$600:$N$743,MATCH(1,($A4=LoadFactorSeasons)*(B$1=LoadFactorHours),0),)</f>
        <v>5.763840234145153E-5</v>
      </c>
      <c r="C4" s="8" cm="1">
        <f t="array" ref="C4">INDEX('Summarized Modified Source Data'!$N$600:$N$743,MATCH(1,($A4=LoadFactorSeasons)*(C$1=LoadFactorHours),0),)</f>
        <v>5.4516433467746029E-5</v>
      </c>
      <c r="D4" s="8" cm="1">
        <f t="array" ref="D4">INDEX('Summarized Modified Source Data'!$N$600:$N$743,MATCH(1,($A4=LoadFactorSeasons)*(D$1=LoadFactorHours),0),)</f>
        <v>5.4117457065680141E-5</v>
      </c>
      <c r="E4" s="8" cm="1">
        <f t="array" ref="E4">INDEX('Summarized Modified Source Data'!$N$600:$N$743,MATCH(1,($A4=LoadFactorSeasons)*(E$1=LoadFactorHours),0),)</f>
        <v>5.5915261361648669E-5</v>
      </c>
      <c r="F4" s="8" cm="1">
        <f t="array" ref="F4">INDEX('Summarized Modified Source Data'!$N$600:$N$743,MATCH(1,($A4=LoadFactorSeasons)*(F$1=LoadFactorHours),0),)</f>
        <v>5.8434959919575722E-5</v>
      </c>
      <c r="G4" s="8" cm="1">
        <f t="array" ref="G4">INDEX('Summarized Modified Source Data'!$N$600:$N$743,MATCH(1,($A4=LoadFactorSeasons)*(G$1=LoadFactorHours),0),)</f>
        <v>6.6451666075948972E-5</v>
      </c>
      <c r="H4" s="8" cm="1">
        <f t="array" ref="H4">INDEX('Summarized Modified Source Data'!$N$600:$N$743,MATCH(1,($A4=LoadFactorSeasons)*(H$1=LoadFactorHours),0),)</f>
        <v>9.2701052816874727E-5</v>
      </c>
      <c r="I4" s="8" cm="1">
        <f t="array" ref="I4">INDEX('Summarized Modified Source Data'!$N$600:$N$743,MATCH(1,($A4=LoadFactorSeasons)*(I$1=LoadFactorHours),0),)</f>
        <v>1.2458181392605391E-4</v>
      </c>
      <c r="J4" s="8" cm="1">
        <f t="array" ref="J4">INDEX('Summarized Modified Source Data'!$N$600:$N$743,MATCH(1,($A4=LoadFactorSeasons)*(J$1=LoadFactorHours),0),)</f>
        <v>1.5231366124720836E-4</v>
      </c>
      <c r="K4" s="8" cm="1">
        <f t="array" ref="K4">INDEX('Summarized Modified Source Data'!$N$600:$N$743,MATCH(1,($A4=LoadFactorSeasons)*(K$1=LoadFactorHours),0),)</f>
        <v>1.614210798438241E-4</v>
      </c>
      <c r="L4" s="8" cm="1">
        <f t="array" ref="L4">INDEX('Summarized Modified Source Data'!$N$600:$N$743,MATCH(1,($A4=LoadFactorSeasons)*(L$1=LoadFactorHours),0),)</f>
        <v>1.60527644904814E-4</v>
      </c>
      <c r="M4" s="8" cm="1">
        <f t="array" ref="M4">INDEX('Summarized Modified Source Data'!$N$600:$N$743,MATCH(1,($A4=LoadFactorSeasons)*(M$1=LoadFactorHours),0),)</f>
        <v>1.6027841372812861E-4</v>
      </c>
      <c r="N4" s="8" cm="1">
        <f t="array" ref="N4">INDEX('Summarized Modified Source Data'!$N$600:$N$743,MATCH(1,($A4=LoadFactorSeasons)*(N$1=LoadFactorHours),0),)</f>
        <v>1.5834146780661858E-4</v>
      </c>
      <c r="O4" s="8" cm="1">
        <f t="array" ref="O4">INDEX('Summarized Modified Source Data'!$N$600:$N$743,MATCH(1,($A4=LoadFactorSeasons)*(O$1=LoadFactorHours),0),)</f>
        <v>1.5672293040214788E-4</v>
      </c>
      <c r="P4" s="8" cm="1">
        <f t="array" ref="P4">INDEX('Summarized Modified Source Data'!$N$600:$N$743,MATCH(1,($A4=LoadFactorSeasons)*(P$1=LoadFactorHours),0),)</f>
        <v>1.552296097980712E-4</v>
      </c>
      <c r="Q4" s="8" cm="1">
        <f t="array" ref="Q4">INDEX('Summarized Modified Source Data'!$N$600:$N$743,MATCH(1,($A4=LoadFactorSeasons)*(Q$1=LoadFactorHours),0),)</f>
        <v>1.5336817026976067E-4</v>
      </c>
      <c r="R4" s="8" cm="1">
        <f t="array" ref="R4">INDEX('Summarized Modified Source Data'!$N$600:$N$743,MATCH(1,($A4=LoadFactorSeasons)*(R$1=LoadFactorHours),0),)</f>
        <v>1.4830528523645121E-4</v>
      </c>
      <c r="S4" s="8" cm="1">
        <f t="array" ref="S4">INDEX('Summarized Modified Source Data'!$N$600:$N$743,MATCH(1,($A4=LoadFactorSeasons)*(S$1=LoadFactorHours),0),)</f>
        <v>1.4121724459084965E-4</v>
      </c>
      <c r="T4" s="8" cm="1">
        <f t="array" ref="T4">INDEX('Summarized Modified Source Data'!$N$600:$N$743,MATCH(1,($A4=LoadFactorSeasons)*(T$1=LoadFactorHours),0),)</f>
        <v>1.3520765760107367E-4</v>
      </c>
      <c r="U4" s="8" cm="1">
        <f t="array" ref="U4">INDEX('Summarized Modified Source Data'!$N$600:$N$743,MATCH(1,($A4=LoadFactorSeasons)*(U$1=LoadFactorHours),0),)</f>
        <v>1.1642226183970728E-4</v>
      </c>
      <c r="V4" s="8" cm="1">
        <f t="array" ref="V4">INDEX('Summarized Modified Source Data'!$N$600:$N$743,MATCH(1,($A4=LoadFactorSeasons)*(V$1=LoadFactorHours),0),)</f>
        <v>9.9556115208668865E-5</v>
      </c>
      <c r="W4" s="8" cm="1">
        <f t="array" ref="W4">INDEX('Summarized Modified Source Data'!$N$600:$N$743,MATCH(1,($A4=LoadFactorSeasons)*(W$1=LoadFactorHours),0),)</f>
        <v>8.37124858647881E-5</v>
      </c>
      <c r="X4" s="8" cm="1">
        <f t="array" ref="X4">INDEX('Summarized Modified Source Data'!$N$600:$N$743,MATCH(1,($A4=LoadFactorSeasons)*(X$1=LoadFactorHours),0),)</f>
        <v>7.2807601280217046E-5</v>
      </c>
      <c r="Y4" s="8" cm="1">
        <f t="array" ref="Y4">INDEX('Summarized Modified Source Data'!$N$600:$N$743,MATCH(1,($A4=LoadFactorSeasons)*(Y$1=LoadFactorHours),0),)</f>
        <v>6.4637078420434004E-5</v>
      </c>
    </row>
    <row r="5" spans="1:25" x14ac:dyDescent="0.25">
      <c r="A5" s="8" t="s">
        <v>40</v>
      </c>
      <c r="B5" s="8" cm="1">
        <f t="array" ref="B5">INDEX('Summarized Modified Source Data'!$N$600:$N$743,MATCH(1,($A5=LoadFactorSeasons)*(B$1=LoadFactorHours),0),)</f>
        <v>5.8214152704217315E-5</v>
      </c>
      <c r="C5" s="8" cm="1">
        <f t="array" ref="C5">INDEX('Summarized Modified Source Data'!$N$600:$N$743,MATCH(1,($A5=LoadFactorSeasons)*(C$1=LoadFactorHours),0),)</f>
        <v>5.5202071426037032E-5</v>
      </c>
      <c r="D5" s="8" cm="1">
        <f t="array" ref="D5">INDEX('Summarized Modified Source Data'!$N$600:$N$743,MATCH(1,($A5=LoadFactorSeasons)*(D$1=LoadFactorHours),0),)</f>
        <v>5.475993233232048E-5</v>
      </c>
      <c r="E5" s="8" cm="1">
        <f t="array" ref="E5">INDEX('Summarized Modified Source Data'!$N$600:$N$743,MATCH(1,($A5=LoadFactorSeasons)*(E$1=LoadFactorHours),0),)</f>
        <v>5.6625573488327282E-5</v>
      </c>
      <c r="F5" s="8" cm="1">
        <f t="array" ref="F5">INDEX('Summarized Modified Source Data'!$N$600:$N$743,MATCH(1,($A5=LoadFactorSeasons)*(F$1=LoadFactorHours),0),)</f>
        <v>5.9206543349629689E-5</v>
      </c>
      <c r="G5" s="8" cm="1">
        <f t="array" ref="G5">INDEX('Summarized Modified Source Data'!$N$600:$N$743,MATCH(1,($A5=LoadFactorSeasons)*(G$1=LoadFactorHours),0),)</f>
        <v>6.7317584973724889E-5</v>
      </c>
      <c r="H5" s="8" cm="1">
        <f t="array" ref="H5">INDEX('Summarized Modified Source Data'!$N$600:$N$743,MATCH(1,($A5=LoadFactorSeasons)*(H$1=LoadFactorHours),0),)</f>
        <v>9.4014444729061193E-5</v>
      </c>
      <c r="I5" s="8" cm="1">
        <f t="array" ref="I5">INDEX('Summarized Modified Source Data'!$N$600:$N$743,MATCH(1,($A5=LoadFactorSeasons)*(I$1=LoadFactorHours),0),)</f>
        <v>1.2686209696898158E-4</v>
      </c>
      <c r="J5" s="8" cm="1">
        <f t="array" ref="J5">INDEX('Summarized Modified Source Data'!$N$600:$N$743,MATCH(1,($A5=LoadFactorSeasons)*(J$1=LoadFactorHours),0),)</f>
        <v>1.5470824312029441E-4</v>
      </c>
      <c r="K5" s="8" cm="1">
        <f t="array" ref="K5">INDEX('Summarized Modified Source Data'!$N$600:$N$743,MATCH(1,($A5=LoadFactorSeasons)*(K$1=LoadFactorHours),0),)</f>
        <v>1.6399525351350804E-4</v>
      </c>
      <c r="L5" s="8" cm="1">
        <f t="array" ref="L5">INDEX('Summarized Modified Source Data'!$N$600:$N$743,MATCH(1,($A5=LoadFactorSeasons)*(L$1=LoadFactorHours),0),)</f>
        <v>1.6314100684645618E-4</v>
      </c>
      <c r="M5" s="8" cm="1">
        <f t="array" ref="M5">INDEX('Summarized Modified Source Data'!$N$600:$N$743,MATCH(1,($A5=LoadFactorSeasons)*(M$1=LoadFactorHours),0),)</f>
        <v>1.6278127248803561E-4</v>
      </c>
      <c r="N5" s="8" cm="1">
        <f t="array" ref="N5">INDEX('Summarized Modified Source Data'!$N$600:$N$743,MATCH(1,($A5=LoadFactorSeasons)*(N$1=LoadFactorHours),0),)</f>
        <v>1.6068781088063644E-4</v>
      </c>
      <c r="O5" s="8" cm="1">
        <f t="array" ref="O5">INDEX('Summarized Modified Source Data'!$N$600:$N$743,MATCH(1,($A5=LoadFactorSeasons)*(O$1=LoadFactorHours),0),)</f>
        <v>1.5931624541422497E-4</v>
      </c>
      <c r="P5" s="8" cm="1">
        <f t="array" ref="P5">INDEX('Summarized Modified Source Data'!$N$600:$N$743,MATCH(1,($A5=LoadFactorSeasons)*(P$1=LoadFactorHours),0),)</f>
        <v>1.5790693423215003E-4</v>
      </c>
      <c r="Q5" s="8" cm="1">
        <f t="array" ref="Q5">INDEX('Summarized Modified Source Data'!$N$600:$N$743,MATCH(1,($A5=LoadFactorSeasons)*(Q$1=LoadFactorHours),0),)</f>
        <v>1.5584897876399272E-4</v>
      </c>
      <c r="R5" s="8" cm="1">
        <f t="array" ref="R5">INDEX('Summarized Modified Source Data'!$N$600:$N$743,MATCH(1,($A5=LoadFactorSeasons)*(R$1=LoadFactorHours),0),)</f>
        <v>1.5038775116155181E-4</v>
      </c>
      <c r="S5" s="8" cm="1">
        <f t="array" ref="S5">INDEX('Summarized Modified Source Data'!$N$600:$N$743,MATCH(1,($A5=LoadFactorSeasons)*(S$1=LoadFactorHours),0),)</f>
        <v>1.4318027016691596E-4</v>
      </c>
      <c r="T5" s="8" cm="1">
        <f t="array" ref="T5">INDEX('Summarized Modified Source Data'!$N$600:$N$743,MATCH(1,($A5=LoadFactorSeasons)*(T$1=LoadFactorHours),0),)</f>
        <v>1.3694222520649473E-4</v>
      </c>
      <c r="U5" s="8" cm="1">
        <f t="array" ref="U5">INDEX('Summarized Modified Source Data'!$N$600:$N$743,MATCH(1,($A5=LoadFactorSeasons)*(U$1=LoadFactorHours),0),)</f>
        <v>1.1814888369744982E-4</v>
      </c>
      <c r="V5" s="8" cm="1">
        <f t="array" ref="V5">INDEX('Summarized Modified Source Data'!$N$600:$N$743,MATCH(1,($A5=LoadFactorSeasons)*(V$1=LoadFactorHours),0),)</f>
        <v>1.0106827986569595E-4</v>
      </c>
      <c r="W5" s="8" cm="1">
        <f t="array" ref="W5">INDEX('Summarized Modified Source Data'!$N$600:$N$743,MATCH(1,($A5=LoadFactorSeasons)*(W$1=LoadFactorHours),0),)</f>
        <v>8.4928577998760044E-5</v>
      </c>
      <c r="X5" s="8" cm="1">
        <f t="array" ref="X5">INDEX('Summarized Modified Source Data'!$N$600:$N$743,MATCH(1,($A5=LoadFactorSeasons)*(X$1=LoadFactorHours),0),)</f>
        <v>7.3793144470455174E-5</v>
      </c>
      <c r="Y5" s="8" cm="1">
        <f t="array" ref="Y5">INDEX('Summarized Modified Source Data'!$N$600:$N$743,MATCH(1,($A5=LoadFactorSeasons)*(Y$1=LoadFactorHours),0),)</f>
        <v>6.5388334008832871E-5</v>
      </c>
    </row>
    <row r="6" spans="1:25" x14ac:dyDescent="0.25">
      <c r="A6" s="8" t="s">
        <v>80</v>
      </c>
      <c r="B6" s="8" cm="1">
        <f t="array" ref="B6">INDEX('Summarized Modified Source Data'!$N$600:$N$743,MATCH(1,($A6=LoadFactorSeasons)*(B$1=LoadFactorHours),0),)</f>
        <v>6.8043004568112719E-5</v>
      </c>
      <c r="C6" s="8" cm="1">
        <f t="array" ref="C6">INDEX('Summarized Modified Source Data'!$N$600:$N$743,MATCH(1,($A6=LoadFactorSeasons)*(C$1=LoadFactorHours),0),)</f>
        <v>5.953113287837271E-5</v>
      </c>
      <c r="D6" s="8" cm="1">
        <f t="array" ref="D6">INDEX('Summarized Modified Source Data'!$N$600:$N$743,MATCH(1,($A6=LoadFactorSeasons)*(D$1=LoadFactorHours),0),)</f>
        <v>5.8791885855868464E-5</v>
      </c>
      <c r="E6" s="8" cm="1">
        <f t="array" ref="E6">INDEX('Summarized Modified Source Data'!$N$600:$N$743,MATCH(1,($A6=LoadFactorSeasons)*(E$1=LoadFactorHours),0),)</f>
        <v>5.9319452123869707E-5</v>
      </c>
      <c r="F6" s="8" cm="1">
        <f t="array" ref="F6">INDEX('Summarized Modified Source Data'!$N$600:$N$743,MATCH(1,($A6=LoadFactorSeasons)*(F$1=LoadFactorHours),0),)</f>
        <v>6.0145247887876825E-5</v>
      </c>
      <c r="G6" s="8" cm="1">
        <f t="array" ref="G6">INDEX('Summarized Modified Source Data'!$N$600:$N$743,MATCH(1,($A6=LoadFactorSeasons)*(G$1=LoadFactorHours),0),)</f>
        <v>6.7339730602471588E-5</v>
      </c>
      <c r="H6" s="8" cm="1">
        <f t="array" ref="H6">INDEX('Summarized Modified Source Data'!$N$600:$N$743,MATCH(1,($A6=LoadFactorSeasons)*(H$1=LoadFactorHours),0),)</f>
        <v>1.0115034390321793E-4</v>
      </c>
      <c r="I6" s="8" cm="1">
        <f t="array" ref="I6">INDEX('Summarized Modified Source Data'!$N$600:$N$743,MATCH(1,($A6=LoadFactorSeasons)*(I$1=LoadFactorHours),0),)</f>
        <v>1.3828276504183678E-4</v>
      </c>
      <c r="J6" s="8" cm="1">
        <f t="array" ref="J6">INDEX('Summarized Modified Source Data'!$N$600:$N$743,MATCH(1,($A6=LoadFactorSeasons)*(J$1=LoadFactorHours),0),)</f>
        <v>1.7217177008235394E-4</v>
      </c>
      <c r="K6" s="8" cm="1">
        <f t="array" ref="K6">INDEX('Summarized Modified Source Data'!$N$600:$N$743,MATCH(1,($A6=LoadFactorSeasons)*(K$1=LoadFactorHours),0),)</f>
        <v>1.8127425754513077E-4</v>
      </c>
      <c r="L6" s="8" cm="1">
        <f t="array" ref="L6">INDEX('Summarized Modified Source Data'!$N$600:$N$743,MATCH(1,($A6=LoadFactorSeasons)*(L$1=LoadFactorHours),0),)</f>
        <v>1.804662005073512E-4</v>
      </c>
      <c r="M6" s="8" cm="1">
        <f t="array" ref="M6">INDEX('Summarized Modified Source Data'!$N$600:$N$743,MATCH(1,($A6=LoadFactorSeasons)*(M$1=LoadFactorHours),0),)</f>
        <v>1.7989035613739457E-4</v>
      </c>
      <c r="N6" s="8" cm="1">
        <f t="array" ref="N6">INDEX('Summarized Modified Source Data'!$N$600:$N$743,MATCH(1,($A6=LoadFactorSeasons)*(N$1=LoadFactorHours),0),)</f>
        <v>1.7742368534078427E-4</v>
      </c>
      <c r="O6" s="8" cm="1">
        <f t="array" ref="O6">INDEX('Summarized Modified Source Data'!$N$600:$N$743,MATCH(1,($A6=LoadFactorSeasons)*(O$1=LoadFactorHours),0),)</f>
        <v>1.7684088401157707E-4</v>
      </c>
      <c r="P6" s="8" cm="1">
        <f t="array" ref="P6">INDEX('Summarized Modified Source Data'!$N$600:$N$743,MATCH(1,($A6=LoadFactorSeasons)*(P$1=LoadFactorHours),0),)</f>
        <v>1.7672858616750054E-4</v>
      </c>
      <c r="Q6" s="8" cm="1">
        <f t="array" ref="Q6">INDEX('Summarized Modified Source Data'!$N$600:$N$743,MATCH(1,($A6=LoadFactorSeasons)*(Q$1=LoadFactorHours),0),)</f>
        <v>1.7708767285687599E-4</v>
      </c>
      <c r="R6" s="8" cm="1">
        <f t="array" ref="R6">INDEX('Summarized Modified Source Data'!$N$600:$N$743,MATCH(1,($A6=LoadFactorSeasons)*(R$1=LoadFactorHours),0),)</f>
        <v>1.716723702623305E-4</v>
      </c>
      <c r="S6" s="8" cm="1">
        <f t="array" ref="S6">INDEX('Summarized Modified Source Data'!$N$600:$N$743,MATCH(1,($A6=LoadFactorSeasons)*(S$1=LoadFactorHours),0),)</f>
        <v>1.6130311757908228E-4</v>
      </c>
      <c r="T6" s="8" cm="1">
        <f t="array" ref="T6">INDEX('Summarized Modified Source Data'!$N$600:$N$743,MATCH(1,($A6=LoadFactorSeasons)*(T$1=LoadFactorHours),0),)</f>
        <v>1.5328127770801212E-4</v>
      </c>
      <c r="U6" s="8" cm="1">
        <f t="array" ref="U6">INDEX('Summarized Modified Source Data'!$N$600:$N$743,MATCH(1,($A6=LoadFactorSeasons)*(U$1=LoadFactorHours),0),)</f>
        <v>1.2817412935036695E-4</v>
      </c>
      <c r="V6" s="8" cm="1">
        <f t="array" ref="V6">INDEX('Summarized Modified Source Data'!$N$600:$N$743,MATCH(1,($A6=LoadFactorSeasons)*(V$1=LoadFactorHours),0),)</f>
        <v>1.062298562199442E-4</v>
      </c>
      <c r="W6" s="8" cm="1">
        <f t="array" ref="W6">INDEX('Summarized Modified Source Data'!$N$600:$N$743,MATCH(1,($A6=LoadFactorSeasons)*(W$1=LoadFactorHours),0),)</f>
        <v>8.6194725495177506E-5</v>
      </c>
      <c r="X6" s="8" cm="1">
        <f t="array" ref="X6">INDEX('Summarized Modified Source Data'!$N$600:$N$743,MATCH(1,($A6=LoadFactorSeasons)*(X$1=LoadFactorHours),0),)</f>
        <v>7.3438109795568318E-5</v>
      </c>
      <c r="Y6" s="8" cm="1">
        <f t="array" ref="Y6">INDEX('Summarized Modified Source Data'!$N$600:$N$743,MATCH(1,($A6=LoadFactorSeasons)*(Y$1=LoadFactorHours),0),)</f>
        <v>6.742366724424096E-5</v>
      </c>
    </row>
    <row r="7" spans="1:25" x14ac:dyDescent="0.25">
      <c r="A7" s="8" t="s">
        <v>81</v>
      </c>
      <c r="B7" s="8" cm="1">
        <f t="array" ref="B7">INDEX('Summarized Modified Source Data'!$N$600:$N$743,MATCH(1,($A7=LoadFactorSeasons)*(B$1=LoadFactorHours),0),)</f>
        <v>7.0988635425295028E-5</v>
      </c>
      <c r="C7" s="8" cm="1">
        <f t="array" ref="C7">INDEX('Summarized Modified Source Data'!$N$600:$N$743,MATCH(1,($A7=LoadFactorSeasons)*(C$1=LoadFactorHours),0),)</f>
        <v>6.1973162166475558E-5</v>
      </c>
      <c r="D7" s="8" cm="1">
        <f t="array" ref="D7">INDEX('Summarized Modified Source Data'!$N$600:$N$743,MATCH(1,($A7=LoadFactorSeasons)*(D$1=LoadFactorHours),0),)</f>
        <v>6.1153178566394773E-5</v>
      </c>
      <c r="E7" s="8" cm="1">
        <f t="array" ref="E7">INDEX('Summarized Modified Source Data'!$N$600:$N$743,MATCH(1,($A7=LoadFactorSeasons)*(E$1=LoadFactorHours),0),)</f>
        <v>6.173820903543341E-5</v>
      </c>
      <c r="F7" s="8" cm="1">
        <f t="array" ref="F7">INDEX('Summarized Modified Source Data'!$N$600:$N$743,MATCH(1,($A7=LoadFactorSeasons)*(F$1=LoadFactorHours),0),)</f>
        <v>6.2725989621619264E-5</v>
      </c>
      <c r="G7" s="8" cm="1">
        <f t="array" ref="G7">INDEX('Summarized Modified Source Data'!$N$600:$N$743,MATCH(1,($A7=LoadFactorSeasons)*(G$1=LoadFactorHours),0),)</f>
        <v>7.0642360566415584E-5</v>
      </c>
      <c r="H7" s="8" cm="1">
        <f t="array" ref="H7">INDEX('Summarized Modified Source Data'!$N$600:$N$743,MATCH(1,($A7=LoadFactorSeasons)*(H$1=LoadFactorHours),0),)</f>
        <v>1.063285516110642E-4</v>
      </c>
      <c r="I7" s="8" cm="1">
        <f t="array" ref="I7">INDEX('Summarized Modified Source Data'!$N$600:$N$743,MATCH(1,($A7=LoadFactorSeasons)*(I$1=LoadFactorHours),0),)</f>
        <v>1.4623083230283067E-4</v>
      </c>
      <c r="J7" s="8" cm="1">
        <f t="array" ref="J7">INDEX('Summarized Modified Source Data'!$N$600:$N$743,MATCH(1,($A7=LoadFactorSeasons)*(J$1=LoadFactorHours),0),)</f>
        <v>1.8132557143861385E-4</v>
      </c>
      <c r="K7" s="8" cm="1">
        <f t="array" ref="K7">INDEX('Summarized Modified Source Data'!$N$600:$N$743,MATCH(1,($A7=LoadFactorSeasons)*(K$1=LoadFactorHours),0),)</f>
        <v>1.9048961837282393E-4</v>
      </c>
      <c r="L7" s="8" cm="1">
        <f t="array" ref="L7">INDEX('Summarized Modified Source Data'!$N$600:$N$743,MATCH(1,($A7=LoadFactorSeasons)*(L$1=LoadFactorHours),0),)</f>
        <v>1.8940349695914719E-4</v>
      </c>
      <c r="M7" s="8" cm="1">
        <f t="array" ref="M7">INDEX('Summarized Modified Source Data'!$N$600:$N$743,MATCH(1,($A7=LoadFactorSeasons)*(M$1=LoadFactorHours),0),)</f>
        <v>1.8877972291643662E-4</v>
      </c>
      <c r="N7" s="8" cm="1">
        <f t="array" ref="N7">INDEX('Summarized Modified Source Data'!$N$600:$N$743,MATCH(1,($A7=LoadFactorSeasons)*(N$1=LoadFactorHours),0),)</f>
        <v>1.8577332927009066E-4</v>
      </c>
      <c r="O7" s="8" cm="1">
        <f t="array" ref="O7">INDEX('Summarized Modified Source Data'!$N$600:$N$743,MATCH(1,($A7=LoadFactorSeasons)*(O$1=LoadFactorHours),0),)</f>
        <v>1.8585368377926003E-4</v>
      </c>
      <c r="P7" s="8" cm="1">
        <f t="array" ref="P7">INDEX('Summarized Modified Source Data'!$N$600:$N$743,MATCH(1,($A7=LoadFactorSeasons)*(P$1=LoadFactorHours),0),)</f>
        <v>1.8574427853377702E-4</v>
      </c>
      <c r="Q7" s="8" cm="1">
        <f t="array" ref="Q7">INDEX('Summarized Modified Source Data'!$N$600:$N$743,MATCH(1,($A7=LoadFactorSeasons)*(Q$1=LoadFactorHours),0),)</f>
        <v>1.8573522815203193E-4</v>
      </c>
      <c r="R7" s="8" cm="1">
        <f t="array" ref="R7">INDEX('Summarized Modified Source Data'!$N$600:$N$743,MATCH(1,($A7=LoadFactorSeasons)*(R$1=LoadFactorHours),0),)</f>
        <v>1.7954863830203977E-4</v>
      </c>
      <c r="S7" s="8" cm="1">
        <f t="array" ref="S7">INDEX('Summarized Modified Source Data'!$N$600:$N$743,MATCH(1,($A7=LoadFactorSeasons)*(S$1=LoadFactorHours),0),)</f>
        <v>1.6859379356490306E-4</v>
      </c>
      <c r="T7" s="8" cm="1">
        <f t="array" ref="T7">INDEX('Summarized Modified Source Data'!$N$600:$N$743,MATCH(1,($A7=LoadFactorSeasons)*(T$1=LoadFactorHours),0),)</f>
        <v>1.6060144286106134E-4</v>
      </c>
      <c r="U7" s="8" cm="1">
        <f t="array" ref="U7">INDEX('Summarized Modified Source Data'!$N$600:$N$743,MATCH(1,($A7=LoadFactorSeasons)*(U$1=LoadFactorHours),0),)</f>
        <v>1.3450812940419616E-4</v>
      </c>
      <c r="V7" s="8" cm="1">
        <f t="array" ref="V7">INDEX('Summarized Modified Source Data'!$N$600:$N$743,MATCH(1,($A7=LoadFactorSeasons)*(V$1=LoadFactorHours),0),)</f>
        <v>1.1160300895068047E-4</v>
      </c>
      <c r="W7" s="8" cm="1">
        <f t="array" ref="W7">INDEX('Summarized Modified Source Data'!$N$600:$N$743,MATCH(1,($A7=LoadFactorSeasons)*(W$1=LoadFactorHours),0),)</f>
        <v>9.0495449133379041E-5</v>
      </c>
      <c r="X7" s="8" cm="1">
        <f t="array" ref="X7">INDEX('Summarized Modified Source Data'!$N$600:$N$743,MATCH(1,($A7=LoadFactorSeasons)*(X$1=LoadFactorHours),0),)</f>
        <v>7.7693353916967499E-5</v>
      </c>
      <c r="Y7" s="8" cm="1">
        <f t="array" ref="Y7">INDEX('Summarized Modified Source Data'!$N$600:$N$743,MATCH(1,($A7=LoadFactorSeasons)*(Y$1=LoadFactorHours),0),)</f>
        <v>7.098195750002518E-5</v>
      </c>
    </row>
    <row r="8" spans="1:25" x14ac:dyDescent="0.25">
      <c r="A8" s="8"/>
      <c r="B8" s="8"/>
      <c r="C8" s="8"/>
      <c r="D8" s="8"/>
      <c r="E8" s="8"/>
      <c r="F8" s="8"/>
      <c r="G8" s="8"/>
      <c r="H8" s="8"/>
      <c r="I8" s="8"/>
      <c r="J8" s="8"/>
      <c r="K8" s="8"/>
      <c r="L8" s="8"/>
      <c r="M8" s="8"/>
      <c r="N8" s="8"/>
      <c r="O8" s="8"/>
      <c r="P8" s="8"/>
      <c r="Q8" s="8"/>
      <c r="R8" s="8"/>
      <c r="S8" s="8"/>
      <c r="T8" s="8"/>
      <c r="U8" s="8"/>
      <c r="V8" s="8"/>
      <c r="W8" s="8"/>
      <c r="X8" s="8"/>
      <c r="Y8" s="8"/>
    </row>
    <row r="9" spans="1:25" x14ac:dyDescent="0.25">
      <c r="A9" s="8"/>
      <c r="B9" s="8"/>
      <c r="C9" s="8"/>
      <c r="D9" s="8"/>
      <c r="E9" s="8"/>
      <c r="F9" s="8"/>
      <c r="G9" s="8"/>
      <c r="H9" s="8"/>
      <c r="I9" s="8"/>
      <c r="J9" s="8"/>
      <c r="K9" s="8"/>
      <c r="L9" s="8"/>
      <c r="M9" s="8"/>
      <c r="N9" s="8"/>
      <c r="O9" s="8"/>
      <c r="P9" s="8"/>
      <c r="Q9" s="8"/>
      <c r="R9" s="8"/>
      <c r="S9" s="8"/>
      <c r="T9" s="8"/>
      <c r="U9" s="8"/>
      <c r="V9" s="8"/>
      <c r="W9" s="8"/>
      <c r="X9" s="8"/>
      <c r="Y9" s="8"/>
    </row>
    <row r="10" spans="1:25" x14ac:dyDescent="0.25">
      <c r="A10" s="8"/>
      <c r="B10" s="8"/>
      <c r="C10" s="8"/>
      <c r="D10" s="8"/>
      <c r="E10" s="8"/>
      <c r="F10" s="8"/>
      <c r="G10" s="8"/>
      <c r="H10" s="8"/>
      <c r="I10" s="8"/>
      <c r="J10" s="8"/>
      <c r="K10" s="8"/>
      <c r="L10" s="8"/>
      <c r="M10" s="8"/>
      <c r="N10" s="8"/>
      <c r="O10" s="8"/>
      <c r="P10" s="8"/>
      <c r="Q10" s="8"/>
      <c r="R10" s="8"/>
      <c r="S10" s="8"/>
      <c r="T10" s="8"/>
      <c r="U10" s="8"/>
      <c r="V10" s="8"/>
      <c r="W10" s="8"/>
      <c r="X10" s="8"/>
      <c r="Y10" s="8"/>
    </row>
    <row r="11" spans="1:25" x14ac:dyDescent="0.25">
      <c r="A11" s="8" t="s">
        <v>25</v>
      </c>
      <c r="B11" s="8" t="s">
        <v>34</v>
      </c>
      <c r="C11" s="8" t="s">
        <v>0</v>
      </c>
      <c r="D11" s="8" t="s">
        <v>1</v>
      </c>
      <c r="E11" s="8" t="s">
        <v>2</v>
      </c>
      <c r="F11" s="8" t="s">
        <v>3</v>
      </c>
      <c r="G11" s="8" t="s">
        <v>4</v>
      </c>
      <c r="H11" s="8" t="s">
        <v>5</v>
      </c>
      <c r="I11" s="8" t="s">
        <v>6</v>
      </c>
      <c r="J11" s="8" t="s">
        <v>7</v>
      </c>
      <c r="K11" s="8" t="s">
        <v>8</v>
      </c>
      <c r="L11" s="8" t="s">
        <v>9</v>
      </c>
      <c r="M11" s="8" t="s">
        <v>10</v>
      </c>
      <c r="N11" s="8" t="s">
        <v>11</v>
      </c>
      <c r="O11" s="8" t="s">
        <v>12</v>
      </c>
      <c r="P11" s="8" t="s">
        <v>13</v>
      </c>
      <c r="Q11" s="8" t="s">
        <v>14</v>
      </c>
      <c r="R11" s="8" t="s">
        <v>15</v>
      </c>
      <c r="S11" s="8" t="s">
        <v>16</v>
      </c>
      <c r="T11" s="8" t="s">
        <v>17</v>
      </c>
      <c r="U11" s="8" t="s">
        <v>18</v>
      </c>
      <c r="V11" s="8" t="s">
        <v>19</v>
      </c>
      <c r="W11" s="8" t="s">
        <v>20</v>
      </c>
      <c r="X11" s="8" t="s">
        <v>21</v>
      </c>
      <c r="Y11" s="8" t="s">
        <v>22</v>
      </c>
    </row>
    <row r="12" spans="1:25" x14ac:dyDescent="0.25">
      <c r="A12" s="8" t="s">
        <v>37</v>
      </c>
      <c r="B12" s="8">
        <v>4.5054797342951761E-5</v>
      </c>
      <c r="C12" s="8">
        <v>4.26100433035964E-5</v>
      </c>
      <c r="D12" s="8">
        <v>4.2331955028454192E-5</v>
      </c>
      <c r="E12" s="8">
        <v>4.3663829421394961E-5</v>
      </c>
      <c r="F12" s="8">
        <v>4.586138686452889E-5</v>
      </c>
      <c r="G12" s="8">
        <v>5.2275218713595056E-5</v>
      </c>
      <c r="H12" s="8">
        <v>7.3178659862642767E-5</v>
      </c>
      <c r="I12" s="8">
        <v>9.8900789287084955E-5</v>
      </c>
      <c r="J12" s="8">
        <v>1.2060889494584189E-4</v>
      </c>
      <c r="K12" s="8">
        <v>1.2763331164164564E-4</v>
      </c>
      <c r="L12" s="8">
        <v>1.2657425916211276E-4</v>
      </c>
      <c r="M12" s="8">
        <v>1.2623853886019226E-4</v>
      </c>
      <c r="N12" s="8">
        <v>1.244970093475027E-4</v>
      </c>
      <c r="O12" s="8">
        <v>1.2355468906890047E-4</v>
      </c>
      <c r="P12" s="8">
        <v>1.2238007232531962E-4</v>
      </c>
      <c r="Q12" s="8">
        <v>1.207412627388775E-4</v>
      </c>
      <c r="R12" s="8">
        <v>1.1646396488895881E-4</v>
      </c>
      <c r="S12" s="8">
        <v>1.1078057994162014E-4</v>
      </c>
      <c r="T12" s="8">
        <v>1.0625844324144759E-4</v>
      </c>
      <c r="U12" s="8">
        <v>9.1800560377175498E-5</v>
      </c>
      <c r="V12" s="8">
        <v>7.8620010311545471E-5</v>
      </c>
      <c r="W12" s="8">
        <v>6.6058867009891341E-5</v>
      </c>
      <c r="X12" s="8">
        <v>5.7556190498287103E-5</v>
      </c>
      <c r="Y12" s="8">
        <v>5.0847540268589696E-5</v>
      </c>
    </row>
    <row r="13" spans="1:25" x14ac:dyDescent="0.25">
      <c r="A13" s="8" t="s">
        <v>38</v>
      </c>
      <c r="B13" s="8">
        <v>5.7902083309798427E-5</v>
      </c>
      <c r="C13" s="8">
        <v>5.484143840194883E-5</v>
      </c>
      <c r="D13" s="8">
        <v>5.4450657385267907E-5</v>
      </c>
      <c r="E13" s="8">
        <v>5.6293099151357641E-5</v>
      </c>
      <c r="F13" s="8">
        <v>5.8906539830113094E-5</v>
      </c>
      <c r="G13" s="8">
        <v>6.7079944198943707E-5</v>
      </c>
      <c r="H13" s="8">
        <v>9.3486445052376834E-5</v>
      </c>
      <c r="I13" s="8">
        <v>1.2599151244748854E-4</v>
      </c>
      <c r="J13" s="8">
        <v>1.5367366997972296E-4</v>
      </c>
      <c r="K13" s="8">
        <v>1.6293093967024668E-4</v>
      </c>
      <c r="L13" s="8">
        <v>1.619298332408247E-4</v>
      </c>
      <c r="M13" s="8">
        <v>1.6153842744835029E-4</v>
      </c>
      <c r="N13" s="8">
        <v>1.592280472114571E-4</v>
      </c>
      <c r="O13" s="8">
        <v>1.5818615362739129E-4</v>
      </c>
      <c r="P13" s="8">
        <v>1.5666687596230027E-4</v>
      </c>
      <c r="Q13" s="8">
        <v>1.5469024709993773E-4</v>
      </c>
      <c r="R13" s="8">
        <v>1.4910592354978907E-4</v>
      </c>
      <c r="S13" s="8">
        <v>1.419865217513657E-4</v>
      </c>
      <c r="T13" s="8">
        <v>1.3605510234284714E-4</v>
      </c>
      <c r="U13" s="8">
        <v>1.1736110511983374E-4</v>
      </c>
      <c r="V13" s="8">
        <v>1.0057411078200854E-4</v>
      </c>
      <c r="W13" s="8">
        <v>8.454110149341006E-5</v>
      </c>
      <c r="X13" s="8">
        <v>7.3624497734118717E-5</v>
      </c>
      <c r="Y13" s="8">
        <v>6.5199211856697452E-5</v>
      </c>
    </row>
    <row r="14" spans="1:25" x14ac:dyDescent="0.25">
      <c r="A14" s="8" t="s">
        <v>39</v>
      </c>
      <c r="B14" s="8">
        <v>5.763840234145153E-5</v>
      </c>
      <c r="C14" s="8">
        <v>5.4516433467746029E-5</v>
      </c>
      <c r="D14" s="8">
        <v>5.4117457065680141E-5</v>
      </c>
      <c r="E14" s="8">
        <v>5.5915261361648669E-5</v>
      </c>
      <c r="F14" s="8">
        <v>5.8434959919575722E-5</v>
      </c>
      <c r="G14" s="8">
        <v>6.6451666075948972E-5</v>
      </c>
      <c r="H14" s="8">
        <v>9.2701052816874727E-5</v>
      </c>
      <c r="I14" s="8">
        <v>1.2458181392605391E-4</v>
      </c>
      <c r="J14" s="8">
        <v>1.5231366124720836E-4</v>
      </c>
      <c r="K14" s="8">
        <v>1.614210798438241E-4</v>
      </c>
      <c r="L14" s="8">
        <v>1.60527644904814E-4</v>
      </c>
      <c r="M14" s="8">
        <v>1.6027841372812861E-4</v>
      </c>
      <c r="N14" s="8">
        <v>1.5834146780661858E-4</v>
      </c>
      <c r="O14" s="8">
        <v>1.5672293040214788E-4</v>
      </c>
      <c r="P14" s="8">
        <v>1.552296097980712E-4</v>
      </c>
      <c r="Q14" s="8">
        <v>1.5336817026976067E-4</v>
      </c>
      <c r="R14" s="8">
        <v>1.4830528523645121E-4</v>
      </c>
      <c r="S14" s="8">
        <v>1.4121724459084965E-4</v>
      </c>
      <c r="T14" s="8">
        <v>1.3520765760107367E-4</v>
      </c>
      <c r="U14" s="8">
        <v>1.1642226183970728E-4</v>
      </c>
      <c r="V14" s="8">
        <v>9.9556115208668865E-5</v>
      </c>
      <c r="W14" s="8">
        <v>8.37124858647881E-5</v>
      </c>
      <c r="X14" s="8">
        <v>7.2807601280217046E-5</v>
      </c>
      <c r="Y14" s="8">
        <v>6.4637078420434004E-5</v>
      </c>
    </row>
    <row r="15" spans="1:25" x14ac:dyDescent="0.25">
      <c r="A15" s="8" t="s">
        <v>40</v>
      </c>
      <c r="B15" s="8">
        <v>8.7635301757882933E-5</v>
      </c>
      <c r="C15" s="8">
        <v>8.2983661549013081E-5</v>
      </c>
      <c r="D15" s="8">
        <v>8.2387298838617571E-5</v>
      </c>
      <c r="E15" s="8">
        <v>8.5173287991397812E-5</v>
      </c>
      <c r="F15" s="8">
        <v>8.9088828994347464E-5</v>
      </c>
      <c r="G15" s="8">
        <v>1.0145558633546843E-4</v>
      </c>
      <c r="H15" s="8">
        <v>1.4172526147190827E-4</v>
      </c>
      <c r="I15" s="8">
        <v>1.9136113877921891E-4</v>
      </c>
      <c r="J15" s="8">
        <v>2.332775292100424E-4</v>
      </c>
      <c r="K15" s="8">
        <v>2.4710482063468699E-4</v>
      </c>
      <c r="L15" s="8">
        <v>2.4566485029236656E-4</v>
      </c>
      <c r="M15" s="8">
        <v>2.4517775289189918E-4</v>
      </c>
      <c r="N15" s="8">
        <v>2.418795295207427E-4</v>
      </c>
      <c r="O15" s="8">
        <v>2.3996440952787264E-4</v>
      </c>
      <c r="P15" s="8">
        <v>2.3779956121578171E-4</v>
      </c>
      <c r="Q15" s="8">
        <v>2.3469517994262942E-4</v>
      </c>
      <c r="R15" s="8">
        <v>2.2645863763436975E-4</v>
      </c>
      <c r="S15" s="8">
        <v>2.1552633210095685E-4</v>
      </c>
      <c r="T15" s="8">
        <v>2.0633236497046953E-4</v>
      </c>
      <c r="U15" s="8">
        <v>1.7793832374101397E-4</v>
      </c>
      <c r="V15" s="8">
        <v>1.5229080231887602E-4</v>
      </c>
      <c r="W15" s="8">
        <v>1.2788585158437981E-4</v>
      </c>
      <c r="X15" s="8">
        <v>1.1125667896251308E-4</v>
      </c>
      <c r="Y15" s="8">
        <v>9.8535774463542848E-5</v>
      </c>
    </row>
    <row r="16" spans="1:25" x14ac:dyDescent="0.25">
      <c r="A16" t="s">
        <v>80</v>
      </c>
      <c r="B16">
        <v>6.8043004568112719E-5</v>
      </c>
      <c r="C16">
        <v>5.953113287837271E-5</v>
      </c>
      <c r="D16">
        <v>5.8791885855868464E-5</v>
      </c>
      <c r="E16">
        <v>5.9319452123869707E-5</v>
      </c>
      <c r="F16">
        <v>6.0145247887876825E-5</v>
      </c>
      <c r="G16">
        <v>6.7339730602471588E-5</v>
      </c>
      <c r="H16">
        <v>1.0115034390321793E-4</v>
      </c>
      <c r="I16">
        <v>1.3828276504183678E-4</v>
      </c>
      <c r="J16">
        <v>1.7217177008235394E-4</v>
      </c>
      <c r="K16">
        <v>1.8127425754513077E-4</v>
      </c>
      <c r="L16">
        <v>1.804662005073512E-4</v>
      </c>
      <c r="M16">
        <v>1.7989035613739457E-4</v>
      </c>
      <c r="N16">
        <v>1.7742368534078427E-4</v>
      </c>
      <c r="O16">
        <v>1.7684088401157707E-4</v>
      </c>
      <c r="P16">
        <v>1.7672858616750054E-4</v>
      </c>
      <c r="Q16">
        <v>1.7708767285687599E-4</v>
      </c>
      <c r="R16">
        <v>1.716723702623305E-4</v>
      </c>
      <c r="S16">
        <v>1.6130311757908228E-4</v>
      </c>
      <c r="T16">
        <v>1.5328127770801212E-4</v>
      </c>
      <c r="U16">
        <v>1.2817412935036695E-4</v>
      </c>
      <c r="V16">
        <v>1.062298562199442E-4</v>
      </c>
      <c r="W16">
        <v>8.6194725495177506E-5</v>
      </c>
      <c r="X16">
        <v>7.3438109795568318E-5</v>
      </c>
      <c r="Y16">
        <v>6.742366724424096E-5</v>
      </c>
    </row>
    <row r="17" spans="1:25" x14ac:dyDescent="0.25">
      <c r="A17" t="s">
        <v>81</v>
      </c>
      <c r="B17">
        <v>5.3323393611486806E-5</v>
      </c>
      <c r="C17">
        <v>4.6549139066368567E-5</v>
      </c>
      <c r="D17">
        <v>4.5913896569960118E-5</v>
      </c>
      <c r="E17">
        <v>4.6352264245646319E-5</v>
      </c>
      <c r="F17">
        <v>4.7110985355991497E-5</v>
      </c>
      <c r="G17">
        <v>5.3030053301370349E-5</v>
      </c>
      <c r="H17">
        <v>7.9856250765248141E-5</v>
      </c>
      <c r="I17">
        <v>1.0982475874622654E-4</v>
      </c>
      <c r="J17">
        <v>1.3619718391663898E-4</v>
      </c>
      <c r="K17">
        <v>1.4306000768615426E-4</v>
      </c>
      <c r="L17">
        <v>1.4223694495100569E-4</v>
      </c>
      <c r="M17">
        <v>1.4174892220841515E-4</v>
      </c>
      <c r="N17">
        <v>1.3951857799876201E-4</v>
      </c>
      <c r="O17">
        <v>1.3951811371449465E-4</v>
      </c>
      <c r="P17">
        <v>1.3943631911114728E-4</v>
      </c>
      <c r="Q17">
        <v>1.3944534320753791E-4</v>
      </c>
      <c r="R17">
        <v>1.3477582487344368E-4</v>
      </c>
      <c r="S17">
        <v>1.2654791277197296E-4</v>
      </c>
      <c r="T17">
        <v>1.2056903458010923E-4</v>
      </c>
      <c r="U17">
        <v>1.0102328657146022E-4</v>
      </c>
      <c r="V17">
        <v>8.3825873573458991E-5</v>
      </c>
      <c r="W17">
        <v>6.8001460979754126E-5</v>
      </c>
      <c r="X17">
        <v>5.842541207076487E-5</v>
      </c>
      <c r="Y17">
        <v>5.3367890380820145E-5</v>
      </c>
    </row>
    <row r="19" spans="1:25" x14ac:dyDescent="0.25">
      <c r="N19" s="8"/>
    </row>
    <row r="21" spans="1:25" x14ac:dyDescent="0.25">
      <c r="A21" s="8" t="s">
        <v>472</v>
      </c>
    </row>
    <row r="22" spans="1:25" x14ac:dyDescent="0.25">
      <c r="A22" s="8" t="s">
        <v>37</v>
      </c>
      <c r="B22" s="49">
        <f>(B12-B2)/B2</f>
        <v>-0.24921869970358379</v>
      </c>
      <c r="C22" s="49">
        <f t="shared" ref="C22:X27" si="0">(C12-C2)/C2</f>
        <v>-0.24892866081198683</v>
      </c>
      <c r="D22" s="49">
        <f t="shared" si="0"/>
        <v>-0.24911211516840176</v>
      </c>
      <c r="E22" s="49">
        <f t="shared" si="0"/>
        <v>-0.24944751391080514</v>
      </c>
      <c r="F22" s="49">
        <f t="shared" si="0"/>
        <v>-0.24880878838306758</v>
      </c>
      <c r="G22" s="49">
        <f t="shared" si="0"/>
        <v>-0.24922888611848482</v>
      </c>
      <c r="H22" s="49">
        <f t="shared" si="0"/>
        <v>-0.24892318283192977</v>
      </c>
      <c r="I22" s="49">
        <f t="shared" si="0"/>
        <v>-0.24897532171274406</v>
      </c>
      <c r="J22" s="49">
        <f t="shared" si="0"/>
        <v>-0.24876869803756005</v>
      </c>
      <c r="K22" s="49">
        <f t="shared" si="0"/>
        <v>-0.24868845914606785</v>
      </c>
      <c r="L22" s="49">
        <f t="shared" si="0"/>
        <v>-0.24892389448174157</v>
      </c>
      <c r="M22" s="49">
        <f t="shared" si="0"/>
        <v>-0.24913172974828918</v>
      </c>
      <c r="N22" s="49">
        <f t="shared" si="0"/>
        <v>-0.24897502471894173</v>
      </c>
      <c r="O22" s="49">
        <f t="shared" si="0"/>
        <v>-0.24913972058957823</v>
      </c>
      <c r="P22" s="49">
        <f t="shared" si="0"/>
        <v>-0.24916588598045733</v>
      </c>
      <c r="Q22" s="49">
        <f t="shared" si="0"/>
        <v>-0.24922148747814146</v>
      </c>
      <c r="R22" s="49">
        <f t="shared" si="0"/>
        <v>-0.24926536900305776</v>
      </c>
      <c r="S22" s="49">
        <f t="shared" si="0"/>
        <v>-0.24923277607510563</v>
      </c>
      <c r="T22" s="49">
        <f t="shared" si="0"/>
        <v>-0.24922547404183185</v>
      </c>
      <c r="U22" s="49">
        <f t="shared" si="0"/>
        <v>-0.24872811528472397</v>
      </c>
      <c r="V22" s="49">
        <f t="shared" si="0"/>
        <v>-0.24879210628382536</v>
      </c>
      <c r="W22" s="49">
        <f t="shared" si="0"/>
        <v>-0.24843841576080183</v>
      </c>
      <c r="X22" s="49">
        <f t="shared" si="0"/>
        <v>-0.2486152103602621</v>
      </c>
      <c r="Y22" s="49">
        <f>(Y12-Y2)/Y2</f>
        <v>-0.24890064765022088</v>
      </c>
    </row>
    <row r="23" spans="1:25" x14ac:dyDescent="0.25">
      <c r="A23" s="8" t="s">
        <v>38</v>
      </c>
      <c r="B23" s="49">
        <f t="shared" ref="B23:Q27" si="1">(B13-B3)/B3</f>
        <v>0</v>
      </c>
      <c r="C23" s="49">
        <f t="shared" si="1"/>
        <v>0</v>
      </c>
      <c r="D23" s="49">
        <f t="shared" si="1"/>
        <v>0</v>
      </c>
      <c r="E23" s="49">
        <f t="shared" si="1"/>
        <v>0</v>
      </c>
      <c r="F23" s="49">
        <f t="shared" si="1"/>
        <v>0</v>
      </c>
      <c r="G23" s="49">
        <f t="shared" si="1"/>
        <v>0</v>
      </c>
      <c r="H23" s="49">
        <f t="shared" si="1"/>
        <v>0</v>
      </c>
      <c r="I23" s="49">
        <f t="shared" si="1"/>
        <v>0</v>
      </c>
      <c r="J23" s="49">
        <f t="shared" si="1"/>
        <v>0</v>
      </c>
      <c r="K23" s="49">
        <f t="shared" si="1"/>
        <v>0</v>
      </c>
      <c r="L23" s="49">
        <f t="shared" si="1"/>
        <v>0</v>
      </c>
      <c r="M23" s="49">
        <f t="shared" si="1"/>
        <v>0</v>
      </c>
      <c r="N23" s="49">
        <f t="shared" si="1"/>
        <v>0</v>
      </c>
      <c r="O23" s="49">
        <f t="shared" si="1"/>
        <v>0</v>
      </c>
      <c r="P23" s="49">
        <f t="shared" si="1"/>
        <v>0</v>
      </c>
      <c r="Q23" s="49">
        <f t="shared" si="1"/>
        <v>0</v>
      </c>
      <c r="R23" s="49">
        <f t="shared" si="0"/>
        <v>0</v>
      </c>
      <c r="S23" s="49">
        <f t="shared" si="0"/>
        <v>0</v>
      </c>
      <c r="T23" s="49">
        <f t="shared" si="0"/>
        <v>0</v>
      </c>
      <c r="U23" s="49">
        <f t="shared" si="0"/>
        <v>0</v>
      </c>
      <c r="V23" s="49">
        <f t="shared" si="0"/>
        <v>0</v>
      </c>
      <c r="W23" s="49">
        <f t="shared" si="0"/>
        <v>0</v>
      </c>
      <c r="X23" s="49">
        <f t="shared" si="0"/>
        <v>0</v>
      </c>
      <c r="Y23" s="49">
        <f t="shared" ref="Y23:Y27" si="2">(Y13-Y3)/Y3</f>
        <v>0</v>
      </c>
    </row>
    <row r="24" spans="1:25" x14ac:dyDescent="0.25">
      <c r="A24" s="8" t="s">
        <v>39</v>
      </c>
      <c r="B24" s="49">
        <f t="shared" si="1"/>
        <v>0</v>
      </c>
      <c r="C24" s="49">
        <f t="shared" si="0"/>
        <v>0</v>
      </c>
      <c r="D24" s="49">
        <f t="shared" si="0"/>
        <v>0</v>
      </c>
      <c r="E24" s="49">
        <f t="shared" si="0"/>
        <v>0</v>
      </c>
      <c r="F24" s="49">
        <f t="shared" si="0"/>
        <v>0</v>
      </c>
      <c r="G24" s="49">
        <f t="shared" si="0"/>
        <v>0</v>
      </c>
      <c r="H24" s="49">
        <f t="shared" si="0"/>
        <v>0</v>
      </c>
      <c r="I24" s="49">
        <f t="shared" si="0"/>
        <v>0</v>
      </c>
      <c r="J24" s="49">
        <f t="shared" si="0"/>
        <v>0</v>
      </c>
      <c r="K24" s="49">
        <f t="shared" si="0"/>
        <v>0</v>
      </c>
      <c r="L24" s="49">
        <f t="shared" si="0"/>
        <v>0</v>
      </c>
      <c r="M24" s="49">
        <f t="shared" si="0"/>
        <v>0</v>
      </c>
      <c r="N24" s="49">
        <f t="shared" si="0"/>
        <v>0</v>
      </c>
      <c r="O24" s="49">
        <f t="shared" si="0"/>
        <v>0</v>
      </c>
      <c r="P24" s="49">
        <f t="shared" si="0"/>
        <v>0</v>
      </c>
      <c r="Q24" s="49">
        <f t="shared" si="0"/>
        <v>0</v>
      </c>
      <c r="R24" s="49">
        <f t="shared" si="0"/>
        <v>0</v>
      </c>
      <c r="S24" s="49">
        <f t="shared" si="0"/>
        <v>0</v>
      </c>
      <c r="T24" s="49">
        <f t="shared" si="0"/>
        <v>0</v>
      </c>
      <c r="U24" s="49">
        <f t="shared" si="0"/>
        <v>0</v>
      </c>
      <c r="V24" s="49">
        <f t="shared" si="0"/>
        <v>0</v>
      </c>
      <c r="W24" s="49">
        <f t="shared" si="0"/>
        <v>0</v>
      </c>
      <c r="X24" s="49">
        <f t="shared" si="0"/>
        <v>0</v>
      </c>
      <c r="Y24" s="49">
        <f t="shared" si="2"/>
        <v>0</v>
      </c>
    </row>
    <row r="25" spans="1:25" x14ac:dyDescent="0.25">
      <c r="A25" s="8" t="s">
        <v>40</v>
      </c>
      <c r="B25" s="49">
        <f t="shared" si="1"/>
        <v>0.50539512621875204</v>
      </c>
      <c r="C25" s="49">
        <f t="shared" si="0"/>
        <v>0.50327079048472756</v>
      </c>
      <c r="D25" s="49">
        <f t="shared" si="0"/>
        <v>0.5045179080689044</v>
      </c>
      <c r="E25" s="49">
        <f t="shared" si="0"/>
        <v>0.50414879257611966</v>
      </c>
      <c r="F25" s="49">
        <f t="shared" si="0"/>
        <v>0.50471255293955064</v>
      </c>
      <c r="G25" s="49">
        <f t="shared" si="0"/>
        <v>0.50711862843962896</v>
      </c>
      <c r="H25" s="49">
        <f t="shared" si="0"/>
        <v>0.5074838965474312</v>
      </c>
      <c r="I25" s="49">
        <f t="shared" si="0"/>
        <v>0.50841853754007915</v>
      </c>
      <c r="J25" s="49">
        <f t="shared" si="0"/>
        <v>0.50785455580835415</v>
      </c>
      <c r="K25" s="49">
        <f t="shared" si="0"/>
        <v>0.50678032040929366</v>
      </c>
      <c r="L25" s="49">
        <f t="shared" si="0"/>
        <v>0.50584365660792774</v>
      </c>
      <c r="M25" s="49">
        <f t="shared" si="0"/>
        <v>0.50617911473765942</v>
      </c>
      <c r="N25" s="49">
        <f t="shared" si="0"/>
        <v>0.50527615128454151</v>
      </c>
      <c r="O25" s="49">
        <f t="shared" si="0"/>
        <v>0.5062143154576676</v>
      </c>
      <c r="P25" s="49">
        <f t="shared" si="0"/>
        <v>0.50594755304523831</v>
      </c>
      <c r="Q25" s="49">
        <f t="shared" si="0"/>
        <v>0.50591413433665233</v>
      </c>
      <c r="R25" s="49">
        <f t="shared" si="0"/>
        <v>0.50583166438269245</v>
      </c>
      <c r="S25" s="49">
        <f t="shared" si="0"/>
        <v>0.50527954619516835</v>
      </c>
      <c r="T25" s="49">
        <f t="shared" si="0"/>
        <v>0.50671105759630841</v>
      </c>
      <c r="U25" s="49">
        <f t="shared" si="0"/>
        <v>0.50605167118353966</v>
      </c>
      <c r="V25" s="49">
        <f t="shared" si="0"/>
        <v>0.50681106397820208</v>
      </c>
      <c r="W25" s="49">
        <f t="shared" si="0"/>
        <v>0.50580469610885204</v>
      </c>
      <c r="X25" s="49">
        <f t="shared" si="0"/>
        <v>0.50768312911583968</v>
      </c>
      <c r="Y25" s="49">
        <f t="shared" si="2"/>
        <v>0.50693202322959185</v>
      </c>
    </row>
    <row r="26" spans="1:25" x14ac:dyDescent="0.25">
      <c r="A26" s="8" t="s">
        <v>80</v>
      </c>
      <c r="B26" s="49">
        <f t="shared" si="1"/>
        <v>0</v>
      </c>
      <c r="C26" s="49">
        <f t="shared" si="0"/>
        <v>0</v>
      </c>
      <c r="D26" s="49">
        <f t="shared" si="0"/>
        <v>0</v>
      </c>
      <c r="E26" s="49">
        <f t="shared" si="0"/>
        <v>0</v>
      </c>
      <c r="F26" s="49">
        <f t="shared" si="0"/>
        <v>0</v>
      </c>
      <c r="G26" s="49">
        <f t="shared" si="0"/>
        <v>0</v>
      </c>
      <c r="H26" s="49">
        <f t="shared" si="0"/>
        <v>0</v>
      </c>
      <c r="I26" s="49">
        <f t="shared" si="0"/>
        <v>0</v>
      </c>
      <c r="J26" s="49">
        <f t="shared" si="0"/>
        <v>0</v>
      </c>
      <c r="K26" s="49">
        <f t="shared" si="0"/>
        <v>0</v>
      </c>
      <c r="L26" s="49">
        <f t="shared" si="0"/>
        <v>0</v>
      </c>
      <c r="M26" s="49">
        <f t="shared" si="0"/>
        <v>0</v>
      </c>
      <c r="N26" s="49">
        <f t="shared" si="0"/>
        <v>0</v>
      </c>
      <c r="O26" s="49">
        <f t="shared" si="0"/>
        <v>0</v>
      </c>
      <c r="P26" s="49">
        <f t="shared" si="0"/>
        <v>0</v>
      </c>
      <c r="Q26" s="49">
        <f t="shared" si="0"/>
        <v>0</v>
      </c>
      <c r="R26" s="49">
        <f t="shared" si="0"/>
        <v>0</v>
      </c>
      <c r="S26" s="49">
        <f t="shared" si="0"/>
        <v>0</v>
      </c>
      <c r="T26" s="49">
        <f t="shared" si="0"/>
        <v>0</v>
      </c>
      <c r="U26" s="49">
        <f t="shared" si="0"/>
        <v>0</v>
      </c>
      <c r="V26" s="49">
        <f t="shared" si="0"/>
        <v>0</v>
      </c>
      <c r="W26" s="49">
        <f t="shared" si="0"/>
        <v>0</v>
      </c>
      <c r="X26" s="49">
        <f t="shared" si="0"/>
        <v>0</v>
      </c>
      <c r="Y26" s="49">
        <f t="shared" si="2"/>
        <v>0</v>
      </c>
    </row>
    <row r="27" spans="1:25" x14ac:dyDescent="0.25">
      <c r="A27" s="8" t="s">
        <v>81</v>
      </c>
      <c r="B27" s="49">
        <f t="shared" si="1"/>
        <v>-0.24884605413211894</v>
      </c>
      <c r="C27" s="49">
        <f t="shared" si="0"/>
        <v>-0.24888229938427495</v>
      </c>
      <c r="D27" s="49">
        <f t="shared" si="0"/>
        <v>-0.24919852661279371</v>
      </c>
      <c r="E27" s="49">
        <f t="shared" si="0"/>
        <v>-0.24921268417353401</v>
      </c>
      <c r="F27" s="49">
        <f t="shared" si="0"/>
        <v>-0.24893994275453996</v>
      </c>
      <c r="G27" s="49">
        <f t="shared" si="0"/>
        <v>-0.24931651665981253</v>
      </c>
      <c r="H27" s="49">
        <f t="shared" si="0"/>
        <v>-0.24896700316814471</v>
      </c>
      <c r="I27" s="49">
        <f t="shared" si="0"/>
        <v>-0.2489630468710626</v>
      </c>
      <c r="J27" s="49">
        <f t="shared" si="0"/>
        <v>-0.24888043734776086</v>
      </c>
      <c r="K27" s="49">
        <f t="shared" si="0"/>
        <v>-0.24898790333991339</v>
      </c>
      <c r="L27" s="49">
        <f t="shared" si="0"/>
        <v>-0.2490268277270242</v>
      </c>
      <c r="M27" s="49">
        <f t="shared" si="0"/>
        <v>-0.24913057388499113</v>
      </c>
      <c r="N27" s="49">
        <f t="shared" si="0"/>
        <v>-0.2489848863292973</v>
      </c>
      <c r="O27" s="49">
        <f t="shared" si="0"/>
        <v>-0.2493120885341101</v>
      </c>
      <c r="P27" s="49">
        <f t="shared" si="0"/>
        <v>-0.24931028717640302</v>
      </c>
      <c r="Q27" s="49">
        <f t="shared" si="0"/>
        <v>-0.24922512226169524</v>
      </c>
      <c r="R27" s="49">
        <f t="shared" si="0"/>
        <v>-0.24936314667716114</v>
      </c>
      <c r="S27" s="49">
        <f t="shared" si="0"/>
        <v>-0.24939162886054769</v>
      </c>
      <c r="T27" s="49">
        <f t="shared" si="0"/>
        <v>-0.24926555806590561</v>
      </c>
      <c r="U27" s="49">
        <f t="shared" si="0"/>
        <v>-0.24894289275344972</v>
      </c>
      <c r="V27" s="49">
        <f t="shared" si="0"/>
        <v>-0.24889235190331413</v>
      </c>
      <c r="W27" s="49">
        <f t="shared" si="0"/>
        <v>-0.24856485457596406</v>
      </c>
      <c r="X27" s="49">
        <f t="shared" si="0"/>
        <v>-0.24799987225155293</v>
      </c>
      <c r="Y27" s="49">
        <f t="shared" si="2"/>
        <v>-0.24814851181300243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CB4C7-AEAF-44C1-B07C-F31C2CAF4A8C}">
  <sheetPr codeName="Sheet20">
    <tabColor rgb="FF002060"/>
  </sheetPr>
  <dimension ref="A1:Y19"/>
  <sheetViews>
    <sheetView workbookViewId="0">
      <selection activeCell="B2" sqref="B2"/>
    </sheetView>
  </sheetViews>
  <sheetFormatPr defaultRowHeight="15" x14ac:dyDescent="0.25"/>
  <cols>
    <col min="1" max="1" width="28.42578125" customWidth="1"/>
    <col min="2" max="2" width="10.5703125" bestFit="1" customWidth="1"/>
    <col min="3" max="3" width="10.42578125" bestFit="1" customWidth="1"/>
    <col min="4" max="25" width="10.5703125" bestFit="1" customWidth="1"/>
  </cols>
  <sheetData>
    <row r="1" spans="1:25" x14ac:dyDescent="0.25">
      <c r="A1" s="6" t="s">
        <v>25</v>
      </c>
      <c r="B1" s="7" t="s">
        <v>34</v>
      </c>
      <c r="C1" s="7" t="s">
        <v>0</v>
      </c>
      <c r="D1" s="7" t="s">
        <v>1</v>
      </c>
      <c r="E1" s="7" t="s">
        <v>2</v>
      </c>
      <c r="F1" s="7" t="s">
        <v>3</v>
      </c>
      <c r="G1" s="7" t="s">
        <v>4</v>
      </c>
      <c r="H1" s="7" t="s">
        <v>5</v>
      </c>
      <c r="I1" s="7" t="s">
        <v>6</v>
      </c>
      <c r="J1" s="7" t="s">
        <v>7</v>
      </c>
      <c r="K1" s="7" t="s">
        <v>8</v>
      </c>
      <c r="L1" s="7" t="s">
        <v>9</v>
      </c>
      <c r="M1" s="7" t="s">
        <v>10</v>
      </c>
      <c r="N1" s="7" t="s">
        <v>11</v>
      </c>
      <c r="O1" s="7" t="s">
        <v>12</v>
      </c>
      <c r="P1" s="7" t="s">
        <v>13</v>
      </c>
      <c r="Q1" s="7" t="s">
        <v>14</v>
      </c>
      <c r="R1" s="7" t="s">
        <v>15</v>
      </c>
      <c r="S1" s="7" t="s">
        <v>16</v>
      </c>
      <c r="T1" s="7" t="s">
        <v>17</v>
      </c>
      <c r="U1" s="7" t="s">
        <v>18</v>
      </c>
      <c r="V1" s="7" t="s">
        <v>19</v>
      </c>
      <c r="W1" s="7" t="s">
        <v>20</v>
      </c>
      <c r="X1" s="7" t="s">
        <v>21</v>
      </c>
      <c r="Y1" s="7" t="s">
        <v>22</v>
      </c>
    </row>
    <row r="2" spans="1:25" x14ac:dyDescent="0.25">
      <c r="A2" s="8" t="s">
        <v>37</v>
      </c>
      <c r="B2" s="8" cm="1">
        <f t="array" ref="B2">INDEX('Summarized Modified Source Data'!$O$600:$O$743,MATCH(1,($A2=LoadFactorSeasons)*(B$1=LoadFactorHours),0),)</f>
        <v>0</v>
      </c>
      <c r="C2" s="8" cm="1">
        <f t="array" ref="C2">INDEX('Summarized Modified Source Data'!$O$600:$O$743,MATCH(1,($A2=LoadFactorSeasons)*(C$1=LoadFactorHours),0),)</f>
        <v>0</v>
      </c>
      <c r="D2" s="8" cm="1">
        <f t="array" ref="D2">INDEX('Summarized Modified Source Data'!$O$600:$O$743,MATCH(1,($A2=LoadFactorSeasons)*(D$1=LoadFactorHours),0),)</f>
        <v>0</v>
      </c>
      <c r="E2" s="8" cm="1">
        <f t="array" ref="E2">INDEX('Summarized Modified Source Data'!$O$600:$O$743,MATCH(1,($A2=LoadFactorSeasons)*(E$1=LoadFactorHours),0),)</f>
        <v>0</v>
      </c>
      <c r="F2" s="8" cm="1">
        <f t="array" ref="F2">INDEX('Summarized Modified Source Data'!$O$600:$O$743,MATCH(1,($A2=LoadFactorSeasons)*(F$1=LoadFactorHours),0),)</f>
        <v>0</v>
      </c>
      <c r="G2" s="8" cm="1">
        <f t="array" ref="G2">INDEX('Summarized Modified Source Data'!$O$600:$O$743,MATCH(1,($A2=LoadFactorSeasons)*(G$1=LoadFactorHours),0),)</f>
        <v>0</v>
      </c>
      <c r="H2" s="8" cm="1">
        <f t="array" ref="H2">INDEX('Summarized Modified Source Data'!$O$600:$O$743,MATCH(1,($A2=LoadFactorSeasons)*(H$1=LoadFactorHours),0),)</f>
        <v>0</v>
      </c>
      <c r="I2" s="8" cm="1">
        <f t="array" ref="I2">INDEX('Summarized Modified Source Data'!$O$600:$O$743,MATCH(1,($A2=LoadFactorSeasons)*(I$1=LoadFactorHours),0),)</f>
        <v>0</v>
      </c>
      <c r="J2" s="8" cm="1">
        <f t="array" ref="J2">INDEX('Summarized Modified Source Data'!$O$600:$O$743,MATCH(1,($A2=LoadFactorSeasons)*(J$1=LoadFactorHours),0),)</f>
        <v>0</v>
      </c>
      <c r="K2" s="8" cm="1">
        <f t="array" ref="K2">INDEX('Summarized Modified Source Data'!$O$600:$O$743,MATCH(1,($A2=LoadFactorSeasons)*(K$1=LoadFactorHours),0),)</f>
        <v>0</v>
      </c>
      <c r="L2" s="8" cm="1">
        <f t="array" ref="L2">INDEX('Summarized Modified Source Data'!$O$600:$O$743,MATCH(1,($A2=LoadFactorSeasons)*(L$1=LoadFactorHours),0),)</f>
        <v>0</v>
      </c>
      <c r="M2" s="8" cm="1">
        <f t="array" ref="M2">INDEX('Summarized Modified Source Data'!$O$600:$O$743,MATCH(1,($A2=LoadFactorSeasons)*(M$1=LoadFactorHours),0),)</f>
        <v>0</v>
      </c>
      <c r="N2" s="8" cm="1">
        <f t="array" ref="N2">INDEX('Summarized Modified Source Data'!$O$600:$O$743,MATCH(1,($A2=LoadFactorSeasons)*(N$1=LoadFactorHours),0),)</f>
        <v>0</v>
      </c>
      <c r="O2" s="8" cm="1">
        <f t="array" ref="O2">INDEX('Summarized Modified Source Data'!$O$600:$O$743,MATCH(1,($A2=LoadFactorSeasons)*(O$1=LoadFactorHours),0),)</f>
        <v>0</v>
      </c>
      <c r="P2" s="8" cm="1">
        <f t="array" ref="P2">INDEX('Summarized Modified Source Data'!$O$600:$O$743,MATCH(1,($A2=LoadFactorSeasons)*(P$1=LoadFactorHours),0),)</f>
        <v>0</v>
      </c>
      <c r="Q2" s="8" cm="1">
        <f t="array" ref="Q2">INDEX('Summarized Modified Source Data'!$O$600:$O$743,MATCH(1,($A2=LoadFactorSeasons)*(Q$1=LoadFactorHours),0),)</f>
        <v>0</v>
      </c>
      <c r="R2" s="8" cm="1">
        <f t="array" ref="R2">INDEX('Summarized Modified Source Data'!$O$600:$O$743,MATCH(1,($A2=LoadFactorSeasons)*(R$1=LoadFactorHours),0),)</f>
        <v>0</v>
      </c>
      <c r="S2" s="8" cm="1">
        <f t="array" ref="S2">INDEX('Summarized Modified Source Data'!$O$600:$O$743,MATCH(1,($A2=LoadFactorSeasons)*(S$1=LoadFactorHours),0),)</f>
        <v>0</v>
      </c>
      <c r="T2" s="8" cm="1">
        <f t="array" ref="T2">INDEX('Summarized Modified Source Data'!$O$600:$O$743,MATCH(1,($A2=LoadFactorSeasons)*(T$1=LoadFactorHours),0),)</f>
        <v>0</v>
      </c>
      <c r="U2" s="8" cm="1">
        <f t="array" ref="U2">INDEX('Summarized Modified Source Data'!$O$600:$O$743,MATCH(1,($A2=LoadFactorSeasons)*(U$1=LoadFactorHours),0),)</f>
        <v>0</v>
      </c>
      <c r="V2" s="8" cm="1">
        <f t="array" ref="V2">INDEX('Summarized Modified Source Data'!$O$600:$O$743,MATCH(1,($A2=LoadFactorSeasons)*(V$1=LoadFactorHours),0),)</f>
        <v>0</v>
      </c>
      <c r="W2" s="8" cm="1">
        <f t="array" ref="W2">INDEX('Summarized Modified Source Data'!$O$600:$O$743,MATCH(1,($A2=LoadFactorSeasons)*(W$1=LoadFactorHours),0),)</f>
        <v>0</v>
      </c>
      <c r="X2" s="8" cm="1">
        <f t="array" ref="X2">INDEX('Summarized Modified Source Data'!$O$600:$O$743,MATCH(1,($A2=LoadFactorSeasons)*(X$1=LoadFactorHours),0),)</f>
        <v>0</v>
      </c>
      <c r="Y2" s="8" cm="1">
        <f t="array" ref="Y2">INDEX('Summarized Modified Source Data'!$O$600:$O$743,MATCH(1,($A2=LoadFactorSeasons)*(Y$1=LoadFactorHours),0),)</f>
        <v>0</v>
      </c>
    </row>
    <row r="3" spans="1:25" x14ac:dyDescent="0.25">
      <c r="A3" s="8" t="s">
        <v>38</v>
      </c>
      <c r="B3" s="8" cm="1">
        <f t="array" ref="B3">INDEX('Summarized Modified Source Data'!$O$600:$O$743,MATCH(1,($A3=LoadFactorSeasons)*(B$1=LoadFactorHours),0),)</f>
        <v>0</v>
      </c>
      <c r="C3" s="8" cm="1">
        <f t="array" ref="C3">INDEX('Summarized Modified Source Data'!$O$600:$O$743,MATCH(1,($A3=LoadFactorSeasons)*(C$1=LoadFactorHours),0),)</f>
        <v>0</v>
      </c>
      <c r="D3" s="8" cm="1">
        <f t="array" ref="D3">INDEX('Summarized Modified Source Data'!$O$600:$O$743,MATCH(1,($A3=LoadFactorSeasons)*(D$1=LoadFactorHours),0),)</f>
        <v>0</v>
      </c>
      <c r="E3" s="8" cm="1">
        <f t="array" ref="E3">INDEX('Summarized Modified Source Data'!$O$600:$O$743,MATCH(1,($A3=LoadFactorSeasons)*(E$1=LoadFactorHours),0),)</f>
        <v>0</v>
      </c>
      <c r="F3" s="8" cm="1">
        <f t="array" ref="F3">INDEX('Summarized Modified Source Data'!$O$600:$O$743,MATCH(1,($A3=LoadFactorSeasons)*(F$1=LoadFactorHours),0),)</f>
        <v>0</v>
      </c>
      <c r="G3" s="8" cm="1">
        <f t="array" ref="G3">INDEX('Summarized Modified Source Data'!$O$600:$O$743,MATCH(1,($A3=LoadFactorSeasons)*(G$1=LoadFactorHours),0),)</f>
        <v>0</v>
      </c>
      <c r="H3" s="8" cm="1">
        <f t="array" ref="H3">INDEX('Summarized Modified Source Data'!$O$600:$O$743,MATCH(1,($A3=LoadFactorSeasons)*(H$1=LoadFactorHours),0),)</f>
        <v>0</v>
      </c>
      <c r="I3" s="8" cm="1">
        <f t="array" ref="I3">INDEX('Summarized Modified Source Data'!$O$600:$O$743,MATCH(1,($A3=LoadFactorSeasons)*(I$1=LoadFactorHours),0),)</f>
        <v>0</v>
      </c>
      <c r="J3" s="8" cm="1">
        <f t="array" ref="J3">INDEX('Summarized Modified Source Data'!$O$600:$O$743,MATCH(1,($A3=LoadFactorSeasons)*(J$1=LoadFactorHours),0),)</f>
        <v>0</v>
      </c>
      <c r="K3" s="8" cm="1">
        <f t="array" ref="K3">INDEX('Summarized Modified Source Data'!$O$600:$O$743,MATCH(1,($A3=LoadFactorSeasons)*(K$1=LoadFactorHours),0),)</f>
        <v>0</v>
      </c>
      <c r="L3" s="8" cm="1">
        <f t="array" ref="L3">INDEX('Summarized Modified Source Data'!$O$600:$O$743,MATCH(1,($A3=LoadFactorSeasons)*(L$1=LoadFactorHours),0),)</f>
        <v>0</v>
      </c>
      <c r="M3" s="8" cm="1">
        <f t="array" ref="M3">INDEX('Summarized Modified Source Data'!$O$600:$O$743,MATCH(1,($A3=LoadFactorSeasons)*(M$1=LoadFactorHours),0),)</f>
        <v>0</v>
      </c>
      <c r="N3" s="8" cm="1">
        <f t="array" ref="N3">INDEX('Summarized Modified Source Data'!$O$600:$O$743,MATCH(1,($A3=LoadFactorSeasons)*(N$1=LoadFactorHours),0),)</f>
        <v>0</v>
      </c>
      <c r="O3" s="8" cm="1">
        <f t="array" ref="O3">INDEX('Summarized Modified Source Data'!$O$600:$O$743,MATCH(1,($A3=LoadFactorSeasons)*(O$1=LoadFactorHours),0),)</f>
        <v>0</v>
      </c>
      <c r="P3" s="8" cm="1">
        <f t="array" ref="P3">INDEX('Summarized Modified Source Data'!$O$600:$O$743,MATCH(1,($A3=LoadFactorSeasons)*(P$1=LoadFactorHours),0),)</f>
        <v>0</v>
      </c>
      <c r="Q3" s="8" cm="1">
        <f t="array" ref="Q3">INDEX('Summarized Modified Source Data'!$O$600:$O$743,MATCH(1,($A3=LoadFactorSeasons)*(Q$1=LoadFactorHours),0),)</f>
        <v>0</v>
      </c>
      <c r="R3" s="8" cm="1">
        <f t="array" ref="R3">INDEX('Summarized Modified Source Data'!$O$600:$O$743,MATCH(1,($A3=LoadFactorSeasons)*(R$1=LoadFactorHours),0),)</f>
        <v>0</v>
      </c>
      <c r="S3" s="8" cm="1">
        <f t="array" ref="S3">INDEX('Summarized Modified Source Data'!$O$600:$O$743,MATCH(1,($A3=LoadFactorSeasons)*(S$1=LoadFactorHours),0),)</f>
        <v>0</v>
      </c>
      <c r="T3" s="8" cm="1">
        <f t="array" ref="T3">INDEX('Summarized Modified Source Data'!$O$600:$O$743,MATCH(1,($A3=LoadFactorSeasons)*(T$1=LoadFactorHours),0),)</f>
        <v>0</v>
      </c>
      <c r="U3" s="8" cm="1">
        <f t="array" ref="U3">INDEX('Summarized Modified Source Data'!$O$600:$O$743,MATCH(1,($A3=LoadFactorSeasons)*(U$1=LoadFactorHours),0),)</f>
        <v>0</v>
      </c>
      <c r="V3" s="8" cm="1">
        <f t="array" ref="V3">INDEX('Summarized Modified Source Data'!$O$600:$O$743,MATCH(1,($A3=LoadFactorSeasons)*(V$1=LoadFactorHours),0),)</f>
        <v>0</v>
      </c>
      <c r="W3" s="8" cm="1">
        <f t="array" ref="W3">INDEX('Summarized Modified Source Data'!$O$600:$O$743,MATCH(1,($A3=LoadFactorSeasons)*(W$1=LoadFactorHours),0),)</f>
        <v>0</v>
      </c>
      <c r="X3" s="8" cm="1">
        <f t="array" ref="X3">INDEX('Summarized Modified Source Data'!$O$600:$O$743,MATCH(1,($A3=LoadFactorSeasons)*(X$1=LoadFactorHours),0),)</f>
        <v>0</v>
      </c>
      <c r="Y3" s="8" cm="1">
        <f t="array" ref="Y3">INDEX('Summarized Modified Source Data'!$O$600:$O$743,MATCH(1,($A3=LoadFactorSeasons)*(Y$1=LoadFactorHours),0),)</f>
        <v>0</v>
      </c>
    </row>
    <row r="4" spans="1:25" x14ac:dyDescent="0.25">
      <c r="A4" s="8" t="s">
        <v>39</v>
      </c>
      <c r="B4" s="8" cm="1">
        <f t="array" ref="B4">INDEX('Summarized Modified Source Data'!$O$600:$O$743,MATCH(1,($A4=LoadFactorSeasons)*(B$1=LoadFactorHours),0),)</f>
        <v>0</v>
      </c>
      <c r="C4" s="8" cm="1">
        <f t="array" ref="C4">INDEX('Summarized Modified Source Data'!$O$600:$O$743,MATCH(1,($A4=LoadFactorSeasons)*(C$1=LoadFactorHours),0),)</f>
        <v>0</v>
      </c>
      <c r="D4" s="8" cm="1">
        <f t="array" ref="D4">INDEX('Summarized Modified Source Data'!$O$600:$O$743,MATCH(1,($A4=LoadFactorSeasons)*(D$1=LoadFactorHours),0),)</f>
        <v>0</v>
      </c>
      <c r="E4" s="8" cm="1">
        <f t="array" ref="E4">INDEX('Summarized Modified Source Data'!$O$600:$O$743,MATCH(1,($A4=LoadFactorSeasons)*(E$1=LoadFactorHours),0),)</f>
        <v>0</v>
      </c>
      <c r="F4" s="8" cm="1">
        <f t="array" ref="F4">INDEX('Summarized Modified Source Data'!$O$600:$O$743,MATCH(1,($A4=LoadFactorSeasons)*(F$1=LoadFactorHours),0),)</f>
        <v>0</v>
      </c>
      <c r="G4" s="8" cm="1">
        <f t="array" ref="G4">INDEX('Summarized Modified Source Data'!$O$600:$O$743,MATCH(1,($A4=LoadFactorSeasons)*(G$1=LoadFactorHours),0),)</f>
        <v>0</v>
      </c>
      <c r="H4" s="8" cm="1">
        <f t="array" ref="H4">INDEX('Summarized Modified Source Data'!$O$600:$O$743,MATCH(1,($A4=LoadFactorSeasons)*(H$1=LoadFactorHours),0),)</f>
        <v>0</v>
      </c>
      <c r="I4" s="8" cm="1">
        <f t="array" ref="I4">INDEX('Summarized Modified Source Data'!$O$600:$O$743,MATCH(1,($A4=LoadFactorSeasons)*(I$1=LoadFactorHours),0),)</f>
        <v>0</v>
      </c>
      <c r="J4" s="8" cm="1">
        <f t="array" ref="J4">INDEX('Summarized Modified Source Data'!$O$600:$O$743,MATCH(1,($A4=LoadFactorSeasons)*(J$1=LoadFactorHours),0),)</f>
        <v>0</v>
      </c>
      <c r="K4" s="8" cm="1">
        <f t="array" ref="K4">INDEX('Summarized Modified Source Data'!$O$600:$O$743,MATCH(1,($A4=LoadFactorSeasons)*(K$1=LoadFactorHours),0),)</f>
        <v>0</v>
      </c>
      <c r="L4" s="8" cm="1">
        <f t="array" ref="L4">INDEX('Summarized Modified Source Data'!$O$600:$O$743,MATCH(1,($A4=LoadFactorSeasons)*(L$1=LoadFactorHours),0),)</f>
        <v>0</v>
      </c>
      <c r="M4" s="8" cm="1">
        <f t="array" ref="M4">INDEX('Summarized Modified Source Data'!$O$600:$O$743,MATCH(1,($A4=LoadFactorSeasons)*(M$1=LoadFactorHours),0),)</f>
        <v>0</v>
      </c>
      <c r="N4" s="8" cm="1">
        <f t="array" ref="N4">INDEX('Summarized Modified Source Data'!$O$600:$O$743,MATCH(1,($A4=LoadFactorSeasons)*(N$1=LoadFactorHours),0),)</f>
        <v>0</v>
      </c>
      <c r="O4" s="8" cm="1">
        <f t="array" ref="O4">INDEX('Summarized Modified Source Data'!$O$600:$O$743,MATCH(1,($A4=LoadFactorSeasons)*(O$1=LoadFactorHours),0),)</f>
        <v>0</v>
      </c>
      <c r="P4" s="8" cm="1">
        <f t="array" ref="P4">INDEX('Summarized Modified Source Data'!$O$600:$O$743,MATCH(1,($A4=LoadFactorSeasons)*(P$1=LoadFactorHours),0),)</f>
        <v>0</v>
      </c>
      <c r="Q4" s="8" cm="1">
        <f t="array" ref="Q4">INDEX('Summarized Modified Source Data'!$O$600:$O$743,MATCH(1,($A4=LoadFactorSeasons)*(Q$1=LoadFactorHours),0),)</f>
        <v>0</v>
      </c>
      <c r="R4" s="8" cm="1">
        <f t="array" ref="R4">INDEX('Summarized Modified Source Data'!$O$600:$O$743,MATCH(1,($A4=LoadFactorSeasons)*(R$1=LoadFactorHours),0),)</f>
        <v>0</v>
      </c>
      <c r="S4" s="8" cm="1">
        <f t="array" ref="S4">INDEX('Summarized Modified Source Data'!$O$600:$O$743,MATCH(1,($A4=LoadFactorSeasons)*(S$1=LoadFactorHours),0),)</f>
        <v>0</v>
      </c>
      <c r="T4" s="8" cm="1">
        <f t="array" ref="T4">INDEX('Summarized Modified Source Data'!$O$600:$O$743,MATCH(1,($A4=LoadFactorSeasons)*(T$1=LoadFactorHours),0),)</f>
        <v>0</v>
      </c>
      <c r="U4" s="8" cm="1">
        <f t="array" ref="U4">INDEX('Summarized Modified Source Data'!$O$600:$O$743,MATCH(1,($A4=LoadFactorSeasons)*(U$1=LoadFactorHours),0),)</f>
        <v>0</v>
      </c>
      <c r="V4" s="8" cm="1">
        <f t="array" ref="V4">INDEX('Summarized Modified Source Data'!$O$600:$O$743,MATCH(1,($A4=LoadFactorSeasons)*(V$1=LoadFactorHours),0),)</f>
        <v>0</v>
      </c>
      <c r="W4" s="8" cm="1">
        <f t="array" ref="W4">INDEX('Summarized Modified Source Data'!$O$600:$O$743,MATCH(1,($A4=LoadFactorSeasons)*(W$1=LoadFactorHours),0),)</f>
        <v>0</v>
      </c>
      <c r="X4" s="8" cm="1">
        <f t="array" ref="X4">INDEX('Summarized Modified Source Data'!$O$600:$O$743,MATCH(1,($A4=LoadFactorSeasons)*(X$1=LoadFactorHours),0),)</f>
        <v>0</v>
      </c>
      <c r="Y4" s="8" cm="1">
        <f t="array" ref="Y4">INDEX('Summarized Modified Source Data'!$O$600:$O$743,MATCH(1,($A4=LoadFactorSeasons)*(Y$1=LoadFactorHours),0),)</f>
        <v>0</v>
      </c>
    </row>
    <row r="5" spans="1:25" x14ac:dyDescent="0.25">
      <c r="A5" s="8" t="s">
        <v>40</v>
      </c>
      <c r="B5" s="8" cm="1">
        <f t="array" ref="B5">INDEX('Summarized Modified Source Data'!$O$600:$O$743,MATCH(1,($A5=LoadFactorSeasons)*(B$1=LoadFactorHours),0),)</f>
        <v>0</v>
      </c>
      <c r="C5" s="8" cm="1">
        <f t="array" ref="C5">INDEX('Summarized Modified Source Data'!$O$600:$O$743,MATCH(1,($A5=LoadFactorSeasons)*(C$1=LoadFactorHours),0),)</f>
        <v>0</v>
      </c>
      <c r="D5" s="8" cm="1">
        <f t="array" ref="D5">INDEX('Summarized Modified Source Data'!$O$600:$O$743,MATCH(1,($A5=LoadFactorSeasons)*(D$1=LoadFactorHours),0),)</f>
        <v>0</v>
      </c>
      <c r="E5" s="8" cm="1">
        <f t="array" ref="E5">INDEX('Summarized Modified Source Data'!$O$600:$O$743,MATCH(1,($A5=LoadFactorSeasons)*(E$1=LoadFactorHours),0),)</f>
        <v>0</v>
      </c>
      <c r="F5" s="8" cm="1">
        <f t="array" ref="F5">INDEX('Summarized Modified Source Data'!$O$600:$O$743,MATCH(1,($A5=LoadFactorSeasons)*(F$1=LoadFactorHours),0),)</f>
        <v>0</v>
      </c>
      <c r="G5" s="8" cm="1">
        <f t="array" ref="G5">INDEX('Summarized Modified Source Data'!$O$600:$O$743,MATCH(1,($A5=LoadFactorSeasons)*(G$1=LoadFactorHours),0),)</f>
        <v>0</v>
      </c>
      <c r="H5" s="8" cm="1">
        <f t="array" ref="H5">INDEX('Summarized Modified Source Data'!$O$600:$O$743,MATCH(1,($A5=LoadFactorSeasons)*(H$1=LoadFactorHours),0),)</f>
        <v>0</v>
      </c>
      <c r="I5" s="8" cm="1">
        <f t="array" ref="I5">INDEX('Summarized Modified Source Data'!$O$600:$O$743,MATCH(1,($A5=LoadFactorSeasons)*(I$1=LoadFactorHours),0),)</f>
        <v>0</v>
      </c>
      <c r="J5" s="8" cm="1">
        <f t="array" ref="J5">INDEX('Summarized Modified Source Data'!$O$600:$O$743,MATCH(1,($A5=LoadFactorSeasons)*(J$1=LoadFactorHours),0),)</f>
        <v>0</v>
      </c>
      <c r="K5" s="8" cm="1">
        <f t="array" ref="K5">INDEX('Summarized Modified Source Data'!$O$600:$O$743,MATCH(1,($A5=LoadFactorSeasons)*(K$1=LoadFactorHours),0),)</f>
        <v>0</v>
      </c>
      <c r="L5" s="8" cm="1">
        <f t="array" ref="L5">INDEX('Summarized Modified Source Data'!$O$600:$O$743,MATCH(1,($A5=LoadFactorSeasons)*(L$1=LoadFactorHours),0),)</f>
        <v>0</v>
      </c>
      <c r="M5" s="8" cm="1">
        <f t="array" ref="M5">INDEX('Summarized Modified Source Data'!$O$600:$O$743,MATCH(1,($A5=LoadFactorSeasons)*(M$1=LoadFactorHours),0),)</f>
        <v>0</v>
      </c>
      <c r="N5" s="8" cm="1">
        <f t="array" ref="N5">INDEX('Summarized Modified Source Data'!$O$600:$O$743,MATCH(1,($A5=LoadFactorSeasons)*(N$1=LoadFactorHours),0),)</f>
        <v>0</v>
      </c>
      <c r="O5" s="8" cm="1">
        <f t="array" ref="O5">INDEX('Summarized Modified Source Data'!$O$600:$O$743,MATCH(1,($A5=LoadFactorSeasons)*(O$1=LoadFactorHours),0),)</f>
        <v>0</v>
      </c>
      <c r="P5" s="8" cm="1">
        <f t="array" ref="P5">INDEX('Summarized Modified Source Data'!$O$600:$O$743,MATCH(1,($A5=LoadFactorSeasons)*(P$1=LoadFactorHours),0),)</f>
        <v>0</v>
      </c>
      <c r="Q5" s="8" cm="1">
        <f t="array" ref="Q5">INDEX('Summarized Modified Source Data'!$O$600:$O$743,MATCH(1,($A5=LoadFactorSeasons)*(Q$1=LoadFactorHours),0),)</f>
        <v>0</v>
      </c>
      <c r="R5" s="8" cm="1">
        <f t="array" ref="R5">INDEX('Summarized Modified Source Data'!$O$600:$O$743,MATCH(1,($A5=LoadFactorSeasons)*(R$1=LoadFactorHours),0),)</f>
        <v>0</v>
      </c>
      <c r="S5" s="8" cm="1">
        <f t="array" ref="S5">INDEX('Summarized Modified Source Data'!$O$600:$O$743,MATCH(1,($A5=LoadFactorSeasons)*(S$1=LoadFactorHours),0),)</f>
        <v>0</v>
      </c>
      <c r="T5" s="8" cm="1">
        <f t="array" ref="T5">INDEX('Summarized Modified Source Data'!$O$600:$O$743,MATCH(1,($A5=LoadFactorSeasons)*(T$1=LoadFactorHours),0),)</f>
        <v>0</v>
      </c>
      <c r="U5" s="8" cm="1">
        <f t="array" ref="U5">INDEX('Summarized Modified Source Data'!$O$600:$O$743,MATCH(1,($A5=LoadFactorSeasons)*(U$1=LoadFactorHours),0),)</f>
        <v>0</v>
      </c>
      <c r="V5" s="8" cm="1">
        <f t="array" ref="V5">INDEX('Summarized Modified Source Data'!$O$600:$O$743,MATCH(1,($A5=LoadFactorSeasons)*(V$1=LoadFactorHours),0),)</f>
        <v>0</v>
      </c>
      <c r="W5" s="8" cm="1">
        <f t="array" ref="W5">INDEX('Summarized Modified Source Data'!$O$600:$O$743,MATCH(1,($A5=LoadFactorSeasons)*(W$1=LoadFactorHours),0),)</f>
        <v>0</v>
      </c>
      <c r="X5" s="8" cm="1">
        <f t="array" ref="X5">INDEX('Summarized Modified Source Data'!$O$600:$O$743,MATCH(1,($A5=LoadFactorSeasons)*(X$1=LoadFactorHours),0),)</f>
        <v>0</v>
      </c>
      <c r="Y5" s="8" cm="1">
        <f t="array" ref="Y5">INDEX('Summarized Modified Source Data'!$O$600:$O$743,MATCH(1,($A5=LoadFactorSeasons)*(Y$1=LoadFactorHours),0),)</f>
        <v>0</v>
      </c>
    </row>
    <row r="6" spans="1:25" x14ac:dyDescent="0.25">
      <c r="A6" s="8" t="s">
        <v>80</v>
      </c>
      <c r="B6" s="8" cm="1">
        <f t="array" ref="B6">INDEX('Summarized Modified Source Data'!$O$600:$O$743,MATCH(1,($A6=LoadFactorSeasons)*(B$1=LoadFactorHours),0),)</f>
        <v>0</v>
      </c>
      <c r="C6" s="8" cm="1">
        <f t="array" ref="C6">INDEX('Summarized Modified Source Data'!$O$600:$O$743,MATCH(1,($A6=LoadFactorSeasons)*(C$1=LoadFactorHours),0),)</f>
        <v>0</v>
      </c>
      <c r="D6" s="8" cm="1">
        <f t="array" ref="D6">INDEX('Summarized Modified Source Data'!$O$600:$O$743,MATCH(1,($A6=LoadFactorSeasons)*(D$1=LoadFactorHours),0),)</f>
        <v>0</v>
      </c>
      <c r="E6" s="8" cm="1">
        <f t="array" ref="E6">INDEX('Summarized Modified Source Data'!$O$600:$O$743,MATCH(1,($A6=LoadFactorSeasons)*(E$1=LoadFactorHours),0),)</f>
        <v>0</v>
      </c>
      <c r="F6" s="8" cm="1">
        <f t="array" ref="F6">INDEX('Summarized Modified Source Data'!$O$600:$O$743,MATCH(1,($A6=LoadFactorSeasons)*(F$1=LoadFactorHours),0),)</f>
        <v>0</v>
      </c>
      <c r="G6" s="8" cm="1">
        <f t="array" ref="G6">INDEX('Summarized Modified Source Data'!$O$600:$O$743,MATCH(1,($A6=LoadFactorSeasons)*(G$1=LoadFactorHours),0),)</f>
        <v>0</v>
      </c>
      <c r="H6" s="8" cm="1">
        <f t="array" ref="H6">INDEX('Summarized Modified Source Data'!$O$600:$O$743,MATCH(1,($A6=LoadFactorSeasons)*(H$1=LoadFactorHours),0),)</f>
        <v>0</v>
      </c>
      <c r="I6" s="8" cm="1">
        <f t="array" ref="I6">INDEX('Summarized Modified Source Data'!$O$600:$O$743,MATCH(1,($A6=LoadFactorSeasons)*(I$1=LoadFactorHours),0),)</f>
        <v>0</v>
      </c>
      <c r="J6" s="8" cm="1">
        <f t="array" ref="J6">INDEX('Summarized Modified Source Data'!$O$600:$O$743,MATCH(1,($A6=LoadFactorSeasons)*(J$1=LoadFactorHours),0),)</f>
        <v>0</v>
      </c>
      <c r="K6" s="8" cm="1">
        <f t="array" ref="K6">INDEX('Summarized Modified Source Data'!$O$600:$O$743,MATCH(1,($A6=LoadFactorSeasons)*(K$1=LoadFactorHours),0),)</f>
        <v>0</v>
      </c>
      <c r="L6" s="8" cm="1">
        <f t="array" ref="L6">INDEX('Summarized Modified Source Data'!$O$600:$O$743,MATCH(1,($A6=LoadFactorSeasons)*(L$1=LoadFactorHours),0),)</f>
        <v>0</v>
      </c>
      <c r="M6" s="8" cm="1">
        <f t="array" ref="M6">INDEX('Summarized Modified Source Data'!$O$600:$O$743,MATCH(1,($A6=LoadFactorSeasons)*(M$1=LoadFactorHours),0),)</f>
        <v>0</v>
      </c>
      <c r="N6" s="8" cm="1">
        <f t="array" ref="N6">INDEX('Summarized Modified Source Data'!$O$600:$O$743,MATCH(1,($A6=LoadFactorSeasons)*(N$1=LoadFactorHours),0),)</f>
        <v>0</v>
      </c>
      <c r="O6" s="8" cm="1">
        <f t="array" ref="O6">INDEX('Summarized Modified Source Data'!$O$600:$O$743,MATCH(1,($A6=LoadFactorSeasons)*(O$1=LoadFactorHours),0),)</f>
        <v>0</v>
      </c>
      <c r="P6" s="8" cm="1">
        <f t="array" ref="P6">INDEX('Summarized Modified Source Data'!$O$600:$O$743,MATCH(1,($A6=LoadFactorSeasons)*(P$1=LoadFactorHours),0),)</f>
        <v>0</v>
      </c>
      <c r="Q6" s="8" cm="1">
        <f t="array" ref="Q6">INDEX('Summarized Modified Source Data'!$O$600:$O$743,MATCH(1,($A6=LoadFactorSeasons)*(Q$1=LoadFactorHours),0),)</f>
        <v>0</v>
      </c>
      <c r="R6" s="8" cm="1">
        <f t="array" ref="R6">INDEX('Summarized Modified Source Data'!$O$600:$O$743,MATCH(1,($A6=LoadFactorSeasons)*(R$1=LoadFactorHours),0),)</f>
        <v>0</v>
      </c>
      <c r="S6" s="8" cm="1">
        <f t="array" ref="S6">INDEX('Summarized Modified Source Data'!$O$600:$O$743,MATCH(1,($A6=LoadFactorSeasons)*(S$1=LoadFactorHours),0),)</f>
        <v>0</v>
      </c>
      <c r="T6" s="8" cm="1">
        <f t="array" ref="T6">INDEX('Summarized Modified Source Data'!$O$600:$O$743,MATCH(1,($A6=LoadFactorSeasons)*(T$1=LoadFactorHours),0),)</f>
        <v>0</v>
      </c>
      <c r="U6" s="8" cm="1">
        <f t="array" ref="U6">INDEX('Summarized Modified Source Data'!$O$600:$O$743,MATCH(1,($A6=LoadFactorSeasons)*(U$1=LoadFactorHours),0),)</f>
        <v>0</v>
      </c>
      <c r="V6" s="8" cm="1">
        <f t="array" ref="V6">INDEX('Summarized Modified Source Data'!$O$600:$O$743,MATCH(1,($A6=LoadFactorSeasons)*(V$1=LoadFactorHours),0),)</f>
        <v>0</v>
      </c>
      <c r="W6" s="8" cm="1">
        <f t="array" ref="W6">INDEX('Summarized Modified Source Data'!$O$600:$O$743,MATCH(1,($A6=LoadFactorSeasons)*(W$1=LoadFactorHours),0),)</f>
        <v>0</v>
      </c>
      <c r="X6" s="8" cm="1">
        <f t="array" ref="X6">INDEX('Summarized Modified Source Data'!$O$600:$O$743,MATCH(1,($A6=LoadFactorSeasons)*(X$1=LoadFactorHours),0),)</f>
        <v>0</v>
      </c>
      <c r="Y6" s="8" cm="1">
        <f t="array" ref="Y6">INDEX('Summarized Modified Source Data'!$O$600:$O$743,MATCH(1,($A6=LoadFactorSeasons)*(Y$1=LoadFactorHours),0),)</f>
        <v>0</v>
      </c>
    </row>
    <row r="7" spans="1:25" x14ac:dyDescent="0.25">
      <c r="A7" s="8" t="s">
        <v>81</v>
      </c>
      <c r="B7" s="8" cm="1">
        <f t="array" ref="B7">INDEX('Summarized Modified Source Data'!$O$600:$O$743,MATCH(1,($A7=LoadFactorSeasons)*(B$1=LoadFactorHours),0),)</f>
        <v>0</v>
      </c>
      <c r="C7" s="8" cm="1">
        <f t="array" ref="C7">INDEX('Summarized Modified Source Data'!$O$600:$O$743,MATCH(1,($A7=LoadFactorSeasons)*(C$1=LoadFactorHours),0),)</f>
        <v>0</v>
      </c>
      <c r="D7" s="8" cm="1">
        <f t="array" ref="D7">INDEX('Summarized Modified Source Data'!$O$600:$O$743,MATCH(1,($A7=LoadFactorSeasons)*(D$1=LoadFactorHours),0),)</f>
        <v>0</v>
      </c>
      <c r="E7" s="8" cm="1">
        <f t="array" ref="E7">INDEX('Summarized Modified Source Data'!$O$600:$O$743,MATCH(1,($A7=LoadFactorSeasons)*(E$1=LoadFactorHours),0),)</f>
        <v>0</v>
      </c>
      <c r="F7" s="8" cm="1">
        <f t="array" ref="F7">INDEX('Summarized Modified Source Data'!$O$600:$O$743,MATCH(1,($A7=LoadFactorSeasons)*(F$1=LoadFactorHours),0),)</f>
        <v>0</v>
      </c>
      <c r="G7" s="8" cm="1">
        <f t="array" ref="G7">INDEX('Summarized Modified Source Data'!$O$600:$O$743,MATCH(1,($A7=LoadFactorSeasons)*(G$1=LoadFactorHours),0),)</f>
        <v>0</v>
      </c>
      <c r="H7" s="8" cm="1">
        <f t="array" ref="H7">INDEX('Summarized Modified Source Data'!$O$600:$O$743,MATCH(1,($A7=LoadFactorSeasons)*(H$1=LoadFactorHours),0),)</f>
        <v>0</v>
      </c>
      <c r="I7" s="8" cm="1">
        <f t="array" ref="I7">INDEX('Summarized Modified Source Data'!$O$600:$O$743,MATCH(1,($A7=LoadFactorSeasons)*(I$1=LoadFactorHours),0),)</f>
        <v>0</v>
      </c>
      <c r="J7" s="8" cm="1">
        <f t="array" ref="J7">INDEX('Summarized Modified Source Data'!$O$600:$O$743,MATCH(1,($A7=LoadFactorSeasons)*(J$1=LoadFactorHours),0),)</f>
        <v>0</v>
      </c>
      <c r="K7" s="8" cm="1">
        <f t="array" ref="K7">INDEX('Summarized Modified Source Data'!$O$600:$O$743,MATCH(1,($A7=LoadFactorSeasons)*(K$1=LoadFactorHours),0),)</f>
        <v>0</v>
      </c>
      <c r="L7" s="8" cm="1">
        <f t="array" ref="L7">INDEX('Summarized Modified Source Data'!$O$600:$O$743,MATCH(1,($A7=LoadFactorSeasons)*(L$1=LoadFactorHours),0),)</f>
        <v>0</v>
      </c>
      <c r="M7" s="8" cm="1">
        <f t="array" ref="M7">INDEX('Summarized Modified Source Data'!$O$600:$O$743,MATCH(1,($A7=LoadFactorSeasons)*(M$1=LoadFactorHours),0),)</f>
        <v>0</v>
      </c>
      <c r="N7" s="8" cm="1">
        <f t="array" ref="N7">INDEX('Summarized Modified Source Data'!$O$600:$O$743,MATCH(1,($A7=LoadFactorSeasons)*(N$1=LoadFactorHours),0),)</f>
        <v>0</v>
      </c>
      <c r="O7" s="8" cm="1">
        <f t="array" ref="O7">INDEX('Summarized Modified Source Data'!$O$600:$O$743,MATCH(1,($A7=LoadFactorSeasons)*(O$1=LoadFactorHours),0),)</f>
        <v>0</v>
      </c>
      <c r="P7" s="8" cm="1">
        <f t="array" ref="P7">INDEX('Summarized Modified Source Data'!$O$600:$O$743,MATCH(1,($A7=LoadFactorSeasons)*(P$1=LoadFactorHours),0),)</f>
        <v>0</v>
      </c>
      <c r="Q7" s="8" cm="1">
        <f t="array" ref="Q7">INDEX('Summarized Modified Source Data'!$O$600:$O$743,MATCH(1,($A7=LoadFactorSeasons)*(Q$1=LoadFactorHours),0),)</f>
        <v>0</v>
      </c>
      <c r="R7" s="8" cm="1">
        <f t="array" ref="R7">INDEX('Summarized Modified Source Data'!$O$600:$O$743,MATCH(1,($A7=LoadFactorSeasons)*(R$1=LoadFactorHours),0),)</f>
        <v>0</v>
      </c>
      <c r="S7" s="8" cm="1">
        <f t="array" ref="S7">INDEX('Summarized Modified Source Data'!$O$600:$O$743,MATCH(1,($A7=LoadFactorSeasons)*(S$1=LoadFactorHours),0),)</f>
        <v>0</v>
      </c>
      <c r="T7" s="8" cm="1">
        <f t="array" ref="T7">INDEX('Summarized Modified Source Data'!$O$600:$O$743,MATCH(1,($A7=LoadFactorSeasons)*(T$1=LoadFactorHours),0),)</f>
        <v>0</v>
      </c>
      <c r="U7" s="8" cm="1">
        <f t="array" ref="U7">INDEX('Summarized Modified Source Data'!$O$600:$O$743,MATCH(1,($A7=LoadFactorSeasons)*(U$1=LoadFactorHours),0),)</f>
        <v>0</v>
      </c>
      <c r="V7" s="8" cm="1">
        <f t="array" ref="V7">INDEX('Summarized Modified Source Data'!$O$600:$O$743,MATCH(1,($A7=LoadFactorSeasons)*(V$1=LoadFactorHours),0),)</f>
        <v>0</v>
      </c>
      <c r="W7" s="8" cm="1">
        <f t="array" ref="W7">INDEX('Summarized Modified Source Data'!$O$600:$O$743,MATCH(1,($A7=LoadFactorSeasons)*(W$1=LoadFactorHours),0),)</f>
        <v>0</v>
      </c>
      <c r="X7" s="8" cm="1">
        <f t="array" ref="X7">INDEX('Summarized Modified Source Data'!$O$600:$O$743,MATCH(1,($A7=LoadFactorSeasons)*(X$1=LoadFactorHours),0),)</f>
        <v>0</v>
      </c>
      <c r="Y7" s="8" cm="1">
        <f t="array" ref="Y7">INDEX('Summarized Modified Source Data'!$O$600:$O$743,MATCH(1,($A7=LoadFactorSeasons)*(Y$1=LoadFactorHours),0),)</f>
        <v>0</v>
      </c>
    </row>
    <row r="8" spans="1:25" x14ac:dyDescent="0.25">
      <c r="A8" s="8"/>
      <c r="B8" s="8"/>
      <c r="C8" s="8"/>
      <c r="D8" s="8"/>
      <c r="E8" s="8"/>
      <c r="F8" s="8"/>
      <c r="G8" s="8"/>
      <c r="H8" s="8"/>
      <c r="I8" s="8"/>
      <c r="J8" s="8"/>
      <c r="K8" s="8"/>
      <c r="L8" s="8"/>
      <c r="M8" s="8"/>
      <c r="N8" s="8"/>
      <c r="O8" s="8"/>
      <c r="P8" s="8"/>
      <c r="Q8" s="8"/>
      <c r="R8" s="8"/>
      <c r="S8" s="8"/>
      <c r="T8" s="8"/>
      <c r="U8" s="8"/>
      <c r="V8" s="8"/>
      <c r="W8" s="8"/>
      <c r="X8" s="8"/>
      <c r="Y8" s="8"/>
    </row>
    <row r="9" spans="1:25" x14ac:dyDescent="0.25">
      <c r="A9" s="8"/>
      <c r="B9" s="8"/>
      <c r="C9" s="8"/>
      <c r="D9" s="8"/>
      <c r="E9" s="8"/>
      <c r="F9" s="8"/>
      <c r="G9" s="8"/>
      <c r="H9" s="8"/>
      <c r="I9" s="8"/>
      <c r="J9" s="8"/>
      <c r="K9" s="8"/>
      <c r="L9" s="8"/>
      <c r="M9" s="8"/>
      <c r="N9" s="8"/>
      <c r="O9" s="8"/>
      <c r="P9" s="8"/>
      <c r="Q9" s="8"/>
      <c r="R9" s="8"/>
      <c r="S9" s="8"/>
      <c r="T9" s="8"/>
      <c r="U9" s="8"/>
      <c r="V9" s="8"/>
      <c r="W9" s="8"/>
      <c r="X9" s="8"/>
      <c r="Y9" s="8"/>
    </row>
    <row r="10" spans="1:25" x14ac:dyDescent="0.25">
      <c r="A10" s="8"/>
      <c r="B10" s="8"/>
      <c r="C10" s="8"/>
      <c r="D10" s="8"/>
      <c r="E10" s="8"/>
      <c r="F10" s="8"/>
      <c r="G10" s="8"/>
      <c r="H10" s="8"/>
      <c r="I10" s="8"/>
      <c r="J10" s="8"/>
      <c r="K10" s="8"/>
      <c r="L10" s="8"/>
      <c r="M10" s="8"/>
      <c r="N10" s="8"/>
      <c r="O10" s="8"/>
      <c r="P10" s="8"/>
      <c r="Q10" s="8"/>
      <c r="R10" s="8"/>
      <c r="S10" s="8"/>
      <c r="T10" s="8"/>
      <c r="U10" s="8"/>
      <c r="V10" s="8"/>
      <c r="W10" s="8"/>
      <c r="X10" s="8"/>
      <c r="Y10" s="8"/>
    </row>
    <row r="11" spans="1:25" x14ac:dyDescent="0.25">
      <c r="A11" s="8"/>
      <c r="B11" s="8"/>
      <c r="C11" s="8"/>
      <c r="D11" s="8"/>
      <c r="E11" s="8"/>
      <c r="F11" s="8"/>
      <c r="G11" s="8"/>
      <c r="H11" s="8"/>
      <c r="I11" s="8"/>
      <c r="J11" s="8"/>
      <c r="K11" s="8"/>
      <c r="L11" s="8"/>
      <c r="M11" s="8"/>
      <c r="N11" s="8"/>
      <c r="O11" s="8"/>
      <c r="P11" s="8"/>
      <c r="Q11" s="8"/>
      <c r="R11" s="8"/>
      <c r="S11" s="8"/>
      <c r="T11" s="8"/>
      <c r="U11" s="8"/>
      <c r="V11" s="8"/>
      <c r="W11" s="8"/>
      <c r="X11" s="8"/>
      <c r="Y11" s="8"/>
    </row>
    <row r="12" spans="1:25" x14ac:dyDescent="0.25">
      <c r="A12" s="8"/>
      <c r="B12" s="8"/>
      <c r="C12" s="8"/>
      <c r="D12" s="8"/>
      <c r="E12" s="8"/>
      <c r="F12" s="8"/>
      <c r="G12" s="8"/>
      <c r="H12" s="8"/>
      <c r="I12" s="8"/>
      <c r="J12" s="8"/>
      <c r="K12" s="8"/>
      <c r="L12" s="8"/>
      <c r="M12" s="8"/>
      <c r="N12" s="8"/>
      <c r="O12" s="8"/>
      <c r="P12" s="8"/>
      <c r="Q12" s="8"/>
      <c r="R12" s="8"/>
      <c r="S12" s="8"/>
      <c r="T12" s="8"/>
      <c r="U12" s="8"/>
      <c r="V12" s="8"/>
      <c r="W12" s="8"/>
      <c r="X12" s="8"/>
      <c r="Y12" s="8"/>
    </row>
    <row r="13" spans="1:25" x14ac:dyDescent="0.25">
      <c r="A13" s="8"/>
      <c r="B13" s="8"/>
      <c r="C13" s="8"/>
      <c r="D13" s="8"/>
      <c r="E13" s="8"/>
      <c r="F13" s="8"/>
      <c r="G13" s="8"/>
      <c r="H13" s="8"/>
      <c r="I13" s="8"/>
      <c r="J13" s="8"/>
      <c r="K13" s="8"/>
      <c r="L13" s="8"/>
      <c r="M13" s="8"/>
      <c r="N13" s="8"/>
      <c r="O13" s="8"/>
      <c r="P13" s="8"/>
      <c r="Q13" s="8"/>
      <c r="R13" s="8"/>
      <c r="S13" s="8"/>
      <c r="T13" s="8"/>
      <c r="U13" s="8"/>
      <c r="V13" s="8"/>
      <c r="W13" s="8"/>
      <c r="X13" s="8"/>
      <c r="Y13" s="8"/>
    </row>
    <row r="14" spans="1:25" x14ac:dyDescent="0.25">
      <c r="A14" s="8"/>
      <c r="B14" s="8"/>
      <c r="C14" s="8"/>
      <c r="D14" s="8"/>
      <c r="E14" s="8"/>
      <c r="F14" s="8"/>
      <c r="G14" s="8"/>
      <c r="H14" s="8"/>
      <c r="I14" s="8"/>
      <c r="J14" s="8"/>
      <c r="K14" s="8"/>
      <c r="L14" s="8"/>
      <c r="M14" s="8"/>
      <c r="N14" s="8"/>
      <c r="O14" s="8"/>
      <c r="P14" s="8"/>
      <c r="Q14" s="8"/>
      <c r="R14" s="8"/>
      <c r="S14" s="8"/>
      <c r="T14" s="8"/>
      <c r="U14" s="8"/>
      <c r="V14" s="8"/>
      <c r="W14" s="8"/>
      <c r="X14" s="8"/>
      <c r="Y14" s="8"/>
    </row>
    <row r="15" spans="1:25" x14ac:dyDescent="0.25">
      <c r="A15" s="8"/>
      <c r="B15" s="8"/>
      <c r="C15" s="8"/>
      <c r="D15" s="8"/>
      <c r="E15" s="8"/>
      <c r="F15" s="8"/>
      <c r="G15" s="8"/>
      <c r="H15" s="8"/>
      <c r="I15" s="8"/>
      <c r="J15" s="8"/>
      <c r="K15" s="8"/>
      <c r="L15" s="8"/>
      <c r="M15" s="8"/>
      <c r="N15" s="8"/>
      <c r="O15" s="8"/>
      <c r="P15" s="8"/>
      <c r="Q15" s="8"/>
      <c r="R15" s="8"/>
      <c r="S15" s="8"/>
      <c r="T15" s="8"/>
      <c r="U15" s="8"/>
      <c r="V15" s="8"/>
      <c r="W15" s="8"/>
      <c r="X15" s="8"/>
      <c r="Y15" s="8"/>
    </row>
    <row r="19" spans="14:14" x14ac:dyDescent="0.25">
      <c r="N19" s="8"/>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93DC2-C1AE-4985-90F8-3D04658CF446}">
  <sheetPr codeName="Sheet21">
    <tabColor rgb="FF002060"/>
  </sheetPr>
  <dimension ref="A1:Y27"/>
  <sheetViews>
    <sheetView workbookViewId="0">
      <selection activeCell="A21" sqref="A21:XFD29"/>
    </sheetView>
  </sheetViews>
  <sheetFormatPr defaultRowHeight="15" x14ac:dyDescent="0.25"/>
  <cols>
    <col min="1" max="1" width="28.42578125" customWidth="1"/>
    <col min="2" max="2" width="10.5703125" bestFit="1" customWidth="1"/>
    <col min="3" max="25" width="10.42578125" bestFit="1" customWidth="1"/>
  </cols>
  <sheetData>
    <row r="1" spans="1:25" x14ac:dyDescent="0.25">
      <c r="A1" s="6" t="s">
        <v>25</v>
      </c>
      <c r="B1" s="7" t="s">
        <v>34</v>
      </c>
      <c r="C1" s="7" t="s">
        <v>0</v>
      </c>
      <c r="D1" s="7" t="s">
        <v>1</v>
      </c>
      <c r="E1" s="7" t="s">
        <v>2</v>
      </c>
      <c r="F1" s="7" t="s">
        <v>3</v>
      </c>
      <c r="G1" s="7" t="s">
        <v>4</v>
      </c>
      <c r="H1" s="7" t="s">
        <v>5</v>
      </c>
      <c r="I1" s="7" t="s">
        <v>6</v>
      </c>
      <c r="J1" s="7" t="s">
        <v>7</v>
      </c>
      <c r="K1" s="7" t="s">
        <v>8</v>
      </c>
      <c r="L1" s="7" t="s">
        <v>9</v>
      </c>
      <c r="M1" s="7" t="s">
        <v>10</v>
      </c>
      <c r="N1" s="7" t="s">
        <v>11</v>
      </c>
      <c r="O1" s="7" t="s">
        <v>12</v>
      </c>
      <c r="P1" s="7" t="s">
        <v>13</v>
      </c>
      <c r="Q1" s="7" t="s">
        <v>14</v>
      </c>
      <c r="R1" s="7" t="s">
        <v>15</v>
      </c>
      <c r="S1" s="7" t="s">
        <v>16</v>
      </c>
      <c r="T1" s="7" t="s">
        <v>17</v>
      </c>
      <c r="U1" s="7" t="s">
        <v>18</v>
      </c>
      <c r="V1" s="7" t="s">
        <v>19</v>
      </c>
      <c r="W1" s="7" t="s">
        <v>20</v>
      </c>
      <c r="X1" s="7" t="s">
        <v>21</v>
      </c>
      <c r="Y1" s="7" t="s">
        <v>22</v>
      </c>
    </row>
    <row r="2" spans="1:25" x14ac:dyDescent="0.25">
      <c r="A2" s="8" t="s">
        <v>37</v>
      </c>
      <c r="B2" s="8" cm="1">
        <f t="array" ref="B2">INDEX('Summarized Modified Source Data'!$P$600:$P$743,MATCH(1,($A2=LoadFactorSeasons)*(B$1=LoadFactorHours),0),)</f>
        <v>5.8803907984311577E-5</v>
      </c>
      <c r="C2" s="8" cm="1">
        <f t="array" ref="C2">INDEX('Summarized Modified Source Data'!$P$600:$P$743,MATCH(1,($A2=LoadFactorSeasons)*(C$1=LoadFactorHours),0),)</f>
        <v>5.7301062258727842E-5</v>
      </c>
      <c r="D2" s="8" cm="1">
        <f t="array" ref="D2">INDEX('Summarized Modified Source Data'!$P$600:$P$743,MATCH(1,($A2=LoadFactorSeasons)*(D$1=LoadFactorHours),0),)</f>
        <v>5.6899438508207656E-5</v>
      </c>
      <c r="E2" s="8" cm="1">
        <f t="array" ref="E2">INDEX('Summarized Modified Source Data'!$P$600:$P$743,MATCH(1,($A2=LoadFactorSeasons)*(E$1=LoadFactorHours),0),)</f>
        <v>5.7021995638270019E-5</v>
      </c>
      <c r="F2" s="8" cm="1">
        <f t="array" ref="F2">INDEX('Summarized Modified Source Data'!$P$600:$P$743,MATCH(1,($A2=LoadFactorSeasons)*(F$1=LoadFactorHours),0),)</f>
        <v>5.6798953278346113E-5</v>
      </c>
      <c r="G2" s="8" cm="1">
        <f t="array" ref="G2">INDEX('Summarized Modified Source Data'!$P$600:$P$743,MATCH(1,($A2=LoadFactorSeasons)*(G$1=LoadFactorHours),0),)</f>
        <v>5.7951256646403831E-5</v>
      </c>
      <c r="H2" s="8" cm="1">
        <f t="array" ref="H2">INDEX('Summarized Modified Source Data'!$P$600:$P$743,MATCH(1,($A2=LoadFactorSeasons)*(H$1=LoadFactorHours),0),)</f>
        <v>8.1773971353249115E-5</v>
      </c>
      <c r="I2" s="8" cm="1">
        <f t="array" ref="I2">INDEX('Summarized Modified Source Data'!$P$600:$P$743,MATCH(1,($A2=LoadFactorSeasons)*(I$1=LoadFactorHours),0),)</f>
        <v>1.5209513901515942E-4</v>
      </c>
      <c r="J2" s="8" cm="1">
        <f t="array" ref="J2">INDEX('Summarized Modified Source Data'!$P$600:$P$743,MATCH(1,($A2=LoadFactorSeasons)*(J$1=LoadFactorHours),0),)</f>
        <v>1.6892395027049562E-4</v>
      </c>
      <c r="K2" s="8" cm="1">
        <f t="array" ref="K2">INDEX('Summarized Modified Source Data'!$P$600:$P$743,MATCH(1,($A2=LoadFactorSeasons)*(K$1=LoadFactorHours),0),)</f>
        <v>1.5924331839998855E-4</v>
      </c>
      <c r="L2" s="8" cm="1">
        <f t="array" ref="L2">INDEX('Summarized Modified Source Data'!$P$600:$P$743,MATCH(1,($A2=LoadFactorSeasons)*(L$1=LoadFactorHours),0),)</f>
        <v>1.3882524015486542E-4</v>
      </c>
      <c r="M2" s="8" cm="1">
        <f t="array" ref="M2">INDEX('Summarized Modified Source Data'!$P$600:$P$743,MATCH(1,($A2=LoadFactorSeasons)*(M$1=LoadFactorHours),0),)</f>
        <v>1.4078571860625384E-4</v>
      </c>
      <c r="N2" s="8" cm="1">
        <f t="array" ref="N2">INDEX('Summarized Modified Source Data'!$P$600:$P$743,MATCH(1,($A2=LoadFactorSeasons)*(N$1=LoadFactorHours),0),)</f>
        <v>1.4128123391215556E-4</v>
      </c>
      <c r="O2" s="8" cm="1">
        <f t="array" ref="O2">INDEX('Summarized Modified Source Data'!$P$600:$P$743,MATCH(1,($A2=LoadFactorSeasons)*(O$1=LoadFactorHours),0),)</f>
        <v>1.3849593474078917E-4</v>
      </c>
      <c r="P2" s="8" cm="1">
        <f t="array" ref="P2">INDEX('Summarized Modified Source Data'!$P$600:$P$743,MATCH(1,($A2=LoadFactorSeasons)*(P$1=LoadFactorHours),0),)</f>
        <v>1.3700359571354378E-4</v>
      </c>
      <c r="Q2" s="8" cm="1">
        <f t="array" ref="Q2">INDEX('Summarized Modified Source Data'!$P$600:$P$743,MATCH(1,($A2=LoadFactorSeasons)*(Q$1=LoadFactorHours),0),)</f>
        <v>1.5396717510259396E-4</v>
      </c>
      <c r="R2" s="8" cm="1">
        <f t="array" ref="R2">INDEX('Summarized Modified Source Data'!$P$600:$P$743,MATCH(1,($A2=LoadFactorSeasons)*(R$1=LoadFactorHours),0),)</f>
        <v>1.771742935838855E-4</v>
      </c>
      <c r="S2" s="8" cm="1">
        <f t="array" ref="S2">INDEX('Summarized Modified Source Data'!$P$600:$P$743,MATCH(1,($A2=LoadFactorSeasons)*(S$1=LoadFactorHours),0),)</f>
        <v>1.8409740722389529E-4</v>
      </c>
      <c r="T2" s="8" cm="1">
        <f t="array" ref="T2">INDEX('Summarized Modified Source Data'!$P$600:$P$743,MATCH(1,($A2=LoadFactorSeasons)*(T$1=LoadFactorHours),0),)</f>
        <v>1.7289340726976628E-4</v>
      </c>
      <c r="U2" s="8" cm="1">
        <f t="array" ref="U2">INDEX('Summarized Modified Source Data'!$P$600:$P$743,MATCH(1,($A2=LoadFactorSeasons)*(U$1=LoadFactorHours),0),)</f>
        <v>1.489362587940387E-4</v>
      </c>
      <c r="V2" s="8" cm="1">
        <f t="array" ref="V2">INDEX('Summarized Modified Source Data'!$P$600:$P$743,MATCH(1,($A2=LoadFactorSeasons)*(V$1=LoadFactorHours),0),)</f>
        <v>1.391420900012989E-4</v>
      </c>
      <c r="W2" s="8" cm="1">
        <f t="array" ref="W2">INDEX('Summarized Modified Source Data'!$P$600:$P$743,MATCH(1,($A2=LoadFactorSeasons)*(W$1=LoadFactorHours),0),)</f>
        <v>1.3222596554159858E-4</v>
      </c>
      <c r="X2" s="8" cm="1">
        <f t="array" ref="X2">INDEX('Summarized Modified Source Data'!$P$600:$P$743,MATCH(1,($A2=LoadFactorSeasons)*(X$1=LoadFactorHours),0),)</f>
        <v>1.2691231224206214E-4</v>
      </c>
      <c r="Y2" s="8" cm="1">
        <f t="array" ref="Y2">INDEX('Summarized Modified Source Data'!$P$600:$P$743,MATCH(1,($A2=LoadFactorSeasons)*(Y$1=LoadFactorHours),0),)</f>
        <v>8.5319885554293267E-5</v>
      </c>
    </row>
    <row r="3" spans="1:25" x14ac:dyDescent="0.25">
      <c r="A3" s="8" t="s">
        <v>38</v>
      </c>
      <c r="B3" s="8" cm="1">
        <f t="array" ref="B3">INDEX('Summarized Modified Source Data'!$P$600:$P$743,MATCH(1,($A3=LoadFactorSeasons)*(B$1=LoadFactorHours),0),)</f>
        <v>5.385322511310932E-5</v>
      </c>
      <c r="C3" s="8" cm="1">
        <f t="array" ref="C3">INDEX('Summarized Modified Source Data'!$P$600:$P$743,MATCH(1,($A3=LoadFactorSeasons)*(C$1=LoadFactorHours),0),)</f>
        <v>5.2383049946777396E-5</v>
      </c>
      <c r="D3" s="8" cm="1">
        <f t="array" ref="D3">INDEX('Summarized Modified Source Data'!$P$600:$P$743,MATCH(1,($A3=LoadFactorSeasons)*(D$1=LoadFactorHours),0),)</f>
        <v>5.1990155901275371E-5</v>
      </c>
      <c r="E3" s="8" cm="1">
        <f t="array" ref="E3">INDEX('Summarized Modified Source Data'!$P$600:$P$743,MATCH(1,($A3=LoadFactorSeasons)*(E$1=LoadFactorHours),0),)</f>
        <v>5.2110043761581111E-5</v>
      </c>
      <c r="F3" s="8" cm="1">
        <f t="array" ref="F3">INDEX('Summarized Modified Source Data'!$P$600:$P$743,MATCH(1,($A3=LoadFactorSeasons)*(F$1=LoadFactorHours),0),)</f>
        <v>5.1891850148612066E-5</v>
      </c>
      <c r="G3" s="8" cm="1">
        <f t="array" ref="G3">INDEX('Summarized Modified Source Data'!$P$600:$P$743,MATCH(1,($A3=LoadFactorSeasons)*(G$1=LoadFactorHours),0),)</f>
        <v>5.3019106558651438E-5</v>
      </c>
      <c r="H3" s="8" cm="1">
        <f t="array" ref="H3">INDEX('Summarized Modified Source Data'!$P$600:$P$743,MATCH(1,($A3=LoadFactorSeasons)*(H$1=LoadFactorHours),0),)</f>
        <v>7.4987621153510116E-5</v>
      </c>
      <c r="I3" s="8" cm="1">
        <f t="array" ref="I3">INDEX('Summarized Modified Source Data'!$P$600:$P$743,MATCH(1,($A3=LoadFactorSeasons)*(I$1=LoadFactorHours),0),)</f>
        <v>1.4020599162761462E-4</v>
      </c>
      <c r="J3" s="8" cm="1">
        <f t="array" ref="J3">INDEX('Summarized Modified Source Data'!$P$600:$P$743,MATCH(1,($A3=LoadFactorSeasons)*(J$1=LoadFactorHours),0),)</f>
        <v>1.5589260514157745E-4</v>
      </c>
      <c r="K3" s="8" cm="1">
        <f t="array" ref="K3">INDEX('Summarized Modified Source Data'!$P$600:$P$743,MATCH(1,($A3=LoadFactorSeasons)*(K$1=LoadFactorHours),0),)</f>
        <v>1.4692310114265692E-4</v>
      </c>
      <c r="L3" s="8" cm="1">
        <f t="array" ref="L3">INDEX('Summarized Modified Source Data'!$P$600:$P$743,MATCH(1,($A3=LoadFactorSeasons)*(L$1=LoadFactorHours),0),)</f>
        <v>1.286014643073252E-4</v>
      </c>
      <c r="M3" s="8" cm="1">
        <f t="array" ref="M3">INDEX('Summarized Modified Source Data'!$P$600:$P$743,MATCH(1,($A3=LoadFactorSeasons)*(M$1=LoadFactorHours),0),)</f>
        <v>1.2995858760887831E-4</v>
      </c>
      <c r="N3" s="8" cm="1">
        <f t="array" ref="N3">INDEX('Summarized Modified Source Data'!$P$600:$P$743,MATCH(1,($A3=LoadFactorSeasons)*(N$1=LoadFactorHours),0),)</f>
        <v>1.3053527597961395E-4</v>
      </c>
      <c r="O3" s="8" cm="1">
        <f t="array" ref="O3">INDEX('Summarized Modified Source Data'!$P$600:$P$743,MATCH(1,($A3=LoadFactorSeasons)*(O$1=LoadFactorHours),0),)</f>
        <v>1.285559225711753E-4</v>
      </c>
      <c r="P3" s="8" cm="1">
        <f t="array" ref="P3">INDEX('Summarized Modified Source Data'!$P$600:$P$743,MATCH(1,($A3=LoadFactorSeasons)*(P$1=LoadFactorHours),0),)</f>
        <v>1.2653529151275029E-4</v>
      </c>
      <c r="Q3" s="8" cm="1">
        <f t="array" ref="Q3">INDEX('Summarized Modified Source Data'!$P$600:$P$743,MATCH(1,($A3=LoadFactorSeasons)*(Q$1=LoadFactorHours),0),)</f>
        <v>1.4194632443999324E-4</v>
      </c>
      <c r="R3" s="8" cm="1">
        <f t="array" ref="R3">INDEX('Summarized Modified Source Data'!$P$600:$P$743,MATCH(1,($A3=LoadFactorSeasons)*(R$1=LoadFactorHours),0),)</f>
        <v>1.635181519214709E-4</v>
      </c>
      <c r="S3" s="8" cm="1">
        <f t="array" ref="S3">INDEX('Summarized Modified Source Data'!$P$600:$P$743,MATCH(1,($A3=LoadFactorSeasons)*(S$1=LoadFactorHours),0),)</f>
        <v>1.7029076433712579E-4</v>
      </c>
      <c r="T3" s="8" cm="1">
        <f t="array" ref="T3">INDEX('Summarized Modified Source Data'!$P$600:$P$743,MATCH(1,($A3=LoadFactorSeasons)*(T$1=LoadFactorHours),0),)</f>
        <v>1.6026488844175413E-4</v>
      </c>
      <c r="U3" s="8" cm="1">
        <f t="array" ref="U3">INDEX('Summarized Modified Source Data'!$P$600:$P$743,MATCH(1,($A3=LoadFactorSeasons)*(U$1=LoadFactorHours),0),)</f>
        <v>1.3782541288200547E-4</v>
      </c>
      <c r="V3" s="8" cm="1">
        <f t="array" ref="V3">INDEX('Summarized Modified Source Data'!$P$600:$P$743,MATCH(1,($A3=LoadFactorSeasons)*(V$1=LoadFactorHours),0),)</f>
        <v>1.284933768257362E-4</v>
      </c>
      <c r="W3" s="8" cm="1">
        <f t="array" ref="W3">INDEX('Summarized Modified Source Data'!$P$600:$P$743,MATCH(1,($A3=LoadFactorSeasons)*(W$1=LoadFactorHours),0),)</f>
        <v>1.2122917085059871E-4</v>
      </c>
      <c r="X3" s="8" cm="1">
        <f t="array" ref="X3">INDEX('Summarized Modified Source Data'!$P$600:$P$743,MATCH(1,($A3=LoadFactorSeasons)*(X$1=LoadFactorHours),0),)</f>
        <v>1.1619444145381061E-4</v>
      </c>
      <c r="Y3" s="8" cm="1">
        <f t="array" ref="Y3">INDEX('Summarized Modified Source Data'!$P$600:$P$743,MATCH(1,($A3=LoadFactorSeasons)*(Y$1=LoadFactorHours),0),)</f>
        <v>7.8178528291965725E-5</v>
      </c>
    </row>
    <row r="4" spans="1:25" x14ac:dyDescent="0.25">
      <c r="A4" s="8" t="s">
        <v>39</v>
      </c>
      <c r="B4" s="8" cm="1">
        <f t="array" ref="B4">INDEX('Summarized Modified Source Data'!$P$600:$P$743,MATCH(1,($A4=LoadFactorSeasons)*(B$1=LoadFactorHours),0),)</f>
        <v>5.0324072018803371E-5</v>
      </c>
      <c r="C4" s="8" cm="1">
        <f t="array" ref="C4">INDEX('Summarized Modified Source Data'!$P$600:$P$743,MATCH(1,($A4=LoadFactorSeasons)*(C$1=LoadFactorHours),0),)</f>
        <v>4.8853896852471447E-5</v>
      </c>
      <c r="D4" s="8" cm="1">
        <f t="array" ref="D4">INDEX('Summarized Modified Source Data'!$P$600:$P$743,MATCH(1,($A4=LoadFactorSeasons)*(D$1=LoadFactorHours),0),)</f>
        <v>4.8461002806969415E-5</v>
      </c>
      <c r="E4" s="8" cm="1">
        <f t="array" ref="E4">INDEX('Summarized Modified Source Data'!$P$600:$P$743,MATCH(1,($A4=LoadFactorSeasons)*(E$1=LoadFactorHours),0),)</f>
        <v>4.8580895651595627E-5</v>
      </c>
      <c r="F4" s="8" cm="1">
        <f t="array" ref="F4">INDEX('Summarized Modified Source Data'!$P$600:$P$743,MATCH(1,($A4=LoadFactorSeasons)*(F$1=LoadFactorHours),0),)</f>
        <v>4.8362699546466363E-5</v>
      </c>
      <c r="G4" s="8" cm="1">
        <f t="array" ref="G4">INDEX('Summarized Modified Source Data'!$P$600:$P$743,MATCH(1,($A4=LoadFactorSeasons)*(G$1=LoadFactorHours),0),)</f>
        <v>4.9489955956505721E-5</v>
      </c>
      <c r="H4" s="8" cm="1">
        <f t="array" ref="H4">INDEX('Summarized Modified Source Data'!$P$600:$P$743,MATCH(1,($A4=LoadFactorSeasons)*(H$1=LoadFactorHours),0),)</f>
        <v>7.0174250413190573E-5</v>
      </c>
      <c r="I4" s="8" cm="1">
        <f t="array" ref="I4">INDEX('Summarized Modified Source Data'!$P$600:$P$743,MATCH(1,($A4=LoadFactorSeasons)*(I$1=LoadFactorHours),0),)</f>
        <v>1.3132658171338018E-4</v>
      </c>
      <c r="J4" s="8" cm="1">
        <f t="array" ref="J4">INDEX('Summarized Modified Source Data'!$P$600:$P$743,MATCH(1,($A4=LoadFactorSeasons)*(J$1=LoadFactorHours),0),)</f>
        <v>1.4724453747771643E-4</v>
      </c>
      <c r="K4" s="8" cm="1">
        <f t="array" ref="K4">INDEX('Summarized Modified Source Data'!$P$600:$P$743,MATCH(1,($A4=LoadFactorSeasons)*(K$1=LoadFactorHours),0),)</f>
        <v>1.3859600377989133E-4</v>
      </c>
      <c r="L4" s="8" cm="1">
        <f t="array" ref="L4">INDEX('Summarized Modified Source Data'!$P$600:$P$743,MATCH(1,($A4=LoadFactorSeasons)*(L$1=LoadFactorHours),0),)</f>
        <v>1.206844419427276E-4</v>
      </c>
      <c r="M4" s="8" cm="1">
        <f t="array" ref="M4">INDEX('Summarized Modified Source Data'!$P$600:$P$743,MATCH(1,($A4=LoadFactorSeasons)*(M$1=LoadFactorHours),0),)</f>
        <v>1.2253999729145047E-4</v>
      </c>
      <c r="N4" s="8" cm="1">
        <f t="array" ref="N4">INDEX('Summarized Modified Source Data'!$P$600:$P$743,MATCH(1,($A4=LoadFactorSeasons)*(N$1=LoadFactorHours),0),)</f>
        <v>1.2345425624261255E-4</v>
      </c>
      <c r="O4" s="8" cm="1">
        <f t="array" ref="O4">INDEX('Summarized Modified Source Data'!$P$600:$P$743,MATCH(1,($A4=LoadFactorSeasons)*(O$1=LoadFactorHours),0),)</f>
        <v>1.2090472149381404E-4</v>
      </c>
      <c r="P4" s="8" cm="1">
        <f t="array" ref="P4">INDEX('Summarized Modified Source Data'!$P$600:$P$743,MATCH(1,($A4=LoadFactorSeasons)*(P$1=LoadFactorHours),0),)</f>
        <v>1.1938251999039852E-4</v>
      </c>
      <c r="Q4" s="8" cm="1">
        <f t="array" ref="Q4">INDEX('Summarized Modified Source Data'!$P$600:$P$743,MATCH(1,($A4=LoadFactorSeasons)*(Q$1=LoadFactorHours),0),)</f>
        <v>1.3354747529187733E-4</v>
      </c>
      <c r="R4" s="8" cm="1">
        <f t="array" ref="R4">INDEX('Summarized Modified Source Data'!$P$600:$P$743,MATCH(1,($A4=LoadFactorSeasons)*(R$1=LoadFactorHours),0),)</f>
        <v>1.5444201586253909E-4</v>
      </c>
      <c r="S4" s="8" cm="1">
        <f t="array" ref="S4">INDEX('Summarized Modified Source Data'!$P$600:$P$743,MATCH(1,($A4=LoadFactorSeasons)*(S$1=LoadFactorHours),0),)</f>
        <v>1.6121462329387354E-4</v>
      </c>
      <c r="T4" s="8" cm="1">
        <f t="array" ref="T4">INDEX('Summarized Modified Source Data'!$P$600:$P$743,MATCH(1,($A4=LoadFactorSeasons)*(T$1=LoadFactorHours),0),)</f>
        <v>1.5193640045357693E-4</v>
      </c>
      <c r="U4" s="8" cm="1">
        <f t="array" ref="U4">INDEX('Summarized Modified Source Data'!$P$600:$P$743,MATCH(1,($A4=LoadFactorSeasons)*(U$1=LoadFactorHours),0),)</f>
        <v>1.3024456798026244E-4</v>
      </c>
      <c r="V4" s="8" cm="1">
        <f t="array" ref="V4">INDEX('Summarized Modified Source Data'!$P$600:$P$743,MATCH(1,($A4=LoadFactorSeasons)*(V$1=LoadFactorHours),0),)</f>
        <v>1.206633159004083E-4</v>
      </c>
      <c r="W4" s="8" cm="1">
        <f t="array" ref="W4">INDEX('Summarized Modified Source Data'!$P$600:$P$743,MATCH(1,($A4=LoadFactorSeasons)*(W$1=LoadFactorHours),0),)</f>
        <v>1.1381145278925341E-4</v>
      </c>
      <c r="X4" s="8" cm="1">
        <f t="array" ref="X4">INDEX('Summarized Modified Source Data'!$P$600:$P$743,MATCH(1,($A4=LoadFactorSeasons)*(X$1=LoadFactorHours),0),)</f>
        <v>1.086179777697622E-4</v>
      </c>
      <c r="Y4" s="8" cm="1">
        <f t="array" ref="Y4">INDEX('Summarized Modified Source Data'!$P$600:$P$743,MATCH(1,($A4=LoadFactorSeasons)*(Y$1=LoadFactorHours),0),)</f>
        <v>7.3098070247010015E-5</v>
      </c>
    </row>
    <row r="5" spans="1:25" x14ac:dyDescent="0.25">
      <c r="A5" s="8" t="s">
        <v>40</v>
      </c>
      <c r="B5" s="8" cm="1">
        <f t="array" ref="B5">INDEX('Summarized Modified Source Data'!$P$600:$P$743,MATCH(1,($A5=LoadFactorSeasons)*(B$1=LoadFactorHours),0),)</f>
        <v>5.5074798471216786E-5</v>
      </c>
      <c r="C5" s="8" cm="1">
        <f t="array" ref="C5">INDEX('Summarized Modified Source Data'!$P$600:$P$743,MATCH(1,($A5=LoadFactorSeasons)*(C$1=LoadFactorHours),0),)</f>
        <v>5.359658956080656E-5</v>
      </c>
      <c r="D5" s="8" cm="1">
        <f t="array" ref="D5">INDEX('Summarized Modified Source Data'!$P$600:$P$743,MATCH(1,($A5=LoadFactorSeasons)*(D$1=LoadFactorHours),0),)</f>
        <v>5.3201546047528646E-5</v>
      </c>
      <c r="E5" s="8" cm="1">
        <f t="array" ref="E5">INDEX('Summarized Modified Source Data'!$P$600:$P$743,MATCH(1,($A5=LoadFactorSeasons)*(E$1=LoadFactorHours),0),)</f>
        <v>5.3322094044311288E-5</v>
      </c>
      <c r="F5" s="8" cm="1">
        <f t="array" ref="F5">INDEX('Summarized Modified Source Data'!$P$600:$P$743,MATCH(1,($A5=LoadFactorSeasons)*(F$1=LoadFactorHours),0),)</f>
        <v>5.3102708116517274E-5</v>
      </c>
      <c r="G5" s="8" cm="1">
        <f t="array" ref="G5">INDEX('Summarized Modified Source Data'!$P$600:$P$743,MATCH(1,($A5=LoadFactorSeasons)*(G$1=LoadFactorHours),0),)</f>
        <v>5.4236126903428345E-5</v>
      </c>
      <c r="H5" s="8" cm="1">
        <f t="array" ref="H5">INDEX('Summarized Modified Source Data'!$P$600:$P$743,MATCH(1,($A5=LoadFactorSeasons)*(H$1=LoadFactorHours),0),)</f>
        <v>7.6662113666328037E-5</v>
      </c>
      <c r="I5" s="8" cm="1">
        <f t="array" ref="I5">INDEX('Summarized Modified Source Data'!$P$600:$P$743,MATCH(1,($A5=LoadFactorSeasons)*(I$1=LoadFactorHours),0),)</f>
        <v>1.4284990991827112E-4</v>
      </c>
      <c r="J5" s="8" cm="1">
        <f t="array" ref="J5">INDEX('Summarized Modified Source Data'!$P$600:$P$743,MATCH(1,($A5=LoadFactorSeasons)*(J$1=LoadFactorHours),0),)</f>
        <v>1.5919357518673233E-4</v>
      </c>
      <c r="K5" s="8" cm="1">
        <f t="array" ref="K5">INDEX('Summarized Modified Source Data'!$P$600:$P$743,MATCH(1,($A5=LoadFactorSeasons)*(K$1=LoadFactorHours),0),)</f>
        <v>1.5009639986168351E-4</v>
      </c>
      <c r="L5" s="8" cm="1">
        <f t="array" ref="L5">INDEX('Summarized Modified Source Data'!$P$600:$P$743,MATCH(1,($A5=LoadFactorSeasons)*(L$1=LoadFactorHours),0),)</f>
        <v>1.3107141743442851E-4</v>
      </c>
      <c r="M5" s="8" cm="1">
        <f t="array" ref="M5">INDEX('Summarized Modified Source Data'!$P$600:$P$743,MATCH(1,($A5=LoadFactorSeasons)*(M$1=LoadFactorHours),0),)</f>
        <v>1.3243595671030703E-4</v>
      </c>
      <c r="N5" s="8" cm="1">
        <f t="array" ref="N5">INDEX('Summarized Modified Source Data'!$P$600:$P$743,MATCH(1,($A5=LoadFactorSeasons)*(N$1=LoadFactorHours),0),)</f>
        <v>1.3336844087012895E-4</v>
      </c>
      <c r="O5" s="8" cm="1">
        <f t="array" ref="O5">INDEX('Summarized Modified Source Data'!$P$600:$P$743,MATCH(1,($A5=LoadFactorSeasons)*(O$1=LoadFactorHours),0),)</f>
        <v>1.309557820165868E-4</v>
      </c>
      <c r="P5" s="8" cm="1">
        <f t="array" ref="P5">INDEX('Summarized Modified Source Data'!$P$600:$P$743,MATCH(1,($A5=LoadFactorSeasons)*(P$1=LoadFactorHours),0),)</f>
        <v>1.2892410549972109E-4</v>
      </c>
      <c r="Q5" s="8" cm="1">
        <f t="array" ref="Q5">INDEX('Summarized Modified Source Data'!$P$600:$P$743,MATCH(1,($A5=LoadFactorSeasons)*(Q$1=LoadFactorHours),0),)</f>
        <v>1.4504579887687536E-4</v>
      </c>
      <c r="R5" s="8" cm="1">
        <f t="array" ref="R5">INDEX('Summarized Modified Source Data'!$P$600:$P$743,MATCH(1,($A5=LoadFactorSeasons)*(R$1=LoadFactorHours),0),)</f>
        <v>1.6697326975796914E-4</v>
      </c>
      <c r="S5" s="8" cm="1">
        <f t="array" ref="S5">INDEX('Summarized Modified Source Data'!$P$600:$P$743,MATCH(1,($A5=LoadFactorSeasons)*(S$1=LoadFactorHours),0),)</f>
        <v>1.7378288973174928E-4</v>
      </c>
      <c r="T5" s="8" cm="1">
        <f t="array" ref="T5">INDEX('Summarized Modified Source Data'!$P$600:$P$743,MATCH(1,($A5=LoadFactorSeasons)*(T$1=LoadFactorHours),0),)</f>
        <v>1.6332636209251934E-4</v>
      </c>
      <c r="U5" s="8" cm="1">
        <f t="array" ref="U5">INDEX('Summarized Modified Source Data'!$P$600:$P$743,MATCH(1,($A5=LoadFactorSeasons)*(U$1=LoadFactorHours),0),)</f>
        <v>1.405136873350761E-4</v>
      </c>
      <c r="V5" s="8" cm="1">
        <f t="array" ref="V5">INDEX('Summarized Modified Source Data'!$P$600:$P$743,MATCH(1,($A5=LoadFactorSeasons)*(V$1=LoadFactorHours),0),)</f>
        <v>1.3125594547614862E-4</v>
      </c>
      <c r="W5" s="8" cm="1">
        <f t="array" ref="W5">INDEX('Summarized Modified Source Data'!$P$600:$P$743,MATCH(1,($A5=LoadFactorSeasons)*(W$1=LoadFactorHours),0),)</f>
        <v>1.2407733331628253E-4</v>
      </c>
      <c r="X5" s="8" cm="1">
        <f t="array" ref="X5">INDEX('Summarized Modified Source Data'!$P$600:$P$743,MATCH(1,($A5=LoadFactorSeasons)*(X$1=LoadFactorHours),0),)</f>
        <v>1.1866285569239579E-4</v>
      </c>
      <c r="Y5" s="8" cm="1">
        <f t="array" ref="Y5">INDEX('Summarized Modified Source Data'!$P$600:$P$743,MATCH(1,($A5=LoadFactorSeasons)*(Y$1=LoadFactorHours),0),)</f>
        <v>7.9940634291223261E-5</v>
      </c>
    </row>
    <row r="6" spans="1:25" x14ac:dyDescent="0.25">
      <c r="A6" s="8" t="s">
        <v>80</v>
      </c>
      <c r="B6" s="8" cm="1">
        <f t="array" ref="B6">INDEX('Summarized Modified Source Data'!$P$600:$P$743,MATCH(1,($A6=LoadFactorSeasons)*(B$1=LoadFactorHours),0),)</f>
        <v>6.2844646415224066E-5</v>
      </c>
      <c r="C6" s="8" cm="1">
        <f t="array" ref="C6">INDEX('Summarized Modified Source Data'!$P$600:$P$743,MATCH(1,($A6=LoadFactorSeasons)*(C$1=LoadFactorHours),0),)</f>
        <v>5.9473725558612626E-5</v>
      </c>
      <c r="D6" s="8" cm="1">
        <f t="array" ref="D6">INDEX('Summarized Modified Source Data'!$P$600:$P$743,MATCH(1,($A6=LoadFactorSeasons)*(D$1=LoadFactorHours),0),)</f>
        <v>5.8554385092729652E-5</v>
      </c>
      <c r="E6" s="8" cm="1">
        <f t="array" ref="E6">INDEX('Summarized Modified Source Data'!$P$600:$P$743,MATCH(1,($A6=LoadFactorSeasons)*(E$1=LoadFactorHours),0),)</f>
        <v>5.8554385092729652E-5</v>
      </c>
      <c r="F6" s="8" cm="1">
        <f t="array" ref="F6">INDEX('Summarized Modified Source Data'!$P$600:$P$743,MATCH(1,($A6=LoadFactorSeasons)*(F$1=LoadFactorHours),0),)</f>
        <v>5.824793536324839E-5</v>
      </c>
      <c r="G6" s="8" cm="1">
        <f t="array" ref="G6">INDEX('Summarized Modified Source Data'!$P$600:$P$743,MATCH(1,($A6=LoadFactorSeasons)*(G$1=LoadFactorHours),0),)</f>
        <v>5.8707614318750701E-5</v>
      </c>
      <c r="H6" s="8" cm="1">
        <f t="array" ref="H6">INDEX('Summarized Modified Source Data'!$P$600:$P$743,MATCH(1,($A6=LoadFactorSeasons)*(H$1=LoadFactorHours),0),)</f>
        <v>7.2951085128459905E-5</v>
      </c>
      <c r="I6" s="8" cm="1">
        <f t="array" ref="I6">INDEX('Summarized Modified Source Data'!$P$600:$P$743,MATCH(1,($A6=LoadFactorSeasons)*(I$1=LoadFactorHours),0),)</f>
        <v>1.4584121700187138E-4</v>
      </c>
      <c r="J6" s="8" cm="1">
        <f t="array" ref="J6">INDEX('Summarized Modified Source Data'!$P$600:$P$743,MATCH(1,($A6=LoadFactorSeasons)*(J$1=LoadFactorHours),0),)</f>
        <v>1.604951191886623E-4</v>
      </c>
      <c r="K6" s="8" cm="1">
        <f t="array" ref="K6">INDEX('Summarized Modified Source Data'!$P$600:$P$743,MATCH(1,($A6=LoadFactorSeasons)*(K$1=LoadFactorHours),0),)</f>
        <v>1.4200329023866427E-4</v>
      </c>
      <c r="L6" s="8" cm="1">
        <f t="array" ref="L6">INDEX('Summarized Modified Source Data'!$P$600:$P$743,MATCH(1,($A6=LoadFactorSeasons)*(L$1=LoadFactorHours),0),)</f>
        <v>1.3804006388919927E-4</v>
      </c>
      <c r="M6" s="8" cm="1">
        <f t="array" ref="M6">INDEX('Summarized Modified Source Data'!$P$600:$P$743,MATCH(1,($A6=LoadFactorSeasons)*(M$1=LoadFactorHours),0),)</f>
        <v>1.4278999544463513E-4</v>
      </c>
      <c r="N6" s="8" cm="1">
        <f t="array" ref="N6">INDEX('Summarized Modified Source Data'!$P$600:$P$743,MATCH(1,($A6=LoadFactorSeasons)*(N$1=LoadFactorHours),0),)</f>
        <v>1.3988410919587283E-4</v>
      </c>
      <c r="O6" s="8" cm="1">
        <f t="array" ref="O6">INDEX('Summarized Modified Source Data'!$P$600:$P$743,MATCH(1,($A6=LoadFactorSeasons)*(O$1=LoadFactorHours),0),)</f>
        <v>1.3357750582271933E-4</v>
      </c>
      <c r="P6" s="8" cm="1">
        <f t="array" ref="P6">INDEX('Summarized Modified Source Data'!$P$600:$P$743,MATCH(1,($A6=LoadFactorSeasons)*(P$1=LoadFactorHours),0),)</f>
        <v>1.3173882489095337E-4</v>
      </c>
      <c r="Q6" s="8" cm="1">
        <f t="array" ref="Q6">INDEX('Summarized Modified Source Data'!$P$600:$P$743,MATCH(1,($A6=LoadFactorSeasons)*(Q$1=LoadFactorHours),0),)</f>
        <v>1.3537414401130647E-4</v>
      </c>
      <c r="R6" s="8" cm="1">
        <f t="array" ref="R6">INDEX('Summarized Modified Source Data'!$P$600:$P$743,MATCH(1,($A6=LoadFactorSeasons)*(R$1=LoadFactorHours),0),)</f>
        <v>1.5735499729149284E-4</v>
      </c>
      <c r="S6" s="8" cm="1">
        <f t="array" ref="S6">INDEX('Summarized Modified Source Data'!$P$600:$P$743,MATCH(1,($A6=LoadFactorSeasons)*(S$1=LoadFactorHours),0),)</f>
        <v>1.6677536298300127E-4</v>
      </c>
      <c r="T6" s="8" cm="1">
        <f t="array" ref="T6">INDEX('Summarized Modified Source Data'!$P$600:$P$743,MATCH(1,($A6=LoadFactorSeasons)*(T$1=LoadFactorHours),0),)</f>
        <v>1.5421487539432334E-4</v>
      </c>
      <c r="U6" s="8" cm="1">
        <f t="array" ref="U6">INDEX('Summarized Modified Source Data'!$P$600:$P$743,MATCH(1,($A6=LoadFactorSeasons)*(U$1=LoadFactorHours),0),)</f>
        <v>1.4271605429651762E-4</v>
      </c>
      <c r="V6" s="8" cm="1">
        <f t="array" ref="V6">INDEX('Summarized Modified Source Data'!$P$600:$P$743,MATCH(1,($A6=LoadFactorSeasons)*(V$1=LoadFactorHours),0),)</f>
        <v>1.3796612274108173E-4</v>
      </c>
      <c r="W6" s="8" cm="1">
        <f t="array" ref="W6">INDEX('Summarized Modified Source Data'!$P$600:$P$743,MATCH(1,($A6=LoadFactorSeasons)*(W$1=LoadFactorHours),0),)</f>
        <v>1.3260329172668333E-4</v>
      </c>
      <c r="X6" s="8" cm="1">
        <f t="array" ref="X6">INDEX('Summarized Modified Source Data'!$P$600:$P$743,MATCH(1,($A6=LoadFactorSeasons)*(X$1=LoadFactorHours),0),)</f>
        <v>1.3076461951747818E-4</v>
      </c>
      <c r="Y6" s="8" cm="1">
        <f t="array" ref="Y6">INDEX('Summarized Modified Source Data'!$P$600:$P$743,MATCH(1,($A6=LoadFactorSeasons)*(Y$1=LoadFactorHours),0),)</f>
        <v>8.789212529506449E-5</v>
      </c>
    </row>
    <row r="7" spans="1:25" x14ac:dyDescent="0.25">
      <c r="A7" s="8" t="s">
        <v>81</v>
      </c>
      <c r="B7" s="8" cm="1">
        <f t="array" ref="B7">INDEX('Summarized Modified Source Data'!$P$600:$P$743,MATCH(1,($A7=LoadFactorSeasons)*(B$1=LoadFactorHours),0),)</f>
        <v>7.3072050183491607E-5</v>
      </c>
      <c r="C7" s="8" cm="1">
        <f t="array" ref="C7">INDEX('Summarized Modified Source Data'!$P$600:$P$743,MATCH(1,($A7=LoadFactorSeasons)*(C$1=LoadFactorHours),0),)</f>
        <v>6.9626219974511033E-5</v>
      </c>
      <c r="D7" s="8" cm="1">
        <f t="array" ref="D7">INDEX('Summarized Modified Source Data'!$P$600:$P$743,MATCH(1,($A7=LoadFactorSeasons)*(D$1=LoadFactorHours),0),)</f>
        <v>6.8686454178695086E-5</v>
      </c>
      <c r="E7" s="8" cm="1">
        <f t="array" ref="E7">INDEX('Summarized Modified Source Data'!$P$600:$P$743,MATCH(1,($A7=LoadFactorSeasons)*(E$1=LoadFactorHours),0),)</f>
        <v>6.8686454178695086E-5</v>
      </c>
      <c r="F7" s="8" cm="1">
        <f t="array" ref="F7">INDEX('Summarized Modified Source Data'!$P$600:$P$743,MATCH(1,($A7=LoadFactorSeasons)*(F$1=LoadFactorHours),0),)</f>
        <v>6.8373194455225336E-5</v>
      </c>
      <c r="G7" s="8" cm="1">
        <f t="array" ref="G7">INDEX('Summarized Modified Source Data'!$P$600:$P$743,MATCH(1,($A7=LoadFactorSeasons)*(G$1=LoadFactorHours),0),)</f>
        <v>6.8843077353133316E-5</v>
      </c>
      <c r="H7" s="8" cm="1">
        <f t="array" ref="H7">INDEX('Summarized Modified Source Data'!$P$600:$P$743,MATCH(1,($A7=LoadFactorSeasons)*(H$1=LoadFactorHours),0),)</f>
        <v>8.5339788859728873E-5</v>
      </c>
      <c r="I7" s="8" cm="1">
        <f t="array" ref="I7">INDEX('Summarized Modified Source Data'!$P$600:$P$743,MATCH(1,($A7=LoadFactorSeasons)*(I$1=LoadFactorHours),0),)</f>
        <v>1.6851987514809546E-4</v>
      </c>
      <c r="J7" s="8" cm="1">
        <f t="array" ref="J7">INDEX('Summarized Modified Source Data'!$P$600:$P$743,MATCH(1,($A7=LoadFactorSeasons)*(J$1=LoadFactorHours),0),)</f>
        <v>1.8349941960570391E-4</v>
      </c>
      <c r="K7" s="8" cm="1">
        <f t="array" ref="K7">INDEX('Summarized Modified Source Data'!$P$600:$P$743,MATCH(1,($A7=LoadFactorSeasons)*(K$1=LoadFactorHours),0),)</f>
        <v>1.6290254597649227E-4</v>
      </c>
      <c r="L7" s="8" cm="1">
        <f t="array" ref="L7">INDEX('Summarized Modified Source Data'!$P$600:$P$743,MATCH(1,($A7=LoadFactorSeasons)*(L$1=LoadFactorHours),0),)</f>
        <v>1.5887953519512949E-4</v>
      </c>
      <c r="M7" s="8" cm="1">
        <f t="array" ref="M7">INDEX('Summarized Modified Source Data'!$P$600:$P$743,MATCH(1,($A7=LoadFactorSeasons)*(M$1=LoadFactorHours),0),)</f>
        <v>1.6373502078513062E-4</v>
      </c>
      <c r="N7" s="8" cm="1">
        <f t="array" ref="N7">INDEX('Summarized Modified Source Data'!$P$600:$P$743,MATCH(1,($A7=LoadFactorSeasons)*(N$1=LoadFactorHours),0),)</f>
        <v>1.6011948704949794E-4</v>
      </c>
      <c r="O7" s="8" cm="1">
        <f t="array" ref="O7">INDEX('Summarized Modified Source Data'!$P$600:$P$743,MATCH(1,($A7=LoadFactorSeasons)*(O$1=LoadFactorHours),0),)</f>
        <v>1.523771289395739E-4</v>
      </c>
      <c r="P7" s="8" cm="1">
        <f t="array" ref="P7">INDEX('Summarized Modified Source Data'!$P$600:$P$743,MATCH(1,($A7=LoadFactorSeasons)*(P$1=LoadFactorHours),0),)</f>
        <v>1.5049759066064537E-4</v>
      </c>
      <c r="Q7" s="8" cm="1">
        <f t="array" ref="Q7">INDEX('Summarized Modified Source Data'!$P$600:$P$743,MATCH(1,($A7=LoadFactorSeasons)*(Q$1=LoadFactorHours),0),)</f>
        <v>1.5648274120894578E-4</v>
      </c>
      <c r="R7" s="8" cm="1">
        <f t="array" ref="R7">INDEX('Summarized Modified Source Data'!$P$600:$P$743,MATCH(1,($A7=LoadFactorSeasons)*(R$1=LoadFactorHours),0),)</f>
        <v>1.8028951722193071E-4</v>
      </c>
      <c r="S7" s="8" cm="1">
        <f t="array" ref="S7">INDEX('Summarized Modified Source Data'!$P$600:$P$743,MATCH(1,($A7=LoadFactorSeasons)*(S$1=LoadFactorHours),0),)</f>
        <v>1.8991922437325046E-4</v>
      </c>
      <c r="T7" s="8" cm="1">
        <f t="array" ref="T7">INDEX('Summarized Modified Source Data'!$P$600:$P$743,MATCH(1,($A7=LoadFactorSeasons)*(T$1=LoadFactorHours),0),)</f>
        <v>1.7467218805032749E-4</v>
      </c>
      <c r="U7" s="8" cm="1">
        <f t="array" ref="U7">INDEX('Summarized Modified Source Data'!$P$600:$P$743,MATCH(1,($A7=LoadFactorSeasons)*(U$1=LoadFactorHours),0),)</f>
        <v>1.6484399524764785E-4</v>
      </c>
      <c r="V7" s="8" cm="1">
        <f t="array" ref="V7">INDEX('Summarized Modified Source Data'!$P$600:$P$743,MATCH(1,($A7=LoadFactorSeasons)*(V$1=LoadFactorHours),0),)</f>
        <v>1.5998850965764669E-4</v>
      </c>
      <c r="W7" s="8" cm="1">
        <f t="array" ref="W7">INDEX('Summarized Modified Source Data'!$P$600:$P$743,MATCH(1,($A7=LoadFactorSeasons)*(W$1=LoadFactorHours),0),)</f>
        <v>1.5450650462070612E-4</v>
      </c>
      <c r="X7" s="8" cm="1">
        <f t="array" ref="X7">INDEX('Summarized Modified Source Data'!$P$600:$P$743,MATCH(1,($A7=LoadFactorSeasons)*(X$1=LoadFactorHours),0),)</f>
        <v>1.5262695965448096E-4</v>
      </c>
      <c r="Y7" s="8" cm="1">
        <f t="array" ref="Y7">INDEX('Summarized Modified Source Data'!$P$600:$P$743,MATCH(1,($A7=LoadFactorSeasons)*(Y$1=LoadFactorHours),0),)</f>
        <v>1.0256277421713625E-4</v>
      </c>
    </row>
    <row r="8" spans="1:25" x14ac:dyDescent="0.25">
      <c r="A8" s="8"/>
      <c r="B8" s="8"/>
      <c r="C8" s="8"/>
      <c r="D8" s="8"/>
      <c r="E8" s="8"/>
      <c r="F8" s="8"/>
      <c r="G8" s="8"/>
      <c r="H8" s="8"/>
      <c r="I8" s="8"/>
      <c r="J8" s="8"/>
      <c r="K8" s="8"/>
      <c r="L8" s="8"/>
      <c r="M8" s="8"/>
      <c r="N8" s="8"/>
      <c r="O8" s="8"/>
      <c r="P8" s="8"/>
      <c r="Q8" s="8"/>
      <c r="R8" s="8"/>
      <c r="S8" s="8"/>
      <c r="T8" s="8"/>
      <c r="U8" s="8"/>
      <c r="V8" s="8"/>
      <c r="W8" s="8"/>
      <c r="X8" s="8"/>
      <c r="Y8" s="8"/>
    </row>
    <row r="9" spans="1:25" x14ac:dyDescent="0.25">
      <c r="A9" s="8"/>
      <c r="B9" s="8"/>
      <c r="C9" s="8"/>
      <c r="D9" s="8"/>
      <c r="E9" s="8"/>
      <c r="F9" s="8"/>
      <c r="G9" s="8"/>
      <c r="H9" s="8"/>
      <c r="I9" s="8"/>
      <c r="J9" s="8"/>
      <c r="K9" s="8"/>
      <c r="L9" s="8"/>
      <c r="M9" s="8"/>
      <c r="N9" s="8"/>
      <c r="O9" s="8"/>
      <c r="P9" s="8"/>
      <c r="Q9" s="8"/>
      <c r="R9" s="8"/>
      <c r="S9" s="8"/>
      <c r="T9" s="8"/>
      <c r="U9" s="8"/>
      <c r="V9" s="8"/>
      <c r="W9" s="8"/>
      <c r="X9" s="8"/>
      <c r="Y9" s="8"/>
    </row>
    <row r="10" spans="1:25" x14ac:dyDescent="0.25">
      <c r="A10" s="8"/>
      <c r="B10" s="8"/>
      <c r="C10" s="8"/>
      <c r="D10" s="8"/>
      <c r="E10" s="8"/>
      <c r="F10" s="8"/>
      <c r="G10" s="8"/>
      <c r="H10" s="8"/>
      <c r="I10" s="8"/>
      <c r="J10" s="8"/>
      <c r="K10" s="8"/>
      <c r="L10" s="8"/>
      <c r="M10" s="8"/>
      <c r="N10" s="8"/>
      <c r="O10" s="8"/>
      <c r="P10" s="8"/>
      <c r="Q10" s="8"/>
      <c r="R10" s="8"/>
      <c r="S10" s="8"/>
      <c r="T10" s="8"/>
      <c r="U10" s="8"/>
      <c r="V10" s="8"/>
      <c r="W10" s="8"/>
      <c r="X10" s="8"/>
      <c r="Y10" s="8"/>
    </row>
    <row r="11" spans="1:25" x14ac:dyDescent="0.25">
      <c r="A11" s="8" t="s">
        <v>25</v>
      </c>
      <c r="B11" s="8" t="s">
        <v>34</v>
      </c>
      <c r="C11" s="8" t="s">
        <v>0</v>
      </c>
      <c r="D11" s="8" t="s">
        <v>1</v>
      </c>
      <c r="E11" s="8" t="s">
        <v>2</v>
      </c>
      <c r="F11" s="8" t="s">
        <v>3</v>
      </c>
      <c r="G11" s="8" t="s">
        <v>4</v>
      </c>
      <c r="H11" s="8" t="s">
        <v>5</v>
      </c>
      <c r="I11" s="8" t="s">
        <v>6</v>
      </c>
      <c r="J11" s="8" t="s">
        <v>7</v>
      </c>
      <c r="K11" s="8" t="s">
        <v>8</v>
      </c>
      <c r="L11" s="8" t="s">
        <v>9</v>
      </c>
      <c r="M11" s="8" t="s">
        <v>10</v>
      </c>
      <c r="N11" s="8" t="s">
        <v>11</v>
      </c>
      <c r="O11" s="8" t="s">
        <v>12</v>
      </c>
      <c r="P11" s="8" t="s">
        <v>13</v>
      </c>
      <c r="Q11" s="8" t="s">
        <v>14</v>
      </c>
      <c r="R11" s="8" t="s">
        <v>15</v>
      </c>
      <c r="S11" s="8" t="s">
        <v>16</v>
      </c>
      <c r="T11" s="8" t="s">
        <v>17</v>
      </c>
      <c r="U11" s="8" t="s">
        <v>18</v>
      </c>
      <c r="V11" s="8" t="s">
        <v>19</v>
      </c>
      <c r="W11" s="8" t="s">
        <v>20</v>
      </c>
      <c r="X11" s="8" t="s">
        <v>21</v>
      </c>
      <c r="Y11" s="8" t="s">
        <v>22</v>
      </c>
    </row>
    <row r="12" spans="1:25" x14ac:dyDescent="0.25">
      <c r="A12" s="8" t="s">
        <v>37</v>
      </c>
      <c r="B12" s="8">
        <v>4.4269479543867221E-5</v>
      </c>
      <c r="C12" s="8">
        <v>4.3142345249679412E-5</v>
      </c>
      <c r="D12" s="8">
        <v>4.2841126481461195E-5</v>
      </c>
      <c r="E12" s="8">
        <v>4.293304432900795E-5</v>
      </c>
      <c r="F12" s="8">
        <v>4.2765762559065028E-5</v>
      </c>
      <c r="G12" s="8">
        <v>4.3629990562772363E-5</v>
      </c>
      <c r="H12" s="8">
        <v>6.1557631651633756E-5</v>
      </c>
      <c r="I12" s="8">
        <v>1.1444768235704783E-4</v>
      </c>
      <c r="J12" s="8">
        <v>1.2708189444204677E-4</v>
      </c>
      <c r="K12" s="8">
        <v>1.1978202997367869E-4</v>
      </c>
      <c r="L12" s="8">
        <v>1.044726393862948E-4</v>
      </c>
      <c r="M12" s="8">
        <v>1.0589523182031564E-4</v>
      </c>
      <c r="N12" s="8">
        <v>1.0626269877029138E-4</v>
      </c>
      <c r="O12" s="8">
        <v>1.0421311686791056E-4</v>
      </c>
      <c r="P12" s="8">
        <v>1.0304609571529199E-4</v>
      </c>
      <c r="Q12" s="8">
        <v>1.1581654713926413E-4</v>
      </c>
      <c r="R12" s="8">
        <v>1.3328985329488896E-4</v>
      </c>
      <c r="S12" s="8">
        <v>1.3848218948022436E-4</v>
      </c>
      <c r="T12" s="8">
        <v>1.3003142215477911E-4</v>
      </c>
      <c r="U12" s="8">
        <v>1.1206356175331153E-4</v>
      </c>
      <c r="V12" s="8">
        <v>1.0471793515875669E-4</v>
      </c>
      <c r="W12" s="8">
        <v>9.9530841813981415E-5</v>
      </c>
      <c r="X12" s="8">
        <v>9.5497834479480576E-5</v>
      </c>
      <c r="Y12" s="8">
        <v>6.4229670945913653E-5</v>
      </c>
    </row>
    <row r="13" spans="1:25" x14ac:dyDescent="0.25">
      <c r="A13" s="8" t="s">
        <v>38</v>
      </c>
      <c r="B13" s="8">
        <v>5.385322511310932E-5</v>
      </c>
      <c r="C13" s="8">
        <v>5.2383049946777396E-5</v>
      </c>
      <c r="D13" s="8">
        <v>5.1990155901275358E-5</v>
      </c>
      <c r="E13" s="8">
        <v>5.2110043761581111E-5</v>
      </c>
      <c r="F13" s="8">
        <v>5.1891850148612066E-5</v>
      </c>
      <c r="G13" s="8">
        <v>5.3019106558651438E-5</v>
      </c>
      <c r="H13" s="8">
        <v>7.4987621153510103E-5</v>
      </c>
      <c r="I13" s="8">
        <v>1.4020599162761462E-4</v>
      </c>
      <c r="J13" s="8">
        <v>1.5589260514157745E-4</v>
      </c>
      <c r="K13" s="8">
        <v>1.4692310114265692E-4</v>
      </c>
      <c r="L13" s="8">
        <v>1.286014643073252E-4</v>
      </c>
      <c r="M13" s="8">
        <v>1.2995858760887834E-4</v>
      </c>
      <c r="N13" s="8">
        <v>1.3053527597961395E-4</v>
      </c>
      <c r="O13" s="8">
        <v>1.285559225711753E-4</v>
      </c>
      <c r="P13" s="8">
        <v>1.2653529151275029E-4</v>
      </c>
      <c r="Q13" s="8">
        <v>1.4194632443999326E-4</v>
      </c>
      <c r="R13" s="8">
        <v>1.635181519214709E-4</v>
      </c>
      <c r="S13" s="8">
        <v>1.7029076433712579E-4</v>
      </c>
      <c r="T13" s="8">
        <v>1.6026488844175413E-4</v>
      </c>
      <c r="U13" s="8">
        <v>1.3782541288200547E-4</v>
      </c>
      <c r="V13" s="8">
        <v>1.284933768257362E-4</v>
      </c>
      <c r="W13" s="8">
        <v>1.2122917085059871E-4</v>
      </c>
      <c r="X13" s="8">
        <v>1.1619444145381061E-4</v>
      </c>
      <c r="Y13" s="8">
        <v>7.8178528291965725E-5</v>
      </c>
    </row>
    <row r="14" spans="1:25" x14ac:dyDescent="0.25">
      <c r="A14" s="8" t="s">
        <v>39</v>
      </c>
      <c r="B14" s="8">
        <v>5.0324072018803371E-5</v>
      </c>
      <c r="C14" s="8">
        <v>4.8853896852471447E-5</v>
      </c>
      <c r="D14" s="8">
        <v>4.8461002806969415E-5</v>
      </c>
      <c r="E14" s="8">
        <v>4.8580895651595627E-5</v>
      </c>
      <c r="F14" s="8">
        <v>4.8362699546466363E-5</v>
      </c>
      <c r="G14" s="8">
        <v>4.9489955956505721E-5</v>
      </c>
      <c r="H14" s="8">
        <v>7.0174250413190573E-5</v>
      </c>
      <c r="I14" s="8">
        <v>1.3132658171338018E-4</v>
      </c>
      <c r="J14" s="8">
        <v>1.4724453747771643E-4</v>
      </c>
      <c r="K14" s="8">
        <v>1.385960037798913E-4</v>
      </c>
      <c r="L14" s="8">
        <v>1.206844419427276E-4</v>
      </c>
      <c r="M14" s="8">
        <v>1.2253999729145047E-4</v>
      </c>
      <c r="N14" s="8">
        <v>1.2345425624261252E-4</v>
      </c>
      <c r="O14" s="8">
        <v>1.2090472149381403E-4</v>
      </c>
      <c r="P14" s="8">
        <v>1.1938251999039852E-4</v>
      </c>
      <c r="Q14" s="8">
        <v>1.3354747529187733E-4</v>
      </c>
      <c r="R14" s="8">
        <v>1.5444201586253906E-4</v>
      </c>
      <c r="S14" s="8">
        <v>1.6121462329387351E-4</v>
      </c>
      <c r="T14" s="8">
        <v>1.5193640045357693E-4</v>
      </c>
      <c r="U14" s="8">
        <v>1.3024456798026244E-4</v>
      </c>
      <c r="V14" s="8">
        <v>1.2066331590040831E-4</v>
      </c>
      <c r="W14" s="8">
        <v>1.1381145278925341E-4</v>
      </c>
      <c r="X14" s="8">
        <v>1.0861797776976223E-4</v>
      </c>
      <c r="Y14" s="8">
        <v>7.3098070247010015E-5</v>
      </c>
    </row>
    <row r="15" spans="1:25" x14ac:dyDescent="0.25">
      <c r="A15" s="8" t="s">
        <v>40</v>
      </c>
      <c r="B15" s="8">
        <v>8.3667116714713886E-5</v>
      </c>
      <c r="C15" s="8">
        <v>8.1449803349098533E-5</v>
      </c>
      <c r="D15" s="8">
        <v>8.0857241837849566E-5</v>
      </c>
      <c r="E15" s="8">
        <v>8.1038063833023508E-5</v>
      </c>
      <c r="F15" s="8">
        <v>8.0708984941332501E-5</v>
      </c>
      <c r="G15" s="8">
        <v>8.2409109363031221E-5</v>
      </c>
      <c r="H15" s="8">
        <v>1.1643196225966972E-4</v>
      </c>
      <c r="I15" s="8">
        <v>2.1691048039324464E-4</v>
      </c>
      <c r="J15" s="8">
        <v>2.4150581616073008E-4</v>
      </c>
      <c r="K15" s="8">
        <v>2.2772516397901439E-4</v>
      </c>
      <c r="L15" s="8">
        <v>1.9865030419227234E-4</v>
      </c>
      <c r="M15" s="8">
        <v>2.0107297989575915E-4</v>
      </c>
      <c r="N15" s="8">
        <v>2.0225736246068144E-4</v>
      </c>
      <c r="O15" s="8">
        <v>1.9839739094683987E-4</v>
      </c>
      <c r="P15" s="8">
        <v>1.957257448405442E-4</v>
      </c>
      <c r="Q15" s="8">
        <v>2.2009621454244219E-4</v>
      </c>
      <c r="R15" s="8">
        <v>2.5330331622812628E-4</v>
      </c>
      <c r="S15" s="8">
        <v>2.6351774430946248E-4</v>
      </c>
      <c r="T15" s="8">
        <v>2.4764502133511705E-4</v>
      </c>
      <c r="U15" s="8">
        <v>2.1305014052994922E-4</v>
      </c>
      <c r="V15" s="8">
        <v>1.9897559434672347E-4</v>
      </c>
      <c r="W15" s="8">
        <v>1.8839560950175885E-4</v>
      </c>
      <c r="X15" s="8">
        <v>1.8046182834009723E-4</v>
      </c>
      <c r="Y15" s="8">
        <v>1.2142958106180613E-4</v>
      </c>
    </row>
    <row r="16" spans="1:25" x14ac:dyDescent="0.25">
      <c r="A16" t="s">
        <v>80</v>
      </c>
      <c r="B16">
        <v>6.2844646415224066E-5</v>
      </c>
      <c r="C16">
        <v>5.9473725558612619E-5</v>
      </c>
      <c r="D16">
        <v>5.8554385092729652E-5</v>
      </c>
      <c r="E16">
        <v>5.8554385092729652E-5</v>
      </c>
      <c r="F16">
        <v>5.824793536324839E-5</v>
      </c>
      <c r="G16">
        <v>5.8707614318750701E-5</v>
      </c>
      <c r="H16">
        <v>7.2951085128459905E-5</v>
      </c>
      <c r="I16">
        <v>1.4584121700187138E-4</v>
      </c>
      <c r="J16">
        <v>1.604951191886623E-4</v>
      </c>
      <c r="K16">
        <v>1.4200329023866424E-4</v>
      </c>
      <c r="L16">
        <v>1.3804006388919924E-4</v>
      </c>
      <c r="M16">
        <v>1.4278999544463513E-4</v>
      </c>
      <c r="N16">
        <v>1.3988410919587283E-4</v>
      </c>
      <c r="O16">
        <v>1.3357750582271931E-4</v>
      </c>
      <c r="P16">
        <v>1.3173882489095337E-4</v>
      </c>
      <c r="Q16">
        <v>1.3537414401130647E-4</v>
      </c>
      <c r="R16">
        <v>1.5735499729149284E-4</v>
      </c>
      <c r="S16">
        <v>1.6677536298300127E-4</v>
      </c>
      <c r="T16">
        <v>1.5421487539432334E-4</v>
      </c>
      <c r="U16">
        <v>1.4271605429651762E-4</v>
      </c>
      <c r="V16">
        <v>1.3796612274108173E-4</v>
      </c>
      <c r="W16">
        <v>1.326032917266833E-4</v>
      </c>
      <c r="X16">
        <v>1.3076461951747821E-4</v>
      </c>
      <c r="Y16">
        <v>8.789212529506449E-5</v>
      </c>
    </row>
    <row r="17" spans="1:25" x14ac:dyDescent="0.25">
      <c r="A17" t="s">
        <v>81</v>
      </c>
      <c r="B17">
        <v>5.5003830655470374E-5</v>
      </c>
      <c r="C17">
        <v>5.241945799873494E-5</v>
      </c>
      <c r="D17">
        <v>5.1714630308224661E-5</v>
      </c>
      <c r="E17">
        <v>5.1714630308224661E-5</v>
      </c>
      <c r="F17">
        <v>5.1479685515622355E-5</v>
      </c>
      <c r="G17">
        <v>5.1832099360877498E-5</v>
      </c>
      <c r="H17">
        <v>6.4248449830186811E-5</v>
      </c>
      <c r="I17">
        <v>1.2679114415904322E-4</v>
      </c>
      <c r="J17">
        <v>1.3802580250224961E-4</v>
      </c>
      <c r="K17">
        <v>1.2251127431401224E-4</v>
      </c>
      <c r="L17">
        <v>1.1956172176274957E-4</v>
      </c>
      <c r="M17">
        <v>1.2320333595525039E-4</v>
      </c>
      <c r="N17">
        <v>1.2047709230044884E-4</v>
      </c>
      <c r="O17">
        <v>1.1464101496868814E-4</v>
      </c>
      <c r="P17">
        <v>1.1323135958766759E-4</v>
      </c>
      <c r="Q17">
        <v>1.1769642073835238E-4</v>
      </c>
      <c r="R17">
        <v>1.3561837571441967E-4</v>
      </c>
      <c r="S17">
        <v>1.4284065607790946E-4</v>
      </c>
      <c r="T17">
        <v>1.3133850586938866E-4</v>
      </c>
      <c r="U17">
        <v>1.2406187115886701E-4</v>
      </c>
      <c r="V17">
        <v>1.2042025696636614E-4</v>
      </c>
      <c r="W17">
        <v>1.1630875318866069E-4</v>
      </c>
      <c r="X17">
        <v>1.148990911203435E-4</v>
      </c>
      <c r="Y17">
        <v>7.7209801600481033E-5</v>
      </c>
    </row>
    <row r="21" spans="1:25" x14ac:dyDescent="0.25">
      <c r="A21" s="8" t="s">
        <v>472</v>
      </c>
    </row>
    <row r="22" spans="1:25" x14ac:dyDescent="0.25">
      <c r="A22" s="8" t="s">
        <v>37</v>
      </c>
      <c r="B22" s="49">
        <f>(B12-B2)/B2</f>
        <v>-0.24716772981010085</v>
      </c>
      <c r="C22" s="49">
        <f t="shared" ref="C22:X27" si="0">(C12-C2)/C2</f>
        <v>-0.24709344732770355</v>
      </c>
      <c r="D22" s="49">
        <f t="shared" si="0"/>
        <v>-0.24707294826325168</v>
      </c>
      <c r="E22" s="49">
        <f t="shared" si="0"/>
        <v>-0.24707923936296508</v>
      </c>
      <c r="F22" s="49">
        <f t="shared" si="0"/>
        <v>-0.24706776990256726</v>
      </c>
      <c r="G22" s="49">
        <f t="shared" si="0"/>
        <v>-0.24712606615270308</v>
      </c>
      <c r="H22" s="49">
        <f t="shared" si="0"/>
        <v>-0.24722218289098791</v>
      </c>
      <c r="I22" s="49">
        <f t="shared" si="0"/>
        <v>-0.2475257059619719</v>
      </c>
      <c r="J22" s="49">
        <f t="shared" si="0"/>
        <v>-0.24769759268267014</v>
      </c>
      <c r="K22" s="49">
        <f t="shared" si="0"/>
        <v>-0.24780498687669084</v>
      </c>
      <c r="L22" s="49">
        <f t="shared" si="0"/>
        <v>-0.24745212563831218</v>
      </c>
      <c r="M22" s="49">
        <f t="shared" si="0"/>
        <v>-0.24782688991004179</v>
      </c>
      <c r="N22" s="49">
        <f t="shared" si="0"/>
        <v>-0.24786402392010293</v>
      </c>
      <c r="O22" s="49">
        <f t="shared" si="0"/>
        <v>-0.24753663663155739</v>
      </c>
      <c r="P22" s="49">
        <f t="shared" si="0"/>
        <v>-0.2478584581769108</v>
      </c>
      <c r="Q22" s="49">
        <f t="shared" si="0"/>
        <v>-0.24778416528009087</v>
      </c>
      <c r="R22" s="49">
        <f t="shared" si="0"/>
        <v>-0.24769078742350886</v>
      </c>
      <c r="S22" s="49">
        <f t="shared" si="0"/>
        <v>-0.24777762181188509</v>
      </c>
      <c r="T22" s="49">
        <f t="shared" si="0"/>
        <v>-0.24790988732213159</v>
      </c>
      <c r="U22" s="49">
        <f t="shared" si="0"/>
        <v>-0.24757367574082662</v>
      </c>
      <c r="V22" s="49">
        <f t="shared" si="0"/>
        <v>-0.24740288752469408</v>
      </c>
      <c r="W22" s="49">
        <f t="shared" si="0"/>
        <v>-0.24726704466628538</v>
      </c>
      <c r="X22" s="49">
        <f t="shared" si="0"/>
        <v>-0.24752900020184146</v>
      </c>
      <c r="Y22" s="49">
        <f>(Y12-Y2)/Y2</f>
        <v>-0.24718990738634858</v>
      </c>
    </row>
    <row r="23" spans="1:25" x14ac:dyDescent="0.25">
      <c r="A23" s="8" t="s">
        <v>38</v>
      </c>
      <c r="B23" s="49">
        <f t="shared" ref="B23:Q27" si="1">(B13-B3)/B3</f>
        <v>0</v>
      </c>
      <c r="C23" s="49">
        <f t="shared" si="1"/>
        <v>0</v>
      </c>
      <c r="D23" s="49">
        <f t="shared" si="1"/>
        <v>-2.6067487048517097E-16</v>
      </c>
      <c r="E23" s="49">
        <f t="shared" si="1"/>
        <v>0</v>
      </c>
      <c r="F23" s="49">
        <f t="shared" si="1"/>
        <v>0</v>
      </c>
      <c r="G23" s="49">
        <f t="shared" si="1"/>
        <v>0</v>
      </c>
      <c r="H23" s="49">
        <f t="shared" si="1"/>
        <v>-1.8073019183159435E-16</v>
      </c>
      <c r="I23" s="49">
        <f t="shared" si="1"/>
        <v>0</v>
      </c>
      <c r="J23" s="49">
        <f t="shared" si="1"/>
        <v>0</v>
      </c>
      <c r="K23" s="49">
        <f t="shared" si="1"/>
        <v>0</v>
      </c>
      <c r="L23" s="49">
        <f t="shared" si="1"/>
        <v>0</v>
      </c>
      <c r="M23" s="49">
        <f t="shared" si="1"/>
        <v>2.0856685818803011E-16</v>
      </c>
      <c r="N23" s="49">
        <f t="shared" si="1"/>
        <v>0</v>
      </c>
      <c r="O23" s="49">
        <f t="shared" si="1"/>
        <v>0</v>
      </c>
      <c r="P23" s="49">
        <f t="shared" si="1"/>
        <v>0</v>
      </c>
      <c r="Q23" s="49">
        <f t="shared" si="1"/>
        <v>1.9095284375324612E-16</v>
      </c>
      <c r="R23" s="49">
        <f t="shared" si="0"/>
        <v>0</v>
      </c>
      <c r="S23" s="49">
        <f t="shared" si="0"/>
        <v>0</v>
      </c>
      <c r="T23" s="49">
        <f t="shared" si="0"/>
        <v>0</v>
      </c>
      <c r="U23" s="49">
        <f t="shared" si="0"/>
        <v>0</v>
      </c>
      <c r="V23" s="49">
        <f t="shared" si="0"/>
        <v>0</v>
      </c>
      <c r="W23" s="49">
        <f t="shared" si="0"/>
        <v>0</v>
      </c>
      <c r="X23" s="49">
        <f t="shared" si="0"/>
        <v>0</v>
      </c>
      <c r="Y23" s="49">
        <f t="shared" ref="Y23:Y27" si="2">(Y13-Y3)/Y3</f>
        <v>0</v>
      </c>
    </row>
    <row r="24" spans="1:25" x14ac:dyDescent="0.25">
      <c r="A24" s="8" t="s">
        <v>39</v>
      </c>
      <c r="B24" s="49">
        <f t="shared" si="1"/>
        <v>0</v>
      </c>
      <c r="C24" s="49">
        <f t="shared" si="0"/>
        <v>0</v>
      </c>
      <c r="D24" s="49">
        <f t="shared" si="0"/>
        <v>0</v>
      </c>
      <c r="E24" s="49">
        <f t="shared" si="0"/>
        <v>0</v>
      </c>
      <c r="F24" s="49">
        <f t="shared" si="0"/>
        <v>0</v>
      </c>
      <c r="G24" s="49">
        <f t="shared" si="0"/>
        <v>0</v>
      </c>
      <c r="H24" s="49">
        <f t="shared" si="0"/>
        <v>0</v>
      </c>
      <c r="I24" s="49">
        <f t="shared" si="0"/>
        <v>0</v>
      </c>
      <c r="J24" s="49">
        <f t="shared" si="0"/>
        <v>0</v>
      </c>
      <c r="K24" s="49">
        <f t="shared" si="0"/>
        <v>-1.9556880121294117E-16</v>
      </c>
      <c r="L24" s="49">
        <f t="shared" si="0"/>
        <v>0</v>
      </c>
      <c r="M24" s="49">
        <f t="shared" si="0"/>
        <v>0</v>
      </c>
      <c r="N24" s="49">
        <f t="shared" si="0"/>
        <v>-2.1955544617976317E-16</v>
      </c>
      <c r="O24" s="49">
        <f t="shared" si="0"/>
        <v>-1.1209262126923808E-16</v>
      </c>
      <c r="P24" s="49">
        <f t="shared" si="0"/>
        <v>0</v>
      </c>
      <c r="Q24" s="49">
        <f t="shared" si="0"/>
        <v>0</v>
      </c>
      <c r="R24" s="49">
        <f t="shared" si="0"/>
        <v>-1.7550311138299586E-16</v>
      </c>
      <c r="S24" s="49">
        <f t="shared" si="0"/>
        <v>-1.6813024624154956E-16</v>
      </c>
      <c r="T24" s="49">
        <f t="shared" si="0"/>
        <v>0</v>
      </c>
      <c r="U24" s="49">
        <f t="shared" si="0"/>
        <v>0</v>
      </c>
      <c r="V24" s="49">
        <f t="shared" si="0"/>
        <v>1.1231687986475223E-16</v>
      </c>
      <c r="W24" s="49">
        <f t="shared" si="0"/>
        <v>0</v>
      </c>
      <c r="X24" s="49">
        <f t="shared" si="0"/>
        <v>2.4954482553148121E-16</v>
      </c>
      <c r="Y24" s="49">
        <f t="shared" si="2"/>
        <v>0</v>
      </c>
    </row>
    <row r="25" spans="1:25" x14ac:dyDescent="0.25">
      <c r="A25" s="8" t="s">
        <v>40</v>
      </c>
      <c r="B25" s="49">
        <f t="shared" si="1"/>
        <v>0.51915429628743948</v>
      </c>
      <c r="C25" s="49">
        <f t="shared" si="0"/>
        <v>0.51968257712912613</v>
      </c>
      <c r="D25" s="49">
        <f t="shared" si="0"/>
        <v>0.51982879906561663</v>
      </c>
      <c r="E25" s="49">
        <f t="shared" si="0"/>
        <v>0.5197839710811043</v>
      </c>
      <c r="F25" s="49">
        <f t="shared" si="0"/>
        <v>0.51986570561037848</v>
      </c>
      <c r="G25" s="49">
        <f t="shared" si="0"/>
        <v>0.51945048564708662</v>
      </c>
      <c r="H25" s="49">
        <f t="shared" si="0"/>
        <v>0.51876796361811783</v>
      </c>
      <c r="I25" s="49">
        <f t="shared" si="0"/>
        <v>0.51845024275721197</v>
      </c>
      <c r="J25" s="49">
        <f t="shared" si="0"/>
        <v>0.51705755635832906</v>
      </c>
      <c r="K25" s="49">
        <f t="shared" si="0"/>
        <v>0.51719271207615347</v>
      </c>
      <c r="L25" s="49">
        <f t="shared" si="0"/>
        <v>0.51558828065357354</v>
      </c>
      <c r="M25" s="49">
        <f t="shared" si="0"/>
        <v>0.51826577079508751</v>
      </c>
      <c r="N25" s="49">
        <f t="shared" si="0"/>
        <v>0.51653090597073781</v>
      </c>
      <c r="O25" s="49">
        <f t="shared" si="0"/>
        <v>0.51499527467760797</v>
      </c>
      <c r="P25" s="49">
        <f t="shared" si="0"/>
        <v>0.51814700658107438</v>
      </c>
      <c r="Q25" s="49">
        <f t="shared" si="0"/>
        <v>0.51742564242949696</v>
      </c>
      <c r="R25" s="49">
        <f t="shared" si="0"/>
        <v>0.51702914242078479</v>
      </c>
      <c r="S25" s="49">
        <f t="shared" si="0"/>
        <v>0.51636185079110863</v>
      </c>
      <c r="T25" s="49">
        <f t="shared" si="0"/>
        <v>0.5162587237131615</v>
      </c>
      <c r="U25" s="49">
        <f t="shared" si="0"/>
        <v>0.51622339837897069</v>
      </c>
      <c r="V25" s="49">
        <f t="shared" si="0"/>
        <v>0.51593585818084442</v>
      </c>
      <c r="W25" s="49">
        <f t="shared" si="0"/>
        <v>0.51837248969176475</v>
      </c>
      <c r="X25" s="49">
        <f t="shared" si="0"/>
        <v>0.52079458468368611</v>
      </c>
      <c r="Y25" s="49">
        <f t="shared" si="2"/>
        <v>0.51899696741758239</v>
      </c>
    </row>
    <row r="26" spans="1:25" x14ac:dyDescent="0.25">
      <c r="A26" s="8" t="s">
        <v>80</v>
      </c>
      <c r="B26" s="49">
        <f t="shared" si="1"/>
        <v>0</v>
      </c>
      <c r="C26" s="49">
        <f t="shared" si="0"/>
        <v>-1.1393709599302384E-16</v>
      </c>
      <c r="D26" s="49">
        <f t="shared" si="0"/>
        <v>0</v>
      </c>
      <c r="E26" s="49">
        <f t="shared" si="0"/>
        <v>0</v>
      </c>
      <c r="F26" s="49">
        <f t="shared" si="0"/>
        <v>0</v>
      </c>
      <c r="G26" s="49">
        <f t="shared" si="0"/>
        <v>0</v>
      </c>
      <c r="H26" s="49">
        <f t="shared" si="0"/>
        <v>0</v>
      </c>
      <c r="I26" s="49">
        <f t="shared" si="0"/>
        <v>0</v>
      </c>
      <c r="J26" s="49">
        <f t="shared" si="0"/>
        <v>0</v>
      </c>
      <c r="K26" s="49">
        <f t="shared" si="0"/>
        <v>-1.9087624143484472E-16</v>
      </c>
      <c r="L26" s="49">
        <f t="shared" si="0"/>
        <v>-1.9635643123067552E-16</v>
      </c>
      <c r="M26" s="49">
        <f t="shared" si="0"/>
        <v>0</v>
      </c>
      <c r="N26" s="49">
        <f t="shared" si="0"/>
        <v>0</v>
      </c>
      <c r="O26" s="49">
        <f t="shared" si="0"/>
        <v>-2.02916307990589E-16</v>
      </c>
      <c r="P26" s="49">
        <f t="shared" si="0"/>
        <v>0</v>
      </c>
      <c r="Q26" s="49">
        <f t="shared" si="0"/>
        <v>0</v>
      </c>
      <c r="R26" s="49">
        <f t="shared" si="0"/>
        <v>0</v>
      </c>
      <c r="S26" s="49">
        <f t="shared" si="0"/>
        <v>0</v>
      </c>
      <c r="T26" s="49">
        <f t="shared" si="0"/>
        <v>0</v>
      </c>
      <c r="U26" s="49">
        <f t="shared" si="0"/>
        <v>0</v>
      </c>
      <c r="V26" s="49">
        <f t="shared" si="0"/>
        <v>0</v>
      </c>
      <c r="W26" s="49">
        <f t="shared" si="0"/>
        <v>-2.0440709999873517E-16</v>
      </c>
      <c r="X26" s="49">
        <f t="shared" si="0"/>
        <v>2.0728125399787297E-16</v>
      </c>
      <c r="Y26" s="49">
        <f t="shared" si="2"/>
        <v>0</v>
      </c>
    </row>
    <row r="27" spans="1:25" x14ac:dyDescent="0.25">
      <c r="A27" s="8" t="s">
        <v>81</v>
      </c>
      <c r="B27" s="49">
        <f t="shared" si="1"/>
        <v>-0.24726580796145767</v>
      </c>
      <c r="C27" s="49">
        <f t="shared" si="0"/>
        <v>-0.24713049167504991</v>
      </c>
      <c r="D27" s="49">
        <f t="shared" si="0"/>
        <v>-0.24709127983687187</v>
      </c>
      <c r="E27" s="49">
        <f t="shared" si="0"/>
        <v>-0.24709127983687187</v>
      </c>
      <c r="F27" s="49">
        <f t="shared" si="0"/>
        <v>-0.24707795319795703</v>
      </c>
      <c r="G27" s="49">
        <f t="shared" si="0"/>
        <v>-0.24709787310926451</v>
      </c>
      <c r="H27" s="49">
        <f t="shared" si="0"/>
        <v>-0.24714543252748644</v>
      </c>
      <c r="I27" s="49">
        <f t="shared" si="0"/>
        <v>-0.24761904761904779</v>
      </c>
      <c r="J27" s="49">
        <f t="shared" si="0"/>
        <v>-0.2478134110787171</v>
      </c>
      <c r="K27" s="49">
        <f t="shared" si="0"/>
        <v>-0.24794745484400663</v>
      </c>
      <c r="L27" s="49">
        <f t="shared" si="0"/>
        <v>-0.24746933822591657</v>
      </c>
      <c r="M27" s="49">
        <f t="shared" si="0"/>
        <v>-0.24754438381920713</v>
      </c>
      <c r="N27" s="49">
        <f t="shared" si="0"/>
        <v>-0.24758007585169445</v>
      </c>
      <c r="O27" s="49">
        <f t="shared" si="0"/>
        <v>-0.24764946178930991</v>
      </c>
      <c r="P27" s="49">
        <f t="shared" si="0"/>
        <v>-0.24762011743436357</v>
      </c>
      <c r="Q27" s="49">
        <f t="shared" si="0"/>
        <v>-0.24786324786324787</v>
      </c>
      <c r="R27" s="49">
        <f t="shared" si="0"/>
        <v>-0.24777448071216626</v>
      </c>
      <c r="S27" s="49">
        <f t="shared" si="0"/>
        <v>-0.2478873239436622</v>
      </c>
      <c r="T27" s="49">
        <f t="shared" si="0"/>
        <v>-0.24808575803981622</v>
      </c>
      <c r="U27" s="49">
        <f t="shared" si="0"/>
        <v>-0.24739829938914779</v>
      </c>
      <c r="V27" s="49">
        <f t="shared" si="0"/>
        <v>-0.24731934046983214</v>
      </c>
      <c r="W27" s="49">
        <f t="shared" si="0"/>
        <v>-0.24722422868743335</v>
      </c>
      <c r="X27" s="49">
        <f t="shared" si="0"/>
        <v>-0.24719006799025764</v>
      </c>
      <c r="Y27" s="49">
        <f t="shared" si="2"/>
        <v>-0.24719468452540386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123F1-1322-435B-827E-B2F4F7C9CCC9}">
  <sheetPr codeName="Sheet22">
    <tabColor rgb="FF002060"/>
  </sheetPr>
  <dimension ref="A1:Y27"/>
  <sheetViews>
    <sheetView workbookViewId="0">
      <selection activeCell="A11" sqref="A11:XFD17"/>
    </sheetView>
  </sheetViews>
  <sheetFormatPr defaultRowHeight="15" x14ac:dyDescent="0.25"/>
  <cols>
    <col min="1" max="1" width="28.42578125" customWidth="1"/>
    <col min="2" max="2" width="10.5703125" bestFit="1" customWidth="1"/>
    <col min="3" max="25" width="10.42578125" bestFit="1" customWidth="1"/>
  </cols>
  <sheetData>
    <row r="1" spans="1:25" x14ac:dyDescent="0.25">
      <c r="A1" s="6" t="s">
        <v>25</v>
      </c>
      <c r="B1" s="7" t="s">
        <v>34</v>
      </c>
      <c r="C1" s="7" t="s">
        <v>0</v>
      </c>
      <c r="D1" s="7" t="s">
        <v>1</v>
      </c>
      <c r="E1" s="7" t="s">
        <v>2</v>
      </c>
      <c r="F1" s="7" t="s">
        <v>3</v>
      </c>
      <c r="G1" s="7" t="s">
        <v>4</v>
      </c>
      <c r="H1" s="7" t="s">
        <v>5</v>
      </c>
      <c r="I1" s="7" t="s">
        <v>6</v>
      </c>
      <c r="J1" s="7" t="s">
        <v>7</v>
      </c>
      <c r="K1" s="7" t="s">
        <v>8</v>
      </c>
      <c r="L1" s="7" t="s">
        <v>9</v>
      </c>
      <c r="M1" s="7" t="s">
        <v>10</v>
      </c>
      <c r="N1" s="7" t="s">
        <v>11</v>
      </c>
      <c r="O1" s="7" t="s">
        <v>12</v>
      </c>
      <c r="P1" s="7" t="s">
        <v>13</v>
      </c>
      <c r="Q1" s="7" t="s">
        <v>14</v>
      </c>
      <c r="R1" s="7" t="s">
        <v>15</v>
      </c>
      <c r="S1" s="7" t="s">
        <v>16</v>
      </c>
      <c r="T1" s="7" t="s">
        <v>17</v>
      </c>
      <c r="U1" s="7" t="s">
        <v>18</v>
      </c>
      <c r="V1" s="7" t="s">
        <v>19</v>
      </c>
      <c r="W1" s="7" t="s">
        <v>20</v>
      </c>
      <c r="X1" s="7" t="s">
        <v>21</v>
      </c>
      <c r="Y1" s="7" t="s">
        <v>22</v>
      </c>
    </row>
    <row r="2" spans="1:25" x14ac:dyDescent="0.25">
      <c r="A2" s="8" t="s">
        <v>37</v>
      </c>
      <c r="B2" s="8" cm="1">
        <f t="array" ref="B2">INDEX('Summarized Modified Source Data'!$Q$600:$Q$743,MATCH(1,($A2=LoadFactorSeasons)*(B$1=LoadFactorHours),0),)</f>
        <v>5.8803907984311598E-5</v>
      </c>
      <c r="C2" s="8" cm="1">
        <f t="array" ref="C2">INDEX('Summarized Modified Source Data'!$Q$600:$Q$743,MATCH(1,($A2=LoadFactorSeasons)*(C$1=LoadFactorHours),0),)</f>
        <v>5.7301062258727849E-5</v>
      </c>
      <c r="D2" s="8" cm="1">
        <f t="array" ref="D2">INDEX('Summarized Modified Source Data'!$Q$600:$Q$743,MATCH(1,($A2=LoadFactorSeasons)*(D$1=LoadFactorHours),0),)</f>
        <v>5.6899438508207669E-5</v>
      </c>
      <c r="E2" s="8" cm="1">
        <f t="array" ref="E2">INDEX('Summarized Modified Source Data'!$Q$600:$Q$743,MATCH(1,($A2=LoadFactorSeasons)*(E$1=LoadFactorHours),0),)</f>
        <v>5.7021995638270019E-5</v>
      </c>
      <c r="F2" s="8" cm="1">
        <f t="array" ref="F2">INDEX('Summarized Modified Source Data'!$Q$600:$Q$743,MATCH(1,($A2=LoadFactorSeasons)*(F$1=LoadFactorHours),0),)</f>
        <v>5.6798953278346127E-5</v>
      </c>
      <c r="G2" s="8" cm="1">
        <f t="array" ref="G2">INDEX('Summarized Modified Source Data'!$Q$600:$Q$743,MATCH(1,($A2=LoadFactorSeasons)*(G$1=LoadFactorHours),0),)</f>
        <v>5.7951256646403837E-5</v>
      </c>
      <c r="H2" s="8" cm="1">
        <f t="array" ref="H2">INDEX('Summarized Modified Source Data'!$Q$600:$Q$743,MATCH(1,($A2=LoadFactorSeasons)*(H$1=LoadFactorHours),0),)</f>
        <v>8.1773971353249142E-5</v>
      </c>
      <c r="I2" s="8" cm="1">
        <f t="array" ref="I2">INDEX('Summarized Modified Source Data'!$Q$600:$Q$743,MATCH(1,($A2=LoadFactorSeasons)*(I$1=LoadFactorHours),0),)</f>
        <v>1.5209513901515945E-4</v>
      </c>
      <c r="J2" s="8" cm="1">
        <f t="array" ref="J2">INDEX('Summarized Modified Source Data'!$Q$600:$Q$743,MATCH(1,($A2=LoadFactorSeasons)*(J$1=LoadFactorHours),0),)</f>
        <v>1.6892395027049567E-4</v>
      </c>
      <c r="K2" s="8" cm="1">
        <f t="array" ref="K2">INDEX('Summarized Modified Source Data'!$Q$600:$Q$743,MATCH(1,($A2=LoadFactorSeasons)*(K$1=LoadFactorHours),0),)</f>
        <v>1.5924331839998861E-4</v>
      </c>
      <c r="L2" s="8" cm="1">
        <f t="array" ref="L2">INDEX('Summarized Modified Source Data'!$Q$600:$Q$743,MATCH(1,($A2=LoadFactorSeasons)*(L$1=LoadFactorHours),0),)</f>
        <v>1.3882524015486545E-4</v>
      </c>
      <c r="M2" s="8" cm="1">
        <f t="array" ref="M2">INDEX('Summarized Modified Source Data'!$Q$600:$Q$743,MATCH(1,($A2=LoadFactorSeasons)*(M$1=LoadFactorHours),0),)</f>
        <v>1.4078571860625389E-4</v>
      </c>
      <c r="N2" s="8" cm="1">
        <f t="array" ref="N2">INDEX('Summarized Modified Source Data'!$Q$600:$Q$743,MATCH(1,($A2=LoadFactorSeasons)*(N$1=LoadFactorHours),0),)</f>
        <v>1.4128123391215559E-4</v>
      </c>
      <c r="O2" s="8" cm="1">
        <f t="array" ref="O2">INDEX('Summarized Modified Source Data'!$Q$600:$Q$743,MATCH(1,($A2=LoadFactorSeasons)*(O$1=LoadFactorHours),0),)</f>
        <v>1.3849593474078923E-4</v>
      </c>
      <c r="P2" s="8" cm="1">
        <f t="array" ref="P2">INDEX('Summarized Modified Source Data'!$Q$600:$Q$743,MATCH(1,($A2=LoadFactorSeasons)*(P$1=LoadFactorHours),0),)</f>
        <v>1.3700359571354378E-4</v>
      </c>
      <c r="Q2" s="8" cm="1">
        <f t="array" ref="Q2">INDEX('Summarized Modified Source Data'!$Q$600:$Q$743,MATCH(1,($A2=LoadFactorSeasons)*(Q$1=LoadFactorHours),0),)</f>
        <v>1.5396717510259399E-4</v>
      </c>
      <c r="R2" s="8" cm="1">
        <f t="array" ref="R2">INDEX('Summarized Modified Source Data'!$Q$600:$Q$743,MATCH(1,($A2=LoadFactorSeasons)*(R$1=LoadFactorHours),0),)</f>
        <v>1.7717429358388555E-4</v>
      </c>
      <c r="S2" s="8" cm="1">
        <f t="array" ref="S2">INDEX('Summarized Modified Source Data'!$Q$600:$Q$743,MATCH(1,($A2=LoadFactorSeasons)*(S$1=LoadFactorHours),0),)</f>
        <v>1.8409740722389529E-4</v>
      </c>
      <c r="T2" s="8" cm="1">
        <f t="array" ref="T2">INDEX('Summarized Modified Source Data'!$Q$600:$Q$743,MATCH(1,($A2=LoadFactorSeasons)*(T$1=LoadFactorHours),0),)</f>
        <v>1.7289340726976636E-4</v>
      </c>
      <c r="U2" s="8" cm="1">
        <f t="array" ref="U2">INDEX('Summarized Modified Source Data'!$Q$600:$Q$743,MATCH(1,($A2=LoadFactorSeasons)*(U$1=LoadFactorHours),0),)</f>
        <v>1.4893625879403876E-4</v>
      </c>
      <c r="V2" s="8" cm="1">
        <f t="array" ref="V2">INDEX('Summarized Modified Source Data'!$Q$600:$Q$743,MATCH(1,($A2=LoadFactorSeasons)*(V$1=LoadFactorHours),0),)</f>
        <v>1.3914209000129895E-4</v>
      </c>
      <c r="W2" s="8" cm="1">
        <f t="array" ref="W2">INDEX('Summarized Modified Source Data'!$Q$600:$Q$743,MATCH(1,($A2=LoadFactorSeasons)*(W$1=LoadFactorHours),0),)</f>
        <v>1.3222596554159863E-4</v>
      </c>
      <c r="X2" s="8" cm="1">
        <f t="array" ref="X2">INDEX('Summarized Modified Source Data'!$Q$600:$Q$743,MATCH(1,($A2=LoadFactorSeasons)*(X$1=LoadFactorHours),0),)</f>
        <v>1.2691231224206217E-4</v>
      </c>
      <c r="Y2" s="8" cm="1">
        <f t="array" ref="Y2">INDEX('Summarized Modified Source Data'!$Q$600:$Q$743,MATCH(1,($A2=LoadFactorSeasons)*(Y$1=LoadFactorHours),0),)</f>
        <v>8.5319885554293307E-5</v>
      </c>
    </row>
    <row r="3" spans="1:25" x14ac:dyDescent="0.25">
      <c r="A3" s="8" t="s">
        <v>38</v>
      </c>
      <c r="B3" s="8" cm="1">
        <f t="array" ref="B3">INDEX('Summarized Modified Source Data'!$Q$600:$Q$743,MATCH(1,($A3=LoadFactorSeasons)*(B$1=LoadFactorHours),0),)</f>
        <v>5.3853225113109334E-5</v>
      </c>
      <c r="C3" s="8" cm="1">
        <f t="array" ref="C3">INDEX('Summarized Modified Source Data'!$Q$600:$Q$743,MATCH(1,($A3=LoadFactorSeasons)*(C$1=LoadFactorHours),0),)</f>
        <v>5.2383049946777416E-5</v>
      </c>
      <c r="D3" s="8" cm="1">
        <f t="array" ref="D3">INDEX('Summarized Modified Source Data'!$Q$600:$Q$743,MATCH(1,($A3=LoadFactorSeasons)*(D$1=LoadFactorHours),0),)</f>
        <v>5.1990155901275371E-5</v>
      </c>
      <c r="E3" s="8" cm="1">
        <f t="array" ref="E3">INDEX('Summarized Modified Source Data'!$Q$600:$Q$743,MATCH(1,($A3=LoadFactorSeasons)*(E$1=LoadFactorHours),0),)</f>
        <v>5.2110043761581111E-5</v>
      </c>
      <c r="F3" s="8" cm="1">
        <f t="array" ref="F3">INDEX('Summarized Modified Source Data'!$Q$600:$Q$743,MATCH(1,($A3=LoadFactorSeasons)*(F$1=LoadFactorHours),0),)</f>
        <v>5.189185014861208E-5</v>
      </c>
      <c r="G3" s="8" cm="1">
        <f t="array" ref="G3">INDEX('Summarized Modified Source Data'!$Q$600:$Q$743,MATCH(1,($A3=LoadFactorSeasons)*(G$1=LoadFactorHours),0),)</f>
        <v>5.3019106558651451E-5</v>
      </c>
      <c r="H3" s="8" cm="1">
        <f t="array" ref="H3">INDEX('Summarized Modified Source Data'!$Q$600:$Q$743,MATCH(1,($A3=LoadFactorSeasons)*(H$1=LoadFactorHours),0),)</f>
        <v>7.4987621153510116E-5</v>
      </c>
      <c r="I3" s="8" cm="1">
        <f t="array" ref="I3">INDEX('Summarized Modified Source Data'!$Q$600:$Q$743,MATCH(1,($A3=LoadFactorSeasons)*(I$1=LoadFactorHours),0),)</f>
        <v>1.4020599162761462E-4</v>
      </c>
      <c r="J3" s="8" cm="1">
        <f t="array" ref="J3">INDEX('Summarized Modified Source Data'!$Q$600:$Q$743,MATCH(1,($A3=LoadFactorSeasons)*(J$1=LoadFactorHours),0),)</f>
        <v>1.5589260514157753E-4</v>
      </c>
      <c r="K3" s="8" cm="1">
        <f t="array" ref="K3">INDEX('Summarized Modified Source Data'!$Q$600:$Q$743,MATCH(1,($A3=LoadFactorSeasons)*(K$1=LoadFactorHours),0),)</f>
        <v>1.4692310114265694E-4</v>
      </c>
      <c r="L3" s="8" cm="1">
        <f t="array" ref="L3">INDEX('Summarized Modified Source Data'!$Q$600:$Q$743,MATCH(1,($A3=LoadFactorSeasons)*(L$1=LoadFactorHours),0),)</f>
        <v>1.2860146430732525E-4</v>
      </c>
      <c r="M3" s="8" cm="1">
        <f t="array" ref="M3">INDEX('Summarized Modified Source Data'!$Q$600:$Q$743,MATCH(1,($A3=LoadFactorSeasons)*(M$1=LoadFactorHours),0),)</f>
        <v>1.2995858760887836E-4</v>
      </c>
      <c r="N3" s="8" cm="1">
        <f t="array" ref="N3">INDEX('Summarized Modified Source Data'!$Q$600:$Q$743,MATCH(1,($A3=LoadFactorSeasons)*(N$1=LoadFactorHours),0),)</f>
        <v>1.3053527597961398E-4</v>
      </c>
      <c r="O3" s="8" cm="1">
        <f t="array" ref="O3">INDEX('Summarized Modified Source Data'!$Q$600:$Q$743,MATCH(1,($A3=LoadFactorSeasons)*(O$1=LoadFactorHours),0),)</f>
        <v>1.2855592257117533E-4</v>
      </c>
      <c r="P3" s="8" cm="1">
        <f t="array" ref="P3">INDEX('Summarized Modified Source Data'!$Q$600:$Q$743,MATCH(1,($A3=LoadFactorSeasons)*(P$1=LoadFactorHours),0),)</f>
        <v>1.2653529151275032E-4</v>
      </c>
      <c r="Q3" s="8" cm="1">
        <f t="array" ref="Q3">INDEX('Summarized Modified Source Data'!$Q$600:$Q$743,MATCH(1,($A3=LoadFactorSeasons)*(Q$1=LoadFactorHours),0),)</f>
        <v>1.4194632443999326E-4</v>
      </c>
      <c r="R3" s="8" cm="1">
        <f t="array" ref="R3">INDEX('Summarized Modified Source Data'!$Q$600:$Q$743,MATCH(1,($A3=LoadFactorSeasons)*(R$1=LoadFactorHours),0),)</f>
        <v>1.6351815192147093E-4</v>
      </c>
      <c r="S3" s="8" cm="1">
        <f t="array" ref="S3">INDEX('Summarized Modified Source Data'!$Q$600:$Q$743,MATCH(1,($A3=LoadFactorSeasons)*(S$1=LoadFactorHours),0),)</f>
        <v>1.7029076433712587E-4</v>
      </c>
      <c r="T3" s="8" cm="1">
        <f t="array" ref="T3">INDEX('Summarized Modified Source Data'!$Q$600:$Q$743,MATCH(1,($A3=LoadFactorSeasons)*(T$1=LoadFactorHours),0),)</f>
        <v>1.6026488844175419E-4</v>
      </c>
      <c r="U3" s="8" cm="1">
        <f t="array" ref="U3">INDEX('Summarized Modified Source Data'!$Q$600:$Q$743,MATCH(1,($A3=LoadFactorSeasons)*(U$1=LoadFactorHours),0),)</f>
        <v>1.378254128820055E-4</v>
      </c>
      <c r="V3" s="8" cm="1">
        <f t="array" ref="V3">INDEX('Summarized Modified Source Data'!$Q$600:$Q$743,MATCH(1,($A3=LoadFactorSeasons)*(V$1=LoadFactorHours),0),)</f>
        <v>1.2849337682573626E-4</v>
      </c>
      <c r="W3" s="8" cm="1">
        <f t="array" ref="W3">INDEX('Summarized Modified Source Data'!$Q$600:$Q$743,MATCH(1,($A3=LoadFactorSeasons)*(W$1=LoadFactorHours),0),)</f>
        <v>1.2122917085059875E-4</v>
      </c>
      <c r="X3" s="8" cm="1">
        <f t="array" ref="X3">INDEX('Summarized Modified Source Data'!$Q$600:$Q$743,MATCH(1,($A3=LoadFactorSeasons)*(X$1=LoadFactorHours),0),)</f>
        <v>1.1619444145381066E-4</v>
      </c>
      <c r="Y3" s="8" cm="1">
        <f t="array" ref="Y3">INDEX('Summarized Modified Source Data'!$Q$600:$Q$743,MATCH(1,($A3=LoadFactorSeasons)*(Y$1=LoadFactorHours),0),)</f>
        <v>7.8178528291965725E-5</v>
      </c>
    </row>
    <row r="4" spans="1:25" x14ac:dyDescent="0.25">
      <c r="A4" s="8" t="s">
        <v>39</v>
      </c>
      <c r="B4" s="8" cm="1">
        <f t="array" ref="B4">INDEX('Summarized Modified Source Data'!$Q$600:$Q$743,MATCH(1,($A4=LoadFactorSeasons)*(B$1=LoadFactorHours),0),)</f>
        <v>5.0324072018803384E-5</v>
      </c>
      <c r="C4" s="8" cm="1">
        <f t="array" ref="C4">INDEX('Summarized Modified Source Data'!$Q$600:$Q$743,MATCH(1,($A4=LoadFactorSeasons)*(C$1=LoadFactorHours),0),)</f>
        <v>4.8853896852471467E-5</v>
      </c>
      <c r="D4" s="8" cm="1">
        <f t="array" ref="D4">INDEX('Summarized Modified Source Data'!$Q$600:$Q$743,MATCH(1,($A4=LoadFactorSeasons)*(D$1=LoadFactorHours),0),)</f>
        <v>4.8461002806969428E-5</v>
      </c>
      <c r="E4" s="8" cm="1">
        <f t="array" ref="E4">INDEX('Summarized Modified Source Data'!$Q$600:$Q$743,MATCH(1,($A4=LoadFactorSeasons)*(E$1=LoadFactorHours),0),)</f>
        <v>4.858089565159564E-5</v>
      </c>
      <c r="F4" s="8" cm="1">
        <f t="array" ref="F4">INDEX('Summarized Modified Source Data'!$Q$600:$Q$743,MATCH(1,($A4=LoadFactorSeasons)*(F$1=LoadFactorHours),0),)</f>
        <v>4.836269954646637E-5</v>
      </c>
      <c r="G4" s="8" cm="1">
        <f t="array" ref="G4">INDEX('Summarized Modified Source Data'!$Q$600:$Q$743,MATCH(1,($A4=LoadFactorSeasons)*(G$1=LoadFactorHours),0),)</f>
        <v>4.9489955956505734E-5</v>
      </c>
      <c r="H4" s="8" cm="1">
        <f t="array" ref="H4">INDEX('Summarized Modified Source Data'!$Q$600:$Q$743,MATCH(1,($A4=LoadFactorSeasons)*(H$1=LoadFactorHours),0),)</f>
        <v>7.01742504131906E-5</v>
      </c>
      <c r="I4" s="8" cm="1">
        <f t="array" ref="I4">INDEX('Summarized Modified Source Data'!$Q$600:$Q$743,MATCH(1,($A4=LoadFactorSeasons)*(I$1=LoadFactorHours),0),)</f>
        <v>1.3132658171338023E-4</v>
      </c>
      <c r="J4" s="8" cm="1">
        <f t="array" ref="J4">INDEX('Summarized Modified Source Data'!$Q$600:$Q$743,MATCH(1,($A4=LoadFactorSeasons)*(J$1=LoadFactorHours),0),)</f>
        <v>1.4724453747771651E-4</v>
      </c>
      <c r="K4" s="8" cm="1">
        <f t="array" ref="K4">INDEX('Summarized Modified Source Data'!$Q$600:$Q$743,MATCH(1,($A4=LoadFactorSeasons)*(K$1=LoadFactorHours),0),)</f>
        <v>1.3859600377989133E-4</v>
      </c>
      <c r="L4" s="8" cm="1">
        <f t="array" ref="L4">INDEX('Summarized Modified Source Data'!$Q$600:$Q$743,MATCH(1,($A4=LoadFactorSeasons)*(L$1=LoadFactorHours),0),)</f>
        <v>1.2068444194272762E-4</v>
      </c>
      <c r="M4" s="8" cm="1">
        <f t="array" ref="M4">INDEX('Summarized Modified Source Data'!$Q$600:$Q$743,MATCH(1,($A4=LoadFactorSeasons)*(M$1=LoadFactorHours),0),)</f>
        <v>1.225399972914505E-4</v>
      </c>
      <c r="N4" s="8" cm="1">
        <f t="array" ref="N4">INDEX('Summarized Modified Source Data'!$Q$600:$Q$743,MATCH(1,($A4=LoadFactorSeasons)*(N$1=LoadFactorHours),0),)</f>
        <v>1.2345425624261258E-4</v>
      </c>
      <c r="O4" s="8" cm="1">
        <f t="array" ref="O4">INDEX('Summarized Modified Source Data'!$Q$600:$Q$743,MATCH(1,($A4=LoadFactorSeasons)*(O$1=LoadFactorHours),0),)</f>
        <v>1.2090472149381405E-4</v>
      </c>
      <c r="P4" s="8" cm="1">
        <f t="array" ref="P4">INDEX('Summarized Modified Source Data'!$Q$600:$Q$743,MATCH(1,($A4=LoadFactorSeasons)*(P$1=LoadFactorHours),0),)</f>
        <v>1.1938251999039859E-4</v>
      </c>
      <c r="Q4" s="8" cm="1">
        <f t="array" ref="Q4">INDEX('Summarized Modified Source Data'!$Q$600:$Q$743,MATCH(1,($A4=LoadFactorSeasons)*(Q$1=LoadFactorHours),0),)</f>
        <v>1.3354747529187736E-4</v>
      </c>
      <c r="R4" s="8" cm="1">
        <f t="array" ref="R4">INDEX('Summarized Modified Source Data'!$Q$600:$Q$743,MATCH(1,($A4=LoadFactorSeasons)*(R$1=LoadFactorHours),0),)</f>
        <v>1.5444201586253914E-4</v>
      </c>
      <c r="S4" s="8" cm="1">
        <f t="array" ref="S4">INDEX('Summarized Modified Source Data'!$Q$600:$Q$743,MATCH(1,($A4=LoadFactorSeasons)*(S$1=LoadFactorHours),0),)</f>
        <v>1.6121462329387356E-4</v>
      </c>
      <c r="T4" s="8" cm="1">
        <f t="array" ref="T4">INDEX('Summarized Modified Source Data'!$Q$600:$Q$743,MATCH(1,($A4=LoadFactorSeasons)*(T$1=LoadFactorHours),0),)</f>
        <v>1.5193640045357699E-4</v>
      </c>
      <c r="U4" s="8" cm="1">
        <f t="array" ref="U4">INDEX('Summarized Modified Source Data'!$Q$600:$Q$743,MATCH(1,($A4=LoadFactorSeasons)*(U$1=LoadFactorHours),0),)</f>
        <v>1.3024456798026247E-4</v>
      </c>
      <c r="V4" s="8" cm="1">
        <f t="array" ref="V4">INDEX('Summarized Modified Source Data'!$Q$600:$Q$743,MATCH(1,($A4=LoadFactorSeasons)*(V$1=LoadFactorHours),0),)</f>
        <v>1.2066331590040832E-4</v>
      </c>
      <c r="W4" s="8" cm="1">
        <f t="array" ref="W4">INDEX('Summarized Modified Source Data'!$Q$600:$Q$743,MATCH(1,($A4=LoadFactorSeasons)*(W$1=LoadFactorHours),0),)</f>
        <v>1.1381145278925345E-4</v>
      </c>
      <c r="X4" s="8" cm="1">
        <f t="array" ref="X4">INDEX('Summarized Modified Source Data'!$Q$600:$Q$743,MATCH(1,($A4=LoadFactorSeasons)*(X$1=LoadFactorHours),0),)</f>
        <v>1.0861797776976226E-4</v>
      </c>
      <c r="Y4" s="8" cm="1">
        <f t="array" ref="Y4">INDEX('Summarized Modified Source Data'!$Q$600:$Q$743,MATCH(1,($A4=LoadFactorSeasons)*(Y$1=LoadFactorHours),0),)</f>
        <v>7.3098070247010056E-5</v>
      </c>
    </row>
    <row r="5" spans="1:25" x14ac:dyDescent="0.25">
      <c r="A5" s="8" t="s">
        <v>40</v>
      </c>
      <c r="B5" s="8" cm="1">
        <f t="array" ref="B5">INDEX('Summarized Modified Source Data'!$Q$600:$Q$743,MATCH(1,($A5=LoadFactorSeasons)*(B$1=LoadFactorHours),0),)</f>
        <v>5.5074798471216793E-5</v>
      </c>
      <c r="C5" s="8" cm="1">
        <f t="array" ref="C5">INDEX('Summarized Modified Source Data'!$Q$600:$Q$743,MATCH(1,($A5=LoadFactorSeasons)*(C$1=LoadFactorHours),0),)</f>
        <v>5.3596589560806566E-5</v>
      </c>
      <c r="D5" s="8" cm="1">
        <f t="array" ref="D5">INDEX('Summarized Modified Source Data'!$Q$600:$Q$743,MATCH(1,($A5=LoadFactorSeasons)*(D$1=LoadFactorHours),0),)</f>
        <v>5.320154604752866E-5</v>
      </c>
      <c r="E5" s="8" cm="1">
        <f t="array" ref="E5">INDEX('Summarized Modified Source Data'!$Q$600:$Q$743,MATCH(1,($A5=LoadFactorSeasons)*(E$1=LoadFactorHours),0),)</f>
        <v>5.3322094044311301E-5</v>
      </c>
      <c r="F5" s="8" cm="1">
        <f t="array" ref="F5">INDEX('Summarized Modified Source Data'!$Q$600:$Q$743,MATCH(1,($A5=LoadFactorSeasons)*(F$1=LoadFactorHours),0),)</f>
        <v>5.3102708116517301E-5</v>
      </c>
      <c r="G5" s="8" cm="1">
        <f t="array" ref="G5">INDEX('Summarized Modified Source Data'!$Q$600:$Q$743,MATCH(1,($A5=LoadFactorSeasons)*(G$1=LoadFactorHours),0),)</f>
        <v>5.4236126903428359E-5</v>
      </c>
      <c r="H5" s="8" cm="1">
        <f t="array" ref="H5">INDEX('Summarized Modified Source Data'!$Q$600:$Q$743,MATCH(1,($A5=LoadFactorSeasons)*(H$1=LoadFactorHours),0),)</f>
        <v>7.6662113666328064E-5</v>
      </c>
      <c r="I5" s="8" cm="1">
        <f t="array" ref="I5">INDEX('Summarized Modified Source Data'!$Q$600:$Q$743,MATCH(1,($A5=LoadFactorSeasons)*(I$1=LoadFactorHours),0),)</f>
        <v>1.4284990991827117E-4</v>
      </c>
      <c r="J5" s="8" cm="1">
        <f t="array" ref="J5">INDEX('Summarized Modified Source Data'!$Q$600:$Q$743,MATCH(1,($A5=LoadFactorSeasons)*(J$1=LoadFactorHours),0),)</f>
        <v>1.5919357518673238E-4</v>
      </c>
      <c r="K5" s="8" cm="1">
        <f t="array" ref="K5">INDEX('Summarized Modified Source Data'!$Q$600:$Q$743,MATCH(1,($A5=LoadFactorSeasons)*(K$1=LoadFactorHours),0),)</f>
        <v>1.5009639986168357E-4</v>
      </c>
      <c r="L5" s="8" cm="1">
        <f t="array" ref="L5">INDEX('Summarized Modified Source Data'!$Q$600:$Q$743,MATCH(1,($A5=LoadFactorSeasons)*(L$1=LoadFactorHours),0),)</f>
        <v>1.3107141743442854E-4</v>
      </c>
      <c r="M5" s="8" cm="1">
        <f t="array" ref="M5">INDEX('Summarized Modified Source Data'!$Q$600:$Q$743,MATCH(1,($A5=LoadFactorSeasons)*(M$1=LoadFactorHours),0),)</f>
        <v>1.3243595671030706E-4</v>
      </c>
      <c r="N5" s="8" cm="1">
        <f t="array" ref="N5">INDEX('Summarized Modified Source Data'!$Q$600:$Q$743,MATCH(1,($A5=LoadFactorSeasons)*(N$1=LoadFactorHours),0),)</f>
        <v>1.3336844087012898E-4</v>
      </c>
      <c r="O5" s="8" cm="1">
        <f t="array" ref="O5">INDEX('Summarized Modified Source Data'!$Q$600:$Q$743,MATCH(1,($A5=LoadFactorSeasons)*(O$1=LoadFactorHours),0),)</f>
        <v>1.3095578201658686E-4</v>
      </c>
      <c r="P5" s="8" cm="1">
        <f t="array" ref="P5">INDEX('Summarized Modified Source Data'!$Q$600:$Q$743,MATCH(1,($A5=LoadFactorSeasons)*(P$1=LoadFactorHours),0),)</f>
        <v>1.2892410549972112E-4</v>
      </c>
      <c r="Q5" s="8" cm="1">
        <f t="array" ref="Q5">INDEX('Summarized Modified Source Data'!$Q$600:$Q$743,MATCH(1,($A5=LoadFactorSeasons)*(Q$1=LoadFactorHours),0),)</f>
        <v>1.4504579887687541E-4</v>
      </c>
      <c r="R5" s="8" cm="1">
        <f t="array" ref="R5">INDEX('Summarized Modified Source Data'!$Q$600:$Q$743,MATCH(1,($A5=LoadFactorSeasons)*(R$1=LoadFactorHours),0),)</f>
        <v>1.6697326975796917E-4</v>
      </c>
      <c r="S5" s="8" cm="1">
        <f t="array" ref="S5">INDEX('Summarized Modified Source Data'!$Q$600:$Q$743,MATCH(1,($A5=LoadFactorSeasons)*(S$1=LoadFactorHours),0),)</f>
        <v>1.7378288973174933E-4</v>
      </c>
      <c r="T5" s="8" cm="1">
        <f t="array" ref="T5">INDEX('Summarized Modified Source Data'!$Q$600:$Q$743,MATCH(1,($A5=LoadFactorSeasons)*(T$1=LoadFactorHours),0),)</f>
        <v>1.6332636209251939E-4</v>
      </c>
      <c r="U5" s="8" cm="1">
        <f t="array" ref="U5">INDEX('Summarized Modified Source Data'!$Q$600:$Q$743,MATCH(1,($A5=LoadFactorSeasons)*(U$1=LoadFactorHours),0),)</f>
        <v>1.405136873350761E-4</v>
      </c>
      <c r="V5" s="8" cm="1">
        <f t="array" ref="V5">INDEX('Summarized Modified Source Data'!$Q$600:$Q$743,MATCH(1,($A5=LoadFactorSeasons)*(V$1=LoadFactorHours),0),)</f>
        <v>1.3125594547614862E-4</v>
      </c>
      <c r="W5" s="8" cm="1">
        <f t="array" ref="W5">INDEX('Summarized Modified Source Data'!$Q$600:$Q$743,MATCH(1,($A5=LoadFactorSeasons)*(W$1=LoadFactorHours),0),)</f>
        <v>1.2407733331628256E-4</v>
      </c>
      <c r="X5" s="8" cm="1">
        <f t="array" ref="X5">INDEX('Summarized Modified Source Data'!$Q$600:$Q$743,MATCH(1,($A5=LoadFactorSeasons)*(X$1=LoadFactorHours),0),)</f>
        <v>1.1866285569239584E-4</v>
      </c>
      <c r="Y5" s="8" cm="1">
        <f t="array" ref="Y5">INDEX('Summarized Modified Source Data'!$Q$600:$Q$743,MATCH(1,($A5=LoadFactorSeasons)*(Y$1=LoadFactorHours),0),)</f>
        <v>7.9940634291223274E-5</v>
      </c>
    </row>
    <row r="6" spans="1:25" x14ac:dyDescent="0.25">
      <c r="A6" s="8" t="s">
        <v>80</v>
      </c>
      <c r="B6" s="8" cm="1">
        <f t="array" ref="B6">INDEX('Summarized Modified Source Data'!$Q$600:$Q$743,MATCH(1,($A6=LoadFactorSeasons)*(B$1=LoadFactorHours),0),)</f>
        <v>6.2844646415224079E-5</v>
      </c>
      <c r="C6" s="8" cm="1">
        <f t="array" ref="C6">INDEX('Summarized Modified Source Data'!$Q$600:$Q$743,MATCH(1,($A6=LoadFactorSeasons)*(C$1=LoadFactorHours),0),)</f>
        <v>5.9473725558612633E-5</v>
      </c>
      <c r="D6" s="8" cm="1">
        <f t="array" ref="D6">INDEX('Summarized Modified Source Data'!$Q$600:$Q$743,MATCH(1,($A6=LoadFactorSeasons)*(D$1=LoadFactorHours),0),)</f>
        <v>5.8554385092729672E-5</v>
      </c>
      <c r="E6" s="8" cm="1">
        <f t="array" ref="E6">INDEX('Summarized Modified Source Data'!$Q$600:$Q$743,MATCH(1,($A6=LoadFactorSeasons)*(E$1=LoadFactorHours),0),)</f>
        <v>5.8554385092729672E-5</v>
      </c>
      <c r="F6" s="8" cm="1">
        <f t="array" ref="F6">INDEX('Summarized Modified Source Data'!$Q$600:$Q$743,MATCH(1,($A6=LoadFactorSeasons)*(F$1=LoadFactorHours),0),)</f>
        <v>5.8247935363248396E-5</v>
      </c>
      <c r="G6" s="8" cm="1">
        <f t="array" ref="G6">INDEX('Summarized Modified Source Data'!$Q$600:$Q$743,MATCH(1,($A6=LoadFactorSeasons)*(G$1=LoadFactorHours),0),)</f>
        <v>5.8707614318750707E-5</v>
      </c>
      <c r="H6" s="8" cm="1">
        <f t="array" ref="H6">INDEX('Summarized Modified Source Data'!$Q$600:$Q$743,MATCH(1,($A6=LoadFactorSeasons)*(H$1=LoadFactorHours),0),)</f>
        <v>7.2951085128459932E-5</v>
      </c>
      <c r="I6" s="8" cm="1">
        <f t="array" ref="I6">INDEX('Summarized Modified Source Data'!$Q$600:$Q$743,MATCH(1,($A6=LoadFactorSeasons)*(I$1=LoadFactorHours),0),)</f>
        <v>1.4584121700187146E-4</v>
      </c>
      <c r="J6" s="8" cm="1">
        <f t="array" ref="J6">INDEX('Summarized Modified Source Data'!$Q$600:$Q$743,MATCH(1,($A6=LoadFactorSeasons)*(J$1=LoadFactorHours),0),)</f>
        <v>1.6049511918866236E-4</v>
      </c>
      <c r="K6" s="8" cm="1">
        <f t="array" ref="K6">INDEX('Summarized Modified Source Data'!$Q$600:$Q$743,MATCH(1,($A6=LoadFactorSeasons)*(K$1=LoadFactorHours),0),)</f>
        <v>1.4200329023866427E-4</v>
      </c>
      <c r="L6" s="8" cm="1">
        <f t="array" ref="L6">INDEX('Summarized Modified Source Data'!$Q$600:$Q$743,MATCH(1,($A6=LoadFactorSeasons)*(L$1=LoadFactorHours),0),)</f>
        <v>1.380400638891993E-4</v>
      </c>
      <c r="M6" s="8" cm="1">
        <f t="array" ref="M6">INDEX('Summarized Modified Source Data'!$Q$600:$Q$743,MATCH(1,($A6=LoadFactorSeasons)*(M$1=LoadFactorHours),0),)</f>
        <v>1.4278999544463516E-4</v>
      </c>
      <c r="N6" s="8" cm="1">
        <f t="array" ref="N6">INDEX('Summarized Modified Source Data'!$Q$600:$Q$743,MATCH(1,($A6=LoadFactorSeasons)*(N$1=LoadFactorHours),0),)</f>
        <v>1.3988410919587289E-4</v>
      </c>
      <c r="O6" s="8" cm="1">
        <f t="array" ref="O6">INDEX('Summarized Modified Source Data'!$Q$600:$Q$743,MATCH(1,($A6=LoadFactorSeasons)*(O$1=LoadFactorHours),0),)</f>
        <v>1.3357750582271936E-4</v>
      </c>
      <c r="P6" s="8" cm="1">
        <f t="array" ref="P6">INDEX('Summarized Modified Source Data'!$Q$600:$Q$743,MATCH(1,($A6=LoadFactorSeasons)*(P$1=LoadFactorHours),0),)</f>
        <v>1.3173882489095343E-4</v>
      </c>
      <c r="Q6" s="8" cm="1">
        <f t="array" ref="Q6">INDEX('Summarized Modified Source Data'!$Q$600:$Q$743,MATCH(1,($A6=LoadFactorSeasons)*(Q$1=LoadFactorHours),0),)</f>
        <v>1.353741440113065E-4</v>
      </c>
      <c r="R6" s="8" cm="1">
        <f t="array" ref="R6">INDEX('Summarized Modified Source Data'!$Q$600:$Q$743,MATCH(1,($A6=LoadFactorSeasons)*(R$1=LoadFactorHours),0),)</f>
        <v>1.5735499729149286E-4</v>
      </c>
      <c r="S6" s="8" cm="1">
        <f t="array" ref="S6">INDEX('Summarized Modified Source Data'!$Q$600:$Q$743,MATCH(1,($A6=LoadFactorSeasons)*(S$1=LoadFactorHours),0),)</f>
        <v>1.6677536298300132E-4</v>
      </c>
      <c r="T6" s="8" cm="1">
        <f t="array" ref="T6">INDEX('Summarized Modified Source Data'!$Q$600:$Q$743,MATCH(1,($A6=LoadFactorSeasons)*(T$1=LoadFactorHours),0),)</f>
        <v>1.5421487539432339E-4</v>
      </c>
      <c r="U6" s="8" cm="1">
        <f t="array" ref="U6">INDEX('Summarized Modified Source Data'!$Q$600:$Q$743,MATCH(1,($A6=LoadFactorSeasons)*(U$1=LoadFactorHours),0),)</f>
        <v>1.4271605429651767E-4</v>
      </c>
      <c r="V6" s="8" cm="1">
        <f t="array" ref="V6">INDEX('Summarized Modified Source Data'!$Q$600:$Q$743,MATCH(1,($A6=LoadFactorSeasons)*(V$1=LoadFactorHours),0),)</f>
        <v>1.3796612274108178E-4</v>
      </c>
      <c r="W6" s="8" cm="1">
        <f t="array" ref="W6">INDEX('Summarized Modified Source Data'!$Q$600:$Q$743,MATCH(1,($A6=LoadFactorSeasons)*(W$1=LoadFactorHours),0),)</f>
        <v>1.3260329172668336E-4</v>
      </c>
      <c r="X6" s="8" cm="1">
        <f t="array" ref="X6">INDEX('Summarized Modified Source Data'!$Q$600:$Q$743,MATCH(1,($A6=LoadFactorSeasons)*(X$1=LoadFactorHours),0),)</f>
        <v>1.3076461951747824E-4</v>
      </c>
      <c r="Y6" s="8" cm="1">
        <f t="array" ref="Y6">INDEX('Summarized Modified Source Data'!$Q$600:$Q$743,MATCH(1,($A6=LoadFactorSeasons)*(Y$1=LoadFactorHours),0),)</f>
        <v>8.7892125295064503E-5</v>
      </c>
    </row>
    <row r="7" spans="1:25" x14ac:dyDescent="0.25">
      <c r="A7" s="8" t="s">
        <v>81</v>
      </c>
      <c r="B7" s="8" cm="1">
        <f t="array" ref="B7">INDEX('Summarized Modified Source Data'!$Q$600:$Q$743,MATCH(1,($A7=LoadFactorSeasons)*(B$1=LoadFactorHours),0),)</f>
        <v>7.307205018349162E-5</v>
      </c>
      <c r="C7" s="8" cm="1">
        <f t="array" ref="C7">INDEX('Summarized Modified Source Data'!$Q$600:$Q$743,MATCH(1,($A7=LoadFactorSeasons)*(C$1=LoadFactorHours),0),)</f>
        <v>6.9626219974511033E-5</v>
      </c>
      <c r="D7" s="8" cm="1">
        <f t="array" ref="D7">INDEX('Summarized Modified Source Data'!$Q$600:$Q$743,MATCH(1,($A7=LoadFactorSeasons)*(D$1=LoadFactorHours),0),)</f>
        <v>6.8686454178695086E-5</v>
      </c>
      <c r="E7" s="8" cm="1">
        <f t="array" ref="E7">INDEX('Summarized Modified Source Data'!$Q$600:$Q$743,MATCH(1,($A7=LoadFactorSeasons)*(E$1=LoadFactorHours),0),)</f>
        <v>6.8686454178695086E-5</v>
      </c>
      <c r="F7" s="8" cm="1">
        <f t="array" ref="F7">INDEX('Summarized Modified Source Data'!$Q$600:$Q$743,MATCH(1,($A7=LoadFactorSeasons)*(F$1=LoadFactorHours),0),)</f>
        <v>6.8373194455225364E-5</v>
      </c>
      <c r="G7" s="8" cm="1">
        <f t="array" ref="G7">INDEX('Summarized Modified Source Data'!$Q$600:$Q$743,MATCH(1,($A7=LoadFactorSeasons)*(G$1=LoadFactorHours),0),)</f>
        <v>6.884307735313333E-5</v>
      </c>
      <c r="H7" s="8" cm="1">
        <f t="array" ref="H7">INDEX('Summarized Modified Source Data'!$Q$600:$Q$743,MATCH(1,($A7=LoadFactorSeasons)*(H$1=LoadFactorHours),0),)</f>
        <v>8.5339788859728886E-5</v>
      </c>
      <c r="I7" s="8" cm="1">
        <f t="array" ref="I7">INDEX('Summarized Modified Source Data'!$Q$600:$Q$743,MATCH(1,($A7=LoadFactorSeasons)*(I$1=LoadFactorHours),0),)</f>
        <v>1.6851987514809552E-4</v>
      </c>
      <c r="J7" s="8" cm="1">
        <f t="array" ref="J7">INDEX('Summarized Modified Source Data'!$Q$600:$Q$743,MATCH(1,($A7=LoadFactorSeasons)*(J$1=LoadFactorHours),0),)</f>
        <v>1.83499419605704E-4</v>
      </c>
      <c r="K7" s="8" cm="1">
        <f t="array" ref="K7">INDEX('Summarized Modified Source Data'!$Q$600:$Q$743,MATCH(1,($A7=LoadFactorSeasons)*(K$1=LoadFactorHours),0),)</f>
        <v>1.6290254597649232E-4</v>
      </c>
      <c r="L7" s="8" cm="1">
        <f t="array" ref="L7">INDEX('Summarized Modified Source Data'!$Q$600:$Q$743,MATCH(1,($A7=LoadFactorSeasons)*(L$1=LoadFactorHours),0),)</f>
        <v>1.5887953519512954E-4</v>
      </c>
      <c r="M7" s="8" cm="1">
        <f t="array" ref="M7">INDEX('Summarized Modified Source Data'!$Q$600:$Q$743,MATCH(1,($A7=LoadFactorSeasons)*(M$1=LoadFactorHours),0),)</f>
        <v>1.6373502078513067E-4</v>
      </c>
      <c r="N7" s="8" cm="1">
        <f t="array" ref="N7">INDEX('Summarized Modified Source Data'!$Q$600:$Q$743,MATCH(1,($A7=LoadFactorSeasons)*(N$1=LoadFactorHours),0),)</f>
        <v>1.6011948704949797E-4</v>
      </c>
      <c r="O7" s="8" cm="1">
        <f t="array" ref="O7">INDEX('Summarized Modified Source Data'!$Q$600:$Q$743,MATCH(1,($A7=LoadFactorSeasons)*(O$1=LoadFactorHours),0),)</f>
        <v>1.5237712893957392E-4</v>
      </c>
      <c r="P7" s="8" cm="1">
        <f t="array" ref="P7">INDEX('Summarized Modified Source Data'!$Q$600:$Q$743,MATCH(1,($A7=LoadFactorSeasons)*(P$1=LoadFactorHours),0),)</f>
        <v>1.504975906606454E-4</v>
      </c>
      <c r="Q7" s="8" cm="1">
        <f t="array" ref="Q7">INDEX('Summarized Modified Source Data'!$Q$600:$Q$743,MATCH(1,($A7=LoadFactorSeasons)*(Q$1=LoadFactorHours),0),)</f>
        <v>1.5648274120894583E-4</v>
      </c>
      <c r="R7" s="8" cm="1">
        <f t="array" ref="R7">INDEX('Summarized Modified Source Data'!$Q$600:$Q$743,MATCH(1,($A7=LoadFactorSeasons)*(R$1=LoadFactorHours),0),)</f>
        <v>1.8028951722193074E-4</v>
      </c>
      <c r="S7" s="8" cm="1">
        <f t="array" ref="S7">INDEX('Summarized Modified Source Data'!$Q$600:$Q$743,MATCH(1,($A7=LoadFactorSeasons)*(S$1=LoadFactorHours),0),)</f>
        <v>1.8991922437325048E-4</v>
      </c>
      <c r="T7" s="8" cm="1">
        <f t="array" ref="T7">INDEX('Summarized Modified Source Data'!$Q$600:$Q$743,MATCH(1,($A7=LoadFactorSeasons)*(T$1=LoadFactorHours),0),)</f>
        <v>1.7467218805032755E-4</v>
      </c>
      <c r="U7" s="8" cm="1">
        <f t="array" ref="U7">INDEX('Summarized Modified Source Data'!$Q$600:$Q$743,MATCH(1,($A7=LoadFactorSeasons)*(U$1=LoadFactorHours),0),)</f>
        <v>1.6484399524764788E-4</v>
      </c>
      <c r="V7" s="8" cm="1">
        <f t="array" ref="V7">INDEX('Summarized Modified Source Data'!$Q$600:$Q$743,MATCH(1,($A7=LoadFactorSeasons)*(V$1=LoadFactorHours),0),)</f>
        <v>1.5998850965764677E-4</v>
      </c>
      <c r="W7" s="8" cm="1">
        <f t="array" ref="W7">INDEX('Summarized Modified Source Data'!$Q$600:$Q$743,MATCH(1,($A7=LoadFactorSeasons)*(W$1=LoadFactorHours),0),)</f>
        <v>1.5450650462070617E-4</v>
      </c>
      <c r="X7" s="8" cm="1">
        <f t="array" ref="X7">INDEX('Summarized Modified Source Data'!$Q$600:$Q$743,MATCH(1,($A7=LoadFactorSeasons)*(X$1=LoadFactorHours),0),)</f>
        <v>1.5262695965448099E-4</v>
      </c>
      <c r="Y7" s="8" cm="1">
        <f t="array" ref="Y7">INDEX('Summarized Modified Source Data'!$Q$600:$Q$743,MATCH(1,($A7=LoadFactorSeasons)*(Y$1=LoadFactorHours),0),)</f>
        <v>1.025627742171363E-4</v>
      </c>
    </row>
    <row r="8" spans="1:25" x14ac:dyDescent="0.25">
      <c r="A8" s="8"/>
      <c r="B8" s="8"/>
      <c r="C8" s="8"/>
      <c r="D8" s="8"/>
      <c r="E8" s="8"/>
      <c r="F8" s="8"/>
      <c r="G8" s="8"/>
      <c r="H8" s="8"/>
      <c r="I8" s="8"/>
      <c r="J8" s="8"/>
      <c r="K8" s="8"/>
      <c r="L8" s="8"/>
      <c r="M8" s="8"/>
      <c r="N8" s="8"/>
      <c r="O8" s="8"/>
      <c r="P8" s="8"/>
      <c r="Q8" s="8"/>
      <c r="R8" s="8"/>
      <c r="S8" s="8"/>
      <c r="T8" s="8"/>
      <c r="U8" s="8"/>
      <c r="V8" s="8"/>
      <c r="W8" s="8"/>
      <c r="X8" s="8"/>
      <c r="Y8" s="8"/>
    </row>
    <row r="9" spans="1:25" x14ac:dyDescent="0.25">
      <c r="A9" s="8"/>
      <c r="B9" s="8"/>
      <c r="C9" s="8"/>
      <c r="D9" s="8"/>
      <c r="E9" s="8"/>
      <c r="F9" s="8"/>
      <c r="G9" s="8"/>
      <c r="H9" s="8"/>
      <c r="I9" s="8"/>
      <c r="J9" s="8"/>
      <c r="K9" s="8"/>
      <c r="L9" s="8"/>
      <c r="M9" s="8"/>
      <c r="N9" s="8"/>
      <c r="O9" s="8"/>
      <c r="P9" s="8"/>
      <c r="Q9" s="8"/>
      <c r="R9" s="8"/>
      <c r="S9" s="8"/>
      <c r="T9" s="8"/>
      <c r="U9" s="8"/>
      <c r="V9" s="8"/>
      <c r="W9" s="8"/>
      <c r="X9" s="8"/>
      <c r="Y9" s="8"/>
    </row>
    <row r="10" spans="1:25" x14ac:dyDescent="0.25">
      <c r="A10" s="8"/>
      <c r="B10" s="8"/>
      <c r="C10" s="8"/>
      <c r="D10" s="8"/>
      <c r="E10" s="8"/>
      <c r="F10" s="8"/>
      <c r="G10" s="8"/>
      <c r="H10" s="8"/>
      <c r="I10" s="8"/>
      <c r="J10" s="8"/>
      <c r="K10" s="8"/>
      <c r="L10" s="8"/>
      <c r="M10" s="8"/>
      <c r="N10" s="8"/>
      <c r="O10" s="8"/>
      <c r="P10" s="8"/>
      <c r="Q10" s="8"/>
      <c r="R10" s="8"/>
      <c r="S10" s="8"/>
      <c r="T10" s="8"/>
      <c r="U10" s="8"/>
      <c r="V10" s="8"/>
      <c r="W10" s="8"/>
      <c r="X10" s="8"/>
      <c r="Y10" s="8"/>
    </row>
    <row r="11" spans="1:25" x14ac:dyDescent="0.25">
      <c r="A11" s="8" t="s">
        <v>25</v>
      </c>
      <c r="B11" s="8" t="s">
        <v>34</v>
      </c>
      <c r="C11" s="8" t="s">
        <v>0</v>
      </c>
      <c r="D11" s="8" t="s">
        <v>1</v>
      </c>
      <c r="E11" s="8" t="s">
        <v>2</v>
      </c>
      <c r="F11" s="8" t="s">
        <v>3</v>
      </c>
      <c r="G11" s="8" t="s">
        <v>4</v>
      </c>
      <c r="H11" s="8" t="s">
        <v>5</v>
      </c>
      <c r="I11" s="8" t="s">
        <v>6</v>
      </c>
      <c r="J11" s="8" t="s">
        <v>7</v>
      </c>
      <c r="K11" s="8" t="s">
        <v>8</v>
      </c>
      <c r="L11" s="8" t="s">
        <v>9</v>
      </c>
      <c r="M11" s="8" t="s">
        <v>10</v>
      </c>
      <c r="N11" s="8" t="s">
        <v>11</v>
      </c>
      <c r="O11" s="8" t="s">
        <v>12</v>
      </c>
      <c r="P11" s="8" t="s">
        <v>13</v>
      </c>
      <c r="Q11" s="8" t="s">
        <v>14</v>
      </c>
      <c r="R11" s="8" t="s">
        <v>15</v>
      </c>
      <c r="S11" s="8" t="s">
        <v>16</v>
      </c>
      <c r="T11" s="8" t="s">
        <v>17</v>
      </c>
      <c r="U11" s="8" t="s">
        <v>18</v>
      </c>
      <c r="V11" s="8" t="s">
        <v>19</v>
      </c>
      <c r="W11" s="8" t="s">
        <v>20</v>
      </c>
      <c r="X11" s="8" t="s">
        <v>21</v>
      </c>
      <c r="Y11" s="8" t="s">
        <v>22</v>
      </c>
    </row>
    <row r="12" spans="1:25" x14ac:dyDescent="0.25">
      <c r="A12" s="8" t="s">
        <v>37</v>
      </c>
      <c r="B12" s="8">
        <v>4.4269479543867221E-5</v>
      </c>
      <c r="C12" s="8">
        <v>4.3142345249679412E-5</v>
      </c>
      <c r="D12" s="8">
        <v>4.2841126481461195E-5</v>
      </c>
      <c r="E12" s="8">
        <v>4.293304432900795E-5</v>
      </c>
      <c r="F12" s="8">
        <v>4.2765762559065028E-5</v>
      </c>
      <c r="G12" s="8">
        <v>4.3629990562772363E-5</v>
      </c>
      <c r="H12" s="8">
        <v>6.1557631651633756E-5</v>
      </c>
      <c r="I12" s="8">
        <v>1.1444768235704783E-4</v>
      </c>
      <c r="J12" s="8">
        <v>1.2708189444204677E-4</v>
      </c>
      <c r="K12" s="8">
        <v>1.1978202997367869E-4</v>
      </c>
      <c r="L12" s="8">
        <v>1.044726393862948E-4</v>
      </c>
      <c r="M12" s="8">
        <v>1.0589523182031564E-4</v>
      </c>
      <c r="N12" s="8">
        <v>1.0626269877029138E-4</v>
      </c>
      <c r="O12" s="8">
        <v>1.0421311686791056E-4</v>
      </c>
      <c r="P12" s="8">
        <v>1.0304609571529199E-4</v>
      </c>
      <c r="Q12" s="8">
        <v>1.1581654713926413E-4</v>
      </c>
      <c r="R12" s="8">
        <v>1.3328985329488896E-4</v>
      </c>
      <c r="S12" s="8">
        <v>1.3848218948022436E-4</v>
      </c>
      <c r="T12" s="8">
        <v>1.3003142215477911E-4</v>
      </c>
      <c r="U12" s="8">
        <v>1.1206356175331153E-4</v>
      </c>
      <c r="V12" s="8">
        <v>1.0471793515875669E-4</v>
      </c>
      <c r="W12" s="8">
        <v>9.9530841813981415E-5</v>
      </c>
      <c r="X12" s="8">
        <v>9.5497834479480576E-5</v>
      </c>
      <c r="Y12" s="8">
        <v>6.4229670945913653E-5</v>
      </c>
    </row>
    <row r="13" spans="1:25" x14ac:dyDescent="0.25">
      <c r="A13" s="8" t="s">
        <v>38</v>
      </c>
      <c r="B13" s="8">
        <v>5.385322511310932E-5</v>
      </c>
      <c r="C13" s="8">
        <v>5.2383049946777396E-5</v>
      </c>
      <c r="D13" s="8">
        <v>5.1990155901275358E-5</v>
      </c>
      <c r="E13" s="8">
        <v>5.2110043761581111E-5</v>
      </c>
      <c r="F13" s="8">
        <v>5.1891850148612066E-5</v>
      </c>
      <c r="G13" s="8">
        <v>5.3019106558651438E-5</v>
      </c>
      <c r="H13" s="8">
        <v>7.4987621153510103E-5</v>
      </c>
      <c r="I13" s="8">
        <v>1.4020599162761462E-4</v>
      </c>
      <c r="J13" s="8">
        <v>1.5589260514157745E-4</v>
      </c>
      <c r="K13" s="8">
        <v>1.4692310114265692E-4</v>
      </c>
      <c r="L13" s="8">
        <v>1.286014643073252E-4</v>
      </c>
      <c r="M13" s="8">
        <v>1.2995858760887834E-4</v>
      </c>
      <c r="N13" s="8">
        <v>1.3053527597961395E-4</v>
      </c>
      <c r="O13" s="8">
        <v>1.285559225711753E-4</v>
      </c>
      <c r="P13" s="8">
        <v>1.2653529151275029E-4</v>
      </c>
      <c r="Q13" s="8">
        <v>1.4194632443999326E-4</v>
      </c>
      <c r="R13" s="8">
        <v>1.635181519214709E-4</v>
      </c>
      <c r="S13" s="8">
        <v>1.7029076433712579E-4</v>
      </c>
      <c r="T13" s="8">
        <v>1.6026488844175413E-4</v>
      </c>
      <c r="U13" s="8">
        <v>1.3782541288200547E-4</v>
      </c>
      <c r="V13" s="8">
        <v>1.284933768257362E-4</v>
      </c>
      <c r="W13" s="8">
        <v>1.2122917085059871E-4</v>
      </c>
      <c r="X13" s="8">
        <v>1.1619444145381061E-4</v>
      </c>
      <c r="Y13" s="8">
        <v>7.8178528291965725E-5</v>
      </c>
    </row>
    <row r="14" spans="1:25" x14ac:dyDescent="0.25">
      <c r="A14" s="8" t="s">
        <v>39</v>
      </c>
      <c r="B14" s="8">
        <v>5.0324072018803371E-5</v>
      </c>
      <c r="C14" s="8">
        <v>4.8853896852471447E-5</v>
      </c>
      <c r="D14" s="8">
        <v>4.8461002806969415E-5</v>
      </c>
      <c r="E14" s="8">
        <v>4.8580895651595627E-5</v>
      </c>
      <c r="F14" s="8">
        <v>4.8362699546466363E-5</v>
      </c>
      <c r="G14" s="8">
        <v>4.9489955956505721E-5</v>
      </c>
      <c r="H14" s="8">
        <v>7.0174250413190573E-5</v>
      </c>
      <c r="I14" s="8">
        <v>1.3132658171338018E-4</v>
      </c>
      <c r="J14" s="8">
        <v>1.4724453747771643E-4</v>
      </c>
      <c r="K14" s="8">
        <v>1.385960037798913E-4</v>
      </c>
      <c r="L14" s="8">
        <v>1.206844419427276E-4</v>
      </c>
      <c r="M14" s="8">
        <v>1.2253999729145047E-4</v>
      </c>
      <c r="N14" s="8">
        <v>1.2345425624261252E-4</v>
      </c>
      <c r="O14" s="8">
        <v>1.2090472149381403E-4</v>
      </c>
      <c r="P14" s="8">
        <v>1.1938251999039852E-4</v>
      </c>
      <c r="Q14" s="8">
        <v>1.3354747529187733E-4</v>
      </c>
      <c r="R14" s="8">
        <v>1.5444201586253906E-4</v>
      </c>
      <c r="S14" s="8">
        <v>1.6121462329387351E-4</v>
      </c>
      <c r="T14" s="8">
        <v>1.5193640045357693E-4</v>
      </c>
      <c r="U14" s="8">
        <v>1.3024456798026244E-4</v>
      </c>
      <c r="V14" s="8">
        <v>1.2066331590040831E-4</v>
      </c>
      <c r="W14" s="8">
        <v>1.1381145278925341E-4</v>
      </c>
      <c r="X14" s="8">
        <v>1.0861797776976223E-4</v>
      </c>
      <c r="Y14" s="8">
        <v>7.3098070247010015E-5</v>
      </c>
    </row>
    <row r="15" spans="1:25" x14ac:dyDescent="0.25">
      <c r="A15" s="8" t="s">
        <v>40</v>
      </c>
      <c r="B15" s="8">
        <v>8.3667116714713886E-5</v>
      </c>
      <c r="C15" s="8">
        <v>8.1449803349098533E-5</v>
      </c>
      <c r="D15" s="8">
        <v>8.0857241837849566E-5</v>
      </c>
      <c r="E15" s="8">
        <v>8.1038063833023508E-5</v>
      </c>
      <c r="F15" s="8">
        <v>8.0708984941332501E-5</v>
      </c>
      <c r="G15" s="8">
        <v>8.2409109363031221E-5</v>
      </c>
      <c r="H15" s="8">
        <v>1.1643196225966972E-4</v>
      </c>
      <c r="I15" s="8">
        <v>2.1691048039324464E-4</v>
      </c>
      <c r="J15" s="8">
        <v>2.4150581616073008E-4</v>
      </c>
      <c r="K15" s="8">
        <v>2.2772516397901439E-4</v>
      </c>
      <c r="L15" s="8">
        <v>1.9865030419227234E-4</v>
      </c>
      <c r="M15" s="8">
        <v>2.0107297989575915E-4</v>
      </c>
      <c r="N15" s="8">
        <v>2.0225736246068144E-4</v>
      </c>
      <c r="O15" s="8">
        <v>1.9839739094683987E-4</v>
      </c>
      <c r="P15" s="8">
        <v>1.957257448405442E-4</v>
      </c>
      <c r="Q15" s="8">
        <v>2.2009621454244219E-4</v>
      </c>
      <c r="R15" s="8">
        <v>2.5330331622812628E-4</v>
      </c>
      <c r="S15" s="8">
        <v>2.6351774430946248E-4</v>
      </c>
      <c r="T15" s="8">
        <v>2.4764502133511705E-4</v>
      </c>
      <c r="U15" s="8">
        <v>2.1305014052994922E-4</v>
      </c>
      <c r="V15" s="8">
        <v>1.9897559434672347E-4</v>
      </c>
      <c r="W15" s="8">
        <v>1.8839560950175885E-4</v>
      </c>
      <c r="X15" s="8">
        <v>1.8046182834009723E-4</v>
      </c>
      <c r="Y15" s="8">
        <v>1.2142958106180613E-4</v>
      </c>
    </row>
    <row r="16" spans="1:25" x14ac:dyDescent="0.25">
      <c r="A16" t="s">
        <v>80</v>
      </c>
      <c r="B16">
        <v>6.2844646415224066E-5</v>
      </c>
      <c r="C16">
        <v>5.9473725558612619E-5</v>
      </c>
      <c r="D16">
        <v>5.8554385092729652E-5</v>
      </c>
      <c r="E16">
        <v>5.8554385092729652E-5</v>
      </c>
      <c r="F16">
        <v>5.824793536324839E-5</v>
      </c>
      <c r="G16">
        <v>5.8707614318750701E-5</v>
      </c>
      <c r="H16">
        <v>7.2951085128459905E-5</v>
      </c>
      <c r="I16">
        <v>1.4584121700187138E-4</v>
      </c>
      <c r="J16">
        <v>1.604951191886623E-4</v>
      </c>
      <c r="K16">
        <v>1.4200329023866424E-4</v>
      </c>
      <c r="L16">
        <v>1.3804006388919924E-4</v>
      </c>
      <c r="M16">
        <v>1.4278999544463513E-4</v>
      </c>
      <c r="N16">
        <v>1.3988410919587283E-4</v>
      </c>
      <c r="O16">
        <v>1.3357750582271931E-4</v>
      </c>
      <c r="P16">
        <v>1.3173882489095337E-4</v>
      </c>
      <c r="Q16">
        <v>1.3537414401130647E-4</v>
      </c>
      <c r="R16">
        <v>1.5735499729149284E-4</v>
      </c>
      <c r="S16">
        <v>1.6677536298300127E-4</v>
      </c>
      <c r="T16">
        <v>1.5421487539432334E-4</v>
      </c>
      <c r="U16">
        <v>1.4271605429651762E-4</v>
      </c>
      <c r="V16">
        <v>1.3796612274108173E-4</v>
      </c>
      <c r="W16">
        <v>1.326032917266833E-4</v>
      </c>
      <c r="X16">
        <v>1.3076461951747821E-4</v>
      </c>
      <c r="Y16">
        <v>8.789212529506449E-5</v>
      </c>
    </row>
    <row r="17" spans="1:25" x14ac:dyDescent="0.25">
      <c r="A17" t="s">
        <v>81</v>
      </c>
      <c r="B17">
        <v>5.5003830655470374E-5</v>
      </c>
      <c r="C17">
        <v>5.241945799873494E-5</v>
      </c>
      <c r="D17">
        <v>5.1714630308224661E-5</v>
      </c>
      <c r="E17">
        <v>5.1714630308224661E-5</v>
      </c>
      <c r="F17">
        <v>5.1479685515622355E-5</v>
      </c>
      <c r="G17">
        <v>5.1832099360877498E-5</v>
      </c>
      <c r="H17">
        <v>6.4248449830186811E-5</v>
      </c>
      <c r="I17">
        <v>1.2679114415904322E-4</v>
      </c>
      <c r="J17">
        <v>1.3802580250224961E-4</v>
      </c>
      <c r="K17">
        <v>1.2251127431401224E-4</v>
      </c>
      <c r="L17">
        <v>1.1956172176274957E-4</v>
      </c>
      <c r="M17">
        <v>1.2320333595525039E-4</v>
      </c>
      <c r="N17">
        <v>1.2047709230044884E-4</v>
      </c>
      <c r="O17">
        <v>1.1464101496868814E-4</v>
      </c>
      <c r="P17">
        <v>1.1323135958766759E-4</v>
      </c>
      <c r="Q17">
        <v>1.1769642073835238E-4</v>
      </c>
      <c r="R17">
        <v>1.3561837571441967E-4</v>
      </c>
      <c r="S17">
        <v>1.4284065607790946E-4</v>
      </c>
      <c r="T17">
        <v>1.3133850586938866E-4</v>
      </c>
      <c r="U17">
        <v>1.2406187115886701E-4</v>
      </c>
      <c r="V17">
        <v>1.2042025696636614E-4</v>
      </c>
      <c r="W17">
        <v>1.1630875318866069E-4</v>
      </c>
      <c r="X17">
        <v>1.148990911203435E-4</v>
      </c>
      <c r="Y17">
        <v>7.7209801600481033E-5</v>
      </c>
    </row>
    <row r="21" spans="1:25" x14ac:dyDescent="0.25">
      <c r="A21" s="8" t="s">
        <v>472</v>
      </c>
    </row>
    <row r="22" spans="1:25" x14ac:dyDescent="0.25">
      <c r="A22" s="8" t="s">
        <v>37</v>
      </c>
      <c r="B22" s="49">
        <f>(B12-B2)/B2</f>
        <v>-0.24716772981010113</v>
      </c>
      <c r="C22" s="49">
        <f t="shared" ref="C22:X27" si="0">(C12-C2)/C2</f>
        <v>-0.24709344732770364</v>
      </c>
      <c r="D22" s="49">
        <f t="shared" si="0"/>
        <v>-0.24707294826325188</v>
      </c>
      <c r="E22" s="49">
        <f t="shared" si="0"/>
        <v>-0.24707923936296508</v>
      </c>
      <c r="F22" s="49">
        <f t="shared" si="0"/>
        <v>-0.24706776990256743</v>
      </c>
      <c r="G22" s="49">
        <f t="shared" si="0"/>
        <v>-0.24712606615270319</v>
      </c>
      <c r="H22" s="49">
        <f t="shared" si="0"/>
        <v>-0.24722218289098816</v>
      </c>
      <c r="I22" s="49">
        <f t="shared" si="0"/>
        <v>-0.24752570596197204</v>
      </c>
      <c r="J22" s="49">
        <f t="shared" si="0"/>
        <v>-0.24769759268267039</v>
      </c>
      <c r="K22" s="49">
        <f t="shared" si="0"/>
        <v>-0.24780498687669109</v>
      </c>
      <c r="L22" s="49">
        <f t="shared" si="0"/>
        <v>-0.24745212563831231</v>
      </c>
      <c r="M22" s="49">
        <f t="shared" si="0"/>
        <v>-0.24782688991004209</v>
      </c>
      <c r="N22" s="49">
        <f t="shared" si="0"/>
        <v>-0.24786402392010307</v>
      </c>
      <c r="O22" s="49">
        <f t="shared" si="0"/>
        <v>-0.2475366366315577</v>
      </c>
      <c r="P22" s="49">
        <f t="shared" si="0"/>
        <v>-0.2478584581769108</v>
      </c>
      <c r="Q22" s="49">
        <f t="shared" si="0"/>
        <v>-0.24778416528009101</v>
      </c>
      <c r="R22" s="49">
        <f t="shared" si="0"/>
        <v>-0.24769078742350911</v>
      </c>
      <c r="S22" s="49">
        <f t="shared" si="0"/>
        <v>-0.24777762181188509</v>
      </c>
      <c r="T22" s="49">
        <f t="shared" si="0"/>
        <v>-0.24790988732213196</v>
      </c>
      <c r="U22" s="49">
        <f t="shared" si="0"/>
        <v>-0.24757367574082689</v>
      </c>
      <c r="V22" s="49">
        <f t="shared" si="0"/>
        <v>-0.24740288752469436</v>
      </c>
      <c r="W22" s="49">
        <f t="shared" si="0"/>
        <v>-0.24726704466628568</v>
      </c>
      <c r="X22" s="49">
        <f t="shared" si="0"/>
        <v>-0.24752900020184163</v>
      </c>
      <c r="Y22" s="49">
        <f>(Y12-Y2)/Y2</f>
        <v>-0.24718990738634894</v>
      </c>
    </row>
    <row r="23" spans="1:25" x14ac:dyDescent="0.25">
      <c r="A23" s="8" t="s">
        <v>38</v>
      </c>
      <c r="B23" s="49">
        <f t="shared" ref="B23:Q27" si="1">(B13-B3)/B3</f>
        <v>-2.5165674158983199E-16</v>
      </c>
      <c r="C23" s="49">
        <f t="shared" si="1"/>
        <v>-3.8807955540499845E-16</v>
      </c>
      <c r="D23" s="49">
        <f t="shared" si="1"/>
        <v>-2.6067487048517097E-16</v>
      </c>
      <c r="E23" s="49">
        <f t="shared" si="1"/>
        <v>0</v>
      </c>
      <c r="F23" s="49">
        <f t="shared" si="1"/>
        <v>-2.6116870216143732E-16</v>
      </c>
      <c r="G23" s="49">
        <f t="shared" si="1"/>
        <v>-2.5561590973013778E-16</v>
      </c>
      <c r="H23" s="49">
        <f t="shared" si="1"/>
        <v>-1.8073019183159435E-16</v>
      </c>
      <c r="I23" s="49">
        <f t="shared" si="1"/>
        <v>0</v>
      </c>
      <c r="J23" s="49">
        <f t="shared" si="1"/>
        <v>-5.2161013578908739E-16</v>
      </c>
      <c r="K23" s="49">
        <f t="shared" si="1"/>
        <v>-1.8448463244605488E-16</v>
      </c>
      <c r="L23" s="49">
        <f t="shared" si="1"/>
        <v>-4.2153570269407396E-16</v>
      </c>
      <c r="M23" s="49">
        <f t="shared" si="1"/>
        <v>-2.0856685818803004E-16</v>
      </c>
      <c r="N23" s="49">
        <f t="shared" si="1"/>
        <v>-2.0764543613766654E-16</v>
      </c>
      <c r="O23" s="49">
        <f t="shared" si="1"/>
        <v>-2.1084251717092868E-16</v>
      </c>
      <c r="P23" s="49">
        <f t="shared" si="1"/>
        <v>-2.1420944297904726E-16</v>
      </c>
      <c r="Q23" s="49">
        <f t="shared" si="1"/>
        <v>0</v>
      </c>
      <c r="R23" s="49">
        <f t="shared" si="0"/>
        <v>-1.657617456755182E-16</v>
      </c>
      <c r="S23" s="49">
        <f t="shared" si="0"/>
        <v>-4.7750776886192492E-16</v>
      </c>
      <c r="T23" s="49">
        <f t="shared" si="0"/>
        <v>-3.3825318291084733E-16</v>
      </c>
      <c r="U23" s="49">
        <f t="shared" si="0"/>
        <v>-1.9666223917168798E-16</v>
      </c>
      <c r="V23" s="49">
        <f t="shared" si="0"/>
        <v>-4.2189029476433952E-16</v>
      </c>
      <c r="W23" s="49">
        <f t="shared" si="0"/>
        <v>-3.3537787302292359E-16</v>
      </c>
      <c r="X23" s="49">
        <f t="shared" si="0"/>
        <v>-4.665464883345964E-16</v>
      </c>
      <c r="Y23" s="49">
        <f t="shared" ref="Y23:Y27" si="2">(Y13-Y3)/Y3</f>
        <v>0</v>
      </c>
    </row>
    <row r="24" spans="1:25" x14ac:dyDescent="0.25">
      <c r="A24" s="8" t="s">
        <v>39</v>
      </c>
      <c r="B24" s="49">
        <f t="shared" si="1"/>
        <v>-2.6930505844211014E-16</v>
      </c>
      <c r="C24" s="49">
        <f t="shared" si="0"/>
        <v>-4.1611400612507731E-16</v>
      </c>
      <c r="D24" s="49">
        <f t="shared" si="0"/>
        <v>-2.7965841338553042E-16</v>
      </c>
      <c r="E24" s="49">
        <f t="shared" si="0"/>
        <v>-2.7896824408637004E-16</v>
      </c>
      <c r="F24" s="49">
        <f t="shared" si="0"/>
        <v>-1.4011342711594997E-16</v>
      </c>
      <c r="G24" s="49">
        <f t="shared" si="0"/>
        <v>-2.7384399307163356E-16</v>
      </c>
      <c r="H24" s="49">
        <f t="shared" si="0"/>
        <v>-3.862535638434507E-16</v>
      </c>
      <c r="I24" s="49">
        <f t="shared" si="0"/>
        <v>-4.1278854529685833E-16</v>
      </c>
      <c r="J24" s="49">
        <f t="shared" si="0"/>
        <v>-5.5224570180553413E-16</v>
      </c>
      <c r="K24" s="49">
        <f t="shared" si="0"/>
        <v>-1.9556880121294117E-16</v>
      </c>
      <c r="L24" s="49">
        <f t="shared" si="0"/>
        <v>-2.2459443716034806E-16</v>
      </c>
      <c r="M24" s="49">
        <f t="shared" si="0"/>
        <v>-2.2119352791946491E-16</v>
      </c>
      <c r="N24" s="49">
        <f t="shared" si="0"/>
        <v>-4.3911089235952624E-16</v>
      </c>
      <c r="O24" s="49">
        <f t="shared" si="0"/>
        <v>-2.2418524253847612E-16</v>
      </c>
      <c r="P24" s="49">
        <f t="shared" si="0"/>
        <v>-5.6760936011230015E-16</v>
      </c>
      <c r="Q24" s="49">
        <f t="shared" si="0"/>
        <v>-2.029619373402426E-16</v>
      </c>
      <c r="R24" s="49">
        <f t="shared" si="0"/>
        <v>-5.2650933414898738E-16</v>
      </c>
      <c r="S24" s="49">
        <f t="shared" si="0"/>
        <v>-3.3626049248309907E-16</v>
      </c>
      <c r="T24" s="49">
        <f t="shared" si="0"/>
        <v>-3.5679474084183475E-16</v>
      </c>
      <c r="U24" s="49">
        <f t="shared" si="0"/>
        <v>-2.0810890413675577E-16</v>
      </c>
      <c r="V24" s="49">
        <f t="shared" si="0"/>
        <v>-1.123168798647522E-16</v>
      </c>
      <c r="W24" s="49">
        <f t="shared" si="0"/>
        <v>-3.5723629276126308E-16</v>
      </c>
      <c r="X24" s="49">
        <f t="shared" si="0"/>
        <v>-2.4954482553148106E-16</v>
      </c>
      <c r="Y24" s="49">
        <f t="shared" si="2"/>
        <v>-5.5620594812992945E-16</v>
      </c>
    </row>
    <row r="25" spans="1:25" x14ac:dyDescent="0.25">
      <c r="A25" s="8" t="s">
        <v>40</v>
      </c>
      <c r="B25" s="49">
        <f t="shared" si="1"/>
        <v>0.51915429628743937</v>
      </c>
      <c r="C25" s="49">
        <f t="shared" si="0"/>
        <v>0.51968257712912602</v>
      </c>
      <c r="D25" s="49">
        <f t="shared" si="0"/>
        <v>0.5198287990656163</v>
      </c>
      <c r="E25" s="49">
        <f t="shared" si="0"/>
        <v>0.51978397108110386</v>
      </c>
      <c r="F25" s="49">
        <f t="shared" si="0"/>
        <v>0.5198657056103777</v>
      </c>
      <c r="G25" s="49">
        <f t="shared" si="0"/>
        <v>0.51945048564708629</v>
      </c>
      <c r="H25" s="49">
        <f t="shared" si="0"/>
        <v>0.51876796361811728</v>
      </c>
      <c r="I25" s="49">
        <f t="shared" si="0"/>
        <v>0.51845024275721141</v>
      </c>
      <c r="J25" s="49">
        <f t="shared" si="0"/>
        <v>0.51705755635832862</v>
      </c>
      <c r="K25" s="49">
        <f t="shared" si="0"/>
        <v>0.51719271207615292</v>
      </c>
      <c r="L25" s="49">
        <f t="shared" si="0"/>
        <v>0.51558828065357332</v>
      </c>
      <c r="M25" s="49">
        <f t="shared" si="0"/>
        <v>0.51826577079508718</v>
      </c>
      <c r="N25" s="49">
        <f t="shared" si="0"/>
        <v>0.51653090597073748</v>
      </c>
      <c r="O25" s="49">
        <f t="shared" si="0"/>
        <v>0.51499527467760731</v>
      </c>
      <c r="P25" s="49">
        <f t="shared" si="0"/>
        <v>0.51814700658107404</v>
      </c>
      <c r="Q25" s="49">
        <f t="shared" si="0"/>
        <v>0.5174256424294964</v>
      </c>
      <c r="R25" s="49">
        <f t="shared" si="0"/>
        <v>0.51702914242078457</v>
      </c>
      <c r="S25" s="49">
        <f t="shared" si="0"/>
        <v>0.51636185079110819</v>
      </c>
      <c r="T25" s="49">
        <f t="shared" si="0"/>
        <v>0.51625872371316095</v>
      </c>
      <c r="U25" s="49">
        <f t="shared" si="0"/>
        <v>0.51622339837897069</v>
      </c>
      <c r="V25" s="49">
        <f t="shared" si="0"/>
        <v>0.51593585818084442</v>
      </c>
      <c r="W25" s="49">
        <f t="shared" si="0"/>
        <v>0.51837248969176442</v>
      </c>
      <c r="X25" s="49">
        <f t="shared" si="0"/>
        <v>0.52079458468368545</v>
      </c>
      <c r="Y25" s="49">
        <f t="shared" si="2"/>
        <v>0.51899696741758206</v>
      </c>
    </row>
    <row r="26" spans="1:25" x14ac:dyDescent="0.25">
      <c r="A26" s="8" t="s">
        <v>80</v>
      </c>
      <c r="B26" s="49">
        <f t="shared" si="1"/>
        <v>-2.156512595603643E-16</v>
      </c>
      <c r="C26" s="49">
        <f t="shared" si="0"/>
        <v>-2.2787419198604768E-16</v>
      </c>
      <c r="D26" s="49">
        <f t="shared" si="0"/>
        <v>-3.4717793896920806E-16</v>
      </c>
      <c r="E26" s="49">
        <f t="shared" si="0"/>
        <v>-3.4717793896920806E-16</v>
      </c>
      <c r="F26" s="49">
        <f t="shared" si="0"/>
        <v>-1.1633482862140885E-16</v>
      </c>
      <c r="G26" s="49">
        <f t="shared" si="0"/>
        <v>-1.1542393021189624E-16</v>
      </c>
      <c r="H26" s="49">
        <f t="shared" si="0"/>
        <v>-3.715510778819559E-16</v>
      </c>
      <c r="I26" s="49">
        <f t="shared" si="0"/>
        <v>-5.5755954734915157E-16</v>
      </c>
      <c r="J26" s="49">
        <f t="shared" si="0"/>
        <v>-3.3776795766948601E-16</v>
      </c>
      <c r="K26" s="49">
        <f t="shared" si="0"/>
        <v>-1.9087624143484472E-16</v>
      </c>
      <c r="L26" s="49">
        <f t="shared" si="0"/>
        <v>-3.9271286246135095E-16</v>
      </c>
      <c r="M26" s="49">
        <f t="shared" si="0"/>
        <v>-1.898246038017924E-16</v>
      </c>
      <c r="N26" s="49">
        <f t="shared" si="0"/>
        <v>-3.8753586047695708E-16</v>
      </c>
      <c r="O26" s="49">
        <f t="shared" si="0"/>
        <v>-4.058326159811779E-16</v>
      </c>
      <c r="P26" s="49">
        <f t="shared" si="0"/>
        <v>-4.1149682843419577E-16</v>
      </c>
      <c r="Q26" s="49">
        <f t="shared" si="0"/>
        <v>-2.0022327387624174E-16</v>
      </c>
      <c r="R26" s="49">
        <f t="shared" si="0"/>
        <v>-1.7225416909973791E-16</v>
      </c>
      <c r="S26" s="49">
        <f t="shared" si="0"/>
        <v>-3.2504866219239239E-16</v>
      </c>
      <c r="T26" s="49">
        <f t="shared" si="0"/>
        <v>-3.51523213864171E-16</v>
      </c>
      <c r="U26" s="49">
        <f t="shared" si="0"/>
        <v>-3.7984590375266541E-16</v>
      </c>
      <c r="V26" s="49">
        <f t="shared" si="0"/>
        <v>-3.929233318095793E-16</v>
      </c>
      <c r="W26" s="49">
        <f t="shared" si="0"/>
        <v>-4.0881419999747024E-16</v>
      </c>
      <c r="X26" s="49">
        <f t="shared" si="0"/>
        <v>-2.0728125399787287E-16</v>
      </c>
      <c r="Y26" s="49">
        <f t="shared" si="2"/>
        <v>-1.5419501019654867E-16</v>
      </c>
    </row>
    <row r="27" spans="1:25" x14ac:dyDescent="0.25">
      <c r="A27" s="8" t="s">
        <v>81</v>
      </c>
      <c r="B27" s="49">
        <f t="shared" si="1"/>
        <v>-0.24726580796145781</v>
      </c>
      <c r="C27" s="49">
        <f t="shared" si="0"/>
        <v>-0.24713049167504991</v>
      </c>
      <c r="D27" s="49">
        <f t="shared" si="0"/>
        <v>-0.24709127983687187</v>
      </c>
      <c r="E27" s="49">
        <f t="shared" si="0"/>
        <v>-0.24709127983687187</v>
      </c>
      <c r="F27" s="49">
        <f t="shared" si="0"/>
        <v>-0.24707795319795733</v>
      </c>
      <c r="G27" s="49">
        <f t="shared" si="0"/>
        <v>-0.24709787310926468</v>
      </c>
      <c r="H27" s="49">
        <f t="shared" si="0"/>
        <v>-0.24714543252748658</v>
      </c>
      <c r="I27" s="49">
        <f t="shared" si="0"/>
        <v>-0.24761904761904804</v>
      </c>
      <c r="J27" s="49">
        <f t="shared" si="0"/>
        <v>-0.24781341107871743</v>
      </c>
      <c r="K27" s="49">
        <f t="shared" si="0"/>
        <v>-0.24794745484400688</v>
      </c>
      <c r="L27" s="49">
        <f t="shared" si="0"/>
        <v>-0.24746933822591682</v>
      </c>
      <c r="M27" s="49">
        <f t="shared" si="0"/>
        <v>-0.24754438381920738</v>
      </c>
      <c r="N27" s="49">
        <f t="shared" si="0"/>
        <v>-0.24758007585169456</v>
      </c>
      <c r="O27" s="49">
        <f t="shared" si="0"/>
        <v>-0.24764946178931005</v>
      </c>
      <c r="P27" s="49">
        <f t="shared" si="0"/>
        <v>-0.24762011743436371</v>
      </c>
      <c r="Q27" s="49">
        <f t="shared" si="0"/>
        <v>-0.24786324786324812</v>
      </c>
      <c r="R27" s="49">
        <f t="shared" si="0"/>
        <v>-0.24777448071216637</v>
      </c>
      <c r="S27" s="49">
        <f t="shared" si="0"/>
        <v>-0.24788732394366231</v>
      </c>
      <c r="T27" s="49">
        <f t="shared" si="0"/>
        <v>-0.24808575803981647</v>
      </c>
      <c r="U27" s="49">
        <f t="shared" si="0"/>
        <v>-0.24739829938914792</v>
      </c>
      <c r="V27" s="49">
        <f t="shared" si="0"/>
        <v>-0.24731934046983253</v>
      </c>
      <c r="W27" s="49">
        <f t="shared" si="0"/>
        <v>-0.2472242286874336</v>
      </c>
      <c r="X27" s="49">
        <f t="shared" si="0"/>
        <v>-0.24719006799025778</v>
      </c>
      <c r="Y27" s="49">
        <f t="shared" si="2"/>
        <v>-0.24719468452540416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ADA11-196B-42D0-91D7-8209AB2A2FAE}">
  <sheetPr codeName="Sheet23">
    <tabColor rgb="FF002060"/>
  </sheetPr>
  <dimension ref="A1:Y15"/>
  <sheetViews>
    <sheetView workbookViewId="0">
      <selection activeCell="C3" sqref="C3"/>
    </sheetView>
  </sheetViews>
  <sheetFormatPr defaultRowHeight="15" x14ac:dyDescent="0.25"/>
  <cols>
    <col min="1" max="1" width="28.42578125" customWidth="1"/>
    <col min="2" max="2" width="10.5703125" bestFit="1" customWidth="1"/>
    <col min="3" max="25" width="10.42578125" bestFit="1" customWidth="1"/>
  </cols>
  <sheetData>
    <row r="1" spans="1:25" x14ac:dyDescent="0.25">
      <c r="A1" s="6" t="s">
        <v>25</v>
      </c>
      <c r="B1" s="7" t="s">
        <v>34</v>
      </c>
      <c r="C1" s="7" t="s">
        <v>0</v>
      </c>
      <c r="D1" s="7" t="s">
        <v>1</v>
      </c>
      <c r="E1" s="7" t="s">
        <v>2</v>
      </c>
      <c r="F1" s="7" t="s">
        <v>3</v>
      </c>
      <c r="G1" s="7" t="s">
        <v>4</v>
      </c>
      <c r="H1" s="7" t="s">
        <v>5</v>
      </c>
      <c r="I1" s="7" t="s">
        <v>6</v>
      </c>
      <c r="J1" s="7" t="s">
        <v>7</v>
      </c>
      <c r="K1" s="7" t="s">
        <v>8</v>
      </c>
      <c r="L1" s="7" t="s">
        <v>9</v>
      </c>
      <c r="M1" s="7" t="s">
        <v>10</v>
      </c>
      <c r="N1" s="7" t="s">
        <v>11</v>
      </c>
      <c r="O1" s="7" t="s">
        <v>12</v>
      </c>
      <c r="P1" s="7" t="s">
        <v>13</v>
      </c>
      <c r="Q1" s="7" t="s">
        <v>14</v>
      </c>
      <c r="R1" s="7" t="s">
        <v>15</v>
      </c>
      <c r="S1" s="7" t="s">
        <v>16</v>
      </c>
      <c r="T1" s="7" t="s">
        <v>17</v>
      </c>
      <c r="U1" s="7" t="s">
        <v>18</v>
      </c>
      <c r="V1" s="7" t="s">
        <v>19</v>
      </c>
      <c r="W1" s="7" t="s">
        <v>20</v>
      </c>
      <c r="X1" s="7" t="s">
        <v>21</v>
      </c>
      <c r="Y1" s="7" t="s">
        <v>22</v>
      </c>
    </row>
    <row r="2" spans="1:25" x14ac:dyDescent="0.25">
      <c r="A2" s="8" t="s">
        <v>37</v>
      </c>
      <c r="B2" s="8" cm="1">
        <f t="array" ref="B2">INDEX('Summarized Modified Source Data'!$R$600:$R$743,MATCH(1,($A2=LoadFactorSeasons)*(B$1=LoadFactorHours),0),)</f>
        <v>0</v>
      </c>
      <c r="C2" s="8" cm="1">
        <f t="array" ref="C2">INDEX('Summarized Modified Source Data'!$R$600:$R$743,MATCH(1,($A2=LoadFactorSeasons)*(C$1=LoadFactorHours),0),)</f>
        <v>0</v>
      </c>
      <c r="D2" s="8" cm="1">
        <f t="array" ref="D2">INDEX('Summarized Modified Source Data'!$R$600:$R$743,MATCH(1,($A2=LoadFactorSeasons)*(D$1=LoadFactorHours),0),)</f>
        <v>0</v>
      </c>
      <c r="E2" s="8" cm="1">
        <f t="array" ref="E2">INDEX('Summarized Modified Source Data'!$R$600:$R$743,MATCH(1,($A2=LoadFactorSeasons)*(E$1=LoadFactorHours),0),)</f>
        <v>0</v>
      </c>
      <c r="F2" s="8" cm="1">
        <f t="array" ref="F2">INDEX('Summarized Modified Source Data'!$R$600:$R$743,MATCH(1,($A2=LoadFactorSeasons)*(F$1=LoadFactorHours),0),)</f>
        <v>0</v>
      </c>
      <c r="G2" s="8" cm="1">
        <f t="array" ref="G2">INDEX('Summarized Modified Source Data'!$R$600:$R$743,MATCH(1,($A2=LoadFactorSeasons)*(G$1=LoadFactorHours),0),)</f>
        <v>0</v>
      </c>
      <c r="H2" s="8" cm="1">
        <f t="array" ref="H2">INDEX('Summarized Modified Source Data'!$R$600:$R$743,MATCH(1,($A2=LoadFactorSeasons)*(H$1=LoadFactorHours),0),)</f>
        <v>0</v>
      </c>
      <c r="I2" s="8" cm="1">
        <f t="array" ref="I2">INDEX('Summarized Modified Source Data'!$R$600:$R$743,MATCH(1,($A2=LoadFactorSeasons)*(I$1=LoadFactorHours),0),)</f>
        <v>0</v>
      </c>
      <c r="J2" s="8" cm="1">
        <f t="array" ref="J2">INDEX('Summarized Modified Source Data'!$R$600:$R$743,MATCH(1,($A2=LoadFactorSeasons)*(J$1=LoadFactorHours),0),)</f>
        <v>0</v>
      </c>
      <c r="K2" s="8" cm="1">
        <f t="array" ref="K2">INDEX('Summarized Modified Source Data'!$R$600:$R$743,MATCH(1,($A2=LoadFactorSeasons)*(K$1=LoadFactorHours),0),)</f>
        <v>0</v>
      </c>
      <c r="L2" s="8" cm="1">
        <f t="array" ref="L2">INDEX('Summarized Modified Source Data'!$R$600:$R$743,MATCH(1,($A2=LoadFactorSeasons)*(L$1=LoadFactorHours),0),)</f>
        <v>0</v>
      </c>
      <c r="M2" s="8" cm="1">
        <f t="array" ref="M2">INDEX('Summarized Modified Source Data'!$R$600:$R$743,MATCH(1,($A2=LoadFactorSeasons)*(M$1=LoadFactorHours),0),)</f>
        <v>0</v>
      </c>
      <c r="N2" s="8" cm="1">
        <f t="array" ref="N2">INDEX('Summarized Modified Source Data'!$R$600:$R$743,MATCH(1,($A2=LoadFactorSeasons)*(N$1=LoadFactorHours),0),)</f>
        <v>0</v>
      </c>
      <c r="O2" s="8" cm="1">
        <f t="array" ref="O2">INDEX('Summarized Modified Source Data'!$R$600:$R$743,MATCH(1,($A2=LoadFactorSeasons)*(O$1=LoadFactorHours),0),)</f>
        <v>0</v>
      </c>
      <c r="P2" s="8" cm="1">
        <f t="array" ref="P2">INDEX('Summarized Modified Source Data'!$R$600:$R$743,MATCH(1,($A2=LoadFactorSeasons)*(P$1=LoadFactorHours),0),)</f>
        <v>0</v>
      </c>
      <c r="Q2" s="8" cm="1">
        <f t="array" ref="Q2">INDEX('Summarized Modified Source Data'!$R$600:$R$743,MATCH(1,($A2=LoadFactorSeasons)*(Q$1=LoadFactorHours),0),)</f>
        <v>0</v>
      </c>
      <c r="R2" s="8" cm="1">
        <f t="array" ref="R2">INDEX('Summarized Modified Source Data'!$R$600:$R$743,MATCH(1,($A2=LoadFactorSeasons)*(R$1=LoadFactorHours),0),)</f>
        <v>0</v>
      </c>
      <c r="S2" s="8" cm="1">
        <f t="array" ref="S2">INDEX('Summarized Modified Source Data'!$R$600:$R$743,MATCH(1,($A2=LoadFactorSeasons)*(S$1=LoadFactorHours),0),)</f>
        <v>0</v>
      </c>
      <c r="T2" s="8" cm="1">
        <f t="array" ref="T2">INDEX('Summarized Modified Source Data'!$R$600:$R$743,MATCH(1,($A2=LoadFactorSeasons)*(T$1=LoadFactorHours),0),)</f>
        <v>0</v>
      </c>
      <c r="U2" s="8" cm="1">
        <f t="array" ref="U2">INDEX('Summarized Modified Source Data'!$R$600:$R$743,MATCH(1,($A2=LoadFactorSeasons)*(U$1=LoadFactorHours),0),)</f>
        <v>0</v>
      </c>
      <c r="V2" s="8" cm="1">
        <f t="array" ref="V2">INDEX('Summarized Modified Source Data'!$R$600:$R$743,MATCH(1,($A2=LoadFactorSeasons)*(V$1=LoadFactorHours),0),)</f>
        <v>0</v>
      </c>
      <c r="W2" s="8" cm="1">
        <f t="array" ref="W2">INDEX('Summarized Modified Source Data'!$R$600:$R$743,MATCH(1,($A2=LoadFactorSeasons)*(W$1=LoadFactorHours),0),)</f>
        <v>0</v>
      </c>
      <c r="X2" s="8" cm="1">
        <f t="array" ref="X2">INDEX('Summarized Modified Source Data'!$R$600:$R$743,MATCH(1,($A2=LoadFactorSeasons)*(X$1=LoadFactorHours),0),)</f>
        <v>0</v>
      </c>
      <c r="Y2" s="8" cm="1">
        <f t="array" ref="Y2">INDEX('Summarized Modified Source Data'!$R$600:$R$743,MATCH(1,($A2=LoadFactorSeasons)*(Y$1=LoadFactorHours),0),)</f>
        <v>0</v>
      </c>
    </row>
    <row r="3" spans="1:25" x14ac:dyDescent="0.25">
      <c r="A3" s="8" t="s">
        <v>38</v>
      </c>
      <c r="B3" s="8" cm="1">
        <f t="array" ref="B3">INDEX('Summarized Modified Source Data'!$R$600:$R$743,MATCH(1,($A3=LoadFactorSeasons)*(B$1=LoadFactorHours),0),)</f>
        <v>0</v>
      </c>
      <c r="C3" s="8" cm="1">
        <f t="array" ref="C3">INDEX('Summarized Modified Source Data'!$R$600:$R$743,MATCH(1,($A3=LoadFactorSeasons)*(C$1=LoadFactorHours),0),)</f>
        <v>0</v>
      </c>
      <c r="D3" s="8" cm="1">
        <f t="array" ref="D3">INDEX('Summarized Modified Source Data'!$R$600:$R$743,MATCH(1,($A3=LoadFactorSeasons)*(D$1=LoadFactorHours),0),)</f>
        <v>0</v>
      </c>
      <c r="E3" s="8" cm="1">
        <f t="array" ref="E3">INDEX('Summarized Modified Source Data'!$R$600:$R$743,MATCH(1,($A3=LoadFactorSeasons)*(E$1=LoadFactorHours),0),)</f>
        <v>0</v>
      </c>
      <c r="F3" s="8" cm="1">
        <f t="array" ref="F3">INDEX('Summarized Modified Source Data'!$R$600:$R$743,MATCH(1,($A3=LoadFactorSeasons)*(F$1=LoadFactorHours),0),)</f>
        <v>0</v>
      </c>
      <c r="G3" s="8" cm="1">
        <f t="array" ref="G3">INDEX('Summarized Modified Source Data'!$R$600:$R$743,MATCH(1,($A3=LoadFactorSeasons)*(G$1=LoadFactorHours),0),)</f>
        <v>0</v>
      </c>
      <c r="H3" s="8" cm="1">
        <f t="array" ref="H3">INDEX('Summarized Modified Source Data'!$R$600:$R$743,MATCH(1,($A3=LoadFactorSeasons)*(H$1=LoadFactorHours),0),)</f>
        <v>0</v>
      </c>
      <c r="I3" s="8" cm="1">
        <f t="array" ref="I3">INDEX('Summarized Modified Source Data'!$R$600:$R$743,MATCH(1,($A3=LoadFactorSeasons)*(I$1=LoadFactorHours),0),)</f>
        <v>0</v>
      </c>
      <c r="J3" s="8" cm="1">
        <f t="array" ref="J3">INDEX('Summarized Modified Source Data'!$R$600:$R$743,MATCH(1,($A3=LoadFactorSeasons)*(J$1=LoadFactorHours),0),)</f>
        <v>0</v>
      </c>
      <c r="K3" s="8" cm="1">
        <f t="array" ref="K3">INDEX('Summarized Modified Source Data'!$R$600:$R$743,MATCH(1,($A3=LoadFactorSeasons)*(K$1=LoadFactorHours),0),)</f>
        <v>0</v>
      </c>
      <c r="L3" s="8" cm="1">
        <f t="array" ref="L3">INDEX('Summarized Modified Source Data'!$R$600:$R$743,MATCH(1,($A3=LoadFactorSeasons)*(L$1=LoadFactorHours),0),)</f>
        <v>0</v>
      </c>
      <c r="M3" s="8" cm="1">
        <f t="array" ref="M3">INDEX('Summarized Modified Source Data'!$R$600:$R$743,MATCH(1,($A3=LoadFactorSeasons)*(M$1=LoadFactorHours),0),)</f>
        <v>0</v>
      </c>
      <c r="N3" s="8" cm="1">
        <f t="array" ref="N3">INDEX('Summarized Modified Source Data'!$R$600:$R$743,MATCH(1,($A3=LoadFactorSeasons)*(N$1=LoadFactorHours),0),)</f>
        <v>0</v>
      </c>
      <c r="O3" s="8" cm="1">
        <f t="array" ref="O3">INDEX('Summarized Modified Source Data'!$R$600:$R$743,MATCH(1,($A3=LoadFactorSeasons)*(O$1=LoadFactorHours),0),)</f>
        <v>0</v>
      </c>
      <c r="P3" s="8" cm="1">
        <f t="array" ref="P3">INDEX('Summarized Modified Source Data'!$R$600:$R$743,MATCH(1,($A3=LoadFactorSeasons)*(P$1=LoadFactorHours),0),)</f>
        <v>0</v>
      </c>
      <c r="Q3" s="8" cm="1">
        <f t="array" ref="Q3">INDEX('Summarized Modified Source Data'!$R$600:$R$743,MATCH(1,($A3=LoadFactorSeasons)*(Q$1=LoadFactorHours),0),)</f>
        <v>0</v>
      </c>
      <c r="R3" s="8" cm="1">
        <f t="array" ref="R3">INDEX('Summarized Modified Source Data'!$R$600:$R$743,MATCH(1,($A3=LoadFactorSeasons)*(R$1=LoadFactorHours),0),)</f>
        <v>0</v>
      </c>
      <c r="S3" s="8" cm="1">
        <f t="array" ref="S3">INDEX('Summarized Modified Source Data'!$R$600:$R$743,MATCH(1,($A3=LoadFactorSeasons)*(S$1=LoadFactorHours),0),)</f>
        <v>0</v>
      </c>
      <c r="T3" s="8" cm="1">
        <f t="array" ref="T3">INDEX('Summarized Modified Source Data'!$R$600:$R$743,MATCH(1,($A3=LoadFactorSeasons)*(T$1=LoadFactorHours),0),)</f>
        <v>0</v>
      </c>
      <c r="U3" s="8" cm="1">
        <f t="array" ref="U3">INDEX('Summarized Modified Source Data'!$R$600:$R$743,MATCH(1,($A3=LoadFactorSeasons)*(U$1=LoadFactorHours),0),)</f>
        <v>0</v>
      </c>
      <c r="V3" s="8" cm="1">
        <f t="array" ref="V3">INDEX('Summarized Modified Source Data'!$R$600:$R$743,MATCH(1,($A3=LoadFactorSeasons)*(V$1=LoadFactorHours),0),)</f>
        <v>0</v>
      </c>
      <c r="W3" s="8" cm="1">
        <f t="array" ref="W3">INDEX('Summarized Modified Source Data'!$R$600:$R$743,MATCH(1,($A3=LoadFactorSeasons)*(W$1=LoadFactorHours),0),)</f>
        <v>0</v>
      </c>
      <c r="X3" s="8" cm="1">
        <f t="array" ref="X3">INDEX('Summarized Modified Source Data'!$R$600:$R$743,MATCH(1,($A3=LoadFactorSeasons)*(X$1=LoadFactorHours),0),)</f>
        <v>0</v>
      </c>
      <c r="Y3" s="8" cm="1">
        <f t="array" ref="Y3">INDEX('Summarized Modified Source Data'!$R$600:$R$743,MATCH(1,($A3=LoadFactorSeasons)*(Y$1=LoadFactorHours),0),)</f>
        <v>0</v>
      </c>
    </row>
    <row r="4" spans="1:25" x14ac:dyDescent="0.25">
      <c r="A4" s="8" t="s">
        <v>39</v>
      </c>
      <c r="B4" s="8" cm="1">
        <f t="array" ref="B4">INDEX('Summarized Modified Source Data'!$R$600:$R$743,MATCH(1,($A4=LoadFactorSeasons)*(B$1=LoadFactorHours),0),)</f>
        <v>0</v>
      </c>
      <c r="C4" s="8" cm="1">
        <f t="array" ref="C4">INDEX('Summarized Modified Source Data'!$R$600:$R$743,MATCH(1,($A4=LoadFactorSeasons)*(C$1=LoadFactorHours),0),)</f>
        <v>0</v>
      </c>
      <c r="D4" s="8" cm="1">
        <f t="array" ref="D4">INDEX('Summarized Modified Source Data'!$R$600:$R$743,MATCH(1,($A4=LoadFactorSeasons)*(D$1=LoadFactorHours),0),)</f>
        <v>0</v>
      </c>
      <c r="E4" s="8" cm="1">
        <f t="array" ref="E4">INDEX('Summarized Modified Source Data'!$R$600:$R$743,MATCH(1,($A4=LoadFactorSeasons)*(E$1=LoadFactorHours),0),)</f>
        <v>0</v>
      </c>
      <c r="F4" s="8" cm="1">
        <f t="array" ref="F4">INDEX('Summarized Modified Source Data'!$R$600:$R$743,MATCH(1,($A4=LoadFactorSeasons)*(F$1=LoadFactorHours),0),)</f>
        <v>0</v>
      </c>
      <c r="G4" s="8" cm="1">
        <f t="array" ref="G4">INDEX('Summarized Modified Source Data'!$R$600:$R$743,MATCH(1,($A4=LoadFactorSeasons)*(G$1=LoadFactorHours),0),)</f>
        <v>0</v>
      </c>
      <c r="H4" s="8" cm="1">
        <f t="array" ref="H4">INDEX('Summarized Modified Source Data'!$R$600:$R$743,MATCH(1,($A4=LoadFactorSeasons)*(H$1=LoadFactorHours),0),)</f>
        <v>0</v>
      </c>
      <c r="I4" s="8" cm="1">
        <f t="array" ref="I4">INDEX('Summarized Modified Source Data'!$R$600:$R$743,MATCH(1,($A4=LoadFactorSeasons)*(I$1=LoadFactorHours),0),)</f>
        <v>0</v>
      </c>
      <c r="J4" s="8" cm="1">
        <f t="array" ref="J4">INDEX('Summarized Modified Source Data'!$R$600:$R$743,MATCH(1,($A4=LoadFactorSeasons)*(J$1=LoadFactorHours),0),)</f>
        <v>0</v>
      </c>
      <c r="K4" s="8" cm="1">
        <f t="array" ref="K4">INDEX('Summarized Modified Source Data'!$R$600:$R$743,MATCH(1,($A4=LoadFactorSeasons)*(K$1=LoadFactorHours),0),)</f>
        <v>0</v>
      </c>
      <c r="L4" s="8" cm="1">
        <f t="array" ref="L4">INDEX('Summarized Modified Source Data'!$R$600:$R$743,MATCH(1,($A4=LoadFactorSeasons)*(L$1=LoadFactorHours),0),)</f>
        <v>0</v>
      </c>
      <c r="M4" s="8" cm="1">
        <f t="array" ref="M4">INDEX('Summarized Modified Source Data'!$R$600:$R$743,MATCH(1,($A4=LoadFactorSeasons)*(M$1=LoadFactorHours),0),)</f>
        <v>0</v>
      </c>
      <c r="N4" s="8" cm="1">
        <f t="array" ref="N4">INDEX('Summarized Modified Source Data'!$R$600:$R$743,MATCH(1,($A4=LoadFactorSeasons)*(N$1=LoadFactorHours),0),)</f>
        <v>0</v>
      </c>
      <c r="O4" s="8" cm="1">
        <f t="array" ref="O4">INDEX('Summarized Modified Source Data'!$R$600:$R$743,MATCH(1,($A4=LoadFactorSeasons)*(O$1=LoadFactorHours),0),)</f>
        <v>0</v>
      </c>
      <c r="P4" s="8" cm="1">
        <f t="array" ref="P4">INDEX('Summarized Modified Source Data'!$R$600:$R$743,MATCH(1,($A4=LoadFactorSeasons)*(P$1=LoadFactorHours),0),)</f>
        <v>0</v>
      </c>
      <c r="Q4" s="8" cm="1">
        <f t="array" ref="Q4">INDEX('Summarized Modified Source Data'!$R$600:$R$743,MATCH(1,($A4=LoadFactorSeasons)*(Q$1=LoadFactorHours),0),)</f>
        <v>0</v>
      </c>
      <c r="R4" s="8" cm="1">
        <f t="array" ref="R4">INDEX('Summarized Modified Source Data'!$R$600:$R$743,MATCH(1,($A4=LoadFactorSeasons)*(R$1=LoadFactorHours),0),)</f>
        <v>0</v>
      </c>
      <c r="S4" s="8" cm="1">
        <f t="array" ref="S4">INDEX('Summarized Modified Source Data'!$R$600:$R$743,MATCH(1,($A4=LoadFactorSeasons)*(S$1=LoadFactorHours),0),)</f>
        <v>0</v>
      </c>
      <c r="T4" s="8" cm="1">
        <f t="array" ref="T4">INDEX('Summarized Modified Source Data'!$R$600:$R$743,MATCH(1,($A4=LoadFactorSeasons)*(T$1=LoadFactorHours),0),)</f>
        <v>0</v>
      </c>
      <c r="U4" s="8" cm="1">
        <f t="array" ref="U4">INDEX('Summarized Modified Source Data'!$R$600:$R$743,MATCH(1,($A4=LoadFactorSeasons)*(U$1=LoadFactorHours),0),)</f>
        <v>0</v>
      </c>
      <c r="V4" s="8" cm="1">
        <f t="array" ref="V4">INDEX('Summarized Modified Source Data'!$R$600:$R$743,MATCH(1,($A4=LoadFactorSeasons)*(V$1=LoadFactorHours),0),)</f>
        <v>0</v>
      </c>
      <c r="W4" s="8" cm="1">
        <f t="array" ref="W4">INDEX('Summarized Modified Source Data'!$R$600:$R$743,MATCH(1,($A4=LoadFactorSeasons)*(W$1=LoadFactorHours),0),)</f>
        <v>0</v>
      </c>
      <c r="X4" s="8" cm="1">
        <f t="array" ref="X4">INDEX('Summarized Modified Source Data'!$R$600:$R$743,MATCH(1,($A4=LoadFactorSeasons)*(X$1=LoadFactorHours),0),)</f>
        <v>0</v>
      </c>
      <c r="Y4" s="8" cm="1">
        <f t="array" ref="Y4">INDEX('Summarized Modified Source Data'!$R$600:$R$743,MATCH(1,($A4=LoadFactorSeasons)*(Y$1=LoadFactorHours),0),)</f>
        <v>0</v>
      </c>
    </row>
    <row r="5" spans="1:25" x14ac:dyDescent="0.25">
      <c r="A5" s="8" t="s">
        <v>40</v>
      </c>
      <c r="B5" s="8" cm="1">
        <f t="array" ref="B5">INDEX('Summarized Modified Source Data'!$R$600:$R$743,MATCH(1,($A5=LoadFactorSeasons)*(B$1=LoadFactorHours),0),)</f>
        <v>0</v>
      </c>
      <c r="C5" s="8" cm="1">
        <f t="array" ref="C5">INDEX('Summarized Modified Source Data'!$R$600:$R$743,MATCH(1,($A5=LoadFactorSeasons)*(C$1=LoadFactorHours),0),)</f>
        <v>0</v>
      </c>
      <c r="D5" s="8" cm="1">
        <f t="array" ref="D5">INDEX('Summarized Modified Source Data'!$R$600:$R$743,MATCH(1,($A5=LoadFactorSeasons)*(D$1=LoadFactorHours),0),)</f>
        <v>0</v>
      </c>
      <c r="E5" s="8" cm="1">
        <f t="array" ref="E5">INDEX('Summarized Modified Source Data'!$R$600:$R$743,MATCH(1,($A5=LoadFactorSeasons)*(E$1=LoadFactorHours),0),)</f>
        <v>0</v>
      </c>
      <c r="F5" s="8" cm="1">
        <f t="array" ref="F5">INDEX('Summarized Modified Source Data'!$R$600:$R$743,MATCH(1,($A5=LoadFactorSeasons)*(F$1=LoadFactorHours),0),)</f>
        <v>0</v>
      </c>
      <c r="G5" s="8" cm="1">
        <f t="array" ref="G5">INDEX('Summarized Modified Source Data'!$R$600:$R$743,MATCH(1,($A5=LoadFactorSeasons)*(G$1=LoadFactorHours),0),)</f>
        <v>0</v>
      </c>
      <c r="H5" s="8" cm="1">
        <f t="array" ref="H5">INDEX('Summarized Modified Source Data'!$R$600:$R$743,MATCH(1,($A5=LoadFactorSeasons)*(H$1=LoadFactorHours),0),)</f>
        <v>0</v>
      </c>
      <c r="I5" s="8" cm="1">
        <f t="array" ref="I5">INDEX('Summarized Modified Source Data'!$R$600:$R$743,MATCH(1,($A5=LoadFactorSeasons)*(I$1=LoadFactorHours),0),)</f>
        <v>0</v>
      </c>
      <c r="J5" s="8" cm="1">
        <f t="array" ref="J5">INDEX('Summarized Modified Source Data'!$R$600:$R$743,MATCH(1,($A5=LoadFactorSeasons)*(J$1=LoadFactorHours),0),)</f>
        <v>0</v>
      </c>
      <c r="K5" s="8" cm="1">
        <f t="array" ref="K5">INDEX('Summarized Modified Source Data'!$R$600:$R$743,MATCH(1,($A5=LoadFactorSeasons)*(K$1=LoadFactorHours),0),)</f>
        <v>0</v>
      </c>
      <c r="L5" s="8" cm="1">
        <f t="array" ref="L5">INDEX('Summarized Modified Source Data'!$R$600:$R$743,MATCH(1,($A5=LoadFactorSeasons)*(L$1=LoadFactorHours),0),)</f>
        <v>0</v>
      </c>
      <c r="M5" s="8" cm="1">
        <f t="array" ref="M5">INDEX('Summarized Modified Source Data'!$R$600:$R$743,MATCH(1,($A5=LoadFactorSeasons)*(M$1=LoadFactorHours),0),)</f>
        <v>0</v>
      </c>
      <c r="N5" s="8" cm="1">
        <f t="array" ref="N5">INDEX('Summarized Modified Source Data'!$R$600:$R$743,MATCH(1,($A5=LoadFactorSeasons)*(N$1=LoadFactorHours),0),)</f>
        <v>0</v>
      </c>
      <c r="O5" s="8" cm="1">
        <f t="array" ref="O5">INDEX('Summarized Modified Source Data'!$R$600:$R$743,MATCH(1,($A5=LoadFactorSeasons)*(O$1=LoadFactorHours),0),)</f>
        <v>0</v>
      </c>
      <c r="P5" s="8" cm="1">
        <f t="array" ref="P5">INDEX('Summarized Modified Source Data'!$R$600:$R$743,MATCH(1,($A5=LoadFactorSeasons)*(P$1=LoadFactorHours),0),)</f>
        <v>0</v>
      </c>
      <c r="Q5" s="8" cm="1">
        <f t="array" ref="Q5">INDEX('Summarized Modified Source Data'!$R$600:$R$743,MATCH(1,($A5=LoadFactorSeasons)*(Q$1=LoadFactorHours),0),)</f>
        <v>0</v>
      </c>
      <c r="R5" s="8" cm="1">
        <f t="array" ref="R5">INDEX('Summarized Modified Source Data'!$R$600:$R$743,MATCH(1,($A5=LoadFactorSeasons)*(R$1=LoadFactorHours),0),)</f>
        <v>0</v>
      </c>
      <c r="S5" s="8" cm="1">
        <f t="array" ref="S5">INDEX('Summarized Modified Source Data'!$R$600:$R$743,MATCH(1,($A5=LoadFactorSeasons)*(S$1=LoadFactorHours),0),)</f>
        <v>0</v>
      </c>
      <c r="T5" s="8" cm="1">
        <f t="array" ref="T5">INDEX('Summarized Modified Source Data'!$R$600:$R$743,MATCH(1,($A5=LoadFactorSeasons)*(T$1=LoadFactorHours),0),)</f>
        <v>0</v>
      </c>
      <c r="U5" s="8" cm="1">
        <f t="array" ref="U5">INDEX('Summarized Modified Source Data'!$R$600:$R$743,MATCH(1,($A5=LoadFactorSeasons)*(U$1=LoadFactorHours),0),)</f>
        <v>0</v>
      </c>
      <c r="V5" s="8" cm="1">
        <f t="array" ref="V5">INDEX('Summarized Modified Source Data'!$R$600:$R$743,MATCH(1,($A5=LoadFactorSeasons)*(V$1=LoadFactorHours),0),)</f>
        <v>0</v>
      </c>
      <c r="W5" s="8" cm="1">
        <f t="array" ref="W5">INDEX('Summarized Modified Source Data'!$R$600:$R$743,MATCH(1,($A5=LoadFactorSeasons)*(W$1=LoadFactorHours),0),)</f>
        <v>0</v>
      </c>
      <c r="X5" s="8" cm="1">
        <f t="array" ref="X5">INDEX('Summarized Modified Source Data'!$R$600:$R$743,MATCH(1,($A5=LoadFactorSeasons)*(X$1=LoadFactorHours),0),)</f>
        <v>0</v>
      </c>
      <c r="Y5" s="8" cm="1">
        <f t="array" ref="Y5">INDEX('Summarized Modified Source Data'!$R$600:$R$743,MATCH(1,($A5=LoadFactorSeasons)*(Y$1=LoadFactorHours),0),)</f>
        <v>0</v>
      </c>
    </row>
    <row r="6" spans="1:25" x14ac:dyDescent="0.25">
      <c r="A6" s="8" t="s">
        <v>80</v>
      </c>
      <c r="B6" s="8" cm="1">
        <f t="array" ref="B6">INDEX('Summarized Modified Source Data'!$R$600:$R$743,MATCH(1,($A6=LoadFactorSeasons)*(B$1=LoadFactorHours),0),)</f>
        <v>0</v>
      </c>
      <c r="C6" s="8" cm="1">
        <f t="array" ref="C6">INDEX('Summarized Modified Source Data'!$R$600:$R$743,MATCH(1,($A6=LoadFactorSeasons)*(C$1=LoadFactorHours),0),)</f>
        <v>0</v>
      </c>
      <c r="D6" s="8" cm="1">
        <f t="array" ref="D6">INDEX('Summarized Modified Source Data'!$R$600:$R$743,MATCH(1,($A6=LoadFactorSeasons)*(D$1=LoadFactorHours),0),)</f>
        <v>0</v>
      </c>
      <c r="E6" s="8" cm="1">
        <f t="array" ref="E6">INDEX('Summarized Modified Source Data'!$R$600:$R$743,MATCH(1,($A6=LoadFactorSeasons)*(E$1=LoadFactorHours),0),)</f>
        <v>0</v>
      </c>
      <c r="F6" s="8" cm="1">
        <f t="array" ref="F6">INDEX('Summarized Modified Source Data'!$R$600:$R$743,MATCH(1,($A6=LoadFactorSeasons)*(F$1=LoadFactorHours),0),)</f>
        <v>0</v>
      </c>
      <c r="G6" s="8" cm="1">
        <f t="array" ref="G6">INDEX('Summarized Modified Source Data'!$R$600:$R$743,MATCH(1,($A6=LoadFactorSeasons)*(G$1=LoadFactorHours),0),)</f>
        <v>0</v>
      </c>
      <c r="H6" s="8" cm="1">
        <f t="array" ref="H6">INDEX('Summarized Modified Source Data'!$R$600:$R$743,MATCH(1,($A6=LoadFactorSeasons)*(H$1=LoadFactorHours),0),)</f>
        <v>0</v>
      </c>
      <c r="I6" s="8" cm="1">
        <f t="array" ref="I6">INDEX('Summarized Modified Source Data'!$R$600:$R$743,MATCH(1,($A6=LoadFactorSeasons)*(I$1=LoadFactorHours),0),)</f>
        <v>0</v>
      </c>
      <c r="J6" s="8" cm="1">
        <f t="array" ref="J6">INDEX('Summarized Modified Source Data'!$R$600:$R$743,MATCH(1,($A6=LoadFactorSeasons)*(J$1=LoadFactorHours),0),)</f>
        <v>0</v>
      </c>
      <c r="K6" s="8" cm="1">
        <f t="array" ref="K6">INDEX('Summarized Modified Source Data'!$R$600:$R$743,MATCH(1,($A6=LoadFactorSeasons)*(K$1=LoadFactorHours),0),)</f>
        <v>0</v>
      </c>
      <c r="L6" s="8" cm="1">
        <f t="array" ref="L6">INDEX('Summarized Modified Source Data'!$R$600:$R$743,MATCH(1,($A6=LoadFactorSeasons)*(L$1=LoadFactorHours),0),)</f>
        <v>0</v>
      </c>
      <c r="M6" s="8" cm="1">
        <f t="array" ref="M6">INDEX('Summarized Modified Source Data'!$R$600:$R$743,MATCH(1,($A6=LoadFactorSeasons)*(M$1=LoadFactorHours),0),)</f>
        <v>0</v>
      </c>
      <c r="N6" s="8" cm="1">
        <f t="array" ref="N6">INDEX('Summarized Modified Source Data'!$R$600:$R$743,MATCH(1,($A6=LoadFactorSeasons)*(N$1=LoadFactorHours),0),)</f>
        <v>0</v>
      </c>
      <c r="O6" s="8" cm="1">
        <f t="array" ref="O6">INDEX('Summarized Modified Source Data'!$R$600:$R$743,MATCH(1,($A6=LoadFactorSeasons)*(O$1=LoadFactorHours),0),)</f>
        <v>0</v>
      </c>
      <c r="P6" s="8" cm="1">
        <f t="array" ref="P6">INDEX('Summarized Modified Source Data'!$R$600:$R$743,MATCH(1,($A6=LoadFactorSeasons)*(P$1=LoadFactorHours),0),)</f>
        <v>0</v>
      </c>
      <c r="Q6" s="8" cm="1">
        <f t="array" ref="Q6">INDEX('Summarized Modified Source Data'!$R$600:$R$743,MATCH(1,($A6=LoadFactorSeasons)*(Q$1=LoadFactorHours),0),)</f>
        <v>0</v>
      </c>
      <c r="R6" s="8" cm="1">
        <f t="array" ref="R6">INDEX('Summarized Modified Source Data'!$R$600:$R$743,MATCH(1,($A6=LoadFactorSeasons)*(R$1=LoadFactorHours),0),)</f>
        <v>0</v>
      </c>
      <c r="S6" s="8" cm="1">
        <f t="array" ref="S6">INDEX('Summarized Modified Source Data'!$R$600:$R$743,MATCH(1,($A6=LoadFactorSeasons)*(S$1=LoadFactorHours),0),)</f>
        <v>0</v>
      </c>
      <c r="T6" s="8" cm="1">
        <f t="array" ref="T6">INDEX('Summarized Modified Source Data'!$R$600:$R$743,MATCH(1,($A6=LoadFactorSeasons)*(T$1=LoadFactorHours),0),)</f>
        <v>0</v>
      </c>
      <c r="U6" s="8" cm="1">
        <f t="array" ref="U6">INDEX('Summarized Modified Source Data'!$R$600:$R$743,MATCH(1,($A6=LoadFactorSeasons)*(U$1=LoadFactorHours),0),)</f>
        <v>0</v>
      </c>
      <c r="V6" s="8" cm="1">
        <f t="array" ref="V6">INDEX('Summarized Modified Source Data'!$R$600:$R$743,MATCH(1,($A6=LoadFactorSeasons)*(V$1=LoadFactorHours),0),)</f>
        <v>0</v>
      </c>
      <c r="W6" s="8" cm="1">
        <f t="array" ref="W6">INDEX('Summarized Modified Source Data'!$R$600:$R$743,MATCH(1,($A6=LoadFactorSeasons)*(W$1=LoadFactorHours),0),)</f>
        <v>0</v>
      </c>
      <c r="X6" s="8" cm="1">
        <f t="array" ref="X6">INDEX('Summarized Modified Source Data'!$R$600:$R$743,MATCH(1,($A6=LoadFactorSeasons)*(X$1=LoadFactorHours),0),)</f>
        <v>0</v>
      </c>
      <c r="Y6" s="8" cm="1">
        <f t="array" ref="Y6">INDEX('Summarized Modified Source Data'!$R$600:$R$743,MATCH(1,($A6=LoadFactorSeasons)*(Y$1=LoadFactorHours),0),)</f>
        <v>0</v>
      </c>
    </row>
    <row r="7" spans="1:25" x14ac:dyDescent="0.25">
      <c r="A7" s="8" t="s">
        <v>81</v>
      </c>
      <c r="B7" s="8" cm="1">
        <f t="array" ref="B7">INDEX('Summarized Modified Source Data'!$R$600:$R$743,MATCH(1,($A7=LoadFactorSeasons)*(B$1=LoadFactorHours),0),)</f>
        <v>0</v>
      </c>
      <c r="C7" s="8" cm="1">
        <f t="array" ref="C7">INDEX('Summarized Modified Source Data'!$R$600:$R$743,MATCH(1,($A7=LoadFactorSeasons)*(C$1=LoadFactorHours),0),)</f>
        <v>0</v>
      </c>
      <c r="D7" s="8" cm="1">
        <f t="array" ref="D7">INDEX('Summarized Modified Source Data'!$R$600:$R$743,MATCH(1,($A7=LoadFactorSeasons)*(D$1=LoadFactorHours),0),)</f>
        <v>0</v>
      </c>
      <c r="E7" s="8" cm="1">
        <f t="array" ref="E7">INDEX('Summarized Modified Source Data'!$R$600:$R$743,MATCH(1,($A7=LoadFactorSeasons)*(E$1=LoadFactorHours),0),)</f>
        <v>0</v>
      </c>
      <c r="F7" s="8" cm="1">
        <f t="array" ref="F7">INDEX('Summarized Modified Source Data'!$R$600:$R$743,MATCH(1,($A7=LoadFactorSeasons)*(F$1=LoadFactorHours),0),)</f>
        <v>0</v>
      </c>
      <c r="G7" s="8" cm="1">
        <f t="array" ref="G7">INDEX('Summarized Modified Source Data'!$R$600:$R$743,MATCH(1,($A7=LoadFactorSeasons)*(G$1=LoadFactorHours),0),)</f>
        <v>0</v>
      </c>
      <c r="H7" s="8" cm="1">
        <f t="array" ref="H7">INDEX('Summarized Modified Source Data'!$R$600:$R$743,MATCH(1,($A7=LoadFactorSeasons)*(H$1=LoadFactorHours),0),)</f>
        <v>0</v>
      </c>
      <c r="I7" s="8" cm="1">
        <f t="array" ref="I7">INDEX('Summarized Modified Source Data'!$R$600:$R$743,MATCH(1,($A7=LoadFactorSeasons)*(I$1=LoadFactorHours),0),)</f>
        <v>0</v>
      </c>
      <c r="J7" s="8" cm="1">
        <f t="array" ref="J7">INDEX('Summarized Modified Source Data'!$R$600:$R$743,MATCH(1,($A7=LoadFactorSeasons)*(J$1=LoadFactorHours),0),)</f>
        <v>0</v>
      </c>
      <c r="K7" s="8" cm="1">
        <f t="array" ref="K7">INDEX('Summarized Modified Source Data'!$R$600:$R$743,MATCH(1,($A7=LoadFactorSeasons)*(K$1=LoadFactorHours),0),)</f>
        <v>0</v>
      </c>
      <c r="L7" s="8" cm="1">
        <f t="array" ref="L7">INDEX('Summarized Modified Source Data'!$R$600:$R$743,MATCH(1,($A7=LoadFactorSeasons)*(L$1=LoadFactorHours),0),)</f>
        <v>0</v>
      </c>
      <c r="M7" s="8" cm="1">
        <f t="array" ref="M7">INDEX('Summarized Modified Source Data'!$R$600:$R$743,MATCH(1,($A7=LoadFactorSeasons)*(M$1=LoadFactorHours),0),)</f>
        <v>0</v>
      </c>
      <c r="N7" s="8" cm="1">
        <f t="array" ref="N7">INDEX('Summarized Modified Source Data'!$R$600:$R$743,MATCH(1,($A7=LoadFactorSeasons)*(N$1=LoadFactorHours),0),)</f>
        <v>0</v>
      </c>
      <c r="O7" s="8" cm="1">
        <f t="array" ref="O7">INDEX('Summarized Modified Source Data'!$R$600:$R$743,MATCH(1,($A7=LoadFactorSeasons)*(O$1=LoadFactorHours),0),)</f>
        <v>0</v>
      </c>
      <c r="P7" s="8" cm="1">
        <f t="array" ref="P7">INDEX('Summarized Modified Source Data'!$R$600:$R$743,MATCH(1,($A7=LoadFactorSeasons)*(P$1=LoadFactorHours),0),)</f>
        <v>0</v>
      </c>
      <c r="Q7" s="8" cm="1">
        <f t="array" ref="Q7">INDEX('Summarized Modified Source Data'!$R$600:$R$743,MATCH(1,($A7=LoadFactorSeasons)*(Q$1=LoadFactorHours),0),)</f>
        <v>0</v>
      </c>
      <c r="R7" s="8" cm="1">
        <f t="array" ref="R7">INDEX('Summarized Modified Source Data'!$R$600:$R$743,MATCH(1,($A7=LoadFactorSeasons)*(R$1=LoadFactorHours),0),)</f>
        <v>0</v>
      </c>
      <c r="S7" s="8" cm="1">
        <f t="array" ref="S7">INDEX('Summarized Modified Source Data'!$R$600:$R$743,MATCH(1,($A7=LoadFactorSeasons)*(S$1=LoadFactorHours),0),)</f>
        <v>0</v>
      </c>
      <c r="T7" s="8" cm="1">
        <f t="array" ref="T7">INDEX('Summarized Modified Source Data'!$R$600:$R$743,MATCH(1,($A7=LoadFactorSeasons)*(T$1=LoadFactorHours),0),)</f>
        <v>0</v>
      </c>
      <c r="U7" s="8" cm="1">
        <f t="array" ref="U7">INDEX('Summarized Modified Source Data'!$R$600:$R$743,MATCH(1,($A7=LoadFactorSeasons)*(U$1=LoadFactorHours),0),)</f>
        <v>0</v>
      </c>
      <c r="V7" s="8" cm="1">
        <f t="array" ref="V7">INDEX('Summarized Modified Source Data'!$R$600:$R$743,MATCH(1,($A7=LoadFactorSeasons)*(V$1=LoadFactorHours),0),)</f>
        <v>0</v>
      </c>
      <c r="W7" s="8" cm="1">
        <f t="array" ref="W7">INDEX('Summarized Modified Source Data'!$R$600:$R$743,MATCH(1,($A7=LoadFactorSeasons)*(W$1=LoadFactorHours),0),)</f>
        <v>0</v>
      </c>
      <c r="X7" s="8" cm="1">
        <f t="array" ref="X7">INDEX('Summarized Modified Source Data'!$R$600:$R$743,MATCH(1,($A7=LoadFactorSeasons)*(X$1=LoadFactorHours),0),)</f>
        <v>0</v>
      </c>
      <c r="Y7" s="8" cm="1">
        <f t="array" ref="Y7">INDEX('Summarized Modified Source Data'!$R$600:$R$743,MATCH(1,($A7=LoadFactorSeasons)*(Y$1=LoadFactorHours),0),)</f>
        <v>0</v>
      </c>
    </row>
    <row r="8" spans="1:25" x14ac:dyDescent="0.25">
      <c r="A8" s="8"/>
      <c r="B8" s="8"/>
      <c r="C8" s="8"/>
      <c r="D8" s="8"/>
      <c r="E8" s="8"/>
      <c r="F8" s="8"/>
      <c r="G8" s="8"/>
      <c r="H8" s="8"/>
      <c r="I8" s="8"/>
      <c r="J8" s="8"/>
      <c r="K8" s="8"/>
      <c r="L8" s="8"/>
      <c r="M8" s="8"/>
      <c r="N8" s="8"/>
      <c r="O8" s="8"/>
      <c r="P8" s="8"/>
      <c r="Q8" s="8"/>
      <c r="R8" s="8"/>
      <c r="S8" s="8"/>
      <c r="T8" s="8"/>
      <c r="U8" s="8"/>
      <c r="V8" s="8"/>
      <c r="W8" s="8"/>
      <c r="X8" s="8"/>
      <c r="Y8" s="8"/>
    </row>
    <row r="9" spans="1:25" x14ac:dyDescent="0.25">
      <c r="A9" s="8"/>
      <c r="B9" s="8"/>
      <c r="C9" s="8"/>
      <c r="D9" s="8"/>
      <c r="E9" s="8"/>
      <c r="F9" s="8"/>
      <c r="G9" s="8"/>
      <c r="H9" s="8"/>
      <c r="I9" s="8"/>
      <c r="J9" s="8"/>
      <c r="K9" s="8"/>
      <c r="L9" s="8"/>
      <c r="M9" s="8"/>
      <c r="N9" s="8"/>
      <c r="O9" s="8"/>
      <c r="P9" s="8"/>
      <c r="Q9" s="8"/>
      <c r="R9" s="8"/>
      <c r="S9" s="8"/>
      <c r="T9" s="8"/>
      <c r="U9" s="8"/>
      <c r="V9" s="8"/>
      <c r="W9" s="8"/>
      <c r="X9" s="8"/>
      <c r="Y9" s="8"/>
    </row>
    <row r="10" spans="1:25" x14ac:dyDescent="0.25">
      <c r="A10" s="8"/>
      <c r="B10" s="8"/>
      <c r="C10" s="8"/>
      <c r="D10" s="8"/>
      <c r="E10" s="8"/>
      <c r="F10" s="8"/>
      <c r="G10" s="8"/>
      <c r="H10" s="8"/>
      <c r="I10" s="8"/>
      <c r="J10" s="8"/>
      <c r="K10" s="8"/>
      <c r="L10" s="8"/>
      <c r="M10" s="8"/>
      <c r="N10" s="8"/>
      <c r="O10" s="8"/>
      <c r="P10" s="8"/>
      <c r="Q10" s="8"/>
      <c r="R10" s="8"/>
      <c r="S10" s="8"/>
      <c r="T10" s="8"/>
      <c r="U10" s="8"/>
      <c r="V10" s="8"/>
      <c r="W10" s="8"/>
      <c r="X10" s="8"/>
      <c r="Y10" s="8"/>
    </row>
    <row r="11" spans="1:25" x14ac:dyDescent="0.25">
      <c r="A11" s="8"/>
      <c r="B11" s="8"/>
      <c r="C11" s="8"/>
      <c r="D11" s="8"/>
      <c r="E11" s="8"/>
      <c r="F11" s="8"/>
      <c r="G11" s="8"/>
      <c r="H11" s="8"/>
      <c r="I11" s="8"/>
      <c r="J11" s="8"/>
      <c r="K11" s="8"/>
      <c r="L11" s="8"/>
      <c r="M11" s="8"/>
      <c r="N11" s="8"/>
      <c r="O11" s="8"/>
      <c r="P11" s="8"/>
      <c r="Q11" s="8"/>
      <c r="R11" s="8"/>
      <c r="S11" s="8"/>
      <c r="T11" s="8"/>
      <c r="U11" s="8"/>
      <c r="V11" s="8"/>
      <c r="W11" s="8"/>
      <c r="X11" s="8"/>
      <c r="Y11" s="8"/>
    </row>
    <row r="12" spans="1:25" x14ac:dyDescent="0.25">
      <c r="A12" s="8"/>
      <c r="B12" s="8"/>
      <c r="C12" s="8"/>
      <c r="D12" s="8"/>
      <c r="E12" s="8"/>
      <c r="F12" s="8"/>
      <c r="G12" s="8"/>
      <c r="H12" s="8"/>
      <c r="I12" s="8"/>
      <c r="J12" s="8"/>
      <c r="K12" s="8"/>
      <c r="L12" s="8"/>
      <c r="M12" s="8"/>
      <c r="N12" s="8"/>
      <c r="O12" s="8"/>
      <c r="P12" s="8"/>
      <c r="Q12" s="8"/>
      <c r="R12" s="8"/>
      <c r="S12" s="8"/>
      <c r="T12" s="8"/>
      <c r="U12" s="8"/>
      <c r="V12" s="8"/>
      <c r="W12" s="8"/>
      <c r="X12" s="8"/>
      <c r="Y12" s="8"/>
    </row>
    <row r="13" spans="1:25" x14ac:dyDescent="0.25">
      <c r="A13" s="8"/>
      <c r="B13" s="8"/>
      <c r="C13" s="8"/>
      <c r="D13" s="8"/>
      <c r="E13" s="8"/>
      <c r="F13" s="8"/>
      <c r="G13" s="8"/>
      <c r="H13" s="8"/>
      <c r="I13" s="8"/>
      <c r="J13" s="8"/>
      <c r="K13" s="8"/>
      <c r="L13" s="8"/>
      <c r="M13" s="8"/>
      <c r="N13" s="8"/>
      <c r="O13" s="8"/>
      <c r="P13" s="8"/>
      <c r="Q13" s="8"/>
      <c r="R13" s="8"/>
      <c r="S13" s="8"/>
      <c r="T13" s="8"/>
      <c r="U13" s="8"/>
      <c r="V13" s="8"/>
      <c r="W13" s="8"/>
      <c r="X13" s="8"/>
      <c r="Y13" s="8"/>
    </row>
    <row r="14" spans="1:25" x14ac:dyDescent="0.25">
      <c r="A14" s="8"/>
      <c r="B14" s="8"/>
      <c r="C14" s="8"/>
      <c r="D14" s="8"/>
      <c r="E14" s="8"/>
      <c r="F14" s="8"/>
      <c r="G14" s="8"/>
      <c r="H14" s="8"/>
      <c r="I14" s="8"/>
      <c r="J14" s="8"/>
      <c r="K14" s="8"/>
      <c r="L14" s="8"/>
      <c r="M14" s="8"/>
      <c r="N14" s="8"/>
      <c r="O14" s="8"/>
      <c r="P14" s="8"/>
      <c r="Q14" s="8"/>
      <c r="R14" s="8"/>
      <c r="S14" s="8"/>
      <c r="T14" s="8"/>
      <c r="U14" s="8"/>
      <c r="V14" s="8"/>
      <c r="W14" s="8"/>
      <c r="X14" s="8"/>
      <c r="Y14" s="8"/>
    </row>
    <row r="15" spans="1:25" x14ac:dyDescent="0.25">
      <c r="A15" s="8"/>
      <c r="B15" s="8"/>
      <c r="C15" s="8"/>
      <c r="D15" s="8"/>
      <c r="E15" s="8"/>
      <c r="F15" s="8"/>
      <c r="G15" s="8"/>
      <c r="H15" s="8"/>
      <c r="I15" s="8"/>
      <c r="J15" s="8"/>
      <c r="K15" s="8"/>
      <c r="L15" s="8"/>
      <c r="M15" s="8"/>
      <c r="N15" s="8"/>
      <c r="O15" s="8"/>
      <c r="P15" s="8"/>
      <c r="Q15" s="8"/>
      <c r="R15" s="8"/>
      <c r="S15" s="8"/>
      <c r="T15" s="8"/>
      <c r="U15" s="8"/>
      <c r="V15" s="8"/>
      <c r="W15" s="8"/>
      <c r="X15" s="8"/>
      <c r="Y15" s="8"/>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D352B-F82B-42E7-8B19-D9E9172F9B53}">
  <sheetPr codeName="Sheet24">
    <tabColor rgb="FF002060"/>
  </sheetPr>
  <dimension ref="A1:Y27"/>
  <sheetViews>
    <sheetView workbookViewId="0">
      <selection activeCell="A11" sqref="A11:XFD19"/>
    </sheetView>
  </sheetViews>
  <sheetFormatPr defaultRowHeight="15" x14ac:dyDescent="0.25"/>
  <cols>
    <col min="1" max="1" width="28.42578125" customWidth="1"/>
    <col min="2" max="2" width="10.5703125" bestFit="1" customWidth="1"/>
    <col min="3" max="25" width="10.42578125" bestFit="1" customWidth="1"/>
  </cols>
  <sheetData>
    <row r="1" spans="1:25" x14ac:dyDescent="0.25">
      <c r="A1" s="6" t="s">
        <v>25</v>
      </c>
      <c r="B1" s="7" t="s">
        <v>34</v>
      </c>
      <c r="C1" s="7" t="s">
        <v>0</v>
      </c>
      <c r="D1" s="7" t="s">
        <v>1</v>
      </c>
      <c r="E1" s="7" t="s">
        <v>2</v>
      </c>
      <c r="F1" s="7" t="s">
        <v>3</v>
      </c>
      <c r="G1" s="7" t="s">
        <v>4</v>
      </c>
      <c r="H1" s="7" t="s">
        <v>5</v>
      </c>
      <c r="I1" s="7" t="s">
        <v>6</v>
      </c>
      <c r="J1" s="7" t="s">
        <v>7</v>
      </c>
      <c r="K1" s="7" t="s">
        <v>8</v>
      </c>
      <c r="L1" s="7" t="s">
        <v>9</v>
      </c>
      <c r="M1" s="7" t="s">
        <v>10</v>
      </c>
      <c r="N1" s="7" t="s">
        <v>11</v>
      </c>
      <c r="O1" s="7" t="s">
        <v>12</v>
      </c>
      <c r="P1" s="7" t="s">
        <v>13</v>
      </c>
      <c r="Q1" s="7" t="s">
        <v>14</v>
      </c>
      <c r="R1" s="7" t="s">
        <v>15</v>
      </c>
      <c r="S1" s="7" t="s">
        <v>16</v>
      </c>
      <c r="T1" s="7" t="s">
        <v>17</v>
      </c>
      <c r="U1" s="7" t="s">
        <v>18</v>
      </c>
      <c r="V1" s="7" t="s">
        <v>19</v>
      </c>
      <c r="W1" s="7" t="s">
        <v>20</v>
      </c>
      <c r="X1" s="7" t="s">
        <v>21</v>
      </c>
      <c r="Y1" s="7" t="s">
        <v>22</v>
      </c>
    </row>
    <row r="2" spans="1:25" x14ac:dyDescent="0.25">
      <c r="A2" s="8" t="s">
        <v>37</v>
      </c>
      <c r="B2" s="8" cm="1">
        <f t="array" ref="B2">INDEX('Summarized Modified Source Data'!$S$600:$S$743,MATCH(1,($A2=LoadFactorSeasons)*(B$1=LoadFactorHours),0),)</f>
        <v>5.8803907984311611E-5</v>
      </c>
      <c r="C2" s="8" cm="1">
        <f t="array" ref="C2">INDEX('Summarized Modified Source Data'!$S$600:$S$743,MATCH(1,($A2=LoadFactorSeasons)*(C$1=LoadFactorHours),0),)</f>
        <v>5.7301062258727862E-5</v>
      </c>
      <c r="D2" s="8" cm="1">
        <f t="array" ref="D2">INDEX('Summarized Modified Source Data'!$S$600:$S$743,MATCH(1,($A2=LoadFactorSeasons)*(D$1=LoadFactorHours),0),)</f>
        <v>5.6899438508207683E-5</v>
      </c>
      <c r="E2" s="8" cm="1">
        <f t="array" ref="E2">INDEX('Summarized Modified Source Data'!$S$600:$S$743,MATCH(1,($A2=LoadFactorSeasons)*(E$1=LoadFactorHours),0),)</f>
        <v>5.7021995638270039E-5</v>
      </c>
      <c r="F2" s="8" cm="1">
        <f t="array" ref="F2">INDEX('Summarized Modified Source Data'!$S$600:$S$743,MATCH(1,($A2=LoadFactorSeasons)*(F$1=LoadFactorHours),0),)</f>
        <v>5.6798953278346134E-5</v>
      </c>
      <c r="G2" s="8" cm="1">
        <f t="array" ref="G2">INDEX('Summarized Modified Source Data'!$S$600:$S$743,MATCH(1,($A2=LoadFactorSeasons)*(G$1=LoadFactorHours),0),)</f>
        <v>5.7951256646403844E-5</v>
      </c>
      <c r="H2" s="8" cm="1">
        <f t="array" ref="H2">INDEX('Summarized Modified Source Data'!$S$600:$S$743,MATCH(1,($A2=LoadFactorSeasons)*(H$1=LoadFactorHours),0),)</f>
        <v>8.1773971353249155E-5</v>
      </c>
      <c r="I2" s="8" cm="1">
        <f t="array" ref="I2">INDEX('Summarized Modified Source Data'!$S$600:$S$743,MATCH(1,($A2=LoadFactorSeasons)*(I$1=LoadFactorHours),0),)</f>
        <v>1.5209513901515948E-4</v>
      </c>
      <c r="J2" s="8" cm="1">
        <f t="array" ref="J2">INDEX('Summarized Modified Source Data'!$S$600:$S$743,MATCH(1,($A2=LoadFactorSeasons)*(J$1=LoadFactorHours),0),)</f>
        <v>1.689239502704957E-4</v>
      </c>
      <c r="K2" s="8" cm="1">
        <f t="array" ref="K2">INDEX('Summarized Modified Source Data'!$S$600:$S$743,MATCH(1,($A2=LoadFactorSeasons)*(K$1=LoadFactorHours),0),)</f>
        <v>1.5924331839998861E-4</v>
      </c>
      <c r="L2" s="8" cm="1">
        <f t="array" ref="L2">INDEX('Summarized Modified Source Data'!$S$600:$S$743,MATCH(1,($A2=LoadFactorSeasons)*(L$1=LoadFactorHours),0),)</f>
        <v>1.388252401548655E-4</v>
      </c>
      <c r="M2" s="8" cm="1">
        <f t="array" ref="M2">INDEX('Summarized Modified Source Data'!$S$600:$S$743,MATCH(1,($A2=LoadFactorSeasons)*(M$1=LoadFactorHours),0),)</f>
        <v>1.4078571860625392E-4</v>
      </c>
      <c r="N2" s="8" cm="1">
        <f t="array" ref="N2">INDEX('Summarized Modified Source Data'!$S$600:$S$743,MATCH(1,($A2=LoadFactorSeasons)*(N$1=LoadFactorHours),0),)</f>
        <v>1.4128123391215561E-4</v>
      </c>
      <c r="O2" s="8" cm="1">
        <f t="array" ref="O2">INDEX('Summarized Modified Source Data'!$S$600:$S$743,MATCH(1,($A2=LoadFactorSeasons)*(O$1=LoadFactorHours),0),)</f>
        <v>1.3849593474078926E-4</v>
      </c>
      <c r="P2" s="8" cm="1">
        <f t="array" ref="P2">INDEX('Summarized Modified Source Data'!$S$600:$S$743,MATCH(1,($A2=LoadFactorSeasons)*(P$1=LoadFactorHours),0),)</f>
        <v>1.370035957135438E-4</v>
      </c>
      <c r="Q2" s="8" cm="1">
        <f t="array" ref="Q2">INDEX('Summarized Modified Source Data'!$S$600:$S$743,MATCH(1,($A2=LoadFactorSeasons)*(Q$1=LoadFactorHours),0),)</f>
        <v>1.5396717510259402E-4</v>
      </c>
      <c r="R2" s="8" cm="1">
        <f t="array" ref="R2">INDEX('Summarized Modified Source Data'!$S$600:$S$743,MATCH(1,($A2=LoadFactorSeasons)*(R$1=LoadFactorHours),0),)</f>
        <v>1.7717429358388555E-4</v>
      </c>
      <c r="S2" s="8" cm="1">
        <f t="array" ref="S2">INDEX('Summarized Modified Source Data'!$S$600:$S$743,MATCH(1,($A2=LoadFactorSeasons)*(S$1=LoadFactorHours),0),)</f>
        <v>1.8409740722389535E-4</v>
      </c>
      <c r="T2" s="8" cm="1">
        <f t="array" ref="T2">INDEX('Summarized Modified Source Data'!$S$600:$S$743,MATCH(1,($A2=LoadFactorSeasons)*(T$1=LoadFactorHours),0),)</f>
        <v>1.7289340726976639E-4</v>
      </c>
      <c r="U2" s="8" cm="1">
        <f t="array" ref="U2">INDEX('Summarized Modified Source Data'!$S$600:$S$743,MATCH(1,($A2=LoadFactorSeasons)*(U$1=LoadFactorHours),0),)</f>
        <v>1.4893625879403878E-4</v>
      </c>
      <c r="V2" s="8" cm="1">
        <f t="array" ref="V2">INDEX('Summarized Modified Source Data'!$S$600:$S$743,MATCH(1,($A2=LoadFactorSeasons)*(V$1=LoadFactorHours),0),)</f>
        <v>1.3914209000129898E-4</v>
      </c>
      <c r="W2" s="8" cm="1">
        <f t="array" ref="W2">INDEX('Summarized Modified Source Data'!$S$600:$S$743,MATCH(1,($A2=LoadFactorSeasons)*(W$1=LoadFactorHours),0),)</f>
        <v>1.3222596554159863E-4</v>
      </c>
      <c r="X2" s="8" cm="1">
        <f t="array" ref="X2">INDEX('Summarized Modified Source Data'!$S$600:$S$743,MATCH(1,($A2=LoadFactorSeasons)*(X$1=LoadFactorHours),0),)</f>
        <v>1.269123122420622E-4</v>
      </c>
      <c r="Y2" s="8" cm="1">
        <f t="array" ref="Y2">INDEX('Summarized Modified Source Data'!$S$600:$S$743,MATCH(1,($A2=LoadFactorSeasons)*(Y$1=LoadFactorHours),0),)</f>
        <v>8.5319885554293321E-5</v>
      </c>
    </row>
    <row r="3" spans="1:25" x14ac:dyDescent="0.25">
      <c r="A3" s="8" t="s">
        <v>38</v>
      </c>
      <c r="B3" s="8" cm="1">
        <f t="array" ref="B3">INDEX('Summarized Modified Source Data'!$S$600:$S$743,MATCH(1,($A3=LoadFactorSeasons)*(B$1=LoadFactorHours),0),)</f>
        <v>5.3853225113109341E-5</v>
      </c>
      <c r="C3" s="8" cm="1">
        <f t="array" ref="C3">INDEX('Summarized Modified Source Data'!$S$600:$S$743,MATCH(1,($A3=LoadFactorSeasons)*(C$1=LoadFactorHours),0),)</f>
        <v>5.2383049946777416E-5</v>
      </c>
      <c r="D3" s="8" cm="1">
        <f t="array" ref="D3">INDEX('Summarized Modified Source Data'!$S$600:$S$743,MATCH(1,($A3=LoadFactorSeasons)*(D$1=LoadFactorHours),0),)</f>
        <v>5.1990155901275385E-5</v>
      </c>
      <c r="E3" s="8" cm="1">
        <f t="array" ref="E3">INDEX('Summarized Modified Source Data'!$S$600:$S$743,MATCH(1,($A3=LoadFactorSeasons)*(E$1=LoadFactorHours),0),)</f>
        <v>5.2110043761581125E-5</v>
      </c>
      <c r="F3" s="8" cm="1">
        <f t="array" ref="F3">INDEX('Summarized Modified Source Data'!$S$600:$S$743,MATCH(1,($A3=LoadFactorSeasons)*(F$1=LoadFactorHours),0),)</f>
        <v>5.1891850148612093E-5</v>
      </c>
      <c r="G3" s="8" cm="1">
        <f t="array" ref="G3">INDEX('Summarized Modified Source Data'!$S$600:$S$743,MATCH(1,($A3=LoadFactorSeasons)*(G$1=LoadFactorHours),0),)</f>
        <v>5.3019106558651451E-5</v>
      </c>
      <c r="H3" s="8" cm="1">
        <f t="array" ref="H3">INDEX('Summarized Modified Source Data'!$S$600:$S$743,MATCH(1,($A3=LoadFactorSeasons)*(H$1=LoadFactorHours),0),)</f>
        <v>7.4987621153510143E-5</v>
      </c>
      <c r="I3" s="8" cm="1">
        <f t="array" ref="I3">INDEX('Summarized Modified Source Data'!$S$600:$S$743,MATCH(1,($A3=LoadFactorSeasons)*(I$1=LoadFactorHours),0),)</f>
        <v>1.4020599162761465E-4</v>
      </c>
      <c r="J3" s="8" cm="1">
        <f t="array" ref="J3">INDEX('Summarized Modified Source Data'!$S$600:$S$743,MATCH(1,($A3=LoadFactorSeasons)*(J$1=LoadFactorHours),0),)</f>
        <v>1.5589260514157756E-4</v>
      </c>
      <c r="K3" s="8" cm="1">
        <f t="array" ref="K3">INDEX('Summarized Modified Source Data'!$S$600:$S$743,MATCH(1,($A3=LoadFactorSeasons)*(K$1=LoadFactorHours),0),)</f>
        <v>1.4692310114265694E-4</v>
      </c>
      <c r="L3" s="8" cm="1">
        <f t="array" ref="L3">INDEX('Summarized Modified Source Data'!$S$600:$S$743,MATCH(1,($A3=LoadFactorSeasons)*(L$1=LoadFactorHours),0),)</f>
        <v>1.2860146430732525E-4</v>
      </c>
      <c r="M3" s="8" cm="1">
        <f t="array" ref="M3">INDEX('Summarized Modified Source Data'!$S$600:$S$743,MATCH(1,($A3=LoadFactorSeasons)*(M$1=LoadFactorHours),0),)</f>
        <v>1.2995858760887836E-4</v>
      </c>
      <c r="N3" s="8" cm="1">
        <f t="array" ref="N3">INDEX('Summarized Modified Source Data'!$S$600:$S$743,MATCH(1,($A3=LoadFactorSeasons)*(N$1=LoadFactorHours),0),)</f>
        <v>1.3053527597961401E-4</v>
      </c>
      <c r="O3" s="8" cm="1">
        <f t="array" ref="O3">INDEX('Summarized Modified Source Data'!$S$600:$S$743,MATCH(1,($A3=LoadFactorSeasons)*(O$1=LoadFactorHours),0),)</f>
        <v>1.2855592257117536E-4</v>
      </c>
      <c r="P3" s="8" cm="1">
        <f t="array" ref="P3">INDEX('Summarized Modified Source Data'!$S$600:$S$743,MATCH(1,($A3=LoadFactorSeasons)*(P$1=LoadFactorHours),0),)</f>
        <v>1.2653529151275032E-4</v>
      </c>
      <c r="Q3" s="8" cm="1">
        <f t="array" ref="Q3">INDEX('Summarized Modified Source Data'!$S$600:$S$743,MATCH(1,($A3=LoadFactorSeasons)*(Q$1=LoadFactorHours),0),)</f>
        <v>1.4194632443999329E-4</v>
      </c>
      <c r="R3" s="8" cm="1">
        <f t="array" ref="R3">INDEX('Summarized Modified Source Data'!$S$600:$S$743,MATCH(1,($A3=LoadFactorSeasons)*(R$1=LoadFactorHours),0),)</f>
        <v>1.6351815192147096E-4</v>
      </c>
      <c r="S3" s="8" cm="1">
        <f t="array" ref="S3">INDEX('Summarized Modified Source Data'!$S$600:$S$743,MATCH(1,($A3=LoadFactorSeasons)*(S$1=LoadFactorHours),0),)</f>
        <v>1.702907643371259E-4</v>
      </c>
      <c r="T3" s="8" cm="1">
        <f t="array" ref="T3">INDEX('Summarized Modified Source Data'!$S$600:$S$743,MATCH(1,($A3=LoadFactorSeasons)*(T$1=LoadFactorHours),0),)</f>
        <v>1.6026488844175419E-4</v>
      </c>
      <c r="U3" s="8" cm="1">
        <f t="array" ref="U3">INDEX('Summarized Modified Source Data'!$S$600:$S$743,MATCH(1,($A3=LoadFactorSeasons)*(U$1=LoadFactorHours),0),)</f>
        <v>1.3782541288200552E-4</v>
      </c>
      <c r="V3" s="8" cm="1">
        <f t="array" ref="V3">INDEX('Summarized Modified Source Data'!$S$600:$S$743,MATCH(1,($A3=LoadFactorSeasons)*(V$1=LoadFactorHours),0),)</f>
        <v>1.2849337682573628E-4</v>
      </c>
      <c r="W3" s="8" cm="1">
        <f t="array" ref="W3">INDEX('Summarized Modified Source Data'!$S$600:$S$743,MATCH(1,($A3=LoadFactorSeasons)*(W$1=LoadFactorHours),0),)</f>
        <v>1.2122917085059875E-4</v>
      </c>
      <c r="X3" s="8" cm="1">
        <f t="array" ref="X3">INDEX('Summarized Modified Source Data'!$S$600:$S$743,MATCH(1,($A3=LoadFactorSeasons)*(X$1=LoadFactorHours),0),)</f>
        <v>1.1619444145381069E-4</v>
      </c>
      <c r="Y3" s="8" cm="1">
        <f t="array" ref="Y3">INDEX('Summarized Modified Source Data'!$S$600:$S$743,MATCH(1,($A3=LoadFactorSeasons)*(Y$1=LoadFactorHours),0),)</f>
        <v>7.8178528291965752E-5</v>
      </c>
    </row>
    <row r="4" spans="1:25" x14ac:dyDescent="0.25">
      <c r="A4" s="8" t="s">
        <v>39</v>
      </c>
      <c r="B4" s="8" cm="1">
        <f t="array" ref="B4">INDEX('Summarized Modified Source Data'!$S$600:$S$743,MATCH(1,($A4=LoadFactorSeasons)*(B$1=LoadFactorHours),0),)</f>
        <v>5.0324072018803398E-5</v>
      </c>
      <c r="C4" s="8" cm="1">
        <f t="array" ref="C4">INDEX('Summarized Modified Source Data'!$S$600:$S$743,MATCH(1,($A4=LoadFactorSeasons)*(C$1=LoadFactorHours),0),)</f>
        <v>4.8853896852471481E-5</v>
      </c>
      <c r="D4" s="8" cm="1">
        <f t="array" ref="D4">INDEX('Summarized Modified Source Data'!$S$600:$S$743,MATCH(1,($A4=LoadFactorSeasons)*(D$1=LoadFactorHours),0),)</f>
        <v>4.8461002806969428E-5</v>
      </c>
      <c r="E4" s="8" cm="1">
        <f t="array" ref="E4">INDEX('Summarized Modified Source Data'!$S$600:$S$743,MATCH(1,($A4=LoadFactorSeasons)*(E$1=LoadFactorHours),0),)</f>
        <v>4.8580895651595647E-5</v>
      </c>
      <c r="F4" s="8" cm="1">
        <f t="array" ref="F4">INDEX('Summarized Modified Source Data'!$S$600:$S$743,MATCH(1,($A4=LoadFactorSeasons)*(F$1=LoadFactorHours),0),)</f>
        <v>4.8362699546466376E-5</v>
      </c>
      <c r="G4" s="8" cm="1">
        <f t="array" ref="G4">INDEX('Summarized Modified Source Data'!$S$600:$S$743,MATCH(1,($A4=LoadFactorSeasons)*(G$1=LoadFactorHours),0),)</f>
        <v>4.9489955956505741E-5</v>
      </c>
      <c r="H4" s="8" cm="1">
        <f t="array" ref="H4">INDEX('Summarized Modified Source Data'!$S$600:$S$743,MATCH(1,($A4=LoadFactorSeasons)*(H$1=LoadFactorHours),0),)</f>
        <v>7.01742504131906E-5</v>
      </c>
      <c r="I4" s="8" cm="1">
        <f t="array" ref="I4">INDEX('Summarized Modified Source Data'!$S$600:$S$743,MATCH(1,($A4=LoadFactorSeasons)*(I$1=LoadFactorHours),0),)</f>
        <v>1.3132658171338026E-4</v>
      </c>
      <c r="J4" s="8" cm="1">
        <f t="array" ref="J4">INDEX('Summarized Modified Source Data'!$S$600:$S$743,MATCH(1,($A4=LoadFactorSeasons)*(J$1=LoadFactorHours),0),)</f>
        <v>1.4724453747771651E-4</v>
      </c>
      <c r="K4" s="8" cm="1">
        <f t="array" ref="K4">INDEX('Summarized Modified Source Data'!$S$600:$S$743,MATCH(1,($A4=LoadFactorSeasons)*(K$1=LoadFactorHours),0),)</f>
        <v>1.3859600377989136E-4</v>
      </c>
      <c r="L4" s="8" cm="1">
        <f t="array" ref="L4">INDEX('Summarized Modified Source Data'!$S$600:$S$743,MATCH(1,($A4=LoadFactorSeasons)*(L$1=LoadFactorHours),0),)</f>
        <v>1.2068444194272764E-4</v>
      </c>
      <c r="M4" s="8" cm="1">
        <f t="array" ref="M4">INDEX('Summarized Modified Source Data'!$S$600:$S$743,MATCH(1,($A4=LoadFactorSeasons)*(M$1=LoadFactorHours),0),)</f>
        <v>1.225399972914505E-4</v>
      </c>
      <c r="N4" s="8" cm="1">
        <f t="array" ref="N4">INDEX('Summarized Modified Source Data'!$S$600:$S$743,MATCH(1,($A4=LoadFactorSeasons)*(N$1=LoadFactorHours),0),)</f>
        <v>1.2345425624261261E-4</v>
      </c>
      <c r="O4" s="8" cm="1">
        <f t="array" ref="O4">INDEX('Summarized Modified Source Data'!$S$600:$S$743,MATCH(1,($A4=LoadFactorSeasons)*(O$1=LoadFactorHours),0),)</f>
        <v>1.2090472149381408E-4</v>
      </c>
      <c r="P4" s="8" cm="1">
        <f t="array" ref="P4">INDEX('Summarized Modified Source Data'!$S$600:$S$743,MATCH(1,($A4=LoadFactorSeasons)*(P$1=LoadFactorHours),0),)</f>
        <v>1.1938251999039859E-4</v>
      </c>
      <c r="Q4" s="8" cm="1">
        <f t="array" ref="Q4">INDEX('Summarized Modified Source Data'!$S$600:$S$743,MATCH(1,($A4=LoadFactorSeasons)*(Q$1=LoadFactorHours),0),)</f>
        <v>1.3354747529187739E-4</v>
      </c>
      <c r="R4" s="8" cm="1">
        <f t="array" ref="R4">INDEX('Summarized Modified Source Data'!$S$600:$S$743,MATCH(1,($A4=LoadFactorSeasons)*(R$1=LoadFactorHours),0),)</f>
        <v>1.5444201586253914E-4</v>
      </c>
      <c r="S4" s="8" cm="1">
        <f t="array" ref="S4">INDEX('Summarized Modified Source Data'!$S$600:$S$743,MATCH(1,($A4=LoadFactorSeasons)*(S$1=LoadFactorHours),0),)</f>
        <v>1.6121462329387359E-4</v>
      </c>
      <c r="T4" s="8" cm="1">
        <f t="array" ref="T4">INDEX('Summarized Modified Source Data'!$S$600:$S$743,MATCH(1,($A4=LoadFactorSeasons)*(T$1=LoadFactorHours),0),)</f>
        <v>1.5193640045357701E-4</v>
      </c>
      <c r="U4" s="8" cm="1">
        <f t="array" ref="U4">INDEX('Summarized Modified Source Data'!$S$600:$S$743,MATCH(1,($A4=LoadFactorSeasons)*(U$1=LoadFactorHours),0),)</f>
        <v>1.3024456798026249E-4</v>
      </c>
      <c r="V4" s="8" cm="1">
        <f t="array" ref="V4">INDEX('Summarized Modified Source Data'!$S$600:$S$743,MATCH(1,($A4=LoadFactorSeasons)*(V$1=LoadFactorHours),0),)</f>
        <v>1.2066331590040835E-4</v>
      </c>
      <c r="W4" s="8" cm="1">
        <f t="array" ref="W4">INDEX('Summarized Modified Source Data'!$S$600:$S$743,MATCH(1,($A4=LoadFactorSeasons)*(W$1=LoadFactorHours),0),)</f>
        <v>1.1381145278925345E-4</v>
      </c>
      <c r="X4" s="8" cm="1">
        <f t="array" ref="X4">INDEX('Summarized Modified Source Data'!$S$600:$S$743,MATCH(1,($A4=LoadFactorSeasons)*(X$1=LoadFactorHours),0),)</f>
        <v>1.0861797776976226E-4</v>
      </c>
      <c r="Y4" s="8" cm="1">
        <f t="array" ref="Y4">INDEX('Summarized Modified Source Data'!$S$600:$S$743,MATCH(1,($A4=LoadFactorSeasons)*(Y$1=LoadFactorHours),0),)</f>
        <v>7.3098070247010056E-5</v>
      </c>
    </row>
    <row r="5" spans="1:25" x14ac:dyDescent="0.25">
      <c r="A5" s="8" t="s">
        <v>40</v>
      </c>
      <c r="B5" s="8" cm="1">
        <f t="array" ref="B5">INDEX('Summarized Modified Source Data'!$S$600:$S$743,MATCH(1,($A5=LoadFactorSeasons)*(B$1=LoadFactorHours),0),)</f>
        <v>5.5074798471216813E-5</v>
      </c>
      <c r="C5" s="8" cm="1">
        <f t="array" ref="C5">INDEX('Summarized Modified Source Data'!$S$600:$S$743,MATCH(1,($A5=LoadFactorSeasons)*(C$1=LoadFactorHours),0),)</f>
        <v>5.3596589560806573E-5</v>
      </c>
      <c r="D5" s="8" cm="1">
        <f t="array" ref="D5">INDEX('Summarized Modified Source Data'!$S$600:$S$743,MATCH(1,($A5=LoadFactorSeasons)*(D$1=LoadFactorHours),0),)</f>
        <v>5.320154604752866E-5</v>
      </c>
      <c r="E5" s="8" cm="1">
        <f t="array" ref="E5">INDEX('Summarized Modified Source Data'!$S$600:$S$743,MATCH(1,($A5=LoadFactorSeasons)*(E$1=LoadFactorHours),0),)</f>
        <v>5.3322094044311301E-5</v>
      </c>
      <c r="F5" s="8" cm="1">
        <f t="array" ref="F5">INDEX('Summarized Modified Source Data'!$S$600:$S$743,MATCH(1,($A5=LoadFactorSeasons)*(F$1=LoadFactorHours),0),)</f>
        <v>5.3102708116517308E-5</v>
      </c>
      <c r="G5" s="8" cm="1">
        <f t="array" ref="G5">INDEX('Summarized Modified Source Data'!$S$600:$S$743,MATCH(1,($A5=LoadFactorSeasons)*(G$1=LoadFactorHours),0),)</f>
        <v>5.4236126903428379E-5</v>
      </c>
      <c r="H5" s="8" cm="1">
        <f t="array" ref="H5">INDEX('Summarized Modified Source Data'!$S$600:$S$743,MATCH(1,($A5=LoadFactorSeasons)*(H$1=LoadFactorHours),0),)</f>
        <v>7.6662113666328064E-5</v>
      </c>
      <c r="I5" s="8" cm="1">
        <f t="array" ref="I5">INDEX('Summarized Modified Source Data'!$S$600:$S$743,MATCH(1,($A5=LoadFactorSeasons)*(I$1=LoadFactorHours),0),)</f>
        <v>1.428499099182712E-4</v>
      </c>
      <c r="J5" s="8" cm="1">
        <f t="array" ref="J5">INDEX('Summarized Modified Source Data'!$S$600:$S$743,MATCH(1,($A5=LoadFactorSeasons)*(J$1=LoadFactorHours),0),)</f>
        <v>1.5919357518673238E-4</v>
      </c>
      <c r="K5" s="8" cm="1">
        <f t="array" ref="K5">INDEX('Summarized Modified Source Data'!$S$600:$S$743,MATCH(1,($A5=LoadFactorSeasons)*(K$1=LoadFactorHours),0),)</f>
        <v>1.5009639986168357E-4</v>
      </c>
      <c r="L5" s="8" cm="1">
        <f t="array" ref="L5">INDEX('Summarized Modified Source Data'!$S$600:$S$743,MATCH(1,($A5=LoadFactorSeasons)*(L$1=LoadFactorHours),0),)</f>
        <v>1.3107141743442854E-4</v>
      </c>
      <c r="M5" s="8" cm="1">
        <f t="array" ref="M5">INDEX('Summarized Modified Source Data'!$S$600:$S$743,MATCH(1,($A5=LoadFactorSeasons)*(M$1=LoadFactorHours),0),)</f>
        <v>1.3243595671030706E-4</v>
      </c>
      <c r="N5" s="8" cm="1">
        <f t="array" ref="N5">INDEX('Summarized Modified Source Data'!$S$600:$S$743,MATCH(1,($A5=LoadFactorSeasons)*(N$1=LoadFactorHours),0),)</f>
        <v>1.3336844087012901E-4</v>
      </c>
      <c r="O5" s="8" cm="1">
        <f t="array" ref="O5">INDEX('Summarized Modified Source Data'!$S$600:$S$743,MATCH(1,($A5=LoadFactorSeasons)*(O$1=LoadFactorHours),0),)</f>
        <v>1.3095578201658691E-4</v>
      </c>
      <c r="P5" s="8" cm="1">
        <f t="array" ref="P5">INDEX('Summarized Modified Source Data'!$S$600:$S$743,MATCH(1,($A5=LoadFactorSeasons)*(P$1=LoadFactorHours),0),)</f>
        <v>1.2892410549972112E-4</v>
      </c>
      <c r="Q5" s="8" cm="1">
        <f t="array" ref="Q5">INDEX('Summarized Modified Source Data'!$S$600:$S$743,MATCH(1,($A5=LoadFactorSeasons)*(Q$1=LoadFactorHours),0),)</f>
        <v>1.4504579887687541E-4</v>
      </c>
      <c r="R5" s="8" cm="1">
        <f t="array" ref="R5">INDEX('Summarized Modified Source Data'!$S$600:$S$743,MATCH(1,($A5=LoadFactorSeasons)*(R$1=LoadFactorHours),0),)</f>
        <v>1.6697326975796922E-4</v>
      </c>
      <c r="S5" s="8" cm="1">
        <f t="array" ref="S5">INDEX('Summarized Modified Source Data'!$S$600:$S$743,MATCH(1,($A5=LoadFactorSeasons)*(S$1=LoadFactorHours),0),)</f>
        <v>1.7378288973174933E-4</v>
      </c>
      <c r="T5" s="8" cm="1">
        <f t="array" ref="T5">INDEX('Summarized Modified Source Data'!$S$600:$S$743,MATCH(1,($A5=LoadFactorSeasons)*(T$1=LoadFactorHours),0),)</f>
        <v>1.6332636209251945E-4</v>
      </c>
      <c r="U5" s="8" cm="1">
        <f t="array" ref="U5">INDEX('Summarized Modified Source Data'!$S$600:$S$743,MATCH(1,($A5=LoadFactorSeasons)*(U$1=LoadFactorHours),0),)</f>
        <v>1.4051368733507616E-4</v>
      </c>
      <c r="V5" s="8" cm="1">
        <f t="array" ref="V5">INDEX('Summarized Modified Source Data'!$S$600:$S$743,MATCH(1,($A5=LoadFactorSeasons)*(V$1=LoadFactorHours),0),)</f>
        <v>1.3125594547614864E-4</v>
      </c>
      <c r="W5" s="8" cm="1">
        <f t="array" ref="W5">INDEX('Summarized Modified Source Data'!$S$600:$S$743,MATCH(1,($A5=LoadFactorSeasons)*(W$1=LoadFactorHours),0),)</f>
        <v>1.2407733331628259E-4</v>
      </c>
      <c r="X5" s="8" cm="1">
        <f t="array" ref="X5">INDEX('Summarized Modified Source Data'!$S$600:$S$743,MATCH(1,($A5=LoadFactorSeasons)*(X$1=LoadFactorHours),0),)</f>
        <v>1.1866285569239584E-4</v>
      </c>
      <c r="Y5" s="8" cm="1">
        <f t="array" ref="Y5">INDEX('Summarized Modified Source Data'!$S$600:$S$743,MATCH(1,($A5=LoadFactorSeasons)*(Y$1=LoadFactorHours),0),)</f>
        <v>7.9940634291223302E-5</v>
      </c>
    </row>
    <row r="6" spans="1:25" x14ac:dyDescent="0.25">
      <c r="A6" s="8" t="s">
        <v>80</v>
      </c>
      <c r="B6" s="8" cm="1">
        <f t="array" ref="B6">INDEX('Summarized Modified Source Data'!$S$600:$S$743,MATCH(1,($A6=LoadFactorSeasons)*(B$1=LoadFactorHours),0),)</f>
        <v>6.2844646415224093E-5</v>
      </c>
      <c r="C6" s="8" cm="1">
        <f t="array" ref="C6">INDEX('Summarized Modified Source Data'!$S$600:$S$743,MATCH(1,($A6=LoadFactorSeasons)*(C$1=LoadFactorHours),0),)</f>
        <v>5.9473725558612653E-5</v>
      </c>
      <c r="D6" s="8" cm="1">
        <f t="array" ref="D6">INDEX('Summarized Modified Source Data'!$S$600:$S$743,MATCH(1,($A6=LoadFactorSeasons)*(D$1=LoadFactorHours),0),)</f>
        <v>5.8554385092729679E-5</v>
      </c>
      <c r="E6" s="8" cm="1">
        <f t="array" ref="E6">INDEX('Summarized Modified Source Data'!$S$600:$S$743,MATCH(1,($A6=LoadFactorSeasons)*(E$1=LoadFactorHours),0),)</f>
        <v>5.8554385092729679E-5</v>
      </c>
      <c r="F6" s="8" cm="1">
        <f t="array" ref="F6">INDEX('Summarized Modified Source Data'!$S$600:$S$743,MATCH(1,($A6=LoadFactorSeasons)*(F$1=LoadFactorHours),0),)</f>
        <v>5.8247935363248417E-5</v>
      </c>
      <c r="G6" s="8" cm="1">
        <f t="array" ref="G6">INDEX('Summarized Modified Source Data'!$S$600:$S$743,MATCH(1,($A6=LoadFactorSeasons)*(G$1=LoadFactorHours),0),)</f>
        <v>5.8707614318750721E-5</v>
      </c>
      <c r="H6" s="8" cm="1">
        <f t="array" ref="H6">INDEX('Summarized Modified Source Data'!$S$600:$S$743,MATCH(1,($A6=LoadFactorSeasons)*(H$1=LoadFactorHours),0),)</f>
        <v>7.2951085128459932E-5</v>
      </c>
      <c r="I6" s="8" cm="1">
        <f t="array" ref="I6">INDEX('Summarized Modified Source Data'!$S$600:$S$743,MATCH(1,($A6=LoadFactorSeasons)*(I$1=LoadFactorHours),0),)</f>
        <v>1.4584121700187146E-4</v>
      </c>
      <c r="J6" s="8" cm="1">
        <f t="array" ref="J6">INDEX('Summarized Modified Source Data'!$S$600:$S$743,MATCH(1,($A6=LoadFactorSeasons)*(J$1=LoadFactorHours),0),)</f>
        <v>1.6049511918866239E-4</v>
      </c>
      <c r="K6" s="8" cm="1">
        <f t="array" ref="K6">INDEX('Summarized Modified Source Data'!$S$600:$S$743,MATCH(1,($A6=LoadFactorSeasons)*(K$1=LoadFactorHours),0),)</f>
        <v>1.4200329023866432E-4</v>
      </c>
      <c r="L6" s="8" cm="1">
        <f t="array" ref="L6">INDEX('Summarized Modified Source Data'!$S$600:$S$743,MATCH(1,($A6=LoadFactorSeasons)*(L$1=LoadFactorHours),0),)</f>
        <v>1.380400638891993E-4</v>
      </c>
      <c r="M6" s="8" cm="1">
        <f t="array" ref="M6">INDEX('Summarized Modified Source Data'!$S$600:$S$743,MATCH(1,($A6=LoadFactorSeasons)*(M$1=LoadFactorHours),0),)</f>
        <v>1.4278999544463521E-4</v>
      </c>
      <c r="N6" s="8" cm="1">
        <f t="array" ref="N6">INDEX('Summarized Modified Source Data'!$S$600:$S$743,MATCH(1,($A6=LoadFactorSeasons)*(N$1=LoadFactorHours),0),)</f>
        <v>1.3988410919587292E-4</v>
      </c>
      <c r="O6" s="8" cm="1">
        <f t="array" ref="O6">INDEX('Summarized Modified Source Data'!$S$600:$S$743,MATCH(1,($A6=LoadFactorSeasons)*(O$1=LoadFactorHours),0),)</f>
        <v>1.3357750582271936E-4</v>
      </c>
      <c r="P6" s="8" cm="1">
        <f t="array" ref="P6">INDEX('Summarized Modified Source Data'!$S$600:$S$743,MATCH(1,($A6=LoadFactorSeasons)*(P$1=LoadFactorHours),0),)</f>
        <v>1.3173882489095345E-4</v>
      </c>
      <c r="Q6" s="8" cm="1">
        <f t="array" ref="Q6">INDEX('Summarized Modified Source Data'!$S$600:$S$743,MATCH(1,($A6=LoadFactorSeasons)*(Q$1=LoadFactorHours),0),)</f>
        <v>1.3537414401130652E-4</v>
      </c>
      <c r="R6" s="8" cm="1">
        <f t="array" ref="R6">INDEX('Summarized Modified Source Data'!$S$600:$S$743,MATCH(1,($A6=LoadFactorSeasons)*(R$1=LoadFactorHours),0),)</f>
        <v>1.5735499729149289E-4</v>
      </c>
      <c r="S6" s="8" cm="1">
        <f t="array" ref="S6">INDEX('Summarized Modified Source Data'!$S$600:$S$743,MATCH(1,($A6=LoadFactorSeasons)*(S$1=LoadFactorHours),0),)</f>
        <v>1.6677536298300135E-4</v>
      </c>
      <c r="T6" s="8" cm="1">
        <f t="array" ref="T6">INDEX('Summarized Modified Source Data'!$S$600:$S$743,MATCH(1,($A6=LoadFactorSeasons)*(T$1=LoadFactorHours),0),)</f>
        <v>1.5421487539432339E-4</v>
      </c>
      <c r="U6" s="8" cm="1">
        <f t="array" ref="U6">INDEX('Summarized Modified Source Data'!$S$600:$S$743,MATCH(1,($A6=LoadFactorSeasons)*(U$1=LoadFactorHours),0),)</f>
        <v>1.4271605429651767E-4</v>
      </c>
      <c r="V6" s="8" cm="1">
        <f t="array" ref="V6">INDEX('Summarized Modified Source Data'!$S$600:$S$743,MATCH(1,($A6=LoadFactorSeasons)*(V$1=LoadFactorHours),0),)</f>
        <v>1.3796612274108181E-4</v>
      </c>
      <c r="W6" s="8" cm="1">
        <f t="array" ref="W6">INDEX('Summarized Modified Source Data'!$S$600:$S$743,MATCH(1,($A6=LoadFactorSeasons)*(W$1=LoadFactorHours),0),)</f>
        <v>1.3260329172668338E-4</v>
      </c>
      <c r="X6" s="8" cm="1">
        <f t="array" ref="X6">INDEX('Summarized Modified Source Data'!$S$600:$S$743,MATCH(1,($A6=LoadFactorSeasons)*(X$1=LoadFactorHours),0),)</f>
        <v>1.3076461951747826E-4</v>
      </c>
      <c r="Y6" s="8" cm="1">
        <f t="array" ref="Y6">INDEX('Summarized Modified Source Data'!$S$600:$S$743,MATCH(1,($A6=LoadFactorSeasons)*(Y$1=LoadFactorHours),0),)</f>
        <v>8.789212529506453E-5</v>
      </c>
    </row>
    <row r="7" spans="1:25" x14ac:dyDescent="0.25">
      <c r="A7" s="8" t="s">
        <v>81</v>
      </c>
      <c r="B7" s="8" cm="1">
        <f t="array" ref="B7">INDEX('Summarized Modified Source Data'!$S$600:$S$743,MATCH(1,($A7=LoadFactorSeasons)*(B$1=LoadFactorHours),0),)</f>
        <v>7.3072050183491634E-5</v>
      </c>
      <c r="C7" s="8" cm="1">
        <f t="array" ref="C7">INDEX('Summarized Modified Source Data'!$S$600:$S$743,MATCH(1,($A7=LoadFactorSeasons)*(C$1=LoadFactorHours),0),)</f>
        <v>6.9626219974511046E-5</v>
      </c>
      <c r="D7" s="8" cm="1">
        <f t="array" ref="D7">INDEX('Summarized Modified Source Data'!$S$600:$S$743,MATCH(1,($A7=LoadFactorSeasons)*(D$1=LoadFactorHours),0),)</f>
        <v>6.8686454178695113E-5</v>
      </c>
      <c r="E7" s="8" cm="1">
        <f t="array" ref="E7">INDEX('Summarized Modified Source Data'!$S$600:$S$743,MATCH(1,($A7=LoadFactorSeasons)*(E$1=LoadFactorHours),0),)</f>
        <v>6.8686454178695113E-5</v>
      </c>
      <c r="F7" s="8" cm="1">
        <f t="array" ref="F7">INDEX('Summarized Modified Source Data'!$S$600:$S$743,MATCH(1,($A7=LoadFactorSeasons)*(F$1=LoadFactorHours),0),)</f>
        <v>6.8373194455225377E-5</v>
      </c>
      <c r="G7" s="8" cm="1">
        <f t="array" ref="G7">INDEX('Summarized Modified Source Data'!$S$600:$S$743,MATCH(1,($A7=LoadFactorSeasons)*(G$1=LoadFactorHours),0),)</f>
        <v>6.884307735313333E-5</v>
      </c>
      <c r="H7" s="8" cm="1">
        <f t="array" ref="H7">INDEX('Summarized Modified Source Data'!$S$600:$S$743,MATCH(1,($A7=LoadFactorSeasons)*(H$1=LoadFactorHours),0),)</f>
        <v>8.5339788859728886E-5</v>
      </c>
      <c r="I7" s="8" cm="1">
        <f t="array" ref="I7">INDEX('Summarized Modified Source Data'!$S$600:$S$743,MATCH(1,($A7=LoadFactorSeasons)*(I$1=LoadFactorHours),0),)</f>
        <v>1.6851987514809554E-4</v>
      </c>
      <c r="J7" s="8" cm="1">
        <f t="array" ref="J7">INDEX('Summarized Modified Source Data'!$S$600:$S$743,MATCH(1,($A7=LoadFactorSeasons)*(J$1=LoadFactorHours),0),)</f>
        <v>1.8349941960570402E-4</v>
      </c>
      <c r="K7" s="8" cm="1">
        <f t="array" ref="K7">INDEX('Summarized Modified Source Data'!$S$600:$S$743,MATCH(1,($A7=LoadFactorSeasons)*(K$1=LoadFactorHours),0),)</f>
        <v>1.6290254597649232E-4</v>
      </c>
      <c r="L7" s="8" cm="1">
        <f t="array" ref="L7">INDEX('Summarized Modified Source Data'!$S$600:$S$743,MATCH(1,($A7=LoadFactorSeasons)*(L$1=LoadFactorHours),0),)</f>
        <v>1.5887953519512957E-4</v>
      </c>
      <c r="M7" s="8" cm="1">
        <f t="array" ref="M7">INDEX('Summarized Modified Source Data'!$S$600:$S$743,MATCH(1,($A7=LoadFactorSeasons)*(M$1=LoadFactorHours),0),)</f>
        <v>1.637350207851307E-4</v>
      </c>
      <c r="N7" s="8" cm="1">
        <f t="array" ref="N7">INDEX('Summarized Modified Source Data'!$S$600:$S$743,MATCH(1,($A7=LoadFactorSeasons)*(N$1=LoadFactorHours),0),)</f>
        <v>1.60119487049498E-4</v>
      </c>
      <c r="O7" s="8" cm="1">
        <f t="array" ref="O7">INDEX('Summarized Modified Source Data'!$S$600:$S$743,MATCH(1,($A7=LoadFactorSeasons)*(O$1=LoadFactorHours),0),)</f>
        <v>1.5237712893957395E-4</v>
      </c>
      <c r="P7" s="8" cm="1">
        <f t="array" ref="P7">INDEX('Summarized Modified Source Data'!$S$600:$S$743,MATCH(1,($A7=LoadFactorSeasons)*(P$1=LoadFactorHours),0),)</f>
        <v>1.5049759066064543E-4</v>
      </c>
      <c r="Q7" s="8" cm="1">
        <f t="array" ref="Q7">INDEX('Summarized Modified Source Data'!$S$600:$S$743,MATCH(1,($A7=LoadFactorSeasons)*(Q$1=LoadFactorHours),0),)</f>
        <v>1.5648274120894586E-4</v>
      </c>
      <c r="R7" s="8" cm="1">
        <f t="array" ref="R7">INDEX('Summarized Modified Source Data'!$S$600:$S$743,MATCH(1,($A7=LoadFactorSeasons)*(R$1=LoadFactorHours),0),)</f>
        <v>1.8028951722193077E-4</v>
      </c>
      <c r="S7" s="8" cm="1">
        <f t="array" ref="S7">INDEX('Summarized Modified Source Data'!$S$600:$S$743,MATCH(1,($A7=LoadFactorSeasons)*(S$1=LoadFactorHours),0),)</f>
        <v>1.8991922437325054E-4</v>
      </c>
      <c r="T7" s="8" cm="1">
        <f t="array" ref="T7">INDEX('Summarized Modified Source Data'!$S$600:$S$743,MATCH(1,($A7=LoadFactorSeasons)*(T$1=LoadFactorHours),0),)</f>
        <v>1.7467218805032757E-4</v>
      </c>
      <c r="U7" s="8" cm="1">
        <f t="array" ref="U7">INDEX('Summarized Modified Source Data'!$S$600:$S$743,MATCH(1,($A7=LoadFactorSeasons)*(U$1=LoadFactorHours),0),)</f>
        <v>1.6484399524764793E-4</v>
      </c>
      <c r="V7" s="8" cm="1">
        <f t="array" ref="V7">INDEX('Summarized Modified Source Data'!$S$600:$S$743,MATCH(1,($A7=LoadFactorSeasons)*(V$1=LoadFactorHours),0),)</f>
        <v>1.5998850965764677E-4</v>
      </c>
      <c r="W7" s="8" cm="1">
        <f t="array" ref="W7">INDEX('Summarized Modified Source Data'!$S$600:$S$743,MATCH(1,($A7=LoadFactorSeasons)*(W$1=LoadFactorHours),0),)</f>
        <v>1.5450650462070614E-4</v>
      </c>
      <c r="X7" s="8" cm="1">
        <f t="array" ref="X7">INDEX('Summarized Modified Source Data'!$S$600:$S$743,MATCH(1,($A7=LoadFactorSeasons)*(X$1=LoadFactorHours),0),)</f>
        <v>1.5262695965448102E-4</v>
      </c>
      <c r="Y7" s="8" cm="1">
        <f t="array" ref="Y7">INDEX('Summarized Modified Source Data'!$S$600:$S$743,MATCH(1,($A7=LoadFactorSeasons)*(Y$1=LoadFactorHours),0),)</f>
        <v>1.0256277421713631E-4</v>
      </c>
    </row>
    <row r="8" spans="1:25" x14ac:dyDescent="0.25">
      <c r="A8" s="8"/>
      <c r="B8" s="8"/>
      <c r="C8" s="8"/>
      <c r="D8" s="8"/>
      <c r="E8" s="8"/>
      <c r="F8" s="8"/>
      <c r="G8" s="8"/>
      <c r="H8" s="8"/>
      <c r="I8" s="8"/>
      <c r="J8" s="8"/>
      <c r="K8" s="8"/>
      <c r="L8" s="8"/>
      <c r="M8" s="8"/>
      <c r="N8" s="8"/>
      <c r="O8" s="8"/>
      <c r="P8" s="8"/>
      <c r="Q8" s="8"/>
      <c r="R8" s="8"/>
      <c r="S8" s="8"/>
      <c r="T8" s="8"/>
      <c r="U8" s="8"/>
      <c r="V8" s="8"/>
      <c r="W8" s="8"/>
      <c r="X8" s="8"/>
      <c r="Y8" s="8"/>
    </row>
    <row r="9" spans="1:25" x14ac:dyDescent="0.25">
      <c r="A9" s="8"/>
      <c r="B9" s="8"/>
      <c r="C9" s="8"/>
      <c r="D9" s="8"/>
      <c r="E9" s="8"/>
      <c r="F9" s="8"/>
      <c r="G9" s="8"/>
      <c r="H9" s="8"/>
      <c r="I9" s="8"/>
      <c r="J9" s="8"/>
      <c r="K9" s="8"/>
      <c r="L9" s="8"/>
      <c r="M9" s="8"/>
      <c r="N9" s="8"/>
      <c r="O9" s="8"/>
      <c r="P9" s="8"/>
      <c r="Q9" s="8"/>
      <c r="R9" s="8"/>
      <c r="S9" s="8"/>
      <c r="T9" s="8"/>
      <c r="U9" s="8"/>
      <c r="V9" s="8"/>
      <c r="W9" s="8"/>
      <c r="X9" s="8"/>
      <c r="Y9" s="8"/>
    </row>
    <row r="10" spans="1:25" x14ac:dyDescent="0.25">
      <c r="A10" s="8"/>
      <c r="B10" s="8"/>
      <c r="C10" s="8"/>
      <c r="D10" s="8"/>
      <c r="E10" s="8"/>
      <c r="F10" s="8"/>
      <c r="G10" s="8"/>
      <c r="H10" s="8"/>
      <c r="I10" s="8"/>
      <c r="J10" s="8"/>
      <c r="K10" s="8"/>
      <c r="L10" s="8"/>
      <c r="M10" s="8"/>
      <c r="N10" s="8"/>
      <c r="O10" s="8"/>
      <c r="P10" s="8"/>
      <c r="Q10" s="8"/>
      <c r="R10" s="8"/>
      <c r="S10" s="8"/>
      <c r="T10" s="8"/>
      <c r="U10" s="8"/>
      <c r="V10" s="8"/>
      <c r="W10" s="8"/>
      <c r="X10" s="8"/>
      <c r="Y10" s="8"/>
    </row>
    <row r="11" spans="1:25" ht="12" customHeight="1" x14ac:dyDescent="0.25">
      <c r="A11" s="8" t="s">
        <v>25</v>
      </c>
      <c r="B11" s="8" t="s">
        <v>34</v>
      </c>
      <c r="C11" s="8" t="s">
        <v>0</v>
      </c>
      <c r="D11" s="8" t="s">
        <v>1</v>
      </c>
      <c r="E11" s="8" t="s">
        <v>2</v>
      </c>
      <c r="F11" s="8" t="s">
        <v>3</v>
      </c>
      <c r="G11" s="8" t="s">
        <v>4</v>
      </c>
      <c r="H11" s="8" t="s">
        <v>5</v>
      </c>
      <c r="I11" s="8" t="s">
        <v>6</v>
      </c>
      <c r="J11" s="8" t="s">
        <v>7</v>
      </c>
      <c r="K11" s="8" t="s">
        <v>8</v>
      </c>
      <c r="L11" s="8" t="s">
        <v>9</v>
      </c>
      <c r="M11" s="8" t="s">
        <v>10</v>
      </c>
      <c r="N11" s="8" t="s">
        <v>11</v>
      </c>
      <c r="O11" s="8" t="s">
        <v>12</v>
      </c>
      <c r="P11" s="8" t="s">
        <v>13</v>
      </c>
      <c r="Q11" s="8" t="s">
        <v>14</v>
      </c>
      <c r="R11" s="8" t="s">
        <v>15</v>
      </c>
      <c r="S11" s="8" t="s">
        <v>16</v>
      </c>
      <c r="T11" s="8" t="s">
        <v>17</v>
      </c>
      <c r="U11" s="8" t="s">
        <v>18</v>
      </c>
      <c r="V11" s="8" t="s">
        <v>19</v>
      </c>
      <c r="W11" s="8" t="s">
        <v>20</v>
      </c>
      <c r="X11" s="8" t="s">
        <v>21</v>
      </c>
      <c r="Y11" s="8" t="s">
        <v>22</v>
      </c>
    </row>
    <row r="12" spans="1:25" x14ac:dyDescent="0.25">
      <c r="A12" s="8" t="s">
        <v>37</v>
      </c>
      <c r="B12" s="8">
        <v>4.4269479543867221E-5</v>
      </c>
      <c r="C12" s="8">
        <v>4.3142345249679412E-5</v>
      </c>
      <c r="D12" s="8">
        <v>4.2841126481461195E-5</v>
      </c>
      <c r="E12" s="8">
        <v>4.293304432900795E-5</v>
      </c>
      <c r="F12" s="8">
        <v>4.2765762559065028E-5</v>
      </c>
      <c r="G12" s="8">
        <v>4.3629990562772363E-5</v>
      </c>
      <c r="H12" s="8">
        <v>6.1557631651633756E-5</v>
      </c>
      <c r="I12" s="8">
        <v>1.1444768235704783E-4</v>
      </c>
      <c r="J12" s="8">
        <v>1.2708189444204677E-4</v>
      </c>
      <c r="K12" s="8">
        <v>1.1978202997367869E-4</v>
      </c>
      <c r="L12" s="8">
        <v>1.044726393862948E-4</v>
      </c>
      <c r="M12" s="8">
        <v>1.0589523182031564E-4</v>
      </c>
      <c r="N12" s="8">
        <v>1.0626269877029138E-4</v>
      </c>
      <c r="O12" s="8">
        <v>1.0421311686791056E-4</v>
      </c>
      <c r="P12" s="8">
        <v>1.0304609571529199E-4</v>
      </c>
      <c r="Q12" s="8">
        <v>1.1581654713926413E-4</v>
      </c>
      <c r="R12" s="8">
        <v>1.3328985329488896E-4</v>
      </c>
      <c r="S12" s="8">
        <v>1.3848218948022436E-4</v>
      </c>
      <c r="T12" s="8">
        <v>1.3003142215477911E-4</v>
      </c>
      <c r="U12" s="8">
        <v>1.1206356175331153E-4</v>
      </c>
      <c r="V12" s="8">
        <v>1.0471793515875669E-4</v>
      </c>
      <c r="W12" s="8">
        <v>9.9530841813981415E-5</v>
      </c>
      <c r="X12" s="8">
        <v>9.5497834479480576E-5</v>
      </c>
      <c r="Y12" s="8">
        <v>6.4229670945913653E-5</v>
      </c>
    </row>
    <row r="13" spans="1:25" x14ac:dyDescent="0.25">
      <c r="A13" s="8" t="s">
        <v>38</v>
      </c>
      <c r="B13" s="8">
        <v>5.385322511310932E-5</v>
      </c>
      <c r="C13" s="8">
        <v>5.2383049946777396E-5</v>
      </c>
      <c r="D13" s="8">
        <v>5.1990155901275358E-5</v>
      </c>
      <c r="E13" s="8">
        <v>5.2110043761581111E-5</v>
      </c>
      <c r="F13" s="8">
        <v>5.1891850148612066E-5</v>
      </c>
      <c r="G13" s="8">
        <v>5.3019106558651438E-5</v>
      </c>
      <c r="H13" s="8">
        <v>7.4987621153510103E-5</v>
      </c>
      <c r="I13" s="8">
        <v>1.4020599162761462E-4</v>
      </c>
      <c r="J13" s="8">
        <v>1.5589260514157745E-4</v>
      </c>
      <c r="K13" s="8">
        <v>1.4692310114265692E-4</v>
      </c>
      <c r="L13" s="8">
        <v>1.286014643073252E-4</v>
      </c>
      <c r="M13" s="8">
        <v>1.2995858760887834E-4</v>
      </c>
      <c r="N13" s="8">
        <v>1.3053527597961395E-4</v>
      </c>
      <c r="O13" s="8">
        <v>1.285559225711753E-4</v>
      </c>
      <c r="P13" s="8">
        <v>1.2653529151275029E-4</v>
      </c>
      <c r="Q13" s="8">
        <v>1.4194632443999326E-4</v>
      </c>
      <c r="R13" s="8">
        <v>1.635181519214709E-4</v>
      </c>
      <c r="S13" s="8">
        <v>1.7029076433712579E-4</v>
      </c>
      <c r="T13" s="8">
        <v>1.6026488844175413E-4</v>
      </c>
      <c r="U13" s="8">
        <v>1.3782541288200547E-4</v>
      </c>
      <c r="V13" s="8">
        <v>1.284933768257362E-4</v>
      </c>
      <c r="W13" s="8">
        <v>1.2122917085059871E-4</v>
      </c>
      <c r="X13" s="8">
        <v>1.1619444145381061E-4</v>
      </c>
      <c r="Y13" s="8">
        <v>7.8178528291965725E-5</v>
      </c>
    </row>
    <row r="14" spans="1:25" x14ac:dyDescent="0.25">
      <c r="A14" s="8" t="s">
        <v>39</v>
      </c>
      <c r="B14" s="8">
        <v>5.0324072018803371E-5</v>
      </c>
      <c r="C14" s="8">
        <v>4.8853896852471447E-5</v>
      </c>
      <c r="D14" s="8">
        <v>4.8461002806969415E-5</v>
      </c>
      <c r="E14" s="8">
        <v>4.8580895651595627E-5</v>
      </c>
      <c r="F14" s="8">
        <v>4.8362699546466363E-5</v>
      </c>
      <c r="G14" s="8">
        <v>4.9489955956505721E-5</v>
      </c>
      <c r="H14" s="8">
        <v>7.0174250413190573E-5</v>
      </c>
      <c r="I14" s="8">
        <v>1.3132658171338018E-4</v>
      </c>
      <c r="J14" s="8">
        <v>1.4724453747771643E-4</v>
      </c>
      <c r="K14" s="8">
        <v>1.385960037798913E-4</v>
      </c>
      <c r="L14" s="8">
        <v>1.206844419427276E-4</v>
      </c>
      <c r="M14" s="8">
        <v>1.2253999729145047E-4</v>
      </c>
      <c r="N14" s="8">
        <v>1.2345425624261252E-4</v>
      </c>
      <c r="O14" s="8">
        <v>1.2090472149381403E-4</v>
      </c>
      <c r="P14" s="8">
        <v>1.1938251999039852E-4</v>
      </c>
      <c r="Q14" s="8">
        <v>1.3354747529187733E-4</v>
      </c>
      <c r="R14" s="8">
        <v>1.5444201586253906E-4</v>
      </c>
      <c r="S14" s="8">
        <v>1.6121462329387351E-4</v>
      </c>
      <c r="T14" s="8">
        <v>1.5193640045357693E-4</v>
      </c>
      <c r="U14" s="8">
        <v>1.3024456798026244E-4</v>
      </c>
      <c r="V14" s="8">
        <v>1.2066331590040831E-4</v>
      </c>
      <c r="W14" s="8">
        <v>1.1381145278925341E-4</v>
      </c>
      <c r="X14" s="8">
        <v>1.0861797776976223E-4</v>
      </c>
      <c r="Y14" s="8">
        <v>7.3098070247010015E-5</v>
      </c>
    </row>
    <row r="15" spans="1:25" x14ac:dyDescent="0.25">
      <c r="A15" s="8" t="s">
        <v>40</v>
      </c>
      <c r="B15" s="8">
        <v>8.3667116714713886E-5</v>
      </c>
      <c r="C15" s="8">
        <v>8.1449803349098533E-5</v>
      </c>
      <c r="D15" s="8">
        <v>8.0857241837849566E-5</v>
      </c>
      <c r="E15" s="8">
        <v>8.1038063833023508E-5</v>
      </c>
      <c r="F15" s="8">
        <v>8.0708984941332501E-5</v>
      </c>
      <c r="G15" s="8">
        <v>8.2409109363031221E-5</v>
      </c>
      <c r="H15" s="8">
        <v>1.1643196225966972E-4</v>
      </c>
      <c r="I15" s="8">
        <v>2.1691048039324464E-4</v>
      </c>
      <c r="J15" s="8">
        <v>2.4150581616073008E-4</v>
      </c>
      <c r="K15" s="8">
        <v>2.2772516397901439E-4</v>
      </c>
      <c r="L15" s="8">
        <v>1.9865030419227234E-4</v>
      </c>
      <c r="M15" s="8">
        <v>2.0107297989575915E-4</v>
      </c>
      <c r="N15" s="8">
        <v>2.0225736246068144E-4</v>
      </c>
      <c r="O15" s="8">
        <v>1.9839739094683987E-4</v>
      </c>
      <c r="P15" s="8">
        <v>1.957257448405442E-4</v>
      </c>
      <c r="Q15" s="8">
        <v>2.2009621454244219E-4</v>
      </c>
      <c r="R15" s="8">
        <v>2.5330331622812628E-4</v>
      </c>
      <c r="S15" s="8">
        <v>2.6351774430946248E-4</v>
      </c>
      <c r="T15" s="8">
        <v>2.4764502133511705E-4</v>
      </c>
      <c r="U15" s="8">
        <v>2.1305014052994922E-4</v>
      </c>
      <c r="V15" s="8">
        <v>1.9897559434672347E-4</v>
      </c>
      <c r="W15" s="8">
        <v>1.8839560950175885E-4</v>
      </c>
      <c r="X15" s="8">
        <v>1.8046182834009723E-4</v>
      </c>
      <c r="Y15" s="8">
        <v>1.2142958106180613E-4</v>
      </c>
    </row>
    <row r="16" spans="1:25" x14ac:dyDescent="0.25">
      <c r="A16" t="s">
        <v>80</v>
      </c>
      <c r="B16">
        <v>6.2844646415224066E-5</v>
      </c>
      <c r="C16">
        <v>5.9473725558612619E-5</v>
      </c>
      <c r="D16">
        <v>5.8554385092729652E-5</v>
      </c>
      <c r="E16">
        <v>5.8554385092729652E-5</v>
      </c>
      <c r="F16">
        <v>5.824793536324839E-5</v>
      </c>
      <c r="G16">
        <v>5.8707614318750701E-5</v>
      </c>
      <c r="H16">
        <v>7.2951085128459905E-5</v>
      </c>
      <c r="I16">
        <v>1.4584121700187138E-4</v>
      </c>
      <c r="J16">
        <v>1.604951191886623E-4</v>
      </c>
      <c r="K16">
        <v>1.4200329023866424E-4</v>
      </c>
      <c r="L16">
        <v>1.3804006388919924E-4</v>
      </c>
      <c r="M16">
        <v>1.4278999544463513E-4</v>
      </c>
      <c r="N16">
        <v>1.3988410919587283E-4</v>
      </c>
      <c r="O16">
        <v>1.3357750582271931E-4</v>
      </c>
      <c r="P16">
        <v>1.3173882489095337E-4</v>
      </c>
      <c r="Q16">
        <v>1.3537414401130647E-4</v>
      </c>
      <c r="R16">
        <v>1.5735499729149284E-4</v>
      </c>
      <c r="S16">
        <v>1.6677536298300127E-4</v>
      </c>
      <c r="T16">
        <v>1.5421487539432334E-4</v>
      </c>
      <c r="U16">
        <v>1.4271605429651762E-4</v>
      </c>
      <c r="V16">
        <v>1.3796612274108173E-4</v>
      </c>
      <c r="W16">
        <v>1.326032917266833E-4</v>
      </c>
      <c r="X16">
        <v>1.3076461951747821E-4</v>
      </c>
      <c r="Y16">
        <v>8.789212529506449E-5</v>
      </c>
    </row>
    <row r="17" spans="1:25" x14ac:dyDescent="0.25">
      <c r="A17" t="s">
        <v>81</v>
      </c>
      <c r="B17">
        <v>5.5003830655470374E-5</v>
      </c>
      <c r="C17">
        <v>5.241945799873494E-5</v>
      </c>
      <c r="D17">
        <v>5.1714630308224661E-5</v>
      </c>
      <c r="E17">
        <v>5.1714630308224661E-5</v>
      </c>
      <c r="F17">
        <v>5.1479685515622355E-5</v>
      </c>
      <c r="G17">
        <v>5.1832099360877498E-5</v>
      </c>
      <c r="H17">
        <v>6.4248449830186811E-5</v>
      </c>
      <c r="I17">
        <v>1.2679114415904322E-4</v>
      </c>
      <c r="J17">
        <v>1.3802580250224961E-4</v>
      </c>
      <c r="K17">
        <v>1.2251127431401224E-4</v>
      </c>
      <c r="L17">
        <v>1.1956172176274957E-4</v>
      </c>
      <c r="M17">
        <v>1.2320333595525039E-4</v>
      </c>
      <c r="N17">
        <v>1.2047709230044884E-4</v>
      </c>
      <c r="O17">
        <v>1.1464101496868814E-4</v>
      </c>
      <c r="P17">
        <v>1.1323135958766759E-4</v>
      </c>
      <c r="Q17">
        <v>1.1769642073835238E-4</v>
      </c>
      <c r="R17">
        <v>1.3561837571441967E-4</v>
      </c>
      <c r="S17">
        <v>1.4284065607790946E-4</v>
      </c>
      <c r="T17">
        <v>1.3133850586938866E-4</v>
      </c>
      <c r="U17">
        <v>1.2406187115886701E-4</v>
      </c>
      <c r="V17">
        <v>1.2042025696636614E-4</v>
      </c>
      <c r="W17">
        <v>1.1630875318866069E-4</v>
      </c>
      <c r="X17">
        <v>1.148990911203435E-4</v>
      </c>
      <c r="Y17">
        <v>7.7209801600481033E-5</v>
      </c>
    </row>
    <row r="21" spans="1:25" x14ac:dyDescent="0.25">
      <c r="A21" s="8" t="s">
        <v>472</v>
      </c>
    </row>
    <row r="22" spans="1:25" x14ac:dyDescent="0.25">
      <c r="A22" s="8" t="s">
        <v>37</v>
      </c>
      <c r="B22" s="49">
        <f>(B12-B2)/B2</f>
        <v>-0.24716772981010129</v>
      </c>
      <c r="C22" s="49">
        <f t="shared" ref="C22:X27" si="0">(C12-C2)/C2</f>
        <v>-0.2470934473277038</v>
      </c>
      <c r="D22" s="49">
        <f t="shared" si="0"/>
        <v>-0.24707294826325205</v>
      </c>
      <c r="E22" s="49">
        <f t="shared" si="0"/>
        <v>-0.24707923936296536</v>
      </c>
      <c r="F22" s="49">
        <f t="shared" si="0"/>
        <v>-0.24706776990256754</v>
      </c>
      <c r="G22" s="49">
        <f t="shared" si="0"/>
        <v>-0.24712606615270327</v>
      </c>
      <c r="H22" s="49">
        <f t="shared" si="0"/>
        <v>-0.2472221828909883</v>
      </c>
      <c r="I22" s="49">
        <f t="shared" si="0"/>
        <v>-0.24752570596197218</v>
      </c>
      <c r="J22" s="49">
        <f t="shared" si="0"/>
        <v>-0.2476975926826705</v>
      </c>
      <c r="K22" s="49">
        <f t="shared" si="0"/>
        <v>-0.24780498687669109</v>
      </c>
      <c r="L22" s="49">
        <f t="shared" si="0"/>
        <v>-0.24745212563831262</v>
      </c>
      <c r="M22" s="49">
        <f t="shared" si="0"/>
        <v>-0.24782688991004223</v>
      </c>
      <c r="N22" s="49">
        <f t="shared" si="0"/>
        <v>-0.2478640239201032</v>
      </c>
      <c r="O22" s="49">
        <f t="shared" si="0"/>
        <v>-0.24753663663155784</v>
      </c>
      <c r="P22" s="49">
        <f t="shared" si="0"/>
        <v>-0.24785845817691096</v>
      </c>
      <c r="Q22" s="49">
        <f t="shared" si="0"/>
        <v>-0.24778416528009112</v>
      </c>
      <c r="R22" s="49">
        <f t="shared" si="0"/>
        <v>-0.24769078742350911</v>
      </c>
      <c r="S22" s="49">
        <f t="shared" si="0"/>
        <v>-0.24777762181188531</v>
      </c>
      <c r="T22" s="49">
        <f t="shared" si="0"/>
        <v>-0.24790988732213207</v>
      </c>
      <c r="U22" s="49">
        <f t="shared" si="0"/>
        <v>-0.24757367574082703</v>
      </c>
      <c r="V22" s="49">
        <f t="shared" si="0"/>
        <v>-0.24740288752469453</v>
      </c>
      <c r="W22" s="49">
        <f t="shared" si="0"/>
        <v>-0.24726704466628568</v>
      </c>
      <c r="X22" s="49">
        <f t="shared" si="0"/>
        <v>-0.24752900020184179</v>
      </c>
      <c r="Y22" s="49">
        <f>(Y12-Y2)/Y2</f>
        <v>-0.24718990738634908</v>
      </c>
    </row>
    <row r="23" spans="1:25" x14ac:dyDescent="0.25">
      <c r="A23" s="8" t="s">
        <v>38</v>
      </c>
      <c r="B23" s="49">
        <f t="shared" ref="B23:Q27" si="1">(B13-B3)/B3</f>
        <v>-3.774851123847479E-16</v>
      </c>
      <c r="C23" s="49">
        <f t="shared" si="1"/>
        <v>-3.8807955540499845E-16</v>
      </c>
      <c r="D23" s="49">
        <f t="shared" si="1"/>
        <v>-5.2134974097034184E-16</v>
      </c>
      <c r="E23" s="49">
        <f t="shared" si="1"/>
        <v>-2.6007514440163644E-16</v>
      </c>
      <c r="F23" s="49">
        <f t="shared" si="1"/>
        <v>-5.2233740432287453E-16</v>
      </c>
      <c r="G23" s="49">
        <f t="shared" si="1"/>
        <v>-2.5561590973013778E-16</v>
      </c>
      <c r="H23" s="49">
        <f t="shared" si="1"/>
        <v>-5.4219057549478286E-16</v>
      </c>
      <c r="I23" s="49">
        <f t="shared" si="1"/>
        <v>-1.9332308125695723E-16</v>
      </c>
      <c r="J23" s="49">
        <f t="shared" si="1"/>
        <v>-6.9548018105211639E-16</v>
      </c>
      <c r="K23" s="49">
        <f t="shared" si="1"/>
        <v>-1.8448463244605488E-16</v>
      </c>
      <c r="L23" s="49">
        <f t="shared" si="1"/>
        <v>-4.2153570269407396E-16</v>
      </c>
      <c r="M23" s="49">
        <f t="shared" si="1"/>
        <v>-2.0856685818803004E-16</v>
      </c>
      <c r="N23" s="49">
        <f t="shared" si="1"/>
        <v>-4.1529087227533299E-16</v>
      </c>
      <c r="O23" s="49">
        <f t="shared" si="1"/>
        <v>-4.2168503434185725E-16</v>
      </c>
      <c r="P23" s="49">
        <f t="shared" si="1"/>
        <v>-2.1420944297904726E-16</v>
      </c>
      <c r="Q23" s="49">
        <f t="shared" si="1"/>
        <v>-1.9095284375324605E-16</v>
      </c>
      <c r="R23" s="49">
        <f t="shared" si="0"/>
        <v>-3.3152349135103634E-16</v>
      </c>
      <c r="S23" s="49">
        <f t="shared" si="0"/>
        <v>-6.3667702514923312E-16</v>
      </c>
      <c r="T23" s="49">
        <f t="shared" si="0"/>
        <v>-3.3825318291084733E-16</v>
      </c>
      <c r="U23" s="49">
        <f t="shared" si="0"/>
        <v>-3.9332447834337591E-16</v>
      </c>
      <c r="V23" s="49">
        <f t="shared" si="0"/>
        <v>-6.3283544214650914E-16</v>
      </c>
      <c r="W23" s="49">
        <f t="shared" si="0"/>
        <v>-3.3537787302292359E-16</v>
      </c>
      <c r="X23" s="49">
        <f t="shared" si="0"/>
        <v>-6.998197325018945E-16</v>
      </c>
      <c r="Y23" s="49">
        <f t="shared" ref="Y23:Y27" si="2">(Y13-Y3)/Y3</f>
        <v>-3.4670714458720683E-16</v>
      </c>
    </row>
    <row r="24" spans="1:25" x14ac:dyDescent="0.25">
      <c r="A24" s="8" t="s">
        <v>39</v>
      </c>
      <c r="B24" s="49">
        <f t="shared" si="1"/>
        <v>-5.3861011688422018E-16</v>
      </c>
      <c r="C24" s="49">
        <f t="shared" si="0"/>
        <v>-6.9352334354179532E-16</v>
      </c>
      <c r="D24" s="49">
        <f t="shared" si="0"/>
        <v>-2.7965841338553042E-16</v>
      </c>
      <c r="E24" s="49">
        <f t="shared" si="0"/>
        <v>-4.1845236612955498E-16</v>
      </c>
      <c r="F24" s="49">
        <f t="shared" si="0"/>
        <v>-2.8022685423189994E-16</v>
      </c>
      <c r="G24" s="49">
        <f t="shared" si="0"/>
        <v>-4.1076598960745024E-16</v>
      </c>
      <c r="H24" s="49">
        <f t="shared" si="0"/>
        <v>-3.862535638434507E-16</v>
      </c>
      <c r="I24" s="49">
        <f t="shared" si="0"/>
        <v>-6.1918281794528735E-16</v>
      </c>
      <c r="J24" s="49">
        <f t="shared" si="0"/>
        <v>-5.5224570180553413E-16</v>
      </c>
      <c r="K24" s="49">
        <f t="shared" si="0"/>
        <v>-3.9113760242588225E-16</v>
      </c>
      <c r="L24" s="49">
        <f t="shared" si="0"/>
        <v>-3.3689165574052201E-16</v>
      </c>
      <c r="M24" s="49">
        <f t="shared" si="0"/>
        <v>-2.2119352791946491E-16</v>
      </c>
      <c r="N24" s="49">
        <f t="shared" si="0"/>
        <v>-6.5866633853928922E-16</v>
      </c>
      <c r="O24" s="49">
        <f t="shared" si="0"/>
        <v>-4.4837048507695214E-16</v>
      </c>
      <c r="P24" s="49">
        <f t="shared" si="0"/>
        <v>-5.6760936011230015E-16</v>
      </c>
      <c r="Q24" s="49">
        <f t="shared" si="0"/>
        <v>-4.0592387468048514E-16</v>
      </c>
      <c r="R24" s="49">
        <f t="shared" si="0"/>
        <v>-5.2650933414898738E-16</v>
      </c>
      <c r="S24" s="49">
        <f t="shared" si="0"/>
        <v>-5.0439073872464854E-16</v>
      </c>
      <c r="T24" s="49">
        <f t="shared" si="0"/>
        <v>-5.3519211126275198E-16</v>
      </c>
      <c r="U24" s="49">
        <f t="shared" si="0"/>
        <v>-4.1621780827351143E-16</v>
      </c>
      <c r="V24" s="49">
        <f t="shared" si="0"/>
        <v>-3.3695063959425651E-16</v>
      </c>
      <c r="W24" s="49">
        <f t="shared" si="0"/>
        <v>-3.5723629276126308E-16</v>
      </c>
      <c r="X24" s="49">
        <f t="shared" si="0"/>
        <v>-2.4954482553148106E-16</v>
      </c>
      <c r="Y24" s="49">
        <f t="shared" si="2"/>
        <v>-5.5620594812992945E-16</v>
      </c>
    </row>
    <row r="25" spans="1:25" x14ac:dyDescent="0.25">
      <c r="A25" s="8" t="s">
        <v>40</v>
      </c>
      <c r="B25" s="49">
        <f t="shared" si="1"/>
        <v>0.51915429628743881</v>
      </c>
      <c r="C25" s="49">
        <f t="shared" si="0"/>
        <v>0.5196825771291258</v>
      </c>
      <c r="D25" s="49">
        <f t="shared" si="0"/>
        <v>0.5198287990656163</v>
      </c>
      <c r="E25" s="49">
        <f t="shared" si="0"/>
        <v>0.51978397108110386</v>
      </c>
      <c r="F25" s="49">
        <f t="shared" si="0"/>
        <v>0.51986570561037759</v>
      </c>
      <c r="G25" s="49">
        <f t="shared" si="0"/>
        <v>0.51945048564708574</v>
      </c>
      <c r="H25" s="49">
        <f t="shared" si="0"/>
        <v>0.51876796361811728</v>
      </c>
      <c r="I25" s="49">
        <f t="shared" si="0"/>
        <v>0.51845024275721119</v>
      </c>
      <c r="J25" s="49">
        <f t="shared" si="0"/>
        <v>0.51705755635832862</v>
      </c>
      <c r="K25" s="49">
        <f t="shared" si="0"/>
        <v>0.51719271207615292</v>
      </c>
      <c r="L25" s="49">
        <f t="shared" si="0"/>
        <v>0.51558828065357332</v>
      </c>
      <c r="M25" s="49">
        <f t="shared" si="0"/>
        <v>0.51826577079508718</v>
      </c>
      <c r="N25" s="49">
        <f t="shared" si="0"/>
        <v>0.51653090597073714</v>
      </c>
      <c r="O25" s="49">
        <f t="shared" si="0"/>
        <v>0.51499527467760664</v>
      </c>
      <c r="P25" s="49">
        <f t="shared" si="0"/>
        <v>0.51814700658107404</v>
      </c>
      <c r="Q25" s="49">
        <f t="shared" si="0"/>
        <v>0.5174256424294964</v>
      </c>
      <c r="R25" s="49">
        <f t="shared" si="0"/>
        <v>0.51702914242078402</v>
      </c>
      <c r="S25" s="49">
        <f t="shared" si="0"/>
        <v>0.51636185079110819</v>
      </c>
      <c r="T25" s="49">
        <f t="shared" si="0"/>
        <v>0.51625872371316051</v>
      </c>
      <c r="U25" s="49">
        <f t="shared" si="0"/>
        <v>0.51622339837897013</v>
      </c>
      <c r="V25" s="49">
        <f t="shared" si="0"/>
        <v>0.51593585818084409</v>
      </c>
      <c r="W25" s="49">
        <f t="shared" si="0"/>
        <v>0.51837248969176408</v>
      </c>
      <c r="X25" s="49">
        <f t="shared" si="0"/>
        <v>0.52079458468368545</v>
      </c>
      <c r="Y25" s="49">
        <f t="shared" si="2"/>
        <v>0.51899696741758161</v>
      </c>
    </row>
    <row r="26" spans="1:25" x14ac:dyDescent="0.25">
      <c r="A26" s="8" t="s">
        <v>80</v>
      </c>
      <c r="B26" s="49">
        <f t="shared" si="1"/>
        <v>-4.313025191207285E-16</v>
      </c>
      <c r="C26" s="49">
        <f t="shared" si="0"/>
        <v>-5.6968547996511896E-16</v>
      </c>
      <c r="D26" s="49">
        <f t="shared" si="0"/>
        <v>-4.6290391862561071E-16</v>
      </c>
      <c r="E26" s="49">
        <f t="shared" si="0"/>
        <v>-4.6290391862561071E-16</v>
      </c>
      <c r="F26" s="49">
        <f t="shared" si="0"/>
        <v>-4.6533931448563529E-16</v>
      </c>
      <c r="G26" s="49">
        <f t="shared" si="0"/>
        <v>-3.462717906356887E-16</v>
      </c>
      <c r="H26" s="49">
        <f t="shared" si="0"/>
        <v>-3.715510778819559E-16</v>
      </c>
      <c r="I26" s="49">
        <f t="shared" si="0"/>
        <v>-5.5755954734915157E-16</v>
      </c>
      <c r="J26" s="49">
        <f t="shared" si="0"/>
        <v>-5.0665193650422897E-16</v>
      </c>
      <c r="K26" s="49">
        <f t="shared" si="0"/>
        <v>-5.7262872430453395E-16</v>
      </c>
      <c r="L26" s="49">
        <f t="shared" si="0"/>
        <v>-3.9271286246135095E-16</v>
      </c>
      <c r="M26" s="49">
        <f t="shared" si="0"/>
        <v>-5.6947381140537697E-16</v>
      </c>
      <c r="N26" s="49">
        <f t="shared" si="0"/>
        <v>-5.8130379071543551E-16</v>
      </c>
      <c r="O26" s="49">
        <f t="shared" si="0"/>
        <v>-4.058326159811779E-16</v>
      </c>
      <c r="P26" s="49">
        <f t="shared" si="0"/>
        <v>-6.1724524265129355E-16</v>
      </c>
      <c r="Q26" s="49">
        <f t="shared" si="0"/>
        <v>-4.0044654775248337E-16</v>
      </c>
      <c r="R26" s="49">
        <f t="shared" si="0"/>
        <v>-3.4450833819947572E-16</v>
      </c>
      <c r="S26" s="49">
        <f t="shared" si="0"/>
        <v>-4.8757299328858856E-16</v>
      </c>
      <c r="T26" s="49">
        <f t="shared" si="0"/>
        <v>-3.51523213864171E-16</v>
      </c>
      <c r="U26" s="49">
        <f t="shared" si="0"/>
        <v>-3.7984590375266541E-16</v>
      </c>
      <c r="V26" s="49">
        <f t="shared" si="0"/>
        <v>-5.8938499771436882E-16</v>
      </c>
      <c r="W26" s="49">
        <f t="shared" si="0"/>
        <v>-6.1322129999620528E-16</v>
      </c>
      <c r="X26" s="49">
        <f t="shared" si="0"/>
        <v>-4.1456250799574565E-16</v>
      </c>
      <c r="Y26" s="49">
        <f t="shared" si="2"/>
        <v>-4.6258503058964591E-16</v>
      </c>
    </row>
    <row r="27" spans="1:25" x14ac:dyDescent="0.25">
      <c r="A27" s="8" t="s">
        <v>81</v>
      </c>
      <c r="B27" s="49">
        <f t="shared" si="1"/>
        <v>-0.24726580796145795</v>
      </c>
      <c r="C27" s="49">
        <f t="shared" si="0"/>
        <v>-0.24713049167505005</v>
      </c>
      <c r="D27" s="49">
        <f t="shared" si="0"/>
        <v>-0.24709127983687218</v>
      </c>
      <c r="E27" s="49">
        <f t="shared" si="0"/>
        <v>-0.24709127983687218</v>
      </c>
      <c r="F27" s="49">
        <f t="shared" si="0"/>
        <v>-0.24707795319795747</v>
      </c>
      <c r="G27" s="49">
        <f t="shared" si="0"/>
        <v>-0.24709787310926468</v>
      </c>
      <c r="H27" s="49">
        <f t="shared" si="0"/>
        <v>-0.24714543252748658</v>
      </c>
      <c r="I27" s="49">
        <f t="shared" si="0"/>
        <v>-0.24761904761904815</v>
      </c>
      <c r="J27" s="49">
        <f t="shared" si="0"/>
        <v>-0.24781341107871754</v>
      </c>
      <c r="K27" s="49">
        <f t="shared" si="0"/>
        <v>-0.24794745484400688</v>
      </c>
      <c r="L27" s="49">
        <f t="shared" si="0"/>
        <v>-0.24746933822591696</v>
      </c>
      <c r="M27" s="49">
        <f t="shared" si="0"/>
        <v>-0.24754438381920751</v>
      </c>
      <c r="N27" s="49">
        <f t="shared" si="0"/>
        <v>-0.2475800758516947</v>
      </c>
      <c r="O27" s="49">
        <f t="shared" si="0"/>
        <v>-0.24764946178931016</v>
      </c>
      <c r="P27" s="49">
        <f t="shared" si="0"/>
        <v>-0.24762011743436385</v>
      </c>
      <c r="Q27" s="49">
        <f t="shared" si="0"/>
        <v>-0.24786324786324826</v>
      </c>
      <c r="R27" s="49">
        <f t="shared" si="0"/>
        <v>-0.24777448071216648</v>
      </c>
      <c r="S27" s="49">
        <f t="shared" si="0"/>
        <v>-0.24788732394366253</v>
      </c>
      <c r="T27" s="49">
        <f t="shared" si="0"/>
        <v>-0.24808575803981658</v>
      </c>
      <c r="U27" s="49">
        <f t="shared" si="0"/>
        <v>-0.24739829938914817</v>
      </c>
      <c r="V27" s="49">
        <f t="shared" si="0"/>
        <v>-0.24731934046983253</v>
      </c>
      <c r="W27" s="49">
        <f t="shared" si="0"/>
        <v>-0.24722422868743349</v>
      </c>
      <c r="X27" s="49">
        <f t="shared" si="0"/>
        <v>-0.24719006799025792</v>
      </c>
      <c r="Y27" s="49">
        <f t="shared" si="2"/>
        <v>-0.24719468452540425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506D9-1DA2-4036-AB90-E94945EC509F}">
  <sheetPr codeName="Sheet25">
    <tabColor rgb="FF002060"/>
  </sheetPr>
  <dimension ref="A1:Y15"/>
  <sheetViews>
    <sheetView workbookViewId="0">
      <selection activeCell="B3" sqref="B3"/>
    </sheetView>
  </sheetViews>
  <sheetFormatPr defaultRowHeight="15" x14ac:dyDescent="0.25"/>
  <cols>
    <col min="1" max="1" width="28.42578125" customWidth="1"/>
    <col min="2" max="2" width="10.5703125" bestFit="1" customWidth="1"/>
    <col min="3" max="25" width="10.42578125" bestFit="1" customWidth="1"/>
  </cols>
  <sheetData>
    <row r="1" spans="1:25" x14ac:dyDescent="0.25">
      <c r="A1" s="6" t="s">
        <v>25</v>
      </c>
      <c r="B1" s="7" t="s">
        <v>34</v>
      </c>
      <c r="C1" s="7" t="s">
        <v>0</v>
      </c>
      <c r="D1" s="7" t="s">
        <v>1</v>
      </c>
      <c r="E1" s="7" t="s">
        <v>2</v>
      </c>
      <c r="F1" s="7" t="s">
        <v>3</v>
      </c>
      <c r="G1" s="7" t="s">
        <v>4</v>
      </c>
      <c r="H1" s="7" t="s">
        <v>5</v>
      </c>
      <c r="I1" s="7" t="s">
        <v>6</v>
      </c>
      <c r="J1" s="7" t="s">
        <v>7</v>
      </c>
      <c r="K1" s="7" t="s">
        <v>8</v>
      </c>
      <c r="L1" s="7" t="s">
        <v>9</v>
      </c>
      <c r="M1" s="7" t="s">
        <v>10</v>
      </c>
      <c r="N1" s="7" t="s">
        <v>11</v>
      </c>
      <c r="O1" s="7" t="s">
        <v>12</v>
      </c>
      <c r="P1" s="7" t="s">
        <v>13</v>
      </c>
      <c r="Q1" s="7" t="s">
        <v>14</v>
      </c>
      <c r="R1" s="7" t="s">
        <v>15</v>
      </c>
      <c r="S1" s="7" t="s">
        <v>16</v>
      </c>
      <c r="T1" s="7" t="s">
        <v>17</v>
      </c>
      <c r="U1" s="7" t="s">
        <v>18</v>
      </c>
      <c r="V1" s="7" t="s">
        <v>19</v>
      </c>
      <c r="W1" s="7" t="s">
        <v>20</v>
      </c>
      <c r="X1" s="7" t="s">
        <v>21</v>
      </c>
      <c r="Y1" s="7" t="s">
        <v>22</v>
      </c>
    </row>
    <row r="2" spans="1:25" x14ac:dyDescent="0.25">
      <c r="A2" s="8" t="s">
        <v>37</v>
      </c>
      <c r="B2" s="8" cm="1">
        <f t="array" ref="B2">INDEX('Summarized Modified Source Data'!$T$600:$T$743,MATCH(1,($A2=LoadFactorSeasons)*(B$1=LoadFactorHours),0),)</f>
        <v>0</v>
      </c>
      <c r="C2" s="8" cm="1">
        <f t="array" ref="C2">INDEX('Summarized Modified Source Data'!$T$600:$T$743,MATCH(1,($A2=LoadFactorSeasons)*(C$1=LoadFactorHours),0),)</f>
        <v>0</v>
      </c>
      <c r="D2" s="8" cm="1">
        <f t="array" ref="D2">INDEX('Summarized Modified Source Data'!$T$600:$T$743,MATCH(1,($A2=LoadFactorSeasons)*(D$1=LoadFactorHours),0),)</f>
        <v>0</v>
      </c>
      <c r="E2" s="8" cm="1">
        <f t="array" ref="E2">INDEX('Summarized Modified Source Data'!$T$600:$T$743,MATCH(1,($A2=LoadFactorSeasons)*(E$1=LoadFactorHours),0),)</f>
        <v>0</v>
      </c>
      <c r="F2" s="8" cm="1">
        <f t="array" ref="F2">INDEX('Summarized Modified Source Data'!$T$600:$T$743,MATCH(1,($A2=LoadFactorSeasons)*(F$1=LoadFactorHours),0),)</f>
        <v>0</v>
      </c>
      <c r="G2" s="8" cm="1">
        <f t="array" ref="G2">INDEX('Summarized Modified Source Data'!$T$600:$T$743,MATCH(1,($A2=LoadFactorSeasons)*(G$1=LoadFactorHours),0),)</f>
        <v>0</v>
      </c>
      <c r="H2" s="8" cm="1">
        <f t="array" ref="H2">INDEX('Summarized Modified Source Data'!$T$600:$T$743,MATCH(1,($A2=LoadFactorSeasons)*(H$1=LoadFactorHours),0),)</f>
        <v>0</v>
      </c>
      <c r="I2" s="8" cm="1">
        <f t="array" ref="I2">INDEX('Summarized Modified Source Data'!$T$600:$T$743,MATCH(1,($A2=LoadFactorSeasons)*(I$1=LoadFactorHours),0),)</f>
        <v>0</v>
      </c>
      <c r="J2" s="8" cm="1">
        <f t="array" ref="J2">INDEX('Summarized Modified Source Data'!$T$600:$T$743,MATCH(1,($A2=LoadFactorSeasons)*(J$1=LoadFactorHours),0),)</f>
        <v>0</v>
      </c>
      <c r="K2" s="8" cm="1">
        <f t="array" ref="K2">INDEX('Summarized Modified Source Data'!$T$600:$T$743,MATCH(1,($A2=LoadFactorSeasons)*(K$1=LoadFactorHours),0),)</f>
        <v>0</v>
      </c>
      <c r="L2" s="8" cm="1">
        <f t="array" ref="L2">INDEX('Summarized Modified Source Data'!$T$600:$T$743,MATCH(1,($A2=LoadFactorSeasons)*(L$1=LoadFactorHours),0),)</f>
        <v>0</v>
      </c>
      <c r="M2" s="8" cm="1">
        <f t="array" ref="M2">INDEX('Summarized Modified Source Data'!$T$600:$T$743,MATCH(1,($A2=LoadFactorSeasons)*(M$1=LoadFactorHours),0),)</f>
        <v>0</v>
      </c>
      <c r="N2" s="8" cm="1">
        <f t="array" ref="N2">INDEX('Summarized Modified Source Data'!$T$600:$T$743,MATCH(1,($A2=LoadFactorSeasons)*(N$1=LoadFactorHours),0),)</f>
        <v>0</v>
      </c>
      <c r="O2" s="8" cm="1">
        <f t="array" ref="O2">INDEX('Summarized Modified Source Data'!$T$600:$T$743,MATCH(1,($A2=LoadFactorSeasons)*(O$1=LoadFactorHours),0),)</f>
        <v>0</v>
      </c>
      <c r="P2" s="8" cm="1">
        <f t="array" ref="P2">INDEX('Summarized Modified Source Data'!$T$600:$T$743,MATCH(1,($A2=LoadFactorSeasons)*(P$1=LoadFactorHours),0),)</f>
        <v>0</v>
      </c>
      <c r="Q2" s="8" cm="1">
        <f t="array" ref="Q2">INDEX('Summarized Modified Source Data'!$T$600:$T$743,MATCH(1,($A2=LoadFactorSeasons)*(Q$1=LoadFactorHours),0),)</f>
        <v>0</v>
      </c>
      <c r="R2" s="8" cm="1">
        <f t="array" ref="R2">INDEX('Summarized Modified Source Data'!$T$600:$T$743,MATCH(1,($A2=LoadFactorSeasons)*(R$1=LoadFactorHours),0),)</f>
        <v>0</v>
      </c>
      <c r="S2" s="8" cm="1">
        <f t="array" ref="S2">INDEX('Summarized Modified Source Data'!$T$600:$T$743,MATCH(1,($A2=LoadFactorSeasons)*(S$1=LoadFactorHours),0),)</f>
        <v>0</v>
      </c>
      <c r="T2" s="8" cm="1">
        <f t="array" ref="T2">INDEX('Summarized Modified Source Data'!$T$600:$T$743,MATCH(1,($A2=LoadFactorSeasons)*(T$1=LoadFactorHours),0),)</f>
        <v>0</v>
      </c>
      <c r="U2" s="8" cm="1">
        <f t="array" ref="U2">INDEX('Summarized Modified Source Data'!$T$600:$T$743,MATCH(1,($A2=LoadFactorSeasons)*(U$1=LoadFactorHours),0),)</f>
        <v>0</v>
      </c>
      <c r="V2" s="8" cm="1">
        <f t="array" ref="V2">INDEX('Summarized Modified Source Data'!$T$600:$T$743,MATCH(1,($A2=LoadFactorSeasons)*(V$1=LoadFactorHours),0),)</f>
        <v>0</v>
      </c>
      <c r="W2" s="8" cm="1">
        <f t="array" ref="W2">INDEX('Summarized Modified Source Data'!$T$600:$T$743,MATCH(1,($A2=LoadFactorSeasons)*(W$1=LoadFactorHours),0),)</f>
        <v>0</v>
      </c>
      <c r="X2" s="8" cm="1">
        <f t="array" ref="X2">INDEX('Summarized Modified Source Data'!$T$600:$T$743,MATCH(1,($A2=LoadFactorSeasons)*(X$1=LoadFactorHours),0),)</f>
        <v>0</v>
      </c>
      <c r="Y2" s="8" cm="1">
        <f t="array" ref="Y2">INDEX('Summarized Modified Source Data'!$T$600:$T$743,MATCH(1,($A2=LoadFactorSeasons)*(Y$1=LoadFactorHours),0),)</f>
        <v>0</v>
      </c>
    </row>
    <row r="3" spans="1:25" x14ac:dyDescent="0.25">
      <c r="A3" s="8" t="s">
        <v>38</v>
      </c>
      <c r="B3" s="8" cm="1">
        <f t="array" ref="B3">INDEX('Summarized Modified Source Data'!$T$600:$T$743,MATCH(1,($A3=LoadFactorSeasons)*(B$1=LoadFactorHours),0),)</f>
        <v>0</v>
      </c>
      <c r="C3" s="8" cm="1">
        <f t="array" ref="C3">INDEX('Summarized Modified Source Data'!$T$600:$T$743,MATCH(1,($A3=LoadFactorSeasons)*(C$1=LoadFactorHours),0),)</f>
        <v>0</v>
      </c>
      <c r="D3" s="8" cm="1">
        <f t="array" ref="D3">INDEX('Summarized Modified Source Data'!$T$600:$T$743,MATCH(1,($A3=LoadFactorSeasons)*(D$1=LoadFactorHours),0),)</f>
        <v>0</v>
      </c>
      <c r="E3" s="8" cm="1">
        <f t="array" ref="E3">INDEX('Summarized Modified Source Data'!$T$600:$T$743,MATCH(1,($A3=LoadFactorSeasons)*(E$1=LoadFactorHours),0),)</f>
        <v>0</v>
      </c>
      <c r="F3" s="8" cm="1">
        <f t="array" ref="F3">INDEX('Summarized Modified Source Data'!$T$600:$T$743,MATCH(1,($A3=LoadFactorSeasons)*(F$1=LoadFactorHours),0),)</f>
        <v>0</v>
      </c>
      <c r="G3" s="8" cm="1">
        <f t="array" ref="G3">INDEX('Summarized Modified Source Data'!$T$600:$T$743,MATCH(1,($A3=LoadFactorSeasons)*(G$1=LoadFactorHours),0),)</f>
        <v>0</v>
      </c>
      <c r="H3" s="8" cm="1">
        <f t="array" ref="H3">INDEX('Summarized Modified Source Data'!$T$600:$T$743,MATCH(1,($A3=LoadFactorSeasons)*(H$1=LoadFactorHours),0),)</f>
        <v>0</v>
      </c>
      <c r="I3" s="8" cm="1">
        <f t="array" ref="I3">INDEX('Summarized Modified Source Data'!$T$600:$T$743,MATCH(1,($A3=LoadFactorSeasons)*(I$1=LoadFactorHours),0),)</f>
        <v>0</v>
      </c>
      <c r="J3" s="8" cm="1">
        <f t="array" ref="J3">INDEX('Summarized Modified Source Data'!$T$600:$T$743,MATCH(1,($A3=LoadFactorSeasons)*(J$1=LoadFactorHours),0),)</f>
        <v>0</v>
      </c>
      <c r="K3" s="8" cm="1">
        <f t="array" ref="K3">INDEX('Summarized Modified Source Data'!$T$600:$T$743,MATCH(1,($A3=LoadFactorSeasons)*(K$1=LoadFactorHours),0),)</f>
        <v>0</v>
      </c>
      <c r="L3" s="8" cm="1">
        <f t="array" ref="L3">INDEX('Summarized Modified Source Data'!$T$600:$T$743,MATCH(1,($A3=LoadFactorSeasons)*(L$1=LoadFactorHours),0),)</f>
        <v>0</v>
      </c>
      <c r="M3" s="8" cm="1">
        <f t="array" ref="M3">INDEX('Summarized Modified Source Data'!$T$600:$T$743,MATCH(1,($A3=LoadFactorSeasons)*(M$1=LoadFactorHours),0),)</f>
        <v>0</v>
      </c>
      <c r="N3" s="8" cm="1">
        <f t="array" ref="N3">INDEX('Summarized Modified Source Data'!$T$600:$T$743,MATCH(1,($A3=LoadFactorSeasons)*(N$1=LoadFactorHours),0),)</f>
        <v>0</v>
      </c>
      <c r="O3" s="8" cm="1">
        <f t="array" ref="O3">INDEX('Summarized Modified Source Data'!$T$600:$T$743,MATCH(1,($A3=LoadFactorSeasons)*(O$1=LoadFactorHours),0),)</f>
        <v>0</v>
      </c>
      <c r="P3" s="8" cm="1">
        <f t="array" ref="P3">INDEX('Summarized Modified Source Data'!$T$600:$T$743,MATCH(1,($A3=LoadFactorSeasons)*(P$1=LoadFactorHours),0),)</f>
        <v>0</v>
      </c>
      <c r="Q3" s="8" cm="1">
        <f t="array" ref="Q3">INDEX('Summarized Modified Source Data'!$T$600:$T$743,MATCH(1,($A3=LoadFactorSeasons)*(Q$1=LoadFactorHours),0),)</f>
        <v>0</v>
      </c>
      <c r="R3" s="8" cm="1">
        <f t="array" ref="R3">INDEX('Summarized Modified Source Data'!$T$600:$T$743,MATCH(1,($A3=LoadFactorSeasons)*(R$1=LoadFactorHours),0),)</f>
        <v>0</v>
      </c>
      <c r="S3" s="8" cm="1">
        <f t="array" ref="S3">INDEX('Summarized Modified Source Data'!$T$600:$T$743,MATCH(1,($A3=LoadFactorSeasons)*(S$1=LoadFactorHours),0),)</f>
        <v>0</v>
      </c>
      <c r="T3" s="8" cm="1">
        <f t="array" ref="T3">INDEX('Summarized Modified Source Data'!$T$600:$T$743,MATCH(1,($A3=LoadFactorSeasons)*(T$1=LoadFactorHours),0),)</f>
        <v>0</v>
      </c>
      <c r="U3" s="8" cm="1">
        <f t="array" ref="U3">INDEX('Summarized Modified Source Data'!$T$600:$T$743,MATCH(1,($A3=LoadFactorSeasons)*(U$1=LoadFactorHours),0),)</f>
        <v>0</v>
      </c>
      <c r="V3" s="8" cm="1">
        <f t="array" ref="V3">INDEX('Summarized Modified Source Data'!$T$600:$T$743,MATCH(1,($A3=LoadFactorSeasons)*(V$1=LoadFactorHours),0),)</f>
        <v>0</v>
      </c>
      <c r="W3" s="8" cm="1">
        <f t="array" ref="W3">INDEX('Summarized Modified Source Data'!$T$600:$T$743,MATCH(1,($A3=LoadFactorSeasons)*(W$1=LoadFactorHours),0),)</f>
        <v>0</v>
      </c>
      <c r="X3" s="8" cm="1">
        <f t="array" ref="X3">INDEX('Summarized Modified Source Data'!$T$600:$T$743,MATCH(1,($A3=LoadFactorSeasons)*(X$1=LoadFactorHours),0),)</f>
        <v>0</v>
      </c>
      <c r="Y3" s="8" cm="1">
        <f t="array" ref="Y3">INDEX('Summarized Modified Source Data'!$T$600:$T$743,MATCH(1,($A3=LoadFactorSeasons)*(Y$1=LoadFactorHours),0),)</f>
        <v>0</v>
      </c>
    </row>
    <row r="4" spans="1:25" x14ac:dyDescent="0.25">
      <c r="A4" s="8" t="s">
        <v>39</v>
      </c>
      <c r="B4" s="8" cm="1">
        <f t="array" ref="B4">INDEX('Summarized Modified Source Data'!$T$600:$T$743,MATCH(1,($A4=LoadFactorSeasons)*(B$1=LoadFactorHours),0),)</f>
        <v>0</v>
      </c>
      <c r="C4" s="8" cm="1">
        <f t="array" ref="C4">INDEX('Summarized Modified Source Data'!$T$600:$T$743,MATCH(1,($A4=LoadFactorSeasons)*(C$1=LoadFactorHours),0),)</f>
        <v>0</v>
      </c>
      <c r="D4" s="8" cm="1">
        <f t="array" ref="D4">INDEX('Summarized Modified Source Data'!$T$600:$T$743,MATCH(1,($A4=LoadFactorSeasons)*(D$1=LoadFactorHours),0),)</f>
        <v>0</v>
      </c>
      <c r="E4" s="8" cm="1">
        <f t="array" ref="E4">INDEX('Summarized Modified Source Data'!$T$600:$T$743,MATCH(1,($A4=LoadFactorSeasons)*(E$1=LoadFactorHours),0),)</f>
        <v>0</v>
      </c>
      <c r="F4" s="8" cm="1">
        <f t="array" ref="F4">INDEX('Summarized Modified Source Data'!$T$600:$T$743,MATCH(1,($A4=LoadFactorSeasons)*(F$1=LoadFactorHours),0),)</f>
        <v>0</v>
      </c>
      <c r="G4" s="8" cm="1">
        <f t="array" ref="G4">INDEX('Summarized Modified Source Data'!$T$600:$T$743,MATCH(1,($A4=LoadFactorSeasons)*(G$1=LoadFactorHours),0),)</f>
        <v>0</v>
      </c>
      <c r="H4" s="8" cm="1">
        <f t="array" ref="H4">INDEX('Summarized Modified Source Data'!$T$600:$T$743,MATCH(1,($A4=LoadFactorSeasons)*(H$1=LoadFactorHours),0),)</f>
        <v>0</v>
      </c>
      <c r="I4" s="8" cm="1">
        <f t="array" ref="I4">INDEX('Summarized Modified Source Data'!$T$600:$T$743,MATCH(1,($A4=LoadFactorSeasons)*(I$1=LoadFactorHours),0),)</f>
        <v>0</v>
      </c>
      <c r="J4" s="8" cm="1">
        <f t="array" ref="J4">INDEX('Summarized Modified Source Data'!$T$600:$T$743,MATCH(1,($A4=LoadFactorSeasons)*(J$1=LoadFactorHours),0),)</f>
        <v>0</v>
      </c>
      <c r="K4" s="8" cm="1">
        <f t="array" ref="K4">INDEX('Summarized Modified Source Data'!$T$600:$T$743,MATCH(1,($A4=LoadFactorSeasons)*(K$1=LoadFactorHours),0),)</f>
        <v>0</v>
      </c>
      <c r="L4" s="8" cm="1">
        <f t="array" ref="L4">INDEX('Summarized Modified Source Data'!$T$600:$T$743,MATCH(1,($A4=LoadFactorSeasons)*(L$1=LoadFactorHours),0),)</f>
        <v>0</v>
      </c>
      <c r="M4" s="8" cm="1">
        <f t="array" ref="M4">INDEX('Summarized Modified Source Data'!$T$600:$T$743,MATCH(1,($A4=LoadFactorSeasons)*(M$1=LoadFactorHours),0),)</f>
        <v>0</v>
      </c>
      <c r="N4" s="8" cm="1">
        <f t="array" ref="N4">INDEX('Summarized Modified Source Data'!$T$600:$T$743,MATCH(1,($A4=LoadFactorSeasons)*(N$1=LoadFactorHours),0),)</f>
        <v>0</v>
      </c>
      <c r="O4" s="8" cm="1">
        <f t="array" ref="O4">INDEX('Summarized Modified Source Data'!$T$600:$T$743,MATCH(1,($A4=LoadFactorSeasons)*(O$1=LoadFactorHours),0),)</f>
        <v>0</v>
      </c>
      <c r="P4" s="8" cm="1">
        <f t="array" ref="P4">INDEX('Summarized Modified Source Data'!$T$600:$T$743,MATCH(1,($A4=LoadFactorSeasons)*(P$1=LoadFactorHours),0),)</f>
        <v>0</v>
      </c>
      <c r="Q4" s="8" cm="1">
        <f t="array" ref="Q4">INDEX('Summarized Modified Source Data'!$T$600:$T$743,MATCH(1,($A4=LoadFactorSeasons)*(Q$1=LoadFactorHours),0),)</f>
        <v>0</v>
      </c>
      <c r="R4" s="8" cm="1">
        <f t="array" ref="R4">INDEX('Summarized Modified Source Data'!$T$600:$T$743,MATCH(1,($A4=LoadFactorSeasons)*(R$1=LoadFactorHours),0),)</f>
        <v>0</v>
      </c>
      <c r="S4" s="8" cm="1">
        <f t="array" ref="S4">INDEX('Summarized Modified Source Data'!$T$600:$T$743,MATCH(1,($A4=LoadFactorSeasons)*(S$1=LoadFactorHours),0),)</f>
        <v>0</v>
      </c>
      <c r="T4" s="8" cm="1">
        <f t="array" ref="T4">INDEX('Summarized Modified Source Data'!$T$600:$T$743,MATCH(1,($A4=LoadFactorSeasons)*(T$1=LoadFactorHours),0),)</f>
        <v>0</v>
      </c>
      <c r="U4" s="8" cm="1">
        <f t="array" ref="U4">INDEX('Summarized Modified Source Data'!$T$600:$T$743,MATCH(1,($A4=LoadFactorSeasons)*(U$1=LoadFactorHours),0),)</f>
        <v>0</v>
      </c>
      <c r="V4" s="8" cm="1">
        <f t="array" ref="V4">INDEX('Summarized Modified Source Data'!$T$600:$T$743,MATCH(1,($A4=LoadFactorSeasons)*(V$1=LoadFactorHours),0),)</f>
        <v>0</v>
      </c>
      <c r="W4" s="8" cm="1">
        <f t="array" ref="W4">INDEX('Summarized Modified Source Data'!$T$600:$T$743,MATCH(1,($A4=LoadFactorSeasons)*(W$1=LoadFactorHours),0),)</f>
        <v>0</v>
      </c>
      <c r="X4" s="8" cm="1">
        <f t="array" ref="X4">INDEX('Summarized Modified Source Data'!$T$600:$T$743,MATCH(1,($A4=LoadFactorSeasons)*(X$1=LoadFactorHours),0),)</f>
        <v>0</v>
      </c>
      <c r="Y4" s="8" cm="1">
        <f t="array" ref="Y4">INDEX('Summarized Modified Source Data'!$T$600:$T$743,MATCH(1,($A4=LoadFactorSeasons)*(Y$1=LoadFactorHours),0),)</f>
        <v>0</v>
      </c>
    </row>
    <row r="5" spans="1:25" x14ac:dyDescent="0.25">
      <c r="A5" s="8" t="s">
        <v>40</v>
      </c>
      <c r="B5" s="8" cm="1">
        <f t="array" ref="B5">INDEX('Summarized Modified Source Data'!$T$600:$T$743,MATCH(1,($A5=LoadFactorSeasons)*(B$1=LoadFactorHours),0),)</f>
        <v>0</v>
      </c>
      <c r="C5" s="8" cm="1">
        <f t="array" ref="C5">INDEX('Summarized Modified Source Data'!$T$600:$T$743,MATCH(1,($A5=LoadFactorSeasons)*(C$1=LoadFactorHours),0),)</f>
        <v>0</v>
      </c>
      <c r="D5" s="8" cm="1">
        <f t="array" ref="D5">INDEX('Summarized Modified Source Data'!$T$600:$T$743,MATCH(1,($A5=LoadFactorSeasons)*(D$1=LoadFactorHours),0),)</f>
        <v>0</v>
      </c>
      <c r="E5" s="8" cm="1">
        <f t="array" ref="E5">INDEX('Summarized Modified Source Data'!$T$600:$T$743,MATCH(1,($A5=LoadFactorSeasons)*(E$1=LoadFactorHours),0),)</f>
        <v>0</v>
      </c>
      <c r="F5" s="8" cm="1">
        <f t="array" ref="F5">INDEX('Summarized Modified Source Data'!$T$600:$T$743,MATCH(1,($A5=LoadFactorSeasons)*(F$1=LoadFactorHours),0),)</f>
        <v>0</v>
      </c>
      <c r="G5" s="8" cm="1">
        <f t="array" ref="G5">INDEX('Summarized Modified Source Data'!$T$600:$T$743,MATCH(1,($A5=LoadFactorSeasons)*(G$1=LoadFactorHours),0),)</f>
        <v>0</v>
      </c>
      <c r="H5" s="8" cm="1">
        <f t="array" ref="H5">INDEX('Summarized Modified Source Data'!$T$600:$T$743,MATCH(1,($A5=LoadFactorSeasons)*(H$1=LoadFactorHours),0),)</f>
        <v>0</v>
      </c>
      <c r="I5" s="8" cm="1">
        <f t="array" ref="I5">INDEX('Summarized Modified Source Data'!$T$600:$T$743,MATCH(1,($A5=LoadFactorSeasons)*(I$1=LoadFactorHours),0),)</f>
        <v>0</v>
      </c>
      <c r="J5" s="8" cm="1">
        <f t="array" ref="J5">INDEX('Summarized Modified Source Data'!$T$600:$T$743,MATCH(1,($A5=LoadFactorSeasons)*(J$1=LoadFactorHours),0),)</f>
        <v>0</v>
      </c>
      <c r="K5" s="8" cm="1">
        <f t="array" ref="K5">INDEX('Summarized Modified Source Data'!$T$600:$T$743,MATCH(1,($A5=LoadFactorSeasons)*(K$1=LoadFactorHours),0),)</f>
        <v>0</v>
      </c>
      <c r="L5" s="8" cm="1">
        <f t="array" ref="L5">INDEX('Summarized Modified Source Data'!$T$600:$T$743,MATCH(1,($A5=LoadFactorSeasons)*(L$1=LoadFactorHours),0),)</f>
        <v>0</v>
      </c>
      <c r="M5" s="8" cm="1">
        <f t="array" ref="M5">INDEX('Summarized Modified Source Data'!$T$600:$T$743,MATCH(1,($A5=LoadFactorSeasons)*(M$1=LoadFactorHours),0),)</f>
        <v>0</v>
      </c>
      <c r="N5" s="8" cm="1">
        <f t="array" ref="N5">INDEX('Summarized Modified Source Data'!$T$600:$T$743,MATCH(1,($A5=LoadFactorSeasons)*(N$1=LoadFactorHours),0),)</f>
        <v>0</v>
      </c>
      <c r="O5" s="8" cm="1">
        <f t="array" ref="O5">INDEX('Summarized Modified Source Data'!$T$600:$T$743,MATCH(1,($A5=LoadFactorSeasons)*(O$1=LoadFactorHours),0),)</f>
        <v>0</v>
      </c>
      <c r="P5" s="8" cm="1">
        <f t="array" ref="P5">INDEX('Summarized Modified Source Data'!$T$600:$T$743,MATCH(1,($A5=LoadFactorSeasons)*(P$1=LoadFactorHours),0),)</f>
        <v>0</v>
      </c>
      <c r="Q5" s="8" cm="1">
        <f t="array" ref="Q5">INDEX('Summarized Modified Source Data'!$T$600:$T$743,MATCH(1,($A5=LoadFactorSeasons)*(Q$1=LoadFactorHours),0),)</f>
        <v>0</v>
      </c>
      <c r="R5" s="8" cm="1">
        <f t="array" ref="R5">INDEX('Summarized Modified Source Data'!$T$600:$T$743,MATCH(1,($A5=LoadFactorSeasons)*(R$1=LoadFactorHours),0),)</f>
        <v>0</v>
      </c>
      <c r="S5" s="8" cm="1">
        <f t="array" ref="S5">INDEX('Summarized Modified Source Data'!$T$600:$T$743,MATCH(1,($A5=LoadFactorSeasons)*(S$1=LoadFactorHours),0),)</f>
        <v>0</v>
      </c>
      <c r="T5" s="8" cm="1">
        <f t="array" ref="T5">INDEX('Summarized Modified Source Data'!$T$600:$T$743,MATCH(1,($A5=LoadFactorSeasons)*(T$1=LoadFactorHours),0),)</f>
        <v>0</v>
      </c>
      <c r="U5" s="8" cm="1">
        <f t="array" ref="U5">INDEX('Summarized Modified Source Data'!$T$600:$T$743,MATCH(1,($A5=LoadFactorSeasons)*(U$1=LoadFactorHours),0),)</f>
        <v>0</v>
      </c>
      <c r="V5" s="8" cm="1">
        <f t="array" ref="V5">INDEX('Summarized Modified Source Data'!$T$600:$T$743,MATCH(1,($A5=LoadFactorSeasons)*(V$1=LoadFactorHours),0),)</f>
        <v>0</v>
      </c>
      <c r="W5" s="8" cm="1">
        <f t="array" ref="W5">INDEX('Summarized Modified Source Data'!$T$600:$T$743,MATCH(1,($A5=LoadFactorSeasons)*(W$1=LoadFactorHours),0),)</f>
        <v>0</v>
      </c>
      <c r="X5" s="8" cm="1">
        <f t="array" ref="X5">INDEX('Summarized Modified Source Data'!$T$600:$T$743,MATCH(1,($A5=LoadFactorSeasons)*(X$1=LoadFactorHours),0),)</f>
        <v>0</v>
      </c>
      <c r="Y5" s="8" cm="1">
        <f t="array" ref="Y5">INDEX('Summarized Modified Source Data'!$T$600:$T$743,MATCH(1,($A5=LoadFactorSeasons)*(Y$1=LoadFactorHours),0),)</f>
        <v>0</v>
      </c>
    </row>
    <row r="6" spans="1:25" x14ac:dyDescent="0.25">
      <c r="A6" s="8" t="s">
        <v>80</v>
      </c>
      <c r="B6" s="8" cm="1">
        <f t="array" ref="B6">INDEX('Summarized Modified Source Data'!$T$600:$T$743,MATCH(1,($A6=LoadFactorSeasons)*(B$1=LoadFactorHours),0),)</f>
        <v>0</v>
      </c>
      <c r="C6" s="8" cm="1">
        <f t="array" ref="C6">INDEX('Summarized Modified Source Data'!$T$600:$T$743,MATCH(1,($A6=LoadFactorSeasons)*(C$1=LoadFactorHours),0),)</f>
        <v>0</v>
      </c>
      <c r="D6" s="8" cm="1">
        <f t="array" ref="D6">INDEX('Summarized Modified Source Data'!$T$600:$T$743,MATCH(1,($A6=LoadFactorSeasons)*(D$1=LoadFactorHours),0),)</f>
        <v>0</v>
      </c>
      <c r="E6" s="8" cm="1">
        <f t="array" ref="E6">INDEX('Summarized Modified Source Data'!$T$600:$T$743,MATCH(1,($A6=LoadFactorSeasons)*(E$1=LoadFactorHours),0),)</f>
        <v>0</v>
      </c>
      <c r="F6" s="8" cm="1">
        <f t="array" ref="F6">INDEX('Summarized Modified Source Data'!$T$600:$T$743,MATCH(1,($A6=LoadFactorSeasons)*(F$1=LoadFactorHours),0),)</f>
        <v>0</v>
      </c>
      <c r="G6" s="8" cm="1">
        <f t="array" ref="G6">INDEX('Summarized Modified Source Data'!$T$600:$T$743,MATCH(1,($A6=LoadFactorSeasons)*(G$1=LoadFactorHours),0),)</f>
        <v>0</v>
      </c>
      <c r="H6" s="8" cm="1">
        <f t="array" ref="H6">INDEX('Summarized Modified Source Data'!$T$600:$T$743,MATCH(1,($A6=LoadFactorSeasons)*(H$1=LoadFactorHours),0),)</f>
        <v>0</v>
      </c>
      <c r="I6" s="8" cm="1">
        <f t="array" ref="I6">INDEX('Summarized Modified Source Data'!$T$600:$T$743,MATCH(1,($A6=LoadFactorSeasons)*(I$1=LoadFactorHours),0),)</f>
        <v>0</v>
      </c>
      <c r="J6" s="8" cm="1">
        <f t="array" ref="J6">INDEX('Summarized Modified Source Data'!$T$600:$T$743,MATCH(1,($A6=LoadFactorSeasons)*(J$1=LoadFactorHours),0),)</f>
        <v>0</v>
      </c>
      <c r="K6" s="8" cm="1">
        <f t="array" ref="K6">INDEX('Summarized Modified Source Data'!$T$600:$T$743,MATCH(1,($A6=LoadFactorSeasons)*(K$1=LoadFactorHours),0),)</f>
        <v>0</v>
      </c>
      <c r="L6" s="8" cm="1">
        <f t="array" ref="L6">INDEX('Summarized Modified Source Data'!$T$600:$T$743,MATCH(1,($A6=LoadFactorSeasons)*(L$1=LoadFactorHours),0),)</f>
        <v>0</v>
      </c>
      <c r="M6" s="8" cm="1">
        <f t="array" ref="M6">INDEX('Summarized Modified Source Data'!$T$600:$T$743,MATCH(1,($A6=LoadFactorSeasons)*(M$1=LoadFactorHours),0),)</f>
        <v>0</v>
      </c>
      <c r="N6" s="8" cm="1">
        <f t="array" ref="N6">INDEX('Summarized Modified Source Data'!$T$600:$T$743,MATCH(1,($A6=LoadFactorSeasons)*(N$1=LoadFactorHours),0),)</f>
        <v>0</v>
      </c>
      <c r="O6" s="8" cm="1">
        <f t="array" ref="O6">INDEX('Summarized Modified Source Data'!$T$600:$T$743,MATCH(1,($A6=LoadFactorSeasons)*(O$1=LoadFactorHours),0),)</f>
        <v>0</v>
      </c>
      <c r="P6" s="8" cm="1">
        <f t="array" ref="P6">INDEX('Summarized Modified Source Data'!$T$600:$T$743,MATCH(1,($A6=LoadFactorSeasons)*(P$1=LoadFactorHours),0),)</f>
        <v>0</v>
      </c>
      <c r="Q6" s="8" cm="1">
        <f t="array" ref="Q6">INDEX('Summarized Modified Source Data'!$T$600:$T$743,MATCH(1,($A6=LoadFactorSeasons)*(Q$1=LoadFactorHours),0),)</f>
        <v>0</v>
      </c>
      <c r="R6" s="8" cm="1">
        <f t="array" ref="R6">INDEX('Summarized Modified Source Data'!$T$600:$T$743,MATCH(1,($A6=LoadFactorSeasons)*(R$1=LoadFactorHours),0),)</f>
        <v>0</v>
      </c>
      <c r="S6" s="8" cm="1">
        <f t="array" ref="S6">INDEX('Summarized Modified Source Data'!$T$600:$T$743,MATCH(1,($A6=LoadFactorSeasons)*(S$1=LoadFactorHours),0),)</f>
        <v>0</v>
      </c>
      <c r="T6" s="8" cm="1">
        <f t="array" ref="T6">INDEX('Summarized Modified Source Data'!$T$600:$T$743,MATCH(1,($A6=LoadFactorSeasons)*(T$1=LoadFactorHours),0),)</f>
        <v>0</v>
      </c>
      <c r="U6" s="8" cm="1">
        <f t="array" ref="U6">INDEX('Summarized Modified Source Data'!$T$600:$T$743,MATCH(1,($A6=LoadFactorSeasons)*(U$1=LoadFactorHours),0),)</f>
        <v>0</v>
      </c>
      <c r="V6" s="8" cm="1">
        <f t="array" ref="V6">INDEX('Summarized Modified Source Data'!$T$600:$T$743,MATCH(1,($A6=LoadFactorSeasons)*(V$1=LoadFactorHours),0),)</f>
        <v>0</v>
      </c>
      <c r="W6" s="8" cm="1">
        <f t="array" ref="W6">INDEX('Summarized Modified Source Data'!$T$600:$T$743,MATCH(1,($A6=LoadFactorSeasons)*(W$1=LoadFactorHours),0),)</f>
        <v>0</v>
      </c>
      <c r="X6" s="8" cm="1">
        <f t="array" ref="X6">INDEX('Summarized Modified Source Data'!$T$600:$T$743,MATCH(1,($A6=LoadFactorSeasons)*(X$1=LoadFactorHours),0),)</f>
        <v>0</v>
      </c>
      <c r="Y6" s="8" cm="1">
        <f t="array" ref="Y6">INDEX('Summarized Modified Source Data'!$T$600:$T$743,MATCH(1,($A6=LoadFactorSeasons)*(Y$1=LoadFactorHours),0),)</f>
        <v>0</v>
      </c>
    </row>
    <row r="7" spans="1:25" x14ac:dyDescent="0.25">
      <c r="A7" s="8" t="s">
        <v>81</v>
      </c>
      <c r="B7" s="8" cm="1">
        <f t="array" ref="B7">INDEX('Summarized Modified Source Data'!$T$600:$T$743,MATCH(1,($A7=LoadFactorSeasons)*(B$1=LoadFactorHours),0),)</f>
        <v>0</v>
      </c>
      <c r="C7" s="8" cm="1">
        <f t="array" ref="C7">INDEX('Summarized Modified Source Data'!$T$600:$T$743,MATCH(1,($A7=LoadFactorSeasons)*(C$1=LoadFactorHours),0),)</f>
        <v>0</v>
      </c>
      <c r="D7" s="8" cm="1">
        <f t="array" ref="D7">INDEX('Summarized Modified Source Data'!$T$600:$T$743,MATCH(1,($A7=LoadFactorSeasons)*(D$1=LoadFactorHours),0),)</f>
        <v>0</v>
      </c>
      <c r="E7" s="8" cm="1">
        <f t="array" ref="E7">INDEX('Summarized Modified Source Data'!$T$600:$T$743,MATCH(1,($A7=LoadFactorSeasons)*(E$1=LoadFactorHours),0),)</f>
        <v>0</v>
      </c>
      <c r="F7" s="8" cm="1">
        <f t="array" ref="F7">INDEX('Summarized Modified Source Data'!$T$600:$T$743,MATCH(1,($A7=LoadFactorSeasons)*(F$1=LoadFactorHours),0),)</f>
        <v>0</v>
      </c>
      <c r="G7" s="8" cm="1">
        <f t="array" ref="G7">INDEX('Summarized Modified Source Data'!$T$600:$T$743,MATCH(1,($A7=LoadFactorSeasons)*(G$1=LoadFactorHours),0),)</f>
        <v>0</v>
      </c>
      <c r="H7" s="8" cm="1">
        <f t="array" ref="H7">INDEX('Summarized Modified Source Data'!$T$600:$T$743,MATCH(1,($A7=LoadFactorSeasons)*(H$1=LoadFactorHours),0),)</f>
        <v>0</v>
      </c>
      <c r="I7" s="8" cm="1">
        <f t="array" ref="I7">INDEX('Summarized Modified Source Data'!$T$600:$T$743,MATCH(1,($A7=LoadFactorSeasons)*(I$1=LoadFactorHours),0),)</f>
        <v>0</v>
      </c>
      <c r="J7" s="8" cm="1">
        <f t="array" ref="J7">INDEX('Summarized Modified Source Data'!$T$600:$T$743,MATCH(1,($A7=LoadFactorSeasons)*(J$1=LoadFactorHours),0),)</f>
        <v>0</v>
      </c>
      <c r="K7" s="8" cm="1">
        <f t="array" ref="K7">INDEX('Summarized Modified Source Data'!$T$600:$T$743,MATCH(1,($A7=LoadFactorSeasons)*(K$1=LoadFactorHours),0),)</f>
        <v>0</v>
      </c>
      <c r="L7" s="8" cm="1">
        <f t="array" ref="L7">INDEX('Summarized Modified Source Data'!$T$600:$T$743,MATCH(1,($A7=LoadFactorSeasons)*(L$1=LoadFactorHours),0),)</f>
        <v>0</v>
      </c>
      <c r="M7" s="8" cm="1">
        <f t="array" ref="M7">INDEX('Summarized Modified Source Data'!$T$600:$T$743,MATCH(1,($A7=LoadFactorSeasons)*(M$1=LoadFactorHours),0),)</f>
        <v>0</v>
      </c>
      <c r="N7" s="8" cm="1">
        <f t="array" ref="N7">INDEX('Summarized Modified Source Data'!$T$600:$T$743,MATCH(1,($A7=LoadFactorSeasons)*(N$1=LoadFactorHours),0),)</f>
        <v>0</v>
      </c>
      <c r="O7" s="8" cm="1">
        <f t="array" ref="O7">INDEX('Summarized Modified Source Data'!$T$600:$T$743,MATCH(1,($A7=LoadFactorSeasons)*(O$1=LoadFactorHours),0),)</f>
        <v>0</v>
      </c>
      <c r="P7" s="8" cm="1">
        <f t="array" ref="P7">INDEX('Summarized Modified Source Data'!$T$600:$T$743,MATCH(1,($A7=LoadFactorSeasons)*(P$1=LoadFactorHours),0),)</f>
        <v>0</v>
      </c>
      <c r="Q7" s="8" cm="1">
        <f t="array" ref="Q7">INDEX('Summarized Modified Source Data'!$T$600:$T$743,MATCH(1,($A7=LoadFactorSeasons)*(Q$1=LoadFactorHours),0),)</f>
        <v>0</v>
      </c>
      <c r="R7" s="8" cm="1">
        <f t="array" ref="R7">INDEX('Summarized Modified Source Data'!$T$600:$T$743,MATCH(1,($A7=LoadFactorSeasons)*(R$1=LoadFactorHours),0),)</f>
        <v>0</v>
      </c>
      <c r="S7" s="8" cm="1">
        <f t="array" ref="S7">INDEX('Summarized Modified Source Data'!$T$600:$T$743,MATCH(1,($A7=LoadFactorSeasons)*(S$1=LoadFactorHours),0),)</f>
        <v>0</v>
      </c>
      <c r="T7" s="8" cm="1">
        <f t="array" ref="T7">INDEX('Summarized Modified Source Data'!$T$600:$T$743,MATCH(1,($A7=LoadFactorSeasons)*(T$1=LoadFactorHours),0),)</f>
        <v>0</v>
      </c>
      <c r="U7" s="8" cm="1">
        <f t="array" ref="U7">INDEX('Summarized Modified Source Data'!$T$600:$T$743,MATCH(1,($A7=LoadFactorSeasons)*(U$1=LoadFactorHours),0),)</f>
        <v>0</v>
      </c>
      <c r="V7" s="8" cm="1">
        <f t="array" ref="V7">INDEX('Summarized Modified Source Data'!$T$600:$T$743,MATCH(1,($A7=LoadFactorSeasons)*(V$1=LoadFactorHours),0),)</f>
        <v>0</v>
      </c>
      <c r="W7" s="8" cm="1">
        <f t="array" ref="W7">INDEX('Summarized Modified Source Data'!$T$600:$T$743,MATCH(1,($A7=LoadFactorSeasons)*(W$1=LoadFactorHours),0),)</f>
        <v>0</v>
      </c>
      <c r="X7" s="8" cm="1">
        <f t="array" ref="X7">INDEX('Summarized Modified Source Data'!$T$600:$T$743,MATCH(1,($A7=LoadFactorSeasons)*(X$1=LoadFactorHours),0),)</f>
        <v>0</v>
      </c>
      <c r="Y7" s="8" cm="1">
        <f t="array" ref="Y7">INDEX('Summarized Modified Source Data'!$T$600:$T$743,MATCH(1,($A7=LoadFactorSeasons)*(Y$1=LoadFactorHours),0),)</f>
        <v>0</v>
      </c>
    </row>
    <row r="8" spans="1:25" x14ac:dyDescent="0.25">
      <c r="A8" s="8"/>
      <c r="B8" s="8"/>
      <c r="C8" s="8"/>
      <c r="D8" s="8"/>
      <c r="E8" s="8"/>
      <c r="F8" s="8"/>
      <c r="G8" s="8"/>
      <c r="H8" s="8"/>
      <c r="I8" s="8"/>
      <c r="J8" s="8"/>
      <c r="K8" s="8"/>
      <c r="L8" s="8"/>
      <c r="M8" s="8"/>
      <c r="N8" s="8"/>
      <c r="O8" s="8"/>
      <c r="P8" s="8"/>
      <c r="Q8" s="8"/>
      <c r="R8" s="8"/>
      <c r="S8" s="8"/>
      <c r="T8" s="8"/>
      <c r="U8" s="8"/>
      <c r="V8" s="8"/>
      <c r="W8" s="8"/>
      <c r="X8" s="8"/>
      <c r="Y8" s="8"/>
    </row>
    <row r="9" spans="1:25" x14ac:dyDescent="0.25">
      <c r="A9" s="8"/>
      <c r="B9" s="8"/>
      <c r="C9" s="8"/>
      <c r="D9" s="8"/>
      <c r="E9" s="8"/>
      <c r="F9" s="8"/>
      <c r="G9" s="8"/>
      <c r="H9" s="8"/>
      <c r="I9" s="8"/>
      <c r="J9" s="8"/>
      <c r="K9" s="8"/>
      <c r="L9" s="8"/>
      <c r="M9" s="8"/>
      <c r="N9" s="8"/>
      <c r="O9" s="8"/>
      <c r="P9" s="8"/>
      <c r="Q9" s="8"/>
      <c r="R9" s="8"/>
      <c r="S9" s="8"/>
      <c r="T9" s="8"/>
      <c r="U9" s="8"/>
      <c r="V9" s="8"/>
      <c r="W9" s="8"/>
      <c r="X9" s="8"/>
      <c r="Y9" s="8"/>
    </row>
    <row r="10" spans="1:25" x14ac:dyDescent="0.25">
      <c r="A10" s="8"/>
      <c r="B10" s="8"/>
      <c r="C10" s="8"/>
      <c r="D10" s="8"/>
      <c r="E10" s="8"/>
      <c r="F10" s="8"/>
      <c r="G10" s="8"/>
      <c r="H10" s="8"/>
      <c r="I10" s="8"/>
      <c r="J10" s="8"/>
      <c r="K10" s="8"/>
      <c r="L10" s="8"/>
      <c r="M10" s="8"/>
      <c r="N10" s="8"/>
      <c r="O10" s="8"/>
      <c r="P10" s="8"/>
      <c r="Q10" s="8"/>
      <c r="R10" s="8"/>
      <c r="S10" s="8"/>
      <c r="T10" s="8"/>
      <c r="U10" s="8"/>
      <c r="V10" s="8"/>
      <c r="W10" s="8"/>
      <c r="X10" s="8"/>
      <c r="Y10" s="8"/>
    </row>
    <row r="11" spans="1:25" x14ac:dyDescent="0.25">
      <c r="A11" s="8"/>
      <c r="B11" s="8"/>
      <c r="C11" s="8"/>
      <c r="D11" s="8"/>
      <c r="E11" s="8"/>
      <c r="F11" s="8"/>
      <c r="G11" s="8"/>
      <c r="H11" s="8"/>
      <c r="I11" s="8"/>
      <c r="J11" s="8"/>
      <c r="K11" s="8"/>
      <c r="L11" s="8"/>
      <c r="M11" s="8"/>
      <c r="N11" s="8"/>
      <c r="O11" s="8"/>
      <c r="P11" s="8"/>
      <c r="Q11" s="8"/>
      <c r="R11" s="8"/>
      <c r="S11" s="8"/>
      <c r="T11" s="8"/>
      <c r="U11" s="8"/>
      <c r="V11" s="8"/>
      <c r="W11" s="8"/>
      <c r="X11" s="8"/>
      <c r="Y11" s="8"/>
    </row>
    <row r="12" spans="1:25" x14ac:dyDescent="0.25">
      <c r="A12" s="8"/>
      <c r="B12" s="8"/>
      <c r="C12" s="8"/>
      <c r="D12" s="8"/>
      <c r="E12" s="8"/>
      <c r="F12" s="8"/>
      <c r="G12" s="8"/>
      <c r="H12" s="8"/>
      <c r="I12" s="8"/>
      <c r="J12" s="8"/>
      <c r="K12" s="8"/>
      <c r="L12" s="8"/>
      <c r="M12" s="8"/>
      <c r="N12" s="8"/>
      <c r="O12" s="8"/>
      <c r="P12" s="8"/>
      <c r="Q12" s="8"/>
      <c r="R12" s="8"/>
      <c r="S12" s="8"/>
      <c r="T12" s="8"/>
      <c r="U12" s="8"/>
      <c r="V12" s="8"/>
      <c r="W12" s="8"/>
      <c r="X12" s="8"/>
      <c r="Y12" s="8"/>
    </row>
    <row r="13" spans="1:25" x14ac:dyDescent="0.25">
      <c r="A13" s="8"/>
      <c r="B13" s="8"/>
      <c r="C13" s="8"/>
      <c r="D13" s="8"/>
      <c r="E13" s="8"/>
      <c r="F13" s="8"/>
      <c r="G13" s="8"/>
      <c r="H13" s="8"/>
      <c r="I13" s="8"/>
      <c r="J13" s="8"/>
      <c r="K13" s="8"/>
      <c r="L13" s="8"/>
      <c r="M13" s="8"/>
      <c r="N13" s="8"/>
      <c r="O13" s="8"/>
      <c r="P13" s="8"/>
      <c r="Q13" s="8"/>
      <c r="R13" s="8"/>
      <c r="S13" s="8"/>
      <c r="T13" s="8"/>
      <c r="U13" s="8"/>
      <c r="V13" s="8"/>
      <c r="W13" s="8"/>
      <c r="X13" s="8"/>
      <c r="Y13" s="8"/>
    </row>
    <row r="14" spans="1:25" x14ac:dyDescent="0.25">
      <c r="A14" s="8"/>
      <c r="B14" s="8"/>
      <c r="C14" s="8"/>
      <c r="D14" s="8"/>
      <c r="E14" s="8"/>
      <c r="F14" s="8"/>
      <c r="G14" s="8"/>
      <c r="H14" s="8"/>
      <c r="I14" s="8"/>
      <c r="J14" s="8"/>
      <c r="K14" s="8"/>
      <c r="L14" s="8"/>
      <c r="M14" s="8"/>
      <c r="N14" s="8"/>
      <c r="O14" s="8"/>
      <c r="P14" s="8"/>
      <c r="Q14" s="8"/>
      <c r="R14" s="8"/>
      <c r="S14" s="8"/>
      <c r="T14" s="8"/>
      <c r="U14" s="8"/>
      <c r="V14" s="8"/>
      <c r="W14" s="8"/>
      <c r="X14" s="8"/>
      <c r="Y14" s="8"/>
    </row>
    <row r="15" spans="1:25" x14ac:dyDescent="0.25">
      <c r="A15" s="8"/>
      <c r="B15" s="8"/>
      <c r="C15" s="8"/>
      <c r="D15" s="8"/>
      <c r="E15" s="8"/>
      <c r="F15" s="8"/>
      <c r="G15" s="8"/>
      <c r="H15" s="8"/>
      <c r="I15" s="8"/>
      <c r="J15" s="8"/>
      <c r="K15" s="8"/>
      <c r="L15" s="8"/>
      <c r="M15" s="8"/>
      <c r="N15" s="8"/>
      <c r="O15" s="8"/>
      <c r="P15" s="8"/>
      <c r="Q15" s="8"/>
      <c r="R15" s="8"/>
      <c r="S15" s="8"/>
      <c r="T15" s="8"/>
      <c r="U15" s="8"/>
      <c r="V15" s="8"/>
      <c r="W15" s="8"/>
      <c r="X15" s="8"/>
      <c r="Y15" s="8"/>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121DE-C53D-4048-8E2A-505AC208822B}">
  <sheetPr codeName="Sheet26">
    <tabColor rgb="FF002060"/>
  </sheetPr>
  <dimension ref="A1:Y15"/>
  <sheetViews>
    <sheetView tabSelected="1" topLeftCell="H1" workbookViewId="0">
      <selection activeCell="B2" sqref="B2:Y7"/>
    </sheetView>
  </sheetViews>
  <sheetFormatPr defaultRowHeight="15" x14ac:dyDescent="0.25"/>
  <cols>
    <col min="1" max="1" width="28.42578125" customWidth="1"/>
    <col min="2" max="2" width="10.5703125" bestFit="1" customWidth="1"/>
    <col min="3" max="25" width="10.42578125" bestFit="1" customWidth="1"/>
  </cols>
  <sheetData>
    <row r="1" spans="1:25" x14ac:dyDescent="0.25">
      <c r="A1" s="6" t="s">
        <v>25</v>
      </c>
      <c r="B1" s="7" t="s">
        <v>34</v>
      </c>
      <c r="C1" s="7" t="s">
        <v>0</v>
      </c>
      <c r="D1" s="7" t="s">
        <v>1</v>
      </c>
      <c r="E1" s="7" t="s">
        <v>2</v>
      </c>
      <c r="F1" s="7" t="s">
        <v>3</v>
      </c>
      <c r="G1" s="7" t="s">
        <v>4</v>
      </c>
      <c r="H1" s="7" t="s">
        <v>5</v>
      </c>
      <c r="I1" s="7" t="s">
        <v>6</v>
      </c>
      <c r="J1" s="7" t="s">
        <v>7</v>
      </c>
      <c r="K1" s="7" t="s">
        <v>8</v>
      </c>
      <c r="L1" s="7" t="s">
        <v>9</v>
      </c>
      <c r="M1" s="7" t="s">
        <v>10</v>
      </c>
      <c r="N1" s="7" t="s">
        <v>11</v>
      </c>
      <c r="O1" s="7" t="s">
        <v>12</v>
      </c>
      <c r="P1" s="7" t="s">
        <v>13</v>
      </c>
      <c r="Q1" s="7" t="s">
        <v>14</v>
      </c>
      <c r="R1" s="7" t="s">
        <v>15</v>
      </c>
      <c r="S1" s="7" t="s">
        <v>16</v>
      </c>
      <c r="T1" s="7" t="s">
        <v>17</v>
      </c>
      <c r="U1" s="7" t="s">
        <v>18</v>
      </c>
      <c r="V1" s="7" t="s">
        <v>19</v>
      </c>
      <c r="W1" s="7" t="s">
        <v>20</v>
      </c>
      <c r="X1" s="7" t="s">
        <v>21</v>
      </c>
      <c r="Y1" s="7" t="s">
        <v>22</v>
      </c>
    </row>
    <row r="2" spans="1:25" x14ac:dyDescent="0.25">
      <c r="A2" s="8" t="s">
        <v>37</v>
      </c>
      <c r="B2" s="8">
        <v>0</v>
      </c>
      <c r="C2" s="8">
        <v>0</v>
      </c>
      <c r="D2" s="8">
        <v>0</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row>
    <row r="3" spans="1:25" x14ac:dyDescent="0.25">
      <c r="A3" s="8" t="s">
        <v>38</v>
      </c>
      <c r="B3" s="8">
        <v>0</v>
      </c>
      <c r="C3" s="8">
        <v>0</v>
      </c>
      <c r="D3" s="8">
        <v>0</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row>
    <row r="4" spans="1:25" x14ac:dyDescent="0.25">
      <c r="A4" s="8" t="s">
        <v>39</v>
      </c>
      <c r="B4" s="8">
        <v>0</v>
      </c>
      <c r="C4" s="8">
        <v>0</v>
      </c>
      <c r="D4" s="8">
        <v>0</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row>
    <row r="5" spans="1:25" x14ac:dyDescent="0.25">
      <c r="A5" s="8" t="s">
        <v>40</v>
      </c>
      <c r="B5" s="8">
        <v>0</v>
      </c>
      <c r="C5" s="8">
        <v>0</v>
      </c>
      <c r="D5" s="8">
        <v>0</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row>
    <row r="6" spans="1:25" x14ac:dyDescent="0.25">
      <c r="A6" s="8" t="s">
        <v>80</v>
      </c>
      <c r="B6" s="8">
        <v>0</v>
      </c>
      <c r="C6" s="8">
        <v>0</v>
      </c>
      <c r="D6" s="8">
        <v>0</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row>
    <row r="7" spans="1:25" x14ac:dyDescent="0.25">
      <c r="A7" s="8" t="s">
        <v>81</v>
      </c>
      <c r="B7" s="8">
        <v>0</v>
      </c>
      <c r="C7" s="8">
        <v>0</v>
      </c>
      <c r="D7" s="8">
        <v>0</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row>
    <row r="8" spans="1:25" x14ac:dyDescent="0.25">
      <c r="A8" s="8"/>
      <c r="B8" s="8"/>
      <c r="C8" s="8"/>
      <c r="D8" s="8"/>
      <c r="E8" s="8"/>
      <c r="F8" s="8"/>
      <c r="G8" s="8"/>
      <c r="H8" s="8"/>
      <c r="I8" s="8"/>
      <c r="J8" s="8"/>
      <c r="K8" s="8"/>
      <c r="L8" s="8"/>
      <c r="M8" s="8"/>
      <c r="N8" s="8"/>
      <c r="O8" s="8"/>
      <c r="P8" s="8"/>
      <c r="Q8" s="8"/>
      <c r="R8" s="8"/>
      <c r="S8" s="8"/>
      <c r="T8" s="8"/>
      <c r="U8" s="8"/>
      <c r="V8" s="8"/>
      <c r="W8" s="8"/>
      <c r="X8" s="8"/>
      <c r="Y8" s="8"/>
    </row>
    <row r="9" spans="1:25" x14ac:dyDescent="0.25">
      <c r="A9" s="8"/>
      <c r="B9" s="8"/>
      <c r="C9" s="8"/>
      <c r="D9" s="8"/>
      <c r="E9" s="8"/>
      <c r="F9" s="8"/>
      <c r="G9" s="8"/>
      <c r="H9" s="8"/>
      <c r="I9" s="8"/>
      <c r="J9" s="8"/>
      <c r="K9" s="8"/>
      <c r="L9" s="8"/>
      <c r="M9" s="8"/>
      <c r="N9" s="8"/>
      <c r="O9" s="8"/>
      <c r="P9" s="8"/>
      <c r="Q9" s="8"/>
      <c r="R9" s="8"/>
      <c r="S9" s="8"/>
      <c r="T9" s="8"/>
      <c r="U9" s="8"/>
      <c r="V9" s="8"/>
      <c r="W9" s="8"/>
      <c r="X9" s="8"/>
      <c r="Y9" s="8"/>
    </row>
    <row r="10" spans="1:25" x14ac:dyDescent="0.25">
      <c r="A10" s="8"/>
      <c r="B10" s="8"/>
      <c r="C10" s="8"/>
      <c r="D10" s="8"/>
      <c r="E10" s="8"/>
      <c r="F10" s="8"/>
      <c r="G10" s="8"/>
      <c r="H10" s="8"/>
      <c r="I10" s="8"/>
      <c r="J10" s="8"/>
      <c r="K10" s="8"/>
      <c r="L10" s="8"/>
      <c r="M10" s="8"/>
      <c r="N10" s="8"/>
      <c r="O10" s="8"/>
      <c r="P10" s="8"/>
      <c r="Q10" s="8"/>
      <c r="R10" s="8"/>
      <c r="S10" s="8"/>
      <c r="T10" s="8"/>
      <c r="U10" s="8"/>
      <c r="V10" s="8"/>
      <c r="W10" s="8"/>
      <c r="X10" s="8"/>
      <c r="Y10" s="8"/>
    </row>
    <row r="11" spans="1:25" x14ac:dyDescent="0.25">
      <c r="A11" s="8"/>
      <c r="B11" s="8"/>
      <c r="C11" s="8"/>
      <c r="D11" s="8"/>
      <c r="E11" s="8"/>
      <c r="F11" s="8"/>
      <c r="G11" s="8"/>
      <c r="H11" s="8"/>
      <c r="I11" s="8"/>
      <c r="J11" s="8"/>
      <c r="K11" s="8"/>
      <c r="L11" s="8"/>
      <c r="M11" s="8"/>
      <c r="N11" s="8"/>
      <c r="O11" s="8"/>
      <c r="P11" s="8"/>
      <c r="Q11" s="8"/>
      <c r="R11" s="8"/>
      <c r="S11" s="8"/>
      <c r="T11" s="8"/>
      <c r="U11" s="8"/>
      <c r="V11" s="8"/>
      <c r="W11" s="8"/>
      <c r="X11" s="8"/>
      <c r="Y11" s="8"/>
    </row>
    <row r="12" spans="1:25" x14ac:dyDescent="0.25">
      <c r="A12" s="8"/>
      <c r="B12" s="8"/>
      <c r="C12" s="8"/>
      <c r="D12" s="8"/>
      <c r="E12" s="8"/>
      <c r="F12" s="8"/>
      <c r="G12" s="8"/>
      <c r="H12" s="8"/>
      <c r="I12" s="8"/>
      <c r="J12" s="8"/>
      <c r="K12" s="8"/>
      <c r="L12" s="8"/>
      <c r="M12" s="8"/>
      <c r="N12" s="8"/>
      <c r="O12" s="8"/>
      <c r="P12" s="8"/>
      <c r="Q12" s="8"/>
      <c r="R12" s="8"/>
      <c r="S12" s="8"/>
      <c r="T12" s="8"/>
      <c r="U12" s="8"/>
      <c r="V12" s="8"/>
      <c r="W12" s="8"/>
      <c r="X12" s="8"/>
      <c r="Y12" s="8"/>
    </row>
    <row r="13" spans="1:25" x14ac:dyDescent="0.25">
      <c r="A13" s="8"/>
      <c r="B13" s="8"/>
      <c r="C13" s="8"/>
      <c r="D13" s="8"/>
      <c r="E13" s="8"/>
      <c r="F13" s="8"/>
      <c r="G13" s="8"/>
      <c r="H13" s="8"/>
      <c r="I13" s="8"/>
      <c r="J13" s="8"/>
      <c r="K13" s="8"/>
      <c r="L13" s="8"/>
      <c r="M13" s="8"/>
      <c r="N13" s="8"/>
      <c r="O13" s="8"/>
      <c r="P13" s="8"/>
      <c r="Q13" s="8"/>
      <c r="R13" s="8"/>
      <c r="S13" s="8"/>
      <c r="T13" s="8"/>
      <c r="U13" s="8"/>
      <c r="V13" s="8"/>
      <c r="W13" s="8"/>
      <c r="X13" s="8"/>
      <c r="Y13" s="8"/>
    </row>
    <row r="14" spans="1:25" x14ac:dyDescent="0.25">
      <c r="A14" s="8"/>
      <c r="B14" s="8"/>
      <c r="C14" s="8"/>
      <c r="D14" s="8"/>
      <c r="E14" s="8"/>
      <c r="F14" s="8"/>
      <c r="G14" s="8"/>
      <c r="H14" s="8"/>
      <c r="I14" s="8"/>
      <c r="J14" s="8"/>
      <c r="K14" s="8"/>
      <c r="L14" s="8"/>
      <c r="M14" s="8"/>
      <c r="N14" s="8"/>
      <c r="O14" s="8"/>
      <c r="P14" s="8"/>
      <c r="Q14" s="8"/>
      <c r="R14" s="8"/>
      <c r="S14" s="8"/>
      <c r="T14" s="8"/>
      <c r="U14" s="8"/>
      <c r="V14" s="8"/>
      <c r="W14" s="8"/>
      <c r="X14" s="8"/>
      <c r="Y14" s="8"/>
    </row>
    <row r="15" spans="1:25" x14ac:dyDescent="0.25">
      <c r="A15" s="8"/>
      <c r="B15" s="8"/>
      <c r="C15" s="8"/>
      <c r="D15" s="8"/>
      <c r="E15" s="8"/>
      <c r="F15" s="8"/>
      <c r="G15" s="8"/>
      <c r="H15" s="8"/>
      <c r="I15" s="8"/>
      <c r="J15" s="8"/>
      <c r="K15" s="8"/>
      <c r="L15" s="8"/>
      <c r="M15" s="8"/>
      <c r="N15" s="8"/>
      <c r="O15" s="8"/>
      <c r="P15" s="8"/>
      <c r="Q15" s="8"/>
      <c r="R15" s="8"/>
      <c r="S15" s="8"/>
      <c r="T15" s="8"/>
      <c r="U15" s="8"/>
      <c r="V15" s="8"/>
      <c r="W15" s="8"/>
      <c r="X15" s="8"/>
      <c r="Y15" s="8"/>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95888-7BC8-49E2-A356-BA1FA0BB38A7}">
  <sheetPr codeName="Sheet27">
    <tabColor rgb="FF002060"/>
  </sheetPr>
  <dimension ref="A1:Y27"/>
  <sheetViews>
    <sheetView workbookViewId="0">
      <selection activeCell="A11" sqref="A11:XFD18"/>
    </sheetView>
  </sheetViews>
  <sheetFormatPr defaultRowHeight="15" x14ac:dyDescent="0.25"/>
  <cols>
    <col min="1" max="1" width="28.42578125" customWidth="1"/>
    <col min="2" max="2" width="10.5703125" bestFit="1" customWidth="1"/>
    <col min="3" max="25" width="10.42578125" bestFit="1" customWidth="1"/>
  </cols>
  <sheetData>
    <row r="1" spans="1:25" x14ac:dyDescent="0.25">
      <c r="A1" s="6" t="s">
        <v>25</v>
      </c>
      <c r="B1" s="7" t="s">
        <v>34</v>
      </c>
      <c r="C1" s="7" t="s">
        <v>0</v>
      </c>
      <c r="D1" s="7" t="s">
        <v>1</v>
      </c>
      <c r="E1" s="7" t="s">
        <v>2</v>
      </c>
      <c r="F1" s="7" t="s">
        <v>3</v>
      </c>
      <c r="G1" s="7" t="s">
        <v>4</v>
      </c>
      <c r="H1" s="7" t="s">
        <v>5</v>
      </c>
      <c r="I1" s="7" t="s">
        <v>6</v>
      </c>
      <c r="J1" s="7" t="s">
        <v>7</v>
      </c>
      <c r="K1" s="7" t="s">
        <v>8</v>
      </c>
      <c r="L1" s="7" t="s">
        <v>9</v>
      </c>
      <c r="M1" s="7" t="s">
        <v>10</v>
      </c>
      <c r="N1" s="7" t="s">
        <v>11</v>
      </c>
      <c r="O1" s="7" t="s">
        <v>12</v>
      </c>
      <c r="P1" s="7" t="s">
        <v>13</v>
      </c>
      <c r="Q1" s="7" t="s">
        <v>14</v>
      </c>
      <c r="R1" s="7" t="s">
        <v>15</v>
      </c>
      <c r="S1" s="7" t="s">
        <v>16</v>
      </c>
      <c r="T1" s="7" t="s">
        <v>17</v>
      </c>
      <c r="U1" s="7" t="s">
        <v>18</v>
      </c>
      <c r="V1" s="7" t="s">
        <v>19</v>
      </c>
      <c r="W1" s="7" t="s">
        <v>20</v>
      </c>
      <c r="X1" s="7" t="s">
        <v>21</v>
      </c>
      <c r="Y1" s="7" t="s">
        <v>22</v>
      </c>
    </row>
    <row r="2" spans="1:25" x14ac:dyDescent="0.25">
      <c r="A2" s="8" t="s">
        <v>37</v>
      </c>
      <c r="B2" s="8" cm="1">
        <f t="array" ref="B2">INDEX('Summarized Modified Source Data'!$V$600:$V$743,MATCH(1,($A2=LoadFactorSeasons)*(B$1=LoadFactorHours),0),)</f>
        <v>1.1398994768788759E-4</v>
      </c>
      <c r="C2" s="8" cm="1">
        <f t="array" ref="C2">INDEX('Summarized Modified Source Data'!$V$600:$V$743,MATCH(1,($A2=LoadFactorSeasons)*(C$1=LoadFactorHours),0),)</f>
        <v>1.1381714837355527E-4</v>
      </c>
      <c r="D2" s="8" cm="1">
        <f t="array" ref="D2">INDEX('Summarized Modified Source Data'!$V$600:$V$743,MATCH(1,($A2=LoadFactorSeasons)*(D$1=LoadFactorHours),0),)</f>
        <v>1.1378834848783321E-4</v>
      </c>
      <c r="E2" s="8" cm="1">
        <f t="array" ref="E2">INDEX('Summarized Modified Source Data'!$V$600:$V$743,MATCH(1,($A2=LoadFactorSeasons)*(E$1=LoadFactorHours),0),)</f>
        <v>1.1390354803072143E-4</v>
      </c>
      <c r="F2" s="8" cm="1">
        <f t="array" ref="F2">INDEX('Summarized Modified Source Data'!$V$600:$V$743,MATCH(1,($A2=LoadFactorSeasons)*(F$1=LoadFactorHours),0),)</f>
        <v>1.1445074585944046E-4</v>
      </c>
      <c r="G2" s="8" cm="1">
        <f t="array" ref="G2">INDEX('Summarized Modified Source Data'!$V$600:$V$743,MATCH(1,($A2=LoadFactorSeasons)*(G$1=LoadFactorHours),0),)</f>
        <v>1.1531474243110203E-4</v>
      </c>
      <c r="H2" s="8" cm="1">
        <f t="array" ref="H2">INDEX('Summarized Modified Source Data'!$V$600:$V$743,MATCH(1,($A2=LoadFactorSeasons)*(H$1=LoadFactorHours),0),)</f>
        <v>1.1640913808854008E-4</v>
      </c>
      <c r="I2" s="8" cm="1">
        <f t="array" ref="I2">INDEX('Summarized Modified Source Data'!$V$600:$V$743,MATCH(1,($A2=LoadFactorSeasons)*(I$1=LoadFactorHours),0),)</f>
        <v>1.1715793511731347E-4</v>
      </c>
      <c r="J2" s="8" cm="1">
        <f t="array" ref="J2">INDEX('Summarized Modified Source Data'!$V$600:$V$743,MATCH(1,($A2=LoadFactorSeasons)*(J$1=LoadFactorHours),0),)</f>
        <v>1.1733073443164581E-4</v>
      </c>
      <c r="K2" s="8" cm="1">
        <f t="array" ref="K2">INDEX('Summarized Modified Source Data'!$V$600:$V$743,MATCH(1,($A2=LoadFactorSeasons)*(K$1=LoadFactorHours),0),)</f>
        <v>1.1704273557442527E-4</v>
      </c>
      <c r="L2" s="8" cm="1">
        <f t="array" ref="L2">INDEX('Summarized Modified Source Data'!$V$600:$V$743,MATCH(1,($A2=LoadFactorSeasons)*(L$1=LoadFactorHours),0),)</f>
        <v>1.1661073728859446E-4</v>
      </c>
      <c r="M2" s="8" cm="1">
        <f t="array" ref="M2">INDEX('Summarized Modified Source Data'!$V$600:$V$743,MATCH(1,($A2=LoadFactorSeasons)*(M$1=LoadFactorHours),0),)</f>
        <v>1.1629393854565186E-4</v>
      </c>
      <c r="N2" s="8" cm="1">
        <f t="array" ref="N2">INDEX('Summarized Modified Source Data'!$V$600:$V$743,MATCH(1,($A2=LoadFactorSeasons)*(N$1=LoadFactorHours),0),)</f>
        <v>1.1603473957415339E-4</v>
      </c>
      <c r="O2" s="8" cm="1">
        <f t="array" ref="O2">INDEX('Summarized Modified Source Data'!$V$600:$V$743,MATCH(1,($A2=LoadFactorSeasons)*(O$1=LoadFactorHours),0),)</f>
        <v>1.1597713980270928E-4</v>
      </c>
      <c r="P2" s="8" cm="1">
        <f t="array" ref="P2">INDEX('Summarized Modified Source Data'!$V$600:$V$743,MATCH(1,($A2=LoadFactorSeasons)*(P$1=LoadFactorHours),0),)</f>
        <v>1.1626513865992981E-4</v>
      </c>
      <c r="Q2" s="8" cm="1">
        <f t="array" ref="Q2">INDEX('Summarized Modified Source Data'!$V$600:$V$743,MATCH(1,($A2=LoadFactorSeasons)*(Q$1=LoadFactorHours),0),)</f>
        <v>1.1733073443164581E-4</v>
      </c>
      <c r="R2" s="8" cm="1">
        <f t="array" ref="R2">INDEX('Summarized Modified Source Data'!$V$600:$V$743,MATCH(1,($A2=LoadFactorSeasons)*(R$1=LoadFactorHours),0),)</f>
        <v>1.1856912951769408E-4</v>
      </c>
      <c r="S2" s="8" cm="1">
        <f t="array" ref="S2">INDEX('Summarized Modified Source Data'!$V$600:$V$743,MATCH(1,($A2=LoadFactorSeasons)*(S$1=LoadFactorHours),0),)</f>
        <v>1.1879952860347051E-4</v>
      </c>
      <c r="T2" s="8" cm="1">
        <f t="array" ref="T2">INDEX('Summarized Modified Source Data'!$V$600:$V$743,MATCH(1,($A2=LoadFactorSeasons)*(T$1=LoadFactorHours),0),)</f>
        <v>1.1822353088902946E-4</v>
      </c>
      <c r="U2" s="8" cm="1">
        <f t="array" ref="U2">INDEX('Summarized Modified Source Data'!$V$600:$V$743,MATCH(1,($A2=LoadFactorSeasons)*(U$1=LoadFactorHours),0),)</f>
        <v>1.1753233363170016E-4</v>
      </c>
      <c r="V2" s="8" cm="1">
        <f t="array" ref="V2">INDEX('Summarized Modified Source Data'!$V$600:$V$743,MATCH(1,($A2=LoadFactorSeasons)*(V$1=LoadFactorHours),0),)</f>
        <v>1.1678353660292676E-4</v>
      </c>
      <c r="W2" s="8" cm="1">
        <f t="array" ref="W2">INDEX('Summarized Modified Source Data'!$V$600:$V$743,MATCH(1,($A2=LoadFactorSeasons)*(W$1=LoadFactorHours),0),)</f>
        <v>1.1577554060265491E-4</v>
      </c>
      <c r="X2" s="8" cm="1">
        <f t="array" ref="X2">INDEX('Summarized Modified Source Data'!$V$600:$V$743,MATCH(1,($A2=LoadFactorSeasons)*(X$1=LoadFactorHours),0),)</f>
        <v>1.1479634448810509E-4</v>
      </c>
      <c r="Y2" s="8" cm="1">
        <f t="array" ref="Y2">INDEX('Summarized Modified Source Data'!$V$600:$V$743,MATCH(1,($A2=LoadFactorSeasons)*(Y$1=LoadFactorHours),0),)</f>
        <v>1.1422034677366401E-4</v>
      </c>
    </row>
    <row r="3" spans="1:25" x14ac:dyDescent="0.25">
      <c r="A3" s="8" t="s">
        <v>38</v>
      </c>
      <c r="B3" s="8" cm="1">
        <f t="array" ref="B3">INDEX('Summarized Modified Source Data'!$V$600:$V$743,MATCH(1,($A3=LoadFactorSeasons)*(B$1=LoadFactorHours),0),)</f>
        <v>1.1111747212934884E-4</v>
      </c>
      <c r="C3" s="8" cm="1">
        <f t="array" ref="C3">INDEX('Summarized Modified Source Data'!$V$600:$V$743,MATCH(1,($A3=LoadFactorSeasons)*(C$1=LoadFactorHours),0),)</f>
        <v>1.1096721185601638E-4</v>
      </c>
      <c r="D3" s="8" cm="1">
        <f t="array" ref="D3">INDEX('Summarized Modified Source Data'!$V$600:$V$743,MATCH(1,($A3=LoadFactorSeasons)*(D$1=LoadFactorHours),0),)</f>
        <v>1.1100477692434949E-4</v>
      </c>
      <c r="E3" s="8" cm="1">
        <f t="array" ref="E3">INDEX('Summarized Modified Source Data'!$V$600:$V$743,MATCH(1,($A3=LoadFactorSeasons)*(E$1=LoadFactorHours),0),)</f>
        <v>1.1104234199268263E-4</v>
      </c>
      <c r="F3" s="8" cm="1">
        <f t="array" ref="F3">INDEX('Summarized Modified Source Data'!$V$600:$V$743,MATCH(1,($A3=LoadFactorSeasons)*(F$1=LoadFactorHours),0),)</f>
        <v>1.1153068788101309E-4</v>
      </c>
      <c r="G3" s="8" cm="1">
        <f t="array" ref="G3">INDEX('Summarized Modified Source Data'!$V$600:$V$743,MATCH(1,($A3=LoadFactorSeasons)*(G$1=LoadFactorHours),0),)</f>
        <v>1.1246981458934091E-4</v>
      </c>
      <c r="H3" s="8" cm="1">
        <f t="array" ref="H3">INDEX('Summarized Modified Source Data'!$V$600:$V$743,MATCH(1,($A3=LoadFactorSeasons)*(H$1=LoadFactorHours),0),)</f>
        <v>1.1340894129766875E-4</v>
      </c>
      <c r="I3" s="8" cm="1">
        <f t="array" ref="I3">INDEX('Summarized Modified Source Data'!$V$600:$V$743,MATCH(1,($A3=LoadFactorSeasons)*(I$1=LoadFactorHours),0),)</f>
        <v>1.1416024266433102E-4</v>
      </c>
      <c r="J3" s="8" cm="1">
        <f t="array" ref="J3">INDEX('Summarized Modified Source Data'!$V$600:$V$743,MATCH(1,($A3=LoadFactorSeasons)*(J$1=LoadFactorHours),0),)</f>
        <v>1.1431050293766346E-4</v>
      </c>
      <c r="K3" s="8" cm="1">
        <f t="array" ref="K3">INDEX('Summarized Modified Source Data'!$V$600:$V$743,MATCH(1,($A3=LoadFactorSeasons)*(K$1=LoadFactorHours),0),)</f>
        <v>1.1408511252766477E-4</v>
      </c>
      <c r="L3" s="8" cm="1">
        <f t="array" ref="L3">INDEX('Summarized Modified Source Data'!$V$600:$V$743,MATCH(1,($A3=LoadFactorSeasons)*(L$1=LoadFactorHours),0),)</f>
        <v>1.1367189677600053E-4</v>
      </c>
      <c r="M3" s="8" cm="1">
        <f t="array" ref="M3">INDEX('Summarized Modified Source Data'!$V$600:$V$743,MATCH(1,($A3=LoadFactorSeasons)*(M$1=LoadFactorHours),0),)</f>
        <v>1.1337137622933565E-4</v>
      </c>
      <c r="N3" s="8" cm="1">
        <f t="array" ref="N3">INDEX('Summarized Modified Source Data'!$V$600:$V$743,MATCH(1,($A3=LoadFactorSeasons)*(N$1=LoadFactorHours),0),)</f>
        <v>1.1307085568267073E-4</v>
      </c>
      <c r="O3" s="8" cm="1">
        <f t="array" ref="O3">INDEX('Summarized Modified Source Data'!$V$600:$V$743,MATCH(1,($A3=LoadFactorSeasons)*(O$1=LoadFactorHours),0),)</f>
        <v>1.1307085568267073E-4</v>
      </c>
      <c r="P3" s="8" cm="1">
        <f t="array" ref="P3">INDEX('Summarized Modified Source Data'!$V$600:$V$743,MATCH(1,($A3=LoadFactorSeasons)*(P$1=LoadFactorHours),0),)</f>
        <v>1.1329624609266942E-4</v>
      </c>
      <c r="Q3" s="8" cm="1">
        <f t="array" ref="Q3">INDEX('Summarized Modified Source Data'!$V$600:$V$743,MATCH(1,($A3=LoadFactorSeasons)*(Q$1=LoadFactorHours),0),)</f>
        <v>1.1431050293766346E-4</v>
      </c>
      <c r="R3" s="8" cm="1">
        <f t="array" ref="R3">INDEX('Summarized Modified Source Data'!$V$600:$V$743,MATCH(1,($A3=LoadFactorSeasons)*(R$1=LoadFactorHours),0),)</f>
        <v>1.155125851243231E-4</v>
      </c>
      <c r="S3" s="8" cm="1">
        <f t="array" ref="S3">INDEX('Summarized Modified Source Data'!$V$600:$V$743,MATCH(1,($A3=LoadFactorSeasons)*(S$1=LoadFactorHours),0),)</f>
        <v>1.1570041046598865E-4</v>
      </c>
      <c r="T3" s="8" cm="1">
        <f t="array" ref="T3">INDEX('Summarized Modified Source Data'!$V$600:$V$743,MATCH(1,($A3=LoadFactorSeasons)*(T$1=LoadFactorHours),0),)</f>
        <v>1.1524962964599129E-4</v>
      </c>
      <c r="U3" s="8" cm="1">
        <f t="array" ref="U3">INDEX('Summarized Modified Source Data'!$V$600:$V$743,MATCH(1,($A3=LoadFactorSeasons)*(U$1=LoadFactorHours),0),)</f>
        <v>1.1457345841599526E-4</v>
      </c>
      <c r="V3" s="8" cm="1">
        <f t="array" ref="V3">INDEX('Summarized Modified Source Data'!$V$600:$V$743,MATCH(1,($A3=LoadFactorSeasons)*(V$1=LoadFactorHours),0),)</f>
        <v>1.137845919809999E-4</v>
      </c>
      <c r="W3" s="8" cm="1">
        <f t="array" ref="W3">INDEX('Summarized Modified Source Data'!$V$600:$V$743,MATCH(1,($A3=LoadFactorSeasons)*(W$1=LoadFactorHours),0),)</f>
        <v>1.1284546527267207E-4</v>
      </c>
      <c r="X3" s="8" cm="1">
        <f t="array" ref="X3">INDEX('Summarized Modified Source Data'!$V$600:$V$743,MATCH(1,($A3=LoadFactorSeasons)*(X$1=LoadFactorHours),0),)</f>
        <v>1.1186877349601109E-4</v>
      </c>
      <c r="Y3" s="8" cm="1">
        <f t="array" ref="Y3">INDEX('Summarized Modified Source Data'!$V$600:$V$743,MATCH(1,($A3=LoadFactorSeasons)*(Y$1=LoadFactorHours),0),)</f>
        <v>1.1130529747101443E-4</v>
      </c>
    </row>
    <row r="4" spans="1:25" x14ac:dyDescent="0.25">
      <c r="A4" s="8" t="s">
        <v>39</v>
      </c>
      <c r="B4" s="8" cm="1">
        <f t="array" ref="B4">INDEX('Summarized Modified Source Data'!$V$600:$V$743,MATCH(1,($A4=LoadFactorSeasons)*(B$1=LoadFactorHours),0),)</f>
        <v>1.1002808514768855E-4</v>
      </c>
      <c r="C4" s="8" cm="1">
        <f t="array" ref="C4">INDEX('Summarized Modified Source Data'!$V$600:$V$743,MATCH(1,($A4=LoadFactorSeasons)*(C$1=LoadFactorHours),0),)</f>
        <v>1.0987782487435611E-4</v>
      </c>
      <c r="D4" s="8" cm="1">
        <f t="array" ref="D4">INDEX('Summarized Modified Source Data'!$V$600:$V$743,MATCH(1,($A4=LoadFactorSeasons)*(D$1=LoadFactorHours),0),)</f>
        <v>1.0991538994268924E-4</v>
      </c>
      <c r="E4" s="8" cm="1">
        <f t="array" ref="E4">INDEX('Summarized Modified Source Data'!$V$600:$V$743,MATCH(1,($A4=LoadFactorSeasons)*(E$1=LoadFactorHours),0),)</f>
        <v>1.0999052007935546E-4</v>
      </c>
      <c r="F4" s="8" cm="1">
        <f t="array" ref="F4">INDEX('Summarized Modified Source Data'!$V$600:$V$743,MATCH(1,($A4=LoadFactorSeasons)*(F$1=LoadFactorHours),0),)</f>
        <v>1.1047886596768591E-4</v>
      </c>
      <c r="G4" s="8" cm="1">
        <f t="array" ref="G4">INDEX('Summarized Modified Source Data'!$V$600:$V$743,MATCH(1,($A4=LoadFactorSeasons)*(G$1=LoadFactorHours),0),)</f>
        <v>1.1141799267601377E-4</v>
      </c>
      <c r="H4" s="8" cm="1">
        <f t="array" ref="H4">INDEX('Summarized Modified Source Data'!$V$600:$V$743,MATCH(1,($A4=LoadFactorSeasons)*(H$1=LoadFactorHours),0),)</f>
        <v>1.1246981458934091E-4</v>
      </c>
      <c r="I4" s="8" cm="1">
        <f t="array" ref="I4">INDEX('Summarized Modified Source Data'!$V$600:$V$743,MATCH(1,($A4=LoadFactorSeasons)*(I$1=LoadFactorHours),0),)</f>
        <v>1.1322111595600317E-4</v>
      </c>
      <c r="J4" s="8" cm="1">
        <f t="array" ref="J4">INDEX('Summarized Modified Source Data'!$V$600:$V$743,MATCH(1,($A4=LoadFactorSeasons)*(J$1=LoadFactorHours),0),)</f>
        <v>1.1344650636600186E-4</v>
      </c>
      <c r="K4" s="8" cm="1">
        <f t="array" ref="K4">INDEX('Summarized Modified Source Data'!$V$600:$V$743,MATCH(1,($A4=LoadFactorSeasons)*(K$1=LoadFactorHours),0),)</f>
        <v>1.1310842075100385E-4</v>
      </c>
      <c r="L4" s="8" cm="1">
        <f t="array" ref="L4">INDEX('Summarized Modified Source Data'!$V$600:$V$743,MATCH(1,($A4=LoadFactorSeasons)*(L$1=LoadFactorHours),0),)</f>
        <v>1.1273277006767272E-4</v>
      </c>
      <c r="M4" s="8" cm="1">
        <f t="array" ref="M4">INDEX('Summarized Modified Source Data'!$V$600:$V$743,MATCH(1,($A4=LoadFactorSeasons)*(M$1=LoadFactorHours),0),)</f>
        <v>1.1239468445267469E-4</v>
      </c>
      <c r="N4" s="8" cm="1">
        <f t="array" ref="N4">INDEX('Summarized Modified Source Data'!$V$600:$V$743,MATCH(1,($A4=LoadFactorSeasons)*(N$1=LoadFactorHours),0),)</f>
        <v>1.1213172897434291E-4</v>
      </c>
      <c r="O4" s="8" cm="1">
        <f t="array" ref="O4">INDEX('Summarized Modified Source Data'!$V$600:$V$743,MATCH(1,($A4=LoadFactorSeasons)*(O$1=LoadFactorHours),0),)</f>
        <v>1.1209416390600979E-4</v>
      </c>
      <c r="P4" s="8" cm="1">
        <f t="array" ref="P4">INDEX('Summarized Modified Source Data'!$V$600:$V$743,MATCH(1,($A4=LoadFactorSeasons)*(P$1=LoadFactorHours),0),)</f>
        <v>1.1231955431600847E-4</v>
      </c>
      <c r="Q4" s="8" cm="1">
        <f t="array" ref="Q4">INDEX('Summarized Modified Source Data'!$V$600:$V$743,MATCH(1,($A4=LoadFactorSeasons)*(Q$1=LoadFactorHours),0),)</f>
        <v>1.1344650636600186E-4</v>
      </c>
      <c r="R4" s="8" cm="1">
        <f t="array" ref="R4">INDEX('Summarized Modified Source Data'!$V$600:$V$743,MATCH(1,($A4=LoadFactorSeasons)*(R$1=LoadFactorHours),0),)</f>
        <v>1.146485885526615E-4</v>
      </c>
      <c r="S4" s="8" cm="1">
        <f t="array" ref="S4">INDEX('Summarized Modified Source Data'!$V$600:$V$743,MATCH(1,($A4=LoadFactorSeasons)*(S$1=LoadFactorHours),0),)</f>
        <v>1.1491154403099328E-4</v>
      </c>
      <c r="T4" s="8" cm="1">
        <f t="array" ref="T4">INDEX('Summarized Modified Source Data'!$V$600:$V$743,MATCH(1,($A4=LoadFactorSeasons)*(T$1=LoadFactorHours),0),)</f>
        <v>1.1431050293766346E-4</v>
      </c>
      <c r="U4" s="8" cm="1">
        <f t="array" ref="U4">INDEX('Summarized Modified Source Data'!$V$600:$V$743,MATCH(1,($A4=LoadFactorSeasons)*(U$1=LoadFactorHours),0),)</f>
        <v>1.1359676663933432E-4</v>
      </c>
      <c r="V4" s="8" cm="1">
        <f t="array" ref="V4">INDEX('Summarized Modified Source Data'!$V$600:$V$743,MATCH(1,($A4=LoadFactorSeasons)*(V$1=LoadFactorHours),0),)</f>
        <v>1.1288303034100516E-4</v>
      </c>
      <c r="W4" s="8" cm="1">
        <f t="array" ref="W4">INDEX('Summarized Modified Source Data'!$V$600:$V$743,MATCH(1,($A4=LoadFactorSeasons)*(W$1=LoadFactorHours),0),)</f>
        <v>1.1183120842767798E-4</v>
      </c>
      <c r="X4" s="8" cm="1">
        <f t="array" ref="X4">INDEX('Summarized Modified Source Data'!$V$600:$V$743,MATCH(1,($A4=LoadFactorSeasons)*(X$1=LoadFactorHours),0),)</f>
        <v>1.1089208171935017E-4</v>
      </c>
      <c r="Y4" s="8" cm="1">
        <f t="array" ref="Y4">INDEX('Summarized Modified Source Data'!$V$600:$V$743,MATCH(1,($A4=LoadFactorSeasons)*(Y$1=LoadFactorHours),0),)</f>
        <v>1.1025347555768724E-4</v>
      </c>
    </row>
    <row r="5" spans="1:25" x14ac:dyDescent="0.25">
      <c r="A5" s="8" t="s">
        <v>40</v>
      </c>
      <c r="B5" s="8" cm="1">
        <f t="array" ref="B5">INDEX('Summarized Modified Source Data'!$V$600:$V$743,MATCH(1,($A5=LoadFactorSeasons)*(B$1=LoadFactorHours),0),)</f>
        <v>1.1268781514983145E-4</v>
      </c>
      <c r="C5" s="8" cm="1">
        <f t="array" ref="C5">INDEX('Summarized Modified Source Data'!$V$600:$V$743,MATCH(1,($A5=LoadFactorSeasons)*(C$1=LoadFactorHours),0),)</f>
        <v>1.1251784861114393E-4</v>
      </c>
      <c r="D5" s="8" cm="1">
        <f t="array" ref="D5">INDEX('Summarized Modified Source Data'!$V$600:$V$743,MATCH(1,($A5=LoadFactorSeasons)*(D$1=LoadFactorHours),0),)</f>
        <v>1.1246119309824809E-4</v>
      </c>
      <c r="E5" s="8" cm="1">
        <f t="array" ref="E5">INDEX('Summarized Modified Source Data'!$V$600:$V$743,MATCH(1,($A5=LoadFactorSeasons)*(E$1=LoadFactorHours),0),)</f>
        <v>1.1263115963693561E-4</v>
      </c>
      <c r="F5" s="8" cm="1">
        <f t="array" ref="F5">INDEX('Summarized Modified Source Data'!$V$600:$V$743,MATCH(1,($A5=LoadFactorSeasons)*(F$1=LoadFactorHours),0),)</f>
        <v>1.1314105925299821E-4</v>
      </c>
      <c r="G5" s="8" cm="1">
        <f t="array" ref="G5">INDEX('Summarized Modified Source Data'!$V$600:$V$743,MATCH(1,($A5=LoadFactorSeasons)*(G$1=LoadFactorHours),0),)</f>
        <v>1.1404754745933169E-4</v>
      </c>
      <c r="H5" s="8" cm="1">
        <f t="array" ref="H5">INDEX('Summarized Modified Source Data'!$V$600:$V$743,MATCH(1,($A5=LoadFactorSeasons)*(H$1=LoadFactorHours),0),)</f>
        <v>1.151240022043527E-4</v>
      </c>
      <c r="I5" s="8" cm="1">
        <f t="array" ref="I5">INDEX('Summarized Modified Source Data'!$V$600:$V$743,MATCH(1,($A5=LoadFactorSeasons)*(I$1=LoadFactorHours),0),)</f>
        <v>1.1591717938489451E-4</v>
      </c>
      <c r="J5" s="8" cm="1">
        <f t="array" ref="J5">INDEX('Summarized Modified Source Data'!$V$600:$V$743,MATCH(1,($A5=LoadFactorSeasons)*(J$1=LoadFactorHours),0),)</f>
        <v>1.1603049041068618E-4</v>
      </c>
      <c r="K5" s="8" cm="1">
        <f t="array" ref="K5">INDEX('Summarized Modified Source Data'!$V$600:$V$743,MATCH(1,($A5=LoadFactorSeasons)*(K$1=LoadFactorHours),0),)</f>
        <v>1.1580386835910281E-4</v>
      </c>
      <c r="L5" s="8" cm="1">
        <f t="array" ref="L5">INDEX('Summarized Modified Source Data'!$V$600:$V$743,MATCH(1,($A5=LoadFactorSeasons)*(L$1=LoadFactorHours),0),)</f>
        <v>1.1535062425593607E-4</v>
      </c>
      <c r="M5" s="8" cm="1">
        <f t="array" ref="M5">INDEX('Summarized Modified Source Data'!$V$600:$V$743,MATCH(1,($A5=LoadFactorSeasons)*(M$1=LoadFactorHours),0),)</f>
        <v>1.15010691178561E-4</v>
      </c>
      <c r="N5" s="8" cm="1">
        <f t="array" ref="N5">INDEX('Summarized Modified Source Data'!$V$600:$V$743,MATCH(1,($A5=LoadFactorSeasons)*(N$1=LoadFactorHours),0),)</f>
        <v>1.1478406912697764E-4</v>
      </c>
      <c r="O5" s="8" cm="1">
        <f t="array" ref="O5">INDEX('Summarized Modified Source Data'!$V$600:$V$743,MATCH(1,($A5=LoadFactorSeasons)*(O$1=LoadFactorHours),0),)</f>
        <v>1.1467075810118596E-4</v>
      </c>
      <c r="P5" s="8" cm="1">
        <f t="array" ref="P5">INDEX('Summarized Modified Source Data'!$V$600:$V$743,MATCH(1,($A5=LoadFactorSeasons)*(P$1=LoadFactorHours),0),)</f>
        <v>1.1495403566566519E-4</v>
      </c>
      <c r="Q5" s="8" cm="1">
        <f t="array" ref="Q5">INDEX('Summarized Modified Source Data'!$V$600:$V$743,MATCH(1,($A5=LoadFactorSeasons)*(Q$1=LoadFactorHours),0),)</f>
        <v>1.1603049041068618E-4</v>
      </c>
      <c r="R5" s="8" cm="1">
        <f t="array" ref="R5">INDEX('Summarized Modified Source Data'!$V$600:$V$743,MATCH(1,($A5=LoadFactorSeasons)*(R$1=LoadFactorHours),0),)</f>
        <v>1.1722025618149889E-4</v>
      </c>
      <c r="S5" s="8" cm="1">
        <f t="array" ref="S5">INDEX('Summarized Modified Source Data'!$V$600:$V$743,MATCH(1,($A5=LoadFactorSeasons)*(S$1=LoadFactorHours),0),)</f>
        <v>1.1750353374597811E-4</v>
      </c>
      <c r="T5" s="8" cm="1">
        <f t="array" ref="T5">INDEX('Summarized Modified Source Data'!$V$600:$V$743,MATCH(1,($A5=LoadFactorSeasons)*(T$1=LoadFactorHours),0),)</f>
        <v>1.169936341299155E-4</v>
      </c>
      <c r="U5" s="8" cm="1">
        <f t="array" ref="U5">INDEX('Summarized Modified Source Data'!$V$600:$V$743,MATCH(1,($A5=LoadFactorSeasons)*(U$1=LoadFactorHours),0),)</f>
        <v>1.1625711246226957E-4</v>
      </c>
      <c r="V5" s="8" cm="1">
        <f t="array" ref="V5">INDEX('Summarized Modified Source Data'!$V$600:$V$743,MATCH(1,($A5=LoadFactorSeasons)*(V$1=LoadFactorHours),0),)</f>
        <v>1.1552059079462361E-4</v>
      </c>
      <c r="W5" s="8" cm="1">
        <f t="array" ref="W5">INDEX('Summarized Modified Source Data'!$V$600:$V$743,MATCH(1,($A5=LoadFactorSeasons)*(W$1=LoadFactorHours),0),)</f>
        <v>1.1444413604960259E-4</v>
      </c>
      <c r="X5" s="8" cm="1">
        <f t="array" ref="X5">INDEX('Summarized Modified Source Data'!$V$600:$V$743,MATCH(1,($A5=LoadFactorSeasons)*(X$1=LoadFactorHours),0),)</f>
        <v>1.1342433681747742E-4</v>
      </c>
      <c r="Y5" s="8" cm="1">
        <f t="array" ref="Y5">INDEX('Summarized Modified Source Data'!$V$600:$V$743,MATCH(1,($A5=LoadFactorSeasons)*(Y$1=LoadFactorHours),0),)</f>
        <v>1.1291443720141482E-4</v>
      </c>
    </row>
    <row r="6" spans="1:25" x14ac:dyDescent="0.25">
      <c r="A6" s="8" t="s">
        <v>80</v>
      </c>
      <c r="B6" s="8" cm="1">
        <f t="array" ref="B6">INDEX('Summarized Modified Source Data'!$V$600:$V$743,MATCH(1,($A6=LoadFactorSeasons)*(B$1=LoadFactorHours),0),)</f>
        <v>1.3147773916589623E-4</v>
      </c>
      <c r="C6" s="8" cm="1">
        <f t="array" ref="C6">INDEX('Summarized Modified Source Data'!$V$600:$V$743,MATCH(1,($A6=LoadFactorSeasons)*(C$1=LoadFactorHours),0),)</f>
        <v>1.3134626142673032E-4</v>
      </c>
      <c r="D6" s="8" cm="1">
        <f t="array" ref="D6">INDEX('Summarized Modified Source Data'!$V$600:$V$743,MATCH(1,($A6=LoadFactorSeasons)*(D$1=LoadFactorHours),0),)</f>
        <v>1.3147773916589623E-4</v>
      </c>
      <c r="E6" s="8" cm="1">
        <f t="array" ref="E6">INDEX('Summarized Modified Source Data'!$V$600:$V$743,MATCH(1,($A6=LoadFactorSeasons)*(E$1=LoadFactorHours),0),)</f>
        <v>1.31740694644228E-4</v>
      </c>
      <c r="F6" s="8" cm="1">
        <f t="array" ref="F6">INDEX('Summarized Modified Source Data'!$V$600:$V$743,MATCH(1,($A6=LoadFactorSeasons)*(F$1=LoadFactorHours),0),)</f>
        <v>1.3266103881838927E-4</v>
      </c>
      <c r="G6" s="8" cm="1">
        <f t="array" ref="G6">INDEX('Summarized Modified Source Data'!$V$600:$V$743,MATCH(1,($A6=LoadFactorSeasons)*(G$1=LoadFactorHours),0),)</f>
        <v>1.3410729394921415E-4</v>
      </c>
      <c r="H6" s="8" cm="1">
        <f t="array" ref="H6">INDEX('Summarized Modified Source Data'!$V$600:$V$743,MATCH(1,($A6=LoadFactorSeasons)*(H$1=LoadFactorHours),0),)</f>
        <v>1.347646826450436E-4</v>
      </c>
      <c r="I6" s="8" cm="1">
        <f t="array" ref="I6">INDEX('Summarized Modified Source Data'!$V$600:$V$743,MATCH(1,($A6=LoadFactorSeasons)*(I$1=LoadFactorHours),0),)</f>
        <v>1.347646826450436E-4</v>
      </c>
      <c r="J6" s="8" cm="1">
        <f t="array" ref="J6">INDEX('Summarized Modified Source Data'!$V$600:$V$743,MATCH(1,($A6=LoadFactorSeasons)*(J$1=LoadFactorHours),0),)</f>
        <v>1.3463320490587772E-4</v>
      </c>
      <c r="K6" s="8" cm="1">
        <f t="array" ref="K6">INDEX('Summarized Modified Source Data'!$V$600:$V$743,MATCH(1,($A6=LoadFactorSeasons)*(K$1=LoadFactorHours),0),)</f>
        <v>1.3397581621004824E-4</v>
      </c>
      <c r="L6" s="8" cm="1">
        <f t="array" ref="L6">INDEX('Summarized Modified Source Data'!$V$600:$V$743,MATCH(1,($A6=LoadFactorSeasons)*(L$1=LoadFactorHours),0),)</f>
        <v>1.3371286073171645E-4</v>
      </c>
      <c r="M6" s="8" cm="1">
        <f t="array" ref="M6">INDEX('Summarized Modified Source Data'!$V$600:$V$743,MATCH(1,($A6=LoadFactorSeasons)*(M$1=LoadFactorHours),0),)</f>
        <v>1.3344990525338465E-4</v>
      </c>
      <c r="N6" s="8" cm="1">
        <f t="array" ref="N6">INDEX('Summarized Modified Source Data'!$V$600:$V$743,MATCH(1,($A6=LoadFactorSeasons)*(N$1=LoadFactorHours),0),)</f>
        <v>1.3331842751421877E-4</v>
      </c>
      <c r="O6" s="8" cm="1">
        <f t="array" ref="O6">INDEX('Summarized Modified Source Data'!$V$600:$V$743,MATCH(1,($A6=LoadFactorSeasons)*(O$1=LoadFactorHours),0),)</f>
        <v>1.3344990525338465E-4</v>
      </c>
      <c r="P6" s="8" cm="1">
        <f t="array" ref="P6">INDEX('Summarized Modified Source Data'!$V$600:$V$743,MATCH(1,($A6=LoadFactorSeasons)*(P$1=LoadFactorHours),0),)</f>
        <v>1.3384433847088233E-4</v>
      </c>
      <c r="Q6" s="8" cm="1">
        <f t="array" ref="Q6">INDEX('Summarized Modified Source Data'!$V$600:$V$743,MATCH(1,($A6=LoadFactorSeasons)*(Q$1=LoadFactorHours),0),)</f>
        <v>1.354220713408731E-4</v>
      </c>
      <c r="R6" s="8" cm="1">
        <f t="array" ref="R6">INDEX('Summarized Modified Source Data'!$V$600:$V$743,MATCH(1,($A6=LoadFactorSeasons)*(R$1=LoadFactorHours),0),)</f>
        <v>1.3713128195002976E-4</v>
      </c>
      <c r="S6" s="8" cm="1">
        <f t="array" ref="S6">INDEX('Summarized Modified Source Data'!$V$600:$V$743,MATCH(1,($A6=LoadFactorSeasons)*(S$1=LoadFactorHours),0),)</f>
        <v>1.3739423742836152E-4</v>
      </c>
      <c r="T6" s="8" cm="1">
        <f t="array" ref="T6">INDEX('Summarized Modified Source Data'!$V$600:$V$743,MATCH(1,($A6=LoadFactorSeasons)*(T$1=LoadFactorHours),0),)</f>
        <v>1.3673684873253208E-4</v>
      </c>
      <c r="U6" s="8" cm="1">
        <f t="array" ref="U6">INDEX('Summarized Modified Source Data'!$V$600:$V$743,MATCH(1,($A6=LoadFactorSeasons)*(U$1=LoadFactorHours),0),)</f>
        <v>1.3594798229753669E-4</v>
      </c>
      <c r="V6" s="8" cm="1">
        <f t="array" ref="V6">INDEX('Summarized Modified Source Data'!$V$600:$V$743,MATCH(1,($A6=LoadFactorSeasons)*(V$1=LoadFactorHours),0),)</f>
        <v>1.3515911586254131E-4</v>
      </c>
      <c r="W6" s="8" cm="1">
        <f t="array" ref="W6">INDEX('Summarized Modified Source Data'!$V$600:$V$743,MATCH(1,($A6=LoadFactorSeasons)*(W$1=LoadFactorHours),0),)</f>
        <v>1.3384433847088233E-4</v>
      </c>
      <c r="X6" s="8" cm="1">
        <f t="array" ref="X6">INDEX('Summarized Modified Source Data'!$V$600:$V$743,MATCH(1,($A6=LoadFactorSeasons)*(X$1=LoadFactorHours),0),)</f>
        <v>1.3266103881838927E-4</v>
      </c>
      <c r="Y6" s="8" cm="1">
        <f t="array" ref="Y6">INDEX('Summarized Modified Source Data'!$V$600:$V$743,MATCH(1,($A6=LoadFactorSeasons)*(Y$1=LoadFactorHours),0),)</f>
        <v>1.3187217238339388E-4</v>
      </c>
    </row>
    <row r="7" spans="1:25" x14ac:dyDescent="0.25">
      <c r="A7" s="8" t="s">
        <v>81</v>
      </c>
      <c r="B7" s="8" cm="1">
        <f t="array" ref="B7">INDEX('Summarized Modified Source Data'!$V$600:$V$743,MATCH(1,($A7=LoadFactorSeasons)*(B$1=LoadFactorHours),0),)</f>
        <v>1.3628105923675697E-4</v>
      </c>
      <c r="C7" s="8" cm="1">
        <f t="array" ref="C7">INDEX('Summarized Modified Source Data'!$V$600:$V$743,MATCH(1,($A7=LoadFactorSeasons)*(C$1=LoadFactorHours),0),)</f>
        <v>1.3597866043667543E-4</v>
      </c>
      <c r="D7" s="8" cm="1">
        <f t="array" ref="D7">INDEX('Summarized Modified Source Data'!$V$600:$V$743,MATCH(1,($A7=LoadFactorSeasons)*(D$1=LoadFactorHours),0),)</f>
        <v>1.3597866043667543E-4</v>
      </c>
      <c r="E7" s="8" cm="1">
        <f t="array" ref="E7">INDEX('Summarized Modified Source Data'!$V$600:$V$743,MATCH(1,($A7=LoadFactorSeasons)*(E$1=LoadFactorHours),0),)</f>
        <v>1.3638185883678417E-4</v>
      </c>
      <c r="F7" s="8" cm="1">
        <f t="array" ref="F7">INDEX('Summarized Modified Source Data'!$V$600:$V$743,MATCH(1,($A7=LoadFactorSeasons)*(F$1=LoadFactorHours),0),)</f>
        <v>1.3749065443708323E-4</v>
      </c>
      <c r="G7" s="8" cm="1">
        <f t="array" ref="G7">INDEX('Summarized Modified Source Data'!$V$600:$V$743,MATCH(1,($A7=LoadFactorSeasons)*(G$1=LoadFactorHours),0),)</f>
        <v>1.3870024963740947E-4</v>
      </c>
      <c r="H7" s="8" cm="1">
        <f t="array" ref="H7">INDEX('Summarized Modified Source Data'!$V$600:$V$743,MATCH(1,($A7=LoadFactorSeasons)*(H$1=LoadFactorHours),0),)</f>
        <v>1.3940584683759977E-4</v>
      </c>
      <c r="I7" s="8" cm="1">
        <f t="array" ref="I7">INDEX('Summarized Modified Source Data'!$V$600:$V$743,MATCH(1,($A7=LoadFactorSeasons)*(I$1=LoadFactorHours),0),)</f>
        <v>1.3950664643762697E-4</v>
      </c>
      <c r="J7" s="8" cm="1">
        <f t="array" ref="J7">INDEX('Summarized Modified Source Data'!$V$600:$V$743,MATCH(1,($A7=LoadFactorSeasons)*(J$1=LoadFactorHours),0),)</f>
        <v>1.393050472375726E-4</v>
      </c>
      <c r="K7" s="8" cm="1">
        <f t="array" ref="K7">INDEX('Summarized Modified Source Data'!$V$600:$V$743,MATCH(1,($A7=LoadFactorSeasons)*(K$1=LoadFactorHours),0),)</f>
        <v>1.3870024963740947E-4</v>
      </c>
      <c r="L7" s="8" cm="1">
        <f t="array" ref="L7">INDEX('Summarized Modified Source Data'!$V$600:$V$743,MATCH(1,($A7=LoadFactorSeasons)*(L$1=LoadFactorHours),0),)</f>
        <v>1.3829705123730073E-4</v>
      </c>
      <c r="M7" s="8" cm="1">
        <f t="array" ref="M7">INDEX('Summarized Modified Source Data'!$V$600:$V$743,MATCH(1,($A7=LoadFactorSeasons)*(M$1=LoadFactorHours),0),)</f>
        <v>1.3809545203724634E-4</v>
      </c>
      <c r="N7" s="8" cm="1">
        <f t="array" ref="N7">INDEX('Summarized Modified Source Data'!$V$600:$V$743,MATCH(1,($A7=LoadFactorSeasons)*(N$1=LoadFactorHours),0),)</f>
        <v>1.3789385283719197E-4</v>
      </c>
      <c r="O7" s="8" cm="1">
        <f t="array" ref="O7">INDEX('Summarized Modified Source Data'!$V$600:$V$743,MATCH(1,($A7=LoadFactorSeasons)*(O$1=LoadFactorHours),0),)</f>
        <v>1.3809545203724634E-4</v>
      </c>
      <c r="P7" s="8" cm="1">
        <f t="array" ref="P7">INDEX('Summarized Modified Source Data'!$V$600:$V$743,MATCH(1,($A7=LoadFactorSeasons)*(P$1=LoadFactorHours),0),)</f>
        <v>1.3870024963740947E-4</v>
      </c>
      <c r="Q7" s="8" cm="1">
        <f t="array" ref="Q7">INDEX('Summarized Modified Source Data'!$V$600:$V$743,MATCH(1,($A7=LoadFactorSeasons)*(Q$1=LoadFactorHours),0),)</f>
        <v>1.401114440377901E-4</v>
      </c>
      <c r="R7" s="8" cm="1">
        <f t="array" ref="R7">INDEX('Summarized Modified Source Data'!$V$600:$V$743,MATCH(1,($A7=LoadFactorSeasons)*(R$1=LoadFactorHours),0),)</f>
        <v>1.4182503723825227E-4</v>
      </c>
      <c r="S7" s="8" cm="1">
        <f t="array" ref="S7">INDEX('Summarized Modified Source Data'!$V$600:$V$743,MATCH(1,($A7=LoadFactorSeasons)*(S$1=LoadFactorHours),0),)</f>
        <v>1.4202663643830664E-4</v>
      </c>
      <c r="T7" s="8" cm="1">
        <f t="array" ref="T7">INDEX('Summarized Modified Source Data'!$V$600:$V$743,MATCH(1,($A7=LoadFactorSeasons)*(T$1=LoadFactorHours),0),)</f>
        <v>1.4142183883814353E-4</v>
      </c>
      <c r="U7" s="8" cm="1">
        <f t="array" ref="U7">INDEX('Summarized Modified Source Data'!$V$600:$V$743,MATCH(1,($A7=LoadFactorSeasons)*(U$1=LoadFactorHours),0),)</f>
        <v>1.4061544203792603E-4</v>
      </c>
      <c r="V7" s="8" cm="1">
        <f t="array" ref="V7">INDEX('Summarized Modified Source Data'!$V$600:$V$743,MATCH(1,($A7=LoadFactorSeasons)*(V$1=LoadFactorHours),0),)</f>
        <v>1.3980904523770853E-4</v>
      </c>
      <c r="W7" s="8" cm="1">
        <f t="array" ref="W7">INDEX('Summarized Modified Source Data'!$V$600:$V$743,MATCH(1,($A7=LoadFactorSeasons)*(W$1=LoadFactorHours),0),)</f>
        <v>1.385994500373823E-4</v>
      </c>
      <c r="X7" s="8" cm="1">
        <f t="array" ref="X7">INDEX('Summarized Modified Source Data'!$V$600:$V$743,MATCH(1,($A7=LoadFactorSeasons)*(X$1=LoadFactorHours),0),)</f>
        <v>1.3749065443708323E-4</v>
      </c>
      <c r="Y7" s="8" cm="1">
        <f t="array" ref="Y7">INDEX('Summarized Modified Source Data'!$V$600:$V$743,MATCH(1,($A7=LoadFactorSeasons)*(Y$1=LoadFactorHours),0),)</f>
        <v>1.3668425763686573E-4</v>
      </c>
    </row>
    <row r="8" spans="1:25" x14ac:dyDescent="0.25">
      <c r="A8" s="8"/>
      <c r="B8" s="8"/>
      <c r="C8" s="8"/>
      <c r="D8" s="8"/>
      <c r="E8" s="8"/>
      <c r="F8" s="8"/>
      <c r="G8" s="8"/>
      <c r="H8" s="8"/>
      <c r="I8" s="8"/>
      <c r="J8" s="8"/>
      <c r="K8" s="8"/>
      <c r="L8" s="8"/>
      <c r="M8" s="8"/>
      <c r="N8" s="8"/>
      <c r="O8" s="8"/>
      <c r="P8" s="8"/>
      <c r="Q8" s="8"/>
      <c r="R8" s="8"/>
      <c r="S8" s="8"/>
      <c r="T8" s="8"/>
      <c r="U8" s="8"/>
      <c r="V8" s="8"/>
      <c r="W8" s="8"/>
      <c r="X8" s="8"/>
      <c r="Y8" s="8"/>
    </row>
    <row r="9" spans="1:25" x14ac:dyDescent="0.25">
      <c r="A9" s="8"/>
      <c r="B9" s="8"/>
      <c r="C9" s="8"/>
      <c r="D9" s="8"/>
      <c r="E9" s="8"/>
      <c r="F9" s="8"/>
      <c r="G9" s="8"/>
      <c r="H9" s="8"/>
      <c r="I9" s="8"/>
      <c r="J9" s="8"/>
      <c r="K9" s="8"/>
      <c r="L9" s="8"/>
      <c r="M9" s="8"/>
      <c r="N9" s="8"/>
      <c r="O9" s="8"/>
      <c r="P9" s="8"/>
      <c r="Q9" s="8"/>
      <c r="R9" s="8"/>
      <c r="S9" s="8"/>
      <c r="T9" s="8"/>
      <c r="U9" s="8"/>
      <c r="V9" s="8"/>
      <c r="W9" s="8"/>
      <c r="X9" s="8"/>
      <c r="Y9" s="8"/>
    </row>
    <row r="10" spans="1:25" x14ac:dyDescent="0.25">
      <c r="A10" s="8"/>
      <c r="B10" s="8"/>
      <c r="C10" s="8"/>
      <c r="D10" s="8"/>
      <c r="E10" s="8"/>
      <c r="F10" s="8"/>
      <c r="G10" s="8"/>
      <c r="H10" s="8"/>
      <c r="I10" s="8"/>
      <c r="J10" s="8"/>
      <c r="K10" s="8"/>
      <c r="L10" s="8"/>
      <c r="M10" s="8"/>
      <c r="N10" s="8"/>
      <c r="O10" s="8"/>
      <c r="P10" s="8"/>
      <c r="Q10" s="8"/>
      <c r="R10" s="8"/>
      <c r="S10" s="8"/>
      <c r="T10" s="8"/>
      <c r="U10" s="8"/>
      <c r="V10" s="8"/>
      <c r="W10" s="8"/>
      <c r="X10" s="8"/>
      <c r="Y10" s="8"/>
    </row>
    <row r="11" spans="1:25" x14ac:dyDescent="0.25">
      <c r="A11" s="8" t="s">
        <v>25</v>
      </c>
      <c r="B11" s="8" t="s">
        <v>34</v>
      </c>
      <c r="C11" s="8" t="s">
        <v>0</v>
      </c>
      <c r="D11" s="8" t="s">
        <v>1</v>
      </c>
      <c r="E11" s="8" t="s">
        <v>2</v>
      </c>
      <c r="F11" s="8" t="s">
        <v>3</v>
      </c>
      <c r="G11" s="8" t="s">
        <v>4</v>
      </c>
      <c r="H11" s="8" t="s">
        <v>5</v>
      </c>
      <c r="I11" s="8" t="s">
        <v>6</v>
      </c>
      <c r="J11" s="8" t="s">
        <v>7</v>
      </c>
      <c r="K11" s="8" t="s">
        <v>8</v>
      </c>
      <c r="L11" s="8" t="s">
        <v>9</v>
      </c>
      <c r="M11" s="8" t="s">
        <v>10</v>
      </c>
      <c r="N11" s="8" t="s">
        <v>11</v>
      </c>
      <c r="O11" s="8" t="s">
        <v>12</v>
      </c>
      <c r="P11" s="8" t="s">
        <v>13</v>
      </c>
      <c r="Q11" s="8" t="s">
        <v>14</v>
      </c>
      <c r="R11" s="8" t="s">
        <v>15</v>
      </c>
      <c r="S11" s="8" t="s">
        <v>16</v>
      </c>
      <c r="T11" s="8" t="s">
        <v>17</v>
      </c>
      <c r="U11" s="8" t="s">
        <v>18</v>
      </c>
      <c r="V11" s="8" t="s">
        <v>19</v>
      </c>
      <c r="W11" s="8" t="s">
        <v>20</v>
      </c>
      <c r="X11" s="8" t="s">
        <v>21</v>
      </c>
      <c r="Y11" s="8" t="s">
        <v>22</v>
      </c>
    </row>
    <row r="12" spans="1:25" x14ac:dyDescent="0.25">
      <c r="A12" s="8" t="s">
        <v>37</v>
      </c>
      <c r="B12" s="8">
        <v>8.5074862422945929E-5</v>
      </c>
      <c r="C12" s="8">
        <v>8.4959662880057713E-5</v>
      </c>
      <c r="D12" s="8">
        <v>8.4930862994335636E-5</v>
      </c>
      <c r="E12" s="8">
        <v>8.5017262651501815E-5</v>
      </c>
      <c r="F12" s="8">
        <v>8.5420461051610551E-5</v>
      </c>
      <c r="G12" s="8">
        <v>8.6054058537495733E-5</v>
      </c>
      <c r="H12" s="8">
        <v>8.6860455337713232E-5</v>
      </c>
      <c r="I12" s="8">
        <v>8.7436453052154299E-5</v>
      </c>
      <c r="J12" s="8">
        <v>8.7551652595042515E-5</v>
      </c>
      <c r="K12" s="8">
        <v>8.7350053394988133E-5</v>
      </c>
      <c r="L12" s="8">
        <v>8.7004454766323499E-5</v>
      </c>
      <c r="M12" s="8">
        <v>8.6774055680547066E-5</v>
      </c>
      <c r="N12" s="8">
        <v>8.6601256366214749E-5</v>
      </c>
      <c r="O12" s="8">
        <v>8.6543656594770648E-5</v>
      </c>
      <c r="P12" s="8">
        <v>8.6774055680547066E-5</v>
      </c>
      <c r="Q12" s="8">
        <v>8.7551652595042515E-5</v>
      </c>
      <c r="R12" s="8">
        <v>8.8473248938148217E-5</v>
      </c>
      <c r="S12" s="8">
        <v>8.8617248366758497E-5</v>
      </c>
      <c r="T12" s="8">
        <v>8.8214049966649734E-5</v>
      </c>
      <c r="U12" s="8">
        <v>8.7695652023652782E-5</v>
      </c>
      <c r="V12" s="8">
        <v>8.7148454194933765E-5</v>
      </c>
      <c r="W12" s="8">
        <v>8.6399657166160367E-5</v>
      </c>
      <c r="X12" s="8">
        <v>8.5679660023109047E-5</v>
      </c>
      <c r="Y12" s="8">
        <v>8.5247661737278233E-5</v>
      </c>
    </row>
    <row r="13" spans="1:25" x14ac:dyDescent="0.25">
      <c r="A13" s="8" t="s">
        <v>38</v>
      </c>
      <c r="B13" s="8">
        <v>1.1111747212934884E-4</v>
      </c>
      <c r="C13" s="8">
        <v>1.1096721185601638E-4</v>
      </c>
      <c r="D13" s="8">
        <v>1.1100477692434949E-4</v>
      </c>
      <c r="E13" s="8">
        <v>1.1104234199268263E-4</v>
      </c>
      <c r="F13" s="8">
        <v>1.1153068788101309E-4</v>
      </c>
      <c r="G13" s="8">
        <v>1.1246981458934091E-4</v>
      </c>
      <c r="H13" s="8">
        <v>1.1340894129766875E-4</v>
      </c>
      <c r="I13" s="8">
        <v>1.1416024266433102E-4</v>
      </c>
      <c r="J13" s="8">
        <v>1.1431050293766346E-4</v>
      </c>
      <c r="K13" s="8">
        <v>1.1408511252766477E-4</v>
      </c>
      <c r="L13" s="8">
        <v>1.1367189677600053E-4</v>
      </c>
      <c r="M13" s="8">
        <v>1.1337137622933565E-4</v>
      </c>
      <c r="N13" s="8">
        <v>1.1307085568267073E-4</v>
      </c>
      <c r="O13" s="8">
        <v>1.1307085568267073E-4</v>
      </c>
      <c r="P13" s="8">
        <v>1.1329624609266942E-4</v>
      </c>
      <c r="Q13" s="8">
        <v>1.1431050293766346E-4</v>
      </c>
      <c r="R13" s="8">
        <v>1.155125851243231E-4</v>
      </c>
      <c r="S13" s="8">
        <v>1.1570041046598865E-4</v>
      </c>
      <c r="T13" s="8">
        <v>1.1524962964599129E-4</v>
      </c>
      <c r="U13" s="8">
        <v>1.1457345841599526E-4</v>
      </c>
      <c r="V13" s="8">
        <v>1.137845919809999E-4</v>
      </c>
      <c r="W13" s="8">
        <v>1.1284546527267207E-4</v>
      </c>
      <c r="X13" s="8">
        <v>1.1186877349601109E-4</v>
      </c>
      <c r="Y13" s="8">
        <v>1.1130529747101443E-4</v>
      </c>
    </row>
    <row r="14" spans="1:25" x14ac:dyDescent="0.25">
      <c r="A14" s="8" t="s">
        <v>39</v>
      </c>
      <c r="B14" s="8">
        <v>1.1002808514768855E-4</v>
      </c>
      <c r="C14" s="8">
        <v>1.0987782487435611E-4</v>
      </c>
      <c r="D14" s="8">
        <v>1.0991538994268924E-4</v>
      </c>
      <c r="E14" s="8">
        <v>1.0999052007935546E-4</v>
      </c>
      <c r="F14" s="8">
        <v>1.1047886596768591E-4</v>
      </c>
      <c r="G14" s="8">
        <v>1.1141799267601377E-4</v>
      </c>
      <c r="H14" s="8">
        <v>1.1246981458934091E-4</v>
      </c>
      <c r="I14" s="8">
        <v>1.1322111595600317E-4</v>
      </c>
      <c r="J14" s="8">
        <v>1.1344650636600186E-4</v>
      </c>
      <c r="K14" s="8">
        <v>1.1310842075100385E-4</v>
      </c>
      <c r="L14" s="8">
        <v>1.1273277006767272E-4</v>
      </c>
      <c r="M14" s="8">
        <v>1.1239468445267469E-4</v>
      </c>
      <c r="N14" s="8">
        <v>1.1213172897434291E-4</v>
      </c>
      <c r="O14" s="8">
        <v>1.1209416390600979E-4</v>
      </c>
      <c r="P14" s="8">
        <v>1.1231955431600847E-4</v>
      </c>
      <c r="Q14" s="8">
        <v>1.1344650636600186E-4</v>
      </c>
      <c r="R14" s="8">
        <v>1.146485885526615E-4</v>
      </c>
      <c r="S14" s="8">
        <v>1.1491154403099328E-4</v>
      </c>
      <c r="T14" s="8">
        <v>1.1431050293766346E-4</v>
      </c>
      <c r="U14" s="8">
        <v>1.1359676663933432E-4</v>
      </c>
      <c r="V14" s="8">
        <v>1.1288303034100516E-4</v>
      </c>
      <c r="W14" s="8">
        <v>1.1183120842767798E-4</v>
      </c>
      <c r="X14" s="8">
        <v>1.1089208171935017E-4</v>
      </c>
      <c r="Y14" s="8">
        <v>1.1025347555768724E-4</v>
      </c>
    </row>
    <row r="15" spans="1:25" x14ac:dyDescent="0.25">
      <c r="A15" s="8" t="s">
        <v>40</v>
      </c>
      <c r="B15" s="8">
        <v>1.6956995009725768E-4</v>
      </c>
      <c r="C15" s="8">
        <v>1.6928667253277848E-4</v>
      </c>
      <c r="D15" s="8">
        <v>1.6923001701988263E-4</v>
      </c>
      <c r="E15" s="8">
        <v>1.6945663907146601E-4</v>
      </c>
      <c r="F15" s="8">
        <v>1.702498162520078E-4</v>
      </c>
      <c r="G15" s="8">
        <v>1.7160954856150807E-4</v>
      </c>
      <c r="H15" s="8">
        <v>1.7325255843548748E-4</v>
      </c>
      <c r="I15" s="8">
        <v>1.7438566869340432E-4</v>
      </c>
      <c r="J15" s="8">
        <v>1.7461229074498772E-4</v>
      </c>
      <c r="K15" s="8">
        <v>1.7421570215471683E-4</v>
      </c>
      <c r="L15" s="8">
        <v>1.7359249151286253E-4</v>
      </c>
      <c r="M15" s="8">
        <v>1.7308259189679996E-4</v>
      </c>
      <c r="N15" s="8">
        <v>1.7268600330652906E-4</v>
      </c>
      <c r="O15" s="8">
        <v>1.7257269228073739E-4</v>
      </c>
      <c r="P15" s="8">
        <v>1.7296928087100826E-4</v>
      </c>
      <c r="Q15" s="8">
        <v>1.7461229074498772E-4</v>
      </c>
      <c r="R15" s="8">
        <v>1.7642526715765469E-4</v>
      </c>
      <c r="S15" s="8">
        <v>1.7687851126082146E-4</v>
      </c>
      <c r="T15" s="8">
        <v>1.7602867856738379E-4</v>
      </c>
      <c r="U15" s="8">
        <v>1.7495222382236277E-4</v>
      </c>
      <c r="V15" s="8">
        <v>1.7381911356444593E-4</v>
      </c>
      <c r="W15" s="8">
        <v>1.7223275920336231E-4</v>
      </c>
      <c r="X15" s="8">
        <v>1.7070306035517455E-4</v>
      </c>
      <c r="Y15" s="8">
        <v>1.6990988317463278E-4</v>
      </c>
    </row>
    <row r="16" spans="1:25" x14ac:dyDescent="0.25">
      <c r="A16" t="s">
        <v>80</v>
      </c>
      <c r="B16">
        <v>1.3147773916589623E-4</v>
      </c>
      <c r="C16">
        <v>1.3134626142673032E-4</v>
      </c>
      <c r="D16">
        <v>1.3147773916589623E-4</v>
      </c>
      <c r="E16">
        <v>1.31740694644228E-4</v>
      </c>
      <c r="F16">
        <v>1.3266103881838927E-4</v>
      </c>
      <c r="G16">
        <v>1.3410729394921415E-4</v>
      </c>
      <c r="H16">
        <v>1.347646826450436E-4</v>
      </c>
      <c r="I16">
        <v>1.347646826450436E-4</v>
      </c>
      <c r="J16">
        <v>1.3463320490587772E-4</v>
      </c>
      <c r="K16">
        <v>1.3397581621004824E-4</v>
      </c>
      <c r="L16">
        <v>1.3371286073171645E-4</v>
      </c>
      <c r="M16">
        <v>1.3344990525338465E-4</v>
      </c>
      <c r="N16">
        <v>1.3331842751421877E-4</v>
      </c>
      <c r="O16">
        <v>1.3344990525338465E-4</v>
      </c>
      <c r="P16">
        <v>1.3384433847088233E-4</v>
      </c>
      <c r="Q16">
        <v>1.354220713408731E-4</v>
      </c>
      <c r="R16">
        <v>1.3713128195002976E-4</v>
      </c>
      <c r="S16">
        <v>1.3739423742836152E-4</v>
      </c>
      <c r="T16">
        <v>1.3673684873253208E-4</v>
      </c>
      <c r="U16">
        <v>1.3594798229753669E-4</v>
      </c>
      <c r="V16">
        <v>1.3515911586254131E-4</v>
      </c>
      <c r="W16">
        <v>1.3384433847088233E-4</v>
      </c>
      <c r="X16">
        <v>1.3266103881838927E-4</v>
      </c>
      <c r="Y16">
        <v>1.3187217238339388E-4</v>
      </c>
    </row>
    <row r="17" spans="1:25" x14ac:dyDescent="0.25">
      <c r="A17" t="s">
        <v>81</v>
      </c>
      <c r="B17">
        <v>1.0170679642743181E-4</v>
      </c>
      <c r="C17">
        <v>1.0150519722737743E-4</v>
      </c>
      <c r="D17">
        <v>1.0150519722737743E-4</v>
      </c>
      <c r="E17">
        <v>1.0180759602745898E-4</v>
      </c>
      <c r="F17">
        <v>1.0261399282767649E-4</v>
      </c>
      <c r="G17">
        <v>1.0352118922792117E-4</v>
      </c>
      <c r="H17">
        <v>1.0402518722805711E-4</v>
      </c>
      <c r="I17">
        <v>1.0412598682808429E-4</v>
      </c>
      <c r="J17">
        <v>1.0392438762802991E-4</v>
      </c>
      <c r="K17">
        <v>1.0352118922792117E-4</v>
      </c>
      <c r="L17">
        <v>1.0321879042783961E-4</v>
      </c>
      <c r="M17">
        <v>1.0301719122778523E-4</v>
      </c>
      <c r="N17">
        <v>1.0291639162775806E-4</v>
      </c>
      <c r="O17">
        <v>1.0301719122778523E-4</v>
      </c>
      <c r="P17">
        <v>1.0352118922792117E-4</v>
      </c>
      <c r="Q17">
        <v>1.0452918522819304E-4</v>
      </c>
      <c r="R17">
        <v>1.0583958002854647E-4</v>
      </c>
      <c r="S17">
        <v>1.0594037962857366E-4</v>
      </c>
      <c r="T17">
        <v>1.0553718122846491E-4</v>
      </c>
      <c r="U17">
        <v>1.0493238362830179E-4</v>
      </c>
      <c r="V17">
        <v>1.0432758602813866E-4</v>
      </c>
      <c r="W17">
        <v>1.0342038962789398E-4</v>
      </c>
      <c r="X17">
        <v>1.0261399282767649E-4</v>
      </c>
      <c r="Y17">
        <v>1.0200919522751337E-4</v>
      </c>
    </row>
    <row r="21" spans="1:25" x14ac:dyDescent="0.25">
      <c r="A21" s="8" t="s">
        <v>472</v>
      </c>
    </row>
    <row r="22" spans="1:25" x14ac:dyDescent="0.25">
      <c r="A22" s="8" t="s">
        <v>37</v>
      </c>
      <c r="B22" s="49">
        <f>(B12-B2)/B2</f>
        <v>-0.25366346639717019</v>
      </c>
      <c r="C22" s="49">
        <f t="shared" ref="C22:X27" si="0">(C12-C2)/C2</f>
        <v>-0.25354251012145745</v>
      </c>
      <c r="D22" s="49">
        <f t="shared" si="0"/>
        <v>-0.25360668185269564</v>
      </c>
      <c r="E22" s="49">
        <f t="shared" si="0"/>
        <v>-0.25360303413400753</v>
      </c>
      <c r="F22" s="49">
        <f t="shared" si="0"/>
        <v>-0.25364871665827898</v>
      </c>
      <c r="G22" s="49">
        <f t="shared" si="0"/>
        <v>-0.25374625374625365</v>
      </c>
      <c r="H22" s="49">
        <f t="shared" si="0"/>
        <v>-0.25383473527956457</v>
      </c>
      <c r="I22" s="49">
        <f t="shared" si="0"/>
        <v>-0.25368731563421831</v>
      </c>
      <c r="J22" s="49">
        <f t="shared" si="0"/>
        <v>-0.25380461462935699</v>
      </c>
      <c r="K22" s="49">
        <f t="shared" si="0"/>
        <v>-0.25369094488188992</v>
      </c>
      <c r="L22" s="49">
        <f t="shared" si="0"/>
        <v>-0.25388984934551745</v>
      </c>
      <c r="M22" s="49">
        <f t="shared" si="0"/>
        <v>-0.25383853392768696</v>
      </c>
      <c r="N22" s="49">
        <f t="shared" si="0"/>
        <v>-0.25366095805410777</v>
      </c>
      <c r="O22" s="49">
        <f t="shared" si="0"/>
        <v>-0.25378693816737019</v>
      </c>
      <c r="P22" s="49">
        <f t="shared" si="0"/>
        <v>-0.25365370324498393</v>
      </c>
      <c r="Q22" s="49">
        <f t="shared" si="0"/>
        <v>-0.25380461462935699</v>
      </c>
      <c r="R22" s="49">
        <f t="shared" si="0"/>
        <v>-0.25382560116589747</v>
      </c>
      <c r="S22" s="49">
        <f t="shared" si="0"/>
        <v>-0.25406060606060599</v>
      </c>
      <c r="T22" s="49">
        <f t="shared" si="0"/>
        <v>-0.25383678440925717</v>
      </c>
      <c r="U22" s="49">
        <f t="shared" si="0"/>
        <v>-0.25385934819897082</v>
      </c>
      <c r="V22" s="49">
        <f t="shared" si="0"/>
        <v>-0.25376078914919842</v>
      </c>
      <c r="W22" s="49">
        <f t="shared" si="0"/>
        <v>-0.25373134328358221</v>
      </c>
      <c r="X22" s="49">
        <f t="shared" si="0"/>
        <v>-0.25363773206221774</v>
      </c>
      <c r="Y22" s="49">
        <f>(Y12-Y2)/Y2</f>
        <v>-0.25365607665153805</v>
      </c>
    </row>
    <row r="23" spans="1:25" x14ac:dyDescent="0.25">
      <c r="A23" s="8" t="s">
        <v>38</v>
      </c>
      <c r="B23" s="49">
        <f t="shared" ref="B23:Q27" si="1">(B13-B3)/B3</f>
        <v>0</v>
      </c>
      <c r="C23" s="49">
        <f t="shared" si="1"/>
        <v>0</v>
      </c>
      <c r="D23" s="49">
        <f t="shared" si="1"/>
        <v>0</v>
      </c>
      <c r="E23" s="49">
        <f t="shared" si="1"/>
        <v>0</v>
      </c>
      <c r="F23" s="49">
        <f t="shared" si="1"/>
        <v>0</v>
      </c>
      <c r="G23" s="49">
        <f t="shared" si="1"/>
        <v>0</v>
      </c>
      <c r="H23" s="49">
        <f t="shared" si="1"/>
        <v>0</v>
      </c>
      <c r="I23" s="49">
        <f t="shared" si="1"/>
        <v>0</v>
      </c>
      <c r="J23" s="49">
        <f t="shared" si="1"/>
        <v>0</v>
      </c>
      <c r="K23" s="49">
        <f t="shared" si="1"/>
        <v>0</v>
      </c>
      <c r="L23" s="49">
        <f t="shared" si="1"/>
        <v>0</v>
      </c>
      <c r="M23" s="49">
        <f t="shared" si="1"/>
        <v>0</v>
      </c>
      <c r="N23" s="49">
        <f t="shared" si="1"/>
        <v>0</v>
      </c>
      <c r="O23" s="49">
        <f t="shared" si="1"/>
        <v>0</v>
      </c>
      <c r="P23" s="49">
        <f t="shared" si="1"/>
        <v>0</v>
      </c>
      <c r="Q23" s="49">
        <f t="shared" si="1"/>
        <v>0</v>
      </c>
      <c r="R23" s="49">
        <f t="shared" si="0"/>
        <v>0</v>
      </c>
      <c r="S23" s="49">
        <f t="shared" si="0"/>
        <v>0</v>
      </c>
      <c r="T23" s="49">
        <f t="shared" si="0"/>
        <v>0</v>
      </c>
      <c r="U23" s="49">
        <f t="shared" si="0"/>
        <v>0</v>
      </c>
      <c r="V23" s="49">
        <f t="shared" si="0"/>
        <v>0</v>
      </c>
      <c r="W23" s="49">
        <f t="shared" si="0"/>
        <v>0</v>
      </c>
      <c r="X23" s="49">
        <f t="shared" si="0"/>
        <v>0</v>
      </c>
      <c r="Y23" s="49">
        <f t="shared" ref="Y23:Y27" si="2">(Y13-Y3)/Y3</f>
        <v>0</v>
      </c>
    </row>
    <row r="24" spans="1:25" x14ac:dyDescent="0.25">
      <c r="A24" s="8" t="s">
        <v>39</v>
      </c>
      <c r="B24" s="49">
        <f t="shared" si="1"/>
        <v>0</v>
      </c>
      <c r="C24" s="49">
        <f t="shared" si="0"/>
        <v>0</v>
      </c>
      <c r="D24" s="49">
        <f t="shared" si="0"/>
        <v>0</v>
      </c>
      <c r="E24" s="49">
        <f t="shared" si="0"/>
        <v>0</v>
      </c>
      <c r="F24" s="49">
        <f t="shared" si="0"/>
        <v>0</v>
      </c>
      <c r="G24" s="49">
        <f t="shared" si="0"/>
        <v>0</v>
      </c>
      <c r="H24" s="49">
        <f t="shared" si="0"/>
        <v>0</v>
      </c>
      <c r="I24" s="49">
        <f t="shared" si="0"/>
        <v>0</v>
      </c>
      <c r="J24" s="49">
        <f t="shared" si="0"/>
        <v>0</v>
      </c>
      <c r="K24" s="49">
        <f t="shared" si="0"/>
        <v>0</v>
      </c>
      <c r="L24" s="49">
        <f t="shared" si="0"/>
        <v>0</v>
      </c>
      <c r="M24" s="49">
        <f t="shared" si="0"/>
        <v>0</v>
      </c>
      <c r="N24" s="49">
        <f t="shared" si="0"/>
        <v>0</v>
      </c>
      <c r="O24" s="49">
        <f t="shared" si="0"/>
        <v>0</v>
      </c>
      <c r="P24" s="49">
        <f t="shared" si="0"/>
        <v>0</v>
      </c>
      <c r="Q24" s="49">
        <f t="shared" si="0"/>
        <v>0</v>
      </c>
      <c r="R24" s="49">
        <f t="shared" si="0"/>
        <v>0</v>
      </c>
      <c r="S24" s="49">
        <f t="shared" si="0"/>
        <v>0</v>
      </c>
      <c r="T24" s="49">
        <f t="shared" si="0"/>
        <v>0</v>
      </c>
      <c r="U24" s="49">
        <f t="shared" si="0"/>
        <v>0</v>
      </c>
      <c r="V24" s="49">
        <f t="shared" si="0"/>
        <v>0</v>
      </c>
      <c r="W24" s="49">
        <f t="shared" si="0"/>
        <v>0</v>
      </c>
      <c r="X24" s="49">
        <f t="shared" si="0"/>
        <v>0</v>
      </c>
      <c r="Y24" s="49">
        <f t="shared" si="2"/>
        <v>0</v>
      </c>
    </row>
    <row r="25" spans="1:25" x14ac:dyDescent="0.25">
      <c r="A25" s="8" t="s">
        <v>40</v>
      </c>
      <c r="B25" s="49">
        <f t="shared" si="1"/>
        <v>0.50477626948215182</v>
      </c>
      <c r="C25" s="49">
        <f t="shared" si="0"/>
        <v>0.50453172205438068</v>
      </c>
      <c r="D25" s="49">
        <f t="shared" si="0"/>
        <v>0.50478589420654907</v>
      </c>
      <c r="E25" s="49">
        <f t="shared" si="0"/>
        <v>0.50452716297786715</v>
      </c>
      <c r="F25" s="49">
        <f t="shared" si="0"/>
        <v>0.50475713570355507</v>
      </c>
      <c r="G25" s="49">
        <f t="shared" si="0"/>
        <v>0.50471932439145573</v>
      </c>
      <c r="H25" s="49">
        <f t="shared" si="0"/>
        <v>0.50492125984251979</v>
      </c>
      <c r="I25" s="49">
        <f t="shared" si="0"/>
        <v>0.50439882697947191</v>
      </c>
      <c r="J25" s="49">
        <f t="shared" si="0"/>
        <v>0.50488281250000022</v>
      </c>
      <c r="K25" s="49">
        <f t="shared" si="0"/>
        <v>0.5044031311154602</v>
      </c>
      <c r="L25" s="49">
        <f t="shared" si="0"/>
        <v>0.50491159135559915</v>
      </c>
      <c r="M25" s="49">
        <f t="shared" si="0"/>
        <v>0.50492610837438456</v>
      </c>
      <c r="N25" s="49">
        <f t="shared" si="0"/>
        <v>0.5044422507403753</v>
      </c>
      <c r="O25" s="49">
        <f t="shared" si="0"/>
        <v>0.50494071146245068</v>
      </c>
      <c r="P25" s="49">
        <f t="shared" si="0"/>
        <v>0.50468210941350389</v>
      </c>
      <c r="Q25" s="49">
        <f t="shared" si="0"/>
        <v>0.50488281250000022</v>
      </c>
      <c r="R25" s="49">
        <f t="shared" si="0"/>
        <v>0.50507491541807648</v>
      </c>
      <c r="S25" s="49">
        <f t="shared" si="0"/>
        <v>0.50530376084860196</v>
      </c>
      <c r="T25" s="49">
        <f t="shared" si="0"/>
        <v>0.5046004842615015</v>
      </c>
      <c r="U25" s="49">
        <f t="shared" si="0"/>
        <v>0.50487329434697847</v>
      </c>
      <c r="V25" s="49">
        <f t="shared" si="0"/>
        <v>0.50465914664051015</v>
      </c>
      <c r="W25" s="49">
        <f t="shared" si="0"/>
        <v>0.50495049504950495</v>
      </c>
      <c r="X25" s="49">
        <f t="shared" si="0"/>
        <v>0.50499500499500483</v>
      </c>
      <c r="Y25" s="49">
        <f t="shared" si="2"/>
        <v>0.50476668339187192</v>
      </c>
    </row>
    <row r="26" spans="1:25" x14ac:dyDescent="0.25">
      <c r="A26" s="8" t="s">
        <v>80</v>
      </c>
      <c r="B26" s="49">
        <f t="shared" si="1"/>
        <v>0</v>
      </c>
      <c r="C26" s="49">
        <f t="shared" si="0"/>
        <v>0</v>
      </c>
      <c r="D26" s="49">
        <f t="shared" si="0"/>
        <v>0</v>
      </c>
      <c r="E26" s="49">
        <f t="shared" si="0"/>
        <v>0</v>
      </c>
      <c r="F26" s="49">
        <f t="shared" si="0"/>
        <v>0</v>
      </c>
      <c r="G26" s="49">
        <f t="shared" si="0"/>
        <v>0</v>
      </c>
      <c r="H26" s="49">
        <f t="shared" si="0"/>
        <v>0</v>
      </c>
      <c r="I26" s="49">
        <f t="shared" si="0"/>
        <v>0</v>
      </c>
      <c r="J26" s="49">
        <f t="shared" si="0"/>
        <v>0</v>
      </c>
      <c r="K26" s="49">
        <f t="shared" si="0"/>
        <v>0</v>
      </c>
      <c r="L26" s="49">
        <f t="shared" si="0"/>
        <v>0</v>
      </c>
      <c r="M26" s="49">
        <f t="shared" si="0"/>
        <v>0</v>
      </c>
      <c r="N26" s="49">
        <f t="shared" si="0"/>
        <v>0</v>
      </c>
      <c r="O26" s="49">
        <f t="shared" si="0"/>
        <v>0</v>
      </c>
      <c r="P26" s="49">
        <f t="shared" si="0"/>
        <v>0</v>
      </c>
      <c r="Q26" s="49">
        <f t="shared" si="0"/>
        <v>0</v>
      </c>
      <c r="R26" s="49">
        <f t="shared" si="0"/>
        <v>0</v>
      </c>
      <c r="S26" s="49">
        <f t="shared" si="0"/>
        <v>0</v>
      </c>
      <c r="T26" s="49">
        <f t="shared" si="0"/>
        <v>0</v>
      </c>
      <c r="U26" s="49">
        <f t="shared" si="0"/>
        <v>0</v>
      </c>
      <c r="V26" s="49">
        <f t="shared" si="0"/>
        <v>0</v>
      </c>
      <c r="W26" s="49">
        <f t="shared" si="0"/>
        <v>0</v>
      </c>
      <c r="X26" s="49">
        <f t="shared" si="0"/>
        <v>0</v>
      </c>
      <c r="Y26" s="49">
        <f t="shared" si="2"/>
        <v>0</v>
      </c>
    </row>
    <row r="27" spans="1:25" x14ac:dyDescent="0.25">
      <c r="A27" s="8" t="s">
        <v>81</v>
      </c>
      <c r="B27" s="49">
        <f t="shared" si="1"/>
        <v>-0.25369822485207089</v>
      </c>
      <c r="C27" s="49">
        <f t="shared" si="0"/>
        <v>-0.25352112676056343</v>
      </c>
      <c r="D27" s="49">
        <f t="shared" si="0"/>
        <v>-0.25352112676056343</v>
      </c>
      <c r="E27" s="49">
        <f t="shared" si="0"/>
        <v>-0.25351071692535115</v>
      </c>
      <c r="F27" s="49">
        <f t="shared" si="0"/>
        <v>-0.25366568914956011</v>
      </c>
      <c r="G27" s="49">
        <f t="shared" si="0"/>
        <v>-0.25363372093023251</v>
      </c>
      <c r="H27" s="49">
        <f t="shared" si="0"/>
        <v>-0.2537960954446854</v>
      </c>
      <c r="I27" s="49">
        <f t="shared" si="0"/>
        <v>-0.25361271676300579</v>
      </c>
      <c r="J27" s="49">
        <f t="shared" si="0"/>
        <v>-0.25397973950795955</v>
      </c>
      <c r="K27" s="49">
        <f t="shared" si="0"/>
        <v>-0.25363372093023251</v>
      </c>
      <c r="L27" s="49">
        <f t="shared" si="0"/>
        <v>-0.25364431486880468</v>
      </c>
      <c r="M27" s="49">
        <f t="shared" si="0"/>
        <v>-0.25401459854014596</v>
      </c>
      <c r="N27" s="49">
        <f t="shared" si="0"/>
        <v>-0.2536549707602338</v>
      </c>
      <c r="O27" s="49">
        <f t="shared" si="0"/>
        <v>-0.25401459854014596</v>
      </c>
      <c r="P27" s="49">
        <f t="shared" si="0"/>
        <v>-0.25363372093023251</v>
      </c>
      <c r="Q27" s="49">
        <f t="shared" si="0"/>
        <v>-0.25395683453237411</v>
      </c>
      <c r="R27" s="49">
        <f t="shared" si="0"/>
        <v>-0.25373134328358204</v>
      </c>
      <c r="S27" s="49">
        <f t="shared" si="0"/>
        <v>-0.25408090844570613</v>
      </c>
      <c r="T27" s="49">
        <f t="shared" si="0"/>
        <v>-0.25374198146828231</v>
      </c>
      <c r="U27" s="49">
        <f t="shared" si="0"/>
        <v>-0.25376344086021507</v>
      </c>
      <c r="V27" s="49">
        <f t="shared" si="0"/>
        <v>-0.25378514780100941</v>
      </c>
      <c r="W27" s="49">
        <f t="shared" si="0"/>
        <v>-0.25381818181818194</v>
      </c>
      <c r="X27" s="49">
        <f t="shared" si="0"/>
        <v>-0.25366568914956011</v>
      </c>
      <c r="Y27" s="49">
        <f t="shared" si="2"/>
        <v>-0.2536873156342182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EAA8C-641F-4A79-9199-91495F9050DA}">
  <sheetPr codeName="Sheet28">
    <tabColor rgb="FF002060"/>
  </sheetPr>
  <dimension ref="A1:Y15"/>
  <sheetViews>
    <sheetView workbookViewId="0">
      <selection activeCell="A21" sqref="A21:XFD29"/>
    </sheetView>
  </sheetViews>
  <sheetFormatPr defaultRowHeight="15" x14ac:dyDescent="0.25"/>
  <cols>
    <col min="1" max="1" width="28.42578125" customWidth="1"/>
    <col min="2" max="2" width="10.5703125" bestFit="1" customWidth="1"/>
    <col min="3" max="25" width="10.42578125" bestFit="1" customWidth="1"/>
  </cols>
  <sheetData>
    <row r="1" spans="1:25" x14ac:dyDescent="0.25">
      <c r="A1" s="6" t="s">
        <v>25</v>
      </c>
      <c r="B1" s="7" t="s">
        <v>34</v>
      </c>
      <c r="C1" s="7" t="s">
        <v>0</v>
      </c>
      <c r="D1" s="7" t="s">
        <v>1</v>
      </c>
      <c r="E1" s="7" t="s">
        <v>2</v>
      </c>
      <c r="F1" s="7" t="s">
        <v>3</v>
      </c>
      <c r="G1" s="7" t="s">
        <v>4</v>
      </c>
      <c r="H1" s="7" t="s">
        <v>5</v>
      </c>
      <c r="I1" s="7" t="s">
        <v>6</v>
      </c>
      <c r="J1" s="7" t="s">
        <v>7</v>
      </c>
      <c r="K1" s="7" t="s">
        <v>8</v>
      </c>
      <c r="L1" s="7" t="s">
        <v>9</v>
      </c>
      <c r="M1" s="7" t="s">
        <v>10</v>
      </c>
      <c r="N1" s="7" t="s">
        <v>11</v>
      </c>
      <c r="O1" s="7" t="s">
        <v>12</v>
      </c>
      <c r="P1" s="7" t="s">
        <v>13</v>
      </c>
      <c r="Q1" s="7" t="s">
        <v>14</v>
      </c>
      <c r="R1" s="7" t="s">
        <v>15</v>
      </c>
      <c r="S1" s="7" t="s">
        <v>16</v>
      </c>
      <c r="T1" s="7" t="s">
        <v>17</v>
      </c>
      <c r="U1" s="7" t="s">
        <v>18</v>
      </c>
      <c r="V1" s="7" t="s">
        <v>19</v>
      </c>
      <c r="W1" s="7" t="s">
        <v>20</v>
      </c>
      <c r="X1" s="7" t="s">
        <v>21</v>
      </c>
      <c r="Y1" s="7" t="s">
        <v>22</v>
      </c>
    </row>
    <row r="2" spans="1:25" x14ac:dyDescent="0.25">
      <c r="A2" s="8" t="s">
        <v>37</v>
      </c>
      <c r="B2" s="8" cm="1">
        <f t="array" ref="B2">INDEX('Summarized Modified Source Data'!$W$600:$W$743,MATCH(1,($A2=LoadFactorSeasons)*(B$1=LoadFactorHours),0),)</f>
        <v>0</v>
      </c>
      <c r="C2" s="8" cm="1">
        <f t="array" ref="C2">INDEX('Summarized Modified Source Data'!$W$600:$W$743,MATCH(1,($A2=LoadFactorSeasons)*(C$1=LoadFactorHours),0),)</f>
        <v>0</v>
      </c>
      <c r="D2" s="8" cm="1">
        <f t="array" ref="D2">INDEX('Summarized Modified Source Data'!$W$600:$W$743,MATCH(1,($A2=LoadFactorSeasons)*(D$1=LoadFactorHours),0),)</f>
        <v>0</v>
      </c>
      <c r="E2" s="8" cm="1">
        <f t="array" ref="E2">INDEX('Summarized Modified Source Data'!$W$600:$W$743,MATCH(1,($A2=LoadFactorSeasons)*(E$1=LoadFactorHours),0),)</f>
        <v>0</v>
      </c>
      <c r="F2" s="8" cm="1">
        <f t="array" ref="F2">INDEX('Summarized Modified Source Data'!$W$600:$W$743,MATCH(1,($A2=LoadFactorSeasons)*(F$1=LoadFactorHours),0),)</f>
        <v>0</v>
      </c>
      <c r="G2" s="8" cm="1">
        <f t="array" ref="G2">INDEX('Summarized Modified Source Data'!$W$600:$W$743,MATCH(1,($A2=LoadFactorSeasons)*(G$1=LoadFactorHours),0),)</f>
        <v>0</v>
      </c>
      <c r="H2" s="8" cm="1">
        <f t="array" ref="H2">INDEX('Summarized Modified Source Data'!$W$600:$W$743,MATCH(1,($A2=LoadFactorSeasons)*(H$1=LoadFactorHours),0),)</f>
        <v>0</v>
      </c>
      <c r="I2" s="8" cm="1">
        <f t="array" ref="I2">INDEX('Summarized Modified Source Data'!$W$600:$W$743,MATCH(1,($A2=LoadFactorSeasons)*(I$1=LoadFactorHours),0),)</f>
        <v>0</v>
      </c>
      <c r="J2" s="8" cm="1">
        <f t="array" ref="J2">INDEX('Summarized Modified Source Data'!$W$600:$W$743,MATCH(1,($A2=LoadFactorSeasons)*(J$1=LoadFactorHours),0),)</f>
        <v>0</v>
      </c>
      <c r="K2" s="8" cm="1">
        <f t="array" ref="K2">INDEX('Summarized Modified Source Data'!$W$600:$W$743,MATCH(1,($A2=LoadFactorSeasons)*(K$1=LoadFactorHours),0),)</f>
        <v>0</v>
      </c>
      <c r="L2" s="8" cm="1">
        <f t="array" ref="L2">INDEX('Summarized Modified Source Data'!$W$600:$W$743,MATCH(1,($A2=LoadFactorSeasons)*(L$1=LoadFactorHours),0),)</f>
        <v>0</v>
      </c>
      <c r="M2" s="8" cm="1">
        <f t="array" ref="M2">INDEX('Summarized Modified Source Data'!$W$600:$W$743,MATCH(1,($A2=LoadFactorSeasons)*(M$1=LoadFactorHours),0),)</f>
        <v>0</v>
      </c>
      <c r="N2" s="8" cm="1">
        <f t="array" ref="N2">INDEX('Summarized Modified Source Data'!$W$600:$W$743,MATCH(1,($A2=LoadFactorSeasons)*(N$1=LoadFactorHours),0),)</f>
        <v>0</v>
      </c>
      <c r="O2" s="8" cm="1">
        <f t="array" ref="O2">INDEX('Summarized Modified Source Data'!$W$600:$W$743,MATCH(1,($A2=LoadFactorSeasons)*(O$1=LoadFactorHours),0),)</f>
        <v>0</v>
      </c>
      <c r="P2" s="8" cm="1">
        <f t="array" ref="P2">INDEX('Summarized Modified Source Data'!$W$600:$W$743,MATCH(1,($A2=LoadFactorSeasons)*(P$1=LoadFactorHours),0),)</f>
        <v>0</v>
      </c>
      <c r="Q2" s="8" cm="1">
        <f t="array" ref="Q2">INDEX('Summarized Modified Source Data'!$W$600:$W$743,MATCH(1,($A2=LoadFactorSeasons)*(Q$1=LoadFactorHours),0),)</f>
        <v>0</v>
      </c>
      <c r="R2" s="8" cm="1">
        <f t="array" ref="R2">INDEX('Summarized Modified Source Data'!$W$600:$W$743,MATCH(1,($A2=LoadFactorSeasons)*(R$1=LoadFactorHours),0),)</f>
        <v>0</v>
      </c>
      <c r="S2" s="8" cm="1">
        <f t="array" ref="S2">INDEX('Summarized Modified Source Data'!$W$600:$W$743,MATCH(1,($A2=LoadFactorSeasons)*(S$1=LoadFactorHours),0),)</f>
        <v>0</v>
      </c>
      <c r="T2" s="8" cm="1">
        <f t="array" ref="T2">INDEX('Summarized Modified Source Data'!$W$600:$W$743,MATCH(1,($A2=LoadFactorSeasons)*(T$1=LoadFactorHours),0),)</f>
        <v>0</v>
      </c>
      <c r="U2" s="8" cm="1">
        <f t="array" ref="U2">INDEX('Summarized Modified Source Data'!$W$600:$W$743,MATCH(1,($A2=LoadFactorSeasons)*(U$1=LoadFactorHours),0),)</f>
        <v>0</v>
      </c>
      <c r="V2" s="8" cm="1">
        <f t="array" ref="V2">INDEX('Summarized Modified Source Data'!$W$600:$W$743,MATCH(1,($A2=LoadFactorSeasons)*(V$1=LoadFactorHours),0),)</f>
        <v>0</v>
      </c>
      <c r="W2" s="8" cm="1">
        <f t="array" ref="W2">INDEX('Summarized Modified Source Data'!$W$600:$W$743,MATCH(1,($A2=LoadFactorSeasons)*(W$1=LoadFactorHours),0),)</f>
        <v>0</v>
      </c>
      <c r="X2" s="8" cm="1">
        <f t="array" ref="X2">INDEX('Summarized Modified Source Data'!$W$600:$W$743,MATCH(1,($A2=LoadFactorSeasons)*(X$1=LoadFactorHours),0),)</f>
        <v>0</v>
      </c>
      <c r="Y2" s="8" cm="1">
        <f t="array" ref="Y2">INDEX('Summarized Modified Source Data'!$W$600:$W$743,MATCH(1,($A2=LoadFactorSeasons)*(Y$1=LoadFactorHours),0),)</f>
        <v>0</v>
      </c>
    </row>
    <row r="3" spans="1:25" x14ac:dyDescent="0.25">
      <c r="A3" s="8" t="s">
        <v>38</v>
      </c>
      <c r="B3" s="8" cm="1">
        <f t="array" ref="B3">INDEX('Summarized Modified Source Data'!$W$600:$W$743,MATCH(1,($A3=LoadFactorSeasons)*(B$1=LoadFactorHours),0),)</f>
        <v>0</v>
      </c>
      <c r="C3" s="8" cm="1">
        <f t="array" ref="C3">INDEX('Summarized Modified Source Data'!$W$600:$W$743,MATCH(1,($A3=LoadFactorSeasons)*(C$1=LoadFactorHours),0),)</f>
        <v>0</v>
      </c>
      <c r="D3" s="8" cm="1">
        <f t="array" ref="D3">INDEX('Summarized Modified Source Data'!$W$600:$W$743,MATCH(1,($A3=LoadFactorSeasons)*(D$1=LoadFactorHours),0),)</f>
        <v>0</v>
      </c>
      <c r="E3" s="8" cm="1">
        <f t="array" ref="E3">INDEX('Summarized Modified Source Data'!$W$600:$W$743,MATCH(1,($A3=LoadFactorSeasons)*(E$1=LoadFactorHours),0),)</f>
        <v>0</v>
      </c>
      <c r="F3" s="8" cm="1">
        <f t="array" ref="F3">INDEX('Summarized Modified Source Data'!$W$600:$W$743,MATCH(1,($A3=LoadFactorSeasons)*(F$1=LoadFactorHours),0),)</f>
        <v>0</v>
      </c>
      <c r="G3" s="8" cm="1">
        <f t="array" ref="G3">INDEX('Summarized Modified Source Data'!$W$600:$W$743,MATCH(1,($A3=LoadFactorSeasons)*(G$1=LoadFactorHours),0),)</f>
        <v>0</v>
      </c>
      <c r="H3" s="8" cm="1">
        <f t="array" ref="H3">INDEX('Summarized Modified Source Data'!$W$600:$W$743,MATCH(1,($A3=LoadFactorSeasons)*(H$1=LoadFactorHours),0),)</f>
        <v>0</v>
      </c>
      <c r="I3" s="8" cm="1">
        <f t="array" ref="I3">INDEX('Summarized Modified Source Data'!$W$600:$W$743,MATCH(1,($A3=LoadFactorSeasons)*(I$1=LoadFactorHours),0),)</f>
        <v>0</v>
      </c>
      <c r="J3" s="8" cm="1">
        <f t="array" ref="J3">INDEX('Summarized Modified Source Data'!$W$600:$W$743,MATCH(1,($A3=LoadFactorSeasons)*(J$1=LoadFactorHours),0),)</f>
        <v>0</v>
      </c>
      <c r="K3" s="8" cm="1">
        <f t="array" ref="K3">INDEX('Summarized Modified Source Data'!$W$600:$W$743,MATCH(1,($A3=LoadFactorSeasons)*(K$1=LoadFactorHours),0),)</f>
        <v>0</v>
      </c>
      <c r="L3" s="8" cm="1">
        <f t="array" ref="L3">INDEX('Summarized Modified Source Data'!$W$600:$W$743,MATCH(1,($A3=LoadFactorSeasons)*(L$1=LoadFactorHours),0),)</f>
        <v>0</v>
      </c>
      <c r="M3" s="8" cm="1">
        <f t="array" ref="M3">INDEX('Summarized Modified Source Data'!$W$600:$W$743,MATCH(1,($A3=LoadFactorSeasons)*(M$1=LoadFactorHours),0),)</f>
        <v>0</v>
      </c>
      <c r="N3" s="8" cm="1">
        <f t="array" ref="N3">INDEX('Summarized Modified Source Data'!$W$600:$W$743,MATCH(1,($A3=LoadFactorSeasons)*(N$1=LoadFactorHours),0),)</f>
        <v>0</v>
      </c>
      <c r="O3" s="8" cm="1">
        <f t="array" ref="O3">INDEX('Summarized Modified Source Data'!$W$600:$W$743,MATCH(1,($A3=LoadFactorSeasons)*(O$1=LoadFactorHours),0),)</f>
        <v>0</v>
      </c>
      <c r="P3" s="8" cm="1">
        <f t="array" ref="P3">INDEX('Summarized Modified Source Data'!$W$600:$W$743,MATCH(1,($A3=LoadFactorSeasons)*(P$1=LoadFactorHours),0),)</f>
        <v>0</v>
      </c>
      <c r="Q3" s="8" cm="1">
        <f t="array" ref="Q3">INDEX('Summarized Modified Source Data'!$W$600:$W$743,MATCH(1,($A3=LoadFactorSeasons)*(Q$1=LoadFactorHours),0),)</f>
        <v>0</v>
      </c>
      <c r="R3" s="8" cm="1">
        <f t="array" ref="R3">INDEX('Summarized Modified Source Data'!$W$600:$W$743,MATCH(1,($A3=LoadFactorSeasons)*(R$1=LoadFactorHours),0),)</f>
        <v>0</v>
      </c>
      <c r="S3" s="8" cm="1">
        <f t="array" ref="S3">INDEX('Summarized Modified Source Data'!$W$600:$W$743,MATCH(1,($A3=LoadFactorSeasons)*(S$1=LoadFactorHours),0),)</f>
        <v>0</v>
      </c>
      <c r="T3" s="8" cm="1">
        <f t="array" ref="T3">INDEX('Summarized Modified Source Data'!$W$600:$W$743,MATCH(1,($A3=LoadFactorSeasons)*(T$1=LoadFactorHours),0),)</f>
        <v>0</v>
      </c>
      <c r="U3" s="8" cm="1">
        <f t="array" ref="U3">INDEX('Summarized Modified Source Data'!$W$600:$W$743,MATCH(1,($A3=LoadFactorSeasons)*(U$1=LoadFactorHours),0),)</f>
        <v>0</v>
      </c>
      <c r="V3" s="8" cm="1">
        <f t="array" ref="V3">INDEX('Summarized Modified Source Data'!$W$600:$W$743,MATCH(1,($A3=LoadFactorSeasons)*(V$1=LoadFactorHours),0),)</f>
        <v>0</v>
      </c>
      <c r="W3" s="8" cm="1">
        <f t="array" ref="W3">INDEX('Summarized Modified Source Data'!$W$600:$W$743,MATCH(1,($A3=LoadFactorSeasons)*(W$1=LoadFactorHours),0),)</f>
        <v>0</v>
      </c>
      <c r="X3" s="8" cm="1">
        <f t="array" ref="X3">INDEX('Summarized Modified Source Data'!$W$600:$W$743,MATCH(1,($A3=LoadFactorSeasons)*(X$1=LoadFactorHours),0),)</f>
        <v>0</v>
      </c>
      <c r="Y3" s="8" cm="1">
        <f t="array" ref="Y3">INDEX('Summarized Modified Source Data'!$W$600:$W$743,MATCH(1,($A3=LoadFactorSeasons)*(Y$1=LoadFactorHours),0),)</f>
        <v>0</v>
      </c>
    </row>
    <row r="4" spans="1:25" x14ac:dyDescent="0.25">
      <c r="A4" s="8" t="s">
        <v>39</v>
      </c>
      <c r="B4" s="8" cm="1">
        <f t="array" ref="B4">INDEX('Summarized Modified Source Data'!$W$600:$W$743,MATCH(1,($A4=LoadFactorSeasons)*(B$1=LoadFactorHours),0),)</f>
        <v>0</v>
      </c>
      <c r="C4" s="8" cm="1">
        <f t="array" ref="C4">INDEX('Summarized Modified Source Data'!$W$600:$W$743,MATCH(1,($A4=LoadFactorSeasons)*(C$1=LoadFactorHours),0),)</f>
        <v>0</v>
      </c>
      <c r="D4" s="8" cm="1">
        <f t="array" ref="D4">INDEX('Summarized Modified Source Data'!$W$600:$W$743,MATCH(1,($A4=LoadFactorSeasons)*(D$1=LoadFactorHours),0),)</f>
        <v>0</v>
      </c>
      <c r="E4" s="8" cm="1">
        <f t="array" ref="E4">INDEX('Summarized Modified Source Data'!$W$600:$W$743,MATCH(1,($A4=LoadFactorSeasons)*(E$1=LoadFactorHours),0),)</f>
        <v>0</v>
      </c>
      <c r="F4" s="8" cm="1">
        <f t="array" ref="F4">INDEX('Summarized Modified Source Data'!$W$600:$W$743,MATCH(1,($A4=LoadFactorSeasons)*(F$1=LoadFactorHours),0),)</f>
        <v>0</v>
      </c>
      <c r="G4" s="8" cm="1">
        <f t="array" ref="G4">INDEX('Summarized Modified Source Data'!$W$600:$W$743,MATCH(1,($A4=LoadFactorSeasons)*(G$1=LoadFactorHours),0),)</f>
        <v>0</v>
      </c>
      <c r="H4" s="8" cm="1">
        <f t="array" ref="H4">INDEX('Summarized Modified Source Data'!$W$600:$W$743,MATCH(1,($A4=LoadFactorSeasons)*(H$1=LoadFactorHours),0),)</f>
        <v>0</v>
      </c>
      <c r="I4" s="8" cm="1">
        <f t="array" ref="I4">INDEX('Summarized Modified Source Data'!$W$600:$W$743,MATCH(1,($A4=LoadFactorSeasons)*(I$1=LoadFactorHours),0),)</f>
        <v>0</v>
      </c>
      <c r="J4" s="8" cm="1">
        <f t="array" ref="J4">INDEX('Summarized Modified Source Data'!$W$600:$W$743,MATCH(1,($A4=LoadFactorSeasons)*(J$1=LoadFactorHours),0),)</f>
        <v>0</v>
      </c>
      <c r="K4" s="8" cm="1">
        <f t="array" ref="K4">INDEX('Summarized Modified Source Data'!$W$600:$W$743,MATCH(1,($A4=LoadFactorSeasons)*(K$1=LoadFactorHours),0),)</f>
        <v>0</v>
      </c>
      <c r="L4" s="8" cm="1">
        <f t="array" ref="L4">INDEX('Summarized Modified Source Data'!$W$600:$W$743,MATCH(1,($A4=LoadFactorSeasons)*(L$1=LoadFactorHours),0),)</f>
        <v>0</v>
      </c>
      <c r="M4" s="8" cm="1">
        <f t="array" ref="M4">INDEX('Summarized Modified Source Data'!$W$600:$W$743,MATCH(1,($A4=LoadFactorSeasons)*(M$1=LoadFactorHours),0),)</f>
        <v>0</v>
      </c>
      <c r="N4" s="8" cm="1">
        <f t="array" ref="N4">INDEX('Summarized Modified Source Data'!$W$600:$W$743,MATCH(1,($A4=LoadFactorSeasons)*(N$1=LoadFactorHours),0),)</f>
        <v>0</v>
      </c>
      <c r="O4" s="8" cm="1">
        <f t="array" ref="O4">INDEX('Summarized Modified Source Data'!$W$600:$W$743,MATCH(1,($A4=LoadFactorSeasons)*(O$1=LoadFactorHours),0),)</f>
        <v>0</v>
      </c>
      <c r="P4" s="8" cm="1">
        <f t="array" ref="P4">INDEX('Summarized Modified Source Data'!$W$600:$W$743,MATCH(1,($A4=LoadFactorSeasons)*(P$1=LoadFactorHours),0),)</f>
        <v>0</v>
      </c>
      <c r="Q4" s="8" cm="1">
        <f t="array" ref="Q4">INDEX('Summarized Modified Source Data'!$W$600:$W$743,MATCH(1,($A4=LoadFactorSeasons)*(Q$1=LoadFactorHours),0),)</f>
        <v>0</v>
      </c>
      <c r="R4" s="8" cm="1">
        <f t="array" ref="R4">INDEX('Summarized Modified Source Data'!$W$600:$W$743,MATCH(1,($A4=LoadFactorSeasons)*(R$1=LoadFactorHours),0),)</f>
        <v>0</v>
      </c>
      <c r="S4" s="8" cm="1">
        <f t="array" ref="S4">INDEX('Summarized Modified Source Data'!$W$600:$W$743,MATCH(1,($A4=LoadFactorSeasons)*(S$1=LoadFactorHours),0),)</f>
        <v>0</v>
      </c>
      <c r="T4" s="8" cm="1">
        <f t="array" ref="T4">INDEX('Summarized Modified Source Data'!$W$600:$W$743,MATCH(1,($A4=LoadFactorSeasons)*(T$1=LoadFactorHours),0),)</f>
        <v>0</v>
      </c>
      <c r="U4" s="8" cm="1">
        <f t="array" ref="U4">INDEX('Summarized Modified Source Data'!$W$600:$W$743,MATCH(1,($A4=LoadFactorSeasons)*(U$1=LoadFactorHours),0),)</f>
        <v>0</v>
      </c>
      <c r="V4" s="8" cm="1">
        <f t="array" ref="V4">INDEX('Summarized Modified Source Data'!$W$600:$W$743,MATCH(1,($A4=LoadFactorSeasons)*(V$1=LoadFactorHours),0),)</f>
        <v>0</v>
      </c>
      <c r="W4" s="8" cm="1">
        <f t="array" ref="W4">INDEX('Summarized Modified Source Data'!$W$600:$W$743,MATCH(1,($A4=LoadFactorSeasons)*(W$1=LoadFactorHours),0),)</f>
        <v>0</v>
      </c>
      <c r="X4" s="8" cm="1">
        <f t="array" ref="X4">INDEX('Summarized Modified Source Data'!$W$600:$W$743,MATCH(1,($A4=LoadFactorSeasons)*(X$1=LoadFactorHours),0),)</f>
        <v>0</v>
      </c>
      <c r="Y4" s="8" cm="1">
        <f t="array" ref="Y4">INDEX('Summarized Modified Source Data'!$W$600:$W$743,MATCH(1,($A4=LoadFactorSeasons)*(Y$1=LoadFactorHours),0),)</f>
        <v>0</v>
      </c>
    </row>
    <row r="5" spans="1:25" x14ac:dyDescent="0.25">
      <c r="A5" s="8" t="s">
        <v>40</v>
      </c>
      <c r="B5" s="8" cm="1">
        <f t="array" ref="B5">INDEX('Summarized Modified Source Data'!$W$600:$W$743,MATCH(1,($A5=LoadFactorSeasons)*(B$1=LoadFactorHours),0),)</f>
        <v>0</v>
      </c>
      <c r="C5" s="8" cm="1">
        <f t="array" ref="C5">INDEX('Summarized Modified Source Data'!$W$600:$W$743,MATCH(1,($A5=LoadFactorSeasons)*(C$1=LoadFactorHours),0),)</f>
        <v>0</v>
      </c>
      <c r="D5" s="8" cm="1">
        <f t="array" ref="D5">INDEX('Summarized Modified Source Data'!$W$600:$W$743,MATCH(1,($A5=LoadFactorSeasons)*(D$1=LoadFactorHours),0),)</f>
        <v>0</v>
      </c>
      <c r="E5" s="8" cm="1">
        <f t="array" ref="E5">INDEX('Summarized Modified Source Data'!$W$600:$W$743,MATCH(1,($A5=LoadFactorSeasons)*(E$1=LoadFactorHours),0),)</f>
        <v>0</v>
      </c>
      <c r="F5" s="8" cm="1">
        <f t="array" ref="F5">INDEX('Summarized Modified Source Data'!$W$600:$W$743,MATCH(1,($A5=LoadFactorSeasons)*(F$1=LoadFactorHours),0),)</f>
        <v>0</v>
      </c>
      <c r="G5" s="8" cm="1">
        <f t="array" ref="G5">INDEX('Summarized Modified Source Data'!$W$600:$W$743,MATCH(1,($A5=LoadFactorSeasons)*(G$1=LoadFactorHours),0),)</f>
        <v>0</v>
      </c>
      <c r="H5" s="8" cm="1">
        <f t="array" ref="H5">INDEX('Summarized Modified Source Data'!$W$600:$W$743,MATCH(1,($A5=LoadFactorSeasons)*(H$1=LoadFactorHours),0),)</f>
        <v>0</v>
      </c>
      <c r="I5" s="8" cm="1">
        <f t="array" ref="I5">INDEX('Summarized Modified Source Data'!$W$600:$W$743,MATCH(1,($A5=LoadFactorSeasons)*(I$1=LoadFactorHours),0),)</f>
        <v>0</v>
      </c>
      <c r="J5" s="8" cm="1">
        <f t="array" ref="J5">INDEX('Summarized Modified Source Data'!$W$600:$W$743,MATCH(1,($A5=LoadFactorSeasons)*(J$1=LoadFactorHours),0),)</f>
        <v>0</v>
      </c>
      <c r="K5" s="8" cm="1">
        <f t="array" ref="K5">INDEX('Summarized Modified Source Data'!$W$600:$W$743,MATCH(1,($A5=LoadFactorSeasons)*(K$1=LoadFactorHours),0),)</f>
        <v>0</v>
      </c>
      <c r="L5" s="8" cm="1">
        <f t="array" ref="L5">INDEX('Summarized Modified Source Data'!$W$600:$W$743,MATCH(1,($A5=LoadFactorSeasons)*(L$1=LoadFactorHours),0),)</f>
        <v>0</v>
      </c>
      <c r="M5" s="8" cm="1">
        <f t="array" ref="M5">INDEX('Summarized Modified Source Data'!$W$600:$W$743,MATCH(1,($A5=LoadFactorSeasons)*(M$1=LoadFactorHours),0),)</f>
        <v>0</v>
      </c>
      <c r="N5" s="8" cm="1">
        <f t="array" ref="N5">INDEX('Summarized Modified Source Data'!$W$600:$W$743,MATCH(1,($A5=LoadFactorSeasons)*(N$1=LoadFactorHours),0),)</f>
        <v>0</v>
      </c>
      <c r="O5" s="8" cm="1">
        <f t="array" ref="O5">INDEX('Summarized Modified Source Data'!$W$600:$W$743,MATCH(1,($A5=LoadFactorSeasons)*(O$1=LoadFactorHours),0),)</f>
        <v>0</v>
      </c>
      <c r="P5" s="8" cm="1">
        <f t="array" ref="P5">INDEX('Summarized Modified Source Data'!$W$600:$W$743,MATCH(1,($A5=LoadFactorSeasons)*(P$1=LoadFactorHours),0),)</f>
        <v>0</v>
      </c>
      <c r="Q5" s="8" cm="1">
        <f t="array" ref="Q5">INDEX('Summarized Modified Source Data'!$W$600:$W$743,MATCH(1,($A5=LoadFactorSeasons)*(Q$1=LoadFactorHours),0),)</f>
        <v>0</v>
      </c>
      <c r="R5" s="8" cm="1">
        <f t="array" ref="R5">INDEX('Summarized Modified Source Data'!$W$600:$W$743,MATCH(1,($A5=LoadFactorSeasons)*(R$1=LoadFactorHours),0),)</f>
        <v>0</v>
      </c>
      <c r="S5" s="8" cm="1">
        <f t="array" ref="S5">INDEX('Summarized Modified Source Data'!$W$600:$W$743,MATCH(1,($A5=LoadFactorSeasons)*(S$1=LoadFactorHours),0),)</f>
        <v>0</v>
      </c>
      <c r="T5" s="8" cm="1">
        <f t="array" ref="T5">INDEX('Summarized Modified Source Data'!$W$600:$W$743,MATCH(1,($A5=LoadFactorSeasons)*(T$1=LoadFactorHours),0),)</f>
        <v>0</v>
      </c>
      <c r="U5" s="8" cm="1">
        <f t="array" ref="U5">INDEX('Summarized Modified Source Data'!$W$600:$W$743,MATCH(1,($A5=LoadFactorSeasons)*(U$1=LoadFactorHours),0),)</f>
        <v>0</v>
      </c>
      <c r="V5" s="8" cm="1">
        <f t="array" ref="V5">INDEX('Summarized Modified Source Data'!$W$600:$W$743,MATCH(1,($A5=LoadFactorSeasons)*(V$1=LoadFactorHours),0),)</f>
        <v>0</v>
      </c>
      <c r="W5" s="8" cm="1">
        <f t="array" ref="W5">INDEX('Summarized Modified Source Data'!$W$600:$W$743,MATCH(1,($A5=LoadFactorSeasons)*(W$1=LoadFactorHours),0),)</f>
        <v>0</v>
      </c>
      <c r="X5" s="8" cm="1">
        <f t="array" ref="X5">INDEX('Summarized Modified Source Data'!$W$600:$W$743,MATCH(1,($A5=LoadFactorSeasons)*(X$1=LoadFactorHours),0),)</f>
        <v>0</v>
      </c>
      <c r="Y5" s="8" cm="1">
        <f t="array" ref="Y5">INDEX('Summarized Modified Source Data'!$W$600:$W$743,MATCH(1,($A5=LoadFactorSeasons)*(Y$1=LoadFactorHours),0),)</f>
        <v>0</v>
      </c>
    </row>
    <row r="6" spans="1:25" x14ac:dyDescent="0.25">
      <c r="A6" s="8" t="s">
        <v>80</v>
      </c>
      <c r="B6" s="8" cm="1">
        <f t="array" ref="B6">INDEX('Summarized Modified Source Data'!$W$600:$W$743,MATCH(1,($A6=LoadFactorSeasons)*(B$1=LoadFactorHours),0),)</f>
        <v>0</v>
      </c>
      <c r="C6" s="8" cm="1">
        <f t="array" ref="C6">INDEX('Summarized Modified Source Data'!$W$600:$W$743,MATCH(1,($A6=LoadFactorSeasons)*(C$1=LoadFactorHours),0),)</f>
        <v>0</v>
      </c>
      <c r="D6" s="8" cm="1">
        <f t="array" ref="D6">INDEX('Summarized Modified Source Data'!$W$600:$W$743,MATCH(1,($A6=LoadFactorSeasons)*(D$1=LoadFactorHours),0),)</f>
        <v>0</v>
      </c>
      <c r="E6" s="8" cm="1">
        <f t="array" ref="E6">INDEX('Summarized Modified Source Data'!$W$600:$W$743,MATCH(1,($A6=LoadFactorSeasons)*(E$1=LoadFactorHours),0),)</f>
        <v>0</v>
      </c>
      <c r="F6" s="8" cm="1">
        <f t="array" ref="F6">INDEX('Summarized Modified Source Data'!$W$600:$W$743,MATCH(1,($A6=LoadFactorSeasons)*(F$1=LoadFactorHours),0),)</f>
        <v>0</v>
      </c>
      <c r="G6" s="8" cm="1">
        <f t="array" ref="G6">INDEX('Summarized Modified Source Data'!$W$600:$W$743,MATCH(1,($A6=LoadFactorSeasons)*(G$1=LoadFactorHours),0),)</f>
        <v>0</v>
      </c>
      <c r="H6" s="8" cm="1">
        <f t="array" ref="H6">INDEX('Summarized Modified Source Data'!$W$600:$W$743,MATCH(1,($A6=LoadFactorSeasons)*(H$1=LoadFactorHours),0),)</f>
        <v>0</v>
      </c>
      <c r="I6" s="8" cm="1">
        <f t="array" ref="I6">INDEX('Summarized Modified Source Data'!$W$600:$W$743,MATCH(1,($A6=LoadFactorSeasons)*(I$1=LoadFactorHours),0),)</f>
        <v>0</v>
      </c>
      <c r="J6" s="8" cm="1">
        <f t="array" ref="J6">INDEX('Summarized Modified Source Data'!$W$600:$W$743,MATCH(1,($A6=LoadFactorSeasons)*(J$1=LoadFactorHours),0),)</f>
        <v>0</v>
      </c>
      <c r="K6" s="8" cm="1">
        <f t="array" ref="K6">INDEX('Summarized Modified Source Data'!$W$600:$W$743,MATCH(1,($A6=LoadFactorSeasons)*(K$1=LoadFactorHours),0),)</f>
        <v>0</v>
      </c>
      <c r="L6" s="8" cm="1">
        <f t="array" ref="L6">INDEX('Summarized Modified Source Data'!$W$600:$W$743,MATCH(1,($A6=LoadFactorSeasons)*(L$1=LoadFactorHours),0),)</f>
        <v>0</v>
      </c>
      <c r="M6" s="8" cm="1">
        <f t="array" ref="M6">INDEX('Summarized Modified Source Data'!$W$600:$W$743,MATCH(1,($A6=LoadFactorSeasons)*(M$1=LoadFactorHours),0),)</f>
        <v>0</v>
      </c>
      <c r="N6" s="8" cm="1">
        <f t="array" ref="N6">INDEX('Summarized Modified Source Data'!$W$600:$W$743,MATCH(1,($A6=LoadFactorSeasons)*(N$1=LoadFactorHours),0),)</f>
        <v>0</v>
      </c>
      <c r="O6" s="8" cm="1">
        <f t="array" ref="O6">INDEX('Summarized Modified Source Data'!$W$600:$W$743,MATCH(1,($A6=LoadFactorSeasons)*(O$1=LoadFactorHours),0),)</f>
        <v>0</v>
      </c>
      <c r="P6" s="8" cm="1">
        <f t="array" ref="P6">INDEX('Summarized Modified Source Data'!$W$600:$W$743,MATCH(1,($A6=LoadFactorSeasons)*(P$1=LoadFactorHours),0),)</f>
        <v>0</v>
      </c>
      <c r="Q6" s="8" cm="1">
        <f t="array" ref="Q6">INDEX('Summarized Modified Source Data'!$W$600:$W$743,MATCH(1,($A6=LoadFactorSeasons)*(Q$1=LoadFactorHours),0),)</f>
        <v>0</v>
      </c>
      <c r="R6" s="8" cm="1">
        <f t="array" ref="R6">INDEX('Summarized Modified Source Data'!$W$600:$W$743,MATCH(1,($A6=LoadFactorSeasons)*(R$1=LoadFactorHours),0),)</f>
        <v>0</v>
      </c>
      <c r="S6" s="8" cm="1">
        <f t="array" ref="S6">INDEX('Summarized Modified Source Data'!$W$600:$W$743,MATCH(1,($A6=LoadFactorSeasons)*(S$1=LoadFactorHours),0),)</f>
        <v>0</v>
      </c>
      <c r="T6" s="8" cm="1">
        <f t="array" ref="T6">INDEX('Summarized Modified Source Data'!$W$600:$W$743,MATCH(1,($A6=LoadFactorSeasons)*(T$1=LoadFactorHours),0),)</f>
        <v>0</v>
      </c>
      <c r="U6" s="8" cm="1">
        <f t="array" ref="U6">INDEX('Summarized Modified Source Data'!$W$600:$W$743,MATCH(1,($A6=LoadFactorSeasons)*(U$1=LoadFactorHours),0),)</f>
        <v>0</v>
      </c>
      <c r="V6" s="8" cm="1">
        <f t="array" ref="V6">INDEX('Summarized Modified Source Data'!$W$600:$W$743,MATCH(1,($A6=LoadFactorSeasons)*(V$1=LoadFactorHours),0),)</f>
        <v>0</v>
      </c>
      <c r="W6" s="8" cm="1">
        <f t="array" ref="W6">INDEX('Summarized Modified Source Data'!$W$600:$W$743,MATCH(1,($A6=LoadFactorSeasons)*(W$1=LoadFactorHours),0),)</f>
        <v>0</v>
      </c>
      <c r="X6" s="8" cm="1">
        <f t="array" ref="X6">INDEX('Summarized Modified Source Data'!$W$600:$W$743,MATCH(1,($A6=LoadFactorSeasons)*(X$1=LoadFactorHours),0),)</f>
        <v>0</v>
      </c>
      <c r="Y6" s="8" cm="1">
        <f t="array" ref="Y6">INDEX('Summarized Modified Source Data'!$W$600:$W$743,MATCH(1,($A6=LoadFactorSeasons)*(Y$1=LoadFactorHours),0),)</f>
        <v>0</v>
      </c>
    </row>
    <row r="7" spans="1:25" x14ac:dyDescent="0.25">
      <c r="A7" s="8" t="s">
        <v>81</v>
      </c>
      <c r="B7" s="8" cm="1">
        <f t="array" ref="B7">INDEX('Summarized Modified Source Data'!$W$600:$W$743,MATCH(1,($A7=LoadFactorSeasons)*(B$1=LoadFactorHours),0),)</f>
        <v>0</v>
      </c>
      <c r="C7" s="8" cm="1">
        <f t="array" ref="C7">INDEX('Summarized Modified Source Data'!$W$600:$W$743,MATCH(1,($A7=LoadFactorSeasons)*(C$1=LoadFactorHours),0),)</f>
        <v>0</v>
      </c>
      <c r="D7" s="8" cm="1">
        <f t="array" ref="D7">INDEX('Summarized Modified Source Data'!$W$600:$W$743,MATCH(1,($A7=LoadFactorSeasons)*(D$1=LoadFactorHours),0),)</f>
        <v>0</v>
      </c>
      <c r="E7" s="8" cm="1">
        <f t="array" ref="E7">INDEX('Summarized Modified Source Data'!$W$600:$W$743,MATCH(1,($A7=LoadFactorSeasons)*(E$1=LoadFactorHours),0),)</f>
        <v>0</v>
      </c>
      <c r="F7" s="8" cm="1">
        <f t="array" ref="F7">INDEX('Summarized Modified Source Data'!$W$600:$W$743,MATCH(1,($A7=LoadFactorSeasons)*(F$1=LoadFactorHours),0),)</f>
        <v>0</v>
      </c>
      <c r="G7" s="8" cm="1">
        <f t="array" ref="G7">INDEX('Summarized Modified Source Data'!$W$600:$W$743,MATCH(1,($A7=LoadFactorSeasons)*(G$1=LoadFactorHours),0),)</f>
        <v>0</v>
      </c>
      <c r="H7" s="8" cm="1">
        <f t="array" ref="H7">INDEX('Summarized Modified Source Data'!$W$600:$W$743,MATCH(1,($A7=LoadFactorSeasons)*(H$1=LoadFactorHours),0),)</f>
        <v>0</v>
      </c>
      <c r="I7" s="8" cm="1">
        <f t="array" ref="I7">INDEX('Summarized Modified Source Data'!$W$600:$W$743,MATCH(1,($A7=LoadFactorSeasons)*(I$1=LoadFactorHours),0),)</f>
        <v>0</v>
      </c>
      <c r="J7" s="8" cm="1">
        <f t="array" ref="J7">INDEX('Summarized Modified Source Data'!$W$600:$W$743,MATCH(1,($A7=LoadFactorSeasons)*(J$1=LoadFactorHours),0),)</f>
        <v>0</v>
      </c>
      <c r="K7" s="8" cm="1">
        <f t="array" ref="K7">INDEX('Summarized Modified Source Data'!$W$600:$W$743,MATCH(1,($A7=LoadFactorSeasons)*(K$1=LoadFactorHours),0),)</f>
        <v>0</v>
      </c>
      <c r="L7" s="8" cm="1">
        <f t="array" ref="L7">INDEX('Summarized Modified Source Data'!$W$600:$W$743,MATCH(1,($A7=LoadFactorSeasons)*(L$1=LoadFactorHours),0),)</f>
        <v>0</v>
      </c>
      <c r="M7" s="8" cm="1">
        <f t="array" ref="M7">INDEX('Summarized Modified Source Data'!$W$600:$W$743,MATCH(1,($A7=LoadFactorSeasons)*(M$1=LoadFactorHours),0),)</f>
        <v>0</v>
      </c>
      <c r="N7" s="8" cm="1">
        <f t="array" ref="N7">INDEX('Summarized Modified Source Data'!$W$600:$W$743,MATCH(1,($A7=LoadFactorSeasons)*(N$1=LoadFactorHours),0),)</f>
        <v>0</v>
      </c>
      <c r="O7" s="8" cm="1">
        <f t="array" ref="O7">INDEX('Summarized Modified Source Data'!$W$600:$W$743,MATCH(1,($A7=LoadFactorSeasons)*(O$1=LoadFactorHours),0),)</f>
        <v>0</v>
      </c>
      <c r="P7" s="8" cm="1">
        <f t="array" ref="P7">INDEX('Summarized Modified Source Data'!$W$600:$W$743,MATCH(1,($A7=LoadFactorSeasons)*(P$1=LoadFactorHours),0),)</f>
        <v>0</v>
      </c>
      <c r="Q7" s="8" cm="1">
        <f t="array" ref="Q7">INDEX('Summarized Modified Source Data'!$W$600:$W$743,MATCH(1,($A7=LoadFactorSeasons)*(Q$1=LoadFactorHours),0),)</f>
        <v>0</v>
      </c>
      <c r="R7" s="8" cm="1">
        <f t="array" ref="R7">INDEX('Summarized Modified Source Data'!$W$600:$W$743,MATCH(1,($A7=LoadFactorSeasons)*(R$1=LoadFactorHours),0),)</f>
        <v>0</v>
      </c>
      <c r="S7" s="8" cm="1">
        <f t="array" ref="S7">INDEX('Summarized Modified Source Data'!$W$600:$W$743,MATCH(1,($A7=LoadFactorSeasons)*(S$1=LoadFactorHours),0),)</f>
        <v>0</v>
      </c>
      <c r="T7" s="8" cm="1">
        <f t="array" ref="T7">INDEX('Summarized Modified Source Data'!$W$600:$W$743,MATCH(1,($A7=LoadFactorSeasons)*(T$1=LoadFactorHours),0),)</f>
        <v>0</v>
      </c>
      <c r="U7" s="8" cm="1">
        <f t="array" ref="U7">INDEX('Summarized Modified Source Data'!$W$600:$W$743,MATCH(1,($A7=LoadFactorSeasons)*(U$1=LoadFactorHours),0),)</f>
        <v>0</v>
      </c>
      <c r="V7" s="8" cm="1">
        <f t="array" ref="V7">INDEX('Summarized Modified Source Data'!$W$600:$W$743,MATCH(1,($A7=LoadFactorSeasons)*(V$1=LoadFactorHours),0),)</f>
        <v>0</v>
      </c>
      <c r="W7" s="8" cm="1">
        <f t="array" ref="W7">INDEX('Summarized Modified Source Data'!$W$600:$W$743,MATCH(1,($A7=LoadFactorSeasons)*(W$1=LoadFactorHours),0),)</f>
        <v>0</v>
      </c>
      <c r="X7" s="8" cm="1">
        <f t="array" ref="X7">INDEX('Summarized Modified Source Data'!$W$600:$W$743,MATCH(1,($A7=LoadFactorSeasons)*(X$1=LoadFactorHours),0),)</f>
        <v>0</v>
      </c>
      <c r="Y7" s="8" cm="1">
        <f t="array" ref="Y7">INDEX('Summarized Modified Source Data'!$W$600:$W$743,MATCH(1,($A7=LoadFactorSeasons)*(Y$1=LoadFactorHours),0),)</f>
        <v>0</v>
      </c>
    </row>
    <row r="8" spans="1:25" x14ac:dyDescent="0.25">
      <c r="A8" s="8"/>
      <c r="B8" s="8"/>
      <c r="C8" s="8"/>
      <c r="D8" s="8"/>
      <c r="E8" s="8"/>
      <c r="F8" s="8"/>
      <c r="G8" s="8"/>
      <c r="H8" s="8"/>
      <c r="I8" s="8"/>
      <c r="J8" s="8"/>
      <c r="K8" s="8"/>
      <c r="L8" s="8"/>
      <c r="M8" s="8"/>
      <c r="N8" s="8"/>
      <c r="O8" s="8"/>
      <c r="P8" s="8"/>
      <c r="Q8" s="8"/>
      <c r="R8" s="8"/>
      <c r="S8" s="8"/>
      <c r="T8" s="8"/>
      <c r="U8" s="8"/>
      <c r="V8" s="8"/>
      <c r="W8" s="8"/>
      <c r="X8" s="8"/>
      <c r="Y8" s="8"/>
    </row>
    <row r="9" spans="1:25" x14ac:dyDescent="0.25">
      <c r="A9" s="8"/>
      <c r="B9" s="8"/>
      <c r="C9" s="8"/>
      <c r="D9" s="8"/>
      <c r="E9" s="8"/>
      <c r="F9" s="8"/>
      <c r="G9" s="8"/>
      <c r="H9" s="8"/>
      <c r="I9" s="8"/>
      <c r="J9" s="8"/>
      <c r="K9" s="8"/>
      <c r="L9" s="8"/>
      <c r="M9" s="8"/>
      <c r="N9" s="8"/>
      <c r="O9" s="8"/>
      <c r="P9" s="8"/>
      <c r="Q9" s="8"/>
      <c r="R9" s="8"/>
      <c r="S9" s="8"/>
      <c r="T9" s="8"/>
      <c r="U9" s="8"/>
      <c r="V9" s="8"/>
      <c r="W9" s="8"/>
      <c r="X9" s="8"/>
      <c r="Y9" s="8"/>
    </row>
    <row r="10" spans="1:25" x14ac:dyDescent="0.25">
      <c r="A10" s="8"/>
      <c r="B10" s="8"/>
      <c r="C10" s="8"/>
      <c r="D10" s="8"/>
      <c r="E10" s="8"/>
      <c r="F10" s="8"/>
      <c r="G10" s="8"/>
      <c r="H10" s="8"/>
      <c r="I10" s="8"/>
      <c r="J10" s="8"/>
      <c r="K10" s="8"/>
      <c r="L10" s="8"/>
      <c r="M10" s="8"/>
      <c r="N10" s="8"/>
      <c r="O10" s="8"/>
      <c r="P10" s="8"/>
      <c r="Q10" s="8"/>
      <c r="R10" s="8"/>
      <c r="S10" s="8"/>
      <c r="T10" s="8"/>
      <c r="U10" s="8"/>
      <c r="V10" s="8"/>
      <c r="W10" s="8"/>
      <c r="X10" s="8"/>
      <c r="Y10" s="8"/>
    </row>
    <row r="11" spans="1:25" x14ac:dyDescent="0.25">
      <c r="A11" s="8"/>
      <c r="B11" s="8"/>
      <c r="C11" s="8"/>
      <c r="D11" s="8"/>
      <c r="E11" s="8"/>
      <c r="F11" s="8"/>
      <c r="G11" s="8"/>
      <c r="H11" s="8"/>
      <c r="I11" s="8"/>
      <c r="J11" s="8"/>
      <c r="K11" s="8"/>
      <c r="L11" s="8"/>
      <c r="M11" s="8"/>
      <c r="N11" s="8"/>
      <c r="O11" s="8"/>
      <c r="P11" s="8"/>
      <c r="Q11" s="8"/>
      <c r="R11" s="8"/>
      <c r="S11" s="8"/>
      <c r="T11" s="8"/>
      <c r="U11" s="8"/>
      <c r="V11" s="8"/>
      <c r="W11" s="8"/>
      <c r="X11" s="8"/>
      <c r="Y11" s="8"/>
    </row>
    <row r="12" spans="1:25" x14ac:dyDescent="0.25">
      <c r="A12" s="8"/>
      <c r="B12" s="8"/>
      <c r="C12" s="8"/>
      <c r="D12" s="8"/>
      <c r="E12" s="8"/>
      <c r="F12" s="8"/>
      <c r="G12" s="8"/>
      <c r="H12" s="8"/>
      <c r="I12" s="8"/>
      <c r="J12" s="8"/>
      <c r="K12" s="8"/>
      <c r="L12" s="8"/>
      <c r="M12" s="8"/>
      <c r="N12" s="8"/>
      <c r="O12" s="8"/>
      <c r="P12" s="8"/>
      <c r="Q12" s="8"/>
      <c r="R12" s="8"/>
      <c r="S12" s="8"/>
      <c r="T12" s="8"/>
      <c r="U12" s="8"/>
      <c r="V12" s="8"/>
      <c r="W12" s="8"/>
      <c r="X12" s="8"/>
      <c r="Y12" s="8"/>
    </row>
    <row r="13" spans="1:25" x14ac:dyDescent="0.25">
      <c r="A13" s="8"/>
      <c r="B13" s="8"/>
      <c r="C13" s="8"/>
      <c r="D13" s="8"/>
      <c r="E13" s="8"/>
      <c r="F13" s="8"/>
      <c r="G13" s="8"/>
      <c r="H13" s="8"/>
      <c r="I13" s="8"/>
      <c r="J13" s="8"/>
      <c r="K13" s="8"/>
      <c r="L13" s="8"/>
      <c r="M13" s="8"/>
      <c r="N13" s="8"/>
      <c r="O13" s="8"/>
      <c r="P13" s="8"/>
      <c r="Q13" s="8"/>
      <c r="R13" s="8"/>
      <c r="S13" s="8"/>
      <c r="T13" s="8"/>
      <c r="U13" s="8"/>
      <c r="V13" s="8"/>
      <c r="W13" s="8"/>
      <c r="X13" s="8"/>
      <c r="Y13" s="8"/>
    </row>
    <row r="14" spans="1:25" x14ac:dyDescent="0.25">
      <c r="A14" s="8"/>
      <c r="B14" s="8"/>
      <c r="C14" s="8"/>
      <c r="D14" s="8"/>
      <c r="E14" s="8"/>
      <c r="F14" s="8"/>
      <c r="G14" s="8"/>
      <c r="H14" s="8"/>
      <c r="I14" s="8"/>
      <c r="J14" s="8"/>
      <c r="K14" s="8"/>
      <c r="L14" s="8"/>
      <c r="M14" s="8"/>
      <c r="N14" s="8"/>
      <c r="O14" s="8"/>
      <c r="P14" s="8"/>
      <c r="Q14" s="8"/>
      <c r="R14" s="8"/>
      <c r="S14" s="8"/>
      <c r="T14" s="8"/>
      <c r="U14" s="8"/>
      <c r="V14" s="8"/>
      <c r="W14" s="8"/>
      <c r="X14" s="8"/>
      <c r="Y14" s="8"/>
    </row>
    <row r="15" spans="1:25" x14ac:dyDescent="0.25">
      <c r="A15" s="8"/>
      <c r="B15" s="8"/>
      <c r="C15" s="8"/>
      <c r="D15" s="8"/>
      <c r="E15" s="8"/>
      <c r="F15" s="8"/>
      <c r="G15" s="8"/>
      <c r="H15" s="8"/>
      <c r="I15" s="8"/>
      <c r="J15" s="8"/>
      <c r="K15" s="8"/>
      <c r="L15" s="8"/>
      <c r="M15" s="8"/>
      <c r="N15" s="8"/>
      <c r="O15" s="8"/>
      <c r="P15" s="8"/>
      <c r="Q15" s="8"/>
      <c r="R15" s="8"/>
      <c r="S15" s="8"/>
      <c r="T15" s="8"/>
      <c r="U15" s="8"/>
      <c r="V15" s="8"/>
      <c r="W15" s="8"/>
      <c r="X15" s="8"/>
      <c r="Y15" s="8"/>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36A35-6C04-4CDB-8556-7E7A7DE4ADE7}">
  <sheetPr codeName="Sheet29">
    <tabColor rgb="FF002060"/>
  </sheetPr>
  <dimension ref="A1:Y15"/>
  <sheetViews>
    <sheetView workbookViewId="0">
      <selection activeCell="G23" sqref="G23"/>
    </sheetView>
  </sheetViews>
  <sheetFormatPr defaultRowHeight="15" x14ac:dyDescent="0.25"/>
  <cols>
    <col min="1" max="1" width="28.42578125" customWidth="1"/>
    <col min="2" max="2" width="10.5703125" bestFit="1" customWidth="1"/>
    <col min="3" max="25" width="10.42578125" bestFit="1" customWidth="1"/>
  </cols>
  <sheetData>
    <row r="1" spans="1:25" x14ac:dyDescent="0.25">
      <c r="A1" s="6" t="s">
        <v>25</v>
      </c>
      <c r="B1" s="7" t="s">
        <v>34</v>
      </c>
      <c r="C1" s="7" t="s">
        <v>0</v>
      </c>
      <c r="D1" s="7" t="s">
        <v>1</v>
      </c>
      <c r="E1" s="7" t="s">
        <v>2</v>
      </c>
      <c r="F1" s="7" t="s">
        <v>3</v>
      </c>
      <c r="G1" s="7" t="s">
        <v>4</v>
      </c>
      <c r="H1" s="7" t="s">
        <v>5</v>
      </c>
      <c r="I1" s="7" t="s">
        <v>6</v>
      </c>
      <c r="J1" s="7" t="s">
        <v>7</v>
      </c>
      <c r="K1" s="7" t="s">
        <v>8</v>
      </c>
      <c r="L1" s="7" t="s">
        <v>9</v>
      </c>
      <c r="M1" s="7" t="s">
        <v>10</v>
      </c>
      <c r="N1" s="7" t="s">
        <v>11</v>
      </c>
      <c r="O1" s="7" t="s">
        <v>12</v>
      </c>
      <c r="P1" s="7" t="s">
        <v>13</v>
      </c>
      <c r="Q1" s="7" t="s">
        <v>14</v>
      </c>
      <c r="R1" s="7" t="s">
        <v>15</v>
      </c>
      <c r="S1" s="7" t="s">
        <v>16</v>
      </c>
      <c r="T1" s="7" t="s">
        <v>17</v>
      </c>
      <c r="U1" s="7" t="s">
        <v>18</v>
      </c>
      <c r="V1" s="7" t="s">
        <v>19</v>
      </c>
      <c r="W1" s="7" t="s">
        <v>20</v>
      </c>
      <c r="X1" s="7" t="s">
        <v>21</v>
      </c>
      <c r="Y1" s="7" t="s">
        <v>22</v>
      </c>
    </row>
    <row r="2" spans="1:25" x14ac:dyDescent="0.25">
      <c r="A2" s="8" t="s">
        <v>37</v>
      </c>
      <c r="B2" s="8" cm="1">
        <f t="array" ref="B2">INDEX('Summarized Modified Source Data'!$X$600:$X$743,MATCH(1,($A2=LoadFactorSeasons)*(B$1=LoadFactorHours),0),)</f>
        <v>0</v>
      </c>
      <c r="C2" s="8" cm="1">
        <f t="array" ref="C2">INDEX('Summarized Modified Source Data'!$X$600:$X$743,MATCH(1,($A2=LoadFactorSeasons)*(C$1=LoadFactorHours),0),)</f>
        <v>0</v>
      </c>
      <c r="D2" s="8" cm="1">
        <f t="array" ref="D2">INDEX('Summarized Modified Source Data'!$X$600:$X$743,MATCH(1,($A2=LoadFactorSeasons)*(D$1=LoadFactorHours),0),)</f>
        <v>0</v>
      </c>
      <c r="E2" s="8" cm="1">
        <f t="array" ref="E2">INDEX('Summarized Modified Source Data'!$X$600:$X$743,MATCH(1,($A2=LoadFactorSeasons)*(E$1=LoadFactorHours),0),)</f>
        <v>0</v>
      </c>
      <c r="F2" s="8" cm="1">
        <f t="array" ref="F2">INDEX('Summarized Modified Source Data'!$X$600:$X$743,MATCH(1,($A2=LoadFactorSeasons)*(F$1=LoadFactorHours),0),)</f>
        <v>0</v>
      </c>
      <c r="G2" s="8" cm="1">
        <f t="array" ref="G2">INDEX('Summarized Modified Source Data'!$X$600:$X$743,MATCH(1,($A2=LoadFactorSeasons)*(G$1=LoadFactorHours),0),)</f>
        <v>0</v>
      </c>
      <c r="H2" s="8" cm="1">
        <f t="array" ref="H2">INDEX('Summarized Modified Source Data'!$X$600:$X$743,MATCH(1,($A2=LoadFactorSeasons)*(H$1=LoadFactorHours),0),)</f>
        <v>0</v>
      </c>
      <c r="I2" s="8" cm="1">
        <f t="array" ref="I2">INDEX('Summarized Modified Source Data'!$X$600:$X$743,MATCH(1,($A2=LoadFactorSeasons)*(I$1=LoadFactorHours),0),)</f>
        <v>0</v>
      </c>
      <c r="J2" s="8" cm="1">
        <f t="array" ref="J2">INDEX('Summarized Modified Source Data'!$X$600:$X$743,MATCH(1,($A2=LoadFactorSeasons)*(J$1=LoadFactorHours),0),)</f>
        <v>0</v>
      </c>
      <c r="K2" s="8" cm="1">
        <f t="array" ref="K2">INDEX('Summarized Modified Source Data'!$X$600:$X$743,MATCH(1,($A2=LoadFactorSeasons)*(K$1=LoadFactorHours),0),)</f>
        <v>0</v>
      </c>
      <c r="L2" s="8" cm="1">
        <f t="array" ref="L2">INDEX('Summarized Modified Source Data'!$X$600:$X$743,MATCH(1,($A2=LoadFactorSeasons)*(L$1=LoadFactorHours),0),)</f>
        <v>0</v>
      </c>
      <c r="M2" s="8" cm="1">
        <f t="array" ref="M2">INDEX('Summarized Modified Source Data'!$X$600:$X$743,MATCH(1,($A2=LoadFactorSeasons)*(M$1=LoadFactorHours),0),)</f>
        <v>0</v>
      </c>
      <c r="N2" s="8" cm="1">
        <f t="array" ref="N2">INDEX('Summarized Modified Source Data'!$X$600:$X$743,MATCH(1,($A2=LoadFactorSeasons)*(N$1=LoadFactorHours),0),)</f>
        <v>0</v>
      </c>
      <c r="O2" s="8" cm="1">
        <f t="array" ref="O2">INDEX('Summarized Modified Source Data'!$X$600:$X$743,MATCH(1,($A2=LoadFactorSeasons)*(O$1=LoadFactorHours),0),)</f>
        <v>0</v>
      </c>
      <c r="P2" s="8" cm="1">
        <f t="array" ref="P2">INDEX('Summarized Modified Source Data'!$X$600:$X$743,MATCH(1,($A2=LoadFactorSeasons)*(P$1=LoadFactorHours),0),)</f>
        <v>0</v>
      </c>
      <c r="Q2" s="8" cm="1">
        <f t="array" ref="Q2">INDEX('Summarized Modified Source Data'!$X$600:$X$743,MATCH(1,($A2=LoadFactorSeasons)*(Q$1=LoadFactorHours),0),)</f>
        <v>0</v>
      </c>
      <c r="R2" s="8" cm="1">
        <f t="array" ref="R2">INDEX('Summarized Modified Source Data'!$X$600:$X$743,MATCH(1,($A2=LoadFactorSeasons)*(R$1=LoadFactorHours),0),)</f>
        <v>0</v>
      </c>
      <c r="S2" s="8" cm="1">
        <f t="array" ref="S2">INDEX('Summarized Modified Source Data'!$X$600:$X$743,MATCH(1,($A2=LoadFactorSeasons)*(S$1=LoadFactorHours),0),)</f>
        <v>0</v>
      </c>
      <c r="T2" s="8" cm="1">
        <f t="array" ref="T2">INDEX('Summarized Modified Source Data'!$X$600:$X$743,MATCH(1,($A2=LoadFactorSeasons)*(T$1=LoadFactorHours),0),)</f>
        <v>0</v>
      </c>
      <c r="U2" s="8" cm="1">
        <f t="array" ref="U2">INDEX('Summarized Modified Source Data'!$X$600:$X$743,MATCH(1,($A2=LoadFactorSeasons)*(U$1=LoadFactorHours),0),)</f>
        <v>0</v>
      </c>
      <c r="V2" s="8" cm="1">
        <f t="array" ref="V2">INDEX('Summarized Modified Source Data'!$X$600:$X$743,MATCH(1,($A2=LoadFactorSeasons)*(V$1=LoadFactorHours),0),)</f>
        <v>0</v>
      </c>
      <c r="W2" s="8" cm="1">
        <f t="array" ref="W2">INDEX('Summarized Modified Source Data'!$X$600:$X$743,MATCH(1,($A2=LoadFactorSeasons)*(W$1=LoadFactorHours),0),)</f>
        <v>0</v>
      </c>
      <c r="X2" s="8" cm="1">
        <f t="array" ref="X2">INDEX('Summarized Modified Source Data'!$X$600:$X$743,MATCH(1,($A2=LoadFactorSeasons)*(X$1=LoadFactorHours),0),)</f>
        <v>0</v>
      </c>
      <c r="Y2" s="8" cm="1">
        <f t="array" ref="Y2">INDEX('Summarized Modified Source Data'!$X$600:$X$743,MATCH(1,($A2=LoadFactorSeasons)*(Y$1=LoadFactorHours),0),)</f>
        <v>0</v>
      </c>
    </row>
    <row r="3" spans="1:25" x14ac:dyDescent="0.25">
      <c r="A3" s="8" t="s">
        <v>38</v>
      </c>
      <c r="B3" s="8" cm="1">
        <f t="array" ref="B3">INDEX('Summarized Modified Source Data'!$X$600:$X$743,MATCH(1,($A3=LoadFactorSeasons)*(B$1=LoadFactorHours),0),)</f>
        <v>0</v>
      </c>
      <c r="C3" s="8" cm="1">
        <f t="array" ref="C3">INDEX('Summarized Modified Source Data'!$X$600:$X$743,MATCH(1,($A3=LoadFactorSeasons)*(C$1=LoadFactorHours),0),)</f>
        <v>0</v>
      </c>
      <c r="D3" s="8" cm="1">
        <f t="array" ref="D3">INDEX('Summarized Modified Source Data'!$X$600:$X$743,MATCH(1,($A3=LoadFactorSeasons)*(D$1=LoadFactorHours),0),)</f>
        <v>0</v>
      </c>
      <c r="E3" s="8" cm="1">
        <f t="array" ref="E3">INDEX('Summarized Modified Source Data'!$X$600:$X$743,MATCH(1,($A3=LoadFactorSeasons)*(E$1=LoadFactorHours),0),)</f>
        <v>0</v>
      </c>
      <c r="F3" s="8" cm="1">
        <f t="array" ref="F3">INDEX('Summarized Modified Source Data'!$X$600:$X$743,MATCH(1,($A3=LoadFactorSeasons)*(F$1=LoadFactorHours),0),)</f>
        <v>0</v>
      </c>
      <c r="G3" s="8" cm="1">
        <f t="array" ref="G3">INDEX('Summarized Modified Source Data'!$X$600:$X$743,MATCH(1,($A3=LoadFactorSeasons)*(G$1=LoadFactorHours),0),)</f>
        <v>0</v>
      </c>
      <c r="H3" s="8" cm="1">
        <f t="array" ref="H3">INDEX('Summarized Modified Source Data'!$X$600:$X$743,MATCH(1,($A3=LoadFactorSeasons)*(H$1=LoadFactorHours),0),)</f>
        <v>0</v>
      </c>
      <c r="I3" s="8" cm="1">
        <f t="array" ref="I3">INDEX('Summarized Modified Source Data'!$X$600:$X$743,MATCH(1,($A3=LoadFactorSeasons)*(I$1=LoadFactorHours),0),)</f>
        <v>0</v>
      </c>
      <c r="J3" s="8" cm="1">
        <f t="array" ref="J3">INDEX('Summarized Modified Source Data'!$X$600:$X$743,MATCH(1,($A3=LoadFactorSeasons)*(J$1=LoadFactorHours),0),)</f>
        <v>0</v>
      </c>
      <c r="K3" s="8" cm="1">
        <f t="array" ref="K3">INDEX('Summarized Modified Source Data'!$X$600:$X$743,MATCH(1,($A3=LoadFactorSeasons)*(K$1=LoadFactorHours),0),)</f>
        <v>0</v>
      </c>
      <c r="L3" s="8" cm="1">
        <f t="array" ref="L3">INDEX('Summarized Modified Source Data'!$X$600:$X$743,MATCH(1,($A3=LoadFactorSeasons)*(L$1=LoadFactorHours),0),)</f>
        <v>0</v>
      </c>
      <c r="M3" s="8" cm="1">
        <f t="array" ref="M3">INDEX('Summarized Modified Source Data'!$X$600:$X$743,MATCH(1,($A3=LoadFactorSeasons)*(M$1=LoadFactorHours),0),)</f>
        <v>0</v>
      </c>
      <c r="N3" s="8" cm="1">
        <f t="array" ref="N3">INDEX('Summarized Modified Source Data'!$X$600:$X$743,MATCH(1,($A3=LoadFactorSeasons)*(N$1=LoadFactorHours),0),)</f>
        <v>0</v>
      </c>
      <c r="O3" s="8" cm="1">
        <f t="array" ref="O3">INDEX('Summarized Modified Source Data'!$X$600:$X$743,MATCH(1,($A3=LoadFactorSeasons)*(O$1=LoadFactorHours),0),)</f>
        <v>0</v>
      </c>
      <c r="P3" s="8" cm="1">
        <f t="array" ref="P3">INDEX('Summarized Modified Source Data'!$X$600:$X$743,MATCH(1,($A3=LoadFactorSeasons)*(P$1=LoadFactorHours),0),)</f>
        <v>0</v>
      </c>
      <c r="Q3" s="8" cm="1">
        <f t="array" ref="Q3">INDEX('Summarized Modified Source Data'!$X$600:$X$743,MATCH(1,($A3=LoadFactorSeasons)*(Q$1=LoadFactorHours),0),)</f>
        <v>0</v>
      </c>
      <c r="R3" s="8" cm="1">
        <f t="array" ref="R3">INDEX('Summarized Modified Source Data'!$X$600:$X$743,MATCH(1,($A3=LoadFactorSeasons)*(R$1=LoadFactorHours),0),)</f>
        <v>0</v>
      </c>
      <c r="S3" s="8" cm="1">
        <f t="array" ref="S3">INDEX('Summarized Modified Source Data'!$X$600:$X$743,MATCH(1,($A3=LoadFactorSeasons)*(S$1=LoadFactorHours),0),)</f>
        <v>0</v>
      </c>
      <c r="T3" s="8" cm="1">
        <f t="array" ref="T3">INDEX('Summarized Modified Source Data'!$X$600:$X$743,MATCH(1,($A3=LoadFactorSeasons)*(T$1=LoadFactorHours),0),)</f>
        <v>0</v>
      </c>
      <c r="U3" s="8" cm="1">
        <f t="array" ref="U3">INDEX('Summarized Modified Source Data'!$X$600:$X$743,MATCH(1,($A3=LoadFactorSeasons)*(U$1=LoadFactorHours),0),)</f>
        <v>0</v>
      </c>
      <c r="V3" s="8" cm="1">
        <f t="array" ref="V3">INDEX('Summarized Modified Source Data'!$X$600:$X$743,MATCH(1,($A3=LoadFactorSeasons)*(V$1=LoadFactorHours),0),)</f>
        <v>0</v>
      </c>
      <c r="W3" s="8" cm="1">
        <f t="array" ref="W3">INDEX('Summarized Modified Source Data'!$X$600:$X$743,MATCH(1,($A3=LoadFactorSeasons)*(W$1=LoadFactorHours),0),)</f>
        <v>0</v>
      </c>
      <c r="X3" s="8" cm="1">
        <f t="array" ref="X3">INDEX('Summarized Modified Source Data'!$X$600:$X$743,MATCH(1,($A3=LoadFactorSeasons)*(X$1=LoadFactorHours),0),)</f>
        <v>0</v>
      </c>
      <c r="Y3" s="8" cm="1">
        <f t="array" ref="Y3">INDEX('Summarized Modified Source Data'!$X$600:$X$743,MATCH(1,($A3=LoadFactorSeasons)*(Y$1=LoadFactorHours),0),)</f>
        <v>0</v>
      </c>
    </row>
    <row r="4" spans="1:25" x14ac:dyDescent="0.25">
      <c r="A4" s="8" t="s">
        <v>39</v>
      </c>
      <c r="B4" s="8" cm="1">
        <f t="array" ref="B4">INDEX('Summarized Modified Source Data'!$X$600:$X$743,MATCH(1,($A4=LoadFactorSeasons)*(B$1=LoadFactorHours),0),)</f>
        <v>0</v>
      </c>
      <c r="C4" s="8" cm="1">
        <f t="array" ref="C4">INDEX('Summarized Modified Source Data'!$X$600:$X$743,MATCH(1,($A4=LoadFactorSeasons)*(C$1=LoadFactorHours),0),)</f>
        <v>0</v>
      </c>
      <c r="D4" s="8" cm="1">
        <f t="array" ref="D4">INDEX('Summarized Modified Source Data'!$X$600:$X$743,MATCH(1,($A4=LoadFactorSeasons)*(D$1=LoadFactorHours),0),)</f>
        <v>0</v>
      </c>
      <c r="E4" s="8" cm="1">
        <f t="array" ref="E4">INDEX('Summarized Modified Source Data'!$X$600:$X$743,MATCH(1,($A4=LoadFactorSeasons)*(E$1=LoadFactorHours),0),)</f>
        <v>0</v>
      </c>
      <c r="F4" s="8" cm="1">
        <f t="array" ref="F4">INDEX('Summarized Modified Source Data'!$X$600:$X$743,MATCH(1,($A4=LoadFactorSeasons)*(F$1=LoadFactorHours),0),)</f>
        <v>0</v>
      </c>
      <c r="G4" s="8" cm="1">
        <f t="array" ref="G4">INDEX('Summarized Modified Source Data'!$X$600:$X$743,MATCH(1,($A4=LoadFactorSeasons)*(G$1=LoadFactorHours),0),)</f>
        <v>0</v>
      </c>
      <c r="H4" s="8" cm="1">
        <f t="array" ref="H4">INDEX('Summarized Modified Source Data'!$X$600:$X$743,MATCH(1,($A4=LoadFactorSeasons)*(H$1=LoadFactorHours),0),)</f>
        <v>0</v>
      </c>
      <c r="I4" s="8" cm="1">
        <f t="array" ref="I4">INDEX('Summarized Modified Source Data'!$X$600:$X$743,MATCH(1,($A4=LoadFactorSeasons)*(I$1=LoadFactorHours),0),)</f>
        <v>0</v>
      </c>
      <c r="J4" s="8" cm="1">
        <f t="array" ref="J4">INDEX('Summarized Modified Source Data'!$X$600:$X$743,MATCH(1,($A4=LoadFactorSeasons)*(J$1=LoadFactorHours),0),)</f>
        <v>0</v>
      </c>
      <c r="K4" s="8" cm="1">
        <f t="array" ref="K4">INDEX('Summarized Modified Source Data'!$X$600:$X$743,MATCH(1,($A4=LoadFactorSeasons)*(K$1=LoadFactorHours),0),)</f>
        <v>0</v>
      </c>
      <c r="L4" s="8" cm="1">
        <f t="array" ref="L4">INDEX('Summarized Modified Source Data'!$X$600:$X$743,MATCH(1,($A4=LoadFactorSeasons)*(L$1=LoadFactorHours),0),)</f>
        <v>0</v>
      </c>
      <c r="M4" s="8" cm="1">
        <f t="array" ref="M4">INDEX('Summarized Modified Source Data'!$X$600:$X$743,MATCH(1,($A4=LoadFactorSeasons)*(M$1=LoadFactorHours),0),)</f>
        <v>0</v>
      </c>
      <c r="N4" s="8" cm="1">
        <f t="array" ref="N4">INDEX('Summarized Modified Source Data'!$X$600:$X$743,MATCH(1,($A4=LoadFactorSeasons)*(N$1=LoadFactorHours),0),)</f>
        <v>0</v>
      </c>
      <c r="O4" s="8" cm="1">
        <f t="array" ref="O4">INDEX('Summarized Modified Source Data'!$X$600:$X$743,MATCH(1,($A4=LoadFactorSeasons)*(O$1=LoadFactorHours),0),)</f>
        <v>0</v>
      </c>
      <c r="P4" s="8" cm="1">
        <f t="array" ref="P4">INDEX('Summarized Modified Source Data'!$X$600:$X$743,MATCH(1,($A4=LoadFactorSeasons)*(P$1=LoadFactorHours),0),)</f>
        <v>0</v>
      </c>
      <c r="Q4" s="8" cm="1">
        <f t="array" ref="Q4">INDEX('Summarized Modified Source Data'!$X$600:$X$743,MATCH(1,($A4=LoadFactorSeasons)*(Q$1=LoadFactorHours),0),)</f>
        <v>0</v>
      </c>
      <c r="R4" s="8" cm="1">
        <f t="array" ref="R4">INDEX('Summarized Modified Source Data'!$X$600:$X$743,MATCH(1,($A4=LoadFactorSeasons)*(R$1=LoadFactorHours),0),)</f>
        <v>0</v>
      </c>
      <c r="S4" s="8" cm="1">
        <f t="array" ref="S4">INDEX('Summarized Modified Source Data'!$X$600:$X$743,MATCH(1,($A4=LoadFactorSeasons)*(S$1=LoadFactorHours),0),)</f>
        <v>0</v>
      </c>
      <c r="T4" s="8" cm="1">
        <f t="array" ref="T4">INDEX('Summarized Modified Source Data'!$X$600:$X$743,MATCH(1,($A4=LoadFactorSeasons)*(T$1=LoadFactorHours),0),)</f>
        <v>0</v>
      </c>
      <c r="U4" s="8" cm="1">
        <f t="array" ref="U4">INDEX('Summarized Modified Source Data'!$X$600:$X$743,MATCH(1,($A4=LoadFactorSeasons)*(U$1=LoadFactorHours),0),)</f>
        <v>0</v>
      </c>
      <c r="V4" s="8" cm="1">
        <f t="array" ref="V4">INDEX('Summarized Modified Source Data'!$X$600:$X$743,MATCH(1,($A4=LoadFactorSeasons)*(V$1=LoadFactorHours),0),)</f>
        <v>0</v>
      </c>
      <c r="W4" s="8" cm="1">
        <f t="array" ref="W4">INDEX('Summarized Modified Source Data'!$X$600:$X$743,MATCH(1,($A4=LoadFactorSeasons)*(W$1=LoadFactorHours),0),)</f>
        <v>0</v>
      </c>
      <c r="X4" s="8" cm="1">
        <f t="array" ref="X4">INDEX('Summarized Modified Source Data'!$X$600:$X$743,MATCH(1,($A4=LoadFactorSeasons)*(X$1=LoadFactorHours),0),)</f>
        <v>0</v>
      </c>
      <c r="Y4" s="8" cm="1">
        <f t="array" ref="Y4">INDEX('Summarized Modified Source Data'!$X$600:$X$743,MATCH(1,($A4=LoadFactorSeasons)*(Y$1=LoadFactorHours),0),)</f>
        <v>0</v>
      </c>
    </row>
    <row r="5" spans="1:25" x14ac:dyDescent="0.25">
      <c r="A5" s="8" t="s">
        <v>40</v>
      </c>
      <c r="B5" s="8" cm="1">
        <f t="array" ref="B5">INDEX('Summarized Modified Source Data'!$X$600:$X$743,MATCH(1,($A5=LoadFactorSeasons)*(B$1=LoadFactorHours),0),)</f>
        <v>0</v>
      </c>
      <c r="C5" s="8" cm="1">
        <f t="array" ref="C5">INDEX('Summarized Modified Source Data'!$X$600:$X$743,MATCH(1,($A5=LoadFactorSeasons)*(C$1=LoadFactorHours),0),)</f>
        <v>0</v>
      </c>
      <c r="D5" s="8" cm="1">
        <f t="array" ref="D5">INDEX('Summarized Modified Source Data'!$X$600:$X$743,MATCH(1,($A5=LoadFactorSeasons)*(D$1=LoadFactorHours),0),)</f>
        <v>0</v>
      </c>
      <c r="E5" s="8" cm="1">
        <f t="array" ref="E5">INDEX('Summarized Modified Source Data'!$X$600:$X$743,MATCH(1,($A5=LoadFactorSeasons)*(E$1=LoadFactorHours),0),)</f>
        <v>0</v>
      </c>
      <c r="F5" s="8" cm="1">
        <f t="array" ref="F5">INDEX('Summarized Modified Source Data'!$X$600:$X$743,MATCH(1,($A5=LoadFactorSeasons)*(F$1=LoadFactorHours),0),)</f>
        <v>0</v>
      </c>
      <c r="G5" s="8" cm="1">
        <f t="array" ref="G5">INDEX('Summarized Modified Source Data'!$X$600:$X$743,MATCH(1,($A5=LoadFactorSeasons)*(G$1=LoadFactorHours),0),)</f>
        <v>0</v>
      </c>
      <c r="H5" s="8" cm="1">
        <f t="array" ref="H5">INDEX('Summarized Modified Source Data'!$X$600:$X$743,MATCH(1,($A5=LoadFactorSeasons)*(H$1=LoadFactorHours),0),)</f>
        <v>0</v>
      </c>
      <c r="I5" s="8" cm="1">
        <f t="array" ref="I5">INDEX('Summarized Modified Source Data'!$X$600:$X$743,MATCH(1,($A5=LoadFactorSeasons)*(I$1=LoadFactorHours),0),)</f>
        <v>0</v>
      </c>
      <c r="J5" s="8" cm="1">
        <f t="array" ref="J5">INDEX('Summarized Modified Source Data'!$X$600:$X$743,MATCH(1,($A5=LoadFactorSeasons)*(J$1=LoadFactorHours),0),)</f>
        <v>0</v>
      </c>
      <c r="K5" s="8" cm="1">
        <f t="array" ref="K5">INDEX('Summarized Modified Source Data'!$X$600:$X$743,MATCH(1,($A5=LoadFactorSeasons)*(K$1=LoadFactorHours),0),)</f>
        <v>0</v>
      </c>
      <c r="L5" s="8" cm="1">
        <f t="array" ref="L5">INDEX('Summarized Modified Source Data'!$X$600:$X$743,MATCH(1,($A5=LoadFactorSeasons)*(L$1=LoadFactorHours),0),)</f>
        <v>0</v>
      </c>
      <c r="M5" s="8" cm="1">
        <f t="array" ref="M5">INDEX('Summarized Modified Source Data'!$X$600:$X$743,MATCH(1,($A5=LoadFactorSeasons)*(M$1=LoadFactorHours),0),)</f>
        <v>0</v>
      </c>
      <c r="N5" s="8" cm="1">
        <f t="array" ref="N5">INDEX('Summarized Modified Source Data'!$X$600:$X$743,MATCH(1,($A5=LoadFactorSeasons)*(N$1=LoadFactorHours),0),)</f>
        <v>0</v>
      </c>
      <c r="O5" s="8" cm="1">
        <f t="array" ref="O5">INDEX('Summarized Modified Source Data'!$X$600:$X$743,MATCH(1,($A5=LoadFactorSeasons)*(O$1=LoadFactorHours),0),)</f>
        <v>0</v>
      </c>
      <c r="P5" s="8" cm="1">
        <f t="array" ref="P5">INDEX('Summarized Modified Source Data'!$X$600:$X$743,MATCH(1,($A5=LoadFactorSeasons)*(P$1=LoadFactorHours),0),)</f>
        <v>0</v>
      </c>
      <c r="Q5" s="8" cm="1">
        <f t="array" ref="Q5">INDEX('Summarized Modified Source Data'!$X$600:$X$743,MATCH(1,($A5=LoadFactorSeasons)*(Q$1=LoadFactorHours),0),)</f>
        <v>0</v>
      </c>
      <c r="R5" s="8" cm="1">
        <f t="array" ref="R5">INDEX('Summarized Modified Source Data'!$X$600:$X$743,MATCH(1,($A5=LoadFactorSeasons)*(R$1=LoadFactorHours),0),)</f>
        <v>0</v>
      </c>
      <c r="S5" s="8" cm="1">
        <f t="array" ref="S5">INDEX('Summarized Modified Source Data'!$X$600:$X$743,MATCH(1,($A5=LoadFactorSeasons)*(S$1=LoadFactorHours),0),)</f>
        <v>0</v>
      </c>
      <c r="T5" s="8" cm="1">
        <f t="array" ref="T5">INDEX('Summarized Modified Source Data'!$X$600:$X$743,MATCH(1,($A5=LoadFactorSeasons)*(T$1=LoadFactorHours),0),)</f>
        <v>0</v>
      </c>
      <c r="U5" s="8" cm="1">
        <f t="array" ref="U5">INDEX('Summarized Modified Source Data'!$X$600:$X$743,MATCH(1,($A5=LoadFactorSeasons)*(U$1=LoadFactorHours),0),)</f>
        <v>0</v>
      </c>
      <c r="V5" s="8" cm="1">
        <f t="array" ref="V5">INDEX('Summarized Modified Source Data'!$X$600:$X$743,MATCH(1,($A5=LoadFactorSeasons)*(V$1=LoadFactorHours),0),)</f>
        <v>0</v>
      </c>
      <c r="W5" s="8" cm="1">
        <f t="array" ref="W5">INDEX('Summarized Modified Source Data'!$X$600:$X$743,MATCH(1,($A5=LoadFactorSeasons)*(W$1=LoadFactorHours),0),)</f>
        <v>0</v>
      </c>
      <c r="X5" s="8" cm="1">
        <f t="array" ref="X5">INDEX('Summarized Modified Source Data'!$X$600:$X$743,MATCH(1,($A5=LoadFactorSeasons)*(X$1=LoadFactorHours),0),)</f>
        <v>0</v>
      </c>
      <c r="Y5" s="8" cm="1">
        <f t="array" ref="Y5">INDEX('Summarized Modified Source Data'!$X$600:$X$743,MATCH(1,($A5=LoadFactorSeasons)*(Y$1=LoadFactorHours),0),)</f>
        <v>0</v>
      </c>
    </row>
    <row r="6" spans="1:25" x14ac:dyDescent="0.25">
      <c r="A6" s="8" t="s">
        <v>80</v>
      </c>
      <c r="B6" s="8" cm="1">
        <f t="array" ref="B6">INDEX('Summarized Modified Source Data'!$X$600:$X$743,MATCH(1,($A6=LoadFactorSeasons)*(B$1=LoadFactorHours),0),)</f>
        <v>0</v>
      </c>
      <c r="C6" s="8" cm="1">
        <f t="array" ref="C6">INDEX('Summarized Modified Source Data'!$X$600:$X$743,MATCH(1,($A6=LoadFactorSeasons)*(C$1=LoadFactorHours),0),)</f>
        <v>0</v>
      </c>
      <c r="D6" s="8" cm="1">
        <f t="array" ref="D6">INDEX('Summarized Modified Source Data'!$X$600:$X$743,MATCH(1,($A6=LoadFactorSeasons)*(D$1=LoadFactorHours),0),)</f>
        <v>0</v>
      </c>
      <c r="E6" s="8" cm="1">
        <f t="array" ref="E6">INDEX('Summarized Modified Source Data'!$X$600:$X$743,MATCH(1,($A6=LoadFactorSeasons)*(E$1=LoadFactorHours),0),)</f>
        <v>0</v>
      </c>
      <c r="F6" s="8" cm="1">
        <f t="array" ref="F6">INDEX('Summarized Modified Source Data'!$X$600:$X$743,MATCH(1,($A6=LoadFactorSeasons)*(F$1=LoadFactorHours),0),)</f>
        <v>0</v>
      </c>
      <c r="G6" s="8" cm="1">
        <f t="array" ref="G6">INDEX('Summarized Modified Source Data'!$X$600:$X$743,MATCH(1,($A6=LoadFactorSeasons)*(G$1=LoadFactorHours),0),)</f>
        <v>0</v>
      </c>
      <c r="H6" s="8" cm="1">
        <f t="array" ref="H6">INDEX('Summarized Modified Source Data'!$X$600:$X$743,MATCH(1,($A6=LoadFactorSeasons)*(H$1=LoadFactorHours),0),)</f>
        <v>0</v>
      </c>
      <c r="I6" s="8" cm="1">
        <f t="array" ref="I6">INDEX('Summarized Modified Source Data'!$X$600:$X$743,MATCH(1,($A6=LoadFactorSeasons)*(I$1=LoadFactorHours),0),)</f>
        <v>0</v>
      </c>
      <c r="J6" s="8" cm="1">
        <f t="array" ref="J6">INDEX('Summarized Modified Source Data'!$X$600:$X$743,MATCH(1,($A6=LoadFactorSeasons)*(J$1=LoadFactorHours),0),)</f>
        <v>0</v>
      </c>
      <c r="K6" s="8" cm="1">
        <f t="array" ref="K6">INDEX('Summarized Modified Source Data'!$X$600:$X$743,MATCH(1,($A6=LoadFactorSeasons)*(K$1=LoadFactorHours),0),)</f>
        <v>0</v>
      </c>
      <c r="L6" s="8" cm="1">
        <f t="array" ref="L6">INDEX('Summarized Modified Source Data'!$X$600:$X$743,MATCH(1,($A6=LoadFactorSeasons)*(L$1=LoadFactorHours),0),)</f>
        <v>0</v>
      </c>
      <c r="M6" s="8" cm="1">
        <f t="array" ref="M6">INDEX('Summarized Modified Source Data'!$X$600:$X$743,MATCH(1,($A6=LoadFactorSeasons)*(M$1=LoadFactorHours),0),)</f>
        <v>0</v>
      </c>
      <c r="N6" s="8" cm="1">
        <f t="array" ref="N6">INDEX('Summarized Modified Source Data'!$X$600:$X$743,MATCH(1,($A6=LoadFactorSeasons)*(N$1=LoadFactorHours),0),)</f>
        <v>0</v>
      </c>
      <c r="O6" s="8" cm="1">
        <f t="array" ref="O6">INDEX('Summarized Modified Source Data'!$X$600:$X$743,MATCH(1,($A6=LoadFactorSeasons)*(O$1=LoadFactorHours),0),)</f>
        <v>0</v>
      </c>
      <c r="P6" s="8" cm="1">
        <f t="array" ref="P6">INDEX('Summarized Modified Source Data'!$X$600:$X$743,MATCH(1,($A6=LoadFactorSeasons)*(P$1=LoadFactorHours),0),)</f>
        <v>0</v>
      </c>
      <c r="Q6" s="8" cm="1">
        <f t="array" ref="Q6">INDEX('Summarized Modified Source Data'!$X$600:$X$743,MATCH(1,($A6=LoadFactorSeasons)*(Q$1=LoadFactorHours),0),)</f>
        <v>0</v>
      </c>
      <c r="R6" s="8" cm="1">
        <f t="array" ref="R6">INDEX('Summarized Modified Source Data'!$X$600:$X$743,MATCH(1,($A6=LoadFactorSeasons)*(R$1=LoadFactorHours),0),)</f>
        <v>0</v>
      </c>
      <c r="S6" s="8" cm="1">
        <f t="array" ref="S6">INDEX('Summarized Modified Source Data'!$X$600:$X$743,MATCH(1,($A6=LoadFactorSeasons)*(S$1=LoadFactorHours),0),)</f>
        <v>0</v>
      </c>
      <c r="T6" s="8" cm="1">
        <f t="array" ref="T6">INDEX('Summarized Modified Source Data'!$X$600:$X$743,MATCH(1,($A6=LoadFactorSeasons)*(T$1=LoadFactorHours),0),)</f>
        <v>0</v>
      </c>
      <c r="U6" s="8" cm="1">
        <f t="array" ref="U6">INDEX('Summarized Modified Source Data'!$X$600:$X$743,MATCH(1,($A6=LoadFactorSeasons)*(U$1=LoadFactorHours),0),)</f>
        <v>0</v>
      </c>
      <c r="V6" s="8" cm="1">
        <f t="array" ref="V6">INDEX('Summarized Modified Source Data'!$X$600:$X$743,MATCH(1,($A6=LoadFactorSeasons)*(V$1=LoadFactorHours),0),)</f>
        <v>0</v>
      </c>
      <c r="W6" s="8" cm="1">
        <f t="array" ref="W6">INDEX('Summarized Modified Source Data'!$X$600:$X$743,MATCH(1,($A6=LoadFactorSeasons)*(W$1=LoadFactorHours),0),)</f>
        <v>0</v>
      </c>
      <c r="X6" s="8" cm="1">
        <f t="array" ref="X6">INDEX('Summarized Modified Source Data'!$X$600:$X$743,MATCH(1,($A6=LoadFactorSeasons)*(X$1=LoadFactorHours),0),)</f>
        <v>0</v>
      </c>
      <c r="Y6" s="8" cm="1">
        <f t="array" ref="Y6">INDEX('Summarized Modified Source Data'!$X$600:$X$743,MATCH(1,($A6=LoadFactorSeasons)*(Y$1=LoadFactorHours),0),)</f>
        <v>0</v>
      </c>
    </row>
    <row r="7" spans="1:25" x14ac:dyDescent="0.25">
      <c r="A7" s="8" t="s">
        <v>81</v>
      </c>
      <c r="B7" s="8" cm="1">
        <f t="array" ref="B7">INDEX('Summarized Modified Source Data'!$X$600:$X$743,MATCH(1,($A7=LoadFactorSeasons)*(B$1=LoadFactorHours),0),)</f>
        <v>0</v>
      </c>
      <c r="C7" s="8" cm="1">
        <f t="array" ref="C7">INDEX('Summarized Modified Source Data'!$X$600:$X$743,MATCH(1,($A7=LoadFactorSeasons)*(C$1=LoadFactorHours),0),)</f>
        <v>0</v>
      </c>
      <c r="D7" s="8" cm="1">
        <f t="array" ref="D7">INDEX('Summarized Modified Source Data'!$X$600:$X$743,MATCH(1,($A7=LoadFactorSeasons)*(D$1=LoadFactorHours),0),)</f>
        <v>0</v>
      </c>
      <c r="E7" s="8" cm="1">
        <f t="array" ref="E7">INDEX('Summarized Modified Source Data'!$X$600:$X$743,MATCH(1,($A7=LoadFactorSeasons)*(E$1=LoadFactorHours),0),)</f>
        <v>0</v>
      </c>
      <c r="F7" s="8" cm="1">
        <f t="array" ref="F7">INDEX('Summarized Modified Source Data'!$X$600:$X$743,MATCH(1,($A7=LoadFactorSeasons)*(F$1=LoadFactorHours),0),)</f>
        <v>0</v>
      </c>
      <c r="G7" s="8" cm="1">
        <f t="array" ref="G7">INDEX('Summarized Modified Source Data'!$X$600:$X$743,MATCH(1,($A7=LoadFactorSeasons)*(G$1=LoadFactorHours),0),)</f>
        <v>0</v>
      </c>
      <c r="H7" s="8" cm="1">
        <f t="array" ref="H7">INDEX('Summarized Modified Source Data'!$X$600:$X$743,MATCH(1,($A7=LoadFactorSeasons)*(H$1=LoadFactorHours),0),)</f>
        <v>0</v>
      </c>
      <c r="I7" s="8" cm="1">
        <f t="array" ref="I7">INDEX('Summarized Modified Source Data'!$X$600:$X$743,MATCH(1,($A7=LoadFactorSeasons)*(I$1=LoadFactorHours),0),)</f>
        <v>0</v>
      </c>
      <c r="J7" s="8" cm="1">
        <f t="array" ref="J7">INDEX('Summarized Modified Source Data'!$X$600:$X$743,MATCH(1,($A7=LoadFactorSeasons)*(J$1=LoadFactorHours),0),)</f>
        <v>0</v>
      </c>
      <c r="K7" s="8" cm="1">
        <f t="array" ref="K7">INDEX('Summarized Modified Source Data'!$X$600:$X$743,MATCH(1,($A7=LoadFactorSeasons)*(K$1=LoadFactorHours),0),)</f>
        <v>0</v>
      </c>
      <c r="L7" s="8" cm="1">
        <f t="array" ref="L7">INDEX('Summarized Modified Source Data'!$X$600:$X$743,MATCH(1,($A7=LoadFactorSeasons)*(L$1=LoadFactorHours),0),)</f>
        <v>0</v>
      </c>
      <c r="M7" s="8" cm="1">
        <f t="array" ref="M7">INDEX('Summarized Modified Source Data'!$X$600:$X$743,MATCH(1,($A7=LoadFactorSeasons)*(M$1=LoadFactorHours),0),)</f>
        <v>0</v>
      </c>
      <c r="N7" s="8" cm="1">
        <f t="array" ref="N7">INDEX('Summarized Modified Source Data'!$X$600:$X$743,MATCH(1,($A7=LoadFactorSeasons)*(N$1=LoadFactorHours),0),)</f>
        <v>0</v>
      </c>
      <c r="O7" s="8" cm="1">
        <f t="array" ref="O7">INDEX('Summarized Modified Source Data'!$X$600:$X$743,MATCH(1,($A7=LoadFactorSeasons)*(O$1=LoadFactorHours),0),)</f>
        <v>0</v>
      </c>
      <c r="P7" s="8" cm="1">
        <f t="array" ref="P7">INDEX('Summarized Modified Source Data'!$X$600:$X$743,MATCH(1,($A7=LoadFactorSeasons)*(P$1=LoadFactorHours),0),)</f>
        <v>0</v>
      </c>
      <c r="Q7" s="8" cm="1">
        <f t="array" ref="Q7">INDEX('Summarized Modified Source Data'!$X$600:$X$743,MATCH(1,($A7=LoadFactorSeasons)*(Q$1=LoadFactorHours),0),)</f>
        <v>0</v>
      </c>
      <c r="R7" s="8" cm="1">
        <f t="array" ref="R7">INDEX('Summarized Modified Source Data'!$X$600:$X$743,MATCH(1,($A7=LoadFactorSeasons)*(R$1=LoadFactorHours),0),)</f>
        <v>0</v>
      </c>
      <c r="S7" s="8" cm="1">
        <f t="array" ref="S7">INDEX('Summarized Modified Source Data'!$X$600:$X$743,MATCH(1,($A7=LoadFactorSeasons)*(S$1=LoadFactorHours),0),)</f>
        <v>0</v>
      </c>
      <c r="T7" s="8" cm="1">
        <f t="array" ref="T7">INDEX('Summarized Modified Source Data'!$X$600:$X$743,MATCH(1,($A7=LoadFactorSeasons)*(T$1=LoadFactorHours),0),)</f>
        <v>0</v>
      </c>
      <c r="U7" s="8" cm="1">
        <f t="array" ref="U7">INDEX('Summarized Modified Source Data'!$X$600:$X$743,MATCH(1,($A7=LoadFactorSeasons)*(U$1=LoadFactorHours),0),)</f>
        <v>0</v>
      </c>
      <c r="V7" s="8" cm="1">
        <f t="array" ref="V7">INDEX('Summarized Modified Source Data'!$X$600:$X$743,MATCH(1,($A7=LoadFactorSeasons)*(V$1=LoadFactorHours),0),)</f>
        <v>0</v>
      </c>
      <c r="W7" s="8" cm="1">
        <f t="array" ref="W7">INDEX('Summarized Modified Source Data'!$X$600:$X$743,MATCH(1,($A7=LoadFactorSeasons)*(W$1=LoadFactorHours),0),)</f>
        <v>0</v>
      </c>
      <c r="X7" s="8" cm="1">
        <f t="array" ref="X7">INDEX('Summarized Modified Source Data'!$X$600:$X$743,MATCH(1,($A7=LoadFactorSeasons)*(X$1=LoadFactorHours),0),)</f>
        <v>0</v>
      </c>
      <c r="Y7" s="8" cm="1">
        <f t="array" ref="Y7">INDEX('Summarized Modified Source Data'!$X$600:$X$743,MATCH(1,($A7=LoadFactorSeasons)*(Y$1=LoadFactorHours),0),)</f>
        <v>0</v>
      </c>
    </row>
    <row r="8" spans="1:25" x14ac:dyDescent="0.25">
      <c r="A8" s="8"/>
      <c r="B8" s="8"/>
      <c r="C8" s="8"/>
      <c r="D8" s="8"/>
      <c r="E8" s="8"/>
      <c r="F8" s="8"/>
      <c r="G8" s="8"/>
      <c r="H8" s="8"/>
      <c r="I8" s="8"/>
      <c r="J8" s="8"/>
      <c r="K8" s="8"/>
      <c r="L8" s="8"/>
      <c r="M8" s="8"/>
      <c r="N8" s="8"/>
      <c r="O8" s="8"/>
      <c r="P8" s="8"/>
      <c r="Q8" s="8"/>
      <c r="R8" s="8"/>
      <c r="S8" s="8"/>
      <c r="T8" s="8"/>
      <c r="U8" s="8"/>
      <c r="V8" s="8"/>
      <c r="W8" s="8"/>
      <c r="X8" s="8"/>
      <c r="Y8" s="8"/>
    </row>
    <row r="9" spans="1:25" x14ac:dyDescent="0.25">
      <c r="A9" s="8"/>
      <c r="B9" s="8"/>
      <c r="C9" s="8"/>
      <c r="D9" s="8"/>
      <c r="E9" s="8"/>
      <c r="F9" s="8"/>
      <c r="G9" s="8"/>
      <c r="H9" s="8"/>
      <c r="I9" s="8"/>
      <c r="J9" s="8"/>
      <c r="K9" s="8"/>
      <c r="L9" s="8"/>
      <c r="M9" s="8"/>
      <c r="N9" s="8"/>
      <c r="O9" s="8"/>
      <c r="P9" s="8"/>
      <c r="Q9" s="8"/>
      <c r="R9" s="8"/>
      <c r="S9" s="8"/>
      <c r="T9" s="8"/>
      <c r="U9" s="8"/>
      <c r="V9" s="8"/>
      <c r="W9" s="8"/>
      <c r="X9" s="8"/>
      <c r="Y9" s="8"/>
    </row>
    <row r="10" spans="1:25" x14ac:dyDescent="0.25">
      <c r="A10" s="8"/>
      <c r="B10" s="8"/>
      <c r="C10" s="8"/>
      <c r="D10" s="8"/>
      <c r="E10" s="8"/>
      <c r="F10" s="8"/>
      <c r="G10" s="8"/>
      <c r="H10" s="8"/>
      <c r="I10" s="8"/>
      <c r="J10" s="8"/>
      <c r="K10" s="8"/>
      <c r="L10" s="8"/>
      <c r="M10" s="8"/>
      <c r="N10" s="8"/>
      <c r="O10" s="8"/>
      <c r="P10" s="8"/>
      <c r="Q10" s="8"/>
      <c r="R10" s="8"/>
      <c r="S10" s="8"/>
      <c r="T10" s="8"/>
      <c r="U10" s="8"/>
      <c r="V10" s="8"/>
      <c r="W10" s="8"/>
      <c r="X10" s="8"/>
      <c r="Y10" s="8"/>
    </row>
    <row r="11" spans="1:25" x14ac:dyDescent="0.25">
      <c r="A11" s="8"/>
      <c r="B11" s="8"/>
      <c r="C11" s="8"/>
      <c r="D11" s="8"/>
      <c r="E11" s="8"/>
      <c r="F11" s="8"/>
      <c r="G11" s="8"/>
      <c r="H11" s="8"/>
      <c r="I11" s="8"/>
      <c r="J11" s="8"/>
      <c r="K11" s="8"/>
      <c r="L11" s="8"/>
      <c r="M11" s="8"/>
      <c r="N11" s="8"/>
      <c r="O11" s="8"/>
      <c r="P11" s="8"/>
      <c r="Q11" s="8"/>
      <c r="R11" s="8"/>
      <c r="S11" s="8"/>
      <c r="T11" s="8"/>
      <c r="U11" s="8"/>
      <c r="V11" s="8"/>
      <c r="W11" s="8"/>
      <c r="X11" s="8"/>
      <c r="Y11" s="8"/>
    </row>
    <row r="12" spans="1:25" x14ac:dyDescent="0.25">
      <c r="A12" s="8"/>
      <c r="B12" s="8"/>
      <c r="C12" s="8"/>
      <c r="D12" s="8"/>
      <c r="E12" s="8"/>
      <c r="F12" s="8"/>
      <c r="G12" s="8"/>
      <c r="H12" s="8"/>
      <c r="I12" s="8"/>
      <c r="J12" s="8"/>
      <c r="K12" s="8"/>
      <c r="L12" s="8"/>
      <c r="M12" s="8"/>
      <c r="N12" s="8"/>
      <c r="O12" s="8"/>
      <c r="P12" s="8"/>
      <c r="Q12" s="8"/>
      <c r="R12" s="8"/>
      <c r="S12" s="8"/>
      <c r="T12" s="8"/>
      <c r="U12" s="8"/>
      <c r="V12" s="8"/>
      <c r="W12" s="8"/>
      <c r="X12" s="8"/>
      <c r="Y12" s="8"/>
    </row>
    <row r="13" spans="1:25" x14ac:dyDescent="0.25">
      <c r="A13" s="8"/>
      <c r="B13" s="8"/>
      <c r="C13" s="8"/>
      <c r="D13" s="8"/>
      <c r="E13" s="8"/>
      <c r="F13" s="8"/>
      <c r="G13" s="8"/>
      <c r="H13" s="8"/>
      <c r="I13" s="8"/>
      <c r="J13" s="8"/>
      <c r="K13" s="8"/>
      <c r="L13" s="8"/>
      <c r="M13" s="8"/>
      <c r="N13" s="8"/>
      <c r="O13" s="8"/>
      <c r="P13" s="8"/>
      <c r="Q13" s="8"/>
      <c r="R13" s="8"/>
      <c r="S13" s="8"/>
      <c r="T13" s="8"/>
      <c r="U13" s="8"/>
      <c r="V13" s="8"/>
      <c r="W13" s="8"/>
      <c r="X13" s="8"/>
      <c r="Y13" s="8"/>
    </row>
    <row r="14" spans="1:25" x14ac:dyDescent="0.25">
      <c r="A14" s="8"/>
      <c r="B14" s="8"/>
      <c r="C14" s="8"/>
      <c r="D14" s="8"/>
      <c r="E14" s="8"/>
      <c r="F14" s="8"/>
      <c r="G14" s="8"/>
      <c r="H14" s="8"/>
      <c r="I14" s="8"/>
      <c r="J14" s="8"/>
      <c r="K14" s="8"/>
      <c r="L14" s="8"/>
      <c r="M14" s="8"/>
      <c r="N14" s="8"/>
      <c r="O14" s="8"/>
      <c r="P14" s="8"/>
      <c r="Q14" s="8"/>
      <c r="R14" s="8"/>
      <c r="S14" s="8"/>
      <c r="T14" s="8"/>
      <c r="U14" s="8"/>
      <c r="V14" s="8"/>
      <c r="W14" s="8"/>
      <c r="X14" s="8"/>
      <c r="Y14" s="8"/>
    </row>
    <row r="15" spans="1:25" x14ac:dyDescent="0.25">
      <c r="A15" s="8"/>
      <c r="B15" s="8"/>
      <c r="C15" s="8"/>
      <c r="D15" s="8"/>
      <c r="E15" s="8"/>
      <c r="F15" s="8"/>
      <c r="G15" s="8"/>
      <c r="H15" s="8"/>
      <c r="I15" s="8"/>
      <c r="J15" s="8"/>
      <c r="K15" s="8"/>
      <c r="L15" s="8"/>
      <c r="M15" s="8"/>
      <c r="N15" s="8"/>
      <c r="O15" s="8"/>
      <c r="P15" s="8"/>
      <c r="Q15" s="8"/>
      <c r="R15" s="8"/>
      <c r="S15" s="8"/>
      <c r="T15" s="8"/>
      <c r="U15" s="8"/>
      <c r="V15" s="8"/>
      <c r="W15" s="8"/>
      <c r="X15" s="8"/>
      <c r="Y15" s="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67FB2A-F1F1-4A5B-8B48-1259643665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25</vt:i4>
      </vt:variant>
    </vt:vector>
  </HeadingPairs>
  <TitlesOfParts>
    <vt:vector size="54" baseType="lpstr">
      <vt:lpstr>About</vt:lpstr>
      <vt:lpstr>Transport sector fuel used EPS</vt:lpstr>
      <vt:lpstr>Source Data</vt:lpstr>
      <vt:lpstr>Modified Source Data</vt:lpstr>
      <vt:lpstr>Summarized Modified Source Data</vt:lpstr>
      <vt:lpstr>Category Mapping</vt:lpstr>
      <vt:lpstr>Double Check</vt:lpstr>
      <vt:lpstr>SHELF-days-per-timeslice</vt:lpstr>
      <vt:lpstr>SHELF-residential-heating</vt:lpstr>
      <vt:lpstr>SHELF-residential-cooling</vt:lpstr>
      <vt:lpstr>SHELF-residential-envelope</vt:lpstr>
      <vt:lpstr>SHELF-residential-lighting</vt:lpstr>
      <vt:lpstr>SHELF-residential-appliances</vt:lpstr>
      <vt:lpstr>SHELF-residential-other</vt:lpstr>
      <vt:lpstr>SHELF-commercial-heating</vt:lpstr>
      <vt:lpstr>SHELF-commercial-cooling</vt:lpstr>
      <vt:lpstr>SHELF-commercial-envelope</vt:lpstr>
      <vt:lpstr>SHELF-commercial-lighting</vt:lpstr>
      <vt:lpstr>SHELF-commercial-appliances</vt:lpstr>
      <vt:lpstr>SHELF-commercial-other</vt:lpstr>
      <vt:lpstr>SHELF-LDVs</vt:lpstr>
      <vt:lpstr>SHELF-HDVs</vt:lpstr>
      <vt:lpstr>SHELF-aircraft</vt:lpstr>
      <vt:lpstr>SHELF-rail</vt:lpstr>
      <vt:lpstr>SHELF-ships</vt:lpstr>
      <vt:lpstr>SHELF-motorbikes</vt:lpstr>
      <vt:lpstr>SHELF-industry</vt:lpstr>
      <vt:lpstr>SHELF-district-heat-hydrogen</vt:lpstr>
      <vt:lpstr>SHELF-geoeng</vt:lpstr>
      <vt:lpstr>Aircraft</vt:lpstr>
      <vt:lpstr>DaysPerWeek</vt:lpstr>
      <vt:lpstr>FallWeekdays</vt:lpstr>
      <vt:lpstr>FallWeekendDays</vt:lpstr>
      <vt:lpstr>HDVs</vt:lpstr>
      <vt:lpstr>Hour</vt:lpstr>
      <vt:lpstr>LDVs</vt:lpstr>
      <vt:lpstr>Load</vt:lpstr>
      <vt:lpstr>LoadFactorHours</vt:lpstr>
      <vt:lpstr>LoadFactorSeasons</vt:lpstr>
      <vt:lpstr>Motorbikes</vt:lpstr>
      <vt:lpstr>Rail</vt:lpstr>
      <vt:lpstr>Season</vt:lpstr>
      <vt:lpstr>Sector</vt:lpstr>
      <vt:lpstr>Ships</vt:lpstr>
      <vt:lpstr>SpringWeekdays</vt:lpstr>
      <vt:lpstr>SpringWeekendDays</vt:lpstr>
      <vt:lpstr>Subsector</vt:lpstr>
      <vt:lpstr>SummerWeekdays</vt:lpstr>
      <vt:lpstr>SummerWeekendDays</vt:lpstr>
      <vt:lpstr>TimeOfWeek</vt:lpstr>
      <vt:lpstr>Weekdays</vt:lpstr>
      <vt:lpstr>WeekendDays</vt:lpstr>
      <vt:lpstr>WinterWeekdays</vt:lpstr>
      <vt:lpstr>WinterWeekendDays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Rissman</dc:creator>
  <cp:lastModifiedBy>Rachel Goldstein</cp:lastModifiedBy>
  <dcterms:created xsi:type="dcterms:W3CDTF">2022-08-05T18:16:01Z</dcterms:created>
  <dcterms:modified xsi:type="dcterms:W3CDTF">2025-10-28T14:54:00Z</dcterms:modified>
</cp:coreProperties>
</file>