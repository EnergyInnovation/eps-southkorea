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olors1.xml" ContentType="application/vnd.ms-office.chartcolorstyle+xml"/>
  <Override PartName="/xl/drawings/drawing2.xml" ContentType="application/vnd.openxmlformats-officedocument.drawing+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C:\Users\MeganMahajan\Documents\eps-us\InputData\endo-learn\BGBSC\"/>
    </mc:Choice>
  </mc:AlternateContent>
  <xr:revisionPtr revIDLastSave="0" documentId="13_ncr:1_{64CF225A-7568-4778-89A3-1CD84988F734}" xr6:coauthVersionLast="47" xr6:coauthVersionMax="47" xr10:uidLastSave="{00000000-0000-0000-0000-000000000000}"/>
  <bookViews>
    <workbookView xWindow="28680" yWindow="-120" windowWidth="29040" windowHeight="17520" xr2:uid="{00000000-000D-0000-FFFF-FFFF00000000}"/>
  </bookViews>
  <sheets>
    <sheet name="About" sheetId="1" r:id="rId1"/>
    <sheet name="Grid Battery Storage" sheetId="8" r:id="rId2"/>
    <sheet name="EV Batteries" sheetId="5" r:id="rId3"/>
    <sheet name="Summary" sheetId="7" r:id="rId4"/>
    <sheet name="SYGBSC" sheetId="11" r:id="rId5"/>
    <sheet name="BGBSC" sheetId="6" r:id="rId6"/>
  </sheets>
  <definedNames>
    <definedName name="ec_50">#REF!</definedName>
    <definedName name="max">#REF!</definedName>
    <definedName name="mi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7" l="1"/>
  <c r="D6" i="7"/>
  <c r="E6" i="7"/>
  <c r="F6" i="7"/>
  <c r="G6" i="7"/>
  <c r="H6" i="7"/>
  <c r="I6" i="7"/>
  <c r="J6" i="7"/>
  <c r="K6" i="7"/>
  <c r="L6" i="7"/>
  <c r="M6" i="7"/>
  <c r="N6" i="7"/>
  <c r="O6" i="7"/>
  <c r="P6" i="7"/>
  <c r="Q6" i="7"/>
  <c r="R6" i="7"/>
  <c r="S6" i="7"/>
  <c r="T6" i="7"/>
  <c r="U6" i="7"/>
  <c r="V6" i="7"/>
  <c r="W6" i="7"/>
  <c r="X6" i="7"/>
  <c r="Y6" i="7"/>
  <c r="Z6" i="7"/>
  <c r="AA6" i="7"/>
  <c r="AB6" i="7"/>
  <c r="AC6" i="7"/>
  <c r="AD6" i="7"/>
  <c r="AE6" i="7"/>
  <c r="AF6" i="7"/>
  <c r="B6" i="7"/>
  <c r="C5" i="8"/>
  <c r="D5" i="8"/>
  <c r="E5" i="8"/>
  <c r="F5" i="8"/>
  <c r="G5" i="8"/>
  <c r="H5" i="8"/>
  <c r="I5" i="8"/>
  <c r="J5" i="8"/>
  <c r="K5" i="8"/>
  <c r="L5" i="8"/>
  <c r="M5" i="8"/>
  <c r="N5" i="8"/>
  <c r="O5" i="8"/>
  <c r="P5" i="8"/>
  <c r="Q5" i="8"/>
  <c r="R5" i="8"/>
  <c r="S5" i="8"/>
  <c r="T5" i="8"/>
  <c r="U5" i="8"/>
  <c r="V5" i="8"/>
  <c r="W5" i="8"/>
  <c r="X5" i="8"/>
  <c r="Y5" i="8"/>
  <c r="Z5" i="8"/>
  <c r="AA5" i="8"/>
  <c r="AB5" i="8"/>
  <c r="AC5" i="8"/>
  <c r="AD5" i="8"/>
  <c r="AE5" i="8"/>
  <c r="AF5" i="8"/>
  <c r="B5" i="8"/>
  <c r="B13" i="7"/>
  <c r="C12" i="7"/>
  <c r="U13" i="7" s="1"/>
  <c r="D12" i="7"/>
  <c r="O13" i="7" s="1"/>
  <c r="E12" i="7"/>
  <c r="P13" i="7" s="1"/>
  <c r="F12" i="7"/>
  <c r="Q13" i="7" s="1"/>
  <c r="G12" i="7"/>
  <c r="R13" i="7" s="1"/>
  <c r="H12" i="7"/>
  <c r="S13" i="7" s="1"/>
  <c r="I12" i="7"/>
  <c r="T13" i="7" s="1"/>
  <c r="J12" i="7"/>
  <c r="K12" i="7"/>
  <c r="L12" i="7"/>
  <c r="M12" i="7"/>
  <c r="N12" i="7"/>
  <c r="O12" i="7"/>
  <c r="P12" i="7"/>
  <c r="Q12" i="7"/>
  <c r="R12" i="7"/>
  <c r="S12" i="7"/>
  <c r="T12" i="7"/>
  <c r="U12" i="7"/>
  <c r="V12" i="7"/>
  <c r="W12" i="7"/>
  <c r="X12" i="7"/>
  <c r="Y12" i="7"/>
  <c r="Z12" i="7"/>
  <c r="AA12" i="7"/>
  <c r="AB12" i="7"/>
  <c r="AC12" i="7"/>
  <c r="AD12" i="7"/>
  <c r="AE12" i="7"/>
  <c r="AF12" i="7"/>
  <c r="B12" i="7"/>
  <c r="V13" i="7" s="1"/>
  <c r="B14" i="5"/>
  <c r="AC12" i="5" a="1"/>
  <c r="AC12" i="5" s="1"/>
  <c r="AD12" i="5" a="1"/>
  <c r="AD12" i="5"/>
  <c r="AE12" i="5" a="1"/>
  <c r="AE12" i="5"/>
  <c r="AF12" i="5" a="1"/>
  <c r="AF12" i="5" s="1"/>
  <c r="AB12" i="5" a="1"/>
  <c r="AB12" i="5" s="1"/>
  <c r="X12" i="5" a="1"/>
  <c r="X12" i="5"/>
  <c r="Y12" i="5" a="1"/>
  <c r="Y12" i="5"/>
  <c r="Z12" i="5" a="1"/>
  <c r="Z12" i="5"/>
  <c r="AA12" i="5" a="1"/>
  <c r="AA12" i="5" s="1"/>
  <c r="W12" i="5" a="1"/>
  <c r="W12" i="5" s="1"/>
  <c r="S12" i="5" a="1"/>
  <c r="S12" i="5"/>
  <c r="T12" i="5" a="1"/>
  <c r="T12" i="5"/>
  <c r="U12" i="5" a="1"/>
  <c r="U12" i="5"/>
  <c r="V12" i="5" a="1"/>
  <c r="V12" i="5" s="1"/>
  <c r="R12" i="5" a="1"/>
  <c r="R12" i="5" s="1"/>
  <c r="N12" i="5" a="1"/>
  <c r="N12" i="5"/>
  <c r="O12" i="5" a="1"/>
  <c r="O12" i="5"/>
  <c r="P12" i="5" a="1"/>
  <c r="P12" i="5"/>
  <c r="Q12" i="5" a="1"/>
  <c r="Q12" i="5" s="1"/>
  <c r="M12" i="5" a="1"/>
  <c r="M12" i="5"/>
  <c r="I12" i="5" a="1"/>
  <c r="I12" i="5"/>
  <c r="J12" i="5" a="1"/>
  <c r="J12" i="5"/>
  <c r="K12" i="5" a="1"/>
  <c r="K12" i="5"/>
  <c r="L12" i="5" a="1"/>
  <c r="L12" i="5" s="1"/>
  <c r="H12" i="5" a="1"/>
  <c r="H12" i="5" s="1"/>
  <c r="C12" i="5" a="1"/>
  <c r="C12" i="5" s="1"/>
  <c r="D12" i="5" a="1"/>
  <c r="D12" i="5" s="1"/>
  <c r="E12" i="5" a="1"/>
  <c r="E12" i="5"/>
  <c r="F12" i="5" a="1"/>
  <c r="F12" i="5" s="1"/>
  <c r="G12" i="5" a="1"/>
  <c r="G12" i="5" s="1"/>
  <c r="B12" i="5" a="1"/>
  <c r="B12" i="5"/>
  <c r="B16" i="5"/>
  <c r="N13" i="7" l="1"/>
  <c r="M13" i="7"/>
  <c r="AF13" i="7"/>
  <c r="L13" i="7"/>
  <c r="AE13" i="7"/>
  <c r="K13" i="7"/>
  <c r="AD13" i="7"/>
  <c r="J13" i="7"/>
  <c r="AC13" i="7"/>
  <c r="I13" i="7"/>
  <c r="AB13" i="7"/>
  <c r="H13" i="7"/>
  <c r="AA13" i="7"/>
  <c r="G13" i="7"/>
  <c r="Z13" i="7"/>
  <c r="F13" i="7"/>
  <c r="Y13" i="7"/>
  <c r="E13" i="7"/>
  <c r="X13" i="7"/>
  <c r="D13" i="7"/>
  <c r="W13" i="7"/>
  <c r="C13" i="7"/>
  <c r="AE2" i="6"/>
  <c r="AD2" i="6"/>
  <c r="AC2" i="6"/>
  <c r="AB2" i="6"/>
  <c r="V2" i="6"/>
  <c r="U2" i="6"/>
  <c r="T2" i="6"/>
  <c r="S2" i="6"/>
  <c r="R2" i="6"/>
  <c r="Q2" i="6"/>
  <c r="P2" i="6"/>
  <c r="O2" i="6"/>
  <c r="N2" i="6"/>
  <c r="M2" i="6"/>
  <c r="L2" i="6"/>
  <c r="K2" i="6"/>
  <c r="J2" i="6"/>
  <c r="I2" i="6"/>
  <c r="H2" i="6"/>
  <c r="B2" i="6"/>
  <c r="B2" i="11"/>
  <c r="AF16" i="5"/>
  <c r="AF14" i="5" s="1"/>
  <c r="AE16" i="5"/>
  <c r="AE14" i="5" s="1"/>
  <c r="AD16" i="5"/>
  <c r="AD14" i="5" s="1"/>
  <c r="AC16" i="5"/>
  <c r="AC14" i="5" s="1"/>
  <c r="AB16" i="5"/>
  <c r="AB14" i="5" s="1"/>
  <c r="AA16" i="5"/>
  <c r="Z16" i="5"/>
  <c r="Z14" i="5" s="1"/>
  <c r="Y16" i="5"/>
  <c r="Y14" i="5" s="1"/>
  <c r="X16" i="5"/>
  <c r="X14" i="5" s="1"/>
  <c r="W16" i="5"/>
  <c r="V16" i="5"/>
  <c r="V14" i="5" s="1"/>
  <c r="U16" i="5"/>
  <c r="U14" i="5" s="1"/>
  <c r="T16" i="5"/>
  <c r="T14" i="5" s="1"/>
  <c r="S16" i="5"/>
  <c r="S14" i="5" s="1"/>
  <c r="R16" i="5"/>
  <c r="R14" i="5" s="1"/>
  <c r="Q16" i="5"/>
  <c r="Q14" i="5" s="1"/>
  <c r="P16" i="5"/>
  <c r="P14" i="5" s="1"/>
  <c r="O16" i="5"/>
  <c r="O14" i="5" s="1"/>
  <c r="N16" i="5"/>
  <c r="N14" i="5" s="1"/>
  <c r="M16" i="5"/>
  <c r="L16" i="5"/>
  <c r="L14" i="5" s="1"/>
  <c r="K16" i="5"/>
  <c r="K14" i="5" s="1"/>
  <c r="J16" i="5"/>
  <c r="J14" i="5" s="1"/>
  <c r="I16" i="5"/>
  <c r="I14" i="5" s="1"/>
  <c r="H16" i="5"/>
  <c r="H14" i="5" s="1"/>
  <c r="G16" i="5"/>
  <c r="G14" i="5" s="1"/>
  <c r="F16" i="5"/>
  <c r="F14" i="5" s="1"/>
  <c r="E16" i="5"/>
  <c r="E14" i="5" s="1"/>
  <c r="D16" i="5"/>
  <c r="D14" i="5" s="1"/>
  <c r="C16" i="5"/>
  <c r="C14" i="5" s="1"/>
  <c r="V15" i="5"/>
  <c r="AA14" i="5"/>
  <c r="W14" i="5"/>
  <c r="M14" i="5"/>
  <c r="C2" i="6" l="1"/>
  <c r="W2" i="6"/>
  <c r="D2" i="6"/>
  <c r="E2" i="6"/>
  <c r="F2" i="6"/>
  <c r="Z2" i="6"/>
  <c r="X2" i="6"/>
  <c r="Y2" i="6"/>
  <c r="G2" i="6"/>
  <c r="AA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<sst xmlns="http://schemas.openxmlformats.org/spreadsheetml/2006/main" count="31" uniqueCount="29">
  <si>
    <t>BGBSC BAU Global Battery Storage Capacity</t>
  </si>
  <si>
    <t>Sources:</t>
  </si>
  <si>
    <t>BNEF Data</t>
  </si>
  <si>
    <t>Global EV Li-Ion Battery Demand (GWh)</t>
  </si>
  <si>
    <t>New EV Sales (Number of Vehicles)</t>
  </si>
  <si>
    <t>Global battery cap (MWh)</t>
  </si>
  <si>
    <t>For grid batteries, we will use BNEF NEO numbers and curve fit to extrapolate</t>
  </si>
  <si>
    <t>Bloomberg</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</si>
  <si>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</si>
  <si>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</si>
  <si>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</si>
  <si>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</si>
  <si>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Grid battery capacity (MWh)</t>
  </si>
  <si>
    <t>EV battery new sales (MWh)</t>
  </si>
  <si>
    <t>New EV Sales, Extrapolated (Number of Vehicles)</t>
  </si>
  <si>
    <t>Executive Summary</t>
  </si>
  <si>
    <t>EV sales</t>
  </si>
  <si>
    <t>Grid batteries through 2030</t>
  </si>
  <si>
    <t>Raw Data</t>
  </si>
  <si>
    <t>BNEF - Long-Term Electric Vehicle Outlook 2024</t>
  </si>
  <si>
    <t>EV cumulative battery capacity</t>
  </si>
  <si>
    <t>GW to GWh, assuming 4 hour battery capacity</t>
  </si>
  <si>
    <t>Cumulative GW Capacity</t>
  </si>
  <si>
    <t>Cumulative GWh Capacity</t>
  </si>
  <si>
    <t>New Energy Outlook 2024</t>
  </si>
  <si>
    <t>https://www.bnef.com/insights/33869</t>
  </si>
  <si>
    <t>Data Viewer</t>
  </si>
  <si>
    <t>Electric Vehicle Outlook 2024</t>
  </si>
  <si>
    <t>https://about.bnef.com/electric-vehicle-outlook/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</si>
</sst>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9"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18">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7" fillId="0" borderId="1" xfId="3" applyFont="1" applyBorder="1"/>
    <xf numFmtId="164" fontId="5" fillId="0" borderId="0" xfId="1" applyNumberFormat="1" applyFont="1" applyFill="1" applyBorder="1" applyAlignment="1" applyProtection="1">
      <alignment horizontal="right"/>
      <protection locked="0"/>
    </xf>
    <xf numFmtId="1" fontId="0" fillId="0" borderId="0" xfId="0" applyNumberFormat="1"/>
    <xf numFmtId="0" fontId="0" fillId="0" borderId="0" xfId="0" applyAlignment="1">
      <alignment horizontal="left"/>
    </xf>
    <xf numFmtId="0" fontId="8" fillId="0" borderId="0" xfId="0" applyFont="1"/>
    <xf numFmtId="43" fontId="5" fillId="0" borderId="0" xfId="1" applyFont="1" applyFill="1" applyBorder="1" applyAlignment="1" applyProtection="1">
      <alignment horizontal="right"/>
      <protection locked="0"/>
    </xf>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43" fontId="0" fillId="0" borderId="0" xfId="0" applyNumberFormat="1"/>
    <xf numFmtId="0" fontId="0" fillId="0" borderId="0" xfId="0" applyAlignment="1">
      <alignment wrapText="1"/>
    </xf>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xdr:from>
      <xdr:col>20</xdr:col>
      <xdr:colOff>346982</xdr:colOff>
      <xdr:row>38</xdr:row>
      <xdr:rowOff>166007</xdr:rowOff>
    </xdr:from>
    <xdr:to>
      <xdr:col>26</xdr:col>
      <xdr:colOff>210910</xdr:colOff>
      <xdr:row>53</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2161760</xdr:colOff>
      <xdr:row>37</xdr:row>
      <xdr:rowOff>152400</xdr:rowOff>
    </xdr:from>
    <xdr:to>
      <xdr:col>10</xdr:col>
      <xdr:colOff>198782</xdr:colOff>
      <xdr:row>57</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tabSelected="1" workbookViewId="0">
      <selection activeCell="B19" sqref="B19"/>
    </sheetView>
  </sheetViews>
  <sheetFormatPr defaultRowHeight="15" x14ac:dyDescent="0.25"/>
  <cols>
    <col min="2" max="2" width="60.85546875" customWidth="1"/>
  </cols>
  <sheetData>
    <row r="1" spans="1:2" x14ac:dyDescent="0.25">
      <c r="A1" s="1" t="s">
        <v>0</v>
      </c>
    </row>
    <row r="3" spans="1:2" x14ac:dyDescent="0.25">
      <c r="A3" s="1" t="s">
        <v>1</v>
      </c>
      <c r="B3" s="2" t="s">
        <v>17</v>
      </c>
    </row>
    <row r="4" spans="1:2" x14ac:dyDescent="0.25">
      <c r="B4" t="s">
        <v>7</v>
      </c>
    </row>
    <row r="5" spans="1:2" x14ac:dyDescent="0.25">
      <c r="B5" s="9">
        <v>2024</v>
      </c>
    </row>
    <row r="6" spans="1:2" x14ac:dyDescent="0.25">
      <c r="B6" t="s">
        <v>24</v>
      </c>
    </row>
    <row r="7" spans="1:2" x14ac:dyDescent="0.25">
      <c r="B7" t="s">
        <v>25</v>
      </c>
    </row>
    <row r="8" spans="1:2" x14ac:dyDescent="0.25">
      <c r="B8" s="10" t="s">
        <v>26</v>
      </c>
    </row>
    <row r="10" spans="1:2" x14ac:dyDescent="0.25">
      <c r="B10" s="2" t="s">
        <v>16</v>
      </c>
    </row>
    <row r="11" spans="1:2" x14ac:dyDescent="0.25">
      <c r="B11" t="s">
        <v>7</v>
      </c>
    </row>
    <row r="12" spans="1:2" x14ac:dyDescent="0.25">
      <c r="B12" s="9">
        <v>2024</v>
      </c>
    </row>
    <row r="13" spans="1:2" x14ac:dyDescent="0.25">
      <c r="B13" s="10" t="s">
        <v>27</v>
      </c>
    </row>
    <row r="14" spans="1:2" x14ac:dyDescent="0.25">
      <c r="B14" s="10" t="s">
        <v>28</v>
      </c>
    </row>
    <row r="15" spans="1:2" x14ac:dyDescent="0.25">
      <c r="B15" t="s">
        <v>15</v>
      </c>
    </row>
    <row r="19" spans="1:1" x14ac:dyDescent="0.25">
      <c r="A19"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5"/>
  <sheetViews>
    <sheetView workbookViewId="0">
      <selection activeCell="B5" sqref="B5:AF5"/>
    </sheetView>
  </sheetViews>
  <sheetFormatPr defaultRowHeight="15" x14ac:dyDescent="0.25"/>
  <cols>
    <col min="1" max="1" width="35.140625" customWidth="1"/>
  </cols>
  <sheetData>
    <row r="1" spans="1:32" ht="45" x14ac:dyDescent="0.25">
      <c r="A1" s="17" t="s">
        <v>21</v>
      </c>
      <c r="B1">
        <v>4</v>
      </c>
    </row>
    <row r="2" spans="1:32" x14ac:dyDescent="0.25">
      <c r="A2" s="17"/>
    </row>
    <row r="3" spans="1:32" x14ac:dyDescent="0.25">
      <c r="B3">
        <v>2020</v>
      </c>
      <c r="C3">
        <v>2021</v>
      </c>
      <c r="D3">
        <v>2022</v>
      </c>
      <c r="E3">
        <v>2023</v>
      </c>
      <c r="F3">
        <v>2024</v>
      </c>
      <c r="G3">
        <v>2025</v>
      </c>
      <c r="H3">
        <v>2026</v>
      </c>
      <c r="I3">
        <v>2027</v>
      </c>
      <c r="J3">
        <v>2028</v>
      </c>
      <c r="K3">
        <v>2029</v>
      </c>
      <c r="L3">
        <v>2030</v>
      </c>
      <c r="M3">
        <v>2031</v>
      </c>
      <c r="N3">
        <v>2032</v>
      </c>
      <c r="O3">
        <v>2033</v>
      </c>
      <c r="P3">
        <v>2034</v>
      </c>
      <c r="Q3">
        <v>2035</v>
      </c>
      <c r="R3">
        <v>2036</v>
      </c>
      <c r="S3">
        <v>2037</v>
      </c>
      <c r="T3">
        <v>2038</v>
      </c>
      <c r="U3">
        <v>2039</v>
      </c>
      <c r="V3">
        <v>2040</v>
      </c>
      <c r="W3">
        <v>2041</v>
      </c>
      <c r="X3">
        <v>2042</v>
      </c>
      <c r="Y3">
        <v>2043</v>
      </c>
      <c r="Z3">
        <v>2044</v>
      </c>
      <c r="AA3">
        <v>2045</v>
      </c>
      <c r="AB3">
        <v>2046</v>
      </c>
      <c r="AC3">
        <v>2047</v>
      </c>
      <c r="AD3">
        <v>2048</v>
      </c>
      <c r="AE3">
        <v>2049</v>
      </c>
      <c r="AF3">
        <v>2050</v>
      </c>
    </row>
    <row r="4" spans="1:32" x14ac:dyDescent="0.25">
      <c r="A4" t="s">
        <v>22</v>
      </c>
      <c r="B4">
        <v>13.247281105915055</v>
      </c>
      <c r="C4">
        <v>21.363129400805391</v>
      </c>
      <c r="D4">
        <v>36.192173104560041</v>
      </c>
      <c r="E4">
        <v>71.056483145288055</v>
      </c>
      <c r="F4">
        <v>114.89378869217776</v>
      </c>
      <c r="G4">
        <v>183.3137108534404</v>
      </c>
      <c r="H4">
        <v>260.65537498436424</v>
      </c>
      <c r="I4">
        <v>346.64573458872809</v>
      </c>
      <c r="J4">
        <v>446.36440357107472</v>
      </c>
      <c r="K4">
        <v>561.26091421392471</v>
      </c>
      <c r="L4">
        <v>676.29399518837965</v>
      </c>
      <c r="M4">
        <v>798.77508271626971</v>
      </c>
      <c r="N4">
        <v>940.64168252845093</v>
      </c>
      <c r="O4">
        <v>1105.8804816017559</v>
      </c>
      <c r="P4">
        <v>1253.0810393994375</v>
      </c>
      <c r="Q4">
        <v>1421.0560143969938</v>
      </c>
      <c r="R4">
        <v>1578.3919138340302</v>
      </c>
      <c r="S4">
        <v>1718.9608994238681</v>
      </c>
      <c r="T4">
        <v>1863.8192229470928</v>
      </c>
      <c r="U4">
        <v>1997.7666531664406</v>
      </c>
      <c r="V4">
        <v>2099.0665923106285</v>
      </c>
      <c r="W4">
        <v>2170.563827379588</v>
      </c>
      <c r="X4">
        <v>2251.5136294993804</v>
      </c>
      <c r="Y4">
        <v>2339.5765845689107</v>
      </c>
      <c r="Z4">
        <v>2429.0863105265566</v>
      </c>
      <c r="AA4">
        <v>2536.2845317513479</v>
      </c>
      <c r="AB4">
        <v>2616.3303081983927</v>
      </c>
      <c r="AC4">
        <v>2713.0356193918324</v>
      </c>
      <c r="AD4">
        <v>2809.3509461343479</v>
      </c>
      <c r="AE4">
        <v>2915.8250885086868</v>
      </c>
      <c r="AF4">
        <v>3018.3651290394619</v>
      </c>
    </row>
    <row r="5" spans="1:32" x14ac:dyDescent="0.25">
      <c r="A5" t="s">
        <v>23</v>
      </c>
      <c r="B5">
        <f>B4*$B$1</f>
        <v>52.989124423660222</v>
      </c>
      <c r="C5">
        <f t="shared" ref="C5:AF5" si="0">C4*$B$1</f>
        <v>85.452517603221565</v>
      </c>
      <c r="D5">
        <f t="shared" si="0"/>
        <v>144.76869241824016</v>
      </c>
      <c r="E5">
        <f t="shared" si="0"/>
        <v>284.22593258115222</v>
      </c>
      <c r="F5">
        <f t="shared" si="0"/>
        <v>459.57515476871106</v>
      </c>
      <c r="G5">
        <f t="shared" si="0"/>
        <v>733.25484341376159</v>
      </c>
      <c r="H5">
        <f t="shared" si="0"/>
        <v>1042.621499937457</v>
      </c>
      <c r="I5">
        <f t="shared" si="0"/>
        <v>1386.5829383549124</v>
      </c>
      <c r="J5">
        <f t="shared" si="0"/>
        <v>1785.4576142842989</v>
      </c>
      <c r="K5">
        <f t="shared" si="0"/>
        <v>2245.0436568556988</v>
      </c>
      <c r="L5">
        <f t="shared" si="0"/>
        <v>2705.1759807535186</v>
      </c>
      <c r="M5">
        <f t="shared" si="0"/>
        <v>3195.1003308650788</v>
      </c>
      <c r="N5">
        <f t="shared" si="0"/>
        <v>3762.5667301138037</v>
      </c>
      <c r="O5">
        <f t="shared" si="0"/>
        <v>4423.5219264070238</v>
      </c>
      <c r="P5">
        <f t="shared" si="0"/>
        <v>5012.3241575977499</v>
      </c>
      <c r="Q5">
        <f t="shared" si="0"/>
        <v>5684.224057587975</v>
      </c>
      <c r="R5">
        <f t="shared" si="0"/>
        <v>6313.5676553361209</v>
      </c>
      <c r="S5">
        <f t="shared" si="0"/>
        <v>6875.8435976954725</v>
      </c>
      <c r="T5">
        <f t="shared" si="0"/>
        <v>7455.2768917883714</v>
      </c>
      <c r="U5">
        <f t="shared" si="0"/>
        <v>7991.0666126657625</v>
      </c>
      <c r="V5">
        <f t="shared" si="0"/>
        <v>8396.266369242514</v>
      </c>
      <c r="W5">
        <f t="shared" si="0"/>
        <v>8682.2553095183521</v>
      </c>
      <c r="X5">
        <f t="shared" si="0"/>
        <v>9006.0545179975215</v>
      </c>
      <c r="Y5">
        <f t="shared" si="0"/>
        <v>9358.3063382756427</v>
      </c>
      <c r="Z5">
        <f t="shared" si="0"/>
        <v>9716.3452421062266</v>
      </c>
      <c r="AA5">
        <f t="shared" si="0"/>
        <v>10145.138127005392</v>
      </c>
      <c r="AB5">
        <f t="shared" si="0"/>
        <v>10465.321232793571</v>
      </c>
      <c r="AC5">
        <f t="shared" si="0"/>
        <v>10852.142477567329</v>
      </c>
      <c r="AD5">
        <f t="shared" si="0"/>
        <v>11237.403784537391</v>
      </c>
      <c r="AE5">
        <f t="shared" si="0"/>
        <v>11663.300354034747</v>
      </c>
      <c r="AF5">
        <f t="shared" si="0"/>
        <v>12073.460516157847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6"/>
  <sheetViews>
    <sheetView workbookViewId="0">
      <selection activeCell="B16" sqref="B16"/>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2" x14ac:dyDescent="0.25">
      <c r="A1" s="1"/>
      <c r="B1" s="5"/>
      <c r="C1" s="5"/>
      <c r="D1" s="5"/>
      <c r="E1" s="5"/>
      <c r="F1" s="5"/>
    </row>
    <row r="7" spans="1:32" x14ac:dyDescent="0.25">
      <c r="B7">
        <v>2020</v>
      </c>
      <c r="C7">
        <v>2025</v>
      </c>
      <c r="D7">
        <v>2030</v>
      </c>
      <c r="E7">
        <v>2035</v>
      </c>
      <c r="F7">
        <v>2040</v>
      </c>
      <c r="G7">
        <v>2045</v>
      </c>
      <c r="H7">
        <v>2050</v>
      </c>
    </row>
    <row r="8" spans="1:32" x14ac:dyDescent="0.25">
      <c r="A8" t="s">
        <v>18</v>
      </c>
      <c r="B8">
        <v>150082678.90546128</v>
      </c>
      <c r="C8">
        <v>1039758533.1242721</v>
      </c>
      <c r="D8">
        <v>2255679022.7938457</v>
      </c>
      <c r="E8">
        <v>3373440873.6571217</v>
      </c>
      <c r="F8">
        <v>4005623127.164907</v>
      </c>
      <c r="G8">
        <v>3899390564.8235865</v>
      </c>
      <c r="H8">
        <v>3630152910.6631694</v>
      </c>
    </row>
    <row r="10" spans="1:32" ht="23.25" x14ac:dyDescent="0.35">
      <c r="A10" s="4" t="s">
        <v>2</v>
      </c>
    </row>
    <row r="11" spans="1:32" x14ac:dyDescent="0.25">
      <c r="A11" s="3" t="s">
        <v>19</v>
      </c>
      <c r="B11" s="6">
        <v>2020</v>
      </c>
      <c r="C11" s="6">
        <v>2021</v>
      </c>
      <c r="D11" s="6">
        <v>2022</v>
      </c>
      <c r="E11" s="6">
        <v>2023</v>
      </c>
      <c r="F11" s="6">
        <v>2024</v>
      </c>
      <c r="G11" s="6">
        <v>2025</v>
      </c>
      <c r="H11" s="6">
        <v>2026</v>
      </c>
      <c r="I11" s="6">
        <v>2027</v>
      </c>
      <c r="J11" s="6">
        <v>2028</v>
      </c>
      <c r="K11" s="6">
        <v>2029</v>
      </c>
      <c r="L11" s="6">
        <v>2030</v>
      </c>
      <c r="M11" s="6">
        <v>2031</v>
      </c>
      <c r="N11" s="6">
        <v>2032</v>
      </c>
      <c r="O11" s="6">
        <v>2033</v>
      </c>
      <c r="P11" s="6">
        <v>2034</v>
      </c>
      <c r="Q11" s="6">
        <v>2035</v>
      </c>
      <c r="R11" s="6">
        <v>2036</v>
      </c>
      <c r="S11" s="6">
        <v>2037</v>
      </c>
      <c r="T11" s="6">
        <v>2038</v>
      </c>
      <c r="U11" s="6">
        <v>2039</v>
      </c>
      <c r="V11" s="6">
        <v>2040</v>
      </c>
      <c r="W11" s="6">
        <v>2041</v>
      </c>
      <c r="X11" s="6">
        <v>2042</v>
      </c>
      <c r="Y11" s="6">
        <v>2043</v>
      </c>
      <c r="Z11" s="6">
        <v>2044</v>
      </c>
      <c r="AA11" s="6">
        <v>2045</v>
      </c>
      <c r="AB11" s="6">
        <v>2046</v>
      </c>
      <c r="AC11" s="6">
        <v>2047</v>
      </c>
      <c r="AD11" s="6">
        <v>2048</v>
      </c>
      <c r="AE11" s="6">
        <v>2049</v>
      </c>
      <c r="AF11" s="6">
        <v>2050</v>
      </c>
    </row>
    <row r="12" spans="1:32" x14ac:dyDescent="0.25">
      <c r="A12" t="s">
        <v>3</v>
      </c>
      <c r="B12" s="11" cm="1">
        <f t="array" ref="B12">TREND($B$8:$C$8,$B$7:$C$7,B11)/10^6</f>
        <v>150.08267890545653</v>
      </c>
      <c r="C12" s="11" cm="1">
        <f t="array" ref="C12">TREND($B$8:$C$8,$B$7:$C$7,C11)/10^6</f>
        <v>328.01784974926755</v>
      </c>
      <c r="D12" s="11" cm="1">
        <f t="array" ref="D12">TREND($B$8:$C$8,$B$7:$C$7,D11)/10^6</f>
        <v>505.95302059301758</v>
      </c>
      <c r="E12" s="11" cm="1">
        <f t="array" ref="E12">TREND($B$8:$C$8,$B$7:$C$7,E11)/10^6</f>
        <v>683.88819143676756</v>
      </c>
      <c r="F12" s="11" cm="1">
        <f t="array" ref="F12">TREND($B$8:$C$8,$B$7:$C$7,F11)/10^6</f>
        <v>861.82336228051759</v>
      </c>
      <c r="G12" s="11" cm="1">
        <f t="array" ref="G12">TREND($B$8:$C$8,$B$7:$C$7,G11)/10^6</f>
        <v>1039.7585331242676</v>
      </c>
      <c r="H12" s="11" cm="1">
        <f t="array" ref="H12">TREND($C$8:$D$8,$C$7:$D$7,H11)/10^6</f>
        <v>1282.9426310581664</v>
      </c>
      <c r="I12" s="11" cm="1">
        <f t="array" ref="I12">TREND($C$8:$D$8,$C$7:$D$7,I11)/10^6</f>
        <v>1526.1267289921266</v>
      </c>
      <c r="J12" s="11" cm="1">
        <f t="array" ref="J12">TREND($C$8:$D$8,$C$7:$D$7,J11)/10^6</f>
        <v>1769.3108269260254</v>
      </c>
      <c r="K12" s="11" cm="1">
        <f t="array" ref="K12">TREND($C$8:$D$8,$C$7:$D$7,K11)/10^6</f>
        <v>2012.4949248599244</v>
      </c>
      <c r="L12" s="11" cm="1">
        <f t="array" ref="L12">TREND($C$8:$D$8,$C$7:$D$7,L11)/10^6</f>
        <v>2255.6790227938232</v>
      </c>
      <c r="M12" s="11" cm="1">
        <f t="array" ref="M12">TREND($D$8:$E$8,$D$7:$E$7,M11)/10^6</f>
        <v>2479.2313929664915</v>
      </c>
      <c r="N12" s="11" cm="1">
        <f t="array" ref="N12">TREND($D$8:$E$8,$D$7:$E$7,N11)/10^6</f>
        <v>2702.7837631390989</v>
      </c>
      <c r="O12" s="11" cm="1">
        <f t="array" ref="O12">TREND($D$8:$E$8,$D$7:$E$7,O11)/10^6</f>
        <v>2926.3361333117678</v>
      </c>
      <c r="P12" s="11" cm="1">
        <f t="array" ref="P12">TREND($D$8:$E$8,$D$7:$E$7,P11)/10^6</f>
        <v>3149.8885034844361</v>
      </c>
      <c r="Q12" s="11" cm="1">
        <f t="array" ref="Q12">TREND($D$8:$E$8,$D$7:$E$7,Q11)/10^6</f>
        <v>3373.4408736571045</v>
      </c>
      <c r="R12" s="11" cm="1">
        <f t="array" ref="R12">TREND($E$8:$F$8,$E$7:$F$7,R11)/10^6</f>
        <v>3499.8773243587034</v>
      </c>
      <c r="S12" s="11" cm="1">
        <f t="array" ref="S12">TREND($E$8:$F$8,$E$7:$F$7,S11)/10^6</f>
        <v>3626.3137750602418</v>
      </c>
      <c r="T12" s="11" cm="1">
        <f t="array" ref="T12">TREND($E$8:$F$8,$E$7:$F$7,T11)/10^6</f>
        <v>3752.7502257618103</v>
      </c>
      <c r="U12" s="11" cm="1">
        <f t="array" ref="U12">TREND($E$8:$F$8,$E$7:$F$7,U11)/10^6</f>
        <v>3879.1866764633482</v>
      </c>
      <c r="V12" s="11" cm="1">
        <f t="array" ref="V12">TREND($E$8:$F$8,$E$7:$F$7,V11)/10^6</f>
        <v>4005.6231271649172</v>
      </c>
      <c r="W12" s="11" cm="1">
        <f t="array" ref="W12">TREND($F$8:$G$8,$F$7:$G$7,W11)/10^6</f>
        <v>3984.37661469664</v>
      </c>
      <c r="X12" s="11" cm="1">
        <f t="array" ref="X12">TREND($F$8:$G$8,$F$7:$G$7,X11)/10^6</f>
        <v>3963.1301022283783</v>
      </c>
      <c r="Y12" s="11" cm="1">
        <f t="array" ref="Y12">TREND($F$8:$G$8,$F$7:$G$7,Y11)/10^6</f>
        <v>3941.8835897601166</v>
      </c>
      <c r="Z12" s="11" cm="1">
        <f t="array" ref="Z12">TREND($F$8:$G$8,$F$7:$G$7,Z11)/10^6</f>
        <v>3920.6370772918472</v>
      </c>
      <c r="AA12" s="11" cm="1">
        <f t="array" ref="AA12">TREND($F$8:$G$8,$F$7:$G$7,AA11)/10^6</f>
        <v>3899.3905648235855</v>
      </c>
      <c r="AB12" s="11" cm="1">
        <f t="array" ref="AB12">TREND($G$8:$H$8,$G$7:$H$7,AB11)/10^6</f>
        <v>3845.543033991501</v>
      </c>
      <c r="AC12" s="11" cm="1">
        <f t="array" ref="AC12">TREND($G$8:$H$8,$G$7:$H$7,AC11)/10^6</f>
        <v>3791.6955031594084</v>
      </c>
      <c r="AD12" s="11" cm="1">
        <f t="array" ref="AD12">TREND($G$8:$H$8,$G$7:$H$7,AD11)/10^6</f>
        <v>3737.8479723273317</v>
      </c>
      <c r="AE12" s="11" cm="1">
        <f t="array" ref="AE12">TREND($G$8:$H$8,$G$7:$H$7,AE11)/10^6</f>
        <v>3684.0004414952546</v>
      </c>
      <c r="AF12" s="11" cm="1">
        <f t="array" ref="AF12">TREND($G$8:$H$8,$G$7:$H$7,AF11)/10^6</f>
        <v>3630.1529106631624</v>
      </c>
    </row>
    <row r="13" spans="1:32" x14ac:dyDescent="0.25">
      <c r="A13" t="s">
        <v>4</v>
      </c>
      <c r="B13" s="7"/>
      <c r="C13" s="7"/>
      <c r="E13" s="7"/>
      <c r="F13" s="7"/>
      <c r="G13" s="7"/>
      <c r="H13" s="7"/>
      <c r="I13" s="7"/>
      <c r="J13" s="7"/>
      <c r="K13" s="7"/>
      <c r="L13" s="7"/>
      <c r="M13" s="7"/>
      <c r="N13" s="7"/>
      <c r="O13" s="7"/>
      <c r="P13" s="7"/>
      <c r="Q13" s="7"/>
      <c r="R13" s="7"/>
      <c r="S13" s="7"/>
      <c r="T13" s="7"/>
      <c r="U13" s="7"/>
      <c r="V13" s="7"/>
    </row>
    <row r="14" spans="1:32" x14ac:dyDescent="0.25">
      <c r="A14" t="s">
        <v>14</v>
      </c>
      <c r="B14" s="8">
        <f>B16</f>
        <v>7551143.5426923158</v>
      </c>
      <c r="C14" s="8">
        <f t="shared" ref="C14:AF14" si="0">C16</f>
        <v>9470428.4050883837</v>
      </c>
      <c r="D14" s="8">
        <f t="shared" si="0"/>
        <v>11653614.786743147</v>
      </c>
      <c r="E14" s="8">
        <f t="shared" si="0"/>
        <v>14114063.323388465</v>
      </c>
      <c r="F14" s="8">
        <f t="shared" si="0"/>
        <v>16858218.61021826</v>
      </c>
      <c r="G14" s="8">
        <f t="shared" si="0"/>
        <v>19883476.802054916</v>
      </c>
      <c r="H14" s="8">
        <f t="shared" si="0"/>
        <v>23176312.773447547</v>
      </c>
      <c r="I14" s="8">
        <f t="shared" si="0"/>
        <v>26711008.290551376</v>
      </c>
      <c r="J14" s="8">
        <f t="shared" si="0"/>
        <v>30449326.949802719</v>
      </c>
      <c r="K14" s="8">
        <f t="shared" si="0"/>
        <v>34341402.949256383</v>
      </c>
      <c r="L14" s="8">
        <f t="shared" si="0"/>
        <v>38327942.703854203</v>
      </c>
      <c r="M14" s="8">
        <f t="shared" si="0"/>
        <v>42343605.740113474</v>
      </c>
      <c r="N14" s="8">
        <f t="shared" si="0"/>
        <v>46321190.302687116</v>
      </c>
      <c r="O14" s="8">
        <f t="shared" si="0"/>
        <v>50196070.778918922</v>
      </c>
      <c r="P14" s="8">
        <f t="shared" si="0"/>
        <v>53910276.61622262</v>
      </c>
      <c r="Q14" s="8">
        <f t="shared" si="0"/>
        <v>57415685.346190341</v>
      </c>
      <c r="R14" s="8">
        <f t="shared" si="0"/>
        <v>60675997.318138205</v>
      </c>
      <c r="S14" s="8">
        <f t="shared" si="0"/>
        <v>63667403.865891263</v>
      </c>
      <c r="T14" s="8">
        <f t="shared" si="0"/>
        <v>66378083.880746573</v>
      </c>
      <c r="U14" s="8">
        <f t="shared" si="0"/>
        <v>68806815.460005865</v>
      </c>
      <c r="V14" s="8">
        <f t="shared" si="0"/>
        <v>70961051.117284015</v>
      </c>
      <c r="W14" s="8">
        <f t="shared" si="0"/>
        <v>72854788.139732406</v>
      </c>
      <c r="X14" s="8">
        <f t="shared" si="0"/>
        <v>74506497.971353799</v>
      </c>
      <c r="Y14" s="8">
        <f t="shared" si="0"/>
        <v>75937290.610170156</v>
      </c>
      <c r="Z14" s="8">
        <f t="shared" si="0"/>
        <v>77169405.762705743</v>
      </c>
      <c r="AA14" s="8">
        <f t="shared" si="0"/>
        <v>78225055.502141133</v>
      </c>
      <c r="AB14" s="8">
        <f t="shared" si="0"/>
        <v>79125597.847288504</v>
      </c>
      <c r="AC14" s="8">
        <f t="shared" si="0"/>
        <v>79890995.345079988</v>
      </c>
      <c r="AD14" s="8">
        <f t="shared" si="0"/>
        <v>80539502.816364706</v>
      </c>
      <c r="AE14" s="8">
        <f t="shared" si="0"/>
        <v>81087528.745491132</v>
      </c>
      <c r="AF14" s="8">
        <f t="shared" si="0"/>
        <v>81549620.895449489</v>
      </c>
    </row>
    <row r="15" spans="1:32" x14ac:dyDescent="0.25">
      <c r="B15" s="12"/>
      <c r="C15" s="12"/>
      <c r="D15" s="14">
        <v>10600000</v>
      </c>
      <c r="E15" s="12"/>
      <c r="F15" s="12"/>
      <c r="G15" s="13">
        <v>21000000</v>
      </c>
      <c r="H15" s="12"/>
      <c r="I15" s="12"/>
      <c r="J15" s="12"/>
      <c r="K15" s="12"/>
      <c r="L15" s="13">
        <v>40000000</v>
      </c>
      <c r="M15" s="12"/>
      <c r="N15" s="12"/>
      <c r="O15" s="12"/>
      <c r="P15" s="12"/>
      <c r="Q15" s="13">
        <v>55000000</v>
      </c>
      <c r="R15" s="12"/>
      <c r="S15" s="12"/>
      <c r="T15" s="12"/>
      <c r="U15" s="12"/>
      <c r="V15" s="15">
        <f>72000000</f>
        <v>72000000</v>
      </c>
      <c r="W15" s="12"/>
      <c r="X15" s="12"/>
      <c r="Y15" s="12"/>
      <c r="Z15" s="12"/>
      <c r="AA15" s="12"/>
      <c r="AB15" s="12"/>
      <c r="AC15" s="12"/>
      <c r="AD15" s="12"/>
      <c r="AE15" s="12"/>
      <c r="AF15" s="12"/>
    </row>
    <row r="16" spans="1:32" x14ac:dyDescent="0.25">
      <c r="B16" s="8">
        <f t="shared" ref="B16:AF16" si="1" xml:space="preserve"> (83.94318 + (-3.575905 - 83.94318)/(1 + (B11/2030.462)^372.9304))*1000000</f>
        <v>7551143.5426923158</v>
      </c>
      <c r="C16" s="8">
        <f t="shared" si="1"/>
        <v>9470428.4050883837</v>
      </c>
      <c r="D16" s="8">
        <f t="shared" si="1"/>
        <v>11653614.786743147</v>
      </c>
      <c r="E16" s="8">
        <f t="shared" si="1"/>
        <v>14114063.323388465</v>
      </c>
      <c r="F16" s="8">
        <f t="shared" si="1"/>
        <v>16858218.61021826</v>
      </c>
      <c r="G16" s="8">
        <f t="shared" si="1"/>
        <v>19883476.802054916</v>
      </c>
      <c r="H16" s="8">
        <f t="shared" si="1"/>
        <v>23176312.773447547</v>
      </c>
      <c r="I16" s="8">
        <f t="shared" si="1"/>
        <v>26711008.290551376</v>
      </c>
      <c r="J16" s="8">
        <f t="shared" si="1"/>
        <v>30449326.949802719</v>
      </c>
      <c r="K16" s="8">
        <f t="shared" si="1"/>
        <v>34341402.949256383</v>
      </c>
      <c r="L16" s="8">
        <f t="shared" si="1"/>
        <v>38327942.703854203</v>
      </c>
      <c r="M16" s="8">
        <f t="shared" si="1"/>
        <v>42343605.740113474</v>
      </c>
      <c r="N16" s="8">
        <f t="shared" si="1"/>
        <v>46321190.302687116</v>
      </c>
      <c r="O16" s="8">
        <f t="shared" si="1"/>
        <v>50196070.778918922</v>
      </c>
      <c r="P16" s="8">
        <f t="shared" si="1"/>
        <v>53910276.61622262</v>
      </c>
      <c r="Q16" s="8">
        <f t="shared" si="1"/>
        <v>57415685.346190341</v>
      </c>
      <c r="R16" s="8">
        <f t="shared" si="1"/>
        <v>60675997.318138205</v>
      </c>
      <c r="S16" s="8">
        <f t="shared" si="1"/>
        <v>63667403.865891263</v>
      </c>
      <c r="T16" s="8">
        <f t="shared" si="1"/>
        <v>66378083.880746573</v>
      </c>
      <c r="U16" s="8">
        <f t="shared" si="1"/>
        <v>68806815.460005865</v>
      </c>
      <c r="V16" s="8">
        <f t="shared" si="1"/>
        <v>70961051.117284015</v>
      </c>
      <c r="W16" s="8">
        <f t="shared" si="1"/>
        <v>72854788.139732406</v>
      </c>
      <c r="X16" s="8">
        <f t="shared" si="1"/>
        <v>74506497.971353799</v>
      </c>
      <c r="Y16" s="8">
        <f t="shared" si="1"/>
        <v>75937290.610170156</v>
      </c>
      <c r="Z16" s="8">
        <f t="shared" si="1"/>
        <v>77169405.762705743</v>
      </c>
      <c r="AA16" s="8">
        <f t="shared" si="1"/>
        <v>78225055.502141133</v>
      </c>
      <c r="AB16" s="8">
        <f t="shared" si="1"/>
        <v>79125597.847288504</v>
      </c>
      <c r="AC16" s="8">
        <f t="shared" si="1"/>
        <v>79890995.345079988</v>
      </c>
      <c r="AD16" s="8">
        <f t="shared" si="1"/>
        <v>80539502.816364706</v>
      </c>
      <c r="AE16" s="8">
        <f t="shared" si="1"/>
        <v>81087528.745491132</v>
      </c>
      <c r="AF16" s="8">
        <f t="shared" si="1"/>
        <v>81549620.895449489</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5"/>
  <sheetViews>
    <sheetView zoomScale="115" zoomScaleNormal="115" workbookViewId="0">
      <selection activeCell="B20" sqref="B20"/>
    </sheetView>
  </sheetViews>
  <sheetFormatPr defaultRowHeight="15" x14ac:dyDescent="0.25"/>
  <cols>
    <col min="1" max="1" width="67.42578125" customWidth="1"/>
    <col min="2" max="3" width="13.42578125" bestFit="1" customWidth="1"/>
    <col min="4" max="4" width="12.28515625" bestFit="1" customWidth="1"/>
    <col min="5" max="6" width="13.42578125" bestFit="1" customWidth="1"/>
    <col min="7" max="32" width="14" bestFit="1" customWidth="1"/>
  </cols>
  <sheetData>
    <row r="1" spans="1:33" x14ac:dyDescent="0.25">
      <c r="A1" t="s">
        <v>6</v>
      </c>
    </row>
    <row r="2" spans="1:33" x14ac:dyDescent="0.25">
      <c r="A2" t="s">
        <v>8</v>
      </c>
    </row>
    <row r="3" spans="1:33" x14ac:dyDescent="0.25">
      <c r="A3" t="s">
        <v>9</v>
      </c>
    </row>
    <row r="5" spans="1:33" x14ac:dyDescent="0.25">
      <c r="B5">
        <v>2020</v>
      </c>
      <c r="C5">
        <v>2021</v>
      </c>
      <c r="D5">
        <v>2022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row>
    <row r="6" spans="1:33" x14ac:dyDescent="0.25">
      <c r="A6" t="s">
        <v>12</v>
      </c>
      <c r="B6">
        <f>'Grid Battery Storage'!B5*1000</f>
        <v>52989.124423660222</v>
      </c>
      <c r="C6">
        <f>'Grid Battery Storage'!C5*1000</f>
        <v>85452.517603221568</v>
      </c>
      <c r="D6">
        <f>'Grid Battery Storage'!D5*1000</f>
        <v>144768.69241824016</v>
      </c>
      <c r="E6">
        <f>'Grid Battery Storage'!E5*1000</f>
        <v>284225.93258115224</v>
      </c>
      <c r="F6">
        <f>'Grid Battery Storage'!F5*1000</f>
        <v>459575.15476871107</v>
      </c>
      <c r="G6">
        <f>'Grid Battery Storage'!G5*1000</f>
        <v>733254.84341376158</v>
      </c>
      <c r="H6">
        <f>'Grid Battery Storage'!H5*1000</f>
        <v>1042621.499937457</v>
      </c>
      <c r="I6">
        <f>'Grid Battery Storage'!I5*1000</f>
        <v>1386582.9383549124</v>
      </c>
      <c r="J6">
        <f>'Grid Battery Storage'!J5*1000</f>
        <v>1785457.6142842988</v>
      </c>
      <c r="K6">
        <f>'Grid Battery Storage'!K5*1000</f>
        <v>2245043.6568556987</v>
      </c>
      <c r="L6">
        <f>'Grid Battery Storage'!L5*1000</f>
        <v>2705175.9807535186</v>
      </c>
      <c r="M6">
        <f>'Grid Battery Storage'!M5*1000</f>
        <v>3195100.3308650786</v>
      </c>
      <c r="N6">
        <f>'Grid Battery Storage'!N5*1000</f>
        <v>3762566.7301138039</v>
      </c>
      <c r="O6">
        <f>'Grid Battery Storage'!O5*1000</f>
        <v>4423521.9264070233</v>
      </c>
      <c r="P6">
        <f>'Grid Battery Storage'!P5*1000</f>
        <v>5012324.1575977495</v>
      </c>
      <c r="Q6">
        <f>'Grid Battery Storage'!Q5*1000</f>
        <v>5684224.0575879747</v>
      </c>
      <c r="R6">
        <f>'Grid Battery Storage'!R5*1000</f>
        <v>6313567.6553361211</v>
      </c>
      <c r="S6">
        <f>'Grid Battery Storage'!S5*1000</f>
        <v>6875843.5976954727</v>
      </c>
      <c r="T6">
        <f>'Grid Battery Storage'!T5*1000</f>
        <v>7455276.8917883709</v>
      </c>
      <c r="U6">
        <f>'Grid Battery Storage'!U5*1000</f>
        <v>7991066.6126657622</v>
      </c>
      <c r="V6">
        <f>'Grid Battery Storage'!V5*1000</f>
        <v>8396266.3692425136</v>
      </c>
      <c r="W6">
        <f>'Grid Battery Storage'!W5*1000</f>
        <v>8682255.3095183522</v>
      </c>
      <c r="X6">
        <f>'Grid Battery Storage'!X5*1000</f>
        <v>9006054.5179975219</v>
      </c>
      <c r="Y6">
        <f>'Grid Battery Storage'!Y5*1000</f>
        <v>9358306.3382756431</v>
      </c>
      <c r="Z6">
        <f>'Grid Battery Storage'!Z5*1000</f>
        <v>9716345.2421062272</v>
      </c>
      <c r="AA6">
        <f>'Grid Battery Storage'!AA5*1000</f>
        <v>10145138.127005391</v>
      </c>
      <c r="AB6">
        <f>'Grid Battery Storage'!AB5*1000</f>
        <v>10465321.232793571</v>
      </c>
      <c r="AC6">
        <f>'Grid Battery Storage'!AC5*1000</f>
        <v>10852142.47756733</v>
      </c>
      <c r="AD6">
        <f>'Grid Battery Storage'!AD5*1000</f>
        <v>11237403.784537392</v>
      </c>
      <c r="AE6">
        <f>'Grid Battery Storage'!AE5*1000</f>
        <v>11663300.354034748</v>
      </c>
      <c r="AF6">
        <f>'Grid Battery Storage'!AF5*1000</f>
        <v>12073460.516157847</v>
      </c>
    </row>
    <row r="8" spans="1:33" x14ac:dyDescent="0.25">
      <c r="A8" t="s">
        <v>10</v>
      </c>
    </row>
    <row r="9" spans="1:33" x14ac:dyDescent="0.25">
      <c r="A9" t="s">
        <v>11</v>
      </c>
    </row>
    <row r="11" spans="1:33" x14ac:dyDescent="0.25">
      <c r="B11">
        <v>2020</v>
      </c>
      <c r="C11">
        <v>2021</v>
      </c>
      <c r="D11">
        <v>2022</v>
      </c>
      <c r="E11">
        <v>2023</v>
      </c>
      <c r="F11">
        <v>2024</v>
      </c>
      <c r="G11">
        <v>2025</v>
      </c>
      <c r="H11">
        <v>2026</v>
      </c>
      <c r="I11">
        <v>2027</v>
      </c>
      <c r="J11">
        <v>2028</v>
      </c>
      <c r="K11">
        <v>2029</v>
      </c>
      <c r="L11">
        <v>2030</v>
      </c>
      <c r="M11">
        <v>2031</v>
      </c>
      <c r="N11">
        <v>2032</v>
      </c>
      <c r="O11">
        <v>2033</v>
      </c>
      <c r="P11">
        <v>2034</v>
      </c>
      <c r="Q11">
        <v>2035</v>
      </c>
      <c r="R11">
        <v>2036</v>
      </c>
      <c r="S11">
        <v>2037</v>
      </c>
      <c r="T11">
        <v>2038</v>
      </c>
      <c r="U11">
        <v>2039</v>
      </c>
      <c r="V11">
        <v>2040</v>
      </c>
      <c r="W11">
        <v>2041</v>
      </c>
      <c r="X11">
        <v>2042</v>
      </c>
      <c r="Y11">
        <v>2043</v>
      </c>
      <c r="Z11">
        <v>2044</v>
      </c>
      <c r="AA11">
        <v>2045</v>
      </c>
      <c r="AB11">
        <v>2046</v>
      </c>
      <c r="AC11">
        <v>2047</v>
      </c>
      <c r="AD11">
        <v>2048</v>
      </c>
      <c r="AE11">
        <v>2049</v>
      </c>
      <c r="AF11">
        <v>2050</v>
      </c>
    </row>
    <row r="12" spans="1:33" x14ac:dyDescent="0.25">
      <c r="A12" t="s">
        <v>13</v>
      </c>
      <c r="B12" s="16">
        <f>'EV Batteries'!B12*1000</f>
        <v>150082.67890545653</v>
      </c>
      <c r="C12" s="16">
        <f>'EV Batteries'!C12*1000</f>
        <v>328017.84974926757</v>
      </c>
      <c r="D12" s="16">
        <f>'EV Batteries'!D12*1000</f>
        <v>505953.02059301757</v>
      </c>
      <c r="E12" s="16">
        <f>'EV Batteries'!E12*1000</f>
        <v>683888.19143676758</v>
      </c>
      <c r="F12" s="16">
        <f>'EV Batteries'!F12*1000</f>
        <v>861823.36228051758</v>
      </c>
      <c r="G12" s="16">
        <f>'EV Batteries'!G12*1000</f>
        <v>1039758.5331242676</v>
      </c>
      <c r="H12" s="16">
        <f>'EV Batteries'!H12*1000</f>
        <v>1282942.6310581665</v>
      </c>
      <c r="I12" s="16">
        <f>'EV Batteries'!I12*1000</f>
        <v>1526126.7289921266</v>
      </c>
      <c r="J12" s="16">
        <f>'EV Batteries'!J12*1000</f>
        <v>1769310.8269260253</v>
      </c>
      <c r="K12" s="16">
        <f>'EV Batteries'!K12*1000</f>
        <v>2012494.9248599245</v>
      </c>
      <c r="L12" s="16">
        <f>'EV Batteries'!L12*1000</f>
        <v>2255679.0227938229</v>
      </c>
      <c r="M12" s="16">
        <f>'EV Batteries'!M12*1000</f>
        <v>2479231.3929664916</v>
      </c>
      <c r="N12" s="16">
        <f>'EV Batteries'!N12*1000</f>
        <v>2702783.7631390989</v>
      </c>
      <c r="O12" s="16">
        <f>'EV Batteries'!O12*1000</f>
        <v>2926336.1333117676</v>
      </c>
      <c r="P12" s="16">
        <f>'EV Batteries'!P12*1000</f>
        <v>3149888.5034844363</v>
      </c>
      <c r="Q12" s="16">
        <f>'EV Batteries'!Q12*1000</f>
        <v>3373440.8736571046</v>
      </c>
      <c r="R12" s="16">
        <f>'EV Batteries'!R12*1000</f>
        <v>3499877.3243587036</v>
      </c>
      <c r="S12" s="16">
        <f>'EV Batteries'!S12*1000</f>
        <v>3626313.775060242</v>
      </c>
      <c r="T12" s="16">
        <f>'EV Batteries'!T12*1000</f>
        <v>3752750.2257618103</v>
      </c>
      <c r="U12" s="16">
        <f>'EV Batteries'!U12*1000</f>
        <v>3879186.6764633483</v>
      </c>
      <c r="V12" s="16">
        <f>'EV Batteries'!V12*1000</f>
        <v>4005623.1271649171</v>
      </c>
      <c r="W12" s="16">
        <f>'EV Batteries'!W12*1000</f>
        <v>3984376.6146966401</v>
      </c>
      <c r="X12" s="16">
        <f>'EV Batteries'!X12*1000</f>
        <v>3963130.1022283784</v>
      </c>
      <c r="Y12" s="16">
        <f>'EV Batteries'!Y12*1000</f>
        <v>3941883.5897601168</v>
      </c>
      <c r="Z12" s="16">
        <f>'EV Batteries'!Z12*1000</f>
        <v>3920637.0772918472</v>
      </c>
      <c r="AA12" s="16">
        <f>'EV Batteries'!AA12*1000</f>
        <v>3899390.5648235856</v>
      </c>
      <c r="AB12" s="16">
        <f>'EV Batteries'!AB12*1000</f>
        <v>3845543.0339915012</v>
      </c>
      <c r="AC12" s="16">
        <f>'EV Batteries'!AC12*1000</f>
        <v>3791695.5031594085</v>
      </c>
      <c r="AD12" s="16">
        <f>'EV Batteries'!AD12*1000</f>
        <v>3737847.9723273315</v>
      </c>
      <c r="AE12" s="16">
        <f>'EV Batteries'!AE12*1000</f>
        <v>3684000.4414952546</v>
      </c>
      <c r="AF12" s="16">
        <f>'EV Batteries'!AF12*1000</f>
        <v>3630152.9106631624</v>
      </c>
      <c r="AG12" s="16"/>
    </row>
    <row r="13" spans="1:33" x14ac:dyDescent="0.25">
      <c r="A13" t="s">
        <v>20</v>
      </c>
      <c r="B13" s="16">
        <f>SUM($B12:B12)</f>
        <v>150082.67890545653</v>
      </c>
      <c r="C13" s="16">
        <f>SUM($B12:C12)</f>
        <v>478100.52865472413</v>
      </c>
      <c r="D13" s="16">
        <f>SUM($B12:D12)</f>
        <v>984053.5492477417</v>
      </c>
      <c r="E13" s="16">
        <f>SUM($B12:E12)</f>
        <v>1667941.7406845093</v>
      </c>
      <c r="F13" s="16">
        <f>SUM($B12:F12)</f>
        <v>2529765.1029650271</v>
      </c>
      <c r="G13" s="16">
        <f>SUM($B12:G12)</f>
        <v>3569523.6360892947</v>
      </c>
      <c r="H13" s="16">
        <f>SUM($B12:H12)</f>
        <v>4852466.267147461</v>
      </c>
      <c r="I13" s="16">
        <f>SUM($B12:I12)</f>
        <v>6378592.9961395878</v>
      </c>
      <c r="J13" s="16">
        <f>SUM($B12:J12)</f>
        <v>8147903.8230656134</v>
      </c>
      <c r="K13" s="16">
        <f>SUM($B12:K12)</f>
        <v>10160398.747925539</v>
      </c>
      <c r="L13" s="16">
        <f>SUM($B12:L12)</f>
        <v>12416077.770719361</v>
      </c>
      <c r="M13" s="16">
        <f>SUM($B12:M12)</f>
        <v>14895309.163685853</v>
      </c>
      <c r="N13" s="16">
        <f>SUM($B12:N12)</f>
        <v>17598092.92682495</v>
      </c>
      <c r="O13" s="16">
        <f>SUM($B12:O12)</f>
        <v>20524429.060136717</v>
      </c>
      <c r="P13" s="16">
        <f>SUM($B12:P12)</f>
        <v>23674317.563621152</v>
      </c>
      <c r="Q13" s="16">
        <f>SUM($B12:Q12)</f>
        <v>27047758.437278256</v>
      </c>
      <c r="R13" s="16">
        <f>SUM($B12:R12)</f>
        <v>30547635.761636958</v>
      </c>
      <c r="S13" s="16">
        <f>SUM($B12:S12)</f>
        <v>34173949.536697201</v>
      </c>
      <c r="T13" s="16">
        <f>SUM($B12:T12)</f>
        <v>37926699.76245901</v>
      </c>
      <c r="U13" s="16">
        <f>SUM($B12:U12)</f>
        <v>41805886.438922361</v>
      </c>
      <c r="V13" s="16">
        <f>SUM($B12:V12)</f>
        <v>45811509.566087276</v>
      </c>
      <c r="W13" s="16">
        <f>SUM($B12:W12)</f>
        <v>49795886.180783913</v>
      </c>
      <c r="X13" s="16">
        <f>SUM($B12:X12)</f>
        <v>53759016.283012293</v>
      </c>
      <c r="Y13" s="16">
        <f>SUM($B12:Y12)</f>
        <v>57700899.872772411</v>
      </c>
      <c r="Z13" s="16">
        <f>SUM($B12:Z12)</f>
        <v>61621536.950064257</v>
      </c>
      <c r="AA13" s="16">
        <f>SUM($B12:AA12)</f>
        <v>65520927.51488784</v>
      </c>
      <c r="AB13" s="16">
        <f>SUM($B12:AB12)</f>
        <v>69366470.54887934</v>
      </c>
      <c r="AC13" s="16">
        <f>SUM($B12:AC12)</f>
        <v>73158166.052038744</v>
      </c>
      <c r="AD13" s="16">
        <f>SUM($B12:AD12)</f>
        <v>76896014.024366081</v>
      </c>
      <c r="AE13" s="16">
        <f>SUM($B12:AE12)</f>
        <v>80580014.465861335</v>
      </c>
      <c r="AF13" s="16">
        <f>SUM($B12:AF12)</f>
        <v>84210167.376524493</v>
      </c>
    </row>
    <row r="15" spans="1:33" x14ac:dyDescent="0.25">
      <c r="AF15" s="16"/>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B2" sqref="B2"/>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5</v>
      </c>
      <c r="B2" s="8">
        <f>Summary!B6+Summary!B13</f>
        <v>203071.80332911675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topLeftCell="H1" workbookViewId="0">
      <selection activeCell="B2" sqref="B2:AE2"/>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5</v>
      </c>
      <c r="B2" s="8">
        <f>Summary!C6+Summary!C13</f>
        <v>563553.04625794571</v>
      </c>
      <c r="C2" s="8">
        <f>Summary!D6+Summary!D13</f>
        <v>1128822.2416659819</v>
      </c>
      <c r="D2" s="8">
        <f>Summary!E6+Summary!E13</f>
        <v>1952167.6732656616</v>
      </c>
      <c r="E2" s="8">
        <f>Summary!F6+Summary!F13</f>
        <v>2989340.257733738</v>
      </c>
      <c r="F2" s="8">
        <f>Summary!G6+Summary!G13</f>
        <v>4302778.479503056</v>
      </c>
      <c r="G2" s="8">
        <f>Summary!H6+Summary!H13</f>
        <v>5895087.767084918</v>
      </c>
      <c r="H2" s="8">
        <f>Summary!I6+Summary!I13</f>
        <v>7765175.9344945</v>
      </c>
      <c r="I2" s="8">
        <f>Summary!J6+Summary!J13</f>
        <v>9933361.4373499118</v>
      </c>
      <c r="J2" s="8">
        <f>Summary!K6+Summary!K13</f>
        <v>12405442.404781237</v>
      </c>
      <c r="K2" s="8">
        <f>Summary!L6+Summary!L13</f>
        <v>15121253.751472879</v>
      </c>
      <c r="L2" s="8">
        <f>Summary!M6+Summary!M13</f>
        <v>18090409.494550932</v>
      </c>
      <c r="M2" s="8">
        <f>Summary!N6+Summary!N13</f>
        <v>21360659.656938754</v>
      </c>
      <c r="N2" s="8">
        <f>Summary!O6+Summary!O13</f>
        <v>24947950.986543741</v>
      </c>
      <c r="O2" s="8">
        <f>Summary!P6+Summary!P13</f>
        <v>28686641.721218903</v>
      </c>
      <c r="P2" s="8">
        <f>Summary!Q6+Summary!Q13</f>
        <v>32731982.49486623</v>
      </c>
      <c r="Q2" s="8">
        <f>Summary!R6+Summary!R13</f>
        <v>36861203.416973077</v>
      </c>
      <c r="R2" s="8">
        <f>Summary!S6+Summary!S13</f>
        <v>41049793.134392671</v>
      </c>
      <c r="S2" s="8">
        <f>Summary!T6+Summary!T13</f>
        <v>45381976.654247381</v>
      </c>
      <c r="T2" s="8">
        <f>Summary!U6+Summary!U13</f>
        <v>49796953.051588126</v>
      </c>
      <c r="U2" s="8">
        <f>Summary!V6+Summary!V13</f>
        <v>54207775.935329787</v>
      </c>
      <c r="V2" s="8">
        <f>Summary!W6+Summary!W13</f>
        <v>58478141.490302265</v>
      </c>
      <c r="W2" s="8">
        <f>Summary!X6+Summary!X13</f>
        <v>62765070.801009819</v>
      </c>
      <c r="X2" s="8">
        <f>Summary!Y6+Summary!Y13</f>
        <v>67059206.211048052</v>
      </c>
      <c r="Y2" s="8">
        <f>Summary!Z6+Summary!Z13</f>
        <v>71337882.192170486</v>
      </c>
      <c r="Z2" s="8">
        <f>Summary!AA6+Summary!AA13</f>
        <v>75666065.641893238</v>
      </c>
      <c r="AA2" s="8">
        <f>Summary!AB6+Summary!AB13</f>
        <v>79831791.78167291</v>
      </c>
      <c r="AB2" s="8">
        <f>Summary!AC6+Summary!AC13</f>
        <v>84010308.529606074</v>
      </c>
      <c r="AC2" s="8">
        <f>Summary!AD6+Summary!AD13</f>
        <v>88133417.808903471</v>
      </c>
      <c r="AD2" s="8">
        <f>Summary!AE6+Summary!AE13</f>
        <v>92243314.819896087</v>
      </c>
      <c r="AE2" s="8">
        <f>Summary!AF6+Summary!AF13</f>
        <v>96283627.892682344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9C87379D9A4242BB3A95F198D6F941" ma:contentTypeVersion="4" ma:contentTypeDescription="Create a new document." ma:contentTypeScope="" ma:versionID="07a235b40ffe2d9a960bde50f6511605">
  <xsd:schema xmlns:xsd="http://www.w3.org/2001/XMLSchema" xmlns:xs="http://www.w3.org/2001/XMLSchema" xmlns:p="http://schemas.microsoft.com/office/2006/metadata/properties" xmlns:ns2="40f4d404-d193-41dc-bb72-733c1e774208" targetNamespace="http://schemas.microsoft.com/office/2006/metadata/properties" ma:root="true" ma:fieldsID="485fc8e6f691b86ce0aee9b7e82feca0" ns2:_="">
    <xsd:import namespace="40f4d404-d193-41dc-bb72-733c1e7742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4d404-d193-41dc-bb72-733c1e7742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21BBCE1-1747-4D3A-86DA-7E0A03D0D0C3}"/>
</file>

<file path=customXml/itemProps2.xml><?xml version="1.0" encoding="utf-8"?>
<ds:datastoreItem xmlns:ds="http://schemas.openxmlformats.org/officeDocument/2006/customXml" ds:itemID="{0E26E382-0F5B-4CA1-B80A-EF74051185A3}"/>
</file>

<file path=customXml/itemProps3.xml><?xml version="1.0" encoding="utf-8"?>
<ds:datastoreItem xmlns:ds="http://schemas.openxmlformats.org/officeDocument/2006/customXml" ds:itemID="{59671A7A-DDD5-4453-B813-23DB0A99BA2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Grid Battery Storage</vt:lpstr>
      <vt:lpstr>EV Batteries</vt:lpstr>
      <vt:lpstr>Summary</vt:lpstr>
      <vt:lpstr>SYGBSC</vt:lpstr>
      <vt:lpstr>BGBSC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Megan Mahajan</cp:lastModifiedBy>
  <dcterms:created xsi:type="dcterms:W3CDTF">2018-04-25T01:32:28Z</dcterms:created>
  <dcterms:modified xsi:type="dcterms:W3CDTF">2024-08-26T20:17:11Z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0x010100E59C87379D9A4242BB3A95F198D6F941</vt:lpwstr>
  </property>
</Properties>
</file>