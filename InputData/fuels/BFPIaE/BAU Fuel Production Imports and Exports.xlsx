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NEXTgroup_local\2025_local\2. EPS\01. 업데이트 파일\eps-southkorea-3.3.1_2025update_v4.0.3\InputData\fuels\BFPIaE\"/>
    </mc:Choice>
  </mc:AlternateContent>
  <xr:revisionPtr revIDLastSave="0" documentId="13_ncr:1_{82966392-6B24-40A4-BF2F-557C025F1030}" xr6:coauthVersionLast="47" xr6:coauthVersionMax="47" xr10:uidLastSave="{00000000-0000-0000-0000-000000000000}"/>
  <bookViews>
    <workbookView xWindow="-25710" yWindow="-2910" windowWidth="25820" windowHeight="15500" activeTab="2" xr2:uid="{AA22AFAA-7C2E-4041-BB31-EB15DB9A2F47}"/>
  </bookViews>
  <sheets>
    <sheet name="About" sheetId="4" r:id="rId1"/>
    <sheet name="hydrogen" sheetId="29" r:id="rId2"/>
    <sheet name="KEEI&amp;MOTIE" sheetId="22" r:id="rId3"/>
    <sheet name="Calculations" sheetId="24" r:id="rId4"/>
    <sheet name="BFPIaE-production" sheetId="12" r:id="rId5"/>
    <sheet name="BFPIaE-imports" sheetId="19" r:id="rId6"/>
    <sheet name="BFPIaE-exports" sheetId="13" r:id="rId7"/>
  </sheets>
  <externalReferences>
    <externalReference r:id="rId8"/>
  </externalReferences>
  <definedNames>
    <definedName name="gal_per_barrel">[1]About!$A$63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5" i="24" l="1"/>
  <c r="C95" i="24"/>
  <c r="D95" i="24"/>
  <c r="E95" i="24"/>
  <c r="F95" i="24"/>
  <c r="B96" i="24"/>
  <c r="C96" i="24"/>
  <c r="D96" i="24"/>
  <c r="E96" i="24"/>
  <c r="F96" i="24"/>
  <c r="C94" i="24"/>
  <c r="D94" i="24"/>
  <c r="E94" i="24"/>
  <c r="F94" i="24"/>
  <c r="B94" i="24"/>
  <c r="C90" i="24"/>
  <c r="D90" i="24"/>
  <c r="E90" i="24"/>
  <c r="F90" i="24"/>
  <c r="B90" i="24"/>
  <c r="B87" i="24"/>
  <c r="C87" i="24"/>
  <c r="D87" i="24"/>
  <c r="E87" i="24"/>
  <c r="F87" i="24"/>
  <c r="C86" i="24"/>
  <c r="D86" i="24"/>
  <c r="E86" i="24"/>
  <c r="F86" i="24"/>
  <c r="B86" i="24"/>
  <c r="B70" i="24"/>
  <c r="C70" i="24"/>
  <c r="D70" i="24"/>
  <c r="E70" i="24"/>
  <c r="F70" i="24"/>
  <c r="B71" i="24"/>
  <c r="C71" i="24"/>
  <c r="D71" i="24"/>
  <c r="E71" i="24"/>
  <c r="F71" i="24"/>
  <c r="C69" i="24"/>
  <c r="D69" i="24"/>
  <c r="E69" i="24"/>
  <c r="F69" i="24"/>
  <c r="B69" i="24"/>
  <c r="C65" i="24"/>
  <c r="D65" i="24"/>
  <c r="E65" i="24"/>
  <c r="F65" i="24"/>
  <c r="B65" i="24"/>
  <c r="B62" i="24"/>
  <c r="C62" i="24"/>
  <c r="D62" i="24"/>
  <c r="E62" i="24"/>
  <c r="F62" i="24"/>
  <c r="C61" i="24"/>
  <c r="D61" i="24"/>
  <c r="E61" i="24"/>
  <c r="F61" i="24"/>
  <c r="B61" i="24"/>
  <c r="B45" i="24"/>
  <c r="C45" i="24"/>
  <c r="D45" i="24"/>
  <c r="E45" i="24"/>
  <c r="F45" i="24"/>
  <c r="B46" i="24"/>
  <c r="C46" i="24"/>
  <c r="D46" i="24"/>
  <c r="E46" i="24"/>
  <c r="F46" i="24"/>
  <c r="C44" i="24"/>
  <c r="D44" i="24"/>
  <c r="E44" i="24"/>
  <c r="F44" i="24"/>
  <c r="B44" i="24"/>
  <c r="C40" i="24"/>
  <c r="D40" i="24"/>
  <c r="E40" i="24"/>
  <c r="F40" i="24"/>
  <c r="B40" i="24"/>
  <c r="B37" i="24"/>
  <c r="C37" i="24"/>
  <c r="D37" i="24"/>
  <c r="E37" i="24"/>
  <c r="F37" i="24"/>
  <c r="C36" i="24"/>
  <c r="D36" i="24"/>
  <c r="E36" i="24"/>
  <c r="F36" i="24"/>
  <c r="B36" i="24"/>
  <c r="I97" i="22"/>
  <c r="I98" i="22"/>
  <c r="I99" i="22"/>
  <c r="I100" i="22"/>
  <c r="I101" i="22"/>
  <c r="I102" i="22"/>
  <c r="I88" i="22"/>
  <c r="I89" i="22"/>
  <c r="I90" i="22"/>
  <c r="I91" i="22"/>
  <c r="I92" i="22"/>
  <c r="I93" i="22"/>
  <c r="I78" i="22"/>
  <c r="I79" i="22"/>
  <c r="I80" i="22"/>
  <c r="I81" i="22"/>
  <c r="I82" i="22"/>
  <c r="I83" i="22"/>
  <c r="J91" i="22"/>
  <c r="I105" i="22"/>
  <c r="C91" i="22"/>
  <c r="C93" i="22"/>
  <c r="J93" i="22" s="1"/>
  <c r="C88" i="22"/>
  <c r="D88" i="22" s="1"/>
  <c r="E88" i="22" s="1"/>
  <c r="F88" i="22" s="1"/>
  <c r="M88" i="22" s="1"/>
  <c r="I69" i="22"/>
  <c r="K69" i="22"/>
  <c r="J72" i="22"/>
  <c r="C81" i="22" s="1"/>
  <c r="D81" i="22" s="1"/>
  <c r="K81" i="22" s="1"/>
  <c r="K72" i="22"/>
  <c r="J73" i="22"/>
  <c r="C82" i="22" s="1"/>
  <c r="D82" i="22" s="1"/>
  <c r="K82" i="22" s="1"/>
  <c r="K73" i="22"/>
  <c r="C92" i="22" s="1"/>
  <c r="J92" i="22" s="1"/>
  <c r="L73" i="22"/>
  <c r="C101" i="22" s="1"/>
  <c r="J101" i="22" s="1"/>
  <c r="J74" i="22"/>
  <c r="C83" i="22" s="1"/>
  <c r="K74" i="22"/>
  <c r="L74" i="22"/>
  <c r="C102" i="22" s="1"/>
  <c r="J102" i="22" s="1"/>
  <c r="I74" i="22"/>
  <c r="I72" i="22"/>
  <c r="J57" i="22"/>
  <c r="K57" i="22"/>
  <c r="L57" i="22"/>
  <c r="L72" i="22" s="1"/>
  <c r="C100" i="22" s="1"/>
  <c r="J100" i="22" s="1"/>
  <c r="J59" i="22"/>
  <c r="J69" i="22" s="1"/>
  <c r="C78" i="22" s="1"/>
  <c r="K59" i="22"/>
  <c r="L59" i="22"/>
  <c r="L69" i="22" s="1"/>
  <c r="C97" i="22" s="1"/>
  <c r="J97" i="22" s="1"/>
  <c r="J60" i="22"/>
  <c r="K60" i="22"/>
  <c r="L60" i="22"/>
  <c r="J61" i="22"/>
  <c r="J70" i="22" s="1"/>
  <c r="C79" i="22" s="1"/>
  <c r="K61" i="22"/>
  <c r="K70" i="22" s="1"/>
  <c r="C89" i="22" s="1"/>
  <c r="L61" i="22"/>
  <c r="L70" i="22" s="1"/>
  <c r="C98" i="22" s="1"/>
  <c r="J98" i="22" s="1"/>
  <c r="J62" i="22"/>
  <c r="K62" i="22"/>
  <c r="L62" i="22"/>
  <c r="J63" i="22"/>
  <c r="J71" i="22" s="1"/>
  <c r="C80" i="22" s="1"/>
  <c r="K63" i="22"/>
  <c r="K71" i="22" s="1"/>
  <c r="C90" i="22" s="1"/>
  <c r="L63" i="22"/>
  <c r="L71" i="22" s="1"/>
  <c r="C99" i="22" s="1"/>
  <c r="J99" i="22" s="1"/>
  <c r="J66" i="22"/>
  <c r="K66" i="22"/>
  <c r="L66" i="22"/>
  <c r="I66" i="22"/>
  <c r="I63" i="22"/>
  <c r="I71" i="22" s="1"/>
  <c r="I62" i="22"/>
  <c r="I73" i="22" s="1"/>
  <c r="I61" i="22"/>
  <c r="I70" i="22" s="1"/>
  <c r="I60" i="22"/>
  <c r="I59" i="22"/>
  <c r="I57" i="22"/>
  <c r="D89" i="22" l="1"/>
  <c r="J89" i="22"/>
  <c r="D83" i="22"/>
  <c r="J83" i="22"/>
  <c r="D79" i="22"/>
  <c r="K79" i="22" s="1"/>
  <c r="J79" i="22"/>
  <c r="D78" i="22"/>
  <c r="K78" i="22" s="1"/>
  <c r="J78" i="22"/>
  <c r="D90" i="22"/>
  <c r="J90" i="22"/>
  <c r="J80" i="22"/>
  <c r="D80" i="22"/>
  <c r="K80" i="22" s="1"/>
  <c r="L88" i="22"/>
  <c r="J82" i="22"/>
  <c r="J88" i="22"/>
  <c r="K88" i="22"/>
  <c r="J81" i="22"/>
  <c r="E82" i="22"/>
  <c r="L82" i="22" s="1"/>
  <c r="D101" i="22"/>
  <c r="K101" i="22" s="1"/>
  <c r="D92" i="22"/>
  <c r="K92" i="22" s="1"/>
  <c r="E81" i="22"/>
  <c r="L81" i="22" s="1"/>
  <c r="D100" i="22"/>
  <c r="K100" i="22" s="1"/>
  <c r="D91" i="22"/>
  <c r="K91" i="22" s="1"/>
  <c r="D102" i="22"/>
  <c r="K102" i="22" s="1"/>
  <c r="D93" i="22"/>
  <c r="K93" i="22" s="1"/>
  <c r="E78" i="22" l="1"/>
  <c r="L78" i="22" s="1"/>
  <c r="E90" i="22"/>
  <c r="K90" i="22"/>
  <c r="D97" i="22"/>
  <c r="K97" i="22" s="1"/>
  <c r="E79" i="22"/>
  <c r="L79" i="22" s="1"/>
  <c r="D98" i="22"/>
  <c r="K98" i="22" s="1"/>
  <c r="E83" i="22"/>
  <c r="K83" i="22"/>
  <c r="E80" i="22"/>
  <c r="L80" i="22" s="1"/>
  <c r="D99" i="22"/>
  <c r="K99" i="22" s="1"/>
  <c r="E89" i="22"/>
  <c r="K89" i="22"/>
  <c r="F80" i="22"/>
  <c r="E99" i="22"/>
  <c r="L99" i="22" s="1"/>
  <c r="F81" i="22"/>
  <c r="M81" i="22" s="1"/>
  <c r="E100" i="22"/>
  <c r="L100" i="22" s="1"/>
  <c r="E91" i="22"/>
  <c r="L91" i="22" s="1"/>
  <c r="F82" i="22"/>
  <c r="M82" i="22" s="1"/>
  <c r="E101" i="22"/>
  <c r="L101" i="22" s="1"/>
  <c r="E92" i="22"/>
  <c r="L92" i="22" s="1"/>
  <c r="F79" i="22"/>
  <c r="E98" i="22"/>
  <c r="L98" i="22" s="1"/>
  <c r="F89" i="22" l="1"/>
  <c r="M89" i="22" s="1"/>
  <c r="L89" i="22"/>
  <c r="F78" i="22"/>
  <c r="F98" i="22"/>
  <c r="M98" i="22" s="1"/>
  <c r="M79" i="22"/>
  <c r="F99" i="22"/>
  <c r="M99" i="22" s="1"/>
  <c r="M80" i="22"/>
  <c r="F83" i="22"/>
  <c r="L83" i="22"/>
  <c r="E93" i="22"/>
  <c r="L93" i="22" s="1"/>
  <c r="E102" i="22"/>
  <c r="L102" i="22" s="1"/>
  <c r="E97" i="22"/>
  <c r="L97" i="22" s="1"/>
  <c r="F90" i="22"/>
  <c r="M90" i="22" s="1"/>
  <c r="L90" i="22"/>
  <c r="F92" i="22"/>
  <c r="M92" i="22" s="1"/>
  <c r="F101" i="22"/>
  <c r="M101" i="22" s="1"/>
  <c r="F100" i="22"/>
  <c r="M100" i="22" s="1"/>
  <c r="F91" i="22"/>
  <c r="M91" i="22" s="1"/>
  <c r="F93" i="22" l="1"/>
  <c r="M93" i="22" s="1"/>
  <c r="M83" i="22"/>
  <c r="F102" i="22"/>
  <c r="M102" i="22" s="1"/>
  <c r="F97" i="22"/>
  <c r="M97" i="22" s="1"/>
  <c r="M78" i="22"/>
  <c r="J37" i="24" l="1"/>
  <c r="L32" i="22"/>
  <c r="J32" i="22"/>
  <c r="K32" i="22"/>
  <c r="M32" i="22"/>
  <c r="I32" i="22"/>
  <c r="K73" i="24" l="1"/>
  <c r="L73" i="24"/>
  <c r="M73" i="24"/>
  <c r="N73" i="24"/>
  <c r="O73" i="24"/>
  <c r="P73" i="24"/>
  <c r="Q73" i="24"/>
  <c r="R73" i="24"/>
  <c r="S73" i="24"/>
  <c r="T73" i="24"/>
  <c r="U73" i="24"/>
  <c r="V73" i="24"/>
  <c r="W73" i="24"/>
  <c r="X73" i="24"/>
  <c r="Y73" i="24"/>
  <c r="Z73" i="24"/>
  <c r="AA73" i="24"/>
  <c r="AB73" i="24"/>
  <c r="AC73" i="24"/>
  <c r="AD73" i="24"/>
  <c r="AE73" i="24"/>
  <c r="AF73" i="24"/>
  <c r="AG73" i="24"/>
  <c r="AH73" i="24"/>
  <c r="AI73" i="24"/>
  <c r="AJ73" i="24"/>
  <c r="AK73" i="24"/>
  <c r="AL73" i="24"/>
  <c r="AM73" i="24"/>
  <c r="AN73" i="24"/>
  <c r="AO73" i="24"/>
  <c r="J73" i="24"/>
  <c r="J29" i="24"/>
  <c r="K29" i="24"/>
  <c r="L29" i="24"/>
  <c r="M29" i="24"/>
  <c r="N29" i="24"/>
  <c r="O29" i="24"/>
  <c r="P29" i="24"/>
  <c r="Q29" i="24"/>
  <c r="R29" i="24"/>
  <c r="S29" i="24"/>
  <c r="T29" i="24"/>
  <c r="U29" i="24"/>
  <c r="V29" i="24"/>
  <c r="W29" i="24"/>
  <c r="X29" i="24"/>
  <c r="Y29" i="24"/>
  <c r="Z29" i="24"/>
  <c r="AA29" i="24"/>
  <c r="AB29" i="24"/>
  <c r="AC29" i="24"/>
  <c r="AD29" i="24"/>
  <c r="AE29" i="24"/>
  <c r="AF29" i="24"/>
  <c r="AG29" i="24"/>
  <c r="AH29" i="24"/>
  <c r="AI29" i="24"/>
  <c r="AJ29" i="24"/>
  <c r="AK29" i="24"/>
  <c r="AL29" i="24"/>
  <c r="AM29" i="24"/>
  <c r="AN29" i="24"/>
  <c r="AO29" i="24"/>
  <c r="C30" i="4"/>
  <c r="C29" i="4"/>
  <c r="M4" i="29" s="1"/>
  <c r="N4" i="29" s="1"/>
  <c r="S9" i="29" s="1"/>
  <c r="D13" i="29" l="1"/>
  <c r="K48" i="24" s="1"/>
  <c r="C22" i="12" s="1"/>
  <c r="C13" i="29"/>
  <c r="J48" i="24" s="1"/>
  <c r="B22" i="12" s="1"/>
  <c r="F13" i="29"/>
  <c r="M48" i="24" s="1"/>
  <c r="E22" i="12" s="1"/>
  <c r="AD9" i="29"/>
  <c r="AD13" i="29" s="1"/>
  <c r="AK48" i="24" s="1"/>
  <c r="AC22" i="12" s="1"/>
  <c r="AC9" i="29"/>
  <c r="R9" i="29"/>
  <c r="Q9" i="29"/>
  <c r="AB9" i="29"/>
  <c r="P9" i="29"/>
  <c r="AA9" i="29"/>
  <c r="O9" i="29"/>
  <c r="O13" i="29" s="1"/>
  <c r="Z9" i="29"/>
  <c r="Z13" i="29" s="1"/>
  <c r="N9" i="29"/>
  <c r="N13" i="29" s="1"/>
  <c r="Y9" i="29"/>
  <c r="M9" i="29"/>
  <c r="X9" i="29"/>
  <c r="L9" i="29"/>
  <c r="H9" i="29"/>
  <c r="H13" i="29" s="1"/>
  <c r="O48" i="24" s="1"/>
  <c r="G22" i="12" s="1"/>
  <c r="W9" i="29"/>
  <c r="K9" i="29"/>
  <c r="AH9" i="29"/>
  <c r="V9" i="29"/>
  <c r="J9" i="29"/>
  <c r="AG9" i="29"/>
  <c r="U9" i="29"/>
  <c r="I9" i="29"/>
  <c r="AF9" i="29"/>
  <c r="T9" i="29"/>
  <c r="G9" i="29"/>
  <c r="AE9" i="29"/>
  <c r="C80" i="24"/>
  <c r="D80" i="24"/>
  <c r="E80" i="24"/>
  <c r="F80" i="24"/>
  <c r="AL80" i="24" s="1"/>
  <c r="AD4" i="13" s="1"/>
  <c r="B80" i="24"/>
  <c r="S80" i="24" s="1"/>
  <c r="K4" i="13" s="1"/>
  <c r="C30" i="24"/>
  <c r="T30" i="24" s="1"/>
  <c r="L4" i="12" s="1"/>
  <c r="D30" i="24"/>
  <c r="E30" i="24"/>
  <c r="F30" i="24"/>
  <c r="B30" i="24"/>
  <c r="L96" i="24"/>
  <c r="D20" i="13" s="1"/>
  <c r="AE95" i="24"/>
  <c r="W19" i="13" s="1"/>
  <c r="Y90" i="24"/>
  <c r="Q14" i="13" s="1"/>
  <c r="S90" i="24"/>
  <c r="K14" i="13" s="1"/>
  <c r="T86" i="24"/>
  <c r="L10" i="13" s="1"/>
  <c r="C79" i="24"/>
  <c r="P79" i="24" s="1"/>
  <c r="H3" i="13" s="1"/>
  <c r="D79" i="24"/>
  <c r="E79" i="24"/>
  <c r="F79" i="24"/>
  <c r="B79" i="24"/>
  <c r="N40" i="24"/>
  <c r="F14" i="12" s="1"/>
  <c r="C56" i="24"/>
  <c r="D56" i="24"/>
  <c r="E56" i="24"/>
  <c r="R56" i="24" s="1"/>
  <c r="J5" i="19" s="1"/>
  <c r="F56" i="24"/>
  <c r="B56" i="24"/>
  <c r="F72" i="24"/>
  <c r="E72" i="24"/>
  <c r="D72" i="24"/>
  <c r="C72" i="24"/>
  <c r="B72" i="24"/>
  <c r="F68" i="24"/>
  <c r="E68" i="24"/>
  <c r="D68" i="24"/>
  <c r="C68" i="24"/>
  <c r="B68" i="24"/>
  <c r="F67" i="24"/>
  <c r="Q67" i="24" s="1"/>
  <c r="I16" i="19" s="1"/>
  <c r="E67" i="24"/>
  <c r="D67" i="24"/>
  <c r="C67" i="24"/>
  <c r="B67" i="24"/>
  <c r="F66" i="24"/>
  <c r="E66" i="24"/>
  <c r="D66" i="24"/>
  <c r="R66" i="24" s="1"/>
  <c r="J15" i="19" s="1"/>
  <c r="C66" i="24"/>
  <c r="B66" i="24"/>
  <c r="F64" i="24"/>
  <c r="E64" i="24"/>
  <c r="D64" i="24"/>
  <c r="C64" i="24"/>
  <c r="B64" i="24"/>
  <c r="V64" i="24" s="1"/>
  <c r="N13" i="19" s="1"/>
  <c r="F63" i="24"/>
  <c r="E63" i="24"/>
  <c r="D63" i="24"/>
  <c r="C63" i="24"/>
  <c r="B63" i="24"/>
  <c r="F60" i="24"/>
  <c r="E60" i="24"/>
  <c r="D60" i="24"/>
  <c r="C60" i="24"/>
  <c r="B60" i="24"/>
  <c r="F59" i="24"/>
  <c r="E59" i="24"/>
  <c r="D59" i="24"/>
  <c r="C59" i="24"/>
  <c r="B59" i="24"/>
  <c r="F58" i="24"/>
  <c r="E58" i="24"/>
  <c r="D58" i="24"/>
  <c r="AE58" i="24" s="1"/>
  <c r="W7" i="19" s="1"/>
  <c r="C58" i="24"/>
  <c r="B58" i="24"/>
  <c r="F57" i="24"/>
  <c r="E57" i="24"/>
  <c r="D57" i="24"/>
  <c r="C57" i="24"/>
  <c r="B57" i="24"/>
  <c r="F53" i="24"/>
  <c r="E53" i="24"/>
  <c r="D53" i="24"/>
  <c r="C53" i="24"/>
  <c r="M53" i="24" s="1"/>
  <c r="E2" i="19" s="1"/>
  <c r="B53" i="24"/>
  <c r="K60" i="24"/>
  <c r="C9" i="19" s="1"/>
  <c r="AH80" i="24"/>
  <c r="Z4" i="13" s="1"/>
  <c r="K81" i="24"/>
  <c r="C5" i="13" s="1"/>
  <c r="L81" i="24"/>
  <c r="D5" i="13" s="1"/>
  <c r="M81" i="24"/>
  <c r="E5" i="13" s="1"/>
  <c r="N81" i="24"/>
  <c r="F5" i="13" s="1"/>
  <c r="O81" i="24"/>
  <c r="G5" i="13" s="1"/>
  <c r="P81" i="24"/>
  <c r="H5" i="13" s="1"/>
  <c r="Q81" i="24"/>
  <c r="I5" i="13" s="1"/>
  <c r="R81" i="24"/>
  <c r="J5" i="13" s="1"/>
  <c r="S81" i="24"/>
  <c r="K5" i="13" s="1"/>
  <c r="T81" i="24"/>
  <c r="L5" i="13" s="1"/>
  <c r="U81" i="24"/>
  <c r="M5" i="13" s="1"/>
  <c r="V81" i="24"/>
  <c r="N5" i="13" s="1"/>
  <c r="W81" i="24"/>
  <c r="O5" i="13" s="1"/>
  <c r="X81" i="24"/>
  <c r="P5" i="13" s="1"/>
  <c r="Y81" i="24"/>
  <c r="Q5" i="13" s="1"/>
  <c r="Z81" i="24"/>
  <c r="R5" i="13" s="1"/>
  <c r="AA81" i="24"/>
  <c r="S5" i="13" s="1"/>
  <c r="AB81" i="24"/>
  <c r="T5" i="13" s="1"/>
  <c r="AC81" i="24"/>
  <c r="U5" i="13" s="1"/>
  <c r="AD81" i="24"/>
  <c r="V5" i="13" s="1"/>
  <c r="AE81" i="24"/>
  <c r="W5" i="13" s="1"/>
  <c r="AF81" i="24"/>
  <c r="X5" i="13" s="1"/>
  <c r="AG81" i="24"/>
  <c r="Y5" i="13" s="1"/>
  <c r="AH81" i="24"/>
  <c r="Z5" i="13" s="1"/>
  <c r="AI81" i="24"/>
  <c r="AA5" i="13" s="1"/>
  <c r="AJ81" i="24"/>
  <c r="AB5" i="13" s="1"/>
  <c r="AK81" i="24"/>
  <c r="AC5" i="13" s="1"/>
  <c r="AL81" i="24"/>
  <c r="AD5" i="13" s="1"/>
  <c r="AM81" i="24"/>
  <c r="AE5" i="13" s="1"/>
  <c r="AN81" i="24"/>
  <c r="AF5" i="13" s="1"/>
  <c r="AO81" i="24"/>
  <c r="AG5" i="13" s="1"/>
  <c r="K86" i="24"/>
  <c r="C10" i="13" s="1"/>
  <c r="O86" i="24"/>
  <c r="G10" i="13" s="1"/>
  <c r="P86" i="24"/>
  <c r="H10" i="13" s="1"/>
  <c r="Q86" i="24"/>
  <c r="I10" i="13" s="1"/>
  <c r="V86" i="24"/>
  <c r="N10" i="13" s="1"/>
  <c r="Y86" i="24"/>
  <c r="Q10" i="13" s="1"/>
  <c r="Z86" i="24"/>
  <c r="R10" i="13" s="1"/>
  <c r="AA86" i="24"/>
  <c r="S10" i="13" s="1"/>
  <c r="AD86" i="24"/>
  <c r="V10" i="13" s="1"/>
  <c r="AG86" i="24"/>
  <c r="Y10" i="13" s="1"/>
  <c r="AH86" i="24"/>
  <c r="Z10" i="13" s="1"/>
  <c r="AI86" i="24"/>
  <c r="AA10" i="13" s="1"/>
  <c r="AL86" i="24"/>
  <c r="AD10" i="13" s="1"/>
  <c r="AO86" i="24"/>
  <c r="AG10" i="13" s="1"/>
  <c r="K87" i="24"/>
  <c r="C11" i="13" s="1"/>
  <c r="L87" i="24"/>
  <c r="D11" i="13" s="1"/>
  <c r="M87" i="24"/>
  <c r="E11" i="13" s="1"/>
  <c r="N87" i="24"/>
  <c r="F11" i="13" s="1"/>
  <c r="O87" i="24"/>
  <c r="G11" i="13" s="1"/>
  <c r="P87" i="24"/>
  <c r="H11" i="13" s="1"/>
  <c r="Q87" i="24"/>
  <c r="I11" i="13" s="1"/>
  <c r="R87" i="24"/>
  <c r="J11" i="13" s="1"/>
  <c r="S87" i="24"/>
  <c r="K11" i="13" s="1"/>
  <c r="T87" i="24"/>
  <c r="L11" i="13" s="1"/>
  <c r="U87" i="24"/>
  <c r="M11" i="13" s="1"/>
  <c r="V87" i="24"/>
  <c r="N11" i="13" s="1"/>
  <c r="W87" i="24"/>
  <c r="O11" i="13" s="1"/>
  <c r="X87" i="24"/>
  <c r="P11" i="13" s="1"/>
  <c r="Y87" i="24"/>
  <c r="Q11" i="13" s="1"/>
  <c r="Z87" i="24"/>
  <c r="R11" i="13" s="1"/>
  <c r="AA87" i="24"/>
  <c r="S11" i="13" s="1"/>
  <c r="AB87" i="24"/>
  <c r="T11" i="13" s="1"/>
  <c r="AC87" i="24"/>
  <c r="U11" i="13" s="1"/>
  <c r="AD87" i="24"/>
  <c r="V11" i="13" s="1"/>
  <c r="AE87" i="24"/>
  <c r="W11" i="13" s="1"/>
  <c r="AF87" i="24"/>
  <c r="X11" i="13" s="1"/>
  <c r="AG87" i="24"/>
  <c r="Y11" i="13" s="1"/>
  <c r="AH87" i="24"/>
  <c r="Z11" i="13" s="1"/>
  <c r="AI87" i="24"/>
  <c r="AA11" i="13" s="1"/>
  <c r="AJ87" i="24"/>
  <c r="AB11" i="13" s="1"/>
  <c r="AK87" i="24"/>
  <c r="AC11" i="13" s="1"/>
  <c r="AL87" i="24"/>
  <c r="AD11" i="13" s="1"/>
  <c r="AM87" i="24"/>
  <c r="AE11" i="13" s="1"/>
  <c r="AN87" i="24"/>
  <c r="AF11" i="13" s="1"/>
  <c r="AO87" i="24"/>
  <c r="AG11" i="13" s="1"/>
  <c r="M90" i="24"/>
  <c r="E14" i="13" s="1"/>
  <c r="N90" i="24"/>
  <c r="F14" i="13" s="1"/>
  <c r="R90" i="24"/>
  <c r="J14" i="13" s="1"/>
  <c r="U90" i="24"/>
  <c r="M14" i="13" s="1"/>
  <c r="V90" i="24"/>
  <c r="N14" i="13" s="1"/>
  <c r="W90" i="24"/>
  <c r="O14" i="13" s="1"/>
  <c r="Z90" i="24"/>
  <c r="R14" i="13" s="1"/>
  <c r="AC90" i="24"/>
  <c r="U14" i="13" s="1"/>
  <c r="AD90" i="24"/>
  <c r="V14" i="13" s="1"/>
  <c r="AH90" i="24"/>
  <c r="Z14" i="13" s="1"/>
  <c r="AK90" i="24"/>
  <c r="AC14" i="13" s="1"/>
  <c r="AL90" i="24"/>
  <c r="AD14" i="13" s="1"/>
  <c r="AM90" i="24"/>
  <c r="AE14" i="13" s="1"/>
  <c r="M95" i="24"/>
  <c r="E19" i="13" s="1"/>
  <c r="N95" i="24"/>
  <c r="F19" i="13" s="1"/>
  <c r="R95" i="24"/>
  <c r="J19" i="13" s="1"/>
  <c r="Y95" i="24"/>
  <c r="Q19" i="13" s="1"/>
  <c r="Z95" i="24"/>
  <c r="R19" i="13" s="1"/>
  <c r="AD95" i="24"/>
  <c r="V19" i="13" s="1"/>
  <c r="AG95" i="24"/>
  <c r="Y19" i="13" s="1"/>
  <c r="AH95" i="24"/>
  <c r="Z19" i="13" s="1"/>
  <c r="AI95" i="24"/>
  <c r="AA19" i="13" s="1"/>
  <c r="AL95" i="24"/>
  <c r="AD19" i="13" s="1"/>
  <c r="AO95" i="24"/>
  <c r="AG19" i="13" s="1"/>
  <c r="M96" i="24"/>
  <c r="E20" i="13" s="1"/>
  <c r="N96" i="24"/>
  <c r="F20" i="13" s="1"/>
  <c r="R96" i="24"/>
  <c r="J20" i="13" s="1"/>
  <c r="T96" i="24"/>
  <c r="L20" i="13" s="1"/>
  <c r="V96" i="24"/>
  <c r="N20" i="13" s="1"/>
  <c r="Y96" i="24"/>
  <c r="Q20" i="13" s="1"/>
  <c r="Z96" i="24"/>
  <c r="R20" i="13" s="1"/>
  <c r="AA96" i="24"/>
  <c r="S20" i="13" s="1"/>
  <c r="AD96" i="24"/>
  <c r="V20" i="13" s="1"/>
  <c r="AE96" i="24"/>
  <c r="W20" i="13" s="1"/>
  <c r="AF96" i="24"/>
  <c r="X20" i="13" s="1"/>
  <c r="AG96" i="24"/>
  <c r="Y20" i="13" s="1"/>
  <c r="AH96" i="24"/>
  <c r="Z20" i="13" s="1"/>
  <c r="AK96" i="24"/>
  <c r="AC20" i="13" s="1"/>
  <c r="AL96" i="24"/>
  <c r="AD20" i="13" s="1"/>
  <c r="AM96" i="24"/>
  <c r="AE20" i="13" s="1"/>
  <c r="J80" i="24"/>
  <c r="B4" i="13" s="1"/>
  <c r="J81" i="24"/>
  <c r="B5" i="13" s="1"/>
  <c r="J87" i="24"/>
  <c r="B11" i="13" s="1"/>
  <c r="J90" i="24"/>
  <c r="B14" i="13" s="1"/>
  <c r="J96" i="24"/>
  <c r="B20" i="13" s="1"/>
  <c r="L53" i="24"/>
  <c r="D2" i="19" s="1"/>
  <c r="O53" i="24"/>
  <c r="G2" i="19" s="1"/>
  <c r="P53" i="24"/>
  <c r="H2" i="19" s="1"/>
  <c r="Q53" i="24"/>
  <c r="I2" i="19" s="1"/>
  <c r="R53" i="24"/>
  <c r="J2" i="19" s="1"/>
  <c r="T53" i="24"/>
  <c r="L2" i="19" s="1"/>
  <c r="V53" i="24"/>
  <c r="N2" i="19" s="1"/>
  <c r="W53" i="24"/>
  <c r="O2" i="19" s="1"/>
  <c r="X53" i="24"/>
  <c r="P2" i="19" s="1"/>
  <c r="Y53" i="24"/>
  <c r="Q2" i="19" s="1"/>
  <c r="Z53" i="24"/>
  <c r="R2" i="19" s="1"/>
  <c r="AA53" i="24"/>
  <c r="S2" i="19" s="1"/>
  <c r="AB53" i="24"/>
  <c r="T2" i="19" s="1"/>
  <c r="AE53" i="24"/>
  <c r="W2" i="19" s="1"/>
  <c r="AF53" i="24"/>
  <c r="X2" i="19" s="1"/>
  <c r="AG53" i="24"/>
  <c r="Y2" i="19" s="1"/>
  <c r="AH53" i="24"/>
  <c r="Z2" i="19" s="1"/>
  <c r="AI53" i="24"/>
  <c r="AA2" i="19" s="1"/>
  <c r="AJ53" i="24"/>
  <c r="AB2" i="19" s="1"/>
  <c r="AL53" i="24"/>
  <c r="AD2" i="19" s="1"/>
  <c r="AM53" i="24"/>
  <c r="AE2" i="19" s="1"/>
  <c r="AN53" i="24"/>
  <c r="AF2" i="19" s="1"/>
  <c r="AO53" i="24"/>
  <c r="AG2" i="19" s="1"/>
  <c r="S57" i="24"/>
  <c r="K6" i="19" s="1"/>
  <c r="AE57" i="24"/>
  <c r="W6" i="19" s="1"/>
  <c r="S58" i="24"/>
  <c r="K7" i="19" s="1"/>
  <c r="V60" i="24"/>
  <c r="N9" i="19" s="1"/>
  <c r="AH60" i="24"/>
  <c r="Z9" i="19" s="1"/>
  <c r="T64" i="24"/>
  <c r="L13" i="19" s="1"/>
  <c r="AF64" i="24"/>
  <c r="X13" i="19" s="1"/>
  <c r="AD66" i="24"/>
  <c r="V15" i="19" s="1"/>
  <c r="AC67" i="24"/>
  <c r="U16" i="19" s="1"/>
  <c r="V69" i="24"/>
  <c r="N18" i="19" s="1"/>
  <c r="AH69" i="24"/>
  <c r="Z18" i="19" s="1"/>
  <c r="K72" i="24"/>
  <c r="C21" i="19" s="1"/>
  <c r="L72" i="24"/>
  <c r="D21" i="19" s="1"/>
  <c r="M72" i="24"/>
  <c r="E21" i="19" s="1"/>
  <c r="N72" i="24"/>
  <c r="F21" i="19" s="1"/>
  <c r="O72" i="24"/>
  <c r="G21" i="19" s="1"/>
  <c r="P72" i="24"/>
  <c r="H21" i="19" s="1"/>
  <c r="Q72" i="24"/>
  <c r="I21" i="19" s="1"/>
  <c r="R72" i="24"/>
  <c r="J21" i="19" s="1"/>
  <c r="S72" i="24"/>
  <c r="K21" i="19" s="1"/>
  <c r="T72" i="24"/>
  <c r="L21" i="19" s="1"/>
  <c r="U72" i="24"/>
  <c r="M21" i="19" s="1"/>
  <c r="V72" i="24"/>
  <c r="N21" i="19" s="1"/>
  <c r="W72" i="24"/>
  <c r="O21" i="19" s="1"/>
  <c r="X72" i="24"/>
  <c r="P21" i="19" s="1"/>
  <c r="Y72" i="24"/>
  <c r="Q21" i="19" s="1"/>
  <c r="Z72" i="24"/>
  <c r="R21" i="19" s="1"/>
  <c r="AA72" i="24"/>
  <c r="S21" i="19" s="1"/>
  <c r="AB72" i="24"/>
  <c r="T21" i="19" s="1"/>
  <c r="AC72" i="24"/>
  <c r="U21" i="19" s="1"/>
  <c r="AD72" i="24"/>
  <c r="V21" i="19" s="1"/>
  <c r="AE72" i="24"/>
  <c r="W21" i="19" s="1"/>
  <c r="AF72" i="24"/>
  <c r="X21" i="19" s="1"/>
  <c r="AG72" i="24"/>
  <c r="Y21" i="19" s="1"/>
  <c r="AH72" i="24"/>
  <c r="Z21" i="19" s="1"/>
  <c r="AI72" i="24"/>
  <c r="AA21" i="19" s="1"/>
  <c r="AJ72" i="24"/>
  <c r="AB21" i="19" s="1"/>
  <c r="AK72" i="24"/>
  <c r="AC21" i="19" s="1"/>
  <c r="AL72" i="24"/>
  <c r="AD21" i="19" s="1"/>
  <c r="AM72" i="24"/>
  <c r="AE21" i="19" s="1"/>
  <c r="AN72" i="24"/>
  <c r="AF21" i="19" s="1"/>
  <c r="AO72" i="24"/>
  <c r="AG21" i="19" s="1"/>
  <c r="J72" i="24"/>
  <c r="B21" i="19" s="1"/>
  <c r="J53" i="24"/>
  <c r="B2" i="19" s="1"/>
  <c r="K30" i="24"/>
  <c r="C4" i="12" s="1"/>
  <c r="N30" i="24"/>
  <c r="F4" i="12" s="1"/>
  <c r="O30" i="24"/>
  <c r="G4" i="12" s="1"/>
  <c r="P30" i="24"/>
  <c r="H4" i="12" s="1"/>
  <c r="S30" i="24"/>
  <c r="K4" i="12" s="1"/>
  <c r="W30" i="24"/>
  <c r="O4" i="12" s="1"/>
  <c r="X30" i="24"/>
  <c r="P4" i="12" s="1"/>
  <c r="Y30" i="24"/>
  <c r="Q4" i="12" s="1"/>
  <c r="Z30" i="24"/>
  <c r="R4" i="12" s="1"/>
  <c r="AA30" i="24"/>
  <c r="S4" i="12" s="1"/>
  <c r="AB30" i="24"/>
  <c r="T4" i="12" s="1"/>
  <c r="AC30" i="24"/>
  <c r="U4" i="12" s="1"/>
  <c r="AD30" i="24"/>
  <c r="V4" i="12" s="1"/>
  <c r="AE30" i="24"/>
  <c r="W4" i="12" s="1"/>
  <c r="AF30" i="24"/>
  <c r="X4" i="12" s="1"/>
  <c r="AG30" i="24"/>
  <c r="Y4" i="12" s="1"/>
  <c r="AH30" i="24"/>
  <c r="Z4" i="12" s="1"/>
  <c r="AI30" i="24"/>
  <c r="AA4" i="12" s="1"/>
  <c r="AJ30" i="24"/>
  <c r="AB4" i="12" s="1"/>
  <c r="AM30" i="24"/>
  <c r="AE4" i="12" s="1"/>
  <c r="AN30" i="24"/>
  <c r="AF4" i="12" s="1"/>
  <c r="AO30" i="24"/>
  <c r="AG4" i="12" s="1"/>
  <c r="K36" i="24"/>
  <c r="C10" i="12" s="1"/>
  <c r="L36" i="24"/>
  <c r="D10" i="12" s="1"/>
  <c r="M36" i="24"/>
  <c r="E10" i="12" s="1"/>
  <c r="N36" i="24"/>
  <c r="F10" i="12" s="1"/>
  <c r="O36" i="24"/>
  <c r="G10" i="12" s="1"/>
  <c r="P36" i="24"/>
  <c r="H10" i="12" s="1"/>
  <c r="Q36" i="24"/>
  <c r="I10" i="12" s="1"/>
  <c r="R36" i="24"/>
  <c r="J10" i="12" s="1"/>
  <c r="S36" i="24"/>
  <c r="K10" i="12" s="1"/>
  <c r="T36" i="24"/>
  <c r="L10" i="12" s="1"/>
  <c r="U36" i="24"/>
  <c r="M10" i="12" s="1"/>
  <c r="V36" i="24"/>
  <c r="N10" i="12" s="1"/>
  <c r="W36" i="24"/>
  <c r="O10" i="12" s="1"/>
  <c r="X36" i="24"/>
  <c r="P10" i="12" s="1"/>
  <c r="Y36" i="24"/>
  <c r="Q10" i="12" s="1"/>
  <c r="Z36" i="24"/>
  <c r="R10" i="12" s="1"/>
  <c r="AA36" i="24"/>
  <c r="S10" i="12" s="1"/>
  <c r="AB36" i="24"/>
  <c r="T10" i="12" s="1"/>
  <c r="AC36" i="24"/>
  <c r="U10" i="12" s="1"/>
  <c r="AD36" i="24"/>
  <c r="V10" i="12" s="1"/>
  <c r="AE36" i="24"/>
  <c r="W10" i="12" s="1"/>
  <c r="AF36" i="24"/>
  <c r="X10" i="12" s="1"/>
  <c r="AG36" i="24"/>
  <c r="Y10" i="12" s="1"/>
  <c r="AH36" i="24"/>
  <c r="Z10" i="12" s="1"/>
  <c r="AI36" i="24"/>
  <c r="AA10" i="12" s="1"/>
  <c r="AJ36" i="24"/>
  <c r="AB10" i="12" s="1"/>
  <c r="AK36" i="24"/>
  <c r="AC10" i="12" s="1"/>
  <c r="AL36" i="24"/>
  <c r="AD10" i="12" s="1"/>
  <c r="AM36" i="24"/>
  <c r="AE10" i="12" s="1"/>
  <c r="AN36" i="24"/>
  <c r="AF10" i="12" s="1"/>
  <c r="AO36" i="24"/>
  <c r="AG10" i="12" s="1"/>
  <c r="K37" i="24"/>
  <c r="C11" i="12" s="1"/>
  <c r="L37" i="24"/>
  <c r="D11" i="12" s="1"/>
  <c r="M37" i="24"/>
  <c r="E11" i="12" s="1"/>
  <c r="N37" i="24"/>
  <c r="F11" i="12" s="1"/>
  <c r="O37" i="24"/>
  <c r="G11" i="12" s="1"/>
  <c r="P37" i="24"/>
  <c r="H11" i="12" s="1"/>
  <c r="Q37" i="24"/>
  <c r="I11" i="12" s="1"/>
  <c r="R37" i="24"/>
  <c r="J11" i="12" s="1"/>
  <c r="S37" i="24"/>
  <c r="K11" i="12" s="1"/>
  <c r="T37" i="24"/>
  <c r="L11" i="12" s="1"/>
  <c r="U37" i="24"/>
  <c r="M11" i="12" s="1"/>
  <c r="V37" i="24"/>
  <c r="N11" i="12" s="1"/>
  <c r="W37" i="24"/>
  <c r="O11" i="12" s="1"/>
  <c r="X37" i="24"/>
  <c r="P11" i="12" s="1"/>
  <c r="Y37" i="24"/>
  <c r="Q11" i="12" s="1"/>
  <c r="Z37" i="24"/>
  <c r="R11" i="12" s="1"/>
  <c r="AA37" i="24"/>
  <c r="S11" i="12" s="1"/>
  <c r="AB37" i="24"/>
  <c r="T11" i="12" s="1"/>
  <c r="AC37" i="24"/>
  <c r="U11" i="12" s="1"/>
  <c r="AD37" i="24"/>
  <c r="V11" i="12" s="1"/>
  <c r="AE37" i="24"/>
  <c r="W11" i="12" s="1"/>
  <c r="AF37" i="24"/>
  <c r="X11" i="12" s="1"/>
  <c r="AG37" i="24"/>
  <c r="Y11" i="12" s="1"/>
  <c r="AH37" i="24"/>
  <c r="Z11" i="12" s="1"/>
  <c r="AI37" i="24"/>
  <c r="AA11" i="12" s="1"/>
  <c r="AJ37" i="24"/>
  <c r="AB11" i="12" s="1"/>
  <c r="AK37" i="24"/>
  <c r="AC11" i="12" s="1"/>
  <c r="AL37" i="24"/>
  <c r="AD11" i="12" s="1"/>
  <c r="AM37" i="24"/>
  <c r="AE11" i="12" s="1"/>
  <c r="AN37" i="24"/>
  <c r="AF11" i="12" s="1"/>
  <c r="AO37" i="24"/>
  <c r="AG11" i="12" s="1"/>
  <c r="K40" i="24"/>
  <c r="C14" i="12" s="1"/>
  <c r="L40" i="24"/>
  <c r="D14" i="12" s="1"/>
  <c r="M40" i="24"/>
  <c r="E14" i="12" s="1"/>
  <c r="O40" i="24"/>
  <c r="G14" i="12" s="1"/>
  <c r="P40" i="24"/>
  <c r="H14" i="12" s="1"/>
  <c r="Q40" i="24"/>
  <c r="I14" i="12" s="1"/>
  <c r="R40" i="24"/>
  <c r="J14" i="12" s="1"/>
  <c r="S40" i="24"/>
  <c r="K14" i="12" s="1"/>
  <c r="T40" i="24"/>
  <c r="L14" i="12" s="1"/>
  <c r="U40" i="24"/>
  <c r="M14" i="12" s="1"/>
  <c r="V40" i="24"/>
  <c r="N14" i="12" s="1"/>
  <c r="W40" i="24"/>
  <c r="O14" i="12" s="1"/>
  <c r="X40" i="24"/>
  <c r="P14" i="12" s="1"/>
  <c r="Y40" i="24"/>
  <c r="Q14" i="12" s="1"/>
  <c r="Z40" i="24"/>
  <c r="R14" i="12" s="1"/>
  <c r="AA40" i="24"/>
  <c r="S14" i="12" s="1"/>
  <c r="AB40" i="24"/>
  <c r="T14" i="12" s="1"/>
  <c r="AC40" i="24"/>
  <c r="U14" i="12" s="1"/>
  <c r="AE40" i="24"/>
  <c r="W14" i="12" s="1"/>
  <c r="AF40" i="24"/>
  <c r="X14" i="12" s="1"/>
  <c r="AG40" i="24"/>
  <c r="Y14" i="12" s="1"/>
  <c r="AH40" i="24"/>
  <c r="Z14" i="12" s="1"/>
  <c r="AI40" i="24"/>
  <c r="AA14" i="12" s="1"/>
  <c r="AJ40" i="24"/>
  <c r="AB14" i="12" s="1"/>
  <c r="AK40" i="24"/>
  <c r="AC14" i="12" s="1"/>
  <c r="AL40" i="24"/>
  <c r="AD14" i="12" s="1"/>
  <c r="AM40" i="24"/>
  <c r="AE14" i="12" s="1"/>
  <c r="AN40" i="24"/>
  <c r="AF14" i="12" s="1"/>
  <c r="AO40" i="24"/>
  <c r="AG14" i="12" s="1"/>
  <c r="K45" i="24"/>
  <c r="C19" i="12" s="1"/>
  <c r="L45" i="24"/>
  <c r="D19" i="12" s="1"/>
  <c r="M45" i="24"/>
  <c r="E19" i="12" s="1"/>
  <c r="N45" i="24"/>
  <c r="F19" i="12" s="1"/>
  <c r="O45" i="24"/>
  <c r="G19" i="12" s="1"/>
  <c r="P45" i="24"/>
  <c r="H19" i="12" s="1"/>
  <c r="Q45" i="24"/>
  <c r="I19" i="12" s="1"/>
  <c r="R45" i="24"/>
  <c r="J19" i="12" s="1"/>
  <c r="S45" i="24"/>
  <c r="K19" i="12" s="1"/>
  <c r="T45" i="24"/>
  <c r="L19" i="12" s="1"/>
  <c r="U45" i="24"/>
  <c r="M19" i="12" s="1"/>
  <c r="V45" i="24"/>
  <c r="N19" i="12" s="1"/>
  <c r="W45" i="24"/>
  <c r="O19" i="12" s="1"/>
  <c r="X45" i="24"/>
  <c r="P19" i="12" s="1"/>
  <c r="Y45" i="24"/>
  <c r="Q19" i="12" s="1"/>
  <c r="Z45" i="24"/>
  <c r="R19" i="12" s="1"/>
  <c r="AA45" i="24"/>
  <c r="S19" i="12" s="1"/>
  <c r="AB45" i="24"/>
  <c r="T19" i="12" s="1"/>
  <c r="AC45" i="24"/>
  <c r="U19" i="12" s="1"/>
  <c r="AD45" i="24"/>
  <c r="V19" i="12" s="1"/>
  <c r="AE45" i="24"/>
  <c r="W19" i="12" s="1"/>
  <c r="AF45" i="24"/>
  <c r="X19" i="12" s="1"/>
  <c r="AG45" i="24"/>
  <c r="Y19" i="12" s="1"/>
  <c r="AH45" i="24"/>
  <c r="Z19" i="12" s="1"/>
  <c r="AI45" i="24"/>
  <c r="AA19" i="12" s="1"/>
  <c r="AJ45" i="24"/>
  <c r="AB19" i="12" s="1"/>
  <c r="AK45" i="24"/>
  <c r="AC19" i="12" s="1"/>
  <c r="AL45" i="24"/>
  <c r="AD19" i="12" s="1"/>
  <c r="AM45" i="24"/>
  <c r="AE19" i="12" s="1"/>
  <c r="AN45" i="24"/>
  <c r="AF19" i="12" s="1"/>
  <c r="AO45" i="24"/>
  <c r="AG19" i="12" s="1"/>
  <c r="K46" i="24"/>
  <c r="C20" i="12" s="1"/>
  <c r="L46" i="24"/>
  <c r="D20" i="12" s="1"/>
  <c r="M46" i="24"/>
  <c r="E20" i="12" s="1"/>
  <c r="N46" i="24"/>
  <c r="F20" i="12" s="1"/>
  <c r="O46" i="24"/>
  <c r="G20" i="12" s="1"/>
  <c r="P46" i="24"/>
  <c r="H20" i="12" s="1"/>
  <c r="Q46" i="24"/>
  <c r="I20" i="12" s="1"/>
  <c r="R46" i="24"/>
  <c r="J20" i="12" s="1"/>
  <c r="S46" i="24"/>
  <c r="K20" i="12" s="1"/>
  <c r="T46" i="24"/>
  <c r="L20" i="12" s="1"/>
  <c r="U46" i="24"/>
  <c r="M20" i="12" s="1"/>
  <c r="V46" i="24"/>
  <c r="N20" i="12" s="1"/>
  <c r="W46" i="24"/>
  <c r="O20" i="12" s="1"/>
  <c r="X46" i="24"/>
  <c r="P20" i="12" s="1"/>
  <c r="Y46" i="24"/>
  <c r="Q20" i="12" s="1"/>
  <c r="Z46" i="24"/>
  <c r="R20" i="12" s="1"/>
  <c r="AA46" i="24"/>
  <c r="S20" i="12" s="1"/>
  <c r="AB46" i="24"/>
  <c r="T20" i="12" s="1"/>
  <c r="AC46" i="24"/>
  <c r="U20" i="12" s="1"/>
  <c r="AD46" i="24"/>
  <c r="V20" i="12" s="1"/>
  <c r="AE46" i="24"/>
  <c r="W20" i="12" s="1"/>
  <c r="AF46" i="24"/>
  <c r="X20" i="12" s="1"/>
  <c r="AG46" i="24"/>
  <c r="Y20" i="12" s="1"/>
  <c r="AH46" i="24"/>
  <c r="Z20" i="12" s="1"/>
  <c r="AI46" i="24"/>
  <c r="AA20" i="12" s="1"/>
  <c r="AJ46" i="24"/>
  <c r="AB20" i="12" s="1"/>
  <c r="AK46" i="24"/>
  <c r="AC20" i="12" s="1"/>
  <c r="AL46" i="24"/>
  <c r="AD20" i="12" s="1"/>
  <c r="AM46" i="24"/>
  <c r="AE20" i="12" s="1"/>
  <c r="AN46" i="24"/>
  <c r="AF20" i="12" s="1"/>
  <c r="AO46" i="24"/>
  <c r="AG20" i="12" s="1"/>
  <c r="J30" i="24"/>
  <c r="B4" i="12" s="1"/>
  <c r="J36" i="24"/>
  <c r="B10" i="12" s="1"/>
  <c r="B11" i="12"/>
  <c r="J40" i="24"/>
  <c r="B14" i="12" s="1"/>
  <c r="J45" i="24"/>
  <c r="B19" i="12" s="1"/>
  <c r="J46" i="24"/>
  <c r="B20" i="12" s="1"/>
  <c r="C28" i="4"/>
  <c r="E13" i="29" l="1"/>
  <c r="L48" i="24" s="1"/>
  <c r="D22" i="12" s="1"/>
  <c r="AO79" i="24"/>
  <c r="AG3" i="13" s="1"/>
  <c r="Q95" i="24"/>
  <c r="I19" i="13" s="1"/>
  <c r="K53" i="24"/>
  <c r="C2" i="19" s="1"/>
  <c r="AC95" i="24"/>
  <c r="U19" i="13" s="1"/>
  <c r="AG90" i="24"/>
  <c r="Y14" i="13" s="1"/>
  <c r="Q90" i="24"/>
  <c r="I14" i="13" s="1"/>
  <c r="AC86" i="24"/>
  <c r="U10" i="13" s="1"/>
  <c r="AN79" i="24"/>
  <c r="AF3" i="13" s="1"/>
  <c r="AE59" i="24"/>
  <c r="W8" i="19" s="1"/>
  <c r="AB95" i="24"/>
  <c r="T19" i="13" s="1"/>
  <c r="AF90" i="24"/>
  <c r="X14" i="13" s="1"/>
  <c r="P90" i="24"/>
  <c r="H14" i="13" s="1"/>
  <c r="AB86" i="24"/>
  <c r="T10" i="13" s="1"/>
  <c r="AM79" i="24"/>
  <c r="AE3" i="13" s="1"/>
  <c r="AA95" i="24"/>
  <c r="S19" i="13" s="1"/>
  <c r="AE90" i="24"/>
  <c r="W14" i="13" s="1"/>
  <c r="O90" i="24"/>
  <c r="G14" i="13" s="1"/>
  <c r="AK79" i="24"/>
  <c r="AC3" i="13" s="1"/>
  <c r="AH79" i="24"/>
  <c r="Z3" i="13" s="1"/>
  <c r="AF79" i="24"/>
  <c r="X3" i="13" s="1"/>
  <c r="U57" i="24"/>
  <c r="M6" i="19" s="1"/>
  <c r="L69" i="24"/>
  <c r="D18" i="19" s="1"/>
  <c r="J95" i="24"/>
  <c r="B19" i="13" s="1"/>
  <c r="J79" i="24"/>
  <c r="B3" i="13" s="1"/>
  <c r="AN95" i="24"/>
  <c r="AF19" i="13" s="1"/>
  <c r="X95" i="24"/>
  <c r="P19" i="13" s="1"/>
  <c r="AB90" i="24"/>
  <c r="T14" i="13" s="1"/>
  <c r="L90" i="24"/>
  <c r="D14" i="13" s="1"/>
  <c r="AN86" i="24"/>
  <c r="AF10" i="13" s="1"/>
  <c r="X86" i="24"/>
  <c r="P10" i="13" s="1"/>
  <c r="AC79" i="24"/>
  <c r="U3" i="13" s="1"/>
  <c r="AO67" i="24"/>
  <c r="AG16" i="19" s="1"/>
  <c r="AK53" i="24"/>
  <c r="AC2" i="19" s="1"/>
  <c r="U53" i="24"/>
  <c r="M2" i="19" s="1"/>
  <c r="AM95" i="24"/>
  <c r="AE19" i="13" s="1"/>
  <c r="W95" i="24"/>
  <c r="O19" i="13" s="1"/>
  <c r="AA90" i="24"/>
  <c r="S14" i="13" s="1"/>
  <c r="K90" i="24"/>
  <c r="C14" i="13" s="1"/>
  <c r="AM86" i="24"/>
  <c r="AE10" i="13" s="1"/>
  <c r="W86" i="24"/>
  <c r="O10" i="13" s="1"/>
  <c r="AB79" i="24"/>
  <c r="T3" i="13" s="1"/>
  <c r="AA79" i="24"/>
  <c r="S3" i="13" s="1"/>
  <c r="L30" i="24"/>
  <c r="D4" i="12" s="1"/>
  <c r="S53" i="24"/>
  <c r="K2" i="19" s="1"/>
  <c r="AK95" i="24"/>
  <c r="AC19" i="13" s="1"/>
  <c r="P95" i="24"/>
  <c r="H19" i="13" s="1"/>
  <c r="AO90" i="24"/>
  <c r="AG14" i="13" s="1"/>
  <c r="AK86" i="24"/>
  <c r="AC10" i="13" s="1"/>
  <c r="S86" i="24"/>
  <c r="K10" i="13" s="1"/>
  <c r="V79" i="24"/>
  <c r="N3" i="13" s="1"/>
  <c r="S67" i="24"/>
  <c r="K16" i="19" s="1"/>
  <c r="AJ95" i="24"/>
  <c r="AB19" i="13" s="1"/>
  <c r="O95" i="24"/>
  <c r="G19" i="13" s="1"/>
  <c r="AN90" i="24"/>
  <c r="AF14" i="13" s="1"/>
  <c r="X90" i="24"/>
  <c r="P14" i="13" s="1"/>
  <c r="AJ86" i="24"/>
  <c r="AB10" i="13" s="1"/>
  <c r="R86" i="24"/>
  <c r="J10" i="13" s="1"/>
  <c r="Q79" i="24"/>
  <c r="I3" i="13" s="1"/>
  <c r="T79" i="24"/>
  <c r="L3" i="13" s="1"/>
  <c r="M30" i="24"/>
  <c r="E4" i="12" s="1"/>
  <c r="T58" i="24"/>
  <c r="L7" i="19" s="1"/>
  <c r="O63" i="24"/>
  <c r="G12" i="19" s="1"/>
  <c r="R68" i="24"/>
  <c r="J17" i="19" s="1"/>
  <c r="S79" i="24"/>
  <c r="K3" i="13" s="1"/>
  <c r="AL30" i="24"/>
  <c r="AD4" i="12" s="1"/>
  <c r="V30" i="24"/>
  <c r="N4" i="12" s="1"/>
  <c r="AD53" i="24"/>
  <c r="V2" i="19" s="1"/>
  <c r="N53" i="24"/>
  <c r="F2" i="19" s="1"/>
  <c r="AF95" i="24"/>
  <c r="X19" i="13" s="1"/>
  <c r="AJ90" i="24"/>
  <c r="AB14" i="13" s="1"/>
  <c r="T90" i="24"/>
  <c r="L14" i="13" s="1"/>
  <c r="AF86" i="24"/>
  <c r="X10" i="13" s="1"/>
  <c r="N86" i="24"/>
  <c r="F10" i="13" s="1"/>
  <c r="AB80" i="24"/>
  <c r="T4" i="13" s="1"/>
  <c r="N56" i="24"/>
  <c r="F5" i="19" s="1"/>
  <c r="AD40" i="24"/>
  <c r="V14" i="12" s="1"/>
  <c r="AK30" i="24"/>
  <c r="AC4" i="12" s="1"/>
  <c r="AC53" i="24"/>
  <c r="U2" i="19" s="1"/>
  <c r="J86" i="24"/>
  <c r="B10" i="13" s="1"/>
  <c r="AI90" i="24"/>
  <c r="AA14" i="13" s="1"/>
  <c r="AE86" i="24"/>
  <c r="W10" i="13" s="1"/>
  <c r="L86" i="24"/>
  <c r="D10" i="13" s="1"/>
  <c r="AE80" i="24"/>
  <c r="W4" i="13" s="1"/>
  <c r="S13" i="29"/>
  <c r="Z48" i="24" s="1"/>
  <c r="R22" i="12" s="1"/>
  <c r="AH13" i="29"/>
  <c r="AO48" i="24" s="1"/>
  <c r="AG22" i="12" s="1"/>
  <c r="K13" i="29"/>
  <c r="R48" i="24" s="1"/>
  <c r="J22" i="12" s="1"/>
  <c r="W13" i="29"/>
  <c r="AD48" i="24" s="1"/>
  <c r="V22" i="12" s="1"/>
  <c r="V13" i="29"/>
  <c r="AC48" i="24" s="1"/>
  <c r="U22" i="12" s="1"/>
  <c r="AE13" i="29"/>
  <c r="AL48" i="24" s="1"/>
  <c r="AD22" i="12" s="1"/>
  <c r="AA13" i="29"/>
  <c r="AH48" i="24" s="1"/>
  <c r="Z22" i="12" s="1"/>
  <c r="G13" i="29"/>
  <c r="N48" i="24" s="1"/>
  <c r="F22" i="12" s="1"/>
  <c r="L13" i="29"/>
  <c r="S48" i="24" s="1"/>
  <c r="K22" i="12" s="1"/>
  <c r="P13" i="29"/>
  <c r="W48" i="24" s="1"/>
  <c r="O22" i="12" s="1"/>
  <c r="T13" i="29"/>
  <c r="AA48" i="24" s="1"/>
  <c r="S22" i="12" s="1"/>
  <c r="X13" i="29"/>
  <c r="AE48" i="24" s="1"/>
  <c r="W22" i="12" s="1"/>
  <c r="AB13" i="29"/>
  <c r="AI48" i="24" s="1"/>
  <c r="AA22" i="12" s="1"/>
  <c r="AF13" i="29"/>
  <c r="AM48" i="24" s="1"/>
  <c r="AE22" i="12" s="1"/>
  <c r="Q13" i="29"/>
  <c r="X48" i="24" s="1"/>
  <c r="P22" i="12" s="1"/>
  <c r="I13" i="29"/>
  <c r="P48" i="24" s="1"/>
  <c r="H22" i="12" s="1"/>
  <c r="AC13" i="29"/>
  <c r="AJ48" i="24" s="1"/>
  <c r="AB22" i="12" s="1"/>
  <c r="U13" i="29"/>
  <c r="AB48" i="24" s="1"/>
  <c r="T22" i="12" s="1"/>
  <c r="R13" i="29"/>
  <c r="Y48" i="24" s="1"/>
  <c r="Q22" i="12" s="1"/>
  <c r="V48" i="24"/>
  <c r="N22" i="12" s="1"/>
  <c r="AG13" i="29"/>
  <c r="AN48" i="24" s="1"/>
  <c r="AF22" i="12" s="1"/>
  <c r="U48" i="24"/>
  <c r="M22" i="12" s="1"/>
  <c r="Y13" i="29"/>
  <c r="AF48" i="24" s="1"/>
  <c r="X22" i="12" s="1"/>
  <c r="J13" i="29"/>
  <c r="Q48" i="24" s="1"/>
  <c r="I22" i="12" s="1"/>
  <c r="AG48" i="24"/>
  <c r="Y22" i="12" s="1"/>
  <c r="M13" i="29"/>
  <c r="T48" i="24" s="1"/>
  <c r="L22" i="12" s="1"/>
  <c r="AC80" i="24"/>
  <c r="U4" i="13" s="1"/>
  <c r="Q80" i="24"/>
  <c r="I4" i="13" s="1"/>
  <c r="AO80" i="24"/>
  <c r="AG4" i="13" s="1"/>
  <c r="AN80" i="24"/>
  <c r="AF4" i="13" s="1"/>
  <c r="T80" i="24"/>
  <c r="L4" i="13" s="1"/>
  <c r="AI80" i="24"/>
  <c r="AA4" i="13" s="1"/>
  <c r="AD80" i="24"/>
  <c r="V4" i="13" s="1"/>
  <c r="R80" i="24"/>
  <c r="J4" i="13" s="1"/>
  <c r="P80" i="24"/>
  <c r="H4" i="13" s="1"/>
  <c r="AM80" i="24"/>
  <c r="AE4" i="13" s="1"/>
  <c r="AA80" i="24"/>
  <c r="S4" i="13" s="1"/>
  <c r="O80" i="24"/>
  <c r="G4" i="13" s="1"/>
  <c r="Z80" i="24"/>
  <c r="R4" i="13" s="1"/>
  <c r="N80" i="24"/>
  <c r="F4" i="13" s="1"/>
  <c r="AK80" i="24"/>
  <c r="AC4" i="13" s="1"/>
  <c r="Y80" i="24"/>
  <c r="Q4" i="13" s="1"/>
  <c r="M80" i="24"/>
  <c r="E4" i="13" s="1"/>
  <c r="AJ80" i="24"/>
  <c r="AB4" i="13" s="1"/>
  <c r="X80" i="24"/>
  <c r="P4" i="13" s="1"/>
  <c r="L80" i="24"/>
  <c r="D4" i="13" s="1"/>
  <c r="W80" i="24"/>
  <c r="O4" i="13" s="1"/>
  <c r="K80" i="24"/>
  <c r="C4" i="13" s="1"/>
  <c r="V80" i="24"/>
  <c r="N4" i="13" s="1"/>
  <c r="AG80" i="24"/>
  <c r="Y4" i="13" s="1"/>
  <c r="U80" i="24"/>
  <c r="M4" i="13" s="1"/>
  <c r="AF80" i="24"/>
  <c r="X4" i="13" s="1"/>
  <c r="U30" i="24"/>
  <c r="M4" i="12" s="1"/>
  <c r="R30" i="24"/>
  <c r="J4" i="12" s="1"/>
  <c r="Q30" i="24"/>
  <c r="I4" i="12" s="1"/>
  <c r="AI96" i="24"/>
  <c r="AA20" i="13" s="1"/>
  <c r="W96" i="24"/>
  <c r="O20" i="13" s="1"/>
  <c r="K96" i="24"/>
  <c r="C20" i="13" s="1"/>
  <c r="U96" i="24"/>
  <c r="M20" i="13" s="1"/>
  <c r="S96" i="24"/>
  <c r="K20" i="13" s="1"/>
  <c r="AO96" i="24"/>
  <c r="AG20" i="13" s="1"/>
  <c r="AC96" i="24"/>
  <c r="U20" i="13" s="1"/>
  <c r="Q96" i="24"/>
  <c r="I20" i="13" s="1"/>
  <c r="AN96" i="24"/>
  <c r="AF20" i="13" s="1"/>
  <c r="AB96" i="24"/>
  <c r="T20" i="13" s="1"/>
  <c r="P96" i="24"/>
  <c r="H20" i="13" s="1"/>
  <c r="O96" i="24"/>
  <c r="G20" i="13" s="1"/>
  <c r="AJ96" i="24"/>
  <c r="AB20" i="13" s="1"/>
  <c r="X96" i="24"/>
  <c r="P20" i="13" s="1"/>
  <c r="L95" i="24"/>
  <c r="D19" i="13" s="1"/>
  <c r="K95" i="24"/>
  <c r="C19" i="13" s="1"/>
  <c r="V95" i="24"/>
  <c r="N19" i="13" s="1"/>
  <c r="U95" i="24"/>
  <c r="M19" i="13" s="1"/>
  <c r="T95" i="24"/>
  <c r="L19" i="13" s="1"/>
  <c r="S95" i="24"/>
  <c r="K19" i="13" s="1"/>
  <c r="M86" i="24"/>
  <c r="E10" i="13" s="1"/>
  <c r="U86" i="24"/>
  <c r="M10" i="13" s="1"/>
  <c r="AD79" i="24"/>
  <c r="V3" i="13" s="1"/>
  <c r="R79" i="24"/>
  <c r="J3" i="13" s="1"/>
  <c r="O79" i="24"/>
  <c r="G3" i="13" s="1"/>
  <c r="AL79" i="24"/>
  <c r="AD3" i="13" s="1"/>
  <c r="Z79" i="24"/>
  <c r="R3" i="13" s="1"/>
  <c r="N79" i="24"/>
  <c r="F3" i="13" s="1"/>
  <c r="Y79" i="24"/>
  <c r="Q3" i="13" s="1"/>
  <c r="M79" i="24"/>
  <c r="E3" i="13" s="1"/>
  <c r="AJ79" i="24"/>
  <c r="AB3" i="13" s="1"/>
  <c r="X79" i="24"/>
  <c r="P3" i="13" s="1"/>
  <c r="L79" i="24"/>
  <c r="D3" i="13" s="1"/>
  <c r="AI79" i="24"/>
  <c r="AA3" i="13" s="1"/>
  <c r="W79" i="24"/>
  <c r="O3" i="13" s="1"/>
  <c r="K79" i="24"/>
  <c r="C3" i="13" s="1"/>
  <c r="AG79" i="24"/>
  <c r="Y3" i="13" s="1"/>
  <c r="U79" i="24"/>
  <c r="M3" i="13" s="1"/>
  <c r="AE79" i="24"/>
  <c r="W3" i="13" s="1"/>
  <c r="J67" i="24"/>
  <c r="B16" i="19" s="1"/>
  <c r="AI69" i="24"/>
  <c r="AA18" i="19" s="1"/>
  <c r="W69" i="24"/>
  <c r="O18" i="19" s="1"/>
  <c r="K69" i="24"/>
  <c r="C18" i="19" s="1"/>
  <c r="AD67" i="24"/>
  <c r="V16" i="19" s="1"/>
  <c r="R67" i="24"/>
  <c r="J16" i="19" s="1"/>
  <c r="AG64" i="24"/>
  <c r="Y13" i="19" s="1"/>
  <c r="U64" i="24"/>
  <c r="M13" i="19" s="1"/>
  <c r="S59" i="24"/>
  <c r="K8" i="19" s="1"/>
  <c r="AF57" i="24"/>
  <c r="X6" i="19" s="1"/>
  <c r="T57" i="24"/>
  <c r="L6" i="19" s="1"/>
  <c r="J64" i="24"/>
  <c r="B13" i="19" s="1"/>
  <c r="AG69" i="24"/>
  <c r="Y18" i="19" s="1"/>
  <c r="U69" i="24"/>
  <c r="M18" i="19" s="1"/>
  <c r="AN67" i="24"/>
  <c r="AF16" i="19" s="1"/>
  <c r="AB67" i="24"/>
  <c r="T16" i="19" s="1"/>
  <c r="P67" i="24"/>
  <c r="H16" i="19" s="1"/>
  <c r="AE64" i="24"/>
  <c r="W13" i="19" s="1"/>
  <c r="S64" i="24"/>
  <c r="K13" i="19" s="1"/>
  <c r="AD57" i="24"/>
  <c r="V6" i="19" s="1"/>
  <c r="R57" i="24"/>
  <c r="J6" i="19" s="1"/>
  <c r="U59" i="24"/>
  <c r="M8" i="19" s="1"/>
  <c r="AF69" i="24"/>
  <c r="X18" i="19" s="1"/>
  <c r="T69" i="24"/>
  <c r="L18" i="19" s="1"/>
  <c r="AM67" i="24"/>
  <c r="AE16" i="19" s="1"/>
  <c r="AA67" i="24"/>
  <c r="S16" i="19" s="1"/>
  <c r="O67" i="24"/>
  <c r="G16" i="19" s="1"/>
  <c r="AD64" i="24"/>
  <c r="V13" i="19" s="1"/>
  <c r="R64" i="24"/>
  <c r="J13" i="19" s="1"/>
  <c r="AO57" i="24"/>
  <c r="AG6" i="19" s="1"/>
  <c r="AC57" i="24"/>
  <c r="U6" i="19" s="1"/>
  <c r="Q57" i="24"/>
  <c r="I6" i="19" s="1"/>
  <c r="J57" i="24"/>
  <c r="B6" i="19" s="1"/>
  <c r="AE69" i="24"/>
  <c r="W18" i="19" s="1"/>
  <c r="S69" i="24"/>
  <c r="K18" i="19" s="1"/>
  <c r="AL67" i="24"/>
  <c r="AD16" i="19" s="1"/>
  <c r="Z67" i="24"/>
  <c r="R16" i="19" s="1"/>
  <c r="N67" i="24"/>
  <c r="F16" i="19" s="1"/>
  <c r="AO64" i="24"/>
  <c r="AG13" i="19" s="1"/>
  <c r="AC64" i="24"/>
  <c r="U13" i="19" s="1"/>
  <c r="Q64" i="24"/>
  <c r="I13" i="19" s="1"/>
  <c r="AN57" i="24"/>
  <c r="AF6" i="19" s="1"/>
  <c r="AB57" i="24"/>
  <c r="T6" i="19" s="1"/>
  <c r="P57" i="24"/>
  <c r="H6" i="19" s="1"/>
  <c r="AD69" i="24"/>
  <c r="V18" i="19" s="1"/>
  <c r="R69" i="24"/>
  <c r="J18" i="19" s="1"/>
  <c r="AK67" i="24"/>
  <c r="AC16" i="19" s="1"/>
  <c r="Y67" i="24"/>
  <c r="Q16" i="19" s="1"/>
  <c r="M67" i="24"/>
  <c r="E16" i="19" s="1"/>
  <c r="AN64" i="24"/>
  <c r="AF13" i="19" s="1"/>
  <c r="AB64" i="24"/>
  <c r="T13" i="19" s="1"/>
  <c r="P64" i="24"/>
  <c r="H13" i="19" s="1"/>
  <c r="AM57" i="24"/>
  <c r="AE6" i="19" s="1"/>
  <c r="AA57" i="24"/>
  <c r="S6" i="19" s="1"/>
  <c r="O57" i="24"/>
  <c r="G6" i="19" s="1"/>
  <c r="AO69" i="24"/>
  <c r="AG18" i="19" s="1"/>
  <c r="AC69" i="24"/>
  <c r="U18" i="19" s="1"/>
  <c r="Q69" i="24"/>
  <c r="I18" i="19" s="1"/>
  <c r="AJ67" i="24"/>
  <c r="AB16" i="19" s="1"/>
  <c r="X67" i="24"/>
  <c r="P16" i="19" s="1"/>
  <c r="L67" i="24"/>
  <c r="D16" i="19" s="1"/>
  <c r="AM64" i="24"/>
  <c r="AE13" i="19" s="1"/>
  <c r="AA64" i="24"/>
  <c r="S13" i="19" s="1"/>
  <c r="O64" i="24"/>
  <c r="G13" i="19" s="1"/>
  <c r="AL57" i="24"/>
  <c r="AD6" i="19" s="1"/>
  <c r="Z57" i="24"/>
  <c r="R6" i="19" s="1"/>
  <c r="N57" i="24"/>
  <c r="F6" i="19" s="1"/>
  <c r="P68" i="24"/>
  <c r="H17" i="19" s="1"/>
  <c r="AN69" i="24"/>
  <c r="AF18" i="19" s="1"/>
  <c r="AB69" i="24"/>
  <c r="T18" i="19" s="1"/>
  <c r="P69" i="24"/>
  <c r="H18" i="19" s="1"/>
  <c r="AI67" i="24"/>
  <c r="AA16" i="19" s="1"/>
  <c r="W67" i="24"/>
  <c r="O16" i="19" s="1"/>
  <c r="K67" i="24"/>
  <c r="C16" i="19" s="1"/>
  <c r="AL64" i="24"/>
  <c r="AD13" i="19" s="1"/>
  <c r="Z64" i="24"/>
  <c r="R13" i="19" s="1"/>
  <c r="N64" i="24"/>
  <c r="F13" i="19" s="1"/>
  <c r="AK57" i="24"/>
  <c r="AC6" i="19" s="1"/>
  <c r="Y57" i="24"/>
  <c r="Q6" i="19" s="1"/>
  <c r="M57" i="24"/>
  <c r="E6" i="19" s="1"/>
  <c r="AM69" i="24"/>
  <c r="AE18" i="19" s="1"/>
  <c r="AA69" i="24"/>
  <c r="S18" i="19" s="1"/>
  <c r="O69" i="24"/>
  <c r="G18" i="19" s="1"/>
  <c r="AH67" i="24"/>
  <c r="Z16" i="19" s="1"/>
  <c r="V67" i="24"/>
  <c r="N16" i="19" s="1"/>
  <c r="AK64" i="24"/>
  <c r="AC13" i="19" s="1"/>
  <c r="Y64" i="24"/>
  <c r="Q13" i="19" s="1"/>
  <c r="M64" i="24"/>
  <c r="E13" i="19" s="1"/>
  <c r="AJ57" i="24"/>
  <c r="AB6" i="19" s="1"/>
  <c r="X57" i="24"/>
  <c r="P6" i="19" s="1"/>
  <c r="L57" i="24"/>
  <c r="D6" i="19" s="1"/>
  <c r="AL69" i="24"/>
  <c r="AD18" i="19" s="1"/>
  <c r="Z69" i="24"/>
  <c r="R18" i="19" s="1"/>
  <c r="N69" i="24"/>
  <c r="F18" i="19" s="1"/>
  <c r="AG67" i="24"/>
  <c r="Y16" i="19" s="1"/>
  <c r="U67" i="24"/>
  <c r="M16" i="19" s="1"/>
  <c r="AJ64" i="24"/>
  <c r="AB13" i="19" s="1"/>
  <c r="X64" i="24"/>
  <c r="P13" i="19" s="1"/>
  <c r="L64" i="24"/>
  <c r="D13" i="19" s="1"/>
  <c r="AI57" i="24"/>
  <c r="AA6" i="19" s="1"/>
  <c r="W57" i="24"/>
  <c r="O6" i="19" s="1"/>
  <c r="K57" i="24"/>
  <c r="C6" i="19" s="1"/>
  <c r="AK69" i="24"/>
  <c r="AC18" i="19" s="1"/>
  <c r="Y69" i="24"/>
  <c r="Q18" i="19" s="1"/>
  <c r="M69" i="24"/>
  <c r="E18" i="19" s="1"/>
  <c r="AF67" i="24"/>
  <c r="X16" i="19" s="1"/>
  <c r="T67" i="24"/>
  <c r="L16" i="19" s="1"/>
  <c r="AI64" i="24"/>
  <c r="AA13" i="19" s="1"/>
  <c r="W64" i="24"/>
  <c r="O13" i="19" s="1"/>
  <c r="K64" i="24"/>
  <c r="C13" i="19" s="1"/>
  <c r="AH57" i="24"/>
  <c r="Z6" i="19" s="1"/>
  <c r="V57" i="24"/>
  <c r="N6" i="19" s="1"/>
  <c r="J69" i="24"/>
  <c r="B18" i="19" s="1"/>
  <c r="AJ69" i="24"/>
  <c r="AB18" i="19" s="1"/>
  <c r="X69" i="24"/>
  <c r="P18" i="19" s="1"/>
  <c r="AE67" i="24"/>
  <c r="W16" i="19" s="1"/>
  <c r="AH64" i="24"/>
  <c r="Z13" i="19" s="1"/>
  <c r="AG57" i="24"/>
  <c r="Y6" i="19" s="1"/>
  <c r="AD58" i="24"/>
  <c r="V7" i="19" s="1"/>
  <c r="J60" i="24"/>
  <c r="B9" i="19" s="1"/>
  <c r="AN68" i="24"/>
  <c r="AF17" i="19" s="1"/>
  <c r="AF60" i="24"/>
  <c r="X9" i="19" s="1"/>
  <c r="T60" i="24"/>
  <c r="L9" i="19" s="1"/>
  <c r="AO58" i="24"/>
  <c r="AG7" i="19" s="1"/>
  <c r="AC58" i="24"/>
  <c r="U7" i="19" s="1"/>
  <c r="Q58" i="24"/>
  <c r="I7" i="19" s="1"/>
  <c r="Q63" i="24"/>
  <c r="I12" i="19" s="1"/>
  <c r="AB68" i="24"/>
  <c r="T17" i="19" s="1"/>
  <c r="AE60" i="24"/>
  <c r="W9" i="19" s="1"/>
  <c r="S60" i="24"/>
  <c r="K9" i="19" s="1"/>
  <c r="AN58" i="24"/>
  <c r="AF7" i="19" s="1"/>
  <c r="AB58" i="24"/>
  <c r="T7" i="19" s="1"/>
  <c r="P58" i="24"/>
  <c r="H7" i="19" s="1"/>
  <c r="AM63" i="24"/>
  <c r="AE12" i="19" s="1"/>
  <c r="AD60" i="24"/>
  <c r="V9" i="19" s="1"/>
  <c r="R60" i="24"/>
  <c r="J9" i="19" s="1"/>
  <c r="AM58" i="24"/>
  <c r="AE7" i="19" s="1"/>
  <c r="AA58" i="24"/>
  <c r="S7" i="19" s="1"/>
  <c r="O58" i="24"/>
  <c r="G7" i="19" s="1"/>
  <c r="AL56" i="24"/>
  <c r="AD5" i="19" s="1"/>
  <c r="T66" i="24"/>
  <c r="L15" i="19" s="1"/>
  <c r="J56" i="24"/>
  <c r="B5" i="19" s="1"/>
  <c r="AA63" i="24"/>
  <c r="S12" i="19" s="1"/>
  <c r="AO60" i="24"/>
  <c r="AG9" i="19" s="1"/>
  <c r="AC60" i="24"/>
  <c r="U9" i="19" s="1"/>
  <c r="Q60" i="24"/>
  <c r="I9" i="19" s="1"/>
  <c r="AL58" i="24"/>
  <c r="AD7" i="19" s="1"/>
  <c r="Z58" i="24"/>
  <c r="R7" i="19" s="1"/>
  <c r="N58" i="24"/>
  <c r="F7" i="19" s="1"/>
  <c r="AH56" i="24"/>
  <c r="Z5" i="19" s="1"/>
  <c r="AN60" i="24"/>
  <c r="AF9" i="19" s="1"/>
  <c r="AB60" i="24"/>
  <c r="T9" i="19" s="1"/>
  <c r="P60" i="24"/>
  <c r="H9" i="19" s="1"/>
  <c r="AK58" i="24"/>
  <c r="AC7" i="19" s="1"/>
  <c r="Y58" i="24"/>
  <c r="Q7" i="19" s="1"/>
  <c r="M58" i="24"/>
  <c r="E7" i="19" s="1"/>
  <c r="AG56" i="24"/>
  <c r="Y5" i="19" s="1"/>
  <c r="R58" i="24"/>
  <c r="J7" i="19" s="1"/>
  <c r="AM60" i="24"/>
  <c r="AE9" i="19" s="1"/>
  <c r="AA60" i="24"/>
  <c r="S9" i="19" s="1"/>
  <c r="O60" i="24"/>
  <c r="G9" i="19" s="1"/>
  <c r="AJ58" i="24"/>
  <c r="AB7" i="19" s="1"/>
  <c r="X58" i="24"/>
  <c r="P7" i="19" s="1"/>
  <c r="L58" i="24"/>
  <c r="D7" i="19" s="1"/>
  <c r="AE56" i="24"/>
  <c r="W5" i="19" s="1"/>
  <c r="AL60" i="24"/>
  <c r="AD9" i="19" s="1"/>
  <c r="Z60" i="24"/>
  <c r="R9" i="19" s="1"/>
  <c r="N60" i="24"/>
  <c r="F9" i="19" s="1"/>
  <c r="AI58" i="24"/>
  <c r="AA7" i="19" s="1"/>
  <c r="W58" i="24"/>
  <c r="O7" i="19" s="1"/>
  <c r="K58" i="24"/>
  <c r="C7" i="19" s="1"/>
  <c r="AD56" i="24"/>
  <c r="V5" i="19" s="1"/>
  <c r="AG60" i="24"/>
  <c r="Y9" i="19" s="1"/>
  <c r="AK60" i="24"/>
  <c r="AC9" i="19" s="1"/>
  <c r="Y60" i="24"/>
  <c r="Q9" i="19" s="1"/>
  <c r="M60" i="24"/>
  <c r="E9" i="19" s="1"/>
  <c r="AH58" i="24"/>
  <c r="Z7" i="19" s="1"/>
  <c r="V58" i="24"/>
  <c r="N7" i="19" s="1"/>
  <c r="Z56" i="24"/>
  <c r="R5" i="19" s="1"/>
  <c r="AB56" i="24"/>
  <c r="T5" i="19" s="1"/>
  <c r="J58" i="24"/>
  <c r="B7" i="19" s="1"/>
  <c r="AJ60" i="24"/>
  <c r="AB9" i="19" s="1"/>
  <c r="X60" i="24"/>
  <c r="P9" i="19" s="1"/>
  <c r="L60" i="24"/>
  <c r="D9" i="19" s="1"/>
  <c r="AG58" i="24"/>
  <c r="Y7" i="19" s="1"/>
  <c r="U58" i="24"/>
  <c r="M7" i="19" s="1"/>
  <c r="U56" i="24"/>
  <c r="M5" i="19" s="1"/>
  <c r="P56" i="24"/>
  <c r="H5" i="19" s="1"/>
  <c r="U60" i="24"/>
  <c r="M9" i="19" s="1"/>
  <c r="AI60" i="24"/>
  <c r="AA9" i="19" s="1"/>
  <c r="W60" i="24"/>
  <c r="O9" i="19" s="1"/>
  <c r="AF58" i="24"/>
  <c r="X7" i="19" s="1"/>
  <c r="J66" i="24"/>
  <c r="B15" i="19" s="1"/>
  <c r="AO68" i="24"/>
  <c r="AG17" i="19" s="1"/>
  <c r="AC68" i="24"/>
  <c r="U17" i="19" s="1"/>
  <c r="Q68" i="24"/>
  <c r="I17" i="19" s="1"/>
  <c r="AE66" i="24"/>
  <c r="W15" i="19" s="1"/>
  <c r="S66" i="24"/>
  <c r="K15" i="19" s="1"/>
  <c r="AN63" i="24"/>
  <c r="AF12" i="19" s="1"/>
  <c r="AB63" i="24"/>
  <c r="T12" i="19" s="1"/>
  <c r="P63" i="24"/>
  <c r="H12" i="19" s="1"/>
  <c r="AF59" i="24"/>
  <c r="X8" i="19" s="1"/>
  <c r="T59" i="24"/>
  <c r="L8" i="19" s="1"/>
  <c r="AM68" i="24"/>
  <c r="AE17" i="19" s="1"/>
  <c r="AA68" i="24"/>
  <c r="S17" i="19" s="1"/>
  <c r="O68" i="24"/>
  <c r="G17" i="19" s="1"/>
  <c r="AO66" i="24"/>
  <c r="AG15" i="19" s="1"/>
  <c r="AC66" i="24"/>
  <c r="U15" i="19" s="1"/>
  <c r="Q66" i="24"/>
  <c r="I15" i="19" s="1"/>
  <c r="AL63" i="24"/>
  <c r="AD12" i="19" s="1"/>
  <c r="Z63" i="24"/>
  <c r="R12" i="19" s="1"/>
  <c r="N63" i="24"/>
  <c r="F12" i="19" s="1"/>
  <c r="AD59" i="24"/>
  <c r="V8" i="19" s="1"/>
  <c r="R59" i="24"/>
  <c r="J8" i="19" s="1"/>
  <c r="J63" i="24"/>
  <c r="B12" i="19" s="1"/>
  <c r="AL68" i="24"/>
  <c r="AD17" i="19" s="1"/>
  <c r="Z68" i="24"/>
  <c r="R17" i="19" s="1"/>
  <c r="N68" i="24"/>
  <c r="F17" i="19" s="1"/>
  <c r="AN66" i="24"/>
  <c r="AF15" i="19" s="1"/>
  <c r="AB66" i="24"/>
  <c r="T15" i="19" s="1"/>
  <c r="P66" i="24"/>
  <c r="H15" i="19" s="1"/>
  <c r="AK63" i="24"/>
  <c r="AC12" i="19" s="1"/>
  <c r="Y63" i="24"/>
  <c r="Q12" i="19" s="1"/>
  <c r="M63" i="24"/>
  <c r="E12" i="19" s="1"/>
  <c r="AO59" i="24"/>
  <c r="AG8" i="19" s="1"/>
  <c r="AC59" i="24"/>
  <c r="U8" i="19" s="1"/>
  <c r="Q59" i="24"/>
  <c r="I8" i="19" s="1"/>
  <c r="AK68" i="24"/>
  <c r="AC17" i="19" s="1"/>
  <c r="Y68" i="24"/>
  <c r="Q17" i="19" s="1"/>
  <c r="M68" i="24"/>
  <c r="E17" i="19" s="1"/>
  <c r="AM66" i="24"/>
  <c r="AE15" i="19" s="1"/>
  <c r="AA66" i="24"/>
  <c r="S15" i="19" s="1"/>
  <c r="O66" i="24"/>
  <c r="G15" i="19" s="1"/>
  <c r="AJ63" i="24"/>
  <c r="AB12" i="19" s="1"/>
  <c r="X63" i="24"/>
  <c r="P12" i="19" s="1"/>
  <c r="L63" i="24"/>
  <c r="D12" i="19" s="1"/>
  <c r="AN59" i="24"/>
  <c r="AF8" i="19" s="1"/>
  <c r="AB59" i="24"/>
  <c r="T8" i="19" s="1"/>
  <c r="P59" i="24"/>
  <c r="H8" i="19" s="1"/>
  <c r="AJ68" i="24"/>
  <c r="AB17" i="19" s="1"/>
  <c r="X68" i="24"/>
  <c r="P17" i="19" s="1"/>
  <c r="L68" i="24"/>
  <c r="D17" i="19" s="1"/>
  <c r="AL66" i="24"/>
  <c r="AD15" i="19" s="1"/>
  <c r="Z66" i="24"/>
  <c r="R15" i="19" s="1"/>
  <c r="N66" i="24"/>
  <c r="F15" i="19" s="1"/>
  <c r="AI63" i="24"/>
  <c r="AA12" i="19" s="1"/>
  <c r="W63" i="24"/>
  <c r="O12" i="19" s="1"/>
  <c r="K63" i="24"/>
  <c r="C12" i="19" s="1"/>
  <c r="AM59" i="24"/>
  <c r="AE8" i="19" s="1"/>
  <c r="AA59" i="24"/>
  <c r="S8" i="19" s="1"/>
  <c r="O59" i="24"/>
  <c r="G8" i="19" s="1"/>
  <c r="AI68" i="24"/>
  <c r="AA17" i="19" s="1"/>
  <c r="W68" i="24"/>
  <c r="O17" i="19" s="1"/>
  <c r="K68" i="24"/>
  <c r="C17" i="19" s="1"/>
  <c r="AK66" i="24"/>
  <c r="AC15" i="19" s="1"/>
  <c r="Y66" i="24"/>
  <c r="Q15" i="19" s="1"/>
  <c r="M66" i="24"/>
  <c r="E15" i="19" s="1"/>
  <c r="AH63" i="24"/>
  <c r="Z12" i="19" s="1"/>
  <c r="V63" i="24"/>
  <c r="N12" i="19" s="1"/>
  <c r="AL59" i="24"/>
  <c r="AD8" i="19" s="1"/>
  <c r="Z59" i="24"/>
  <c r="R8" i="19" s="1"/>
  <c r="N59" i="24"/>
  <c r="F8" i="19" s="1"/>
  <c r="J59" i="24"/>
  <c r="B8" i="19" s="1"/>
  <c r="AH68" i="24"/>
  <c r="Z17" i="19" s="1"/>
  <c r="V68" i="24"/>
  <c r="N17" i="19" s="1"/>
  <c r="AJ66" i="24"/>
  <c r="AB15" i="19" s="1"/>
  <c r="X66" i="24"/>
  <c r="P15" i="19" s="1"/>
  <c r="L66" i="24"/>
  <c r="D15" i="19" s="1"/>
  <c r="AG63" i="24"/>
  <c r="Y12" i="19" s="1"/>
  <c r="U63" i="24"/>
  <c r="M12" i="19" s="1"/>
  <c r="AK59" i="24"/>
  <c r="AC8" i="19" s="1"/>
  <c r="Y59" i="24"/>
  <c r="Q8" i="19" s="1"/>
  <c r="M59" i="24"/>
  <c r="E8" i="19" s="1"/>
  <c r="AG68" i="24"/>
  <c r="Y17" i="19" s="1"/>
  <c r="U68" i="24"/>
  <c r="M17" i="19" s="1"/>
  <c r="AI66" i="24"/>
  <c r="AA15" i="19" s="1"/>
  <c r="W66" i="24"/>
  <c r="O15" i="19" s="1"/>
  <c r="K66" i="24"/>
  <c r="C15" i="19" s="1"/>
  <c r="AF63" i="24"/>
  <c r="X12" i="19" s="1"/>
  <c r="T63" i="24"/>
  <c r="L12" i="19" s="1"/>
  <c r="AJ59" i="24"/>
  <c r="AB8" i="19" s="1"/>
  <c r="X59" i="24"/>
  <c r="P8" i="19" s="1"/>
  <c r="L59" i="24"/>
  <c r="D8" i="19" s="1"/>
  <c r="AF68" i="24"/>
  <c r="X17" i="19" s="1"/>
  <c r="T68" i="24"/>
  <c r="L17" i="19" s="1"/>
  <c r="AH66" i="24"/>
  <c r="Z15" i="19" s="1"/>
  <c r="V66" i="24"/>
  <c r="N15" i="19" s="1"/>
  <c r="AE63" i="24"/>
  <c r="W12" i="19" s="1"/>
  <c r="S63" i="24"/>
  <c r="K12" i="19" s="1"/>
  <c r="AI59" i="24"/>
  <c r="AA8" i="19" s="1"/>
  <c r="W59" i="24"/>
  <c r="O8" i="19" s="1"/>
  <c r="K59" i="24"/>
  <c r="C8" i="19" s="1"/>
  <c r="J68" i="24"/>
  <c r="B17" i="19" s="1"/>
  <c r="AE68" i="24"/>
  <c r="W17" i="19" s="1"/>
  <c r="S68" i="24"/>
  <c r="K17" i="19" s="1"/>
  <c r="AG66" i="24"/>
  <c r="Y15" i="19" s="1"/>
  <c r="U66" i="24"/>
  <c r="M15" i="19" s="1"/>
  <c r="AD63" i="24"/>
  <c r="V12" i="19" s="1"/>
  <c r="R63" i="24"/>
  <c r="J12" i="19" s="1"/>
  <c r="AH59" i="24"/>
  <c r="Z8" i="19" s="1"/>
  <c r="V59" i="24"/>
  <c r="N8" i="19" s="1"/>
  <c r="AD68" i="24"/>
  <c r="V17" i="19" s="1"/>
  <c r="AF66" i="24"/>
  <c r="X15" i="19" s="1"/>
  <c r="AO63" i="24"/>
  <c r="AG12" i="19" s="1"/>
  <c r="AC63" i="24"/>
  <c r="U12" i="19" s="1"/>
  <c r="AG59" i="24"/>
  <c r="Y8" i="19" s="1"/>
  <c r="AM56" i="24"/>
  <c r="AE5" i="19" s="1"/>
  <c r="AA56" i="24"/>
  <c r="S5" i="19" s="1"/>
  <c r="O56" i="24"/>
  <c r="G5" i="19" s="1"/>
  <c r="AK56" i="24"/>
  <c r="AC5" i="19" s="1"/>
  <c r="Y56" i="24"/>
  <c r="Q5" i="19" s="1"/>
  <c r="M56" i="24"/>
  <c r="E5" i="19" s="1"/>
  <c r="AJ56" i="24"/>
  <c r="AB5" i="19" s="1"/>
  <c r="X56" i="24"/>
  <c r="P5" i="19" s="1"/>
  <c r="L56" i="24"/>
  <c r="D5" i="19" s="1"/>
  <c r="AI56" i="24"/>
  <c r="AA5" i="19" s="1"/>
  <c r="W56" i="24"/>
  <c r="O5" i="19" s="1"/>
  <c r="K56" i="24"/>
  <c r="C5" i="19" s="1"/>
  <c r="V56" i="24"/>
  <c r="N5" i="19" s="1"/>
  <c r="AF56" i="24"/>
  <c r="X5" i="19" s="1"/>
  <c r="T56" i="24"/>
  <c r="L5" i="19" s="1"/>
  <c r="S56" i="24"/>
  <c r="K5" i="19" s="1"/>
  <c r="AO56" i="24"/>
  <c r="AG5" i="19" s="1"/>
  <c r="AC56" i="24"/>
  <c r="U5" i="19" s="1"/>
  <c r="Q56" i="24"/>
  <c r="I5" i="19" s="1"/>
  <c r="AN56" i="24"/>
  <c r="AF5" i="19" s="1"/>
  <c r="C26" i="4"/>
  <c r="F98" i="24"/>
  <c r="E98" i="24"/>
  <c r="D98" i="24"/>
  <c r="C98" i="24"/>
  <c r="B98" i="24"/>
  <c r="F97" i="24"/>
  <c r="E97" i="24"/>
  <c r="D97" i="24"/>
  <c r="C97" i="24"/>
  <c r="B97" i="24"/>
  <c r="F93" i="24"/>
  <c r="E93" i="24"/>
  <c r="D93" i="24"/>
  <c r="C93" i="24"/>
  <c r="B93" i="24"/>
  <c r="F92" i="24"/>
  <c r="E92" i="24"/>
  <c r="D92" i="24"/>
  <c r="C92" i="24"/>
  <c r="B92" i="24"/>
  <c r="F91" i="24"/>
  <c r="E91" i="24"/>
  <c r="D91" i="24"/>
  <c r="C91" i="24"/>
  <c r="B91" i="24"/>
  <c r="F89" i="24"/>
  <c r="E89" i="24"/>
  <c r="D89" i="24"/>
  <c r="C89" i="24"/>
  <c r="B89" i="24"/>
  <c r="F88" i="24"/>
  <c r="E88" i="24"/>
  <c r="D88" i="24"/>
  <c r="C88" i="24"/>
  <c r="B88" i="24"/>
  <c r="F85" i="24"/>
  <c r="E85" i="24"/>
  <c r="D85" i="24"/>
  <c r="C85" i="24"/>
  <c r="B85" i="24"/>
  <c r="F84" i="24"/>
  <c r="E84" i="24"/>
  <c r="D84" i="24"/>
  <c r="C84" i="24"/>
  <c r="B84" i="24"/>
  <c r="F83" i="24"/>
  <c r="E83" i="24"/>
  <c r="D83" i="24"/>
  <c r="C83" i="24"/>
  <c r="B83" i="24"/>
  <c r="F82" i="24"/>
  <c r="E82" i="24"/>
  <c r="D82" i="24"/>
  <c r="C82" i="24"/>
  <c r="B82" i="24"/>
  <c r="F78" i="24"/>
  <c r="E78" i="24"/>
  <c r="D78" i="24"/>
  <c r="C78" i="24"/>
  <c r="B78" i="24"/>
  <c r="F38" i="24"/>
  <c r="E38" i="24"/>
  <c r="D38" i="24"/>
  <c r="C38" i="24"/>
  <c r="B38" i="24"/>
  <c r="F39" i="24"/>
  <c r="E39" i="24"/>
  <c r="D39" i="24"/>
  <c r="C39" i="24"/>
  <c r="B39" i="24"/>
  <c r="F35" i="24"/>
  <c r="E35" i="24"/>
  <c r="D35" i="24"/>
  <c r="C35" i="24"/>
  <c r="B35" i="24"/>
  <c r="F47" i="24"/>
  <c r="E47" i="24"/>
  <c r="D47" i="24"/>
  <c r="C47" i="24"/>
  <c r="B47" i="24"/>
  <c r="F43" i="24"/>
  <c r="E43" i="24"/>
  <c r="D43" i="24"/>
  <c r="C43" i="24"/>
  <c r="B43" i="24"/>
  <c r="F42" i="24"/>
  <c r="E42" i="24"/>
  <c r="D42" i="24"/>
  <c r="C42" i="24"/>
  <c r="B42" i="24"/>
  <c r="F41" i="24"/>
  <c r="E41" i="24"/>
  <c r="D41" i="24"/>
  <c r="C41" i="24"/>
  <c r="B41" i="24"/>
  <c r="F28" i="24"/>
  <c r="E28" i="24"/>
  <c r="D28" i="24"/>
  <c r="C28" i="24"/>
  <c r="B28" i="24"/>
  <c r="C32" i="24"/>
  <c r="D32" i="24"/>
  <c r="E32" i="24"/>
  <c r="F32" i="24"/>
  <c r="C33" i="24"/>
  <c r="D33" i="24"/>
  <c r="E33" i="24"/>
  <c r="F33" i="24"/>
  <c r="C34" i="24"/>
  <c r="D34" i="24"/>
  <c r="E34" i="24"/>
  <c r="F34" i="24"/>
  <c r="B33" i="24"/>
  <c r="B34" i="24"/>
  <c r="B32" i="24"/>
  <c r="C27" i="4"/>
  <c r="Q16" i="22"/>
  <c r="R22" i="22"/>
  <c r="S22" i="22"/>
  <c r="T22" i="22"/>
  <c r="AA22" i="22" s="1"/>
  <c r="E21" i="24" s="1"/>
  <c r="U22" i="22"/>
  <c r="R21" i="22"/>
  <c r="S21" i="22"/>
  <c r="T21" i="22"/>
  <c r="U21" i="22"/>
  <c r="R13" i="22"/>
  <c r="S13" i="22"/>
  <c r="T13" i="22"/>
  <c r="U13" i="22"/>
  <c r="R12" i="22"/>
  <c r="S12" i="22"/>
  <c r="T12" i="22"/>
  <c r="AA12" i="22" s="1"/>
  <c r="E11" i="24" s="1"/>
  <c r="U12" i="22"/>
  <c r="R7" i="22"/>
  <c r="S7" i="22"/>
  <c r="T7" i="22"/>
  <c r="U7" i="22"/>
  <c r="Q22" i="22"/>
  <c r="Q21" i="22"/>
  <c r="Q12" i="22"/>
  <c r="Q13" i="22"/>
  <c r="Q7" i="22"/>
  <c r="T6" i="22"/>
  <c r="S6" i="22"/>
  <c r="R6" i="22"/>
  <c r="U6" i="22"/>
  <c r="Q6" i="22"/>
  <c r="R16" i="22"/>
  <c r="S16" i="22"/>
  <c r="T16" i="22"/>
  <c r="AA16" i="22" s="1"/>
  <c r="E15" i="24" s="1"/>
  <c r="U16" i="22"/>
  <c r="U5" i="22"/>
  <c r="T5" i="22"/>
  <c r="S5" i="22"/>
  <c r="R5" i="22"/>
  <c r="Q5" i="22"/>
  <c r="Z5" i="22" l="1"/>
  <c r="D4" i="24" s="1"/>
  <c r="D54" i="24" s="1"/>
  <c r="X15" i="22"/>
  <c r="B14" i="24" s="1"/>
  <c r="L38" i="24"/>
  <c r="D12" i="12" s="1"/>
  <c r="AB38" i="24"/>
  <c r="T12" i="12" s="1"/>
  <c r="M38" i="24"/>
  <c r="E12" i="12" s="1"/>
  <c r="AC38" i="24"/>
  <c r="U12" i="12" s="1"/>
  <c r="N38" i="24"/>
  <c r="F12" i="12" s="1"/>
  <c r="AD38" i="24"/>
  <c r="V12" i="12" s="1"/>
  <c r="O38" i="24"/>
  <c r="G12" i="12" s="1"/>
  <c r="AE38" i="24"/>
  <c r="W12" i="12" s="1"/>
  <c r="P38" i="24"/>
  <c r="H12" i="12" s="1"/>
  <c r="AF38" i="24"/>
  <c r="X12" i="12" s="1"/>
  <c r="R38" i="24"/>
  <c r="J12" i="12" s="1"/>
  <c r="AH38" i="24"/>
  <c r="Z12" i="12" s="1"/>
  <c r="T38" i="24"/>
  <c r="L12" i="12" s="1"/>
  <c r="AJ38" i="24"/>
  <c r="AB12" i="12" s="1"/>
  <c r="U38" i="24"/>
  <c r="M12" i="12" s="1"/>
  <c r="AK38" i="24"/>
  <c r="AC12" i="12" s="1"/>
  <c r="X38" i="24"/>
  <c r="P12" i="12" s="1"/>
  <c r="AN38" i="24"/>
  <c r="AF12" i="12" s="1"/>
  <c r="J38" i="24"/>
  <c r="B12" i="12" s="1"/>
  <c r="AO38" i="24"/>
  <c r="AG12" i="12" s="1"/>
  <c r="Y38" i="24"/>
  <c r="Q12" i="12" s="1"/>
  <c r="Z38" i="24"/>
  <c r="R12" i="12" s="1"/>
  <c r="K38" i="24"/>
  <c r="C12" i="12" s="1"/>
  <c r="AI38" i="24"/>
  <c r="AA12" i="12" s="1"/>
  <c r="AL38" i="24"/>
  <c r="AD12" i="12" s="1"/>
  <c r="S38" i="24"/>
  <c r="K12" i="12" s="1"/>
  <c r="Q38" i="24"/>
  <c r="I12" i="12" s="1"/>
  <c r="AG38" i="24"/>
  <c r="Y12" i="12" s="1"/>
  <c r="AM38" i="24"/>
  <c r="AE12" i="12" s="1"/>
  <c r="V38" i="24"/>
  <c r="N12" i="12" s="1"/>
  <c r="AA38" i="24"/>
  <c r="S12" i="12" s="1"/>
  <c r="W38" i="24"/>
  <c r="O12" i="12" s="1"/>
  <c r="O41" i="24"/>
  <c r="G15" i="12" s="1"/>
  <c r="AE41" i="24"/>
  <c r="W15" i="12" s="1"/>
  <c r="S41" i="24"/>
  <c r="K15" i="12" s="1"/>
  <c r="P41" i="24"/>
  <c r="H15" i="12" s="1"/>
  <c r="AF41" i="24"/>
  <c r="X15" i="12" s="1"/>
  <c r="Q41" i="24"/>
  <c r="I15" i="12" s="1"/>
  <c r="AG41" i="24"/>
  <c r="Y15" i="12" s="1"/>
  <c r="R41" i="24"/>
  <c r="J15" i="12" s="1"/>
  <c r="AH41" i="24"/>
  <c r="Z15" i="12" s="1"/>
  <c r="AI41" i="24"/>
  <c r="AA15" i="12" s="1"/>
  <c r="U41" i="24"/>
  <c r="M15" i="12" s="1"/>
  <c r="AK41" i="24"/>
  <c r="AC15" i="12" s="1"/>
  <c r="W41" i="24"/>
  <c r="O15" i="12" s="1"/>
  <c r="AM41" i="24"/>
  <c r="AE15" i="12" s="1"/>
  <c r="X41" i="24"/>
  <c r="P15" i="12" s="1"/>
  <c r="AN41" i="24"/>
  <c r="AF15" i="12" s="1"/>
  <c r="K41" i="24"/>
  <c r="C15" i="12" s="1"/>
  <c r="AA41" i="24"/>
  <c r="S15" i="12" s="1"/>
  <c r="L41" i="24"/>
  <c r="D15" i="12" s="1"/>
  <c r="AB41" i="24"/>
  <c r="T15" i="12" s="1"/>
  <c r="M41" i="24"/>
  <c r="E15" i="12" s="1"/>
  <c r="AC41" i="24"/>
  <c r="U15" i="12" s="1"/>
  <c r="AJ41" i="24"/>
  <c r="AB15" i="12" s="1"/>
  <c r="AL41" i="24"/>
  <c r="AD15" i="12" s="1"/>
  <c r="AO41" i="24"/>
  <c r="AG15" i="12" s="1"/>
  <c r="AD41" i="24"/>
  <c r="V15" i="12" s="1"/>
  <c r="J41" i="24"/>
  <c r="B15" i="12" s="1"/>
  <c r="N41" i="24"/>
  <c r="F15" i="12" s="1"/>
  <c r="T41" i="24"/>
  <c r="L15" i="12" s="1"/>
  <c r="Y41" i="24"/>
  <c r="Q15" i="12" s="1"/>
  <c r="V41" i="24"/>
  <c r="N15" i="12" s="1"/>
  <c r="Z41" i="24"/>
  <c r="R15" i="12" s="1"/>
  <c r="U92" i="24"/>
  <c r="M16" i="13" s="1"/>
  <c r="AK92" i="24"/>
  <c r="AC16" i="13" s="1"/>
  <c r="V92" i="24"/>
  <c r="N16" i="13" s="1"/>
  <c r="AL92" i="24"/>
  <c r="AD16" i="13" s="1"/>
  <c r="W92" i="24"/>
  <c r="O16" i="13" s="1"/>
  <c r="AM92" i="24"/>
  <c r="AE16" i="13" s="1"/>
  <c r="X92" i="24"/>
  <c r="P16" i="13" s="1"/>
  <c r="AN92" i="24"/>
  <c r="AF16" i="13" s="1"/>
  <c r="Y92" i="24"/>
  <c r="Q16" i="13" s="1"/>
  <c r="AO92" i="24"/>
  <c r="AG16" i="13" s="1"/>
  <c r="Z92" i="24"/>
  <c r="R16" i="13" s="1"/>
  <c r="K92" i="24"/>
  <c r="C16" i="13" s="1"/>
  <c r="AA92" i="24"/>
  <c r="S16" i="13" s="1"/>
  <c r="J92" i="24"/>
  <c r="B16" i="13" s="1"/>
  <c r="M92" i="24"/>
  <c r="E16" i="13" s="1"/>
  <c r="AC92" i="24"/>
  <c r="U16" i="13" s="1"/>
  <c r="N92" i="24"/>
  <c r="F16" i="13" s="1"/>
  <c r="AD92" i="24"/>
  <c r="V16" i="13" s="1"/>
  <c r="O92" i="24"/>
  <c r="G16" i="13" s="1"/>
  <c r="AE92" i="24"/>
  <c r="W16" i="13" s="1"/>
  <c r="Q92" i="24"/>
  <c r="I16" i="13" s="1"/>
  <c r="AG92" i="24"/>
  <c r="Y16" i="13" s="1"/>
  <c r="R92" i="24"/>
  <c r="J16" i="13" s="1"/>
  <c r="AH92" i="24"/>
  <c r="Z16" i="13" s="1"/>
  <c r="S92" i="24"/>
  <c r="K16" i="13" s="1"/>
  <c r="AI92" i="24"/>
  <c r="AA16" i="13" s="1"/>
  <c r="T92" i="24"/>
  <c r="L16" i="13" s="1"/>
  <c r="AJ92" i="24"/>
  <c r="AB16" i="13" s="1"/>
  <c r="L92" i="24"/>
  <c r="D16" i="13" s="1"/>
  <c r="P92" i="24"/>
  <c r="H16" i="13" s="1"/>
  <c r="AB92" i="24"/>
  <c r="T16" i="13" s="1"/>
  <c r="AF92" i="24"/>
  <c r="X16" i="13" s="1"/>
  <c r="Q98" i="24"/>
  <c r="I22" i="13" s="1"/>
  <c r="AG98" i="24"/>
  <c r="Y22" i="13" s="1"/>
  <c r="R98" i="24"/>
  <c r="J22" i="13" s="1"/>
  <c r="AH98" i="24"/>
  <c r="Z22" i="13" s="1"/>
  <c r="S98" i="24"/>
  <c r="K22" i="13" s="1"/>
  <c r="AI98" i="24"/>
  <c r="AA22" i="13" s="1"/>
  <c r="T98" i="24"/>
  <c r="L22" i="13" s="1"/>
  <c r="AJ98" i="24"/>
  <c r="AB22" i="13" s="1"/>
  <c r="U98" i="24"/>
  <c r="M22" i="13" s="1"/>
  <c r="AK98" i="24"/>
  <c r="AC22" i="13" s="1"/>
  <c r="V98" i="24"/>
  <c r="N22" i="13" s="1"/>
  <c r="AL98" i="24"/>
  <c r="AD22" i="13" s="1"/>
  <c r="W98" i="24"/>
  <c r="O22" i="13" s="1"/>
  <c r="AM98" i="24"/>
  <c r="AE22" i="13" s="1"/>
  <c r="Y98" i="24"/>
  <c r="Q22" i="13" s="1"/>
  <c r="AO98" i="24"/>
  <c r="AG22" i="13" s="1"/>
  <c r="Z98" i="24"/>
  <c r="R22" i="13" s="1"/>
  <c r="K98" i="24"/>
  <c r="C22" i="13" s="1"/>
  <c r="AA98" i="24"/>
  <c r="S22" i="13" s="1"/>
  <c r="M98" i="24"/>
  <c r="E22" i="13" s="1"/>
  <c r="AC98" i="24"/>
  <c r="U22" i="13" s="1"/>
  <c r="J98" i="24"/>
  <c r="B22" i="13" s="1"/>
  <c r="N98" i="24"/>
  <c r="F22" i="13" s="1"/>
  <c r="AD98" i="24"/>
  <c r="V22" i="13" s="1"/>
  <c r="O98" i="24"/>
  <c r="G22" i="13" s="1"/>
  <c r="AE98" i="24"/>
  <c r="W22" i="13" s="1"/>
  <c r="P98" i="24"/>
  <c r="H22" i="13" s="1"/>
  <c r="AF98" i="24"/>
  <c r="X22" i="13" s="1"/>
  <c r="X98" i="24"/>
  <c r="P22" i="13" s="1"/>
  <c r="L98" i="24"/>
  <c r="D22" i="13" s="1"/>
  <c r="AB98" i="24"/>
  <c r="T22" i="13" s="1"/>
  <c r="AN98" i="24"/>
  <c r="AF22" i="13" s="1"/>
  <c r="AA20" i="22"/>
  <c r="E19" i="24" s="1"/>
  <c r="P42" i="24"/>
  <c r="H16" i="12" s="1"/>
  <c r="AF42" i="24"/>
  <c r="X16" i="12" s="1"/>
  <c r="J42" i="24"/>
  <c r="B16" i="12" s="1"/>
  <c r="Q42" i="24"/>
  <c r="I16" i="12" s="1"/>
  <c r="AG42" i="24"/>
  <c r="Y16" i="12" s="1"/>
  <c r="R42" i="24"/>
  <c r="J16" i="12" s="1"/>
  <c r="AH42" i="24"/>
  <c r="Z16" i="12" s="1"/>
  <c r="T42" i="24"/>
  <c r="L16" i="12" s="1"/>
  <c r="S42" i="24"/>
  <c r="K16" i="12" s="1"/>
  <c r="AI42" i="24"/>
  <c r="AA16" i="12" s="1"/>
  <c r="V42" i="24"/>
  <c r="N16" i="12" s="1"/>
  <c r="AL42" i="24"/>
  <c r="AD16" i="12" s="1"/>
  <c r="X42" i="24"/>
  <c r="P16" i="12" s="1"/>
  <c r="AN42" i="24"/>
  <c r="AF16" i="12" s="1"/>
  <c r="Y42" i="24"/>
  <c r="Q16" i="12" s="1"/>
  <c r="AO42" i="24"/>
  <c r="AG16" i="12" s="1"/>
  <c r="L42" i="24"/>
  <c r="D16" i="12" s="1"/>
  <c r="AB42" i="24"/>
  <c r="T16" i="12" s="1"/>
  <c r="M42" i="24"/>
  <c r="E16" i="12" s="1"/>
  <c r="AC42" i="24"/>
  <c r="U16" i="12" s="1"/>
  <c r="N42" i="24"/>
  <c r="F16" i="12" s="1"/>
  <c r="AD42" i="24"/>
  <c r="V16" i="12" s="1"/>
  <c r="K42" i="24"/>
  <c r="C16" i="12" s="1"/>
  <c r="O42" i="24"/>
  <c r="G16" i="12" s="1"/>
  <c r="U42" i="24"/>
  <c r="M16" i="12" s="1"/>
  <c r="W42" i="24"/>
  <c r="O16" i="12" s="1"/>
  <c r="Z42" i="24"/>
  <c r="R16" i="12" s="1"/>
  <c r="AA42" i="24"/>
  <c r="S16" i="12" s="1"/>
  <c r="AE42" i="24"/>
  <c r="W16" i="12" s="1"/>
  <c r="AJ42" i="24"/>
  <c r="AB16" i="12" s="1"/>
  <c r="AK42" i="24"/>
  <c r="AC16" i="12" s="1"/>
  <c r="AM42" i="24"/>
  <c r="AE16" i="12" s="1"/>
  <c r="V93" i="24"/>
  <c r="N17" i="13" s="1"/>
  <c r="AL93" i="24"/>
  <c r="AD17" i="13" s="1"/>
  <c r="W93" i="24"/>
  <c r="O17" i="13" s="1"/>
  <c r="AM93" i="24"/>
  <c r="AE17" i="13" s="1"/>
  <c r="X93" i="24"/>
  <c r="P17" i="13" s="1"/>
  <c r="AN93" i="24"/>
  <c r="AF17" i="13" s="1"/>
  <c r="Y93" i="24"/>
  <c r="Q17" i="13" s="1"/>
  <c r="AO93" i="24"/>
  <c r="AG17" i="13" s="1"/>
  <c r="Z93" i="24"/>
  <c r="R17" i="13" s="1"/>
  <c r="K93" i="24"/>
  <c r="C17" i="13" s="1"/>
  <c r="AA93" i="24"/>
  <c r="S17" i="13" s="1"/>
  <c r="L93" i="24"/>
  <c r="D17" i="13" s="1"/>
  <c r="AB93" i="24"/>
  <c r="T17" i="13" s="1"/>
  <c r="N93" i="24"/>
  <c r="F17" i="13" s="1"/>
  <c r="AD93" i="24"/>
  <c r="V17" i="13" s="1"/>
  <c r="O93" i="24"/>
  <c r="G17" i="13" s="1"/>
  <c r="AE93" i="24"/>
  <c r="W17" i="13" s="1"/>
  <c r="P93" i="24"/>
  <c r="H17" i="13" s="1"/>
  <c r="AF93" i="24"/>
  <c r="X17" i="13" s="1"/>
  <c r="R93" i="24"/>
  <c r="J17" i="13" s="1"/>
  <c r="AH93" i="24"/>
  <c r="Z17" i="13" s="1"/>
  <c r="S93" i="24"/>
  <c r="K17" i="13" s="1"/>
  <c r="AI93" i="24"/>
  <c r="AA17" i="13" s="1"/>
  <c r="T93" i="24"/>
  <c r="L17" i="13" s="1"/>
  <c r="AJ93" i="24"/>
  <c r="AB17" i="13" s="1"/>
  <c r="U93" i="24"/>
  <c r="M17" i="13" s="1"/>
  <c r="AK93" i="24"/>
  <c r="AC17" i="13" s="1"/>
  <c r="J93" i="24"/>
  <c r="B17" i="13" s="1"/>
  <c r="M93" i="24"/>
  <c r="E17" i="13" s="1"/>
  <c r="Q93" i="24"/>
  <c r="I17" i="13" s="1"/>
  <c r="AC93" i="24"/>
  <c r="U17" i="13" s="1"/>
  <c r="AG93" i="24"/>
  <c r="Y17" i="13" s="1"/>
  <c r="Q88" i="24"/>
  <c r="I12" i="13" s="1"/>
  <c r="AG88" i="24"/>
  <c r="Y12" i="13" s="1"/>
  <c r="R88" i="24"/>
  <c r="J12" i="13" s="1"/>
  <c r="AH88" i="24"/>
  <c r="Z12" i="13" s="1"/>
  <c r="AI88" i="24"/>
  <c r="AA12" i="13" s="1"/>
  <c r="J88" i="24"/>
  <c r="B12" i="13" s="1"/>
  <c r="S88" i="24"/>
  <c r="K12" i="13" s="1"/>
  <c r="T88" i="24"/>
  <c r="L12" i="13" s="1"/>
  <c r="AJ88" i="24"/>
  <c r="AB12" i="13" s="1"/>
  <c r="U88" i="24"/>
  <c r="M12" i="13" s="1"/>
  <c r="AK88" i="24"/>
  <c r="AC12" i="13" s="1"/>
  <c r="V88" i="24"/>
  <c r="N12" i="13" s="1"/>
  <c r="AL88" i="24"/>
  <c r="AD12" i="13" s="1"/>
  <c r="W88" i="24"/>
  <c r="O12" i="13" s="1"/>
  <c r="AM88" i="24"/>
  <c r="AE12" i="13" s="1"/>
  <c r="Y88" i="24"/>
  <c r="Q12" i="13" s="1"/>
  <c r="AO88" i="24"/>
  <c r="AG12" i="13" s="1"/>
  <c r="Z88" i="24"/>
  <c r="R12" i="13" s="1"/>
  <c r="K88" i="24"/>
  <c r="C12" i="13" s="1"/>
  <c r="AA88" i="24"/>
  <c r="S12" i="13" s="1"/>
  <c r="M88" i="24"/>
  <c r="E12" i="13" s="1"/>
  <c r="AC88" i="24"/>
  <c r="U12" i="13" s="1"/>
  <c r="N88" i="24"/>
  <c r="F12" i="13" s="1"/>
  <c r="AD88" i="24"/>
  <c r="V12" i="13" s="1"/>
  <c r="O88" i="24"/>
  <c r="G12" i="13" s="1"/>
  <c r="AE88" i="24"/>
  <c r="W12" i="13" s="1"/>
  <c r="P88" i="24"/>
  <c r="H12" i="13" s="1"/>
  <c r="AF88" i="24"/>
  <c r="X12" i="13" s="1"/>
  <c r="AN88" i="24"/>
  <c r="AF12" i="13" s="1"/>
  <c r="AB88" i="24"/>
  <c r="T12" i="13" s="1"/>
  <c r="L88" i="24"/>
  <c r="D12" i="13" s="1"/>
  <c r="X88" i="24"/>
  <c r="P12" i="13" s="1"/>
  <c r="AA6" i="22"/>
  <c r="E5" i="24" s="1"/>
  <c r="E55" i="24" s="1"/>
  <c r="AA18" i="22"/>
  <c r="E17" i="24" s="1"/>
  <c r="R89" i="24"/>
  <c r="J13" i="13" s="1"/>
  <c r="AH89" i="24"/>
  <c r="Z13" i="13" s="1"/>
  <c r="S89" i="24"/>
  <c r="K13" i="13" s="1"/>
  <c r="AI89" i="24"/>
  <c r="AA13" i="13" s="1"/>
  <c r="T89" i="24"/>
  <c r="L13" i="13" s="1"/>
  <c r="AJ89" i="24"/>
  <c r="AB13" i="13" s="1"/>
  <c r="U89" i="24"/>
  <c r="M13" i="13" s="1"/>
  <c r="AK89" i="24"/>
  <c r="AC13" i="13" s="1"/>
  <c r="J89" i="24"/>
  <c r="B13" i="13" s="1"/>
  <c r="V89" i="24"/>
  <c r="N13" i="13" s="1"/>
  <c r="AL89" i="24"/>
  <c r="AD13" i="13" s="1"/>
  <c r="W89" i="24"/>
  <c r="O13" i="13" s="1"/>
  <c r="AM89" i="24"/>
  <c r="AE13" i="13" s="1"/>
  <c r="X89" i="24"/>
  <c r="P13" i="13" s="1"/>
  <c r="AN89" i="24"/>
  <c r="AF13" i="13" s="1"/>
  <c r="Z89" i="24"/>
  <c r="R13" i="13" s="1"/>
  <c r="K89" i="24"/>
  <c r="C13" i="13" s="1"/>
  <c r="AA89" i="24"/>
  <c r="S13" i="13" s="1"/>
  <c r="L89" i="24"/>
  <c r="D13" i="13" s="1"/>
  <c r="AB89" i="24"/>
  <c r="T13" i="13" s="1"/>
  <c r="N89" i="24"/>
  <c r="F13" i="13" s="1"/>
  <c r="AD89" i="24"/>
  <c r="V13" i="13" s="1"/>
  <c r="O89" i="24"/>
  <c r="G13" i="13" s="1"/>
  <c r="AE89" i="24"/>
  <c r="W13" i="13" s="1"/>
  <c r="P89" i="24"/>
  <c r="H13" i="13" s="1"/>
  <c r="AF89" i="24"/>
  <c r="X13" i="13" s="1"/>
  <c r="Q89" i="24"/>
  <c r="I13" i="13" s="1"/>
  <c r="AG89" i="24"/>
  <c r="Y13" i="13" s="1"/>
  <c r="Y89" i="24"/>
  <c r="Q13" i="13" s="1"/>
  <c r="M89" i="24"/>
  <c r="E13" i="13" s="1"/>
  <c r="AC89" i="24"/>
  <c r="U13" i="13" s="1"/>
  <c r="AO89" i="24"/>
  <c r="AG13" i="13" s="1"/>
  <c r="X34" i="24"/>
  <c r="P8" i="12" s="1"/>
  <c r="AN34" i="24"/>
  <c r="AF8" i="12" s="1"/>
  <c r="Y34" i="24"/>
  <c r="Q8" i="12" s="1"/>
  <c r="AO34" i="24"/>
  <c r="AG8" i="12" s="1"/>
  <c r="Z34" i="24"/>
  <c r="R8" i="12" s="1"/>
  <c r="L34" i="24"/>
  <c r="D8" i="12" s="1"/>
  <c r="AB34" i="24"/>
  <c r="T8" i="12" s="1"/>
  <c r="K34" i="24"/>
  <c r="C8" i="12" s="1"/>
  <c r="AA34" i="24"/>
  <c r="S8" i="12" s="1"/>
  <c r="N34" i="24"/>
  <c r="F8" i="12" s="1"/>
  <c r="AD34" i="24"/>
  <c r="V8" i="12" s="1"/>
  <c r="P34" i="24"/>
  <c r="H8" i="12" s="1"/>
  <c r="AF34" i="24"/>
  <c r="X8" i="12" s="1"/>
  <c r="J34" i="24"/>
  <c r="B8" i="12" s="1"/>
  <c r="Q34" i="24"/>
  <c r="I8" i="12" s="1"/>
  <c r="AG34" i="24"/>
  <c r="Y8" i="12" s="1"/>
  <c r="T34" i="24"/>
  <c r="L8" i="12" s="1"/>
  <c r="AJ34" i="24"/>
  <c r="AB8" i="12" s="1"/>
  <c r="U34" i="24"/>
  <c r="M8" i="12" s="1"/>
  <c r="AK34" i="24"/>
  <c r="AC8" i="12" s="1"/>
  <c r="V34" i="24"/>
  <c r="N8" i="12" s="1"/>
  <c r="AL34" i="24"/>
  <c r="AD8" i="12" s="1"/>
  <c r="W34" i="24"/>
  <c r="O8" i="12" s="1"/>
  <c r="AM34" i="24"/>
  <c r="AE8" i="12" s="1"/>
  <c r="AC34" i="24"/>
  <c r="U8" i="12" s="1"/>
  <c r="AH34" i="24"/>
  <c r="Z8" i="12" s="1"/>
  <c r="AE34" i="24"/>
  <c r="W8" i="12" s="1"/>
  <c r="AI34" i="24"/>
  <c r="AA8" i="12" s="1"/>
  <c r="R34" i="24"/>
  <c r="J8" i="12" s="1"/>
  <c r="S34" i="24"/>
  <c r="K8" i="12" s="1"/>
  <c r="M34" i="24"/>
  <c r="E8" i="12" s="1"/>
  <c r="O34" i="24"/>
  <c r="G8" i="12" s="1"/>
  <c r="X23" i="22"/>
  <c r="B22" i="24" s="1"/>
  <c r="U47" i="24"/>
  <c r="M21" i="12" s="1"/>
  <c r="AK47" i="24"/>
  <c r="AC21" i="12" s="1"/>
  <c r="V47" i="24"/>
  <c r="N21" i="12" s="1"/>
  <c r="AL47" i="24"/>
  <c r="AD21" i="12" s="1"/>
  <c r="X47" i="24"/>
  <c r="P21" i="12" s="1"/>
  <c r="W47" i="24"/>
  <c r="O21" i="12" s="1"/>
  <c r="AM47" i="24"/>
  <c r="AE21" i="12" s="1"/>
  <c r="AN47" i="24"/>
  <c r="AF21" i="12" s="1"/>
  <c r="K47" i="24"/>
  <c r="C21" i="12" s="1"/>
  <c r="AA47" i="24"/>
  <c r="S21" i="12" s="1"/>
  <c r="M47" i="24"/>
  <c r="E21" i="12" s="1"/>
  <c r="AC47" i="24"/>
  <c r="U21" i="12" s="1"/>
  <c r="Q47" i="24"/>
  <c r="I21" i="12" s="1"/>
  <c r="AG47" i="24"/>
  <c r="Y21" i="12" s="1"/>
  <c r="S47" i="24"/>
  <c r="K21" i="12" s="1"/>
  <c r="AI47" i="24"/>
  <c r="AA21" i="12" s="1"/>
  <c r="AJ47" i="24"/>
  <c r="AB21" i="12" s="1"/>
  <c r="AO47" i="24"/>
  <c r="AG21" i="12" s="1"/>
  <c r="L47" i="24"/>
  <c r="D21" i="12" s="1"/>
  <c r="N47" i="24"/>
  <c r="F21" i="12" s="1"/>
  <c r="O47" i="24"/>
  <c r="G21" i="12" s="1"/>
  <c r="P47" i="24"/>
  <c r="H21" i="12" s="1"/>
  <c r="R47" i="24"/>
  <c r="J21" i="12" s="1"/>
  <c r="T47" i="24"/>
  <c r="L21" i="12" s="1"/>
  <c r="Y47" i="24"/>
  <c r="Q21" i="12" s="1"/>
  <c r="Z47" i="24"/>
  <c r="R21" i="12" s="1"/>
  <c r="AB47" i="24"/>
  <c r="T21" i="12" s="1"/>
  <c r="AD47" i="24"/>
  <c r="V21" i="12" s="1"/>
  <c r="J47" i="24"/>
  <c r="B21" i="12" s="1"/>
  <c r="AE47" i="24"/>
  <c r="W21" i="12" s="1"/>
  <c r="AF47" i="24"/>
  <c r="X21" i="12" s="1"/>
  <c r="AH47" i="24"/>
  <c r="Z21" i="12" s="1"/>
  <c r="X7" i="22"/>
  <c r="B6" i="24" s="1"/>
  <c r="B31" i="24" s="1"/>
  <c r="AA14" i="22"/>
  <c r="E13" i="24" s="1"/>
  <c r="Z84" i="24"/>
  <c r="R8" i="13" s="1"/>
  <c r="K84" i="24"/>
  <c r="C8" i="13" s="1"/>
  <c r="AA84" i="24"/>
  <c r="S8" i="13" s="1"/>
  <c r="L84" i="24"/>
  <c r="D8" i="13" s="1"/>
  <c r="AB84" i="24"/>
  <c r="T8" i="13" s="1"/>
  <c r="M84" i="24"/>
  <c r="E8" i="13" s="1"/>
  <c r="AC84" i="24"/>
  <c r="U8" i="13" s="1"/>
  <c r="N84" i="24"/>
  <c r="F8" i="13" s="1"/>
  <c r="AD84" i="24"/>
  <c r="V8" i="13" s="1"/>
  <c r="O84" i="24"/>
  <c r="G8" i="13" s="1"/>
  <c r="AE84" i="24"/>
  <c r="W8" i="13" s="1"/>
  <c r="P84" i="24"/>
  <c r="H8" i="13" s="1"/>
  <c r="AF84" i="24"/>
  <c r="X8" i="13" s="1"/>
  <c r="R84" i="24"/>
  <c r="J8" i="13" s="1"/>
  <c r="AH84" i="24"/>
  <c r="Z8" i="13" s="1"/>
  <c r="S84" i="24"/>
  <c r="K8" i="13" s="1"/>
  <c r="AI84" i="24"/>
  <c r="AA8" i="13" s="1"/>
  <c r="T84" i="24"/>
  <c r="L8" i="13" s="1"/>
  <c r="AJ84" i="24"/>
  <c r="AB8" i="13" s="1"/>
  <c r="V84" i="24"/>
  <c r="N8" i="13" s="1"/>
  <c r="AL84" i="24"/>
  <c r="AD8" i="13" s="1"/>
  <c r="W84" i="24"/>
  <c r="O8" i="13" s="1"/>
  <c r="AM84" i="24"/>
  <c r="AE8" i="13" s="1"/>
  <c r="X84" i="24"/>
  <c r="P8" i="13" s="1"/>
  <c r="AN84" i="24"/>
  <c r="AF8" i="13" s="1"/>
  <c r="J84" i="24"/>
  <c r="B8" i="13" s="1"/>
  <c r="Y84" i="24"/>
  <c r="Q8" i="13" s="1"/>
  <c r="AO84" i="24"/>
  <c r="AG8" i="13" s="1"/>
  <c r="Q84" i="24"/>
  <c r="I8" i="13" s="1"/>
  <c r="U84" i="24"/>
  <c r="M8" i="13" s="1"/>
  <c r="AG84" i="24"/>
  <c r="Y8" i="13" s="1"/>
  <c r="AK84" i="24"/>
  <c r="AC8" i="13" s="1"/>
  <c r="AA10" i="22"/>
  <c r="E9" i="24" s="1"/>
  <c r="V78" i="24"/>
  <c r="N2" i="13" s="1"/>
  <c r="AL78" i="24"/>
  <c r="AD2" i="13" s="1"/>
  <c r="W78" i="24"/>
  <c r="O2" i="13" s="1"/>
  <c r="AM78" i="24"/>
  <c r="AE2" i="13" s="1"/>
  <c r="X78" i="24"/>
  <c r="P2" i="13" s="1"/>
  <c r="AN78" i="24"/>
  <c r="AF2" i="13" s="1"/>
  <c r="Y78" i="24"/>
  <c r="Q2" i="13" s="1"/>
  <c r="AO78" i="24"/>
  <c r="AG2" i="13" s="1"/>
  <c r="Z78" i="24"/>
  <c r="R2" i="13" s="1"/>
  <c r="K78" i="24"/>
  <c r="C2" i="13" s="1"/>
  <c r="AA78" i="24"/>
  <c r="S2" i="13" s="1"/>
  <c r="L78" i="24"/>
  <c r="D2" i="13" s="1"/>
  <c r="AB78" i="24"/>
  <c r="T2" i="13" s="1"/>
  <c r="M78" i="24"/>
  <c r="E2" i="13" s="1"/>
  <c r="AC78" i="24"/>
  <c r="U2" i="13" s="1"/>
  <c r="N78" i="24"/>
  <c r="F2" i="13" s="1"/>
  <c r="AD78" i="24"/>
  <c r="V2" i="13" s="1"/>
  <c r="O78" i="24"/>
  <c r="G2" i="13" s="1"/>
  <c r="AE78" i="24"/>
  <c r="W2" i="13" s="1"/>
  <c r="P78" i="24"/>
  <c r="H2" i="13" s="1"/>
  <c r="AF78" i="24"/>
  <c r="X2" i="13" s="1"/>
  <c r="Q78" i="24"/>
  <c r="I2" i="13" s="1"/>
  <c r="AG78" i="24"/>
  <c r="Y2" i="13" s="1"/>
  <c r="R78" i="24"/>
  <c r="J2" i="13" s="1"/>
  <c r="AH78" i="24"/>
  <c r="Z2" i="13" s="1"/>
  <c r="S78" i="24"/>
  <c r="K2" i="13" s="1"/>
  <c r="AI78" i="24"/>
  <c r="AA2" i="13" s="1"/>
  <c r="J78" i="24"/>
  <c r="B2" i="13" s="1"/>
  <c r="T78" i="24"/>
  <c r="L2" i="13" s="1"/>
  <c r="AJ78" i="24"/>
  <c r="AB2" i="13" s="1"/>
  <c r="U78" i="24"/>
  <c r="M2" i="13" s="1"/>
  <c r="AK78" i="24"/>
  <c r="AC2" i="13" s="1"/>
  <c r="AA8" i="22"/>
  <c r="E7" i="24" s="1"/>
  <c r="Y35" i="24"/>
  <c r="Q9" i="12" s="1"/>
  <c r="AO35" i="24"/>
  <c r="AG9" i="12" s="1"/>
  <c r="Z35" i="24"/>
  <c r="R9" i="12" s="1"/>
  <c r="K35" i="24"/>
  <c r="C9" i="12" s="1"/>
  <c r="AA35" i="24"/>
  <c r="S9" i="12" s="1"/>
  <c r="M35" i="24"/>
  <c r="E9" i="12" s="1"/>
  <c r="AC35" i="24"/>
  <c r="U9" i="12" s="1"/>
  <c r="L35" i="24"/>
  <c r="D9" i="12" s="1"/>
  <c r="AB35" i="24"/>
  <c r="T9" i="12" s="1"/>
  <c r="O35" i="24"/>
  <c r="G9" i="12" s="1"/>
  <c r="AE35" i="24"/>
  <c r="W9" i="12" s="1"/>
  <c r="Q35" i="24"/>
  <c r="I9" i="12" s="1"/>
  <c r="AG35" i="24"/>
  <c r="Y9" i="12" s="1"/>
  <c r="R35" i="24"/>
  <c r="J9" i="12" s="1"/>
  <c r="AH35" i="24"/>
  <c r="Z9" i="12" s="1"/>
  <c r="U35" i="24"/>
  <c r="M9" i="12" s="1"/>
  <c r="AK35" i="24"/>
  <c r="AC9" i="12" s="1"/>
  <c r="V35" i="24"/>
  <c r="N9" i="12" s="1"/>
  <c r="AL35" i="24"/>
  <c r="AD9" i="12" s="1"/>
  <c r="W35" i="24"/>
  <c r="O9" i="12" s="1"/>
  <c r="AM35" i="24"/>
  <c r="AE9" i="12" s="1"/>
  <c r="X35" i="24"/>
  <c r="P9" i="12" s="1"/>
  <c r="AN35" i="24"/>
  <c r="AF9" i="12" s="1"/>
  <c r="N35" i="24"/>
  <c r="F9" i="12" s="1"/>
  <c r="J35" i="24"/>
  <c r="B9" i="12" s="1"/>
  <c r="P35" i="24"/>
  <c r="H9" i="12" s="1"/>
  <c r="S35" i="24"/>
  <c r="K9" i="12" s="1"/>
  <c r="T35" i="24"/>
  <c r="L9" i="12" s="1"/>
  <c r="AD35" i="24"/>
  <c r="V9" i="12" s="1"/>
  <c r="AJ35" i="24"/>
  <c r="AB9" i="12" s="1"/>
  <c r="AF35" i="24"/>
  <c r="X9" i="12" s="1"/>
  <c r="AI35" i="24"/>
  <c r="AA9" i="12" s="1"/>
  <c r="AA4" i="22"/>
  <c r="E3" i="24" s="1"/>
  <c r="Q43" i="24"/>
  <c r="I17" i="12" s="1"/>
  <c r="AG43" i="24"/>
  <c r="Y17" i="12" s="1"/>
  <c r="R43" i="24"/>
  <c r="J17" i="12" s="1"/>
  <c r="AH43" i="24"/>
  <c r="Z17" i="12" s="1"/>
  <c r="J43" i="24"/>
  <c r="B17" i="12" s="1"/>
  <c r="S43" i="24"/>
  <c r="K17" i="12" s="1"/>
  <c r="AI43" i="24"/>
  <c r="AA17" i="12" s="1"/>
  <c r="T43" i="24"/>
  <c r="L17" i="12" s="1"/>
  <c r="AJ43" i="24"/>
  <c r="AB17" i="12" s="1"/>
  <c r="W43" i="24"/>
  <c r="O17" i="12" s="1"/>
  <c r="AM43" i="24"/>
  <c r="AE17" i="12" s="1"/>
  <c r="Y43" i="24"/>
  <c r="Q17" i="12" s="1"/>
  <c r="AO43" i="24"/>
  <c r="AG17" i="12" s="1"/>
  <c r="Z43" i="24"/>
  <c r="R17" i="12" s="1"/>
  <c r="M43" i="24"/>
  <c r="E17" i="12" s="1"/>
  <c r="AC43" i="24"/>
  <c r="U17" i="12" s="1"/>
  <c r="N43" i="24"/>
  <c r="F17" i="12" s="1"/>
  <c r="AD43" i="24"/>
  <c r="V17" i="12" s="1"/>
  <c r="O43" i="24"/>
  <c r="G17" i="12" s="1"/>
  <c r="AE43" i="24"/>
  <c r="W17" i="12" s="1"/>
  <c r="U43" i="24"/>
  <c r="M17" i="12" s="1"/>
  <c r="V43" i="24"/>
  <c r="N17" i="12" s="1"/>
  <c r="AA43" i="24"/>
  <c r="S17" i="12" s="1"/>
  <c r="AB43" i="24"/>
  <c r="T17" i="12" s="1"/>
  <c r="AF43" i="24"/>
  <c r="X17" i="12" s="1"/>
  <c r="AK43" i="24"/>
  <c r="AC17" i="12" s="1"/>
  <c r="AL43" i="24"/>
  <c r="AD17" i="12" s="1"/>
  <c r="AN43" i="24"/>
  <c r="AF17" i="12" s="1"/>
  <c r="P43" i="24"/>
  <c r="H17" i="12" s="1"/>
  <c r="X43" i="24"/>
  <c r="P17" i="12" s="1"/>
  <c r="L43" i="24"/>
  <c r="D17" i="12" s="1"/>
  <c r="K43" i="24"/>
  <c r="C17" i="12" s="1"/>
  <c r="W94" i="24"/>
  <c r="O18" i="13" s="1"/>
  <c r="AM94" i="24"/>
  <c r="AE18" i="13" s="1"/>
  <c r="X94" i="24"/>
  <c r="P18" i="13" s="1"/>
  <c r="AN94" i="24"/>
  <c r="AF18" i="13" s="1"/>
  <c r="Y94" i="24"/>
  <c r="Q18" i="13" s="1"/>
  <c r="AO94" i="24"/>
  <c r="AG18" i="13" s="1"/>
  <c r="Z94" i="24"/>
  <c r="R18" i="13" s="1"/>
  <c r="K94" i="24"/>
  <c r="C18" i="13" s="1"/>
  <c r="AA94" i="24"/>
  <c r="S18" i="13" s="1"/>
  <c r="L94" i="24"/>
  <c r="D18" i="13" s="1"/>
  <c r="AB94" i="24"/>
  <c r="T18" i="13" s="1"/>
  <c r="M94" i="24"/>
  <c r="E18" i="13" s="1"/>
  <c r="AC94" i="24"/>
  <c r="U18" i="13" s="1"/>
  <c r="O94" i="24"/>
  <c r="G18" i="13" s="1"/>
  <c r="AE94" i="24"/>
  <c r="W18" i="13" s="1"/>
  <c r="J94" i="24"/>
  <c r="B18" i="13" s="1"/>
  <c r="P94" i="24"/>
  <c r="H18" i="13" s="1"/>
  <c r="AF94" i="24"/>
  <c r="X18" i="13" s="1"/>
  <c r="Q94" i="24"/>
  <c r="I18" i="13" s="1"/>
  <c r="AG94" i="24"/>
  <c r="Y18" i="13" s="1"/>
  <c r="S94" i="24"/>
  <c r="K18" i="13" s="1"/>
  <c r="AI94" i="24"/>
  <c r="AA18" i="13" s="1"/>
  <c r="T94" i="24"/>
  <c r="L18" i="13" s="1"/>
  <c r="AJ94" i="24"/>
  <c r="AB18" i="13" s="1"/>
  <c r="U94" i="24"/>
  <c r="M18" i="13" s="1"/>
  <c r="AK94" i="24"/>
  <c r="AC18" i="13" s="1"/>
  <c r="V94" i="24"/>
  <c r="N18" i="13" s="1"/>
  <c r="AL94" i="24"/>
  <c r="AD18" i="13" s="1"/>
  <c r="AD94" i="24"/>
  <c r="V18" i="13" s="1"/>
  <c r="AH94" i="24"/>
  <c r="Z18" i="13" s="1"/>
  <c r="R94" i="24"/>
  <c r="J18" i="13" s="1"/>
  <c r="N94" i="24"/>
  <c r="F18" i="13" s="1"/>
  <c r="X82" i="24"/>
  <c r="P6" i="13" s="1"/>
  <c r="AN82" i="24"/>
  <c r="AF6" i="13" s="1"/>
  <c r="Y82" i="24"/>
  <c r="Q6" i="13" s="1"/>
  <c r="AO82" i="24"/>
  <c r="AG6" i="13" s="1"/>
  <c r="Z82" i="24"/>
  <c r="R6" i="13" s="1"/>
  <c r="K82" i="24"/>
  <c r="C6" i="13" s="1"/>
  <c r="AA82" i="24"/>
  <c r="S6" i="13" s="1"/>
  <c r="L82" i="24"/>
  <c r="D6" i="13" s="1"/>
  <c r="AB82" i="24"/>
  <c r="T6" i="13" s="1"/>
  <c r="M82" i="24"/>
  <c r="E6" i="13" s="1"/>
  <c r="AC82" i="24"/>
  <c r="U6" i="13" s="1"/>
  <c r="N82" i="24"/>
  <c r="F6" i="13" s="1"/>
  <c r="AD82" i="24"/>
  <c r="V6" i="13" s="1"/>
  <c r="O82" i="24"/>
  <c r="G6" i="13" s="1"/>
  <c r="AE82" i="24"/>
  <c r="W6" i="13" s="1"/>
  <c r="P82" i="24"/>
  <c r="H6" i="13" s="1"/>
  <c r="AF82" i="24"/>
  <c r="X6" i="13" s="1"/>
  <c r="Q82" i="24"/>
  <c r="I6" i="13" s="1"/>
  <c r="AG82" i="24"/>
  <c r="Y6" i="13" s="1"/>
  <c r="R82" i="24"/>
  <c r="J6" i="13" s="1"/>
  <c r="AH82" i="24"/>
  <c r="Z6" i="13" s="1"/>
  <c r="T82" i="24"/>
  <c r="L6" i="13" s="1"/>
  <c r="AJ82" i="24"/>
  <c r="AB6" i="13" s="1"/>
  <c r="J82" i="24"/>
  <c r="B6" i="13" s="1"/>
  <c r="U82" i="24"/>
  <c r="M6" i="13" s="1"/>
  <c r="AK82" i="24"/>
  <c r="AC6" i="13" s="1"/>
  <c r="V82" i="24"/>
  <c r="N6" i="13" s="1"/>
  <c r="AL82" i="24"/>
  <c r="AD6" i="13" s="1"/>
  <c r="W82" i="24"/>
  <c r="O6" i="13" s="1"/>
  <c r="AM82" i="24"/>
  <c r="AE6" i="13" s="1"/>
  <c r="S82" i="24"/>
  <c r="K6" i="13" s="1"/>
  <c r="AI82" i="24"/>
  <c r="AA6" i="13" s="1"/>
  <c r="Z4" i="22"/>
  <c r="D3" i="24" s="1"/>
  <c r="O28" i="24"/>
  <c r="G2" i="12" s="1"/>
  <c r="AE28" i="24"/>
  <c r="W2" i="12" s="1"/>
  <c r="P28" i="24"/>
  <c r="H2" i="12" s="1"/>
  <c r="AF28" i="24"/>
  <c r="X2" i="12" s="1"/>
  <c r="Q28" i="24"/>
  <c r="I2" i="12" s="1"/>
  <c r="AG28" i="24"/>
  <c r="Y2" i="12" s="1"/>
  <c r="R28" i="24"/>
  <c r="J2" i="12" s="1"/>
  <c r="AH28" i="24"/>
  <c r="Z2" i="12" s="1"/>
  <c r="S28" i="24"/>
  <c r="K2" i="12" s="1"/>
  <c r="AI28" i="24"/>
  <c r="AA2" i="12" s="1"/>
  <c r="U28" i="24"/>
  <c r="M2" i="12" s="1"/>
  <c r="AK28" i="24"/>
  <c r="AC2" i="12" s="1"/>
  <c r="J28" i="24"/>
  <c r="B2" i="12" s="1"/>
  <c r="W28" i="24"/>
  <c r="O2" i="12" s="1"/>
  <c r="AM28" i="24"/>
  <c r="AE2" i="12" s="1"/>
  <c r="X28" i="24"/>
  <c r="P2" i="12" s="1"/>
  <c r="AN28" i="24"/>
  <c r="AF2" i="12" s="1"/>
  <c r="K28" i="24"/>
  <c r="C2" i="12" s="1"/>
  <c r="AA28" i="24"/>
  <c r="S2" i="12" s="1"/>
  <c r="L28" i="24"/>
  <c r="D2" i="12" s="1"/>
  <c r="AB28" i="24"/>
  <c r="T2" i="12" s="1"/>
  <c r="M28" i="24"/>
  <c r="E2" i="12" s="1"/>
  <c r="AC28" i="24"/>
  <c r="U2" i="12" s="1"/>
  <c r="N28" i="24"/>
  <c r="F2" i="12" s="1"/>
  <c r="AD28" i="24"/>
  <c r="V2" i="12" s="1"/>
  <c r="V28" i="24"/>
  <c r="N2" i="12" s="1"/>
  <c r="Z28" i="24"/>
  <c r="R2" i="12" s="1"/>
  <c r="Y28" i="24"/>
  <c r="Q2" i="12" s="1"/>
  <c r="AJ28" i="24"/>
  <c r="AB2" i="12" s="1"/>
  <c r="AL28" i="24"/>
  <c r="AD2" i="12" s="1"/>
  <c r="AO28" i="24"/>
  <c r="AG2" i="12" s="1"/>
  <c r="T28" i="24"/>
  <c r="L2" i="12" s="1"/>
  <c r="Y83" i="24"/>
  <c r="Q7" i="13" s="1"/>
  <c r="AO83" i="24"/>
  <c r="AG7" i="13" s="1"/>
  <c r="Z83" i="24"/>
  <c r="R7" i="13" s="1"/>
  <c r="K83" i="24"/>
  <c r="C7" i="13" s="1"/>
  <c r="AA83" i="24"/>
  <c r="S7" i="13" s="1"/>
  <c r="L83" i="24"/>
  <c r="D7" i="13" s="1"/>
  <c r="AB83" i="24"/>
  <c r="T7" i="13" s="1"/>
  <c r="M83" i="24"/>
  <c r="E7" i="13" s="1"/>
  <c r="AC83" i="24"/>
  <c r="U7" i="13" s="1"/>
  <c r="N83" i="24"/>
  <c r="F7" i="13" s="1"/>
  <c r="AD83" i="24"/>
  <c r="V7" i="13" s="1"/>
  <c r="O83" i="24"/>
  <c r="G7" i="13" s="1"/>
  <c r="AE83" i="24"/>
  <c r="W7" i="13" s="1"/>
  <c r="Q83" i="24"/>
  <c r="I7" i="13" s="1"/>
  <c r="AG83" i="24"/>
  <c r="Y7" i="13" s="1"/>
  <c r="R83" i="24"/>
  <c r="J7" i="13" s="1"/>
  <c r="AH83" i="24"/>
  <c r="Z7" i="13" s="1"/>
  <c r="S83" i="24"/>
  <c r="K7" i="13" s="1"/>
  <c r="AI83" i="24"/>
  <c r="AA7" i="13" s="1"/>
  <c r="U83" i="24"/>
  <c r="M7" i="13" s="1"/>
  <c r="AK83" i="24"/>
  <c r="AC7" i="13" s="1"/>
  <c r="V83" i="24"/>
  <c r="N7" i="13" s="1"/>
  <c r="AL83" i="24"/>
  <c r="AD7" i="13" s="1"/>
  <c r="J83" i="24"/>
  <c r="B7" i="13" s="1"/>
  <c r="W83" i="24"/>
  <c r="O7" i="13" s="1"/>
  <c r="AM83" i="24"/>
  <c r="AE7" i="13" s="1"/>
  <c r="X83" i="24"/>
  <c r="P7" i="13" s="1"/>
  <c r="AN83" i="24"/>
  <c r="AF7" i="13" s="1"/>
  <c r="P83" i="24"/>
  <c r="H7" i="13" s="1"/>
  <c r="T83" i="24"/>
  <c r="L7" i="13" s="1"/>
  <c r="AF83" i="24"/>
  <c r="X7" i="13" s="1"/>
  <c r="AJ83" i="24"/>
  <c r="AB7" i="13" s="1"/>
  <c r="T91" i="24"/>
  <c r="L15" i="13" s="1"/>
  <c r="AJ91" i="24"/>
  <c r="AB15" i="13" s="1"/>
  <c r="U91" i="24"/>
  <c r="M15" i="13" s="1"/>
  <c r="AK91" i="24"/>
  <c r="AC15" i="13" s="1"/>
  <c r="AL91" i="24"/>
  <c r="AD15" i="13" s="1"/>
  <c r="V91" i="24"/>
  <c r="N15" i="13" s="1"/>
  <c r="W91" i="24"/>
  <c r="O15" i="13" s="1"/>
  <c r="AM91" i="24"/>
  <c r="AE15" i="13" s="1"/>
  <c r="X91" i="24"/>
  <c r="P15" i="13" s="1"/>
  <c r="AN91" i="24"/>
  <c r="AF15" i="13" s="1"/>
  <c r="Y91" i="24"/>
  <c r="Q15" i="13" s="1"/>
  <c r="AO91" i="24"/>
  <c r="AG15" i="13" s="1"/>
  <c r="J91" i="24"/>
  <c r="B15" i="13" s="1"/>
  <c r="Z91" i="24"/>
  <c r="R15" i="13" s="1"/>
  <c r="L91" i="24"/>
  <c r="D15" i="13" s="1"/>
  <c r="AB91" i="24"/>
  <c r="T15" i="13" s="1"/>
  <c r="M91" i="24"/>
  <c r="E15" i="13" s="1"/>
  <c r="AC91" i="24"/>
  <c r="U15" i="13" s="1"/>
  <c r="N91" i="24"/>
  <c r="F15" i="13" s="1"/>
  <c r="AD91" i="24"/>
  <c r="V15" i="13" s="1"/>
  <c r="P91" i="24"/>
  <c r="H15" i="13" s="1"/>
  <c r="AF91" i="24"/>
  <c r="X15" i="13" s="1"/>
  <c r="Q91" i="24"/>
  <c r="I15" i="13" s="1"/>
  <c r="AG91" i="24"/>
  <c r="Y15" i="13" s="1"/>
  <c r="R91" i="24"/>
  <c r="J15" i="13" s="1"/>
  <c r="AH91" i="24"/>
  <c r="Z15" i="13" s="1"/>
  <c r="S91" i="24"/>
  <c r="K15" i="13" s="1"/>
  <c r="AI91" i="24"/>
  <c r="AA15" i="13" s="1"/>
  <c r="K91" i="24"/>
  <c r="C15" i="13" s="1"/>
  <c r="O91" i="24"/>
  <c r="G15" i="13" s="1"/>
  <c r="AA91" i="24"/>
  <c r="S15" i="13" s="1"/>
  <c r="AE91" i="24"/>
  <c r="W15" i="13" s="1"/>
  <c r="V32" i="24"/>
  <c r="N6" i="12" s="1"/>
  <c r="AL32" i="24"/>
  <c r="AD6" i="12" s="1"/>
  <c r="W32" i="24"/>
  <c r="O6" i="12" s="1"/>
  <c r="AM32" i="24"/>
  <c r="AE6" i="12" s="1"/>
  <c r="X32" i="24"/>
  <c r="P6" i="12" s="1"/>
  <c r="AN32" i="24"/>
  <c r="AF6" i="12" s="1"/>
  <c r="Z32" i="24"/>
  <c r="R6" i="12" s="1"/>
  <c r="Y32" i="24"/>
  <c r="Q6" i="12" s="1"/>
  <c r="AO32" i="24"/>
  <c r="AG6" i="12" s="1"/>
  <c r="L32" i="24"/>
  <c r="D6" i="12" s="1"/>
  <c r="AB32" i="24"/>
  <c r="T6" i="12" s="1"/>
  <c r="J32" i="24"/>
  <c r="B6" i="12" s="1"/>
  <c r="N32" i="24"/>
  <c r="F6" i="12" s="1"/>
  <c r="AD32" i="24"/>
  <c r="V6" i="12" s="1"/>
  <c r="O32" i="24"/>
  <c r="G6" i="12" s="1"/>
  <c r="AE32" i="24"/>
  <c r="W6" i="12" s="1"/>
  <c r="R32" i="24"/>
  <c r="J6" i="12" s="1"/>
  <c r="AH32" i="24"/>
  <c r="Z6" i="12" s="1"/>
  <c r="S32" i="24"/>
  <c r="K6" i="12" s="1"/>
  <c r="AI32" i="24"/>
  <c r="AA6" i="12" s="1"/>
  <c r="T32" i="24"/>
  <c r="L6" i="12" s="1"/>
  <c r="AJ32" i="24"/>
  <c r="AB6" i="12" s="1"/>
  <c r="U32" i="24"/>
  <c r="M6" i="12" s="1"/>
  <c r="AK32" i="24"/>
  <c r="AC6" i="12" s="1"/>
  <c r="AA32" i="24"/>
  <c r="S6" i="12" s="1"/>
  <c r="AF32" i="24"/>
  <c r="X6" i="12" s="1"/>
  <c r="AC32" i="24"/>
  <c r="U6" i="12" s="1"/>
  <c r="AG32" i="24"/>
  <c r="Y6" i="12" s="1"/>
  <c r="Q32" i="24"/>
  <c r="I6" i="12" s="1"/>
  <c r="P32" i="24"/>
  <c r="H6" i="12" s="1"/>
  <c r="K32" i="24"/>
  <c r="C6" i="12" s="1"/>
  <c r="M32" i="24"/>
  <c r="E6" i="12" s="1"/>
  <c r="K85" i="24"/>
  <c r="C9" i="13" s="1"/>
  <c r="AA85" i="24"/>
  <c r="S9" i="13" s="1"/>
  <c r="L85" i="24"/>
  <c r="D9" i="13" s="1"/>
  <c r="AB85" i="24"/>
  <c r="T9" i="13" s="1"/>
  <c r="M85" i="24"/>
  <c r="E9" i="13" s="1"/>
  <c r="AC85" i="24"/>
  <c r="U9" i="13" s="1"/>
  <c r="N85" i="24"/>
  <c r="F9" i="13" s="1"/>
  <c r="AD85" i="24"/>
  <c r="V9" i="13" s="1"/>
  <c r="O85" i="24"/>
  <c r="G9" i="13" s="1"/>
  <c r="AE85" i="24"/>
  <c r="W9" i="13" s="1"/>
  <c r="P85" i="24"/>
  <c r="H9" i="13" s="1"/>
  <c r="AF85" i="24"/>
  <c r="X9" i="13" s="1"/>
  <c r="Q85" i="24"/>
  <c r="I9" i="13" s="1"/>
  <c r="AG85" i="24"/>
  <c r="Y9" i="13" s="1"/>
  <c r="S85" i="24"/>
  <c r="K9" i="13" s="1"/>
  <c r="AI85" i="24"/>
  <c r="AA9" i="13" s="1"/>
  <c r="T85" i="24"/>
  <c r="L9" i="13" s="1"/>
  <c r="AJ85" i="24"/>
  <c r="AB9" i="13" s="1"/>
  <c r="U85" i="24"/>
  <c r="M9" i="13" s="1"/>
  <c r="AK85" i="24"/>
  <c r="AC9" i="13" s="1"/>
  <c r="W85" i="24"/>
  <c r="O9" i="13" s="1"/>
  <c r="AM85" i="24"/>
  <c r="AE9" i="13" s="1"/>
  <c r="X85" i="24"/>
  <c r="P9" i="13" s="1"/>
  <c r="AN85" i="24"/>
  <c r="AF9" i="13" s="1"/>
  <c r="Y85" i="24"/>
  <c r="Q9" i="13" s="1"/>
  <c r="AO85" i="24"/>
  <c r="AG9" i="13" s="1"/>
  <c r="J85" i="24"/>
  <c r="B9" i="13" s="1"/>
  <c r="Z85" i="24"/>
  <c r="R9" i="13" s="1"/>
  <c r="AH85" i="24"/>
  <c r="Z9" i="13" s="1"/>
  <c r="AL85" i="24"/>
  <c r="AD9" i="13" s="1"/>
  <c r="R85" i="24"/>
  <c r="J9" i="13" s="1"/>
  <c r="V85" i="24"/>
  <c r="N9" i="13" s="1"/>
  <c r="W33" i="24"/>
  <c r="O7" i="12" s="1"/>
  <c r="AM33" i="24"/>
  <c r="AE7" i="12" s="1"/>
  <c r="X33" i="24"/>
  <c r="P7" i="12" s="1"/>
  <c r="AN33" i="24"/>
  <c r="AF7" i="12" s="1"/>
  <c r="Y33" i="24"/>
  <c r="Q7" i="12" s="1"/>
  <c r="AO33" i="24"/>
  <c r="AG7" i="12" s="1"/>
  <c r="Z33" i="24"/>
  <c r="R7" i="12" s="1"/>
  <c r="AA33" i="24"/>
  <c r="S7" i="12" s="1"/>
  <c r="K33" i="24"/>
  <c r="C7" i="12" s="1"/>
  <c r="M33" i="24"/>
  <c r="E7" i="12" s="1"/>
  <c r="AC33" i="24"/>
  <c r="U7" i="12" s="1"/>
  <c r="O33" i="24"/>
  <c r="G7" i="12" s="1"/>
  <c r="AE33" i="24"/>
  <c r="W7" i="12" s="1"/>
  <c r="P33" i="24"/>
  <c r="H7" i="12" s="1"/>
  <c r="AF33" i="24"/>
  <c r="X7" i="12" s="1"/>
  <c r="S33" i="24"/>
  <c r="K7" i="12" s="1"/>
  <c r="AI33" i="24"/>
  <c r="AA7" i="12" s="1"/>
  <c r="T33" i="24"/>
  <c r="L7" i="12" s="1"/>
  <c r="AJ33" i="24"/>
  <c r="AB7" i="12" s="1"/>
  <c r="U33" i="24"/>
  <c r="M7" i="12" s="1"/>
  <c r="AK33" i="24"/>
  <c r="AC7" i="12" s="1"/>
  <c r="V33" i="24"/>
  <c r="N7" i="12" s="1"/>
  <c r="AL33" i="24"/>
  <c r="AD7" i="12" s="1"/>
  <c r="J33" i="24"/>
  <c r="B7" i="12" s="1"/>
  <c r="L33" i="24"/>
  <c r="D7" i="12" s="1"/>
  <c r="N33" i="24"/>
  <c r="F7" i="12" s="1"/>
  <c r="Q33" i="24"/>
  <c r="I7" i="12" s="1"/>
  <c r="R33" i="24"/>
  <c r="J7" i="12" s="1"/>
  <c r="AB33" i="24"/>
  <c r="T7" i="12" s="1"/>
  <c r="AH33" i="24"/>
  <c r="Z7" i="12" s="1"/>
  <c r="AD33" i="24"/>
  <c r="V7" i="12" s="1"/>
  <c r="AG33" i="24"/>
  <c r="Y7" i="12" s="1"/>
  <c r="M39" i="24"/>
  <c r="E13" i="12" s="1"/>
  <c r="AC39" i="24"/>
  <c r="U13" i="12" s="1"/>
  <c r="N39" i="24"/>
  <c r="F13" i="12" s="1"/>
  <c r="AD39" i="24"/>
  <c r="V13" i="12" s="1"/>
  <c r="O39" i="24"/>
  <c r="G13" i="12" s="1"/>
  <c r="AE39" i="24"/>
  <c r="W13" i="12" s="1"/>
  <c r="P39" i="24"/>
  <c r="H13" i="12" s="1"/>
  <c r="AF39" i="24"/>
  <c r="X13" i="12" s="1"/>
  <c r="AG39" i="24"/>
  <c r="Y13" i="12" s="1"/>
  <c r="Q39" i="24"/>
  <c r="I13" i="12" s="1"/>
  <c r="S39" i="24"/>
  <c r="K13" i="12" s="1"/>
  <c r="AI39" i="24"/>
  <c r="AA13" i="12" s="1"/>
  <c r="U39" i="24"/>
  <c r="M13" i="12" s="1"/>
  <c r="AK39" i="24"/>
  <c r="AC13" i="12" s="1"/>
  <c r="V39" i="24"/>
  <c r="N13" i="12" s="1"/>
  <c r="AL39" i="24"/>
  <c r="AD13" i="12" s="1"/>
  <c r="Y39" i="24"/>
  <c r="Q13" i="12" s="1"/>
  <c r="AO39" i="24"/>
  <c r="AG13" i="12" s="1"/>
  <c r="Z39" i="24"/>
  <c r="R13" i="12" s="1"/>
  <c r="K39" i="24"/>
  <c r="C13" i="12" s="1"/>
  <c r="AA39" i="24"/>
  <c r="S13" i="12" s="1"/>
  <c r="L39" i="24"/>
  <c r="D13" i="12" s="1"/>
  <c r="R39" i="24"/>
  <c r="J13" i="12" s="1"/>
  <c r="T39" i="24"/>
  <c r="L13" i="12" s="1"/>
  <c r="W39" i="24"/>
  <c r="O13" i="12" s="1"/>
  <c r="X39" i="24"/>
  <c r="P13" i="12" s="1"/>
  <c r="J39" i="24"/>
  <c r="B13" i="12" s="1"/>
  <c r="AB39" i="24"/>
  <c r="T13" i="12" s="1"/>
  <c r="AJ39" i="24"/>
  <c r="AB13" i="12" s="1"/>
  <c r="AH39" i="24"/>
  <c r="Z13" i="12" s="1"/>
  <c r="AM39" i="24"/>
  <c r="AE13" i="12" s="1"/>
  <c r="AN39" i="24"/>
  <c r="AF13" i="12" s="1"/>
  <c r="R44" i="24"/>
  <c r="J18" i="12" s="1"/>
  <c r="AH44" i="24"/>
  <c r="Z18" i="12" s="1"/>
  <c r="S44" i="24"/>
  <c r="K18" i="12" s="1"/>
  <c r="AI44" i="24"/>
  <c r="AA18" i="12" s="1"/>
  <c r="AJ44" i="24"/>
  <c r="AB18" i="12" s="1"/>
  <c r="T44" i="24"/>
  <c r="L18" i="12" s="1"/>
  <c r="J44" i="24"/>
  <c r="B18" i="12" s="1"/>
  <c r="U44" i="24"/>
  <c r="M18" i="12" s="1"/>
  <c r="AK44" i="24"/>
  <c r="AC18" i="12" s="1"/>
  <c r="X44" i="24"/>
  <c r="P18" i="12" s="1"/>
  <c r="AN44" i="24"/>
  <c r="AF18" i="12" s="1"/>
  <c r="Z44" i="24"/>
  <c r="R18" i="12" s="1"/>
  <c r="K44" i="24"/>
  <c r="C18" i="12" s="1"/>
  <c r="AA44" i="24"/>
  <c r="S18" i="12" s="1"/>
  <c r="N44" i="24"/>
  <c r="F18" i="12" s="1"/>
  <c r="AD44" i="24"/>
  <c r="V18" i="12" s="1"/>
  <c r="O44" i="24"/>
  <c r="G18" i="12" s="1"/>
  <c r="AE44" i="24"/>
  <c r="W18" i="12" s="1"/>
  <c r="P44" i="24"/>
  <c r="H18" i="12" s="1"/>
  <c r="AF44" i="24"/>
  <c r="X18" i="12" s="1"/>
  <c r="AC44" i="24"/>
  <c r="U18" i="12" s="1"/>
  <c r="AG44" i="24"/>
  <c r="Y18" i="12" s="1"/>
  <c r="AM44" i="24"/>
  <c r="AE18" i="12" s="1"/>
  <c r="AO44" i="24"/>
  <c r="AG18" i="12" s="1"/>
  <c r="AB44" i="24"/>
  <c r="T18" i="12" s="1"/>
  <c r="AL44" i="24"/>
  <c r="AD18" i="12" s="1"/>
  <c r="L44" i="24"/>
  <c r="D18" i="12" s="1"/>
  <c r="M44" i="24"/>
  <c r="E18" i="12" s="1"/>
  <c r="Q44" i="24"/>
  <c r="I18" i="12" s="1"/>
  <c r="W44" i="24"/>
  <c r="O18" i="12" s="1"/>
  <c r="Y44" i="24"/>
  <c r="Q18" i="12" s="1"/>
  <c r="V44" i="24"/>
  <c r="N18" i="12" s="1"/>
  <c r="P97" i="24"/>
  <c r="H21" i="13" s="1"/>
  <c r="AF97" i="24"/>
  <c r="X21" i="13" s="1"/>
  <c r="Q97" i="24"/>
  <c r="I21" i="13" s="1"/>
  <c r="AG97" i="24"/>
  <c r="Y21" i="13" s="1"/>
  <c r="AH97" i="24"/>
  <c r="Z21" i="13" s="1"/>
  <c r="R97" i="24"/>
  <c r="J21" i="13" s="1"/>
  <c r="S97" i="24"/>
  <c r="K21" i="13" s="1"/>
  <c r="AI97" i="24"/>
  <c r="AA21" i="13" s="1"/>
  <c r="T97" i="24"/>
  <c r="L21" i="13" s="1"/>
  <c r="AJ97" i="24"/>
  <c r="AB21" i="13" s="1"/>
  <c r="U97" i="24"/>
  <c r="M21" i="13" s="1"/>
  <c r="AK97" i="24"/>
  <c r="AC21" i="13" s="1"/>
  <c r="V97" i="24"/>
  <c r="N21" i="13" s="1"/>
  <c r="AL97" i="24"/>
  <c r="AD21" i="13" s="1"/>
  <c r="X97" i="24"/>
  <c r="P21" i="13" s="1"/>
  <c r="AN97" i="24"/>
  <c r="AF21" i="13" s="1"/>
  <c r="Y97" i="24"/>
  <c r="Q21" i="13" s="1"/>
  <c r="AO97" i="24"/>
  <c r="AG21" i="13" s="1"/>
  <c r="Z97" i="24"/>
  <c r="R21" i="13" s="1"/>
  <c r="L97" i="24"/>
  <c r="D21" i="13" s="1"/>
  <c r="AB97" i="24"/>
  <c r="T21" i="13" s="1"/>
  <c r="M97" i="24"/>
  <c r="E21" i="13" s="1"/>
  <c r="AC97" i="24"/>
  <c r="U21" i="13" s="1"/>
  <c r="N97" i="24"/>
  <c r="F21" i="13" s="1"/>
  <c r="AD97" i="24"/>
  <c r="V21" i="13" s="1"/>
  <c r="O97" i="24"/>
  <c r="G21" i="13" s="1"/>
  <c r="AE97" i="24"/>
  <c r="W21" i="13" s="1"/>
  <c r="AM97" i="24"/>
  <c r="AE21" i="13" s="1"/>
  <c r="AA97" i="24"/>
  <c r="S21" i="13" s="1"/>
  <c r="W97" i="24"/>
  <c r="O21" i="13" s="1"/>
  <c r="J97" i="24"/>
  <c r="B21" i="13" s="1"/>
  <c r="K97" i="24"/>
  <c r="C21" i="13" s="1"/>
  <c r="X17" i="22"/>
  <c r="B16" i="24" s="1"/>
  <c r="X9" i="22"/>
  <c r="B8" i="24" s="1"/>
  <c r="Y23" i="22"/>
  <c r="C22" i="24" s="1"/>
  <c r="Y21" i="22"/>
  <c r="C20" i="24" s="1"/>
  <c r="Y19" i="22"/>
  <c r="C18" i="24" s="1"/>
  <c r="Y17" i="22"/>
  <c r="C16" i="24" s="1"/>
  <c r="Y15" i="22"/>
  <c r="C14" i="24" s="1"/>
  <c r="Y13" i="22"/>
  <c r="C12" i="24" s="1"/>
  <c r="Y11" i="22"/>
  <c r="C10" i="24" s="1"/>
  <c r="Y9" i="22"/>
  <c r="C8" i="24" s="1"/>
  <c r="Y7" i="22"/>
  <c r="C6" i="24" s="1"/>
  <c r="C31" i="24" s="1"/>
  <c r="Y5" i="22"/>
  <c r="C4" i="24" s="1"/>
  <c r="C54" i="24" s="1"/>
  <c r="Z22" i="22"/>
  <c r="D21" i="24" s="1"/>
  <c r="Z14" i="22"/>
  <c r="D13" i="24" s="1"/>
  <c r="X4" i="22"/>
  <c r="B3" i="24" s="1"/>
  <c r="X16" i="22"/>
  <c r="B15" i="24" s="1"/>
  <c r="X8" i="22"/>
  <c r="B7" i="24" s="1"/>
  <c r="AB22" i="22"/>
  <c r="F21" i="24" s="1"/>
  <c r="AB20" i="22"/>
  <c r="F19" i="24" s="1"/>
  <c r="AB18" i="22"/>
  <c r="F17" i="24" s="1"/>
  <c r="AB16" i="22"/>
  <c r="F15" i="24" s="1"/>
  <c r="AB14" i="22"/>
  <c r="F13" i="24" s="1"/>
  <c r="AB12" i="22"/>
  <c r="F11" i="24" s="1"/>
  <c r="AB10" i="22"/>
  <c r="F9" i="24" s="1"/>
  <c r="AB8" i="22"/>
  <c r="F7" i="24" s="1"/>
  <c r="AB6" i="22"/>
  <c r="F5" i="24" s="1"/>
  <c r="F55" i="24" s="1"/>
  <c r="AB4" i="22"/>
  <c r="F3" i="24" s="1"/>
  <c r="X22" i="22"/>
  <c r="B21" i="24" s="1"/>
  <c r="X6" i="22"/>
  <c r="B5" i="24" s="1"/>
  <c r="Z16" i="22"/>
  <c r="D15" i="24" s="1"/>
  <c r="Z10" i="22"/>
  <c r="D9" i="24" s="1"/>
  <c r="X21" i="22"/>
  <c r="B20" i="24" s="1"/>
  <c r="X13" i="22"/>
  <c r="B12" i="24" s="1"/>
  <c r="X5" i="22"/>
  <c r="B4" i="24" s="1"/>
  <c r="B54" i="24" s="1"/>
  <c r="Y22" i="22"/>
  <c r="C21" i="24" s="1"/>
  <c r="Y20" i="22"/>
  <c r="C19" i="24" s="1"/>
  <c r="Y18" i="22"/>
  <c r="C17" i="24" s="1"/>
  <c r="Y16" i="22"/>
  <c r="C15" i="24" s="1"/>
  <c r="Y14" i="22"/>
  <c r="C13" i="24" s="1"/>
  <c r="Y12" i="22"/>
  <c r="C11" i="24" s="1"/>
  <c r="Y10" i="22"/>
  <c r="C9" i="24" s="1"/>
  <c r="Y8" i="22"/>
  <c r="C7" i="24" s="1"/>
  <c r="Y6" i="22"/>
  <c r="C5" i="24" s="1"/>
  <c r="C55" i="24" s="1"/>
  <c r="Y4" i="22"/>
  <c r="C3" i="24" s="1"/>
  <c r="Z18" i="22"/>
  <c r="D17" i="24" s="1"/>
  <c r="Z8" i="22"/>
  <c r="D7" i="24" s="1"/>
  <c r="X20" i="22"/>
  <c r="B19" i="24" s="1"/>
  <c r="X12" i="22"/>
  <c r="B11" i="24" s="1"/>
  <c r="AB23" i="22"/>
  <c r="F22" i="24" s="1"/>
  <c r="AB21" i="22"/>
  <c r="F20" i="24" s="1"/>
  <c r="AB19" i="22"/>
  <c r="F18" i="24" s="1"/>
  <c r="AB17" i="22"/>
  <c r="F16" i="24" s="1"/>
  <c r="AB15" i="22"/>
  <c r="F14" i="24" s="1"/>
  <c r="AB13" i="22"/>
  <c r="F12" i="24" s="1"/>
  <c r="AB11" i="22"/>
  <c r="F10" i="24" s="1"/>
  <c r="AB9" i="22"/>
  <c r="F8" i="24" s="1"/>
  <c r="AB7" i="22"/>
  <c r="F6" i="24" s="1"/>
  <c r="F31" i="24" s="1"/>
  <c r="AB5" i="22"/>
  <c r="F4" i="24" s="1"/>
  <c r="F54" i="24" s="1"/>
  <c r="Z20" i="22"/>
  <c r="D19" i="24" s="1"/>
  <c r="Z6" i="22"/>
  <c r="D5" i="24" s="1"/>
  <c r="D55" i="24" s="1"/>
  <c r="X19" i="22"/>
  <c r="B18" i="24" s="1"/>
  <c r="X11" i="22"/>
  <c r="B10" i="24" s="1"/>
  <c r="AA23" i="22"/>
  <c r="E22" i="24" s="1"/>
  <c r="AA21" i="22"/>
  <c r="E20" i="24" s="1"/>
  <c r="AA19" i="22"/>
  <c r="E18" i="24" s="1"/>
  <c r="AA17" i="22"/>
  <c r="E16" i="24" s="1"/>
  <c r="AA15" i="22"/>
  <c r="E14" i="24" s="1"/>
  <c r="AA13" i="22"/>
  <c r="E12" i="24" s="1"/>
  <c r="AA11" i="22"/>
  <c r="E10" i="24" s="1"/>
  <c r="AA9" i="22"/>
  <c r="E8" i="24" s="1"/>
  <c r="AA7" i="22"/>
  <c r="E6" i="24" s="1"/>
  <c r="E31" i="24" s="1"/>
  <c r="AA5" i="22"/>
  <c r="E4" i="24" s="1"/>
  <c r="E54" i="24" s="1"/>
  <c r="X14" i="22"/>
  <c r="B13" i="24" s="1"/>
  <c r="Z12" i="22"/>
  <c r="D11" i="24" s="1"/>
  <c r="X18" i="22"/>
  <c r="B17" i="24" s="1"/>
  <c r="X10" i="22"/>
  <c r="B9" i="24" s="1"/>
  <c r="Z23" i="22"/>
  <c r="D22" i="24" s="1"/>
  <c r="Z21" i="22"/>
  <c r="D20" i="24" s="1"/>
  <c r="Z19" i="22"/>
  <c r="D18" i="24" s="1"/>
  <c r="Z17" i="22"/>
  <c r="D16" i="24" s="1"/>
  <c r="Z15" i="22"/>
  <c r="D14" i="24" s="1"/>
  <c r="Z13" i="22"/>
  <c r="D12" i="24" s="1"/>
  <c r="Z11" i="22"/>
  <c r="D10" i="24" s="1"/>
  <c r="Z9" i="22"/>
  <c r="D8" i="24" s="1"/>
  <c r="Z7" i="22"/>
  <c r="D6" i="24" s="1"/>
  <c r="D31" i="24" s="1"/>
  <c r="AC5" i="24" l="1"/>
  <c r="L19" i="24"/>
  <c r="R14" i="24"/>
  <c r="AC14" i="24"/>
  <c r="AH14" i="24"/>
  <c r="AJ14" i="24"/>
  <c r="AN14" i="24"/>
  <c r="AB14" i="24"/>
  <c r="P14" i="24"/>
  <c r="AO14" i="24"/>
  <c r="AK14" i="24"/>
  <c r="U16" i="24"/>
  <c r="S11" i="24"/>
  <c r="N10" i="24"/>
  <c r="O14" i="24"/>
  <c r="Q14" i="24"/>
  <c r="Y14" i="24"/>
  <c r="V17" i="24"/>
  <c r="M14" i="24"/>
  <c r="AE14" i="24"/>
  <c r="AI14" i="24"/>
  <c r="J14" i="24"/>
  <c r="R7" i="24"/>
  <c r="AO13" i="24"/>
  <c r="L14" i="24"/>
  <c r="AF8" i="24"/>
  <c r="S14" i="24"/>
  <c r="W14" i="24"/>
  <c r="AD14" i="24"/>
  <c r="K14" i="24"/>
  <c r="AM14" i="24"/>
  <c r="Z8" i="24"/>
  <c r="AL14" i="24"/>
  <c r="Z14" i="24"/>
  <c r="N14" i="24"/>
  <c r="AH8" i="24"/>
  <c r="T8" i="24"/>
  <c r="AE8" i="24"/>
  <c r="S8" i="24"/>
  <c r="AM8" i="24"/>
  <c r="AA8" i="24"/>
  <c r="AA14" i="24"/>
  <c r="V14" i="24"/>
  <c r="O8" i="24"/>
  <c r="AC13" i="24"/>
  <c r="X14" i="24"/>
  <c r="T14" i="24"/>
  <c r="U8" i="24"/>
  <c r="AJ13" i="24"/>
  <c r="AG14" i="24"/>
  <c r="X13" i="24"/>
  <c r="U14" i="24"/>
  <c r="AF14" i="24"/>
  <c r="L13" i="24"/>
  <c r="AH7" i="24"/>
  <c r="Q13" i="24"/>
  <c r="O4" i="24"/>
  <c r="AL8" i="24"/>
  <c r="O5" i="24"/>
  <c r="AO4" i="24"/>
  <c r="M5" i="24"/>
  <c r="AD7" i="24"/>
  <c r="AJ8" i="24"/>
  <c r="L8" i="24"/>
  <c r="P13" i="24"/>
  <c r="AC4" i="24"/>
  <c r="W8" i="24"/>
  <c r="AA15" i="24"/>
  <c r="AB13" i="24"/>
  <c r="Q7" i="24"/>
  <c r="K13" i="24"/>
  <c r="AM13" i="24"/>
  <c r="M7" i="24"/>
  <c r="AA13" i="24"/>
  <c r="AJ7" i="24"/>
  <c r="V13" i="24"/>
  <c r="O13" i="24"/>
  <c r="X7" i="24"/>
  <c r="AD13" i="24"/>
  <c r="AG13" i="24"/>
  <c r="L7" i="24"/>
  <c r="AN13" i="24"/>
  <c r="AI7" i="24"/>
  <c r="AO7" i="24"/>
  <c r="U13" i="24"/>
  <c r="T13" i="24"/>
  <c r="Q4" i="24"/>
  <c r="W7" i="24"/>
  <c r="AH13" i="24"/>
  <c r="AF13" i="24"/>
  <c r="AB4" i="24"/>
  <c r="K7" i="24"/>
  <c r="W13" i="24"/>
  <c r="AL13" i="24"/>
  <c r="AE13" i="24"/>
  <c r="AM4" i="24"/>
  <c r="Z13" i="24"/>
  <c r="J13" i="24"/>
  <c r="AI13" i="24"/>
  <c r="N13" i="24"/>
  <c r="R13" i="24"/>
  <c r="Y13" i="24"/>
  <c r="Q12" i="24"/>
  <c r="P12" i="24"/>
  <c r="AN12" i="24"/>
  <c r="AK12" i="24"/>
  <c r="O12" i="24"/>
  <c r="Y12" i="24"/>
  <c r="M12" i="24"/>
  <c r="J12" i="24"/>
  <c r="AE20" i="24"/>
  <c r="AJ12" i="24"/>
  <c r="AG12" i="24"/>
  <c r="X12" i="24"/>
  <c r="U12" i="24"/>
  <c r="L12" i="24"/>
  <c r="AF12" i="24"/>
  <c r="T12" i="24"/>
  <c r="AE12" i="24"/>
  <c r="S12" i="24"/>
  <c r="K12" i="24"/>
  <c r="R12" i="24"/>
  <c r="AD12" i="24"/>
  <c r="AO12" i="24"/>
  <c r="AC12" i="24"/>
  <c r="AI12" i="24"/>
  <c r="W12" i="24"/>
  <c r="AH12" i="24"/>
  <c r="AB12" i="24"/>
  <c r="AM12" i="24"/>
  <c r="V12" i="24"/>
  <c r="AL12" i="24"/>
  <c r="Z12" i="24"/>
  <c r="N12" i="24"/>
  <c r="AA12" i="24"/>
  <c r="AK5" i="24"/>
  <c r="AG18" i="24"/>
  <c r="AO22" i="24"/>
  <c r="AH9" i="24"/>
  <c r="Y5" i="24"/>
  <c r="AG21" i="24"/>
  <c r="X5" i="24"/>
  <c r="AE17" i="24"/>
  <c r="L5" i="24"/>
  <c r="Y7" i="24"/>
  <c r="AI5" i="24"/>
  <c r="AJ5" i="24"/>
  <c r="AL4" i="24"/>
  <c r="AI8" i="24"/>
  <c r="AK10" i="24"/>
  <c r="AE4" i="24"/>
  <c r="V5" i="24"/>
  <c r="AC7" i="24"/>
  <c r="K8" i="24"/>
  <c r="AF5" i="24"/>
  <c r="P8" i="24"/>
  <c r="B55" i="24"/>
  <c r="AL55" i="24" s="1"/>
  <c r="AD4" i="19" s="1"/>
  <c r="AN7" i="24"/>
  <c r="V8" i="24"/>
  <c r="Q5" i="24"/>
  <c r="P7" i="24"/>
  <c r="AG8" i="24"/>
  <c r="AN5" i="24"/>
  <c r="AA7" i="24"/>
  <c r="M21" i="24"/>
  <c r="Y21" i="24"/>
  <c r="V21" i="24"/>
  <c r="AK7" i="24"/>
  <c r="AO8" i="24"/>
  <c r="U31" i="24"/>
  <c r="M5" i="12" s="1"/>
  <c r="S4" i="24"/>
  <c r="AK8" i="24"/>
  <c r="R8" i="24"/>
  <c r="AD4" i="24"/>
  <c r="M8" i="24"/>
  <c r="AC8" i="24"/>
  <c r="Q8" i="24"/>
  <c r="AN8" i="24"/>
  <c r="J8" i="24"/>
  <c r="AB8" i="24"/>
  <c r="AB7" i="24"/>
  <c r="AL3" i="24"/>
  <c r="AH21" i="24"/>
  <c r="M10" i="24"/>
  <c r="Y17" i="24"/>
  <c r="J10" i="24"/>
  <c r="AM7" i="24"/>
  <c r="V7" i="24"/>
  <c r="AD17" i="24"/>
  <c r="AG7" i="24"/>
  <c r="Q17" i="24"/>
  <c r="S5" i="24"/>
  <c r="W5" i="24"/>
  <c r="O7" i="24"/>
  <c r="U7" i="24"/>
  <c r="N8" i="24"/>
  <c r="J5" i="24"/>
  <c r="AF7" i="24"/>
  <c r="AL7" i="24"/>
  <c r="T21" i="24"/>
  <c r="AD5" i="24"/>
  <c r="T7" i="24"/>
  <c r="Z7" i="24"/>
  <c r="O21" i="24"/>
  <c r="AK13" i="24"/>
  <c r="S13" i="24"/>
  <c r="AN4" i="24"/>
  <c r="R5" i="24"/>
  <c r="AE7" i="24"/>
  <c r="N7" i="24"/>
  <c r="Y8" i="24"/>
  <c r="AD8" i="24"/>
  <c r="AL21" i="24"/>
  <c r="AO5" i="24"/>
  <c r="S7" i="24"/>
  <c r="N21" i="24"/>
  <c r="M13" i="24"/>
  <c r="P4" i="24"/>
  <c r="J7" i="24"/>
  <c r="X8" i="24"/>
  <c r="AK21" i="24"/>
  <c r="R18" i="24"/>
  <c r="AG9" i="24"/>
  <c r="R17" i="24"/>
  <c r="S17" i="24"/>
  <c r="AF3" i="24"/>
  <c r="AH5" i="24"/>
  <c r="AB5" i="24"/>
  <c r="K5" i="24"/>
  <c r="U21" i="24"/>
  <c r="N17" i="24"/>
  <c r="P5" i="24"/>
  <c r="AN19" i="24"/>
  <c r="AE21" i="24"/>
  <c r="AG5" i="24"/>
  <c r="AM5" i="24"/>
  <c r="AF21" i="24"/>
  <c r="S21" i="24"/>
  <c r="T3" i="24"/>
  <c r="U5" i="24"/>
  <c r="AA5" i="24"/>
  <c r="AD21" i="24"/>
  <c r="Q10" i="24"/>
  <c r="AO10" i="24"/>
  <c r="T5" i="24"/>
  <c r="AL5" i="24"/>
  <c r="J21" i="24"/>
  <c r="AN10" i="24"/>
  <c r="Z5" i="24"/>
  <c r="Z21" i="24"/>
  <c r="AB10" i="24"/>
  <c r="AE5" i="24"/>
  <c r="N5" i="24"/>
  <c r="AM21" i="24"/>
  <c r="Y10" i="24"/>
  <c r="AI19" i="24"/>
  <c r="W19" i="24"/>
  <c r="Q22" i="24"/>
  <c r="Z3" i="24"/>
  <c r="AI20" i="24"/>
  <c r="Z17" i="24"/>
  <c r="AK17" i="24"/>
  <c r="S3" i="24"/>
  <c r="AM9" i="24"/>
  <c r="AE3" i="24"/>
  <c r="Y3" i="24"/>
  <c r="R21" i="24"/>
  <c r="R71" i="24"/>
  <c r="J20" i="19" s="1"/>
  <c r="AA9" i="24"/>
  <c r="AJ10" i="24"/>
  <c r="M17" i="24"/>
  <c r="AB19" i="24"/>
  <c r="P3" i="24"/>
  <c r="AK3" i="24"/>
  <c r="AO21" i="24"/>
  <c r="X21" i="24"/>
  <c r="V9" i="24"/>
  <c r="X10" i="24"/>
  <c r="O6" i="24"/>
  <c r="Z16" i="24"/>
  <c r="AC21" i="24"/>
  <c r="AI21" i="24"/>
  <c r="L10" i="24"/>
  <c r="AF16" i="24"/>
  <c r="Q21" i="24"/>
  <c r="W21" i="24"/>
  <c r="W10" i="24"/>
  <c r="U22" i="24"/>
  <c r="N3" i="24"/>
  <c r="U15" i="24"/>
  <c r="M18" i="24"/>
  <c r="AN21" i="24"/>
  <c r="K21" i="24"/>
  <c r="AE10" i="24"/>
  <c r="T22" i="24"/>
  <c r="Q20" i="24"/>
  <c r="Y11" i="24"/>
  <c r="O15" i="24"/>
  <c r="J18" i="24"/>
  <c r="AB21" i="24"/>
  <c r="AJ21" i="24"/>
  <c r="S10" i="24"/>
  <c r="AL22" i="24"/>
  <c r="AD11" i="24"/>
  <c r="AD18" i="24"/>
  <c r="P21" i="24"/>
  <c r="L21" i="24"/>
  <c r="AD10" i="24"/>
  <c r="Z22" i="24"/>
  <c r="K3" i="24"/>
  <c r="AA21" i="24"/>
  <c r="R10" i="24"/>
  <c r="AH17" i="24"/>
  <c r="M11" i="24"/>
  <c r="N16" i="24"/>
  <c r="AJ11" i="24"/>
  <c r="S16" i="24"/>
  <c r="T15" i="24"/>
  <c r="Z15" i="24"/>
  <c r="X18" i="24"/>
  <c r="AN18" i="24"/>
  <c r="AO19" i="24"/>
  <c r="K19" i="24"/>
  <c r="K20" i="24"/>
  <c r="AB20" i="24"/>
  <c r="O9" i="24"/>
  <c r="U9" i="24"/>
  <c r="AF22" i="24"/>
  <c r="N22" i="24"/>
  <c r="Y16" i="24"/>
  <c r="AE16" i="24"/>
  <c r="AE15" i="24"/>
  <c r="N15" i="24"/>
  <c r="AI18" i="24"/>
  <c r="AB18" i="24"/>
  <c r="P19" i="24"/>
  <c r="AG19" i="24"/>
  <c r="AH20" i="24"/>
  <c r="P20" i="24"/>
  <c r="AL9" i="24"/>
  <c r="AF9" i="24"/>
  <c r="S22" i="24"/>
  <c r="J22" i="24"/>
  <c r="AF15" i="24"/>
  <c r="AC11" i="24"/>
  <c r="L11" i="24"/>
  <c r="Q11" i="24"/>
  <c r="AD3" i="24"/>
  <c r="M3" i="24"/>
  <c r="M16" i="24"/>
  <c r="AD16" i="24"/>
  <c r="S15" i="24"/>
  <c r="AK15" i="24"/>
  <c r="W18" i="24"/>
  <c r="P18" i="24"/>
  <c r="AM19" i="24"/>
  <c r="U19" i="24"/>
  <c r="V20" i="24"/>
  <c r="AL20" i="24"/>
  <c r="Z9" i="24"/>
  <c r="T9" i="24"/>
  <c r="AE22" i="24"/>
  <c r="AJ22" i="24"/>
  <c r="J17" i="24"/>
  <c r="AI17" i="24"/>
  <c r="R11" i="24"/>
  <c r="X11" i="24"/>
  <c r="X3" i="24"/>
  <c r="R3" i="24"/>
  <c r="J16" i="24"/>
  <c r="R16" i="24"/>
  <c r="AD15" i="24"/>
  <c r="Y15" i="24"/>
  <c r="Q18" i="24"/>
  <c r="K18" i="24"/>
  <c r="AH19" i="24"/>
  <c r="AA19" i="24"/>
  <c r="AG20" i="24"/>
  <c r="Z20" i="24"/>
  <c r="N9" i="24"/>
  <c r="AE9" i="24"/>
  <c r="AD22" i="24"/>
  <c r="X22" i="24"/>
  <c r="AO17" i="24"/>
  <c r="W17" i="24"/>
  <c r="J11" i="24"/>
  <c r="W11" i="24"/>
  <c r="AJ3" i="24"/>
  <c r="AO3" i="24"/>
  <c r="AO16" i="24"/>
  <c r="AJ16" i="24"/>
  <c r="L15" i="24"/>
  <c r="R15" i="24"/>
  <c r="M15" i="24"/>
  <c r="O18" i="24"/>
  <c r="AJ18" i="24"/>
  <c r="V19" i="24"/>
  <c r="O19" i="24"/>
  <c r="AA20" i="24"/>
  <c r="U20" i="24"/>
  <c r="N20" i="24"/>
  <c r="AK9" i="24"/>
  <c r="S9" i="24"/>
  <c r="R22" i="24"/>
  <c r="L22" i="24"/>
  <c r="AC17" i="24"/>
  <c r="K17" i="24"/>
  <c r="T16" i="24"/>
  <c r="AN20" i="24"/>
  <c r="AO11" i="24"/>
  <c r="AK16" i="24"/>
  <c r="K11" i="24"/>
  <c r="AC16" i="24"/>
  <c r="X16" i="24"/>
  <c r="X15" i="24"/>
  <c r="AO15" i="24"/>
  <c r="AA18" i="24"/>
  <c r="L18" i="24"/>
  <c r="T19" i="24"/>
  <c r="AL19" i="24"/>
  <c r="Y20" i="24"/>
  <c r="AF20" i="24"/>
  <c r="R9" i="24"/>
  <c r="Y9" i="24"/>
  <c r="AK22" i="24"/>
  <c r="AN11" i="24"/>
  <c r="P11" i="24"/>
  <c r="L3" i="24"/>
  <c r="AC3" i="24"/>
  <c r="AM11" i="24"/>
  <c r="V11" i="24"/>
  <c r="J3" i="24"/>
  <c r="Q3" i="24"/>
  <c r="Q16" i="24"/>
  <c r="L16" i="24"/>
  <c r="AJ15" i="24"/>
  <c r="AC15" i="24"/>
  <c r="AO18" i="24"/>
  <c r="AH18" i="24"/>
  <c r="AF19" i="24"/>
  <c r="N19" i="24"/>
  <c r="AK20" i="24"/>
  <c r="T20" i="24"/>
  <c r="AD9" i="24"/>
  <c r="M9" i="24"/>
  <c r="K10" i="24"/>
  <c r="P10" i="24"/>
  <c r="AI22" i="24"/>
  <c r="AC22" i="24"/>
  <c r="X17" i="24"/>
  <c r="AN17" i="24"/>
  <c r="AM6" i="24"/>
  <c r="AI11" i="24"/>
  <c r="AG11" i="24"/>
  <c r="AN16" i="24"/>
  <c r="AI16" i="24"/>
  <c r="AI15" i="24"/>
  <c r="Q15" i="24"/>
  <c r="AM18" i="24"/>
  <c r="V18" i="24"/>
  <c r="AE19" i="24"/>
  <c r="AK19" i="24"/>
  <c r="M20" i="24"/>
  <c r="AH70" i="24"/>
  <c r="Z19" i="19" s="1"/>
  <c r="J9" i="24"/>
  <c r="AJ9" i="24"/>
  <c r="AI10" i="24"/>
  <c r="AC10" i="24"/>
  <c r="Y22" i="24"/>
  <c r="AN22" i="24"/>
  <c r="AB17" i="24"/>
  <c r="N6" i="24"/>
  <c r="AB11" i="24"/>
  <c r="AA11" i="24"/>
  <c r="AI3" i="24"/>
  <c r="AN3" i="24"/>
  <c r="O11" i="24"/>
  <c r="U11" i="24"/>
  <c r="W3" i="24"/>
  <c r="AB3" i="24"/>
  <c r="AB16" i="24"/>
  <c r="W16" i="24"/>
  <c r="W15" i="24"/>
  <c r="J15" i="24"/>
  <c r="AC18" i="24"/>
  <c r="AF18" i="24"/>
  <c r="S19" i="24"/>
  <c r="Y19" i="24"/>
  <c r="O20" i="24"/>
  <c r="S20" i="24"/>
  <c r="AO9" i="24"/>
  <c r="L9" i="24"/>
  <c r="AH10" i="24"/>
  <c r="AM10" i="24"/>
  <c r="M22" i="24"/>
  <c r="AB22" i="24"/>
  <c r="L17" i="24"/>
  <c r="AM17" i="24"/>
  <c r="AL15" i="24"/>
  <c r="W20" i="24"/>
  <c r="P16" i="24"/>
  <c r="K16" i="24"/>
  <c r="K15" i="24"/>
  <c r="AN15" i="24"/>
  <c r="AL18" i="24"/>
  <c r="T18" i="24"/>
  <c r="J19" i="24"/>
  <c r="M19" i="24"/>
  <c r="AM20" i="24"/>
  <c r="AD20" i="24"/>
  <c r="AC9" i="24"/>
  <c r="AI9" i="24"/>
  <c r="V10" i="24"/>
  <c r="AA10" i="24"/>
  <c r="W22" i="24"/>
  <c r="P22" i="24"/>
  <c r="AJ17" i="24"/>
  <c r="AA17" i="24"/>
  <c r="AL11" i="24"/>
  <c r="Z11" i="24"/>
  <c r="AH3" i="24"/>
  <c r="AM3" i="24"/>
  <c r="AM16" i="24"/>
  <c r="AH16" i="24"/>
  <c r="R65" i="24"/>
  <c r="J14" i="19" s="1"/>
  <c r="AB15" i="24"/>
  <c r="Z18" i="24"/>
  <c r="U18" i="24"/>
  <c r="AD19" i="24"/>
  <c r="Z19" i="24"/>
  <c r="J20" i="24"/>
  <c r="R20" i="24"/>
  <c r="Q9" i="24"/>
  <c r="W9" i="24"/>
  <c r="AG10" i="24"/>
  <c r="O10" i="24"/>
  <c r="K22" i="24"/>
  <c r="AM22" i="24"/>
  <c r="AG17" i="24"/>
  <c r="O17" i="24"/>
  <c r="AA16" i="24"/>
  <c r="V16" i="24"/>
  <c r="AH15" i="24"/>
  <c r="P15" i="24"/>
  <c r="N18" i="24"/>
  <c r="AE18" i="24"/>
  <c r="R19" i="24"/>
  <c r="AJ19" i="24"/>
  <c r="AJ20" i="24"/>
  <c r="AO20" i="24"/>
  <c r="AN9" i="24"/>
  <c r="K9" i="24"/>
  <c r="U10" i="24"/>
  <c r="AL10" i="24"/>
  <c r="AH22" i="24"/>
  <c r="AA22" i="24"/>
  <c r="U17" i="24"/>
  <c r="P17" i="24"/>
  <c r="AF11" i="24"/>
  <c r="N11" i="24"/>
  <c r="T11" i="24"/>
  <c r="V3" i="24"/>
  <c r="AA3" i="24"/>
  <c r="Y61" i="24"/>
  <c r="Q10" i="19" s="1"/>
  <c r="AE11" i="24"/>
  <c r="AG3" i="24"/>
  <c r="O3" i="24"/>
  <c r="O16" i="24"/>
  <c r="AG16" i="24"/>
  <c r="V15" i="24"/>
  <c r="AM15" i="24"/>
  <c r="AK18" i="24"/>
  <c r="S18" i="24"/>
  <c r="AC19" i="24"/>
  <c r="X19" i="24"/>
  <c r="X20" i="24"/>
  <c r="AC20" i="24"/>
  <c r="AB9" i="24"/>
  <c r="X9" i="24"/>
  <c r="AF10" i="24"/>
  <c r="Z10" i="24"/>
  <c r="V22" i="24"/>
  <c r="O22" i="24"/>
  <c r="AF17" i="24"/>
  <c r="AL17" i="24"/>
  <c r="AH11" i="24"/>
  <c r="AK11" i="24"/>
  <c r="U3" i="24"/>
  <c r="AL16" i="24"/>
  <c r="AG15" i="24"/>
  <c r="Y18" i="24"/>
  <c r="Q19" i="24"/>
  <c r="L20" i="24"/>
  <c r="P9" i="24"/>
  <c r="T10" i="24"/>
  <c r="AG22" i="24"/>
  <c r="T17" i="24"/>
  <c r="AA4" i="24"/>
  <c r="Z4" i="24"/>
  <c r="N4" i="24"/>
  <c r="AK4" i="24"/>
  <c r="Y4" i="24"/>
  <c r="M4" i="24"/>
  <c r="J4" i="24"/>
  <c r="AJ4" i="24"/>
  <c r="X4" i="24"/>
  <c r="R4" i="24"/>
  <c r="L4" i="24"/>
  <c r="AI4" i="24"/>
  <c r="W4" i="24"/>
  <c r="K4" i="24"/>
  <c r="AH4" i="24"/>
  <c r="V4" i="24"/>
  <c r="AG4" i="24"/>
  <c r="U4" i="24"/>
  <c r="AF4" i="24"/>
  <c r="T4" i="24"/>
  <c r="AC54" i="24"/>
  <c r="U3" i="19" s="1"/>
  <c r="X6" i="24"/>
  <c r="L6" i="24"/>
  <c r="S6" i="24"/>
  <c r="AO6" i="24"/>
  <c r="W6" i="24"/>
  <c r="K6" i="24"/>
  <c r="AE6" i="24"/>
  <c r="R6" i="24"/>
  <c r="AD6" i="24"/>
  <c r="AL6" i="24"/>
  <c r="AC6" i="24"/>
  <c r="Z6" i="24"/>
  <c r="AK6" i="24"/>
  <c r="Y6" i="24"/>
  <c r="M6" i="24"/>
  <c r="AJ6" i="24"/>
  <c r="AI6" i="24"/>
  <c r="Q6" i="24"/>
  <c r="AN6" i="24"/>
  <c r="AB6" i="24"/>
  <c r="J6" i="24"/>
  <c r="P6" i="24"/>
  <c r="AH6" i="24"/>
  <c r="V6" i="24"/>
  <c r="AA6" i="24"/>
  <c r="AG6" i="24"/>
  <c r="U6" i="24"/>
  <c r="AF6" i="24"/>
  <c r="T6" i="24"/>
  <c r="D22" i="19"/>
  <c r="W22" i="19"/>
  <c r="I22" i="19"/>
  <c r="AF22" i="19"/>
  <c r="T22" i="19"/>
  <c r="P22" i="19"/>
  <c r="Z22" i="19"/>
  <c r="G22" i="19"/>
  <c r="O22" i="19"/>
  <c r="L22" i="19"/>
  <c r="R22" i="19"/>
  <c r="AB22" i="19"/>
  <c r="U54" i="24"/>
  <c r="M3" i="19" s="1"/>
  <c r="Z54" i="24"/>
  <c r="R3" i="19" s="1"/>
  <c r="AA54" i="24"/>
  <c r="S3" i="19" s="1"/>
  <c r="AG54" i="24"/>
  <c r="Y3" i="19" s="1"/>
  <c r="AH54" i="24"/>
  <c r="Z3" i="19" s="1"/>
  <c r="AJ54" i="24"/>
  <c r="AB3" i="19" s="1"/>
  <c r="AK54" i="24"/>
  <c r="AC3" i="19" s="1"/>
  <c r="AN54" i="24"/>
  <c r="AF3" i="19" s="1"/>
  <c r="AO54" i="24"/>
  <c r="AG3" i="19" s="1"/>
  <c r="J54" i="24"/>
  <c r="B3" i="19" s="1"/>
  <c r="O54" i="24"/>
  <c r="G3" i="19" s="1"/>
  <c r="P54" i="24"/>
  <c r="H3" i="19" s="1"/>
  <c r="S54" i="24"/>
  <c r="K3" i="19" s="1"/>
  <c r="R54" i="24"/>
  <c r="J3" i="19" s="1"/>
  <c r="AD54" i="24"/>
  <c r="V3" i="19" s="1"/>
  <c r="AM54" i="24"/>
  <c r="AE3" i="19" s="1"/>
  <c r="Y54" i="24"/>
  <c r="Q3" i="19" s="1"/>
  <c r="AL54" i="24"/>
  <c r="AD3" i="19" s="1"/>
  <c r="W54" i="24"/>
  <c r="O3" i="19" s="1"/>
  <c r="AI54" i="24"/>
  <c r="AA3" i="19" s="1"/>
  <c r="Q54" i="24"/>
  <c r="I3" i="19" s="1"/>
  <c r="N54" i="24"/>
  <c r="F3" i="19" s="1"/>
  <c r="AE54" i="24"/>
  <c r="W3" i="19" s="1"/>
  <c r="X54" i="24"/>
  <c r="P3" i="19" s="1"/>
  <c r="M54" i="24"/>
  <c r="E3" i="19" s="1"/>
  <c r="L54" i="24"/>
  <c r="D3" i="19" s="1"/>
  <c r="V54" i="24"/>
  <c r="N3" i="19" s="1"/>
  <c r="AF54" i="24"/>
  <c r="X3" i="19" s="1"/>
  <c r="AB54" i="24"/>
  <c r="T3" i="19" s="1"/>
  <c r="T54" i="24"/>
  <c r="L3" i="19" s="1"/>
  <c r="V22" i="19"/>
  <c r="F22" i="19"/>
  <c r="N22" i="19"/>
  <c r="Y22" i="19"/>
  <c r="J22" i="19"/>
  <c r="AE22" i="19"/>
  <c r="AG22" i="19"/>
  <c r="S22" i="19"/>
  <c r="M22" i="19"/>
  <c r="K22" i="19"/>
  <c r="AC22" i="19"/>
  <c r="T62" i="24"/>
  <c r="L11" i="19" s="1"/>
  <c r="V62" i="24"/>
  <c r="N11" i="19" s="1"/>
  <c r="AH62" i="24"/>
  <c r="Z11" i="19" s="1"/>
  <c r="W62" i="24"/>
  <c r="O11" i="19" s="1"/>
  <c r="AI62" i="24"/>
  <c r="AA11" i="19" s="1"/>
  <c r="X62" i="24"/>
  <c r="P11" i="19" s="1"/>
  <c r="AJ62" i="24"/>
  <c r="AB11" i="19" s="1"/>
  <c r="L62" i="24"/>
  <c r="D11" i="19" s="1"/>
  <c r="Y62" i="24"/>
  <c r="Q11" i="19" s="1"/>
  <c r="AK62" i="24"/>
  <c r="AC11" i="19" s="1"/>
  <c r="M62" i="24"/>
  <c r="E11" i="19" s="1"/>
  <c r="Z62" i="24"/>
  <c r="R11" i="19" s="1"/>
  <c r="AL62" i="24"/>
  <c r="AD11" i="19" s="1"/>
  <c r="N62" i="24"/>
  <c r="F11" i="19" s="1"/>
  <c r="AA62" i="24"/>
  <c r="S11" i="19" s="1"/>
  <c r="AM62" i="24"/>
  <c r="AE11" i="19" s="1"/>
  <c r="O62" i="24"/>
  <c r="G11" i="19" s="1"/>
  <c r="AB62" i="24"/>
  <c r="T11" i="19" s="1"/>
  <c r="AN62" i="24"/>
  <c r="AF11" i="19" s="1"/>
  <c r="P62" i="24"/>
  <c r="H11" i="19" s="1"/>
  <c r="AC62" i="24"/>
  <c r="U11" i="19" s="1"/>
  <c r="AO62" i="24"/>
  <c r="AG11" i="19" s="1"/>
  <c r="Q62" i="24"/>
  <c r="I11" i="19" s="1"/>
  <c r="AD62" i="24"/>
  <c r="V11" i="19" s="1"/>
  <c r="R62" i="24"/>
  <c r="J11" i="19" s="1"/>
  <c r="AE62" i="24"/>
  <c r="W11" i="19" s="1"/>
  <c r="AG62" i="24"/>
  <c r="Y11" i="19" s="1"/>
  <c r="S62" i="24"/>
  <c r="K11" i="19" s="1"/>
  <c r="AF62" i="24"/>
  <c r="X11" i="19" s="1"/>
  <c r="J62" i="24"/>
  <c r="B11" i="19" s="1"/>
  <c r="U62" i="24"/>
  <c r="M11" i="19" s="1"/>
  <c r="K62" i="24"/>
  <c r="C11" i="19" s="1"/>
  <c r="AD22" i="19"/>
  <c r="X22" i="19"/>
  <c r="Q22" i="19"/>
  <c r="AC71" i="24"/>
  <c r="U20" i="19" s="1"/>
  <c r="C22" i="19"/>
  <c r="B22" i="19"/>
  <c r="U22" i="19"/>
  <c r="E22" i="19"/>
  <c r="AA22" i="19"/>
  <c r="H22" i="19"/>
  <c r="K54" i="24"/>
  <c r="C3" i="19" s="1"/>
  <c r="K31" i="24"/>
  <c r="C5" i="12" s="1"/>
  <c r="AA31" i="24"/>
  <c r="S5" i="12" s="1"/>
  <c r="AM31" i="24"/>
  <c r="AE5" i="12" s="1"/>
  <c r="L31" i="24"/>
  <c r="D5" i="12" s="1"/>
  <c r="AB31" i="24"/>
  <c r="T5" i="12" s="1"/>
  <c r="AN31" i="24"/>
  <c r="AF5" i="12" s="1"/>
  <c r="O31" i="24"/>
  <c r="G5" i="12" s="1"/>
  <c r="AC31" i="24"/>
  <c r="U5" i="12" s="1"/>
  <c r="AO31" i="24"/>
  <c r="AG5" i="12" s="1"/>
  <c r="Q31" i="24"/>
  <c r="I5" i="12" s="1"/>
  <c r="AD31" i="24"/>
  <c r="V5" i="12" s="1"/>
  <c r="J31" i="24"/>
  <c r="B5" i="12" s="1"/>
  <c r="R31" i="24"/>
  <c r="J5" i="12" s="1"/>
  <c r="AE31" i="24"/>
  <c r="W5" i="12" s="1"/>
  <c r="S31" i="24"/>
  <c r="K5" i="12" s="1"/>
  <c r="AF31" i="24"/>
  <c r="X5" i="12" s="1"/>
  <c r="T31" i="24"/>
  <c r="L5" i="12" s="1"/>
  <c r="AG31" i="24"/>
  <c r="Y5" i="12" s="1"/>
  <c r="V31" i="24"/>
  <c r="N5" i="12" s="1"/>
  <c r="AH31" i="24"/>
  <c r="Z5" i="12" s="1"/>
  <c r="W31" i="24"/>
  <c r="O5" i="12" s="1"/>
  <c r="AI31" i="24"/>
  <c r="AA5" i="12" s="1"/>
  <c r="X31" i="24"/>
  <c r="P5" i="12" s="1"/>
  <c r="AJ31" i="24"/>
  <c r="AB5" i="12" s="1"/>
  <c r="Z31" i="24"/>
  <c r="R5" i="12" s="1"/>
  <c r="Y31" i="24"/>
  <c r="Q5" i="12" s="1"/>
  <c r="AK31" i="24"/>
  <c r="AC5" i="12" s="1"/>
  <c r="AL31" i="24"/>
  <c r="AD5" i="12" s="1"/>
  <c r="P31" i="24"/>
  <c r="H5" i="12" s="1"/>
  <c r="N31" i="24"/>
  <c r="F5" i="12" s="1"/>
  <c r="M31" i="24"/>
  <c r="E5" i="12" s="1"/>
  <c r="K70" i="24" l="1"/>
  <c r="C19" i="19" s="1"/>
  <c r="K55" i="24"/>
  <c r="C4" i="19" s="1"/>
  <c r="Q55" i="24"/>
  <c r="I4" i="19" s="1"/>
  <c r="AG55" i="24"/>
  <c r="Y4" i="19" s="1"/>
  <c r="V55" i="24"/>
  <c r="N4" i="19" s="1"/>
  <c r="O55" i="24"/>
  <c r="G4" i="19" s="1"/>
  <c r="AM55" i="24"/>
  <c r="AE4" i="19" s="1"/>
  <c r="T71" i="24"/>
  <c r="L20" i="19" s="1"/>
  <c r="AI71" i="24"/>
  <c r="AA20" i="19" s="1"/>
  <c r="L71" i="24"/>
  <c r="D20" i="19" s="1"/>
  <c r="AG71" i="24"/>
  <c r="Y20" i="19" s="1"/>
  <c r="AB71" i="24"/>
  <c r="T20" i="19" s="1"/>
  <c r="Q71" i="24"/>
  <c r="I20" i="19" s="1"/>
  <c r="J71" i="24"/>
  <c r="B20" i="19" s="1"/>
  <c r="AD71" i="24"/>
  <c r="V20" i="19" s="1"/>
  <c r="J55" i="24"/>
  <c r="B4" i="19" s="1"/>
  <c r="R55" i="24"/>
  <c r="J4" i="19" s="1"/>
  <c r="AJ71" i="24"/>
  <c r="AB20" i="19" s="1"/>
  <c r="Y71" i="24"/>
  <c r="Q20" i="19" s="1"/>
  <c r="Y55" i="24"/>
  <c r="Q4" i="19" s="1"/>
  <c r="M55" i="24"/>
  <c r="E4" i="19" s="1"/>
  <c r="P55" i="24"/>
  <c r="H4" i="19" s="1"/>
  <c r="AN71" i="24"/>
  <c r="AF20" i="19" s="1"/>
  <c r="O71" i="24"/>
  <c r="G20" i="19" s="1"/>
  <c r="AD55" i="24"/>
  <c r="V4" i="19" s="1"/>
  <c r="AN55" i="24"/>
  <c r="AF4" i="19" s="1"/>
  <c r="AO55" i="24"/>
  <c r="AG4" i="19" s="1"/>
  <c r="L55" i="24"/>
  <c r="D4" i="19" s="1"/>
  <c r="K71" i="24"/>
  <c r="C20" i="19" s="1"/>
  <c r="AJ55" i="24"/>
  <c r="AB4" i="19" s="1"/>
  <c r="AK55" i="24"/>
  <c r="AC4" i="19" s="1"/>
  <c r="N71" i="24"/>
  <c r="F20" i="19" s="1"/>
  <c r="AK71" i="24"/>
  <c r="AC20" i="19" s="1"/>
  <c r="T55" i="24"/>
  <c r="L4" i="19" s="1"/>
  <c r="AI55" i="24"/>
  <c r="AA4" i="19" s="1"/>
  <c r="AC55" i="24"/>
  <c r="U4" i="19" s="1"/>
  <c r="AF71" i="24"/>
  <c r="X20" i="19" s="1"/>
  <c r="AA71" i="24"/>
  <c r="S20" i="19" s="1"/>
  <c r="N55" i="24"/>
  <c r="F4" i="19" s="1"/>
  <c r="V71" i="24"/>
  <c r="N20" i="19" s="1"/>
  <c r="AO71" i="24"/>
  <c r="AG20" i="19" s="1"/>
  <c r="X71" i="24"/>
  <c r="P20" i="19" s="1"/>
  <c r="W71" i="24"/>
  <c r="O20" i="19" s="1"/>
  <c r="AE55" i="24"/>
  <c r="W4" i="19" s="1"/>
  <c r="Z71" i="24"/>
  <c r="R20" i="19" s="1"/>
  <c r="AE71" i="24"/>
  <c r="W20" i="19" s="1"/>
  <c r="AF55" i="24"/>
  <c r="X4" i="19" s="1"/>
  <c r="AB55" i="24"/>
  <c r="T4" i="19" s="1"/>
  <c r="W55" i="24"/>
  <c r="O4" i="19" s="1"/>
  <c r="M71" i="24"/>
  <c r="E20" i="19" s="1"/>
  <c r="AH71" i="24"/>
  <c r="Z20" i="19" s="1"/>
  <c r="AL71" i="24"/>
  <c r="AD20" i="19" s="1"/>
  <c r="S71" i="24"/>
  <c r="K20" i="19" s="1"/>
  <c r="Z55" i="24"/>
  <c r="R4" i="19" s="1"/>
  <c r="X55" i="24"/>
  <c r="P4" i="19" s="1"/>
  <c r="S55" i="24"/>
  <c r="K4" i="19" s="1"/>
  <c r="AA55" i="24"/>
  <c r="S4" i="19" s="1"/>
  <c r="U55" i="24"/>
  <c r="M4" i="19" s="1"/>
  <c r="P71" i="24"/>
  <c r="H20" i="19" s="1"/>
  <c r="U71" i="24"/>
  <c r="M20" i="19" s="1"/>
  <c r="AM71" i="24"/>
  <c r="AE20" i="19" s="1"/>
  <c r="AH55" i="24"/>
  <c r="Z4" i="19" s="1"/>
  <c r="AL70" i="24"/>
  <c r="AD19" i="19" s="1"/>
  <c r="J65" i="24"/>
  <c r="B14" i="19" s="1"/>
  <c r="AO65" i="24"/>
  <c r="AG14" i="19" s="1"/>
  <c r="AF70" i="24"/>
  <c r="X19" i="19" s="1"/>
  <c r="J70" i="24"/>
  <c r="B19" i="19" s="1"/>
  <c r="W70" i="24"/>
  <c r="O19" i="19" s="1"/>
  <c r="O70" i="24"/>
  <c r="G19" i="19" s="1"/>
  <c r="AA70" i="24"/>
  <c r="S19" i="19" s="1"/>
  <c r="P70" i="24"/>
  <c r="H19" i="19" s="1"/>
  <c r="AE70" i="24"/>
  <c r="W19" i="19" s="1"/>
  <c r="Q70" i="24"/>
  <c r="I19" i="19" s="1"/>
  <c r="AJ70" i="24"/>
  <c r="AB19" i="19" s="1"/>
  <c r="AC70" i="24"/>
  <c r="U19" i="19" s="1"/>
  <c r="T70" i="24"/>
  <c r="L19" i="19" s="1"/>
  <c r="AO70" i="24"/>
  <c r="AG19" i="19" s="1"/>
  <c r="M70" i="24"/>
  <c r="E19" i="19" s="1"/>
  <c r="AI70" i="24"/>
  <c r="AA19" i="19" s="1"/>
  <c r="Y70" i="24"/>
  <c r="Q19" i="19" s="1"/>
  <c r="AN70" i="24"/>
  <c r="AF19" i="19" s="1"/>
  <c r="U70" i="24"/>
  <c r="M19" i="19" s="1"/>
  <c r="AD70" i="24"/>
  <c r="V19" i="19" s="1"/>
  <c r="AB70" i="24"/>
  <c r="T19" i="19" s="1"/>
  <c r="AG70" i="24"/>
  <c r="Y19" i="19" s="1"/>
  <c r="R70" i="24"/>
  <c r="J19" i="19" s="1"/>
  <c r="N70" i="24"/>
  <c r="F19" i="19" s="1"/>
  <c r="S70" i="24"/>
  <c r="K19" i="19" s="1"/>
  <c r="L70" i="24"/>
  <c r="D19" i="19" s="1"/>
  <c r="V70" i="24"/>
  <c r="N19" i="19" s="1"/>
  <c r="AK70" i="24"/>
  <c r="AC19" i="19" s="1"/>
  <c r="AM70" i="24"/>
  <c r="AE19" i="19" s="1"/>
  <c r="Z70" i="24"/>
  <c r="R19" i="19" s="1"/>
  <c r="X70" i="24"/>
  <c r="P19" i="19" s="1"/>
  <c r="AO61" i="24"/>
  <c r="AG10" i="19" s="1"/>
  <c r="S61" i="24"/>
  <c r="K10" i="19" s="1"/>
  <c r="AA61" i="24"/>
  <c r="S10" i="19" s="1"/>
  <c r="J61" i="24"/>
  <c r="B10" i="19" s="1"/>
  <c r="L61" i="24"/>
  <c r="D10" i="19" s="1"/>
  <c r="AJ61" i="24"/>
  <c r="AB10" i="19" s="1"/>
  <c r="Z61" i="24"/>
  <c r="R10" i="19" s="1"/>
  <c r="AB61" i="24"/>
  <c r="T10" i="19" s="1"/>
  <c r="T61" i="24"/>
  <c r="L10" i="19" s="1"/>
  <c r="AG61" i="24"/>
  <c r="Y10" i="19" s="1"/>
  <c r="M61" i="24"/>
  <c r="E10" i="19" s="1"/>
  <c r="U61" i="24"/>
  <c r="M10" i="19" s="1"/>
  <c r="AE61" i="24"/>
  <c r="W10" i="19" s="1"/>
  <c r="AD61" i="24"/>
  <c r="V10" i="19" s="1"/>
  <c r="W61" i="24"/>
  <c r="O10" i="19" s="1"/>
  <c r="AC61" i="24"/>
  <c r="U10" i="19" s="1"/>
  <c r="AI61" i="24"/>
  <c r="AA10" i="19" s="1"/>
  <c r="Q61" i="24"/>
  <c r="I10" i="19" s="1"/>
  <c r="AI65" i="24"/>
  <c r="AA14" i="19" s="1"/>
  <c r="Q65" i="24"/>
  <c r="I14" i="19" s="1"/>
  <c r="K65" i="24"/>
  <c r="C14" i="19" s="1"/>
  <c r="AB65" i="24"/>
  <c r="T14" i="19" s="1"/>
  <c r="AN65" i="24"/>
  <c r="AF14" i="19" s="1"/>
  <c r="AH65" i="24"/>
  <c r="Z14" i="19" s="1"/>
  <c r="AM65" i="24"/>
  <c r="AE14" i="19" s="1"/>
  <c r="V65" i="24"/>
  <c r="N14" i="19" s="1"/>
  <c r="AA65" i="24"/>
  <c r="S14" i="19" s="1"/>
  <c r="O65" i="24"/>
  <c r="G14" i="19" s="1"/>
  <c r="U65" i="24"/>
  <c r="M14" i="19" s="1"/>
  <c r="AL65" i="24"/>
  <c r="AD14" i="19" s="1"/>
  <c r="AG65" i="24"/>
  <c r="Y14" i="19" s="1"/>
  <c r="AF65" i="24"/>
  <c r="X14" i="19" s="1"/>
  <c r="Z65" i="24"/>
  <c r="R14" i="19" s="1"/>
  <c r="AJ65" i="24"/>
  <c r="AB14" i="19" s="1"/>
  <c r="P65" i="24"/>
  <c r="H14" i="19" s="1"/>
  <c r="T65" i="24"/>
  <c r="L14" i="19" s="1"/>
  <c r="N65" i="24"/>
  <c r="F14" i="19" s="1"/>
  <c r="AC65" i="24"/>
  <c r="U14" i="19" s="1"/>
  <c r="X65" i="24"/>
  <c r="P14" i="19" s="1"/>
  <c r="AE65" i="24"/>
  <c r="W14" i="19" s="1"/>
  <c r="AK65" i="24"/>
  <c r="AC14" i="19" s="1"/>
  <c r="S65" i="24"/>
  <c r="K14" i="19" s="1"/>
  <c r="Y65" i="24"/>
  <c r="Q14" i="19" s="1"/>
  <c r="AD65" i="24"/>
  <c r="V14" i="19" s="1"/>
  <c r="M65" i="24"/>
  <c r="E14" i="19" s="1"/>
  <c r="W65" i="24"/>
  <c r="O14" i="19" s="1"/>
  <c r="L65" i="24"/>
  <c r="D14" i="19" s="1"/>
  <c r="AH61" i="24"/>
  <c r="Z10" i="19" s="1"/>
  <c r="X61" i="24"/>
  <c r="P10" i="19" s="1"/>
  <c r="AK61" i="24"/>
  <c r="AC10" i="19" s="1"/>
  <c r="AL61" i="24"/>
  <c r="AD10" i="19" s="1"/>
  <c r="O61" i="24"/>
  <c r="G10" i="19" s="1"/>
  <c r="AN61" i="24"/>
  <c r="AF10" i="19" s="1"/>
  <c r="AM61" i="24"/>
  <c r="AE10" i="19" s="1"/>
  <c r="R61" i="24"/>
  <c r="J10" i="19" s="1"/>
  <c r="P61" i="24"/>
  <c r="H10" i="19" s="1"/>
  <c r="V61" i="24"/>
  <c r="N10" i="19" s="1"/>
  <c r="N61" i="24"/>
  <c r="F10" i="19" s="1"/>
  <c r="K61" i="24"/>
  <c r="C10" i="19" s="1"/>
  <c r="AF61" i="24"/>
  <c r="X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송용현</author>
  </authors>
  <commentList>
    <comment ref="A23" authorId="0" shapeId="0" xr:uid="{A0E34E4E-4AFF-49B0-9613-EA1502C4601A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국제벙커링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에너지산업자체소비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
검토필요</t>
        </r>
      </text>
    </comment>
    <comment ref="A30" authorId="0" shapeId="0" xr:uid="{CEF1C727-E872-4021-8B71-B3184E212951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정제가스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추가됨
검토필요</t>
        </r>
      </text>
    </comment>
    <comment ref="H31" authorId="0" shapeId="0" xr:uid="{2E217C7E-4CCE-4230-9BB5-596FE1957BA2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제품별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소비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항목이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사라짐</t>
        </r>
        <r>
          <rPr>
            <sz val="9"/>
            <color indexed="81"/>
            <rFont val="Tahoma"/>
            <family val="2"/>
          </rPr>
          <t xml:space="preserve"> -&gt; </t>
        </r>
        <r>
          <rPr>
            <sz val="9"/>
            <color indexed="81"/>
            <rFont val="돋움"/>
            <family val="3"/>
            <charset val="129"/>
          </rPr>
          <t>천연가스</t>
        </r>
        <r>
          <rPr>
            <sz val="9"/>
            <color indexed="81"/>
            <rFont val="Tahoma"/>
            <family val="2"/>
          </rPr>
          <t xml:space="preserve"> = </t>
        </r>
        <r>
          <rPr>
            <sz val="9"/>
            <color indexed="81"/>
            <rFont val="돋움"/>
            <family val="3"/>
            <charset val="129"/>
          </rPr>
          <t>용도별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소비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합계
통계내에서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도시가스와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천연가스가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섞여서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사용됨</t>
        </r>
      </text>
    </comment>
    <comment ref="H35" authorId="0" shapeId="0" xr:uid="{C9BF2C90-CE3C-4561-92D5-DB7FC5609289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수소제조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에너지산업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추가됨</t>
        </r>
      </text>
    </comment>
    <comment ref="A43" authorId="0" shapeId="0" xr:uid="{CB765EC2-5BFC-42D8-93DD-23D29B403548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에너지산업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추가됨
검토필요</t>
        </r>
      </text>
    </comment>
  </commentList>
</comments>
</file>

<file path=xl/sharedStrings.xml><?xml version="1.0" encoding="utf-8"?>
<sst xmlns="http://schemas.openxmlformats.org/spreadsheetml/2006/main" count="578" uniqueCount="166">
  <si>
    <t>Source:</t>
  </si>
  <si>
    <t>natural gas</t>
  </si>
  <si>
    <t>biomass</t>
  </si>
  <si>
    <t>petroleum gasoline</t>
  </si>
  <si>
    <t>jet fuel or kerosene</t>
  </si>
  <si>
    <t>crude oil</t>
  </si>
  <si>
    <t>LPG propane or butane</t>
  </si>
  <si>
    <t>electricity (not used in this variable)</t>
  </si>
  <si>
    <t>hard coal</t>
  </si>
  <si>
    <t>nuclear</t>
  </si>
  <si>
    <t>hydro (is not a fuel)</t>
  </si>
  <si>
    <t>wind (is not a fuel)</t>
  </si>
  <si>
    <t>solar (is not a fuel)</t>
  </si>
  <si>
    <t>petroleum diesel</t>
  </si>
  <si>
    <t>biofuel gasoline</t>
  </si>
  <si>
    <t>biofuel diesel</t>
  </si>
  <si>
    <t>heat (energy carrier)</t>
  </si>
  <si>
    <t>geothermal (is not a fuel)</t>
  </si>
  <si>
    <t>lignite</t>
  </si>
  <si>
    <t>heavy fuel oil</t>
  </si>
  <si>
    <t>municipal solid waste</t>
  </si>
  <si>
    <t>hydrogen</t>
  </si>
  <si>
    <t>heat (not used in this variable)</t>
  </si>
  <si>
    <t>BFPIaE BAU Fuel Production</t>
  </si>
  <si>
    <t>BFPIaE BAU Fuel Imports</t>
  </si>
  <si>
    <t>BFPIaE BAU Fuel Exports</t>
  </si>
  <si>
    <t>Fuel (BTU)</t>
  </si>
  <si>
    <t>석탄</t>
    <phoneticPr fontId="10" type="noConversion"/>
  </si>
  <si>
    <t>석유</t>
    <phoneticPr fontId="10" type="noConversion"/>
  </si>
  <si>
    <t>도시가스</t>
    <phoneticPr fontId="10" type="noConversion"/>
  </si>
  <si>
    <t>열에너지</t>
    <phoneticPr fontId="10" type="noConversion"/>
  </si>
  <si>
    <t>가스</t>
    <phoneticPr fontId="10" type="noConversion"/>
  </si>
  <si>
    <t>수력</t>
    <phoneticPr fontId="10" type="noConversion"/>
  </si>
  <si>
    <t>원자력</t>
    <phoneticPr fontId="10" type="noConversion"/>
  </si>
  <si>
    <t>-</t>
    <phoneticPr fontId="10" type="noConversion"/>
  </si>
  <si>
    <t>에너지 수요 종합 - 기준 시나리오</t>
    <phoneticPr fontId="10" type="noConversion"/>
  </si>
  <si>
    <t>신재생기타</t>
    <phoneticPr fontId="10" type="noConversion"/>
  </si>
  <si>
    <t>(단위 : 백만 toe)</t>
    <phoneticPr fontId="10" type="noConversion"/>
  </si>
  <si>
    <t>최종 소비</t>
    <phoneticPr fontId="10" type="noConversion"/>
  </si>
  <si>
    <t>전기</t>
    <phoneticPr fontId="10" type="noConversion"/>
  </si>
  <si>
    <t>원유 수요</t>
    <phoneticPr fontId="10" type="noConversion"/>
  </si>
  <si>
    <t>총공급</t>
    <phoneticPr fontId="10" type="noConversion"/>
  </si>
  <si>
    <t>전환</t>
    <phoneticPr fontId="10" type="noConversion"/>
  </si>
  <si>
    <t>최종소비</t>
    <phoneticPr fontId="10" type="noConversion"/>
  </si>
  <si>
    <t>제품별 석유 수요</t>
    <phoneticPr fontId="10" type="noConversion"/>
  </si>
  <si>
    <t>휘발유</t>
    <phoneticPr fontId="10" type="noConversion"/>
  </si>
  <si>
    <t>등유</t>
    <phoneticPr fontId="10" type="noConversion"/>
  </si>
  <si>
    <t>경유</t>
    <phoneticPr fontId="10" type="noConversion"/>
  </si>
  <si>
    <t>중유</t>
    <phoneticPr fontId="10" type="noConversion"/>
  </si>
  <si>
    <t>제트유</t>
    <phoneticPr fontId="10" type="noConversion"/>
  </si>
  <si>
    <t>프로판</t>
    <phoneticPr fontId="10" type="noConversion"/>
  </si>
  <si>
    <t>부탄</t>
    <phoneticPr fontId="10" type="noConversion"/>
  </si>
  <si>
    <t>납사</t>
    <phoneticPr fontId="10" type="noConversion"/>
  </si>
  <si>
    <t>기타비에너지유</t>
    <phoneticPr fontId="10" type="noConversion"/>
  </si>
  <si>
    <t>용도별 석유 수요</t>
    <phoneticPr fontId="10" type="noConversion"/>
  </si>
  <si>
    <t>산업</t>
    <phoneticPr fontId="10" type="noConversion"/>
  </si>
  <si>
    <t>(연료)</t>
    <phoneticPr fontId="10" type="noConversion"/>
  </si>
  <si>
    <t>(원료)</t>
    <phoneticPr fontId="10" type="noConversion"/>
  </si>
  <si>
    <t>수송</t>
    <phoneticPr fontId="10" type="noConversion"/>
  </si>
  <si>
    <t>가정</t>
    <phoneticPr fontId="10" type="noConversion"/>
  </si>
  <si>
    <t>서비스</t>
    <phoneticPr fontId="10" type="noConversion"/>
  </si>
  <si>
    <t>석탄 공급 및 수요</t>
    <phoneticPr fontId="10" type="noConversion"/>
  </si>
  <si>
    <t>전환부문</t>
    <phoneticPr fontId="10" type="noConversion"/>
  </si>
  <si>
    <t>최종소비부문</t>
    <phoneticPr fontId="10" type="noConversion"/>
  </si>
  <si>
    <t>제품별 석탄 수요</t>
    <phoneticPr fontId="10" type="noConversion"/>
  </si>
  <si>
    <t>국내탄</t>
    <phoneticPr fontId="10" type="noConversion"/>
  </si>
  <si>
    <t>수입무연탄</t>
    <phoneticPr fontId="10" type="noConversion"/>
  </si>
  <si>
    <t>연료용 유연탄</t>
    <phoneticPr fontId="10" type="noConversion"/>
  </si>
  <si>
    <t>원료용 유연탄</t>
    <phoneticPr fontId="10" type="noConversion"/>
  </si>
  <si>
    <t>용도별 석탄 수요</t>
    <phoneticPr fontId="10" type="noConversion"/>
  </si>
  <si>
    <t>발전용</t>
    <phoneticPr fontId="10" type="noConversion"/>
  </si>
  <si>
    <t>코크스 제조 및 고로용</t>
    <phoneticPr fontId="10" type="noConversion"/>
  </si>
  <si>
    <t>킬른가열용</t>
    <phoneticPr fontId="10" type="noConversion"/>
  </si>
  <si>
    <t>기타 산업용</t>
    <phoneticPr fontId="10" type="noConversion"/>
  </si>
  <si>
    <t xml:space="preserve"> 연탄용</t>
    <phoneticPr fontId="10" type="noConversion"/>
  </si>
  <si>
    <t>가스 공급 및 수요</t>
    <phoneticPr fontId="10" type="noConversion"/>
  </si>
  <si>
    <t>제품별 소비</t>
    <phoneticPr fontId="10" type="noConversion"/>
  </si>
  <si>
    <t>천연가스</t>
    <phoneticPr fontId="10" type="noConversion"/>
  </si>
  <si>
    <t>용도별 소비</t>
    <phoneticPr fontId="10" type="noConversion"/>
  </si>
  <si>
    <t>지역난방</t>
    <phoneticPr fontId="10" type="noConversion"/>
  </si>
  <si>
    <t>총 공급</t>
    <phoneticPr fontId="10" type="noConversion"/>
  </si>
  <si>
    <t>총 에너지</t>
    <phoneticPr fontId="10" type="noConversion"/>
  </si>
  <si>
    <t># demand by fuel</t>
    <phoneticPr fontId="10" type="noConversion"/>
  </si>
  <si>
    <t>tons/year</t>
    <phoneticPr fontId="10" type="noConversion"/>
  </si>
  <si>
    <t>milion TOE</t>
    <phoneticPr fontId="10" type="noConversion"/>
  </si>
  <si>
    <t>BTU</t>
    <phoneticPr fontId="10" type="noConversion"/>
  </si>
  <si>
    <t>석유 공급 및 수요</t>
    <phoneticPr fontId="10" type="noConversion"/>
  </si>
  <si>
    <t># KEEI _ long-term energy outlook</t>
    <phoneticPr fontId="10" type="noConversion"/>
  </si>
  <si>
    <t># Imports</t>
    <phoneticPr fontId="10" type="noConversion"/>
  </si>
  <si>
    <t># Production</t>
    <phoneticPr fontId="10" type="noConversion"/>
  </si>
  <si>
    <t># Exports</t>
    <phoneticPr fontId="10" type="noConversion"/>
  </si>
  <si>
    <t xml:space="preserve"> * 도시가스가 모두 LNG라고 가정함. (제주 지역은 LPG 도시가스가 존재)</t>
    <phoneticPr fontId="10" type="noConversion"/>
  </si>
  <si>
    <t>1 kTOE to BTU</t>
    <phoneticPr fontId="10" type="noConversion"/>
  </si>
  <si>
    <t>1 milion TOE to BTU</t>
    <phoneticPr fontId="10" type="noConversion"/>
  </si>
  <si>
    <t>1 tons to BTU (gas)</t>
    <phoneticPr fontId="10" type="noConversion"/>
  </si>
  <si>
    <t>1 tons to BTU (hydrogen)</t>
    <phoneticPr fontId="10" type="noConversion"/>
  </si>
  <si>
    <t>1000 tons to BTU (coal)</t>
    <phoneticPr fontId="10" type="noConversion"/>
  </si>
  <si>
    <t>KEEI</t>
    <phoneticPr fontId="10" type="noConversion"/>
  </si>
  <si>
    <t>long-term energy outlook</t>
    <phoneticPr fontId="10" type="noConversion"/>
  </si>
  <si>
    <t>http://www.kesis.net/FileDownloadAction.do?file=/admin/admin_RegList.jsp/20200408/743991586327836294_01.pdf&amp;oldFile=2019_%EC%9E%A5%EA%B8%B0%EC%97%90%EB%84%88%EC%A7%80%EC%A0%84%EB%A7%9D.pdf</t>
  </si>
  <si>
    <t>Notes :</t>
    <phoneticPr fontId="10" type="noConversion"/>
  </si>
  <si>
    <t># demand by fuel (FORECASTED)</t>
    <phoneticPr fontId="10" type="noConversion"/>
  </si>
  <si>
    <t># Production (FORECASTED)</t>
    <phoneticPr fontId="10" type="noConversion"/>
  </si>
  <si>
    <t># Imports (FORECASTED)</t>
    <phoneticPr fontId="10" type="noConversion"/>
  </si>
  <si>
    <t># Exports (FORECASTED)</t>
    <phoneticPr fontId="10" type="noConversion"/>
  </si>
  <si>
    <t>https://www.sedaily.com/NewsVIew/22M7DLF2S7</t>
  </si>
  <si>
    <t>2018-2021</t>
    <phoneticPr fontId="10" type="noConversion"/>
  </si>
  <si>
    <t>hydrogen production</t>
    <phoneticPr fontId="10" type="noConversion"/>
  </si>
  <si>
    <t>tons</t>
    <phoneticPr fontId="10" type="noConversion"/>
  </si>
  <si>
    <t>year</t>
    <phoneticPr fontId="10" type="noConversion"/>
  </si>
  <si>
    <t># hydrogen production</t>
    <phoneticPr fontId="10" type="noConversion"/>
  </si>
  <si>
    <t>SK(인천)</t>
    <phoneticPr fontId="10" type="noConversion"/>
  </si>
  <si>
    <t>효성(울산)</t>
    <phoneticPr fontId="10" type="noConversion"/>
  </si>
  <si>
    <t>total</t>
    <phoneticPr fontId="10" type="noConversion"/>
  </si>
  <si>
    <t>after 2023</t>
    <phoneticPr fontId="10" type="noConversion"/>
  </si>
  <si>
    <t># Total Hydrogen Production</t>
    <phoneticPr fontId="10" type="noConversion"/>
  </si>
  <si>
    <t>liquefied hydrogen production</t>
    <phoneticPr fontId="10" type="noConversion"/>
  </si>
  <si>
    <t># Liquefied Hydrogen production</t>
    <phoneticPr fontId="10" type="noConversion"/>
  </si>
  <si>
    <t># Liquefied Hydrogen Production will begin in June 2023</t>
    <phoneticPr fontId="10" type="noConversion"/>
  </si>
  <si>
    <t>CTIS</t>
    <phoneticPr fontId="10" type="noConversion"/>
  </si>
  <si>
    <t>https://www.ctis.re.kr/ko/downloadBbsFile.do?atchmnflNo=5870</t>
  </si>
  <si>
    <t xml:space="preserve"> </t>
    <phoneticPr fontId="10" type="noConversion"/>
  </si>
  <si>
    <t xml:space="preserve"> * Assumed hydrogen production is constant after 2020</t>
    <phoneticPr fontId="10" type="noConversion"/>
  </si>
  <si>
    <t xml:space="preserve"> * Liquefied hydrogen production is added in 2023-2050</t>
    <phoneticPr fontId="10" type="noConversion"/>
  </si>
  <si>
    <t xml:space="preserve"> * demand만큼 수입한다고 가정함</t>
    <phoneticPr fontId="10" type="noConversion"/>
  </si>
  <si>
    <t>Seoul Daily</t>
  </si>
  <si>
    <t xml:space="preserve">Our input output data </t>
  </si>
  <si>
    <t>Coal production today is close to 0. We use a value of zero for all years, since our OECD source data for</t>
  </si>
  <si>
    <t>the input output files shows 0 output for the oil and gas mining industries.</t>
  </si>
  <si>
    <t>국제 벙커링</t>
    <phoneticPr fontId="10" type="noConversion"/>
  </si>
  <si>
    <t>에너지산업자체소비</t>
    <phoneticPr fontId="10" type="noConversion"/>
  </si>
  <si>
    <t>정제가스</t>
    <phoneticPr fontId="10" type="noConversion"/>
  </si>
  <si>
    <t>에너지산업</t>
    <phoneticPr fontId="10" type="noConversion"/>
  </si>
  <si>
    <t>수소제조</t>
    <phoneticPr fontId="10" type="noConversion"/>
  </si>
  <si>
    <t>에너지산업</t>
    <phoneticPr fontId="10" type="noConversion"/>
  </si>
  <si>
    <t>원유</t>
  </si>
  <si>
    <t>기타원료</t>
  </si>
  <si>
    <t>휘발유</t>
  </si>
  <si>
    <t>등유</t>
  </si>
  <si>
    <t>경유</t>
  </si>
  <si>
    <t>경질중유</t>
  </si>
  <si>
    <t>중유</t>
  </si>
  <si>
    <t>벙커C유</t>
  </si>
  <si>
    <t>나프타</t>
  </si>
  <si>
    <t>용제</t>
  </si>
  <si>
    <t>항공유</t>
  </si>
  <si>
    <t>LPG</t>
  </si>
  <si>
    <t>아스팔트</t>
  </si>
  <si>
    <t>윤활유</t>
  </si>
  <si>
    <t>기타제품</t>
  </si>
  <si>
    <t>부생연료유</t>
  </si>
  <si>
    <t>대체연료</t>
  </si>
  <si>
    <t>생산량</t>
  </si>
  <si>
    <t>공급량</t>
    <phoneticPr fontId="26" type="noConversion"/>
  </si>
  <si>
    <t>수입량</t>
  </si>
  <si>
    <t>수출량</t>
  </si>
  <si>
    <t>원유</t>
    <phoneticPr fontId="10" type="noConversion"/>
  </si>
  <si>
    <t>제품별 석유 공급량</t>
    <phoneticPr fontId="10" type="noConversion"/>
  </si>
  <si>
    <t>Korea National Oil Corporation</t>
    <phoneticPr fontId="10" type="noConversion"/>
  </si>
  <si>
    <t>Petroleum Supply and Demand Statistics</t>
    <phoneticPr fontId="10" type="noConversion"/>
  </si>
  <si>
    <t>정보공개청구로 획득</t>
    <phoneticPr fontId="10" type="noConversion"/>
  </si>
  <si>
    <t>제품별 석유 수입량</t>
    <phoneticPr fontId="10" type="noConversion"/>
  </si>
  <si>
    <t>(단위 : 백만 toe)</t>
  </si>
  <si>
    <t>제품별 석유 수출량</t>
    <phoneticPr fontId="10" type="noConversion"/>
  </si>
  <si>
    <t>(단위 : BTU)</t>
    <phoneticPr fontId="10" type="noConversion"/>
  </si>
  <si>
    <t># 한국석유공사 석유류수급통계(1992~2022)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</si>
</sst>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E+00"/>
  </numFmts>
  <fonts count="28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u/>
      <sz val="11"/>
      <color rgb="FF0070C0"/>
      <name val="맑은 고딕"/>
      <family val="2"/>
      <scheme val="minor"/>
    </font>
    <font>
      <sz val="1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9"/>
      <color theme="1"/>
      <name val="Malgun Gothic"/>
      <family val="3"/>
      <charset val="129"/>
    </font>
    <font>
      <sz val="8"/>
      <name val="돋움"/>
      <family val="3"/>
      <charset val="129"/>
    </font>
    <font>
      <sz val="9"/>
      <color theme="1"/>
      <name val="Malgun Gothic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3F1FB"/>
      </patternFill>
    </fill>
  </fills>
  <borders count="9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n">
        <color rgb="FF959595"/>
      </left>
      <right/>
      <top style="thin">
        <color rgb="FF959595"/>
      </top>
      <bottom/>
      <diagonal/>
    </border>
  </borders>
  <cellStyleXfs count="22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6" fillId="0" borderId="0" applyNumberFormat="0" applyProtection="0">
      <alignment vertical="top" wrapText="1"/>
    </xf>
    <xf numFmtId="0" fontId="7" fillId="0" borderId="5" applyNumberFormat="0" applyProtection="0">
      <alignment horizontal="left" wrapText="1"/>
    </xf>
    <xf numFmtId="0" fontId="6" fillId="0" borderId="6" applyNumberFormat="0" applyFont="0" applyFill="0" applyProtection="0">
      <alignment wrapText="1"/>
    </xf>
    <xf numFmtId="0" fontId="7" fillId="0" borderId="7" applyNumberFormat="0" applyFill="0" applyProtection="0">
      <alignment wrapText="1"/>
    </xf>
    <xf numFmtId="0" fontId="13" fillId="0" borderId="0">
      <alignment vertical="center"/>
    </xf>
    <xf numFmtId="0" fontId="16" fillId="0" borderId="0"/>
    <xf numFmtId="41" fontId="24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3" fontId="0" fillId="0" borderId="0" xfId="0" applyNumberFormat="1"/>
    <xf numFmtId="11" fontId="0" fillId="0" borderId="0" xfId="0" applyNumberFormat="1"/>
    <xf numFmtId="0" fontId="0" fillId="0" borderId="0" xfId="0" applyAlignment="1">
      <alignment horizontal="right"/>
    </xf>
    <xf numFmtId="0" fontId="0" fillId="2" borderId="0" xfId="0" applyFill="1"/>
    <xf numFmtId="0" fontId="11" fillId="2" borderId="0" xfId="0" applyFont="1" applyFill="1"/>
    <xf numFmtId="0" fontId="0" fillId="3" borderId="0" xfId="0" applyFill="1"/>
    <xf numFmtId="0" fontId="11" fillId="3" borderId="0" xfId="0" applyFont="1" applyFill="1"/>
    <xf numFmtId="0" fontId="0" fillId="4" borderId="0" xfId="0" applyFill="1"/>
    <xf numFmtId="0" fontId="11" fillId="4" borderId="0" xfId="0" applyFont="1" applyFill="1"/>
    <xf numFmtId="0" fontId="0" fillId="5" borderId="0" xfId="0" applyFill="1"/>
    <xf numFmtId="0" fontId="12" fillId="5" borderId="0" xfId="0" applyFont="1" applyFill="1"/>
    <xf numFmtId="0" fontId="11" fillId="5" borderId="0" xfId="0" applyFont="1" applyFill="1"/>
    <xf numFmtId="0" fontId="12" fillId="4" borderId="0" xfId="0" applyFont="1" applyFill="1"/>
    <xf numFmtId="0" fontId="11" fillId="0" borderId="0" xfId="0" applyFont="1"/>
    <xf numFmtId="0" fontId="14" fillId="0" borderId="0" xfId="0" applyFont="1"/>
    <xf numFmtId="0" fontId="12" fillId="0" borderId="0" xfId="0" applyFont="1"/>
    <xf numFmtId="11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1" fontId="0" fillId="0" borderId="0" xfId="0" quotePrefix="1" applyNumberFormat="1" applyAlignment="1">
      <alignment horizontal="right" vertical="center"/>
    </xf>
    <xf numFmtId="0" fontId="15" fillId="5" borderId="0" xfId="0" applyFont="1" applyFill="1"/>
    <xf numFmtId="0" fontId="15" fillId="0" borderId="0" xfId="0" applyFont="1"/>
    <xf numFmtId="0" fontId="2" fillId="0" borderId="0" xfId="1" applyAlignment="1">
      <alignment horizontal="left"/>
    </xf>
    <xf numFmtId="0" fontId="9" fillId="0" borderId="0" xfId="1" applyFont="1" applyAlignment="1">
      <alignment horizontal="left"/>
    </xf>
    <xf numFmtId="0" fontId="0" fillId="0" borderId="0" xfId="0" quotePrefix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1" applyFill="1" applyAlignment="1">
      <alignment horizontal="left"/>
    </xf>
    <xf numFmtId="0" fontId="8" fillId="0" borderId="0" xfId="1" applyFont="1" applyFill="1" applyAlignment="1" applyProtection="1">
      <alignment horizontal="left"/>
    </xf>
    <xf numFmtId="0" fontId="17" fillId="2" borderId="0" xfId="0" applyFont="1" applyFill="1"/>
    <xf numFmtId="0" fontId="18" fillId="2" borderId="0" xfId="0" applyFont="1" applyFill="1"/>
    <xf numFmtId="0" fontId="17" fillId="4" borderId="0" xfId="0" applyFont="1" applyFill="1"/>
    <xf numFmtId="0" fontId="18" fillId="4" borderId="0" xfId="0" applyFont="1" applyFill="1"/>
    <xf numFmtId="0" fontId="23" fillId="3" borderId="0" xfId="0" applyFont="1" applyFill="1"/>
    <xf numFmtId="0" fontId="17" fillId="3" borderId="0" xfId="0" applyFont="1" applyFill="1"/>
    <xf numFmtId="0" fontId="18" fillId="3" borderId="0" xfId="0" applyFont="1" applyFill="1"/>
    <xf numFmtId="0" fontId="23" fillId="5" borderId="0" xfId="0" applyFont="1" applyFill="1"/>
    <xf numFmtId="0" fontId="18" fillId="5" borderId="0" xfId="0" applyFont="1" applyFill="1"/>
    <xf numFmtId="0" fontId="17" fillId="5" borderId="0" xfId="0" applyFont="1" applyFill="1"/>
    <xf numFmtId="0" fontId="25" fillId="6" borderId="8" xfId="0" applyFont="1" applyFill="1" applyBorder="1" applyAlignment="1">
      <alignment horizontal="center" vertical="top" wrapText="1"/>
    </xf>
    <xf numFmtId="0" fontId="25" fillId="6" borderId="8" xfId="0" applyFont="1" applyFill="1" applyBorder="1" applyAlignment="1">
      <alignment horizontal="center" vertical="center" wrapText="1"/>
    </xf>
    <xf numFmtId="3" fontId="27" fillId="0" borderId="8" xfId="0" applyNumberFormat="1" applyFont="1" applyBorder="1" applyAlignment="1">
      <alignment horizontal="right" vertical="top" wrapText="1"/>
    </xf>
    <xf numFmtId="0" fontId="0" fillId="0" borderId="8" xfId="0" applyBorder="1" applyAlignment="1">
      <alignment horizontal="right" vertical="top" wrapText="1"/>
    </xf>
    <xf numFmtId="0" fontId="1" fillId="3" borderId="0" xfId="0" applyFont="1" applyFill="1"/>
    <xf numFmtId="3" fontId="0" fillId="3" borderId="0" xfId="0" applyNumberFormat="1" applyFill="1"/>
    <xf numFmtId="41" fontId="0" fillId="3" borderId="0" xfId="21" applyFont="1" applyFill="1" applyAlignment="1"/>
    <xf numFmtId="176" fontId="0" fillId="3" borderId="0" xfId="21" applyNumberFormat="1" applyFont="1" applyFill="1" applyAlignment="1"/>
  </cellXfs>
  <cellStyles count="22">
    <cellStyle name="Body: normal cell" xfId="7" xr:uid="{00000000-0005-0000-0000-000000000000}"/>
    <cellStyle name="Body: normal cell 2" xfId="13" xr:uid="{00000000-0005-0000-0000-000001000000}"/>
    <cellStyle name="Font: Calibri, 9pt regular" xfId="3" xr:uid="{00000000-0005-0000-0000-000003000000}"/>
    <cellStyle name="Font: Calibri, 9pt regular 2" xfId="9" xr:uid="{00000000-0005-0000-0000-000004000000}"/>
    <cellStyle name="Footnotes: all except top row" xfId="15" xr:uid="{00000000-0005-0000-0000-000005000000}"/>
    <cellStyle name="Footnotes: top row" xfId="8" xr:uid="{00000000-0005-0000-0000-000006000000}"/>
    <cellStyle name="Footnotes: top row 2" xfId="14" xr:uid="{00000000-0005-0000-0000-000007000000}"/>
    <cellStyle name="Header: bottom row" xfId="4" xr:uid="{00000000-0005-0000-0000-000008000000}"/>
    <cellStyle name="Header: bottom row 2" xfId="10" xr:uid="{00000000-0005-0000-0000-000009000000}"/>
    <cellStyle name="Header: top rows" xfId="16" xr:uid="{00000000-0005-0000-0000-00000A000000}"/>
    <cellStyle name="Normal 2" xfId="2" xr:uid="{00000000-0005-0000-0000-00000D000000}"/>
    <cellStyle name="Parent row" xfId="6" xr:uid="{00000000-0005-0000-0000-00000E000000}"/>
    <cellStyle name="Parent row 2" xfId="12" xr:uid="{00000000-0005-0000-0000-00000F000000}"/>
    <cellStyle name="Section Break" xfId="17" xr:uid="{00000000-0005-0000-0000-000011000000}"/>
    <cellStyle name="Section Break: parent row" xfId="18" xr:uid="{00000000-0005-0000-0000-000012000000}"/>
    <cellStyle name="Table title" xfId="5" xr:uid="{00000000-0005-0000-0000-000013000000}"/>
    <cellStyle name="Table title 2" xfId="11" xr:uid="{00000000-0005-0000-0000-000014000000}"/>
    <cellStyle name="쉼표 [0]" xfId="21" builtinId="6"/>
    <cellStyle name="표준" xfId="0" builtinId="0"/>
    <cellStyle name="표준 2" xfId="19" xr:uid="{351B0BD4-DDAE-4235-B591-6AB17E5525E6}"/>
    <cellStyle name="표준 3" xfId="20" xr:uid="{2670C343-A54B-437F-B4A1-D81D692DC170}"/>
    <cellStyle name="하이퍼링크" xfId="1" builtinId="8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tis.re.kr/ko/downloadBbsFile.do?atchmnflNo=5870" TargetMode="External"/><Relationship Id="rId2" Type="http://schemas.openxmlformats.org/officeDocument/2006/relationships/hyperlink" Target="https://www.sedaily.com/NewsVIew/22M7DLF2S7" TargetMode="External"/><Relationship Id="rId1" Type="http://schemas.openxmlformats.org/officeDocument/2006/relationships/hyperlink" Target="http://www.kesis.net/FileDownloadAction.do?file=/admin/admin_RegList.jsp/20200408/743991586327836294_01.pdf&amp;oldFile=2019_%EC%9E%A5%EA%B8%B0%EC%97%90%EB%84%88%EC%A7%80%EC%A0%84%EB%A7%9D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5"/>
  <sheetViews>
    <sheetView workbookViewId="0"/>
  </sheetViews>
  <sheetFormatPr defaultColWidth="8.875" defaultRowHeight="16.5"/>
  <cols>
    <col min="2" max="2" width="82.75" style="2" customWidth="1"/>
    <col min="5" max="5" width="22.875" customWidth="1"/>
    <col min="6" max="6" width="10.125" customWidth="1"/>
  </cols>
  <sheetData>
    <row r="1" spans="1:2">
      <c r="A1" s="1" t="s">
        <v>23</v>
      </c>
    </row>
    <row r="2" spans="1:2">
      <c r="A2" s="1" t="s">
        <v>24</v>
      </c>
    </row>
    <row r="3" spans="1:2">
      <c r="A3" s="1" t="s">
        <v>25</v>
      </c>
    </row>
    <row r="5" spans="1:2">
      <c r="A5" s="1" t="s">
        <v>0</v>
      </c>
      <c r="B5" s="28"/>
    </row>
    <row r="6" spans="1:2">
      <c r="B6" s="2" t="s">
        <v>97</v>
      </c>
    </row>
    <row r="7" spans="1:2">
      <c r="B7" s="2">
        <v>2019</v>
      </c>
    </row>
    <row r="8" spans="1:2">
      <c r="B8" s="2" t="s">
        <v>98</v>
      </c>
    </row>
    <row r="9" spans="1:2">
      <c r="B9" s="25" t="s">
        <v>99</v>
      </c>
    </row>
    <row r="11" spans="1:2">
      <c r="B11" s="2" t="s">
        <v>125</v>
      </c>
    </row>
    <row r="12" spans="1:2">
      <c r="B12" s="2" t="s">
        <v>106</v>
      </c>
    </row>
    <row r="13" spans="1:2">
      <c r="B13" s="2" t="s">
        <v>107</v>
      </c>
    </row>
    <row r="14" spans="1:2">
      <c r="B14" s="25" t="s">
        <v>105</v>
      </c>
    </row>
    <row r="15" spans="1:2">
      <c r="A15" s="1"/>
    </row>
    <row r="16" spans="1:2">
      <c r="B16" s="2" t="s">
        <v>119</v>
      </c>
    </row>
    <row r="17" spans="1:3">
      <c r="B17" s="2">
        <v>2021</v>
      </c>
    </row>
    <row r="18" spans="1:3">
      <c r="B18" s="2" t="s">
        <v>116</v>
      </c>
    </row>
    <row r="19" spans="1:3">
      <c r="B19" s="25" t="s">
        <v>120</v>
      </c>
    </row>
    <row r="21" spans="1:3">
      <c r="B21" s="2" t="s">
        <v>158</v>
      </c>
    </row>
    <row r="22" spans="1:3">
      <c r="B22" s="2">
        <v>2022</v>
      </c>
    </row>
    <row r="23" spans="1:3">
      <c r="B23" s="2" t="s">
        <v>159</v>
      </c>
      <c r="C23" t="s">
        <v>160</v>
      </c>
    </row>
    <row r="25" spans="1:3">
      <c r="A25" s="1" t="s">
        <v>100</v>
      </c>
    </row>
    <row r="26" spans="1:3">
      <c r="B26" t="s">
        <v>92</v>
      </c>
      <c r="C26" s="5">
        <f>39656668.31*(10^3)</f>
        <v>39656668310</v>
      </c>
    </row>
    <row r="27" spans="1:3">
      <c r="B27" t="s">
        <v>93</v>
      </c>
      <c r="C27" s="5">
        <f>39656668.31*(10^6)</f>
        <v>39656668310000</v>
      </c>
    </row>
    <row r="28" spans="1:3">
      <c r="B28" t="s">
        <v>94</v>
      </c>
      <c r="C28" s="5">
        <f>1.306*39656668.31</f>
        <v>51791608.812860005</v>
      </c>
    </row>
    <row r="29" spans="1:3">
      <c r="B29" t="s">
        <v>95</v>
      </c>
      <c r="C29" s="5">
        <f xml:space="preserve"> 1000 * 141.9 * 947.81707774915</f>
        <v>134495243.33260438</v>
      </c>
    </row>
    <row r="30" spans="1:3">
      <c r="A30" s="1"/>
      <c r="B30" t="s">
        <v>96</v>
      </c>
      <c r="C30" s="5">
        <f xml:space="preserve"> 27778243.7878409 * 1000</f>
        <v>27778243787.8409</v>
      </c>
    </row>
    <row r="32" spans="1:3">
      <c r="A32" t="s">
        <v>126</v>
      </c>
    </row>
    <row r="34" spans="1:2">
      <c r="A34" t="s">
        <v>127</v>
      </c>
    </row>
    <row r="35" spans="1:2">
      <c r="A35" t="s">
        <v>128</v>
      </c>
    </row>
    <row r="38" spans="1:2">
      <c r="B38" s="2" t="s">
        <v>121</v>
      </c>
    </row>
    <row r="44" spans="1:2">
      <c r="B44" s="28"/>
    </row>
    <row r="48" spans="1:2">
      <c r="B48" s="29"/>
    </row>
    <row r="50" spans="2:2">
      <c r="B50" s="28"/>
    </row>
    <row r="54" spans="2:2">
      <c r="B54" s="29"/>
    </row>
    <row r="55" spans="2:2">
      <c r="B55" s="29"/>
    </row>
    <row r="56" spans="2:2">
      <c r="B56" s="28"/>
    </row>
    <row r="60" spans="2:2">
      <c r="B60" s="30"/>
    </row>
    <row r="63" spans="2:2">
      <c r="B63" s="28"/>
    </row>
    <row r="70" spans="2:2">
      <c r="B70" s="28"/>
    </row>
    <row r="74" spans="2:2">
      <c r="B74" s="29"/>
    </row>
    <row r="75" spans="2:2">
      <c r="B75" s="26"/>
    </row>
  </sheetData>
  <phoneticPr fontId="10" type="noConversion"/>
  <hyperlinks>
    <hyperlink ref="B9" r:id="rId1" xr:uid="{4416EC2C-B904-4986-BA1E-23DDFA517FE5}"/>
    <hyperlink ref="B14" r:id="rId2" xr:uid="{5A1A1E61-88C9-4137-93A8-AC0E3EC6F4B5}"/>
    <hyperlink ref="B19" r:id="rId3" xr:uid="{9FDE2EC0-5855-4CBC-BB81-DACB06ED8563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130D-51AB-4364-AAC6-DB029A491610}">
  <dimension ref="B2:AH16"/>
  <sheetViews>
    <sheetView workbookViewId="0"/>
  </sheetViews>
  <sheetFormatPr defaultColWidth="8.875" defaultRowHeight="16.5"/>
  <cols>
    <col min="2" max="2" width="11.875" customWidth="1"/>
    <col min="3" max="3" width="9.125" bestFit="1" customWidth="1"/>
    <col min="5" max="5" width="9.125" bestFit="1" customWidth="1"/>
    <col min="6" max="6" width="9" customWidth="1"/>
    <col min="7" max="35" width="9.125" bestFit="1" customWidth="1"/>
  </cols>
  <sheetData>
    <row r="2" spans="2:34">
      <c r="B2" t="s">
        <v>110</v>
      </c>
      <c r="H2" s="2" t="s">
        <v>118</v>
      </c>
    </row>
    <row r="3" spans="2:34">
      <c r="B3" t="s">
        <v>109</v>
      </c>
      <c r="C3">
        <v>2018</v>
      </c>
      <c r="D3">
        <v>2019</v>
      </c>
      <c r="E3">
        <v>2020</v>
      </c>
      <c r="H3" t="s">
        <v>111</v>
      </c>
      <c r="I3">
        <v>30000</v>
      </c>
      <c r="J3" t="s">
        <v>83</v>
      </c>
      <c r="L3" t="s">
        <v>85</v>
      </c>
      <c r="M3">
        <v>2023</v>
      </c>
      <c r="N3" t="s">
        <v>114</v>
      </c>
    </row>
    <row r="4" spans="2:34">
      <c r="B4" t="s">
        <v>108</v>
      </c>
      <c r="C4">
        <v>1923942</v>
      </c>
      <c r="D4">
        <v>1962427</v>
      </c>
      <c r="E4">
        <v>1978632</v>
      </c>
      <c r="H4" t="s">
        <v>112</v>
      </c>
      <c r="I4">
        <v>10000</v>
      </c>
      <c r="J4" t="s">
        <v>83</v>
      </c>
      <c r="L4" t="s">
        <v>113</v>
      </c>
      <c r="M4" s="5">
        <f>( (I3*About!$C$29)+(I4*About!$C$29) )/2</f>
        <v>2689904866652.0874</v>
      </c>
      <c r="N4" s="5">
        <f>M4*2</f>
        <v>5379809733304.1748</v>
      </c>
    </row>
    <row r="7" spans="2:34">
      <c r="F7" t="s">
        <v>117</v>
      </c>
    </row>
    <row r="8" spans="2:34">
      <c r="F8" t="s">
        <v>109</v>
      </c>
      <c r="G8">
        <v>2023</v>
      </c>
      <c r="H8">
        <v>2024</v>
      </c>
      <c r="I8">
        <v>2025</v>
      </c>
      <c r="J8">
        <v>2026</v>
      </c>
      <c r="K8">
        <v>2027</v>
      </c>
      <c r="L8">
        <v>2028</v>
      </c>
      <c r="M8">
        <v>2029</v>
      </c>
      <c r="N8">
        <v>2030</v>
      </c>
      <c r="O8">
        <v>2031</v>
      </c>
      <c r="P8">
        <v>2032</v>
      </c>
      <c r="Q8">
        <v>2033</v>
      </c>
      <c r="R8">
        <v>2034</v>
      </c>
      <c r="S8">
        <v>2035</v>
      </c>
      <c r="T8">
        <v>2036</v>
      </c>
      <c r="U8">
        <v>2037</v>
      </c>
      <c r="V8">
        <v>2038</v>
      </c>
      <c r="W8">
        <v>2039</v>
      </c>
      <c r="X8">
        <v>2040</v>
      </c>
      <c r="Y8">
        <v>2041</v>
      </c>
      <c r="Z8">
        <v>2042</v>
      </c>
      <c r="AA8">
        <v>2043</v>
      </c>
      <c r="AB8">
        <v>2044</v>
      </c>
      <c r="AC8">
        <v>2045</v>
      </c>
      <c r="AD8">
        <v>2046</v>
      </c>
      <c r="AE8">
        <v>2047</v>
      </c>
      <c r="AF8">
        <v>2048</v>
      </c>
      <c r="AG8">
        <v>2049</v>
      </c>
      <c r="AH8">
        <v>2050</v>
      </c>
    </row>
    <row r="9" spans="2:34">
      <c r="F9" t="s">
        <v>85</v>
      </c>
      <c r="G9" s="5">
        <f>$M$4</f>
        <v>2689904866652.0874</v>
      </c>
      <c r="H9" s="5">
        <f>$N$4</f>
        <v>5379809733304.1748</v>
      </c>
      <c r="I9" s="5">
        <f t="shared" ref="I9:AH9" si="0">$N$4</f>
        <v>5379809733304.1748</v>
      </c>
      <c r="J9" s="5">
        <f t="shared" si="0"/>
        <v>5379809733304.1748</v>
      </c>
      <c r="K9" s="5">
        <f t="shared" si="0"/>
        <v>5379809733304.1748</v>
      </c>
      <c r="L9" s="5">
        <f t="shared" si="0"/>
        <v>5379809733304.1748</v>
      </c>
      <c r="M9" s="5">
        <f t="shared" si="0"/>
        <v>5379809733304.1748</v>
      </c>
      <c r="N9" s="5">
        <f t="shared" si="0"/>
        <v>5379809733304.1748</v>
      </c>
      <c r="O9" s="5">
        <f t="shared" si="0"/>
        <v>5379809733304.1748</v>
      </c>
      <c r="P9" s="5">
        <f t="shared" si="0"/>
        <v>5379809733304.1748</v>
      </c>
      <c r="Q9" s="5">
        <f t="shared" si="0"/>
        <v>5379809733304.1748</v>
      </c>
      <c r="R9" s="5">
        <f t="shared" si="0"/>
        <v>5379809733304.1748</v>
      </c>
      <c r="S9" s="5">
        <f t="shared" si="0"/>
        <v>5379809733304.1748</v>
      </c>
      <c r="T9" s="5">
        <f t="shared" si="0"/>
        <v>5379809733304.1748</v>
      </c>
      <c r="U9" s="5">
        <f t="shared" si="0"/>
        <v>5379809733304.1748</v>
      </c>
      <c r="V9" s="5">
        <f t="shared" si="0"/>
        <v>5379809733304.1748</v>
      </c>
      <c r="W9" s="5">
        <f t="shared" si="0"/>
        <v>5379809733304.1748</v>
      </c>
      <c r="X9" s="5">
        <f t="shared" si="0"/>
        <v>5379809733304.1748</v>
      </c>
      <c r="Y9" s="5">
        <f t="shared" si="0"/>
        <v>5379809733304.1748</v>
      </c>
      <c r="Z9" s="5">
        <f t="shared" si="0"/>
        <v>5379809733304.1748</v>
      </c>
      <c r="AA9" s="5">
        <f t="shared" si="0"/>
        <v>5379809733304.1748</v>
      </c>
      <c r="AB9" s="5">
        <f t="shared" si="0"/>
        <v>5379809733304.1748</v>
      </c>
      <c r="AC9" s="5">
        <f t="shared" si="0"/>
        <v>5379809733304.1748</v>
      </c>
      <c r="AD9" s="5">
        <f t="shared" si="0"/>
        <v>5379809733304.1748</v>
      </c>
      <c r="AE9" s="5">
        <f t="shared" si="0"/>
        <v>5379809733304.1748</v>
      </c>
      <c r="AF9" s="5">
        <f t="shared" si="0"/>
        <v>5379809733304.1748</v>
      </c>
      <c r="AG9" s="5">
        <f t="shared" si="0"/>
        <v>5379809733304.1748</v>
      </c>
      <c r="AH9" s="5">
        <f t="shared" si="0"/>
        <v>5379809733304.1748</v>
      </c>
    </row>
    <row r="11" spans="2:34">
      <c r="B11" t="s">
        <v>115</v>
      </c>
    </row>
    <row r="12" spans="2:34">
      <c r="B12" t="s">
        <v>109</v>
      </c>
      <c r="C12">
        <v>2019</v>
      </c>
      <c r="D12">
        <v>2020</v>
      </c>
      <c r="E12">
        <v>2021</v>
      </c>
      <c r="F12">
        <v>2022</v>
      </c>
      <c r="G12">
        <v>2023</v>
      </c>
      <c r="H12">
        <v>2024</v>
      </c>
      <c r="I12">
        <v>2025</v>
      </c>
      <c r="J12">
        <v>2026</v>
      </c>
      <c r="K12">
        <v>2027</v>
      </c>
      <c r="L12">
        <v>2028</v>
      </c>
      <c r="M12">
        <v>2029</v>
      </c>
      <c r="N12">
        <v>2030</v>
      </c>
      <c r="O12">
        <v>2031</v>
      </c>
      <c r="P12">
        <v>2032</v>
      </c>
      <c r="Q12">
        <v>2033</v>
      </c>
      <c r="R12">
        <v>2034</v>
      </c>
      <c r="S12">
        <v>2035</v>
      </c>
      <c r="T12">
        <v>2036</v>
      </c>
      <c r="U12">
        <v>2037</v>
      </c>
      <c r="V12">
        <v>2038</v>
      </c>
      <c r="W12">
        <v>2039</v>
      </c>
      <c r="X12">
        <v>2040</v>
      </c>
      <c r="Y12">
        <v>2041</v>
      </c>
      <c r="Z12">
        <v>2042</v>
      </c>
      <c r="AA12">
        <v>2043</v>
      </c>
      <c r="AB12">
        <v>2044</v>
      </c>
      <c r="AC12">
        <v>2045</v>
      </c>
      <c r="AD12">
        <v>2046</v>
      </c>
      <c r="AE12">
        <v>2047</v>
      </c>
      <c r="AF12">
        <v>2048</v>
      </c>
      <c r="AG12">
        <v>2049</v>
      </c>
      <c r="AH12">
        <v>2050</v>
      </c>
    </row>
    <row r="13" spans="2:34">
      <c r="B13" t="s">
        <v>85</v>
      </c>
      <c r="C13" s="5">
        <f>D4*About!$C$29</f>
        <v>263937096887472.81</v>
      </c>
      <c r="D13" s="5">
        <f>E4*About!$C$29</f>
        <v>266116592305677.66</v>
      </c>
      <c r="E13" s="5">
        <f>$D$13</f>
        <v>266116592305677.66</v>
      </c>
      <c r="F13" s="5">
        <f t="shared" ref="F13" si="1">$D$13</f>
        <v>266116592305677.66</v>
      </c>
      <c r="G13" s="5">
        <f>$D$13+G9</f>
        <v>268806497172329.75</v>
      </c>
      <c r="H13" s="5">
        <f>$D$13+H9</f>
        <v>271496402038981.84</v>
      </c>
      <c r="I13" s="5">
        <f t="shared" ref="I13:AH13" si="2">$D$13+I9</f>
        <v>271496402038981.84</v>
      </c>
      <c r="J13" s="5">
        <f t="shared" si="2"/>
        <v>271496402038981.84</v>
      </c>
      <c r="K13" s="5">
        <f t="shared" si="2"/>
        <v>271496402038981.84</v>
      </c>
      <c r="L13" s="5">
        <f t="shared" si="2"/>
        <v>271496402038981.84</v>
      </c>
      <c r="M13" s="5">
        <f t="shared" si="2"/>
        <v>271496402038981.84</v>
      </c>
      <c r="N13" s="5">
        <f t="shared" si="2"/>
        <v>271496402038981.84</v>
      </c>
      <c r="O13" s="5">
        <f t="shared" si="2"/>
        <v>271496402038981.84</v>
      </c>
      <c r="P13" s="5">
        <f t="shared" si="2"/>
        <v>271496402038981.84</v>
      </c>
      <c r="Q13" s="5">
        <f t="shared" si="2"/>
        <v>271496402038981.84</v>
      </c>
      <c r="R13" s="5">
        <f t="shared" si="2"/>
        <v>271496402038981.84</v>
      </c>
      <c r="S13" s="5">
        <f t="shared" si="2"/>
        <v>271496402038981.84</v>
      </c>
      <c r="T13" s="5">
        <f t="shared" si="2"/>
        <v>271496402038981.84</v>
      </c>
      <c r="U13" s="5">
        <f t="shared" si="2"/>
        <v>271496402038981.84</v>
      </c>
      <c r="V13" s="5">
        <f t="shared" si="2"/>
        <v>271496402038981.84</v>
      </c>
      <c r="W13" s="5">
        <f t="shared" si="2"/>
        <v>271496402038981.84</v>
      </c>
      <c r="X13" s="5">
        <f t="shared" si="2"/>
        <v>271496402038981.84</v>
      </c>
      <c r="Y13" s="5">
        <f t="shared" si="2"/>
        <v>271496402038981.84</v>
      </c>
      <c r="Z13" s="5">
        <f t="shared" si="2"/>
        <v>271496402038981.84</v>
      </c>
      <c r="AA13" s="5">
        <f t="shared" si="2"/>
        <v>271496402038981.84</v>
      </c>
      <c r="AB13" s="5">
        <f t="shared" si="2"/>
        <v>271496402038981.84</v>
      </c>
      <c r="AC13" s="5">
        <f t="shared" si="2"/>
        <v>271496402038981.84</v>
      </c>
      <c r="AD13" s="5">
        <f t="shared" si="2"/>
        <v>271496402038981.84</v>
      </c>
      <c r="AE13" s="5">
        <f t="shared" si="2"/>
        <v>271496402038981.84</v>
      </c>
      <c r="AF13" s="5">
        <f t="shared" si="2"/>
        <v>271496402038981.84</v>
      </c>
      <c r="AG13" s="5">
        <f t="shared" si="2"/>
        <v>271496402038981.84</v>
      </c>
      <c r="AH13" s="5">
        <f t="shared" si="2"/>
        <v>271496402038981.84</v>
      </c>
    </row>
    <row r="15" spans="2:34">
      <c r="D15" t="s">
        <v>122</v>
      </c>
    </row>
    <row r="16" spans="2:34">
      <c r="D16" t="s">
        <v>123</v>
      </c>
    </row>
  </sheetData>
  <phoneticPr fontId="10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404DF-8854-4EA4-AA39-8C6EEBB7F910}">
  <dimension ref="A1:AB105"/>
  <sheetViews>
    <sheetView tabSelected="1" topLeftCell="G11" workbookViewId="0">
      <selection activeCell="G30" sqref="G30"/>
    </sheetView>
  </sheetViews>
  <sheetFormatPr defaultColWidth="11.75" defaultRowHeight="16.5"/>
  <cols>
    <col min="7" max="7" width="22.625" customWidth="1"/>
    <col min="8" max="8" width="19.75" customWidth="1"/>
    <col min="10" max="10" width="13.875" customWidth="1"/>
    <col min="16" max="16" width="31.75" customWidth="1"/>
    <col min="17" max="17" width="14" bestFit="1" customWidth="1"/>
    <col min="18" max="18" width="13.125" bestFit="1" customWidth="1"/>
    <col min="20" max="20" width="12.125" bestFit="1" customWidth="1"/>
    <col min="23" max="23" width="31.375" customWidth="1"/>
  </cols>
  <sheetData>
    <row r="1" spans="1:28" ht="26.25">
      <c r="A1" s="18" t="s">
        <v>87</v>
      </c>
    </row>
    <row r="2" spans="1:28">
      <c r="P2" t="s">
        <v>82</v>
      </c>
      <c r="W2" t="s">
        <v>82</v>
      </c>
    </row>
    <row r="3" spans="1:28">
      <c r="A3" s="7" t="s">
        <v>35</v>
      </c>
      <c r="B3" s="7"/>
      <c r="C3" s="7"/>
      <c r="D3" s="7"/>
      <c r="E3" s="7" t="s">
        <v>37</v>
      </c>
      <c r="F3" s="7"/>
      <c r="H3" s="11" t="s">
        <v>61</v>
      </c>
      <c r="I3" s="11"/>
      <c r="J3" s="11"/>
      <c r="K3" s="11"/>
      <c r="L3" s="11" t="s">
        <v>37</v>
      </c>
      <c r="M3" s="11"/>
      <c r="P3" s="17" t="s">
        <v>84</v>
      </c>
      <c r="Q3">
        <v>2000</v>
      </c>
      <c r="R3">
        <v>2022</v>
      </c>
      <c r="S3">
        <v>2030</v>
      </c>
      <c r="T3">
        <v>2040</v>
      </c>
      <c r="U3">
        <v>2050</v>
      </c>
      <c r="W3" s="17" t="s">
        <v>85</v>
      </c>
      <c r="X3">
        <v>2000</v>
      </c>
      <c r="Y3">
        <v>2022</v>
      </c>
      <c r="Z3">
        <v>2030</v>
      </c>
      <c r="AA3">
        <v>2040</v>
      </c>
      <c r="AB3">
        <v>2050</v>
      </c>
    </row>
    <row r="4" spans="1:28">
      <c r="A4" s="8" t="s">
        <v>81</v>
      </c>
      <c r="B4" s="31">
        <v>2000</v>
      </c>
      <c r="C4" s="31">
        <v>2022</v>
      </c>
      <c r="D4" s="31">
        <v>2030</v>
      </c>
      <c r="E4" s="31">
        <v>2040</v>
      </c>
      <c r="F4" s="31">
        <v>2050</v>
      </c>
      <c r="G4" s="17"/>
      <c r="H4" s="12"/>
      <c r="I4" s="33">
        <v>2000</v>
      </c>
      <c r="J4" s="33">
        <v>2022</v>
      </c>
      <c r="K4" s="33">
        <v>2030</v>
      </c>
      <c r="L4" s="33">
        <v>2040</v>
      </c>
      <c r="M4" s="33">
        <v>2050</v>
      </c>
      <c r="N4" s="17"/>
      <c r="P4" s="19" t="s">
        <v>7</v>
      </c>
      <c r="Q4" s="22">
        <v>0</v>
      </c>
      <c r="R4" s="22">
        <v>0</v>
      </c>
      <c r="S4" s="22">
        <v>0</v>
      </c>
      <c r="T4" s="22">
        <v>0</v>
      </c>
      <c r="U4" s="22">
        <v>0</v>
      </c>
      <c r="W4" s="19" t="s">
        <v>7</v>
      </c>
      <c r="X4" s="22">
        <f>Q4*About!$C$27</f>
        <v>0</v>
      </c>
      <c r="Y4" s="22">
        <f>R4*About!$C$27</f>
        <v>0</v>
      </c>
      <c r="Z4" s="22">
        <f>S4*About!$C$27</f>
        <v>0</v>
      </c>
      <c r="AA4" s="22">
        <f>T4*About!$C$27</f>
        <v>0</v>
      </c>
      <c r="AB4" s="22">
        <f>U4*About!$C$27</f>
        <v>0</v>
      </c>
    </row>
    <row r="5" spans="1:28">
      <c r="A5" s="7" t="s">
        <v>27</v>
      </c>
      <c r="B5" s="32">
        <v>44</v>
      </c>
      <c r="C5" s="32">
        <v>269</v>
      </c>
      <c r="D5" s="32">
        <v>59</v>
      </c>
      <c r="E5" s="32">
        <v>45</v>
      </c>
      <c r="F5" s="32">
        <v>33</v>
      </c>
      <c r="H5" s="16" t="s">
        <v>80</v>
      </c>
      <c r="I5" s="34">
        <v>44</v>
      </c>
      <c r="J5" s="34">
        <v>69</v>
      </c>
      <c r="K5" s="34">
        <v>59</v>
      </c>
      <c r="L5" s="34">
        <v>45</v>
      </c>
      <c r="M5" s="34">
        <v>33</v>
      </c>
      <c r="P5" s="19" t="s">
        <v>8</v>
      </c>
      <c r="Q5" s="5">
        <f>I13</f>
        <v>28</v>
      </c>
      <c r="R5" s="5">
        <f>J13</f>
        <v>49</v>
      </c>
      <c r="S5" s="5">
        <f>K13</f>
        <v>37</v>
      </c>
      <c r="T5" s="5">
        <f>L13</f>
        <v>26</v>
      </c>
      <c r="U5" s="5">
        <f>M13</f>
        <v>15</v>
      </c>
      <c r="W5" s="19" t="s">
        <v>8</v>
      </c>
      <c r="X5" s="22">
        <f>Q5*About!$C$27</f>
        <v>1110386712680000</v>
      </c>
      <c r="Y5" s="22">
        <f>R5*About!$C$27</f>
        <v>1943176747190000</v>
      </c>
      <c r="Z5" s="22">
        <f>S5*About!$C$27</f>
        <v>1467296727470000</v>
      </c>
      <c r="AA5" s="22">
        <f>T5*About!$C$27</f>
        <v>1031073376060000</v>
      </c>
      <c r="AB5" s="22">
        <f>U5*About!$C$27</f>
        <v>594850024650000</v>
      </c>
    </row>
    <row r="6" spans="1:28">
      <c r="A6" s="7" t="s">
        <v>28</v>
      </c>
      <c r="B6" s="32">
        <v>97</v>
      </c>
      <c r="C6" s="32">
        <v>110</v>
      </c>
      <c r="D6" s="32">
        <v>109</v>
      </c>
      <c r="E6" s="32">
        <v>104</v>
      </c>
      <c r="F6" s="32">
        <v>95</v>
      </c>
      <c r="H6" s="11" t="s">
        <v>62</v>
      </c>
      <c r="I6" s="34">
        <v>23</v>
      </c>
      <c r="J6" s="34">
        <v>39</v>
      </c>
      <c r="K6" s="34">
        <v>27</v>
      </c>
      <c r="L6" s="34">
        <v>16</v>
      </c>
      <c r="M6" s="34">
        <v>6</v>
      </c>
      <c r="P6" s="19" t="s">
        <v>1</v>
      </c>
      <c r="Q6" s="5">
        <f>I32+I33</f>
        <v>19</v>
      </c>
      <c r="R6" s="5">
        <f>J32+J33</f>
        <v>60</v>
      </c>
      <c r="S6" s="5">
        <f>K32+K33</f>
        <v>73</v>
      </c>
      <c r="T6" s="5">
        <f>L32+L33</f>
        <v>87</v>
      </c>
      <c r="U6" s="5">
        <f>M32+M33</f>
        <v>92</v>
      </c>
      <c r="W6" s="19" t="s">
        <v>1</v>
      </c>
      <c r="X6" s="22">
        <f>Q6*About!$C$27</f>
        <v>753476697890000</v>
      </c>
      <c r="Y6" s="22">
        <f>R6*About!$C$27</f>
        <v>2379400098600000</v>
      </c>
      <c r="Z6" s="22">
        <f>S6*About!$C$27</f>
        <v>2894936786630000</v>
      </c>
      <c r="AA6" s="22">
        <f>T6*About!$C$27</f>
        <v>3450130142970000</v>
      </c>
      <c r="AB6" s="22">
        <f>U6*About!$C$27</f>
        <v>3648413484520000</v>
      </c>
    </row>
    <row r="7" spans="1:28">
      <c r="A7" s="7" t="s">
        <v>31</v>
      </c>
      <c r="B7" s="32">
        <v>19</v>
      </c>
      <c r="C7" s="32">
        <v>60</v>
      </c>
      <c r="D7" s="32">
        <v>73</v>
      </c>
      <c r="E7" s="32">
        <v>86</v>
      </c>
      <c r="F7" s="32">
        <v>92</v>
      </c>
      <c r="H7" s="11" t="s">
        <v>63</v>
      </c>
      <c r="I7" s="34">
        <v>21</v>
      </c>
      <c r="J7" s="34">
        <v>30</v>
      </c>
      <c r="K7" s="34">
        <v>32</v>
      </c>
      <c r="L7" s="34">
        <v>30</v>
      </c>
      <c r="M7" s="34">
        <v>27</v>
      </c>
      <c r="P7" s="19" t="s">
        <v>9</v>
      </c>
      <c r="Q7" s="5">
        <f>B9</f>
        <v>27</v>
      </c>
      <c r="R7" s="5">
        <f t="shared" ref="R7:U7" si="0">C9</f>
        <v>38</v>
      </c>
      <c r="S7" s="5">
        <f t="shared" si="0"/>
        <v>42</v>
      </c>
      <c r="T7" s="5">
        <f t="shared" si="0"/>
        <v>36</v>
      </c>
      <c r="U7" s="5">
        <f t="shared" si="0"/>
        <v>29</v>
      </c>
      <c r="W7" s="19" t="s">
        <v>9</v>
      </c>
      <c r="X7" s="22">
        <f>Q7*About!$C$27</f>
        <v>1070730044370000</v>
      </c>
      <c r="Y7" s="22">
        <f>R7*About!$C$27</f>
        <v>1506953395780000</v>
      </c>
      <c r="Z7" s="22">
        <f>S7*About!$C$27</f>
        <v>1665580069020000</v>
      </c>
      <c r="AA7" s="22">
        <f>T7*About!$C$27</f>
        <v>1427640059160000</v>
      </c>
      <c r="AB7" s="22">
        <f>U7*About!$C$27</f>
        <v>1150043380990000</v>
      </c>
    </row>
    <row r="8" spans="1:28">
      <c r="A8" s="7" t="s">
        <v>32</v>
      </c>
      <c r="B8" s="32">
        <v>1</v>
      </c>
      <c r="C8" s="32">
        <v>1</v>
      </c>
      <c r="D8" s="32">
        <v>1</v>
      </c>
      <c r="E8" s="32">
        <v>1</v>
      </c>
      <c r="F8" s="32">
        <v>1</v>
      </c>
      <c r="H8" s="11"/>
      <c r="I8" s="34"/>
      <c r="J8" s="34"/>
      <c r="K8" s="34"/>
      <c r="L8" s="34"/>
      <c r="M8" s="34"/>
      <c r="P8" s="19" t="s">
        <v>10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W8" s="19" t="s">
        <v>10</v>
      </c>
      <c r="X8" s="22">
        <f>Q8*About!$C$27</f>
        <v>0</v>
      </c>
      <c r="Y8" s="22">
        <f>R8*About!$C$27</f>
        <v>0</v>
      </c>
      <c r="Z8" s="22">
        <f>S8*About!$C$27</f>
        <v>0</v>
      </c>
      <c r="AA8" s="22">
        <f>T8*About!$C$27</f>
        <v>0</v>
      </c>
      <c r="AB8" s="22">
        <f>U8*About!$C$27</f>
        <v>0</v>
      </c>
    </row>
    <row r="9" spans="1:28">
      <c r="A9" s="7" t="s">
        <v>33</v>
      </c>
      <c r="B9" s="32">
        <v>27</v>
      </c>
      <c r="C9" s="32">
        <v>38</v>
      </c>
      <c r="D9" s="32">
        <v>42</v>
      </c>
      <c r="E9" s="32">
        <v>36</v>
      </c>
      <c r="F9" s="32">
        <v>29</v>
      </c>
      <c r="H9" s="11"/>
      <c r="I9" s="34"/>
      <c r="J9" s="34"/>
      <c r="K9" s="34"/>
      <c r="L9" s="34"/>
      <c r="M9" s="34"/>
      <c r="P9" s="19" t="s">
        <v>11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W9" s="19" t="s">
        <v>11</v>
      </c>
      <c r="X9" s="22">
        <f>Q9*About!$C$27</f>
        <v>0</v>
      </c>
      <c r="Y9" s="22">
        <f>R9*About!$C$27</f>
        <v>0</v>
      </c>
      <c r="Z9" s="22">
        <f>S9*About!$C$27</f>
        <v>0</v>
      </c>
      <c r="AA9" s="22">
        <f>T9*About!$C$27</f>
        <v>0</v>
      </c>
      <c r="AB9" s="22">
        <f>U9*About!$C$27</f>
        <v>0</v>
      </c>
    </row>
    <row r="10" spans="1:28">
      <c r="A10" s="7" t="s">
        <v>36</v>
      </c>
      <c r="B10" s="32">
        <v>1</v>
      </c>
      <c r="C10" s="32">
        <v>13</v>
      </c>
      <c r="D10" s="32">
        <v>27</v>
      </c>
      <c r="E10" s="32">
        <v>44</v>
      </c>
      <c r="F10" s="32">
        <v>52</v>
      </c>
      <c r="H10" s="12" t="s">
        <v>64</v>
      </c>
      <c r="I10" s="34"/>
      <c r="J10" s="34"/>
      <c r="K10" s="34"/>
      <c r="L10" s="34"/>
      <c r="M10" s="34"/>
      <c r="P10" s="19" t="s">
        <v>12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W10" s="19" t="s">
        <v>12</v>
      </c>
      <c r="X10" s="22">
        <f>Q10*About!$C$27</f>
        <v>0</v>
      </c>
      <c r="Y10" s="22">
        <f>R10*About!$C$27</f>
        <v>0</v>
      </c>
      <c r="Z10" s="22">
        <f>S10*About!$C$27</f>
        <v>0</v>
      </c>
      <c r="AA10" s="22">
        <f>T10*About!$C$27</f>
        <v>0</v>
      </c>
      <c r="AB10" s="22">
        <f>U10*About!$C$27</f>
        <v>0</v>
      </c>
    </row>
    <row r="11" spans="1:28">
      <c r="A11" s="7"/>
      <c r="B11" s="32"/>
      <c r="C11" s="32"/>
      <c r="D11" s="32"/>
      <c r="E11" s="32"/>
      <c r="F11" s="32"/>
      <c r="H11" s="11" t="s">
        <v>65</v>
      </c>
      <c r="I11" s="34">
        <v>1</v>
      </c>
      <c r="J11" s="34">
        <v>0</v>
      </c>
      <c r="K11" s="34">
        <v>0</v>
      </c>
      <c r="L11" s="34">
        <v>0</v>
      </c>
      <c r="M11" s="34">
        <v>0</v>
      </c>
      <c r="P11" s="19" t="s">
        <v>2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W11" s="19" t="s">
        <v>2</v>
      </c>
      <c r="X11" s="22">
        <f>Q11*About!$C$27</f>
        <v>0</v>
      </c>
      <c r="Y11" s="22">
        <f>R11*About!$C$27</f>
        <v>0</v>
      </c>
      <c r="Z11" s="22">
        <f>S11*About!$C$27</f>
        <v>0</v>
      </c>
      <c r="AA11" s="22">
        <f>T11*About!$C$27</f>
        <v>0</v>
      </c>
      <c r="AB11" s="22">
        <f>U11*About!$C$27</f>
        <v>0</v>
      </c>
    </row>
    <row r="12" spans="1:28">
      <c r="A12" s="8" t="s">
        <v>38</v>
      </c>
      <c r="B12" s="31">
        <v>2000</v>
      </c>
      <c r="C12" s="31">
        <v>2022</v>
      </c>
      <c r="D12" s="31">
        <v>2030</v>
      </c>
      <c r="E12" s="31">
        <v>2040</v>
      </c>
      <c r="F12" s="31">
        <v>2050</v>
      </c>
      <c r="H12" s="11" t="s">
        <v>66</v>
      </c>
      <c r="I12" s="34">
        <v>1</v>
      </c>
      <c r="J12" s="34">
        <v>3</v>
      </c>
      <c r="K12" s="34">
        <v>3</v>
      </c>
      <c r="L12" s="34">
        <v>3</v>
      </c>
      <c r="M12" s="34">
        <v>2</v>
      </c>
      <c r="P12" s="19" t="s">
        <v>3</v>
      </c>
      <c r="Q12" s="5">
        <f>B32*($B$47/SUM($B$46:$B$52))</f>
        <v>1.1343283582089552</v>
      </c>
      <c r="R12" s="5">
        <f t="shared" ref="R12:U12" si="1">C32*($B$47/SUM($B$46:$B$52))</f>
        <v>1.5597014925373134</v>
      </c>
      <c r="S12" s="5">
        <f t="shared" si="1"/>
        <v>1.7014925373134329</v>
      </c>
      <c r="T12" s="5">
        <f t="shared" si="1"/>
        <v>1.2761194029850746</v>
      </c>
      <c r="U12" s="5">
        <f t="shared" si="1"/>
        <v>0.85074626865671643</v>
      </c>
      <c r="W12" s="19" t="s">
        <v>3</v>
      </c>
      <c r="X12" s="22">
        <f>Q12*About!$C$27</f>
        <v>44983683456119.398</v>
      </c>
      <c r="Y12" s="22">
        <f>R12*About!$C$27</f>
        <v>61852564752164.18</v>
      </c>
      <c r="Z12" s="22">
        <f>S12*About!$C$27</f>
        <v>67475525184179.109</v>
      </c>
      <c r="AA12" s="22">
        <f>T12*About!$C$27</f>
        <v>50606643888134.328</v>
      </c>
      <c r="AB12" s="22">
        <f>U12*About!$C$27</f>
        <v>33737762592089.555</v>
      </c>
    </row>
    <row r="13" spans="1:28">
      <c r="A13" s="7" t="s">
        <v>27</v>
      </c>
      <c r="B13" s="32">
        <v>21</v>
      </c>
      <c r="C13" s="32">
        <v>30</v>
      </c>
      <c r="D13" s="32">
        <v>32</v>
      </c>
      <c r="E13" s="32">
        <v>30</v>
      </c>
      <c r="F13" s="32">
        <v>27</v>
      </c>
      <c r="H13" s="11" t="s">
        <v>67</v>
      </c>
      <c r="I13" s="34">
        <v>28</v>
      </c>
      <c r="J13" s="34">
        <v>49</v>
      </c>
      <c r="K13" s="34">
        <v>37</v>
      </c>
      <c r="L13" s="34">
        <v>26</v>
      </c>
      <c r="M13" s="34">
        <v>15</v>
      </c>
      <c r="P13" s="19" t="s">
        <v>13</v>
      </c>
      <c r="Q13" s="5">
        <f>B34*($B$47/SUM($B$46:$B$52))</f>
        <v>2.5522388059701493</v>
      </c>
      <c r="R13" s="5">
        <f t="shared" ref="R13:U13" si="2">C34*($B$47/SUM($B$46:$B$52))</f>
        <v>3.1194029850746268</v>
      </c>
      <c r="S13" s="5">
        <f t="shared" si="2"/>
        <v>2.4104477611940296</v>
      </c>
      <c r="T13" s="5">
        <f t="shared" si="2"/>
        <v>1.8432835820895521</v>
      </c>
      <c r="U13" s="5">
        <f t="shared" si="2"/>
        <v>1.2761194029850746</v>
      </c>
      <c r="W13" s="19" t="s">
        <v>13</v>
      </c>
      <c r="X13" s="22">
        <f>Q13*About!$C$27</f>
        <v>101213287776268.66</v>
      </c>
      <c r="Y13" s="22">
        <f>R13*About!$C$27</f>
        <v>123705129504328.36</v>
      </c>
      <c r="Z13" s="22">
        <f>S13*About!$C$27</f>
        <v>95590327344253.719</v>
      </c>
      <c r="AA13" s="22">
        <f>T13*About!$C$27</f>
        <v>73098485616194.031</v>
      </c>
      <c r="AB13" s="22">
        <f>U13*About!$C$27</f>
        <v>50606643888134.328</v>
      </c>
    </row>
    <row r="14" spans="1:28">
      <c r="A14" s="7" t="s">
        <v>28</v>
      </c>
      <c r="B14" s="32">
        <v>84</v>
      </c>
      <c r="C14" s="32">
        <v>100</v>
      </c>
      <c r="D14" s="32">
        <v>99</v>
      </c>
      <c r="E14" s="32">
        <v>94</v>
      </c>
      <c r="F14" s="32">
        <v>86</v>
      </c>
      <c r="H14" s="11" t="s">
        <v>68</v>
      </c>
      <c r="I14" s="34">
        <v>14</v>
      </c>
      <c r="J14" s="34">
        <v>17</v>
      </c>
      <c r="K14" s="34">
        <v>19</v>
      </c>
      <c r="L14" s="34">
        <v>17</v>
      </c>
      <c r="M14" s="34">
        <v>16</v>
      </c>
      <c r="P14" s="19" t="s">
        <v>14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W14" s="19" t="s">
        <v>14</v>
      </c>
      <c r="X14" s="22">
        <f>Q14*About!$C$27</f>
        <v>0</v>
      </c>
      <c r="Y14" s="22">
        <f>R14*About!$C$27</f>
        <v>0</v>
      </c>
      <c r="Z14" s="22">
        <f>S14*About!$C$27</f>
        <v>0</v>
      </c>
      <c r="AA14" s="22">
        <f>T14*About!$C$27</f>
        <v>0</v>
      </c>
      <c r="AB14" s="22">
        <f>U14*About!$C$27</f>
        <v>0</v>
      </c>
    </row>
    <row r="15" spans="1:28">
      <c r="A15" s="7" t="s">
        <v>29</v>
      </c>
      <c r="B15" s="32">
        <v>13</v>
      </c>
      <c r="C15" s="32">
        <v>26</v>
      </c>
      <c r="D15" s="32">
        <v>29</v>
      </c>
      <c r="E15" s="32">
        <v>31</v>
      </c>
      <c r="F15" s="32">
        <v>30</v>
      </c>
      <c r="H15" s="11"/>
      <c r="I15" s="34"/>
      <c r="J15" s="34"/>
      <c r="K15" s="34"/>
      <c r="L15" s="34"/>
      <c r="M15" s="34"/>
      <c r="P15" s="19" t="s">
        <v>15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W15" s="19" t="s">
        <v>15</v>
      </c>
      <c r="X15" s="22">
        <f>Q15*About!$C$27</f>
        <v>0</v>
      </c>
      <c r="Y15" s="22">
        <f>R15*About!$C$27</f>
        <v>0</v>
      </c>
      <c r="Z15" s="22">
        <f>S15*About!$C$27</f>
        <v>0</v>
      </c>
      <c r="AA15" s="22">
        <f>T15*About!$C$27</f>
        <v>0</v>
      </c>
      <c r="AB15" s="22">
        <f>U15*About!$C$27</f>
        <v>0</v>
      </c>
    </row>
    <row r="16" spans="1:28">
      <c r="A16" s="7" t="s">
        <v>39</v>
      </c>
      <c r="B16" s="32">
        <v>20</v>
      </c>
      <c r="C16" s="32">
        <v>46</v>
      </c>
      <c r="D16" s="32">
        <v>54</v>
      </c>
      <c r="E16" s="32">
        <v>58</v>
      </c>
      <c r="F16" s="32">
        <v>58</v>
      </c>
      <c r="H16" s="12" t="s">
        <v>69</v>
      </c>
      <c r="I16" s="34"/>
      <c r="J16" s="34"/>
      <c r="K16" s="34"/>
      <c r="L16" s="34"/>
      <c r="M16" s="34"/>
      <c r="P16" s="19" t="s">
        <v>4</v>
      </c>
      <c r="Q16" s="5">
        <f>(B36+B33)*($B$47/SUM($B$46:$B$52))</f>
        <v>1.4179104477611939</v>
      </c>
      <c r="R16" s="5">
        <f>C36+C33</f>
        <v>4</v>
      </c>
      <c r="S16" s="5">
        <f>D36+D33</f>
        <v>3</v>
      </c>
      <c r="T16" s="5">
        <f>E36+E33</f>
        <v>3</v>
      </c>
      <c r="U16" s="5">
        <f>F36+F33</f>
        <v>2</v>
      </c>
      <c r="W16" s="19" t="s">
        <v>4</v>
      </c>
      <c r="X16" s="22">
        <f>Q16*About!$C$27</f>
        <v>56229604320149.25</v>
      </c>
      <c r="Y16" s="22">
        <f>R16*About!$C$27</f>
        <v>158626673240000</v>
      </c>
      <c r="Z16" s="22">
        <f>S16*About!$C$27</f>
        <v>118970004930000</v>
      </c>
      <c r="AA16" s="22">
        <f>T16*About!$C$27</f>
        <v>118970004930000</v>
      </c>
      <c r="AB16" s="22">
        <f>U16*About!$C$27</f>
        <v>79313336620000</v>
      </c>
    </row>
    <row r="17" spans="1:28">
      <c r="A17" s="7" t="s">
        <v>30</v>
      </c>
      <c r="B17" s="32">
        <v>1</v>
      </c>
      <c r="C17" s="32">
        <v>3</v>
      </c>
      <c r="D17" s="32">
        <v>3</v>
      </c>
      <c r="E17" s="32">
        <v>3</v>
      </c>
      <c r="F17" s="32">
        <v>3</v>
      </c>
      <c r="H17" s="11" t="s">
        <v>70</v>
      </c>
      <c r="I17" s="34">
        <v>23</v>
      </c>
      <c r="J17" s="34">
        <v>39</v>
      </c>
      <c r="K17" s="34">
        <v>27</v>
      </c>
      <c r="L17" s="34">
        <v>16</v>
      </c>
      <c r="M17" s="34">
        <v>6</v>
      </c>
      <c r="P17" s="19" t="s">
        <v>22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W17" s="19" t="s">
        <v>22</v>
      </c>
      <c r="X17" s="22">
        <f>Q17*About!$C$27</f>
        <v>0</v>
      </c>
      <c r="Y17" s="22">
        <f>R17*About!$C$27</f>
        <v>0</v>
      </c>
      <c r="Z17" s="22">
        <f>S17*About!$C$27</f>
        <v>0</v>
      </c>
      <c r="AA17" s="22">
        <f>T17*About!$C$27</f>
        <v>0</v>
      </c>
      <c r="AB17" s="22">
        <f>U17*About!$C$27</f>
        <v>0</v>
      </c>
    </row>
    <row r="18" spans="1:28">
      <c r="A18" s="7" t="s">
        <v>36</v>
      </c>
      <c r="B18" s="32">
        <v>1</v>
      </c>
      <c r="C18" s="32">
        <v>7</v>
      </c>
      <c r="D18" s="32">
        <v>9</v>
      </c>
      <c r="E18" s="32">
        <v>12</v>
      </c>
      <c r="F18" s="32">
        <v>15</v>
      </c>
      <c r="H18" s="11" t="s">
        <v>71</v>
      </c>
      <c r="I18" s="34">
        <v>13</v>
      </c>
      <c r="J18" s="34">
        <v>17</v>
      </c>
      <c r="K18" s="34">
        <v>18</v>
      </c>
      <c r="L18" s="34">
        <v>17</v>
      </c>
      <c r="M18" s="34">
        <v>16</v>
      </c>
      <c r="P18" s="19" t="s">
        <v>17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W18" s="19" t="s">
        <v>17</v>
      </c>
      <c r="X18" s="22">
        <f>Q18*About!$C$27</f>
        <v>0</v>
      </c>
      <c r="Y18" s="22">
        <f>R18*About!$C$27</f>
        <v>0</v>
      </c>
      <c r="Z18" s="22">
        <f>S18*About!$C$27</f>
        <v>0</v>
      </c>
      <c r="AA18" s="22">
        <f>T18*About!$C$27</f>
        <v>0</v>
      </c>
      <c r="AB18" s="22">
        <f>U18*About!$C$27</f>
        <v>0</v>
      </c>
    </row>
    <row r="19" spans="1:28">
      <c r="H19" s="11" t="s">
        <v>72</v>
      </c>
      <c r="I19" s="34">
        <v>4</v>
      </c>
      <c r="J19" s="34">
        <v>2</v>
      </c>
      <c r="K19" s="34">
        <v>2</v>
      </c>
      <c r="L19" s="34">
        <v>2</v>
      </c>
      <c r="M19" s="34">
        <v>1</v>
      </c>
      <c r="P19" s="19" t="s">
        <v>18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W19" s="19" t="s">
        <v>18</v>
      </c>
      <c r="X19" s="22">
        <f>Q19*About!$C$27</f>
        <v>0</v>
      </c>
      <c r="Y19" s="22">
        <f>R19*About!$C$27</f>
        <v>0</v>
      </c>
      <c r="Z19" s="22">
        <f>S19*About!$C$27</f>
        <v>0</v>
      </c>
      <c r="AA19" s="22">
        <f>T19*About!$C$27</f>
        <v>0</v>
      </c>
      <c r="AB19" s="22">
        <f>U19*About!$C$27</f>
        <v>0</v>
      </c>
    </row>
    <row r="20" spans="1:28">
      <c r="H20" s="11" t="s">
        <v>73</v>
      </c>
      <c r="I20" s="34">
        <v>4</v>
      </c>
      <c r="J20" s="34">
        <v>11</v>
      </c>
      <c r="K20" s="34">
        <v>12</v>
      </c>
      <c r="L20" s="34">
        <v>11</v>
      </c>
      <c r="M20" s="34">
        <v>10</v>
      </c>
      <c r="P20" s="19" t="s">
        <v>5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W20" s="19" t="s">
        <v>5</v>
      </c>
      <c r="X20" s="22">
        <f>Q20*About!$C$27</f>
        <v>0</v>
      </c>
      <c r="Y20" s="22">
        <f>R20*About!$C$27</f>
        <v>0</v>
      </c>
      <c r="Z20" s="22">
        <f>S20*About!$C$27</f>
        <v>0</v>
      </c>
      <c r="AA20" s="22">
        <f>T20*About!$C$27</f>
        <v>0</v>
      </c>
      <c r="AB20" s="22">
        <f>U20*About!$C$27</f>
        <v>0</v>
      </c>
    </row>
    <row r="21" spans="1:28">
      <c r="A21" s="9" t="s">
        <v>86</v>
      </c>
      <c r="B21" s="9"/>
      <c r="C21" s="9"/>
      <c r="D21" s="9"/>
      <c r="E21" s="9" t="s">
        <v>37</v>
      </c>
      <c r="F21" s="9"/>
      <c r="H21" s="11" t="s">
        <v>74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P21" s="19" t="s">
        <v>19</v>
      </c>
      <c r="Q21" s="5">
        <f>B35*($B$47/SUM($B$46:$B$52))</f>
        <v>1.8432835820895521</v>
      </c>
      <c r="R21" s="5">
        <f t="shared" ref="R21:U21" si="3">C35*($B$47/SUM($B$46:$B$52))</f>
        <v>0.1417910447761194</v>
      </c>
      <c r="S21" s="5">
        <f t="shared" si="3"/>
        <v>0.1417910447761194</v>
      </c>
      <c r="T21" s="5">
        <f t="shared" si="3"/>
        <v>0.1417910447761194</v>
      </c>
      <c r="U21" s="5">
        <f t="shared" si="3"/>
        <v>0.1417910447761194</v>
      </c>
      <c r="W21" s="19" t="s">
        <v>19</v>
      </c>
      <c r="X21" s="22">
        <f>Q21*About!$C$27</f>
        <v>73098485616194.031</v>
      </c>
      <c r="Y21" s="22">
        <f>R21*About!$C$27</f>
        <v>5622960432014.9248</v>
      </c>
      <c r="Z21" s="22">
        <f>S21*About!$C$27</f>
        <v>5622960432014.9248</v>
      </c>
      <c r="AA21" s="22">
        <f>T21*About!$C$27</f>
        <v>5622960432014.9248</v>
      </c>
      <c r="AB21" s="22">
        <f>U21*About!$C$27</f>
        <v>5622960432014.9248</v>
      </c>
    </row>
    <row r="22" spans="1:28">
      <c r="A22" s="9"/>
      <c r="B22" s="36">
        <v>2000</v>
      </c>
      <c r="C22" s="36">
        <v>2022</v>
      </c>
      <c r="D22" s="36">
        <v>2030</v>
      </c>
      <c r="E22" s="36">
        <v>2040</v>
      </c>
      <c r="F22" s="36">
        <v>2050</v>
      </c>
      <c r="P22" s="19" t="s">
        <v>6</v>
      </c>
      <c r="Q22" s="5">
        <f>B37+B38</f>
        <v>8</v>
      </c>
      <c r="R22" s="5">
        <f t="shared" ref="R22:U22" si="4">C37+C38</f>
        <v>12</v>
      </c>
      <c r="S22" s="5">
        <f t="shared" si="4"/>
        <v>12</v>
      </c>
      <c r="T22" s="5">
        <f t="shared" si="4"/>
        <v>14</v>
      </c>
      <c r="U22" s="5">
        <f t="shared" si="4"/>
        <v>15</v>
      </c>
      <c r="W22" s="19" t="s">
        <v>6</v>
      </c>
      <c r="X22" s="22">
        <f>Q22*About!$C$27</f>
        <v>317253346480000</v>
      </c>
      <c r="Y22" s="22">
        <f>R22*About!$C$27</f>
        <v>475880019720000</v>
      </c>
      <c r="Z22" s="22">
        <f>S22*About!$C$27</f>
        <v>475880019720000</v>
      </c>
      <c r="AA22" s="22">
        <f>T22*About!$C$27</f>
        <v>555193356340000</v>
      </c>
      <c r="AB22" s="22">
        <f>U22*About!$C$27</f>
        <v>594850024650000</v>
      </c>
    </row>
    <row r="23" spans="1:28">
      <c r="A23" s="9" t="s">
        <v>40</v>
      </c>
      <c r="B23" s="37">
        <v>122</v>
      </c>
      <c r="C23" s="37">
        <v>153</v>
      </c>
      <c r="D23" s="37">
        <v>151</v>
      </c>
      <c r="E23" s="37">
        <v>136</v>
      </c>
      <c r="F23" s="37">
        <v>108</v>
      </c>
      <c r="P23" s="19" t="s">
        <v>20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W23" s="19" t="s">
        <v>20</v>
      </c>
      <c r="X23" s="22">
        <f>Q23*About!$C$27</f>
        <v>0</v>
      </c>
      <c r="Y23" s="22">
        <f>R23*About!$C$27</f>
        <v>0</v>
      </c>
      <c r="Z23" s="22">
        <f>S23*About!$C$27</f>
        <v>0</v>
      </c>
      <c r="AA23" s="22">
        <f>T23*About!$C$27</f>
        <v>0</v>
      </c>
      <c r="AB23" s="22">
        <f>U23*About!$C$27</f>
        <v>0</v>
      </c>
    </row>
    <row r="24" spans="1:28">
      <c r="A24" s="35" t="s">
        <v>129</v>
      </c>
      <c r="B24" s="37">
        <v>13</v>
      </c>
      <c r="C24" s="37">
        <v>16</v>
      </c>
      <c r="D24" s="37">
        <v>18</v>
      </c>
      <c r="E24" s="37">
        <v>19</v>
      </c>
      <c r="F24" s="37">
        <v>18</v>
      </c>
      <c r="P24" s="19"/>
      <c r="Q24" s="5"/>
      <c r="R24" s="5"/>
      <c r="S24" s="5"/>
      <c r="T24" s="5"/>
      <c r="U24" s="5"/>
      <c r="W24" s="19"/>
      <c r="X24" s="22"/>
      <c r="Y24" s="22"/>
      <c r="Z24" s="22"/>
      <c r="AA24" s="22"/>
      <c r="AB24" s="22"/>
    </row>
    <row r="25" spans="1:28">
      <c r="A25" s="9" t="s">
        <v>41</v>
      </c>
      <c r="B25" s="37">
        <v>97</v>
      </c>
      <c r="C25" s="37">
        <v>110</v>
      </c>
      <c r="D25" s="37">
        <v>109</v>
      </c>
      <c r="E25" s="37">
        <v>104</v>
      </c>
      <c r="F25" s="37">
        <v>95</v>
      </c>
      <c r="H25" s="13" t="s">
        <v>75</v>
      </c>
      <c r="I25" s="13"/>
      <c r="J25" s="13"/>
      <c r="K25" s="13"/>
      <c r="L25" s="13" t="s">
        <v>37</v>
      </c>
      <c r="M25" s="13"/>
      <c r="P25" s="19" t="s">
        <v>21</v>
      </c>
      <c r="Q25" s="27" t="s">
        <v>34</v>
      </c>
      <c r="R25" s="27" t="s">
        <v>34</v>
      </c>
      <c r="S25" s="27" t="s">
        <v>34</v>
      </c>
      <c r="T25" s="27" t="s">
        <v>34</v>
      </c>
      <c r="U25" s="27" t="s">
        <v>34</v>
      </c>
      <c r="W25" s="19" t="s">
        <v>21</v>
      </c>
      <c r="X25" s="27" t="s">
        <v>34</v>
      </c>
      <c r="Y25" s="27" t="s">
        <v>34</v>
      </c>
      <c r="Z25" s="27" t="s">
        <v>34</v>
      </c>
      <c r="AA25" s="27" t="s">
        <v>34</v>
      </c>
      <c r="AB25" s="27" t="s">
        <v>34</v>
      </c>
    </row>
    <row r="26" spans="1:28">
      <c r="A26" s="9" t="s">
        <v>42</v>
      </c>
      <c r="B26" s="37">
        <v>6</v>
      </c>
      <c r="C26" s="37">
        <v>1</v>
      </c>
      <c r="D26" s="37">
        <v>1</v>
      </c>
      <c r="E26" s="37">
        <v>1</v>
      </c>
      <c r="F26" s="37">
        <v>1</v>
      </c>
      <c r="H26" s="13"/>
      <c r="I26" s="40">
        <v>2000</v>
      </c>
      <c r="J26" s="40">
        <v>2022</v>
      </c>
      <c r="K26" s="40">
        <v>2030</v>
      </c>
      <c r="L26" s="40">
        <v>2040</v>
      </c>
      <c r="M26" s="40">
        <v>2050</v>
      </c>
    </row>
    <row r="27" spans="1:28">
      <c r="A27" s="35" t="s">
        <v>130</v>
      </c>
      <c r="B27" s="37">
        <v>7</v>
      </c>
      <c r="C27" s="37">
        <v>9</v>
      </c>
      <c r="D27" s="37">
        <v>10</v>
      </c>
      <c r="E27" s="37">
        <v>9</v>
      </c>
      <c r="F27" s="37">
        <v>8</v>
      </c>
      <c r="H27" s="14" t="s">
        <v>41</v>
      </c>
      <c r="I27" s="39">
        <v>19</v>
      </c>
      <c r="J27" s="39">
        <v>60</v>
      </c>
      <c r="K27" s="39">
        <v>73</v>
      </c>
      <c r="L27" s="39">
        <v>86</v>
      </c>
      <c r="M27" s="39">
        <v>92</v>
      </c>
    </row>
    <row r="28" spans="1:28">
      <c r="A28" s="9" t="s">
        <v>43</v>
      </c>
      <c r="B28" s="37">
        <v>84</v>
      </c>
      <c r="C28" s="37">
        <v>100</v>
      </c>
      <c r="D28" s="37">
        <v>99</v>
      </c>
      <c r="E28" s="37">
        <v>94</v>
      </c>
      <c r="F28" s="37">
        <v>86</v>
      </c>
      <c r="H28" s="13" t="s">
        <v>62</v>
      </c>
      <c r="I28" s="39">
        <v>6</v>
      </c>
      <c r="J28" s="39">
        <v>31</v>
      </c>
      <c r="K28" s="39">
        <v>40</v>
      </c>
      <c r="L28" s="39">
        <v>51</v>
      </c>
      <c r="M28" s="39">
        <v>59</v>
      </c>
      <c r="P28" s="24" t="s">
        <v>91</v>
      </c>
    </row>
    <row r="29" spans="1:28">
      <c r="A29" s="9"/>
      <c r="B29" s="37"/>
      <c r="C29" s="37"/>
      <c r="D29" s="37"/>
      <c r="E29" s="37"/>
      <c r="F29" s="37"/>
      <c r="H29" s="13" t="s">
        <v>63</v>
      </c>
      <c r="I29" s="39">
        <v>13</v>
      </c>
      <c r="J29" s="39">
        <v>26</v>
      </c>
      <c r="K29" s="39">
        <v>29</v>
      </c>
      <c r="L29" s="39">
        <v>31</v>
      </c>
      <c r="M29" s="39">
        <v>30</v>
      </c>
    </row>
    <row r="30" spans="1:28">
      <c r="A30" s="9" t="s">
        <v>44</v>
      </c>
      <c r="B30" s="36"/>
      <c r="C30" s="36"/>
      <c r="D30" s="36"/>
      <c r="E30" s="36"/>
      <c r="F30" s="36"/>
      <c r="H30" s="13"/>
      <c r="I30" s="13"/>
      <c r="J30" s="13"/>
      <c r="K30" s="13"/>
      <c r="L30" s="13"/>
      <c r="M30" s="13"/>
    </row>
    <row r="31" spans="1:28">
      <c r="A31" s="35" t="s">
        <v>131</v>
      </c>
      <c r="B31" s="37">
        <v>3</v>
      </c>
      <c r="C31" s="37">
        <v>9</v>
      </c>
      <c r="D31" s="37">
        <v>9</v>
      </c>
      <c r="E31" s="37">
        <v>8</v>
      </c>
      <c r="F31" s="37">
        <v>7</v>
      </c>
      <c r="H31" s="15" t="s">
        <v>76</v>
      </c>
      <c r="I31" s="13"/>
      <c r="J31" s="13"/>
      <c r="K31" s="13"/>
      <c r="L31" s="13"/>
      <c r="M31" s="13"/>
    </row>
    <row r="32" spans="1:28">
      <c r="A32" s="9" t="s">
        <v>45</v>
      </c>
      <c r="B32" s="37">
        <v>8</v>
      </c>
      <c r="C32" s="37">
        <v>11</v>
      </c>
      <c r="D32" s="37">
        <v>12</v>
      </c>
      <c r="E32" s="37">
        <v>9</v>
      </c>
      <c r="F32" s="37">
        <v>6</v>
      </c>
      <c r="H32" s="13" t="s">
        <v>77</v>
      </c>
      <c r="I32" s="38">
        <f>SUM(I36:I43)</f>
        <v>19</v>
      </c>
      <c r="J32" s="38">
        <f t="shared" ref="J32:M32" si="5">SUM(J36:J43)</f>
        <v>60</v>
      </c>
      <c r="K32" s="38">
        <f t="shared" si="5"/>
        <v>73</v>
      </c>
      <c r="L32" s="38">
        <f t="shared" si="5"/>
        <v>87</v>
      </c>
      <c r="M32" s="38">
        <f t="shared" si="5"/>
        <v>92</v>
      </c>
    </row>
    <row r="33" spans="1:20">
      <c r="A33" s="9" t="s">
        <v>46</v>
      </c>
      <c r="B33" s="37">
        <v>10</v>
      </c>
      <c r="C33" s="37">
        <v>2</v>
      </c>
      <c r="D33" s="37">
        <v>1</v>
      </c>
      <c r="E33" s="37">
        <v>1</v>
      </c>
      <c r="F33" s="37">
        <v>1</v>
      </c>
      <c r="H33" s="13" t="s">
        <v>29</v>
      </c>
      <c r="I33" s="13"/>
      <c r="J33" s="13"/>
      <c r="K33" s="13"/>
      <c r="L33" s="13"/>
      <c r="M33" s="13"/>
    </row>
    <row r="34" spans="1:20">
      <c r="A34" s="9" t="s">
        <v>47</v>
      </c>
      <c r="B34" s="37">
        <v>18</v>
      </c>
      <c r="C34" s="37">
        <v>22</v>
      </c>
      <c r="D34" s="37">
        <v>17</v>
      </c>
      <c r="E34" s="37">
        <v>13</v>
      </c>
      <c r="F34" s="37">
        <v>9</v>
      </c>
      <c r="H34" s="23"/>
      <c r="I34" s="13"/>
      <c r="J34" s="13"/>
      <c r="K34" s="13"/>
      <c r="L34" s="13"/>
      <c r="M34" s="13"/>
    </row>
    <row r="35" spans="1:20">
      <c r="A35" s="9" t="s">
        <v>48</v>
      </c>
      <c r="B35" s="37">
        <v>13</v>
      </c>
      <c r="C35" s="37">
        <v>1</v>
      </c>
      <c r="D35" s="37">
        <v>1</v>
      </c>
      <c r="E35" s="37">
        <v>1</v>
      </c>
      <c r="F35" s="37">
        <v>1</v>
      </c>
      <c r="H35" s="15" t="s">
        <v>78</v>
      </c>
      <c r="I35" s="13"/>
      <c r="J35" s="13"/>
      <c r="K35" s="13"/>
      <c r="L35" s="13"/>
      <c r="M35" s="13"/>
    </row>
    <row r="36" spans="1:20">
      <c r="A36" s="9" t="s">
        <v>49</v>
      </c>
      <c r="B36" s="37">
        <v>0</v>
      </c>
      <c r="C36" s="37">
        <v>2</v>
      </c>
      <c r="D36" s="37">
        <v>2</v>
      </c>
      <c r="E36" s="37">
        <v>2</v>
      </c>
      <c r="F36" s="37">
        <v>1</v>
      </c>
      <c r="H36" s="13" t="s">
        <v>70</v>
      </c>
      <c r="I36" s="38">
        <v>6</v>
      </c>
      <c r="J36" s="38">
        <v>14</v>
      </c>
      <c r="K36" s="38">
        <v>21</v>
      </c>
      <c r="L36" s="38">
        <v>26</v>
      </c>
      <c r="M36" s="38">
        <v>30</v>
      </c>
      <c r="P36" s="17"/>
      <c r="Q36" s="4"/>
      <c r="R36" s="4"/>
      <c r="S36" s="4"/>
      <c r="T36" s="4"/>
    </row>
    <row r="37" spans="1:20">
      <c r="A37" s="9" t="s">
        <v>50</v>
      </c>
      <c r="B37" s="37">
        <v>4</v>
      </c>
      <c r="C37" s="37">
        <v>8</v>
      </c>
      <c r="D37" s="37">
        <v>9</v>
      </c>
      <c r="E37" s="37">
        <v>11</v>
      </c>
      <c r="F37" s="37">
        <v>12</v>
      </c>
      <c r="H37" s="13" t="s">
        <v>79</v>
      </c>
      <c r="I37" s="38">
        <v>0</v>
      </c>
      <c r="J37" s="38">
        <v>16</v>
      </c>
      <c r="K37" s="38">
        <v>17</v>
      </c>
      <c r="L37" s="38">
        <v>18</v>
      </c>
      <c r="M37" s="38">
        <v>18</v>
      </c>
      <c r="R37" s="21"/>
      <c r="S37" s="21"/>
      <c r="T37" s="21"/>
    </row>
    <row r="38" spans="1:20">
      <c r="A38" s="9" t="s">
        <v>51</v>
      </c>
      <c r="B38" s="37">
        <v>4</v>
      </c>
      <c r="C38" s="37">
        <v>4</v>
      </c>
      <c r="D38" s="37">
        <v>3</v>
      </c>
      <c r="E38" s="37">
        <v>3</v>
      </c>
      <c r="F38" s="37">
        <v>3</v>
      </c>
      <c r="H38" s="38" t="s">
        <v>133</v>
      </c>
      <c r="I38" s="38">
        <v>0</v>
      </c>
      <c r="J38" s="38">
        <v>1</v>
      </c>
      <c r="K38" s="38">
        <v>2</v>
      </c>
      <c r="L38" s="38">
        <v>8</v>
      </c>
      <c r="M38" s="38">
        <v>11</v>
      </c>
      <c r="R38" s="21"/>
    </row>
    <row r="39" spans="1:20">
      <c r="A39" s="9" t="s">
        <v>52</v>
      </c>
      <c r="B39" s="37">
        <v>25</v>
      </c>
      <c r="C39" s="37">
        <v>44</v>
      </c>
      <c r="D39" s="37">
        <v>46</v>
      </c>
      <c r="E39" s="37">
        <v>46</v>
      </c>
      <c r="F39" s="37">
        <v>46</v>
      </c>
      <c r="H39" s="39" t="s">
        <v>134</v>
      </c>
      <c r="I39" s="38">
        <v>0</v>
      </c>
      <c r="J39" s="38">
        <v>3</v>
      </c>
      <c r="K39" s="38">
        <v>4</v>
      </c>
      <c r="L39" s="38">
        <v>4</v>
      </c>
      <c r="M39" s="38">
        <v>3</v>
      </c>
      <c r="R39" s="21"/>
      <c r="S39" s="21"/>
      <c r="T39" s="21"/>
    </row>
    <row r="40" spans="1:20">
      <c r="A40" s="9" t="s">
        <v>53</v>
      </c>
      <c r="B40" s="37">
        <v>3</v>
      </c>
      <c r="C40" s="37">
        <v>6</v>
      </c>
      <c r="D40" s="37">
        <v>6</v>
      </c>
      <c r="E40" s="37">
        <v>6</v>
      </c>
      <c r="F40" s="37">
        <v>7</v>
      </c>
      <c r="H40" s="13" t="s">
        <v>55</v>
      </c>
      <c r="I40" s="38">
        <v>4</v>
      </c>
      <c r="J40" s="38">
        <v>10</v>
      </c>
      <c r="K40" s="38">
        <v>12</v>
      </c>
      <c r="L40" s="38">
        <v>14</v>
      </c>
      <c r="M40" s="38">
        <v>15</v>
      </c>
      <c r="R40" s="21"/>
      <c r="S40" s="21"/>
      <c r="T40" s="21"/>
    </row>
    <row r="41" spans="1:20">
      <c r="A41" s="9"/>
      <c r="B41" s="37"/>
      <c r="C41" s="37"/>
      <c r="D41" s="37"/>
      <c r="E41" s="37"/>
      <c r="F41" s="37"/>
      <c r="H41" s="13" t="s">
        <v>58</v>
      </c>
      <c r="I41" s="38">
        <v>0</v>
      </c>
      <c r="J41" s="38">
        <v>1</v>
      </c>
      <c r="K41" s="38">
        <v>1</v>
      </c>
      <c r="L41" s="38">
        <v>1</v>
      </c>
      <c r="M41" s="38">
        <v>0</v>
      </c>
      <c r="Q41" s="21"/>
      <c r="R41" s="21"/>
    </row>
    <row r="42" spans="1:20">
      <c r="A42" s="9"/>
      <c r="B42" s="37"/>
      <c r="C42" s="37"/>
      <c r="D42" s="37"/>
      <c r="E42" s="37"/>
      <c r="F42" s="37"/>
      <c r="H42" s="13" t="s">
        <v>59</v>
      </c>
      <c r="I42" s="38">
        <v>7</v>
      </c>
      <c r="J42" s="38">
        <v>11</v>
      </c>
      <c r="K42" s="38">
        <v>11</v>
      </c>
      <c r="L42" s="38">
        <v>10</v>
      </c>
      <c r="M42" s="38">
        <v>9</v>
      </c>
    </row>
    <row r="43" spans="1:20">
      <c r="A43" s="10" t="s">
        <v>54</v>
      </c>
      <c r="B43" s="37"/>
      <c r="C43" s="37"/>
      <c r="D43" s="37"/>
      <c r="E43" s="37"/>
      <c r="F43" s="37"/>
      <c r="H43" s="13" t="s">
        <v>60</v>
      </c>
      <c r="I43" s="38">
        <v>2</v>
      </c>
      <c r="J43" s="38">
        <v>4</v>
      </c>
      <c r="K43" s="38">
        <v>5</v>
      </c>
      <c r="L43" s="38">
        <v>6</v>
      </c>
      <c r="M43" s="38">
        <v>6</v>
      </c>
      <c r="Q43" s="21"/>
    </row>
    <row r="44" spans="1:20">
      <c r="A44" s="9"/>
      <c r="B44" s="36">
        <v>2000</v>
      </c>
      <c r="C44" s="36">
        <v>2022</v>
      </c>
      <c r="D44" s="36">
        <v>2030</v>
      </c>
      <c r="E44" s="36">
        <v>2040</v>
      </c>
      <c r="F44" s="36">
        <v>2050</v>
      </c>
    </row>
    <row r="45" spans="1:20">
      <c r="A45" s="35" t="s">
        <v>132</v>
      </c>
      <c r="B45" s="37">
        <v>7</v>
      </c>
      <c r="C45" s="37">
        <v>9</v>
      </c>
      <c r="D45" s="37">
        <v>10</v>
      </c>
      <c r="E45" s="37">
        <v>9</v>
      </c>
      <c r="F45" s="37">
        <v>8</v>
      </c>
    </row>
    <row r="46" spans="1:20">
      <c r="A46" s="9" t="s">
        <v>55</v>
      </c>
      <c r="B46" s="37">
        <v>44</v>
      </c>
      <c r="C46" s="37">
        <v>60</v>
      </c>
      <c r="D46" s="37">
        <v>65</v>
      </c>
      <c r="E46" s="37">
        <v>68</v>
      </c>
      <c r="F46" s="37">
        <v>69</v>
      </c>
    </row>
    <row r="47" spans="1:20">
      <c r="A47" s="9" t="s">
        <v>56</v>
      </c>
      <c r="B47" s="37">
        <v>19</v>
      </c>
      <c r="C47" s="37">
        <v>11</v>
      </c>
      <c r="D47" s="37">
        <v>11</v>
      </c>
      <c r="E47" s="37">
        <v>12</v>
      </c>
      <c r="F47" s="37">
        <v>12</v>
      </c>
      <c r="Q47" s="5"/>
      <c r="R47" s="5"/>
      <c r="S47" s="5"/>
      <c r="T47" s="5"/>
    </row>
    <row r="48" spans="1:20">
      <c r="A48" s="9" t="s">
        <v>57</v>
      </c>
      <c r="B48" s="37">
        <v>26</v>
      </c>
      <c r="C48" s="37">
        <v>49</v>
      </c>
      <c r="D48" s="37">
        <v>54</v>
      </c>
      <c r="E48" s="37">
        <v>56</v>
      </c>
      <c r="F48" s="37">
        <v>57</v>
      </c>
    </row>
    <row r="49" spans="1:21">
      <c r="A49" s="9" t="s">
        <v>58</v>
      </c>
      <c r="B49" s="37">
        <v>25</v>
      </c>
      <c r="C49" s="37">
        <v>34</v>
      </c>
      <c r="D49" s="37">
        <v>30</v>
      </c>
      <c r="E49" s="37">
        <v>23</v>
      </c>
      <c r="F49" s="37">
        <v>16</v>
      </c>
    </row>
    <row r="50" spans="1:21">
      <c r="A50" s="9" t="s">
        <v>59</v>
      </c>
      <c r="B50" s="37">
        <v>4</v>
      </c>
      <c r="C50" s="37">
        <v>2</v>
      </c>
      <c r="D50" s="37">
        <v>1</v>
      </c>
      <c r="E50" s="37">
        <v>1</v>
      </c>
      <c r="F50" s="37">
        <v>1</v>
      </c>
      <c r="Q50" s="5"/>
      <c r="R50" s="5"/>
      <c r="S50" s="5"/>
      <c r="T50" s="5"/>
      <c r="U50" s="5"/>
    </row>
    <row r="51" spans="1:21">
      <c r="A51" s="9" t="s">
        <v>60</v>
      </c>
      <c r="B51" s="37">
        <v>10</v>
      </c>
      <c r="C51" s="37">
        <v>3</v>
      </c>
      <c r="D51" s="37">
        <v>2</v>
      </c>
      <c r="E51" s="37">
        <v>2</v>
      </c>
      <c r="F51" s="37">
        <v>1</v>
      </c>
    </row>
    <row r="52" spans="1:21">
      <c r="A52" s="9" t="s">
        <v>42</v>
      </c>
      <c r="B52" s="37">
        <v>6</v>
      </c>
      <c r="C52" s="37">
        <v>1</v>
      </c>
      <c r="D52" s="37">
        <v>1</v>
      </c>
      <c r="E52" s="37">
        <v>1</v>
      </c>
      <c r="F52" s="37">
        <v>1</v>
      </c>
    </row>
    <row r="55" spans="1:21" ht="26.25">
      <c r="A55" s="18" t="s">
        <v>165</v>
      </c>
    </row>
    <row r="56" spans="1:21">
      <c r="A56" t="s">
        <v>37</v>
      </c>
      <c r="B56" s="42" t="s">
        <v>152</v>
      </c>
      <c r="C56" s="42" t="s">
        <v>153</v>
      </c>
      <c r="D56" s="42" t="s">
        <v>154</v>
      </c>
      <c r="E56" s="42" t="s">
        <v>155</v>
      </c>
      <c r="H56" t="s">
        <v>37</v>
      </c>
      <c r="I56" s="42" t="s">
        <v>152</v>
      </c>
      <c r="J56" s="42" t="s">
        <v>153</v>
      </c>
      <c r="K56" s="42" t="s">
        <v>154</v>
      </c>
      <c r="L56" s="42" t="s">
        <v>155</v>
      </c>
    </row>
    <row r="57" spans="1:21">
      <c r="A57" s="41" t="s">
        <v>135</v>
      </c>
      <c r="B57" s="43">
        <v>2.0539769348069999E-3</v>
      </c>
      <c r="C57" s="43">
        <v>134.15364181650034</v>
      </c>
      <c r="D57" s="43">
        <v>126.34443804138483</v>
      </c>
      <c r="E57" s="43">
        <v>0</v>
      </c>
      <c r="F57" s="17"/>
      <c r="H57" s="9" t="s">
        <v>156</v>
      </c>
      <c r="I57" s="4">
        <f>B57</f>
        <v>2.0539769348069999E-3</v>
      </c>
      <c r="J57" s="4">
        <f>C57</f>
        <v>134.15364181650034</v>
      </c>
      <c r="K57" s="4">
        <f>D57</f>
        <v>126.34443804138483</v>
      </c>
      <c r="L57" s="4">
        <f>E57</f>
        <v>0</v>
      </c>
    </row>
    <row r="58" spans="1:21">
      <c r="A58" s="41" t="s">
        <v>136</v>
      </c>
      <c r="B58" s="43">
        <v>1.1833512197100995</v>
      </c>
      <c r="C58" s="43">
        <v>34.172602862026565</v>
      </c>
      <c r="D58" s="43">
        <v>2.0094544089017332</v>
      </c>
      <c r="E58" s="43">
        <v>0.22644039721050724</v>
      </c>
      <c r="H58" s="35" t="s">
        <v>131</v>
      </c>
      <c r="I58" s="4"/>
      <c r="J58" s="4"/>
      <c r="K58" s="4"/>
      <c r="L58" s="4"/>
    </row>
    <row r="59" spans="1:21">
      <c r="A59" s="41" t="s">
        <v>137</v>
      </c>
      <c r="B59" s="43">
        <v>20.712785213387946</v>
      </c>
      <c r="C59" s="43">
        <v>26.315903959829377</v>
      </c>
      <c r="D59" s="43">
        <v>1.0476492785087702E-2</v>
      </c>
      <c r="E59" s="43">
        <v>12.292253545992715</v>
      </c>
      <c r="H59" s="9" t="s">
        <v>45</v>
      </c>
      <c r="I59" s="4">
        <f t="shared" ref="I59:L61" si="6">B59</f>
        <v>20.712785213387946</v>
      </c>
      <c r="J59" s="4">
        <f t="shared" si="6"/>
        <v>26.315903959829377</v>
      </c>
      <c r="K59" s="4">
        <f t="shared" si="6"/>
        <v>1.0476492785087702E-2</v>
      </c>
      <c r="L59" s="4">
        <f t="shared" si="6"/>
        <v>12.292253545992715</v>
      </c>
    </row>
    <row r="60" spans="1:21">
      <c r="A60" s="41" t="s">
        <v>138</v>
      </c>
      <c r="B60" s="43">
        <v>5.6979953214452657</v>
      </c>
      <c r="C60" s="43">
        <v>3.3697987862852883</v>
      </c>
      <c r="D60" s="43">
        <v>4.6213565256705003E-3</v>
      </c>
      <c r="E60" s="43">
        <v>0.61426581903560584</v>
      </c>
      <c r="H60" s="9" t="s">
        <v>46</v>
      </c>
      <c r="I60" s="4">
        <f t="shared" si="6"/>
        <v>5.6979953214452657</v>
      </c>
      <c r="J60" s="4">
        <f t="shared" si="6"/>
        <v>3.3697987862852883</v>
      </c>
      <c r="K60" s="4">
        <f t="shared" si="6"/>
        <v>4.6213565256705003E-3</v>
      </c>
      <c r="L60" s="4">
        <f t="shared" si="6"/>
        <v>0.61426581903560584</v>
      </c>
    </row>
    <row r="61" spans="1:21">
      <c r="A61" s="41" t="s">
        <v>139</v>
      </c>
      <c r="B61" s="43">
        <v>44.204472914572058</v>
      </c>
      <c r="C61" s="43">
        <v>52.270482742358077</v>
      </c>
      <c r="D61" s="43">
        <v>3.6727897753866909E-2</v>
      </c>
      <c r="E61" s="43">
        <v>24.934902771476597</v>
      </c>
      <c r="H61" s="9" t="s">
        <v>47</v>
      </c>
      <c r="I61" s="4">
        <f t="shared" si="6"/>
        <v>44.204472914572058</v>
      </c>
      <c r="J61" s="4">
        <f t="shared" si="6"/>
        <v>52.270482742358077</v>
      </c>
      <c r="K61" s="4">
        <f t="shared" si="6"/>
        <v>3.6727897753866909E-2</v>
      </c>
      <c r="L61" s="4">
        <f t="shared" si="6"/>
        <v>24.934902771476597</v>
      </c>
    </row>
    <row r="62" spans="1:21">
      <c r="A62" s="41" t="s">
        <v>140</v>
      </c>
      <c r="B62" s="43">
        <v>0.12371479264607822</v>
      </c>
      <c r="C62" s="43">
        <v>0.16159351046553541</v>
      </c>
      <c r="D62" s="43">
        <v>0</v>
      </c>
      <c r="E62" s="43">
        <v>3.8433122390670008E-3</v>
      </c>
      <c r="H62" s="9" t="s">
        <v>48</v>
      </c>
      <c r="I62" s="4">
        <f>SUM(B62:B64)</f>
        <v>11.278661471729214</v>
      </c>
      <c r="J62" s="4">
        <f>SUM(C62:C64)</f>
        <v>12.152609808053683</v>
      </c>
      <c r="K62" s="4">
        <f>SUM(D62:D64)</f>
        <v>2.5483067888069821</v>
      </c>
      <c r="L62" s="4">
        <f>SUM(E62:E64)</f>
        <v>1.5334145370352916</v>
      </c>
    </row>
    <row r="63" spans="1:21">
      <c r="A63" s="41" t="s">
        <v>141</v>
      </c>
      <c r="B63" s="43">
        <v>1.1677253479082101E-2</v>
      </c>
      <c r="C63" s="43">
        <v>2.4847817983573203E-2</v>
      </c>
      <c r="D63" s="43">
        <v>0</v>
      </c>
      <c r="E63" s="43">
        <v>0</v>
      </c>
      <c r="H63" s="9" t="s">
        <v>49</v>
      </c>
      <c r="I63" s="4">
        <f>B67</f>
        <v>15.051240429248077</v>
      </c>
      <c r="J63" s="4">
        <f>C67</f>
        <v>17.621172001059218</v>
      </c>
      <c r="K63" s="4">
        <f>D67</f>
        <v>3.0221014970580002E-4</v>
      </c>
      <c r="L63" s="4">
        <f>E67</f>
        <v>10.508079113100809</v>
      </c>
    </row>
    <row r="64" spans="1:21">
      <c r="A64" s="41" t="s">
        <v>142</v>
      </c>
      <c r="B64" s="43">
        <v>11.143269425604053</v>
      </c>
      <c r="C64" s="43">
        <v>11.966168479604574</v>
      </c>
      <c r="D64" s="43">
        <v>2.5483067888069821</v>
      </c>
      <c r="E64" s="43">
        <v>1.5295712247962245</v>
      </c>
      <c r="H64" s="9" t="s">
        <v>50</v>
      </c>
    </row>
    <row r="65" spans="1:15">
      <c r="A65" s="41" t="s">
        <v>143</v>
      </c>
      <c r="B65" s="43">
        <v>36.82803565644398</v>
      </c>
      <c r="C65" s="43">
        <v>62.195036438388691</v>
      </c>
      <c r="D65" s="43">
        <v>28.987307957814441</v>
      </c>
      <c r="E65" s="43">
        <v>4.1585818389043725</v>
      </c>
      <c r="H65" s="9" t="s">
        <v>51</v>
      </c>
    </row>
    <row r="66" spans="1:15">
      <c r="A66" s="41" t="s">
        <v>144</v>
      </c>
      <c r="B66" s="43">
        <v>0.34509104126600676</v>
      </c>
      <c r="C66" s="43">
        <v>0.33128621244075218</v>
      </c>
      <c r="D66" s="43">
        <v>1.1405202451335E-3</v>
      </c>
      <c r="E66" s="43">
        <v>0.13498085245201202</v>
      </c>
      <c r="H66" s="9" t="s">
        <v>52</v>
      </c>
      <c r="I66" s="4">
        <f>B65</f>
        <v>36.82803565644398</v>
      </c>
      <c r="J66" s="4">
        <f>C65</f>
        <v>62.195036438388691</v>
      </c>
      <c r="K66" s="4">
        <f>D65</f>
        <v>28.987307957814441</v>
      </c>
      <c r="L66" s="4">
        <f>E65</f>
        <v>4.1585818389043725</v>
      </c>
    </row>
    <row r="67" spans="1:15">
      <c r="A67" s="41" t="s">
        <v>145</v>
      </c>
      <c r="B67" s="43">
        <v>15.051240429248077</v>
      </c>
      <c r="C67" s="43">
        <v>17.621172001059218</v>
      </c>
      <c r="D67" s="43">
        <v>3.0221014970580002E-4</v>
      </c>
      <c r="E67" s="43">
        <v>10.508079113100809</v>
      </c>
      <c r="H67" s="9" t="s">
        <v>53</v>
      </c>
    </row>
    <row r="68" spans="1:15">
      <c r="A68" s="41" t="s">
        <v>146</v>
      </c>
      <c r="B68" s="43">
        <v>3.0938324273111704</v>
      </c>
      <c r="C68" s="43">
        <v>23.459992778500332</v>
      </c>
      <c r="D68" s="43">
        <v>13.11764293834332</v>
      </c>
      <c r="E68" s="43">
        <v>8.6086369701118506E-2</v>
      </c>
      <c r="H68" t="s">
        <v>37</v>
      </c>
      <c r="I68" s="42" t="s">
        <v>152</v>
      </c>
      <c r="J68" s="42" t="s">
        <v>153</v>
      </c>
      <c r="K68" s="42" t="s">
        <v>154</v>
      </c>
      <c r="L68" s="42" t="s">
        <v>155</v>
      </c>
    </row>
    <row r="69" spans="1:15">
      <c r="A69" s="41" t="s">
        <v>147</v>
      </c>
      <c r="B69" s="43">
        <v>2.1163487272350929</v>
      </c>
      <c r="C69" s="43">
        <v>2.8052636859695368</v>
      </c>
      <c r="D69" s="43">
        <v>6.7533032189469003E-2</v>
      </c>
      <c r="E69" s="43">
        <v>1.6920101008175088</v>
      </c>
      <c r="H69" s="1" t="s">
        <v>3</v>
      </c>
      <c r="I69" s="4">
        <f>I59</f>
        <v>20.712785213387946</v>
      </c>
      <c r="J69" s="4">
        <f t="shared" ref="J69:L69" si="7">J59</f>
        <v>26.315903959829377</v>
      </c>
      <c r="K69" s="4">
        <f t="shared" si="7"/>
        <v>1.0476492785087702E-2</v>
      </c>
      <c r="L69" s="4">
        <f t="shared" si="7"/>
        <v>12.292253545992715</v>
      </c>
    </row>
    <row r="70" spans="1:15">
      <c r="A70" s="41" t="s">
        <v>148</v>
      </c>
      <c r="B70" s="43">
        <v>4.0545427819323177</v>
      </c>
      <c r="C70" s="43">
        <v>4.5413297017412946</v>
      </c>
      <c r="D70" s="43">
        <v>0.19663775008742762</v>
      </c>
      <c r="E70" s="43">
        <v>3.1133099856530513</v>
      </c>
      <c r="H70" s="1" t="s">
        <v>13</v>
      </c>
      <c r="I70" s="4">
        <f>I61</f>
        <v>44.204472914572058</v>
      </c>
      <c r="J70" s="4">
        <f t="shared" ref="J70:L70" si="8">J61</f>
        <v>52.270482742358077</v>
      </c>
      <c r="K70" s="4">
        <f t="shared" si="8"/>
        <v>3.6727897753866909E-2</v>
      </c>
      <c r="L70" s="4">
        <f t="shared" si="8"/>
        <v>24.934902771476597</v>
      </c>
    </row>
    <row r="71" spans="1:15">
      <c r="A71" s="41" t="s">
        <v>149</v>
      </c>
      <c r="B71" s="43">
        <v>8.8031911892287873</v>
      </c>
      <c r="C71" s="43">
        <v>10.407747734463236</v>
      </c>
      <c r="D71" s="43">
        <v>0</v>
      </c>
      <c r="E71" s="43">
        <v>1.7911154024120239</v>
      </c>
      <c r="H71" s="1" t="s">
        <v>4</v>
      </c>
      <c r="I71" s="4">
        <f>I63+I60</f>
        <v>20.749235750693344</v>
      </c>
      <c r="J71" s="4">
        <f t="shared" ref="J71:L71" si="9">J63+J60</f>
        <v>20.990970787344505</v>
      </c>
      <c r="K71" s="4">
        <f t="shared" si="9"/>
        <v>4.9235666753762999E-3</v>
      </c>
      <c r="L71" s="4">
        <f t="shared" si="9"/>
        <v>11.122344932136414</v>
      </c>
    </row>
    <row r="72" spans="1:15">
      <c r="A72" s="41" t="s">
        <v>150</v>
      </c>
      <c r="B72" s="43">
        <v>0.21738269918030823</v>
      </c>
      <c r="C72" s="43">
        <v>0.22111750740750935</v>
      </c>
      <c r="D72" s="43">
        <v>0</v>
      </c>
      <c r="E72" s="43">
        <v>3.1830212574948898E-2</v>
      </c>
      <c r="H72" s="1" t="s">
        <v>5</v>
      </c>
      <c r="I72" s="4">
        <f>I57</f>
        <v>2.0539769348069999E-3</v>
      </c>
      <c r="J72" s="4">
        <f t="shared" ref="J72:L72" si="10">J57</f>
        <v>134.15364181650034</v>
      </c>
      <c r="K72" s="4">
        <f t="shared" si="10"/>
        <v>126.34443804138483</v>
      </c>
      <c r="L72" s="4">
        <f t="shared" si="10"/>
        <v>0</v>
      </c>
    </row>
    <row r="73" spans="1:15">
      <c r="A73" s="41" t="s">
        <v>151</v>
      </c>
      <c r="B73" s="44"/>
      <c r="C73" s="44"/>
      <c r="D73" s="44"/>
      <c r="E73" s="44"/>
      <c r="H73" s="1" t="s">
        <v>19</v>
      </c>
      <c r="I73" s="4">
        <f>I62</f>
        <v>11.278661471729214</v>
      </c>
      <c r="J73" s="4">
        <f t="shared" ref="J73:L73" si="11">J62</f>
        <v>12.152609808053683</v>
      </c>
      <c r="K73" s="4">
        <f t="shared" si="11"/>
        <v>2.5483067888069821</v>
      </c>
      <c r="L73" s="4">
        <f t="shared" si="11"/>
        <v>1.5334145370352916</v>
      </c>
    </row>
    <row r="74" spans="1:15">
      <c r="H74" s="1" t="s">
        <v>6</v>
      </c>
      <c r="I74" s="4">
        <f>B68</f>
        <v>3.0938324273111704</v>
      </c>
      <c r="J74" s="4">
        <f>C68</f>
        <v>23.459992778500332</v>
      </c>
      <c r="K74" s="4">
        <f>D68</f>
        <v>13.11764293834332</v>
      </c>
      <c r="L74" s="4">
        <f>E68</f>
        <v>8.6086369701118506E-2</v>
      </c>
    </row>
    <row r="76" spans="1:15">
      <c r="A76" s="9" t="s">
        <v>157</v>
      </c>
      <c r="B76" s="9"/>
      <c r="C76" s="9"/>
      <c r="D76" s="9"/>
      <c r="E76" s="9"/>
      <c r="F76" s="9"/>
      <c r="H76" s="9" t="s">
        <v>157</v>
      </c>
      <c r="I76" s="9"/>
      <c r="J76" s="9"/>
      <c r="K76" s="9"/>
      <c r="L76" s="9"/>
      <c r="M76" s="9"/>
      <c r="O76" s="4"/>
    </row>
    <row r="77" spans="1:15">
      <c r="A77" s="9" t="s">
        <v>162</v>
      </c>
      <c r="B77" s="36">
        <v>2000</v>
      </c>
      <c r="C77" s="36">
        <v>2022</v>
      </c>
      <c r="D77" s="36">
        <v>2030</v>
      </c>
      <c r="E77" s="36">
        <v>2040</v>
      </c>
      <c r="F77" s="36">
        <v>2050</v>
      </c>
      <c r="H77" s="9" t="s">
        <v>164</v>
      </c>
      <c r="I77" s="36">
        <v>2000</v>
      </c>
      <c r="J77" s="36">
        <v>2022</v>
      </c>
      <c r="K77" s="36">
        <v>2030</v>
      </c>
      <c r="L77" s="36">
        <v>2040</v>
      </c>
      <c r="M77" s="36">
        <v>2050</v>
      </c>
      <c r="O77" s="4"/>
    </row>
    <row r="78" spans="1:15">
      <c r="A78" s="45" t="s">
        <v>3</v>
      </c>
      <c r="B78" s="46">
        <v>12.015396197418729</v>
      </c>
      <c r="C78" s="46">
        <f t="shared" ref="C78:C83" si="12">J69</f>
        <v>26.315903959829377</v>
      </c>
      <c r="D78" s="47">
        <f>C78/$C$25*$D$25</f>
        <v>26.076668469285472</v>
      </c>
      <c r="E78" s="47">
        <f>D78/$C$25*$E$25</f>
        <v>24.654304734597176</v>
      </c>
      <c r="F78" s="47">
        <f>E78/$C$25*$F$25</f>
        <v>21.292354088970288</v>
      </c>
      <c r="H78" s="45" t="s">
        <v>3</v>
      </c>
      <c r="I78" s="48">
        <f>B78*$I$105</f>
        <v>476490581614269.81</v>
      </c>
      <c r="J78" s="48">
        <f>C78*$I$105</f>
        <v>1043601074612769.1</v>
      </c>
      <c r="K78" s="48">
        <f t="shared" ref="K78:M78" si="13">D78*$I$105</f>
        <v>1034113792116289.4</v>
      </c>
      <c r="L78" s="48">
        <f t="shared" si="13"/>
        <v>977707585273582.75</v>
      </c>
      <c r="M78" s="48">
        <f t="shared" si="13"/>
        <v>844383823645367</v>
      </c>
      <c r="O78" s="4"/>
    </row>
    <row r="79" spans="1:15">
      <c r="A79" s="45" t="s">
        <v>13</v>
      </c>
      <c r="B79" s="46">
        <v>35.430224322266731</v>
      </c>
      <c r="C79" s="46">
        <f t="shared" si="12"/>
        <v>52.270482742358077</v>
      </c>
      <c r="D79" s="47">
        <f t="shared" ref="D79:D83" si="14">C79/$C$25*$D$25</f>
        <v>51.795296535609367</v>
      </c>
      <c r="E79" s="47">
        <f t="shared" ref="E79:E83" si="15">D79/$C$25*$E$25</f>
        <v>48.970098542757945</v>
      </c>
      <c r="F79" s="47">
        <f t="shared" ref="F79:F83" si="16">E79/$C$25*$F$25</f>
        <v>42.292357832381867</v>
      </c>
      <c r="H79" s="45" t="s">
        <v>13</v>
      </c>
      <c r="I79" s="48">
        <f t="shared" ref="I79:J83" si="17">B79*$I$105</f>
        <v>1405044654097026.3</v>
      </c>
      <c r="J79" s="48">
        <f t="shared" si="17"/>
        <v>2072873196517273.5</v>
      </c>
      <c r="K79" s="48">
        <f t="shared" ref="K79:K83" si="18">D79*$I$105</f>
        <v>2054028894730752.8</v>
      </c>
      <c r="L79" s="48">
        <f t="shared" ref="L79:L83" si="19">E79*$I$105</f>
        <v>1941990955018166.3</v>
      </c>
      <c r="M79" s="48">
        <f t="shared" ref="M79:M83" si="20">F79*$I$105</f>
        <v>1677174006606598.3</v>
      </c>
      <c r="O79" s="4"/>
    </row>
    <row r="80" spans="1:15">
      <c r="A80" s="45" t="s">
        <v>4</v>
      </c>
      <c r="B80" s="46">
        <v>23.448230319342432</v>
      </c>
      <c r="C80" s="46">
        <f t="shared" si="12"/>
        <v>20.990970787344505</v>
      </c>
      <c r="D80" s="47">
        <f t="shared" si="14"/>
        <v>20.800143780186826</v>
      </c>
      <c r="E80" s="47">
        <f t="shared" si="15"/>
        <v>19.665590483085726</v>
      </c>
      <c r="F80" s="47">
        <f t="shared" si="16"/>
        <v>16.983919053574034</v>
      </c>
      <c r="H80" s="45" t="s">
        <v>4</v>
      </c>
      <c r="I80" s="48">
        <f t="shared" si="17"/>
        <v>929878692230648.25</v>
      </c>
      <c r="J80" s="48">
        <f t="shared" si="17"/>
        <v>832431966018620.63</v>
      </c>
      <c r="K80" s="48">
        <f t="shared" si="18"/>
        <v>824864402691178.5</v>
      </c>
      <c r="L80" s="48">
        <f t="shared" si="19"/>
        <v>779871798908023.25</v>
      </c>
      <c r="M80" s="48">
        <f t="shared" si="20"/>
        <v>673525644511474.63</v>
      </c>
      <c r="O80" s="4"/>
    </row>
    <row r="81" spans="1:15">
      <c r="A81" s="45" t="s">
        <v>5</v>
      </c>
      <c r="B81" s="46">
        <v>120.59980659692839</v>
      </c>
      <c r="C81" s="46">
        <f t="shared" si="12"/>
        <v>134.15364181650034</v>
      </c>
      <c r="D81" s="47">
        <f t="shared" si="14"/>
        <v>132.93406325453216</v>
      </c>
      <c r="E81" s="47">
        <f t="shared" si="15"/>
        <v>125.6831143497395</v>
      </c>
      <c r="F81" s="47">
        <f t="shared" si="16"/>
        <v>108.54450784750229</v>
      </c>
      <c r="H81" s="45" t="s">
        <v>5</v>
      </c>
      <c r="I81" s="48">
        <f t="shared" si="17"/>
        <v>4782586528464539</v>
      </c>
      <c r="J81" s="48">
        <f t="shared" si="17"/>
        <v>5320086476095500</v>
      </c>
      <c r="K81" s="48">
        <f t="shared" si="18"/>
        <v>5271722053585541</v>
      </c>
      <c r="L81" s="48">
        <f t="shared" si="19"/>
        <v>4984173577935421</v>
      </c>
      <c r="M81" s="48">
        <f t="shared" si="20"/>
        <v>4304513544580590.5</v>
      </c>
      <c r="O81" s="4"/>
    </row>
    <row r="82" spans="1:15">
      <c r="A82" s="45" t="s">
        <v>19</v>
      </c>
      <c r="B82" s="46">
        <v>38.507272729906148</v>
      </c>
      <c r="C82" s="46">
        <f t="shared" si="12"/>
        <v>12.152609808053683</v>
      </c>
      <c r="D82" s="47">
        <f t="shared" si="14"/>
        <v>12.042131537071377</v>
      </c>
      <c r="E82" s="47">
        <f t="shared" si="15"/>
        <v>11.385287998685666</v>
      </c>
      <c r="F82" s="47">
        <f t="shared" si="16"/>
        <v>9.8327487261376216</v>
      </c>
      <c r="H82" s="45" t="s">
        <v>19</v>
      </c>
      <c r="I82" s="48">
        <f t="shared" si="17"/>
        <v>1527070142172596.3</v>
      </c>
      <c r="J82" s="48">
        <f t="shared" si="17"/>
        <v>481932016258837.69</v>
      </c>
      <c r="K82" s="48">
        <f t="shared" si="18"/>
        <v>477550816111030.06</v>
      </c>
      <c r="L82" s="48">
        <f t="shared" si="19"/>
        <v>451502589777701.19</v>
      </c>
      <c r="M82" s="48">
        <f t="shared" si="20"/>
        <v>389934054808014.69</v>
      </c>
    </row>
    <row r="83" spans="1:15">
      <c r="A83" s="45" t="s">
        <v>6</v>
      </c>
      <c r="B83" s="46">
        <v>19.741864578337328</v>
      </c>
      <c r="C83" s="46">
        <f t="shared" si="12"/>
        <v>23.459992778500332</v>
      </c>
      <c r="D83" s="47">
        <f t="shared" si="14"/>
        <v>23.246720116877601</v>
      </c>
      <c r="E83" s="47">
        <f t="shared" si="15"/>
        <v>21.978717201411552</v>
      </c>
      <c r="F83" s="47">
        <f t="shared" si="16"/>
        <v>18.981619401219067</v>
      </c>
      <c r="H83" s="45" t="s">
        <v>6</v>
      </c>
      <c r="I83" s="48">
        <f t="shared" si="17"/>
        <v>782896575404061.38</v>
      </c>
      <c r="J83" s="48">
        <f t="shared" si="17"/>
        <v>930345152171983</v>
      </c>
      <c r="K83" s="48">
        <f t="shared" si="18"/>
        <v>921887468970419.5</v>
      </c>
      <c r="L83" s="48">
        <f t="shared" si="19"/>
        <v>871602697935669.38</v>
      </c>
      <c r="M83" s="48">
        <f t="shared" si="20"/>
        <v>752747784580805.38</v>
      </c>
    </row>
    <row r="84" spans="1:15">
      <c r="A84" s="9"/>
      <c r="B84" s="9"/>
      <c r="C84" s="46"/>
      <c r="D84" s="9"/>
      <c r="E84" s="9"/>
      <c r="F84" s="9"/>
      <c r="H84" s="9"/>
      <c r="I84" s="9"/>
      <c r="J84" s="46"/>
      <c r="K84" s="9"/>
      <c r="L84" s="9"/>
      <c r="M84" s="9"/>
    </row>
    <row r="85" spans="1:15">
      <c r="A85" s="9"/>
      <c r="B85" s="9"/>
      <c r="C85" s="9"/>
      <c r="D85" s="9"/>
      <c r="E85" s="9"/>
      <c r="F85" s="9"/>
      <c r="H85" s="9"/>
      <c r="I85" s="9"/>
      <c r="J85" s="9"/>
      <c r="K85" s="9"/>
      <c r="L85" s="9"/>
      <c r="M85" s="9"/>
    </row>
    <row r="86" spans="1:15">
      <c r="A86" s="9" t="s">
        <v>161</v>
      </c>
      <c r="B86" s="9"/>
      <c r="C86" s="9"/>
      <c r="D86" s="9"/>
      <c r="E86" s="9"/>
      <c r="F86" s="9"/>
      <c r="H86" s="9" t="s">
        <v>161</v>
      </c>
      <c r="I86" s="9"/>
      <c r="J86" s="9"/>
      <c r="K86" s="9"/>
      <c r="L86" s="9"/>
      <c r="M86" s="9"/>
    </row>
    <row r="87" spans="1:15">
      <c r="A87" s="9" t="s">
        <v>162</v>
      </c>
      <c r="B87" s="36">
        <v>2000</v>
      </c>
      <c r="C87" s="36">
        <v>2022</v>
      </c>
      <c r="D87" s="36">
        <v>2030</v>
      </c>
      <c r="E87" s="36">
        <v>2040</v>
      </c>
      <c r="F87" s="36">
        <v>2050</v>
      </c>
      <c r="H87" s="9" t="s">
        <v>162</v>
      </c>
      <c r="I87" s="36">
        <v>2000</v>
      </c>
      <c r="J87" s="36">
        <v>2022</v>
      </c>
      <c r="K87" s="36">
        <v>2030</v>
      </c>
      <c r="L87" s="36">
        <v>2040</v>
      </c>
      <c r="M87" s="36">
        <v>2050</v>
      </c>
    </row>
    <row r="88" spans="1:15">
      <c r="A88" s="45" t="s">
        <v>3</v>
      </c>
      <c r="B88" s="46">
        <v>9.0715660219944913E-2</v>
      </c>
      <c r="C88" s="46">
        <f t="shared" ref="C88:C93" si="21">K69</f>
        <v>1.0476492785087702E-2</v>
      </c>
      <c r="D88" s="46">
        <f>C88</f>
        <v>1.0476492785087702E-2</v>
      </c>
      <c r="E88" s="46">
        <f t="shared" ref="E88:F88" si="22">D88</f>
        <v>1.0476492785087702E-2</v>
      </c>
      <c r="F88" s="46">
        <f t="shared" si="22"/>
        <v>1.0476492785087702E-2</v>
      </c>
      <c r="H88" s="45" t="s">
        <v>3</v>
      </c>
      <c r="I88" s="48">
        <f>B88*$I$105</f>
        <v>3597480847865.0171</v>
      </c>
      <c r="J88" s="48">
        <f>C88*$I$105</f>
        <v>415462799430.33112</v>
      </c>
      <c r="K88" s="48">
        <f t="shared" ref="K88:K93" si="23">D88*$I$105</f>
        <v>415462799430.33112</v>
      </c>
      <c r="L88" s="48">
        <f t="shared" ref="L88:L93" si="24">E88*$I$105</f>
        <v>415462799430.33112</v>
      </c>
      <c r="M88" s="48">
        <f t="shared" ref="M88:M93" si="25">F88*$I$105</f>
        <v>415462799430.33112</v>
      </c>
    </row>
    <row r="89" spans="1:15">
      <c r="A89" s="45" t="s">
        <v>13</v>
      </c>
      <c r="B89" s="46">
        <v>0.34527348157705834</v>
      </c>
      <c r="C89" s="46">
        <f t="shared" si="21"/>
        <v>3.6727897753866909E-2</v>
      </c>
      <c r="D89" s="46">
        <f t="shared" ref="D89:F90" si="26">C89</f>
        <v>3.6727897753866909E-2</v>
      </c>
      <c r="E89" s="46">
        <f t="shared" si="26"/>
        <v>3.6727897753866909E-2</v>
      </c>
      <c r="F89" s="46">
        <f t="shared" si="26"/>
        <v>3.6727897753866909E-2</v>
      </c>
      <c r="H89" s="45" t="s">
        <v>13</v>
      </c>
      <c r="I89" s="48">
        <f t="shared" ref="I89:J93" si="27">B89*$I$105</f>
        <v>13692395935140.299</v>
      </c>
      <c r="J89" s="48">
        <f t="shared" si="27"/>
        <v>1456506058948.6941</v>
      </c>
      <c r="K89" s="48">
        <f t="shared" si="23"/>
        <v>1456506058948.6941</v>
      </c>
      <c r="L89" s="48">
        <f t="shared" si="24"/>
        <v>1456506058948.6941</v>
      </c>
      <c r="M89" s="48">
        <f t="shared" si="25"/>
        <v>1456506058948.6941</v>
      </c>
    </row>
    <row r="90" spans="1:15">
      <c r="A90" s="45" t="s">
        <v>4</v>
      </c>
      <c r="B90" s="46">
        <v>1.049384784779432</v>
      </c>
      <c r="C90" s="46">
        <f t="shared" si="21"/>
        <v>4.9235666753762999E-3</v>
      </c>
      <c r="D90" s="46">
        <f t="shared" si="26"/>
        <v>4.9235666753762999E-3</v>
      </c>
      <c r="E90" s="46">
        <f t="shared" si="26"/>
        <v>4.9235666753762999E-3</v>
      </c>
      <c r="F90" s="46">
        <f t="shared" si="26"/>
        <v>4.9235666753762999E-3</v>
      </c>
      <c r="H90" s="45" t="s">
        <v>4</v>
      </c>
      <c r="I90" s="48">
        <f t="shared" si="27"/>
        <v>41615104339558.672</v>
      </c>
      <c r="J90" s="48">
        <f t="shared" si="27"/>
        <v>195252250547.56738</v>
      </c>
      <c r="K90" s="48">
        <f t="shared" si="23"/>
        <v>195252250547.56738</v>
      </c>
      <c r="L90" s="48">
        <f t="shared" si="24"/>
        <v>195252250547.56738</v>
      </c>
      <c r="M90" s="48">
        <f t="shared" si="25"/>
        <v>195252250547.56738</v>
      </c>
    </row>
    <row r="91" spans="1:15">
      <c r="A91" s="45" t="s">
        <v>5</v>
      </c>
      <c r="B91" s="46">
        <v>109.51868940760367</v>
      </c>
      <c r="C91" s="46">
        <f t="shared" si="21"/>
        <v>126.34443804138483</v>
      </c>
      <c r="D91" s="47">
        <f>D81*$C91/$C81</f>
        <v>125.19585224100862</v>
      </c>
      <c r="E91" s="47">
        <f>E81*$C91/$C81</f>
        <v>118.36698757331723</v>
      </c>
      <c r="F91" s="47">
        <f t="shared" ref="F91" si="28">F81*$C91/$C81</f>
        <v>102.22603472241033</v>
      </c>
      <c r="H91" s="45" t="s">
        <v>5</v>
      </c>
      <c r="I91" s="48">
        <f t="shared" si="27"/>
        <v>4343146339583249.5</v>
      </c>
      <c r="J91" s="48">
        <f t="shared" si="27"/>
        <v>5010399472220544</v>
      </c>
      <c r="K91" s="48">
        <f t="shared" si="23"/>
        <v>4964850386109449</v>
      </c>
      <c r="L91" s="48">
        <f t="shared" si="24"/>
        <v>4694040365048933</v>
      </c>
      <c r="M91" s="48">
        <f t="shared" si="25"/>
        <v>4053943951633169.5</v>
      </c>
    </row>
    <row r="92" spans="1:15">
      <c r="A92" s="45" t="s">
        <v>19</v>
      </c>
      <c r="B92" s="46">
        <v>3.075890831165053</v>
      </c>
      <c r="C92" s="46">
        <f t="shared" si="21"/>
        <v>2.5483067888069821</v>
      </c>
      <c r="D92" s="47">
        <f>D82*$C92/$C82</f>
        <v>2.5251403634541916</v>
      </c>
      <c r="E92" s="47">
        <f t="shared" ref="E92:F92" si="29">E82*$C92/$C82</f>
        <v>2.3874054345385085</v>
      </c>
      <c r="F92" s="47">
        <f t="shared" si="29"/>
        <v>2.0618501480105302</v>
      </c>
      <c r="H92" s="45" t="s">
        <v>19</v>
      </c>
      <c r="I92" s="48">
        <f t="shared" si="27"/>
        <v>121979582449282.72</v>
      </c>
      <c r="J92" s="48">
        <f t="shared" si="27"/>
        <v>101057357075839.72</v>
      </c>
      <c r="K92" s="48">
        <f t="shared" si="23"/>
        <v>100138653829695.72</v>
      </c>
      <c r="L92" s="48">
        <f t="shared" si="24"/>
        <v>94676545438985.047</v>
      </c>
      <c r="M92" s="48">
        <f t="shared" si="25"/>
        <v>81766107424578</v>
      </c>
    </row>
    <row r="93" spans="1:15">
      <c r="A93" s="45" t="s">
        <v>6</v>
      </c>
      <c r="B93" s="46">
        <v>6.8315889004454853</v>
      </c>
      <c r="C93" s="46">
        <f t="shared" si="21"/>
        <v>13.11764293834332</v>
      </c>
      <c r="D93" s="47">
        <f>D83*$C93/$C83</f>
        <v>12.998391638903833</v>
      </c>
      <c r="E93" s="47">
        <f t="shared" ref="E93:F93" si="30">E83*$C93/$C83</f>
        <v>12.289388458599991</v>
      </c>
      <c r="F93" s="47">
        <f t="shared" si="30"/>
        <v>10.613562759699992</v>
      </c>
      <c r="H93" s="45" t="s">
        <v>6</v>
      </c>
      <c r="I93" s="48">
        <f t="shared" si="27"/>
        <v>270918055055244.22</v>
      </c>
      <c r="J93" s="48">
        <f t="shared" si="27"/>
        <v>520202015014894.81</v>
      </c>
      <c r="K93" s="48">
        <f t="shared" si="23"/>
        <v>515472905787486.56</v>
      </c>
      <c r="L93" s="48">
        <f t="shared" si="24"/>
        <v>487356201835442</v>
      </c>
      <c r="M93" s="48">
        <f t="shared" si="25"/>
        <v>420898537948790.81</v>
      </c>
    </row>
    <row r="94" spans="1:15">
      <c r="A94" s="9"/>
      <c r="B94" s="9"/>
      <c r="C94" s="9"/>
      <c r="D94" s="9"/>
      <c r="E94" s="9"/>
      <c r="F94" s="9"/>
      <c r="H94" s="9"/>
      <c r="I94" s="9"/>
      <c r="J94" s="9"/>
      <c r="K94" s="9"/>
      <c r="L94" s="9"/>
      <c r="M94" s="9"/>
    </row>
    <row r="95" spans="1:15">
      <c r="A95" s="9" t="s">
        <v>163</v>
      </c>
      <c r="B95" s="9"/>
      <c r="C95" s="9"/>
      <c r="D95" s="9"/>
      <c r="E95" s="9"/>
      <c r="F95" s="9"/>
      <c r="H95" s="9" t="s">
        <v>163</v>
      </c>
      <c r="I95" s="9"/>
      <c r="J95" s="9"/>
      <c r="K95" s="9"/>
      <c r="L95" s="9"/>
      <c r="M95" s="9"/>
    </row>
    <row r="96" spans="1:15">
      <c r="A96" s="9" t="s">
        <v>162</v>
      </c>
      <c r="B96" s="36">
        <v>2000</v>
      </c>
      <c r="C96" s="36">
        <v>2022</v>
      </c>
      <c r="D96" s="36">
        <v>2030</v>
      </c>
      <c r="E96" s="36">
        <v>2040</v>
      </c>
      <c r="F96" s="36">
        <v>2050</v>
      </c>
      <c r="H96" s="9" t="s">
        <v>162</v>
      </c>
      <c r="I96" s="36">
        <v>2000</v>
      </c>
      <c r="J96" s="36">
        <v>2022</v>
      </c>
      <c r="K96" s="36">
        <v>2030</v>
      </c>
      <c r="L96" s="36">
        <v>2040</v>
      </c>
      <c r="M96" s="36">
        <v>2050</v>
      </c>
    </row>
    <row r="97" spans="1:13">
      <c r="A97" s="45" t="s">
        <v>3</v>
      </c>
      <c r="B97" s="46">
        <v>1.8216727315374486</v>
      </c>
      <c r="C97" s="46">
        <f t="shared" ref="C97:C102" si="31">L69</f>
        <v>12.292253545992715</v>
      </c>
      <c r="D97" s="47">
        <f>D78*$C97/$C78</f>
        <v>12.180505786483689</v>
      </c>
      <c r="E97" s="47">
        <f t="shared" ref="E97:F97" si="32">E78*$C97/$C78</f>
        <v>11.516114561766399</v>
      </c>
      <c r="F97" s="47">
        <f t="shared" si="32"/>
        <v>9.9457353033437066</v>
      </c>
      <c r="H97" s="45" t="s">
        <v>3</v>
      </c>
      <c r="I97" s="48">
        <f>B97*$I$105</f>
        <v>72241471283952.281</v>
      </c>
      <c r="J97" s="48">
        <f>C97*$I$105</f>
        <v>487469821655854.44</v>
      </c>
      <c r="K97" s="48">
        <f t="shared" ref="K97:K102" si="33">D97*$I$105</f>
        <v>483038277822619.31</v>
      </c>
      <c r="L97" s="48">
        <f t="shared" ref="L97:L102" si="34">E97*$I$105</f>
        <v>456690735395931.06</v>
      </c>
      <c r="M97" s="48">
        <f t="shared" ref="M97:M102" si="35">F97*$I$105</f>
        <v>394414726023758.63</v>
      </c>
    </row>
    <row r="98" spans="1:13">
      <c r="A98" s="45" t="s">
        <v>13</v>
      </c>
      <c r="B98" s="46">
        <v>11.843871665539107</v>
      </c>
      <c r="C98" s="46">
        <f t="shared" si="31"/>
        <v>24.934902771476597</v>
      </c>
      <c r="D98" s="47">
        <f>D79*$C98/$C79</f>
        <v>24.708221837190447</v>
      </c>
      <c r="E98" s="47">
        <f t="shared" ref="E98:F98" si="36">E79*$C98/$C79</f>
        <v>23.360500646070967</v>
      </c>
      <c r="F98" s="47">
        <f t="shared" si="36"/>
        <v>20.174977830697653</v>
      </c>
      <c r="H98" s="45" t="s">
        <v>13</v>
      </c>
      <c r="I98" s="48">
        <f t="shared" ref="I98:J102" si="37">B98*$I$105</f>
        <v>469688490146491.63</v>
      </c>
      <c r="J98" s="48">
        <f t="shared" si="37"/>
        <v>988835168550547.13</v>
      </c>
      <c r="K98" s="48">
        <f t="shared" si="33"/>
        <v>979845757927360.38</v>
      </c>
      <c r="L98" s="48">
        <f t="shared" si="34"/>
        <v>926399625676777</v>
      </c>
      <c r="M98" s="48">
        <f t="shared" si="35"/>
        <v>800072403993580.13</v>
      </c>
    </row>
    <row r="99" spans="1:13">
      <c r="A99" s="45" t="s">
        <v>4</v>
      </c>
      <c r="B99" s="46">
        <v>7.050353147822797</v>
      </c>
      <c r="C99" s="46">
        <f t="shared" si="31"/>
        <v>11.122344932136414</v>
      </c>
      <c r="D99" s="47">
        <f t="shared" ref="D99:F99" si="38">D80*$C99/$C80</f>
        <v>11.021232705480626</v>
      </c>
      <c r="E99" s="47">
        <f t="shared" si="38"/>
        <v>10.420074557908958</v>
      </c>
      <c r="F99" s="47">
        <f t="shared" si="38"/>
        <v>8.9991553000122799</v>
      </c>
      <c r="H99" s="45" t="s">
        <v>4</v>
      </c>
      <c r="I99" s="48">
        <f t="shared" si="37"/>
        <v>279593516251573.06</v>
      </c>
      <c r="J99" s="48">
        <f t="shared" si="37"/>
        <v>441075143803143.25</v>
      </c>
      <c r="K99" s="48">
        <f t="shared" si="33"/>
        <v>437065369768569.13</v>
      </c>
      <c r="L99" s="48">
        <f t="shared" si="34"/>
        <v>413225440508465.44</v>
      </c>
      <c r="M99" s="48">
        <f t="shared" si="35"/>
        <v>356876516802765.5</v>
      </c>
    </row>
    <row r="100" spans="1:13">
      <c r="A100" s="45" t="s">
        <v>5</v>
      </c>
      <c r="B100" s="46">
        <v>0</v>
      </c>
      <c r="C100" s="46">
        <f t="shared" si="31"/>
        <v>0</v>
      </c>
      <c r="D100" s="47">
        <f t="shared" ref="D100:F100" si="39">D81*$C100/$C81</f>
        <v>0</v>
      </c>
      <c r="E100" s="47">
        <f t="shared" si="39"/>
        <v>0</v>
      </c>
      <c r="F100" s="47">
        <f t="shared" si="39"/>
        <v>0</v>
      </c>
      <c r="H100" s="45" t="s">
        <v>5</v>
      </c>
      <c r="I100" s="48">
        <f t="shared" si="37"/>
        <v>0</v>
      </c>
      <c r="J100" s="48">
        <f t="shared" si="37"/>
        <v>0</v>
      </c>
      <c r="K100" s="48">
        <f t="shared" si="33"/>
        <v>0</v>
      </c>
      <c r="L100" s="48">
        <f t="shared" si="34"/>
        <v>0</v>
      </c>
      <c r="M100" s="48">
        <f t="shared" si="35"/>
        <v>0</v>
      </c>
    </row>
    <row r="101" spans="1:13">
      <c r="A101" s="45" t="s">
        <v>19</v>
      </c>
      <c r="B101" s="46">
        <v>8.8401292524717476</v>
      </c>
      <c r="C101" s="46">
        <f t="shared" si="31"/>
        <v>1.5334145370352916</v>
      </c>
      <c r="D101" s="47">
        <f>D82*$C101/$C82</f>
        <v>1.5194744048804256</v>
      </c>
      <c r="E101" s="47">
        <f>E82*$C101/$C82</f>
        <v>1.4365939827960383</v>
      </c>
      <c r="F101" s="47">
        <f t="shared" ref="F101" si="40">F82*$C101/$C82</f>
        <v>1.2406948033238516</v>
      </c>
      <c r="H101" s="45" t="s">
        <v>19</v>
      </c>
      <c r="I101" s="48">
        <f t="shared" si="37"/>
        <v>350570073582800.31</v>
      </c>
      <c r="J101" s="48">
        <f t="shared" si="37"/>
        <v>60810111676940.773</v>
      </c>
      <c r="K101" s="48">
        <f t="shared" si="33"/>
        <v>60257292479877.688</v>
      </c>
      <c r="L101" s="48">
        <f t="shared" si="34"/>
        <v>56970531071884.336</v>
      </c>
      <c r="M101" s="48">
        <f t="shared" si="35"/>
        <v>49201822289354.672</v>
      </c>
    </row>
    <row r="102" spans="1:13">
      <c r="A102" s="45" t="s">
        <v>6</v>
      </c>
      <c r="B102" s="46">
        <v>0.99608937724415714</v>
      </c>
      <c r="C102" s="46">
        <f t="shared" si="31"/>
        <v>8.6086369701118506E-2</v>
      </c>
      <c r="D102" s="47">
        <f t="shared" ref="D102:F102" si="41">D83*$C102/$C83</f>
        <v>8.5303766340199233E-2</v>
      </c>
      <c r="E102" s="47">
        <f t="shared" si="41"/>
        <v>8.0650833630733831E-2</v>
      </c>
      <c r="F102" s="47">
        <f t="shared" si="41"/>
        <v>6.9652992681088308E-2</v>
      </c>
      <c r="H102" s="45" t="s">
        <v>6</v>
      </c>
      <c r="I102" s="48">
        <f t="shared" si="37"/>
        <v>39501586040486</v>
      </c>
      <c r="J102" s="48">
        <f t="shared" si="37"/>
        <v>3413898609249.2905</v>
      </c>
      <c r="K102" s="48">
        <f t="shared" si="33"/>
        <v>3382863167347.0234</v>
      </c>
      <c r="L102" s="48">
        <f t="shared" si="34"/>
        <v>3198343358219.0044</v>
      </c>
      <c r="M102" s="48">
        <f t="shared" si="35"/>
        <v>2762205627552.7769</v>
      </c>
    </row>
    <row r="103" spans="1:13">
      <c r="A103" s="9"/>
      <c r="B103" s="9"/>
      <c r="C103" s="9"/>
      <c r="D103" s="9"/>
      <c r="E103" s="9"/>
      <c r="F103" s="9"/>
      <c r="H103" s="9"/>
      <c r="I103" s="9"/>
      <c r="J103" s="9"/>
      <c r="K103" s="9"/>
      <c r="L103" s="9"/>
      <c r="M103" s="9"/>
    </row>
    <row r="105" spans="1:13">
      <c r="H105" t="s">
        <v>93</v>
      </c>
      <c r="I105" s="5">
        <f>39656668.31*(10^6)</f>
        <v>39656668310000</v>
      </c>
    </row>
  </sheetData>
  <phoneticPr fontId="10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3084D-6C42-4FD8-A1B5-601C97634663}">
  <dimension ref="A1:AO99"/>
  <sheetViews>
    <sheetView workbookViewId="0"/>
  </sheetViews>
  <sheetFormatPr defaultColWidth="8.875" defaultRowHeight="16.5"/>
  <cols>
    <col min="1" max="1" width="32.125" customWidth="1"/>
    <col min="2" max="2" width="9.125" bestFit="1" customWidth="1"/>
    <col min="8" max="8" width="9" customWidth="1"/>
    <col min="9" max="9" width="32.125" customWidth="1"/>
    <col min="10" max="11" width="9" customWidth="1"/>
    <col min="12" max="14" width="9.125" bestFit="1" customWidth="1"/>
    <col min="15" max="15" width="9" customWidth="1"/>
    <col min="16" max="21" width="9.125" bestFit="1" customWidth="1"/>
    <col min="22" max="22" width="9" customWidth="1"/>
    <col min="23" max="41" width="9.125" bestFit="1" customWidth="1"/>
  </cols>
  <sheetData>
    <row r="1" spans="1:41">
      <c r="A1" t="s">
        <v>82</v>
      </c>
      <c r="I1" t="s">
        <v>101</v>
      </c>
    </row>
    <row r="2" spans="1:41">
      <c r="A2" s="17" t="s">
        <v>85</v>
      </c>
      <c r="B2">
        <v>2000</v>
      </c>
      <c r="C2">
        <v>2022</v>
      </c>
      <c r="D2">
        <v>2030</v>
      </c>
      <c r="E2">
        <v>2040</v>
      </c>
      <c r="F2">
        <v>2050</v>
      </c>
      <c r="I2" s="17" t="s">
        <v>85</v>
      </c>
      <c r="J2" s="6">
        <v>2019</v>
      </c>
      <c r="K2">
        <v>2020</v>
      </c>
      <c r="L2" s="6">
        <v>2021</v>
      </c>
      <c r="M2">
        <v>2022</v>
      </c>
      <c r="N2" s="6">
        <v>2023</v>
      </c>
      <c r="O2">
        <v>2024</v>
      </c>
      <c r="P2" s="6">
        <v>2025</v>
      </c>
      <c r="Q2">
        <v>2026</v>
      </c>
      <c r="R2" s="6">
        <v>2027</v>
      </c>
      <c r="S2">
        <v>2028</v>
      </c>
      <c r="T2" s="6">
        <v>2029</v>
      </c>
      <c r="U2">
        <v>2030</v>
      </c>
      <c r="V2" s="6">
        <v>2031</v>
      </c>
      <c r="W2">
        <v>2032</v>
      </c>
      <c r="X2" s="6">
        <v>2033</v>
      </c>
      <c r="Y2">
        <v>2034</v>
      </c>
      <c r="Z2" s="6">
        <v>2035</v>
      </c>
      <c r="AA2">
        <v>2036</v>
      </c>
      <c r="AB2" s="6">
        <v>2037</v>
      </c>
      <c r="AC2">
        <v>2038</v>
      </c>
      <c r="AD2" s="6">
        <v>2039</v>
      </c>
      <c r="AE2">
        <v>2040</v>
      </c>
      <c r="AF2" s="6">
        <v>2041</v>
      </c>
      <c r="AG2">
        <v>2042</v>
      </c>
      <c r="AH2" s="6">
        <v>2043</v>
      </c>
      <c r="AI2">
        <v>2044</v>
      </c>
      <c r="AJ2" s="6">
        <v>2045</v>
      </c>
      <c r="AK2">
        <v>2046</v>
      </c>
      <c r="AL2" s="6">
        <v>2047</v>
      </c>
      <c r="AM2">
        <v>2048</v>
      </c>
      <c r="AN2" s="6">
        <v>2049</v>
      </c>
      <c r="AO2">
        <v>2050</v>
      </c>
    </row>
    <row r="3" spans="1:41">
      <c r="A3" s="19" t="s">
        <v>7</v>
      </c>
      <c r="B3" s="5">
        <f>'KEEI&amp;MOTIE'!X4</f>
        <v>0</v>
      </c>
      <c r="C3" s="5">
        <f>'KEEI&amp;MOTIE'!Y4</f>
        <v>0</v>
      </c>
      <c r="D3" s="5">
        <f>'KEEI&amp;MOTIE'!Z4</f>
        <v>0</v>
      </c>
      <c r="E3" s="5">
        <f>'KEEI&amp;MOTIE'!AA4</f>
        <v>0</v>
      </c>
      <c r="F3" s="5">
        <f>'KEEI&amp;MOTIE'!AB4</f>
        <v>0</v>
      </c>
      <c r="I3" s="19" t="s">
        <v>7</v>
      </c>
      <c r="J3" s="5">
        <f>IF( _xlfn.FORECAST.LINEAR(J$2,$B3:$F3,$B$2:$F$2)&gt;0, _xlfn.FORECAST.LINEAR(J$2,$B3:$F3,$B$2:$F$2), 0 )</f>
        <v>0</v>
      </c>
      <c r="K3" s="5">
        <f t="shared" ref="K3:AO11" si="0">IF( _xlfn.FORECAST.LINEAR(K$2,$B3:$F3,$B$2:$F$2)&gt;0, _xlfn.FORECAST.LINEAR(K$2,$B3:$F3,$B$2:$F$2), 0 )</f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  <c r="AH3" s="5">
        <f t="shared" si="0"/>
        <v>0</v>
      </c>
      <c r="AI3" s="5">
        <f t="shared" si="0"/>
        <v>0</v>
      </c>
      <c r="AJ3" s="5">
        <f t="shared" si="0"/>
        <v>0</v>
      </c>
      <c r="AK3" s="5">
        <f t="shared" si="0"/>
        <v>0</v>
      </c>
      <c r="AL3" s="5">
        <f t="shared" si="0"/>
        <v>0</v>
      </c>
      <c r="AM3" s="5">
        <f t="shared" si="0"/>
        <v>0</v>
      </c>
      <c r="AN3" s="5">
        <f t="shared" si="0"/>
        <v>0</v>
      </c>
      <c r="AO3" s="5">
        <f t="shared" si="0"/>
        <v>0</v>
      </c>
    </row>
    <row r="4" spans="1:41">
      <c r="A4" s="19" t="s">
        <v>8</v>
      </c>
      <c r="B4" s="5">
        <f>'KEEI&amp;MOTIE'!X5</f>
        <v>1110386712680000</v>
      </c>
      <c r="C4" s="5">
        <f>'KEEI&amp;MOTIE'!Y5</f>
        <v>1943176747190000</v>
      </c>
      <c r="D4" s="5">
        <f>'KEEI&amp;MOTIE'!Z5</f>
        <v>1467296727470000</v>
      </c>
      <c r="E4" s="5">
        <f>'KEEI&amp;MOTIE'!AA5</f>
        <v>1031073376060000</v>
      </c>
      <c r="F4" s="5">
        <f>'KEEI&amp;MOTIE'!AB5</f>
        <v>594850024650000</v>
      </c>
      <c r="I4" s="19" t="s">
        <v>8</v>
      </c>
      <c r="J4" s="5">
        <f t="shared" ref="J4:Y22" si="1">IF( _xlfn.FORECAST.LINEAR(J$2,$B4:$F4,$B$2:$F$2)&gt;0, _xlfn.FORECAST.LINEAR(J$2,$B4:$F4,$B$2:$F$2), 0 )</f>
        <v>1338270456044632</v>
      </c>
      <c r="K4" s="5">
        <f t="shared" si="1"/>
        <v>1326683888126052</v>
      </c>
      <c r="L4" s="5">
        <f t="shared" si="1"/>
        <v>1315097320207476</v>
      </c>
      <c r="M4" s="5">
        <f t="shared" si="1"/>
        <v>1303510752288896</v>
      </c>
      <c r="N4" s="5">
        <f t="shared" si="1"/>
        <v>1291924184370320</v>
      </c>
      <c r="O4" s="5">
        <f t="shared" si="1"/>
        <v>1280337616451740</v>
      </c>
      <c r="P4" s="5">
        <f t="shared" si="1"/>
        <v>1268751048533164</v>
      </c>
      <c r="Q4" s="5">
        <f t="shared" si="1"/>
        <v>1257164480614588</v>
      </c>
      <c r="R4" s="5">
        <f t="shared" si="1"/>
        <v>1245577912696008</v>
      </c>
      <c r="S4" s="5">
        <f t="shared" si="1"/>
        <v>1233991344777432</v>
      </c>
      <c r="T4" s="5">
        <f t="shared" si="1"/>
        <v>1222404776858852</v>
      </c>
      <c r="U4" s="5">
        <f t="shared" si="1"/>
        <v>1210818208940276</v>
      </c>
      <c r="V4" s="5">
        <f t="shared" si="1"/>
        <v>1199231641021696</v>
      </c>
      <c r="W4" s="5">
        <f t="shared" si="1"/>
        <v>1187645073103120</v>
      </c>
      <c r="X4" s="5">
        <f t="shared" si="1"/>
        <v>1176058505184540</v>
      </c>
      <c r="Y4" s="5">
        <f t="shared" si="1"/>
        <v>1164471937265964</v>
      </c>
      <c r="Z4" s="5">
        <f t="shared" si="0"/>
        <v>1152885369347388</v>
      </c>
      <c r="AA4" s="5">
        <f t="shared" si="0"/>
        <v>1141298801428808</v>
      </c>
      <c r="AB4" s="5">
        <f t="shared" si="0"/>
        <v>1129712233510232</v>
      </c>
      <c r="AC4" s="5">
        <f t="shared" si="0"/>
        <v>1118125665591652</v>
      </c>
      <c r="AD4" s="5">
        <f t="shared" si="0"/>
        <v>1106539097673076</v>
      </c>
      <c r="AE4" s="5">
        <f t="shared" si="0"/>
        <v>1094952529754496</v>
      </c>
      <c r="AF4" s="5">
        <f t="shared" si="0"/>
        <v>1083365961835920</v>
      </c>
      <c r="AG4" s="5">
        <f t="shared" si="0"/>
        <v>1071779393917344</v>
      </c>
      <c r="AH4" s="5">
        <f t="shared" si="0"/>
        <v>1060192825998764</v>
      </c>
      <c r="AI4" s="5">
        <f t="shared" si="0"/>
        <v>1048606258080188</v>
      </c>
      <c r="AJ4" s="5">
        <f t="shared" si="0"/>
        <v>1037019690161608</v>
      </c>
      <c r="AK4" s="5">
        <f t="shared" si="0"/>
        <v>1025433122243032</v>
      </c>
      <c r="AL4" s="5">
        <f t="shared" si="0"/>
        <v>1013846554324452</v>
      </c>
      <c r="AM4" s="5">
        <f t="shared" si="0"/>
        <v>1002259986405876</v>
      </c>
      <c r="AN4" s="5">
        <f t="shared" si="0"/>
        <v>990673418487300</v>
      </c>
      <c r="AO4" s="5">
        <f t="shared" si="0"/>
        <v>979086850568720</v>
      </c>
    </row>
    <row r="5" spans="1:41">
      <c r="A5" s="19" t="s">
        <v>1</v>
      </c>
      <c r="B5" s="5">
        <f>'KEEI&amp;MOTIE'!X6</f>
        <v>753476697890000</v>
      </c>
      <c r="C5" s="5">
        <f>'KEEI&amp;MOTIE'!Y6</f>
        <v>2379400098600000</v>
      </c>
      <c r="D5" s="5">
        <f>'KEEI&amp;MOTIE'!Z6</f>
        <v>2894936786630000</v>
      </c>
      <c r="E5" s="5">
        <f>'KEEI&amp;MOTIE'!AA6</f>
        <v>3450130142970000</v>
      </c>
      <c r="F5" s="5">
        <f>'KEEI&amp;MOTIE'!AB6</f>
        <v>3648413484520000</v>
      </c>
      <c r="I5" s="19" t="s">
        <v>1</v>
      </c>
      <c r="J5" s="5">
        <f t="shared" si="1"/>
        <v>2062824457035984</v>
      </c>
      <c r="K5" s="5">
        <f t="shared" si="0"/>
        <v>2122659242683440</v>
      </c>
      <c r="L5" s="5">
        <f t="shared" si="0"/>
        <v>2182494028330880</v>
      </c>
      <c r="M5" s="5">
        <f t="shared" si="0"/>
        <v>2242328813978336</v>
      </c>
      <c r="N5" s="5">
        <f t="shared" si="0"/>
        <v>2302163599625776</v>
      </c>
      <c r="O5" s="5">
        <f t="shared" si="0"/>
        <v>2361998385273232</v>
      </c>
      <c r="P5" s="5">
        <f t="shared" si="0"/>
        <v>2421833170920672</v>
      </c>
      <c r="Q5" s="5">
        <f t="shared" si="0"/>
        <v>2481667956568128</v>
      </c>
      <c r="R5" s="5">
        <f t="shared" si="0"/>
        <v>2541502742215568</v>
      </c>
      <c r="S5" s="5">
        <f t="shared" si="0"/>
        <v>2601337527863008</v>
      </c>
      <c r="T5" s="5">
        <f t="shared" si="0"/>
        <v>2661172313510464</v>
      </c>
      <c r="U5" s="5">
        <f t="shared" si="0"/>
        <v>2721007099157904</v>
      </c>
      <c r="V5" s="5">
        <f t="shared" si="0"/>
        <v>2780841884805360</v>
      </c>
      <c r="W5" s="5">
        <f t="shared" si="0"/>
        <v>2840676670452800</v>
      </c>
      <c r="X5" s="5">
        <f t="shared" si="0"/>
        <v>2900511456100256</v>
      </c>
      <c r="Y5" s="5">
        <f t="shared" si="0"/>
        <v>2960346241747696</v>
      </c>
      <c r="Z5" s="5">
        <f t="shared" si="0"/>
        <v>3020181027395152</v>
      </c>
      <c r="AA5" s="5">
        <f t="shared" si="0"/>
        <v>3080015813042592</v>
      </c>
      <c r="AB5" s="5">
        <f t="shared" si="0"/>
        <v>3139850598690048</v>
      </c>
      <c r="AC5" s="5">
        <f t="shared" si="0"/>
        <v>3199685384337488</v>
      </c>
      <c r="AD5" s="5">
        <f t="shared" si="0"/>
        <v>3259520169984944</v>
      </c>
      <c r="AE5" s="5">
        <f t="shared" si="0"/>
        <v>3319354955632384</v>
      </c>
      <c r="AF5" s="5">
        <f t="shared" si="0"/>
        <v>3379189741279840</v>
      </c>
      <c r="AG5" s="5">
        <f t="shared" si="0"/>
        <v>3439024526927280</v>
      </c>
      <c r="AH5" s="5">
        <f t="shared" si="0"/>
        <v>3498859312574736</v>
      </c>
      <c r="AI5" s="5">
        <f t="shared" si="0"/>
        <v>3558694098222176</v>
      </c>
      <c r="AJ5" s="5">
        <f t="shared" si="0"/>
        <v>3618528883869632</v>
      </c>
      <c r="AK5" s="5">
        <f t="shared" si="0"/>
        <v>3678363669517072</v>
      </c>
      <c r="AL5" s="5">
        <f t="shared" si="0"/>
        <v>3738198455164528</v>
      </c>
      <c r="AM5" s="5">
        <f t="shared" si="0"/>
        <v>3798033240811968</v>
      </c>
      <c r="AN5" s="5">
        <f t="shared" si="0"/>
        <v>3857868026459408</v>
      </c>
      <c r="AO5" s="5">
        <f t="shared" si="0"/>
        <v>3917702812106864</v>
      </c>
    </row>
    <row r="6" spans="1:41">
      <c r="A6" s="19" t="s">
        <v>9</v>
      </c>
      <c r="B6" s="5">
        <f>'KEEI&amp;MOTIE'!X7</f>
        <v>1070730044370000</v>
      </c>
      <c r="C6" s="5">
        <f>'KEEI&amp;MOTIE'!Y7</f>
        <v>1506953395780000</v>
      </c>
      <c r="D6" s="5">
        <f>'KEEI&amp;MOTIE'!Z7</f>
        <v>1665580069020000</v>
      </c>
      <c r="E6" s="5">
        <f>'KEEI&amp;MOTIE'!AA7</f>
        <v>1427640059160000</v>
      </c>
      <c r="F6" s="5">
        <f>'KEEI&amp;MOTIE'!AB7</f>
        <v>1150043380990000</v>
      </c>
      <c r="I6" s="19" t="s">
        <v>9</v>
      </c>
      <c r="J6" s="5">
        <f t="shared" si="1"/>
        <v>1338193940973470</v>
      </c>
      <c r="K6" s="5">
        <f t="shared" si="0"/>
        <v>1340959414259697</v>
      </c>
      <c r="L6" s="5">
        <f t="shared" si="0"/>
        <v>1343724887545924</v>
      </c>
      <c r="M6" s="5">
        <f t="shared" si="0"/>
        <v>1346490360832150</v>
      </c>
      <c r="N6" s="5">
        <f t="shared" si="0"/>
        <v>1349255834118377</v>
      </c>
      <c r="O6" s="5">
        <f t="shared" si="0"/>
        <v>1352021307404603</v>
      </c>
      <c r="P6" s="5">
        <f t="shared" si="0"/>
        <v>1354786780690830</v>
      </c>
      <c r="Q6" s="5">
        <f t="shared" si="0"/>
        <v>1357552253977056</v>
      </c>
      <c r="R6" s="5">
        <f t="shared" si="0"/>
        <v>1360317727263283</v>
      </c>
      <c r="S6" s="5">
        <f t="shared" si="0"/>
        <v>1363083200549510</v>
      </c>
      <c r="T6" s="5">
        <f t="shared" si="0"/>
        <v>1365848673835736</v>
      </c>
      <c r="U6" s="5">
        <f t="shared" si="0"/>
        <v>1368614147121963</v>
      </c>
      <c r="V6" s="5">
        <f t="shared" si="0"/>
        <v>1371379620408189</v>
      </c>
      <c r="W6" s="5">
        <f t="shared" si="0"/>
        <v>1374145093694416</v>
      </c>
      <c r="X6" s="5">
        <f t="shared" si="0"/>
        <v>1376910566980642</v>
      </c>
      <c r="Y6" s="5">
        <f t="shared" si="0"/>
        <v>1379676040266869</v>
      </c>
      <c r="Z6" s="5">
        <f t="shared" si="0"/>
        <v>1382441513553096</v>
      </c>
      <c r="AA6" s="5">
        <f t="shared" si="0"/>
        <v>1385206986839322</v>
      </c>
      <c r="AB6" s="5">
        <f t="shared" si="0"/>
        <v>1387972460125549</v>
      </c>
      <c r="AC6" s="5">
        <f t="shared" si="0"/>
        <v>1390737933411775</v>
      </c>
      <c r="AD6" s="5">
        <f t="shared" si="0"/>
        <v>1393503406698002</v>
      </c>
      <c r="AE6" s="5">
        <f t="shared" si="0"/>
        <v>1396268879984228</v>
      </c>
      <c r="AF6" s="5">
        <f t="shared" si="0"/>
        <v>1399034353270455</v>
      </c>
      <c r="AG6" s="5">
        <f t="shared" si="0"/>
        <v>1401799826556682</v>
      </c>
      <c r="AH6" s="5">
        <f t="shared" si="0"/>
        <v>1404565299842908</v>
      </c>
      <c r="AI6" s="5">
        <f t="shared" si="0"/>
        <v>1407330773129135</v>
      </c>
      <c r="AJ6" s="5">
        <f t="shared" si="0"/>
        <v>1410096246415361</v>
      </c>
      <c r="AK6" s="5">
        <f t="shared" si="0"/>
        <v>1412861719701588</v>
      </c>
      <c r="AL6" s="5">
        <f t="shared" si="0"/>
        <v>1415627192987814</v>
      </c>
      <c r="AM6" s="5">
        <f t="shared" si="0"/>
        <v>1418392666274041</v>
      </c>
      <c r="AN6" s="5">
        <f t="shared" si="0"/>
        <v>1421158139560268</v>
      </c>
      <c r="AO6" s="5">
        <f t="shared" si="0"/>
        <v>1423923612846494</v>
      </c>
    </row>
    <row r="7" spans="1:41">
      <c r="A7" s="19" t="s">
        <v>10</v>
      </c>
      <c r="B7" s="5">
        <f>'KEEI&amp;MOTIE'!X8</f>
        <v>0</v>
      </c>
      <c r="C7" s="5">
        <f>'KEEI&amp;MOTIE'!Y8</f>
        <v>0</v>
      </c>
      <c r="D7" s="5">
        <f>'KEEI&amp;MOTIE'!Z8</f>
        <v>0</v>
      </c>
      <c r="E7" s="5">
        <f>'KEEI&amp;MOTIE'!AA8</f>
        <v>0</v>
      </c>
      <c r="F7" s="5">
        <f>'KEEI&amp;MOTIE'!AB8</f>
        <v>0</v>
      </c>
      <c r="I7" s="19" t="s">
        <v>10</v>
      </c>
      <c r="J7" s="5">
        <f t="shared" si="1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0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0</v>
      </c>
      <c r="AF7" s="5">
        <f t="shared" si="0"/>
        <v>0</v>
      </c>
      <c r="AG7" s="5">
        <f t="shared" si="0"/>
        <v>0</v>
      </c>
      <c r="AH7" s="5">
        <f t="shared" si="0"/>
        <v>0</v>
      </c>
      <c r="AI7" s="5">
        <f t="shared" si="0"/>
        <v>0</v>
      </c>
      <c r="AJ7" s="5">
        <f t="shared" si="0"/>
        <v>0</v>
      </c>
      <c r="AK7" s="5">
        <f t="shared" si="0"/>
        <v>0</v>
      </c>
      <c r="AL7" s="5">
        <f t="shared" si="0"/>
        <v>0</v>
      </c>
      <c r="AM7" s="5">
        <f t="shared" si="0"/>
        <v>0</v>
      </c>
      <c r="AN7" s="5">
        <f t="shared" si="0"/>
        <v>0</v>
      </c>
      <c r="AO7" s="5">
        <f t="shared" si="0"/>
        <v>0</v>
      </c>
    </row>
    <row r="8" spans="1:41">
      <c r="A8" s="19" t="s">
        <v>11</v>
      </c>
      <c r="B8" s="5">
        <f>'KEEI&amp;MOTIE'!X9</f>
        <v>0</v>
      </c>
      <c r="C8" s="5">
        <f>'KEEI&amp;MOTIE'!Y9</f>
        <v>0</v>
      </c>
      <c r="D8" s="5">
        <f>'KEEI&amp;MOTIE'!Z9</f>
        <v>0</v>
      </c>
      <c r="E8" s="5">
        <f>'KEEI&amp;MOTIE'!AA9</f>
        <v>0</v>
      </c>
      <c r="F8" s="5">
        <f>'KEEI&amp;MOTIE'!AB9</f>
        <v>0</v>
      </c>
      <c r="I8" s="19" t="s">
        <v>11</v>
      </c>
      <c r="J8" s="5">
        <f t="shared" si="1"/>
        <v>0</v>
      </c>
      <c r="K8" s="5">
        <f t="shared" si="0"/>
        <v>0</v>
      </c>
      <c r="L8" s="5">
        <f t="shared" si="0"/>
        <v>0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0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0</v>
      </c>
      <c r="AA8" s="5">
        <f t="shared" si="0"/>
        <v>0</v>
      </c>
      <c r="AB8" s="5">
        <f t="shared" si="0"/>
        <v>0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0</v>
      </c>
      <c r="AG8" s="5">
        <f t="shared" si="0"/>
        <v>0</v>
      </c>
      <c r="AH8" s="5">
        <f t="shared" si="0"/>
        <v>0</v>
      </c>
      <c r="AI8" s="5">
        <f t="shared" si="0"/>
        <v>0</v>
      </c>
      <c r="AJ8" s="5">
        <f t="shared" si="0"/>
        <v>0</v>
      </c>
      <c r="AK8" s="5">
        <f t="shared" si="0"/>
        <v>0</v>
      </c>
      <c r="AL8" s="5">
        <f t="shared" si="0"/>
        <v>0</v>
      </c>
      <c r="AM8" s="5">
        <f t="shared" si="0"/>
        <v>0</v>
      </c>
      <c r="AN8" s="5">
        <f t="shared" si="0"/>
        <v>0</v>
      </c>
      <c r="AO8" s="5">
        <f t="shared" si="0"/>
        <v>0</v>
      </c>
    </row>
    <row r="9" spans="1:41">
      <c r="A9" s="19" t="s">
        <v>12</v>
      </c>
      <c r="B9" s="5">
        <f>'KEEI&amp;MOTIE'!X10</f>
        <v>0</v>
      </c>
      <c r="C9" s="5">
        <f>'KEEI&amp;MOTIE'!Y10</f>
        <v>0</v>
      </c>
      <c r="D9" s="5">
        <f>'KEEI&amp;MOTIE'!Z10</f>
        <v>0</v>
      </c>
      <c r="E9" s="5">
        <f>'KEEI&amp;MOTIE'!AA10</f>
        <v>0</v>
      </c>
      <c r="F9" s="5">
        <f>'KEEI&amp;MOTIE'!AB10</f>
        <v>0</v>
      </c>
      <c r="I9" s="19" t="s">
        <v>12</v>
      </c>
      <c r="J9" s="5">
        <f t="shared" si="1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0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  <c r="AH9" s="5">
        <f t="shared" si="0"/>
        <v>0</v>
      </c>
      <c r="AI9" s="5">
        <f t="shared" si="0"/>
        <v>0</v>
      </c>
      <c r="AJ9" s="5">
        <f t="shared" si="0"/>
        <v>0</v>
      </c>
      <c r="AK9" s="5">
        <f t="shared" si="0"/>
        <v>0</v>
      </c>
      <c r="AL9" s="5">
        <f t="shared" si="0"/>
        <v>0</v>
      </c>
      <c r="AM9" s="5">
        <f t="shared" si="0"/>
        <v>0</v>
      </c>
      <c r="AN9" s="5">
        <f t="shared" si="0"/>
        <v>0</v>
      </c>
      <c r="AO9" s="5">
        <f t="shared" si="0"/>
        <v>0</v>
      </c>
    </row>
    <row r="10" spans="1:41">
      <c r="A10" s="19" t="s">
        <v>2</v>
      </c>
      <c r="B10" s="5">
        <f>'KEEI&amp;MOTIE'!X11</f>
        <v>0</v>
      </c>
      <c r="C10" s="5">
        <f>'KEEI&amp;MOTIE'!Y11</f>
        <v>0</v>
      </c>
      <c r="D10" s="5">
        <f>'KEEI&amp;MOTIE'!Z11</f>
        <v>0</v>
      </c>
      <c r="E10" s="5">
        <f>'KEEI&amp;MOTIE'!AA11</f>
        <v>0</v>
      </c>
      <c r="F10" s="5">
        <f>'KEEI&amp;MOTIE'!AB11</f>
        <v>0</v>
      </c>
      <c r="I10" s="19" t="s">
        <v>2</v>
      </c>
      <c r="J10" s="5">
        <f t="shared" si="1"/>
        <v>0</v>
      </c>
      <c r="K10" s="5">
        <f t="shared" si="0"/>
        <v>0</v>
      </c>
      <c r="L10" s="5">
        <f t="shared" si="0"/>
        <v>0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0</v>
      </c>
      <c r="Q10" s="5">
        <f t="shared" si="0"/>
        <v>0</v>
      </c>
      <c r="R10" s="5">
        <f t="shared" si="0"/>
        <v>0</v>
      </c>
      <c r="S10" s="5">
        <f t="shared" si="0"/>
        <v>0</v>
      </c>
      <c r="T10" s="5">
        <f t="shared" si="0"/>
        <v>0</v>
      </c>
      <c r="U10" s="5">
        <f t="shared" si="0"/>
        <v>0</v>
      </c>
      <c r="V10" s="5">
        <f t="shared" si="0"/>
        <v>0</v>
      </c>
      <c r="W10" s="5">
        <f t="shared" si="0"/>
        <v>0</v>
      </c>
      <c r="X10" s="5">
        <f t="shared" si="0"/>
        <v>0</v>
      </c>
      <c r="Y10" s="5">
        <f t="shared" si="0"/>
        <v>0</v>
      </c>
      <c r="Z10" s="5">
        <f t="shared" si="0"/>
        <v>0</v>
      </c>
      <c r="AA10" s="5">
        <f t="shared" si="0"/>
        <v>0</v>
      </c>
      <c r="AB10" s="5">
        <f t="shared" si="0"/>
        <v>0</v>
      </c>
      <c r="AC10" s="5">
        <f t="shared" si="0"/>
        <v>0</v>
      </c>
      <c r="AD10" s="5">
        <f t="shared" si="0"/>
        <v>0</v>
      </c>
      <c r="AE10" s="5">
        <f t="shared" si="0"/>
        <v>0</v>
      </c>
      <c r="AF10" s="5">
        <f t="shared" si="0"/>
        <v>0</v>
      </c>
      <c r="AG10" s="5">
        <f t="shared" si="0"/>
        <v>0</v>
      </c>
      <c r="AH10" s="5">
        <f t="shared" si="0"/>
        <v>0</v>
      </c>
      <c r="AI10" s="5">
        <f t="shared" si="0"/>
        <v>0</v>
      </c>
      <c r="AJ10" s="5">
        <f t="shared" si="0"/>
        <v>0</v>
      </c>
      <c r="AK10" s="5">
        <f t="shared" si="0"/>
        <v>0</v>
      </c>
      <c r="AL10" s="5">
        <f t="shared" si="0"/>
        <v>0</v>
      </c>
      <c r="AM10" s="5">
        <f t="shared" si="0"/>
        <v>0</v>
      </c>
      <c r="AN10" s="5">
        <f t="shared" si="0"/>
        <v>0</v>
      </c>
      <c r="AO10" s="5">
        <f t="shared" si="0"/>
        <v>0</v>
      </c>
    </row>
    <row r="11" spans="1:41">
      <c r="A11" s="19" t="s">
        <v>3</v>
      </c>
      <c r="B11" s="5">
        <f>'KEEI&amp;MOTIE'!X12</f>
        <v>44983683456119.398</v>
      </c>
      <c r="C11" s="5">
        <f>'KEEI&amp;MOTIE'!Y12</f>
        <v>61852564752164.18</v>
      </c>
      <c r="D11" s="5">
        <f>'KEEI&amp;MOTIE'!Z12</f>
        <v>67475525184179.109</v>
      </c>
      <c r="E11" s="5">
        <f>'KEEI&amp;MOTIE'!AA12</f>
        <v>50606643888134.328</v>
      </c>
      <c r="F11" s="5">
        <f>'KEEI&amp;MOTIE'!AB12</f>
        <v>33737762592089.555</v>
      </c>
      <c r="I11" s="19" t="s">
        <v>3</v>
      </c>
      <c r="J11" s="5">
        <f t="shared" si="1"/>
        <v>53348379556335.688</v>
      </c>
      <c r="K11" s="5">
        <f t="shared" si="0"/>
        <v>53176343005080.563</v>
      </c>
      <c r="L11" s="5">
        <f t="shared" si="0"/>
        <v>53004306453825.375</v>
      </c>
      <c r="M11" s="5">
        <f t="shared" si="0"/>
        <v>52832269902570.25</v>
      </c>
      <c r="N11" s="5">
        <f t="shared" si="0"/>
        <v>52660233351315.125</v>
      </c>
      <c r="O11" s="5">
        <f t="shared" si="0"/>
        <v>52488196800060</v>
      </c>
      <c r="P11" s="5">
        <f t="shared" si="0"/>
        <v>52316160248804.813</v>
      </c>
      <c r="Q11" s="5">
        <f t="shared" si="0"/>
        <v>52144123697549.688</v>
      </c>
      <c r="R11" s="5">
        <f t="shared" si="0"/>
        <v>51972087146294.563</v>
      </c>
      <c r="S11" s="5">
        <f t="shared" si="0"/>
        <v>51800050595039.438</v>
      </c>
      <c r="T11" s="5">
        <f t="shared" si="0"/>
        <v>51628014043784.25</v>
      </c>
      <c r="U11" s="5">
        <f t="shared" si="0"/>
        <v>51455977492529.125</v>
      </c>
      <c r="V11" s="5">
        <f t="shared" si="0"/>
        <v>51283940941274</v>
      </c>
      <c r="W11" s="5">
        <f t="shared" si="0"/>
        <v>51111904390018.813</v>
      </c>
      <c r="X11" s="5">
        <f t="shared" si="0"/>
        <v>50939867838763.688</v>
      </c>
      <c r="Y11" s="5">
        <f t="shared" si="0"/>
        <v>50767831287508.563</v>
      </c>
      <c r="Z11" s="5">
        <f t="shared" si="0"/>
        <v>50595794736253.438</v>
      </c>
      <c r="AA11" s="5">
        <f t="shared" si="0"/>
        <v>50423758184998.25</v>
      </c>
      <c r="AB11" s="5">
        <f t="shared" si="0"/>
        <v>50251721633743.125</v>
      </c>
      <c r="AC11" s="5">
        <f t="shared" si="0"/>
        <v>50079685082488</v>
      </c>
      <c r="AD11" s="5">
        <f t="shared" si="0"/>
        <v>49907648531232.813</v>
      </c>
      <c r="AE11" s="5">
        <f t="shared" si="0"/>
        <v>49735611979977.688</v>
      </c>
      <c r="AF11" s="5">
        <f t="shared" si="0"/>
        <v>49563575428722.563</v>
      </c>
      <c r="AG11" s="5">
        <f t="shared" ref="K11:AO19" si="2">IF( _xlfn.FORECAST.LINEAR(AG$2,$B11:$F11,$B$2:$F$2)&gt;0, _xlfn.FORECAST.LINEAR(AG$2,$B11:$F11,$B$2:$F$2), 0 )</f>
        <v>49391538877467.438</v>
      </c>
      <c r="AH11" s="5">
        <f t="shared" si="2"/>
        <v>49219502326212.25</v>
      </c>
      <c r="AI11" s="5">
        <f t="shared" si="2"/>
        <v>49047465774957.125</v>
      </c>
      <c r="AJ11" s="5">
        <f t="shared" si="2"/>
        <v>48875429223702</v>
      </c>
      <c r="AK11" s="5">
        <f t="shared" si="2"/>
        <v>48703392672446.875</v>
      </c>
      <c r="AL11" s="5">
        <f t="shared" si="2"/>
        <v>48531356121191.688</v>
      </c>
      <c r="AM11" s="5">
        <f t="shared" si="2"/>
        <v>48359319569936.563</v>
      </c>
      <c r="AN11" s="5">
        <f t="shared" si="2"/>
        <v>48187283018681.438</v>
      </c>
      <c r="AO11" s="5">
        <f t="shared" si="2"/>
        <v>48015246467426.25</v>
      </c>
    </row>
    <row r="12" spans="1:41">
      <c r="A12" s="19" t="s">
        <v>13</v>
      </c>
      <c r="B12" s="5">
        <f>'KEEI&amp;MOTIE'!X13</f>
        <v>101213287776268.66</v>
      </c>
      <c r="C12" s="5">
        <f>'KEEI&amp;MOTIE'!Y13</f>
        <v>123705129504328.36</v>
      </c>
      <c r="D12" s="5">
        <f>'KEEI&amp;MOTIE'!Z13</f>
        <v>95590327344253.719</v>
      </c>
      <c r="E12" s="5">
        <f>'KEEI&amp;MOTIE'!AA13</f>
        <v>73098485616194.031</v>
      </c>
      <c r="F12" s="5">
        <f>'KEEI&amp;MOTIE'!AB13</f>
        <v>50606643888134.328</v>
      </c>
      <c r="I12" s="19" t="s">
        <v>13</v>
      </c>
      <c r="J12" s="5">
        <f t="shared" si="1"/>
        <v>99026408732836.25</v>
      </c>
      <c r="K12" s="5">
        <f t="shared" si="2"/>
        <v>97943043423581</v>
      </c>
      <c r="L12" s="5">
        <f t="shared" si="2"/>
        <v>96859678114325.5</v>
      </c>
      <c r="M12" s="5">
        <f t="shared" si="2"/>
        <v>95776312805070.25</v>
      </c>
      <c r="N12" s="5">
        <f t="shared" si="2"/>
        <v>94692947495815</v>
      </c>
      <c r="O12" s="5">
        <f t="shared" si="2"/>
        <v>93609582186559.5</v>
      </c>
      <c r="P12" s="5">
        <f t="shared" si="2"/>
        <v>92526216877304.25</v>
      </c>
      <c r="Q12" s="5">
        <f t="shared" si="2"/>
        <v>91442851568048.75</v>
      </c>
      <c r="R12" s="5">
        <f t="shared" si="2"/>
        <v>90359486258793.5</v>
      </c>
      <c r="S12" s="5">
        <f t="shared" si="2"/>
        <v>89276120949538.25</v>
      </c>
      <c r="T12" s="5">
        <f t="shared" si="2"/>
        <v>88192755640282.75</v>
      </c>
      <c r="U12" s="5">
        <f t="shared" si="2"/>
        <v>87109390331027.5</v>
      </c>
      <c r="V12" s="5">
        <f t="shared" si="2"/>
        <v>86026025021772</v>
      </c>
      <c r="W12" s="5">
        <f t="shared" si="2"/>
        <v>84942659712516.75</v>
      </c>
      <c r="X12" s="5">
        <f t="shared" si="2"/>
        <v>83859294403261.25</v>
      </c>
      <c r="Y12" s="5">
        <f t="shared" si="2"/>
        <v>82775929094006</v>
      </c>
      <c r="Z12" s="5">
        <f t="shared" si="2"/>
        <v>81692563784750.75</v>
      </c>
      <c r="AA12" s="5">
        <f t="shared" si="2"/>
        <v>80609198475495.25</v>
      </c>
      <c r="AB12" s="5">
        <f t="shared" si="2"/>
        <v>79525833166240</v>
      </c>
      <c r="AC12" s="5">
        <f t="shared" si="2"/>
        <v>78442467856984.5</v>
      </c>
      <c r="AD12" s="5">
        <f t="shared" si="2"/>
        <v>77359102547729.25</v>
      </c>
      <c r="AE12" s="5">
        <f t="shared" si="2"/>
        <v>76275737238473.75</v>
      </c>
      <c r="AF12" s="5">
        <f t="shared" si="2"/>
        <v>75192371929218.5</v>
      </c>
      <c r="AG12" s="5">
        <f t="shared" si="2"/>
        <v>74109006619963.25</v>
      </c>
      <c r="AH12" s="5">
        <f t="shared" si="2"/>
        <v>73025641310707.75</v>
      </c>
      <c r="AI12" s="5">
        <f t="shared" si="2"/>
        <v>71942276001452.5</v>
      </c>
      <c r="AJ12" s="5">
        <f t="shared" si="2"/>
        <v>70858910692197</v>
      </c>
      <c r="AK12" s="5">
        <f t="shared" si="2"/>
        <v>69775545382941.75</v>
      </c>
      <c r="AL12" s="5">
        <f t="shared" si="2"/>
        <v>68692180073686.25</v>
      </c>
      <c r="AM12" s="5">
        <f t="shared" si="2"/>
        <v>67608814764431</v>
      </c>
      <c r="AN12" s="5">
        <f t="shared" si="2"/>
        <v>66525449455175.75</v>
      </c>
      <c r="AO12" s="5">
        <f t="shared" si="2"/>
        <v>65442084145920.25</v>
      </c>
    </row>
    <row r="13" spans="1:41">
      <c r="A13" s="19" t="s">
        <v>14</v>
      </c>
      <c r="B13" s="5">
        <f>'KEEI&amp;MOTIE'!X14</f>
        <v>0</v>
      </c>
      <c r="C13" s="5">
        <f>'KEEI&amp;MOTIE'!Y14</f>
        <v>0</v>
      </c>
      <c r="D13" s="5">
        <f>'KEEI&amp;MOTIE'!Z14</f>
        <v>0</v>
      </c>
      <c r="E13" s="5">
        <f>'KEEI&amp;MOTIE'!AA14</f>
        <v>0</v>
      </c>
      <c r="F13" s="5">
        <f>'KEEI&amp;MOTIE'!AB14</f>
        <v>0</v>
      </c>
      <c r="I13" s="19" t="s">
        <v>14</v>
      </c>
      <c r="J13" s="5">
        <f t="shared" si="1"/>
        <v>0</v>
      </c>
      <c r="K13" s="5">
        <f t="shared" si="2"/>
        <v>0</v>
      </c>
      <c r="L13" s="5">
        <f t="shared" si="2"/>
        <v>0</v>
      </c>
      <c r="M13" s="5">
        <f t="shared" si="2"/>
        <v>0</v>
      </c>
      <c r="N13" s="5">
        <f t="shared" si="2"/>
        <v>0</v>
      </c>
      <c r="O13" s="5">
        <f t="shared" si="2"/>
        <v>0</v>
      </c>
      <c r="P13" s="5">
        <f t="shared" si="2"/>
        <v>0</v>
      </c>
      <c r="Q13" s="5">
        <f t="shared" si="2"/>
        <v>0</v>
      </c>
      <c r="R13" s="5">
        <f t="shared" si="2"/>
        <v>0</v>
      </c>
      <c r="S13" s="5">
        <f t="shared" si="2"/>
        <v>0</v>
      </c>
      <c r="T13" s="5">
        <f t="shared" si="2"/>
        <v>0</v>
      </c>
      <c r="U13" s="5">
        <f t="shared" si="2"/>
        <v>0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0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  <c r="AH13" s="5">
        <f t="shared" si="2"/>
        <v>0</v>
      </c>
      <c r="AI13" s="5">
        <f t="shared" si="2"/>
        <v>0</v>
      </c>
      <c r="AJ13" s="5">
        <f t="shared" si="2"/>
        <v>0</v>
      </c>
      <c r="AK13" s="5">
        <f t="shared" si="2"/>
        <v>0</v>
      </c>
      <c r="AL13" s="5">
        <f t="shared" si="2"/>
        <v>0</v>
      </c>
      <c r="AM13" s="5">
        <f t="shared" si="2"/>
        <v>0</v>
      </c>
      <c r="AN13" s="5">
        <f t="shared" si="2"/>
        <v>0</v>
      </c>
      <c r="AO13" s="5">
        <f t="shared" si="2"/>
        <v>0</v>
      </c>
    </row>
    <row r="14" spans="1:41">
      <c r="A14" s="19" t="s">
        <v>15</v>
      </c>
      <c r="B14" s="5">
        <f>'KEEI&amp;MOTIE'!X15</f>
        <v>0</v>
      </c>
      <c r="C14" s="5">
        <f>'KEEI&amp;MOTIE'!Y15</f>
        <v>0</v>
      </c>
      <c r="D14" s="5">
        <f>'KEEI&amp;MOTIE'!Z15</f>
        <v>0</v>
      </c>
      <c r="E14" s="5">
        <f>'KEEI&amp;MOTIE'!AA15</f>
        <v>0</v>
      </c>
      <c r="F14" s="5">
        <f>'KEEI&amp;MOTIE'!AB15</f>
        <v>0</v>
      </c>
      <c r="I14" s="19" t="s">
        <v>15</v>
      </c>
      <c r="J14" s="5">
        <f t="shared" si="1"/>
        <v>0</v>
      </c>
      <c r="K14" s="5">
        <f t="shared" si="2"/>
        <v>0</v>
      </c>
      <c r="L14" s="5">
        <f t="shared" si="2"/>
        <v>0</v>
      </c>
      <c r="M14" s="5">
        <f t="shared" si="2"/>
        <v>0</v>
      </c>
      <c r="N14" s="5">
        <f t="shared" si="2"/>
        <v>0</v>
      </c>
      <c r="O14" s="5">
        <f t="shared" si="2"/>
        <v>0</v>
      </c>
      <c r="P14" s="5">
        <f t="shared" si="2"/>
        <v>0</v>
      </c>
      <c r="Q14" s="5">
        <f t="shared" si="2"/>
        <v>0</v>
      </c>
      <c r="R14" s="5">
        <f t="shared" si="2"/>
        <v>0</v>
      </c>
      <c r="S14" s="5">
        <f t="shared" si="2"/>
        <v>0</v>
      </c>
      <c r="T14" s="5">
        <f t="shared" si="2"/>
        <v>0</v>
      </c>
      <c r="U14" s="5">
        <f t="shared" si="2"/>
        <v>0</v>
      </c>
      <c r="V14" s="5">
        <f t="shared" si="2"/>
        <v>0</v>
      </c>
      <c r="W14" s="5">
        <f t="shared" si="2"/>
        <v>0</v>
      </c>
      <c r="X14" s="5">
        <f t="shared" si="2"/>
        <v>0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0</v>
      </c>
      <c r="AE14" s="5">
        <f t="shared" si="2"/>
        <v>0</v>
      </c>
      <c r="AF14" s="5">
        <f t="shared" si="2"/>
        <v>0</v>
      </c>
      <c r="AG14" s="5">
        <f t="shared" si="2"/>
        <v>0</v>
      </c>
      <c r="AH14" s="5">
        <f t="shared" si="2"/>
        <v>0</v>
      </c>
      <c r="AI14" s="5">
        <f t="shared" si="2"/>
        <v>0</v>
      </c>
      <c r="AJ14" s="5">
        <f t="shared" si="2"/>
        <v>0</v>
      </c>
      <c r="AK14" s="5">
        <f t="shared" si="2"/>
        <v>0</v>
      </c>
      <c r="AL14" s="5">
        <f t="shared" si="2"/>
        <v>0</v>
      </c>
      <c r="AM14" s="5">
        <f t="shared" si="2"/>
        <v>0</v>
      </c>
      <c r="AN14" s="5">
        <f t="shared" si="2"/>
        <v>0</v>
      </c>
      <c r="AO14" s="5">
        <f t="shared" si="2"/>
        <v>0</v>
      </c>
    </row>
    <row r="15" spans="1:41">
      <c r="A15" s="19" t="s">
        <v>4</v>
      </c>
      <c r="B15" s="5">
        <f>'KEEI&amp;MOTIE'!X16</f>
        <v>56229604320149.25</v>
      </c>
      <c r="C15" s="5">
        <f>'KEEI&amp;MOTIE'!Y16</f>
        <v>158626673240000</v>
      </c>
      <c r="D15" s="5">
        <f>'KEEI&amp;MOTIE'!Z16</f>
        <v>118970004930000</v>
      </c>
      <c r="E15" s="5">
        <f>'KEEI&amp;MOTIE'!AA16</f>
        <v>118970004930000</v>
      </c>
      <c r="F15" s="5">
        <f>'KEEI&amp;MOTIE'!AB16</f>
        <v>79313336620000</v>
      </c>
      <c r="I15" s="19" t="s">
        <v>4</v>
      </c>
      <c r="J15" s="5">
        <f t="shared" si="1"/>
        <v>102072736379409.63</v>
      </c>
      <c r="K15" s="5">
        <f t="shared" si="2"/>
        <v>102535415999475.63</v>
      </c>
      <c r="L15" s="5">
        <f t="shared" si="2"/>
        <v>102998095619541.63</v>
      </c>
      <c r="M15" s="5">
        <f t="shared" si="2"/>
        <v>103460775239607.63</v>
      </c>
      <c r="N15" s="5">
        <f t="shared" si="2"/>
        <v>103923454859673.5</v>
      </c>
      <c r="O15" s="5">
        <f t="shared" si="2"/>
        <v>104386134479739.5</v>
      </c>
      <c r="P15" s="5">
        <f t="shared" si="2"/>
        <v>104848814099805.5</v>
      </c>
      <c r="Q15" s="5">
        <f t="shared" si="2"/>
        <v>105311493719871.5</v>
      </c>
      <c r="R15" s="5">
        <f t="shared" si="2"/>
        <v>105774173339937.5</v>
      </c>
      <c r="S15" s="5">
        <f t="shared" si="2"/>
        <v>106236852960003.5</v>
      </c>
      <c r="T15" s="5">
        <f t="shared" si="2"/>
        <v>106699532580069.5</v>
      </c>
      <c r="U15" s="5">
        <f t="shared" si="2"/>
        <v>107162212200135.5</v>
      </c>
      <c r="V15" s="5">
        <f t="shared" si="2"/>
        <v>107624891820201.5</v>
      </c>
      <c r="W15" s="5">
        <f t="shared" si="2"/>
        <v>108087571440267.5</v>
      </c>
      <c r="X15" s="5">
        <f t="shared" si="2"/>
        <v>108550251060333.38</v>
      </c>
      <c r="Y15" s="5">
        <f t="shared" si="2"/>
        <v>109012930680399.38</v>
      </c>
      <c r="Z15" s="5">
        <f t="shared" si="2"/>
        <v>109475610300465.38</v>
      </c>
      <c r="AA15" s="5">
        <f t="shared" si="2"/>
        <v>109938289920531.38</v>
      </c>
      <c r="AB15" s="5">
        <f t="shared" si="2"/>
        <v>110400969540597.38</v>
      </c>
      <c r="AC15" s="5">
        <f t="shared" si="2"/>
        <v>110863649160663.38</v>
      </c>
      <c r="AD15" s="5">
        <f t="shared" si="2"/>
        <v>111326328780729.38</v>
      </c>
      <c r="AE15" s="5">
        <f t="shared" si="2"/>
        <v>111789008400795.38</v>
      </c>
      <c r="AF15" s="5">
        <f t="shared" si="2"/>
        <v>112251688020861.38</v>
      </c>
      <c r="AG15" s="5">
        <f t="shared" si="2"/>
        <v>112714367640927.38</v>
      </c>
      <c r="AH15" s="5">
        <f t="shared" si="2"/>
        <v>113177047260993.25</v>
      </c>
      <c r="AI15" s="5">
        <f t="shared" si="2"/>
        <v>113639726881059.25</v>
      </c>
      <c r="AJ15" s="5">
        <f t="shared" si="2"/>
        <v>114102406501125.25</v>
      </c>
      <c r="AK15" s="5">
        <f t="shared" si="2"/>
        <v>114565086121191.25</v>
      </c>
      <c r="AL15" s="5">
        <f t="shared" si="2"/>
        <v>115027765741257.25</v>
      </c>
      <c r="AM15" s="5">
        <f t="shared" si="2"/>
        <v>115490445361323.25</v>
      </c>
      <c r="AN15" s="5">
        <f t="shared" si="2"/>
        <v>115953124981389.25</v>
      </c>
      <c r="AO15" s="5">
        <f t="shared" si="2"/>
        <v>116415804601455.25</v>
      </c>
    </row>
    <row r="16" spans="1:41">
      <c r="A16" s="19" t="s">
        <v>22</v>
      </c>
      <c r="B16" s="5">
        <f>'KEEI&amp;MOTIE'!X17</f>
        <v>0</v>
      </c>
      <c r="C16" s="5">
        <f>'KEEI&amp;MOTIE'!Y17</f>
        <v>0</v>
      </c>
      <c r="D16" s="5">
        <f>'KEEI&amp;MOTIE'!Z17</f>
        <v>0</v>
      </c>
      <c r="E16" s="5">
        <f>'KEEI&amp;MOTIE'!AA17</f>
        <v>0</v>
      </c>
      <c r="F16" s="5">
        <f>'KEEI&amp;MOTIE'!AB17</f>
        <v>0</v>
      </c>
      <c r="I16" s="19" t="s">
        <v>22</v>
      </c>
      <c r="J16" s="5">
        <f t="shared" si="1"/>
        <v>0</v>
      </c>
      <c r="K16" s="5">
        <f t="shared" si="2"/>
        <v>0</v>
      </c>
      <c r="L16" s="5">
        <f t="shared" si="2"/>
        <v>0</v>
      </c>
      <c r="M16" s="5">
        <f t="shared" si="2"/>
        <v>0</v>
      </c>
      <c r="N16" s="5">
        <f t="shared" si="2"/>
        <v>0</v>
      </c>
      <c r="O16" s="5">
        <f t="shared" si="2"/>
        <v>0</v>
      </c>
      <c r="P16" s="5">
        <f t="shared" si="2"/>
        <v>0</v>
      </c>
      <c r="Q16" s="5">
        <f t="shared" si="2"/>
        <v>0</v>
      </c>
      <c r="R16" s="5">
        <f t="shared" si="2"/>
        <v>0</v>
      </c>
      <c r="S16" s="5">
        <f t="shared" si="2"/>
        <v>0</v>
      </c>
      <c r="T16" s="5">
        <f t="shared" si="2"/>
        <v>0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0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0</v>
      </c>
      <c r="AG16" s="5">
        <f t="shared" si="2"/>
        <v>0</v>
      </c>
      <c r="AH16" s="5">
        <f t="shared" si="2"/>
        <v>0</v>
      </c>
      <c r="AI16" s="5">
        <f t="shared" si="2"/>
        <v>0</v>
      </c>
      <c r="AJ16" s="5">
        <f t="shared" si="2"/>
        <v>0</v>
      </c>
      <c r="AK16" s="5">
        <f t="shared" si="2"/>
        <v>0</v>
      </c>
      <c r="AL16" s="5">
        <f t="shared" si="2"/>
        <v>0</v>
      </c>
      <c r="AM16" s="5">
        <f t="shared" si="2"/>
        <v>0</v>
      </c>
      <c r="AN16" s="5">
        <f t="shared" si="2"/>
        <v>0</v>
      </c>
      <c r="AO16" s="5">
        <f t="shared" si="2"/>
        <v>0</v>
      </c>
    </row>
    <row r="17" spans="1:41">
      <c r="A17" s="19" t="s">
        <v>17</v>
      </c>
      <c r="B17" s="5">
        <f>'KEEI&amp;MOTIE'!X18</f>
        <v>0</v>
      </c>
      <c r="C17" s="5">
        <f>'KEEI&amp;MOTIE'!Y18</f>
        <v>0</v>
      </c>
      <c r="D17" s="5">
        <f>'KEEI&amp;MOTIE'!Z18</f>
        <v>0</v>
      </c>
      <c r="E17" s="5">
        <f>'KEEI&amp;MOTIE'!AA18</f>
        <v>0</v>
      </c>
      <c r="F17" s="5">
        <f>'KEEI&amp;MOTIE'!AB18</f>
        <v>0</v>
      </c>
      <c r="I17" s="19" t="s">
        <v>17</v>
      </c>
      <c r="J17" s="5">
        <f t="shared" si="1"/>
        <v>0</v>
      </c>
      <c r="K17" s="5">
        <f t="shared" si="2"/>
        <v>0</v>
      </c>
      <c r="L17" s="5">
        <f t="shared" si="2"/>
        <v>0</v>
      </c>
      <c r="M17" s="5">
        <f t="shared" si="2"/>
        <v>0</v>
      </c>
      <c r="N17" s="5">
        <f t="shared" si="2"/>
        <v>0</v>
      </c>
      <c r="O17" s="5">
        <f t="shared" si="2"/>
        <v>0</v>
      </c>
      <c r="P17" s="5">
        <f t="shared" si="2"/>
        <v>0</v>
      </c>
      <c r="Q17" s="5">
        <f t="shared" si="2"/>
        <v>0</v>
      </c>
      <c r="R17" s="5">
        <f t="shared" si="2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  <c r="AH17" s="5">
        <f t="shared" si="2"/>
        <v>0</v>
      </c>
      <c r="AI17" s="5">
        <f t="shared" si="2"/>
        <v>0</v>
      </c>
      <c r="AJ17" s="5">
        <f t="shared" si="2"/>
        <v>0</v>
      </c>
      <c r="AK17" s="5">
        <f t="shared" si="2"/>
        <v>0</v>
      </c>
      <c r="AL17" s="5">
        <f t="shared" si="2"/>
        <v>0</v>
      </c>
      <c r="AM17" s="5">
        <f t="shared" si="2"/>
        <v>0</v>
      </c>
      <c r="AN17" s="5">
        <f t="shared" si="2"/>
        <v>0</v>
      </c>
      <c r="AO17" s="5">
        <f t="shared" si="2"/>
        <v>0</v>
      </c>
    </row>
    <row r="18" spans="1:41">
      <c r="A18" s="19" t="s">
        <v>18</v>
      </c>
      <c r="B18" s="5">
        <f>'KEEI&amp;MOTIE'!X19</f>
        <v>0</v>
      </c>
      <c r="C18" s="5">
        <f>'KEEI&amp;MOTIE'!Y19</f>
        <v>0</v>
      </c>
      <c r="D18" s="5">
        <f>'KEEI&amp;MOTIE'!Z19</f>
        <v>0</v>
      </c>
      <c r="E18" s="5">
        <f>'KEEI&amp;MOTIE'!AA19</f>
        <v>0</v>
      </c>
      <c r="F18" s="5">
        <f>'KEEI&amp;MOTIE'!AB19</f>
        <v>0</v>
      </c>
      <c r="I18" s="19" t="s">
        <v>18</v>
      </c>
      <c r="J18" s="5">
        <f t="shared" si="1"/>
        <v>0</v>
      </c>
      <c r="K18" s="5">
        <f t="shared" si="2"/>
        <v>0</v>
      </c>
      <c r="L18" s="5">
        <f t="shared" si="2"/>
        <v>0</v>
      </c>
      <c r="M18" s="5">
        <f t="shared" si="2"/>
        <v>0</v>
      </c>
      <c r="N18" s="5">
        <f t="shared" si="2"/>
        <v>0</v>
      </c>
      <c r="O18" s="5">
        <f t="shared" si="2"/>
        <v>0</v>
      </c>
      <c r="P18" s="5">
        <f t="shared" si="2"/>
        <v>0</v>
      </c>
      <c r="Q18" s="5">
        <f t="shared" si="2"/>
        <v>0</v>
      </c>
      <c r="R18" s="5">
        <f t="shared" si="2"/>
        <v>0</v>
      </c>
      <c r="S18" s="5">
        <f t="shared" si="2"/>
        <v>0</v>
      </c>
      <c r="T18" s="5">
        <f t="shared" si="2"/>
        <v>0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0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0</v>
      </c>
      <c r="AG18" s="5">
        <f t="shared" si="2"/>
        <v>0</v>
      </c>
      <c r="AH18" s="5">
        <f t="shared" si="2"/>
        <v>0</v>
      </c>
      <c r="AI18" s="5">
        <f t="shared" si="2"/>
        <v>0</v>
      </c>
      <c r="AJ18" s="5">
        <f t="shared" si="2"/>
        <v>0</v>
      </c>
      <c r="AK18" s="5">
        <f t="shared" si="2"/>
        <v>0</v>
      </c>
      <c r="AL18" s="5">
        <f t="shared" si="2"/>
        <v>0</v>
      </c>
      <c r="AM18" s="5">
        <f t="shared" si="2"/>
        <v>0</v>
      </c>
      <c r="AN18" s="5">
        <f t="shared" si="2"/>
        <v>0</v>
      </c>
      <c r="AO18" s="5">
        <f t="shared" si="2"/>
        <v>0</v>
      </c>
    </row>
    <row r="19" spans="1:41">
      <c r="A19" s="19" t="s">
        <v>5</v>
      </c>
      <c r="B19" s="5">
        <f>'KEEI&amp;MOTIE'!X20</f>
        <v>0</v>
      </c>
      <c r="C19" s="5">
        <f>'KEEI&amp;MOTIE'!Y20</f>
        <v>0</v>
      </c>
      <c r="D19" s="5">
        <f>'KEEI&amp;MOTIE'!Z20</f>
        <v>0</v>
      </c>
      <c r="E19" s="5">
        <f>'KEEI&amp;MOTIE'!AA20</f>
        <v>0</v>
      </c>
      <c r="F19" s="5">
        <f>'KEEI&amp;MOTIE'!AB20</f>
        <v>0</v>
      </c>
      <c r="I19" s="19" t="s">
        <v>5</v>
      </c>
      <c r="J19" s="5">
        <f t="shared" si="1"/>
        <v>0</v>
      </c>
      <c r="K19" s="5">
        <f t="shared" si="2"/>
        <v>0</v>
      </c>
      <c r="L19" s="5">
        <f t="shared" si="2"/>
        <v>0</v>
      </c>
      <c r="M19" s="5">
        <f t="shared" si="2"/>
        <v>0</v>
      </c>
      <c r="N19" s="5">
        <f t="shared" si="2"/>
        <v>0</v>
      </c>
      <c r="O19" s="5">
        <f t="shared" si="2"/>
        <v>0</v>
      </c>
      <c r="P19" s="5">
        <f t="shared" si="2"/>
        <v>0</v>
      </c>
      <c r="Q19" s="5">
        <f t="shared" si="2"/>
        <v>0</v>
      </c>
      <c r="R19" s="5">
        <f t="shared" si="2"/>
        <v>0</v>
      </c>
      <c r="S19" s="5">
        <f t="shared" si="2"/>
        <v>0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0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0</v>
      </c>
      <c r="AF19" s="5">
        <f t="shared" si="2"/>
        <v>0</v>
      </c>
      <c r="AG19" s="5">
        <f t="shared" si="2"/>
        <v>0</v>
      </c>
      <c r="AH19" s="5">
        <f t="shared" si="2"/>
        <v>0</v>
      </c>
      <c r="AI19" s="5">
        <f t="shared" si="2"/>
        <v>0</v>
      </c>
      <c r="AJ19" s="5">
        <f t="shared" si="2"/>
        <v>0</v>
      </c>
      <c r="AK19" s="5">
        <f t="shared" si="2"/>
        <v>0</v>
      </c>
      <c r="AL19" s="5">
        <f t="shared" si="2"/>
        <v>0</v>
      </c>
      <c r="AM19" s="5">
        <f t="shared" si="2"/>
        <v>0</v>
      </c>
      <c r="AN19" s="5">
        <f t="shared" ref="K19:AO22" si="3">IF( _xlfn.FORECAST.LINEAR(AN$2,$B19:$F19,$B$2:$F$2)&gt;0, _xlfn.FORECAST.LINEAR(AN$2,$B19:$F19,$B$2:$F$2), 0 )</f>
        <v>0</v>
      </c>
      <c r="AO19" s="5">
        <f t="shared" si="3"/>
        <v>0</v>
      </c>
    </row>
    <row r="20" spans="1:41">
      <c r="A20" s="19" t="s">
        <v>19</v>
      </c>
      <c r="B20" s="5">
        <f>'KEEI&amp;MOTIE'!X21</f>
        <v>73098485616194.031</v>
      </c>
      <c r="C20" s="5">
        <f>'KEEI&amp;MOTIE'!Y21</f>
        <v>5622960432014.9248</v>
      </c>
      <c r="D20" s="5">
        <f>'KEEI&amp;MOTIE'!Z21</f>
        <v>5622960432014.9248</v>
      </c>
      <c r="E20" s="5">
        <f>'KEEI&amp;MOTIE'!AA21</f>
        <v>5622960432014.9248</v>
      </c>
      <c r="F20" s="5">
        <f>'KEEI&amp;MOTIE'!AB21</f>
        <v>5622960432014.9248</v>
      </c>
      <c r="I20" s="19" t="s">
        <v>19</v>
      </c>
      <c r="J20" s="5">
        <f t="shared" si="1"/>
        <v>31530735123735</v>
      </c>
      <c r="K20" s="5">
        <f t="shared" si="3"/>
        <v>30210238351939</v>
      </c>
      <c r="L20" s="5">
        <f t="shared" si="3"/>
        <v>28889741580142.5</v>
      </c>
      <c r="M20" s="5">
        <f t="shared" si="3"/>
        <v>27569244808346.5</v>
      </c>
      <c r="N20" s="5">
        <f t="shared" si="3"/>
        <v>26248748036550</v>
      </c>
      <c r="O20" s="5">
        <f t="shared" si="3"/>
        <v>24928251264754</v>
      </c>
      <c r="P20" s="5">
        <f t="shared" si="3"/>
        <v>23607754492958</v>
      </c>
      <c r="Q20" s="5">
        <f t="shared" si="3"/>
        <v>22287257721161.5</v>
      </c>
      <c r="R20" s="5">
        <f t="shared" si="3"/>
        <v>20966760949365.5</v>
      </c>
      <c r="S20" s="5">
        <f t="shared" si="3"/>
        <v>19646264177569</v>
      </c>
      <c r="T20" s="5">
        <f t="shared" si="3"/>
        <v>18325767405773</v>
      </c>
      <c r="U20" s="5">
        <f t="shared" si="3"/>
        <v>17005270633976.5</v>
      </c>
      <c r="V20" s="5">
        <f t="shared" si="3"/>
        <v>15684773862180.5</v>
      </c>
      <c r="W20" s="5">
        <f t="shared" si="3"/>
        <v>14364277090384</v>
      </c>
      <c r="X20" s="5">
        <f t="shared" si="3"/>
        <v>13043780318588</v>
      </c>
      <c r="Y20" s="5">
        <f t="shared" si="3"/>
        <v>11723283546791.5</v>
      </c>
      <c r="Z20" s="5">
        <f t="shared" si="3"/>
        <v>10402786774995.5</v>
      </c>
      <c r="AA20" s="5">
        <f t="shared" si="3"/>
        <v>9082290003199</v>
      </c>
      <c r="AB20" s="5">
        <f t="shared" si="3"/>
        <v>7761793231403</v>
      </c>
      <c r="AC20" s="5">
        <f t="shared" si="3"/>
        <v>6441296459607</v>
      </c>
      <c r="AD20" s="5">
        <f t="shared" si="3"/>
        <v>5120799687810.5</v>
      </c>
      <c r="AE20" s="5">
        <f t="shared" si="3"/>
        <v>3800302916014.5</v>
      </c>
      <c r="AF20" s="5">
        <f t="shared" si="3"/>
        <v>2479806144218</v>
      </c>
      <c r="AG20" s="5">
        <f t="shared" si="3"/>
        <v>1159309372422</v>
      </c>
      <c r="AH20" s="5">
        <f t="shared" si="3"/>
        <v>0</v>
      </c>
      <c r="AI20" s="5">
        <f t="shared" si="3"/>
        <v>0</v>
      </c>
      <c r="AJ20" s="5">
        <f t="shared" si="3"/>
        <v>0</v>
      </c>
      <c r="AK20" s="5">
        <f t="shared" si="3"/>
        <v>0</v>
      </c>
      <c r="AL20" s="5">
        <f t="shared" si="3"/>
        <v>0</v>
      </c>
      <c r="AM20" s="5">
        <f t="shared" si="3"/>
        <v>0</v>
      </c>
      <c r="AN20" s="5">
        <f t="shared" si="3"/>
        <v>0</v>
      </c>
      <c r="AO20" s="5">
        <f t="shared" si="3"/>
        <v>0</v>
      </c>
    </row>
    <row r="21" spans="1:41">
      <c r="A21" s="19" t="s">
        <v>6</v>
      </c>
      <c r="B21" s="5">
        <f>'KEEI&amp;MOTIE'!X22</f>
        <v>317253346480000</v>
      </c>
      <c r="C21" s="5">
        <f>'KEEI&amp;MOTIE'!Y22</f>
        <v>475880019720000</v>
      </c>
      <c r="D21" s="5">
        <f>'KEEI&amp;MOTIE'!Z22</f>
        <v>475880019720000</v>
      </c>
      <c r="E21" s="5">
        <f>'KEEI&amp;MOTIE'!AA22</f>
        <v>555193356340000</v>
      </c>
      <c r="F21" s="5">
        <f>'KEEI&amp;MOTIE'!AB22</f>
        <v>594850024650000</v>
      </c>
      <c r="I21" s="19" t="s">
        <v>6</v>
      </c>
      <c r="J21" s="5">
        <f t="shared" si="1"/>
        <v>432025953220628</v>
      </c>
      <c r="K21" s="5">
        <f t="shared" si="3"/>
        <v>437535038344178</v>
      </c>
      <c r="L21" s="5">
        <f t="shared" si="3"/>
        <v>443044123467728</v>
      </c>
      <c r="M21" s="5">
        <f t="shared" si="3"/>
        <v>448553208591278</v>
      </c>
      <c r="N21" s="5">
        <f t="shared" si="3"/>
        <v>454062293714828</v>
      </c>
      <c r="O21" s="5">
        <f t="shared" si="3"/>
        <v>459571378838378</v>
      </c>
      <c r="P21" s="5">
        <f t="shared" si="3"/>
        <v>465080463961928</v>
      </c>
      <c r="Q21" s="5">
        <f t="shared" si="3"/>
        <v>470589549085478</v>
      </c>
      <c r="R21" s="5">
        <f t="shared" si="3"/>
        <v>476098634209028</v>
      </c>
      <c r="S21" s="5">
        <f t="shared" si="3"/>
        <v>481607719332578</v>
      </c>
      <c r="T21" s="5">
        <f t="shared" si="3"/>
        <v>487116804456128</v>
      </c>
      <c r="U21" s="5">
        <f t="shared" si="3"/>
        <v>492625889579680</v>
      </c>
      <c r="V21" s="5">
        <f t="shared" si="3"/>
        <v>498134974703230</v>
      </c>
      <c r="W21" s="5">
        <f t="shared" si="3"/>
        <v>503644059826780</v>
      </c>
      <c r="X21" s="5">
        <f t="shared" si="3"/>
        <v>509153144950330</v>
      </c>
      <c r="Y21" s="5">
        <f t="shared" si="3"/>
        <v>514662230073880</v>
      </c>
      <c r="Z21" s="5">
        <f t="shared" si="3"/>
        <v>520171315197430</v>
      </c>
      <c r="AA21" s="5">
        <f t="shared" si="3"/>
        <v>525680400320980</v>
      </c>
      <c r="AB21" s="5">
        <f t="shared" si="3"/>
        <v>531189485444530</v>
      </c>
      <c r="AC21" s="5">
        <f t="shared" si="3"/>
        <v>536698570568080</v>
      </c>
      <c r="AD21" s="5">
        <f t="shared" si="3"/>
        <v>542207655691630</v>
      </c>
      <c r="AE21" s="5">
        <f t="shared" si="3"/>
        <v>547716740815180</v>
      </c>
      <c r="AF21" s="5">
        <f t="shared" si="3"/>
        <v>553225825938730</v>
      </c>
      <c r="AG21" s="5">
        <f t="shared" si="3"/>
        <v>558734911062282</v>
      </c>
      <c r="AH21" s="5">
        <f t="shared" si="3"/>
        <v>564243996185832</v>
      </c>
      <c r="AI21" s="5">
        <f t="shared" si="3"/>
        <v>569753081309382</v>
      </c>
      <c r="AJ21" s="5">
        <f t="shared" si="3"/>
        <v>575262166432932</v>
      </c>
      <c r="AK21" s="5">
        <f t="shared" si="3"/>
        <v>580771251556482</v>
      </c>
      <c r="AL21" s="5">
        <f t="shared" si="3"/>
        <v>586280336680032</v>
      </c>
      <c r="AM21" s="5">
        <f t="shared" si="3"/>
        <v>591789421803582</v>
      </c>
      <c r="AN21" s="5">
        <f t="shared" si="3"/>
        <v>597298506927132</v>
      </c>
      <c r="AO21" s="5">
        <f t="shared" si="3"/>
        <v>602807592050682</v>
      </c>
    </row>
    <row r="22" spans="1:41">
      <c r="A22" s="19" t="s">
        <v>20</v>
      </c>
      <c r="B22" s="5">
        <f>'KEEI&amp;MOTIE'!X23</f>
        <v>0</v>
      </c>
      <c r="C22" s="5">
        <f>'KEEI&amp;MOTIE'!Y23</f>
        <v>0</v>
      </c>
      <c r="D22" s="5">
        <f>'KEEI&amp;MOTIE'!Z23</f>
        <v>0</v>
      </c>
      <c r="E22" s="5">
        <f>'KEEI&amp;MOTIE'!AA23</f>
        <v>0</v>
      </c>
      <c r="F22" s="5">
        <f>'KEEI&amp;MOTIE'!AB23</f>
        <v>0</v>
      </c>
      <c r="I22" s="19" t="s">
        <v>20</v>
      </c>
      <c r="J22" s="5">
        <f t="shared" si="1"/>
        <v>0</v>
      </c>
      <c r="K22" s="5">
        <f t="shared" si="3"/>
        <v>0</v>
      </c>
      <c r="L22" s="5">
        <f t="shared" si="3"/>
        <v>0</v>
      </c>
      <c r="M22" s="5">
        <f t="shared" si="3"/>
        <v>0</v>
      </c>
      <c r="N22" s="5">
        <f t="shared" si="3"/>
        <v>0</v>
      </c>
      <c r="O22" s="5">
        <f t="shared" si="3"/>
        <v>0</v>
      </c>
      <c r="P22" s="5">
        <f t="shared" si="3"/>
        <v>0</v>
      </c>
      <c r="Q22" s="5">
        <f t="shared" si="3"/>
        <v>0</v>
      </c>
      <c r="R22" s="5">
        <f t="shared" si="3"/>
        <v>0</v>
      </c>
      <c r="S22" s="5">
        <f t="shared" si="3"/>
        <v>0</v>
      </c>
      <c r="T22" s="5">
        <f t="shared" si="3"/>
        <v>0</v>
      </c>
      <c r="U22" s="5">
        <f t="shared" si="3"/>
        <v>0</v>
      </c>
      <c r="V22" s="5">
        <f t="shared" si="3"/>
        <v>0</v>
      </c>
      <c r="W22" s="5">
        <f t="shared" si="3"/>
        <v>0</v>
      </c>
      <c r="X22" s="5">
        <f t="shared" si="3"/>
        <v>0</v>
      </c>
      <c r="Y22" s="5">
        <f t="shared" si="3"/>
        <v>0</v>
      </c>
      <c r="Z22" s="5">
        <f t="shared" si="3"/>
        <v>0</v>
      </c>
      <c r="AA22" s="5">
        <f t="shared" si="3"/>
        <v>0</v>
      </c>
      <c r="AB22" s="5">
        <f t="shared" si="3"/>
        <v>0</v>
      </c>
      <c r="AC22" s="5">
        <f t="shared" si="3"/>
        <v>0</v>
      </c>
      <c r="AD22" s="5">
        <f t="shared" si="3"/>
        <v>0</v>
      </c>
      <c r="AE22" s="5">
        <f t="shared" si="3"/>
        <v>0</v>
      </c>
      <c r="AF22" s="5">
        <f t="shared" si="3"/>
        <v>0</v>
      </c>
      <c r="AG22" s="5">
        <f t="shared" si="3"/>
        <v>0</v>
      </c>
      <c r="AH22" s="5">
        <f t="shared" si="3"/>
        <v>0</v>
      </c>
      <c r="AI22" s="5">
        <f t="shared" si="3"/>
        <v>0</v>
      </c>
      <c r="AJ22" s="5">
        <f t="shared" si="3"/>
        <v>0</v>
      </c>
      <c r="AK22" s="5">
        <f t="shared" si="3"/>
        <v>0</v>
      </c>
      <c r="AL22" s="5">
        <f t="shared" si="3"/>
        <v>0</v>
      </c>
      <c r="AM22" s="5">
        <f t="shared" si="3"/>
        <v>0</v>
      </c>
      <c r="AN22" s="5">
        <f t="shared" si="3"/>
        <v>0</v>
      </c>
      <c r="AO22" s="5">
        <f t="shared" si="3"/>
        <v>0</v>
      </c>
    </row>
    <row r="23" spans="1:41">
      <c r="A23" s="19" t="s">
        <v>21</v>
      </c>
      <c r="B23" s="20" t="s">
        <v>34</v>
      </c>
      <c r="C23" s="20" t="s">
        <v>34</v>
      </c>
      <c r="D23" s="20" t="s">
        <v>34</v>
      </c>
      <c r="E23" s="20" t="s">
        <v>34</v>
      </c>
      <c r="F23" s="20" t="s">
        <v>34</v>
      </c>
      <c r="I23" s="19" t="s">
        <v>21</v>
      </c>
      <c r="J23" s="20" t="s">
        <v>34</v>
      </c>
      <c r="K23" s="20" t="s">
        <v>34</v>
      </c>
      <c r="L23" s="20" t="s">
        <v>34</v>
      </c>
      <c r="M23" s="20" t="s">
        <v>34</v>
      </c>
      <c r="N23" s="20" t="s">
        <v>34</v>
      </c>
      <c r="O23" s="20" t="s">
        <v>34</v>
      </c>
      <c r="P23" s="20" t="s">
        <v>34</v>
      </c>
      <c r="Q23" s="20" t="s">
        <v>34</v>
      </c>
      <c r="R23" s="20" t="s">
        <v>34</v>
      </c>
      <c r="S23" s="20" t="s">
        <v>34</v>
      </c>
      <c r="T23" s="20" t="s">
        <v>34</v>
      </c>
      <c r="U23" s="20" t="s">
        <v>34</v>
      </c>
      <c r="V23" s="20" t="s">
        <v>34</v>
      </c>
      <c r="W23" s="20" t="s">
        <v>34</v>
      </c>
      <c r="X23" s="20" t="s">
        <v>34</v>
      </c>
      <c r="Y23" s="20" t="s">
        <v>34</v>
      </c>
      <c r="Z23" s="20" t="s">
        <v>34</v>
      </c>
      <c r="AA23" s="20" t="s">
        <v>34</v>
      </c>
      <c r="AB23" s="20" t="s">
        <v>34</v>
      </c>
      <c r="AC23" s="20" t="s">
        <v>34</v>
      </c>
      <c r="AD23" s="20" t="s">
        <v>34</v>
      </c>
      <c r="AE23" s="20" t="s">
        <v>34</v>
      </c>
      <c r="AF23" s="20" t="s">
        <v>34</v>
      </c>
      <c r="AG23" s="20" t="s">
        <v>34</v>
      </c>
      <c r="AH23" s="20" t="s">
        <v>34</v>
      </c>
      <c r="AI23" s="20" t="s">
        <v>34</v>
      </c>
      <c r="AJ23" s="20" t="s">
        <v>34</v>
      </c>
      <c r="AK23" s="20" t="s">
        <v>34</v>
      </c>
      <c r="AL23" s="20" t="s">
        <v>34</v>
      </c>
      <c r="AM23" s="20" t="s">
        <v>34</v>
      </c>
      <c r="AN23" s="20" t="s">
        <v>34</v>
      </c>
      <c r="AO23" s="20" t="s">
        <v>34</v>
      </c>
    </row>
    <row r="26" spans="1:41">
      <c r="A26" t="s">
        <v>89</v>
      </c>
      <c r="I26" t="s">
        <v>102</v>
      </c>
    </row>
    <row r="27" spans="1:41">
      <c r="A27" s="17" t="s">
        <v>85</v>
      </c>
      <c r="B27">
        <v>2000</v>
      </c>
      <c r="C27">
        <v>2022</v>
      </c>
      <c r="D27">
        <v>2030</v>
      </c>
      <c r="E27">
        <v>2040</v>
      </c>
      <c r="F27">
        <v>2050</v>
      </c>
      <c r="I27" s="17" t="s">
        <v>85</v>
      </c>
      <c r="J27" s="6">
        <v>2019</v>
      </c>
      <c r="K27">
        <v>2020</v>
      </c>
      <c r="L27" s="6">
        <v>2021</v>
      </c>
      <c r="M27">
        <v>2022</v>
      </c>
      <c r="N27" s="6">
        <v>2023</v>
      </c>
      <c r="O27">
        <v>2024</v>
      </c>
      <c r="P27" s="6">
        <v>2025</v>
      </c>
      <c r="Q27">
        <v>2026</v>
      </c>
      <c r="R27" s="6">
        <v>2027</v>
      </c>
      <c r="S27">
        <v>2028</v>
      </c>
      <c r="T27" s="6">
        <v>2029</v>
      </c>
      <c r="U27">
        <v>2030</v>
      </c>
      <c r="V27" s="6">
        <v>2031</v>
      </c>
      <c r="W27">
        <v>2032</v>
      </c>
      <c r="X27" s="6">
        <v>2033</v>
      </c>
      <c r="Y27">
        <v>2034</v>
      </c>
      <c r="Z27" s="6">
        <v>2035</v>
      </c>
      <c r="AA27">
        <v>2036</v>
      </c>
      <c r="AB27" s="6">
        <v>2037</v>
      </c>
      <c r="AC27">
        <v>2038</v>
      </c>
      <c r="AD27" s="6">
        <v>2039</v>
      </c>
      <c r="AE27">
        <v>2040</v>
      </c>
      <c r="AF27" s="6">
        <v>2041</v>
      </c>
      <c r="AG27">
        <v>2042</v>
      </c>
      <c r="AH27" s="6">
        <v>2043</v>
      </c>
      <c r="AI27">
        <v>2044</v>
      </c>
      <c r="AJ27" s="6">
        <v>2045</v>
      </c>
      <c r="AK27">
        <v>2046</v>
      </c>
      <c r="AL27" s="6">
        <v>2047</v>
      </c>
      <c r="AM27">
        <v>2048</v>
      </c>
      <c r="AN27" s="6">
        <v>2049</v>
      </c>
      <c r="AO27">
        <v>2050</v>
      </c>
    </row>
    <row r="28" spans="1:41">
      <c r="A28" s="19" t="s">
        <v>7</v>
      </c>
      <c r="B28" s="5">
        <f>0</f>
        <v>0</v>
      </c>
      <c r="C28" s="5">
        <f>0</f>
        <v>0</v>
      </c>
      <c r="D28" s="5">
        <f>0</f>
        <v>0</v>
      </c>
      <c r="E28" s="5">
        <f>0</f>
        <v>0</v>
      </c>
      <c r="F28" s="5">
        <f>0</f>
        <v>0</v>
      </c>
      <c r="I28" s="19" t="s">
        <v>7</v>
      </c>
      <c r="J28" s="5">
        <f>IF( _xlfn.FORECAST.LINEAR(J$27,$B28:$F28,$B$27:$F$27)&gt;0, _xlfn.FORECAST.LINEAR(J$27,$B28:$F28,$B$27:$F$27), 0 )</f>
        <v>0</v>
      </c>
      <c r="K28" s="5">
        <f t="shared" ref="K28:AO36" si="4">IF( _xlfn.FORECAST.LINEAR(K$27,$B28:$F28,$B$27:$F$27)&gt;0, _xlfn.FORECAST.LINEAR(K$27,$B28:$F28,$B$27:$F$27), 0 )</f>
        <v>0</v>
      </c>
      <c r="L28" s="5">
        <f t="shared" si="4"/>
        <v>0</v>
      </c>
      <c r="M28" s="5">
        <f t="shared" si="4"/>
        <v>0</v>
      </c>
      <c r="N28" s="5">
        <f t="shared" si="4"/>
        <v>0</v>
      </c>
      <c r="O28" s="5">
        <f t="shared" si="4"/>
        <v>0</v>
      </c>
      <c r="P28" s="5">
        <f t="shared" si="4"/>
        <v>0</v>
      </c>
      <c r="Q28" s="5">
        <f t="shared" si="4"/>
        <v>0</v>
      </c>
      <c r="R28" s="5">
        <f t="shared" si="4"/>
        <v>0</v>
      </c>
      <c r="S28" s="5">
        <f t="shared" si="4"/>
        <v>0</v>
      </c>
      <c r="T28" s="5">
        <f t="shared" si="4"/>
        <v>0</v>
      </c>
      <c r="U28" s="5">
        <f t="shared" si="4"/>
        <v>0</v>
      </c>
      <c r="V28" s="5">
        <f t="shared" si="4"/>
        <v>0</v>
      </c>
      <c r="W28" s="5">
        <f t="shared" si="4"/>
        <v>0</v>
      </c>
      <c r="X28" s="5">
        <f t="shared" si="4"/>
        <v>0</v>
      </c>
      <c r="Y28" s="5">
        <f t="shared" si="4"/>
        <v>0</v>
      </c>
      <c r="Z28" s="5">
        <f t="shared" si="4"/>
        <v>0</v>
      </c>
      <c r="AA28" s="5">
        <f t="shared" si="4"/>
        <v>0</v>
      </c>
      <c r="AB28" s="5">
        <f t="shared" si="4"/>
        <v>0</v>
      </c>
      <c r="AC28" s="5">
        <f t="shared" si="4"/>
        <v>0</v>
      </c>
      <c r="AD28" s="5">
        <f t="shared" si="4"/>
        <v>0</v>
      </c>
      <c r="AE28" s="5">
        <f t="shared" si="4"/>
        <v>0</v>
      </c>
      <c r="AF28" s="5">
        <f t="shared" si="4"/>
        <v>0</v>
      </c>
      <c r="AG28" s="5">
        <f t="shared" si="4"/>
        <v>0</v>
      </c>
      <c r="AH28" s="5">
        <f t="shared" si="4"/>
        <v>0</v>
      </c>
      <c r="AI28" s="5">
        <f t="shared" si="4"/>
        <v>0</v>
      </c>
      <c r="AJ28" s="5">
        <f t="shared" si="4"/>
        <v>0</v>
      </c>
      <c r="AK28" s="5">
        <f t="shared" si="4"/>
        <v>0</v>
      </c>
      <c r="AL28" s="5">
        <f t="shared" si="4"/>
        <v>0</v>
      </c>
      <c r="AM28" s="5">
        <f t="shared" si="4"/>
        <v>0</v>
      </c>
      <c r="AN28" s="5">
        <f t="shared" si="4"/>
        <v>0</v>
      </c>
      <c r="AO28" s="5">
        <f t="shared" si="4"/>
        <v>0</v>
      </c>
    </row>
    <row r="29" spans="1:41">
      <c r="A29" s="19" t="s">
        <v>8</v>
      </c>
      <c r="B29" s="20" t="s">
        <v>34</v>
      </c>
      <c r="C29" s="20" t="s">
        <v>34</v>
      </c>
      <c r="D29" s="20" t="s">
        <v>34</v>
      </c>
      <c r="E29" s="20" t="s">
        <v>34</v>
      </c>
      <c r="F29" s="20" t="s">
        <v>34</v>
      </c>
      <c r="I29" s="19" t="s">
        <v>8</v>
      </c>
      <c r="J29" s="5" t="e">
        <f>#REF!</f>
        <v>#REF!</v>
      </c>
      <c r="K29" s="5" t="e">
        <f>#REF!</f>
        <v>#REF!</v>
      </c>
      <c r="L29" s="5" t="e">
        <f>#REF!</f>
        <v>#REF!</v>
      </c>
      <c r="M29" s="5" t="e">
        <f>#REF!</f>
        <v>#REF!</v>
      </c>
      <c r="N29" s="5" t="e">
        <f>#REF!</f>
        <v>#REF!</v>
      </c>
      <c r="O29" s="5" t="e">
        <f>#REF!</f>
        <v>#REF!</v>
      </c>
      <c r="P29" s="5" t="e">
        <f>#REF!</f>
        <v>#REF!</v>
      </c>
      <c r="Q29" s="5" t="e">
        <f>#REF!</f>
        <v>#REF!</v>
      </c>
      <c r="R29" s="5" t="e">
        <f>#REF!</f>
        <v>#REF!</v>
      </c>
      <c r="S29" s="5" t="e">
        <f>#REF!</f>
        <v>#REF!</v>
      </c>
      <c r="T29" s="5" t="e">
        <f>#REF!</f>
        <v>#REF!</v>
      </c>
      <c r="U29" s="5" t="e">
        <f>#REF!</f>
        <v>#REF!</v>
      </c>
      <c r="V29" s="5" t="e">
        <f>#REF!</f>
        <v>#REF!</v>
      </c>
      <c r="W29" s="5" t="e">
        <f>#REF!</f>
        <v>#REF!</v>
      </c>
      <c r="X29" s="5" t="e">
        <f>#REF!</f>
        <v>#REF!</v>
      </c>
      <c r="Y29" s="5" t="e">
        <f>#REF!</f>
        <v>#REF!</v>
      </c>
      <c r="Z29" s="5" t="e">
        <f>#REF!</f>
        <v>#REF!</v>
      </c>
      <c r="AA29" s="5" t="e">
        <f>#REF!</f>
        <v>#REF!</v>
      </c>
      <c r="AB29" s="5" t="e">
        <f>#REF!</f>
        <v>#REF!</v>
      </c>
      <c r="AC29" s="5" t="e">
        <f>#REF!</f>
        <v>#REF!</v>
      </c>
      <c r="AD29" s="5" t="e">
        <f>#REF!</f>
        <v>#REF!</v>
      </c>
      <c r="AE29" s="5" t="e">
        <f>#REF!</f>
        <v>#REF!</v>
      </c>
      <c r="AF29" s="5" t="e">
        <f>#REF!</f>
        <v>#REF!</v>
      </c>
      <c r="AG29" s="5" t="e">
        <f>#REF!</f>
        <v>#REF!</v>
      </c>
      <c r="AH29" s="5" t="e">
        <f>#REF!</f>
        <v>#REF!</v>
      </c>
      <c r="AI29" s="5" t="e">
        <f>#REF!</f>
        <v>#REF!</v>
      </c>
      <c r="AJ29" s="5" t="e">
        <f>#REF!</f>
        <v>#REF!</v>
      </c>
      <c r="AK29" s="5" t="e">
        <f>#REF!</f>
        <v>#REF!</v>
      </c>
      <c r="AL29" s="5" t="e">
        <f>#REF!</f>
        <v>#REF!</v>
      </c>
      <c r="AM29" s="5" t="e">
        <f>#REF!</f>
        <v>#REF!</v>
      </c>
      <c r="AN29" s="5" t="e">
        <f>#REF!</f>
        <v>#REF!</v>
      </c>
      <c r="AO29" s="5" t="e">
        <f>#REF!</f>
        <v>#REF!</v>
      </c>
    </row>
    <row r="30" spans="1:41">
      <c r="A30" s="19" t="s">
        <v>1</v>
      </c>
      <c r="B30" s="5">
        <f>0</f>
        <v>0</v>
      </c>
      <c r="C30" s="5">
        <f>0</f>
        <v>0</v>
      </c>
      <c r="D30" s="5">
        <f>0</f>
        <v>0</v>
      </c>
      <c r="E30" s="5">
        <f>0</f>
        <v>0</v>
      </c>
      <c r="F30" s="5">
        <f>0</f>
        <v>0</v>
      </c>
      <c r="I30" s="19" t="s">
        <v>1</v>
      </c>
      <c r="J30" s="5">
        <f t="shared" ref="J30:J47" si="5">IF( _xlfn.FORECAST.LINEAR(J$27,$B30:$F30,$B$27:$F$27)&gt;0, _xlfn.FORECAST.LINEAR(J$27,$B30:$F30,$B$27:$F$27), 0 )</f>
        <v>0</v>
      </c>
      <c r="K30" s="5">
        <f t="shared" si="4"/>
        <v>0</v>
      </c>
      <c r="L30" s="5">
        <f t="shared" si="4"/>
        <v>0</v>
      </c>
      <c r="M30" s="5">
        <f t="shared" si="4"/>
        <v>0</v>
      </c>
      <c r="N30" s="5">
        <f t="shared" si="4"/>
        <v>0</v>
      </c>
      <c r="O30" s="5">
        <f t="shared" si="4"/>
        <v>0</v>
      </c>
      <c r="P30" s="5">
        <f t="shared" si="4"/>
        <v>0</v>
      </c>
      <c r="Q30" s="5">
        <f t="shared" si="4"/>
        <v>0</v>
      </c>
      <c r="R30" s="5">
        <f t="shared" si="4"/>
        <v>0</v>
      </c>
      <c r="S30" s="5">
        <f t="shared" si="4"/>
        <v>0</v>
      </c>
      <c r="T30" s="5">
        <f t="shared" si="4"/>
        <v>0</v>
      </c>
      <c r="U30" s="5">
        <f t="shared" si="4"/>
        <v>0</v>
      </c>
      <c r="V30" s="5">
        <f t="shared" si="4"/>
        <v>0</v>
      </c>
      <c r="W30" s="5">
        <f t="shared" si="4"/>
        <v>0</v>
      </c>
      <c r="X30" s="5">
        <f t="shared" si="4"/>
        <v>0</v>
      </c>
      <c r="Y30" s="5">
        <f t="shared" si="4"/>
        <v>0</v>
      </c>
      <c r="Z30" s="5">
        <f t="shared" si="4"/>
        <v>0</v>
      </c>
      <c r="AA30" s="5">
        <f t="shared" si="4"/>
        <v>0</v>
      </c>
      <c r="AB30" s="5">
        <f t="shared" si="4"/>
        <v>0</v>
      </c>
      <c r="AC30" s="5">
        <f t="shared" si="4"/>
        <v>0</v>
      </c>
      <c r="AD30" s="5">
        <f t="shared" si="4"/>
        <v>0</v>
      </c>
      <c r="AE30" s="5">
        <f t="shared" si="4"/>
        <v>0</v>
      </c>
      <c r="AF30" s="5">
        <f t="shared" si="4"/>
        <v>0</v>
      </c>
      <c r="AG30" s="5">
        <f t="shared" si="4"/>
        <v>0</v>
      </c>
      <c r="AH30" s="5">
        <f t="shared" si="4"/>
        <v>0</v>
      </c>
      <c r="AI30" s="5">
        <f t="shared" si="4"/>
        <v>0</v>
      </c>
      <c r="AJ30" s="5">
        <f t="shared" si="4"/>
        <v>0</v>
      </c>
      <c r="AK30" s="5">
        <f t="shared" si="4"/>
        <v>0</v>
      </c>
      <c r="AL30" s="5">
        <f t="shared" si="4"/>
        <v>0</v>
      </c>
      <c r="AM30" s="5">
        <f t="shared" si="4"/>
        <v>0</v>
      </c>
      <c r="AN30" s="5">
        <f t="shared" si="4"/>
        <v>0</v>
      </c>
      <c r="AO30" s="5">
        <f t="shared" si="4"/>
        <v>0</v>
      </c>
    </row>
    <row r="31" spans="1:41">
      <c r="A31" s="19" t="s">
        <v>9</v>
      </c>
      <c r="B31" s="5">
        <f>B6</f>
        <v>1070730044370000</v>
      </c>
      <c r="C31" s="5">
        <f t="shared" ref="C31:F31" si="6">C6</f>
        <v>1506953395780000</v>
      </c>
      <c r="D31" s="5">
        <f t="shared" si="6"/>
        <v>1665580069020000</v>
      </c>
      <c r="E31" s="5">
        <f t="shared" si="6"/>
        <v>1427640059160000</v>
      </c>
      <c r="F31" s="5">
        <f t="shared" si="6"/>
        <v>1150043380990000</v>
      </c>
      <c r="I31" s="19" t="s">
        <v>9</v>
      </c>
      <c r="J31" s="5">
        <f t="shared" si="5"/>
        <v>1338193940973470</v>
      </c>
      <c r="K31" s="5">
        <f t="shared" si="4"/>
        <v>1340959414259697</v>
      </c>
      <c r="L31" s="5">
        <f t="shared" si="4"/>
        <v>1343724887545924</v>
      </c>
      <c r="M31" s="5">
        <f t="shared" si="4"/>
        <v>1346490360832150</v>
      </c>
      <c r="N31" s="5">
        <f t="shared" si="4"/>
        <v>1349255834118377</v>
      </c>
      <c r="O31" s="5">
        <f t="shared" si="4"/>
        <v>1352021307404603</v>
      </c>
      <c r="P31" s="5">
        <f t="shared" si="4"/>
        <v>1354786780690830</v>
      </c>
      <c r="Q31" s="5">
        <f t="shared" si="4"/>
        <v>1357552253977056</v>
      </c>
      <c r="R31" s="5">
        <f t="shared" si="4"/>
        <v>1360317727263283</v>
      </c>
      <c r="S31" s="5">
        <f t="shared" si="4"/>
        <v>1363083200549510</v>
      </c>
      <c r="T31" s="5">
        <f t="shared" si="4"/>
        <v>1365848673835736</v>
      </c>
      <c r="U31" s="5">
        <f t="shared" si="4"/>
        <v>1368614147121963</v>
      </c>
      <c r="V31" s="5">
        <f t="shared" si="4"/>
        <v>1371379620408189</v>
      </c>
      <c r="W31" s="5">
        <f t="shared" si="4"/>
        <v>1374145093694416</v>
      </c>
      <c r="X31" s="5">
        <f t="shared" si="4"/>
        <v>1376910566980642</v>
      </c>
      <c r="Y31" s="5">
        <f t="shared" si="4"/>
        <v>1379676040266869</v>
      </c>
      <c r="Z31" s="5">
        <f t="shared" si="4"/>
        <v>1382441513553096</v>
      </c>
      <c r="AA31" s="5">
        <f t="shared" si="4"/>
        <v>1385206986839322</v>
      </c>
      <c r="AB31" s="5">
        <f t="shared" si="4"/>
        <v>1387972460125549</v>
      </c>
      <c r="AC31" s="5">
        <f t="shared" si="4"/>
        <v>1390737933411775</v>
      </c>
      <c r="AD31" s="5">
        <f t="shared" si="4"/>
        <v>1393503406698002</v>
      </c>
      <c r="AE31" s="5">
        <f t="shared" si="4"/>
        <v>1396268879984228</v>
      </c>
      <c r="AF31" s="5">
        <f t="shared" si="4"/>
        <v>1399034353270455</v>
      </c>
      <c r="AG31" s="5">
        <f t="shared" si="4"/>
        <v>1401799826556682</v>
      </c>
      <c r="AH31" s="5">
        <f t="shared" si="4"/>
        <v>1404565299842908</v>
      </c>
      <c r="AI31" s="5">
        <f t="shared" si="4"/>
        <v>1407330773129135</v>
      </c>
      <c r="AJ31" s="5">
        <f t="shared" si="4"/>
        <v>1410096246415361</v>
      </c>
      <c r="AK31" s="5">
        <f t="shared" si="4"/>
        <v>1412861719701588</v>
      </c>
      <c r="AL31" s="5">
        <f t="shared" si="4"/>
        <v>1415627192987814</v>
      </c>
      <c r="AM31" s="5">
        <f t="shared" si="4"/>
        <v>1418392666274041</v>
      </c>
      <c r="AN31" s="5">
        <f t="shared" si="4"/>
        <v>1421158139560268</v>
      </c>
      <c r="AO31" s="5">
        <f t="shared" si="4"/>
        <v>1423923612846494</v>
      </c>
    </row>
    <row r="32" spans="1:41">
      <c r="A32" s="19" t="s">
        <v>10</v>
      </c>
      <c r="B32" s="5">
        <f>0</f>
        <v>0</v>
      </c>
      <c r="C32" s="5">
        <f>0</f>
        <v>0</v>
      </c>
      <c r="D32" s="5">
        <f>0</f>
        <v>0</v>
      </c>
      <c r="E32" s="5">
        <f>0</f>
        <v>0</v>
      </c>
      <c r="F32" s="5">
        <f>0</f>
        <v>0</v>
      </c>
      <c r="I32" s="19" t="s">
        <v>10</v>
      </c>
      <c r="J32" s="5">
        <f t="shared" si="5"/>
        <v>0</v>
      </c>
      <c r="K32" s="5">
        <f t="shared" si="4"/>
        <v>0</v>
      </c>
      <c r="L32" s="5">
        <f t="shared" si="4"/>
        <v>0</v>
      </c>
      <c r="M32" s="5">
        <f t="shared" si="4"/>
        <v>0</v>
      </c>
      <c r="N32" s="5">
        <f t="shared" si="4"/>
        <v>0</v>
      </c>
      <c r="O32" s="5">
        <f t="shared" si="4"/>
        <v>0</v>
      </c>
      <c r="P32" s="5">
        <f t="shared" si="4"/>
        <v>0</v>
      </c>
      <c r="Q32" s="5">
        <f t="shared" si="4"/>
        <v>0</v>
      </c>
      <c r="R32" s="5">
        <f t="shared" si="4"/>
        <v>0</v>
      </c>
      <c r="S32" s="5">
        <f t="shared" si="4"/>
        <v>0</v>
      </c>
      <c r="T32" s="5">
        <f t="shared" si="4"/>
        <v>0</v>
      </c>
      <c r="U32" s="5">
        <f t="shared" si="4"/>
        <v>0</v>
      </c>
      <c r="V32" s="5">
        <f t="shared" si="4"/>
        <v>0</v>
      </c>
      <c r="W32" s="5">
        <f t="shared" si="4"/>
        <v>0</v>
      </c>
      <c r="X32" s="5">
        <f t="shared" si="4"/>
        <v>0</v>
      </c>
      <c r="Y32" s="5">
        <f t="shared" si="4"/>
        <v>0</v>
      </c>
      <c r="Z32" s="5">
        <f t="shared" si="4"/>
        <v>0</v>
      </c>
      <c r="AA32" s="5">
        <f t="shared" si="4"/>
        <v>0</v>
      </c>
      <c r="AB32" s="5">
        <f t="shared" si="4"/>
        <v>0</v>
      </c>
      <c r="AC32" s="5">
        <f t="shared" si="4"/>
        <v>0</v>
      </c>
      <c r="AD32" s="5">
        <f t="shared" si="4"/>
        <v>0</v>
      </c>
      <c r="AE32" s="5">
        <f t="shared" si="4"/>
        <v>0</v>
      </c>
      <c r="AF32" s="5">
        <f t="shared" si="4"/>
        <v>0</v>
      </c>
      <c r="AG32" s="5">
        <f t="shared" si="4"/>
        <v>0</v>
      </c>
      <c r="AH32" s="5">
        <f t="shared" si="4"/>
        <v>0</v>
      </c>
      <c r="AI32" s="5">
        <f t="shared" si="4"/>
        <v>0</v>
      </c>
      <c r="AJ32" s="5">
        <f t="shared" si="4"/>
        <v>0</v>
      </c>
      <c r="AK32" s="5">
        <f t="shared" si="4"/>
        <v>0</v>
      </c>
      <c r="AL32" s="5">
        <f t="shared" si="4"/>
        <v>0</v>
      </c>
      <c r="AM32" s="5">
        <f t="shared" si="4"/>
        <v>0</v>
      </c>
      <c r="AN32" s="5">
        <f t="shared" si="4"/>
        <v>0</v>
      </c>
      <c r="AO32" s="5">
        <f t="shared" si="4"/>
        <v>0</v>
      </c>
    </row>
    <row r="33" spans="1:41">
      <c r="A33" s="19" t="s">
        <v>11</v>
      </c>
      <c r="B33" s="5">
        <f>0</f>
        <v>0</v>
      </c>
      <c r="C33" s="5">
        <f>0</f>
        <v>0</v>
      </c>
      <c r="D33" s="5">
        <f>0</f>
        <v>0</v>
      </c>
      <c r="E33" s="5">
        <f>0</f>
        <v>0</v>
      </c>
      <c r="F33" s="5">
        <f>0</f>
        <v>0</v>
      </c>
      <c r="I33" s="19" t="s">
        <v>11</v>
      </c>
      <c r="J33" s="5">
        <f t="shared" si="5"/>
        <v>0</v>
      </c>
      <c r="K33" s="5">
        <f t="shared" si="4"/>
        <v>0</v>
      </c>
      <c r="L33" s="5">
        <f t="shared" si="4"/>
        <v>0</v>
      </c>
      <c r="M33" s="5">
        <f t="shared" si="4"/>
        <v>0</v>
      </c>
      <c r="N33" s="5">
        <f t="shared" si="4"/>
        <v>0</v>
      </c>
      <c r="O33" s="5">
        <f t="shared" si="4"/>
        <v>0</v>
      </c>
      <c r="P33" s="5">
        <f t="shared" si="4"/>
        <v>0</v>
      </c>
      <c r="Q33" s="5">
        <f t="shared" si="4"/>
        <v>0</v>
      </c>
      <c r="R33" s="5">
        <f t="shared" si="4"/>
        <v>0</v>
      </c>
      <c r="S33" s="5">
        <f t="shared" si="4"/>
        <v>0</v>
      </c>
      <c r="T33" s="5">
        <f t="shared" si="4"/>
        <v>0</v>
      </c>
      <c r="U33" s="5">
        <f t="shared" si="4"/>
        <v>0</v>
      </c>
      <c r="V33" s="5">
        <f t="shared" si="4"/>
        <v>0</v>
      </c>
      <c r="W33" s="5">
        <f t="shared" si="4"/>
        <v>0</v>
      </c>
      <c r="X33" s="5">
        <f t="shared" si="4"/>
        <v>0</v>
      </c>
      <c r="Y33" s="5">
        <f t="shared" si="4"/>
        <v>0</v>
      </c>
      <c r="Z33" s="5">
        <f t="shared" si="4"/>
        <v>0</v>
      </c>
      <c r="AA33" s="5">
        <f t="shared" si="4"/>
        <v>0</v>
      </c>
      <c r="AB33" s="5">
        <f t="shared" si="4"/>
        <v>0</v>
      </c>
      <c r="AC33" s="5">
        <f t="shared" si="4"/>
        <v>0</v>
      </c>
      <c r="AD33" s="5">
        <f t="shared" si="4"/>
        <v>0</v>
      </c>
      <c r="AE33" s="5">
        <f t="shared" si="4"/>
        <v>0</v>
      </c>
      <c r="AF33" s="5">
        <f t="shared" si="4"/>
        <v>0</v>
      </c>
      <c r="AG33" s="5">
        <f t="shared" si="4"/>
        <v>0</v>
      </c>
      <c r="AH33" s="5">
        <f t="shared" si="4"/>
        <v>0</v>
      </c>
      <c r="AI33" s="5">
        <f t="shared" si="4"/>
        <v>0</v>
      </c>
      <c r="AJ33" s="5">
        <f t="shared" si="4"/>
        <v>0</v>
      </c>
      <c r="AK33" s="5">
        <f t="shared" si="4"/>
        <v>0</v>
      </c>
      <c r="AL33" s="5">
        <f t="shared" si="4"/>
        <v>0</v>
      </c>
      <c r="AM33" s="5">
        <f t="shared" si="4"/>
        <v>0</v>
      </c>
      <c r="AN33" s="5">
        <f t="shared" si="4"/>
        <v>0</v>
      </c>
      <c r="AO33" s="5">
        <f t="shared" si="4"/>
        <v>0</v>
      </c>
    </row>
    <row r="34" spans="1:41">
      <c r="A34" s="19" t="s">
        <v>12</v>
      </c>
      <c r="B34" s="5">
        <f>0</f>
        <v>0</v>
      </c>
      <c r="C34" s="5">
        <f>0</f>
        <v>0</v>
      </c>
      <c r="D34" s="5">
        <f>0</f>
        <v>0</v>
      </c>
      <c r="E34" s="5">
        <f>0</f>
        <v>0</v>
      </c>
      <c r="F34" s="5">
        <f>0</f>
        <v>0</v>
      </c>
      <c r="I34" s="19" t="s">
        <v>12</v>
      </c>
      <c r="J34" s="5">
        <f t="shared" si="5"/>
        <v>0</v>
      </c>
      <c r="K34" s="5">
        <f t="shared" si="4"/>
        <v>0</v>
      </c>
      <c r="L34" s="5">
        <f t="shared" si="4"/>
        <v>0</v>
      </c>
      <c r="M34" s="5">
        <f t="shared" si="4"/>
        <v>0</v>
      </c>
      <c r="N34" s="5">
        <f t="shared" si="4"/>
        <v>0</v>
      </c>
      <c r="O34" s="5">
        <f t="shared" si="4"/>
        <v>0</v>
      </c>
      <c r="P34" s="5">
        <f t="shared" si="4"/>
        <v>0</v>
      </c>
      <c r="Q34" s="5">
        <f t="shared" si="4"/>
        <v>0</v>
      </c>
      <c r="R34" s="5">
        <f t="shared" si="4"/>
        <v>0</v>
      </c>
      <c r="S34" s="5">
        <f t="shared" si="4"/>
        <v>0</v>
      </c>
      <c r="T34" s="5">
        <f t="shared" si="4"/>
        <v>0</v>
      </c>
      <c r="U34" s="5">
        <f t="shared" si="4"/>
        <v>0</v>
      </c>
      <c r="V34" s="5">
        <f t="shared" si="4"/>
        <v>0</v>
      </c>
      <c r="W34" s="5">
        <f t="shared" si="4"/>
        <v>0</v>
      </c>
      <c r="X34" s="5">
        <f t="shared" si="4"/>
        <v>0</v>
      </c>
      <c r="Y34" s="5">
        <f t="shared" si="4"/>
        <v>0</v>
      </c>
      <c r="Z34" s="5">
        <f t="shared" si="4"/>
        <v>0</v>
      </c>
      <c r="AA34" s="5">
        <f t="shared" si="4"/>
        <v>0</v>
      </c>
      <c r="AB34" s="5">
        <f t="shared" si="4"/>
        <v>0</v>
      </c>
      <c r="AC34" s="5">
        <f t="shared" si="4"/>
        <v>0</v>
      </c>
      <c r="AD34" s="5">
        <f t="shared" si="4"/>
        <v>0</v>
      </c>
      <c r="AE34" s="5">
        <f t="shared" si="4"/>
        <v>0</v>
      </c>
      <c r="AF34" s="5">
        <f t="shared" si="4"/>
        <v>0</v>
      </c>
      <c r="AG34" s="5">
        <f t="shared" si="4"/>
        <v>0</v>
      </c>
      <c r="AH34" s="5">
        <f t="shared" si="4"/>
        <v>0</v>
      </c>
      <c r="AI34" s="5">
        <f t="shared" si="4"/>
        <v>0</v>
      </c>
      <c r="AJ34" s="5">
        <f t="shared" si="4"/>
        <v>0</v>
      </c>
      <c r="AK34" s="5">
        <f t="shared" si="4"/>
        <v>0</v>
      </c>
      <c r="AL34" s="5">
        <f t="shared" si="4"/>
        <v>0</v>
      </c>
      <c r="AM34" s="5">
        <f t="shared" si="4"/>
        <v>0</v>
      </c>
      <c r="AN34" s="5">
        <f t="shared" si="4"/>
        <v>0</v>
      </c>
      <c r="AO34" s="5">
        <f t="shared" si="4"/>
        <v>0</v>
      </c>
    </row>
    <row r="35" spans="1:41">
      <c r="A35" s="19" t="s">
        <v>2</v>
      </c>
      <c r="B35" s="5">
        <f>0</f>
        <v>0</v>
      </c>
      <c r="C35" s="5">
        <f>0</f>
        <v>0</v>
      </c>
      <c r="D35" s="5">
        <f>0</f>
        <v>0</v>
      </c>
      <c r="E35" s="5">
        <f>0</f>
        <v>0</v>
      </c>
      <c r="F35" s="5">
        <f>0</f>
        <v>0</v>
      </c>
      <c r="I35" s="19" t="s">
        <v>2</v>
      </c>
      <c r="J35" s="5">
        <f t="shared" si="5"/>
        <v>0</v>
      </c>
      <c r="K35" s="5">
        <f t="shared" si="4"/>
        <v>0</v>
      </c>
      <c r="L35" s="5">
        <f t="shared" si="4"/>
        <v>0</v>
      </c>
      <c r="M35" s="5">
        <f t="shared" si="4"/>
        <v>0</v>
      </c>
      <c r="N35" s="5">
        <f t="shared" si="4"/>
        <v>0</v>
      </c>
      <c r="O35" s="5">
        <f t="shared" si="4"/>
        <v>0</v>
      </c>
      <c r="P35" s="5">
        <f t="shared" si="4"/>
        <v>0</v>
      </c>
      <c r="Q35" s="5">
        <f t="shared" si="4"/>
        <v>0</v>
      </c>
      <c r="R35" s="5">
        <f t="shared" si="4"/>
        <v>0</v>
      </c>
      <c r="S35" s="5">
        <f t="shared" si="4"/>
        <v>0</v>
      </c>
      <c r="T35" s="5">
        <f t="shared" si="4"/>
        <v>0</v>
      </c>
      <c r="U35" s="5">
        <f t="shared" si="4"/>
        <v>0</v>
      </c>
      <c r="V35" s="5">
        <f t="shared" si="4"/>
        <v>0</v>
      </c>
      <c r="W35" s="5">
        <f t="shared" si="4"/>
        <v>0</v>
      </c>
      <c r="X35" s="5">
        <f t="shared" si="4"/>
        <v>0</v>
      </c>
      <c r="Y35" s="5">
        <f t="shared" si="4"/>
        <v>0</v>
      </c>
      <c r="Z35" s="5">
        <f t="shared" si="4"/>
        <v>0</v>
      </c>
      <c r="AA35" s="5">
        <f t="shared" si="4"/>
        <v>0</v>
      </c>
      <c r="AB35" s="5">
        <f t="shared" si="4"/>
        <v>0</v>
      </c>
      <c r="AC35" s="5">
        <f t="shared" si="4"/>
        <v>0</v>
      </c>
      <c r="AD35" s="5">
        <f t="shared" si="4"/>
        <v>0</v>
      </c>
      <c r="AE35" s="5">
        <f t="shared" si="4"/>
        <v>0</v>
      </c>
      <c r="AF35" s="5">
        <f t="shared" si="4"/>
        <v>0</v>
      </c>
      <c r="AG35" s="5">
        <f t="shared" si="4"/>
        <v>0</v>
      </c>
      <c r="AH35" s="5">
        <f t="shared" si="4"/>
        <v>0</v>
      </c>
      <c r="AI35" s="5">
        <f t="shared" si="4"/>
        <v>0</v>
      </c>
      <c r="AJ35" s="5">
        <f t="shared" si="4"/>
        <v>0</v>
      </c>
      <c r="AK35" s="5">
        <f t="shared" si="4"/>
        <v>0</v>
      </c>
      <c r="AL35" s="5">
        <f t="shared" si="4"/>
        <v>0</v>
      </c>
      <c r="AM35" s="5">
        <f t="shared" si="4"/>
        <v>0</v>
      </c>
      <c r="AN35" s="5">
        <f t="shared" si="4"/>
        <v>0</v>
      </c>
      <c r="AO35" s="5">
        <f t="shared" si="4"/>
        <v>0</v>
      </c>
    </row>
    <row r="36" spans="1:41">
      <c r="A36" s="19" t="s">
        <v>3</v>
      </c>
      <c r="B36" s="5">
        <f>'KEEI&amp;MOTIE'!I78</f>
        <v>476490581614269.81</v>
      </c>
      <c r="C36" s="5">
        <f>'KEEI&amp;MOTIE'!J78</f>
        <v>1043601074612769.1</v>
      </c>
      <c r="D36" s="5">
        <f>'KEEI&amp;MOTIE'!K78</f>
        <v>1034113792116289.4</v>
      </c>
      <c r="E36" s="5">
        <f>'KEEI&amp;MOTIE'!L78</f>
        <v>977707585273582.75</v>
      </c>
      <c r="F36" s="5">
        <f>'KEEI&amp;MOTIE'!M78</f>
        <v>844383823645367</v>
      </c>
      <c r="I36" s="19" t="s">
        <v>3</v>
      </c>
      <c r="J36" s="5">
        <f t="shared" si="5"/>
        <v>803857061799640</v>
      </c>
      <c r="K36" s="5">
        <f t="shared" si="4"/>
        <v>811453052188236</v>
      </c>
      <c r="L36" s="5">
        <f t="shared" si="4"/>
        <v>819049042576834</v>
      </c>
      <c r="M36" s="5">
        <f t="shared" si="4"/>
        <v>826645032965432</v>
      </c>
      <c r="N36" s="5">
        <f t="shared" si="4"/>
        <v>834241023354028</v>
      </c>
      <c r="O36" s="5">
        <f t="shared" si="4"/>
        <v>841837013742626</v>
      </c>
      <c r="P36" s="5">
        <f t="shared" si="4"/>
        <v>849433004131224</v>
      </c>
      <c r="Q36" s="5">
        <f t="shared" si="4"/>
        <v>857028994519820</v>
      </c>
      <c r="R36" s="5">
        <f t="shared" si="4"/>
        <v>864624984908418</v>
      </c>
      <c r="S36" s="5">
        <f t="shared" si="4"/>
        <v>872220975297016</v>
      </c>
      <c r="T36" s="5">
        <f t="shared" si="4"/>
        <v>879816965685614</v>
      </c>
      <c r="U36" s="5">
        <f t="shared" si="4"/>
        <v>887412956074210</v>
      </c>
      <c r="V36" s="5">
        <f t="shared" si="4"/>
        <v>895008946462808</v>
      </c>
      <c r="W36" s="5">
        <f t="shared" si="4"/>
        <v>902604936851406</v>
      </c>
      <c r="X36" s="5">
        <f t="shared" si="4"/>
        <v>910200927240002</v>
      </c>
      <c r="Y36" s="5">
        <f t="shared" si="4"/>
        <v>917796917628600</v>
      </c>
      <c r="Z36" s="5">
        <f t="shared" si="4"/>
        <v>925392908017198</v>
      </c>
      <c r="AA36" s="5">
        <f t="shared" si="4"/>
        <v>932988898405796</v>
      </c>
      <c r="AB36" s="5">
        <f t="shared" si="4"/>
        <v>940584888794392</v>
      </c>
      <c r="AC36" s="5">
        <f t="shared" si="4"/>
        <v>948180879182990</v>
      </c>
      <c r="AD36" s="5">
        <f t="shared" si="4"/>
        <v>955776869571588</v>
      </c>
      <c r="AE36" s="5">
        <f t="shared" si="4"/>
        <v>963372859960184</v>
      </c>
      <c r="AF36" s="5">
        <f t="shared" si="4"/>
        <v>970968850348782</v>
      </c>
      <c r="AG36" s="5">
        <f t="shared" ref="K36:AO44" si="7">IF( _xlfn.FORECAST.LINEAR(AG$27,$B36:$F36,$B$27:$F$27)&gt;0, _xlfn.FORECAST.LINEAR(AG$27,$B36:$F36,$B$27:$F$27), 0 )</f>
        <v>978564840737380</v>
      </c>
      <c r="AH36" s="5">
        <f t="shared" si="7"/>
        <v>986160831125976</v>
      </c>
      <c r="AI36" s="5">
        <f t="shared" si="7"/>
        <v>993756821514574</v>
      </c>
      <c r="AJ36" s="5">
        <f t="shared" si="7"/>
        <v>1001352811903172</v>
      </c>
      <c r="AK36" s="5">
        <f t="shared" si="7"/>
        <v>1008948802291770</v>
      </c>
      <c r="AL36" s="5">
        <f t="shared" si="7"/>
        <v>1016544792680366</v>
      </c>
      <c r="AM36" s="5">
        <f t="shared" si="7"/>
        <v>1024140783068964</v>
      </c>
      <c r="AN36" s="5">
        <f t="shared" si="7"/>
        <v>1031736773457562</v>
      </c>
      <c r="AO36" s="5">
        <f t="shared" si="7"/>
        <v>1039332763846158</v>
      </c>
    </row>
    <row r="37" spans="1:41">
      <c r="A37" s="19" t="s">
        <v>13</v>
      </c>
      <c r="B37" s="5">
        <f>'KEEI&amp;MOTIE'!I79</f>
        <v>1405044654097026.3</v>
      </c>
      <c r="C37" s="5">
        <f>'KEEI&amp;MOTIE'!J79</f>
        <v>2072873196517273.5</v>
      </c>
      <c r="D37" s="5">
        <f>'KEEI&amp;MOTIE'!K79</f>
        <v>2054028894730752.8</v>
      </c>
      <c r="E37" s="5">
        <f>'KEEI&amp;MOTIE'!L79</f>
        <v>1941990955018166.3</v>
      </c>
      <c r="F37" s="5">
        <f>'KEEI&amp;MOTIE'!M79</f>
        <v>1677174006606598.3</v>
      </c>
      <c r="I37" s="19" t="s">
        <v>13</v>
      </c>
      <c r="J37" s="5">
        <f>IF( _xlfn.FORECAST.LINEAR(J$27,$B37:$F37,$B$27:$F$27)&gt;0, _xlfn.FORECAST.LINEAR(J$27,$B37:$F37,$B$27:$F$27), 0 )</f>
        <v>1772762359135754</v>
      </c>
      <c r="K37" s="5">
        <f t="shared" si="7"/>
        <v>1778875123205776</v>
      </c>
      <c r="L37" s="5">
        <f t="shared" si="7"/>
        <v>1784987887275798</v>
      </c>
      <c r="M37" s="5">
        <f t="shared" si="7"/>
        <v>1791100651345820</v>
      </c>
      <c r="N37" s="5">
        <f t="shared" si="7"/>
        <v>1797213415415842</v>
      </c>
      <c r="O37" s="5">
        <f t="shared" si="7"/>
        <v>1803326179485864</v>
      </c>
      <c r="P37" s="5">
        <f t="shared" si="7"/>
        <v>1809438943555888</v>
      </c>
      <c r="Q37" s="5">
        <f t="shared" si="7"/>
        <v>1815551707625910</v>
      </c>
      <c r="R37" s="5">
        <f t="shared" si="7"/>
        <v>1821664471695932</v>
      </c>
      <c r="S37" s="5">
        <f t="shared" si="7"/>
        <v>1827777235765954</v>
      </c>
      <c r="T37" s="5">
        <f t="shared" si="7"/>
        <v>1833889999835976</v>
      </c>
      <c r="U37" s="5">
        <f t="shared" si="7"/>
        <v>1840002763905998</v>
      </c>
      <c r="V37" s="5">
        <f t="shared" si="7"/>
        <v>1846115527976020</v>
      </c>
      <c r="W37" s="5">
        <f t="shared" si="7"/>
        <v>1852228292046044</v>
      </c>
      <c r="X37" s="5">
        <f t="shared" si="7"/>
        <v>1858341056116066</v>
      </c>
      <c r="Y37" s="5">
        <f t="shared" si="7"/>
        <v>1864453820186088</v>
      </c>
      <c r="Z37" s="5">
        <f t="shared" si="7"/>
        <v>1870566584256110</v>
      </c>
      <c r="AA37" s="5">
        <f t="shared" si="7"/>
        <v>1876679348326132</v>
      </c>
      <c r="AB37" s="5">
        <f t="shared" si="7"/>
        <v>1882792112396154</v>
      </c>
      <c r="AC37" s="5">
        <f t="shared" si="7"/>
        <v>1888904876466178</v>
      </c>
      <c r="AD37" s="5">
        <f t="shared" si="7"/>
        <v>1895017640536200</v>
      </c>
      <c r="AE37" s="5">
        <f t="shared" si="7"/>
        <v>1901130404606222</v>
      </c>
      <c r="AF37" s="5">
        <f t="shared" si="7"/>
        <v>1907243168676244</v>
      </c>
      <c r="AG37" s="5">
        <f t="shared" si="7"/>
        <v>1913355932746266</v>
      </c>
      <c r="AH37" s="5">
        <f t="shared" si="7"/>
        <v>1919468696816288</v>
      </c>
      <c r="AI37" s="5">
        <f t="shared" si="7"/>
        <v>1925581460886310</v>
      </c>
      <c r="AJ37" s="5">
        <f t="shared" si="7"/>
        <v>1931694224956334</v>
      </c>
      <c r="AK37" s="5">
        <f t="shared" si="7"/>
        <v>1937806989026356</v>
      </c>
      <c r="AL37" s="5">
        <f t="shared" si="7"/>
        <v>1943919753096378</v>
      </c>
      <c r="AM37" s="5">
        <f t="shared" si="7"/>
        <v>1950032517166400</v>
      </c>
      <c r="AN37" s="5">
        <f t="shared" si="7"/>
        <v>1956145281236422</v>
      </c>
      <c r="AO37" s="5">
        <f t="shared" si="7"/>
        <v>1962258045306444</v>
      </c>
    </row>
    <row r="38" spans="1:41">
      <c r="A38" s="19" t="s">
        <v>14</v>
      </c>
      <c r="B38" s="5">
        <f>0</f>
        <v>0</v>
      </c>
      <c r="C38" s="5">
        <f>0</f>
        <v>0</v>
      </c>
      <c r="D38" s="5">
        <f>0</f>
        <v>0</v>
      </c>
      <c r="E38" s="5">
        <f>0</f>
        <v>0</v>
      </c>
      <c r="F38" s="5">
        <f>0</f>
        <v>0</v>
      </c>
      <c r="I38" s="19" t="s">
        <v>14</v>
      </c>
      <c r="J38" s="5">
        <f t="shared" si="5"/>
        <v>0</v>
      </c>
      <c r="K38" s="5">
        <f t="shared" si="7"/>
        <v>0</v>
      </c>
      <c r="L38" s="5">
        <f t="shared" si="7"/>
        <v>0</v>
      </c>
      <c r="M38" s="5">
        <f t="shared" si="7"/>
        <v>0</v>
      </c>
      <c r="N38" s="5">
        <f t="shared" si="7"/>
        <v>0</v>
      </c>
      <c r="O38" s="5">
        <f t="shared" si="7"/>
        <v>0</v>
      </c>
      <c r="P38" s="5">
        <f t="shared" si="7"/>
        <v>0</v>
      </c>
      <c r="Q38" s="5">
        <f t="shared" si="7"/>
        <v>0</v>
      </c>
      <c r="R38" s="5">
        <f t="shared" si="7"/>
        <v>0</v>
      </c>
      <c r="S38" s="5">
        <f t="shared" si="7"/>
        <v>0</v>
      </c>
      <c r="T38" s="5">
        <f t="shared" si="7"/>
        <v>0</v>
      </c>
      <c r="U38" s="5">
        <f t="shared" si="7"/>
        <v>0</v>
      </c>
      <c r="V38" s="5">
        <f t="shared" si="7"/>
        <v>0</v>
      </c>
      <c r="W38" s="5">
        <f t="shared" si="7"/>
        <v>0</v>
      </c>
      <c r="X38" s="5">
        <f t="shared" si="7"/>
        <v>0</v>
      </c>
      <c r="Y38" s="5">
        <f t="shared" si="7"/>
        <v>0</v>
      </c>
      <c r="Z38" s="5">
        <f t="shared" si="7"/>
        <v>0</v>
      </c>
      <c r="AA38" s="5">
        <f t="shared" si="7"/>
        <v>0</v>
      </c>
      <c r="AB38" s="5">
        <f t="shared" si="7"/>
        <v>0</v>
      </c>
      <c r="AC38" s="5">
        <f t="shared" si="7"/>
        <v>0</v>
      </c>
      <c r="AD38" s="5">
        <f t="shared" si="7"/>
        <v>0</v>
      </c>
      <c r="AE38" s="5">
        <f t="shared" si="7"/>
        <v>0</v>
      </c>
      <c r="AF38" s="5">
        <f t="shared" si="7"/>
        <v>0</v>
      </c>
      <c r="AG38" s="5">
        <f t="shared" si="7"/>
        <v>0</v>
      </c>
      <c r="AH38" s="5">
        <f t="shared" si="7"/>
        <v>0</v>
      </c>
      <c r="AI38" s="5">
        <f t="shared" si="7"/>
        <v>0</v>
      </c>
      <c r="AJ38" s="5">
        <f t="shared" si="7"/>
        <v>0</v>
      </c>
      <c r="AK38" s="5">
        <f t="shared" si="7"/>
        <v>0</v>
      </c>
      <c r="AL38" s="5">
        <f t="shared" si="7"/>
        <v>0</v>
      </c>
      <c r="AM38" s="5">
        <f t="shared" si="7"/>
        <v>0</v>
      </c>
      <c r="AN38" s="5">
        <f t="shared" si="7"/>
        <v>0</v>
      </c>
      <c r="AO38" s="5">
        <f t="shared" si="7"/>
        <v>0</v>
      </c>
    </row>
    <row r="39" spans="1:41">
      <c r="A39" s="19" t="s">
        <v>15</v>
      </c>
      <c r="B39" s="5">
        <f>0</f>
        <v>0</v>
      </c>
      <c r="C39" s="5">
        <f>0</f>
        <v>0</v>
      </c>
      <c r="D39" s="5">
        <f>0</f>
        <v>0</v>
      </c>
      <c r="E39" s="5">
        <f>0</f>
        <v>0</v>
      </c>
      <c r="F39" s="5">
        <f>0</f>
        <v>0</v>
      </c>
      <c r="I39" s="19" t="s">
        <v>15</v>
      </c>
      <c r="J39" s="5">
        <f t="shared" si="5"/>
        <v>0</v>
      </c>
      <c r="K39" s="5">
        <f t="shared" si="7"/>
        <v>0</v>
      </c>
      <c r="L39" s="5">
        <f t="shared" si="7"/>
        <v>0</v>
      </c>
      <c r="M39" s="5">
        <f t="shared" si="7"/>
        <v>0</v>
      </c>
      <c r="N39" s="5">
        <f t="shared" si="7"/>
        <v>0</v>
      </c>
      <c r="O39" s="5">
        <f t="shared" si="7"/>
        <v>0</v>
      </c>
      <c r="P39" s="5">
        <f t="shared" si="7"/>
        <v>0</v>
      </c>
      <c r="Q39" s="5">
        <f t="shared" si="7"/>
        <v>0</v>
      </c>
      <c r="R39" s="5">
        <f t="shared" si="7"/>
        <v>0</v>
      </c>
      <c r="S39" s="5">
        <f t="shared" si="7"/>
        <v>0</v>
      </c>
      <c r="T39" s="5">
        <f t="shared" si="7"/>
        <v>0</v>
      </c>
      <c r="U39" s="5">
        <f t="shared" si="7"/>
        <v>0</v>
      </c>
      <c r="V39" s="5">
        <f t="shared" si="7"/>
        <v>0</v>
      </c>
      <c r="W39" s="5">
        <f t="shared" si="7"/>
        <v>0</v>
      </c>
      <c r="X39" s="5">
        <f t="shared" si="7"/>
        <v>0</v>
      </c>
      <c r="Y39" s="5">
        <f t="shared" si="7"/>
        <v>0</v>
      </c>
      <c r="Z39" s="5">
        <f t="shared" si="7"/>
        <v>0</v>
      </c>
      <c r="AA39" s="5">
        <f t="shared" si="7"/>
        <v>0</v>
      </c>
      <c r="AB39" s="5">
        <f t="shared" si="7"/>
        <v>0</v>
      </c>
      <c r="AC39" s="5">
        <f t="shared" si="7"/>
        <v>0</v>
      </c>
      <c r="AD39" s="5">
        <f t="shared" si="7"/>
        <v>0</v>
      </c>
      <c r="AE39" s="5">
        <f t="shared" si="7"/>
        <v>0</v>
      </c>
      <c r="AF39" s="5">
        <f t="shared" si="7"/>
        <v>0</v>
      </c>
      <c r="AG39" s="5">
        <f t="shared" si="7"/>
        <v>0</v>
      </c>
      <c r="AH39" s="5">
        <f t="shared" si="7"/>
        <v>0</v>
      </c>
      <c r="AI39" s="5">
        <f t="shared" si="7"/>
        <v>0</v>
      </c>
      <c r="AJ39" s="5">
        <f t="shared" si="7"/>
        <v>0</v>
      </c>
      <c r="AK39" s="5">
        <f t="shared" si="7"/>
        <v>0</v>
      </c>
      <c r="AL39" s="5">
        <f t="shared" si="7"/>
        <v>0</v>
      </c>
      <c r="AM39" s="5">
        <f t="shared" si="7"/>
        <v>0</v>
      </c>
      <c r="AN39" s="5">
        <f t="shared" si="7"/>
        <v>0</v>
      </c>
      <c r="AO39" s="5">
        <f t="shared" si="7"/>
        <v>0</v>
      </c>
    </row>
    <row r="40" spans="1:41">
      <c r="A40" s="19" t="s">
        <v>4</v>
      </c>
      <c r="B40" s="5">
        <f>'KEEI&amp;MOTIE'!I80</f>
        <v>929878692230648.25</v>
      </c>
      <c r="C40" s="5">
        <f>'KEEI&amp;MOTIE'!J80</f>
        <v>832431966018620.63</v>
      </c>
      <c r="D40" s="5">
        <f>'KEEI&amp;MOTIE'!K80</f>
        <v>824864402691178.5</v>
      </c>
      <c r="E40" s="5">
        <f>'KEEI&amp;MOTIE'!L80</f>
        <v>779871798908023.25</v>
      </c>
      <c r="F40" s="5">
        <f>'KEEI&amp;MOTIE'!M80</f>
        <v>673525644511474.63</v>
      </c>
      <c r="I40" s="19" t="s">
        <v>4</v>
      </c>
      <c r="J40" s="5">
        <f t="shared" si="5"/>
        <v>852301170057876</v>
      </c>
      <c r="K40" s="5">
        <f t="shared" si="7"/>
        <v>847600460570016</v>
      </c>
      <c r="L40" s="5">
        <f t="shared" si="7"/>
        <v>842899751082156</v>
      </c>
      <c r="M40" s="5">
        <f t="shared" si="7"/>
        <v>838199041594296</v>
      </c>
      <c r="N40" s="5">
        <f t="shared" si="7"/>
        <v>833498332106436</v>
      </c>
      <c r="O40" s="5">
        <f t="shared" si="7"/>
        <v>828797622618576</v>
      </c>
      <c r="P40" s="5">
        <f t="shared" si="7"/>
        <v>824096913130716</v>
      </c>
      <c r="Q40" s="5">
        <f t="shared" si="7"/>
        <v>819396203642856</v>
      </c>
      <c r="R40" s="5">
        <f t="shared" si="7"/>
        <v>814695494154994</v>
      </c>
      <c r="S40" s="5">
        <f t="shared" si="7"/>
        <v>809994784667134</v>
      </c>
      <c r="T40" s="5">
        <f t="shared" si="7"/>
        <v>805294075179274</v>
      </c>
      <c r="U40" s="5">
        <f t="shared" si="7"/>
        <v>800593365691414</v>
      </c>
      <c r="V40" s="5">
        <f t="shared" si="7"/>
        <v>795892656203554</v>
      </c>
      <c r="W40" s="5">
        <f t="shared" si="7"/>
        <v>791191946715694</v>
      </c>
      <c r="X40" s="5">
        <f t="shared" si="7"/>
        <v>786491237227834</v>
      </c>
      <c r="Y40" s="5">
        <f t="shared" si="7"/>
        <v>781790527739974</v>
      </c>
      <c r="Z40" s="5">
        <f t="shared" si="7"/>
        <v>777089818252114</v>
      </c>
      <c r="AA40" s="5">
        <f t="shared" si="7"/>
        <v>772389108764252</v>
      </c>
      <c r="AB40" s="5">
        <f t="shared" si="7"/>
        <v>767688399276392</v>
      </c>
      <c r="AC40" s="5">
        <f t="shared" si="7"/>
        <v>762987689788532</v>
      </c>
      <c r="AD40" s="5">
        <f t="shared" si="7"/>
        <v>758286980300672</v>
      </c>
      <c r="AE40" s="5">
        <f t="shared" si="7"/>
        <v>753586270812812</v>
      </c>
      <c r="AF40" s="5">
        <f t="shared" si="7"/>
        <v>748885561324952</v>
      </c>
      <c r="AG40" s="5">
        <f t="shared" si="7"/>
        <v>744184851837092</v>
      </c>
      <c r="AH40" s="5">
        <f t="shared" si="7"/>
        <v>739484142349232</v>
      </c>
      <c r="AI40" s="5">
        <f t="shared" si="7"/>
        <v>734783432861370</v>
      </c>
      <c r="AJ40" s="5">
        <f t="shared" si="7"/>
        <v>730082723373510</v>
      </c>
      <c r="AK40" s="5">
        <f t="shared" si="7"/>
        <v>725382013885650</v>
      </c>
      <c r="AL40" s="5">
        <f t="shared" si="7"/>
        <v>720681304397790</v>
      </c>
      <c r="AM40" s="5">
        <f t="shared" si="7"/>
        <v>715980594909930</v>
      </c>
      <c r="AN40" s="5">
        <f t="shared" si="7"/>
        <v>711279885422070</v>
      </c>
      <c r="AO40" s="5">
        <f t="shared" si="7"/>
        <v>706579175934210</v>
      </c>
    </row>
    <row r="41" spans="1:41">
      <c r="A41" s="19" t="s">
        <v>22</v>
      </c>
      <c r="B41" s="5">
        <f>0</f>
        <v>0</v>
      </c>
      <c r="C41" s="5">
        <f>0</f>
        <v>0</v>
      </c>
      <c r="D41" s="5">
        <f>0</f>
        <v>0</v>
      </c>
      <c r="E41" s="5">
        <f>0</f>
        <v>0</v>
      </c>
      <c r="F41" s="5">
        <f>0</f>
        <v>0</v>
      </c>
      <c r="I41" s="19" t="s">
        <v>22</v>
      </c>
      <c r="J41" s="5">
        <f t="shared" si="5"/>
        <v>0</v>
      </c>
      <c r="K41" s="5">
        <f t="shared" si="7"/>
        <v>0</v>
      </c>
      <c r="L41" s="5">
        <f t="shared" si="7"/>
        <v>0</v>
      </c>
      <c r="M41" s="5">
        <f t="shared" si="7"/>
        <v>0</v>
      </c>
      <c r="N41" s="5">
        <f t="shared" si="7"/>
        <v>0</v>
      </c>
      <c r="O41" s="5">
        <f t="shared" si="7"/>
        <v>0</v>
      </c>
      <c r="P41" s="5">
        <f t="shared" si="7"/>
        <v>0</v>
      </c>
      <c r="Q41" s="5">
        <f t="shared" si="7"/>
        <v>0</v>
      </c>
      <c r="R41" s="5">
        <f t="shared" si="7"/>
        <v>0</v>
      </c>
      <c r="S41" s="5">
        <f t="shared" si="7"/>
        <v>0</v>
      </c>
      <c r="T41" s="5">
        <f t="shared" si="7"/>
        <v>0</v>
      </c>
      <c r="U41" s="5">
        <f t="shared" si="7"/>
        <v>0</v>
      </c>
      <c r="V41" s="5">
        <f t="shared" si="7"/>
        <v>0</v>
      </c>
      <c r="W41" s="5">
        <f t="shared" si="7"/>
        <v>0</v>
      </c>
      <c r="X41" s="5">
        <f t="shared" si="7"/>
        <v>0</v>
      </c>
      <c r="Y41" s="5">
        <f t="shared" si="7"/>
        <v>0</v>
      </c>
      <c r="Z41" s="5">
        <f t="shared" si="7"/>
        <v>0</v>
      </c>
      <c r="AA41" s="5">
        <f t="shared" si="7"/>
        <v>0</v>
      </c>
      <c r="AB41" s="5">
        <f t="shared" si="7"/>
        <v>0</v>
      </c>
      <c r="AC41" s="5">
        <f t="shared" si="7"/>
        <v>0</v>
      </c>
      <c r="AD41" s="5">
        <f t="shared" si="7"/>
        <v>0</v>
      </c>
      <c r="AE41" s="5">
        <f t="shared" si="7"/>
        <v>0</v>
      </c>
      <c r="AF41" s="5">
        <f t="shared" si="7"/>
        <v>0</v>
      </c>
      <c r="AG41" s="5">
        <f t="shared" si="7"/>
        <v>0</v>
      </c>
      <c r="AH41" s="5">
        <f t="shared" si="7"/>
        <v>0</v>
      </c>
      <c r="AI41" s="5">
        <f t="shared" si="7"/>
        <v>0</v>
      </c>
      <c r="AJ41" s="5">
        <f t="shared" si="7"/>
        <v>0</v>
      </c>
      <c r="AK41" s="5">
        <f t="shared" si="7"/>
        <v>0</v>
      </c>
      <c r="AL41" s="5">
        <f t="shared" si="7"/>
        <v>0</v>
      </c>
      <c r="AM41" s="5">
        <f t="shared" si="7"/>
        <v>0</v>
      </c>
      <c r="AN41" s="5">
        <f t="shared" si="7"/>
        <v>0</v>
      </c>
      <c r="AO41" s="5">
        <f t="shared" si="7"/>
        <v>0</v>
      </c>
    </row>
    <row r="42" spans="1:41">
      <c r="A42" s="19" t="s">
        <v>17</v>
      </c>
      <c r="B42" s="5">
        <f>0</f>
        <v>0</v>
      </c>
      <c r="C42" s="5">
        <f>0</f>
        <v>0</v>
      </c>
      <c r="D42" s="5">
        <f>0</f>
        <v>0</v>
      </c>
      <c r="E42" s="5">
        <f>0</f>
        <v>0</v>
      </c>
      <c r="F42" s="5">
        <f>0</f>
        <v>0</v>
      </c>
      <c r="I42" s="19" t="s">
        <v>17</v>
      </c>
      <c r="J42" s="5">
        <f t="shared" si="5"/>
        <v>0</v>
      </c>
      <c r="K42" s="5">
        <f t="shared" si="7"/>
        <v>0</v>
      </c>
      <c r="L42" s="5">
        <f t="shared" si="7"/>
        <v>0</v>
      </c>
      <c r="M42" s="5">
        <f t="shared" si="7"/>
        <v>0</v>
      </c>
      <c r="N42" s="5">
        <f t="shared" si="7"/>
        <v>0</v>
      </c>
      <c r="O42" s="5">
        <f t="shared" si="7"/>
        <v>0</v>
      </c>
      <c r="P42" s="5">
        <f t="shared" si="7"/>
        <v>0</v>
      </c>
      <c r="Q42" s="5">
        <f t="shared" si="7"/>
        <v>0</v>
      </c>
      <c r="R42" s="5">
        <f t="shared" si="7"/>
        <v>0</v>
      </c>
      <c r="S42" s="5">
        <f t="shared" si="7"/>
        <v>0</v>
      </c>
      <c r="T42" s="5">
        <f t="shared" si="7"/>
        <v>0</v>
      </c>
      <c r="U42" s="5">
        <f t="shared" si="7"/>
        <v>0</v>
      </c>
      <c r="V42" s="5">
        <f t="shared" si="7"/>
        <v>0</v>
      </c>
      <c r="W42" s="5">
        <f t="shared" si="7"/>
        <v>0</v>
      </c>
      <c r="X42" s="5">
        <f t="shared" si="7"/>
        <v>0</v>
      </c>
      <c r="Y42" s="5">
        <f t="shared" si="7"/>
        <v>0</v>
      </c>
      <c r="Z42" s="5">
        <f t="shared" si="7"/>
        <v>0</v>
      </c>
      <c r="AA42" s="5">
        <f t="shared" si="7"/>
        <v>0</v>
      </c>
      <c r="AB42" s="5">
        <f t="shared" si="7"/>
        <v>0</v>
      </c>
      <c r="AC42" s="5">
        <f t="shared" si="7"/>
        <v>0</v>
      </c>
      <c r="AD42" s="5">
        <f t="shared" si="7"/>
        <v>0</v>
      </c>
      <c r="AE42" s="5">
        <f t="shared" si="7"/>
        <v>0</v>
      </c>
      <c r="AF42" s="5">
        <f t="shared" si="7"/>
        <v>0</v>
      </c>
      <c r="AG42" s="5">
        <f t="shared" si="7"/>
        <v>0</v>
      </c>
      <c r="AH42" s="5">
        <f t="shared" si="7"/>
        <v>0</v>
      </c>
      <c r="AI42" s="5">
        <f t="shared" si="7"/>
        <v>0</v>
      </c>
      <c r="AJ42" s="5">
        <f t="shared" si="7"/>
        <v>0</v>
      </c>
      <c r="AK42" s="5">
        <f t="shared" si="7"/>
        <v>0</v>
      </c>
      <c r="AL42" s="5">
        <f t="shared" si="7"/>
        <v>0</v>
      </c>
      <c r="AM42" s="5">
        <f t="shared" si="7"/>
        <v>0</v>
      </c>
      <c r="AN42" s="5">
        <f t="shared" si="7"/>
        <v>0</v>
      </c>
      <c r="AO42" s="5">
        <f t="shared" si="7"/>
        <v>0</v>
      </c>
    </row>
    <row r="43" spans="1:41">
      <c r="A43" s="19" t="s">
        <v>18</v>
      </c>
      <c r="B43" s="5">
        <f>0</f>
        <v>0</v>
      </c>
      <c r="C43" s="5">
        <f>0</f>
        <v>0</v>
      </c>
      <c r="D43" s="5">
        <f>0</f>
        <v>0</v>
      </c>
      <c r="E43" s="5">
        <f>0</f>
        <v>0</v>
      </c>
      <c r="F43" s="5">
        <f>0</f>
        <v>0</v>
      </c>
      <c r="I43" s="19" t="s">
        <v>18</v>
      </c>
      <c r="J43" s="5">
        <f t="shared" si="5"/>
        <v>0</v>
      </c>
      <c r="K43" s="5">
        <f t="shared" si="7"/>
        <v>0</v>
      </c>
      <c r="L43" s="5">
        <f t="shared" si="7"/>
        <v>0</v>
      </c>
      <c r="M43" s="5">
        <f t="shared" si="7"/>
        <v>0</v>
      </c>
      <c r="N43" s="5">
        <f t="shared" si="7"/>
        <v>0</v>
      </c>
      <c r="O43" s="5">
        <f t="shared" si="7"/>
        <v>0</v>
      </c>
      <c r="P43" s="5">
        <f t="shared" si="7"/>
        <v>0</v>
      </c>
      <c r="Q43" s="5">
        <f t="shared" si="7"/>
        <v>0</v>
      </c>
      <c r="R43" s="5">
        <f t="shared" si="7"/>
        <v>0</v>
      </c>
      <c r="S43" s="5">
        <f t="shared" si="7"/>
        <v>0</v>
      </c>
      <c r="T43" s="5">
        <f t="shared" si="7"/>
        <v>0</v>
      </c>
      <c r="U43" s="5">
        <f t="shared" si="7"/>
        <v>0</v>
      </c>
      <c r="V43" s="5">
        <f t="shared" si="7"/>
        <v>0</v>
      </c>
      <c r="W43" s="5">
        <f t="shared" si="7"/>
        <v>0</v>
      </c>
      <c r="X43" s="5">
        <f t="shared" si="7"/>
        <v>0</v>
      </c>
      <c r="Y43" s="5">
        <f t="shared" si="7"/>
        <v>0</v>
      </c>
      <c r="Z43" s="5">
        <f t="shared" si="7"/>
        <v>0</v>
      </c>
      <c r="AA43" s="5">
        <f t="shared" si="7"/>
        <v>0</v>
      </c>
      <c r="AB43" s="5">
        <f t="shared" si="7"/>
        <v>0</v>
      </c>
      <c r="AC43" s="5">
        <f t="shared" si="7"/>
        <v>0</v>
      </c>
      <c r="AD43" s="5">
        <f t="shared" si="7"/>
        <v>0</v>
      </c>
      <c r="AE43" s="5">
        <f t="shared" si="7"/>
        <v>0</v>
      </c>
      <c r="AF43" s="5">
        <f t="shared" si="7"/>
        <v>0</v>
      </c>
      <c r="AG43" s="5">
        <f t="shared" si="7"/>
        <v>0</v>
      </c>
      <c r="AH43" s="5">
        <f t="shared" si="7"/>
        <v>0</v>
      </c>
      <c r="AI43" s="5">
        <f t="shared" si="7"/>
        <v>0</v>
      </c>
      <c r="AJ43" s="5">
        <f t="shared" si="7"/>
        <v>0</v>
      </c>
      <c r="AK43" s="5">
        <f t="shared" si="7"/>
        <v>0</v>
      </c>
      <c r="AL43" s="5">
        <f t="shared" si="7"/>
        <v>0</v>
      </c>
      <c r="AM43" s="5">
        <f t="shared" si="7"/>
        <v>0</v>
      </c>
      <c r="AN43" s="5">
        <f t="shared" si="7"/>
        <v>0</v>
      </c>
      <c r="AO43" s="5">
        <f t="shared" si="7"/>
        <v>0</v>
      </c>
    </row>
    <row r="44" spans="1:41">
      <c r="A44" s="19" t="s">
        <v>5</v>
      </c>
      <c r="B44" s="5">
        <f>'KEEI&amp;MOTIE'!I81</f>
        <v>4782586528464539</v>
      </c>
      <c r="C44" s="5">
        <f>'KEEI&amp;MOTIE'!J81</f>
        <v>5320086476095500</v>
      </c>
      <c r="D44" s="5">
        <f>'KEEI&amp;MOTIE'!K81</f>
        <v>5271722053585541</v>
      </c>
      <c r="E44" s="5">
        <f>'KEEI&amp;MOTIE'!L81</f>
        <v>4984173577935421</v>
      </c>
      <c r="F44" s="5">
        <f>'KEEI&amp;MOTIE'!M81</f>
        <v>4304513544580590.5</v>
      </c>
      <c r="I44" s="19" t="s">
        <v>5</v>
      </c>
      <c r="J44" s="5">
        <f t="shared" si="5"/>
        <v>5001570601874566</v>
      </c>
      <c r="K44" s="5">
        <f t="shared" si="7"/>
        <v>4994235052327520</v>
      </c>
      <c r="L44" s="5">
        <f t="shared" si="7"/>
        <v>4986899502780472</v>
      </c>
      <c r="M44" s="5">
        <f t="shared" si="7"/>
        <v>4979563953233424</v>
      </c>
      <c r="N44" s="5">
        <f t="shared" si="7"/>
        <v>4972228403686376</v>
      </c>
      <c r="O44" s="5">
        <f t="shared" si="7"/>
        <v>4964892854139328</v>
      </c>
      <c r="P44" s="5">
        <f t="shared" si="7"/>
        <v>4957557304592280</v>
      </c>
      <c r="Q44" s="5">
        <f t="shared" si="7"/>
        <v>4950221755045234</v>
      </c>
      <c r="R44" s="5">
        <f t="shared" si="7"/>
        <v>4942886205498186</v>
      </c>
      <c r="S44" s="5">
        <f t="shared" si="7"/>
        <v>4935550655951138</v>
      </c>
      <c r="T44" s="5">
        <f t="shared" si="7"/>
        <v>4928215106404090</v>
      </c>
      <c r="U44" s="5">
        <f t="shared" si="7"/>
        <v>4920879556857042</v>
      </c>
      <c r="V44" s="5">
        <f t="shared" si="7"/>
        <v>4913544007309994</v>
      </c>
      <c r="W44" s="5">
        <f t="shared" si="7"/>
        <v>4906208457762948</v>
      </c>
      <c r="X44" s="5">
        <f t="shared" si="7"/>
        <v>4898872908215900</v>
      </c>
      <c r="Y44" s="5">
        <f t="shared" si="7"/>
        <v>4891537358668852</v>
      </c>
      <c r="Z44" s="5">
        <f t="shared" si="7"/>
        <v>4884201809121804</v>
      </c>
      <c r="AA44" s="5">
        <f t="shared" si="7"/>
        <v>4876866259574756</v>
      </c>
      <c r="AB44" s="5">
        <f t="shared" si="7"/>
        <v>4869530710027708</v>
      </c>
      <c r="AC44" s="5">
        <f t="shared" si="7"/>
        <v>4862195160480660</v>
      </c>
      <c r="AD44" s="5">
        <f t="shared" si="7"/>
        <v>4854859610933614</v>
      </c>
      <c r="AE44" s="5">
        <f t="shared" si="7"/>
        <v>4847524061386566</v>
      </c>
      <c r="AF44" s="5">
        <f t="shared" si="7"/>
        <v>4840188511839518</v>
      </c>
      <c r="AG44" s="5">
        <f t="shared" si="7"/>
        <v>4832852962292470</v>
      </c>
      <c r="AH44" s="5">
        <f t="shared" si="7"/>
        <v>4825517412745422</v>
      </c>
      <c r="AI44" s="5">
        <f t="shared" si="7"/>
        <v>4818181863198374</v>
      </c>
      <c r="AJ44" s="5">
        <f t="shared" si="7"/>
        <v>4810846313651328</v>
      </c>
      <c r="AK44" s="5">
        <f t="shared" si="7"/>
        <v>4803510764104280</v>
      </c>
      <c r="AL44" s="5">
        <f t="shared" si="7"/>
        <v>4796175214557232</v>
      </c>
      <c r="AM44" s="5">
        <f t="shared" si="7"/>
        <v>4788839665010184</v>
      </c>
      <c r="AN44" s="5">
        <f t="shared" ref="K44:AO47" si="8">IF( _xlfn.FORECAST.LINEAR(AN$27,$B44:$F44,$B$27:$F$27)&gt;0, _xlfn.FORECAST.LINEAR(AN$27,$B44:$F44,$B$27:$F$27), 0 )</f>
        <v>4781504115463136</v>
      </c>
      <c r="AO44" s="5">
        <f t="shared" si="8"/>
        <v>4774168565916088</v>
      </c>
    </row>
    <row r="45" spans="1:41">
      <c r="A45" s="19" t="s">
        <v>19</v>
      </c>
      <c r="B45" s="5">
        <f>'KEEI&amp;MOTIE'!I82</f>
        <v>1527070142172596.3</v>
      </c>
      <c r="C45" s="5">
        <f>'KEEI&amp;MOTIE'!J82</f>
        <v>481932016258837.69</v>
      </c>
      <c r="D45" s="5">
        <f>'KEEI&amp;MOTIE'!K82</f>
        <v>477550816111030.06</v>
      </c>
      <c r="E45" s="5">
        <f>'KEEI&amp;MOTIE'!L82</f>
        <v>451502589777701.19</v>
      </c>
      <c r="F45" s="5">
        <f>'KEEI&amp;MOTIE'!M82</f>
        <v>389934054808014.69</v>
      </c>
      <c r="I45" s="19" t="s">
        <v>19</v>
      </c>
      <c r="J45" s="5">
        <f t="shared" si="5"/>
        <v>873062958349232</v>
      </c>
      <c r="K45" s="5">
        <f t="shared" si="8"/>
        <v>850992209995656</v>
      </c>
      <c r="L45" s="5">
        <f t="shared" si="8"/>
        <v>828921461642080</v>
      </c>
      <c r="M45" s="5">
        <f t="shared" si="8"/>
        <v>806850713288512</v>
      </c>
      <c r="N45" s="5">
        <f t="shared" si="8"/>
        <v>784779964934936</v>
      </c>
      <c r="O45" s="5">
        <f t="shared" si="8"/>
        <v>762709216581360</v>
      </c>
      <c r="P45" s="5">
        <f t="shared" si="8"/>
        <v>740638468227784</v>
      </c>
      <c r="Q45" s="5">
        <f t="shared" si="8"/>
        <v>718567719874216</v>
      </c>
      <c r="R45" s="5">
        <f t="shared" si="8"/>
        <v>696496971520640</v>
      </c>
      <c r="S45" s="5">
        <f t="shared" si="8"/>
        <v>674426223167064</v>
      </c>
      <c r="T45" s="5">
        <f t="shared" si="8"/>
        <v>652355474813496</v>
      </c>
      <c r="U45" s="5">
        <f t="shared" si="8"/>
        <v>630284726459920</v>
      </c>
      <c r="V45" s="5">
        <f t="shared" si="8"/>
        <v>608213978106344</v>
      </c>
      <c r="W45" s="5">
        <f t="shared" si="8"/>
        <v>586143229752768</v>
      </c>
      <c r="X45" s="5">
        <f t="shared" si="8"/>
        <v>564072481399200</v>
      </c>
      <c r="Y45" s="5">
        <f t="shared" si="8"/>
        <v>542001733045624</v>
      </c>
      <c r="Z45" s="5">
        <f t="shared" si="8"/>
        <v>519930984692048</v>
      </c>
      <c r="AA45" s="5">
        <f t="shared" si="8"/>
        <v>497860236338480</v>
      </c>
      <c r="AB45" s="5">
        <f t="shared" si="8"/>
        <v>475789487984904</v>
      </c>
      <c r="AC45" s="5">
        <f t="shared" si="8"/>
        <v>453718739631328</v>
      </c>
      <c r="AD45" s="5">
        <f t="shared" si="8"/>
        <v>431647991277752</v>
      </c>
      <c r="AE45" s="5">
        <f t="shared" si="8"/>
        <v>409577242924184</v>
      </c>
      <c r="AF45" s="5">
        <f t="shared" si="8"/>
        <v>387506494570608</v>
      </c>
      <c r="AG45" s="5">
        <f t="shared" si="8"/>
        <v>365435746217032</v>
      </c>
      <c r="AH45" s="5">
        <f t="shared" si="8"/>
        <v>343364997863464</v>
      </c>
      <c r="AI45" s="5">
        <f t="shared" si="8"/>
        <v>321294249509888</v>
      </c>
      <c r="AJ45" s="5">
        <f t="shared" si="8"/>
        <v>299223501156312</v>
      </c>
      <c r="AK45" s="5">
        <f t="shared" si="8"/>
        <v>277152752802736</v>
      </c>
      <c r="AL45" s="5">
        <f t="shared" si="8"/>
        <v>255082004449168</v>
      </c>
      <c r="AM45" s="5">
        <f t="shared" si="8"/>
        <v>233011256095592</v>
      </c>
      <c r="AN45" s="5">
        <f t="shared" si="8"/>
        <v>210940507742016</v>
      </c>
      <c r="AO45" s="5">
        <f t="shared" si="8"/>
        <v>188869759388448</v>
      </c>
    </row>
    <row r="46" spans="1:41">
      <c r="A46" s="19" t="s">
        <v>6</v>
      </c>
      <c r="B46" s="5">
        <f>'KEEI&amp;MOTIE'!I83</f>
        <v>782896575404061.38</v>
      </c>
      <c r="C46" s="5">
        <f>'KEEI&amp;MOTIE'!J83</f>
        <v>930345152171983</v>
      </c>
      <c r="D46" s="5">
        <f>'KEEI&amp;MOTIE'!K83</f>
        <v>921887468970419.5</v>
      </c>
      <c r="E46" s="5">
        <f>'KEEI&amp;MOTIE'!L83</f>
        <v>871602697935669.38</v>
      </c>
      <c r="F46" s="5">
        <f>'KEEI&amp;MOTIE'!M83</f>
        <v>752747784580805.38</v>
      </c>
      <c r="I46" s="19" t="s">
        <v>6</v>
      </c>
      <c r="J46" s="5">
        <f t="shared" si="5"/>
        <v>854120975935952.75</v>
      </c>
      <c r="K46" s="5">
        <f t="shared" si="8"/>
        <v>853884269539850</v>
      </c>
      <c r="L46" s="5">
        <f t="shared" si="8"/>
        <v>853647563143747.5</v>
      </c>
      <c r="M46" s="5">
        <f t="shared" si="8"/>
        <v>853410856747644.75</v>
      </c>
      <c r="N46" s="5">
        <f t="shared" si="8"/>
        <v>853174150351542</v>
      </c>
      <c r="O46" s="5">
        <f t="shared" si="8"/>
        <v>852937443955439.38</v>
      </c>
      <c r="P46" s="5">
        <f t="shared" si="8"/>
        <v>852700737559336.75</v>
      </c>
      <c r="Q46" s="5">
        <f t="shared" si="8"/>
        <v>852464031163234</v>
      </c>
      <c r="R46" s="5">
        <f t="shared" si="8"/>
        <v>852227324767131.38</v>
      </c>
      <c r="S46" s="5">
        <f t="shared" si="8"/>
        <v>851990618371028.75</v>
      </c>
      <c r="T46" s="5">
        <f t="shared" si="8"/>
        <v>851753911974926</v>
      </c>
      <c r="U46" s="5">
        <f t="shared" si="8"/>
        <v>851517205578823.25</v>
      </c>
      <c r="V46" s="5">
        <f t="shared" si="8"/>
        <v>851280499182720.75</v>
      </c>
      <c r="W46" s="5">
        <f t="shared" si="8"/>
        <v>851043792786618</v>
      </c>
      <c r="X46" s="5">
        <f t="shared" si="8"/>
        <v>850807086390515.25</v>
      </c>
      <c r="Y46" s="5">
        <f t="shared" si="8"/>
        <v>850570379994412.63</v>
      </c>
      <c r="Z46" s="5">
        <f t="shared" si="8"/>
        <v>850333673598310</v>
      </c>
      <c r="AA46" s="5">
        <f t="shared" si="8"/>
        <v>850096967202207.25</v>
      </c>
      <c r="AB46" s="5">
        <f t="shared" si="8"/>
        <v>849860260806104.63</v>
      </c>
      <c r="AC46" s="5">
        <f t="shared" si="8"/>
        <v>849623554410002</v>
      </c>
      <c r="AD46" s="5">
        <f t="shared" si="8"/>
        <v>849386848013899.25</v>
      </c>
      <c r="AE46" s="5">
        <f t="shared" si="8"/>
        <v>849150141617796.5</v>
      </c>
      <c r="AF46" s="5">
        <f t="shared" si="8"/>
        <v>848913435221694</v>
      </c>
      <c r="AG46" s="5">
        <f t="shared" si="8"/>
        <v>848676728825591.25</v>
      </c>
      <c r="AH46" s="5">
        <f t="shared" si="8"/>
        <v>848440022429488.5</v>
      </c>
      <c r="AI46" s="5">
        <f t="shared" si="8"/>
        <v>848203316033385.88</v>
      </c>
      <c r="AJ46" s="5">
        <f t="shared" si="8"/>
        <v>847966609637283.25</v>
      </c>
      <c r="AK46" s="5">
        <f t="shared" si="8"/>
        <v>847729903241180.5</v>
      </c>
      <c r="AL46" s="5">
        <f t="shared" si="8"/>
        <v>847493196845077.88</v>
      </c>
      <c r="AM46" s="5">
        <f t="shared" si="8"/>
        <v>847256490448975.25</v>
      </c>
      <c r="AN46" s="5">
        <f t="shared" si="8"/>
        <v>847019784052872.5</v>
      </c>
      <c r="AO46" s="5">
        <f t="shared" si="8"/>
        <v>846783077656769.75</v>
      </c>
    </row>
    <row r="47" spans="1:41">
      <c r="A47" s="19" t="s">
        <v>20</v>
      </c>
      <c r="B47" s="5">
        <f>0</f>
        <v>0</v>
      </c>
      <c r="C47" s="5">
        <f>0</f>
        <v>0</v>
      </c>
      <c r="D47" s="5">
        <f>0</f>
        <v>0</v>
      </c>
      <c r="E47" s="5">
        <f>0</f>
        <v>0</v>
      </c>
      <c r="F47" s="5">
        <f>0</f>
        <v>0</v>
      </c>
      <c r="I47" s="19" t="s">
        <v>20</v>
      </c>
      <c r="J47" s="5">
        <f t="shared" si="5"/>
        <v>0</v>
      </c>
      <c r="K47" s="5">
        <f t="shared" si="8"/>
        <v>0</v>
      </c>
      <c r="L47" s="5">
        <f t="shared" si="8"/>
        <v>0</v>
      </c>
      <c r="M47" s="5">
        <f t="shared" si="8"/>
        <v>0</v>
      </c>
      <c r="N47" s="5">
        <f t="shared" si="8"/>
        <v>0</v>
      </c>
      <c r="O47" s="5">
        <f t="shared" si="8"/>
        <v>0</v>
      </c>
      <c r="P47" s="5">
        <f t="shared" si="8"/>
        <v>0</v>
      </c>
      <c r="Q47" s="5">
        <f t="shared" si="8"/>
        <v>0</v>
      </c>
      <c r="R47" s="5">
        <f t="shared" si="8"/>
        <v>0</v>
      </c>
      <c r="S47" s="5">
        <f t="shared" si="8"/>
        <v>0</v>
      </c>
      <c r="T47" s="5">
        <f t="shared" si="8"/>
        <v>0</v>
      </c>
      <c r="U47" s="5">
        <f t="shared" si="8"/>
        <v>0</v>
      </c>
      <c r="V47" s="5">
        <f t="shared" si="8"/>
        <v>0</v>
      </c>
      <c r="W47" s="5">
        <f t="shared" si="8"/>
        <v>0</v>
      </c>
      <c r="X47" s="5">
        <f t="shared" si="8"/>
        <v>0</v>
      </c>
      <c r="Y47" s="5">
        <f t="shared" si="8"/>
        <v>0</v>
      </c>
      <c r="Z47" s="5">
        <f t="shared" si="8"/>
        <v>0</v>
      </c>
      <c r="AA47" s="5">
        <f t="shared" si="8"/>
        <v>0</v>
      </c>
      <c r="AB47" s="5">
        <f t="shared" si="8"/>
        <v>0</v>
      </c>
      <c r="AC47" s="5">
        <f t="shared" si="8"/>
        <v>0</v>
      </c>
      <c r="AD47" s="5">
        <f t="shared" si="8"/>
        <v>0</v>
      </c>
      <c r="AE47" s="5">
        <f t="shared" si="8"/>
        <v>0</v>
      </c>
      <c r="AF47" s="5">
        <f t="shared" si="8"/>
        <v>0</v>
      </c>
      <c r="AG47" s="5">
        <f t="shared" si="8"/>
        <v>0</v>
      </c>
      <c r="AH47" s="5">
        <f t="shared" si="8"/>
        <v>0</v>
      </c>
      <c r="AI47" s="5">
        <f t="shared" si="8"/>
        <v>0</v>
      </c>
      <c r="AJ47" s="5">
        <f t="shared" si="8"/>
        <v>0</v>
      </c>
      <c r="AK47" s="5">
        <f t="shared" si="8"/>
        <v>0</v>
      </c>
      <c r="AL47" s="5">
        <f t="shared" si="8"/>
        <v>0</v>
      </c>
      <c r="AM47" s="5">
        <f t="shared" si="8"/>
        <v>0</v>
      </c>
      <c r="AN47" s="5">
        <f t="shared" si="8"/>
        <v>0</v>
      </c>
      <c r="AO47" s="5">
        <f t="shared" si="8"/>
        <v>0</v>
      </c>
    </row>
    <row r="48" spans="1:41">
      <c r="A48" s="19" t="s">
        <v>21</v>
      </c>
      <c r="B48" s="20" t="s">
        <v>34</v>
      </c>
      <c r="C48" s="20" t="s">
        <v>34</v>
      </c>
      <c r="D48" s="20" t="s">
        <v>34</v>
      </c>
      <c r="E48" s="20" t="s">
        <v>34</v>
      </c>
      <c r="F48" s="20" t="s">
        <v>34</v>
      </c>
      <c r="I48" s="19" t="s">
        <v>21</v>
      </c>
      <c r="J48" s="5">
        <f>hydrogen!C13</f>
        <v>263937096887472.81</v>
      </c>
      <c r="K48" s="5">
        <f>hydrogen!D13</f>
        <v>266116592305677.66</v>
      </c>
      <c r="L48" s="5">
        <f>hydrogen!E13</f>
        <v>266116592305677.66</v>
      </c>
      <c r="M48" s="5">
        <f>hydrogen!F13</f>
        <v>266116592305677.66</v>
      </c>
      <c r="N48" s="5">
        <f>hydrogen!G13</f>
        <v>268806497172329.75</v>
      </c>
      <c r="O48" s="5">
        <f>hydrogen!H13</f>
        <v>271496402038981.84</v>
      </c>
      <c r="P48" s="5">
        <f>hydrogen!I13</f>
        <v>271496402038981.84</v>
      </c>
      <c r="Q48" s="5">
        <f>hydrogen!J13</f>
        <v>271496402038981.84</v>
      </c>
      <c r="R48" s="5">
        <f>hydrogen!K13</f>
        <v>271496402038981.84</v>
      </c>
      <c r="S48" s="5">
        <f>hydrogen!L13</f>
        <v>271496402038981.84</v>
      </c>
      <c r="T48" s="5">
        <f>hydrogen!M13</f>
        <v>271496402038981.84</v>
      </c>
      <c r="U48" s="5">
        <f>hydrogen!N13</f>
        <v>271496402038981.84</v>
      </c>
      <c r="V48" s="5">
        <f>hydrogen!O13</f>
        <v>271496402038981.84</v>
      </c>
      <c r="W48" s="5">
        <f>hydrogen!P13</f>
        <v>271496402038981.84</v>
      </c>
      <c r="X48" s="5">
        <f>hydrogen!Q13</f>
        <v>271496402038981.84</v>
      </c>
      <c r="Y48" s="5">
        <f>hydrogen!R13</f>
        <v>271496402038981.84</v>
      </c>
      <c r="Z48" s="5">
        <f>hydrogen!S13</f>
        <v>271496402038981.84</v>
      </c>
      <c r="AA48" s="5">
        <f>hydrogen!T13</f>
        <v>271496402038981.84</v>
      </c>
      <c r="AB48" s="5">
        <f>hydrogen!U13</f>
        <v>271496402038981.84</v>
      </c>
      <c r="AC48" s="5">
        <f>hydrogen!V13</f>
        <v>271496402038981.84</v>
      </c>
      <c r="AD48" s="5">
        <f>hydrogen!W13</f>
        <v>271496402038981.84</v>
      </c>
      <c r="AE48" s="5">
        <f>hydrogen!X13</f>
        <v>271496402038981.84</v>
      </c>
      <c r="AF48" s="5">
        <f>hydrogen!Y13</f>
        <v>271496402038981.84</v>
      </c>
      <c r="AG48" s="5">
        <f>hydrogen!Z13</f>
        <v>271496402038981.84</v>
      </c>
      <c r="AH48" s="5">
        <f>hydrogen!AA13</f>
        <v>271496402038981.84</v>
      </c>
      <c r="AI48" s="5">
        <f>hydrogen!AB13</f>
        <v>271496402038981.84</v>
      </c>
      <c r="AJ48" s="5">
        <f>hydrogen!AC13</f>
        <v>271496402038981.84</v>
      </c>
      <c r="AK48" s="5">
        <f>hydrogen!AD13</f>
        <v>271496402038981.84</v>
      </c>
      <c r="AL48" s="5">
        <f>hydrogen!AE13</f>
        <v>271496402038981.84</v>
      </c>
      <c r="AM48" s="5">
        <f>hydrogen!AF13</f>
        <v>271496402038981.84</v>
      </c>
      <c r="AN48" s="5">
        <f>hydrogen!AG13</f>
        <v>271496402038981.84</v>
      </c>
      <c r="AO48" s="5">
        <f>hydrogen!AH13</f>
        <v>271496402038981.84</v>
      </c>
    </row>
    <row r="51" spans="1:41">
      <c r="A51" t="s">
        <v>88</v>
      </c>
      <c r="B51" t="s">
        <v>124</v>
      </c>
      <c r="I51" t="s">
        <v>103</v>
      </c>
    </row>
    <row r="52" spans="1:41">
      <c r="A52" s="17" t="s">
        <v>85</v>
      </c>
      <c r="B52">
        <v>2000</v>
      </c>
      <c r="C52">
        <v>2022</v>
      </c>
      <c r="D52">
        <v>2030</v>
      </c>
      <c r="E52">
        <v>2040</v>
      </c>
      <c r="F52">
        <v>2050</v>
      </c>
      <c r="I52" s="17" t="s">
        <v>85</v>
      </c>
      <c r="J52" s="6">
        <v>2019</v>
      </c>
      <c r="K52">
        <v>2020</v>
      </c>
      <c r="L52" s="6">
        <v>2021</v>
      </c>
      <c r="M52">
        <v>2022</v>
      </c>
      <c r="N52" s="6">
        <v>2023</v>
      </c>
      <c r="O52">
        <v>2024</v>
      </c>
      <c r="P52" s="6">
        <v>2025</v>
      </c>
      <c r="Q52">
        <v>2026</v>
      </c>
      <c r="R52" s="6">
        <v>2027</v>
      </c>
      <c r="S52">
        <v>2028</v>
      </c>
      <c r="T52" s="6">
        <v>2029</v>
      </c>
      <c r="U52">
        <v>2030</v>
      </c>
      <c r="V52" s="6">
        <v>2031</v>
      </c>
      <c r="W52">
        <v>2032</v>
      </c>
      <c r="X52" s="6">
        <v>2033</v>
      </c>
      <c r="Y52">
        <v>2034</v>
      </c>
      <c r="Z52" s="6">
        <v>2035</v>
      </c>
      <c r="AA52">
        <v>2036</v>
      </c>
      <c r="AB52" s="6">
        <v>2037</v>
      </c>
      <c r="AC52">
        <v>2038</v>
      </c>
      <c r="AD52" s="6">
        <v>2039</v>
      </c>
      <c r="AE52">
        <v>2040</v>
      </c>
      <c r="AF52" s="6">
        <v>2041</v>
      </c>
      <c r="AG52">
        <v>2042</v>
      </c>
      <c r="AH52" s="6">
        <v>2043</v>
      </c>
      <c r="AI52">
        <v>2044</v>
      </c>
      <c r="AJ52" s="6">
        <v>2045</v>
      </c>
      <c r="AK52">
        <v>2046</v>
      </c>
      <c r="AL52" s="6">
        <v>2047</v>
      </c>
      <c r="AM52">
        <v>2048</v>
      </c>
      <c r="AN52" s="6">
        <v>2049</v>
      </c>
      <c r="AO52">
        <v>2050</v>
      </c>
    </row>
    <row r="53" spans="1:41">
      <c r="A53" s="19" t="s">
        <v>7</v>
      </c>
      <c r="B53" s="5">
        <f>0</f>
        <v>0</v>
      </c>
      <c r="C53" s="5">
        <f>0</f>
        <v>0</v>
      </c>
      <c r="D53" s="5">
        <f>0</f>
        <v>0</v>
      </c>
      <c r="E53" s="5">
        <f>0</f>
        <v>0</v>
      </c>
      <c r="F53" s="5">
        <f>0</f>
        <v>0</v>
      </c>
      <c r="I53" s="19" t="s">
        <v>7</v>
      </c>
      <c r="J53" s="5">
        <f>IF( _xlfn.FORECAST.LINEAR(J$52,$B53:$F53,$B$52:$F$52)&gt;0, _xlfn.FORECAST.LINEAR(J$52,$B53:$F53,$B$52:$F$52), 0 )</f>
        <v>0</v>
      </c>
      <c r="K53" s="5">
        <f t="shared" ref="K53:AO61" si="9">IF( _xlfn.FORECAST.LINEAR(K$52,$B53:$F53,$B$52:$F$52)&gt;0, _xlfn.FORECAST.LINEAR(K$52,$B53:$F53,$B$52:$F$52), 0 )</f>
        <v>0</v>
      </c>
      <c r="L53" s="5">
        <f t="shared" si="9"/>
        <v>0</v>
      </c>
      <c r="M53" s="5">
        <f t="shared" si="9"/>
        <v>0</v>
      </c>
      <c r="N53" s="5">
        <f t="shared" si="9"/>
        <v>0</v>
      </c>
      <c r="O53" s="5">
        <f t="shared" si="9"/>
        <v>0</v>
      </c>
      <c r="P53" s="5">
        <f t="shared" si="9"/>
        <v>0</v>
      </c>
      <c r="Q53" s="5">
        <f t="shared" si="9"/>
        <v>0</v>
      </c>
      <c r="R53" s="5">
        <f t="shared" si="9"/>
        <v>0</v>
      </c>
      <c r="S53" s="5">
        <f t="shared" si="9"/>
        <v>0</v>
      </c>
      <c r="T53" s="5">
        <f t="shared" si="9"/>
        <v>0</v>
      </c>
      <c r="U53" s="5">
        <f t="shared" si="9"/>
        <v>0</v>
      </c>
      <c r="V53" s="5">
        <f t="shared" si="9"/>
        <v>0</v>
      </c>
      <c r="W53" s="5">
        <f t="shared" si="9"/>
        <v>0</v>
      </c>
      <c r="X53" s="5">
        <f t="shared" si="9"/>
        <v>0</v>
      </c>
      <c r="Y53" s="5">
        <f t="shared" si="9"/>
        <v>0</v>
      </c>
      <c r="Z53" s="5">
        <f t="shared" si="9"/>
        <v>0</v>
      </c>
      <c r="AA53" s="5">
        <f t="shared" si="9"/>
        <v>0</v>
      </c>
      <c r="AB53" s="5">
        <f t="shared" si="9"/>
        <v>0</v>
      </c>
      <c r="AC53" s="5">
        <f t="shared" si="9"/>
        <v>0</v>
      </c>
      <c r="AD53" s="5">
        <f t="shared" si="9"/>
        <v>0</v>
      </c>
      <c r="AE53" s="5">
        <f t="shared" si="9"/>
        <v>0</v>
      </c>
      <c r="AF53" s="5">
        <f t="shared" si="9"/>
        <v>0</v>
      </c>
      <c r="AG53" s="5">
        <f t="shared" si="9"/>
        <v>0</v>
      </c>
      <c r="AH53" s="5">
        <f t="shared" si="9"/>
        <v>0</v>
      </c>
      <c r="AI53" s="5">
        <f t="shared" si="9"/>
        <v>0</v>
      </c>
      <c r="AJ53" s="5">
        <f t="shared" si="9"/>
        <v>0</v>
      </c>
      <c r="AK53" s="5">
        <f t="shared" si="9"/>
        <v>0</v>
      </c>
      <c r="AL53" s="5">
        <f t="shared" si="9"/>
        <v>0</v>
      </c>
      <c r="AM53" s="5">
        <f t="shared" si="9"/>
        <v>0</v>
      </c>
      <c r="AN53" s="5">
        <f t="shared" si="9"/>
        <v>0</v>
      </c>
      <c r="AO53" s="5">
        <f t="shared" si="9"/>
        <v>0</v>
      </c>
    </row>
    <row r="54" spans="1:41">
      <c r="A54" s="19" t="s">
        <v>8</v>
      </c>
      <c r="B54" s="5">
        <f>B4</f>
        <v>1110386712680000</v>
      </c>
      <c r="C54" s="5">
        <f t="shared" ref="C54:F54" si="10">C4</f>
        <v>1943176747190000</v>
      </c>
      <c r="D54" s="5">
        <f t="shared" si="10"/>
        <v>1467296727470000</v>
      </c>
      <c r="E54" s="5">
        <f t="shared" si="10"/>
        <v>1031073376060000</v>
      </c>
      <c r="F54" s="5">
        <f t="shared" si="10"/>
        <v>594850024650000</v>
      </c>
      <c r="I54" s="19" t="s">
        <v>8</v>
      </c>
      <c r="J54" s="5">
        <f t="shared" ref="J54:Y72" si="11">IF( _xlfn.FORECAST.LINEAR(J$52,$B54:$F54,$B$52:$F$52)&gt;0, _xlfn.FORECAST.LINEAR(J$52,$B54:$F54,$B$52:$F$52), 0 )</f>
        <v>1338270456044632</v>
      </c>
      <c r="K54" s="5">
        <f t="shared" si="11"/>
        <v>1326683888126052</v>
      </c>
      <c r="L54" s="5">
        <f t="shared" si="11"/>
        <v>1315097320207476</v>
      </c>
      <c r="M54" s="5">
        <f t="shared" si="11"/>
        <v>1303510752288896</v>
      </c>
      <c r="N54" s="5">
        <f t="shared" si="11"/>
        <v>1291924184370320</v>
      </c>
      <c r="O54" s="5">
        <f t="shared" si="11"/>
        <v>1280337616451740</v>
      </c>
      <c r="P54" s="5">
        <f t="shared" si="11"/>
        <v>1268751048533164</v>
      </c>
      <c r="Q54" s="5">
        <f t="shared" si="11"/>
        <v>1257164480614588</v>
      </c>
      <c r="R54" s="5">
        <f t="shared" si="11"/>
        <v>1245577912696008</v>
      </c>
      <c r="S54" s="5">
        <f t="shared" si="11"/>
        <v>1233991344777432</v>
      </c>
      <c r="T54" s="5">
        <f t="shared" si="11"/>
        <v>1222404776858852</v>
      </c>
      <c r="U54" s="5">
        <f t="shared" si="11"/>
        <v>1210818208940276</v>
      </c>
      <c r="V54" s="5">
        <f t="shared" si="11"/>
        <v>1199231641021696</v>
      </c>
      <c r="W54" s="5">
        <f t="shared" si="11"/>
        <v>1187645073103120</v>
      </c>
      <c r="X54" s="5">
        <f t="shared" si="11"/>
        <v>1176058505184540</v>
      </c>
      <c r="Y54" s="5">
        <f t="shared" si="11"/>
        <v>1164471937265964</v>
      </c>
      <c r="Z54" s="5">
        <f t="shared" si="9"/>
        <v>1152885369347388</v>
      </c>
      <c r="AA54" s="5">
        <f t="shared" si="9"/>
        <v>1141298801428808</v>
      </c>
      <c r="AB54" s="5">
        <f t="shared" si="9"/>
        <v>1129712233510232</v>
      </c>
      <c r="AC54" s="5">
        <f t="shared" si="9"/>
        <v>1118125665591652</v>
      </c>
      <c r="AD54" s="5">
        <f t="shared" si="9"/>
        <v>1106539097673076</v>
      </c>
      <c r="AE54" s="5">
        <f t="shared" si="9"/>
        <v>1094952529754496</v>
      </c>
      <c r="AF54" s="5">
        <f t="shared" si="9"/>
        <v>1083365961835920</v>
      </c>
      <c r="AG54" s="5">
        <f t="shared" si="9"/>
        <v>1071779393917344</v>
      </c>
      <c r="AH54" s="5">
        <f t="shared" si="9"/>
        <v>1060192825998764</v>
      </c>
      <c r="AI54" s="5">
        <f t="shared" si="9"/>
        <v>1048606258080188</v>
      </c>
      <c r="AJ54" s="5">
        <f t="shared" si="9"/>
        <v>1037019690161608</v>
      </c>
      <c r="AK54" s="5">
        <f t="shared" si="9"/>
        <v>1025433122243032</v>
      </c>
      <c r="AL54" s="5">
        <f t="shared" si="9"/>
        <v>1013846554324452</v>
      </c>
      <c r="AM54" s="5">
        <f t="shared" si="9"/>
        <v>1002259986405876</v>
      </c>
      <c r="AN54" s="5">
        <f t="shared" si="9"/>
        <v>990673418487300</v>
      </c>
      <c r="AO54" s="5">
        <f t="shared" si="9"/>
        <v>979086850568720</v>
      </c>
    </row>
    <row r="55" spans="1:41">
      <c r="A55" s="19" t="s">
        <v>1</v>
      </c>
      <c r="B55" s="5">
        <f>B5</f>
        <v>753476697890000</v>
      </c>
      <c r="C55" s="5">
        <f t="shared" ref="C55:F55" si="12">C5</f>
        <v>2379400098600000</v>
      </c>
      <c r="D55" s="5">
        <f t="shared" si="12"/>
        <v>2894936786630000</v>
      </c>
      <c r="E55" s="5">
        <f t="shared" si="12"/>
        <v>3450130142970000</v>
      </c>
      <c r="F55" s="5">
        <f t="shared" si="12"/>
        <v>3648413484520000</v>
      </c>
      <c r="I55" s="19" t="s">
        <v>1</v>
      </c>
      <c r="J55" s="5">
        <f t="shared" si="11"/>
        <v>2062824457035984</v>
      </c>
      <c r="K55" s="5">
        <f t="shared" si="9"/>
        <v>2122659242683440</v>
      </c>
      <c r="L55" s="5">
        <f t="shared" si="9"/>
        <v>2182494028330880</v>
      </c>
      <c r="M55" s="5">
        <f t="shared" si="9"/>
        <v>2242328813978336</v>
      </c>
      <c r="N55" s="5">
        <f t="shared" si="9"/>
        <v>2302163599625776</v>
      </c>
      <c r="O55" s="5">
        <f t="shared" si="9"/>
        <v>2361998385273232</v>
      </c>
      <c r="P55" s="5">
        <f t="shared" si="9"/>
        <v>2421833170920672</v>
      </c>
      <c r="Q55" s="5">
        <f t="shared" si="9"/>
        <v>2481667956568128</v>
      </c>
      <c r="R55" s="5">
        <f t="shared" si="9"/>
        <v>2541502742215568</v>
      </c>
      <c r="S55" s="5">
        <f t="shared" si="9"/>
        <v>2601337527863008</v>
      </c>
      <c r="T55" s="5">
        <f t="shared" si="9"/>
        <v>2661172313510464</v>
      </c>
      <c r="U55" s="5">
        <f t="shared" si="9"/>
        <v>2721007099157904</v>
      </c>
      <c r="V55" s="5">
        <f t="shared" si="9"/>
        <v>2780841884805360</v>
      </c>
      <c r="W55" s="5">
        <f t="shared" si="9"/>
        <v>2840676670452800</v>
      </c>
      <c r="X55" s="5">
        <f t="shared" si="9"/>
        <v>2900511456100256</v>
      </c>
      <c r="Y55" s="5">
        <f t="shared" si="9"/>
        <v>2960346241747696</v>
      </c>
      <c r="Z55" s="5">
        <f t="shared" si="9"/>
        <v>3020181027395152</v>
      </c>
      <c r="AA55" s="5">
        <f t="shared" si="9"/>
        <v>3080015813042592</v>
      </c>
      <c r="AB55" s="5">
        <f t="shared" si="9"/>
        <v>3139850598690048</v>
      </c>
      <c r="AC55" s="5">
        <f t="shared" si="9"/>
        <v>3199685384337488</v>
      </c>
      <c r="AD55" s="5">
        <f t="shared" si="9"/>
        <v>3259520169984944</v>
      </c>
      <c r="AE55" s="5">
        <f t="shared" si="9"/>
        <v>3319354955632384</v>
      </c>
      <c r="AF55" s="5">
        <f t="shared" si="9"/>
        <v>3379189741279840</v>
      </c>
      <c r="AG55" s="5">
        <f t="shared" si="9"/>
        <v>3439024526927280</v>
      </c>
      <c r="AH55" s="5">
        <f t="shared" si="9"/>
        <v>3498859312574736</v>
      </c>
      <c r="AI55" s="5">
        <f t="shared" si="9"/>
        <v>3558694098222176</v>
      </c>
      <c r="AJ55" s="5">
        <f t="shared" si="9"/>
        <v>3618528883869632</v>
      </c>
      <c r="AK55" s="5">
        <f t="shared" si="9"/>
        <v>3678363669517072</v>
      </c>
      <c r="AL55" s="5">
        <f t="shared" si="9"/>
        <v>3738198455164528</v>
      </c>
      <c r="AM55" s="5">
        <f t="shared" si="9"/>
        <v>3798033240811968</v>
      </c>
      <c r="AN55" s="5">
        <f t="shared" si="9"/>
        <v>3857868026459408</v>
      </c>
      <c r="AO55" s="5">
        <f t="shared" si="9"/>
        <v>3917702812106864</v>
      </c>
    </row>
    <row r="56" spans="1:41">
      <c r="A56" s="19" t="s">
        <v>9</v>
      </c>
      <c r="B56" s="5">
        <f>0</f>
        <v>0</v>
      </c>
      <c r="C56" s="5">
        <f>0</f>
        <v>0</v>
      </c>
      <c r="D56" s="5">
        <f>0</f>
        <v>0</v>
      </c>
      <c r="E56" s="5">
        <f>0</f>
        <v>0</v>
      </c>
      <c r="F56" s="5">
        <f>0</f>
        <v>0</v>
      </c>
      <c r="I56" s="19" t="s">
        <v>9</v>
      </c>
      <c r="J56" s="5">
        <f t="shared" si="11"/>
        <v>0</v>
      </c>
      <c r="K56" s="5">
        <f t="shared" si="9"/>
        <v>0</v>
      </c>
      <c r="L56" s="5">
        <f t="shared" si="9"/>
        <v>0</v>
      </c>
      <c r="M56" s="5">
        <f t="shared" si="9"/>
        <v>0</v>
      </c>
      <c r="N56" s="5">
        <f t="shared" si="9"/>
        <v>0</v>
      </c>
      <c r="O56" s="5">
        <f t="shared" si="9"/>
        <v>0</v>
      </c>
      <c r="P56" s="5">
        <f t="shared" si="9"/>
        <v>0</v>
      </c>
      <c r="Q56" s="5">
        <f t="shared" si="9"/>
        <v>0</v>
      </c>
      <c r="R56" s="5">
        <f t="shared" si="9"/>
        <v>0</v>
      </c>
      <c r="S56" s="5">
        <f t="shared" si="9"/>
        <v>0</v>
      </c>
      <c r="T56" s="5">
        <f t="shared" si="9"/>
        <v>0</v>
      </c>
      <c r="U56" s="5">
        <f t="shared" si="9"/>
        <v>0</v>
      </c>
      <c r="V56" s="5">
        <f t="shared" si="9"/>
        <v>0</v>
      </c>
      <c r="W56" s="5">
        <f t="shared" si="9"/>
        <v>0</v>
      </c>
      <c r="X56" s="5">
        <f t="shared" si="9"/>
        <v>0</v>
      </c>
      <c r="Y56" s="5">
        <f t="shared" si="9"/>
        <v>0</v>
      </c>
      <c r="Z56" s="5">
        <f t="shared" si="9"/>
        <v>0</v>
      </c>
      <c r="AA56" s="5">
        <f t="shared" si="9"/>
        <v>0</v>
      </c>
      <c r="AB56" s="5">
        <f t="shared" si="9"/>
        <v>0</v>
      </c>
      <c r="AC56" s="5">
        <f t="shared" si="9"/>
        <v>0</v>
      </c>
      <c r="AD56" s="5">
        <f t="shared" si="9"/>
        <v>0</v>
      </c>
      <c r="AE56" s="5">
        <f t="shared" si="9"/>
        <v>0</v>
      </c>
      <c r="AF56" s="5">
        <f t="shared" si="9"/>
        <v>0</v>
      </c>
      <c r="AG56" s="5">
        <f t="shared" si="9"/>
        <v>0</v>
      </c>
      <c r="AH56" s="5">
        <f t="shared" si="9"/>
        <v>0</v>
      </c>
      <c r="AI56" s="5">
        <f t="shared" si="9"/>
        <v>0</v>
      </c>
      <c r="AJ56" s="5">
        <f t="shared" si="9"/>
        <v>0</v>
      </c>
      <c r="AK56" s="5">
        <f t="shared" si="9"/>
        <v>0</v>
      </c>
      <c r="AL56" s="5">
        <f t="shared" si="9"/>
        <v>0</v>
      </c>
      <c r="AM56" s="5">
        <f t="shared" si="9"/>
        <v>0</v>
      </c>
      <c r="AN56" s="5">
        <f t="shared" si="9"/>
        <v>0</v>
      </c>
      <c r="AO56" s="5">
        <f t="shared" si="9"/>
        <v>0</v>
      </c>
    </row>
    <row r="57" spans="1:41">
      <c r="A57" s="19" t="s">
        <v>10</v>
      </c>
      <c r="B57" s="5">
        <f>0</f>
        <v>0</v>
      </c>
      <c r="C57" s="5">
        <f>0</f>
        <v>0</v>
      </c>
      <c r="D57" s="5">
        <f>0</f>
        <v>0</v>
      </c>
      <c r="E57" s="5">
        <f>0</f>
        <v>0</v>
      </c>
      <c r="F57" s="5">
        <f>0</f>
        <v>0</v>
      </c>
      <c r="I57" s="19" t="s">
        <v>10</v>
      </c>
      <c r="J57" s="5">
        <f t="shared" si="11"/>
        <v>0</v>
      </c>
      <c r="K57" s="5">
        <f t="shared" si="9"/>
        <v>0</v>
      </c>
      <c r="L57" s="5">
        <f t="shared" si="9"/>
        <v>0</v>
      </c>
      <c r="M57" s="5">
        <f t="shared" si="9"/>
        <v>0</v>
      </c>
      <c r="N57" s="5">
        <f t="shared" si="9"/>
        <v>0</v>
      </c>
      <c r="O57" s="5">
        <f t="shared" si="9"/>
        <v>0</v>
      </c>
      <c r="P57" s="5">
        <f t="shared" si="9"/>
        <v>0</v>
      </c>
      <c r="Q57" s="5">
        <f t="shared" si="9"/>
        <v>0</v>
      </c>
      <c r="R57" s="5">
        <f t="shared" si="9"/>
        <v>0</v>
      </c>
      <c r="S57" s="5">
        <f t="shared" si="9"/>
        <v>0</v>
      </c>
      <c r="T57" s="5">
        <f t="shared" si="9"/>
        <v>0</v>
      </c>
      <c r="U57" s="5">
        <f t="shared" si="9"/>
        <v>0</v>
      </c>
      <c r="V57" s="5">
        <f t="shared" si="9"/>
        <v>0</v>
      </c>
      <c r="W57" s="5">
        <f t="shared" si="9"/>
        <v>0</v>
      </c>
      <c r="X57" s="5">
        <f t="shared" si="9"/>
        <v>0</v>
      </c>
      <c r="Y57" s="5">
        <f t="shared" si="9"/>
        <v>0</v>
      </c>
      <c r="Z57" s="5">
        <f t="shared" si="9"/>
        <v>0</v>
      </c>
      <c r="AA57" s="5">
        <f t="shared" si="9"/>
        <v>0</v>
      </c>
      <c r="AB57" s="5">
        <f t="shared" si="9"/>
        <v>0</v>
      </c>
      <c r="AC57" s="5">
        <f t="shared" si="9"/>
        <v>0</v>
      </c>
      <c r="AD57" s="5">
        <f t="shared" si="9"/>
        <v>0</v>
      </c>
      <c r="AE57" s="5">
        <f t="shared" si="9"/>
        <v>0</v>
      </c>
      <c r="AF57" s="5">
        <f t="shared" si="9"/>
        <v>0</v>
      </c>
      <c r="AG57" s="5">
        <f t="shared" si="9"/>
        <v>0</v>
      </c>
      <c r="AH57" s="5">
        <f t="shared" si="9"/>
        <v>0</v>
      </c>
      <c r="AI57" s="5">
        <f t="shared" si="9"/>
        <v>0</v>
      </c>
      <c r="AJ57" s="5">
        <f t="shared" si="9"/>
        <v>0</v>
      </c>
      <c r="AK57" s="5">
        <f t="shared" si="9"/>
        <v>0</v>
      </c>
      <c r="AL57" s="5">
        <f t="shared" si="9"/>
        <v>0</v>
      </c>
      <c r="AM57" s="5">
        <f t="shared" si="9"/>
        <v>0</v>
      </c>
      <c r="AN57" s="5">
        <f t="shared" si="9"/>
        <v>0</v>
      </c>
      <c r="AO57" s="5">
        <f t="shared" si="9"/>
        <v>0</v>
      </c>
    </row>
    <row r="58" spans="1:41">
      <c r="A58" s="19" t="s">
        <v>11</v>
      </c>
      <c r="B58" s="5">
        <f>0</f>
        <v>0</v>
      </c>
      <c r="C58" s="5">
        <f>0</f>
        <v>0</v>
      </c>
      <c r="D58" s="5">
        <f>0</f>
        <v>0</v>
      </c>
      <c r="E58" s="5">
        <f>0</f>
        <v>0</v>
      </c>
      <c r="F58" s="5">
        <f>0</f>
        <v>0</v>
      </c>
      <c r="I58" s="19" t="s">
        <v>11</v>
      </c>
      <c r="J58" s="5">
        <f t="shared" si="11"/>
        <v>0</v>
      </c>
      <c r="K58" s="5">
        <f t="shared" si="9"/>
        <v>0</v>
      </c>
      <c r="L58" s="5">
        <f t="shared" si="9"/>
        <v>0</v>
      </c>
      <c r="M58" s="5">
        <f t="shared" si="9"/>
        <v>0</v>
      </c>
      <c r="N58" s="5">
        <f t="shared" si="9"/>
        <v>0</v>
      </c>
      <c r="O58" s="5">
        <f t="shared" si="9"/>
        <v>0</v>
      </c>
      <c r="P58" s="5">
        <f t="shared" si="9"/>
        <v>0</v>
      </c>
      <c r="Q58" s="5">
        <f t="shared" si="9"/>
        <v>0</v>
      </c>
      <c r="R58" s="5">
        <f t="shared" si="9"/>
        <v>0</v>
      </c>
      <c r="S58" s="5">
        <f t="shared" si="9"/>
        <v>0</v>
      </c>
      <c r="T58" s="5">
        <f t="shared" si="9"/>
        <v>0</v>
      </c>
      <c r="U58" s="5">
        <f t="shared" si="9"/>
        <v>0</v>
      </c>
      <c r="V58" s="5">
        <f t="shared" si="9"/>
        <v>0</v>
      </c>
      <c r="W58" s="5">
        <f t="shared" si="9"/>
        <v>0</v>
      </c>
      <c r="X58" s="5">
        <f t="shared" si="9"/>
        <v>0</v>
      </c>
      <c r="Y58" s="5">
        <f t="shared" si="9"/>
        <v>0</v>
      </c>
      <c r="Z58" s="5">
        <f t="shared" si="9"/>
        <v>0</v>
      </c>
      <c r="AA58" s="5">
        <f t="shared" si="9"/>
        <v>0</v>
      </c>
      <c r="AB58" s="5">
        <f t="shared" si="9"/>
        <v>0</v>
      </c>
      <c r="AC58" s="5">
        <f t="shared" si="9"/>
        <v>0</v>
      </c>
      <c r="AD58" s="5">
        <f t="shared" si="9"/>
        <v>0</v>
      </c>
      <c r="AE58" s="5">
        <f t="shared" si="9"/>
        <v>0</v>
      </c>
      <c r="AF58" s="5">
        <f t="shared" si="9"/>
        <v>0</v>
      </c>
      <c r="AG58" s="5">
        <f t="shared" si="9"/>
        <v>0</v>
      </c>
      <c r="AH58" s="5">
        <f t="shared" si="9"/>
        <v>0</v>
      </c>
      <c r="AI58" s="5">
        <f t="shared" si="9"/>
        <v>0</v>
      </c>
      <c r="AJ58" s="5">
        <f t="shared" si="9"/>
        <v>0</v>
      </c>
      <c r="AK58" s="5">
        <f t="shared" si="9"/>
        <v>0</v>
      </c>
      <c r="AL58" s="5">
        <f t="shared" si="9"/>
        <v>0</v>
      </c>
      <c r="AM58" s="5">
        <f t="shared" si="9"/>
        <v>0</v>
      </c>
      <c r="AN58" s="5">
        <f t="shared" si="9"/>
        <v>0</v>
      </c>
      <c r="AO58" s="5">
        <f t="shared" si="9"/>
        <v>0</v>
      </c>
    </row>
    <row r="59" spans="1:41">
      <c r="A59" s="19" t="s">
        <v>12</v>
      </c>
      <c r="B59" s="5">
        <f>0</f>
        <v>0</v>
      </c>
      <c r="C59" s="5">
        <f>0</f>
        <v>0</v>
      </c>
      <c r="D59" s="5">
        <f>0</f>
        <v>0</v>
      </c>
      <c r="E59" s="5">
        <f>0</f>
        <v>0</v>
      </c>
      <c r="F59" s="5">
        <f>0</f>
        <v>0</v>
      </c>
      <c r="I59" s="19" t="s">
        <v>12</v>
      </c>
      <c r="J59" s="5">
        <f t="shared" si="11"/>
        <v>0</v>
      </c>
      <c r="K59" s="5">
        <f t="shared" si="9"/>
        <v>0</v>
      </c>
      <c r="L59" s="5">
        <f t="shared" si="9"/>
        <v>0</v>
      </c>
      <c r="M59" s="5">
        <f t="shared" si="9"/>
        <v>0</v>
      </c>
      <c r="N59" s="5">
        <f t="shared" si="9"/>
        <v>0</v>
      </c>
      <c r="O59" s="5">
        <f t="shared" si="9"/>
        <v>0</v>
      </c>
      <c r="P59" s="5">
        <f t="shared" si="9"/>
        <v>0</v>
      </c>
      <c r="Q59" s="5">
        <f t="shared" si="9"/>
        <v>0</v>
      </c>
      <c r="R59" s="5">
        <f t="shared" si="9"/>
        <v>0</v>
      </c>
      <c r="S59" s="5">
        <f t="shared" si="9"/>
        <v>0</v>
      </c>
      <c r="T59" s="5">
        <f t="shared" si="9"/>
        <v>0</v>
      </c>
      <c r="U59" s="5">
        <f t="shared" si="9"/>
        <v>0</v>
      </c>
      <c r="V59" s="5">
        <f t="shared" si="9"/>
        <v>0</v>
      </c>
      <c r="W59" s="5">
        <f t="shared" si="9"/>
        <v>0</v>
      </c>
      <c r="X59" s="5">
        <f t="shared" si="9"/>
        <v>0</v>
      </c>
      <c r="Y59" s="5">
        <f t="shared" si="9"/>
        <v>0</v>
      </c>
      <c r="Z59" s="5">
        <f t="shared" si="9"/>
        <v>0</v>
      </c>
      <c r="AA59" s="5">
        <f t="shared" si="9"/>
        <v>0</v>
      </c>
      <c r="AB59" s="5">
        <f t="shared" si="9"/>
        <v>0</v>
      </c>
      <c r="AC59" s="5">
        <f t="shared" si="9"/>
        <v>0</v>
      </c>
      <c r="AD59" s="5">
        <f t="shared" si="9"/>
        <v>0</v>
      </c>
      <c r="AE59" s="5">
        <f t="shared" si="9"/>
        <v>0</v>
      </c>
      <c r="AF59" s="5">
        <f t="shared" si="9"/>
        <v>0</v>
      </c>
      <c r="AG59" s="5">
        <f t="shared" si="9"/>
        <v>0</v>
      </c>
      <c r="AH59" s="5">
        <f t="shared" si="9"/>
        <v>0</v>
      </c>
      <c r="AI59" s="5">
        <f t="shared" si="9"/>
        <v>0</v>
      </c>
      <c r="AJ59" s="5">
        <f t="shared" si="9"/>
        <v>0</v>
      </c>
      <c r="AK59" s="5">
        <f t="shared" si="9"/>
        <v>0</v>
      </c>
      <c r="AL59" s="5">
        <f t="shared" si="9"/>
        <v>0</v>
      </c>
      <c r="AM59" s="5">
        <f t="shared" si="9"/>
        <v>0</v>
      </c>
      <c r="AN59" s="5">
        <f t="shared" si="9"/>
        <v>0</v>
      </c>
      <c r="AO59" s="5">
        <f t="shared" si="9"/>
        <v>0</v>
      </c>
    </row>
    <row r="60" spans="1:41">
      <c r="A60" s="19" t="s">
        <v>2</v>
      </c>
      <c r="B60" s="5">
        <f>0</f>
        <v>0</v>
      </c>
      <c r="C60" s="5">
        <f>0</f>
        <v>0</v>
      </c>
      <c r="D60" s="5">
        <f>0</f>
        <v>0</v>
      </c>
      <c r="E60" s="5">
        <f>0</f>
        <v>0</v>
      </c>
      <c r="F60" s="5">
        <f>0</f>
        <v>0</v>
      </c>
      <c r="I60" s="19" t="s">
        <v>2</v>
      </c>
      <c r="J60" s="5">
        <f t="shared" si="11"/>
        <v>0</v>
      </c>
      <c r="K60" s="5">
        <f t="shared" si="9"/>
        <v>0</v>
      </c>
      <c r="L60" s="5">
        <f t="shared" si="9"/>
        <v>0</v>
      </c>
      <c r="M60" s="5">
        <f t="shared" si="9"/>
        <v>0</v>
      </c>
      <c r="N60" s="5">
        <f t="shared" si="9"/>
        <v>0</v>
      </c>
      <c r="O60" s="5">
        <f t="shared" si="9"/>
        <v>0</v>
      </c>
      <c r="P60" s="5">
        <f t="shared" si="9"/>
        <v>0</v>
      </c>
      <c r="Q60" s="5">
        <f t="shared" si="9"/>
        <v>0</v>
      </c>
      <c r="R60" s="5">
        <f t="shared" si="9"/>
        <v>0</v>
      </c>
      <c r="S60" s="5">
        <f t="shared" si="9"/>
        <v>0</v>
      </c>
      <c r="T60" s="5">
        <f t="shared" si="9"/>
        <v>0</v>
      </c>
      <c r="U60" s="5">
        <f t="shared" si="9"/>
        <v>0</v>
      </c>
      <c r="V60" s="5">
        <f t="shared" si="9"/>
        <v>0</v>
      </c>
      <c r="W60" s="5">
        <f t="shared" si="9"/>
        <v>0</v>
      </c>
      <c r="X60" s="5">
        <f t="shared" si="9"/>
        <v>0</v>
      </c>
      <c r="Y60" s="5">
        <f t="shared" si="9"/>
        <v>0</v>
      </c>
      <c r="Z60" s="5">
        <f t="shared" si="9"/>
        <v>0</v>
      </c>
      <c r="AA60" s="5">
        <f t="shared" si="9"/>
        <v>0</v>
      </c>
      <c r="AB60" s="5">
        <f t="shared" si="9"/>
        <v>0</v>
      </c>
      <c r="AC60" s="5">
        <f t="shared" si="9"/>
        <v>0</v>
      </c>
      <c r="AD60" s="5">
        <f t="shared" si="9"/>
        <v>0</v>
      </c>
      <c r="AE60" s="5">
        <f t="shared" si="9"/>
        <v>0</v>
      </c>
      <c r="AF60" s="5">
        <f t="shared" si="9"/>
        <v>0</v>
      </c>
      <c r="AG60" s="5">
        <f t="shared" si="9"/>
        <v>0</v>
      </c>
      <c r="AH60" s="5">
        <f t="shared" si="9"/>
        <v>0</v>
      </c>
      <c r="AI60" s="5">
        <f t="shared" si="9"/>
        <v>0</v>
      </c>
      <c r="AJ60" s="5">
        <f t="shared" si="9"/>
        <v>0</v>
      </c>
      <c r="AK60" s="5">
        <f t="shared" si="9"/>
        <v>0</v>
      </c>
      <c r="AL60" s="5">
        <f t="shared" si="9"/>
        <v>0</v>
      </c>
      <c r="AM60" s="5">
        <f t="shared" si="9"/>
        <v>0</v>
      </c>
      <c r="AN60" s="5">
        <f t="shared" si="9"/>
        <v>0</v>
      </c>
      <c r="AO60" s="5">
        <f t="shared" si="9"/>
        <v>0</v>
      </c>
    </row>
    <row r="61" spans="1:41">
      <c r="A61" s="19" t="s">
        <v>3</v>
      </c>
      <c r="B61" s="5">
        <f>'KEEI&amp;MOTIE'!I88</f>
        <v>3597480847865.0171</v>
      </c>
      <c r="C61" s="5">
        <f>'KEEI&amp;MOTIE'!J88</f>
        <v>415462799430.33112</v>
      </c>
      <c r="D61" s="5">
        <f>'KEEI&amp;MOTIE'!K88</f>
        <v>415462799430.33112</v>
      </c>
      <c r="E61" s="5">
        <f>'KEEI&amp;MOTIE'!L88</f>
        <v>415462799430.33112</v>
      </c>
      <c r="F61" s="5">
        <f>'KEEI&amp;MOTIE'!M88</f>
        <v>415462799430.33112</v>
      </c>
      <c r="I61" s="19" t="s">
        <v>3</v>
      </c>
      <c r="J61" s="5">
        <f t="shared" si="11"/>
        <v>1637224415050.375</v>
      </c>
      <c r="K61" s="5">
        <f t="shared" si="9"/>
        <v>1574952286759.625</v>
      </c>
      <c r="L61" s="5">
        <f t="shared" si="9"/>
        <v>1512680158468.8594</v>
      </c>
      <c r="M61" s="5">
        <f t="shared" si="9"/>
        <v>1450408030178.1094</v>
      </c>
      <c r="N61" s="5">
        <f t="shared" si="9"/>
        <v>1388135901887.3594</v>
      </c>
      <c r="O61" s="5">
        <f t="shared" si="9"/>
        <v>1325863773596.5938</v>
      </c>
      <c r="P61" s="5">
        <f t="shared" si="9"/>
        <v>1263591645305.8438</v>
      </c>
      <c r="Q61" s="5">
        <f t="shared" si="9"/>
        <v>1201319517015.0781</v>
      </c>
      <c r="R61" s="5">
        <f t="shared" si="9"/>
        <v>1139047388724.3281</v>
      </c>
      <c r="S61" s="5">
        <f t="shared" si="9"/>
        <v>1076775260433.5781</v>
      </c>
      <c r="T61" s="5">
        <f t="shared" si="9"/>
        <v>1014503132142.8125</v>
      </c>
      <c r="U61" s="5">
        <f t="shared" si="9"/>
        <v>952231003852.0625</v>
      </c>
      <c r="V61" s="5">
        <f t="shared" si="9"/>
        <v>889958875561.3125</v>
      </c>
      <c r="W61" s="5">
        <f t="shared" si="9"/>
        <v>827686747270.54688</v>
      </c>
      <c r="X61" s="5">
        <f t="shared" si="9"/>
        <v>765414618979.79688</v>
      </c>
      <c r="Y61" s="5">
        <f t="shared" si="9"/>
        <v>703142490689.03125</v>
      </c>
      <c r="Z61" s="5">
        <f t="shared" si="9"/>
        <v>640870362398.28125</v>
      </c>
      <c r="AA61" s="5">
        <f t="shared" si="9"/>
        <v>578598234107.53125</v>
      </c>
      <c r="AB61" s="5">
        <f t="shared" si="9"/>
        <v>516326105816.76563</v>
      </c>
      <c r="AC61" s="5">
        <f t="shared" si="9"/>
        <v>454053977526.01563</v>
      </c>
      <c r="AD61" s="5">
        <f t="shared" si="9"/>
        <v>391781849235.25</v>
      </c>
      <c r="AE61" s="5">
        <f t="shared" si="9"/>
        <v>329509720944.5</v>
      </c>
      <c r="AF61" s="5">
        <f t="shared" si="9"/>
        <v>267237592653.75</v>
      </c>
      <c r="AG61" s="5">
        <f t="shared" ref="K61:AO69" si="13">IF( _xlfn.FORECAST.LINEAR(AG$52,$B61:$F61,$B$52:$F$52)&gt;0, _xlfn.FORECAST.LINEAR(AG$52,$B61:$F61,$B$52:$F$52), 0 )</f>
        <v>204965464362.98438</v>
      </c>
      <c r="AH61" s="5">
        <f t="shared" si="13"/>
        <v>142693336072.23438</v>
      </c>
      <c r="AI61" s="5">
        <f t="shared" si="13"/>
        <v>80421207781.484375</v>
      </c>
      <c r="AJ61" s="5">
        <f t="shared" si="13"/>
        <v>18149079490.71875</v>
      </c>
      <c r="AK61" s="5">
        <f t="shared" si="13"/>
        <v>0</v>
      </c>
      <c r="AL61" s="5">
        <f t="shared" si="13"/>
        <v>0</v>
      </c>
      <c r="AM61" s="5">
        <f t="shared" si="13"/>
        <v>0</v>
      </c>
      <c r="AN61" s="5">
        <f t="shared" si="13"/>
        <v>0</v>
      </c>
      <c r="AO61" s="5">
        <f t="shared" si="13"/>
        <v>0</v>
      </c>
    </row>
    <row r="62" spans="1:41">
      <c r="A62" s="19" t="s">
        <v>13</v>
      </c>
      <c r="B62" s="5">
        <f>'KEEI&amp;MOTIE'!I89</f>
        <v>13692395935140.299</v>
      </c>
      <c r="C62" s="5">
        <f>'KEEI&amp;MOTIE'!J89</f>
        <v>1456506058948.6941</v>
      </c>
      <c r="D62" s="5">
        <f>'KEEI&amp;MOTIE'!K89</f>
        <v>1456506058948.6941</v>
      </c>
      <c r="E62" s="5">
        <f>'KEEI&amp;MOTIE'!L89</f>
        <v>1456506058948.6941</v>
      </c>
      <c r="F62" s="5">
        <f>'KEEI&amp;MOTIE'!M89</f>
        <v>1456506058948.6941</v>
      </c>
      <c r="I62" s="19" t="s">
        <v>13</v>
      </c>
      <c r="J62" s="5">
        <f t="shared" si="11"/>
        <v>6154575132139.125</v>
      </c>
      <c r="K62" s="5">
        <f t="shared" si="13"/>
        <v>5915118632357</v>
      </c>
      <c r="L62" s="5">
        <f t="shared" si="13"/>
        <v>5675662132574.8125</v>
      </c>
      <c r="M62" s="5">
        <f t="shared" si="13"/>
        <v>5436205632792.6875</v>
      </c>
      <c r="N62" s="5">
        <f t="shared" si="13"/>
        <v>5196749133010.5625</v>
      </c>
      <c r="O62" s="5">
        <f t="shared" si="13"/>
        <v>4957292633228.4375</v>
      </c>
      <c r="P62" s="5">
        <f t="shared" si="13"/>
        <v>4717836133446.3125</v>
      </c>
      <c r="Q62" s="5">
        <f t="shared" si="13"/>
        <v>4478379633664.125</v>
      </c>
      <c r="R62" s="5">
        <f t="shared" si="13"/>
        <v>4238923133882</v>
      </c>
      <c r="S62" s="5">
        <f t="shared" si="13"/>
        <v>3999466634099.875</v>
      </c>
      <c r="T62" s="5">
        <f t="shared" si="13"/>
        <v>3760010134317.75</v>
      </c>
      <c r="U62" s="5">
        <f t="shared" si="13"/>
        <v>3520553634535.5625</v>
      </c>
      <c r="V62" s="5">
        <f t="shared" si="13"/>
        <v>3281097134753.4375</v>
      </c>
      <c r="W62" s="5">
        <f t="shared" si="13"/>
        <v>3041640634971.3125</v>
      </c>
      <c r="X62" s="5">
        <f t="shared" si="13"/>
        <v>2802184135189.1875</v>
      </c>
      <c r="Y62" s="5">
        <f t="shared" si="13"/>
        <v>2562727635407</v>
      </c>
      <c r="Z62" s="5">
        <f t="shared" si="13"/>
        <v>2323271135624.875</v>
      </c>
      <c r="AA62" s="5">
        <f t="shared" si="13"/>
        <v>2083814635842.75</v>
      </c>
      <c r="AB62" s="5">
        <f t="shared" si="13"/>
        <v>1844358136060.625</v>
      </c>
      <c r="AC62" s="5">
        <f t="shared" si="13"/>
        <v>1604901636278.4375</v>
      </c>
      <c r="AD62" s="5">
        <f t="shared" si="13"/>
        <v>1365445136496.3125</v>
      </c>
      <c r="AE62" s="5">
        <f t="shared" si="13"/>
        <v>1125988636714.1875</v>
      </c>
      <c r="AF62" s="5">
        <f t="shared" si="13"/>
        <v>886532136932.0625</v>
      </c>
      <c r="AG62" s="5">
        <f t="shared" si="13"/>
        <v>647075637149.875</v>
      </c>
      <c r="AH62" s="5">
        <f t="shared" si="13"/>
        <v>407619137367.75</v>
      </c>
      <c r="AI62" s="5">
        <f t="shared" si="13"/>
        <v>168162637585.625</v>
      </c>
      <c r="AJ62" s="5">
        <f t="shared" si="13"/>
        <v>0</v>
      </c>
      <c r="AK62" s="5">
        <f t="shared" si="13"/>
        <v>0</v>
      </c>
      <c r="AL62" s="5">
        <f t="shared" si="13"/>
        <v>0</v>
      </c>
      <c r="AM62" s="5">
        <f t="shared" si="13"/>
        <v>0</v>
      </c>
      <c r="AN62" s="5">
        <f t="shared" si="13"/>
        <v>0</v>
      </c>
      <c r="AO62" s="5">
        <f t="shared" si="13"/>
        <v>0</v>
      </c>
    </row>
    <row r="63" spans="1:41">
      <c r="A63" s="19" t="s">
        <v>14</v>
      </c>
      <c r="B63" s="5">
        <f>0</f>
        <v>0</v>
      </c>
      <c r="C63" s="5">
        <f>0</f>
        <v>0</v>
      </c>
      <c r="D63" s="5">
        <f>0</f>
        <v>0</v>
      </c>
      <c r="E63" s="5">
        <f>0</f>
        <v>0</v>
      </c>
      <c r="F63" s="5">
        <f>0</f>
        <v>0</v>
      </c>
      <c r="I63" s="19" t="s">
        <v>14</v>
      </c>
      <c r="J63" s="5">
        <f t="shared" si="11"/>
        <v>0</v>
      </c>
      <c r="K63" s="5">
        <f t="shared" si="13"/>
        <v>0</v>
      </c>
      <c r="L63" s="5">
        <f t="shared" si="13"/>
        <v>0</v>
      </c>
      <c r="M63" s="5">
        <f t="shared" si="13"/>
        <v>0</v>
      </c>
      <c r="N63" s="5">
        <f t="shared" si="13"/>
        <v>0</v>
      </c>
      <c r="O63" s="5">
        <f t="shared" si="13"/>
        <v>0</v>
      </c>
      <c r="P63" s="5">
        <f t="shared" si="13"/>
        <v>0</v>
      </c>
      <c r="Q63" s="5">
        <f t="shared" si="13"/>
        <v>0</v>
      </c>
      <c r="R63" s="5">
        <f t="shared" si="13"/>
        <v>0</v>
      </c>
      <c r="S63" s="5">
        <f t="shared" si="13"/>
        <v>0</v>
      </c>
      <c r="T63" s="5">
        <f t="shared" si="13"/>
        <v>0</v>
      </c>
      <c r="U63" s="5">
        <f t="shared" si="13"/>
        <v>0</v>
      </c>
      <c r="V63" s="5">
        <f t="shared" si="13"/>
        <v>0</v>
      </c>
      <c r="W63" s="5">
        <f t="shared" si="13"/>
        <v>0</v>
      </c>
      <c r="X63" s="5">
        <f t="shared" si="13"/>
        <v>0</v>
      </c>
      <c r="Y63" s="5">
        <f t="shared" si="13"/>
        <v>0</v>
      </c>
      <c r="Z63" s="5">
        <f t="shared" si="13"/>
        <v>0</v>
      </c>
      <c r="AA63" s="5">
        <f t="shared" si="13"/>
        <v>0</v>
      </c>
      <c r="AB63" s="5">
        <f t="shared" si="13"/>
        <v>0</v>
      </c>
      <c r="AC63" s="5">
        <f t="shared" si="13"/>
        <v>0</v>
      </c>
      <c r="AD63" s="5">
        <f t="shared" si="13"/>
        <v>0</v>
      </c>
      <c r="AE63" s="5">
        <f t="shared" si="13"/>
        <v>0</v>
      </c>
      <c r="AF63" s="5">
        <f t="shared" si="13"/>
        <v>0</v>
      </c>
      <c r="AG63" s="5">
        <f t="shared" si="13"/>
        <v>0</v>
      </c>
      <c r="AH63" s="5">
        <f t="shared" si="13"/>
        <v>0</v>
      </c>
      <c r="AI63" s="5">
        <f t="shared" si="13"/>
        <v>0</v>
      </c>
      <c r="AJ63" s="5">
        <f t="shared" si="13"/>
        <v>0</v>
      </c>
      <c r="AK63" s="5">
        <f t="shared" si="13"/>
        <v>0</v>
      </c>
      <c r="AL63" s="5">
        <f t="shared" si="13"/>
        <v>0</v>
      </c>
      <c r="AM63" s="5">
        <f t="shared" si="13"/>
        <v>0</v>
      </c>
      <c r="AN63" s="5">
        <f t="shared" si="13"/>
        <v>0</v>
      </c>
      <c r="AO63" s="5">
        <f t="shared" si="13"/>
        <v>0</v>
      </c>
    </row>
    <row r="64" spans="1:41">
      <c r="A64" s="19" t="s">
        <v>15</v>
      </c>
      <c r="B64" s="5">
        <f>0</f>
        <v>0</v>
      </c>
      <c r="C64" s="5">
        <f>0</f>
        <v>0</v>
      </c>
      <c r="D64" s="5">
        <f>0</f>
        <v>0</v>
      </c>
      <c r="E64" s="5">
        <f>0</f>
        <v>0</v>
      </c>
      <c r="F64" s="5">
        <f>0</f>
        <v>0</v>
      </c>
      <c r="I64" s="19" t="s">
        <v>15</v>
      </c>
      <c r="J64" s="5">
        <f t="shared" si="11"/>
        <v>0</v>
      </c>
      <c r="K64" s="5">
        <f t="shared" si="13"/>
        <v>0</v>
      </c>
      <c r="L64" s="5">
        <f t="shared" si="13"/>
        <v>0</v>
      </c>
      <c r="M64" s="5">
        <f t="shared" si="13"/>
        <v>0</v>
      </c>
      <c r="N64" s="5">
        <f t="shared" si="13"/>
        <v>0</v>
      </c>
      <c r="O64" s="5">
        <f t="shared" si="13"/>
        <v>0</v>
      </c>
      <c r="P64" s="5">
        <f t="shared" si="13"/>
        <v>0</v>
      </c>
      <c r="Q64" s="5">
        <f t="shared" si="13"/>
        <v>0</v>
      </c>
      <c r="R64" s="5">
        <f t="shared" si="13"/>
        <v>0</v>
      </c>
      <c r="S64" s="5">
        <f t="shared" si="13"/>
        <v>0</v>
      </c>
      <c r="T64" s="5">
        <f t="shared" si="13"/>
        <v>0</v>
      </c>
      <c r="U64" s="5">
        <f t="shared" si="13"/>
        <v>0</v>
      </c>
      <c r="V64" s="5">
        <f t="shared" si="13"/>
        <v>0</v>
      </c>
      <c r="W64" s="5">
        <f t="shared" si="13"/>
        <v>0</v>
      </c>
      <c r="X64" s="5">
        <f t="shared" si="13"/>
        <v>0</v>
      </c>
      <c r="Y64" s="5">
        <f t="shared" si="13"/>
        <v>0</v>
      </c>
      <c r="Z64" s="5">
        <f t="shared" si="13"/>
        <v>0</v>
      </c>
      <c r="AA64" s="5">
        <f t="shared" si="13"/>
        <v>0</v>
      </c>
      <c r="AB64" s="5">
        <f t="shared" si="13"/>
        <v>0</v>
      </c>
      <c r="AC64" s="5">
        <f t="shared" si="13"/>
        <v>0</v>
      </c>
      <c r="AD64" s="5">
        <f t="shared" si="13"/>
        <v>0</v>
      </c>
      <c r="AE64" s="5">
        <f t="shared" si="13"/>
        <v>0</v>
      </c>
      <c r="AF64" s="5">
        <f t="shared" si="13"/>
        <v>0</v>
      </c>
      <c r="AG64" s="5">
        <f t="shared" si="13"/>
        <v>0</v>
      </c>
      <c r="AH64" s="5">
        <f t="shared" si="13"/>
        <v>0</v>
      </c>
      <c r="AI64" s="5">
        <f t="shared" si="13"/>
        <v>0</v>
      </c>
      <c r="AJ64" s="5">
        <f t="shared" si="13"/>
        <v>0</v>
      </c>
      <c r="AK64" s="5">
        <f t="shared" si="13"/>
        <v>0</v>
      </c>
      <c r="AL64" s="5">
        <f t="shared" si="13"/>
        <v>0</v>
      </c>
      <c r="AM64" s="5">
        <f t="shared" si="13"/>
        <v>0</v>
      </c>
      <c r="AN64" s="5">
        <f t="shared" si="13"/>
        <v>0</v>
      </c>
      <c r="AO64" s="5">
        <f t="shared" si="13"/>
        <v>0</v>
      </c>
    </row>
    <row r="65" spans="1:41">
      <c r="A65" s="19" t="s">
        <v>4</v>
      </c>
      <c r="B65" s="5">
        <f>'KEEI&amp;MOTIE'!I90</f>
        <v>41615104339558.672</v>
      </c>
      <c r="C65" s="5">
        <f>'KEEI&amp;MOTIE'!J90</f>
        <v>195252250547.56738</v>
      </c>
      <c r="D65" s="5">
        <f>'KEEI&amp;MOTIE'!K90</f>
        <v>195252250547.56738</v>
      </c>
      <c r="E65" s="5">
        <f>'KEEI&amp;MOTIE'!L90</f>
        <v>195252250547.56738</v>
      </c>
      <c r="F65" s="5">
        <f>'KEEI&amp;MOTIE'!M90</f>
        <v>195252250547.56738</v>
      </c>
      <c r="I65" s="19" t="s">
        <v>4</v>
      </c>
      <c r="J65" s="5">
        <f t="shared" si="11"/>
        <v>16098740111626</v>
      </c>
      <c r="K65" s="5">
        <f t="shared" si="13"/>
        <v>15288153149575.5</v>
      </c>
      <c r="L65" s="5">
        <f t="shared" si="13"/>
        <v>14477566187524.75</v>
      </c>
      <c r="M65" s="5">
        <f t="shared" si="13"/>
        <v>13666979225474</v>
      </c>
      <c r="N65" s="5">
        <f t="shared" si="13"/>
        <v>12856392263423.5</v>
      </c>
      <c r="O65" s="5">
        <f t="shared" si="13"/>
        <v>12045805301372.75</v>
      </c>
      <c r="P65" s="5">
        <f t="shared" si="13"/>
        <v>11235218339322.25</v>
      </c>
      <c r="Q65" s="5">
        <f t="shared" si="13"/>
        <v>10424631377271.5</v>
      </c>
      <c r="R65" s="5">
        <f t="shared" si="13"/>
        <v>9614044415220.75</v>
      </c>
      <c r="S65" s="5">
        <f t="shared" si="13"/>
        <v>8803457453170.25</v>
      </c>
      <c r="T65" s="5">
        <f t="shared" si="13"/>
        <v>7992870491119.5</v>
      </c>
      <c r="U65" s="5">
        <f t="shared" si="13"/>
        <v>7182283529068.75</v>
      </c>
      <c r="V65" s="5">
        <f t="shared" si="13"/>
        <v>6371696567018.25</v>
      </c>
      <c r="W65" s="5">
        <f t="shared" si="13"/>
        <v>5561109604967.5</v>
      </c>
      <c r="X65" s="5">
        <f t="shared" si="13"/>
        <v>4750522642916.75</v>
      </c>
      <c r="Y65" s="5">
        <f t="shared" si="13"/>
        <v>3939935680866.25</v>
      </c>
      <c r="Z65" s="5">
        <f t="shared" si="13"/>
        <v>3129348718815.5</v>
      </c>
      <c r="AA65" s="5">
        <f t="shared" si="13"/>
        <v>2318761756765</v>
      </c>
      <c r="AB65" s="5">
        <f t="shared" si="13"/>
        <v>1508174794714.25</v>
      </c>
      <c r="AC65" s="5">
        <f t="shared" si="13"/>
        <v>697587832663.5</v>
      </c>
      <c r="AD65" s="5">
        <f t="shared" si="13"/>
        <v>0</v>
      </c>
      <c r="AE65" s="5">
        <f t="shared" si="13"/>
        <v>0</v>
      </c>
      <c r="AF65" s="5">
        <f t="shared" si="13"/>
        <v>0</v>
      </c>
      <c r="AG65" s="5">
        <f t="shared" si="13"/>
        <v>0</v>
      </c>
      <c r="AH65" s="5">
        <f t="shared" si="13"/>
        <v>0</v>
      </c>
      <c r="AI65" s="5">
        <f t="shared" si="13"/>
        <v>0</v>
      </c>
      <c r="AJ65" s="5">
        <f t="shared" si="13"/>
        <v>0</v>
      </c>
      <c r="AK65" s="5">
        <f t="shared" si="13"/>
        <v>0</v>
      </c>
      <c r="AL65" s="5">
        <f t="shared" si="13"/>
        <v>0</v>
      </c>
      <c r="AM65" s="5">
        <f t="shared" si="13"/>
        <v>0</v>
      </c>
      <c r="AN65" s="5">
        <f t="shared" si="13"/>
        <v>0</v>
      </c>
      <c r="AO65" s="5">
        <f t="shared" si="13"/>
        <v>0</v>
      </c>
    </row>
    <row r="66" spans="1:41">
      <c r="A66" s="19" t="s">
        <v>22</v>
      </c>
      <c r="B66" s="5">
        <f>0</f>
        <v>0</v>
      </c>
      <c r="C66" s="5">
        <f>0</f>
        <v>0</v>
      </c>
      <c r="D66" s="5">
        <f>0</f>
        <v>0</v>
      </c>
      <c r="E66" s="5">
        <f>0</f>
        <v>0</v>
      </c>
      <c r="F66" s="5">
        <f>0</f>
        <v>0</v>
      </c>
      <c r="I66" s="19" t="s">
        <v>22</v>
      </c>
      <c r="J66" s="5">
        <f t="shared" si="11"/>
        <v>0</v>
      </c>
      <c r="K66" s="5">
        <f t="shared" si="13"/>
        <v>0</v>
      </c>
      <c r="L66" s="5">
        <f t="shared" si="13"/>
        <v>0</v>
      </c>
      <c r="M66" s="5">
        <f t="shared" si="13"/>
        <v>0</v>
      </c>
      <c r="N66" s="5">
        <f t="shared" si="13"/>
        <v>0</v>
      </c>
      <c r="O66" s="5">
        <f t="shared" si="13"/>
        <v>0</v>
      </c>
      <c r="P66" s="5">
        <f t="shared" si="13"/>
        <v>0</v>
      </c>
      <c r="Q66" s="5">
        <f t="shared" si="13"/>
        <v>0</v>
      </c>
      <c r="R66" s="5">
        <f t="shared" si="13"/>
        <v>0</v>
      </c>
      <c r="S66" s="5">
        <f t="shared" si="13"/>
        <v>0</v>
      </c>
      <c r="T66" s="5">
        <f t="shared" si="13"/>
        <v>0</v>
      </c>
      <c r="U66" s="5">
        <f t="shared" si="13"/>
        <v>0</v>
      </c>
      <c r="V66" s="5">
        <f t="shared" si="13"/>
        <v>0</v>
      </c>
      <c r="W66" s="5">
        <f t="shared" si="13"/>
        <v>0</v>
      </c>
      <c r="X66" s="5">
        <f t="shared" si="13"/>
        <v>0</v>
      </c>
      <c r="Y66" s="5">
        <f t="shared" si="13"/>
        <v>0</v>
      </c>
      <c r="Z66" s="5">
        <f t="shared" si="13"/>
        <v>0</v>
      </c>
      <c r="AA66" s="5">
        <f t="shared" si="13"/>
        <v>0</v>
      </c>
      <c r="AB66" s="5">
        <f t="shared" si="13"/>
        <v>0</v>
      </c>
      <c r="AC66" s="5">
        <f t="shared" si="13"/>
        <v>0</v>
      </c>
      <c r="AD66" s="5">
        <f t="shared" si="13"/>
        <v>0</v>
      </c>
      <c r="AE66" s="5">
        <f t="shared" si="13"/>
        <v>0</v>
      </c>
      <c r="AF66" s="5">
        <f t="shared" si="13"/>
        <v>0</v>
      </c>
      <c r="AG66" s="5">
        <f t="shared" si="13"/>
        <v>0</v>
      </c>
      <c r="AH66" s="5">
        <f t="shared" si="13"/>
        <v>0</v>
      </c>
      <c r="AI66" s="5">
        <f t="shared" si="13"/>
        <v>0</v>
      </c>
      <c r="AJ66" s="5">
        <f t="shared" si="13"/>
        <v>0</v>
      </c>
      <c r="AK66" s="5">
        <f t="shared" si="13"/>
        <v>0</v>
      </c>
      <c r="AL66" s="5">
        <f t="shared" si="13"/>
        <v>0</v>
      </c>
      <c r="AM66" s="5">
        <f t="shared" si="13"/>
        <v>0</v>
      </c>
      <c r="AN66" s="5">
        <f t="shared" si="13"/>
        <v>0</v>
      </c>
      <c r="AO66" s="5">
        <f t="shared" si="13"/>
        <v>0</v>
      </c>
    </row>
    <row r="67" spans="1:41">
      <c r="A67" s="19" t="s">
        <v>17</v>
      </c>
      <c r="B67" s="5">
        <f>0</f>
        <v>0</v>
      </c>
      <c r="C67" s="5">
        <f>0</f>
        <v>0</v>
      </c>
      <c r="D67" s="5">
        <f>0</f>
        <v>0</v>
      </c>
      <c r="E67" s="5">
        <f>0</f>
        <v>0</v>
      </c>
      <c r="F67" s="5">
        <f>0</f>
        <v>0</v>
      </c>
      <c r="I67" s="19" t="s">
        <v>17</v>
      </c>
      <c r="J67" s="5">
        <f t="shared" si="11"/>
        <v>0</v>
      </c>
      <c r="K67" s="5">
        <f t="shared" si="13"/>
        <v>0</v>
      </c>
      <c r="L67" s="5">
        <f t="shared" si="13"/>
        <v>0</v>
      </c>
      <c r="M67" s="5">
        <f t="shared" si="13"/>
        <v>0</v>
      </c>
      <c r="N67" s="5">
        <f t="shared" si="13"/>
        <v>0</v>
      </c>
      <c r="O67" s="5">
        <f t="shared" si="13"/>
        <v>0</v>
      </c>
      <c r="P67" s="5">
        <f t="shared" si="13"/>
        <v>0</v>
      </c>
      <c r="Q67" s="5">
        <f t="shared" si="13"/>
        <v>0</v>
      </c>
      <c r="R67" s="5">
        <f t="shared" si="13"/>
        <v>0</v>
      </c>
      <c r="S67" s="5">
        <f t="shared" si="13"/>
        <v>0</v>
      </c>
      <c r="T67" s="5">
        <f t="shared" si="13"/>
        <v>0</v>
      </c>
      <c r="U67" s="5">
        <f t="shared" si="13"/>
        <v>0</v>
      </c>
      <c r="V67" s="5">
        <f t="shared" si="13"/>
        <v>0</v>
      </c>
      <c r="W67" s="5">
        <f t="shared" si="13"/>
        <v>0</v>
      </c>
      <c r="X67" s="5">
        <f t="shared" si="13"/>
        <v>0</v>
      </c>
      <c r="Y67" s="5">
        <f t="shared" si="13"/>
        <v>0</v>
      </c>
      <c r="Z67" s="5">
        <f t="shared" si="13"/>
        <v>0</v>
      </c>
      <c r="AA67" s="5">
        <f t="shared" si="13"/>
        <v>0</v>
      </c>
      <c r="AB67" s="5">
        <f t="shared" si="13"/>
        <v>0</v>
      </c>
      <c r="AC67" s="5">
        <f t="shared" si="13"/>
        <v>0</v>
      </c>
      <c r="AD67" s="5">
        <f t="shared" si="13"/>
        <v>0</v>
      </c>
      <c r="AE67" s="5">
        <f t="shared" si="13"/>
        <v>0</v>
      </c>
      <c r="AF67" s="5">
        <f t="shared" si="13"/>
        <v>0</v>
      </c>
      <c r="AG67" s="5">
        <f t="shared" si="13"/>
        <v>0</v>
      </c>
      <c r="AH67" s="5">
        <f t="shared" si="13"/>
        <v>0</v>
      </c>
      <c r="AI67" s="5">
        <f t="shared" si="13"/>
        <v>0</v>
      </c>
      <c r="AJ67" s="5">
        <f t="shared" si="13"/>
        <v>0</v>
      </c>
      <c r="AK67" s="5">
        <f t="shared" si="13"/>
        <v>0</v>
      </c>
      <c r="AL67" s="5">
        <f t="shared" si="13"/>
        <v>0</v>
      </c>
      <c r="AM67" s="5">
        <f t="shared" si="13"/>
        <v>0</v>
      </c>
      <c r="AN67" s="5">
        <f t="shared" si="13"/>
        <v>0</v>
      </c>
      <c r="AO67" s="5">
        <f t="shared" si="13"/>
        <v>0</v>
      </c>
    </row>
    <row r="68" spans="1:41">
      <c r="A68" s="19" t="s">
        <v>18</v>
      </c>
      <c r="B68" s="5">
        <f>0</f>
        <v>0</v>
      </c>
      <c r="C68" s="5">
        <f>0</f>
        <v>0</v>
      </c>
      <c r="D68" s="5">
        <f>0</f>
        <v>0</v>
      </c>
      <c r="E68" s="5">
        <f>0</f>
        <v>0</v>
      </c>
      <c r="F68" s="5">
        <f>0</f>
        <v>0</v>
      </c>
      <c r="I68" s="19" t="s">
        <v>18</v>
      </c>
      <c r="J68" s="5">
        <f t="shared" si="11"/>
        <v>0</v>
      </c>
      <c r="K68" s="5">
        <f t="shared" si="13"/>
        <v>0</v>
      </c>
      <c r="L68" s="5">
        <f t="shared" si="13"/>
        <v>0</v>
      </c>
      <c r="M68" s="5">
        <f t="shared" si="13"/>
        <v>0</v>
      </c>
      <c r="N68" s="5">
        <f t="shared" si="13"/>
        <v>0</v>
      </c>
      <c r="O68" s="5">
        <f t="shared" si="13"/>
        <v>0</v>
      </c>
      <c r="P68" s="5">
        <f t="shared" si="13"/>
        <v>0</v>
      </c>
      <c r="Q68" s="5">
        <f t="shared" si="13"/>
        <v>0</v>
      </c>
      <c r="R68" s="5">
        <f t="shared" si="13"/>
        <v>0</v>
      </c>
      <c r="S68" s="5">
        <f t="shared" si="13"/>
        <v>0</v>
      </c>
      <c r="T68" s="5">
        <f t="shared" si="13"/>
        <v>0</v>
      </c>
      <c r="U68" s="5">
        <f t="shared" si="13"/>
        <v>0</v>
      </c>
      <c r="V68" s="5">
        <f t="shared" si="13"/>
        <v>0</v>
      </c>
      <c r="W68" s="5">
        <f t="shared" si="13"/>
        <v>0</v>
      </c>
      <c r="X68" s="5">
        <f t="shared" si="13"/>
        <v>0</v>
      </c>
      <c r="Y68" s="5">
        <f t="shared" si="13"/>
        <v>0</v>
      </c>
      <c r="Z68" s="5">
        <f t="shared" si="13"/>
        <v>0</v>
      </c>
      <c r="AA68" s="5">
        <f t="shared" si="13"/>
        <v>0</v>
      </c>
      <c r="AB68" s="5">
        <f t="shared" si="13"/>
        <v>0</v>
      </c>
      <c r="AC68" s="5">
        <f t="shared" si="13"/>
        <v>0</v>
      </c>
      <c r="AD68" s="5">
        <f t="shared" si="13"/>
        <v>0</v>
      </c>
      <c r="AE68" s="5">
        <f t="shared" si="13"/>
        <v>0</v>
      </c>
      <c r="AF68" s="5">
        <f t="shared" si="13"/>
        <v>0</v>
      </c>
      <c r="AG68" s="5">
        <f t="shared" si="13"/>
        <v>0</v>
      </c>
      <c r="AH68" s="5">
        <f t="shared" si="13"/>
        <v>0</v>
      </c>
      <c r="AI68" s="5">
        <f t="shared" si="13"/>
        <v>0</v>
      </c>
      <c r="AJ68" s="5">
        <f t="shared" si="13"/>
        <v>0</v>
      </c>
      <c r="AK68" s="5">
        <f t="shared" si="13"/>
        <v>0</v>
      </c>
      <c r="AL68" s="5">
        <f t="shared" si="13"/>
        <v>0</v>
      </c>
      <c r="AM68" s="5">
        <f t="shared" si="13"/>
        <v>0</v>
      </c>
      <c r="AN68" s="5">
        <f t="shared" si="13"/>
        <v>0</v>
      </c>
      <c r="AO68" s="5">
        <f t="shared" si="13"/>
        <v>0</v>
      </c>
    </row>
    <row r="69" spans="1:41">
      <c r="A69" s="19" t="s">
        <v>5</v>
      </c>
      <c r="B69" s="5">
        <f>'KEEI&amp;MOTIE'!I91</f>
        <v>4343146339583249.5</v>
      </c>
      <c r="C69" s="5">
        <f>'KEEI&amp;MOTIE'!J91</f>
        <v>5010399472220544</v>
      </c>
      <c r="D69" s="5">
        <f>'KEEI&amp;MOTIE'!K91</f>
        <v>4964850386109449</v>
      </c>
      <c r="E69" s="5">
        <f>'KEEI&amp;MOTIE'!L91</f>
        <v>4694040365048933</v>
      </c>
      <c r="F69" s="5">
        <f>'KEEI&amp;MOTIE'!M91</f>
        <v>4053943951633169.5</v>
      </c>
      <c r="I69" s="19" t="s">
        <v>5</v>
      </c>
      <c r="J69" s="5">
        <f t="shared" si="11"/>
        <v>4648591488746186</v>
      </c>
      <c r="K69" s="5">
        <f t="shared" si="13"/>
        <v>4644834532807131</v>
      </c>
      <c r="L69" s="5">
        <f t="shared" si="13"/>
        <v>4641077576868076</v>
      </c>
      <c r="M69" s="5">
        <f t="shared" si="13"/>
        <v>4637320620929021</v>
      </c>
      <c r="N69" s="5">
        <f t="shared" si="13"/>
        <v>4633563664989966</v>
      </c>
      <c r="O69" s="5">
        <f t="shared" si="13"/>
        <v>4629806709050911</v>
      </c>
      <c r="P69" s="5">
        <f t="shared" si="13"/>
        <v>4626049753111856</v>
      </c>
      <c r="Q69" s="5">
        <f t="shared" si="13"/>
        <v>4622292797172801</v>
      </c>
      <c r="R69" s="5">
        <f t="shared" si="13"/>
        <v>4618535841233746</v>
      </c>
      <c r="S69" s="5">
        <f t="shared" si="13"/>
        <v>4614778885294691</v>
      </c>
      <c r="T69" s="5">
        <f t="shared" si="13"/>
        <v>4611021929355636</v>
      </c>
      <c r="U69" s="5">
        <f t="shared" si="13"/>
        <v>4607264973416581</v>
      </c>
      <c r="V69" s="5">
        <f t="shared" si="13"/>
        <v>4603508017477526</v>
      </c>
      <c r="W69" s="5">
        <f t="shared" si="13"/>
        <v>4599751061538471</v>
      </c>
      <c r="X69" s="5">
        <f t="shared" si="13"/>
        <v>4595994105599416</v>
      </c>
      <c r="Y69" s="5">
        <f t="shared" si="13"/>
        <v>4592237149660362</v>
      </c>
      <c r="Z69" s="5">
        <f t="shared" si="13"/>
        <v>4588480193721307</v>
      </c>
      <c r="AA69" s="5">
        <f t="shared" si="13"/>
        <v>4584723237782252</v>
      </c>
      <c r="AB69" s="5">
        <f t="shared" si="13"/>
        <v>4580966281843197</v>
      </c>
      <c r="AC69" s="5">
        <f t="shared" si="13"/>
        <v>4577209325904142</v>
      </c>
      <c r="AD69" s="5">
        <f t="shared" si="13"/>
        <v>4573452369965087</v>
      </c>
      <c r="AE69" s="5">
        <f t="shared" si="13"/>
        <v>4569695414026032</v>
      </c>
      <c r="AF69" s="5">
        <f t="shared" si="13"/>
        <v>4565938458086977</v>
      </c>
      <c r="AG69" s="5">
        <f t="shared" si="13"/>
        <v>4562181502147922</v>
      </c>
      <c r="AH69" s="5">
        <f t="shared" si="13"/>
        <v>4558424546208867</v>
      </c>
      <c r="AI69" s="5">
        <f t="shared" si="13"/>
        <v>4554667590269812</v>
      </c>
      <c r="AJ69" s="5">
        <f t="shared" si="13"/>
        <v>4550910634330757</v>
      </c>
      <c r="AK69" s="5">
        <f t="shared" si="13"/>
        <v>4547153678391702</v>
      </c>
      <c r="AL69" s="5">
        <f t="shared" si="13"/>
        <v>4543396722452647</v>
      </c>
      <c r="AM69" s="5">
        <f t="shared" si="13"/>
        <v>4539639766513592</v>
      </c>
      <c r="AN69" s="5">
        <f t="shared" ref="K69:AO72" si="14">IF( _xlfn.FORECAST.LINEAR(AN$52,$B69:$F69,$B$52:$F$52)&gt;0, _xlfn.FORECAST.LINEAR(AN$52,$B69:$F69,$B$52:$F$52), 0 )</f>
        <v>4535882810574537</v>
      </c>
      <c r="AO69" s="5">
        <f t="shared" si="14"/>
        <v>4532125854635482</v>
      </c>
    </row>
    <row r="70" spans="1:41">
      <c r="A70" s="19" t="s">
        <v>19</v>
      </c>
      <c r="B70" s="5">
        <f>'KEEI&amp;MOTIE'!I92</f>
        <v>121979582449282.72</v>
      </c>
      <c r="C70" s="5">
        <f>'KEEI&amp;MOTIE'!J92</f>
        <v>101057357075839.72</v>
      </c>
      <c r="D70" s="5">
        <f>'KEEI&amp;MOTIE'!K92</f>
        <v>100138653829695.72</v>
      </c>
      <c r="E70" s="5">
        <f>'KEEI&amp;MOTIE'!L92</f>
        <v>94676545438985.047</v>
      </c>
      <c r="F70" s="5">
        <f>'KEEI&amp;MOTIE'!M92</f>
        <v>81766107424578</v>
      </c>
      <c r="I70" s="19" t="s">
        <v>19</v>
      </c>
      <c r="J70" s="5">
        <f t="shared" si="11"/>
        <v>106960497102407.75</v>
      </c>
      <c r="K70" s="5">
        <f t="shared" si="14"/>
        <v>106211896266372.5</v>
      </c>
      <c r="L70" s="5">
        <f t="shared" si="14"/>
        <v>105463295430337.25</v>
      </c>
      <c r="M70" s="5">
        <f t="shared" si="14"/>
        <v>104714694594302</v>
      </c>
      <c r="N70" s="5">
        <f t="shared" si="14"/>
        <v>103966093758266.75</v>
      </c>
      <c r="O70" s="5">
        <f t="shared" si="14"/>
        <v>103217492922231.5</v>
      </c>
      <c r="P70" s="5">
        <f t="shared" si="14"/>
        <v>102468892086196.25</v>
      </c>
      <c r="Q70" s="5">
        <f t="shared" si="14"/>
        <v>101720291250160.75</v>
      </c>
      <c r="R70" s="5">
        <f t="shared" si="14"/>
        <v>100971690414125.5</v>
      </c>
      <c r="S70" s="5">
        <f t="shared" si="14"/>
        <v>100223089578090.25</v>
      </c>
      <c r="T70" s="5">
        <f t="shared" si="14"/>
        <v>99474488742055</v>
      </c>
      <c r="U70" s="5">
        <f t="shared" si="14"/>
        <v>98725887906019.75</v>
      </c>
      <c r="V70" s="5">
        <f t="shared" si="14"/>
        <v>97977287069984.5</v>
      </c>
      <c r="W70" s="5">
        <f t="shared" si="14"/>
        <v>97228686233949.25</v>
      </c>
      <c r="X70" s="5">
        <f t="shared" si="14"/>
        <v>96480085397914</v>
      </c>
      <c r="Y70" s="5">
        <f t="shared" si="14"/>
        <v>95731484561878.75</v>
      </c>
      <c r="Z70" s="5">
        <f t="shared" si="14"/>
        <v>94982883725843.5</v>
      </c>
      <c r="AA70" s="5">
        <f t="shared" si="14"/>
        <v>94234282889808.25</v>
      </c>
      <c r="AB70" s="5">
        <f t="shared" si="14"/>
        <v>93485682053773</v>
      </c>
      <c r="AC70" s="5">
        <f t="shared" si="14"/>
        <v>92737081217737.75</v>
      </c>
      <c r="AD70" s="5">
        <f t="shared" si="14"/>
        <v>91988480381702.5</v>
      </c>
      <c r="AE70" s="5">
        <f t="shared" si="14"/>
        <v>91239879545667.25</v>
      </c>
      <c r="AF70" s="5">
        <f t="shared" si="14"/>
        <v>90491278709631.75</v>
      </c>
      <c r="AG70" s="5">
        <f t="shared" si="14"/>
        <v>89742677873596.5</v>
      </c>
      <c r="AH70" s="5">
        <f t="shared" si="14"/>
        <v>88994077037561.25</v>
      </c>
      <c r="AI70" s="5">
        <f t="shared" si="14"/>
        <v>88245476201526</v>
      </c>
      <c r="AJ70" s="5">
        <f t="shared" si="14"/>
        <v>87496875365490.75</v>
      </c>
      <c r="AK70" s="5">
        <f t="shared" si="14"/>
        <v>86748274529455.5</v>
      </c>
      <c r="AL70" s="5">
        <f t="shared" si="14"/>
        <v>85999673693420.25</v>
      </c>
      <c r="AM70" s="5">
        <f t="shared" si="14"/>
        <v>85251072857385</v>
      </c>
      <c r="AN70" s="5">
        <f t="shared" si="14"/>
        <v>84502472021349.75</v>
      </c>
      <c r="AO70" s="5">
        <f t="shared" si="14"/>
        <v>83753871185314.5</v>
      </c>
    </row>
    <row r="71" spans="1:41">
      <c r="A71" s="19" t="s">
        <v>6</v>
      </c>
      <c r="B71" s="5">
        <f>'KEEI&amp;MOTIE'!I93</f>
        <v>270918055055244.22</v>
      </c>
      <c r="C71" s="5">
        <f>'KEEI&amp;MOTIE'!J93</f>
        <v>520202015014894.81</v>
      </c>
      <c r="D71" s="5">
        <f>'KEEI&amp;MOTIE'!K93</f>
        <v>515472905787486.56</v>
      </c>
      <c r="E71" s="5">
        <f>'KEEI&amp;MOTIE'!L93</f>
        <v>487356201835442</v>
      </c>
      <c r="F71" s="5">
        <f>'KEEI&amp;MOTIE'!M93</f>
        <v>420898537948790.81</v>
      </c>
      <c r="I71" s="19" t="s">
        <v>6</v>
      </c>
      <c r="J71" s="5">
        <f t="shared" si="11"/>
        <v>413522440940211</v>
      </c>
      <c r="K71" s="5">
        <f t="shared" si="14"/>
        <v>416655111385760</v>
      </c>
      <c r="L71" s="5">
        <f t="shared" si="14"/>
        <v>419787781831309</v>
      </c>
      <c r="M71" s="5">
        <f t="shared" si="14"/>
        <v>422920452276858</v>
      </c>
      <c r="N71" s="5">
        <f t="shared" si="14"/>
        <v>426053122722407</v>
      </c>
      <c r="O71" s="5">
        <f t="shared" si="14"/>
        <v>429185793167956</v>
      </c>
      <c r="P71" s="5">
        <f t="shared" si="14"/>
        <v>432318463613505</v>
      </c>
      <c r="Q71" s="5">
        <f t="shared" si="14"/>
        <v>435451134059054</v>
      </c>
      <c r="R71" s="5">
        <f t="shared" si="14"/>
        <v>438583804504603</v>
      </c>
      <c r="S71" s="5">
        <f t="shared" si="14"/>
        <v>441716474950152</v>
      </c>
      <c r="T71" s="5">
        <f t="shared" si="14"/>
        <v>444849145395701</v>
      </c>
      <c r="U71" s="5">
        <f t="shared" si="14"/>
        <v>447981815841250</v>
      </c>
      <c r="V71" s="5">
        <f t="shared" si="14"/>
        <v>451114486286799</v>
      </c>
      <c r="W71" s="5">
        <f t="shared" si="14"/>
        <v>454247156732348</v>
      </c>
      <c r="X71" s="5">
        <f t="shared" si="14"/>
        <v>457379827177897</v>
      </c>
      <c r="Y71" s="5">
        <f t="shared" si="14"/>
        <v>460512497623446</v>
      </c>
      <c r="Z71" s="5">
        <f t="shared" si="14"/>
        <v>463645168068995</v>
      </c>
      <c r="AA71" s="5">
        <f t="shared" si="14"/>
        <v>466777838514544</v>
      </c>
      <c r="AB71" s="5">
        <f t="shared" si="14"/>
        <v>469910508960093</v>
      </c>
      <c r="AC71" s="5">
        <f t="shared" si="14"/>
        <v>473043179405642</v>
      </c>
      <c r="AD71" s="5">
        <f t="shared" si="14"/>
        <v>476175849851191</v>
      </c>
      <c r="AE71" s="5">
        <f t="shared" si="14"/>
        <v>479308520296740</v>
      </c>
      <c r="AF71" s="5">
        <f t="shared" si="14"/>
        <v>482441190742289</v>
      </c>
      <c r="AG71" s="5">
        <f t="shared" si="14"/>
        <v>485573861187838</v>
      </c>
      <c r="AH71" s="5">
        <f t="shared" si="14"/>
        <v>488706531633387</v>
      </c>
      <c r="AI71" s="5">
        <f t="shared" si="14"/>
        <v>491839202078936</v>
      </c>
      <c r="AJ71" s="5">
        <f t="shared" si="14"/>
        <v>494971872524485</v>
      </c>
      <c r="AK71" s="5">
        <f t="shared" si="14"/>
        <v>498104542970034</v>
      </c>
      <c r="AL71" s="5">
        <f t="shared" si="14"/>
        <v>501237213415583</v>
      </c>
      <c r="AM71" s="5">
        <f t="shared" si="14"/>
        <v>504369883861132</v>
      </c>
      <c r="AN71" s="5">
        <f t="shared" si="14"/>
        <v>507502554306681</v>
      </c>
      <c r="AO71" s="5">
        <f t="shared" si="14"/>
        <v>510635224752230</v>
      </c>
    </row>
    <row r="72" spans="1:41">
      <c r="A72" s="19" t="s">
        <v>20</v>
      </c>
      <c r="B72" s="5">
        <f>0</f>
        <v>0</v>
      </c>
      <c r="C72" s="5">
        <f>0</f>
        <v>0</v>
      </c>
      <c r="D72" s="5">
        <f>0</f>
        <v>0</v>
      </c>
      <c r="E72" s="5">
        <f>0</f>
        <v>0</v>
      </c>
      <c r="F72" s="5">
        <f>0</f>
        <v>0</v>
      </c>
      <c r="I72" s="19" t="s">
        <v>20</v>
      </c>
      <c r="J72" s="5">
        <f t="shared" si="11"/>
        <v>0</v>
      </c>
      <c r="K72" s="5">
        <f t="shared" si="14"/>
        <v>0</v>
      </c>
      <c r="L72" s="5">
        <f t="shared" si="14"/>
        <v>0</v>
      </c>
      <c r="M72" s="5">
        <f t="shared" si="14"/>
        <v>0</v>
      </c>
      <c r="N72" s="5">
        <f t="shared" si="14"/>
        <v>0</v>
      </c>
      <c r="O72" s="5">
        <f t="shared" si="14"/>
        <v>0</v>
      </c>
      <c r="P72" s="5">
        <f t="shared" si="14"/>
        <v>0</v>
      </c>
      <c r="Q72" s="5">
        <f t="shared" si="14"/>
        <v>0</v>
      </c>
      <c r="R72" s="5">
        <f t="shared" si="14"/>
        <v>0</v>
      </c>
      <c r="S72" s="5">
        <f t="shared" si="14"/>
        <v>0</v>
      </c>
      <c r="T72" s="5">
        <f t="shared" si="14"/>
        <v>0</v>
      </c>
      <c r="U72" s="5">
        <f t="shared" si="14"/>
        <v>0</v>
      </c>
      <c r="V72" s="5">
        <f t="shared" si="14"/>
        <v>0</v>
      </c>
      <c r="W72" s="5">
        <f t="shared" si="14"/>
        <v>0</v>
      </c>
      <c r="X72" s="5">
        <f t="shared" si="14"/>
        <v>0</v>
      </c>
      <c r="Y72" s="5">
        <f t="shared" si="14"/>
        <v>0</v>
      </c>
      <c r="Z72" s="5">
        <f t="shared" si="14"/>
        <v>0</v>
      </c>
      <c r="AA72" s="5">
        <f t="shared" si="14"/>
        <v>0</v>
      </c>
      <c r="AB72" s="5">
        <f t="shared" si="14"/>
        <v>0</v>
      </c>
      <c r="AC72" s="5">
        <f t="shared" si="14"/>
        <v>0</v>
      </c>
      <c r="AD72" s="5">
        <f t="shared" si="14"/>
        <v>0</v>
      </c>
      <c r="AE72" s="5">
        <f t="shared" si="14"/>
        <v>0</v>
      </c>
      <c r="AF72" s="5">
        <f t="shared" si="14"/>
        <v>0</v>
      </c>
      <c r="AG72" s="5">
        <f t="shared" si="14"/>
        <v>0</v>
      </c>
      <c r="AH72" s="5">
        <f t="shared" si="14"/>
        <v>0</v>
      </c>
      <c r="AI72" s="5">
        <f t="shared" si="14"/>
        <v>0</v>
      </c>
      <c r="AJ72" s="5">
        <f t="shared" si="14"/>
        <v>0</v>
      </c>
      <c r="AK72" s="5">
        <f t="shared" si="14"/>
        <v>0</v>
      </c>
      <c r="AL72" s="5">
        <f t="shared" si="14"/>
        <v>0</v>
      </c>
      <c r="AM72" s="5">
        <f t="shared" si="14"/>
        <v>0</v>
      </c>
      <c r="AN72" s="5">
        <f t="shared" si="14"/>
        <v>0</v>
      </c>
      <c r="AO72" s="5">
        <f t="shared" si="14"/>
        <v>0</v>
      </c>
    </row>
    <row r="73" spans="1:41">
      <c r="A73" s="19" t="s">
        <v>21</v>
      </c>
      <c r="B73" s="5">
        <v>0</v>
      </c>
      <c r="C73" s="5">
        <v>0</v>
      </c>
      <c r="D73" s="5">
        <v>0</v>
      </c>
      <c r="E73" s="5">
        <v>0</v>
      </c>
      <c r="F73" s="5">
        <v>0</v>
      </c>
      <c r="I73" s="19" t="s">
        <v>21</v>
      </c>
      <c r="J73" s="5">
        <f>0</f>
        <v>0</v>
      </c>
      <c r="K73" s="5">
        <f>0</f>
        <v>0</v>
      </c>
      <c r="L73" s="5">
        <f>0</f>
        <v>0</v>
      </c>
      <c r="M73" s="5">
        <f>0</f>
        <v>0</v>
      </c>
      <c r="N73" s="5">
        <f>0</f>
        <v>0</v>
      </c>
      <c r="O73" s="5">
        <f>0</f>
        <v>0</v>
      </c>
      <c r="P73" s="5">
        <f>0</f>
        <v>0</v>
      </c>
      <c r="Q73" s="5">
        <f>0</f>
        <v>0</v>
      </c>
      <c r="R73" s="5">
        <f>0</f>
        <v>0</v>
      </c>
      <c r="S73" s="5">
        <f>0</f>
        <v>0</v>
      </c>
      <c r="T73" s="5">
        <f>0</f>
        <v>0</v>
      </c>
      <c r="U73" s="5">
        <f>0</f>
        <v>0</v>
      </c>
      <c r="V73" s="5">
        <f>0</f>
        <v>0</v>
      </c>
      <c r="W73" s="5">
        <f>0</f>
        <v>0</v>
      </c>
      <c r="X73" s="5">
        <f>0</f>
        <v>0</v>
      </c>
      <c r="Y73" s="5">
        <f>0</f>
        <v>0</v>
      </c>
      <c r="Z73" s="5">
        <f>0</f>
        <v>0</v>
      </c>
      <c r="AA73" s="5">
        <f>0</f>
        <v>0</v>
      </c>
      <c r="AB73" s="5">
        <f>0</f>
        <v>0</v>
      </c>
      <c r="AC73" s="5">
        <f>0</f>
        <v>0</v>
      </c>
      <c r="AD73" s="5">
        <f>0</f>
        <v>0</v>
      </c>
      <c r="AE73" s="5">
        <f>0</f>
        <v>0</v>
      </c>
      <c r="AF73" s="5">
        <f>0</f>
        <v>0</v>
      </c>
      <c r="AG73" s="5">
        <f>0</f>
        <v>0</v>
      </c>
      <c r="AH73" s="5">
        <f>0</f>
        <v>0</v>
      </c>
      <c r="AI73" s="5">
        <f>0</f>
        <v>0</v>
      </c>
      <c r="AJ73" s="5">
        <f>0</f>
        <v>0</v>
      </c>
      <c r="AK73" s="5">
        <f>0</f>
        <v>0</v>
      </c>
      <c r="AL73" s="5">
        <f>0</f>
        <v>0</v>
      </c>
      <c r="AM73" s="5">
        <f>0</f>
        <v>0</v>
      </c>
      <c r="AN73" s="5">
        <f>0</f>
        <v>0</v>
      </c>
      <c r="AO73" s="5">
        <f>0</f>
        <v>0</v>
      </c>
    </row>
    <row r="74" spans="1:41"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</row>
    <row r="76" spans="1:41">
      <c r="A76" t="s">
        <v>90</v>
      </c>
      <c r="I76" t="s">
        <v>104</v>
      </c>
    </row>
    <row r="77" spans="1:41">
      <c r="A77" s="17" t="s">
        <v>85</v>
      </c>
      <c r="B77">
        <v>2000</v>
      </c>
      <c r="C77">
        <v>2022</v>
      </c>
      <c r="D77">
        <v>2030</v>
      </c>
      <c r="E77">
        <v>2040</v>
      </c>
      <c r="F77">
        <v>2050</v>
      </c>
      <c r="I77" s="17" t="s">
        <v>85</v>
      </c>
      <c r="J77" s="6">
        <v>2019</v>
      </c>
      <c r="K77">
        <v>2020</v>
      </c>
      <c r="L77" s="6">
        <v>2021</v>
      </c>
      <c r="M77">
        <v>2022</v>
      </c>
      <c r="N77" s="6">
        <v>2023</v>
      </c>
      <c r="O77">
        <v>2024</v>
      </c>
      <c r="P77" s="6">
        <v>2025</v>
      </c>
      <c r="Q77">
        <v>2026</v>
      </c>
      <c r="R77" s="6">
        <v>2027</v>
      </c>
      <c r="S77">
        <v>2028</v>
      </c>
      <c r="T77" s="6">
        <v>2029</v>
      </c>
      <c r="U77">
        <v>2030</v>
      </c>
      <c r="V77" s="6">
        <v>2031</v>
      </c>
      <c r="W77">
        <v>2032</v>
      </c>
      <c r="X77" s="6">
        <v>2033</v>
      </c>
      <c r="Y77">
        <v>2034</v>
      </c>
      <c r="Z77" s="6">
        <v>2035</v>
      </c>
      <c r="AA77">
        <v>2036</v>
      </c>
      <c r="AB77" s="6">
        <v>2037</v>
      </c>
      <c r="AC77">
        <v>2038</v>
      </c>
      <c r="AD77" s="6">
        <v>2039</v>
      </c>
      <c r="AE77">
        <v>2040</v>
      </c>
      <c r="AF77" s="6">
        <v>2041</v>
      </c>
      <c r="AG77">
        <v>2042</v>
      </c>
      <c r="AH77" s="6">
        <v>2043</v>
      </c>
      <c r="AI77">
        <v>2044</v>
      </c>
      <c r="AJ77" s="6">
        <v>2045</v>
      </c>
      <c r="AK77">
        <v>2046</v>
      </c>
      <c r="AL77" s="6">
        <v>2047</v>
      </c>
      <c r="AM77">
        <v>2048</v>
      </c>
      <c r="AN77" s="6">
        <v>2049</v>
      </c>
      <c r="AO77">
        <v>2050</v>
      </c>
    </row>
    <row r="78" spans="1:41">
      <c r="A78" s="19" t="s">
        <v>7</v>
      </c>
      <c r="B78" s="5">
        <f>0</f>
        <v>0</v>
      </c>
      <c r="C78" s="5">
        <f>0</f>
        <v>0</v>
      </c>
      <c r="D78" s="5">
        <f>0</f>
        <v>0</v>
      </c>
      <c r="E78" s="5">
        <f>0</f>
        <v>0</v>
      </c>
      <c r="F78" s="5">
        <f>0</f>
        <v>0</v>
      </c>
      <c r="I78" s="19" t="s">
        <v>7</v>
      </c>
      <c r="J78" s="5">
        <f>IF( _xlfn.FORECAST.LINEAR(J$77,$B78:$F78,$B$77:$F$77)&gt;0, _xlfn.FORECAST.LINEAR(J$77,$B78:$F78,$B$77:$F$77), 0 )</f>
        <v>0</v>
      </c>
      <c r="K78" s="5">
        <f t="shared" ref="K78:AO86" si="15">IF( _xlfn.FORECAST.LINEAR(K$77,$B78:$F78,$B$77:$F$77)&gt;0, _xlfn.FORECAST.LINEAR(K$77,$B78:$F78,$B$77:$F$77), 0 )</f>
        <v>0</v>
      </c>
      <c r="L78" s="5">
        <f t="shared" si="15"/>
        <v>0</v>
      </c>
      <c r="M78" s="5">
        <f t="shared" si="15"/>
        <v>0</v>
      </c>
      <c r="N78" s="5">
        <f t="shared" si="15"/>
        <v>0</v>
      </c>
      <c r="O78" s="5">
        <f t="shared" si="15"/>
        <v>0</v>
      </c>
      <c r="P78" s="5">
        <f t="shared" si="15"/>
        <v>0</v>
      </c>
      <c r="Q78" s="5">
        <f t="shared" si="15"/>
        <v>0</v>
      </c>
      <c r="R78" s="5">
        <f t="shared" si="15"/>
        <v>0</v>
      </c>
      <c r="S78" s="5">
        <f t="shared" si="15"/>
        <v>0</v>
      </c>
      <c r="T78" s="5">
        <f t="shared" si="15"/>
        <v>0</v>
      </c>
      <c r="U78" s="5">
        <f t="shared" si="15"/>
        <v>0</v>
      </c>
      <c r="V78" s="5">
        <f t="shared" si="15"/>
        <v>0</v>
      </c>
      <c r="W78" s="5">
        <f t="shared" si="15"/>
        <v>0</v>
      </c>
      <c r="X78" s="5">
        <f t="shared" si="15"/>
        <v>0</v>
      </c>
      <c r="Y78" s="5">
        <f t="shared" si="15"/>
        <v>0</v>
      </c>
      <c r="Z78" s="5">
        <f t="shared" si="15"/>
        <v>0</v>
      </c>
      <c r="AA78" s="5">
        <f t="shared" si="15"/>
        <v>0</v>
      </c>
      <c r="AB78" s="5">
        <f t="shared" si="15"/>
        <v>0</v>
      </c>
      <c r="AC78" s="5">
        <f t="shared" si="15"/>
        <v>0</v>
      </c>
      <c r="AD78" s="5">
        <f t="shared" si="15"/>
        <v>0</v>
      </c>
      <c r="AE78" s="5">
        <f t="shared" si="15"/>
        <v>0</v>
      </c>
      <c r="AF78" s="5">
        <f t="shared" si="15"/>
        <v>0</v>
      </c>
      <c r="AG78" s="5">
        <f t="shared" si="15"/>
        <v>0</v>
      </c>
      <c r="AH78" s="5">
        <f t="shared" si="15"/>
        <v>0</v>
      </c>
      <c r="AI78" s="5">
        <f t="shared" si="15"/>
        <v>0</v>
      </c>
      <c r="AJ78" s="5">
        <f t="shared" si="15"/>
        <v>0</v>
      </c>
      <c r="AK78" s="5">
        <f t="shared" si="15"/>
        <v>0</v>
      </c>
      <c r="AL78" s="5">
        <f t="shared" si="15"/>
        <v>0</v>
      </c>
      <c r="AM78" s="5">
        <f t="shared" si="15"/>
        <v>0</v>
      </c>
      <c r="AN78" s="5">
        <f t="shared" si="15"/>
        <v>0</v>
      </c>
      <c r="AO78" s="5">
        <f t="shared" si="15"/>
        <v>0</v>
      </c>
    </row>
    <row r="79" spans="1:41">
      <c r="A79" s="19" t="s">
        <v>8</v>
      </c>
      <c r="B79" s="5">
        <f>0</f>
        <v>0</v>
      </c>
      <c r="C79" s="5">
        <f>0</f>
        <v>0</v>
      </c>
      <c r="D79" s="5">
        <f>0</f>
        <v>0</v>
      </c>
      <c r="E79" s="5">
        <f>0</f>
        <v>0</v>
      </c>
      <c r="F79" s="5">
        <f>0</f>
        <v>0</v>
      </c>
      <c r="I79" s="19" t="s">
        <v>8</v>
      </c>
      <c r="J79" s="5">
        <f t="shared" ref="J79:Y98" si="16">IF( _xlfn.FORECAST.LINEAR(J$77,$B79:$F79,$B$77:$F$77)&gt;0, _xlfn.FORECAST.LINEAR(J$77,$B79:$F79,$B$77:$F$77), 0 )</f>
        <v>0</v>
      </c>
      <c r="K79" s="5">
        <f t="shared" si="16"/>
        <v>0</v>
      </c>
      <c r="L79" s="5">
        <f t="shared" si="16"/>
        <v>0</v>
      </c>
      <c r="M79" s="5">
        <f t="shared" si="16"/>
        <v>0</v>
      </c>
      <c r="N79" s="5">
        <f t="shared" si="16"/>
        <v>0</v>
      </c>
      <c r="O79" s="5">
        <f t="shared" si="16"/>
        <v>0</v>
      </c>
      <c r="P79" s="5">
        <f t="shared" si="16"/>
        <v>0</v>
      </c>
      <c r="Q79" s="5">
        <f t="shared" si="16"/>
        <v>0</v>
      </c>
      <c r="R79" s="5">
        <f t="shared" si="16"/>
        <v>0</v>
      </c>
      <c r="S79" s="5">
        <f t="shared" si="16"/>
        <v>0</v>
      </c>
      <c r="T79" s="5">
        <f t="shared" si="16"/>
        <v>0</v>
      </c>
      <c r="U79" s="5">
        <f t="shared" si="16"/>
        <v>0</v>
      </c>
      <c r="V79" s="5">
        <f t="shared" si="16"/>
        <v>0</v>
      </c>
      <c r="W79" s="5">
        <f t="shared" si="16"/>
        <v>0</v>
      </c>
      <c r="X79" s="5">
        <f t="shared" si="16"/>
        <v>0</v>
      </c>
      <c r="Y79" s="5">
        <f t="shared" si="16"/>
        <v>0</v>
      </c>
      <c r="Z79" s="5">
        <f t="shared" si="15"/>
        <v>0</v>
      </c>
      <c r="AA79" s="5">
        <f t="shared" si="15"/>
        <v>0</v>
      </c>
      <c r="AB79" s="5">
        <f t="shared" si="15"/>
        <v>0</v>
      </c>
      <c r="AC79" s="5">
        <f t="shared" si="15"/>
        <v>0</v>
      </c>
      <c r="AD79" s="5">
        <f t="shared" si="15"/>
        <v>0</v>
      </c>
      <c r="AE79" s="5">
        <f t="shared" si="15"/>
        <v>0</v>
      </c>
      <c r="AF79" s="5">
        <f t="shared" si="15"/>
        <v>0</v>
      </c>
      <c r="AG79" s="5">
        <f t="shared" si="15"/>
        <v>0</v>
      </c>
      <c r="AH79" s="5">
        <f t="shared" si="15"/>
        <v>0</v>
      </c>
      <c r="AI79" s="5">
        <f t="shared" si="15"/>
        <v>0</v>
      </c>
      <c r="AJ79" s="5">
        <f t="shared" si="15"/>
        <v>0</v>
      </c>
      <c r="AK79" s="5">
        <f t="shared" si="15"/>
        <v>0</v>
      </c>
      <c r="AL79" s="5">
        <f t="shared" si="15"/>
        <v>0</v>
      </c>
      <c r="AM79" s="5">
        <f t="shared" si="15"/>
        <v>0</v>
      </c>
      <c r="AN79" s="5">
        <f t="shared" si="15"/>
        <v>0</v>
      </c>
      <c r="AO79" s="5">
        <f t="shared" si="15"/>
        <v>0</v>
      </c>
    </row>
    <row r="80" spans="1:41">
      <c r="A80" s="19" t="s">
        <v>1</v>
      </c>
      <c r="B80" s="5">
        <f>0</f>
        <v>0</v>
      </c>
      <c r="C80" s="5">
        <f>0</f>
        <v>0</v>
      </c>
      <c r="D80" s="5">
        <f>0</f>
        <v>0</v>
      </c>
      <c r="E80" s="5">
        <f>0</f>
        <v>0</v>
      </c>
      <c r="F80" s="5">
        <f>0</f>
        <v>0</v>
      </c>
      <c r="I80" s="19" t="s">
        <v>1</v>
      </c>
      <c r="J80" s="5">
        <f t="shared" si="16"/>
        <v>0</v>
      </c>
      <c r="K80" s="5">
        <f t="shared" si="15"/>
        <v>0</v>
      </c>
      <c r="L80" s="5">
        <f t="shared" si="15"/>
        <v>0</v>
      </c>
      <c r="M80" s="5">
        <f t="shared" si="15"/>
        <v>0</v>
      </c>
      <c r="N80" s="5">
        <f t="shared" si="15"/>
        <v>0</v>
      </c>
      <c r="O80" s="5">
        <f t="shared" si="15"/>
        <v>0</v>
      </c>
      <c r="P80" s="5">
        <f t="shared" si="15"/>
        <v>0</v>
      </c>
      <c r="Q80" s="5">
        <f t="shared" si="15"/>
        <v>0</v>
      </c>
      <c r="R80" s="5">
        <f t="shared" si="15"/>
        <v>0</v>
      </c>
      <c r="S80" s="5">
        <f t="shared" si="15"/>
        <v>0</v>
      </c>
      <c r="T80" s="5">
        <f t="shared" si="15"/>
        <v>0</v>
      </c>
      <c r="U80" s="5">
        <f t="shared" si="15"/>
        <v>0</v>
      </c>
      <c r="V80" s="5">
        <f t="shared" si="15"/>
        <v>0</v>
      </c>
      <c r="W80" s="5">
        <f t="shared" si="15"/>
        <v>0</v>
      </c>
      <c r="X80" s="5">
        <f t="shared" si="15"/>
        <v>0</v>
      </c>
      <c r="Y80" s="5">
        <f t="shared" si="15"/>
        <v>0</v>
      </c>
      <c r="Z80" s="5">
        <f t="shared" si="15"/>
        <v>0</v>
      </c>
      <c r="AA80" s="5">
        <f t="shared" si="15"/>
        <v>0</v>
      </c>
      <c r="AB80" s="5">
        <f t="shared" si="15"/>
        <v>0</v>
      </c>
      <c r="AC80" s="5">
        <f t="shared" si="15"/>
        <v>0</v>
      </c>
      <c r="AD80" s="5">
        <f t="shared" si="15"/>
        <v>0</v>
      </c>
      <c r="AE80" s="5">
        <f t="shared" si="15"/>
        <v>0</v>
      </c>
      <c r="AF80" s="5">
        <f t="shared" si="15"/>
        <v>0</v>
      </c>
      <c r="AG80" s="5">
        <f t="shared" si="15"/>
        <v>0</v>
      </c>
      <c r="AH80" s="5">
        <f t="shared" si="15"/>
        <v>0</v>
      </c>
      <c r="AI80" s="5">
        <f t="shared" si="15"/>
        <v>0</v>
      </c>
      <c r="AJ80" s="5">
        <f t="shared" si="15"/>
        <v>0</v>
      </c>
      <c r="AK80" s="5">
        <f t="shared" si="15"/>
        <v>0</v>
      </c>
      <c r="AL80" s="5">
        <f t="shared" si="15"/>
        <v>0</v>
      </c>
      <c r="AM80" s="5">
        <f t="shared" si="15"/>
        <v>0</v>
      </c>
      <c r="AN80" s="5">
        <f t="shared" si="15"/>
        <v>0</v>
      </c>
      <c r="AO80" s="5">
        <f t="shared" si="15"/>
        <v>0</v>
      </c>
    </row>
    <row r="81" spans="1:41">
      <c r="A81" s="19" t="s">
        <v>9</v>
      </c>
      <c r="B81" s="5">
        <v>0</v>
      </c>
      <c r="C81" s="5">
        <v>0</v>
      </c>
      <c r="D81" s="5">
        <v>0</v>
      </c>
      <c r="E81" s="5">
        <v>0</v>
      </c>
      <c r="F81" s="5">
        <v>0</v>
      </c>
      <c r="I81" s="19" t="s">
        <v>9</v>
      </c>
      <c r="J81" s="5">
        <f t="shared" si="16"/>
        <v>0</v>
      </c>
      <c r="K81" s="5">
        <f t="shared" si="15"/>
        <v>0</v>
      </c>
      <c r="L81" s="5">
        <f t="shared" si="15"/>
        <v>0</v>
      </c>
      <c r="M81" s="5">
        <f t="shared" si="15"/>
        <v>0</v>
      </c>
      <c r="N81" s="5">
        <f t="shared" si="15"/>
        <v>0</v>
      </c>
      <c r="O81" s="5">
        <f t="shared" si="15"/>
        <v>0</v>
      </c>
      <c r="P81" s="5">
        <f t="shared" si="15"/>
        <v>0</v>
      </c>
      <c r="Q81" s="5">
        <f t="shared" si="15"/>
        <v>0</v>
      </c>
      <c r="R81" s="5">
        <f t="shared" si="15"/>
        <v>0</v>
      </c>
      <c r="S81" s="5">
        <f t="shared" si="15"/>
        <v>0</v>
      </c>
      <c r="T81" s="5">
        <f t="shared" si="15"/>
        <v>0</v>
      </c>
      <c r="U81" s="5">
        <f t="shared" si="15"/>
        <v>0</v>
      </c>
      <c r="V81" s="5">
        <f t="shared" si="15"/>
        <v>0</v>
      </c>
      <c r="W81" s="5">
        <f t="shared" si="15"/>
        <v>0</v>
      </c>
      <c r="X81" s="5">
        <f t="shared" si="15"/>
        <v>0</v>
      </c>
      <c r="Y81" s="5">
        <f t="shared" si="15"/>
        <v>0</v>
      </c>
      <c r="Z81" s="5">
        <f t="shared" si="15"/>
        <v>0</v>
      </c>
      <c r="AA81" s="5">
        <f t="shared" si="15"/>
        <v>0</v>
      </c>
      <c r="AB81" s="5">
        <f t="shared" si="15"/>
        <v>0</v>
      </c>
      <c r="AC81" s="5">
        <f t="shared" si="15"/>
        <v>0</v>
      </c>
      <c r="AD81" s="5">
        <f t="shared" si="15"/>
        <v>0</v>
      </c>
      <c r="AE81" s="5">
        <f t="shared" si="15"/>
        <v>0</v>
      </c>
      <c r="AF81" s="5">
        <f t="shared" si="15"/>
        <v>0</v>
      </c>
      <c r="AG81" s="5">
        <f t="shared" si="15"/>
        <v>0</v>
      </c>
      <c r="AH81" s="5">
        <f t="shared" si="15"/>
        <v>0</v>
      </c>
      <c r="AI81" s="5">
        <f t="shared" si="15"/>
        <v>0</v>
      </c>
      <c r="AJ81" s="5">
        <f t="shared" si="15"/>
        <v>0</v>
      </c>
      <c r="AK81" s="5">
        <f t="shared" si="15"/>
        <v>0</v>
      </c>
      <c r="AL81" s="5">
        <f t="shared" si="15"/>
        <v>0</v>
      </c>
      <c r="AM81" s="5">
        <f t="shared" si="15"/>
        <v>0</v>
      </c>
      <c r="AN81" s="5">
        <f t="shared" si="15"/>
        <v>0</v>
      </c>
      <c r="AO81" s="5">
        <f t="shared" si="15"/>
        <v>0</v>
      </c>
    </row>
    <row r="82" spans="1:41">
      <c r="A82" s="19" t="s">
        <v>10</v>
      </c>
      <c r="B82" s="5">
        <f>0</f>
        <v>0</v>
      </c>
      <c r="C82" s="5">
        <f>0</f>
        <v>0</v>
      </c>
      <c r="D82" s="5">
        <f>0</f>
        <v>0</v>
      </c>
      <c r="E82" s="5">
        <f>0</f>
        <v>0</v>
      </c>
      <c r="F82" s="5">
        <f>0</f>
        <v>0</v>
      </c>
      <c r="I82" s="19" t="s">
        <v>10</v>
      </c>
      <c r="J82" s="5">
        <f t="shared" si="16"/>
        <v>0</v>
      </c>
      <c r="K82" s="5">
        <f t="shared" si="15"/>
        <v>0</v>
      </c>
      <c r="L82" s="5">
        <f t="shared" si="15"/>
        <v>0</v>
      </c>
      <c r="M82" s="5">
        <f t="shared" si="15"/>
        <v>0</v>
      </c>
      <c r="N82" s="5">
        <f t="shared" si="15"/>
        <v>0</v>
      </c>
      <c r="O82" s="5">
        <f t="shared" si="15"/>
        <v>0</v>
      </c>
      <c r="P82" s="5">
        <f t="shared" si="15"/>
        <v>0</v>
      </c>
      <c r="Q82" s="5">
        <f t="shared" si="15"/>
        <v>0</v>
      </c>
      <c r="R82" s="5">
        <f t="shared" si="15"/>
        <v>0</v>
      </c>
      <c r="S82" s="5">
        <f t="shared" si="15"/>
        <v>0</v>
      </c>
      <c r="T82" s="5">
        <f t="shared" si="15"/>
        <v>0</v>
      </c>
      <c r="U82" s="5">
        <f t="shared" si="15"/>
        <v>0</v>
      </c>
      <c r="V82" s="5">
        <f t="shared" si="15"/>
        <v>0</v>
      </c>
      <c r="W82" s="5">
        <f t="shared" si="15"/>
        <v>0</v>
      </c>
      <c r="X82" s="5">
        <f t="shared" si="15"/>
        <v>0</v>
      </c>
      <c r="Y82" s="5">
        <f t="shared" si="15"/>
        <v>0</v>
      </c>
      <c r="Z82" s="5">
        <f t="shared" si="15"/>
        <v>0</v>
      </c>
      <c r="AA82" s="5">
        <f t="shared" si="15"/>
        <v>0</v>
      </c>
      <c r="AB82" s="5">
        <f t="shared" si="15"/>
        <v>0</v>
      </c>
      <c r="AC82" s="5">
        <f t="shared" si="15"/>
        <v>0</v>
      </c>
      <c r="AD82" s="5">
        <f t="shared" si="15"/>
        <v>0</v>
      </c>
      <c r="AE82" s="5">
        <f t="shared" si="15"/>
        <v>0</v>
      </c>
      <c r="AF82" s="5">
        <f t="shared" si="15"/>
        <v>0</v>
      </c>
      <c r="AG82" s="5">
        <f t="shared" si="15"/>
        <v>0</v>
      </c>
      <c r="AH82" s="5">
        <f t="shared" si="15"/>
        <v>0</v>
      </c>
      <c r="AI82" s="5">
        <f t="shared" si="15"/>
        <v>0</v>
      </c>
      <c r="AJ82" s="5">
        <f t="shared" si="15"/>
        <v>0</v>
      </c>
      <c r="AK82" s="5">
        <f t="shared" si="15"/>
        <v>0</v>
      </c>
      <c r="AL82" s="5">
        <f t="shared" si="15"/>
        <v>0</v>
      </c>
      <c r="AM82" s="5">
        <f t="shared" si="15"/>
        <v>0</v>
      </c>
      <c r="AN82" s="5">
        <f t="shared" si="15"/>
        <v>0</v>
      </c>
      <c r="AO82" s="5">
        <f t="shared" si="15"/>
        <v>0</v>
      </c>
    </row>
    <row r="83" spans="1:41">
      <c r="A83" s="19" t="s">
        <v>11</v>
      </c>
      <c r="B83" s="5">
        <f>0</f>
        <v>0</v>
      </c>
      <c r="C83" s="5">
        <f>0</f>
        <v>0</v>
      </c>
      <c r="D83" s="5">
        <f>0</f>
        <v>0</v>
      </c>
      <c r="E83" s="5">
        <f>0</f>
        <v>0</v>
      </c>
      <c r="F83" s="5">
        <f>0</f>
        <v>0</v>
      </c>
      <c r="I83" s="19" t="s">
        <v>11</v>
      </c>
      <c r="J83" s="5">
        <f t="shared" si="16"/>
        <v>0</v>
      </c>
      <c r="K83" s="5">
        <f t="shared" si="15"/>
        <v>0</v>
      </c>
      <c r="L83" s="5">
        <f t="shared" si="15"/>
        <v>0</v>
      </c>
      <c r="M83" s="5">
        <f t="shared" si="15"/>
        <v>0</v>
      </c>
      <c r="N83" s="5">
        <f t="shared" si="15"/>
        <v>0</v>
      </c>
      <c r="O83" s="5">
        <f t="shared" si="15"/>
        <v>0</v>
      </c>
      <c r="P83" s="5">
        <f t="shared" si="15"/>
        <v>0</v>
      </c>
      <c r="Q83" s="5">
        <f t="shared" si="15"/>
        <v>0</v>
      </c>
      <c r="R83" s="5">
        <f t="shared" si="15"/>
        <v>0</v>
      </c>
      <c r="S83" s="5">
        <f t="shared" si="15"/>
        <v>0</v>
      </c>
      <c r="T83" s="5">
        <f t="shared" si="15"/>
        <v>0</v>
      </c>
      <c r="U83" s="5">
        <f t="shared" si="15"/>
        <v>0</v>
      </c>
      <c r="V83" s="5">
        <f t="shared" si="15"/>
        <v>0</v>
      </c>
      <c r="W83" s="5">
        <f t="shared" si="15"/>
        <v>0</v>
      </c>
      <c r="X83" s="5">
        <f t="shared" si="15"/>
        <v>0</v>
      </c>
      <c r="Y83" s="5">
        <f t="shared" si="15"/>
        <v>0</v>
      </c>
      <c r="Z83" s="5">
        <f t="shared" si="15"/>
        <v>0</v>
      </c>
      <c r="AA83" s="5">
        <f t="shared" si="15"/>
        <v>0</v>
      </c>
      <c r="AB83" s="5">
        <f t="shared" si="15"/>
        <v>0</v>
      </c>
      <c r="AC83" s="5">
        <f t="shared" si="15"/>
        <v>0</v>
      </c>
      <c r="AD83" s="5">
        <f t="shared" si="15"/>
        <v>0</v>
      </c>
      <c r="AE83" s="5">
        <f t="shared" si="15"/>
        <v>0</v>
      </c>
      <c r="AF83" s="5">
        <f t="shared" si="15"/>
        <v>0</v>
      </c>
      <c r="AG83" s="5">
        <f t="shared" si="15"/>
        <v>0</v>
      </c>
      <c r="AH83" s="5">
        <f t="shared" si="15"/>
        <v>0</v>
      </c>
      <c r="AI83" s="5">
        <f t="shared" si="15"/>
        <v>0</v>
      </c>
      <c r="AJ83" s="5">
        <f t="shared" si="15"/>
        <v>0</v>
      </c>
      <c r="AK83" s="5">
        <f t="shared" si="15"/>
        <v>0</v>
      </c>
      <c r="AL83" s="5">
        <f t="shared" si="15"/>
        <v>0</v>
      </c>
      <c r="AM83" s="5">
        <f t="shared" si="15"/>
        <v>0</v>
      </c>
      <c r="AN83" s="5">
        <f t="shared" si="15"/>
        <v>0</v>
      </c>
      <c r="AO83" s="5">
        <f t="shared" si="15"/>
        <v>0</v>
      </c>
    </row>
    <row r="84" spans="1:41">
      <c r="A84" s="19" t="s">
        <v>12</v>
      </c>
      <c r="B84" s="5">
        <f>0</f>
        <v>0</v>
      </c>
      <c r="C84" s="5">
        <f>0</f>
        <v>0</v>
      </c>
      <c r="D84" s="5">
        <f>0</f>
        <v>0</v>
      </c>
      <c r="E84" s="5">
        <f>0</f>
        <v>0</v>
      </c>
      <c r="F84" s="5">
        <f>0</f>
        <v>0</v>
      </c>
      <c r="I84" s="19" t="s">
        <v>12</v>
      </c>
      <c r="J84" s="5">
        <f t="shared" si="16"/>
        <v>0</v>
      </c>
      <c r="K84" s="5">
        <f t="shared" si="15"/>
        <v>0</v>
      </c>
      <c r="L84" s="5">
        <f t="shared" si="15"/>
        <v>0</v>
      </c>
      <c r="M84" s="5">
        <f t="shared" si="15"/>
        <v>0</v>
      </c>
      <c r="N84" s="5">
        <f t="shared" si="15"/>
        <v>0</v>
      </c>
      <c r="O84" s="5">
        <f t="shared" si="15"/>
        <v>0</v>
      </c>
      <c r="P84" s="5">
        <f t="shared" si="15"/>
        <v>0</v>
      </c>
      <c r="Q84" s="5">
        <f t="shared" si="15"/>
        <v>0</v>
      </c>
      <c r="R84" s="5">
        <f t="shared" si="15"/>
        <v>0</v>
      </c>
      <c r="S84" s="5">
        <f t="shared" si="15"/>
        <v>0</v>
      </c>
      <c r="T84" s="5">
        <f t="shared" si="15"/>
        <v>0</v>
      </c>
      <c r="U84" s="5">
        <f t="shared" si="15"/>
        <v>0</v>
      </c>
      <c r="V84" s="5">
        <f t="shared" si="15"/>
        <v>0</v>
      </c>
      <c r="W84" s="5">
        <f t="shared" si="15"/>
        <v>0</v>
      </c>
      <c r="X84" s="5">
        <f t="shared" si="15"/>
        <v>0</v>
      </c>
      <c r="Y84" s="5">
        <f t="shared" si="15"/>
        <v>0</v>
      </c>
      <c r="Z84" s="5">
        <f t="shared" si="15"/>
        <v>0</v>
      </c>
      <c r="AA84" s="5">
        <f t="shared" si="15"/>
        <v>0</v>
      </c>
      <c r="AB84" s="5">
        <f t="shared" si="15"/>
        <v>0</v>
      </c>
      <c r="AC84" s="5">
        <f t="shared" si="15"/>
        <v>0</v>
      </c>
      <c r="AD84" s="5">
        <f t="shared" si="15"/>
        <v>0</v>
      </c>
      <c r="AE84" s="5">
        <f t="shared" si="15"/>
        <v>0</v>
      </c>
      <c r="AF84" s="5">
        <f t="shared" si="15"/>
        <v>0</v>
      </c>
      <c r="AG84" s="5">
        <f t="shared" si="15"/>
        <v>0</v>
      </c>
      <c r="AH84" s="5">
        <f t="shared" si="15"/>
        <v>0</v>
      </c>
      <c r="AI84" s="5">
        <f t="shared" si="15"/>
        <v>0</v>
      </c>
      <c r="AJ84" s="5">
        <f t="shared" si="15"/>
        <v>0</v>
      </c>
      <c r="AK84" s="5">
        <f t="shared" si="15"/>
        <v>0</v>
      </c>
      <c r="AL84" s="5">
        <f t="shared" si="15"/>
        <v>0</v>
      </c>
      <c r="AM84" s="5">
        <f t="shared" si="15"/>
        <v>0</v>
      </c>
      <c r="AN84" s="5">
        <f t="shared" si="15"/>
        <v>0</v>
      </c>
      <c r="AO84" s="5">
        <f t="shared" si="15"/>
        <v>0</v>
      </c>
    </row>
    <row r="85" spans="1:41">
      <c r="A85" s="19" t="s">
        <v>2</v>
      </c>
      <c r="B85" s="5">
        <f>0</f>
        <v>0</v>
      </c>
      <c r="C85" s="5">
        <f>0</f>
        <v>0</v>
      </c>
      <c r="D85" s="5">
        <f>0</f>
        <v>0</v>
      </c>
      <c r="E85" s="5">
        <f>0</f>
        <v>0</v>
      </c>
      <c r="F85" s="5">
        <f>0</f>
        <v>0</v>
      </c>
      <c r="I85" s="19" t="s">
        <v>2</v>
      </c>
      <c r="J85" s="5">
        <f t="shared" si="16"/>
        <v>0</v>
      </c>
      <c r="K85" s="5">
        <f t="shared" si="15"/>
        <v>0</v>
      </c>
      <c r="L85" s="5">
        <f t="shared" si="15"/>
        <v>0</v>
      </c>
      <c r="M85" s="5">
        <f t="shared" si="15"/>
        <v>0</v>
      </c>
      <c r="N85" s="5">
        <f t="shared" si="15"/>
        <v>0</v>
      </c>
      <c r="O85" s="5">
        <f t="shared" si="15"/>
        <v>0</v>
      </c>
      <c r="P85" s="5">
        <f t="shared" si="15"/>
        <v>0</v>
      </c>
      <c r="Q85" s="5">
        <f t="shared" si="15"/>
        <v>0</v>
      </c>
      <c r="R85" s="5">
        <f t="shared" si="15"/>
        <v>0</v>
      </c>
      <c r="S85" s="5">
        <f t="shared" si="15"/>
        <v>0</v>
      </c>
      <c r="T85" s="5">
        <f t="shared" si="15"/>
        <v>0</v>
      </c>
      <c r="U85" s="5">
        <f t="shared" si="15"/>
        <v>0</v>
      </c>
      <c r="V85" s="5">
        <f t="shared" si="15"/>
        <v>0</v>
      </c>
      <c r="W85" s="5">
        <f t="shared" si="15"/>
        <v>0</v>
      </c>
      <c r="X85" s="5">
        <f t="shared" si="15"/>
        <v>0</v>
      </c>
      <c r="Y85" s="5">
        <f t="shared" si="15"/>
        <v>0</v>
      </c>
      <c r="Z85" s="5">
        <f t="shared" si="15"/>
        <v>0</v>
      </c>
      <c r="AA85" s="5">
        <f t="shared" si="15"/>
        <v>0</v>
      </c>
      <c r="AB85" s="5">
        <f t="shared" si="15"/>
        <v>0</v>
      </c>
      <c r="AC85" s="5">
        <f t="shared" si="15"/>
        <v>0</v>
      </c>
      <c r="AD85" s="5">
        <f t="shared" si="15"/>
        <v>0</v>
      </c>
      <c r="AE85" s="5">
        <f t="shared" si="15"/>
        <v>0</v>
      </c>
      <c r="AF85" s="5">
        <f t="shared" si="15"/>
        <v>0</v>
      </c>
      <c r="AG85" s="5">
        <f t="shared" si="15"/>
        <v>0</v>
      </c>
      <c r="AH85" s="5">
        <f t="shared" si="15"/>
        <v>0</v>
      </c>
      <c r="AI85" s="5">
        <f t="shared" si="15"/>
        <v>0</v>
      </c>
      <c r="AJ85" s="5">
        <f t="shared" si="15"/>
        <v>0</v>
      </c>
      <c r="AK85" s="5">
        <f t="shared" si="15"/>
        <v>0</v>
      </c>
      <c r="AL85" s="5">
        <f t="shared" si="15"/>
        <v>0</v>
      </c>
      <c r="AM85" s="5">
        <f t="shared" si="15"/>
        <v>0</v>
      </c>
      <c r="AN85" s="5">
        <f t="shared" si="15"/>
        <v>0</v>
      </c>
      <c r="AO85" s="5">
        <f t="shared" si="15"/>
        <v>0</v>
      </c>
    </row>
    <row r="86" spans="1:41">
      <c r="A86" s="19" t="s">
        <v>3</v>
      </c>
      <c r="B86" s="5">
        <f>'KEEI&amp;MOTIE'!I97</f>
        <v>72241471283952.281</v>
      </c>
      <c r="C86" s="5">
        <f>'KEEI&amp;MOTIE'!J97</f>
        <v>487469821655854.44</v>
      </c>
      <c r="D86" s="5">
        <f>'KEEI&amp;MOTIE'!K97</f>
        <v>483038277822619.31</v>
      </c>
      <c r="E86" s="5">
        <f>'KEEI&amp;MOTIE'!L97</f>
        <v>456690735395931.06</v>
      </c>
      <c r="F86" s="5">
        <f>'KEEI&amp;MOTIE'!M97</f>
        <v>394414726023758.63</v>
      </c>
      <c r="I86" s="19" t="s">
        <v>3</v>
      </c>
      <c r="J86" s="5">
        <f t="shared" si="16"/>
        <v>317764493334778</v>
      </c>
      <c r="K86" s="5">
        <f t="shared" si="15"/>
        <v>324254547920058</v>
      </c>
      <c r="L86" s="5">
        <f t="shared" si="15"/>
        <v>330744602505340</v>
      </c>
      <c r="M86" s="5">
        <f t="shared" si="15"/>
        <v>337234657090622</v>
      </c>
      <c r="N86" s="5">
        <f t="shared" si="15"/>
        <v>343724711675904</v>
      </c>
      <c r="O86" s="5">
        <f t="shared" si="15"/>
        <v>350214766261184</v>
      </c>
      <c r="P86" s="5">
        <f t="shared" si="15"/>
        <v>356704820846466</v>
      </c>
      <c r="Q86" s="5">
        <f t="shared" si="15"/>
        <v>363194875431748</v>
      </c>
      <c r="R86" s="5">
        <f t="shared" si="15"/>
        <v>369684930017030</v>
      </c>
      <c r="S86" s="5">
        <f t="shared" si="15"/>
        <v>376174984602310</v>
      </c>
      <c r="T86" s="5">
        <f t="shared" si="15"/>
        <v>382665039187592</v>
      </c>
      <c r="U86" s="5">
        <f t="shared" si="15"/>
        <v>389155093772874</v>
      </c>
      <c r="V86" s="5">
        <f t="shared" si="15"/>
        <v>395645148358156</v>
      </c>
      <c r="W86" s="5">
        <f t="shared" si="15"/>
        <v>402135202943436</v>
      </c>
      <c r="X86" s="5">
        <f t="shared" si="15"/>
        <v>408625257528718</v>
      </c>
      <c r="Y86" s="5">
        <f t="shared" si="15"/>
        <v>415115312114000</v>
      </c>
      <c r="Z86" s="5">
        <f t="shared" si="15"/>
        <v>421605366699280</v>
      </c>
      <c r="AA86" s="5">
        <f t="shared" si="15"/>
        <v>428095421284562</v>
      </c>
      <c r="AB86" s="5">
        <f t="shared" si="15"/>
        <v>434585475869844</v>
      </c>
      <c r="AC86" s="5">
        <f t="shared" si="15"/>
        <v>441075530455126</v>
      </c>
      <c r="AD86" s="5">
        <f t="shared" si="15"/>
        <v>447565585040406</v>
      </c>
      <c r="AE86" s="5">
        <f t="shared" si="15"/>
        <v>454055639625688</v>
      </c>
      <c r="AF86" s="5">
        <f t="shared" si="15"/>
        <v>460545694210970</v>
      </c>
      <c r="AG86" s="5">
        <f t="shared" ref="K86:AO94" si="17">IF( _xlfn.FORECAST.LINEAR(AG$77,$B86:$F86,$B$77:$F$77)&gt;0, _xlfn.FORECAST.LINEAR(AG$77,$B86:$F86,$B$77:$F$77), 0 )</f>
        <v>467035748796252</v>
      </c>
      <c r="AH86" s="5">
        <f t="shared" si="17"/>
        <v>473525803381532</v>
      </c>
      <c r="AI86" s="5">
        <f t="shared" si="17"/>
        <v>480015857966814</v>
      </c>
      <c r="AJ86" s="5">
        <f t="shared" si="17"/>
        <v>486505912552096</v>
      </c>
      <c r="AK86" s="5">
        <f t="shared" si="17"/>
        <v>492995967137378</v>
      </c>
      <c r="AL86" s="5">
        <f t="shared" si="17"/>
        <v>499486021722658</v>
      </c>
      <c r="AM86" s="5">
        <f t="shared" si="17"/>
        <v>505976076307940</v>
      </c>
      <c r="AN86" s="5">
        <f t="shared" si="17"/>
        <v>512466130893222</v>
      </c>
      <c r="AO86" s="5">
        <f t="shared" si="17"/>
        <v>518956185478502</v>
      </c>
    </row>
    <row r="87" spans="1:41">
      <c r="A87" s="19" t="s">
        <v>13</v>
      </c>
      <c r="B87" s="5">
        <f>'KEEI&amp;MOTIE'!I98</f>
        <v>469688490146491.63</v>
      </c>
      <c r="C87" s="5">
        <f>'KEEI&amp;MOTIE'!J98</f>
        <v>988835168550547.13</v>
      </c>
      <c r="D87" s="5">
        <f>'KEEI&amp;MOTIE'!K98</f>
        <v>979845757927360.38</v>
      </c>
      <c r="E87" s="5">
        <f>'KEEI&amp;MOTIE'!L98</f>
        <v>926399625676777</v>
      </c>
      <c r="F87" s="5">
        <f>'KEEI&amp;MOTIE'!M98</f>
        <v>800072403993580.13</v>
      </c>
      <c r="I87" s="19" t="s">
        <v>13</v>
      </c>
      <c r="J87" s="5">
        <f t="shared" si="16"/>
        <v>768661623588904</v>
      </c>
      <c r="K87" s="5">
        <f t="shared" si="17"/>
        <v>775502758234654</v>
      </c>
      <c r="L87" s="5">
        <f t="shared" si="17"/>
        <v>782343892880404</v>
      </c>
      <c r="M87" s="5">
        <f t="shared" si="17"/>
        <v>789185027526154</v>
      </c>
      <c r="N87" s="5">
        <f t="shared" si="17"/>
        <v>796026162171904</v>
      </c>
      <c r="O87" s="5">
        <f t="shared" si="17"/>
        <v>802867296817652</v>
      </c>
      <c r="P87" s="5">
        <f t="shared" si="17"/>
        <v>809708431463402</v>
      </c>
      <c r="Q87" s="5">
        <f t="shared" si="17"/>
        <v>816549566109152</v>
      </c>
      <c r="R87" s="5">
        <f t="shared" si="17"/>
        <v>823390700754902</v>
      </c>
      <c r="S87" s="5">
        <f t="shared" si="17"/>
        <v>830231835400652</v>
      </c>
      <c r="T87" s="5">
        <f t="shared" si="17"/>
        <v>837072970046402</v>
      </c>
      <c r="U87" s="5">
        <f t="shared" si="17"/>
        <v>843914104692150</v>
      </c>
      <c r="V87" s="5">
        <f t="shared" si="17"/>
        <v>850755239337900</v>
      </c>
      <c r="W87" s="5">
        <f t="shared" si="17"/>
        <v>857596373983650</v>
      </c>
      <c r="X87" s="5">
        <f t="shared" si="17"/>
        <v>864437508629400</v>
      </c>
      <c r="Y87" s="5">
        <f t="shared" si="17"/>
        <v>871278643275150</v>
      </c>
      <c r="Z87" s="5">
        <f t="shared" si="17"/>
        <v>878119777920898</v>
      </c>
      <c r="AA87" s="5">
        <f t="shared" si="17"/>
        <v>884960912566648</v>
      </c>
      <c r="AB87" s="5">
        <f t="shared" si="17"/>
        <v>891802047212398</v>
      </c>
      <c r="AC87" s="5">
        <f t="shared" si="17"/>
        <v>898643181858148</v>
      </c>
      <c r="AD87" s="5">
        <f t="shared" si="17"/>
        <v>905484316503898</v>
      </c>
      <c r="AE87" s="5">
        <f t="shared" si="17"/>
        <v>912325451149648</v>
      </c>
      <c r="AF87" s="5">
        <f t="shared" si="17"/>
        <v>919166585795396</v>
      </c>
      <c r="AG87" s="5">
        <f t="shared" si="17"/>
        <v>926007720441146</v>
      </c>
      <c r="AH87" s="5">
        <f t="shared" si="17"/>
        <v>932848855086896</v>
      </c>
      <c r="AI87" s="5">
        <f t="shared" si="17"/>
        <v>939689989732646</v>
      </c>
      <c r="AJ87" s="5">
        <f t="shared" si="17"/>
        <v>946531124378396</v>
      </c>
      <c r="AK87" s="5">
        <f t="shared" si="17"/>
        <v>953372259024144</v>
      </c>
      <c r="AL87" s="5">
        <f t="shared" si="17"/>
        <v>960213393669894</v>
      </c>
      <c r="AM87" s="5">
        <f t="shared" si="17"/>
        <v>967054528315644</v>
      </c>
      <c r="AN87" s="5">
        <f t="shared" si="17"/>
        <v>973895662961394</v>
      </c>
      <c r="AO87" s="5">
        <f t="shared" si="17"/>
        <v>980736797607144</v>
      </c>
    </row>
    <row r="88" spans="1:41">
      <c r="A88" s="19" t="s">
        <v>14</v>
      </c>
      <c r="B88" s="5">
        <f>0</f>
        <v>0</v>
      </c>
      <c r="C88" s="5">
        <f>0</f>
        <v>0</v>
      </c>
      <c r="D88" s="5">
        <f>0</f>
        <v>0</v>
      </c>
      <c r="E88" s="5">
        <f>0</f>
        <v>0</v>
      </c>
      <c r="F88" s="5">
        <f>0</f>
        <v>0</v>
      </c>
      <c r="I88" s="19" t="s">
        <v>14</v>
      </c>
      <c r="J88" s="5">
        <f t="shared" si="16"/>
        <v>0</v>
      </c>
      <c r="K88" s="5">
        <f t="shared" si="17"/>
        <v>0</v>
      </c>
      <c r="L88" s="5">
        <f t="shared" si="17"/>
        <v>0</v>
      </c>
      <c r="M88" s="5">
        <f t="shared" si="17"/>
        <v>0</v>
      </c>
      <c r="N88" s="5">
        <f t="shared" si="17"/>
        <v>0</v>
      </c>
      <c r="O88" s="5">
        <f t="shared" si="17"/>
        <v>0</v>
      </c>
      <c r="P88" s="5">
        <f t="shared" si="17"/>
        <v>0</v>
      </c>
      <c r="Q88" s="5">
        <f t="shared" si="17"/>
        <v>0</v>
      </c>
      <c r="R88" s="5">
        <f t="shared" si="17"/>
        <v>0</v>
      </c>
      <c r="S88" s="5">
        <f t="shared" si="17"/>
        <v>0</v>
      </c>
      <c r="T88" s="5">
        <f t="shared" si="17"/>
        <v>0</v>
      </c>
      <c r="U88" s="5">
        <f t="shared" si="17"/>
        <v>0</v>
      </c>
      <c r="V88" s="5">
        <f t="shared" si="17"/>
        <v>0</v>
      </c>
      <c r="W88" s="5">
        <f t="shared" si="17"/>
        <v>0</v>
      </c>
      <c r="X88" s="5">
        <f t="shared" si="17"/>
        <v>0</v>
      </c>
      <c r="Y88" s="5">
        <f t="shared" si="17"/>
        <v>0</v>
      </c>
      <c r="Z88" s="5">
        <f t="shared" si="17"/>
        <v>0</v>
      </c>
      <c r="AA88" s="5">
        <f t="shared" si="17"/>
        <v>0</v>
      </c>
      <c r="AB88" s="5">
        <f t="shared" si="17"/>
        <v>0</v>
      </c>
      <c r="AC88" s="5">
        <f t="shared" si="17"/>
        <v>0</v>
      </c>
      <c r="AD88" s="5">
        <f t="shared" si="17"/>
        <v>0</v>
      </c>
      <c r="AE88" s="5">
        <f t="shared" si="17"/>
        <v>0</v>
      </c>
      <c r="AF88" s="5">
        <f t="shared" si="17"/>
        <v>0</v>
      </c>
      <c r="AG88" s="5">
        <f t="shared" si="17"/>
        <v>0</v>
      </c>
      <c r="AH88" s="5">
        <f t="shared" si="17"/>
        <v>0</v>
      </c>
      <c r="AI88" s="5">
        <f t="shared" si="17"/>
        <v>0</v>
      </c>
      <c r="AJ88" s="5">
        <f t="shared" si="17"/>
        <v>0</v>
      </c>
      <c r="AK88" s="5">
        <f t="shared" si="17"/>
        <v>0</v>
      </c>
      <c r="AL88" s="5">
        <f t="shared" si="17"/>
        <v>0</v>
      </c>
      <c r="AM88" s="5">
        <f t="shared" si="17"/>
        <v>0</v>
      </c>
      <c r="AN88" s="5">
        <f t="shared" si="17"/>
        <v>0</v>
      </c>
      <c r="AO88" s="5">
        <f t="shared" si="17"/>
        <v>0</v>
      </c>
    </row>
    <row r="89" spans="1:41">
      <c r="A89" s="19" t="s">
        <v>15</v>
      </c>
      <c r="B89" s="5">
        <f>0</f>
        <v>0</v>
      </c>
      <c r="C89" s="5">
        <f>0</f>
        <v>0</v>
      </c>
      <c r="D89" s="5">
        <f>0</f>
        <v>0</v>
      </c>
      <c r="E89" s="5">
        <f>0</f>
        <v>0</v>
      </c>
      <c r="F89" s="5">
        <f>0</f>
        <v>0</v>
      </c>
      <c r="I89" s="19" t="s">
        <v>15</v>
      </c>
      <c r="J89" s="5">
        <f t="shared" si="16"/>
        <v>0</v>
      </c>
      <c r="K89" s="5">
        <f t="shared" si="17"/>
        <v>0</v>
      </c>
      <c r="L89" s="5">
        <f t="shared" si="17"/>
        <v>0</v>
      </c>
      <c r="M89" s="5">
        <f t="shared" si="17"/>
        <v>0</v>
      </c>
      <c r="N89" s="5">
        <f t="shared" si="17"/>
        <v>0</v>
      </c>
      <c r="O89" s="5">
        <f t="shared" si="17"/>
        <v>0</v>
      </c>
      <c r="P89" s="5">
        <f t="shared" si="17"/>
        <v>0</v>
      </c>
      <c r="Q89" s="5">
        <f t="shared" si="17"/>
        <v>0</v>
      </c>
      <c r="R89" s="5">
        <f t="shared" si="17"/>
        <v>0</v>
      </c>
      <c r="S89" s="5">
        <f t="shared" si="17"/>
        <v>0</v>
      </c>
      <c r="T89" s="5">
        <f t="shared" si="17"/>
        <v>0</v>
      </c>
      <c r="U89" s="5">
        <f t="shared" si="17"/>
        <v>0</v>
      </c>
      <c r="V89" s="5">
        <f t="shared" si="17"/>
        <v>0</v>
      </c>
      <c r="W89" s="5">
        <f t="shared" si="17"/>
        <v>0</v>
      </c>
      <c r="X89" s="5">
        <f t="shared" si="17"/>
        <v>0</v>
      </c>
      <c r="Y89" s="5">
        <f t="shared" si="17"/>
        <v>0</v>
      </c>
      <c r="Z89" s="5">
        <f t="shared" si="17"/>
        <v>0</v>
      </c>
      <c r="AA89" s="5">
        <f t="shared" si="17"/>
        <v>0</v>
      </c>
      <c r="AB89" s="5">
        <f t="shared" si="17"/>
        <v>0</v>
      </c>
      <c r="AC89" s="5">
        <f t="shared" si="17"/>
        <v>0</v>
      </c>
      <c r="AD89" s="5">
        <f t="shared" si="17"/>
        <v>0</v>
      </c>
      <c r="AE89" s="5">
        <f t="shared" si="17"/>
        <v>0</v>
      </c>
      <c r="AF89" s="5">
        <f t="shared" si="17"/>
        <v>0</v>
      </c>
      <c r="AG89" s="5">
        <f t="shared" si="17"/>
        <v>0</v>
      </c>
      <c r="AH89" s="5">
        <f t="shared" si="17"/>
        <v>0</v>
      </c>
      <c r="AI89" s="5">
        <f t="shared" si="17"/>
        <v>0</v>
      </c>
      <c r="AJ89" s="5">
        <f t="shared" si="17"/>
        <v>0</v>
      </c>
      <c r="AK89" s="5">
        <f t="shared" si="17"/>
        <v>0</v>
      </c>
      <c r="AL89" s="5">
        <f t="shared" si="17"/>
        <v>0</v>
      </c>
      <c r="AM89" s="5">
        <f t="shared" si="17"/>
        <v>0</v>
      </c>
      <c r="AN89" s="5">
        <f t="shared" si="17"/>
        <v>0</v>
      </c>
      <c r="AO89" s="5">
        <f t="shared" si="17"/>
        <v>0</v>
      </c>
    </row>
    <row r="90" spans="1:41">
      <c r="A90" s="19" t="s">
        <v>4</v>
      </c>
      <c r="B90" s="5">
        <f>'KEEI&amp;MOTIE'!I99</f>
        <v>279593516251573.06</v>
      </c>
      <c r="C90" s="5">
        <f>'KEEI&amp;MOTIE'!J99</f>
        <v>441075143803143.25</v>
      </c>
      <c r="D90" s="5">
        <f>'KEEI&amp;MOTIE'!K99</f>
        <v>437065369768569.13</v>
      </c>
      <c r="E90" s="5">
        <f>'KEEI&amp;MOTIE'!L99</f>
        <v>413225440508465.44</v>
      </c>
      <c r="F90" s="5">
        <f>'KEEI&amp;MOTIE'!M99</f>
        <v>356876516802765.5</v>
      </c>
      <c r="I90" s="19" t="s">
        <v>4</v>
      </c>
      <c r="J90" s="5">
        <f t="shared" si="16"/>
        <v>369775847222742</v>
      </c>
      <c r="K90" s="5">
        <f t="shared" si="17"/>
        <v>371455778095525.5</v>
      </c>
      <c r="L90" s="5">
        <f t="shared" si="17"/>
        <v>373135708968308.5</v>
      </c>
      <c r="M90" s="5">
        <f t="shared" si="17"/>
        <v>374815639841091.5</v>
      </c>
      <c r="N90" s="5">
        <f t="shared" si="17"/>
        <v>376495570713874.5</v>
      </c>
      <c r="O90" s="5">
        <f t="shared" si="17"/>
        <v>378175501586658</v>
      </c>
      <c r="P90" s="5">
        <f t="shared" si="17"/>
        <v>379855432459441</v>
      </c>
      <c r="Q90" s="5">
        <f t="shared" si="17"/>
        <v>381535363332224</v>
      </c>
      <c r="R90" s="5">
        <f t="shared" si="17"/>
        <v>383215294205007</v>
      </c>
      <c r="S90" s="5">
        <f t="shared" si="17"/>
        <v>384895225077790.5</v>
      </c>
      <c r="T90" s="5">
        <f t="shared" si="17"/>
        <v>386575155950573.5</v>
      </c>
      <c r="U90" s="5">
        <f t="shared" si="17"/>
        <v>388255086823356.5</v>
      </c>
      <c r="V90" s="5">
        <f t="shared" si="17"/>
        <v>389935017696139.5</v>
      </c>
      <c r="W90" s="5">
        <f t="shared" si="17"/>
        <v>391614948568922.5</v>
      </c>
      <c r="X90" s="5">
        <f t="shared" si="17"/>
        <v>393294879441706</v>
      </c>
      <c r="Y90" s="5">
        <f t="shared" si="17"/>
        <v>394974810314489</v>
      </c>
      <c r="Z90" s="5">
        <f t="shared" si="17"/>
        <v>396654741187272</v>
      </c>
      <c r="AA90" s="5">
        <f t="shared" si="17"/>
        <v>398334672060055</v>
      </c>
      <c r="AB90" s="5">
        <f t="shared" si="17"/>
        <v>400014602932838.5</v>
      </c>
      <c r="AC90" s="5">
        <f t="shared" si="17"/>
        <v>401694533805621.5</v>
      </c>
      <c r="AD90" s="5">
        <f t="shared" si="17"/>
        <v>403374464678404.5</v>
      </c>
      <c r="AE90" s="5">
        <f t="shared" si="17"/>
        <v>405054395551187.5</v>
      </c>
      <c r="AF90" s="5">
        <f t="shared" si="17"/>
        <v>406734326423970.5</v>
      </c>
      <c r="AG90" s="5">
        <f t="shared" si="17"/>
        <v>408414257296754</v>
      </c>
      <c r="AH90" s="5">
        <f t="shared" si="17"/>
        <v>410094188169537</v>
      </c>
      <c r="AI90" s="5">
        <f t="shared" si="17"/>
        <v>411774119042320</v>
      </c>
      <c r="AJ90" s="5">
        <f t="shared" si="17"/>
        <v>413454049915103</v>
      </c>
      <c r="AK90" s="5">
        <f t="shared" si="17"/>
        <v>415133980787886.5</v>
      </c>
      <c r="AL90" s="5">
        <f t="shared" si="17"/>
        <v>416813911660669.5</v>
      </c>
      <c r="AM90" s="5">
        <f t="shared" si="17"/>
        <v>418493842533452.5</v>
      </c>
      <c r="AN90" s="5">
        <f t="shared" si="17"/>
        <v>420173773406235.5</v>
      </c>
      <c r="AO90" s="5">
        <f t="shared" si="17"/>
        <v>421853704279018.5</v>
      </c>
    </row>
    <row r="91" spans="1:41">
      <c r="A91" s="19" t="s">
        <v>22</v>
      </c>
      <c r="B91" s="5">
        <f>0</f>
        <v>0</v>
      </c>
      <c r="C91" s="5">
        <f>0</f>
        <v>0</v>
      </c>
      <c r="D91" s="5">
        <f>0</f>
        <v>0</v>
      </c>
      <c r="E91" s="5">
        <f>0</f>
        <v>0</v>
      </c>
      <c r="F91" s="5">
        <f>0</f>
        <v>0</v>
      </c>
      <c r="I91" s="19" t="s">
        <v>22</v>
      </c>
      <c r="J91" s="5">
        <f t="shared" si="16"/>
        <v>0</v>
      </c>
      <c r="K91" s="5">
        <f t="shared" si="17"/>
        <v>0</v>
      </c>
      <c r="L91" s="5">
        <f t="shared" si="17"/>
        <v>0</v>
      </c>
      <c r="M91" s="5">
        <f t="shared" si="17"/>
        <v>0</v>
      </c>
      <c r="N91" s="5">
        <f t="shared" si="17"/>
        <v>0</v>
      </c>
      <c r="O91" s="5">
        <f t="shared" si="17"/>
        <v>0</v>
      </c>
      <c r="P91" s="5">
        <f t="shared" si="17"/>
        <v>0</v>
      </c>
      <c r="Q91" s="5">
        <f t="shared" si="17"/>
        <v>0</v>
      </c>
      <c r="R91" s="5">
        <f t="shared" si="17"/>
        <v>0</v>
      </c>
      <c r="S91" s="5">
        <f t="shared" si="17"/>
        <v>0</v>
      </c>
      <c r="T91" s="5">
        <f t="shared" si="17"/>
        <v>0</v>
      </c>
      <c r="U91" s="5">
        <f t="shared" si="17"/>
        <v>0</v>
      </c>
      <c r="V91" s="5">
        <f t="shared" si="17"/>
        <v>0</v>
      </c>
      <c r="W91" s="5">
        <f t="shared" si="17"/>
        <v>0</v>
      </c>
      <c r="X91" s="5">
        <f t="shared" si="17"/>
        <v>0</v>
      </c>
      <c r="Y91" s="5">
        <f t="shared" si="17"/>
        <v>0</v>
      </c>
      <c r="Z91" s="5">
        <f t="shared" si="17"/>
        <v>0</v>
      </c>
      <c r="AA91" s="5">
        <f t="shared" si="17"/>
        <v>0</v>
      </c>
      <c r="AB91" s="5">
        <f t="shared" si="17"/>
        <v>0</v>
      </c>
      <c r="AC91" s="5">
        <f t="shared" si="17"/>
        <v>0</v>
      </c>
      <c r="AD91" s="5">
        <f t="shared" si="17"/>
        <v>0</v>
      </c>
      <c r="AE91" s="5">
        <f t="shared" si="17"/>
        <v>0</v>
      </c>
      <c r="AF91" s="5">
        <f t="shared" si="17"/>
        <v>0</v>
      </c>
      <c r="AG91" s="5">
        <f t="shared" si="17"/>
        <v>0</v>
      </c>
      <c r="AH91" s="5">
        <f t="shared" si="17"/>
        <v>0</v>
      </c>
      <c r="AI91" s="5">
        <f t="shared" si="17"/>
        <v>0</v>
      </c>
      <c r="AJ91" s="5">
        <f t="shared" si="17"/>
        <v>0</v>
      </c>
      <c r="AK91" s="5">
        <f t="shared" si="17"/>
        <v>0</v>
      </c>
      <c r="AL91" s="5">
        <f t="shared" si="17"/>
        <v>0</v>
      </c>
      <c r="AM91" s="5">
        <f t="shared" si="17"/>
        <v>0</v>
      </c>
      <c r="AN91" s="5">
        <f t="shared" si="17"/>
        <v>0</v>
      </c>
      <c r="AO91" s="5">
        <f t="shared" si="17"/>
        <v>0</v>
      </c>
    </row>
    <row r="92" spans="1:41">
      <c r="A92" s="19" t="s">
        <v>17</v>
      </c>
      <c r="B92" s="5">
        <f>0</f>
        <v>0</v>
      </c>
      <c r="C92" s="5">
        <f>0</f>
        <v>0</v>
      </c>
      <c r="D92" s="5">
        <f>0</f>
        <v>0</v>
      </c>
      <c r="E92" s="5">
        <f>0</f>
        <v>0</v>
      </c>
      <c r="F92" s="5">
        <f>0</f>
        <v>0</v>
      </c>
      <c r="I92" s="19" t="s">
        <v>17</v>
      </c>
      <c r="J92" s="5">
        <f t="shared" si="16"/>
        <v>0</v>
      </c>
      <c r="K92" s="5">
        <f t="shared" si="17"/>
        <v>0</v>
      </c>
      <c r="L92" s="5">
        <f t="shared" si="17"/>
        <v>0</v>
      </c>
      <c r="M92" s="5">
        <f t="shared" si="17"/>
        <v>0</v>
      </c>
      <c r="N92" s="5">
        <f t="shared" si="17"/>
        <v>0</v>
      </c>
      <c r="O92" s="5">
        <f t="shared" si="17"/>
        <v>0</v>
      </c>
      <c r="P92" s="5">
        <f t="shared" si="17"/>
        <v>0</v>
      </c>
      <c r="Q92" s="5">
        <f t="shared" si="17"/>
        <v>0</v>
      </c>
      <c r="R92" s="5">
        <f t="shared" si="17"/>
        <v>0</v>
      </c>
      <c r="S92" s="5">
        <f t="shared" si="17"/>
        <v>0</v>
      </c>
      <c r="T92" s="5">
        <f t="shared" si="17"/>
        <v>0</v>
      </c>
      <c r="U92" s="5">
        <f t="shared" si="17"/>
        <v>0</v>
      </c>
      <c r="V92" s="5">
        <f t="shared" si="17"/>
        <v>0</v>
      </c>
      <c r="W92" s="5">
        <f t="shared" si="17"/>
        <v>0</v>
      </c>
      <c r="X92" s="5">
        <f t="shared" si="17"/>
        <v>0</v>
      </c>
      <c r="Y92" s="5">
        <f t="shared" si="17"/>
        <v>0</v>
      </c>
      <c r="Z92" s="5">
        <f t="shared" si="17"/>
        <v>0</v>
      </c>
      <c r="AA92" s="5">
        <f t="shared" si="17"/>
        <v>0</v>
      </c>
      <c r="AB92" s="5">
        <f t="shared" si="17"/>
        <v>0</v>
      </c>
      <c r="AC92" s="5">
        <f t="shared" si="17"/>
        <v>0</v>
      </c>
      <c r="AD92" s="5">
        <f t="shared" si="17"/>
        <v>0</v>
      </c>
      <c r="AE92" s="5">
        <f t="shared" si="17"/>
        <v>0</v>
      </c>
      <c r="AF92" s="5">
        <f t="shared" si="17"/>
        <v>0</v>
      </c>
      <c r="AG92" s="5">
        <f t="shared" si="17"/>
        <v>0</v>
      </c>
      <c r="AH92" s="5">
        <f t="shared" si="17"/>
        <v>0</v>
      </c>
      <c r="AI92" s="5">
        <f t="shared" si="17"/>
        <v>0</v>
      </c>
      <c r="AJ92" s="5">
        <f t="shared" si="17"/>
        <v>0</v>
      </c>
      <c r="AK92" s="5">
        <f t="shared" si="17"/>
        <v>0</v>
      </c>
      <c r="AL92" s="5">
        <f t="shared" si="17"/>
        <v>0</v>
      </c>
      <c r="AM92" s="5">
        <f t="shared" si="17"/>
        <v>0</v>
      </c>
      <c r="AN92" s="5">
        <f t="shared" si="17"/>
        <v>0</v>
      </c>
      <c r="AO92" s="5">
        <f t="shared" si="17"/>
        <v>0</v>
      </c>
    </row>
    <row r="93" spans="1:41">
      <c r="A93" s="19" t="s">
        <v>18</v>
      </c>
      <c r="B93" s="5">
        <f>0</f>
        <v>0</v>
      </c>
      <c r="C93" s="5">
        <f>0</f>
        <v>0</v>
      </c>
      <c r="D93" s="5">
        <f>0</f>
        <v>0</v>
      </c>
      <c r="E93" s="5">
        <f>0</f>
        <v>0</v>
      </c>
      <c r="F93" s="5">
        <f>0</f>
        <v>0</v>
      </c>
      <c r="I93" s="19" t="s">
        <v>18</v>
      </c>
      <c r="J93" s="5">
        <f t="shared" si="16"/>
        <v>0</v>
      </c>
      <c r="K93" s="5">
        <f t="shared" si="17"/>
        <v>0</v>
      </c>
      <c r="L93" s="5">
        <f t="shared" si="17"/>
        <v>0</v>
      </c>
      <c r="M93" s="5">
        <f t="shared" si="17"/>
        <v>0</v>
      </c>
      <c r="N93" s="5">
        <f t="shared" si="17"/>
        <v>0</v>
      </c>
      <c r="O93" s="5">
        <f t="shared" si="17"/>
        <v>0</v>
      </c>
      <c r="P93" s="5">
        <f t="shared" si="17"/>
        <v>0</v>
      </c>
      <c r="Q93" s="5">
        <f t="shared" si="17"/>
        <v>0</v>
      </c>
      <c r="R93" s="5">
        <f t="shared" si="17"/>
        <v>0</v>
      </c>
      <c r="S93" s="5">
        <f t="shared" si="17"/>
        <v>0</v>
      </c>
      <c r="T93" s="5">
        <f t="shared" si="17"/>
        <v>0</v>
      </c>
      <c r="U93" s="5">
        <f t="shared" si="17"/>
        <v>0</v>
      </c>
      <c r="V93" s="5">
        <f t="shared" si="17"/>
        <v>0</v>
      </c>
      <c r="W93" s="5">
        <f t="shared" si="17"/>
        <v>0</v>
      </c>
      <c r="X93" s="5">
        <f t="shared" si="17"/>
        <v>0</v>
      </c>
      <c r="Y93" s="5">
        <f t="shared" si="17"/>
        <v>0</v>
      </c>
      <c r="Z93" s="5">
        <f t="shared" si="17"/>
        <v>0</v>
      </c>
      <c r="AA93" s="5">
        <f t="shared" si="17"/>
        <v>0</v>
      </c>
      <c r="AB93" s="5">
        <f t="shared" si="17"/>
        <v>0</v>
      </c>
      <c r="AC93" s="5">
        <f t="shared" si="17"/>
        <v>0</v>
      </c>
      <c r="AD93" s="5">
        <f t="shared" si="17"/>
        <v>0</v>
      </c>
      <c r="AE93" s="5">
        <f t="shared" si="17"/>
        <v>0</v>
      </c>
      <c r="AF93" s="5">
        <f t="shared" si="17"/>
        <v>0</v>
      </c>
      <c r="AG93" s="5">
        <f t="shared" si="17"/>
        <v>0</v>
      </c>
      <c r="AH93" s="5">
        <f t="shared" si="17"/>
        <v>0</v>
      </c>
      <c r="AI93" s="5">
        <f t="shared" si="17"/>
        <v>0</v>
      </c>
      <c r="AJ93" s="5">
        <f t="shared" si="17"/>
        <v>0</v>
      </c>
      <c r="AK93" s="5">
        <f t="shared" si="17"/>
        <v>0</v>
      </c>
      <c r="AL93" s="5">
        <f t="shared" si="17"/>
        <v>0</v>
      </c>
      <c r="AM93" s="5">
        <f t="shared" si="17"/>
        <v>0</v>
      </c>
      <c r="AN93" s="5">
        <f t="shared" si="17"/>
        <v>0</v>
      </c>
      <c r="AO93" s="5">
        <f t="shared" si="17"/>
        <v>0</v>
      </c>
    </row>
    <row r="94" spans="1:41">
      <c r="A94" s="19" t="s">
        <v>5</v>
      </c>
      <c r="B94" s="5">
        <f>'KEEI&amp;MOTIE'!I100</f>
        <v>0</v>
      </c>
      <c r="C94" s="5">
        <f>'KEEI&amp;MOTIE'!J100</f>
        <v>0</v>
      </c>
      <c r="D94" s="5">
        <f>'KEEI&amp;MOTIE'!K100</f>
        <v>0</v>
      </c>
      <c r="E94" s="5">
        <f>'KEEI&amp;MOTIE'!L100</f>
        <v>0</v>
      </c>
      <c r="F94" s="5">
        <f>'KEEI&amp;MOTIE'!M100</f>
        <v>0</v>
      </c>
      <c r="I94" s="19" t="s">
        <v>5</v>
      </c>
      <c r="J94" s="5">
        <f t="shared" si="16"/>
        <v>0</v>
      </c>
      <c r="K94" s="5">
        <f t="shared" si="17"/>
        <v>0</v>
      </c>
      <c r="L94" s="5">
        <f t="shared" si="17"/>
        <v>0</v>
      </c>
      <c r="M94" s="5">
        <f t="shared" si="17"/>
        <v>0</v>
      </c>
      <c r="N94" s="5">
        <f t="shared" si="17"/>
        <v>0</v>
      </c>
      <c r="O94" s="5">
        <f t="shared" si="17"/>
        <v>0</v>
      </c>
      <c r="P94" s="5">
        <f t="shared" si="17"/>
        <v>0</v>
      </c>
      <c r="Q94" s="5">
        <f t="shared" si="17"/>
        <v>0</v>
      </c>
      <c r="R94" s="5">
        <f t="shared" si="17"/>
        <v>0</v>
      </c>
      <c r="S94" s="5">
        <f t="shared" si="17"/>
        <v>0</v>
      </c>
      <c r="T94" s="5">
        <f t="shared" si="17"/>
        <v>0</v>
      </c>
      <c r="U94" s="5">
        <f t="shared" si="17"/>
        <v>0</v>
      </c>
      <c r="V94" s="5">
        <f t="shared" si="17"/>
        <v>0</v>
      </c>
      <c r="W94" s="5">
        <f t="shared" si="17"/>
        <v>0</v>
      </c>
      <c r="X94" s="5">
        <f t="shared" si="17"/>
        <v>0</v>
      </c>
      <c r="Y94" s="5">
        <f t="shared" si="17"/>
        <v>0</v>
      </c>
      <c r="Z94" s="5">
        <f t="shared" si="17"/>
        <v>0</v>
      </c>
      <c r="AA94" s="5">
        <f t="shared" si="17"/>
        <v>0</v>
      </c>
      <c r="AB94" s="5">
        <f t="shared" si="17"/>
        <v>0</v>
      </c>
      <c r="AC94" s="5">
        <f t="shared" si="17"/>
        <v>0</v>
      </c>
      <c r="AD94" s="5">
        <f t="shared" si="17"/>
        <v>0</v>
      </c>
      <c r="AE94" s="5">
        <f t="shared" si="17"/>
        <v>0</v>
      </c>
      <c r="AF94" s="5">
        <f t="shared" si="17"/>
        <v>0</v>
      </c>
      <c r="AG94" s="5">
        <f t="shared" si="17"/>
        <v>0</v>
      </c>
      <c r="AH94" s="5">
        <f t="shared" si="17"/>
        <v>0</v>
      </c>
      <c r="AI94" s="5">
        <f t="shared" si="17"/>
        <v>0</v>
      </c>
      <c r="AJ94" s="5">
        <f t="shared" si="17"/>
        <v>0</v>
      </c>
      <c r="AK94" s="5">
        <f t="shared" si="17"/>
        <v>0</v>
      </c>
      <c r="AL94" s="5">
        <f t="shared" si="17"/>
        <v>0</v>
      </c>
      <c r="AM94" s="5">
        <f t="shared" si="17"/>
        <v>0</v>
      </c>
      <c r="AN94" s="5">
        <f t="shared" ref="K94:AO98" si="18">IF( _xlfn.FORECAST.LINEAR(AN$77,$B94:$F94,$B$77:$F$77)&gt;0, _xlfn.FORECAST.LINEAR(AN$77,$B94:$F94,$B$77:$F$77), 0 )</f>
        <v>0</v>
      </c>
      <c r="AO94" s="5">
        <f t="shared" si="18"/>
        <v>0</v>
      </c>
    </row>
    <row r="95" spans="1:41">
      <c r="A95" s="19" t="s">
        <v>19</v>
      </c>
      <c r="B95" s="5">
        <f>'KEEI&amp;MOTIE'!I101</f>
        <v>350570073582800.31</v>
      </c>
      <c r="C95" s="5">
        <f>'KEEI&amp;MOTIE'!J101</f>
        <v>60810111676940.773</v>
      </c>
      <c r="D95" s="5">
        <f>'KEEI&amp;MOTIE'!K101</f>
        <v>60257292479877.688</v>
      </c>
      <c r="E95" s="5">
        <f>'KEEI&amp;MOTIE'!L101</f>
        <v>56970531071884.336</v>
      </c>
      <c r="F95" s="5">
        <f>'KEEI&amp;MOTIE'!M101</f>
        <v>49201822289354.672</v>
      </c>
      <c r="I95" s="19" t="s">
        <v>19</v>
      </c>
      <c r="J95" s="5">
        <f t="shared" si="16"/>
        <v>170784022985292</v>
      </c>
      <c r="K95" s="5">
        <f t="shared" si="18"/>
        <v>164909336095386</v>
      </c>
      <c r="L95" s="5">
        <f t="shared" si="18"/>
        <v>159034649205480</v>
      </c>
      <c r="M95" s="5">
        <f t="shared" si="18"/>
        <v>153159962315574</v>
      </c>
      <c r="N95" s="5">
        <f t="shared" si="18"/>
        <v>147285275425668</v>
      </c>
      <c r="O95" s="5">
        <f t="shared" si="18"/>
        <v>141410588535760</v>
      </c>
      <c r="P95" s="5">
        <f t="shared" si="18"/>
        <v>135535901645854</v>
      </c>
      <c r="Q95" s="5">
        <f t="shared" si="18"/>
        <v>129661214755948</v>
      </c>
      <c r="R95" s="5">
        <f t="shared" si="18"/>
        <v>123786527866042</v>
      </c>
      <c r="S95" s="5">
        <f t="shared" si="18"/>
        <v>117911840976134</v>
      </c>
      <c r="T95" s="5">
        <f t="shared" si="18"/>
        <v>112037154086228</v>
      </c>
      <c r="U95" s="5">
        <f t="shared" si="18"/>
        <v>106162467196322</v>
      </c>
      <c r="V95" s="5">
        <f t="shared" si="18"/>
        <v>100287780306416</v>
      </c>
      <c r="W95" s="5">
        <f t="shared" si="18"/>
        <v>94413093416510</v>
      </c>
      <c r="X95" s="5">
        <f t="shared" si="18"/>
        <v>88538406526602</v>
      </c>
      <c r="Y95" s="5">
        <f t="shared" si="18"/>
        <v>82663719636696</v>
      </c>
      <c r="Z95" s="5">
        <f t="shared" si="18"/>
        <v>76789032746790</v>
      </c>
      <c r="AA95" s="5">
        <f t="shared" si="18"/>
        <v>70914345856884</v>
      </c>
      <c r="AB95" s="5">
        <f t="shared" si="18"/>
        <v>65039658966976</v>
      </c>
      <c r="AC95" s="5">
        <f t="shared" si="18"/>
        <v>59164972077070</v>
      </c>
      <c r="AD95" s="5">
        <f t="shared" si="18"/>
        <v>53290285187164</v>
      </c>
      <c r="AE95" s="5">
        <f t="shared" si="18"/>
        <v>47415598297258</v>
      </c>
      <c r="AF95" s="5">
        <f t="shared" si="18"/>
        <v>41540911407352</v>
      </c>
      <c r="AG95" s="5">
        <f t="shared" si="18"/>
        <v>35666224517444</v>
      </c>
      <c r="AH95" s="5">
        <f t="shared" si="18"/>
        <v>29791537627538</v>
      </c>
      <c r="AI95" s="5">
        <f t="shared" si="18"/>
        <v>23916850737632</v>
      </c>
      <c r="AJ95" s="5">
        <f t="shared" si="18"/>
        <v>18042163847726</v>
      </c>
      <c r="AK95" s="5">
        <f t="shared" si="18"/>
        <v>12167476957818</v>
      </c>
      <c r="AL95" s="5">
        <f t="shared" si="18"/>
        <v>6292790067912</v>
      </c>
      <c r="AM95" s="5">
        <f t="shared" si="18"/>
        <v>418103178006</v>
      </c>
      <c r="AN95" s="5">
        <f t="shared" si="18"/>
        <v>0</v>
      </c>
      <c r="AO95" s="5">
        <f t="shared" si="18"/>
        <v>0</v>
      </c>
    </row>
    <row r="96" spans="1:41">
      <c r="A96" s="19" t="s">
        <v>6</v>
      </c>
      <c r="B96" s="5">
        <f>'KEEI&amp;MOTIE'!I102</f>
        <v>39501586040486</v>
      </c>
      <c r="C96" s="5">
        <f>'KEEI&amp;MOTIE'!J102</f>
        <v>3413898609249.2905</v>
      </c>
      <c r="D96" s="5">
        <f>'KEEI&amp;MOTIE'!K102</f>
        <v>3382863167347.0234</v>
      </c>
      <c r="E96" s="5">
        <f>'KEEI&amp;MOTIE'!L102</f>
        <v>3198343358219.0044</v>
      </c>
      <c r="F96" s="5">
        <f>'KEEI&amp;MOTIE'!M102</f>
        <v>2762205627552.7769</v>
      </c>
      <c r="I96" s="19" t="s">
        <v>6</v>
      </c>
      <c r="J96" s="5">
        <f t="shared" si="16"/>
        <v>17198099438620.25</v>
      </c>
      <c r="K96" s="5">
        <f t="shared" si="18"/>
        <v>16480405813295.75</v>
      </c>
      <c r="L96" s="5">
        <f t="shared" si="18"/>
        <v>15762712187971.5</v>
      </c>
      <c r="M96" s="5">
        <f t="shared" si="18"/>
        <v>15045018562647</v>
      </c>
      <c r="N96" s="5">
        <f t="shared" si="18"/>
        <v>14327324937322.75</v>
      </c>
      <c r="O96" s="5">
        <f t="shared" si="18"/>
        <v>13609631311998.25</v>
      </c>
      <c r="P96" s="5">
        <f t="shared" si="18"/>
        <v>12891937686673.75</v>
      </c>
      <c r="Q96" s="5">
        <f t="shared" si="18"/>
        <v>12174244061349.5</v>
      </c>
      <c r="R96" s="5">
        <f t="shared" si="18"/>
        <v>11456550436025</v>
      </c>
      <c r="S96" s="5">
        <f t="shared" si="18"/>
        <v>10738856810700.75</v>
      </c>
      <c r="T96" s="5">
        <f t="shared" si="18"/>
        <v>10021163185376.25</v>
      </c>
      <c r="U96" s="5">
        <f t="shared" si="18"/>
        <v>9303469560051.75</v>
      </c>
      <c r="V96" s="5">
        <f t="shared" si="18"/>
        <v>8585775934727.5</v>
      </c>
      <c r="W96" s="5">
        <f t="shared" si="18"/>
        <v>7868082309403</v>
      </c>
      <c r="X96" s="5">
        <f t="shared" si="18"/>
        <v>7150388684078.75</v>
      </c>
      <c r="Y96" s="5">
        <f t="shared" si="18"/>
        <v>6432695058754.25</v>
      </c>
      <c r="Z96" s="5">
        <f t="shared" si="18"/>
        <v>5715001433430</v>
      </c>
      <c r="AA96" s="5">
        <f t="shared" si="18"/>
        <v>4997307808105.5</v>
      </c>
      <c r="AB96" s="5">
        <f t="shared" si="18"/>
        <v>4279614182781</v>
      </c>
      <c r="AC96" s="5">
        <f t="shared" si="18"/>
        <v>3561920557456.75</v>
      </c>
      <c r="AD96" s="5">
        <f t="shared" si="18"/>
        <v>2844226932132.25</v>
      </c>
      <c r="AE96" s="5">
        <f t="shared" si="18"/>
        <v>2126533306808</v>
      </c>
      <c r="AF96" s="5">
        <f t="shared" si="18"/>
        <v>1408839681483.5</v>
      </c>
      <c r="AG96" s="5">
        <f t="shared" si="18"/>
        <v>691146056159</v>
      </c>
      <c r="AH96" s="5">
        <f t="shared" si="18"/>
        <v>0</v>
      </c>
      <c r="AI96" s="5">
        <f t="shared" si="18"/>
        <v>0</v>
      </c>
      <c r="AJ96" s="5">
        <f t="shared" si="18"/>
        <v>0</v>
      </c>
      <c r="AK96" s="5">
        <f t="shared" si="18"/>
        <v>0</v>
      </c>
      <c r="AL96" s="5">
        <f t="shared" si="18"/>
        <v>0</v>
      </c>
      <c r="AM96" s="5">
        <f t="shared" si="18"/>
        <v>0</v>
      </c>
      <c r="AN96" s="5">
        <f t="shared" si="18"/>
        <v>0</v>
      </c>
      <c r="AO96" s="5">
        <f t="shared" si="18"/>
        <v>0</v>
      </c>
    </row>
    <row r="97" spans="1:41">
      <c r="A97" s="19" t="s">
        <v>20</v>
      </c>
      <c r="B97" s="5">
        <f>0</f>
        <v>0</v>
      </c>
      <c r="C97" s="5">
        <f>0</f>
        <v>0</v>
      </c>
      <c r="D97" s="5">
        <f>0</f>
        <v>0</v>
      </c>
      <c r="E97" s="5">
        <f>0</f>
        <v>0</v>
      </c>
      <c r="F97" s="5">
        <f>0</f>
        <v>0</v>
      </c>
      <c r="I97" s="19" t="s">
        <v>20</v>
      </c>
      <c r="J97" s="5">
        <f t="shared" si="16"/>
        <v>0</v>
      </c>
      <c r="K97" s="5">
        <f t="shared" si="18"/>
        <v>0</v>
      </c>
      <c r="L97" s="5">
        <f t="shared" si="18"/>
        <v>0</v>
      </c>
      <c r="M97" s="5">
        <f t="shared" si="18"/>
        <v>0</v>
      </c>
      <c r="N97" s="5">
        <f t="shared" si="18"/>
        <v>0</v>
      </c>
      <c r="O97" s="5">
        <f t="shared" si="18"/>
        <v>0</v>
      </c>
      <c r="P97" s="5">
        <f t="shared" si="18"/>
        <v>0</v>
      </c>
      <c r="Q97" s="5">
        <f t="shared" si="18"/>
        <v>0</v>
      </c>
      <c r="R97" s="5">
        <f t="shared" si="18"/>
        <v>0</v>
      </c>
      <c r="S97" s="5">
        <f t="shared" si="18"/>
        <v>0</v>
      </c>
      <c r="T97" s="5">
        <f t="shared" si="18"/>
        <v>0</v>
      </c>
      <c r="U97" s="5">
        <f t="shared" si="18"/>
        <v>0</v>
      </c>
      <c r="V97" s="5">
        <f t="shared" si="18"/>
        <v>0</v>
      </c>
      <c r="W97" s="5">
        <f t="shared" si="18"/>
        <v>0</v>
      </c>
      <c r="X97" s="5">
        <f t="shared" si="18"/>
        <v>0</v>
      </c>
      <c r="Y97" s="5">
        <f t="shared" si="18"/>
        <v>0</v>
      </c>
      <c r="Z97" s="5">
        <f t="shared" si="18"/>
        <v>0</v>
      </c>
      <c r="AA97" s="5">
        <f t="shared" si="18"/>
        <v>0</v>
      </c>
      <c r="AB97" s="5">
        <f t="shared" si="18"/>
        <v>0</v>
      </c>
      <c r="AC97" s="5">
        <f t="shared" si="18"/>
        <v>0</v>
      </c>
      <c r="AD97" s="5">
        <f t="shared" si="18"/>
        <v>0</v>
      </c>
      <c r="AE97" s="5">
        <f t="shared" si="18"/>
        <v>0</v>
      </c>
      <c r="AF97" s="5">
        <f t="shared" si="18"/>
        <v>0</v>
      </c>
      <c r="AG97" s="5">
        <f t="shared" si="18"/>
        <v>0</v>
      </c>
      <c r="AH97" s="5">
        <f t="shared" si="18"/>
        <v>0</v>
      </c>
      <c r="AI97" s="5">
        <f t="shared" si="18"/>
        <v>0</v>
      </c>
      <c r="AJ97" s="5">
        <f t="shared" si="18"/>
        <v>0</v>
      </c>
      <c r="AK97" s="5">
        <f t="shared" si="18"/>
        <v>0</v>
      </c>
      <c r="AL97" s="5">
        <f t="shared" si="18"/>
        <v>0</v>
      </c>
      <c r="AM97" s="5">
        <f t="shared" si="18"/>
        <v>0</v>
      </c>
      <c r="AN97" s="5">
        <f t="shared" si="18"/>
        <v>0</v>
      </c>
      <c r="AO97" s="5">
        <f t="shared" si="18"/>
        <v>0</v>
      </c>
    </row>
    <row r="98" spans="1:41">
      <c r="A98" s="19" t="s">
        <v>21</v>
      </c>
      <c r="B98" s="5">
        <f>0</f>
        <v>0</v>
      </c>
      <c r="C98" s="5">
        <f>0</f>
        <v>0</v>
      </c>
      <c r="D98" s="5">
        <f>0</f>
        <v>0</v>
      </c>
      <c r="E98" s="5">
        <f>0</f>
        <v>0</v>
      </c>
      <c r="F98" s="5">
        <f>0</f>
        <v>0</v>
      </c>
      <c r="I98" s="19" t="s">
        <v>21</v>
      </c>
      <c r="J98" s="5">
        <f t="shared" si="16"/>
        <v>0</v>
      </c>
      <c r="K98" s="5">
        <f t="shared" si="18"/>
        <v>0</v>
      </c>
      <c r="L98" s="5">
        <f t="shared" si="18"/>
        <v>0</v>
      </c>
      <c r="M98" s="5">
        <f t="shared" si="18"/>
        <v>0</v>
      </c>
      <c r="N98" s="5">
        <f t="shared" si="18"/>
        <v>0</v>
      </c>
      <c r="O98" s="5">
        <f t="shared" si="18"/>
        <v>0</v>
      </c>
      <c r="P98" s="5">
        <f t="shared" si="18"/>
        <v>0</v>
      </c>
      <c r="Q98" s="5">
        <f t="shared" si="18"/>
        <v>0</v>
      </c>
      <c r="R98" s="5">
        <f t="shared" si="18"/>
        <v>0</v>
      </c>
      <c r="S98" s="5">
        <f t="shared" si="18"/>
        <v>0</v>
      </c>
      <c r="T98" s="5">
        <f t="shared" si="18"/>
        <v>0</v>
      </c>
      <c r="U98" s="5">
        <f t="shared" si="18"/>
        <v>0</v>
      </c>
      <c r="V98" s="5">
        <f t="shared" si="18"/>
        <v>0</v>
      </c>
      <c r="W98" s="5">
        <f t="shared" si="18"/>
        <v>0</v>
      </c>
      <c r="X98" s="5">
        <f t="shared" si="18"/>
        <v>0</v>
      </c>
      <c r="Y98" s="5">
        <f t="shared" si="18"/>
        <v>0</v>
      </c>
      <c r="Z98" s="5">
        <f t="shared" si="18"/>
        <v>0</v>
      </c>
      <c r="AA98" s="5">
        <f t="shared" si="18"/>
        <v>0</v>
      </c>
      <c r="AB98" s="5">
        <f t="shared" si="18"/>
        <v>0</v>
      </c>
      <c r="AC98" s="5">
        <f t="shared" si="18"/>
        <v>0</v>
      </c>
      <c r="AD98" s="5">
        <f t="shared" si="18"/>
        <v>0</v>
      </c>
      <c r="AE98" s="5">
        <f t="shared" si="18"/>
        <v>0</v>
      </c>
      <c r="AF98" s="5">
        <f t="shared" si="18"/>
        <v>0</v>
      </c>
      <c r="AG98" s="5">
        <f t="shared" si="18"/>
        <v>0</v>
      </c>
      <c r="AH98" s="5">
        <f t="shared" si="18"/>
        <v>0</v>
      </c>
      <c r="AI98" s="5">
        <f t="shared" si="18"/>
        <v>0</v>
      </c>
      <c r="AJ98" s="5">
        <f t="shared" si="18"/>
        <v>0</v>
      </c>
      <c r="AK98" s="5">
        <f t="shared" si="18"/>
        <v>0</v>
      </c>
      <c r="AL98" s="5">
        <f t="shared" si="18"/>
        <v>0</v>
      </c>
      <c r="AM98" s="5">
        <f t="shared" si="18"/>
        <v>0</v>
      </c>
      <c r="AN98" s="5">
        <f t="shared" si="18"/>
        <v>0</v>
      </c>
      <c r="AO98" s="5">
        <f t="shared" si="18"/>
        <v>0</v>
      </c>
    </row>
    <row r="99" spans="1:41"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22"/>
  <sheetViews>
    <sheetView workbookViewId="0"/>
  </sheetViews>
  <sheetFormatPr defaultColWidth="8.875" defaultRowHeight="16.5"/>
  <cols>
    <col min="1" max="1" width="36.125" customWidth="1"/>
    <col min="2" max="35" width="13" customWidth="1"/>
  </cols>
  <sheetData>
    <row r="1" spans="1:34">
      <c r="A1" s="3" t="s">
        <v>26</v>
      </c>
      <c r="B1" s="6">
        <v>2019</v>
      </c>
      <c r="C1">
        <v>2020</v>
      </c>
      <c r="D1" s="6">
        <v>2021</v>
      </c>
      <c r="E1">
        <v>2022</v>
      </c>
      <c r="F1" s="6">
        <v>2023</v>
      </c>
      <c r="G1">
        <v>2024</v>
      </c>
      <c r="H1" s="6">
        <v>2025</v>
      </c>
      <c r="I1">
        <v>2026</v>
      </c>
      <c r="J1" s="6">
        <v>2027</v>
      </c>
      <c r="K1">
        <v>2028</v>
      </c>
      <c r="L1" s="6">
        <v>2029</v>
      </c>
      <c r="M1">
        <v>2030</v>
      </c>
      <c r="N1" s="6">
        <v>2031</v>
      </c>
      <c r="O1">
        <v>2032</v>
      </c>
      <c r="P1" s="6">
        <v>2033</v>
      </c>
      <c r="Q1">
        <v>2034</v>
      </c>
      <c r="R1" s="6">
        <v>2035</v>
      </c>
      <c r="S1">
        <v>2036</v>
      </c>
      <c r="T1" s="6">
        <v>2037</v>
      </c>
      <c r="U1">
        <v>2038</v>
      </c>
      <c r="V1" s="6">
        <v>2039</v>
      </c>
      <c r="W1">
        <v>2040</v>
      </c>
      <c r="X1" s="6">
        <v>2041</v>
      </c>
      <c r="Y1">
        <v>2042</v>
      </c>
      <c r="Z1" s="6">
        <v>2043</v>
      </c>
      <c r="AA1">
        <v>2044</v>
      </c>
      <c r="AB1" s="6">
        <v>2045</v>
      </c>
      <c r="AC1">
        <v>2046</v>
      </c>
      <c r="AD1" s="6">
        <v>2047</v>
      </c>
      <c r="AE1">
        <v>2048</v>
      </c>
      <c r="AF1" s="6">
        <v>2049</v>
      </c>
      <c r="AG1">
        <v>2050</v>
      </c>
      <c r="AH1" s="6"/>
    </row>
    <row r="2" spans="1:34">
      <c r="A2" s="3" t="s">
        <v>7</v>
      </c>
      <c r="B2" s="20">
        <f>Calculations!J28</f>
        <v>0</v>
      </c>
      <c r="C2" s="20">
        <f>Calculations!K28</f>
        <v>0</v>
      </c>
      <c r="D2" s="20">
        <f>Calculations!L28</f>
        <v>0</v>
      </c>
      <c r="E2" s="20">
        <f>Calculations!M28</f>
        <v>0</v>
      </c>
      <c r="F2" s="20">
        <f>Calculations!N28</f>
        <v>0</v>
      </c>
      <c r="G2" s="20">
        <f>Calculations!O28</f>
        <v>0</v>
      </c>
      <c r="H2" s="20">
        <f>Calculations!P28</f>
        <v>0</v>
      </c>
      <c r="I2" s="20">
        <f>Calculations!Q28</f>
        <v>0</v>
      </c>
      <c r="J2" s="20">
        <f>Calculations!R28</f>
        <v>0</v>
      </c>
      <c r="K2" s="20">
        <f>Calculations!S28</f>
        <v>0</v>
      </c>
      <c r="L2" s="20">
        <f>Calculations!T28</f>
        <v>0</v>
      </c>
      <c r="M2" s="20">
        <f>Calculations!U28</f>
        <v>0</v>
      </c>
      <c r="N2" s="20">
        <f>Calculations!V28</f>
        <v>0</v>
      </c>
      <c r="O2" s="20">
        <f>Calculations!W28</f>
        <v>0</v>
      </c>
      <c r="P2" s="20">
        <f>Calculations!X28</f>
        <v>0</v>
      </c>
      <c r="Q2" s="20">
        <f>Calculations!Y28</f>
        <v>0</v>
      </c>
      <c r="R2" s="20">
        <f>Calculations!Z28</f>
        <v>0</v>
      </c>
      <c r="S2" s="20">
        <f>Calculations!AA28</f>
        <v>0</v>
      </c>
      <c r="T2" s="20">
        <f>Calculations!AB28</f>
        <v>0</v>
      </c>
      <c r="U2" s="20">
        <f>Calculations!AC28</f>
        <v>0</v>
      </c>
      <c r="V2" s="20">
        <f>Calculations!AD28</f>
        <v>0</v>
      </c>
      <c r="W2" s="20">
        <f>Calculations!AE28</f>
        <v>0</v>
      </c>
      <c r="X2" s="20">
        <f>Calculations!AF28</f>
        <v>0</v>
      </c>
      <c r="Y2" s="20">
        <f>Calculations!AG28</f>
        <v>0</v>
      </c>
      <c r="Z2" s="20">
        <f>Calculations!AH28</f>
        <v>0</v>
      </c>
      <c r="AA2" s="20">
        <f>Calculations!AI28</f>
        <v>0</v>
      </c>
      <c r="AB2" s="20">
        <f>Calculations!AJ28</f>
        <v>0</v>
      </c>
      <c r="AC2" s="20">
        <f>Calculations!AK28</f>
        <v>0</v>
      </c>
      <c r="AD2" s="20">
        <f>Calculations!AL28</f>
        <v>0</v>
      </c>
      <c r="AE2" s="20">
        <f>Calculations!AM28</f>
        <v>0</v>
      </c>
      <c r="AF2" s="20">
        <f>Calculations!AN28</f>
        <v>0</v>
      </c>
      <c r="AG2" s="20">
        <f>Calculations!AO28</f>
        <v>0</v>
      </c>
    </row>
    <row r="3" spans="1:34">
      <c r="A3" s="1" t="s">
        <v>8</v>
      </c>
      <c r="B3" s="20">
        <v>0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0</v>
      </c>
      <c r="AF3" s="20">
        <v>0</v>
      </c>
      <c r="AG3" s="20">
        <v>0</v>
      </c>
    </row>
    <row r="4" spans="1:34">
      <c r="A4" s="1" t="s">
        <v>1</v>
      </c>
      <c r="B4" s="20">
        <f>Calculations!J30</f>
        <v>0</v>
      </c>
      <c r="C4" s="20">
        <f>Calculations!K30</f>
        <v>0</v>
      </c>
      <c r="D4" s="20">
        <f>Calculations!L30</f>
        <v>0</v>
      </c>
      <c r="E4" s="20">
        <f>Calculations!M30</f>
        <v>0</v>
      </c>
      <c r="F4" s="20">
        <f>Calculations!N30</f>
        <v>0</v>
      </c>
      <c r="G4" s="20">
        <f>Calculations!O30</f>
        <v>0</v>
      </c>
      <c r="H4" s="20">
        <f>Calculations!P30</f>
        <v>0</v>
      </c>
      <c r="I4" s="20">
        <f>Calculations!Q30</f>
        <v>0</v>
      </c>
      <c r="J4" s="20">
        <f>Calculations!R30</f>
        <v>0</v>
      </c>
      <c r="K4" s="20">
        <f>Calculations!S30</f>
        <v>0</v>
      </c>
      <c r="L4" s="20">
        <f>Calculations!T30</f>
        <v>0</v>
      </c>
      <c r="M4" s="20">
        <f>Calculations!U30</f>
        <v>0</v>
      </c>
      <c r="N4" s="20">
        <f>Calculations!V30</f>
        <v>0</v>
      </c>
      <c r="O4" s="20">
        <f>Calculations!W30</f>
        <v>0</v>
      </c>
      <c r="P4" s="20">
        <f>Calculations!X30</f>
        <v>0</v>
      </c>
      <c r="Q4" s="20">
        <f>Calculations!Y30</f>
        <v>0</v>
      </c>
      <c r="R4" s="20">
        <f>Calculations!Z30</f>
        <v>0</v>
      </c>
      <c r="S4" s="20">
        <f>Calculations!AA30</f>
        <v>0</v>
      </c>
      <c r="T4" s="20">
        <f>Calculations!AB30</f>
        <v>0</v>
      </c>
      <c r="U4" s="20">
        <f>Calculations!AC30</f>
        <v>0</v>
      </c>
      <c r="V4" s="20">
        <f>Calculations!AD30</f>
        <v>0</v>
      </c>
      <c r="W4" s="20">
        <f>Calculations!AE30</f>
        <v>0</v>
      </c>
      <c r="X4" s="20">
        <f>Calculations!AF30</f>
        <v>0</v>
      </c>
      <c r="Y4" s="20">
        <f>Calculations!AG30</f>
        <v>0</v>
      </c>
      <c r="Z4" s="20">
        <f>Calculations!AH30</f>
        <v>0</v>
      </c>
      <c r="AA4" s="20">
        <f>Calculations!AI30</f>
        <v>0</v>
      </c>
      <c r="AB4" s="20">
        <f>Calculations!AJ30</f>
        <v>0</v>
      </c>
      <c r="AC4" s="20">
        <f>Calculations!AK30</f>
        <v>0</v>
      </c>
      <c r="AD4" s="20">
        <f>Calculations!AL30</f>
        <v>0</v>
      </c>
      <c r="AE4" s="20">
        <f>Calculations!AM30</f>
        <v>0</v>
      </c>
      <c r="AF4" s="20">
        <f>Calculations!AN30</f>
        <v>0</v>
      </c>
      <c r="AG4" s="20">
        <f>Calculations!AO30</f>
        <v>0</v>
      </c>
    </row>
    <row r="5" spans="1:34">
      <c r="A5" s="1" t="s">
        <v>9</v>
      </c>
      <c r="B5" s="20">
        <f>Calculations!J31</f>
        <v>1338193940973470</v>
      </c>
      <c r="C5" s="20">
        <f>Calculations!K31</f>
        <v>1340959414259697</v>
      </c>
      <c r="D5" s="20">
        <f>Calculations!L31</f>
        <v>1343724887545924</v>
      </c>
      <c r="E5" s="20">
        <f>Calculations!M31</f>
        <v>1346490360832150</v>
      </c>
      <c r="F5" s="20">
        <f>Calculations!N31</f>
        <v>1349255834118377</v>
      </c>
      <c r="G5" s="20">
        <f>Calculations!O31</f>
        <v>1352021307404603</v>
      </c>
      <c r="H5" s="20">
        <f>Calculations!P31</f>
        <v>1354786780690830</v>
      </c>
      <c r="I5" s="20">
        <f>Calculations!Q31</f>
        <v>1357552253977056</v>
      </c>
      <c r="J5" s="20">
        <f>Calculations!R31</f>
        <v>1360317727263283</v>
      </c>
      <c r="K5" s="20">
        <f>Calculations!S31</f>
        <v>1363083200549510</v>
      </c>
      <c r="L5" s="20">
        <f>Calculations!T31</f>
        <v>1365848673835736</v>
      </c>
      <c r="M5" s="20">
        <f>Calculations!U31</f>
        <v>1368614147121963</v>
      </c>
      <c r="N5" s="20">
        <f>Calculations!V31</f>
        <v>1371379620408189</v>
      </c>
      <c r="O5" s="20">
        <f>Calculations!W31</f>
        <v>1374145093694416</v>
      </c>
      <c r="P5" s="20">
        <f>Calculations!X31</f>
        <v>1376910566980642</v>
      </c>
      <c r="Q5" s="20">
        <f>Calculations!Y31</f>
        <v>1379676040266869</v>
      </c>
      <c r="R5" s="20">
        <f>Calculations!Z31</f>
        <v>1382441513553096</v>
      </c>
      <c r="S5" s="20">
        <f>Calculations!AA31</f>
        <v>1385206986839322</v>
      </c>
      <c r="T5" s="20">
        <f>Calculations!AB31</f>
        <v>1387972460125549</v>
      </c>
      <c r="U5" s="20">
        <f>Calculations!AC31</f>
        <v>1390737933411775</v>
      </c>
      <c r="V5" s="20">
        <f>Calculations!AD31</f>
        <v>1393503406698002</v>
      </c>
      <c r="W5" s="20">
        <f>Calculations!AE31</f>
        <v>1396268879984228</v>
      </c>
      <c r="X5" s="20">
        <f>Calculations!AF31</f>
        <v>1399034353270455</v>
      </c>
      <c r="Y5" s="20">
        <f>Calculations!AG31</f>
        <v>1401799826556682</v>
      </c>
      <c r="Z5" s="20">
        <f>Calculations!AH31</f>
        <v>1404565299842908</v>
      </c>
      <c r="AA5" s="20">
        <f>Calculations!AI31</f>
        <v>1407330773129135</v>
      </c>
      <c r="AB5" s="20">
        <f>Calculations!AJ31</f>
        <v>1410096246415361</v>
      </c>
      <c r="AC5" s="20">
        <f>Calculations!AK31</f>
        <v>1412861719701588</v>
      </c>
      <c r="AD5" s="20">
        <f>Calculations!AL31</f>
        <v>1415627192987814</v>
      </c>
      <c r="AE5" s="20">
        <f>Calculations!AM31</f>
        <v>1418392666274041</v>
      </c>
      <c r="AF5" s="20">
        <f>Calculations!AN31</f>
        <v>1421158139560268</v>
      </c>
      <c r="AG5" s="20">
        <f>Calculations!AO31</f>
        <v>1423923612846494</v>
      </c>
    </row>
    <row r="6" spans="1:34">
      <c r="A6" s="1" t="s">
        <v>10</v>
      </c>
      <c r="B6" s="20">
        <f>Calculations!J32</f>
        <v>0</v>
      </c>
      <c r="C6" s="20">
        <f>Calculations!K32</f>
        <v>0</v>
      </c>
      <c r="D6" s="20">
        <f>Calculations!L32</f>
        <v>0</v>
      </c>
      <c r="E6" s="20">
        <f>Calculations!M32</f>
        <v>0</v>
      </c>
      <c r="F6" s="20">
        <f>Calculations!N32</f>
        <v>0</v>
      </c>
      <c r="G6" s="20">
        <f>Calculations!O32</f>
        <v>0</v>
      </c>
      <c r="H6" s="20">
        <f>Calculations!P32</f>
        <v>0</v>
      </c>
      <c r="I6" s="20">
        <f>Calculations!Q32</f>
        <v>0</v>
      </c>
      <c r="J6" s="20">
        <f>Calculations!R32</f>
        <v>0</v>
      </c>
      <c r="K6" s="20">
        <f>Calculations!S32</f>
        <v>0</v>
      </c>
      <c r="L6" s="20">
        <f>Calculations!T32</f>
        <v>0</v>
      </c>
      <c r="M6" s="20">
        <f>Calculations!U32</f>
        <v>0</v>
      </c>
      <c r="N6" s="20">
        <f>Calculations!V32</f>
        <v>0</v>
      </c>
      <c r="O6" s="20">
        <f>Calculations!W32</f>
        <v>0</v>
      </c>
      <c r="P6" s="20">
        <f>Calculations!X32</f>
        <v>0</v>
      </c>
      <c r="Q6" s="20">
        <f>Calculations!Y32</f>
        <v>0</v>
      </c>
      <c r="R6" s="20">
        <f>Calculations!Z32</f>
        <v>0</v>
      </c>
      <c r="S6" s="20">
        <f>Calculations!AA32</f>
        <v>0</v>
      </c>
      <c r="T6" s="20">
        <f>Calculations!AB32</f>
        <v>0</v>
      </c>
      <c r="U6" s="20">
        <f>Calculations!AC32</f>
        <v>0</v>
      </c>
      <c r="V6" s="20">
        <f>Calculations!AD32</f>
        <v>0</v>
      </c>
      <c r="W6" s="20">
        <f>Calculations!AE32</f>
        <v>0</v>
      </c>
      <c r="X6" s="20">
        <f>Calculations!AF32</f>
        <v>0</v>
      </c>
      <c r="Y6" s="20">
        <f>Calculations!AG32</f>
        <v>0</v>
      </c>
      <c r="Z6" s="20">
        <f>Calculations!AH32</f>
        <v>0</v>
      </c>
      <c r="AA6" s="20">
        <f>Calculations!AI32</f>
        <v>0</v>
      </c>
      <c r="AB6" s="20">
        <f>Calculations!AJ32</f>
        <v>0</v>
      </c>
      <c r="AC6" s="20">
        <f>Calculations!AK32</f>
        <v>0</v>
      </c>
      <c r="AD6" s="20">
        <f>Calculations!AL32</f>
        <v>0</v>
      </c>
      <c r="AE6" s="20">
        <f>Calculations!AM32</f>
        <v>0</v>
      </c>
      <c r="AF6" s="20">
        <f>Calculations!AN32</f>
        <v>0</v>
      </c>
      <c r="AG6" s="20">
        <f>Calculations!AO32</f>
        <v>0</v>
      </c>
    </row>
    <row r="7" spans="1:34">
      <c r="A7" s="1" t="s">
        <v>11</v>
      </c>
      <c r="B7" s="20">
        <f>Calculations!J33</f>
        <v>0</v>
      </c>
      <c r="C7" s="20">
        <f>Calculations!K33</f>
        <v>0</v>
      </c>
      <c r="D7" s="20">
        <f>Calculations!L33</f>
        <v>0</v>
      </c>
      <c r="E7" s="20">
        <f>Calculations!M33</f>
        <v>0</v>
      </c>
      <c r="F7" s="20">
        <f>Calculations!N33</f>
        <v>0</v>
      </c>
      <c r="G7" s="20">
        <f>Calculations!O33</f>
        <v>0</v>
      </c>
      <c r="H7" s="20">
        <f>Calculations!P33</f>
        <v>0</v>
      </c>
      <c r="I7" s="20">
        <f>Calculations!Q33</f>
        <v>0</v>
      </c>
      <c r="J7" s="20">
        <f>Calculations!R33</f>
        <v>0</v>
      </c>
      <c r="K7" s="20">
        <f>Calculations!S33</f>
        <v>0</v>
      </c>
      <c r="L7" s="20">
        <f>Calculations!T33</f>
        <v>0</v>
      </c>
      <c r="M7" s="20">
        <f>Calculations!U33</f>
        <v>0</v>
      </c>
      <c r="N7" s="20">
        <f>Calculations!V33</f>
        <v>0</v>
      </c>
      <c r="O7" s="20">
        <f>Calculations!W33</f>
        <v>0</v>
      </c>
      <c r="P7" s="20">
        <f>Calculations!X33</f>
        <v>0</v>
      </c>
      <c r="Q7" s="20">
        <f>Calculations!Y33</f>
        <v>0</v>
      </c>
      <c r="R7" s="20">
        <f>Calculations!Z33</f>
        <v>0</v>
      </c>
      <c r="S7" s="20">
        <f>Calculations!AA33</f>
        <v>0</v>
      </c>
      <c r="T7" s="20">
        <f>Calculations!AB33</f>
        <v>0</v>
      </c>
      <c r="U7" s="20">
        <f>Calculations!AC33</f>
        <v>0</v>
      </c>
      <c r="V7" s="20">
        <f>Calculations!AD33</f>
        <v>0</v>
      </c>
      <c r="W7" s="20">
        <f>Calculations!AE33</f>
        <v>0</v>
      </c>
      <c r="X7" s="20">
        <f>Calculations!AF33</f>
        <v>0</v>
      </c>
      <c r="Y7" s="20">
        <f>Calculations!AG33</f>
        <v>0</v>
      </c>
      <c r="Z7" s="20">
        <f>Calculations!AH33</f>
        <v>0</v>
      </c>
      <c r="AA7" s="20">
        <f>Calculations!AI33</f>
        <v>0</v>
      </c>
      <c r="AB7" s="20">
        <f>Calculations!AJ33</f>
        <v>0</v>
      </c>
      <c r="AC7" s="20">
        <f>Calculations!AK33</f>
        <v>0</v>
      </c>
      <c r="AD7" s="20">
        <f>Calculations!AL33</f>
        <v>0</v>
      </c>
      <c r="AE7" s="20">
        <f>Calculations!AM33</f>
        <v>0</v>
      </c>
      <c r="AF7" s="20">
        <f>Calculations!AN33</f>
        <v>0</v>
      </c>
      <c r="AG7" s="20">
        <f>Calculations!AO33</f>
        <v>0</v>
      </c>
    </row>
    <row r="8" spans="1:34">
      <c r="A8" s="1" t="s">
        <v>12</v>
      </c>
      <c r="B8" s="20">
        <f>Calculations!J34</f>
        <v>0</v>
      </c>
      <c r="C8" s="20">
        <f>Calculations!K34</f>
        <v>0</v>
      </c>
      <c r="D8" s="20">
        <f>Calculations!L34</f>
        <v>0</v>
      </c>
      <c r="E8" s="20">
        <f>Calculations!M34</f>
        <v>0</v>
      </c>
      <c r="F8" s="20">
        <f>Calculations!N34</f>
        <v>0</v>
      </c>
      <c r="G8" s="20">
        <f>Calculations!O34</f>
        <v>0</v>
      </c>
      <c r="H8" s="20">
        <f>Calculations!P34</f>
        <v>0</v>
      </c>
      <c r="I8" s="20">
        <f>Calculations!Q34</f>
        <v>0</v>
      </c>
      <c r="J8" s="20">
        <f>Calculations!R34</f>
        <v>0</v>
      </c>
      <c r="K8" s="20">
        <f>Calculations!S34</f>
        <v>0</v>
      </c>
      <c r="L8" s="20">
        <f>Calculations!T34</f>
        <v>0</v>
      </c>
      <c r="M8" s="20">
        <f>Calculations!U34</f>
        <v>0</v>
      </c>
      <c r="N8" s="20">
        <f>Calculations!V34</f>
        <v>0</v>
      </c>
      <c r="O8" s="20">
        <f>Calculations!W34</f>
        <v>0</v>
      </c>
      <c r="P8" s="20">
        <f>Calculations!X34</f>
        <v>0</v>
      </c>
      <c r="Q8" s="20">
        <f>Calculations!Y34</f>
        <v>0</v>
      </c>
      <c r="R8" s="20">
        <f>Calculations!Z34</f>
        <v>0</v>
      </c>
      <c r="S8" s="20">
        <f>Calculations!AA34</f>
        <v>0</v>
      </c>
      <c r="T8" s="20">
        <f>Calculations!AB34</f>
        <v>0</v>
      </c>
      <c r="U8" s="20">
        <f>Calculations!AC34</f>
        <v>0</v>
      </c>
      <c r="V8" s="20">
        <f>Calculations!AD34</f>
        <v>0</v>
      </c>
      <c r="W8" s="20">
        <f>Calculations!AE34</f>
        <v>0</v>
      </c>
      <c r="X8" s="20">
        <f>Calculations!AF34</f>
        <v>0</v>
      </c>
      <c r="Y8" s="20">
        <f>Calculations!AG34</f>
        <v>0</v>
      </c>
      <c r="Z8" s="20">
        <f>Calculations!AH34</f>
        <v>0</v>
      </c>
      <c r="AA8" s="20">
        <f>Calculations!AI34</f>
        <v>0</v>
      </c>
      <c r="AB8" s="20">
        <f>Calculations!AJ34</f>
        <v>0</v>
      </c>
      <c r="AC8" s="20">
        <f>Calculations!AK34</f>
        <v>0</v>
      </c>
      <c r="AD8" s="20">
        <f>Calculations!AL34</f>
        <v>0</v>
      </c>
      <c r="AE8" s="20">
        <f>Calculations!AM34</f>
        <v>0</v>
      </c>
      <c r="AF8" s="20">
        <f>Calculations!AN34</f>
        <v>0</v>
      </c>
      <c r="AG8" s="20">
        <f>Calculations!AO34</f>
        <v>0</v>
      </c>
    </row>
    <row r="9" spans="1:34">
      <c r="A9" s="1" t="s">
        <v>2</v>
      </c>
      <c r="B9" s="20">
        <f>Calculations!J35</f>
        <v>0</v>
      </c>
      <c r="C9" s="20">
        <f>Calculations!K35</f>
        <v>0</v>
      </c>
      <c r="D9" s="20">
        <f>Calculations!L35</f>
        <v>0</v>
      </c>
      <c r="E9" s="20">
        <f>Calculations!M35</f>
        <v>0</v>
      </c>
      <c r="F9" s="20">
        <f>Calculations!N35</f>
        <v>0</v>
      </c>
      <c r="G9" s="20">
        <f>Calculations!O35</f>
        <v>0</v>
      </c>
      <c r="H9" s="20">
        <f>Calculations!P35</f>
        <v>0</v>
      </c>
      <c r="I9" s="20">
        <f>Calculations!Q35</f>
        <v>0</v>
      </c>
      <c r="J9" s="20">
        <f>Calculations!R35</f>
        <v>0</v>
      </c>
      <c r="K9" s="20">
        <f>Calculations!S35</f>
        <v>0</v>
      </c>
      <c r="L9" s="20">
        <f>Calculations!T35</f>
        <v>0</v>
      </c>
      <c r="M9" s="20">
        <f>Calculations!U35</f>
        <v>0</v>
      </c>
      <c r="N9" s="20">
        <f>Calculations!V35</f>
        <v>0</v>
      </c>
      <c r="O9" s="20">
        <f>Calculations!W35</f>
        <v>0</v>
      </c>
      <c r="P9" s="20">
        <f>Calculations!X35</f>
        <v>0</v>
      </c>
      <c r="Q9" s="20">
        <f>Calculations!Y35</f>
        <v>0</v>
      </c>
      <c r="R9" s="20">
        <f>Calculations!Z35</f>
        <v>0</v>
      </c>
      <c r="S9" s="20">
        <f>Calculations!AA35</f>
        <v>0</v>
      </c>
      <c r="T9" s="20">
        <f>Calculations!AB35</f>
        <v>0</v>
      </c>
      <c r="U9" s="20">
        <f>Calculations!AC35</f>
        <v>0</v>
      </c>
      <c r="V9" s="20">
        <f>Calculations!AD35</f>
        <v>0</v>
      </c>
      <c r="W9" s="20">
        <f>Calculations!AE35</f>
        <v>0</v>
      </c>
      <c r="X9" s="20">
        <f>Calculations!AF35</f>
        <v>0</v>
      </c>
      <c r="Y9" s="20">
        <f>Calculations!AG35</f>
        <v>0</v>
      </c>
      <c r="Z9" s="20">
        <f>Calculations!AH35</f>
        <v>0</v>
      </c>
      <c r="AA9" s="20">
        <f>Calculations!AI35</f>
        <v>0</v>
      </c>
      <c r="AB9" s="20">
        <f>Calculations!AJ35</f>
        <v>0</v>
      </c>
      <c r="AC9" s="20">
        <f>Calculations!AK35</f>
        <v>0</v>
      </c>
      <c r="AD9" s="20">
        <f>Calculations!AL35</f>
        <v>0</v>
      </c>
      <c r="AE9" s="20">
        <f>Calculations!AM35</f>
        <v>0</v>
      </c>
      <c r="AF9" s="20">
        <f>Calculations!AN35</f>
        <v>0</v>
      </c>
      <c r="AG9" s="20">
        <f>Calculations!AO35</f>
        <v>0</v>
      </c>
    </row>
    <row r="10" spans="1:34">
      <c r="A10" s="1" t="s">
        <v>3</v>
      </c>
      <c r="B10" s="20">
        <f>Calculations!J36</f>
        <v>803857061799640</v>
      </c>
      <c r="C10" s="20">
        <f>Calculations!K36</f>
        <v>811453052188236</v>
      </c>
      <c r="D10" s="20">
        <f>Calculations!L36</f>
        <v>819049042576834</v>
      </c>
      <c r="E10" s="20">
        <f>Calculations!M36</f>
        <v>826645032965432</v>
      </c>
      <c r="F10" s="20">
        <f>Calculations!N36</f>
        <v>834241023354028</v>
      </c>
      <c r="G10" s="20">
        <f>Calculations!O36</f>
        <v>841837013742626</v>
      </c>
      <c r="H10" s="20">
        <f>Calculations!P36</f>
        <v>849433004131224</v>
      </c>
      <c r="I10" s="20">
        <f>Calculations!Q36</f>
        <v>857028994519820</v>
      </c>
      <c r="J10" s="20">
        <f>Calculations!R36</f>
        <v>864624984908418</v>
      </c>
      <c r="K10" s="20">
        <f>Calculations!S36</f>
        <v>872220975297016</v>
      </c>
      <c r="L10" s="20">
        <f>Calculations!T36</f>
        <v>879816965685614</v>
      </c>
      <c r="M10" s="20">
        <f>Calculations!U36</f>
        <v>887412956074210</v>
      </c>
      <c r="N10" s="20">
        <f>Calculations!V36</f>
        <v>895008946462808</v>
      </c>
      <c r="O10" s="20">
        <f>Calculations!W36</f>
        <v>902604936851406</v>
      </c>
      <c r="P10" s="20">
        <f>Calculations!X36</f>
        <v>910200927240002</v>
      </c>
      <c r="Q10" s="20">
        <f>Calculations!Y36</f>
        <v>917796917628600</v>
      </c>
      <c r="R10" s="20">
        <f>Calculations!Z36</f>
        <v>925392908017198</v>
      </c>
      <c r="S10" s="20">
        <f>Calculations!AA36</f>
        <v>932988898405796</v>
      </c>
      <c r="T10" s="20">
        <f>Calculations!AB36</f>
        <v>940584888794392</v>
      </c>
      <c r="U10" s="20">
        <f>Calculations!AC36</f>
        <v>948180879182990</v>
      </c>
      <c r="V10" s="20">
        <f>Calculations!AD36</f>
        <v>955776869571588</v>
      </c>
      <c r="W10" s="20">
        <f>Calculations!AE36</f>
        <v>963372859960184</v>
      </c>
      <c r="X10" s="20">
        <f>Calculations!AF36</f>
        <v>970968850348782</v>
      </c>
      <c r="Y10" s="20">
        <f>Calculations!AG36</f>
        <v>978564840737380</v>
      </c>
      <c r="Z10" s="20">
        <f>Calculations!AH36</f>
        <v>986160831125976</v>
      </c>
      <c r="AA10" s="20">
        <f>Calculations!AI36</f>
        <v>993756821514574</v>
      </c>
      <c r="AB10" s="20">
        <f>Calculations!AJ36</f>
        <v>1001352811903172</v>
      </c>
      <c r="AC10" s="20">
        <f>Calculations!AK36</f>
        <v>1008948802291770</v>
      </c>
      <c r="AD10" s="20">
        <f>Calculations!AL36</f>
        <v>1016544792680366</v>
      </c>
      <c r="AE10" s="20">
        <f>Calculations!AM36</f>
        <v>1024140783068964</v>
      </c>
      <c r="AF10" s="20">
        <f>Calculations!AN36</f>
        <v>1031736773457562</v>
      </c>
      <c r="AG10" s="20">
        <f>Calculations!AO36</f>
        <v>1039332763846158</v>
      </c>
    </row>
    <row r="11" spans="1:34">
      <c r="A11" s="1" t="s">
        <v>13</v>
      </c>
      <c r="B11" s="20">
        <f>Calculations!J37</f>
        <v>1772762359135754</v>
      </c>
      <c r="C11" s="20">
        <f>Calculations!K37</f>
        <v>1778875123205776</v>
      </c>
      <c r="D11" s="20">
        <f>Calculations!L37</f>
        <v>1784987887275798</v>
      </c>
      <c r="E11" s="20">
        <f>Calculations!M37</f>
        <v>1791100651345820</v>
      </c>
      <c r="F11" s="20">
        <f>Calculations!N37</f>
        <v>1797213415415842</v>
      </c>
      <c r="G11" s="20">
        <f>Calculations!O37</f>
        <v>1803326179485864</v>
      </c>
      <c r="H11" s="20">
        <f>Calculations!P37</f>
        <v>1809438943555888</v>
      </c>
      <c r="I11" s="20">
        <f>Calculations!Q37</f>
        <v>1815551707625910</v>
      </c>
      <c r="J11" s="20">
        <f>Calculations!R37</f>
        <v>1821664471695932</v>
      </c>
      <c r="K11" s="20">
        <f>Calculations!S37</f>
        <v>1827777235765954</v>
      </c>
      <c r="L11" s="20">
        <f>Calculations!T37</f>
        <v>1833889999835976</v>
      </c>
      <c r="M11" s="20">
        <f>Calculations!U37</f>
        <v>1840002763905998</v>
      </c>
      <c r="N11" s="20">
        <f>Calculations!V37</f>
        <v>1846115527976020</v>
      </c>
      <c r="O11" s="20">
        <f>Calculations!W37</f>
        <v>1852228292046044</v>
      </c>
      <c r="P11" s="20">
        <f>Calculations!X37</f>
        <v>1858341056116066</v>
      </c>
      <c r="Q11" s="20">
        <f>Calculations!Y37</f>
        <v>1864453820186088</v>
      </c>
      <c r="R11" s="20">
        <f>Calculations!Z37</f>
        <v>1870566584256110</v>
      </c>
      <c r="S11" s="20">
        <f>Calculations!AA37</f>
        <v>1876679348326132</v>
      </c>
      <c r="T11" s="20">
        <f>Calculations!AB37</f>
        <v>1882792112396154</v>
      </c>
      <c r="U11" s="20">
        <f>Calculations!AC37</f>
        <v>1888904876466178</v>
      </c>
      <c r="V11" s="20">
        <f>Calculations!AD37</f>
        <v>1895017640536200</v>
      </c>
      <c r="W11" s="20">
        <f>Calculations!AE37</f>
        <v>1901130404606222</v>
      </c>
      <c r="X11" s="20">
        <f>Calculations!AF37</f>
        <v>1907243168676244</v>
      </c>
      <c r="Y11" s="20">
        <f>Calculations!AG37</f>
        <v>1913355932746266</v>
      </c>
      <c r="Z11" s="20">
        <f>Calculations!AH37</f>
        <v>1919468696816288</v>
      </c>
      <c r="AA11" s="20">
        <f>Calculations!AI37</f>
        <v>1925581460886310</v>
      </c>
      <c r="AB11" s="20">
        <f>Calculations!AJ37</f>
        <v>1931694224956334</v>
      </c>
      <c r="AC11" s="20">
        <f>Calculations!AK37</f>
        <v>1937806989026356</v>
      </c>
      <c r="AD11" s="20">
        <f>Calculations!AL37</f>
        <v>1943919753096378</v>
      </c>
      <c r="AE11" s="20">
        <f>Calculations!AM37</f>
        <v>1950032517166400</v>
      </c>
      <c r="AF11" s="20">
        <f>Calculations!AN37</f>
        <v>1956145281236422</v>
      </c>
      <c r="AG11" s="20">
        <f>Calculations!AO37</f>
        <v>1962258045306444</v>
      </c>
    </row>
    <row r="12" spans="1:34">
      <c r="A12" s="1" t="s">
        <v>14</v>
      </c>
      <c r="B12" s="20">
        <f>Calculations!J38</f>
        <v>0</v>
      </c>
      <c r="C12" s="20">
        <f>Calculations!K38</f>
        <v>0</v>
      </c>
      <c r="D12" s="20">
        <f>Calculations!L38</f>
        <v>0</v>
      </c>
      <c r="E12" s="20">
        <f>Calculations!M38</f>
        <v>0</v>
      </c>
      <c r="F12" s="20">
        <f>Calculations!N38</f>
        <v>0</v>
      </c>
      <c r="G12" s="20">
        <f>Calculations!O38</f>
        <v>0</v>
      </c>
      <c r="H12" s="20">
        <f>Calculations!P38</f>
        <v>0</v>
      </c>
      <c r="I12" s="20">
        <f>Calculations!Q38</f>
        <v>0</v>
      </c>
      <c r="J12" s="20">
        <f>Calculations!R38</f>
        <v>0</v>
      </c>
      <c r="K12" s="20">
        <f>Calculations!S38</f>
        <v>0</v>
      </c>
      <c r="L12" s="20">
        <f>Calculations!T38</f>
        <v>0</v>
      </c>
      <c r="M12" s="20">
        <f>Calculations!U38</f>
        <v>0</v>
      </c>
      <c r="N12" s="20">
        <f>Calculations!V38</f>
        <v>0</v>
      </c>
      <c r="O12" s="20">
        <f>Calculations!W38</f>
        <v>0</v>
      </c>
      <c r="P12" s="20">
        <f>Calculations!X38</f>
        <v>0</v>
      </c>
      <c r="Q12" s="20">
        <f>Calculations!Y38</f>
        <v>0</v>
      </c>
      <c r="R12" s="20">
        <f>Calculations!Z38</f>
        <v>0</v>
      </c>
      <c r="S12" s="20">
        <f>Calculations!AA38</f>
        <v>0</v>
      </c>
      <c r="T12" s="20">
        <f>Calculations!AB38</f>
        <v>0</v>
      </c>
      <c r="U12" s="20">
        <f>Calculations!AC38</f>
        <v>0</v>
      </c>
      <c r="V12" s="20">
        <f>Calculations!AD38</f>
        <v>0</v>
      </c>
      <c r="W12" s="20">
        <f>Calculations!AE38</f>
        <v>0</v>
      </c>
      <c r="X12" s="20">
        <f>Calculations!AF38</f>
        <v>0</v>
      </c>
      <c r="Y12" s="20">
        <f>Calculations!AG38</f>
        <v>0</v>
      </c>
      <c r="Z12" s="20">
        <f>Calculations!AH38</f>
        <v>0</v>
      </c>
      <c r="AA12" s="20">
        <f>Calculations!AI38</f>
        <v>0</v>
      </c>
      <c r="AB12" s="20">
        <f>Calculations!AJ38</f>
        <v>0</v>
      </c>
      <c r="AC12" s="20">
        <f>Calculations!AK38</f>
        <v>0</v>
      </c>
      <c r="AD12" s="20">
        <f>Calculations!AL38</f>
        <v>0</v>
      </c>
      <c r="AE12" s="20">
        <f>Calculations!AM38</f>
        <v>0</v>
      </c>
      <c r="AF12" s="20">
        <f>Calculations!AN38</f>
        <v>0</v>
      </c>
      <c r="AG12" s="20">
        <f>Calculations!AO38</f>
        <v>0</v>
      </c>
    </row>
    <row r="13" spans="1:34">
      <c r="A13" s="1" t="s">
        <v>15</v>
      </c>
      <c r="B13" s="20">
        <f>Calculations!J39</f>
        <v>0</v>
      </c>
      <c r="C13" s="20">
        <f>Calculations!K39</f>
        <v>0</v>
      </c>
      <c r="D13" s="20">
        <f>Calculations!L39</f>
        <v>0</v>
      </c>
      <c r="E13" s="20">
        <f>Calculations!M39</f>
        <v>0</v>
      </c>
      <c r="F13" s="20">
        <f>Calculations!N39</f>
        <v>0</v>
      </c>
      <c r="G13" s="20">
        <f>Calculations!O39</f>
        <v>0</v>
      </c>
      <c r="H13" s="20">
        <f>Calculations!P39</f>
        <v>0</v>
      </c>
      <c r="I13" s="20">
        <f>Calculations!Q39</f>
        <v>0</v>
      </c>
      <c r="J13" s="20">
        <f>Calculations!R39</f>
        <v>0</v>
      </c>
      <c r="K13" s="20">
        <f>Calculations!S39</f>
        <v>0</v>
      </c>
      <c r="L13" s="20">
        <f>Calculations!T39</f>
        <v>0</v>
      </c>
      <c r="M13" s="20">
        <f>Calculations!U39</f>
        <v>0</v>
      </c>
      <c r="N13" s="20">
        <f>Calculations!V39</f>
        <v>0</v>
      </c>
      <c r="O13" s="20">
        <f>Calculations!W39</f>
        <v>0</v>
      </c>
      <c r="P13" s="20">
        <f>Calculations!X39</f>
        <v>0</v>
      </c>
      <c r="Q13" s="20">
        <f>Calculations!Y39</f>
        <v>0</v>
      </c>
      <c r="R13" s="20">
        <f>Calculations!Z39</f>
        <v>0</v>
      </c>
      <c r="S13" s="20">
        <f>Calculations!AA39</f>
        <v>0</v>
      </c>
      <c r="T13" s="20">
        <f>Calculations!AB39</f>
        <v>0</v>
      </c>
      <c r="U13" s="20">
        <f>Calculations!AC39</f>
        <v>0</v>
      </c>
      <c r="V13" s="20">
        <f>Calculations!AD39</f>
        <v>0</v>
      </c>
      <c r="W13" s="20">
        <f>Calculations!AE39</f>
        <v>0</v>
      </c>
      <c r="X13" s="20">
        <f>Calculations!AF39</f>
        <v>0</v>
      </c>
      <c r="Y13" s="20">
        <f>Calculations!AG39</f>
        <v>0</v>
      </c>
      <c r="Z13" s="20">
        <f>Calculations!AH39</f>
        <v>0</v>
      </c>
      <c r="AA13" s="20">
        <f>Calculations!AI39</f>
        <v>0</v>
      </c>
      <c r="AB13" s="20">
        <f>Calculations!AJ39</f>
        <v>0</v>
      </c>
      <c r="AC13" s="20">
        <f>Calculations!AK39</f>
        <v>0</v>
      </c>
      <c r="AD13" s="20">
        <f>Calculations!AL39</f>
        <v>0</v>
      </c>
      <c r="AE13" s="20">
        <f>Calculations!AM39</f>
        <v>0</v>
      </c>
      <c r="AF13" s="20">
        <f>Calculations!AN39</f>
        <v>0</v>
      </c>
      <c r="AG13" s="20">
        <f>Calculations!AO39</f>
        <v>0</v>
      </c>
    </row>
    <row r="14" spans="1:34">
      <c r="A14" s="1" t="s">
        <v>4</v>
      </c>
      <c r="B14" s="20">
        <f>Calculations!J40</f>
        <v>852301170057876</v>
      </c>
      <c r="C14" s="20">
        <f>Calculations!K40</f>
        <v>847600460570016</v>
      </c>
      <c r="D14" s="20">
        <f>Calculations!L40</f>
        <v>842899751082156</v>
      </c>
      <c r="E14" s="20">
        <f>Calculations!M40</f>
        <v>838199041594296</v>
      </c>
      <c r="F14" s="20">
        <f>Calculations!N40</f>
        <v>833498332106436</v>
      </c>
      <c r="G14" s="20">
        <f>Calculations!O40</f>
        <v>828797622618576</v>
      </c>
      <c r="H14" s="20">
        <f>Calculations!P40</f>
        <v>824096913130716</v>
      </c>
      <c r="I14" s="20">
        <f>Calculations!Q40</f>
        <v>819396203642856</v>
      </c>
      <c r="J14" s="20">
        <f>Calculations!R40</f>
        <v>814695494154994</v>
      </c>
      <c r="K14" s="20">
        <f>Calculations!S40</f>
        <v>809994784667134</v>
      </c>
      <c r="L14" s="20">
        <f>Calculations!T40</f>
        <v>805294075179274</v>
      </c>
      <c r="M14" s="20">
        <f>Calculations!U40</f>
        <v>800593365691414</v>
      </c>
      <c r="N14" s="20">
        <f>Calculations!V40</f>
        <v>795892656203554</v>
      </c>
      <c r="O14" s="20">
        <f>Calculations!W40</f>
        <v>791191946715694</v>
      </c>
      <c r="P14" s="20">
        <f>Calculations!X40</f>
        <v>786491237227834</v>
      </c>
      <c r="Q14" s="20">
        <f>Calculations!Y40</f>
        <v>781790527739974</v>
      </c>
      <c r="R14" s="20">
        <f>Calculations!Z40</f>
        <v>777089818252114</v>
      </c>
      <c r="S14" s="20">
        <f>Calculations!AA40</f>
        <v>772389108764252</v>
      </c>
      <c r="T14" s="20">
        <f>Calculations!AB40</f>
        <v>767688399276392</v>
      </c>
      <c r="U14" s="20">
        <f>Calculations!AC40</f>
        <v>762987689788532</v>
      </c>
      <c r="V14" s="20">
        <f>Calculations!AD40</f>
        <v>758286980300672</v>
      </c>
      <c r="W14" s="20">
        <f>Calculations!AE40</f>
        <v>753586270812812</v>
      </c>
      <c r="X14" s="20">
        <f>Calculations!AF40</f>
        <v>748885561324952</v>
      </c>
      <c r="Y14" s="20">
        <f>Calculations!AG40</f>
        <v>744184851837092</v>
      </c>
      <c r="Z14" s="20">
        <f>Calculations!AH40</f>
        <v>739484142349232</v>
      </c>
      <c r="AA14" s="20">
        <f>Calculations!AI40</f>
        <v>734783432861370</v>
      </c>
      <c r="AB14" s="20">
        <f>Calculations!AJ40</f>
        <v>730082723373510</v>
      </c>
      <c r="AC14" s="20">
        <f>Calculations!AK40</f>
        <v>725382013885650</v>
      </c>
      <c r="AD14" s="20">
        <f>Calculations!AL40</f>
        <v>720681304397790</v>
      </c>
      <c r="AE14" s="20">
        <f>Calculations!AM40</f>
        <v>715980594909930</v>
      </c>
      <c r="AF14" s="20">
        <f>Calculations!AN40</f>
        <v>711279885422070</v>
      </c>
      <c r="AG14" s="20">
        <f>Calculations!AO40</f>
        <v>706579175934210</v>
      </c>
    </row>
    <row r="15" spans="1:34">
      <c r="A15" s="1" t="s">
        <v>22</v>
      </c>
      <c r="B15" s="20">
        <f>Calculations!J41</f>
        <v>0</v>
      </c>
      <c r="C15" s="20">
        <f>Calculations!K41</f>
        <v>0</v>
      </c>
      <c r="D15" s="20">
        <f>Calculations!L41</f>
        <v>0</v>
      </c>
      <c r="E15" s="20">
        <f>Calculations!M41</f>
        <v>0</v>
      </c>
      <c r="F15" s="20">
        <f>Calculations!N41</f>
        <v>0</v>
      </c>
      <c r="G15" s="20">
        <f>Calculations!O41</f>
        <v>0</v>
      </c>
      <c r="H15" s="20">
        <f>Calculations!P41</f>
        <v>0</v>
      </c>
      <c r="I15" s="20">
        <f>Calculations!Q41</f>
        <v>0</v>
      </c>
      <c r="J15" s="20">
        <f>Calculations!R41</f>
        <v>0</v>
      </c>
      <c r="K15" s="20">
        <f>Calculations!S41</f>
        <v>0</v>
      </c>
      <c r="L15" s="20">
        <f>Calculations!T41</f>
        <v>0</v>
      </c>
      <c r="M15" s="20">
        <f>Calculations!U41</f>
        <v>0</v>
      </c>
      <c r="N15" s="20">
        <f>Calculations!V41</f>
        <v>0</v>
      </c>
      <c r="O15" s="20">
        <f>Calculations!W41</f>
        <v>0</v>
      </c>
      <c r="P15" s="20">
        <f>Calculations!X41</f>
        <v>0</v>
      </c>
      <c r="Q15" s="20">
        <f>Calculations!Y41</f>
        <v>0</v>
      </c>
      <c r="R15" s="20">
        <f>Calculations!Z41</f>
        <v>0</v>
      </c>
      <c r="S15" s="20">
        <f>Calculations!AA41</f>
        <v>0</v>
      </c>
      <c r="T15" s="20">
        <f>Calculations!AB41</f>
        <v>0</v>
      </c>
      <c r="U15" s="20">
        <f>Calculations!AC41</f>
        <v>0</v>
      </c>
      <c r="V15" s="20">
        <f>Calculations!AD41</f>
        <v>0</v>
      </c>
      <c r="W15" s="20">
        <f>Calculations!AE41</f>
        <v>0</v>
      </c>
      <c r="X15" s="20">
        <f>Calculations!AF41</f>
        <v>0</v>
      </c>
      <c r="Y15" s="20">
        <f>Calculations!AG41</f>
        <v>0</v>
      </c>
      <c r="Z15" s="20">
        <f>Calculations!AH41</f>
        <v>0</v>
      </c>
      <c r="AA15" s="20">
        <f>Calculations!AI41</f>
        <v>0</v>
      </c>
      <c r="AB15" s="20">
        <f>Calculations!AJ41</f>
        <v>0</v>
      </c>
      <c r="AC15" s="20">
        <f>Calculations!AK41</f>
        <v>0</v>
      </c>
      <c r="AD15" s="20">
        <f>Calculations!AL41</f>
        <v>0</v>
      </c>
      <c r="AE15" s="20">
        <f>Calculations!AM41</f>
        <v>0</v>
      </c>
      <c r="AF15" s="20">
        <f>Calculations!AN41</f>
        <v>0</v>
      </c>
      <c r="AG15" s="20">
        <f>Calculations!AO41</f>
        <v>0</v>
      </c>
    </row>
    <row r="16" spans="1:34">
      <c r="A16" s="1" t="s">
        <v>17</v>
      </c>
      <c r="B16" s="20">
        <f>Calculations!J42</f>
        <v>0</v>
      </c>
      <c r="C16" s="20">
        <f>Calculations!K42</f>
        <v>0</v>
      </c>
      <c r="D16" s="20">
        <f>Calculations!L42</f>
        <v>0</v>
      </c>
      <c r="E16" s="20">
        <f>Calculations!M42</f>
        <v>0</v>
      </c>
      <c r="F16" s="20">
        <f>Calculations!N42</f>
        <v>0</v>
      </c>
      <c r="G16" s="20">
        <f>Calculations!O42</f>
        <v>0</v>
      </c>
      <c r="H16" s="20">
        <f>Calculations!P42</f>
        <v>0</v>
      </c>
      <c r="I16" s="20">
        <f>Calculations!Q42</f>
        <v>0</v>
      </c>
      <c r="J16" s="20">
        <f>Calculations!R42</f>
        <v>0</v>
      </c>
      <c r="K16" s="20">
        <f>Calculations!S42</f>
        <v>0</v>
      </c>
      <c r="L16" s="20">
        <f>Calculations!T42</f>
        <v>0</v>
      </c>
      <c r="M16" s="20">
        <f>Calculations!U42</f>
        <v>0</v>
      </c>
      <c r="N16" s="20">
        <f>Calculations!V42</f>
        <v>0</v>
      </c>
      <c r="O16" s="20">
        <f>Calculations!W42</f>
        <v>0</v>
      </c>
      <c r="P16" s="20">
        <f>Calculations!X42</f>
        <v>0</v>
      </c>
      <c r="Q16" s="20">
        <f>Calculations!Y42</f>
        <v>0</v>
      </c>
      <c r="R16" s="20">
        <f>Calculations!Z42</f>
        <v>0</v>
      </c>
      <c r="S16" s="20">
        <f>Calculations!AA42</f>
        <v>0</v>
      </c>
      <c r="T16" s="20">
        <f>Calculations!AB42</f>
        <v>0</v>
      </c>
      <c r="U16" s="20">
        <f>Calculations!AC42</f>
        <v>0</v>
      </c>
      <c r="V16" s="20">
        <f>Calculations!AD42</f>
        <v>0</v>
      </c>
      <c r="W16" s="20">
        <f>Calculations!AE42</f>
        <v>0</v>
      </c>
      <c r="X16" s="20">
        <f>Calculations!AF42</f>
        <v>0</v>
      </c>
      <c r="Y16" s="20">
        <f>Calculations!AG42</f>
        <v>0</v>
      </c>
      <c r="Z16" s="20">
        <f>Calculations!AH42</f>
        <v>0</v>
      </c>
      <c r="AA16" s="20">
        <f>Calculations!AI42</f>
        <v>0</v>
      </c>
      <c r="AB16" s="20">
        <f>Calculations!AJ42</f>
        <v>0</v>
      </c>
      <c r="AC16" s="20">
        <f>Calculations!AK42</f>
        <v>0</v>
      </c>
      <c r="AD16" s="20">
        <f>Calculations!AL42</f>
        <v>0</v>
      </c>
      <c r="AE16" s="20">
        <f>Calculations!AM42</f>
        <v>0</v>
      </c>
      <c r="AF16" s="20">
        <f>Calculations!AN42</f>
        <v>0</v>
      </c>
      <c r="AG16" s="20">
        <f>Calculations!AO42</f>
        <v>0</v>
      </c>
    </row>
    <row r="17" spans="1:33">
      <c r="A17" s="1" t="s">
        <v>18</v>
      </c>
      <c r="B17" s="20">
        <f>Calculations!J43</f>
        <v>0</v>
      </c>
      <c r="C17" s="20">
        <f>Calculations!K43</f>
        <v>0</v>
      </c>
      <c r="D17" s="20">
        <f>Calculations!L43</f>
        <v>0</v>
      </c>
      <c r="E17" s="20">
        <f>Calculations!M43</f>
        <v>0</v>
      </c>
      <c r="F17" s="20">
        <f>Calculations!N43</f>
        <v>0</v>
      </c>
      <c r="G17" s="20">
        <f>Calculations!O43</f>
        <v>0</v>
      </c>
      <c r="H17" s="20">
        <f>Calculations!P43</f>
        <v>0</v>
      </c>
      <c r="I17" s="20">
        <f>Calculations!Q43</f>
        <v>0</v>
      </c>
      <c r="J17" s="20">
        <f>Calculations!R43</f>
        <v>0</v>
      </c>
      <c r="K17" s="20">
        <f>Calculations!S43</f>
        <v>0</v>
      </c>
      <c r="L17" s="20">
        <f>Calculations!T43</f>
        <v>0</v>
      </c>
      <c r="M17" s="20">
        <f>Calculations!U43</f>
        <v>0</v>
      </c>
      <c r="N17" s="20">
        <f>Calculations!V43</f>
        <v>0</v>
      </c>
      <c r="O17" s="20">
        <f>Calculations!W43</f>
        <v>0</v>
      </c>
      <c r="P17" s="20">
        <f>Calculations!X43</f>
        <v>0</v>
      </c>
      <c r="Q17" s="20">
        <f>Calculations!Y43</f>
        <v>0</v>
      </c>
      <c r="R17" s="20">
        <f>Calculations!Z43</f>
        <v>0</v>
      </c>
      <c r="S17" s="20">
        <f>Calculations!AA43</f>
        <v>0</v>
      </c>
      <c r="T17" s="20">
        <f>Calculations!AB43</f>
        <v>0</v>
      </c>
      <c r="U17" s="20">
        <f>Calculations!AC43</f>
        <v>0</v>
      </c>
      <c r="V17" s="20">
        <f>Calculations!AD43</f>
        <v>0</v>
      </c>
      <c r="W17" s="20">
        <f>Calculations!AE43</f>
        <v>0</v>
      </c>
      <c r="X17" s="20">
        <f>Calculations!AF43</f>
        <v>0</v>
      </c>
      <c r="Y17" s="20">
        <f>Calculations!AG43</f>
        <v>0</v>
      </c>
      <c r="Z17" s="20">
        <f>Calculations!AH43</f>
        <v>0</v>
      </c>
      <c r="AA17" s="20">
        <f>Calculations!AI43</f>
        <v>0</v>
      </c>
      <c r="AB17" s="20">
        <f>Calculations!AJ43</f>
        <v>0</v>
      </c>
      <c r="AC17" s="20">
        <f>Calculations!AK43</f>
        <v>0</v>
      </c>
      <c r="AD17" s="20">
        <f>Calculations!AL43</f>
        <v>0</v>
      </c>
      <c r="AE17" s="20">
        <f>Calculations!AM43</f>
        <v>0</v>
      </c>
      <c r="AF17" s="20">
        <f>Calculations!AN43</f>
        <v>0</v>
      </c>
      <c r="AG17" s="20">
        <f>Calculations!AO43</f>
        <v>0</v>
      </c>
    </row>
    <row r="18" spans="1:33">
      <c r="A18" s="1" t="s">
        <v>5</v>
      </c>
      <c r="B18" s="20">
        <f>Calculations!J44</f>
        <v>5001570601874566</v>
      </c>
      <c r="C18" s="20">
        <f>Calculations!K44</f>
        <v>4994235052327520</v>
      </c>
      <c r="D18" s="20">
        <f>Calculations!L44</f>
        <v>4986899502780472</v>
      </c>
      <c r="E18" s="20">
        <f>Calculations!M44</f>
        <v>4979563953233424</v>
      </c>
      <c r="F18" s="20">
        <f>Calculations!N44</f>
        <v>4972228403686376</v>
      </c>
      <c r="G18" s="20">
        <f>Calculations!O44</f>
        <v>4964892854139328</v>
      </c>
      <c r="H18" s="20">
        <f>Calculations!P44</f>
        <v>4957557304592280</v>
      </c>
      <c r="I18" s="20">
        <f>Calculations!Q44</f>
        <v>4950221755045234</v>
      </c>
      <c r="J18" s="20">
        <f>Calculations!R44</f>
        <v>4942886205498186</v>
      </c>
      <c r="K18" s="20">
        <f>Calculations!S44</f>
        <v>4935550655951138</v>
      </c>
      <c r="L18" s="20">
        <f>Calculations!T44</f>
        <v>4928215106404090</v>
      </c>
      <c r="M18" s="20">
        <f>Calculations!U44</f>
        <v>4920879556857042</v>
      </c>
      <c r="N18" s="20">
        <f>Calculations!V44</f>
        <v>4913544007309994</v>
      </c>
      <c r="O18" s="20">
        <f>Calculations!W44</f>
        <v>4906208457762948</v>
      </c>
      <c r="P18" s="20">
        <f>Calculations!X44</f>
        <v>4898872908215900</v>
      </c>
      <c r="Q18" s="20">
        <f>Calculations!Y44</f>
        <v>4891537358668852</v>
      </c>
      <c r="R18" s="20">
        <f>Calculations!Z44</f>
        <v>4884201809121804</v>
      </c>
      <c r="S18" s="20">
        <f>Calculations!AA44</f>
        <v>4876866259574756</v>
      </c>
      <c r="T18" s="20">
        <f>Calculations!AB44</f>
        <v>4869530710027708</v>
      </c>
      <c r="U18" s="20">
        <f>Calculations!AC44</f>
        <v>4862195160480660</v>
      </c>
      <c r="V18" s="20">
        <f>Calculations!AD44</f>
        <v>4854859610933614</v>
      </c>
      <c r="W18" s="20">
        <f>Calculations!AE44</f>
        <v>4847524061386566</v>
      </c>
      <c r="X18" s="20">
        <f>Calculations!AF44</f>
        <v>4840188511839518</v>
      </c>
      <c r="Y18" s="20">
        <f>Calculations!AG44</f>
        <v>4832852962292470</v>
      </c>
      <c r="Z18" s="20">
        <f>Calculations!AH44</f>
        <v>4825517412745422</v>
      </c>
      <c r="AA18" s="20">
        <f>Calculations!AI44</f>
        <v>4818181863198374</v>
      </c>
      <c r="AB18" s="20">
        <f>Calculations!AJ44</f>
        <v>4810846313651328</v>
      </c>
      <c r="AC18" s="20">
        <f>Calculations!AK44</f>
        <v>4803510764104280</v>
      </c>
      <c r="AD18" s="20">
        <f>Calculations!AL44</f>
        <v>4796175214557232</v>
      </c>
      <c r="AE18" s="20">
        <f>Calculations!AM44</f>
        <v>4788839665010184</v>
      </c>
      <c r="AF18" s="20">
        <f>Calculations!AN44</f>
        <v>4781504115463136</v>
      </c>
      <c r="AG18" s="20">
        <f>Calculations!AO44</f>
        <v>4774168565916088</v>
      </c>
    </row>
    <row r="19" spans="1:33">
      <c r="A19" s="1" t="s">
        <v>19</v>
      </c>
      <c r="B19" s="20">
        <f>Calculations!J45</f>
        <v>873062958349232</v>
      </c>
      <c r="C19" s="20">
        <f>Calculations!K45</f>
        <v>850992209995656</v>
      </c>
      <c r="D19" s="20">
        <f>Calculations!L45</f>
        <v>828921461642080</v>
      </c>
      <c r="E19" s="20">
        <f>Calculations!M45</f>
        <v>806850713288512</v>
      </c>
      <c r="F19" s="20">
        <f>Calculations!N45</f>
        <v>784779964934936</v>
      </c>
      <c r="G19" s="20">
        <f>Calculations!O45</f>
        <v>762709216581360</v>
      </c>
      <c r="H19" s="20">
        <f>Calculations!P45</f>
        <v>740638468227784</v>
      </c>
      <c r="I19" s="20">
        <f>Calculations!Q45</f>
        <v>718567719874216</v>
      </c>
      <c r="J19" s="20">
        <f>Calculations!R45</f>
        <v>696496971520640</v>
      </c>
      <c r="K19" s="20">
        <f>Calculations!S45</f>
        <v>674426223167064</v>
      </c>
      <c r="L19" s="20">
        <f>Calculations!T45</f>
        <v>652355474813496</v>
      </c>
      <c r="M19" s="20">
        <f>Calculations!U45</f>
        <v>630284726459920</v>
      </c>
      <c r="N19" s="20">
        <f>Calculations!V45</f>
        <v>608213978106344</v>
      </c>
      <c r="O19" s="20">
        <f>Calculations!W45</f>
        <v>586143229752768</v>
      </c>
      <c r="P19" s="20">
        <f>Calculations!X45</f>
        <v>564072481399200</v>
      </c>
      <c r="Q19" s="20">
        <f>Calculations!Y45</f>
        <v>542001733045624</v>
      </c>
      <c r="R19" s="20">
        <f>Calculations!Z45</f>
        <v>519930984692048</v>
      </c>
      <c r="S19" s="20">
        <f>Calculations!AA45</f>
        <v>497860236338480</v>
      </c>
      <c r="T19" s="20">
        <f>Calculations!AB45</f>
        <v>475789487984904</v>
      </c>
      <c r="U19" s="20">
        <f>Calculations!AC45</f>
        <v>453718739631328</v>
      </c>
      <c r="V19" s="20">
        <f>Calculations!AD45</f>
        <v>431647991277752</v>
      </c>
      <c r="W19" s="20">
        <f>Calculations!AE45</f>
        <v>409577242924184</v>
      </c>
      <c r="X19" s="20">
        <f>Calculations!AF45</f>
        <v>387506494570608</v>
      </c>
      <c r="Y19" s="20">
        <f>Calculations!AG45</f>
        <v>365435746217032</v>
      </c>
      <c r="Z19" s="20">
        <f>Calculations!AH45</f>
        <v>343364997863464</v>
      </c>
      <c r="AA19" s="20">
        <f>Calculations!AI45</f>
        <v>321294249509888</v>
      </c>
      <c r="AB19" s="20">
        <f>Calculations!AJ45</f>
        <v>299223501156312</v>
      </c>
      <c r="AC19" s="20">
        <f>Calculations!AK45</f>
        <v>277152752802736</v>
      </c>
      <c r="AD19" s="20">
        <f>Calculations!AL45</f>
        <v>255082004449168</v>
      </c>
      <c r="AE19" s="20">
        <f>Calculations!AM45</f>
        <v>233011256095592</v>
      </c>
      <c r="AF19" s="20">
        <f>Calculations!AN45</f>
        <v>210940507742016</v>
      </c>
      <c r="AG19" s="20">
        <f>Calculations!AO45</f>
        <v>188869759388448</v>
      </c>
    </row>
    <row r="20" spans="1:33">
      <c r="A20" s="1" t="s">
        <v>6</v>
      </c>
      <c r="B20" s="20">
        <f>Calculations!J46</f>
        <v>854120975935952.75</v>
      </c>
      <c r="C20" s="20">
        <f>Calculations!K46</f>
        <v>853884269539850</v>
      </c>
      <c r="D20" s="20">
        <f>Calculations!L46</f>
        <v>853647563143747.5</v>
      </c>
      <c r="E20" s="20">
        <f>Calculations!M46</f>
        <v>853410856747644.75</v>
      </c>
      <c r="F20" s="20">
        <f>Calculations!N46</f>
        <v>853174150351542</v>
      </c>
      <c r="G20" s="20">
        <f>Calculations!O46</f>
        <v>852937443955439.38</v>
      </c>
      <c r="H20" s="20">
        <f>Calculations!P46</f>
        <v>852700737559336.75</v>
      </c>
      <c r="I20" s="20">
        <f>Calculations!Q46</f>
        <v>852464031163234</v>
      </c>
      <c r="J20" s="20">
        <f>Calculations!R46</f>
        <v>852227324767131.38</v>
      </c>
      <c r="K20" s="20">
        <f>Calculations!S46</f>
        <v>851990618371028.75</v>
      </c>
      <c r="L20" s="20">
        <f>Calculations!T46</f>
        <v>851753911974926</v>
      </c>
      <c r="M20" s="20">
        <f>Calculations!U46</f>
        <v>851517205578823.25</v>
      </c>
      <c r="N20" s="20">
        <f>Calculations!V46</f>
        <v>851280499182720.75</v>
      </c>
      <c r="O20" s="20">
        <f>Calculations!W46</f>
        <v>851043792786618</v>
      </c>
      <c r="P20" s="20">
        <f>Calculations!X46</f>
        <v>850807086390515.25</v>
      </c>
      <c r="Q20" s="20">
        <f>Calculations!Y46</f>
        <v>850570379994412.63</v>
      </c>
      <c r="R20" s="20">
        <f>Calculations!Z46</f>
        <v>850333673598310</v>
      </c>
      <c r="S20" s="20">
        <f>Calculations!AA46</f>
        <v>850096967202207.25</v>
      </c>
      <c r="T20" s="20">
        <f>Calculations!AB46</f>
        <v>849860260806104.63</v>
      </c>
      <c r="U20" s="20">
        <f>Calculations!AC46</f>
        <v>849623554410002</v>
      </c>
      <c r="V20" s="20">
        <f>Calculations!AD46</f>
        <v>849386848013899.25</v>
      </c>
      <c r="W20" s="20">
        <f>Calculations!AE46</f>
        <v>849150141617796.5</v>
      </c>
      <c r="X20" s="20">
        <f>Calculations!AF46</f>
        <v>848913435221694</v>
      </c>
      <c r="Y20" s="20">
        <f>Calculations!AG46</f>
        <v>848676728825591.25</v>
      </c>
      <c r="Z20" s="20">
        <f>Calculations!AH46</f>
        <v>848440022429488.5</v>
      </c>
      <c r="AA20" s="20">
        <f>Calculations!AI46</f>
        <v>848203316033385.88</v>
      </c>
      <c r="AB20" s="20">
        <f>Calculations!AJ46</f>
        <v>847966609637283.25</v>
      </c>
      <c r="AC20" s="20">
        <f>Calculations!AK46</f>
        <v>847729903241180.5</v>
      </c>
      <c r="AD20" s="20">
        <f>Calculations!AL46</f>
        <v>847493196845077.88</v>
      </c>
      <c r="AE20" s="20">
        <f>Calculations!AM46</f>
        <v>847256490448975.25</v>
      </c>
      <c r="AF20" s="20">
        <f>Calculations!AN46</f>
        <v>847019784052872.5</v>
      </c>
      <c r="AG20" s="20">
        <f>Calculations!AO46</f>
        <v>846783077656769.75</v>
      </c>
    </row>
    <row r="21" spans="1:33">
      <c r="A21" s="1" t="s">
        <v>20</v>
      </c>
      <c r="B21" s="20">
        <f>Calculations!J47</f>
        <v>0</v>
      </c>
      <c r="C21" s="20">
        <f>Calculations!K47</f>
        <v>0</v>
      </c>
      <c r="D21" s="20">
        <f>Calculations!L47</f>
        <v>0</v>
      </c>
      <c r="E21" s="20">
        <f>Calculations!M47</f>
        <v>0</v>
      </c>
      <c r="F21" s="20">
        <f>Calculations!N47</f>
        <v>0</v>
      </c>
      <c r="G21" s="20">
        <f>Calculations!O47</f>
        <v>0</v>
      </c>
      <c r="H21" s="20">
        <f>Calculations!P47</f>
        <v>0</v>
      </c>
      <c r="I21" s="20">
        <f>Calculations!Q47</f>
        <v>0</v>
      </c>
      <c r="J21" s="20">
        <f>Calculations!R47</f>
        <v>0</v>
      </c>
      <c r="K21" s="20">
        <f>Calculations!S47</f>
        <v>0</v>
      </c>
      <c r="L21" s="20">
        <f>Calculations!T47</f>
        <v>0</v>
      </c>
      <c r="M21" s="20">
        <f>Calculations!U47</f>
        <v>0</v>
      </c>
      <c r="N21" s="20">
        <f>Calculations!V47</f>
        <v>0</v>
      </c>
      <c r="O21" s="20">
        <f>Calculations!W47</f>
        <v>0</v>
      </c>
      <c r="P21" s="20">
        <f>Calculations!X47</f>
        <v>0</v>
      </c>
      <c r="Q21" s="20">
        <f>Calculations!Y47</f>
        <v>0</v>
      </c>
      <c r="R21" s="20">
        <f>Calculations!Z47</f>
        <v>0</v>
      </c>
      <c r="S21" s="20">
        <f>Calculations!AA47</f>
        <v>0</v>
      </c>
      <c r="T21" s="20">
        <f>Calculations!AB47</f>
        <v>0</v>
      </c>
      <c r="U21" s="20">
        <f>Calculations!AC47</f>
        <v>0</v>
      </c>
      <c r="V21" s="20">
        <f>Calculations!AD47</f>
        <v>0</v>
      </c>
      <c r="W21" s="20">
        <f>Calculations!AE47</f>
        <v>0</v>
      </c>
      <c r="X21" s="20">
        <f>Calculations!AF47</f>
        <v>0</v>
      </c>
      <c r="Y21" s="20">
        <f>Calculations!AG47</f>
        <v>0</v>
      </c>
      <c r="Z21" s="20">
        <f>Calculations!AH47</f>
        <v>0</v>
      </c>
      <c r="AA21" s="20">
        <f>Calculations!AI47</f>
        <v>0</v>
      </c>
      <c r="AB21" s="20">
        <f>Calculations!AJ47</f>
        <v>0</v>
      </c>
      <c r="AC21" s="20">
        <f>Calculations!AK47</f>
        <v>0</v>
      </c>
      <c r="AD21" s="20">
        <f>Calculations!AL47</f>
        <v>0</v>
      </c>
      <c r="AE21" s="20">
        <f>Calculations!AM47</f>
        <v>0</v>
      </c>
      <c r="AF21" s="20">
        <f>Calculations!AN47</f>
        <v>0</v>
      </c>
      <c r="AG21" s="20">
        <f>Calculations!AO47</f>
        <v>0</v>
      </c>
    </row>
    <row r="22" spans="1:33">
      <c r="A22" s="1" t="s">
        <v>21</v>
      </c>
      <c r="B22" s="20">
        <f>Calculations!J48</f>
        <v>263937096887472.81</v>
      </c>
      <c r="C22" s="20">
        <f>Calculations!K48</f>
        <v>266116592305677.66</v>
      </c>
      <c r="D22" s="20">
        <f>Calculations!L48</f>
        <v>266116592305677.66</v>
      </c>
      <c r="E22" s="20">
        <f>Calculations!M48</f>
        <v>266116592305677.66</v>
      </c>
      <c r="F22" s="20">
        <f>Calculations!N48</f>
        <v>268806497172329.75</v>
      </c>
      <c r="G22" s="20">
        <f>Calculations!O48</f>
        <v>271496402038981.84</v>
      </c>
      <c r="H22" s="20">
        <f>Calculations!P48</f>
        <v>271496402038981.84</v>
      </c>
      <c r="I22" s="20">
        <f>Calculations!Q48</f>
        <v>271496402038981.84</v>
      </c>
      <c r="J22" s="20">
        <f>Calculations!R48</f>
        <v>271496402038981.84</v>
      </c>
      <c r="K22" s="20">
        <f>Calculations!S48</f>
        <v>271496402038981.84</v>
      </c>
      <c r="L22" s="20">
        <f>Calculations!T48</f>
        <v>271496402038981.84</v>
      </c>
      <c r="M22" s="20">
        <f>Calculations!U48</f>
        <v>271496402038981.84</v>
      </c>
      <c r="N22" s="20">
        <f>Calculations!V48</f>
        <v>271496402038981.84</v>
      </c>
      <c r="O22" s="20">
        <f>Calculations!W48</f>
        <v>271496402038981.84</v>
      </c>
      <c r="P22" s="20">
        <f>Calculations!X48</f>
        <v>271496402038981.84</v>
      </c>
      <c r="Q22" s="20">
        <f>Calculations!Y48</f>
        <v>271496402038981.84</v>
      </c>
      <c r="R22" s="20">
        <f>Calculations!Z48</f>
        <v>271496402038981.84</v>
      </c>
      <c r="S22" s="20">
        <f>Calculations!AA48</f>
        <v>271496402038981.84</v>
      </c>
      <c r="T22" s="20">
        <f>Calculations!AB48</f>
        <v>271496402038981.84</v>
      </c>
      <c r="U22" s="20">
        <f>Calculations!AC48</f>
        <v>271496402038981.84</v>
      </c>
      <c r="V22" s="20">
        <f>Calculations!AD48</f>
        <v>271496402038981.84</v>
      </c>
      <c r="W22" s="20">
        <f>Calculations!AE48</f>
        <v>271496402038981.84</v>
      </c>
      <c r="X22" s="20">
        <f>Calculations!AF48</f>
        <v>271496402038981.84</v>
      </c>
      <c r="Y22" s="20">
        <f>Calculations!AG48</f>
        <v>271496402038981.84</v>
      </c>
      <c r="Z22" s="20">
        <f>Calculations!AH48</f>
        <v>271496402038981.84</v>
      </c>
      <c r="AA22" s="20">
        <f>Calculations!AI48</f>
        <v>271496402038981.84</v>
      </c>
      <c r="AB22" s="20">
        <f>Calculations!AJ48</f>
        <v>271496402038981.84</v>
      </c>
      <c r="AC22" s="20">
        <f>Calculations!AK48</f>
        <v>271496402038981.84</v>
      </c>
      <c r="AD22" s="20">
        <f>Calculations!AL48</f>
        <v>271496402038981.84</v>
      </c>
      <c r="AE22" s="20">
        <f>Calculations!AM48</f>
        <v>271496402038981.84</v>
      </c>
      <c r="AF22" s="20">
        <f>Calculations!AN48</f>
        <v>271496402038981.84</v>
      </c>
      <c r="AG22" s="20">
        <f>Calculations!AO48</f>
        <v>271496402038981.84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22"/>
  <sheetViews>
    <sheetView workbookViewId="0"/>
  </sheetViews>
  <sheetFormatPr defaultColWidth="8.875" defaultRowHeight="16.5"/>
  <cols>
    <col min="1" max="1" width="36.125" customWidth="1"/>
    <col min="2" max="35" width="13" customWidth="1"/>
  </cols>
  <sheetData>
    <row r="1" spans="1:34">
      <c r="A1" s="3" t="s">
        <v>26</v>
      </c>
      <c r="B1" s="6">
        <v>2019</v>
      </c>
      <c r="C1">
        <v>2020</v>
      </c>
      <c r="D1" s="6">
        <v>2021</v>
      </c>
      <c r="E1">
        <v>2022</v>
      </c>
      <c r="F1" s="6">
        <v>2023</v>
      </c>
      <c r="G1">
        <v>2024</v>
      </c>
      <c r="H1" s="6">
        <v>2025</v>
      </c>
      <c r="I1">
        <v>2026</v>
      </c>
      <c r="J1" s="6">
        <v>2027</v>
      </c>
      <c r="K1">
        <v>2028</v>
      </c>
      <c r="L1" s="6">
        <v>2029</v>
      </c>
      <c r="M1">
        <v>2030</v>
      </c>
      <c r="N1" s="6">
        <v>2031</v>
      </c>
      <c r="O1">
        <v>2032</v>
      </c>
      <c r="P1" s="6">
        <v>2033</v>
      </c>
      <c r="Q1">
        <v>2034</v>
      </c>
      <c r="R1" s="6">
        <v>2035</v>
      </c>
      <c r="S1">
        <v>2036</v>
      </c>
      <c r="T1" s="6">
        <v>2037</v>
      </c>
      <c r="U1">
        <v>2038</v>
      </c>
      <c r="V1" s="6">
        <v>2039</v>
      </c>
      <c r="W1">
        <v>2040</v>
      </c>
      <c r="X1" s="6">
        <v>2041</v>
      </c>
      <c r="Y1">
        <v>2042</v>
      </c>
      <c r="Z1" s="6">
        <v>2043</v>
      </c>
      <c r="AA1">
        <v>2044</v>
      </c>
      <c r="AB1" s="6">
        <v>2045</v>
      </c>
      <c r="AC1">
        <v>2046</v>
      </c>
      <c r="AD1" s="6">
        <v>2047</v>
      </c>
      <c r="AE1">
        <v>2048</v>
      </c>
      <c r="AF1" s="6">
        <v>2049</v>
      </c>
      <c r="AG1">
        <v>2050</v>
      </c>
      <c r="AH1" s="6"/>
    </row>
    <row r="2" spans="1:34">
      <c r="A2" s="3" t="s">
        <v>7</v>
      </c>
      <c r="B2" s="20">
        <f>Calculations!J53</f>
        <v>0</v>
      </c>
      <c r="C2" s="20">
        <f>Calculations!K53</f>
        <v>0</v>
      </c>
      <c r="D2" s="20">
        <f>Calculations!L53</f>
        <v>0</v>
      </c>
      <c r="E2" s="20">
        <f>Calculations!M53</f>
        <v>0</v>
      </c>
      <c r="F2" s="20">
        <f>Calculations!N53</f>
        <v>0</v>
      </c>
      <c r="G2" s="20">
        <f>Calculations!O53</f>
        <v>0</v>
      </c>
      <c r="H2" s="20">
        <f>Calculations!P53</f>
        <v>0</v>
      </c>
      <c r="I2" s="20">
        <f>Calculations!Q53</f>
        <v>0</v>
      </c>
      <c r="J2" s="20">
        <f>Calculations!R53</f>
        <v>0</v>
      </c>
      <c r="K2" s="20">
        <f>Calculations!S53</f>
        <v>0</v>
      </c>
      <c r="L2" s="20">
        <f>Calculations!T53</f>
        <v>0</v>
      </c>
      <c r="M2" s="20">
        <f>Calculations!U53</f>
        <v>0</v>
      </c>
      <c r="N2" s="20">
        <f>Calculations!V53</f>
        <v>0</v>
      </c>
      <c r="O2" s="20">
        <f>Calculations!W53</f>
        <v>0</v>
      </c>
      <c r="P2" s="20">
        <f>Calculations!X53</f>
        <v>0</v>
      </c>
      <c r="Q2" s="20">
        <f>Calculations!Y53</f>
        <v>0</v>
      </c>
      <c r="R2" s="20">
        <f>Calculations!Z53</f>
        <v>0</v>
      </c>
      <c r="S2" s="20">
        <f>Calculations!AA53</f>
        <v>0</v>
      </c>
      <c r="T2" s="20">
        <f>Calculations!AB53</f>
        <v>0</v>
      </c>
      <c r="U2" s="20">
        <f>Calculations!AC53</f>
        <v>0</v>
      </c>
      <c r="V2" s="20">
        <f>Calculations!AD53</f>
        <v>0</v>
      </c>
      <c r="W2" s="20">
        <f>Calculations!AE53</f>
        <v>0</v>
      </c>
      <c r="X2" s="20">
        <f>Calculations!AF53</f>
        <v>0</v>
      </c>
      <c r="Y2" s="20">
        <f>Calculations!AG53</f>
        <v>0</v>
      </c>
      <c r="Z2" s="20">
        <f>Calculations!AH53</f>
        <v>0</v>
      </c>
      <c r="AA2" s="20">
        <f>Calculations!AI53</f>
        <v>0</v>
      </c>
      <c r="AB2" s="20">
        <f>Calculations!AJ53</f>
        <v>0</v>
      </c>
      <c r="AC2" s="20">
        <f>Calculations!AK53</f>
        <v>0</v>
      </c>
      <c r="AD2" s="20">
        <f>Calculations!AL53</f>
        <v>0</v>
      </c>
      <c r="AE2" s="20">
        <f>Calculations!AM53</f>
        <v>0</v>
      </c>
      <c r="AF2" s="20">
        <f>Calculations!AN53</f>
        <v>0</v>
      </c>
      <c r="AG2" s="20">
        <f>Calculations!AO53</f>
        <v>0</v>
      </c>
    </row>
    <row r="3" spans="1:34">
      <c r="A3" s="1" t="s">
        <v>8</v>
      </c>
      <c r="B3" s="20">
        <f>Calculations!J54</f>
        <v>1338270456044632</v>
      </c>
      <c r="C3" s="20">
        <f>Calculations!K54</f>
        <v>1326683888126052</v>
      </c>
      <c r="D3" s="20">
        <f>Calculations!L54</f>
        <v>1315097320207476</v>
      </c>
      <c r="E3" s="20">
        <f>Calculations!M54</f>
        <v>1303510752288896</v>
      </c>
      <c r="F3" s="20">
        <f>Calculations!N54</f>
        <v>1291924184370320</v>
      </c>
      <c r="G3" s="20">
        <f>Calculations!O54</f>
        <v>1280337616451740</v>
      </c>
      <c r="H3" s="20">
        <f>Calculations!P54</f>
        <v>1268751048533164</v>
      </c>
      <c r="I3" s="20">
        <f>Calculations!Q54</f>
        <v>1257164480614588</v>
      </c>
      <c r="J3" s="20">
        <f>Calculations!R54</f>
        <v>1245577912696008</v>
      </c>
      <c r="K3" s="20">
        <f>Calculations!S54</f>
        <v>1233991344777432</v>
      </c>
      <c r="L3" s="20">
        <f>Calculations!T54</f>
        <v>1222404776858852</v>
      </c>
      <c r="M3" s="20">
        <f>Calculations!U54</f>
        <v>1210818208940276</v>
      </c>
      <c r="N3" s="20">
        <f>Calculations!V54</f>
        <v>1199231641021696</v>
      </c>
      <c r="O3" s="20">
        <f>Calculations!W54</f>
        <v>1187645073103120</v>
      </c>
      <c r="P3" s="20">
        <f>Calculations!X54</f>
        <v>1176058505184540</v>
      </c>
      <c r="Q3" s="20">
        <f>Calculations!Y54</f>
        <v>1164471937265964</v>
      </c>
      <c r="R3" s="20">
        <f>Calculations!Z54</f>
        <v>1152885369347388</v>
      </c>
      <c r="S3" s="20">
        <f>Calculations!AA54</f>
        <v>1141298801428808</v>
      </c>
      <c r="T3" s="20">
        <f>Calculations!AB54</f>
        <v>1129712233510232</v>
      </c>
      <c r="U3" s="20">
        <f>Calculations!AC54</f>
        <v>1118125665591652</v>
      </c>
      <c r="V3" s="20">
        <f>Calculations!AD54</f>
        <v>1106539097673076</v>
      </c>
      <c r="W3" s="20">
        <f>Calculations!AE54</f>
        <v>1094952529754496</v>
      </c>
      <c r="X3" s="20">
        <f>Calculations!AF54</f>
        <v>1083365961835920</v>
      </c>
      <c r="Y3" s="20">
        <f>Calculations!AG54</f>
        <v>1071779393917344</v>
      </c>
      <c r="Z3" s="20">
        <f>Calculations!AH54</f>
        <v>1060192825998764</v>
      </c>
      <c r="AA3" s="20">
        <f>Calculations!AI54</f>
        <v>1048606258080188</v>
      </c>
      <c r="AB3" s="20">
        <f>Calculations!AJ54</f>
        <v>1037019690161608</v>
      </c>
      <c r="AC3" s="20">
        <f>Calculations!AK54</f>
        <v>1025433122243032</v>
      </c>
      <c r="AD3" s="20">
        <f>Calculations!AL54</f>
        <v>1013846554324452</v>
      </c>
      <c r="AE3" s="20">
        <f>Calculations!AM54</f>
        <v>1002259986405876</v>
      </c>
      <c r="AF3" s="20">
        <f>Calculations!AN54</f>
        <v>990673418487300</v>
      </c>
      <c r="AG3" s="20">
        <f>Calculations!AO54</f>
        <v>979086850568720</v>
      </c>
    </row>
    <row r="4" spans="1:34">
      <c r="A4" s="1" t="s">
        <v>1</v>
      </c>
      <c r="B4" s="20">
        <f>Calculations!J55</f>
        <v>2062824457035984</v>
      </c>
      <c r="C4" s="20">
        <f>Calculations!K55</f>
        <v>2122659242683440</v>
      </c>
      <c r="D4" s="20">
        <f>Calculations!L55</f>
        <v>2182494028330880</v>
      </c>
      <c r="E4" s="20">
        <f>Calculations!M55</f>
        <v>2242328813978336</v>
      </c>
      <c r="F4" s="20">
        <f>Calculations!N55</f>
        <v>2302163599625776</v>
      </c>
      <c r="G4" s="20">
        <f>Calculations!O55</f>
        <v>2361998385273232</v>
      </c>
      <c r="H4" s="20">
        <f>Calculations!P55</f>
        <v>2421833170920672</v>
      </c>
      <c r="I4" s="20">
        <f>Calculations!Q55</f>
        <v>2481667956568128</v>
      </c>
      <c r="J4" s="20">
        <f>Calculations!R55</f>
        <v>2541502742215568</v>
      </c>
      <c r="K4" s="20">
        <f>Calculations!S55</f>
        <v>2601337527863008</v>
      </c>
      <c r="L4" s="20">
        <f>Calculations!T55</f>
        <v>2661172313510464</v>
      </c>
      <c r="M4" s="20">
        <f>Calculations!U55</f>
        <v>2721007099157904</v>
      </c>
      <c r="N4" s="20">
        <f>Calculations!V55</f>
        <v>2780841884805360</v>
      </c>
      <c r="O4" s="20">
        <f>Calculations!W55</f>
        <v>2840676670452800</v>
      </c>
      <c r="P4" s="20">
        <f>Calculations!X55</f>
        <v>2900511456100256</v>
      </c>
      <c r="Q4" s="20">
        <f>Calculations!Y55</f>
        <v>2960346241747696</v>
      </c>
      <c r="R4" s="20">
        <f>Calculations!Z55</f>
        <v>3020181027395152</v>
      </c>
      <c r="S4" s="20">
        <f>Calculations!AA55</f>
        <v>3080015813042592</v>
      </c>
      <c r="T4" s="20">
        <f>Calculations!AB55</f>
        <v>3139850598690048</v>
      </c>
      <c r="U4" s="20">
        <f>Calculations!AC55</f>
        <v>3199685384337488</v>
      </c>
      <c r="V4" s="20">
        <f>Calculations!AD55</f>
        <v>3259520169984944</v>
      </c>
      <c r="W4" s="20">
        <f>Calculations!AE55</f>
        <v>3319354955632384</v>
      </c>
      <c r="X4" s="20">
        <f>Calculations!AF55</f>
        <v>3379189741279840</v>
      </c>
      <c r="Y4" s="20">
        <f>Calculations!AG55</f>
        <v>3439024526927280</v>
      </c>
      <c r="Z4" s="20">
        <f>Calculations!AH55</f>
        <v>3498859312574736</v>
      </c>
      <c r="AA4" s="20">
        <f>Calculations!AI55</f>
        <v>3558694098222176</v>
      </c>
      <c r="AB4" s="20">
        <f>Calculations!AJ55</f>
        <v>3618528883869632</v>
      </c>
      <c r="AC4" s="20">
        <f>Calculations!AK55</f>
        <v>3678363669517072</v>
      </c>
      <c r="AD4" s="20">
        <f>Calculations!AL55</f>
        <v>3738198455164528</v>
      </c>
      <c r="AE4" s="20">
        <f>Calculations!AM55</f>
        <v>3798033240811968</v>
      </c>
      <c r="AF4" s="20">
        <f>Calculations!AN55</f>
        <v>3857868026459408</v>
      </c>
      <c r="AG4" s="20">
        <f>Calculations!AO55</f>
        <v>3917702812106864</v>
      </c>
    </row>
    <row r="5" spans="1:34">
      <c r="A5" s="1" t="s">
        <v>9</v>
      </c>
      <c r="B5" s="20">
        <f>Calculations!J56</f>
        <v>0</v>
      </c>
      <c r="C5" s="20">
        <f>Calculations!K56</f>
        <v>0</v>
      </c>
      <c r="D5" s="20">
        <f>Calculations!L56</f>
        <v>0</v>
      </c>
      <c r="E5" s="20">
        <f>Calculations!M56</f>
        <v>0</v>
      </c>
      <c r="F5" s="20">
        <f>Calculations!N56</f>
        <v>0</v>
      </c>
      <c r="G5" s="20">
        <f>Calculations!O56</f>
        <v>0</v>
      </c>
      <c r="H5" s="20">
        <f>Calculations!P56</f>
        <v>0</v>
      </c>
      <c r="I5" s="20">
        <f>Calculations!Q56</f>
        <v>0</v>
      </c>
      <c r="J5" s="20">
        <f>Calculations!R56</f>
        <v>0</v>
      </c>
      <c r="K5" s="20">
        <f>Calculations!S56</f>
        <v>0</v>
      </c>
      <c r="L5" s="20">
        <f>Calculations!T56</f>
        <v>0</v>
      </c>
      <c r="M5" s="20">
        <f>Calculations!U56</f>
        <v>0</v>
      </c>
      <c r="N5" s="20">
        <f>Calculations!V56</f>
        <v>0</v>
      </c>
      <c r="O5" s="20">
        <f>Calculations!W56</f>
        <v>0</v>
      </c>
      <c r="P5" s="20">
        <f>Calculations!X56</f>
        <v>0</v>
      </c>
      <c r="Q5" s="20">
        <f>Calculations!Y56</f>
        <v>0</v>
      </c>
      <c r="R5" s="20">
        <f>Calculations!Z56</f>
        <v>0</v>
      </c>
      <c r="S5" s="20">
        <f>Calculations!AA56</f>
        <v>0</v>
      </c>
      <c r="T5" s="20">
        <f>Calculations!AB56</f>
        <v>0</v>
      </c>
      <c r="U5" s="20">
        <f>Calculations!AC56</f>
        <v>0</v>
      </c>
      <c r="V5" s="20">
        <f>Calculations!AD56</f>
        <v>0</v>
      </c>
      <c r="W5" s="20">
        <f>Calculations!AE56</f>
        <v>0</v>
      </c>
      <c r="X5" s="20">
        <f>Calculations!AF56</f>
        <v>0</v>
      </c>
      <c r="Y5" s="20">
        <f>Calculations!AG56</f>
        <v>0</v>
      </c>
      <c r="Z5" s="20">
        <f>Calculations!AH56</f>
        <v>0</v>
      </c>
      <c r="AA5" s="20">
        <f>Calculations!AI56</f>
        <v>0</v>
      </c>
      <c r="AB5" s="20">
        <f>Calculations!AJ56</f>
        <v>0</v>
      </c>
      <c r="AC5" s="20">
        <f>Calculations!AK56</f>
        <v>0</v>
      </c>
      <c r="AD5" s="20">
        <f>Calculations!AL56</f>
        <v>0</v>
      </c>
      <c r="AE5" s="20">
        <f>Calculations!AM56</f>
        <v>0</v>
      </c>
      <c r="AF5" s="20">
        <f>Calculations!AN56</f>
        <v>0</v>
      </c>
      <c r="AG5" s="20">
        <f>Calculations!AO56</f>
        <v>0</v>
      </c>
    </row>
    <row r="6" spans="1:34">
      <c r="A6" s="1" t="s">
        <v>10</v>
      </c>
      <c r="B6" s="20">
        <f>Calculations!J57</f>
        <v>0</v>
      </c>
      <c r="C6" s="20">
        <f>Calculations!K57</f>
        <v>0</v>
      </c>
      <c r="D6" s="20">
        <f>Calculations!L57</f>
        <v>0</v>
      </c>
      <c r="E6" s="20">
        <f>Calculations!M57</f>
        <v>0</v>
      </c>
      <c r="F6" s="20">
        <f>Calculations!N57</f>
        <v>0</v>
      </c>
      <c r="G6" s="20">
        <f>Calculations!O57</f>
        <v>0</v>
      </c>
      <c r="H6" s="20">
        <f>Calculations!P57</f>
        <v>0</v>
      </c>
      <c r="I6" s="20">
        <f>Calculations!Q57</f>
        <v>0</v>
      </c>
      <c r="J6" s="20">
        <f>Calculations!R57</f>
        <v>0</v>
      </c>
      <c r="K6" s="20">
        <f>Calculations!S57</f>
        <v>0</v>
      </c>
      <c r="L6" s="20">
        <f>Calculations!T57</f>
        <v>0</v>
      </c>
      <c r="M6" s="20">
        <f>Calculations!U57</f>
        <v>0</v>
      </c>
      <c r="N6" s="20">
        <f>Calculations!V57</f>
        <v>0</v>
      </c>
      <c r="O6" s="20">
        <f>Calculations!W57</f>
        <v>0</v>
      </c>
      <c r="P6" s="20">
        <f>Calculations!X57</f>
        <v>0</v>
      </c>
      <c r="Q6" s="20">
        <f>Calculations!Y57</f>
        <v>0</v>
      </c>
      <c r="R6" s="20">
        <f>Calculations!Z57</f>
        <v>0</v>
      </c>
      <c r="S6" s="20">
        <f>Calculations!AA57</f>
        <v>0</v>
      </c>
      <c r="T6" s="20">
        <f>Calculations!AB57</f>
        <v>0</v>
      </c>
      <c r="U6" s="20">
        <f>Calculations!AC57</f>
        <v>0</v>
      </c>
      <c r="V6" s="20">
        <f>Calculations!AD57</f>
        <v>0</v>
      </c>
      <c r="W6" s="20">
        <f>Calculations!AE57</f>
        <v>0</v>
      </c>
      <c r="X6" s="20">
        <f>Calculations!AF57</f>
        <v>0</v>
      </c>
      <c r="Y6" s="20">
        <f>Calculations!AG57</f>
        <v>0</v>
      </c>
      <c r="Z6" s="20">
        <f>Calculations!AH57</f>
        <v>0</v>
      </c>
      <c r="AA6" s="20">
        <f>Calculations!AI57</f>
        <v>0</v>
      </c>
      <c r="AB6" s="20">
        <f>Calculations!AJ57</f>
        <v>0</v>
      </c>
      <c r="AC6" s="20">
        <f>Calculations!AK57</f>
        <v>0</v>
      </c>
      <c r="AD6" s="20">
        <f>Calculations!AL57</f>
        <v>0</v>
      </c>
      <c r="AE6" s="20">
        <f>Calculations!AM57</f>
        <v>0</v>
      </c>
      <c r="AF6" s="20">
        <f>Calculations!AN57</f>
        <v>0</v>
      </c>
      <c r="AG6" s="20">
        <f>Calculations!AO57</f>
        <v>0</v>
      </c>
    </row>
    <row r="7" spans="1:34">
      <c r="A7" s="1" t="s">
        <v>11</v>
      </c>
      <c r="B7" s="20">
        <f>Calculations!J58</f>
        <v>0</v>
      </c>
      <c r="C7" s="20">
        <f>Calculations!K58</f>
        <v>0</v>
      </c>
      <c r="D7" s="20">
        <f>Calculations!L58</f>
        <v>0</v>
      </c>
      <c r="E7" s="20">
        <f>Calculations!M58</f>
        <v>0</v>
      </c>
      <c r="F7" s="20">
        <f>Calculations!N58</f>
        <v>0</v>
      </c>
      <c r="G7" s="20">
        <f>Calculations!O58</f>
        <v>0</v>
      </c>
      <c r="H7" s="20">
        <f>Calculations!P58</f>
        <v>0</v>
      </c>
      <c r="I7" s="20">
        <f>Calculations!Q58</f>
        <v>0</v>
      </c>
      <c r="J7" s="20">
        <f>Calculations!R58</f>
        <v>0</v>
      </c>
      <c r="K7" s="20">
        <f>Calculations!S58</f>
        <v>0</v>
      </c>
      <c r="L7" s="20">
        <f>Calculations!T58</f>
        <v>0</v>
      </c>
      <c r="M7" s="20">
        <f>Calculations!U58</f>
        <v>0</v>
      </c>
      <c r="N7" s="20">
        <f>Calculations!V58</f>
        <v>0</v>
      </c>
      <c r="O7" s="20">
        <f>Calculations!W58</f>
        <v>0</v>
      </c>
      <c r="P7" s="20">
        <f>Calculations!X58</f>
        <v>0</v>
      </c>
      <c r="Q7" s="20">
        <f>Calculations!Y58</f>
        <v>0</v>
      </c>
      <c r="R7" s="20">
        <f>Calculations!Z58</f>
        <v>0</v>
      </c>
      <c r="S7" s="20">
        <f>Calculations!AA58</f>
        <v>0</v>
      </c>
      <c r="T7" s="20">
        <f>Calculations!AB58</f>
        <v>0</v>
      </c>
      <c r="U7" s="20">
        <f>Calculations!AC58</f>
        <v>0</v>
      </c>
      <c r="V7" s="20">
        <f>Calculations!AD58</f>
        <v>0</v>
      </c>
      <c r="W7" s="20">
        <f>Calculations!AE58</f>
        <v>0</v>
      </c>
      <c r="X7" s="20">
        <f>Calculations!AF58</f>
        <v>0</v>
      </c>
      <c r="Y7" s="20">
        <f>Calculations!AG58</f>
        <v>0</v>
      </c>
      <c r="Z7" s="20">
        <f>Calculations!AH58</f>
        <v>0</v>
      </c>
      <c r="AA7" s="20">
        <f>Calculations!AI58</f>
        <v>0</v>
      </c>
      <c r="AB7" s="20">
        <f>Calculations!AJ58</f>
        <v>0</v>
      </c>
      <c r="AC7" s="20">
        <f>Calculations!AK58</f>
        <v>0</v>
      </c>
      <c r="AD7" s="20">
        <f>Calculations!AL58</f>
        <v>0</v>
      </c>
      <c r="AE7" s="20">
        <f>Calculations!AM58</f>
        <v>0</v>
      </c>
      <c r="AF7" s="20">
        <f>Calculations!AN58</f>
        <v>0</v>
      </c>
      <c r="AG7" s="20">
        <f>Calculations!AO58</f>
        <v>0</v>
      </c>
    </row>
    <row r="8" spans="1:34">
      <c r="A8" s="1" t="s">
        <v>12</v>
      </c>
      <c r="B8" s="20">
        <f>Calculations!J59</f>
        <v>0</v>
      </c>
      <c r="C8" s="20">
        <f>Calculations!K59</f>
        <v>0</v>
      </c>
      <c r="D8" s="20">
        <f>Calculations!L59</f>
        <v>0</v>
      </c>
      <c r="E8" s="20">
        <f>Calculations!M59</f>
        <v>0</v>
      </c>
      <c r="F8" s="20">
        <f>Calculations!N59</f>
        <v>0</v>
      </c>
      <c r="G8" s="20">
        <f>Calculations!O59</f>
        <v>0</v>
      </c>
      <c r="H8" s="20">
        <f>Calculations!P59</f>
        <v>0</v>
      </c>
      <c r="I8" s="20">
        <f>Calculations!Q59</f>
        <v>0</v>
      </c>
      <c r="J8" s="20">
        <f>Calculations!R59</f>
        <v>0</v>
      </c>
      <c r="K8" s="20">
        <f>Calculations!S59</f>
        <v>0</v>
      </c>
      <c r="L8" s="20">
        <f>Calculations!T59</f>
        <v>0</v>
      </c>
      <c r="M8" s="20">
        <f>Calculations!U59</f>
        <v>0</v>
      </c>
      <c r="N8" s="20">
        <f>Calculations!V59</f>
        <v>0</v>
      </c>
      <c r="O8" s="20">
        <f>Calculations!W59</f>
        <v>0</v>
      </c>
      <c r="P8" s="20">
        <f>Calculations!X59</f>
        <v>0</v>
      </c>
      <c r="Q8" s="20">
        <f>Calculations!Y59</f>
        <v>0</v>
      </c>
      <c r="R8" s="20">
        <f>Calculations!Z59</f>
        <v>0</v>
      </c>
      <c r="S8" s="20">
        <f>Calculations!AA59</f>
        <v>0</v>
      </c>
      <c r="T8" s="20">
        <f>Calculations!AB59</f>
        <v>0</v>
      </c>
      <c r="U8" s="20">
        <f>Calculations!AC59</f>
        <v>0</v>
      </c>
      <c r="V8" s="20">
        <f>Calculations!AD59</f>
        <v>0</v>
      </c>
      <c r="W8" s="20">
        <f>Calculations!AE59</f>
        <v>0</v>
      </c>
      <c r="X8" s="20">
        <f>Calculations!AF59</f>
        <v>0</v>
      </c>
      <c r="Y8" s="20">
        <f>Calculations!AG59</f>
        <v>0</v>
      </c>
      <c r="Z8" s="20">
        <f>Calculations!AH59</f>
        <v>0</v>
      </c>
      <c r="AA8" s="20">
        <f>Calculations!AI59</f>
        <v>0</v>
      </c>
      <c r="AB8" s="20">
        <f>Calculations!AJ59</f>
        <v>0</v>
      </c>
      <c r="AC8" s="20">
        <f>Calculations!AK59</f>
        <v>0</v>
      </c>
      <c r="AD8" s="20">
        <f>Calculations!AL59</f>
        <v>0</v>
      </c>
      <c r="AE8" s="20">
        <f>Calculations!AM59</f>
        <v>0</v>
      </c>
      <c r="AF8" s="20">
        <f>Calculations!AN59</f>
        <v>0</v>
      </c>
      <c r="AG8" s="20">
        <f>Calculations!AO59</f>
        <v>0</v>
      </c>
    </row>
    <row r="9" spans="1:34">
      <c r="A9" s="1" t="s">
        <v>2</v>
      </c>
      <c r="B9" s="20">
        <f>Calculations!J60</f>
        <v>0</v>
      </c>
      <c r="C9" s="20">
        <f>Calculations!K60</f>
        <v>0</v>
      </c>
      <c r="D9" s="20">
        <f>Calculations!L60</f>
        <v>0</v>
      </c>
      <c r="E9" s="20">
        <f>Calculations!M60</f>
        <v>0</v>
      </c>
      <c r="F9" s="20">
        <f>Calculations!N60</f>
        <v>0</v>
      </c>
      <c r="G9" s="20">
        <f>Calculations!O60</f>
        <v>0</v>
      </c>
      <c r="H9" s="20">
        <f>Calculations!P60</f>
        <v>0</v>
      </c>
      <c r="I9" s="20">
        <f>Calculations!Q60</f>
        <v>0</v>
      </c>
      <c r="J9" s="20">
        <f>Calculations!R60</f>
        <v>0</v>
      </c>
      <c r="K9" s="20">
        <f>Calculations!S60</f>
        <v>0</v>
      </c>
      <c r="L9" s="20">
        <f>Calculations!T60</f>
        <v>0</v>
      </c>
      <c r="M9" s="20">
        <f>Calculations!U60</f>
        <v>0</v>
      </c>
      <c r="N9" s="20">
        <f>Calculations!V60</f>
        <v>0</v>
      </c>
      <c r="O9" s="20">
        <f>Calculations!W60</f>
        <v>0</v>
      </c>
      <c r="P9" s="20">
        <f>Calculations!X60</f>
        <v>0</v>
      </c>
      <c r="Q9" s="20">
        <f>Calculations!Y60</f>
        <v>0</v>
      </c>
      <c r="R9" s="20">
        <f>Calculations!Z60</f>
        <v>0</v>
      </c>
      <c r="S9" s="20">
        <f>Calculations!AA60</f>
        <v>0</v>
      </c>
      <c r="T9" s="20">
        <f>Calculations!AB60</f>
        <v>0</v>
      </c>
      <c r="U9" s="20">
        <f>Calculations!AC60</f>
        <v>0</v>
      </c>
      <c r="V9" s="20">
        <f>Calculations!AD60</f>
        <v>0</v>
      </c>
      <c r="W9" s="20">
        <f>Calculations!AE60</f>
        <v>0</v>
      </c>
      <c r="X9" s="20">
        <f>Calculations!AF60</f>
        <v>0</v>
      </c>
      <c r="Y9" s="20">
        <f>Calculations!AG60</f>
        <v>0</v>
      </c>
      <c r="Z9" s="20">
        <f>Calculations!AH60</f>
        <v>0</v>
      </c>
      <c r="AA9" s="20">
        <f>Calculations!AI60</f>
        <v>0</v>
      </c>
      <c r="AB9" s="20">
        <f>Calculations!AJ60</f>
        <v>0</v>
      </c>
      <c r="AC9" s="20">
        <f>Calculations!AK60</f>
        <v>0</v>
      </c>
      <c r="AD9" s="20">
        <f>Calculations!AL60</f>
        <v>0</v>
      </c>
      <c r="AE9" s="20">
        <f>Calculations!AM60</f>
        <v>0</v>
      </c>
      <c r="AF9" s="20">
        <f>Calculations!AN60</f>
        <v>0</v>
      </c>
      <c r="AG9" s="20">
        <f>Calculations!AO60</f>
        <v>0</v>
      </c>
    </row>
    <row r="10" spans="1:34">
      <c r="A10" s="1" t="s">
        <v>3</v>
      </c>
      <c r="B10" s="20">
        <f>Calculations!J61</f>
        <v>1637224415050.375</v>
      </c>
      <c r="C10" s="20">
        <f>Calculations!K61</f>
        <v>1574952286759.625</v>
      </c>
      <c r="D10" s="20">
        <f>Calculations!L61</f>
        <v>1512680158468.8594</v>
      </c>
      <c r="E10" s="20">
        <f>Calculations!M61</f>
        <v>1450408030178.1094</v>
      </c>
      <c r="F10" s="20">
        <f>Calculations!N61</f>
        <v>1388135901887.3594</v>
      </c>
      <c r="G10" s="20">
        <f>Calculations!O61</f>
        <v>1325863773596.5938</v>
      </c>
      <c r="H10" s="20">
        <f>Calculations!P61</f>
        <v>1263591645305.8438</v>
      </c>
      <c r="I10" s="20">
        <f>Calculations!Q61</f>
        <v>1201319517015.0781</v>
      </c>
      <c r="J10" s="20">
        <f>Calculations!R61</f>
        <v>1139047388724.3281</v>
      </c>
      <c r="K10" s="20">
        <f>Calculations!S61</f>
        <v>1076775260433.5781</v>
      </c>
      <c r="L10" s="20">
        <f>Calculations!T61</f>
        <v>1014503132142.8125</v>
      </c>
      <c r="M10" s="20">
        <f>Calculations!U61</f>
        <v>952231003852.0625</v>
      </c>
      <c r="N10" s="20">
        <f>Calculations!V61</f>
        <v>889958875561.3125</v>
      </c>
      <c r="O10" s="20">
        <f>Calculations!W61</f>
        <v>827686747270.54688</v>
      </c>
      <c r="P10" s="20">
        <f>Calculations!X61</f>
        <v>765414618979.79688</v>
      </c>
      <c r="Q10" s="20">
        <f>Calculations!Y61</f>
        <v>703142490689.03125</v>
      </c>
      <c r="R10" s="20">
        <f>Calculations!Z61</f>
        <v>640870362398.28125</v>
      </c>
      <c r="S10" s="20">
        <f>Calculations!AA61</f>
        <v>578598234107.53125</v>
      </c>
      <c r="T10" s="20">
        <f>Calculations!AB61</f>
        <v>516326105816.76563</v>
      </c>
      <c r="U10" s="20">
        <f>Calculations!AC61</f>
        <v>454053977526.01563</v>
      </c>
      <c r="V10" s="20">
        <f>Calculations!AD61</f>
        <v>391781849235.25</v>
      </c>
      <c r="W10" s="20">
        <f>Calculations!AE61</f>
        <v>329509720944.5</v>
      </c>
      <c r="X10" s="20">
        <f>Calculations!AF61</f>
        <v>267237592653.75</v>
      </c>
      <c r="Y10" s="20">
        <f>Calculations!AG61</f>
        <v>204965464362.98438</v>
      </c>
      <c r="Z10" s="20">
        <f>Calculations!AH61</f>
        <v>142693336072.23438</v>
      </c>
      <c r="AA10" s="20">
        <f>Calculations!AI61</f>
        <v>80421207781.484375</v>
      </c>
      <c r="AB10" s="20">
        <f>Calculations!AJ61</f>
        <v>18149079490.71875</v>
      </c>
      <c r="AC10" s="20">
        <f>Calculations!AK61</f>
        <v>0</v>
      </c>
      <c r="AD10" s="20">
        <f>Calculations!AL61</f>
        <v>0</v>
      </c>
      <c r="AE10" s="20">
        <f>Calculations!AM61</f>
        <v>0</v>
      </c>
      <c r="AF10" s="20">
        <f>Calculations!AN61</f>
        <v>0</v>
      </c>
      <c r="AG10" s="20">
        <f>Calculations!AO61</f>
        <v>0</v>
      </c>
    </row>
    <row r="11" spans="1:34">
      <c r="A11" s="1" t="s">
        <v>13</v>
      </c>
      <c r="B11" s="20">
        <f>Calculations!J62</f>
        <v>6154575132139.125</v>
      </c>
      <c r="C11" s="20">
        <f>Calculations!K62</f>
        <v>5915118632357</v>
      </c>
      <c r="D11" s="20">
        <f>Calculations!L62</f>
        <v>5675662132574.8125</v>
      </c>
      <c r="E11" s="20">
        <f>Calculations!M62</f>
        <v>5436205632792.6875</v>
      </c>
      <c r="F11" s="20">
        <f>Calculations!N62</f>
        <v>5196749133010.5625</v>
      </c>
      <c r="G11" s="20">
        <f>Calculations!O62</f>
        <v>4957292633228.4375</v>
      </c>
      <c r="H11" s="20">
        <f>Calculations!P62</f>
        <v>4717836133446.3125</v>
      </c>
      <c r="I11" s="20">
        <f>Calculations!Q62</f>
        <v>4478379633664.125</v>
      </c>
      <c r="J11" s="20">
        <f>Calculations!R62</f>
        <v>4238923133882</v>
      </c>
      <c r="K11" s="20">
        <f>Calculations!S62</f>
        <v>3999466634099.875</v>
      </c>
      <c r="L11" s="20">
        <f>Calculations!T62</f>
        <v>3760010134317.75</v>
      </c>
      <c r="M11" s="20">
        <f>Calculations!U62</f>
        <v>3520553634535.5625</v>
      </c>
      <c r="N11" s="20">
        <f>Calculations!V62</f>
        <v>3281097134753.4375</v>
      </c>
      <c r="O11" s="20">
        <f>Calculations!W62</f>
        <v>3041640634971.3125</v>
      </c>
      <c r="P11" s="20">
        <f>Calculations!X62</f>
        <v>2802184135189.1875</v>
      </c>
      <c r="Q11" s="20">
        <f>Calculations!Y62</f>
        <v>2562727635407</v>
      </c>
      <c r="R11" s="20">
        <f>Calculations!Z62</f>
        <v>2323271135624.875</v>
      </c>
      <c r="S11" s="20">
        <f>Calculations!AA62</f>
        <v>2083814635842.75</v>
      </c>
      <c r="T11" s="20">
        <f>Calculations!AB62</f>
        <v>1844358136060.625</v>
      </c>
      <c r="U11" s="20">
        <f>Calculations!AC62</f>
        <v>1604901636278.4375</v>
      </c>
      <c r="V11" s="20">
        <f>Calculations!AD62</f>
        <v>1365445136496.3125</v>
      </c>
      <c r="W11" s="20">
        <f>Calculations!AE62</f>
        <v>1125988636714.1875</v>
      </c>
      <c r="X11" s="20">
        <f>Calculations!AF62</f>
        <v>886532136932.0625</v>
      </c>
      <c r="Y11" s="20">
        <f>Calculations!AG62</f>
        <v>647075637149.875</v>
      </c>
      <c r="Z11" s="20">
        <f>Calculations!AH62</f>
        <v>407619137367.75</v>
      </c>
      <c r="AA11" s="20">
        <f>Calculations!AI62</f>
        <v>168162637585.625</v>
      </c>
      <c r="AB11" s="20">
        <f>Calculations!AJ62</f>
        <v>0</v>
      </c>
      <c r="AC11" s="20">
        <f>Calculations!AK62</f>
        <v>0</v>
      </c>
      <c r="AD11" s="20">
        <f>Calculations!AL62</f>
        <v>0</v>
      </c>
      <c r="AE11" s="20">
        <f>Calculations!AM62</f>
        <v>0</v>
      </c>
      <c r="AF11" s="20">
        <f>Calculations!AN62</f>
        <v>0</v>
      </c>
      <c r="AG11" s="20">
        <f>Calculations!AO62</f>
        <v>0</v>
      </c>
    </row>
    <row r="12" spans="1:34">
      <c r="A12" s="1" t="s">
        <v>14</v>
      </c>
      <c r="B12" s="20">
        <f>Calculations!J63</f>
        <v>0</v>
      </c>
      <c r="C12" s="20">
        <f>Calculations!K63</f>
        <v>0</v>
      </c>
      <c r="D12" s="20">
        <f>Calculations!L63</f>
        <v>0</v>
      </c>
      <c r="E12" s="20">
        <f>Calculations!M63</f>
        <v>0</v>
      </c>
      <c r="F12" s="20">
        <f>Calculations!N63</f>
        <v>0</v>
      </c>
      <c r="G12" s="20">
        <f>Calculations!O63</f>
        <v>0</v>
      </c>
      <c r="H12" s="20">
        <f>Calculations!P63</f>
        <v>0</v>
      </c>
      <c r="I12" s="20">
        <f>Calculations!Q63</f>
        <v>0</v>
      </c>
      <c r="J12" s="20">
        <f>Calculations!R63</f>
        <v>0</v>
      </c>
      <c r="K12" s="20">
        <f>Calculations!S63</f>
        <v>0</v>
      </c>
      <c r="L12" s="20">
        <f>Calculations!T63</f>
        <v>0</v>
      </c>
      <c r="M12" s="20">
        <f>Calculations!U63</f>
        <v>0</v>
      </c>
      <c r="N12" s="20">
        <f>Calculations!V63</f>
        <v>0</v>
      </c>
      <c r="O12" s="20">
        <f>Calculations!W63</f>
        <v>0</v>
      </c>
      <c r="P12" s="20">
        <f>Calculations!X63</f>
        <v>0</v>
      </c>
      <c r="Q12" s="20">
        <f>Calculations!Y63</f>
        <v>0</v>
      </c>
      <c r="R12" s="20">
        <f>Calculations!Z63</f>
        <v>0</v>
      </c>
      <c r="S12" s="20">
        <f>Calculations!AA63</f>
        <v>0</v>
      </c>
      <c r="T12" s="20">
        <f>Calculations!AB63</f>
        <v>0</v>
      </c>
      <c r="U12" s="20">
        <f>Calculations!AC63</f>
        <v>0</v>
      </c>
      <c r="V12" s="20">
        <f>Calculations!AD63</f>
        <v>0</v>
      </c>
      <c r="W12" s="20">
        <f>Calculations!AE63</f>
        <v>0</v>
      </c>
      <c r="X12" s="20">
        <f>Calculations!AF63</f>
        <v>0</v>
      </c>
      <c r="Y12" s="20">
        <f>Calculations!AG63</f>
        <v>0</v>
      </c>
      <c r="Z12" s="20">
        <f>Calculations!AH63</f>
        <v>0</v>
      </c>
      <c r="AA12" s="20">
        <f>Calculations!AI63</f>
        <v>0</v>
      </c>
      <c r="AB12" s="20">
        <f>Calculations!AJ63</f>
        <v>0</v>
      </c>
      <c r="AC12" s="20">
        <f>Calculations!AK63</f>
        <v>0</v>
      </c>
      <c r="AD12" s="20">
        <f>Calculations!AL63</f>
        <v>0</v>
      </c>
      <c r="AE12" s="20">
        <f>Calculations!AM63</f>
        <v>0</v>
      </c>
      <c r="AF12" s="20">
        <f>Calculations!AN63</f>
        <v>0</v>
      </c>
      <c r="AG12" s="20">
        <f>Calculations!AO63</f>
        <v>0</v>
      </c>
    </row>
    <row r="13" spans="1:34">
      <c r="A13" s="1" t="s">
        <v>15</v>
      </c>
      <c r="B13" s="20">
        <f>Calculations!J64</f>
        <v>0</v>
      </c>
      <c r="C13" s="20">
        <f>Calculations!K64</f>
        <v>0</v>
      </c>
      <c r="D13" s="20">
        <f>Calculations!L64</f>
        <v>0</v>
      </c>
      <c r="E13" s="20">
        <f>Calculations!M64</f>
        <v>0</v>
      </c>
      <c r="F13" s="20">
        <f>Calculations!N64</f>
        <v>0</v>
      </c>
      <c r="G13" s="20">
        <f>Calculations!O64</f>
        <v>0</v>
      </c>
      <c r="H13" s="20">
        <f>Calculations!P64</f>
        <v>0</v>
      </c>
      <c r="I13" s="20">
        <f>Calculations!Q64</f>
        <v>0</v>
      </c>
      <c r="J13" s="20">
        <f>Calculations!R64</f>
        <v>0</v>
      </c>
      <c r="K13" s="20">
        <f>Calculations!S64</f>
        <v>0</v>
      </c>
      <c r="L13" s="20">
        <f>Calculations!T64</f>
        <v>0</v>
      </c>
      <c r="M13" s="20">
        <f>Calculations!U64</f>
        <v>0</v>
      </c>
      <c r="N13" s="20">
        <f>Calculations!V64</f>
        <v>0</v>
      </c>
      <c r="O13" s="20">
        <f>Calculations!W64</f>
        <v>0</v>
      </c>
      <c r="P13" s="20">
        <f>Calculations!X64</f>
        <v>0</v>
      </c>
      <c r="Q13" s="20">
        <f>Calculations!Y64</f>
        <v>0</v>
      </c>
      <c r="R13" s="20">
        <f>Calculations!Z64</f>
        <v>0</v>
      </c>
      <c r="S13" s="20">
        <f>Calculations!AA64</f>
        <v>0</v>
      </c>
      <c r="T13" s="20">
        <f>Calculations!AB64</f>
        <v>0</v>
      </c>
      <c r="U13" s="20">
        <f>Calculations!AC64</f>
        <v>0</v>
      </c>
      <c r="V13" s="20">
        <f>Calculations!AD64</f>
        <v>0</v>
      </c>
      <c r="W13" s="20">
        <f>Calculations!AE64</f>
        <v>0</v>
      </c>
      <c r="X13" s="20">
        <f>Calculations!AF64</f>
        <v>0</v>
      </c>
      <c r="Y13" s="20">
        <f>Calculations!AG64</f>
        <v>0</v>
      </c>
      <c r="Z13" s="20">
        <f>Calculations!AH64</f>
        <v>0</v>
      </c>
      <c r="AA13" s="20">
        <f>Calculations!AI64</f>
        <v>0</v>
      </c>
      <c r="AB13" s="20">
        <f>Calculations!AJ64</f>
        <v>0</v>
      </c>
      <c r="AC13" s="20">
        <f>Calculations!AK64</f>
        <v>0</v>
      </c>
      <c r="AD13" s="20">
        <f>Calculations!AL64</f>
        <v>0</v>
      </c>
      <c r="AE13" s="20">
        <f>Calculations!AM64</f>
        <v>0</v>
      </c>
      <c r="AF13" s="20">
        <f>Calculations!AN64</f>
        <v>0</v>
      </c>
      <c r="AG13" s="20">
        <f>Calculations!AO64</f>
        <v>0</v>
      </c>
    </row>
    <row r="14" spans="1:34">
      <c r="A14" s="1" t="s">
        <v>4</v>
      </c>
      <c r="B14" s="20">
        <f>Calculations!J65</f>
        <v>16098740111626</v>
      </c>
      <c r="C14" s="20">
        <f>Calculations!K65</f>
        <v>15288153149575.5</v>
      </c>
      <c r="D14" s="20">
        <f>Calculations!L65</f>
        <v>14477566187524.75</v>
      </c>
      <c r="E14" s="20">
        <f>Calculations!M65</f>
        <v>13666979225474</v>
      </c>
      <c r="F14" s="20">
        <f>Calculations!N65</f>
        <v>12856392263423.5</v>
      </c>
      <c r="G14" s="20">
        <f>Calculations!O65</f>
        <v>12045805301372.75</v>
      </c>
      <c r="H14" s="20">
        <f>Calculations!P65</f>
        <v>11235218339322.25</v>
      </c>
      <c r="I14" s="20">
        <f>Calculations!Q65</f>
        <v>10424631377271.5</v>
      </c>
      <c r="J14" s="20">
        <f>Calculations!R65</f>
        <v>9614044415220.75</v>
      </c>
      <c r="K14" s="20">
        <f>Calculations!S65</f>
        <v>8803457453170.25</v>
      </c>
      <c r="L14" s="20">
        <f>Calculations!T65</f>
        <v>7992870491119.5</v>
      </c>
      <c r="M14" s="20">
        <f>Calculations!U65</f>
        <v>7182283529068.75</v>
      </c>
      <c r="N14" s="20">
        <f>Calculations!V65</f>
        <v>6371696567018.25</v>
      </c>
      <c r="O14" s="20">
        <f>Calculations!W65</f>
        <v>5561109604967.5</v>
      </c>
      <c r="P14" s="20">
        <f>Calculations!X65</f>
        <v>4750522642916.75</v>
      </c>
      <c r="Q14" s="20">
        <f>Calculations!Y65</f>
        <v>3939935680866.25</v>
      </c>
      <c r="R14" s="20">
        <f>Calculations!Z65</f>
        <v>3129348718815.5</v>
      </c>
      <c r="S14" s="20">
        <f>Calculations!AA65</f>
        <v>2318761756765</v>
      </c>
      <c r="T14" s="20">
        <f>Calculations!AB65</f>
        <v>1508174794714.25</v>
      </c>
      <c r="U14" s="20">
        <f>Calculations!AC65</f>
        <v>697587832663.5</v>
      </c>
      <c r="V14" s="20">
        <f>Calculations!AD65</f>
        <v>0</v>
      </c>
      <c r="W14" s="20">
        <f>Calculations!AE65</f>
        <v>0</v>
      </c>
      <c r="X14" s="20">
        <f>Calculations!AF65</f>
        <v>0</v>
      </c>
      <c r="Y14" s="20">
        <f>Calculations!AG65</f>
        <v>0</v>
      </c>
      <c r="Z14" s="20">
        <f>Calculations!AH65</f>
        <v>0</v>
      </c>
      <c r="AA14" s="20">
        <f>Calculations!AI65</f>
        <v>0</v>
      </c>
      <c r="AB14" s="20">
        <f>Calculations!AJ65</f>
        <v>0</v>
      </c>
      <c r="AC14" s="20">
        <f>Calculations!AK65</f>
        <v>0</v>
      </c>
      <c r="AD14" s="20">
        <f>Calculations!AL65</f>
        <v>0</v>
      </c>
      <c r="AE14" s="20">
        <f>Calculations!AM65</f>
        <v>0</v>
      </c>
      <c r="AF14" s="20">
        <f>Calculations!AN65</f>
        <v>0</v>
      </c>
      <c r="AG14" s="20">
        <f>Calculations!AO65</f>
        <v>0</v>
      </c>
    </row>
    <row r="15" spans="1:34">
      <c r="A15" s="1" t="s">
        <v>16</v>
      </c>
      <c r="B15" s="20">
        <f>Calculations!J66</f>
        <v>0</v>
      </c>
      <c r="C15" s="20">
        <f>Calculations!K66</f>
        <v>0</v>
      </c>
      <c r="D15" s="20">
        <f>Calculations!L66</f>
        <v>0</v>
      </c>
      <c r="E15" s="20">
        <f>Calculations!M66</f>
        <v>0</v>
      </c>
      <c r="F15" s="20">
        <f>Calculations!N66</f>
        <v>0</v>
      </c>
      <c r="G15" s="20">
        <f>Calculations!O66</f>
        <v>0</v>
      </c>
      <c r="H15" s="20">
        <f>Calculations!P66</f>
        <v>0</v>
      </c>
      <c r="I15" s="20">
        <f>Calculations!Q66</f>
        <v>0</v>
      </c>
      <c r="J15" s="20">
        <f>Calculations!R66</f>
        <v>0</v>
      </c>
      <c r="K15" s="20">
        <f>Calculations!S66</f>
        <v>0</v>
      </c>
      <c r="L15" s="20">
        <f>Calculations!T66</f>
        <v>0</v>
      </c>
      <c r="M15" s="20">
        <f>Calculations!U66</f>
        <v>0</v>
      </c>
      <c r="N15" s="20">
        <f>Calculations!V66</f>
        <v>0</v>
      </c>
      <c r="O15" s="20">
        <f>Calculations!W66</f>
        <v>0</v>
      </c>
      <c r="P15" s="20">
        <f>Calculations!X66</f>
        <v>0</v>
      </c>
      <c r="Q15" s="20">
        <f>Calculations!Y66</f>
        <v>0</v>
      </c>
      <c r="R15" s="20">
        <f>Calculations!Z66</f>
        <v>0</v>
      </c>
      <c r="S15" s="20">
        <f>Calculations!AA66</f>
        <v>0</v>
      </c>
      <c r="T15" s="20">
        <f>Calculations!AB66</f>
        <v>0</v>
      </c>
      <c r="U15" s="20">
        <f>Calculations!AC66</f>
        <v>0</v>
      </c>
      <c r="V15" s="20">
        <f>Calculations!AD66</f>
        <v>0</v>
      </c>
      <c r="W15" s="20">
        <f>Calculations!AE66</f>
        <v>0</v>
      </c>
      <c r="X15" s="20">
        <f>Calculations!AF66</f>
        <v>0</v>
      </c>
      <c r="Y15" s="20">
        <f>Calculations!AG66</f>
        <v>0</v>
      </c>
      <c r="Z15" s="20">
        <f>Calculations!AH66</f>
        <v>0</v>
      </c>
      <c r="AA15" s="20">
        <f>Calculations!AI66</f>
        <v>0</v>
      </c>
      <c r="AB15" s="20">
        <f>Calculations!AJ66</f>
        <v>0</v>
      </c>
      <c r="AC15" s="20">
        <f>Calculations!AK66</f>
        <v>0</v>
      </c>
      <c r="AD15" s="20">
        <f>Calculations!AL66</f>
        <v>0</v>
      </c>
      <c r="AE15" s="20">
        <f>Calculations!AM66</f>
        <v>0</v>
      </c>
      <c r="AF15" s="20">
        <f>Calculations!AN66</f>
        <v>0</v>
      </c>
      <c r="AG15" s="20">
        <f>Calculations!AO66</f>
        <v>0</v>
      </c>
    </row>
    <row r="16" spans="1:34">
      <c r="A16" s="1" t="s">
        <v>17</v>
      </c>
      <c r="B16" s="20">
        <f>Calculations!J67</f>
        <v>0</v>
      </c>
      <c r="C16" s="20">
        <f>Calculations!K67</f>
        <v>0</v>
      </c>
      <c r="D16" s="20">
        <f>Calculations!L67</f>
        <v>0</v>
      </c>
      <c r="E16" s="20">
        <f>Calculations!M67</f>
        <v>0</v>
      </c>
      <c r="F16" s="20">
        <f>Calculations!N67</f>
        <v>0</v>
      </c>
      <c r="G16" s="20">
        <f>Calculations!O67</f>
        <v>0</v>
      </c>
      <c r="H16" s="20">
        <f>Calculations!P67</f>
        <v>0</v>
      </c>
      <c r="I16" s="20">
        <f>Calculations!Q67</f>
        <v>0</v>
      </c>
      <c r="J16" s="20">
        <f>Calculations!R67</f>
        <v>0</v>
      </c>
      <c r="K16" s="20">
        <f>Calculations!S67</f>
        <v>0</v>
      </c>
      <c r="L16" s="20">
        <f>Calculations!T67</f>
        <v>0</v>
      </c>
      <c r="M16" s="20">
        <f>Calculations!U67</f>
        <v>0</v>
      </c>
      <c r="N16" s="20">
        <f>Calculations!V67</f>
        <v>0</v>
      </c>
      <c r="O16" s="20">
        <f>Calculations!W67</f>
        <v>0</v>
      </c>
      <c r="P16" s="20">
        <f>Calculations!X67</f>
        <v>0</v>
      </c>
      <c r="Q16" s="20">
        <f>Calculations!Y67</f>
        <v>0</v>
      </c>
      <c r="R16" s="20">
        <f>Calculations!Z67</f>
        <v>0</v>
      </c>
      <c r="S16" s="20">
        <f>Calculations!AA67</f>
        <v>0</v>
      </c>
      <c r="T16" s="20">
        <f>Calculations!AB67</f>
        <v>0</v>
      </c>
      <c r="U16" s="20">
        <f>Calculations!AC67</f>
        <v>0</v>
      </c>
      <c r="V16" s="20">
        <f>Calculations!AD67</f>
        <v>0</v>
      </c>
      <c r="W16" s="20">
        <f>Calculations!AE67</f>
        <v>0</v>
      </c>
      <c r="X16" s="20">
        <f>Calculations!AF67</f>
        <v>0</v>
      </c>
      <c r="Y16" s="20">
        <f>Calculations!AG67</f>
        <v>0</v>
      </c>
      <c r="Z16" s="20">
        <f>Calculations!AH67</f>
        <v>0</v>
      </c>
      <c r="AA16" s="20">
        <f>Calculations!AI67</f>
        <v>0</v>
      </c>
      <c r="AB16" s="20">
        <f>Calculations!AJ67</f>
        <v>0</v>
      </c>
      <c r="AC16" s="20">
        <f>Calculations!AK67</f>
        <v>0</v>
      </c>
      <c r="AD16" s="20">
        <f>Calculations!AL67</f>
        <v>0</v>
      </c>
      <c r="AE16" s="20">
        <f>Calculations!AM67</f>
        <v>0</v>
      </c>
      <c r="AF16" s="20">
        <f>Calculations!AN67</f>
        <v>0</v>
      </c>
      <c r="AG16" s="20">
        <f>Calculations!AO67</f>
        <v>0</v>
      </c>
    </row>
    <row r="17" spans="1:33">
      <c r="A17" s="1" t="s">
        <v>18</v>
      </c>
      <c r="B17" s="20">
        <f>Calculations!J68</f>
        <v>0</v>
      </c>
      <c r="C17" s="20">
        <f>Calculations!K68</f>
        <v>0</v>
      </c>
      <c r="D17" s="20">
        <f>Calculations!L68</f>
        <v>0</v>
      </c>
      <c r="E17" s="20">
        <f>Calculations!M68</f>
        <v>0</v>
      </c>
      <c r="F17" s="20">
        <f>Calculations!N68</f>
        <v>0</v>
      </c>
      <c r="G17" s="20">
        <f>Calculations!O68</f>
        <v>0</v>
      </c>
      <c r="H17" s="20">
        <f>Calculations!P68</f>
        <v>0</v>
      </c>
      <c r="I17" s="20">
        <f>Calculations!Q68</f>
        <v>0</v>
      </c>
      <c r="J17" s="20">
        <f>Calculations!R68</f>
        <v>0</v>
      </c>
      <c r="K17" s="20">
        <f>Calculations!S68</f>
        <v>0</v>
      </c>
      <c r="L17" s="20">
        <f>Calculations!T68</f>
        <v>0</v>
      </c>
      <c r="M17" s="20">
        <f>Calculations!U68</f>
        <v>0</v>
      </c>
      <c r="N17" s="20">
        <f>Calculations!V68</f>
        <v>0</v>
      </c>
      <c r="O17" s="20">
        <f>Calculations!W68</f>
        <v>0</v>
      </c>
      <c r="P17" s="20">
        <f>Calculations!X68</f>
        <v>0</v>
      </c>
      <c r="Q17" s="20">
        <f>Calculations!Y68</f>
        <v>0</v>
      </c>
      <c r="R17" s="20">
        <f>Calculations!Z68</f>
        <v>0</v>
      </c>
      <c r="S17" s="20">
        <f>Calculations!AA68</f>
        <v>0</v>
      </c>
      <c r="T17" s="20">
        <f>Calculations!AB68</f>
        <v>0</v>
      </c>
      <c r="U17" s="20">
        <f>Calculations!AC68</f>
        <v>0</v>
      </c>
      <c r="V17" s="20">
        <f>Calculations!AD68</f>
        <v>0</v>
      </c>
      <c r="W17" s="20">
        <f>Calculations!AE68</f>
        <v>0</v>
      </c>
      <c r="X17" s="20">
        <f>Calculations!AF68</f>
        <v>0</v>
      </c>
      <c r="Y17" s="20">
        <f>Calculations!AG68</f>
        <v>0</v>
      </c>
      <c r="Z17" s="20">
        <f>Calculations!AH68</f>
        <v>0</v>
      </c>
      <c r="AA17" s="20">
        <f>Calculations!AI68</f>
        <v>0</v>
      </c>
      <c r="AB17" s="20">
        <f>Calculations!AJ68</f>
        <v>0</v>
      </c>
      <c r="AC17" s="20">
        <f>Calculations!AK68</f>
        <v>0</v>
      </c>
      <c r="AD17" s="20">
        <f>Calculations!AL68</f>
        <v>0</v>
      </c>
      <c r="AE17" s="20">
        <f>Calculations!AM68</f>
        <v>0</v>
      </c>
      <c r="AF17" s="20">
        <f>Calculations!AN68</f>
        <v>0</v>
      </c>
      <c r="AG17" s="20">
        <f>Calculations!AO68</f>
        <v>0</v>
      </c>
    </row>
    <row r="18" spans="1:33">
      <c r="A18" s="1" t="s">
        <v>5</v>
      </c>
      <c r="B18" s="20">
        <f>Calculations!J69</f>
        <v>4648591488746186</v>
      </c>
      <c r="C18" s="20">
        <f>Calculations!K69</f>
        <v>4644834532807131</v>
      </c>
      <c r="D18" s="20">
        <f>Calculations!L69</f>
        <v>4641077576868076</v>
      </c>
      <c r="E18" s="20">
        <f>Calculations!M69</f>
        <v>4637320620929021</v>
      </c>
      <c r="F18" s="20">
        <f>Calculations!N69</f>
        <v>4633563664989966</v>
      </c>
      <c r="G18" s="20">
        <f>Calculations!O69</f>
        <v>4629806709050911</v>
      </c>
      <c r="H18" s="20">
        <f>Calculations!P69</f>
        <v>4626049753111856</v>
      </c>
      <c r="I18" s="20">
        <f>Calculations!Q69</f>
        <v>4622292797172801</v>
      </c>
      <c r="J18" s="20">
        <f>Calculations!R69</f>
        <v>4618535841233746</v>
      </c>
      <c r="K18" s="20">
        <f>Calculations!S69</f>
        <v>4614778885294691</v>
      </c>
      <c r="L18" s="20">
        <f>Calculations!T69</f>
        <v>4611021929355636</v>
      </c>
      <c r="M18" s="20">
        <f>Calculations!U69</f>
        <v>4607264973416581</v>
      </c>
      <c r="N18" s="20">
        <f>Calculations!V69</f>
        <v>4603508017477526</v>
      </c>
      <c r="O18" s="20">
        <f>Calculations!W69</f>
        <v>4599751061538471</v>
      </c>
      <c r="P18" s="20">
        <f>Calculations!X69</f>
        <v>4595994105599416</v>
      </c>
      <c r="Q18" s="20">
        <f>Calculations!Y69</f>
        <v>4592237149660362</v>
      </c>
      <c r="R18" s="20">
        <f>Calculations!Z69</f>
        <v>4588480193721307</v>
      </c>
      <c r="S18" s="20">
        <f>Calculations!AA69</f>
        <v>4584723237782252</v>
      </c>
      <c r="T18" s="20">
        <f>Calculations!AB69</f>
        <v>4580966281843197</v>
      </c>
      <c r="U18" s="20">
        <f>Calculations!AC69</f>
        <v>4577209325904142</v>
      </c>
      <c r="V18" s="20">
        <f>Calculations!AD69</f>
        <v>4573452369965087</v>
      </c>
      <c r="W18" s="20">
        <f>Calculations!AE69</f>
        <v>4569695414026032</v>
      </c>
      <c r="X18" s="20">
        <f>Calculations!AF69</f>
        <v>4565938458086977</v>
      </c>
      <c r="Y18" s="20">
        <f>Calculations!AG69</f>
        <v>4562181502147922</v>
      </c>
      <c r="Z18" s="20">
        <f>Calculations!AH69</f>
        <v>4558424546208867</v>
      </c>
      <c r="AA18" s="20">
        <f>Calculations!AI69</f>
        <v>4554667590269812</v>
      </c>
      <c r="AB18" s="20">
        <f>Calculations!AJ69</f>
        <v>4550910634330757</v>
      </c>
      <c r="AC18" s="20">
        <f>Calculations!AK69</f>
        <v>4547153678391702</v>
      </c>
      <c r="AD18" s="20">
        <f>Calculations!AL69</f>
        <v>4543396722452647</v>
      </c>
      <c r="AE18" s="20">
        <f>Calculations!AM69</f>
        <v>4539639766513592</v>
      </c>
      <c r="AF18" s="20">
        <f>Calculations!AN69</f>
        <v>4535882810574537</v>
      </c>
      <c r="AG18" s="20">
        <f>Calculations!AO69</f>
        <v>4532125854635482</v>
      </c>
    </row>
    <row r="19" spans="1:33">
      <c r="A19" s="1" t="s">
        <v>19</v>
      </c>
      <c r="B19" s="20">
        <f>Calculations!J70</f>
        <v>106960497102407.75</v>
      </c>
      <c r="C19" s="20">
        <f>Calculations!K70</f>
        <v>106211896266372.5</v>
      </c>
      <c r="D19" s="20">
        <f>Calculations!L70</f>
        <v>105463295430337.25</v>
      </c>
      <c r="E19" s="20">
        <f>Calculations!M70</f>
        <v>104714694594302</v>
      </c>
      <c r="F19" s="20">
        <f>Calculations!N70</f>
        <v>103966093758266.75</v>
      </c>
      <c r="G19" s="20">
        <f>Calculations!O70</f>
        <v>103217492922231.5</v>
      </c>
      <c r="H19" s="20">
        <f>Calculations!P70</f>
        <v>102468892086196.25</v>
      </c>
      <c r="I19" s="20">
        <f>Calculations!Q70</f>
        <v>101720291250160.75</v>
      </c>
      <c r="J19" s="20">
        <f>Calculations!R70</f>
        <v>100971690414125.5</v>
      </c>
      <c r="K19" s="20">
        <f>Calculations!S70</f>
        <v>100223089578090.25</v>
      </c>
      <c r="L19" s="20">
        <f>Calculations!T70</f>
        <v>99474488742055</v>
      </c>
      <c r="M19" s="20">
        <f>Calculations!U70</f>
        <v>98725887906019.75</v>
      </c>
      <c r="N19" s="20">
        <f>Calculations!V70</f>
        <v>97977287069984.5</v>
      </c>
      <c r="O19" s="20">
        <f>Calculations!W70</f>
        <v>97228686233949.25</v>
      </c>
      <c r="P19" s="20">
        <f>Calculations!X70</f>
        <v>96480085397914</v>
      </c>
      <c r="Q19" s="20">
        <f>Calculations!Y70</f>
        <v>95731484561878.75</v>
      </c>
      <c r="R19" s="20">
        <f>Calculations!Z70</f>
        <v>94982883725843.5</v>
      </c>
      <c r="S19" s="20">
        <f>Calculations!AA70</f>
        <v>94234282889808.25</v>
      </c>
      <c r="T19" s="20">
        <f>Calculations!AB70</f>
        <v>93485682053773</v>
      </c>
      <c r="U19" s="20">
        <f>Calculations!AC70</f>
        <v>92737081217737.75</v>
      </c>
      <c r="V19" s="20">
        <f>Calculations!AD70</f>
        <v>91988480381702.5</v>
      </c>
      <c r="W19" s="20">
        <f>Calculations!AE70</f>
        <v>91239879545667.25</v>
      </c>
      <c r="X19" s="20">
        <f>Calculations!AF70</f>
        <v>90491278709631.75</v>
      </c>
      <c r="Y19" s="20">
        <f>Calculations!AG70</f>
        <v>89742677873596.5</v>
      </c>
      <c r="Z19" s="20">
        <f>Calculations!AH70</f>
        <v>88994077037561.25</v>
      </c>
      <c r="AA19" s="20">
        <f>Calculations!AI70</f>
        <v>88245476201526</v>
      </c>
      <c r="AB19" s="20">
        <f>Calculations!AJ70</f>
        <v>87496875365490.75</v>
      </c>
      <c r="AC19" s="20">
        <f>Calculations!AK70</f>
        <v>86748274529455.5</v>
      </c>
      <c r="AD19" s="20">
        <f>Calculations!AL70</f>
        <v>85999673693420.25</v>
      </c>
      <c r="AE19" s="20">
        <f>Calculations!AM70</f>
        <v>85251072857385</v>
      </c>
      <c r="AF19" s="20">
        <f>Calculations!AN70</f>
        <v>84502472021349.75</v>
      </c>
      <c r="AG19" s="20">
        <f>Calculations!AO70</f>
        <v>83753871185314.5</v>
      </c>
    </row>
    <row r="20" spans="1:33">
      <c r="A20" s="1" t="s">
        <v>6</v>
      </c>
      <c r="B20" s="20">
        <f>Calculations!J71</f>
        <v>413522440940211</v>
      </c>
      <c r="C20" s="20">
        <f>Calculations!K71</f>
        <v>416655111385760</v>
      </c>
      <c r="D20" s="20">
        <f>Calculations!L71</f>
        <v>419787781831309</v>
      </c>
      <c r="E20" s="20">
        <f>Calculations!M71</f>
        <v>422920452276858</v>
      </c>
      <c r="F20" s="20">
        <f>Calculations!N71</f>
        <v>426053122722407</v>
      </c>
      <c r="G20" s="20">
        <f>Calculations!O71</f>
        <v>429185793167956</v>
      </c>
      <c r="H20" s="20">
        <f>Calculations!P71</f>
        <v>432318463613505</v>
      </c>
      <c r="I20" s="20">
        <f>Calculations!Q71</f>
        <v>435451134059054</v>
      </c>
      <c r="J20" s="20">
        <f>Calculations!R71</f>
        <v>438583804504603</v>
      </c>
      <c r="K20" s="20">
        <f>Calculations!S71</f>
        <v>441716474950152</v>
      </c>
      <c r="L20" s="20">
        <f>Calculations!T71</f>
        <v>444849145395701</v>
      </c>
      <c r="M20" s="20">
        <f>Calculations!U71</f>
        <v>447981815841250</v>
      </c>
      <c r="N20" s="20">
        <f>Calculations!V71</f>
        <v>451114486286799</v>
      </c>
      <c r="O20" s="20">
        <f>Calculations!W71</f>
        <v>454247156732348</v>
      </c>
      <c r="P20" s="20">
        <f>Calculations!X71</f>
        <v>457379827177897</v>
      </c>
      <c r="Q20" s="20">
        <f>Calculations!Y71</f>
        <v>460512497623446</v>
      </c>
      <c r="R20" s="20">
        <f>Calculations!Z71</f>
        <v>463645168068995</v>
      </c>
      <c r="S20" s="20">
        <f>Calculations!AA71</f>
        <v>466777838514544</v>
      </c>
      <c r="T20" s="20">
        <f>Calculations!AB71</f>
        <v>469910508960093</v>
      </c>
      <c r="U20" s="20">
        <f>Calculations!AC71</f>
        <v>473043179405642</v>
      </c>
      <c r="V20" s="20">
        <f>Calculations!AD71</f>
        <v>476175849851191</v>
      </c>
      <c r="W20" s="20">
        <f>Calculations!AE71</f>
        <v>479308520296740</v>
      </c>
      <c r="X20" s="20">
        <f>Calculations!AF71</f>
        <v>482441190742289</v>
      </c>
      <c r="Y20" s="20">
        <f>Calculations!AG71</f>
        <v>485573861187838</v>
      </c>
      <c r="Z20" s="20">
        <f>Calculations!AH71</f>
        <v>488706531633387</v>
      </c>
      <c r="AA20" s="20">
        <f>Calculations!AI71</f>
        <v>491839202078936</v>
      </c>
      <c r="AB20" s="20">
        <f>Calculations!AJ71</f>
        <v>494971872524485</v>
      </c>
      <c r="AC20" s="20">
        <f>Calculations!AK71</f>
        <v>498104542970034</v>
      </c>
      <c r="AD20" s="20">
        <f>Calculations!AL71</f>
        <v>501237213415583</v>
      </c>
      <c r="AE20" s="20">
        <f>Calculations!AM71</f>
        <v>504369883861132</v>
      </c>
      <c r="AF20" s="20">
        <f>Calculations!AN71</f>
        <v>507502554306681</v>
      </c>
      <c r="AG20" s="20">
        <f>Calculations!AO71</f>
        <v>510635224752230</v>
      </c>
    </row>
    <row r="21" spans="1:33">
      <c r="A21" s="1" t="s">
        <v>20</v>
      </c>
      <c r="B21" s="20">
        <f>Calculations!J72</f>
        <v>0</v>
      </c>
      <c r="C21" s="20">
        <f>Calculations!K72</f>
        <v>0</v>
      </c>
      <c r="D21" s="20">
        <f>Calculations!L72</f>
        <v>0</v>
      </c>
      <c r="E21" s="20">
        <f>Calculations!M72</f>
        <v>0</v>
      </c>
      <c r="F21" s="20">
        <f>Calculations!N72</f>
        <v>0</v>
      </c>
      <c r="G21" s="20">
        <f>Calculations!O72</f>
        <v>0</v>
      </c>
      <c r="H21" s="20">
        <f>Calculations!P72</f>
        <v>0</v>
      </c>
      <c r="I21" s="20">
        <f>Calculations!Q72</f>
        <v>0</v>
      </c>
      <c r="J21" s="20">
        <f>Calculations!R72</f>
        <v>0</v>
      </c>
      <c r="K21" s="20">
        <f>Calculations!S72</f>
        <v>0</v>
      </c>
      <c r="L21" s="20">
        <f>Calculations!T72</f>
        <v>0</v>
      </c>
      <c r="M21" s="20">
        <f>Calculations!U72</f>
        <v>0</v>
      </c>
      <c r="N21" s="20">
        <f>Calculations!V72</f>
        <v>0</v>
      </c>
      <c r="O21" s="20">
        <f>Calculations!W72</f>
        <v>0</v>
      </c>
      <c r="P21" s="20">
        <f>Calculations!X72</f>
        <v>0</v>
      </c>
      <c r="Q21" s="20">
        <f>Calculations!Y72</f>
        <v>0</v>
      </c>
      <c r="R21" s="20">
        <f>Calculations!Z72</f>
        <v>0</v>
      </c>
      <c r="S21" s="20">
        <f>Calculations!AA72</f>
        <v>0</v>
      </c>
      <c r="T21" s="20">
        <f>Calculations!AB72</f>
        <v>0</v>
      </c>
      <c r="U21" s="20">
        <f>Calculations!AC72</f>
        <v>0</v>
      </c>
      <c r="V21" s="20">
        <f>Calculations!AD72</f>
        <v>0</v>
      </c>
      <c r="W21" s="20">
        <f>Calculations!AE72</f>
        <v>0</v>
      </c>
      <c r="X21" s="20">
        <f>Calculations!AF72</f>
        <v>0</v>
      </c>
      <c r="Y21" s="20">
        <f>Calculations!AG72</f>
        <v>0</v>
      </c>
      <c r="Z21" s="20">
        <f>Calculations!AH72</f>
        <v>0</v>
      </c>
      <c r="AA21" s="20">
        <f>Calculations!AI72</f>
        <v>0</v>
      </c>
      <c r="AB21" s="20">
        <f>Calculations!AJ72</f>
        <v>0</v>
      </c>
      <c r="AC21" s="20">
        <f>Calculations!AK72</f>
        <v>0</v>
      </c>
      <c r="AD21" s="20">
        <f>Calculations!AL72</f>
        <v>0</v>
      </c>
      <c r="AE21" s="20">
        <f>Calculations!AM72</f>
        <v>0</v>
      </c>
      <c r="AF21" s="20">
        <f>Calculations!AN72</f>
        <v>0</v>
      </c>
      <c r="AG21" s="20">
        <f>Calculations!AO72</f>
        <v>0</v>
      </c>
    </row>
    <row r="22" spans="1:33">
      <c r="A22" s="1" t="s">
        <v>21</v>
      </c>
      <c r="B22" s="20">
        <f>Calculations!J73</f>
        <v>0</v>
      </c>
      <c r="C22" s="20">
        <f>Calculations!K73</f>
        <v>0</v>
      </c>
      <c r="D22" s="20">
        <f>Calculations!L73</f>
        <v>0</v>
      </c>
      <c r="E22" s="20">
        <f>Calculations!M73</f>
        <v>0</v>
      </c>
      <c r="F22" s="20">
        <f>Calculations!N73</f>
        <v>0</v>
      </c>
      <c r="G22" s="20">
        <f>Calculations!O73</f>
        <v>0</v>
      </c>
      <c r="H22" s="20">
        <f>Calculations!P73</f>
        <v>0</v>
      </c>
      <c r="I22" s="20">
        <f>Calculations!Q73</f>
        <v>0</v>
      </c>
      <c r="J22" s="20">
        <f>Calculations!R73</f>
        <v>0</v>
      </c>
      <c r="K22" s="20">
        <f>Calculations!S73</f>
        <v>0</v>
      </c>
      <c r="L22" s="20">
        <f>Calculations!T73</f>
        <v>0</v>
      </c>
      <c r="M22" s="20">
        <f>Calculations!U73</f>
        <v>0</v>
      </c>
      <c r="N22" s="20">
        <f>Calculations!V73</f>
        <v>0</v>
      </c>
      <c r="O22" s="20">
        <f>Calculations!W73</f>
        <v>0</v>
      </c>
      <c r="P22" s="20">
        <f>Calculations!X73</f>
        <v>0</v>
      </c>
      <c r="Q22" s="20">
        <f>Calculations!Y73</f>
        <v>0</v>
      </c>
      <c r="R22" s="20">
        <f>Calculations!Z73</f>
        <v>0</v>
      </c>
      <c r="S22" s="20">
        <f>Calculations!AA73</f>
        <v>0</v>
      </c>
      <c r="T22" s="20">
        <f>Calculations!AB73</f>
        <v>0</v>
      </c>
      <c r="U22" s="20">
        <f>Calculations!AC73</f>
        <v>0</v>
      </c>
      <c r="V22" s="20">
        <f>Calculations!AD73</f>
        <v>0</v>
      </c>
      <c r="W22" s="20">
        <f>Calculations!AE73</f>
        <v>0</v>
      </c>
      <c r="X22" s="20">
        <f>Calculations!AF73</f>
        <v>0</v>
      </c>
      <c r="Y22" s="20">
        <f>Calculations!AG73</f>
        <v>0</v>
      </c>
      <c r="Z22" s="20">
        <f>Calculations!AH73</f>
        <v>0</v>
      </c>
      <c r="AA22" s="20">
        <f>Calculations!AI73</f>
        <v>0</v>
      </c>
      <c r="AB22" s="20">
        <f>Calculations!AJ73</f>
        <v>0</v>
      </c>
      <c r="AC22" s="20">
        <f>Calculations!AK73</f>
        <v>0</v>
      </c>
      <c r="AD22" s="20">
        <f>Calculations!AL73</f>
        <v>0</v>
      </c>
      <c r="AE22" s="20">
        <f>Calculations!AM73</f>
        <v>0</v>
      </c>
      <c r="AF22" s="20">
        <f>Calculations!AN73</f>
        <v>0</v>
      </c>
      <c r="AG22" s="20">
        <f>Calculations!AO73</f>
        <v>0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22"/>
  <sheetViews>
    <sheetView workbookViewId="0"/>
  </sheetViews>
  <sheetFormatPr defaultColWidth="8.875" defaultRowHeight="16.5"/>
  <cols>
    <col min="1" max="1" width="36.125" customWidth="1"/>
    <col min="2" max="33" width="13" customWidth="1"/>
    <col min="34" max="34" width="16.125" customWidth="1"/>
    <col min="35" max="35" width="13" customWidth="1"/>
  </cols>
  <sheetData>
    <row r="1" spans="1:34">
      <c r="A1" s="3" t="s">
        <v>26</v>
      </c>
      <c r="B1" s="6">
        <v>2019</v>
      </c>
      <c r="C1">
        <v>2020</v>
      </c>
      <c r="D1" s="6">
        <v>2021</v>
      </c>
      <c r="E1">
        <v>2022</v>
      </c>
      <c r="F1" s="6">
        <v>2023</v>
      </c>
      <c r="G1">
        <v>2024</v>
      </c>
      <c r="H1" s="6">
        <v>2025</v>
      </c>
      <c r="I1">
        <v>2026</v>
      </c>
      <c r="J1" s="6">
        <v>2027</v>
      </c>
      <c r="K1">
        <v>2028</v>
      </c>
      <c r="L1" s="6">
        <v>2029</v>
      </c>
      <c r="M1">
        <v>2030</v>
      </c>
      <c r="N1" s="6">
        <v>2031</v>
      </c>
      <c r="O1">
        <v>2032</v>
      </c>
      <c r="P1" s="6">
        <v>2033</v>
      </c>
      <c r="Q1">
        <v>2034</v>
      </c>
      <c r="R1" s="6">
        <v>2035</v>
      </c>
      <c r="S1">
        <v>2036</v>
      </c>
      <c r="T1" s="6">
        <v>2037</v>
      </c>
      <c r="U1">
        <v>2038</v>
      </c>
      <c r="V1" s="6">
        <v>2039</v>
      </c>
      <c r="W1">
        <v>2040</v>
      </c>
      <c r="X1" s="6">
        <v>2041</v>
      </c>
      <c r="Y1">
        <v>2042</v>
      </c>
      <c r="Z1" s="6">
        <v>2043</v>
      </c>
      <c r="AA1">
        <v>2044</v>
      </c>
      <c r="AB1" s="6">
        <v>2045</v>
      </c>
      <c r="AC1">
        <v>2046</v>
      </c>
      <c r="AD1" s="6">
        <v>2047</v>
      </c>
      <c r="AE1">
        <v>2048</v>
      </c>
      <c r="AF1" s="6">
        <v>2049</v>
      </c>
      <c r="AG1">
        <v>2050</v>
      </c>
      <c r="AH1" s="6"/>
    </row>
    <row r="2" spans="1:34">
      <c r="A2" s="3" t="s">
        <v>7</v>
      </c>
      <c r="B2" s="20">
        <f>Calculations!J78</f>
        <v>0</v>
      </c>
      <c r="C2" s="20">
        <f>Calculations!K78</f>
        <v>0</v>
      </c>
      <c r="D2" s="20">
        <f>Calculations!L78</f>
        <v>0</v>
      </c>
      <c r="E2" s="20">
        <f>Calculations!M78</f>
        <v>0</v>
      </c>
      <c r="F2" s="20">
        <f>Calculations!N78</f>
        <v>0</v>
      </c>
      <c r="G2" s="20">
        <f>Calculations!O78</f>
        <v>0</v>
      </c>
      <c r="H2" s="20">
        <f>Calculations!P78</f>
        <v>0</v>
      </c>
      <c r="I2" s="20">
        <f>Calculations!Q78</f>
        <v>0</v>
      </c>
      <c r="J2" s="20">
        <f>Calculations!R78</f>
        <v>0</v>
      </c>
      <c r="K2" s="20">
        <f>Calculations!S78</f>
        <v>0</v>
      </c>
      <c r="L2" s="20">
        <f>Calculations!T78</f>
        <v>0</v>
      </c>
      <c r="M2" s="20">
        <f>Calculations!U78</f>
        <v>0</v>
      </c>
      <c r="N2" s="20">
        <f>Calculations!V78</f>
        <v>0</v>
      </c>
      <c r="O2" s="20">
        <f>Calculations!W78</f>
        <v>0</v>
      </c>
      <c r="P2" s="20">
        <f>Calculations!X78</f>
        <v>0</v>
      </c>
      <c r="Q2" s="20">
        <f>Calculations!Y78</f>
        <v>0</v>
      </c>
      <c r="R2" s="20">
        <f>Calculations!Z78</f>
        <v>0</v>
      </c>
      <c r="S2" s="20">
        <f>Calculations!AA78</f>
        <v>0</v>
      </c>
      <c r="T2" s="20">
        <f>Calculations!AB78</f>
        <v>0</v>
      </c>
      <c r="U2" s="20">
        <f>Calculations!AC78</f>
        <v>0</v>
      </c>
      <c r="V2" s="20">
        <f>Calculations!AD78</f>
        <v>0</v>
      </c>
      <c r="W2" s="20">
        <f>Calculations!AE78</f>
        <v>0</v>
      </c>
      <c r="X2" s="20">
        <f>Calculations!AF78</f>
        <v>0</v>
      </c>
      <c r="Y2" s="20">
        <f>Calculations!AG78</f>
        <v>0</v>
      </c>
      <c r="Z2" s="20">
        <f>Calculations!AH78</f>
        <v>0</v>
      </c>
      <c r="AA2" s="20">
        <f>Calculations!AI78</f>
        <v>0</v>
      </c>
      <c r="AB2" s="20">
        <f>Calculations!AJ78</f>
        <v>0</v>
      </c>
      <c r="AC2" s="20">
        <f>Calculations!AK78</f>
        <v>0</v>
      </c>
      <c r="AD2" s="20">
        <f>Calculations!AL78</f>
        <v>0</v>
      </c>
      <c r="AE2" s="20">
        <f>Calculations!AM78</f>
        <v>0</v>
      </c>
      <c r="AF2" s="20">
        <f>Calculations!AN78</f>
        <v>0</v>
      </c>
      <c r="AG2" s="20">
        <f>Calculations!AO78</f>
        <v>0</v>
      </c>
    </row>
    <row r="3" spans="1:34">
      <c r="A3" s="1" t="s">
        <v>8</v>
      </c>
      <c r="B3" s="20">
        <f>Calculations!J79</f>
        <v>0</v>
      </c>
      <c r="C3" s="20">
        <f>Calculations!K79</f>
        <v>0</v>
      </c>
      <c r="D3" s="20">
        <f>Calculations!L79</f>
        <v>0</v>
      </c>
      <c r="E3" s="20">
        <f>Calculations!M79</f>
        <v>0</v>
      </c>
      <c r="F3" s="20">
        <f>Calculations!N79</f>
        <v>0</v>
      </c>
      <c r="G3" s="20">
        <f>Calculations!O79</f>
        <v>0</v>
      </c>
      <c r="H3" s="20">
        <f>Calculations!P79</f>
        <v>0</v>
      </c>
      <c r="I3" s="20">
        <f>Calculations!Q79</f>
        <v>0</v>
      </c>
      <c r="J3" s="20">
        <f>Calculations!R79</f>
        <v>0</v>
      </c>
      <c r="K3" s="20">
        <f>Calculations!S79</f>
        <v>0</v>
      </c>
      <c r="L3" s="20">
        <f>Calculations!T79</f>
        <v>0</v>
      </c>
      <c r="M3" s="20">
        <f>Calculations!U79</f>
        <v>0</v>
      </c>
      <c r="N3" s="20">
        <f>Calculations!V79</f>
        <v>0</v>
      </c>
      <c r="O3" s="20">
        <f>Calculations!W79</f>
        <v>0</v>
      </c>
      <c r="P3" s="20">
        <f>Calculations!X79</f>
        <v>0</v>
      </c>
      <c r="Q3" s="20">
        <f>Calculations!Y79</f>
        <v>0</v>
      </c>
      <c r="R3" s="20">
        <f>Calculations!Z79</f>
        <v>0</v>
      </c>
      <c r="S3" s="20">
        <f>Calculations!AA79</f>
        <v>0</v>
      </c>
      <c r="T3" s="20">
        <f>Calculations!AB79</f>
        <v>0</v>
      </c>
      <c r="U3" s="20">
        <f>Calculations!AC79</f>
        <v>0</v>
      </c>
      <c r="V3" s="20">
        <f>Calculations!AD79</f>
        <v>0</v>
      </c>
      <c r="W3" s="20">
        <f>Calculations!AE79</f>
        <v>0</v>
      </c>
      <c r="X3" s="20">
        <f>Calculations!AF79</f>
        <v>0</v>
      </c>
      <c r="Y3" s="20">
        <f>Calculations!AG79</f>
        <v>0</v>
      </c>
      <c r="Z3" s="20">
        <f>Calculations!AH79</f>
        <v>0</v>
      </c>
      <c r="AA3" s="20">
        <f>Calculations!AI79</f>
        <v>0</v>
      </c>
      <c r="AB3" s="20">
        <f>Calculations!AJ79</f>
        <v>0</v>
      </c>
      <c r="AC3" s="20">
        <f>Calculations!AK79</f>
        <v>0</v>
      </c>
      <c r="AD3" s="20">
        <f>Calculations!AL79</f>
        <v>0</v>
      </c>
      <c r="AE3" s="20">
        <f>Calculations!AM79</f>
        <v>0</v>
      </c>
      <c r="AF3" s="20">
        <f>Calculations!AN79</f>
        <v>0</v>
      </c>
      <c r="AG3" s="20">
        <f>Calculations!AO79</f>
        <v>0</v>
      </c>
    </row>
    <row r="4" spans="1:34">
      <c r="A4" s="1" t="s">
        <v>1</v>
      </c>
      <c r="B4" s="20">
        <f>Calculations!J80</f>
        <v>0</v>
      </c>
      <c r="C4" s="20">
        <f>Calculations!K80</f>
        <v>0</v>
      </c>
      <c r="D4" s="20">
        <f>Calculations!L80</f>
        <v>0</v>
      </c>
      <c r="E4" s="20">
        <f>Calculations!M80</f>
        <v>0</v>
      </c>
      <c r="F4" s="20">
        <f>Calculations!N80</f>
        <v>0</v>
      </c>
      <c r="G4" s="20">
        <f>Calculations!O80</f>
        <v>0</v>
      </c>
      <c r="H4" s="20">
        <f>Calculations!P80</f>
        <v>0</v>
      </c>
      <c r="I4" s="20">
        <f>Calculations!Q80</f>
        <v>0</v>
      </c>
      <c r="J4" s="20">
        <f>Calculations!R80</f>
        <v>0</v>
      </c>
      <c r="K4" s="20">
        <f>Calculations!S80</f>
        <v>0</v>
      </c>
      <c r="L4" s="20">
        <f>Calculations!T80</f>
        <v>0</v>
      </c>
      <c r="M4" s="20">
        <f>Calculations!U80</f>
        <v>0</v>
      </c>
      <c r="N4" s="20">
        <f>Calculations!V80</f>
        <v>0</v>
      </c>
      <c r="O4" s="20">
        <f>Calculations!W80</f>
        <v>0</v>
      </c>
      <c r="P4" s="20">
        <f>Calculations!X80</f>
        <v>0</v>
      </c>
      <c r="Q4" s="20">
        <f>Calculations!Y80</f>
        <v>0</v>
      </c>
      <c r="R4" s="20">
        <f>Calculations!Z80</f>
        <v>0</v>
      </c>
      <c r="S4" s="20">
        <f>Calculations!AA80</f>
        <v>0</v>
      </c>
      <c r="T4" s="20">
        <f>Calculations!AB80</f>
        <v>0</v>
      </c>
      <c r="U4" s="20">
        <f>Calculations!AC80</f>
        <v>0</v>
      </c>
      <c r="V4" s="20">
        <f>Calculations!AD80</f>
        <v>0</v>
      </c>
      <c r="W4" s="20">
        <f>Calculations!AE80</f>
        <v>0</v>
      </c>
      <c r="X4" s="20">
        <f>Calculations!AF80</f>
        <v>0</v>
      </c>
      <c r="Y4" s="20">
        <f>Calculations!AG80</f>
        <v>0</v>
      </c>
      <c r="Z4" s="20">
        <f>Calculations!AH80</f>
        <v>0</v>
      </c>
      <c r="AA4" s="20">
        <f>Calculations!AI80</f>
        <v>0</v>
      </c>
      <c r="AB4" s="20">
        <f>Calculations!AJ80</f>
        <v>0</v>
      </c>
      <c r="AC4" s="20">
        <f>Calculations!AK80</f>
        <v>0</v>
      </c>
      <c r="AD4" s="20">
        <f>Calculations!AL80</f>
        <v>0</v>
      </c>
      <c r="AE4" s="20">
        <f>Calculations!AM80</f>
        <v>0</v>
      </c>
      <c r="AF4" s="20">
        <f>Calculations!AN80</f>
        <v>0</v>
      </c>
      <c r="AG4" s="20">
        <f>Calculations!AO80</f>
        <v>0</v>
      </c>
    </row>
    <row r="5" spans="1:34">
      <c r="A5" s="1" t="s">
        <v>9</v>
      </c>
      <c r="B5" s="20">
        <f>Calculations!J81</f>
        <v>0</v>
      </c>
      <c r="C5" s="20">
        <f>Calculations!K81</f>
        <v>0</v>
      </c>
      <c r="D5" s="20">
        <f>Calculations!L81</f>
        <v>0</v>
      </c>
      <c r="E5" s="20">
        <f>Calculations!M81</f>
        <v>0</v>
      </c>
      <c r="F5" s="20">
        <f>Calculations!N81</f>
        <v>0</v>
      </c>
      <c r="G5" s="20">
        <f>Calculations!O81</f>
        <v>0</v>
      </c>
      <c r="H5" s="20">
        <f>Calculations!P81</f>
        <v>0</v>
      </c>
      <c r="I5" s="20">
        <f>Calculations!Q81</f>
        <v>0</v>
      </c>
      <c r="J5" s="20">
        <f>Calculations!R81</f>
        <v>0</v>
      </c>
      <c r="K5" s="20">
        <f>Calculations!S81</f>
        <v>0</v>
      </c>
      <c r="L5" s="20">
        <f>Calculations!T81</f>
        <v>0</v>
      </c>
      <c r="M5" s="20">
        <f>Calculations!U81</f>
        <v>0</v>
      </c>
      <c r="N5" s="20">
        <f>Calculations!V81</f>
        <v>0</v>
      </c>
      <c r="O5" s="20">
        <f>Calculations!W81</f>
        <v>0</v>
      </c>
      <c r="P5" s="20">
        <f>Calculations!X81</f>
        <v>0</v>
      </c>
      <c r="Q5" s="20">
        <f>Calculations!Y81</f>
        <v>0</v>
      </c>
      <c r="R5" s="20">
        <f>Calculations!Z81</f>
        <v>0</v>
      </c>
      <c r="S5" s="20">
        <f>Calculations!AA81</f>
        <v>0</v>
      </c>
      <c r="T5" s="20">
        <f>Calculations!AB81</f>
        <v>0</v>
      </c>
      <c r="U5" s="20">
        <f>Calculations!AC81</f>
        <v>0</v>
      </c>
      <c r="V5" s="20">
        <f>Calculations!AD81</f>
        <v>0</v>
      </c>
      <c r="W5" s="20">
        <f>Calculations!AE81</f>
        <v>0</v>
      </c>
      <c r="X5" s="20">
        <f>Calculations!AF81</f>
        <v>0</v>
      </c>
      <c r="Y5" s="20">
        <f>Calculations!AG81</f>
        <v>0</v>
      </c>
      <c r="Z5" s="20">
        <f>Calculations!AH81</f>
        <v>0</v>
      </c>
      <c r="AA5" s="20">
        <f>Calculations!AI81</f>
        <v>0</v>
      </c>
      <c r="AB5" s="20">
        <f>Calculations!AJ81</f>
        <v>0</v>
      </c>
      <c r="AC5" s="20">
        <f>Calculations!AK81</f>
        <v>0</v>
      </c>
      <c r="AD5" s="20">
        <f>Calculations!AL81</f>
        <v>0</v>
      </c>
      <c r="AE5" s="20">
        <f>Calculations!AM81</f>
        <v>0</v>
      </c>
      <c r="AF5" s="20">
        <f>Calculations!AN81</f>
        <v>0</v>
      </c>
      <c r="AG5" s="20">
        <f>Calculations!AO81</f>
        <v>0</v>
      </c>
    </row>
    <row r="6" spans="1:34">
      <c r="A6" s="1" t="s">
        <v>10</v>
      </c>
      <c r="B6" s="20">
        <f>Calculations!J82</f>
        <v>0</v>
      </c>
      <c r="C6" s="20">
        <f>Calculations!K82</f>
        <v>0</v>
      </c>
      <c r="D6" s="20">
        <f>Calculations!L82</f>
        <v>0</v>
      </c>
      <c r="E6" s="20">
        <f>Calculations!M82</f>
        <v>0</v>
      </c>
      <c r="F6" s="20">
        <f>Calculations!N82</f>
        <v>0</v>
      </c>
      <c r="G6" s="20">
        <f>Calculations!O82</f>
        <v>0</v>
      </c>
      <c r="H6" s="20">
        <f>Calculations!P82</f>
        <v>0</v>
      </c>
      <c r="I6" s="20">
        <f>Calculations!Q82</f>
        <v>0</v>
      </c>
      <c r="J6" s="20">
        <f>Calculations!R82</f>
        <v>0</v>
      </c>
      <c r="K6" s="20">
        <f>Calculations!S82</f>
        <v>0</v>
      </c>
      <c r="L6" s="20">
        <f>Calculations!T82</f>
        <v>0</v>
      </c>
      <c r="M6" s="20">
        <f>Calculations!U82</f>
        <v>0</v>
      </c>
      <c r="N6" s="20">
        <f>Calculations!V82</f>
        <v>0</v>
      </c>
      <c r="O6" s="20">
        <f>Calculations!W82</f>
        <v>0</v>
      </c>
      <c r="P6" s="20">
        <f>Calculations!X82</f>
        <v>0</v>
      </c>
      <c r="Q6" s="20">
        <f>Calculations!Y82</f>
        <v>0</v>
      </c>
      <c r="R6" s="20">
        <f>Calculations!Z82</f>
        <v>0</v>
      </c>
      <c r="S6" s="20">
        <f>Calculations!AA82</f>
        <v>0</v>
      </c>
      <c r="T6" s="20">
        <f>Calculations!AB82</f>
        <v>0</v>
      </c>
      <c r="U6" s="20">
        <f>Calculations!AC82</f>
        <v>0</v>
      </c>
      <c r="V6" s="20">
        <f>Calculations!AD82</f>
        <v>0</v>
      </c>
      <c r="W6" s="20">
        <f>Calculations!AE82</f>
        <v>0</v>
      </c>
      <c r="X6" s="20">
        <f>Calculations!AF82</f>
        <v>0</v>
      </c>
      <c r="Y6" s="20">
        <f>Calculations!AG82</f>
        <v>0</v>
      </c>
      <c r="Z6" s="20">
        <f>Calculations!AH82</f>
        <v>0</v>
      </c>
      <c r="AA6" s="20">
        <f>Calculations!AI82</f>
        <v>0</v>
      </c>
      <c r="AB6" s="20">
        <f>Calculations!AJ82</f>
        <v>0</v>
      </c>
      <c r="AC6" s="20">
        <f>Calculations!AK82</f>
        <v>0</v>
      </c>
      <c r="AD6" s="20">
        <f>Calculations!AL82</f>
        <v>0</v>
      </c>
      <c r="AE6" s="20">
        <f>Calculations!AM82</f>
        <v>0</v>
      </c>
      <c r="AF6" s="20">
        <f>Calculations!AN82</f>
        <v>0</v>
      </c>
      <c r="AG6" s="20">
        <f>Calculations!AO82</f>
        <v>0</v>
      </c>
    </row>
    <row r="7" spans="1:34">
      <c r="A7" s="1" t="s">
        <v>11</v>
      </c>
      <c r="B7" s="20">
        <f>Calculations!J83</f>
        <v>0</v>
      </c>
      <c r="C7" s="20">
        <f>Calculations!K83</f>
        <v>0</v>
      </c>
      <c r="D7" s="20">
        <f>Calculations!L83</f>
        <v>0</v>
      </c>
      <c r="E7" s="20">
        <f>Calculations!M83</f>
        <v>0</v>
      </c>
      <c r="F7" s="20">
        <f>Calculations!N83</f>
        <v>0</v>
      </c>
      <c r="G7" s="20">
        <f>Calculations!O83</f>
        <v>0</v>
      </c>
      <c r="H7" s="20">
        <f>Calculations!P83</f>
        <v>0</v>
      </c>
      <c r="I7" s="20">
        <f>Calculations!Q83</f>
        <v>0</v>
      </c>
      <c r="J7" s="20">
        <f>Calculations!R83</f>
        <v>0</v>
      </c>
      <c r="K7" s="20">
        <f>Calculations!S83</f>
        <v>0</v>
      </c>
      <c r="L7" s="20">
        <f>Calculations!T83</f>
        <v>0</v>
      </c>
      <c r="M7" s="20">
        <f>Calculations!U83</f>
        <v>0</v>
      </c>
      <c r="N7" s="20">
        <f>Calculations!V83</f>
        <v>0</v>
      </c>
      <c r="O7" s="20">
        <f>Calculations!W83</f>
        <v>0</v>
      </c>
      <c r="P7" s="20">
        <f>Calculations!X83</f>
        <v>0</v>
      </c>
      <c r="Q7" s="20">
        <f>Calculations!Y83</f>
        <v>0</v>
      </c>
      <c r="R7" s="20">
        <f>Calculations!Z83</f>
        <v>0</v>
      </c>
      <c r="S7" s="20">
        <f>Calculations!AA83</f>
        <v>0</v>
      </c>
      <c r="T7" s="20">
        <f>Calculations!AB83</f>
        <v>0</v>
      </c>
      <c r="U7" s="20">
        <f>Calculations!AC83</f>
        <v>0</v>
      </c>
      <c r="V7" s="20">
        <f>Calculations!AD83</f>
        <v>0</v>
      </c>
      <c r="W7" s="20">
        <f>Calculations!AE83</f>
        <v>0</v>
      </c>
      <c r="X7" s="20">
        <f>Calculations!AF83</f>
        <v>0</v>
      </c>
      <c r="Y7" s="20">
        <f>Calculations!AG83</f>
        <v>0</v>
      </c>
      <c r="Z7" s="20">
        <f>Calculations!AH83</f>
        <v>0</v>
      </c>
      <c r="AA7" s="20">
        <f>Calculations!AI83</f>
        <v>0</v>
      </c>
      <c r="AB7" s="20">
        <f>Calculations!AJ83</f>
        <v>0</v>
      </c>
      <c r="AC7" s="20">
        <f>Calculations!AK83</f>
        <v>0</v>
      </c>
      <c r="AD7" s="20">
        <f>Calculations!AL83</f>
        <v>0</v>
      </c>
      <c r="AE7" s="20">
        <f>Calculations!AM83</f>
        <v>0</v>
      </c>
      <c r="AF7" s="20">
        <f>Calculations!AN83</f>
        <v>0</v>
      </c>
      <c r="AG7" s="20">
        <f>Calculations!AO83</f>
        <v>0</v>
      </c>
    </row>
    <row r="8" spans="1:34">
      <c r="A8" s="1" t="s">
        <v>12</v>
      </c>
      <c r="B8" s="20">
        <f>Calculations!J84</f>
        <v>0</v>
      </c>
      <c r="C8" s="20">
        <f>Calculations!K84</f>
        <v>0</v>
      </c>
      <c r="D8" s="20">
        <f>Calculations!L84</f>
        <v>0</v>
      </c>
      <c r="E8" s="20">
        <f>Calculations!M84</f>
        <v>0</v>
      </c>
      <c r="F8" s="20">
        <f>Calculations!N84</f>
        <v>0</v>
      </c>
      <c r="G8" s="20">
        <f>Calculations!O84</f>
        <v>0</v>
      </c>
      <c r="H8" s="20">
        <f>Calculations!P84</f>
        <v>0</v>
      </c>
      <c r="I8" s="20">
        <f>Calculations!Q84</f>
        <v>0</v>
      </c>
      <c r="J8" s="20">
        <f>Calculations!R84</f>
        <v>0</v>
      </c>
      <c r="K8" s="20">
        <f>Calculations!S84</f>
        <v>0</v>
      </c>
      <c r="L8" s="20">
        <f>Calculations!T84</f>
        <v>0</v>
      </c>
      <c r="M8" s="20">
        <f>Calculations!U84</f>
        <v>0</v>
      </c>
      <c r="N8" s="20">
        <f>Calculations!V84</f>
        <v>0</v>
      </c>
      <c r="O8" s="20">
        <f>Calculations!W84</f>
        <v>0</v>
      </c>
      <c r="P8" s="20">
        <f>Calculations!X84</f>
        <v>0</v>
      </c>
      <c r="Q8" s="20">
        <f>Calculations!Y84</f>
        <v>0</v>
      </c>
      <c r="R8" s="20">
        <f>Calculations!Z84</f>
        <v>0</v>
      </c>
      <c r="S8" s="20">
        <f>Calculations!AA84</f>
        <v>0</v>
      </c>
      <c r="T8" s="20">
        <f>Calculations!AB84</f>
        <v>0</v>
      </c>
      <c r="U8" s="20">
        <f>Calculations!AC84</f>
        <v>0</v>
      </c>
      <c r="V8" s="20">
        <f>Calculations!AD84</f>
        <v>0</v>
      </c>
      <c r="W8" s="20">
        <f>Calculations!AE84</f>
        <v>0</v>
      </c>
      <c r="X8" s="20">
        <f>Calculations!AF84</f>
        <v>0</v>
      </c>
      <c r="Y8" s="20">
        <f>Calculations!AG84</f>
        <v>0</v>
      </c>
      <c r="Z8" s="20">
        <f>Calculations!AH84</f>
        <v>0</v>
      </c>
      <c r="AA8" s="20">
        <f>Calculations!AI84</f>
        <v>0</v>
      </c>
      <c r="AB8" s="20">
        <f>Calculations!AJ84</f>
        <v>0</v>
      </c>
      <c r="AC8" s="20">
        <f>Calculations!AK84</f>
        <v>0</v>
      </c>
      <c r="AD8" s="20">
        <f>Calculations!AL84</f>
        <v>0</v>
      </c>
      <c r="AE8" s="20">
        <f>Calculations!AM84</f>
        <v>0</v>
      </c>
      <c r="AF8" s="20">
        <f>Calculations!AN84</f>
        <v>0</v>
      </c>
      <c r="AG8" s="20">
        <f>Calculations!AO84</f>
        <v>0</v>
      </c>
    </row>
    <row r="9" spans="1:34">
      <c r="A9" s="1" t="s">
        <v>2</v>
      </c>
      <c r="B9" s="20">
        <f>Calculations!J85</f>
        <v>0</v>
      </c>
      <c r="C9" s="20">
        <f>Calculations!K85</f>
        <v>0</v>
      </c>
      <c r="D9" s="20">
        <f>Calculations!L85</f>
        <v>0</v>
      </c>
      <c r="E9" s="20">
        <f>Calculations!M85</f>
        <v>0</v>
      </c>
      <c r="F9" s="20">
        <f>Calculations!N85</f>
        <v>0</v>
      </c>
      <c r="G9" s="20">
        <f>Calculations!O85</f>
        <v>0</v>
      </c>
      <c r="H9" s="20">
        <f>Calculations!P85</f>
        <v>0</v>
      </c>
      <c r="I9" s="20">
        <f>Calculations!Q85</f>
        <v>0</v>
      </c>
      <c r="J9" s="20">
        <f>Calculations!R85</f>
        <v>0</v>
      </c>
      <c r="K9" s="20">
        <f>Calculations!S85</f>
        <v>0</v>
      </c>
      <c r="L9" s="20">
        <f>Calculations!T85</f>
        <v>0</v>
      </c>
      <c r="M9" s="20">
        <f>Calculations!U85</f>
        <v>0</v>
      </c>
      <c r="N9" s="20">
        <f>Calculations!V85</f>
        <v>0</v>
      </c>
      <c r="O9" s="20">
        <f>Calculations!W85</f>
        <v>0</v>
      </c>
      <c r="P9" s="20">
        <f>Calculations!X85</f>
        <v>0</v>
      </c>
      <c r="Q9" s="20">
        <f>Calculations!Y85</f>
        <v>0</v>
      </c>
      <c r="R9" s="20">
        <f>Calculations!Z85</f>
        <v>0</v>
      </c>
      <c r="S9" s="20">
        <f>Calculations!AA85</f>
        <v>0</v>
      </c>
      <c r="T9" s="20">
        <f>Calculations!AB85</f>
        <v>0</v>
      </c>
      <c r="U9" s="20">
        <f>Calculations!AC85</f>
        <v>0</v>
      </c>
      <c r="V9" s="20">
        <f>Calculations!AD85</f>
        <v>0</v>
      </c>
      <c r="W9" s="20">
        <f>Calculations!AE85</f>
        <v>0</v>
      </c>
      <c r="X9" s="20">
        <f>Calculations!AF85</f>
        <v>0</v>
      </c>
      <c r="Y9" s="20">
        <f>Calculations!AG85</f>
        <v>0</v>
      </c>
      <c r="Z9" s="20">
        <f>Calculations!AH85</f>
        <v>0</v>
      </c>
      <c r="AA9" s="20">
        <f>Calculations!AI85</f>
        <v>0</v>
      </c>
      <c r="AB9" s="20">
        <f>Calculations!AJ85</f>
        <v>0</v>
      </c>
      <c r="AC9" s="20">
        <f>Calculations!AK85</f>
        <v>0</v>
      </c>
      <c r="AD9" s="20">
        <f>Calculations!AL85</f>
        <v>0</v>
      </c>
      <c r="AE9" s="20">
        <f>Calculations!AM85</f>
        <v>0</v>
      </c>
      <c r="AF9" s="20">
        <f>Calculations!AN85</f>
        <v>0</v>
      </c>
      <c r="AG9" s="20">
        <f>Calculations!AO85</f>
        <v>0</v>
      </c>
    </row>
    <row r="10" spans="1:34">
      <c r="A10" s="1" t="s">
        <v>3</v>
      </c>
      <c r="B10" s="20">
        <f>Calculations!J86</f>
        <v>317764493334778</v>
      </c>
      <c r="C10" s="20">
        <f>Calculations!K86</f>
        <v>324254547920058</v>
      </c>
      <c r="D10" s="20">
        <f>Calculations!L86</f>
        <v>330744602505340</v>
      </c>
      <c r="E10" s="20">
        <f>Calculations!M86</f>
        <v>337234657090622</v>
      </c>
      <c r="F10" s="20">
        <f>Calculations!N86</f>
        <v>343724711675904</v>
      </c>
      <c r="G10" s="20">
        <f>Calculations!O86</f>
        <v>350214766261184</v>
      </c>
      <c r="H10" s="20">
        <f>Calculations!P86</f>
        <v>356704820846466</v>
      </c>
      <c r="I10" s="20">
        <f>Calculations!Q86</f>
        <v>363194875431748</v>
      </c>
      <c r="J10" s="20">
        <f>Calculations!R86</f>
        <v>369684930017030</v>
      </c>
      <c r="K10" s="20">
        <f>Calculations!S86</f>
        <v>376174984602310</v>
      </c>
      <c r="L10" s="20">
        <f>Calculations!T86</f>
        <v>382665039187592</v>
      </c>
      <c r="M10" s="20">
        <f>Calculations!U86</f>
        <v>389155093772874</v>
      </c>
      <c r="N10" s="20">
        <f>Calculations!V86</f>
        <v>395645148358156</v>
      </c>
      <c r="O10" s="20">
        <f>Calculations!W86</f>
        <v>402135202943436</v>
      </c>
      <c r="P10" s="20">
        <f>Calculations!X86</f>
        <v>408625257528718</v>
      </c>
      <c r="Q10" s="20">
        <f>Calculations!Y86</f>
        <v>415115312114000</v>
      </c>
      <c r="R10" s="20">
        <f>Calculations!Z86</f>
        <v>421605366699280</v>
      </c>
      <c r="S10" s="20">
        <f>Calculations!AA86</f>
        <v>428095421284562</v>
      </c>
      <c r="T10" s="20">
        <f>Calculations!AB86</f>
        <v>434585475869844</v>
      </c>
      <c r="U10" s="20">
        <f>Calculations!AC86</f>
        <v>441075530455126</v>
      </c>
      <c r="V10" s="20">
        <f>Calculations!AD86</f>
        <v>447565585040406</v>
      </c>
      <c r="W10" s="20">
        <f>Calculations!AE86</f>
        <v>454055639625688</v>
      </c>
      <c r="X10" s="20">
        <f>Calculations!AF86</f>
        <v>460545694210970</v>
      </c>
      <c r="Y10" s="20">
        <f>Calculations!AG86</f>
        <v>467035748796252</v>
      </c>
      <c r="Z10" s="20">
        <f>Calculations!AH86</f>
        <v>473525803381532</v>
      </c>
      <c r="AA10" s="20">
        <f>Calculations!AI86</f>
        <v>480015857966814</v>
      </c>
      <c r="AB10" s="20">
        <f>Calculations!AJ86</f>
        <v>486505912552096</v>
      </c>
      <c r="AC10" s="20">
        <f>Calculations!AK86</f>
        <v>492995967137378</v>
      </c>
      <c r="AD10" s="20">
        <f>Calculations!AL86</f>
        <v>499486021722658</v>
      </c>
      <c r="AE10" s="20">
        <f>Calculations!AM86</f>
        <v>505976076307940</v>
      </c>
      <c r="AF10" s="20">
        <f>Calculations!AN86</f>
        <v>512466130893222</v>
      </c>
      <c r="AG10" s="20">
        <f>Calculations!AO86</f>
        <v>518956185478502</v>
      </c>
    </row>
    <row r="11" spans="1:34">
      <c r="A11" s="1" t="s">
        <v>13</v>
      </c>
      <c r="B11" s="20">
        <f>Calculations!J87</f>
        <v>768661623588904</v>
      </c>
      <c r="C11" s="20">
        <f>Calculations!K87</f>
        <v>775502758234654</v>
      </c>
      <c r="D11" s="20">
        <f>Calculations!L87</f>
        <v>782343892880404</v>
      </c>
      <c r="E11" s="20">
        <f>Calculations!M87</f>
        <v>789185027526154</v>
      </c>
      <c r="F11" s="20">
        <f>Calculations!N87</f>
        <v>796026162171904</v>
      </c>
      <c r="G11" s="20">
        <f>Calculations!O87</f>
        <v>802867296817652</v>
      </c>
      <c r="H11" s="20">
        <f>Calculations!P87</f>
        <v>809708431463402</v>
      </c>
      <c r="I11" s="20">
        <f>Calculations!Q87</f>
        <v>816549566109152</v>
      </c>
      <c r="J11" s="20">
        <f>Calculations!R87</f>
        <v>823390700754902</v>
      </c>
      <c r="K11" s="20">
        <f>Calculations!S87</f>
        <v>830231835400652</v>
      </c>
      <c r="L11" s="20">
        <f>Calculations!T87</f>
        <v>837072970046402</v>
      </c>
      <c r="M11" s="20">
        <f>Calculations!U87</f>
        <v>843914104692150</v>
      </c>
      <c r="N11" s="20">
        <f>Calculations!V87</f>
        <v>850755239337900</v>
      </c>
      <c r="O11" s="20">
        <f>Calculations!W87</f>
        <v>857596373983650</v>
      </c>
      <c r="P11" s="20">
        <f>Calculations!X87</f>
        <v>864437508629400</v>
      </c>
      <c r="Q11" s="20">
        <f>Calculations!Y87</f>
        <v>871278643275150</v>
      </c>
      <c r="R11" s="20">
        <f>Calculations!Z87</f>
        <v>878119777920898</v>
      </c>
      <c r="S11" s="20">
        <f>Calculations!AA87</f>
        <v>884960912566648</v>
      </c>
      <c r="T11" s="20">
        <f>Calculations!AB87</f>
        <v>891802047212398</v>
      </c>
      <c r="U11" s="20">
        <f>Calculations!AC87</f>
        <v>898643181858148</v>
      </c>
      <c r="V11" s="20">
        <f>Calculations!AD87</f>
        <v>905484316503898</v>
      </c>
      <c r="W11" s="20">
        <f>Calculations!AE87</f>
        <v>912325451149648</v>
      </c>
      <c r="X11" s="20">
        <f>Calculations!AF87</f>
        <v>919166585795396</v>
      </c>
      <c r="Y11" s="20">
        <f>Calculations!AG87</f>
        <v>926007720441146</v>
      </c>
      <c r="Z11" s="20">
        <f>Calculations!AH87</f>
        <v>932848855086896</v>
      </c>
      <c r="AA11" s="20">
        <f>Calculations!AI87</f>
        <v>939689989732646</v>
      </c>
      <c r="AB11" s="20">
        <f>Calculations!AJ87</f>
        <v>946531124378396</v>
      </c>
      <c r="AC11" s="20">
        <f>Calculations!AK87</f>
        <v>953372259024144</v>
      </c>
      <c r="AD11" s="20">
        <f>Calculations!AL87</f>
        <v>960213393669894</v>
      </c>
      <c r="AE11" s="20">
        <f>Calculations!AM87</f>
        <v>967054528315644</v>
      </c>
      <c r="AF11" s="20">
        <f>Calculations!AN87</f>
        <v>973895662961394</v>
      </c>
      <c r="AG11" s="20">
        <f>Calculations!AO87</f>
        <v>980736797607144</v>
      </c>
    </row>
    <row r="12" spans="1:34">
      <c r="A12" s="1" t="s">
        <v>14</v>
      </c>
      <c r="B12" s="20">
        <f>Calculations!J88</f>
        <v>0</v>
      </c>
      <c r="C12" s="20">
        <f>Calculations!K88</f>
        <v>0</v>
      </c>
      <c r="D12" s="20">
        <f>Calculations!L88</f>
        <v>0</v>
      </c>
      <c r="E12" s="20">
        <f>Calculations!M88</f>
        <v>0</v>
      </c>
      <c r="F12" s="20">
        <f>Calculations!N88</f>
        <v>0</v>
      </c>
      <c r="G12" s="20">
        <f>Calculations!O88</f>
        <v>0</v>
      </c>
      <c r="H12" s="20">
        <f>Calculations!P88</f>
        <v>0</v>
      </c>
      <c r="I12" s="20">
        <f>Calculations!Q88</f>
        <v>0</v>
      </c>
      <c r="J12" s="20">
        <f>Calculations!R88</f>
        <v>0</v>
      </c>
      <c r="K12" s="20">
        <f>Calculations!S88</f>
        <v>0</v>
      </c>
      <c r="L12" s="20">
        <f>Calculations!T88</f>
        <v>0</v>
      </c>
      <c r="M12" s="20">
        <f>Calculations!U88</f>
        <v>0</v>
      </c>
      <c r="N12" s="20">
        <f>Calculations!V88</f>
        <v>0</v>
      </c>
      <c r="O12" s="20">
        <f>Calculations!W88</f>
        <v>0</v>
      </c>
      <c r="P12" s="20">
        <f>Calculations!X88</f>
        <v>0</v>
      </c>
      <c r="Q12" s="20">
        <f>Calculations!Y88</f>
        <v>0</v>
      </c>
      <c r="R12" s="20">
        <f>Calculations!Z88</f>
        <v>0</v>
      </c>
      <c r="S12" s="20">
        <f>Calculations!AA88</f>
        <v>0</v>
      </c>
      <c r="T12" s="20">
        <f>Calculations!AB88</f>
        <v>0</v>
      </c>
      <c r="U12" s="20">
        <f>Calculations!AC88</f>
        <v>0</v>
      </c>
      <c r="V12" s="20">
        <f>Calculations!AD88</f>
        <v>0</v>
      </c>
      <c r="W12" s="20">
        <f>Calculations!AE88</f>
        <v>0</v>
      </c>
      <c r="X12" s="20">
        <f>Calculations!AF88</f>
        <v>0</v>
      </c>
      <c r="Y12" s="20">
        <f>Calculations!AG88</f>
        <v>0</v>
      </c>
      <c r="Z12" s="20">
        <f>Calculations!AH88</f>
        <v>0</v>
      </c>
      <c r="AA12" s="20">
        <f>Calculations!AI88</f>
        <v>0</v>
      </c>
      <c r="AB12" s="20">
        <f>Calculations!AJ88</f>
        <v>0</v>
      </c>
      <c r="AC12" s="20">
        <f>Calculations!AK88</f>
        <v>0</v>
      </c>
      <c r="AD12" s="20">
        <f>Calculations!AL88</f>
        <v>0</v>
      </c>
      <c r="AE12" s="20">
        <f>Calculations!AM88</f>
        <v>0</v>
      </c>
      <c r="AF12" s="20">
        <f>Calculations!AN88</f>
        <v>0</v>
      </c>
      <c r="AG12" s="20">
        <f>Calculations!AO88</f>
        <v>0</v>
      </c>
    </row>
    <row r="13" spans="1:34">
      <c r="A13" s="1" t="s">
        <v>15</v>
      </c>
      <c r="B13" s="20">
        <f>Calculations!J89</f>
        <v>0</v>
      </c>
      <c r="C13" s="20">
        <f>Calculations!K89</f>
        <v>0</v>
      </c>
      <c r="D13" s="20">
        <f>Calculations!L89</f>
        <v>0</v>
      </c>
      <c r="E13" s="20">
        <f>Calculations!M89</f>
        <v>0</v>
      </c>
      <c r="F13" s="20">
        <f>Calculations!N89</f>
        <v>0</v>
      </c>
      <c r="G13" s="20">
        <f>Calculations!O89</f>
        <v>0</v>
      </c>
      <c r="H13" s="20">
        <f>Calculations!P89</f>
        <v>0</v>
      </c>
      <c r="I13" s="20">
        <f>Calculations!Q89</f>
        <v>0</v>
      </c>
      <c r="J13" s="20">
        <f>Calculations!R89</f>
        <v>0</v>
      </c>
      <c r="K13" s="20">
        <f>Calculations!S89</f>
        <v>0</v>
      </c>
      <c r="L13" s="20">
        <f>Calculations!T89</f>
        <v>0</v>
      </c>
      <c r="M13" s="20">
        <f>Calculations!U89</f>
        <v>0</v>
      </c>
      <c r="N13" s="20">
        <f>Calculations!V89</f>
        <v>0</v>
      </c>
      <c r="O13" s="20">
        <f>Calculations!W89</f>
        <v>0</v>
      </c>
      <c r="P13" s="20">
        <f>Calculations!X89</f>
        <v>0</v>
      </c>
      <c r="Q13" s="20">
        <f>Calculations!Y89</f>
        <v>0</v>
      </c>
      <c r="R13" s="20">
        <f>Calculations!Z89</f>
        <v>0</v>
      </c>
      <c r="S13" s="20">
        <f>Calculations!AA89</f>
        <v>0</v>
      </c>
      <c r="T13" s="20">
        <f>Calculations!AB89</f>
        <v>0</v>
      </c>
      <c r="U13" s="20">
        <f>Calculations!AC89</f>
        <v>0</v>
      </c>
      <c r="V13" s="20">
        <f>Calculations!AD89</f>
        <v>0</v>
      </c>
      <c r="W13" s="20">
        <f>Calculations!AE89</f>
        <v>0</v>
      </c>
      <c r="X13" s="20">
        <f>Calculations!AF89</f>
        <v>0</v>
      </c>
      <c r="Y13" s="20">
        <f>Calculations!AG89</f>
        <v>0</v>
      </c>
      <c r="Z13" s="20">
        <f>Calculations!AH89</f>
        <v>0</v>
      </c>
      <c r="AA13" s="20">
        <f>Calculations!AI89</f>
        <v>0</v>
      </c>
      <c r="AB13" s="20">
        <f>Calculations!AJ89</f>
        <v>0</v>
      </c>
      <c r="AC13" s="20">
        <f>Calculations!AK89</f>
        <v>0</v>
      </c>
      <c r="AD13" s="20">
        <f>Calculations!AL89</f>
        <v>0</v>
      </c>
      <c r="AE13" s="20">
        <f>Calculations!AM89</f>
        <v>0</v>
      </c>
      <c r="AF13" s="20">
        <f>Calculations!AN89</f>
        <v>0</v>
      </c>
      <c r="AG13" s="20">
        <f>Calculations!AO89</f>
        <v>0</v>
      </c>
    </row>
    <row r="14" spans="1:34">
      <c r="A14" s="1" t="s">
        <v>4</v>
      </c>
      <c r="B14" s="20">
        <f>Calculations!J90</f>
        <v>369775847222742</v>
      </c>
      <c r="C14" s="20">
        <f>Calculations!K90</f>
        <v>371455778095525.5</v>
      </c>
      <c r="D14" s="20">
        <f>Calculations!L90</f>
        <v>373135708968308.5</v>
      </c>
      <c r="E14" s="20">
        <f>Calculations!M90</f>
        <v>374815639841091.5</v>
      </c>
      <c r="F14" s="20">
        <f>Calculations!N90</f>
        <v>376495570713874.5</v>
      </c>
      <c r="G14" s="20">
        <f>Calculations!O90</f>
        <v>378175501586658</v>
      </c>
      <c r="H14" s="20">
        <f>Calculations!P90</f>
        <v>379855432459441</v>
      </c>
      <c r="I14" s="20">
        <f>Calculations!Q90</f>
        <v>381535363332224</v>
      </c>
      <c r="J14" s="20">
        <f>Calculations!R90</f>
        <v>383215294205007</v>
      </c>
      <c r="K14" s="20">
        <f>Calculations!S90</f>
        <v>384895225077790.5</v>
      </c>
      <c r="L14" s="20">
        <f>Calculations!T90</f>
        <v>386575155950573.5</v>
      </c>
      <c r="M14" s="20">
        <f>Calculations!U90</f>
        <v>388255086823356.5</v>
      </c>
      <c r="N14" s="20">
        <f>Calculations!V90</f>
        <v>389935017696139.5</v>
      </c>
      <c r="O14" s="20">
        <f>Calculations!W90</f>
        <v>391614948568922.5</v>
      </c>
      <c r="P14" s="20">
        <f>Calculations!X90</f>
        <v>393294879441706</v>
      </c>
      <c r="Q14" s="20">
        <f>Calculations!Y90</f>
        <v>394974810314489</v>
      </c>
      <c r="R14" s="20">
        <f>Calculations!Z90</f>
        <v>396654741187272</v>
      </c>
      <c r="S14" s="20">
        <f>Calculations!AA90</f>
        <v>398334672060055</v>
      </c>
      <c r="T14" s="20">
        <f>Calculations!AB90</f>
        <v>400014602932838.5</v>
      </c>
      <c r="U14" s="20">
        <f>Calculations!AC90</f>
        <v>401694533805621.5</v>
      </c>
      <c r="V14" s="20">
        <f>Calculations!AD90</f>
        <v>403374464678404.5</v>
      </c>
      <c r="W14" s="20">
        <f>Calculations!AE90</f>
        <v>405054395551187.5</v>
      </c>
      <c r="X14" s="20">
        <f>Calculations!AF90</f>
        <v>406734326423970.5</v>
      </c>
      <c r="Y14" s="20">
        <f>Calculations!AG90</f>
        <v>408414257296754</v>
      </c>
      <c r="Z14" s="20">
        <f>Calculations!AH90</f>
        <v>410094188169537</v>
      </c>
      <c r="AA14" s="20">
        <f>Calculations!AI90</f>
        <v>411774119042320</v>
      </c>
      <c r="AB14" s="20">
        <f>Calculations!AJ90</f>
        <v>413454049915103</v>
      </c>
      <c r="AC14" s="20">
        <f>Calculations!AK90</f>
        <v>415133980787886.5</v>
      </c>
      <c r="AD14" s="20">
        <f>Calculations!AL90</f>
        <v>416813911660669.5</v>
      </c>
      <c r="AE14" s="20">
        <f>Calculations!AM90</f>
        <v>418493842533452.5</v>
      </c>
      <c r="AF14" s="20">
        <f>Calculations!AN90</f>
        <v>420173773406235.5</v>
      </c>
      <c r="AG14" s="20">
        <f>Calculations!AO90</f>
        <v>421853704279018.5</v>
      </c>
    </row>
    <row r="15" spans="1:34">
      <c r="A15" s="1" t="s">
        <v>16</v>
      </c>
      <c r="B15" s="20">
        <f>Calculations!J91</f>
        <v>0</v>
      </c>
      <c r="C15" s="20">
        <f>Calculations!K91</f>
        <v>0</v>
      </c>
      <c r="D15" s="20">
        <f>Calculations!L91</f>
        <v>0</v>
      </c>
      <c r="E15" s="20">
        <f>Calculations!M91</f>
        <v>0</v>
      </c>
      <c r="F15" s="20">
        <f>Calculations!N91</f>
        <v>0</v>
      </c>
      <c r="G15" s="20">
        <f>Calculations!O91</f>
        <v>0</v>
      </c>
      <c r="H15" s="20">
        <f>Calculations!P91</f>
        <v>0</v>
      </c>
      <c r="I15" s="20">
        <f>Calculations!Q91</f>
        <v>0</v>
      </c>
      <c r="J15" s="20">
        <f>Calculations!R91</f>
        <v>0</v>
      </c>
      <c r="K15" s="20">
        <f>Calculations!S91</f>
        <v>0</v>
      </c>
      <c r="L15" s="20">
        <f>Calculations!T91</f>
        <v>0</v>
      </c>
      <c r="M15" s="20">
        <f>Calculations!U91</f>
        <v>0</v>
      </c>
      <c r="N15" s="20">
        <f>Calculations!V91</f>
        <v>0</v>
      </c>
      <c r="O15" s="20">
        <f>Calculations!W91</f>
        <v>0</v>
      </c>
      <c r="P15" s="20">
        <f>Calculations!X91</f>
        <v>0</v>
      </c>
      <c r="Q15" s="20">
        <f>Calculations!Y91</f>
        <v>0</v>
      </c>
      <c r="R15" s="20">
        <f>Calculations!Z91</f>
        <v>0</v>
      </c>
      <c r="S15" s="20">
        <f>Calculations!AA91</f>
        <v>0</v>
      </c>
      <c r="T15" s="20">
        <f>Calculations!AB91</f>
        <v>0</v>
      </c>
      <c r="U15" s="20">
        <f>Calculations!AC91</f>
        <v>0</v>
      </c>
      <c r="V15" s="20">
        <f>Calculations!AD91</f>
        <v>0</v>
      </c>
      <c r="W15" s="20">
        <f>Calculations!AE91</f>
        <v>0</v>
      </c>
      <c r="X15" s="20">
        <f>Calculations!AF91</f>
        <v>0</v>
      </c>
      <c r="Y15" s="20">
        <f>Calculations!AG91</f>
        <v>0</v>
      </c>
      <c r="Z15" s="20">
        <f>Calculations!AH91</f>
        <v>0</v>
      </c>
      <c r="AA15" s="20">
        <f>Calculations!AI91</f>
        <v>0</v>
      </c>
      <c r="AB15" s="20">
        <f>Calculations!AJ91</f>
        <v>0</v>
      </c>
      <c r="AC15" s="20">
        <f>Calculations!AK91</f>
        <v>0</v>
      </c>
      <c r="AD15" s="20">
        <f>Calculations!AL91</f>
        <v>0</v>
      </c>
      <c r="AE15" s="20">
        <f>Calculations!AM91</f>
        <v>0</v>
      </c>
      <c r="AF15" s="20">
        <f>Calculations!AN91</f>
        <v>0</v>
      </c>
      <c r="AG15" s="20">
        <f>Calculations!AO91</f>
        <v>0</v>
      </c>
    </row>
    <row r="16" spans="1:34">
      <c r="A16" s="1" t="s">
        <v>17</v>
      </c>
      <c r="B16" s="20">
        <f>Calculations!J92</f>
        <v>0</v>
      </c>
      <c r="C16" s="20">
        <f>Calculations!K92</f>
        <v>0</v>
      </c>
      <c r="D16" s="20">
        <f>Calculations!L92</f>
        <v>0</v>
      </c>
      <c r="E16" s="20">
        <f>Calculations!M92</f>
        <v>0</v>
      </c>
      <c r="F16" s="20">
        <f>Calculations!N92</f>
        <v>0</v>
      </c>
      <c r="G16" s="20">
        <f>Calculations!O92</f>
        <v>0</v>
      </c>
      <c r="H16" s="20">
        <f>Calculations!P92</f>
        <v>0</v>
      </c>
      <c r="I16" s="20">
        <f>Calculations!Q92</f>
        <v>0</v>
      </c>
      <c r="J16" s="20">
        <f>Calculations!R92</f>
        <v>0</v>
      </c>
      <c r="K16" s="20">
        <f>Calculations!S92</f>
        <v>0</v>
      </c>
      <c r="L16" s="20">
        <f>Calculations!T92</f>
        <v>0</v>
      </c>
      <c r="M16" s="20">
        <f>Calculations!U92</f>
        <v>0</v>
      </c>
      <c r="N16" s="20">
        <f>Calculations!V92</f>
        <v>0</v>
      </c>
      <c r="O16" s="20">
        <f>Calculations!W92</f>
        <v>0</v>
      </c>
      <c r="P16" s="20">
        <f>Calculations!X92</f>
        <v>0</v>
      </c>
      <c r="Q16" s="20">
        <f>Calculations!Y92</f>
        <v>0</v>
      </c>
      <c r="R16" s="20">
        <f>Calculations!Z92</f>
        <v>0</v>
      </c>
      <c r="S16" s="20">
        <f>Calculations!AA92</f>
        <v>0</v>
      </c>
      <c r="T16" s="20">
        <f>Calculations!AB92</f>
        <v>0</v>
      </c>
      <c r="U16" s="20">
        <f>Calculations!AC92</f>
        <v>0</v>
      </c>
      <c r="V16" s="20">
        <f>Calculations!AD92</f>
        <v>0</v>
      </c>
      <c r="W16" s="20">
        <f>Calculations!AE92</f>
        <v>0</v>
      </c>
      <c r="X16" s="20">
        <f>Calculations!AF92</f>
        <v>0</v>
      </c>
      <c r="Y16" s="20">
        <f>Calculations!AG92</f>
        <v>0</v>
      </c>
      <c r="Z16" s="20">
        <f>Calculations!AH92</f>
        <v>0</v>
      </c>
      <c r="AA16" s="20">
        <f>Calculations!AI92</f>
        <v>0</v>
      </c>
      <c r="AB16" s="20">
        <f>Calculations!AJ92</f>
        <v>0</v>
      </c>
      <c r="AC16" s="20">
        <f>Calculations!AK92</f>
        <v>0</v>
      </c>
      <c r="AD16" s="20">
        <f>Calculations!AL92</f>
        <v>0</v>
      </c>
      <c r="AE16" s="20">
        <f>Calculations!AM92</f>
        <v>0</v>
      </c>
      <c r="AF16" s="20">
        <f>Calculations!AN92</f>
        <v>0</v>
      </c>
      <c r="AG16" s="20">
        <f>Calculations!AO92</f>
        <v>0</v>
      </c>
    </row>
    <row r="17" spans="1:33">
      <c r="A17" s="1" t="s">
        <v>18</v>
      </c>
      <c r="B17" s="20">
        <f>Calculations!J93</f>
        <v>0</v>
      </c>
      <c r="C17" s="20">
        <f>Calculations!K93</f>
        <v>0</v>
      </c>
      <c r="D17" s="20">
        <f>Calculations!L93</f>
        <v>0</v>
      </c>
      <c r="E17" s="20">
        <f>Calculations!M93</f>
        <v>0</v>
      </c>
      <c r="F17" s="20">
        <f>Calculations!N93</f>
        <v>0</v>
      </c>
      <c r="G17" s="20">
        <f>Calculations!O93</f>
        <v>0</v>
      </c>
      <c r="H17" s="20">
        <f>Calculations!P93</f>
        <v>0</v>
      </c>
      <c r="I17" s="20">
        <f>Calculations!Q93</f>
        <v>0</v>
      </c>
      <c r="J17" s="20">
        <f>Calculations!R93</f>
        <v>0</v>
      </c>
      <c r="K17" s="20">
        <f>Calculations!S93</f>
        <v>0</v>
      </c>
      <c r="L17" s="20">
        <f>Calculations!T93</f>
        <v>0</v>
      </c>
      <c r="M17" s="20">
        <f>Calculations!U93</f>
        <v>0</v>
      </c>
      <c r="N17" s="20">
        <f>Calculations!V93</f>
        <v>0</v>
      </c>
      <c r="O17" s="20">
        <f>Calculations!W93</f>
        <v>0</v>
      </c>
      <c r="P17" s="20">
        <f>Calculations!X93</f>
        <v>0</v>
      </c>
      <c r="Q17" s="20">
        <f>Calculations!Y93</f>
        <v>0</v>
      </c>
      <c r="R17" s="20">
        <f>Calculations!Z93</f>
        <v>0</v>
      </c>
      <c r="S17" s="20">
        <f>Calculations!AA93</f>
        <v>0</v>
      </c>
      <c r="T17" s="20">
        <f>Calculations!AB93</f>
        <v>0</v>
      </c>
      <c r="U17" s="20">
        <f>Calculations!AC93</f>
        <v>0</v>
      </c>
      <c r="V17" s="20">
        <f>Calculations!AD93</f>
        <v>0</v>
      </c>
      <c r="W17" s="20">
        <f>Calculations!AE93</f>
        <v>0</v>
      </c>
      <c r="X17" s="20">
        <f>Calculations!AF93</f>
        <v>0</v>
      </c>
      <c r="Y17" s="20">
        <f>Calculations!AG93</f>
        <v>0</v>
      </c>
      <c r="Z17" s="20">
        <f>Calculations!AH93</f>
        <v>0</v>
      </c>
      <c r="AA17" s="20">
        <f>Calculations!AI93</f>
        <v>0</v>
      </c>
      <c r="AB17" s="20">
        <f>Calculations!AJ93</f>
        <v>0</v>
      </c>
      <c r="AC17" s="20">
        <f>Calculations!AK93</f>
        <v>0</v>
      </c>
      <c r="AD17" s="20">
        <f>Calculations!AL93</f>
        <v>0</v>
      </c>
      <c r="AE17" s="20">
        <f>Calculations!AM93</f>
        <v>0</v>
      </c>
      <c r="AF17" s="20">
        <f>Calculations!AN93</f>
        <v>0</v>
      </c>
      <c r="AG17" s="20">
        <f>Calculations!AO93</f>
        <v>0</v>
      </c>
    </row>
    <row r="18" spans="1:33">
      <c r="A18" s="1" t="s">
        <v>5</v>
      </c>
      <c r="B18" s="20">
        <f>Calculations!J94</f>
        <v>0</v>
      </c>
      <c r="C18" s="20">
        <f>Calculations!K94</f>
        <v>0</v>
      </c>
      <c r="D18" s="20">
        <f>Calculations!L94</f>
        <v>0</v>
      </c>
      <c r="E18" s="20">
        <f>Calculations!M94</f>
        <v>0</v>
      </c>
      <c r="F18" s="20">
        <f>Calculations!N94</f>
        <v>0</v>
      </c>
      <c r="G18" s="20">
        <f>Calculations!O94</f>
        <v>0</v>
      </c>
      <c r="H18" s="20">
        <f>Calculations!P94</f>
        <v>0</v>
      </c>
      <c r="I18" s="20">
        <f>Calculations!Q94</f>
        <v>0</v>
      </c>
      <c r="J18" s="20">
        <f>Calculations!R94</f>
        <v>0</v>
      </c>
      <c r="K18" s="20">
        <f>Calculations!S94</f>
        <v>0</v>
      </c>
      <c r="L18" s="20">
        <f>Calculations!T94</f>
        <v>0</v>
      </c>
      <c r="M18" s="20">
        <f>Calculations!U94</f>
        <v>0</v>
      </c>
      <c r="N18" s="20">
        <f>Calculations!V94</f>
        <v>0</v>
      </c>
      <c r="O18" s="20">
        <f>Calculations!W94</f>
        <v>0</v>
      </c>
      <c r="P18" s="20">
        <f>Calculations!X94</f>
        <v>0</v>
      </c>
      <c r="Q18" s="20">
        <f>Calculations!Y94</f>
        <v>0</v>
      </c>
      <c r="R18" s="20">
        <f>Calculations!Z94</f>
        <v>0</v>
      </c>
      <c r="S18" s="20">
        <f>Calculations!AA94</f>
        <v>0</v>
      </c>
      <c r="T18" s="20">
        <f>Calculations!AB94</f>
        <v>0</v>
      </c>
      <c r="U18" s="20">
        <f>Calculations!AC94</f>
        <v>0</v>
      </c>
      <c r="V18" s="20">
        <f>Calculations!AD94</f>
        <v>0</v>
      </c>
      <c r="W18" s="20">
        <f>Calculations!AE94</f>
        <v>0</v>
      </c>
      <c r="X18" s="20">
        <f>Calculations!AF94</f>
        <v>0</v>
      </c>
      <c r="Y18" s="20">
        <f>Calculations!AG94</f>
        <v>0</v>
      </c>
      <c r="Z18" s="20">
        <f>Calculations!AH94</f>
        <v>0</v>
      </c>
      <c r="AA18" s="20">
        <f>Calculations!AI94</f>
        <v>0</v>
      </c>
      <c r="AB18" s="20">
        <f>Calculations!AJ94</f>
        <v>0</v>
      </c>
      <c r="AC18" s="20">
        <f>Calculations!AK94</f>
        <v>0</v>
      </c>
      <c r="AD18" s="20">
        <f>Calculations!AL94</f>
        <v>0</v>
      </c>
      <c r="AE18" s="20">
        <f>Calculations!AM94</f>
        <v>0</v>
      </c>
      <c r="AF18" s="20">
        <f>Calculations!AN94</f>
        <v>0</v>
      </c>
      <c r="AG18" s="20">
        <f>Calculations!AO94</f>
        <v>0</v>
      </c>
    </row>
    <row r="19" spans="1:33">
      <c r="A19" s="1" t="s">
        <v>19</v>
      </c>
      <c r="B19" s="20">
        <f>Calculations!J95</f>
        <v>170784022985292</v>
      </c>
      <c r="C19" s="20">
        <f>Calculations!K95</f>
        <v>164909336095386</v>
      </c>
      <c r="D19" s="20">
        <f>Calculations!L95</f>
        <v>159034649205480</v>
      </c>
      <c r="E19" s="20">
        <f>Calculations!M95</f>
        <v>153159962315574</v>
      </c>
      <c r="F19" s="20">
        <f>Calculations!N95</f>
        <v>147285275425668</v>
      </c>
      <c r="G19" s="20">
        <f>Calculations!O95</f>
        <v>141410588535760</v>
      </c>
      <c r="H19" s="20">
        <f>Calculations!P95</f>
        <v>135535901645854</v>
      </c>
      <c r="I19" s="20">
        <f>Calculations!Q95</f>
        <v>129661214755948</v>
      </c>
      <c r="J19" s="20">
        <f>Calculations!R95</f>
        <v>123786527866042</v>
      </c>
      <c r="K19" s="20">
        <f>Calculations!S95</f>
        <v>117911840976134</v>
      </c>
      <c r="L19" s="20">
        <f>Calculations!T95</f>
        <v>112037154086228</v>
      </c>
      <c r="M19" s="20">
        <f>Calculations!U95</f>
        <v>106162467196322</v>
      </c>
      <c r="N19" s="20">
        <f>Calculations!V95</f>
        <v>100287780306416</v>
      </c>
      <c r="O19" s="20">
        <f>Calculations!W95</f>
        <v>94413093416510</v>
      </c>
      <c r="P19" s="20">
        <f>Calculations!X95</f>
        <v>88538406526602</v>
      </c>
      <c r="Q19" s="20">
        <f>Calculations!Y95</f>
        <v>82663719636696</v>
      </c>
      <c r="R19" s="20">
        <f>Calculations!Z95</f>
        <v>76789032746790</v>
      </c>
      <c r="S19" s="20">
        <f>Calculations!AA95</f>
        <v>70914345856884</v>
      </c>
      <c r="T19" s="20">
        <f>Calculations!AB95</f>
        <v>65039658966976</v>
      </c>
      <c r="U19" s="20">
        <f>Calculations!AC95</f>
        <v>59164972077070</v>
      </c>
      <c r="V19" s="20">
        <f>Calculations!AD95</f>
        <v>53290285187164</v>
      </c>
      <c r="W19" s="20">
        <f>Calculations!AE95</f>
        <v>47415598297258</v>
      </c>
      <c r="X19" s="20">
        <f>Calculations!AF95</f>
        <v>41540911407352</v>
      </c>
      <c r="Y19" s="20">
        <f>Calculations!AG95</f>
        <v>35666224517444</v>
      </c>
      <c r="Z19" s="20">
        <f>Calculations!AH95</f>
        <v>29791537627538</v>
      </c>
      <c r="AA19" s="20">
        <f>Calculations!AI95</f>
        <v>23916850737632</v>
      </c>
      <c r="AB19" s="20">
        <f>Calculations!AJ95</f>
        <v>18042163847726</v>
      </c>
      <c r="AC19" s="20">
        <f>Calculations!AK95</f>
        <v>12167476957818</v>
      </c>
      <c r="AD19" s="20">
        <f>Calculations!AL95</f>
        <v>6292790067912</v>
      </c>
      <c r="AE19" s="20">
        <f>Calculations!AM95</f>
        <v>418103178006</v>
      </c>
      <c r="AF19" s="20">
        <f>Calculations!AN95</f>
        <v>0</v>
      </c>
      <c r="AG19" s="20">
        <f>Calculations!AO95</f>
        <v>0</v>
      </c>
    </row>
    <row r="20" spans="1:33">
      <c r="A20" s="1" t="s">
        <v>6</v>
      </c>
      <c r="B20" s="20">
        <f>Calculations!J96</f>
        <v>17198099438620.25</v>
      </c>
      <c r="C20" s="20">
        <f>Calculations!K96</f>
        <v>16480405813295.75</v>
      </c>
      <c r="D20" s="20">
        <f>Calculations!L96</f>
        <v>15762712187971.5</v>
      </c>
      <c r="E20" s="20">
        <f>Calculations!M96</f>
        <v>15045018562647</v>
      </c>
      <c r="F20" s="20">
        <f>Calculations!N96</f>
        <v>14327324937322.75</v>
      </c>
      <c r="G20" s="20">
        <f>Calculations!O96</f>
        <v>13609631311998.25</v>
      </c>
      <c r="H20" s="20">
        <f>Calculations!P96</f>
        <v>12891937686673.75</v>
      </c>
      <c r="I20" s="20">
        <f>Calculations!Q96</f>
        <v>12174244061349.5</v>
      </c>
      <c r="J20" s="20">
        <f>Calculations!R96</f>
        <v>11456550436025</v>
      </c>
      <c r="K20" s="20">
        <f>Calculations!S96</f>
        <v>10738856810700.75</v>
      </c>
      <c r="L20" s="20">
        <f>Calculations!T96</f>
        <v>10021163185376.25</v>
      </c>
      <c r="M20" s="20">
        <f>Calculations!U96</f>
        <v>9303469560051.75</v>
      </c>
      <c r="N20" s="20">
        <f>Calculations!V96</f>
        <v>8585775934727.5</v>
      </c>
      <c r="O20" s="20">
        <f>Calculations!W96</f>
        <v>7868082309403</v>
      </c>
      <c r="P20" s="20">
        <f>Calculations!X96</f>
        <v>7150388684078.75</v>
      </c>
      <c r="Q20" s="20">
        <f>Calculations!Y96</f>
        <v>6432695058754.25</v>
      </c>
      <c r="R20" s="20">
        <f>Calculations!Z96</f>
        <v>5715001433430</v>
      </c>
      <c r="S20" s="20">
        <f>Calculations!AA96</f>
        <v>4997307808105.5</v>
      </c>
      <c r="T20" s="20">
        <f>Calculations!AB96</f>
        <v>4279614182781</v>
      </c>
      <c r="U20" s="20">
        <f>Calculations!AC96</f>
        <v>3561920557456.75</v>
      </c>
      <c r="V20" s="20">
        <f>Calculations!AD96</f>
        <v>2844226932132.25</v>
      </c>
      <c r="W20" s="20">
        <f>Calculations!AE96</f>
        <v>2126533306808</v>
      </c>
      <c r="X20" s="20">
        <f>Calculations!AF96</f>
        <v>1408839681483.5</v>
      </c>
      <c r="Y20" s="20">
        <f>Calculations!AG96</f>
        <v>691146056159</v>
      </c>
      <c r="Z20" s="20">
        <f>Calculations!AH96</f>
        <v>0</v>
      </c>
      <c r="AA20" s="20">
        <f>Calculations!AI96</f>
        <v>0</v>
      </c>
      <c r="AB20" s="20">
        <f>Calculations!AJ96</f>
        <v>0</v>
      </c>
      <c r="AC20" s="20">
        <f>Calculations!AK96</f>
        <v>0</v>
      </c>
      <c r="AD20" s="20">
        <f>Calculations!AL96</f>
        <v>0</v>
      </c>
      <c r="AE20" s="20">
        <f>Calculations!AM96</f>
        <v>0</v>
      </c>
      <c r="AF20" s="20">
        <f>Calculations!AN96</f>
        <v>0</v>
      </c>
      <c r="AG20" s="20">
        <f>Calculations!AO96</f>
        <v>0</v>
      </c>
    </row>
    <row r="21" spans="1:33">
      <c r="A21" s="1" t="s">
        <v>20</v>
      </c>
      <c r="B21" s="20">
        <f>Calculations!J97</f>
        <v>0</v>
      </c>
      <c r="C21" s="20">
        <f>Calculations!K97</f>
        <v>0</v>
      </c>
      <c r="D21" s="20">
        <f>Calculations!L97</f>
        <v>0</v>
      </c>
      <c r="E21" s="20">
        <f>Calculations!M97</f>
        <v>0</v>
      </c>
      <c r="F21" s="20">
        <f>Calculations!N97</f>
        <v>0</v>
      </c>
      <c r="G21" s="20">
        <f>Calculations!O97</f>
        <v>0</v>
      </c>
      <c r="H21" s="20">
        <f>Calculations!P97</f>
        <v>0</v>
      </c>
      <c r="I21" s="20">
        <f>Calculations!Q97</f>
        <v>0</v>
      </c>
      <c r="J21" s="20">
        <f>Calculations!R97</f>
        <v>0</v>
      </c>
      <c r="K21" s="20">
        <f>Calculations!S97</f>
        <v>0</v>
      </c>
      <c r="L21" s="20">
        <f>Calculations!T97</f>
        <v>0</v>
      </c>
      <c r="M21" s="20">
        <f>Calculations!U97</f>
        <v>0</v>
      </c>
      <c r="N21" s="20">
        <f>Calculations!V97</f>
        <v>0</v>
      </c>
      <c r="O21" s="20">
        <f>Calculations!W97</f>
        <v>0</v>
      </c>
      <c r="P21" s="20">
        <f>Calculations!X97</f>
        <v>0</v>
      </c>
      <c r="Q21" s="20">
        <f>Calculations!Y97</f>
        <v>0</v>
      </c>
      <c r="R21" s="20">
        <f>Calculations!Z97</f>
        <v>0</v>
      </c>
      <c r="S21" s="20">
        <f>Calculations!AA97</f>
        <v>0</v>
      </c>
      <c r="T21" s="20">
        <f>Calculations!AB97</f>
        <v>0</v>
      </c>
      <c r="U21" s="20">
        <f>Calculations!AC97</f>
        <v>0</v>
      </c>
      <c r="V21" s="20">
        <f>Calculations!AD97</f>
        <v>0</v>
      </c>
      <c r="W21" s="20">
        <f>Calculations!AE97</f>
        <v>0</v>
      </c>
      <c r="X21" s="20">
        <f>Calculations!AF97</f>
        <v>0</v>
      </c>
      <c r="Y21" s="20">
        <f>Calculations!AG97</f>
        <v>0</v>
      </c>
      <c r="Z21" s="20">
        <f>Calculations!AH97</f>
        <v>0</v>
      </c>
      <c r="AA21" s="20">
        <f>Calculations!AI97</f>
        <v>0</v>
      </c>
      <c r="AB21" s="20">
        <f>Calculations!AJ97</f>
        <v>0</v>
      </c>
      <c r="AC21" s="20">
        <f>Calculations!AK97</f>
        <v>0</v>
      </c>
      <c r="AD21" s="20">
        <f>Calculations!AL97</f>
        <v>0</v>
      </c>
      <c r="AE21" s="20">
        <f>Calculations!AM97</f>
        <v>0</v>
      </c>
      <c r="AF21" s="20">
        <f>Calculations!AN97</f>
        <v>0</v>
      </c>
      <c r="AG21" s="20">
        <f>Calculations!AO97</f>
        <v>0</v>
      </c>
    </row>
    <row r="22" spans="1:33">
      <c r="A22" s="1" t="s">
        <v>21</v>
      </c>
      <c r="B22" s="20">
        <f>Calculations!J98</f>
        <v>0</v>
      </c>
      <c r="C22" s="20">
        <f>Calculations!K98</f>
        <v>0</v>
      </c>
      <c r="D22" s="20">
        <f>Calculations!L98</f>
        <v>0</v>
      </c>
      <c r="E22" s="20">
        <f>Calculations!M98</f>
        <v>0</v>
      </c>
      <c r="F22" s="20">
        <f>Calculations!N98</f>
        <v>0</v>
      </c>
      <c r="G22" s="20">
        <f>Calculations!O98</f>
        <v>0</v>
      </c>
      <c r="H22" s="20">
        <f>Calculations!P98</f>
        <v>0</v>
      </c>
      <c r="I22" s="20">
        <f>Calculations!Q98</f>
        <v>0</v>
      </c>
      <c r="J22" s="20">
        <f>Calculations!R98</f>
        <v>0</v>
      </c>
      <c r="K22" s="20">
        <f>Calculations!S98</f>
        <v>0</v>
      </c>
      <c r="L22" s="20">
        <f>Calculations!T98</f>
        <v>0</v>
      </c>
      <c r="M22" s="20">
        <f>Calculations!U98</f>
        <v>0</v>
      </c>
      <c r="N22" s="20">
        <f>Calculations!V98</f>
        <v>0</v>
      </c>
      <c r="O22" s="20">
        <f>Calculations!W98</f>
        <v>0</v>
      </c>
      <c r="P22" s="20">
        <f>Calculations!X98</f>
        <v>0</v>
      </c>
      <c r="Q22" s="20">
        <f>Calculations!Y98</f>
        <v>0</v>
      </c>
      <c r="R22" s="20">
        <f>Calculations!Z98</f>
        <v>0</v>
      </c>
      <c r="S22" s="20">
        <f>Calculations!AA98</f>
        <v>0</v>
      </c>
      <c r="T22" s="20">
        <f>Calculations!AB98</f>
        <v>0</v>
      </c>
      <c r="U22" s="20">
        <f>Calculations!AC98</f>
        <v>0</v>
      </c>
      <c r="V22" s="20">
        <f>Calculations!AD98</f>
        <v>0</v>
      </c>
      <c r="W22" s="20">
        <f>Calculations!AE98</f>
        <v>0</v>
      </c>
      <c r="X22" s="20">
        <f>Calculations!AF98</f>
        <v>0</v>
      </c>
      <c r="Y22" s="20">
        <f>Calculations!AG98</f>
        <v>0</v>
      </c>
      <c r="Z22" s="20">
        <f>Calculations!AH98</f>
        <v>0</v>
      </c>
      <c r="AA22" s="20">
        <f>Calculations!AI98</f>
        <v>0</v>
      </c>
      <c r="AB22" s="20">
        <f>Calculations!AJ98</f>
        <v>0</v>
      </c>
      <c r="AC22" s="20">
        <f>Calculations!AK98</f>
        <v>0</v>
      </c>
      <c r="AD22" s="20">
        <f>Calculations!AL98</f>
        <v>0</v>
      </c>
      <c r="AE22" s="20">
        <f>Calculations!AM98</f>
        <v>0</v>
      </c>
      <c r="AF22" s="20">
        <f>Calculations!AN98</f>
        <v>0</v>
      </c>
      <c r="AG22" s="20">
        <f>Calculations!AO98</f>
        <v>0</v>
      </c>
    </row>
  </sheetData>
  <phoneticPr fontId="10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CA9F6EA-1CC3-4C39-B0DE-2729365DF7DC}"/>
</file>

<file path=customXml/itemProps2.xml><?xml version="1.0" encoding="utf-8"?>
<ds:datastoreItem xmlns:ds="http://schemas.openxmlformats.org/officeDocument/2006/customXml" ds:itemID="{E9B8F50E-66C5-4082-AF7D-3C8B49D67C71}"/>
</file>

<file path=customXml/itemProps3.xml><?xml version="1.0" encoding="utf-8"?>
<ds:datastoreItem xmlns:ds="http://schemas.openxmlformats.org/officeDocument/2006/customXml" ds:itemID="{FF7DDC9F-2DCC-4F5F-BE3F-B8B88FD2BD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About</vt:lpstr>
      <vt:lpstr>hydrogen</vt:lpstr>
      <vt:lpstr>KEEI&amp;MOTIE</vt:lpstr>
      <vt:lpstr>Calculations</vt:lpstr>
      <vt:lpstr>BFPIaE-production</vt:lpstr>
      <vt:lpstr>BFPIaE-imports</vt:lpstr>
      <vt:lpstr>BFPIaE-exports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2019-07-26T21:45:06Z</dcterms:created>
  <dcterms:modified xsi:type="dcterms:W3CDTF">2025-03-15T11:27:19Z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