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energyinnovation.sharepoint.com/sites/ExternalSharing-PolicyExternal2/Shared Documents/Policy - Modeling and Analysis External/South Korea EPS/New Files_June/20260604/"/>
    </mc:Choice>
  </mc:AlternateContent>
  <xr:revisionPtr revIDLastSave="13" documentId="8_{6448C8AE-EDA9-4D08-AB34-BF223C19AC72}" xr6:coauthVersionLast="47" xr6:coauthVersionMax="47" xr10:uidLastSave="{92152E4B-C23D-4F7D-B147-A8A58800F920}"/>
  <bookViews>
    <workbookView xWindow="-19305" yWindow="-4650" windowWidth="19410" windowHeight="20985" tabRatio="773" firstSheet="3" activeTab="10" xr2:uid="{00000000-000D-0000-FFFF-FFFF00000000}"/>
  </bookViews>
  <sheets>
    <sheet name="About" sheetId="1" r:id="rId1"/>
    <sheet name="mapping" sheetId="2" r:id="rId2"/>
    <sheet name="EB_2019" sheetId="3" r:id="rId3"/>
    <sheet name="EB_2020" sheetId="4" r:id="rId4"/>
    <sheet name="EB_2021" sheetId="5" r:id="rId5"/>
    <sheet name="EB_2022" sheetId="6" r:id="rId6"/>
    <sheet name="EB_2023" sheetId="7" r:id="rId7"/>
    <sheet name="KEEI_trend" sheetId="8" r:id="rId8"/>
    <sheet name="BFPIaE-production" sheetId="9" r:id="rId9"/>
    <sheet name="BFPIaE-imports" sheetId="10" r:id="rId10"/>
    <sheet name="BFPIaE-export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20" i="1"/>
  <c r="C19" i="1"/>
  <c r="C18" i="1"/>
  <c r="C17" i="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X21" i="11"/>
  <c r="V21" i="11"/>
  <c r="R21" i="11"/>
  <c r="Q21" i="11"/>
  <c r="F21" i="11"/>
  <c r="E21" i="11"/>
  <c r="D21" i="11"/>
  <c r="C21" i="11"/>
  <c r="B21" i="11"/>
  <c r="AG20" i="11"/>
  <c r="T20" i="11"/>
  <c r="R20" i="11"/>
  <c r="N20" i="11"/>
  <c r="M20" i="11"/>
  <c r="F20" i="11"/>
  <c r="Y20" i="11" s="1"/>
  <c r="E20" i="11"/>
  <c r="D20" i="11"/>
  <c r="C20" i="11"/>
  <c r="B20" i="11"/>
  <c r="AB19" i="11"/>
  <c r="Q19" i="11"/>
  <c r="P19" i="11"/>
  <c r="F19" i="11"/>
  <c r="E19" i="11"/>
  <c r="D19" i="11"/>
  <c r="C19" i="11"/>
  <c r="B19" i="11"/>
  <c r="X18" i="11"/>
  <c r="N18" i="11"/>
  <c r="M18" i="11"/>
  <c r="L18" i="11"/>
  <c r="G18" i="11"/>
  <c r="F18" i="11"/>
  <c r="E18" i="11"/>
  <c r="D18" i="11"/>
  <c r="C18" i="11"/>
  <c r="B18" i="11"/>
  <c r="X17" i="11"/>
  <c r="O17" i="11"/>
  <c r="M17" i="11"/>
  <c r="L17" i="11"/>
  <c r="J17" i="11"/>
  <c r="F17" i="11"/>
  <c r="E17" i="11"/>
  <c r="D17" i="11"/>
  <c r="C17" i="11"/>
  <c r="B17" i="11"/>
  <c r="AG16" i="11"/>
  <c r="Z16" i="11"/>
  <c r="X16" i="11"/>
  <c r="T16" i="11"/>
  <c r="F16" i="11"/>
  <c r="W16" i="11" s="1"/>
  <c r="E16" i="11"/>
  <c r="D16" i="11"/>
  <c r="C16" i="11"/>
  <c r="B16" i="11"/>
  <c r="AF15" i="11"/>
  <c r="AE15" i="11"/>
  <c r="AD15" i="11"/>
  <c r="AC15" i="11"/>
  <c r="AB15" i="11"/>
  <c r="AA15" i="11"/>
  <c r="Z15" i="11"/>
  <c r="Y15" i="11"/>
  <c r="W15" i="11"/>
  <c r="V15" i="11"/>
  <c r="T15" i="11"/>
  <c r="S15" i="11"/>
  <c r="R15" i="11"/>
  <c r="P15" i="11"/>
  <c r="N15" i="11"/>
  <c r="M15" i="11"/>
  <c r="L15" i="11"/>
  <c r="K15" i="11"/>
  <c r="J15" i="11"/>
  <c r="I15" i="11"/>
  <c r="H15" i="11"/>
  <c r="G15" i="11"/>
  <c r="F15" i="11"/>
  <c r="U15" i="11" s="1"/>
  <c r="E15" i="11"/>
  <c r="D15" i="11"/>
  <c r="C15" i="11"/>
  <c r="B15" i="11"/>
  <c r="S14" i="11"/>
  <c r="R14" i="11"/>
  <c r="O14" i="11"/>
  <c r="N14" i="11"/>
  <c r="L14" i="11"/>
  <c r="J14" i="11"/>
  <c r="F14" i="11"/>
  <c r="E14" i="11"/>
  <c r="D14" i="11"/>
  <c r="C14" i="11"/>
  <c r="B14" i="11"/>
  <c r="F13" i="11"/>
  <c r="AD13" i="11" s="1"/>
  <c r="E13" i="11"/>
  <c r="D13" i="11"/>
  <c r="C13" i="11"/>
  <c r="B13" i="11"/>
  <c r="AC12" i="11"/>
  <c r="AB12" i="11"/>
  <c r="K12" i="11"/>
  <c r="J12" i="11"/>
  <c r="G12" i="11"/>
  <c r="F12" i="11"/>
  <c r="E12" i="11"/>
  <c r="D12" i="11"/>
  <c r="C12" i="11"/>
  <c r="B12" i="11"/>
  <c r="X11" i="11"/>
  <c r="T11" i="11"/>
  <c r="P11" i="11"/>
  <c r="O11" i="11"/>
  <c r="N11" i="11"/>
  <c r="M11" i="11"/>
  <c r="G11" i="11"/>
  <c r="F11" i="11"/>
  <c r="AF11" i="11" s="1"/>
  <c r="E11" i="11"/>
  <c r="D11" i="11"/>
  <c r="C11" i="11"/>
  <c r="B11" i="11"/>
  <c r="X10" i="11"/>
  <c r="P10" i="11"/>
  <c r="H10" i="11"/>
  <c r="F10" i="11"/>
  <c r="E10" i="11"/>
  <c r="D10" i="11"/>
  <c r="C10" i="11"/>
  <c r="B10" i="11"/>
  <c r="AF9" i="11"/>
  <c r="AE9" i="11"/>
  <c r="X9" i="11"/>
  <c r="T9" i="11"/>
  <c r="S9" i="11"/>
  <c r="P9" i="11"/>
  <c r="H9" i="11"/>
  <c r="F9" i="11"/>
  <c r="E9" i="11"/>
  <c r="D9" i="11"/>
  <c r="C9" i="11"/>
  <c r="B9" i="11"/>
  <c r="AG8" i="11"/>
  <c r="AE8" i="11"/>
  <c r="AB8" i="11"/>
  <c r="AA8" i="11"/>
  <c r="X8" i="11"/>
  <c r="P8" i="11"/>
  <c r="O8" i="11"/>
  <c r="F8" i="11"/>
  <c r="E8" i="11"/>
  <c r="D8" i="11"/>
  <c r="C8" i="11"/>
  <c r="B8" i="11"/>
  <c r="F7" i="11"/>
  <c r="AG7" i="11" s="1"/>
  <c r="E7" i="11"/>
  <c r="D7" i="11"/>
  <c r="C7" i="11"/>
  <c r="B7" i="11"/>
  <c r="AD6" i="11"/>
  <c r="Y6" i="11"/>
  <c r="W6" i="11"/>
  <c r="T6" i="11"/>
  <c r="S6" i="11"/>
  <c r="R6" i="11"/>
  <c r="P6" i="11"/>
  <c r="F6" i="11"/>
  <c r="E6" i="11"/>
  <c r="D6" i="11"/>
  <c r="C6" i="11"/>
  <c r="B6" i="11"/>
  <c r="AA5" i="11"/>
  <c r="Z5" i="11"/>
  <c r="Y5" i="11"/>
  <c r="X5" i="11"/>
  <c r="V5" i="11"/>
  <c r="O5" i="11"/>
  <c r="I5" i="11"/>
  <c r="F5" i="11"/>
  <c r="E5" i="11"/>
  <c r="D5" i="11"/>
  <c r="C5" i="11"/>
  <c r="B5" i="11"/>
  <c r="AG4" i="11"/>
  <c r="X4" i="11"/>
  <c r="T4" i="11"/>
  <c r="O4" i="11"/>
  <c r="N4" i="11"/>
  <c r="L4" i="11"/>
  <c r="K4" i="11"/>
  <c r="J4" i="11"/>
  <c r="H4" i="11"/>
  <c r="F4" i="11"/>
  <c r="W4" i="11" s="1"/>
  <c r="E4" i="11"/>
  <c r="D4" i="11"/>
  <c r="C4" i="11"/>
  <c r="B4" i="11"/>
  <c r="F3" i="11"/>
  <c r="E3" i="11"/>
  <c r="D3" i="11"/>
  <c r="C3" i="11"/>
  <c r="B3" i="11"/>
  <c r="AG2" i="11"/>
  <c r="AF2" i="11"/>
  <c r="AE2" i="11"/>
  <c r="P2" i="11"/>
  <c r="O2" i="11"/>
  <c r="F2" i="11"/>
  <c r="E2" i="11"/>
  <c r="D2" i="11"/>
  <c r="C2" i="11"/>
  <c r="B2" i="11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F21" i="10"/>
  <c r="AE21" i="10"/>
  <c r="AD21" i="10"/>
  <c r="U21" i="10"/>
  <c r="F21" i="10"/>
  <c r="E21" i="10"/>
  <c r="D21" i="10"/>
  <c r="C21" i="10"/>
  <c r="B21" i="10"/>
  <c r="F20" i="10"/>
  <c r="E20" i="10"/>
  <c r="D20" i="10"/>
  <c r="C20" i="10"/>
  <c r="B20" i="10"/>
  <c r="AG19" i="10"/>
  <c r="X19" i="10"/>
  <c r="P19" i="10"/>
  <c r="F19" i="10"/>
  <c r="E19" i="10"/>
  <c r="D19" i="10"/>
  <c r="C19" i="10"/>
  <c r="B19" i="10"/>
  <c r="AF18" i="10"/>
  <c r="AB18" i="10"/>
  <c r="T18" i="10"/>
  <c r="S18" i="10"/>
  <c r="R18" i="10"/>
  <c r="P18" i="10"/>
  <c r="F18" i="10"/>
  <c r="U18" i="10" s="1"/>
  <c r="E18" i="10"/>
  <c r="D18" i="10"/>
  <c r="C18" i="10"/>
  <c r="B18" i="10"/>
  <c r="AG17" i="10"/>
  <c r="AF17" i="10"/>
  <c r="AD17" i="10"/>
  <c r="AB17" i="10"/>
  <c r="W17" i="10"/>
  <c r="V17" i="10"/>
  <c r="F17" i="10"/>
  <c r="E17" i="10"/>
  <c r="D17" i="10"/>
  <c r="C17" i="10"/>
  <c r="B17" i="10"/>
  <c r="AG16" i="10"/>
  <c r="Z16" i="10"/>
  <c r="X16" i="10"/>
  <c r="T16" i="10"/>
  <c r="Q16" i="10"/>
  <c r="O16" i="10"/>
  <c r="F16" i="10"/>
  <c r="E16" i="10"/>
  <c r="D16" i="10"/>
  <c r="C16" i="10"/>
  <c r="B16" i="10"/>
  <c r="AF15" i="10"/>
  <c r="AE15" i="10"/>
  <c r="S15" i="10"/>
  <c r="R15" i="10"/>
  <c r="F15" i="10"/>
  <c r="K15" i="10" s="1"/>
  <c r="E15" i="10"/>
  <c r="D15" i="10"/>
  <c r="C15" i="10"/>
  <c r="B15" i="10"/>
  <c r="X14" i="10"/>
  <c r="T14" i="10"/>
  <c r="R14" i="10"/>
  <c r="P14" i="10"/>
  <c r="O14" i="10"/>
  <c r="N14" i="10"/>
  <c r="M14" i="10"/>
  <c r="L14" i="10"/>
  <c r="G14" i="10"/>
  <c r="F14" i="10"/>
  <c r="E14" i="10"/>
  <c r="D14" i="10"/>
  <c r="C14" i="10"/>
  <c r="B14" i="10"/>
  <c r="F13" i="10"/>
  <c r="W13" i="10" s="1"/>
  <c r="E13" i="10"/>
  <c r="D13" i="10"/>
  <c r="C13" i="10"/>
  <c r="B13" i="10"/>
  <c r="F12" i="10"/>
  <c r="E12" i="10"/>
  <c r="D12" i="10"/>
  <c r="C12" i="10"/>
  <c r="B12" i="10"/>
  <c r="O11" i="10"/>
  <c r="M11" i="10"/>
  <c r="L11" i="10"/>
  <c r="H11" i="10"/>
  <c r="F11" i="10"/>
  <c r="E11" i="10"/>
  <c r="D11" i="10"/>
  <c r="C11" i="10"/>
  <c r="B11" i="10"/>
  <c r="AG10" i="10"/>
  <c r="X10" i="10"/>
  <c r="R10" i="10"/>
  <c r="P10" i="10"/>
  <c r="N10" i="10"/>
  <c r="M10" i="10"/>
  <c r="L10" i="10"/>
  <c r="K10" i="10"/>
  <c r="J10" i="10"/>
  <c r="I10" i="10"/>
  <c r="F10" i="10"/>
  <c r="E10" i="10"/>
  <c r="D10" i="10"/>
  <c r="C10" i="10"/>
  <c r="B10" i="10"/>
  <c r="Y9" i="10"/>
  <c r="X9" i="10"/>
  <c r="W9" i="10"/>
  <c r="V9" i="10"/>
  <c r="T9" i="10"/>
  <c r="S9" i="10"/>
  <c r="R9" i="10"/>
  <c r="P9" i="10"/>
  <c r="F9" i="10"/>
  <c r="E9" i="10"/>
  <c r="D9" i="10"/>
  <c r="C9" i="10"/>
  <c r="B9" i="10"/>
  <c r="AG8" i="10"/>
  <c r="F8" i="10"/>
  <c r="H8" i="10" s="1"/>
  <c r="E8" i="10"/>
  <c r="D8" i="10"/>
  <c r="C8" i="10"/>
  <c r="B8" i="10"/>
  <c r="F7" i="10"/>
  <c r="H7" i="10" s="1"/>
  <c r="E7" i="10"/>
  <c r="D7" i="10"/>
  <c r="C7" i="10"/>
  <c r="B7" i="10"/>
  <c r="F6" i="10"/>
  <c r="E6" i="10"/>
  <c r="D6" i="10"/>
  <c r="C6" i="10"/>
  <c r="B6" i="10"/>
  <c r="F5" i="10"/>
  <c r="P5" i="10" s="1"/>
  <c r="E5" i="10"/>
  <c r="D5" i="10"/>
  <c r="C5" i="10"/>
  <c r="B5" i="10"/>
  <c r="V4" i="10"/>
  <c r="U4" i="10"/>
  <c r="R4" i="10"/>
  <c r="Q4" i="10"/>
  <c r="P4" i="10"/>
  <c r="N4" i="10"/>
  <c r="F4" i="10"/>
  <c r="E4" i="10"/>
  <c r="D4" i="10"/>
  <c r="C4" i="10"/>
  <c r="B4" i="10"/>
  <c r="AE3" i="10"/>
  <c r="AB3" i="10"/>
  <c r="Z3" i="10"/>
  <c r="Y3" i="10"/>
  <c r="X3" i="10"/>
  <c r="P3" i="10"/>
  <c r="F3" i="10"/>
  <c r="E3" i="10"/>
  <c r="D3" i="10"/>
  <c r="C3" i="10"/>
  <c r="B3" i="10"/>
  <c r="AG2" i="10"/>
  <c r="AF2" i="10"/>
  <c r="AE2" i="10"/>
  <c r="AD2" i="10"/>
  <c r="AB2" i="10"/>
  <c r="AA2" i="10"/>
  <c r="Z2" i="10"/>
  <c r="U2" i="10"/>
  <c r="T2" i="10"/>
  <c r="S2" i="10"/>
  <c r="Q2" i="10"/>
  <c r="M2" i="10"/>
  <c r="L2" i="10"/>
  <c r="F2" i="10"/>
  <c r="H2" i="10" s="1"/>
  <c r="E2" i="10"/>
  <c r="D2" i="10"/>
  <c r="C2" i="10"/>
  <c r="B2" i="10"/>
  <c r="AG22" i="9"/>
  <c r="AF22" i="9"/>
  <c r="AE22" i="9"/>
  <c r="AC22" i="9"/>
  <c r="AB22" i="9"/>
  <c r="X22" i="9"/>
  <c r="W22" i="9"/>
  <c r="O22" i="9"/>
  <c r="K22" i="9"/>
  <c r="J22" i="9"/>
  <c r="F22" i="9"/>
  <c r="E22" i="9"/>
  <c r="D22" i="9"/>
  <c r="C22" i="9"/>
  <c r="B22" i="9"/>
  <c r="X21" i="9"/>
  <c r="W21" i="9"/>
  <c r="F21" i="9"/>
  <c r="B21" i="9"/>
  <c r="F18" i="9"/>
  <c r="Q18" i="9" s="1"/>
  <c r="D18" i="9"/>
  <c r="B18" i="9"/>
  <c r="AG17" i="9"/>
  <c r="AC17" i="9"/>
  <c r="L17" i="9"/>
  <c r="K17" i="9"/>
  <c r="J17" i="9"/>
  <c r="F17" i="9"/>
  <c r="D17" i="9"/>
  <c r="Q14" i="9"/>
  <c r="P14" i="9"/>
  <c r="O14" i="9"/>
  <c r="N14" i="9"/>
  <c r="AA13" i="9"/>
  <c r="W12" i="9"/>
  <c r="V12" i="9"/>
  <c r="T12" i="9"/>
  <c r="S12" i="9"/>
  <c r="R12" i="9"/>
  <c r="Q12" i="9"/>
  <c r="P12" i="9"/>
  <c r="D12" i="9"/>
  <c r="F11" i="9"/>
  <c r="C11" i="9"/>
  <c r="B11" i="9"/>
  <c r="D10" i="9"/>
  <c r="D9" i="9"/>
  <c r="AF5" i="9"/>
  <c r="AD5" i="9"/>
  <c r="AC5" i="9"/>
  <c r="AB5" i="9"/>
  <c r="Z5" i="9"/>
  <c r="Y5" i="9"/>
  <c r="X5" i="9"/>
  <c r="W5" i="9"/>
  <c r="V5" i="9"/>
  <c r="U5" i="9"/>
  <c r="F5" i="9"/>
  <c r="D5" i="9"/>
  <c r="C5" i="9"/>
  <c r="B5" i="9"/>
  <c r="AG4" i="9"/>
  <c r="AF4" i="9"/>
  <c r="AE4" i="9"/>
  <c r="AD4" i="9"/>
  <c r="Z4" i="9"/>
  <c r="Y4" i="9"/>
  <c r="X4" i="9"/>
  <c r="V4" i="9"/>
  <c r="L4" i="9"/>
  <c r="K4" i="9"/>
  <c r="J4" i="9"/>
  <c r="F4" i="9"/>
  <c r="C4" i="9"/>
  <c r="B4" i="9"/>
  <c r="F3" i="9"/>
  <c r="AG3" i="9" s="1"/>
  <c r="D3" i="9"/>
  <c r="C3" i="9"/>
  <c r="F2" i="9"/>
  <c r="V2" i="9" s="1"/>
  <c r="E2" i="9"/>
  <c r="D2" i="9"/>
  <c r="AG11" i="8"/>
  <c r="AF11" i="8"/>
  <c r="AE11" i="8"/>
  <c r="AD11" i="8"/>
  <c r="AD22" i="9" s="1"/>
  <c r="AC11" i="8"/>
  <c r="AB11" i="8"/>
  <c r="AA11" i="8"/>
  <c r="AA22" i="9" s="1"/>
  <c r="Z11" i="8"/>
  <c r="Z22" i="9" s="1"/>
  <c r="Y11" i="8"/>
  <c r="Y22" i="9" s="1"/>
  <c r="X11" i="8"/>
  <c r="W11" i="8"/>
  <c r="V11" i="8"/>
  <c r="V22" i="9" s="1"/>
  <c r="U11" i="8"/>
  <c r="U22" i="9" s="1"/>
  <c r="T11" i="8"/>
  <c r="T22" i="9" s="1"/>
  <c r="S11" i="8"/>
  <c r="S22" i="9" s="1"/>
  <c r="R11" i="8"/>
  <c r="R22" i="9" s="1"/>
  <c r="Q11" i="8"/>
  <c r="Q22" i="9" s="1"/>
  <c r="P11" i="8"/>
  <c r="P22" i="9" s="1"/>
  <c r="O11" i="8"/>
  <c r="N11" i="8"/>
  <c r="N22" i="9" s="1"/>
  <c r="M11" i="8"/>
  <c r="M22" i="9" s="1"/>
  <c r="L11" i="8"/>
  <c r="L22" i="9" s="1"/>
  <c r="K11" i="8"/>
  <c r="J11" i="8"/>
  <c r="I11" i="8"/>
  <c r="I22" i="9" s="1"/>
  <c r="H11" i="8"/>
  <c r="H22" i="9" s="1"/>
  <c r="G11" i="8"/>
  <c r="G22" i="9" s="1"/>
  <c r="AG10" i="8"/>
  <c r="AF10" i="8"/>
  <c r="AF9" i="10" s="1"/>
  <c r="AE10" i="8"/>
  <c r="AD10" i="8"/>
  <c r="AC10" i="8"/>
  <c r="AB10" i="8"/>
  <c r="AB21" i="9" s="1"/>
  <c r="AA10" i="8"/>
  <c r="AA16" i="11" s="1"/>
  <c r="Z10" i="8"/>
  <c r="Z9" i="10" s="1"/>
  <c r="Y10" i="8"/>
  <c r="X10" i="8"/>
  <c r="W10" i="8"/>
  <c r="W9" i="11" s="1"/>
  <c r="V10" i="8"/>
  <c r="U10" i="8"/>
  <c r="U16" i="10" s="1"/>
  <c r="T10" i="8"/>
  <c r="S10" i="8"/>
  <c r="S16" i="10" s="1"/>
  <c r="R10" i="8"/>
  <c r="Q10" i="8"/>
  <c r="P10" i="8"/>
  <c r="O10" i="8"/>
  <c r="N10" i="8"/>
  <c r="N9" i="10" s="1"/>
  <c r="M10" i="8"/>
  <c r="M9" i="10" s="1"/>
  <c r="L10" i="8"/>
  <c r="L9" i="10" s="1"/>
  <c r="K10" i="8"/>
  <c r="J10" i="8"/>
  <c r="J16" i="10" s="1"/>
  <c r="I10" i="8"/>
  <c r="H10" i="8"/>
  <c r="H9" i="10" s="1"/>
  <c r="G10" i="8"/>
  <c r="AG9" i="8"/>
  <c r="AF9" i="8"/>
  <c r="AE9" i="8"/>
  <c r="AD9" i="8"/>
  <c r="AC9" i="8"/>
  <c r="AB9" i="8"/>
  <c r="AA9" i="8"/>
  <c r="Z9" i="8"/>
  <c r="Z8" i="11" s="1"/>
  <c r="Y9" i="8"/>
  <c r="X9" i="8"/>
  <c r="W9" i="8"/>
  <c r="V9" i="8"/>
  <c r="V8" i="11" s="1"/>
  <c r="U9" i="8"/>
  <c r="U8" i="11" s="1"/>
  <c r="T9" i="8"/>
  <c r="T8" i="11" s="1"/>
  <c r="S9" i="8"/>
  <c r="R9" i="8"/>
  <c r="R8" i="11" s="1"/>
  <c r="Q9" i="8"/>
  <c r="P9" i="8"/>
  <c r="O9" i="8"/>
  <c r="N9" i="8"/>
  <c r="M9" i="8"/>
  <c r="L9" i="8"/>
  <c r="K9" i="8"/>
  <c r="J9" i="8"/>
  <c r="I9" i="8"/>
  <c r="H9" i="8"/>
  <c r="G9" i="8"/>
  <c r="AG8" i="8"/>
  <c r="AF8" i="8"/>
  <c r="AF6" i="11" s="1"/>
  <c r="AE8" i="8"/>
  <c r="AE6" i="11" s="1"/>
  <c r="AD8" i="8"/>
  <c r="AC8" i="8"/>
  <c r="AC6" i="11" s="1"/>
  <c r="AB8" i="8"/>
  <c r="AB6" i="11" s="1"/>
  <c r="AA8" i="8"/>
  <c r="AA6" i="11" s="1"/>
  <c r="Z8" i="8"/>
  <c r="Z6" i="11" s="1"/>
  <c r="Y8" i="8"/>
  <c r="X8" i="8"/>
  <c r="W8" i="8"/>
  <c r="V8" i="8"/>
  <c r="V6" i="11" s="1"/>
  <c r="U8" i="8"/>
  <c r="T8" i="8"/>
  <c r="S8" i="8"/>
  <c r="R8" i="8"/>
  <c r="Q8" i="8"/>
  <c r="P8" i="8"/>
  <c r="O8" i="8"/>
  <c r="N8" i="8"/>
  <c r="N6" i="11" s="1"/>
  <c r="M8" i="8"/>
  <c r="M6" i="11" s="1"/>
  <c r="L8" i="8"/>
  <c r="L6" i="11" s="1"/>
  <c r="K8" i="8"/>
  <c r="K6" i="11" s="1"/>
  <c r="J8" i="8"/>
  <c r="J6" i="11" s="1"/>
  <c r="I8" i="8"/>
  <c r="I6" i="11" s="1"/>
  <c r="H8" i="8"/>
  <c r="H6" i="11" s="1"/>
  <c r="G8" i="8"/>
  <c r="G6" i="11" s="1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T5" i="9" s="1"/>
  <c r="S7" i="8"/>
  <c r="S5" i="9" s="1"/>
  <c r="R7" i="8"/>
  <c r="Q7" i="8"/>
  <c r="P7" i="8"/>
  <c r="O7" i="8"/>
  <c r="N7" i="8"/>
  <c r="M7" i="8"/>
  <c r="L7" i="8"/>
  <c r="K7" i="8"/>
  <c r="J7" i="8"/>
  <c r="I7" i="8"/>
  <c r="H7" i="8"/>
  <c r="H5" i="11" s="1"/>
  <c r="G7" i="8"/>
  <c r="AG6" i="8"/>
  <c r="AF6" i="8"/>
  <c r="AF4" i="11" s="1"/>
  <c r="AE6" i="8"/>
  <c r="AD6" i="8"/>
  <c r="AC6" i="8"/>
  <c r="AC4" i="11" s="1"/>
  <c r="AB6" i="8"/>
  <c r="AB4" i="11" s="1"/>
  <c r="AA6" i="8"/>
  <c r="Z6" i="8"/>
  <c r="Z4" i="11" s="1"/>
  <c r="Y6" i="8"/>
  <c r="X6" i="8"/>
  <c r="W6" i="8"/>
  <c r="V6" i="8"/>
  <c r="U6" i="8"/>
  <c r="T6" i="8"/>
  <c r="S6" i="8"/>
  <c r="S4" i="11" s="1"/>
  <c r="R6" i="8"/>
  <c r="Q6" i="8"/>
  <c r="Q4" i="11" s="1"/>
  <c r="P6" i="8"/>
  <c r="O6" i="8"/>
  <c r="N6" i="8"/>
  <c r="M6" i="8"/>
  <c r="L6" i="8"/>
  <c r="L4" i="10" s="1"/>
  <c r="K6" i="8"/>
  <c r="J6" i="8"/>
  <c r="I6" i="8"/>
  <c r="H6" i="8"/>
  <c r="G6" i="8"/>
  <c r="AG5" i="8"/>
  <c r="AF5" i="8"/>
  <c r="AF3" i="10" s="1"/>
  <c r="AE5" i="8"/>
  <c r="AE17" i="11" s="1"/>
  <c r="AD5" i="8"/>
  <c r="AD17" i="11" s="1"/>
  <c r="AC5" i="8"/>
  <c r="AB5" i="8"/>
  <c r="AA5" i="8"/>
  <c r="AA17" i="11" s="1"/>
  <c r="Z5" i="8"/>
  <c r="Z17" i="11" s="1"/>
  <c r="Y5" i="8"/>
  <c r="X5" i="8"/>
  <c r="W5" i="8"/>
  <c r="W3" i="10" s="1"/>
  <c r="V5" i="8"/>
  <c r="V17" i="11" s="1"/>
  <c r="U5" i="8"/>
  <c r="U17" i="11" s="1"/>
  <c r="T5" i="8"/>
  <c r="S5" i="8"/>
  <c r="R5" i="8"/>
  <c r="R3" i="10" s="1"/>
  <c r="Q5" i="8"/>
  <c r="Q3" i="10" s="1"/>
  <c r="P5" i="8"/>
  <c r="O5" i="8"/>
  <c r="N5" i="8"/>
  <c r="M5" i="8"/>
  <c r="L5" i="8"/>
  <c r="L3" i="10" s="1"/>
  <c r="K5" i="8"/>
  <c r="J5" i="8"/>
  <c r="I5" i="8"/>
  <c r="H5" i="8"/>
  <c r="G5" i="8"/>
  <c r="AG4" i="8"/>
  <c r="AG14" i="11" s="1"/>
  <c r="AF4" i="8"/>
  <c r="AF10" i="11" s="1"/>
  <c r="AE4" i="8"/>
  <c r="AD4" i="8"/>
  <c r="AC4" i="8"/>
  <c r="AB4" i="8"/>
  <c r="AB10" i="10" s="1"/>
  <c r="AA4" i="8"/>
  <c r="AA11" i="11" s="1"/>
  <c r="Z4" i="8"/>
  <c r="Z10" i="11" s="1"/>
  <c r="Y4" i="8"/>
  <c r="Y18" i="10" s="1"/>
  <c r="X4" i="8"/>
  <c r="W4" i="8"/>
  <c r="V4" i="8"/>
  <c r="U4" i="8"/>
  <c r="U20" i="11" s="1"/>
  <c r="T4" i="8"/>
  <c r="T19" i="11" s="1"/>
  <c r="S4" i="8"/>
  <c r="R4" i="8"/>
  <c r="R19" i="11" s="1"/>
  <c r="Q4" i="8"/>
  <c r="P4" i="8"/>
  <c r="O4" i="8"/>
  <c r="O20" i="11" s="1"/>
  <c r="N4" i="8"/>
  <c r="M4" i="8"/>
  <c r="M18" i="10" s="1"/>
  <c r="L4" i="8"/>
  <c r="K4" i="8"/>
  <c r="J4" i="8"/>
  <c r="J10" i="11" s="1"/>
  <c r="I4" i="8"/>
  <c r="H4" i="8"/>
  <c r="G4" i="8"/>
  <c r="BK93" i="7"/>
  <c r="BJ93" i="7"/>
  <c r="BI93" i="7"/>
  <c r="BH93" i="7"/>
  <c r="BG93" i="7"/>
  <c r="BF93" i="7"/>
  <c r="BE93" i="7"/>
  <c r="BD93" i="7"/>
  <c r="BC93" i="7"/>
  <c r="BB93" i="7"/>
  <c r="BA93" i="7"/>
  <c r="AZ93" i="7"/>
  <c r="AY93" i="7"/>
  <c r="F13" i="9" s="1"/>
  <c r="R13" i="9" s="1"/>
  <c r="AX93" i="7"/>
  <c r="F12" i="9" s="1"/>
  <c r="AW93" i="7"/>
  <c r="AV93" i="7"/>
  <c r="F9" i="9" s="1"/>
  <c r="AU93" i="7"/>
  <c r="AT93" i="7"/>
  <c r="AS93" i="7"/>
  <c r="AR93" i="7"/>
  <c r="AQ93" i="7"/>
  <c r="AP93" i="7"/>
  <c r="AO93" i="7"/>
  <c r="AN93" i="7"/>
  <c r="AM93" i="7"/>
  <c r="AL93" i="7"/>
  <c r="AK93" i="7"/>
  <c r="AJ93" i="7"/>
  <c r="AI93" i="7"/>
  <c r="AH93" i="7"/>
  <c r="F19" i="9" s="1"/>
  <c r="AG93" i="7"/>
  <c r="AF93" i="7"/>
  <c r="AE93" i="7"/>
  <c r="AD93" i="7"/>
  <c r="F14" i="9" s="1"/>
  <c r="AA14" i="9" s="1"/>
  <c r="AC93" i="7"/>
  <c r="AB93" i="7"/>
  <c r="AA93" i="7"/>
  <c r="Z93" i="7"/>
  <c r="Y93" i="7"/>
  <c r="F20" i="9" s="1"/>
  <c r="AB20" i="9" s="1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BK93" i="6"/>
  <c r="BJ93" i="6"/>
  <c r="BI93" i="6"/>
  <c r="BH93" i="6"/>
  <c r="BG93" i="6"/>
  <c r="BF93" i="6"/>
  <c r="BE93" i="6"/>
  <c r="BD93" i="6"/>
  <c r="BC93" i="6"/>
  <c r="BB93" i="6"/>
  <c r="E5" i="9" s="1"/>
  <c r="BA93" i="6"/>
  <c r="AZ93" i="6"/>
  <c r="E9" i="9" s="1"/>
  <c r="AY93" i="6"/>
  <c r="E13" i="9" s="1"/>
  <c r="AX93" i="6"/>
  <c r="E12" i="9" s="1"/>
  <c r="AW93" i="6"/>
  <c r="AV93" i="6"/>
  <c r="AU93" i="6"/>
  <c r="AT93" i="6"/>
  <c r="E21" i="9" s="1"/>
  <c r="AS93" i="6"/>
  <c r="AR93" i="6"/>
  <c r="AQ93" i="6"/>
  <c r="AP93" i="6"/>
  <c r="AO93" i="6"/>
  <c r="AN93" i="6"/>
  <c r="AM93" i="6"/>
  <c r="AL93" i="6"/>
  <c r="AK93" i="6"/>
  <c r="E20" i="9" s="1"/>
  <c r="AJ93" i="6"/>
  <c r="AI93" i="6"/>
  <c r="AH93" i="6"/>
  <c r="E19" i="9" s="1"/>
  <c r="AG93" i="6"/>
  <c r="AF93" i="6"/>
  <c r="AE93" i="6"/>
  <c r="AD93" i="6"/>
  <c r="AC93" i="6"/>
  <c r="AB93" i="6"/>
  <c r="E10" i="9" s="1"/>
  <c r="AA93" i="6"/>
  <c r="Z93" i="6"/>
  <c r="Y93" i="6"/>
  <c r="X93" i="6"/>
  <c r="W93" i="6"/>
  <c r="V93" i="6"/>
  <c r="U93" i="6"/>
  <c r="E18" i="9" s="1"/>
  <c r="T93" i="6"/>
  <c r="S93" i="6"/>
  <c r="E4" i="9" s="1"/>
  <c r="R93" i="6"/>
  <c r="Q93" i="6"/>
  <c r="P93" i="6"/>
  <c r="O93" i="6"/>
  <c r="N93" i="6"/>
  <c r="M93" i="6"/>
  <c r="L93" i="6"/>
  <c r="K93" i="6"/>
  <c r="E17" i="9" s="1"/>
  <c r="J93" i="6"/>
  <c r="I93" i="6"/>
  <c r="H93" i="6"/>
  <c r="G93" i="6"/>
  <c r="F93" i="6"/>
  <c r="BK93" i="5"/>
  <c r="BJ93" i="5"/>
  <c r="BI93" i="5"/>
  <c r="BH93" i="5"/>
  <c r="BG93" i="5"/>
  <c r="BF93" i="5"/>
  <c r="BE93" i="5"/>
  <c r="BD93" i="5"/>
  <c r="BC93" i="5"/>
  <c r="BB93" i="5"/>
  <c r="BA93" i="5"/>
  <c r="AZ93" i="5"/>
  <c r="AY93" i="5"/>
  <c r="D13" i="9" s="1"/>
  <c r="AX93" i="5"/>
  <c r="AW93" i="5"/>
  <c r="AV93" i="5"/>
  <c r="AU93" i="5"/>
  <c r="AT93" i="5"/>
  <c r="AS93" i="5"/>
  <c r="AR93" i="5"/>
  <c r="AQ93" i="5"/>
  <c r="AP93" i="5"/>
  <c r="AO93" i="5"/>
  <c r="AN93" i="5"/>
  <c r="AM93" i="5"/>
  <c r="AL93" i="5"/>
  <c r="AK93" i="5"/>
  <c r="AJ93" i="5"/>
  <c r="D19" i="9" s="1"/>
  <c r="AI93" i="5"/>
  <c r="AH93" i="5"/>
  <c r="AG93" i="5"/>
  <c r="AF93" i="5"/>
  <c r="D14" i="9" s="1"/>
  <c r="AE93" i="5"/>
  <c r="AD93" i="5"/>
  <c r="AC93" i="5"/>
  <c r="AB93" i="5"/>
  <c r="AA93" i="5"/>
  <c r="Z93" i="5"/>
  <c r="Y93" i="5"/>
  <c r="D20" i="9" s="1"/>
  <c r="X93" i="5"/>
  <c r="W93" i="5"/>
  <c r="V93" i="5"/>
  <c r="U93" i="5"/>
  <c r="T93" i="5"/>
  <c r="D4" i="9" s="1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BK93" i="4"/>
  <c r="BJ93" i="4"/>
  <c r="C2" i="9" s="1"/>
  <c r="BI93" i="4"/>
  <c r="BH93" i="4"/>
  <c r="BG93" i="4"/>
  <c r="BF93" i="4"/>
  <c r="BE93" i="4"/>
  <c r="BD93" i="4"/>
  <c r="BC93" i="4"/>
  <c r="BB93" i="4"/>
  <c r="BA93" i="4"/>
  <c r="AZ93" i="4"/>
  <c r="AY93" i="4"/>
  <c r="C13" i="9" s="1"/>
  <c r="AX93" i="4"/>
  <c r="C12" i="9" s="1"/>
  <c r="AW93" i="4"/>
  <c r="AV93" i="4"/>
  <c r="AU93" i="4"/>
  <c r="AT93" i="4"/>
  <c r="AS93" i="4"/>
  <c r="C21" i="9" s="1"/>
  <c r="AR93" i="4"/>
  <c r="C9" i="9" s="1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C14" i="9" s="1"/>
  <c r="AD93" i="4"/>
  <c r="AC93" i="4"/>
  <c r="AB93" i="4"/>
  <c r="C10" i="9" s="1"/>
  <c r="AA93" i="4"/>
  <c r="Z93" i="4"/>
  <c r="Y93" i="4"/>
  <c r="C20" i="9" s="1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C17" i="9" s="1"/>
  <c r="J93" i="4"/>
  <c r="I93" i="4"/>
  <c r="H93" i="4"/>
  <c r="G93" i="4"/>
  <c r="F93" i="4"/>
  <c r="BK93" i="3"/>
  <c r="BJ93" i="3"/>
  <c r="B2" i="9" s="1"/>
  <c r="BI93" i="3"/>
  <c r="BH93" i="3"/>
  <c r="BG93" i="3"/>
  <c r="BF93" i="3"/>
  <c r="BE93" i="3"/>
  <c r="BD93" i="3"/>
  <c r="BC93" i="3"/>
  <c r="BB93" i="3"/>
  <c r="BA93" i="3"/>
  <c r="AZ93" i="3"/>
  <c r="AY93" i="3"/>
  <c r="B13" i="9" s="1"/>
  <c r="AX93" i="3"/>
  <c r="B12" i="9" s="1"/>
  <c r="AW93" i="3"/>
  <c r="AV93" i="3"/>
  <c r="AU93" i="3"/>
  <c r="AT93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B14" i="9" s="1"/>
  <c r="AC93" i="3"/>
  <c r="AB93" i="3"/>
  <c r="B10" i="9" s="1"/>
  <c r="AA93" i="3"/>
  <c r="Z93" i="3"/>
  <c r="B20" i="9" s="1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B17" i="9" s="1"/>
  <c r="J93" i="3"/>
  <c r="B3" i="9" s="1"/>
  <c r="I93" i="3"/>
  <c r="H93" i="3"/>
  <c r="G93" i="3"/>
  <c r="F93" i="3"/>
  <c r="U9" i="9" l="1"/>
  <c r="Z9" i="9"/>
  <c r="G9" i="9"/>
  <c r="AE9" i="9"/>
  <c r="L9" i="9"/>
  <c r="AD9" i="9"/>
  <c r="K9" i="9"/>
  <c r="P9" i="9"/>
  <c r="O9" i="9"/>
  <c r="AB9" i="9"/>
  <c r="AA9" i="9"/>
  <c r="Y9" i="9"/>
  <c r="AF9" i="9"/>
  <c r="AC9" i="9"/>
  <c r="T9" i="9"/>
  <c r="X9" i="9"/>
  <c r="V9" i="9"/>
  <c r="W9" i="9"/>
  <c r="H9" i="9"/>
  <c r="R9" i="9"/>
  <c r="I9" i="9"/>
  <c r="S9" i="9"/>
  <c r="Q9" i="9"/>
  <c r="N9" i="9"/>
  <c r="M9" i="9"/>
  <c r="AG9" i="9"/>
  <c r="J9" i="9"/>
  <c r="AE19" i="9"/>
  <c r="M19" i="9"/>
  <c r="AA19" i="9"/>
  <c r="I19" i="9"/>
  <c r="Y19" i="9"/>
  <c r="G19" i="9"/>
  <c r="S19" i="9"/>
  <c r="X19" i="9"/>
  <c r="W19" i="9"/>
  <c r="T19" i="9"/>
  <c r="R19" i="9"/>
  <c r="Q19" i="9"/>
  <c r="Z19" i="9"/>
  <c r="V19" i="9"/>
  <c r="U19" i="9"/>
  <c r="P19" i="9"/>
  <c r="AG19" i="9"/>
  <c r="J19" i="9"/>
  <c r="AF19" i="9"/>
  <c r="O19" i="9"/>
  <c r="K19" i="9"/>
  <c r="H19" i="9"/>
  <c r="AD19" i="9"/>
  <c r="AC19" i="9"/>
  <c r="N19" i="9"/>
  <c r="AB19" i="9"/>
  <c r="L19" i="9"/>
  <c r="AC20" i="10"/>
  <c r="K20" i="10"/>
  <c r="Y20" i="10"/>
  <c r="G20" i="10"/>
  <c r="W20" i="10"/>
  <c r="AF20" i="10"/>
  <c r="N20" i="10"/>
  <c r="AB20" i="10"/>
  <c r="L20" i="10"/>
  <c r="J20" i="10"/>
  <c r="I20" i="10"/>
  <c r="AG20" i="10"/>
  <c r="AE20" i="10"/>
  <c r="AD20" i="10"/>
  <c r="AA20" i="10"/>
  <c r="S20" i="10"/>
  <c r="R20" i="10"/>
  <c r="Q20" i="10"/>
  <c r="P20" i="10"/>
  <c r="U20" i="10"/>
  <c r="V20" i="10"/>
  <c r="Z20" i="10"/>
  <c r="X20" i="10"/>
  <c r="AC11" i="9"/>
  <c r="K11" i="9"/>
  <c r="S11" i="9"/>
  <c r="X11" i="9"/>
  <c r="W11" i="9"/>
  <c r="T11" i="9"/>
  <c r="R11" i="9"/>
  <c r="O11" i="9"/>
  <c r="N11" i="9"/>
  <c r="M11" i="9"/>
  <c r="L11" i="9"/>
  <c r="AE11" i="9"/>
  <c r="AD11" i="9"/>
  <c r="Y11" i="9"/>
  <c r="AB11" i="9"/>
  <c r="Z11" i="9"/>
  <c r="AA11" i="9"/>
  <c r="I14" i="11"/>
  <c r="I18" i="10"/>
  <c r="I19" i="11"/>
  <c r="AD5" i="10"/>
  <c r="L7" i="11"/>
  <c r="U12" i="9"/>
  <c r="AG12" i="9"/>
  <c r="O12" i="9"/>
  <c r="AA12" i="9"/>
  <c r="G12" i="9"/>
  <c r="AF12" i="9"/>
  <c r="L12" i="9"/>
  <c r="AE12" i="9"/>
  <c r="K12" i="9"/>
  <c r="M12" i="9"/>
  <c r="J12" i="9"/>
  <c r="I12" i="9"/>
  <c r="H12" i="9"/>
  <c r="AD12" i="9"/>
  <c r="AC12" i="9"/>
  <c r="X12" i="9"/>
  <c r="AB12" i="9"/>
  <c r="Y12" i="9"/>
  <c r="Z12" i="9"/>
  <c r="K18" i="10"/>
  <c r="K19" i="11"/>
  <c r="AC18" i="10"/>
  <c r="AC10" i="10"/>
  <c r="AC19" i="11"/>
  <c r="AC14" i="10"/>
  <c r="AC19" i="10"/>
  <c r="T17" i="11"/>
  <c r="T3" i="10"/>
  <c r="K9" i="10"/>
  <c r="K16" i="10"/>
  <c r="K16" i="11"/>
  <c r="AC16" i="11"/>
  <c r="AC9" i="10"/>
  <c r="H2" i="9"/>
  <c r="N3" i="9"/>
  <c r="I11" i="9"/>
  <c r="T14" i="9"/>
  <c r="AG12" i="10"/>
  <c r="O12" i="10"/>
  <c r="AC12" i="10"/>
  <c r="K12" i="10"/>
  <c r="AA12" i="10"/>
  <c r="I12" i="10"/>
  <c r="R12" i="10"/>
  <c r="S12" i="10"/>
  <c r="X12" i="10"/>
  <c r="W12" i="10"/>
  <c r="Q12" i="10"/>
  <c r="P12" i="10"/>
  <c r="N12" i="10"/>
  <c r="AF12" i="10"/>
  <c r="AE12" i="10"/>
  <c r="AD12" i="10"/>
  <c r="V12" i="10"/>
  <c r="AB12" i="10"/>
  <c r="Y12" i="10"/>
  <c r="U12" i="10"/>
  <c r="Z12" i="10"/>
  <c r="T20" i="10"/>
  <c r="AD7" i="11"/>
  <c r="AD18" i="10"/>
  <c r="AD19" i="11"/>
  <c r="AD14" i="11"/>
  <c r="AD19" i="10"/>
  <c r="AD14" i="10"/>
  <c r="I2" i="9"/>
  <c r="AE20" i="11"/>
  <c r="AE18" i="10"/>
  <c r="AE14" i="10"/>
  <c r="AE19" i="10"/>
  <c r="L2" i="9"/>
  <c r="H12" i="10"/>
  <c r="L16" i="10"/>
  <c r="AA3" i="9"/>
  <c r="N16" i="10"/>
  <c r="K19" i="10"/>
  <c r="N2" i="9"/>
  <c r="AB3" i="9"/>
  <c r="AD18" i="11"/>
  <c r="T2" i="9"/>
  <c r="AF3" i="9"/>
  <c r="O13" i="9"/>
  <c r="AA6" i="10"/>
  <c r="I6" i="10"/>
  <c r="W6" i="10"/>
  <c r="U6" i="10"/>
  <c r="P6" i="10"/>
  <c r="V6" i="10"/>
  <c r="T6" i="10"/>
  <c r="K6" i="10"/>
  <c r="J6" i="10"/>
  <c r="AG6" i="10"/>
  <c r="H6" i="10"/>
  <c r="Y6" i="10"/>
  <c r="X6" i="10"/>
  <c r="S6" i="10"/>
  <c r="R6" i="10"/>
  <c r="Z6" i="10"/>
  <c r="Q6" i="10"/>
  <c r="L6" i="10"/>
  <c r="O6" i="10"/>
  <c r="G6" i="10"/>
  <c r="N6" i="10"/>
  <c r="M6" i="10"/>
  <c r="AG21" i="10"/>
  <c r="O21" i="10"/>
  <c r="AC21" i="10"/>
  <c r="K21" i="10"/>
  <c r="AA21" i="10"/>
  <c r="I21" i="10"/>
  <c r="R21" i="10"/>
  <c r="T21" i="10"/>
  <c r="Y21" i="10"/>
  <c r="X21" i="10"/>
  <c r="W21" i="10"/>
  <c r="AB21" i="10"/>
  <c r="Z21" i="10"/>
  <c r="V21" i="10"/>
  <c r="Q21" i="10"/>
  <c r="P21" i="10"/>
  <c r="N21" i="10"/>
  <c r="M21" i="10"/>
  <c r="M9" i="11"/>
  <c r="AE11" i="11"/>
  <c r="K13" i="11"/>
  <c r="AE18" i="11"/>
  <c r="Q19" i="10"/>
  <c r="Q10" i="10"/>
  <c r="Q16" i="11"/>
  <c r="Q9" i="11"/>
  <c r="U2" i="9"/>
  <c r="AF11" i="9"/>
  <c r="Q13" i="9"/>
  <c r="Y20" i="9"/>
  <c r="U3" i="10"/>
  <c r="AB6" i="10"/>
  <c r="G8" i="10"/>
  <c r="T12" i="10"/>
  <c r="G15" i="10"/>
  <c r="G21" i="10"/>
  <c r="N9" i="11"/>
  <c r="AC10" i="11"/>
  <c r="N13" i="11"/>
  <c r="AG11" i="9"/>
  <c r="Z20" i="9"/>
  <c r="V3" i="10"/>
  <c r="AC6" i="10"/>
  <c r="H15" i="10"/>
  <c r="H21" i="10"/>
  <c r="AA3" i="11"/>
  <c r="I3" i="11"/>
  <c r="W3" i="11"/>
  <c r="U3" i="11"/>
  <c r="AD3" i="11"/>
  <c r="L3" i="11"/>
  <c r="Z3" i="11"/>
  <c r="AG3" i="11"/>
  <c r="J3" i="11"/>
  <c r="AF3" i="11"/>
  <c r="H3" i="11"/>
  <c r="AE3" i="11"/>
  <c r="G3" i="11"/>
  <c r="T3" i="11"/>
  <c r="S3" i="11"/>
  <c r="R3" i="11"/>
  <c r="AB3" i="11"/>
  <c r="Y3" i="11"/>
  <c r="X3" i="11"/>
  <c r="V3" i="11"/>
  <c r="AC3" i="11"/>
  <c r="Q3" i="11"/>
  <c r="N3" i="11"/>
  <c r="M3" i="11"/>
  <c r="P3" i="11"/>
  <c r="O3" i="11"/>
  <c r="AD10" i="11"/>
  <c r="S13" i="10"/>
  <c r="AG13" i="10"/>
  <c r="O13" i="10"/>
  <c r="AE13" i="10"/>
  <c r="M13" i="10"/>
  <c r="V13" i="10"/>
  <c r="AD13" i="10"/>
  <c r="H13" i="10"/>
  <c r="N13" i="10"/>
  <c r="L13" i="10"/>
  <c r="K13" i="10"/>
  <c r="J13" i="10"/>
  <c r="I13" i="10"/>
  <c r="AF13" i="10"/>
  <c r="AC13" i="10"/>
  <c r="AB13" i="10"/>
  <c r="AA13" i="10"/>
  <c r="Z13" i="10"/>
  <c r="Y13" i="10"/>
  <c r="S3" i="9"/>
  <c r="W3" i="9"/>
  <c r="T3" i="9"/>
  <c r="R3" i="9"/>
  <c r="AE3" i="9"/>
  <c r="I3" i="9"/>
  <c r="AD3" i="9"/>
  <c r="H3" i="9"/>
  <c r="AC3" i="9"/>
  <c r="G3" i="9"/>
  <c r="Y3" i="9"/>
  <c r="P3" i="9"/>
  <c r="X3" i="9"/>
  <c r="V3" i="9"/>
  <c r="U3" i="9"/>
  <c r="Q3" i="9"/>
  <c r="P13" i="10"/>
  <c r="AG2" i="9"/>
  <c r="O2" i="9"/>
  <c r="S2" i="9"/>
  <c r="AE2" i="9"/>
  <c r="K2" i="9"/>
  <c r="AD2" i="9"/>
  <c r="J2" i="9"/>
  <c r="R2" i="9"/>
  <c r="Q2" i="9"/>
  <c r="P2" i="9"/>
  <c r="AB2" i="9"/>
  <c r="W2" i="9"/>
  <c r="AA2" i="9"/>
  <c r="Z2" i="9"/>
  <c r="Y2" i="9"/>
  <c r="X2" i="9"/>
  <c r="AA21" i="9"/>
  <c r="T13" i="10"/>
  <c r="M20" i="10"/>
  <c r="AB14" i="11"/>
  <c r="AB10" i="11"/>
  <c r="G2" i="9"/>
  <c r="AA18" i="9"/>
  <c r="I18" i="9"/>
  <c r="W18" i="9"/>
  <c r="U18" i="9"/>
  <c r="AD18" i="9"/>
  <c r="H18" i="9"/>
  <c r="N18" i="9"/>
  <c r="M18" i="9"/>
  <c r="Z18" i="9"/>
  <c r="Y18" i="9"/>
  <c r="X18" i="9"/>
  <c r="V18" i="9"/>
  <c r="T18" i="9"/>
  <c r="S18" i="9"/>
  <c r="R18" i="9"/>
  <c r="AG18" i="9"/>
  <c r="AF18" i="9"/>
  <c r="AC18" i="9"/>
  <c r="AB18" i="9"/>
  <c r="AE18" i="9"/>
  <c r="O20" i="10"/>
  <c r="J18" i="11"/>
  <c r="J13" i="9"/>
  <c r="Y13" i="9"/>
  <c r="G13" i="9"/>
  <c r="U13" i="9"/>
  <c r="S13" i="9"/>
  <c r="P13" i="9"/>
  <c r="W13" i="9"/>
  <c r="V13" i="9"/>
  <c r="AE13" i="9"/>
  <c r="AD13" i="9"/>
  <c r="I13" i="9"/>
  <c r="H13" i="9"/>
  <c r="AG13" i="9"/>
  <c r="AF13" i="9"/>
  <c r="AB13" i="9"/>
  <c r="AC13" i="9"/>
  <c r="U14" i="9"/>
  <c r="J18" i="9"/>
  <c r="G20" i="9"/>
  <c r="G12" i="10"/>
  <c r="AF7" i="11"/>
  <c r="J12" i="10"/>
  <c r="U11" i="9"/>
  <c r="N13" i="9"/>
  <c r="O18" i="9"/>
  <c r="P18" i="9"/>
  <c r="X20" i="9"/>
  <c r="Q8" i="10"/>
  <c r="AE8" i="10"/>
  <c r="M8" i="10"/>
  <c r="AC8" i="10"/>
  <c r="K8" i="10"/>
  <c r="R8" i="10"/>
  <c r="W8" i="10"/>
  <c r="V8" i="10"/>
  <c r="U8" i="10"/>
  <c r="T8" i="10"/>
  <c r="S8" i="10"/>
  <c r="N8" i="10"/>
  <c r="L8" i="10"/>
  <c r="J8" i="10"/>
  <c r="I8" i="10"/>
  <c r="AF8" i="10"/>
  <c r="AD8" i="10"/>
  <c r="Y8" i="10"/>
  <c r="AB8" i="10"/>
  <c r="AA8" i="10"/>
  <c r="Z8" i="10"/>
  <c r="M12" i="10"/>
  <c r="T13" i="9"/>
  <c r="W17" i="9"/>
  <c r="S17" i="9"/>
  <c r="Q17" i="9"/>
  <c r="R17" i="9"/>
  <c r="Y17" i="9"/>
  <c r="X17" i="9"/>
  <c r="AF17" i="9"/>
  <c r="H17" i="9"/>
  <c r="AE17" i="9"/>
  <c r="G17" i="9"/>
  <c r="AD17" i="9"/>
  <c r="Z17" i="9"/>
  <c r="V17" i="9"/>
  <c r="U17" i="9"/>
  <c r="T17" i="9"/>
  <c r="AB17" i="9"/>
  <c r="AA17" i="9"/>
  <c r="P17" i="9"/>
  <c r="N17" i="9"/>
  <c r="M17" i="9"/>
  <c r="O17" i="9"/>
  <c r="AA20" i="9"/>
  <c r="AD6" i="10"/>
  <c r="O8" i="10"/>
  <c r="I14" i="10"/>
  <c r="AF19" i="10"/>
  <c r="J21" i="10"/>
  <c r="K3" i="11"/>
  <c r="W5" i="10"/>
  <c r="S5" i="10"/>
  <c r="Q5" i="10"/>
  <c r="AC5" i="10"/>
  <c r="H5" i="10"/>
  <c r="M5" i="10"/>
  <c r="AG5" i="10"/>
  <c r="L5" i="10"/>
  <c r="U5" i="10"/>
  <c r="T5" i="10"/>
  <c r="R5" i="10"/>
  <c r="AB5" i="10"/>
  <c r="AA5" i="10"/>
  <c r="Z5" i="10"/>
  <c r="Y5" i="10"/>
  <c r="O5" i="10"/>
  <c r="N5" i="10"/>
  <c r="G5" i="10"/>
  <c r="K5" i="10"/>
  <c r="I5" i="10"/>
  <c r="J5" i="10"/>
  <c r="G13" i="10"/>
  <c r="J3" i="9"/>
  <c r="Q13" i="10"/>
  <c r="K3" i="9"/>
  <c r="AE7" i="10"/>
  <c r="M7" i="10"/>
  <c r="AA7" i="10"/>
  <c r="I7" i="10"/>
  <c r="Y7" i="10"/>
  <c r="G7" i="10"/>
  <c r="AB7" i="10"/>
  <c r="L7" i="10"/>
  <c r="AG7" i="10"/>
  <c r="K7" i="10"/>
  <c r="AC7" i="10"/>
  <c r="Z7" i="10"/>
  <c r="X7" i="10"/>
  <c r="R7" i="10"/>
  <c r="Q7" i="10"/>
  <c r="P7" i="10"/>
  <c r="O7" i="10"/>
  <c r="W7" i="10"/>
  <c r="V7" i="10"/>
  <c r="N7" i="10"/>
  <c r="U7" i="10"/>
  <c r="S7" i="10"/>
  <c r="J7" i="10"/>
  <c r="T7" i="10"/>
  <c r="R13" i="10"/>
  <c r="AA14" i="11"/>
  <c r="AA19" i="11"/>
  <c r="AA18" i="10"/>
  <c r="AA10" i="10"/>
  <c r="AA19" i="10"/>
  <c r="I9" i="10"/>
  <c r="I16" i="11"/>
  <c r="L3" i="9"/>
  <c r="J18" i="10"/>
  <c r="J19" i="11"/>
  <c r="M3" i="9"/>
  <c r="H11" i="9"/>
  <c r="S14" i="9"/>
  <c r="L19" i="11"/>
  <c r="L18" i="10"/>
  <c r="AD16" i="11"/>
  <c r="AD9" i="11"/>
  <c r="AD9" i="10"/>
  <c r="K13" i="9"/>
  <c r="Z3" i="9"/>
  <c r="AE13" i="11"/>
  <c r="M13" i="11"/>
  <c r="AA13" i="11"/>
  <c r="I13" i="11"/>
  <c r="Y13" i="11"/>
  <c r="G13" i="11"/>
  <c r="S13" i="11"/>
  <c r="P13" i="11"/>
  <c r="L13" i="11"/>
  <c r="Z13" i="11"/>
  <c r="T13" i="11"/>
  <c r="R13" i="11"/>
  <c r="Q13" i="11"/>
  <c r="AG13" i="11"/>
  <c r="AF13" i="11"/>
  <c r="AC13" i="11"/>
  <c r="AB13" i="11"/>
  <c r="X13" i="11"/>
  <c r="U13" i="11"/>
  <c r="W13" i="11"/>
  <c r="V13" i="11"/>
  <c r="O13" i="11"/>
  <c r="AF19" i="11"/>
  <c r="AF14" i="11"/>
  <c r="AF10" i="10"/>
  <c r="AF20" i="11"/>
  <c r="AF18" i="11"/>
  <c r="M2" i="9"/>
  <c r="Q11" i="9"/>
  <c r="R20" i="9"/>
  <c r="S20" i="9"/>
  <c r="L12" i="10"/>
  <c r="L19" i="10"/>
  <c r="L9" i="11"/>
  <c r="AB11" i="11"/>
  <c r="J13" i="11"/>
  <c r="AA15" i="10"/>
  <c r="I15" i="10"/>
  <c r="W15" i="10"/>
  <c r="U15" i="10"/>
  <c r="AD15" i="10"/>
  <c r="L15" i="10"/>
  <c r="AG15" i="10"/>
  <c r="J15" i="10"/>
  <c r="P15" i="10"/>
  <c r="O15" i="10"/>
  <c r="N15" i="10"/>
  <c r="AB15" i="10"/>
  <c r="Z15" i="10"/>
  <c r="Y15" i="10"/>
  <c r="AC15" i="10"/>
  <c r="X15" i="10"/>
  <c r="V15" i="10"/>
  <c r="T15" i="10"/>
  <c r="M19" i="10"/>
  <c r="E3" i="9"/>
  <c r="AC2" i="9"/>
  <c r="AF2" i="9"/>
  <c r="X13" i="9"/>
  <c r="I17" i="9"/>
  <c r="AE6" i="10"/>
  <c r="P8" i="10"/>
  <c r="AC11" i="10"/>
  <c r="K11" i="10"/>
  <c r="Y11" i="10"/>
  <c r="G11" i="10"/>
  <c r="W11" i="10"/>
  <c r="AF11" i="10"/>
  <c r="N11" i="10"/>
  <c r="AA11" i="10"/>
  <c r="J11" i="10"/>
  <c r="AG11" i="10"/>
  <c r="I11" i="10"/>
  <c r="V11" i="10"/>
  <c r="U11" i="10"/>
  <c r="T11" i="10"/>
  <c r="AE11" i="10"/>
  <c r="AD11" i="10"/>
  <c r="AB11" i="10"/>
  <c r="Z11" i="10"/>
  <c r="Q11" i="10"/>
  <c r="X11" i="10"/>
  <c r="R11" i="10"/>
  <c r="P11" i="10"/>
  <c r="S11" i="10"/>
  <c r="J14" i="10"/>
  <c r="M15" i="10"/>
  <c r="AF16" i="10"/>
  <c r="L21" i="10"/>
  <c r="Q20" i="9"/>
  <c r="AE20" i="9"/>
  <c r="M20" i="9"/>
  <c r="AC20" i="9"/>
  <c r="K20" i="9"/>
  <c r="AD20" i="9"/>
  <c r="H20" i="9"/>
  <c r="O20" i="9"/>
  <c r="N20" i="9"/>
  <c r="P20" i="9"/>
  <c r="L20" i="9"/>
  <c r="J20" i="9"/>
  <c r="W20" i="9"/>
  <c r="V20" i="9"/>
  <c r="U20" i="9"/>
  <c r="T20" i="9"/>
  <c r="AG20" i="9"/>
  <c r="V5" i="10"/>
  <c r="X5" i="10"/>
  <c r="H20" i="10"/>
  <c r="AC14" i="9"/>
  <c r="K14" i="9"/>
  <c r="Y14" i="9"/>
  <c r="G14" i="9"/>
  <c r="W14" i="9"/>
  <c r="AB14" i="9"/>
  <c r="M14" i="9"/>
  <c r="AG14" i="9"/>
  <c r="L14" i="9"/>
  <c r="X14" i="9"/>
  <c r="V14" i="9"/>
  <c r="AF14" i="9"/>
  <c r="AE14" i="9"/>
  <c r="AD14" i="9"/>
  <c r="J14" i="9"/>
  <c r="I14" i="9"/>
  <c r="H14" i="9"/>
  <c r="G11" i="9"/>
  <c r="R14" i="9"/>
  <c r="Y7" i="11"/>
  <c r="G7" i="11"/>
  <c r="U7" i="11"/>
  <c r="S7" i="11"/>
  <c r="AE7" i="11"/>
  <c r="M7" i="11"/>
  <c r="AB7" i="11"/>
  <c r="J7" i="11"/>
  <c r="N7" i="11"/>
  <c r="AA7" i="11"/>
  <c r="T7" i="11"/>
  <c r="R7" i="11"/>
  <c r="Q7" i="11"/>
  <c r="K7" i="11"/>
  <c r="I7" i="11"/>
  <c r="H7" i="11"/>
  <c r="AC7" i="11"/>
  <c r="Z7" i="11"/>
  <c r="X7" i="11"/>
  <c r="P7" i="11"/>
  <c r="W7" i="11"/>
  <c r="V7" i="11"/>
  <c r="O7" i="11"/>
  <c r="S17" i="11"/>
  <c r="S3" i="10"/>
  <c r="AB16" i="10"/>
  <c r="AB9" i="10"/>
  <c r="AE5" i="10"/>
  <c r="AD7" i="10"/>
  <c r="U13" i="10"/>
  <c r="G18" i="9"/>
  <c r="AC21" i="9"/>
  <c r="I4" i="10"/>
  <c r="AF5" i="10"/>
  <c r="AF7" i="10"/>
  <c r="O3" i="9"/>
  <c r="J11" i="9"/>
  <c r="AD21" i="9"/>
  <c r="X13" i="10"/>
  <c r="I10" i="11"/>
  <c r="P11" i="9"/>
  <c r="L13" i="9"/>
  <c r="Z14" i="9"/>
  <c r="K18" i="9"/>
  <c r="I20" i="9"/>
  <c r="I19" i="10"/>
  <c r="N19" i="11"/>
  <c r="N18" i="10"/>
  <c r="N19" i="10"/>
  <c r="N10" i="11"/>
  <c r="M13" i="9"/>
  <c r="L18" i="9"/>
  <c r="K10" i="11"/>
  <c r="H13" i="11"/>
  <c r="V11" i="9"/>
  <c r="W4" i="9"/>
  <c r="AA4" i="9"/>
  <c r="I4" i="9"/>
  <c r="AC4" i="9"/>
  <c r="H4" i="9"/>
  <c r="AB4" i="9"/>
  <c r="G4" i="9"/>
  <c r="U4" i="9"/>
  <c r="T4" i="9"/>
  <c r="S4" i="9"/>
  <c r="R4" i="9"/>
  <c r="Q4" i="9"/>
  <c r="M4" i="9"/>
  <c r="P4" i="9"/>
  <c r="O4" i="9"/>
  <c r="N4" i="9"/>
  <c r="N12" i="9"/>
  <c r="Z13" i="9"/>
  <c r="AF20" i="9"/>
  <c r="AF6" i="10"/>
  <c r="X8" i="10"/>
  <c r="K14" i="10"/>
  <c r="Q15" i="10"/>
  <c r="S21" i="10"/>
  <c r="AA12" i="11"/>
  <c r="I12" i="11"/>
  <c r="W12" i="11"/>
  <c r="U12" i="11"/>
  <c r="AG12" i="11"/>
  <c r="O12" i="11"/>
  <c r="AD12" i="11"/>
  <c r="L12" i="11"/>
  <c r="S12" i="11"/>
  <c r="H12" i="11"/>
  <c r="Z12" i="11"/>
  <c r="Y12" i="11"/>
  <c r="X12" i="11"/>
  <c r="AF12" i="11"/>
  <c r="AE12" i="11"/>
  <c r="V12" i="11"/>
  <c r="T12" i="11"/>
  <c r="R12" i="11"/>
  <c r="N12" i="11"/>
  <c r="M12" i="11"/>
  <c r="Q12" i="11"/>
  <c r="P12" i="11"/>
  <c r="W2" i="11"/>
  <c r="S2" i="11"/>
  <c r="Q2" i="11"/>
  <c r="Z2" i="11"/>
  <c r="H2" i="11"/>
  <c r="N2" i="11"/>
  <c r="U2" i="11"/>
  <c r="T2" i="11"/>
  <c r="R2" i="11"/>
  <c r="AC2" i="11"/>
  <c r="AB2" i="11"/>
  <c r="AA2" i="11"/>
  <c r="AD2" i="11"/>
  <c r="Y2" i="11"/>
  <c r="X2" i="11"/>
  <c r="V2" i="11"/>
  <c r="AA5" i="9"/>
  <c r="I5" i="9"/>
  <c r="AE5" i="9"/>
  <c r="M5" i="9"/>
  <c r="Q5" i="9"/>
  <c r="P5" i="9"/>
  <c r="L5" i="9"/>
  <c r="K5" i="9"/>
  <c r="AG5" i="9"/>
  <c r="J5" i="9"/>
  <c r="U21" i="9"/>
  <c r="Q21" i="9"/>
  <c r="AG21" i="9"/>
  <c r="O21" i="9"/>
  <c r="T21" i="9"/>
  <c r="Z21" i="9"/>
  <c r="Y21" i="9"/>
  <c r="I21" i="9"/>
  <c r="AF21" i="9"/>
  <c r="H21" i="9"/>
  <c r="AE21" i="9"/>
  <c r="G21" i="9"/>
  <c r="V21" i="9"/>
  <c r="S21" i="9"/>
  <c r="R21" i="9"/>
  <c r="P21" i="9"/>
  <c r="U6" i="11"/>
  <c r="D11" i="9"/>
  <c r="V20" i="11"/>
  <c r="V14" i="10"/>
  <c r="V18" i="10"/>
  <c r="V16" i="11"/>
  <c r="V16" i="10"/>
  <c r="G5" i="9"/>
  <c r="G4" i="10"/>
  <c r="Q17" i="10"/>
  <c r="AE17" i="10"/>
  <c r="M17" i="10"/>
  <c r="AC17" i="10"/>
  <c r="K17" i="10"/>
  <c r="T17" i="10"/>
  <c r="N17" i="10"/>
  <c r="U17" i="10"/>
  <c r="S17" i="10"/>
  <c r="R17" i="10"/>
  <c r="P17" i="10"/>
  <c r="O17" i="10"/>
  <c r="L17" i="10"/>
  <c r="AA17" i="10"/>
  <c r="Z17" i="10"/>
  <c r="Y17" i="10"/>
  <c r="X17" i="10"/>
  <c r="I2" i="11"/>
  <c r="U10" i="11"/>
  <c r="V14" i="11"/>
  <c r="E14" i="9"/>
  <c r="W18" i="10"/>
  <c r="W19" i="10"/>
  <c r="H5" i="9"/>
  <c r="K21" i="9"/>
  <c r="H4" i="10"/>
  <c r="W10" i="10"/>
  <c r="AC16" i="10"/>
  <c r="G17" i="10"/>
  <c r="J2" i="11"/>
  <c r="W10" i="11"/>
  <c r="U11" i="11"/>
  <c r="Y14" i="11"/>
  <c r="G2" i="11"/>
  <c r="U14" i="11"/>
  <c r="J21" i="9"/>
  <c r="N5" i="9"/>
  <c r="L21" i="9"/>
  <c r="H16" i="10"/>
  <c r="H17" i="10"/>
  <c r="K2" i="11"/>
  <c r="V11" i="11"/>
  <c r="Z14" i="11"/>
  <c r="S4" i="10"/>
  <c r="AG4" i="10"/>
  <c r="O4" i="10"/>
  <c r="AE4" i="10"/>
  <c r="M4" i="10"/>
  <c r="T4" i="10"/>
  <c r="Y4" i="10"/>
  <c r="X4" i="10"/>
  <c r="AB4" i="10"/>
  <c r="AA4" i="10"/>
  <c r="Z4" i="10"/>
  <c r="AF4" i="10"/>
  <c r="AD4" i="10"/>
  <c r="AC4" i="10"/>
  <c r="W4" i="10"/>
  <c r="B9" i="9"/>
  <c r="F10" i="9"/>
  <c r="G14" i="11"/>
  <c r="G18" i="10"/>
  <c r="G9" i="11"/>
  <c r="G9" i="10"/>
  <c r="O5" i="9"/>
  <c r="M21" i="9"/>
  <c r="J4" i="10"/>
  <c r="Z10" i="10"/>
  <c r="I17" i="10"/>
  <c r="L2" i="11"/>
  <c r="E11" i="9"/>
  <c r="H14" i="11"/>
  <c r="H18" i="10"/>
  <c r="H19" i="10"/>
  <c r="H10" i="10"/>
  <c r="Z18" i="10"/>
  <c r="Z19" i="10"/>
  <c r="R5" i="9"/>
  <c r="N21" i="9"/>
  <c r="K4" i="10"/>
  <c r="AF14" i="10"/>
  <c r="J17" i="10"/>
  <c r="M2" i="11"/>
  <c r="Q5" i="11"/>
  <c r="AE5" i="11"/>
  <c r="M5" i="11"/>
  <c r="AC5" i="11"/>
  <c r="K5" i="11"/>
  <c r="W5" i="11"/>
  <c r="T5" i="11"/>
  <c r="AF5" i="11"/>
  <c r="G5" i="11"/>
  <c r="U5" i="11"/>
  <c r="N5" i="11"/>
  <c r="L5" i="11"/>
  <c r="J5" i="11"/>
  <c r="S5" i="11"/>
  <c r="R5" i="11"/>
  <c r="P5" i="11"/>
  <c r="AG5" i="11"/>
  <c r="AD5" i="11"/>
  <c r="AB5" i="11"/>
  <c r="Y11" i="11"/>
  <c r="AE9" i="10"/>
  <c r="U19" i="11"/>
  <c r="R16" i="10"/>
  <c r="R16" i="11"/>
  <c r="AC2" i="10"/>
  <c r="K2" i="10"/>
  <c r="Y2" i="10"/>
  <c r="G2" i="10"/>
  <c r="W2" i="10"/>
  <c r="R2" i="10"/>
  <c r="X2" i="10"/>
  <c r="V2" i="10"/>
  <c r="P2" i="10"/>
  <c r="O2" i="10"/>
  <c r="N2" i="10"/>
  <c r="C19" i="9"/>
  <c r="I2" i="10"/>
  <c r="AD10" i="10"/>
  <c r="J2" i="10"/>
  <c r="W11" i="11"/>
  <c r="S11" i="11"/>
  <c r="Q11" i="11"/>
  <c r="AC11" i="11"/>
  <c r="K11" i="11"/>
  <c r="Z11" i="11"/>
  <c r="H11" i="11"/>
  <c r="AD11" i="11"/>
  <c r="R11" i="11"/>
  <c r="L11" i="11"/>
  <c r="J11" i="11"/>
  <c r="AG11" i="11"/>
  <c r="I11" i="11"/>
  <c r="Q14" i="11"/>
  <c r="AG18" i="11"/>
  <c r="O18" i="11"/>
  <c r="AC18" i="11"/>
  <c r="K18" i="11"/>
  <c r="AA18" i="11"/>
  <c r="I18" i="11"/>
  <c r="V18" i="11"/>
  <c r="U18" i="11"/>
  <c r="R18" i="11"/>
  <c r="T18" i="11"/>
  <c r="S18" i="11"/>
  <c r="H18" i="11"/>
  <c r="AB18" i="11"/>
  <c r="Z18" i="11"/>
  <c r="Y18" i="11"/>
  <c r="W18" i="11"/>
  <c r="Q18" i="11"/>
  <c r="P18" i="11"/>
  <c r="AG3" i="10"/>
  <c r="O3" i="10"/>
  <c r="AC3" i="10"/>
  <c r="K3" i="10"/>
  <c r="AA3" i="10"/>
  <c r="I3" i="10"/>
  <c r="AD3" i="10"/>
  <c r="G3" i="10"/>
  <c r="N3" i="10"/>
  <c r="M3" i="10"/>
  <c r="AC8" i="11"/>
  <c r="K8" i="11"/>
  <c r="Y8" i="11"/>
  <c r="G8" i="11"/>
  <c r="W8" i="11"/>
  <c r="Q8" i="11"/>
  <c r="AF8" i="11"/>
  <c r="N8" i="11"/>
  <c r="AD8" i="11"/>
  <c r="S8" i="11"/>
  <c r="L8" i="11"/>
  <c r="J8" i="11"/>
  <c r="I8" i="11"/>
  <c r="AC21" i="11"/>
  <c r="K21" i="11"/>
  <c r="AB21" i="11"/>
  <c r="J21" i="11"/>
  <c r="AA21" i="11"/>
  <c r="I21" i="11"/>
  <c r="W21" i="11"/>
  <c r="U21" i="11"/>
  <c r="P21" i="11"/>
  <c r="AG21" i="11"/>
  <c r="O21" i="11"/>
  <c r="AF21" i="11"/>
  <c r="N21" i="11"/>
  <c r="AE21" i="11"/>
  <c r="M21" i="11"/>
  <c r="AD21" i="11"/>
  <c r="L21" i="11"/>
  <c r="T21" i="11"/>
  <c r="S21" i="11"/>
  <c r="Z21" i="11"/>
  <c r="Y21" i="11"/>
  <c r="B19" i="9"/>
  <c r="H3" i="10"/>
  <c r="Y19" i="10"/>
  <c r="G19" i="10"/>
  <c r="U19" i="10"/>
  <c r="S19" i="10"/>
  <c r="AB19" i="10"/>
  <c r="J19" i="10"/>
  <c r="O19" i="10"/>
  <c r="V19" i="10"/>
  <c r="T19" i="10"/>
  <c r="R19" i="10"/>
  <c r="H8" i="11"/>
  <c r="AG9" i="11"/>
  <c r="O9" i="11"/>
  <c r="AC9" i="11"/>
  <c r="K9" i="11"/>
  <c r="AA9" i="11"/>
  <c r="I9" i="11"/>
  <c r="U9" i="11"/>
  <c r="R9" i="11"/>
  <c r="V9" i="11"/>
  <c r="J9" i="11"/>
  <c r="AB9" i="11"/>
  <c r="Z9" i="11"/>
  <c r="Y9" i="11"/>
  <c r="G21" i="11"/>
  <c r="D21" i="9"/>
  <c r="P20" i="11"/>
  <c r="P14" i="11"/>
  <c r="J3" i="10"/>
  <c r="Y10" i="10"/>
  <c r="G10" i="10"/>
  <c r="U10" i="10"/>
  <c r="S10" i="10"/>
  <c r="O10" i="10"/>
  <c r="V10" i="10"/>
  <c r="T10" i="10"/>
  <c r="AE10" i="10"/>
  <c r="W14" i="10"/>
  <c r="S14" i="10"/>
  <c r="Q14" i="10"/>
  <c r="Z14" i="10"/>
  <c r="H14" i="10"/>
  <c r="U14" i="10"/>
  <c r="AB14" i="10"/>
  <c r="AA14" i="10"/>
  <c r="Y14" i="10"/>
  <c r="AG14" i="10"/>
  <c r="M8" i="11"/>
  <c r="S10" i="11"/>
  <c r="AG10" i="11"/>
  <c r="O10" i="11"/>
  <c r="AE10" i="11"/>
  <c r="M10" i="11"/>
  <c r="Y10" i="11"/>
  <c r="G10" i="11"/>
  <c r="V10" i="11"/>
  <c r="L10" i="11"/>
  <c r="AA10" i="11"/>
  <c r="T10" i="11"/>
  <c r="R10" i="11"/>
  <c r="Q10" i="11"/>
  <c r="H21" i="11"/>
  <c r="U4" i="11"/>
  <c r="L16" i="11"/>
  <c r="AC17" i="11"/>
  <c r="K17" i="11"/>
  <c r="Y17" i="11"/>
  <c r="G17" i="11"/>
  <c r="W17" i="11"/>
  <c r="R17" i="11"/>
  <c r="Q17" i="11"/>
  <c r="AF17" i="11"/>
  <c r="N17" i="11"/>
  <c r="AG17" i="11"/>
  <c r="C18" i="9"/>
  <c r="J9" i="10"/>
  <c r="V4" i="11"/>
  <c r="O16" i="11"/>
  <c r="H17" i="11"/>
  <c r="AE16" i="10"/>
  <c r="M16" i="10"/>
  <c r="AA16" i="10"/>
  <c r="I16" i="10"/>
  <c r="Y16" i="10"/>
  <c r="G16" i="10"/>
  <c r="P16" i="10"/>
  <c r="AD16" i="10"/>
  <c r="P16" i="11"/>
  <c r="I17" i="11"/>
  <c r="AE4" i="11"/>
  <c r="M4" i="11"/>
  <c r="AA4" i="11"/>
  <c r="I4" i="11"/>
  <c r="Y4" i="11"/>
  <c r="G4" i="11"/>
  <c r="P4" i="11"/>
  <c r="AD4" i="11"/>
  <c r="P17" i="11"/>
  <c r="Y16" i="11"/>
  <c r="G16" i="11"/>
  <c r="U16" i="11"/>
  <c r="S16" i="11"/>
  <c r="AF16" i="11"/>
  <c r="N16" i="11"/>
  <c r="AE16" i="11"/>
  <c r="M16" i="11"/>
  <c r="AB16" i="11"/>
  <c r="J16" i="11"/>
  <c r="U9" i="10"/>
  <c r="Q9" i="10"/>
  <c r="AG9" i="10"/>
  <c r="O9" i="10"/>
  <c r="AA9" i="10"/>
  <c r="W16" i="10"/>
  <c r="R4" i="11"/>
  <c r="H16" i="11"/>
  <c r="AB17" i="11"/>
  <c r="X18" i="10"/>
  <c r="X6" i="11"/>
  <c r="T14" i="11"/>
  <c r="X15" i="11"/>
  <c r="V19" i="11"/>
  <c r="H20" i="11"/>
  <c r="Z20" i="11"/>
  <c r="W19" i="11"/>
  <c r="I20" i="11"/>
  <c r="AA20" i="11"/>
  <c r="X19" i="11"/>
  <c r="J20" i="11"/>
  <c r="AB20" i="11"/>
  <c r="W14" i="11"/>
  <c r="G19" i="11"/>
  <c r="Y19" i="11"/>
  <c r="K20" i="11"/>
  <c r="AC20" i="11"/>
  <c r="X14" i="11"/>
  <c r="H19" i="11"/>
  <c r="Z19" i="11"/>
  <c r="L20" i="11"/>
  <c r="AD20" i="11"/>
  <c r="O18" i="10"/>
  <c r="AG18" i="10"/>
  <c r="O6" i="11"/>
  <c r="AG6" i="11"/>
  <c r="K14" i="11"/>
  <c r="AC14" i="11"/>
  <c r="O15" i="11"/>
  <c r="AG15" i="11"/>
  <c r="M19" i="11"/>
  <c r="AE19" i="11"/>
  <c r="Q20" i="11"/>
  <c r="Q18" i="10"/>
  <c r="Q6" i="11"/>
  <c r="M14" i="11"/>
  <c r="AE14" i="11"/>
  <c r="Q15" i="11"/>
  <c r="O19" i="11"/>
  <c r="AG19" i="11"/>
  <c r="S20" i="11"/>
  <c r="S19" i="11"/>
  <c r="W20" i="11"/>
  <c r="X20" i="11"/>
  <c r="G20" i="11"/>
  <c r="Y10" i="9" l="1"/>
  <c r="G10" i="9"/>
  <c r="AF10" i="9"/>
  <c r="M10" i="9"/>
  <c r="R10" i="9"/>
  <c r="Q10" i="9"/>
  <c r="AC10" i="9"/>
  <c r="AB10" i="9"/>
  <c r="V10" i="9"/>
  <c r="U10" i="9"/>
  <c r="T10" i="9"/>
  <c r="S10" i="9"/>
  <c r="AE10" i="9"/>
  <c r="AD10" i="9"/>
  <c r="AA10" i="9"/>
  <c r="X10" i="9"/>
  <c r="Z10" i="9"/>
  <c r="W10" i="9"/>
  <c r="O10" i="9"/>
  <c r="I10" i="9"/>
  <c r="N10" i="9"/>
  <c r="P10" i="9"/>
  <c r="L10" i="9"/>
  <c r="H10" i="9"/>
  <c r="K10" i="9"/>
  <c r="J10" i="9"/>
  <c r="AG10" i="9"/>
</calcChain>
</file>

<file path=xl/sharedStrings.xml><?xml version="1.0" encoding="utf-8"?>
<sst xmlns="http://schemas.openxmlformats.org/spreadsheetml/2006/main" count="22496" uniqueCount="248">
  <si>
    <t>EPS 연료</t>
  </si>
  <si>
    <t>EB production 소스</t>
  </si>
  <si>
    <t>KEEI 추세</t>
  </si>
  <si>
    <t>비고</t>
  </si>
  <si>
    <t>electricity (not used in this variable)</t>
  </si>
  <si>
    <t>국내생산(3행)</t>
  </si>
  <si>
    <t>평탄</t>
  </si>
  <si>
    <t>2023 유지</t>
  </si>
  <si>
    <t>hard coal</t>
  </si>
  <si>
    <t>석탄총공급</t>
  </si>
  <si>
    <t>natural gas</t>
  </si>
  <si>
    <t>가스총공급</t>
  </si>
  <si>
    <t>nuclear</t>
  </si>
  <si>
    <t>원자력발전</t>
  </si>
  <si>
    <t>hydro (is not a fuel)</t>
  </si>
  <si>
    <t>수력발전</t>
  </si>
  <si>
    <t>wind (is not a fuel)</t>
  </si>
  <si>
    <t>변동성재생</t>
  </si>
  <si>
    <t>solar (is not a fuel)</t>
  </si>
  <si>
    <t>biomass</t>
  </si>
  <si>
    <t>신재생총수요</t>
  </si>
  <si>
    <t>petroleum gasoline</t>
  </si>
  <si>
    <t>석유정제(27행)</t>
  </si>
  <si>
    <t>석유총공급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</si>
  <si>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</si>
  <si>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</si>
  <si>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</si>
  <si>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</si>
  <si>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</si>
  <si>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</si>
  <si>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</si>
  <si>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</si>
  <si>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</si>
  <si>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</si>
  <si>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</si>
  <si>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</si>
  <si>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수소생산</t>
  </si>
  <si>
    <t>KEEI 수소생산 절대값(2023=0)</t>
  </si>
  <si>
    <t>에너지흐름별(1)</t>
  </si>
  <si>
    <t>에너지흐름별(2)</t>
  </si>
  <si>
    <t>에너지흐름별(3)</t>
  </si>
  <si>
    <t>에너지흐름별(4)</t>
  </si>
  <si>
    <t>에너지흐름별(5)</t>
  </si>
  <si>
    <t>2019</t>
  </si>
  <si>
    <t>국내무연탄</t>
  </si>
  <si>
    <t>수입무연탄</t>
  </si>
  <si>
    <t>원료탄</t>
  </si>
  <si>
    <t>기타유연탄</t>
  </si>
  <si>
    <t>아역청탄</t>
  </si>
  <si>
    <t>갈탄</t>
  </si>
  <si>
    <t>토탄</t>
  </si>
  <si>
    <t>고형연료</t>
  </si>
  <si>
    <t>코크스</t>
  </si>
  <si>
    <t>콜타르</t>
  </si>
  <si>
    <t>코크스로가스</t>
  </si>
  <si>
    <t>고로가스</t>
  </si>
  <si>
    <t>기타석탄가스</t>
  </si>
  <si>
    <t>천연가스</t>
  </si>
  <si>
    <t>도시가스</t>
  </si>
  <si>
    <t>원유</t>
  </si>
  <si>
    <t>정제원료</t>
  </si>
  <si>
    <t>첨가물</t>
  </si>
  <si>
    <t>기타탄화수소</t>
  </si>
  <si>
    <t>정제가스</t>
  </si>
  <si>
    <t>프로판</t>
  </si>
  <si>
    <t>부탄</t>
  </si>
  <si>
    <t>휘발유</t>
  </si>
  <si>
    <t>항공휘발유</t>
  </si>
  <si>
    <t>휘발유형항공유</t>
  </si>
  <si>
    <t>등유형항공유</t>
  </si>
  <si>
    <t>등유</t>
  </si>
  <si>
    <t>경유</t>
  </si>
  <si>
    <t>B-A</t>
  </si>
  <si>
    <t>B-B</t>
  </si>
  <si>
    <t>B-C</t>
  </si>
  <si>
    <t>납사</t>
  </si>
  <si>
    <t>용제</t>
  </si>
  <si>
    <t>윤활유</t>
  </si>
  <si>
    <t>아스팔트</t>
  </si>
  <si>
    <t>파라핀왁스</t>
  </si>
  <si>
    <t>석유코크</t>
  </si>
  <si>
    <t>기타석유제품</t>
  </si>
  <si>
    <t>산업폐기물</t>
  </si>
  <si>
    <t>도시폐기물_재생</t>
  </si>
  <si>
    <t>도시폐기물_비재생</t>
  </si>
  <si>
    <t>고형바이오매스</t>
  </si>
  <si>
    <t>바이오가스</t>
  </si>
  <si>
    <t>매립지가스</t>
  </si>
  <si>
    <t>바이오휘발유</t>
  </si>
  <si>
    <t>바이오경유</t>
  </si>
  <si>
    <t>기타바이오연료</t>
  </si>
  <si>
    <t>목탄</t>
  </si>
  <si>
    <t>원자력</t>
  </si>
  <si>
    <t>수력</t>
  </si>
  <si>
    <t>지열</t>
  </si>
  <si>
    <t>태양광</t>
  </si>
  <si>
    <t>태양열</t>
  </si>
  <si>
    <t>해양</t>
  </si>
  <si>
    <t>풍력</t>
  </si>
  <si>
    <t>기타에너지원</t>
  </si>
  <si>
    <t>전기</t>
  </si>
  <si>
    <t>열</t>
  </si>
  <si>
    <t>총에너지</t>
  </si>
  <si>
    <t>메모: 신재생</t>
  </si>
  <si>
    <t>국내생산</t>
  </si>
  <si>
    <t>소계</t>
  </si>
  <si>
    <t>-</t>
  </si>
  <si>
    <t>수입</t>
  </si>
  <si>
    <t>수출</t>
  </si>
  <si>
    <t>국제해운벙커링</t>
  </si>
  <si>
    <t>국제항공벙커링</t>
  </si>
  <si>
    <t>재고변화</t>
  </si>
  <si>
    <t>일차에너지공급</t>
  </si>
  <si>
    <t>제품이동</t>
  </si>
  <si>
    <t>통계오차</t>
  </si>
  <si>
    <t>일차에너지소비</t>
  </si>
  <si>
    <t>전환공정</t>
  </si>
  <si>
    <t>발전전용</t>
  </si>
  <si>
    <t>발전전용_사업</t>
  </si>
  <si>
    <t>발전전용_자가</t>
  </si>
  <si>
    <t>열병합</t>
  </si>
  <si>
    <t>열병합_사업</t>
  </si>
  <si>
    <t>열병합_자가</t>
  </si>
  <si>
    <t>열전용</t>
  </si>
  <si>
    <t>열전용_사업</t>
  </si>
  <si>
    <t>열전용_자가</t>
  </si>
  <si>
    <t>화학반응열</t>
  </si>
  <si>
    <t>코크스로</t>
  </si>
  <si>
    <t>고로</t>
  </si>
  <si>
    <t>연탄제조</t>
  </si>
  <si>
    <t>석유정제</t>
  </si>
  <si>
    <t>석유화학</t>
  </si>
  <si>
    <t>가스제조</t>
  </si>
  <si>
    <t>석탄합성가스제조</t>
  </si>
  <si>
    <t>기타전환</t>
  </si>
  <si>
    <t>에너지산업자체소비</t>
  </si>
  <si>
    <t>석탄광업</t>
  </si>
  <si>
    <t>원유및천연가스채굴</t>
  </si>
  <si>
    <t>발전및열생산_자체소비</t>
  </si>
  <si>
    <t>양수투입</t>
  </si>
  <si>
    <t>코크스로_자체소비</t>
  </si>
  <si>
    <t>고로_자체소비</t>
  </si>
  <si>
    <t>연탄제조_자체소비</t>
  </si>
  <si>
    <t>석유정제_자체소비</t>
  </si>
  <si>
    <t>가스제조_자체소비</t>
  </si>
  <si>
    <t>석탄합성가스제조_자체소비</t>
  </si>
  <si>
    <t>기타전환_자체소비</t>
  </si>
  <si>
    <t>손실</t>
  </si>
  <si>
    <t>최종소비</t>
  </si>
  <si>
    <t>최종에너지소비</t>
  </si>
  <si>
    <t>산업</t>
  </si>
  <si>
    <t>농림업</t>
  </si>
  <si>
    <t>어업</t>
  </si>
  <si>
    <t>광업(석탄광업제외)</t>
  </si>
  <si>
    <t>제조업</t>
  </si>
  <si>
    <t>식품및담배</t>
  </si>
  <si>
    <t>섬유및가죽</t>
  </si>
  <si>
    <t>목재및나무제품</t>
  </si>
  <si>
    <t>제지및인쇄</t>
  </si>
  <si>
    <t>화학및석유화학</t>
  </si>
  <si>
    <t>비금속광물</t>
  </si>
  <si>
    <t>철강</t>
  </si>
  <si>
    <t>비철금속</t>
  </si>
  <si>
    <t>기계류</t>
  </si>
  <si>
    <t>수송장비</t>
  </si>
  <si>
    <t>기타제조</t>
  </si>
  <si>
    <t>건설업</t>
  </si>
  <si>
    <t>수송</t>
  </si>
  <si>
    <t>철도</t>
  </si>
  <si>
    <t>도로</t>
  </si>
  <si>
    <t>국내해운</t>
  </si>
  <si>
    <t>국내항공</t>
  </si>
  <si>
    <t>가정</t>
  </si>
  <si>
    <t>상업</t>
  </si>
  <si>
    <t>공공</t>
  </si>
  <si>
    <t>최종비에너지소비</t>
  </si>
  <si>
    <t>비에너지_산업및에너지</t>
  </si>
  <si>
    <t>비에너지_수송</t>
  </si>
  <si>
    <t>비에너지_가정</t>
  </si>
  <si>
    <t>비에너지_상업</t>
  </si>
  <si>
    <t>비에너지_공공</t>
  </si>
  <si>
    <t>메모: 석유화학원료</t>
  </si>
  <si>
    <t>전기생산 (GWh)</t>
  </si>
  <si>
    <t>발전전용발전_사업</t>
  </si>
  <si>
    <t>발전전용발전_자가</t>
  </si>
  <si>
    <t>열병합발전_사업</t>
  </si>
  <si>
    <t>열병합발전_자가</t>
  </si>
  <si>
    <t>기타발전</t>
  </si>
  <si>
    <t>열생산 (TJ)</t>
  </si>
  <si>
    <t>열병합열생산_사업</t>
  </si>
  <si>
    <t>열병합열생산_자가</t>
  </si>
  <si>
    <t>열전용열생산_사업</t>
  </si>
  <si>
    <t>열전용열생산_자가</t>
  </si>
  <si>
    <t>기타열생산</t>
  </si>
  <si>
    <t>EPS_fuel</t>
  </si>
  <si>
    <t>P_source</t>
  </si>
  <si>
    <t>2020</t>
  </si>
  <si>
    <t>2021</t>
  </si>
  <si>
    <t>2022</t>
  </si>
  <si>
    <t>2023</t>
  </si>
  <si>
    <t>KEEI 2024 장기에너지전망(REF) 총공급/발전 anchor 및 성장지수(2023=1)</t>
  </si>
  <si>
    <t>추세</t>
  </si>
  <si>
    <t>2030</t>
  </si>
  <si>
    <t>2040</t>
  </si>
  <si>
    <t>2050</t>
  </si>
  <si>
    <t>2024</t>
  </si>
  <si>
    <t>2025</t>
  </si>
  <si>
    <t>2026</t>
  </si>
  <si>
    <t>2027</t>
  </si>
  <si>
    <t>2028</t>
  </si>
  <si>
    <t>2029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</si>
  <si>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</si>
  <si>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</si>
  <si>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</si>
  <si>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</si>
  <si>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</si>
  <si>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</si>
  <si>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</si>
  <si>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</si>
  <si>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</si>
  <si>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</si>
  <si>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</si>
  <si>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</si>
  <si>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</si>
  <si>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</si>
  <si>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</si>
  <si>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</si>
  <si>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</si>
  <si>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</si>
  <si>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수소생산(백만toe)</t>
  </si>
  <si>
    <t>Fuel (BTU)</t>
  </si>
  <si>
    <t>BFPIaE BAU Fuel Production</t>
  </si>
  <si>
    <t>BFPIaE BAU Fuel Imports</t>
  </si>
  <si>
    <t>BFPIaE BAU Fuel Exports</t>
  </si>
  <si>
    <t>Source:</t>
  </si>
  <si>
    <t>KEEI</t>
    <phoneticPr fontId="4" type="noConversion"/>
  </si>
  <si>
    <t>long-term energy outlook</t>
    <phoneticPr fontId="4" type="noConversion"/>
  </si>
  <si>
    <t>http://www.kesis.net/FileDownloadAction.do?file=/admin/admin_RegList.jsp/20200408/743991586327836294_01.pdf&amp;oldFile=2019_%EC%9E%A5%EA%B8%B0%EC%97%90%EB%84%88%EC%A7%80%EC%A0%84%EB%A7%9D.pdf</t>
  </si>
  <si>
    <t>Notes :</t>
    <phoneticPr fontId="4" type="noConversion"/>
  </si>
  <si>
    <t>1 kTOE to BTU</t>
    <phoneticPr fontId="4" type="noConversion"/>
  </si>
  <si>
    <t>1 milion TOE to BTU</t>
    <phoneticPr fontId="4" type="noConversion"/>
  </si>
  <si>
    <t>1 tons to BTU (gas)</t>
    <phoneticPr fontId="4" type="noConversion"/>
  </si>
  <si>
    <t>1 tons to BTU (hydrogen)</t>
    <phoneticPr fontId="4" type="noConversion"/>
  </si>
  <si>
    <t>1000 tons to BTU (coal)</t>
    <phoneticPr fontId="4" type="noConversion"/>
  </si>
  <si>
    <t>2019~2023</t>
    <phoneticPr fontId="4" type="noConversion"/>
  </si>
  <si>
    <t>Korea Energy Statistics information System</t>
    <phoneticPr fontId="4" type="noConversion"/>
  </si>
  <si>
    <t>Energy Balance(Extended)</t>
    <phoneticPr fontId="4" type="noConversion"/>
  </si>
  <si>
    <t>https://kesis.keei.re.kr/statHtml/statHtml.do?orgId=339&amp;tblId=DT_BAL_EXTEND_TOE&amp;conn_path=I2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</si>
</sst>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1F4E78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6" fillId="0" borderId="0" xfId="0" applyFont="1"/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5" fillId="0" borderId="0" xfId="1" applyAlignment="1">
      <alignment horizontal="left"/>
    </xf>
    <xf numFmtId="11" fontId="0" fillId="0" borderId="0" xfId="0" applyNumberFormat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kesis.net/FileDownloadAction.do?file=/admin/admin_RegList.jsp/20200408/743991586327836294_01.pdf&amp;oldFile=2019_%EC%9E%A5%EA%B8%B0%EC%97%90%EB%84%88%EC%A7%80%EC%A0%84%EB%A7%9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selection activeCell="D11" sqref="D11"/>
    </sheetView>
  </sheetViews>
  <sheetFormatPr defaultRowHeight="14.5"/>
  <cols>
    <col min="1" max="1" width="19.90625" customWidth="1"/>
  </cols>
  <sheetData>
    <row r="1" spans="1:2">
      <c r="A1" s="7" t="s">
        <v>231</v>
      </c>
      <c r="B1" s="8"/>
    </row>
    <row r="2" spans="1:2">
      <c r="A2" s="7" t="s">
        <v>232</v>
      </c>
      <c r="B2" s="8"/>
    </row>
    <row r="3" spans="1:2">
      <c r="A3" s="7" t="s">
        <v>233</v>
      </c>
      <c r="B3" s="8"/>
    </row>
    <row r="4" spans="1:2">
      <c r="B4" s="8"/>
    </row>
    <row r="5" spans="1:2">
      <c r="A5" s="7" t="s">
        <v>234</v>
      </c>
      <c r="B5" s="9" t="s">
        <v>245</v>
      </c>
    </row>
    <row r="6" spans="1:2">
      <c r="B6" t="s">
        <v>244</v>
      </c>
    </row>
    <row r="7" spans="1:2">
      <c r="B7" t="s">
        <v>246</v>
      </c>
    </row>
    <row r="8" spans="1:2">
      <c r="B8" t="s">
        <v>247</v>
      </c>
    </row>
    <row r="10" spans="1:2">
      <c r="B10" s="8"/>
    </row>
    <row r="11" spans="1:2">
      <c r="B11" s="8" t="s">
        <v>235</v>
      </c>
    </row>
    <row r="12" spans="1:2">
      <c r="B12" s="8" t="s">
        <v>244</v>
      </c>
    </row>
    <row r="13" spans="1:2">
      <c r="B13" s="8" t="s">
        <v>236</v>
      </c>
    </row>
    <row r="14" spans="1:2">
      <c r="B14" s="10" t="s">
        <v>237</v>
      </c>
    </row>
    <row r="15" spans="1:2">
      <c r="B15" s="8"/>
    </row>
    <row r="16" spans="1:2">
      <c r="A16" s="7" t="s">
        <v>238</v>
      </c>
      <c r="B16" s="8"/>
    </row>
    <row r="17" spans="1:3">
      <c r="B17" t="s">
        <v>239</v>
      </c>
      <c r="C17" s="11">
        <f>39656668.31*(10^3)</f>
        <v>39656668310</v>
      </c>
    </row>
    <row r="18" spans="1:3">
      <c r="B18" t="s">
        <v>240</v>
      </c>
      <c r="C18" s="11">
        <f>39656668.31*(10^6)</f>
        <v>39656668310000</v>
      </c>
    </row>
    <row r="19" spans="1:3">
      <c r="B19" t="s">
        <v>241</v>
      </c>
      <c r="C19" s="11">
        <f>1.306*39656668.31</f>
        <v>51791608.812860005</v>
      </c>
    </row>
    <row r="20" spans="1:3">
      <c r="B20" t="s">
        <v>242</v>
      </c>
      <c r="C20" s="11">
        <f xml:space="preserve"> 1000 * 141.9 * 947.81707774915</f>
        <v>134495243.33260438</v>
      </c>
    </row>
    <row r="21" spans="1:3">
      <c r="A21" s="7"/>
      <c r="B21" t="s">
        <v>243</v>
      </c>
      <c r="C21" s="11">
        <f xml:space="preserve"> 27778243.7878409 * 1000</f>
        <v>27778243787.8409</v>
      </c>
    </row>
  </sheetData>
  <phoneticPr fontId="4" type="noConversion"/>
  <hyperlinks>
    <hyperlink ref="B14" r:id="rId1" xr:uid="{82DAB893-1EFC-41C1-92AA-44B1459B5C32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36" customWidth="1"/>
    <col min="3" max="3" width="14" customWidth="1"/>
    <col min="4" max="4" width="30" customWidth="1"/>
  </cols>
  <sheetData>
    <row r="1" spans="1:4" ht="17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5</v>
      </c>
      <c r="C5" t="s">
        <v>13</v>
      </c>
    </row>
    <row r="6" spans="1:4">
      <c r="A6" t="s">
        <v>14</v>
      </c>
      <c r="B6" t="s">
        <v>5</v>
      </c>
      <c r="C6" t="s">
        <v>15</v>
      </c>
    </row>
    <row r="7" spans="1:4">
      <c r="A7" t="s">
        <v>16</v>
      </c>
      <c r="B7" t="s">
        <v>5</v>
      </c>
      <c r="C7" t="s">
        <v>17</v>
      </c>
    </row>
    <row r="8" spans="1:4">
      <c r="A8" t="s">
        <v>18</v>
      </c>
      <c r="B8" t="s">
        <v>5</v>
      </c>
      <c r="C8" t="s">
        <v>17</v>
      </c>
    </row>
    <row r="9" spans="1:4">
      <c r="A9" t="s">
        <v>19</v>
      </c>
      <c r="B9" t="s">
        <v>5</v>
      </c>
      <c r="C9" t="s">
        <v>20</v>
      </c>
    </row>
    <row r="10" spans="1:4">
      <c r="A10" t="s">
        <v>21</v>
      </c>
      <c r="B10" t="s">
        <v>22</v>
      </c>
      <c r="C10" t="s">
        <v>23</v>
      </c>
    </row>
    <row r="11" spans="1:4">
      <c r="A11" t="s">
        <v>24</v>
      </c>
      <c r="B11" t="s">
        <v>22</v>
      </c>
      <c r="C11" t="s">
        <v>23</v>
      </c>
    </row>
    <row r="12" spans="1:4">
      <c r="A12" t="s">
        <v>25</v>
      </c>
      <c r="B12" t="s">
        <v>5</v>
      </c>
      <c r="C12" t="s">
        <v>20</v>
      </c>
    </row>
    <row r="13" spans="1:4">
      <c r="A13" t="s">
        <v>26</v>
      </c>
      <c r="B13" t="s">
        <v>5</v>
      </c>
      <c r="C13" t="s">
        <v>20</v>
      </c>
    </row>
    <row r="14" spans="1:4">
      <c r="A14" t="s">
        <v>27</v>
      </c>
      <c r="B14" t="s">
        <v>22</v>
      </c>
      <c r="C14" t="s">
        <v>23</v>
      </c>
    </row>
    <row r="15" spans="1:4">
      <c r="A15" t="s">
        <v>28</v>
      </c>
      <c r="B15" t="s">
        <v>5</v>
      </c>
      <c r="C15" t="s">
        <v>6</v>
      </c>
      <c r="D15" t="s">
        <v>7</v>
      </c>
    </row>
    <row r="16" spans="1:4">
      <c r="A16" t="s">
        <v>29</v>
      </c>
      <c r="B16" t="s">
        <v>5</v>
      </c>
      <c r="C16" t="s">
        <v>20</v>
      </c>
    </row>
    <row r="17" spans="1:4">
      <c r="A17" t="s">
        <v>30</v>
      </c>
      <c r="B17" t="s">
        <v>5</v>
      </c>
      <c r="C17" t="s">
        <v>9</v>
      </c>
    </row>
    <row r="18" spans="1:4">
      <c r="A18" t="s">
        <v>31</v>
      </c>
      <c r="B18" t="s">
        <v>5</v>
      </c>
      <c r="C18" t="s">
        <v>23</v>
      </c>
    </row>
    <row r="19" spans="1:4">
      <c r="A19" t="s">
        <v>32</v>
      </c>
      <c r="B19" t="s">
        <v>22</v>
      </c>
      <c r="C19" t="s">
        <v>23</v>
      </c>
    </row>
    <row r="20" spans="1:4">
      <c r="A20" t="s">
        <v>33</v>
      </c>
      <c r="B20" t="s">
        <v>22</v>
      </c>
      <c r="C20" t="s">
        <v>23</v>
      </c>
    </row>
    <row r="21" spans="1:4">
      <c r="A21" t="s">
        <v>34</v>
      </c>
      <c r="B21" t="s">
        <v>5</v>
      </c>
      <c r="C21" t="s">
        <v>20</v>
      </c>
    </row>
    <row r="22" spans="1:4">
      <c r="A22" t="s">
        <v>35</v>
      </c>
      <c r="B22" t="s">
        <v>5</v>
      </c>
      <c r="C22" t="s">
        <v>36</v>
      </c>
      <c r="D22" t="s">
        <v>37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M93"/>
  <sheetViews>
    <sheetView workbookViewId="0">
      <pane xSplit="5" ySplit="2" topLeftCell="F3" activePane="bottomRight" state="frozen"/>
      <selection pane="topRight"/>
      <selection pane="bottomLeft"/>
      <selection pane="bottomRight"/>
    </sheetView>
  </sheetViews>
  <sheetFormatPr defaultRowHeight="14.5"/>
  <cols>
    <col min="1" max="1" width="14" customWidth="1"/>
  </cols>
  <sheetData>
    <row r="1" spans="1:6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43</v>
      </c>
      <c r="H1" t="s">
        <v>43</v>
      </c>
      <c r="I1" t="s">
        <v>43</v>
      </c>
      <c r="J1" t="s">
        <v>43</v>
      </c>
      <c r="K1" t="s">
        <v>43</v>
      </c>
      <c r="L1" t="s">
        <v>43</v>
      </c>
      <c r="M1" t="s">
        <v>43</v>
      </c>
      <c r="N1" t="s">
        <v>43</v>
      </c>
      <c r="O1" t="s">
        <v>43</v>
      </c>
      <c r="P1" t="s">
        <v>43</v>
      </c>
      <c r="Q1" t="s">
        <v>43</v>
      </c>
      <c r="R1" t="s">
        <v>43</v>
      </c>
      <c r="S1" t="s">
        <v>43</v>
      </c>
      <c r="T1" t="s">
        <v>43</v>
      </c>
      <c r="U1" t="s">
        <v>43</v>
      </c>
      <c r="V1" t="s">
        <v>43</v>
      </c>
      <c r="W1" t="s">
        <v>43</v>
      </c>
      <c r="X1" t="s">
        <v>43</v>
      </c>
      <c r="Y1" t="s">
        <v>43</v>
      </c>
      <c r="Z1" t="s">
        <v>43</v>
      </c>
      <c r="AA1" t="s">
        <v>43</v>
      </c>
      <c r="AB1" t="s">
        <v>43</v>
      </c>
      <c r="AC1" t="s">
        <v>43</v>
      </c>
      <c r="AD1" t="s">
        <v>43</v>
      </c>
      <c r="AE1" t="s">
        <v>43</v>
      </c>
      <c r="AF1" t="s">
        <v>43</v>
      </c>
      <c r="AG1" t="s">
        <v>43</v>
      </c>
      <c r="AH1" t="s">
        <v>43</v>
      </c>
      <c r="AI1" t="s">
        <v>43</v>
      </c>
      <c r="AJ1" t="s">
        <v>43</v>
      </c>
      <c r="AK1" t="s">
        <v>43</v>
      </c>
      <c r="AL1" t="s">
        <v>43</v>
      </c>
      <c r="AM1" t="s">
        <v>43</v>
      </c>
      <c r="AN1" t="s">
        <v>43</v>
      </c>
      <c r="AO1" t="s">
        <v>43</v>
      </c>
      <c r="AP1" t="s">
        <v>43</v>
      </c>
      <c r="AQ1" t="s">
        <v>43</v>
      </c>
      <c r="AR1" t="s">
        <v>43</v>
      </c>
      <c r="AS1" t="s">
        <v>43</v>
      </c>
      <c r="AT1" t="s">
        <v>43</v>
      </c>
      <c r="AU1" t="s">
        <v>43</v>
      </c>
      <c r="AV1" t="s">
        <v>43</v>
      </c>
      <c r="AW1" t="s">
        <v>43</v>
      </c>
      <c r="AX1" t="s">
        <v>43</v>
      </c>
      <c r="AY1" t="s">
        <v>43</v>
      </c>
      <c r="AZ1" t="s">
        <v>43</v>
      </c>
      <c r="BA1" t="s">
        <v>43</v>
      </c>
      <c r="BB1" t="s">
        <v>43</v>
      </c>
      <c r="BC1" t="s">
        <v>43</v>
      </c>
      <c r="BD1" t="s">
        <v>43</v>
      </c>
      <c r="BE1" t="s">
        <v>43</v>
      </c>
      <c r="BF1" t="s">
        <v>43</v>
      </c>
      <c r="BG1" t="s">
        <v>43</v>
      </c>
      <c r="BH1" t="s">
        <v>43</v>
      </c>
      <c r="BI1" t="s">
        <v>43</v>
      </c>
      <c r="BJ1" t="s">
        <v>43</v>
      </c>
      <c r="BK1" t="s">
        <v>43</v>
      </c>
      <c r="BL1" t="s">
        <v>43</v>
      </c>
      <c r="BM1" t="s">
        <v>43</v>
      </c>
    </row>
    <row r="2" spans="1:6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76</v>
      </c>
      <c r="AM2" t="s">
        <v>77</v>
      </c>
      <c r="AN2" t="s">
        <v>78</v>
      </c>
      <c r="AO2" t="s">
        <v>79</v>
      </c>
      <c r="AP2" t="s">
        <v>80</v>
      </c>
      <c r="AQ2" t="s">
        <v>81</v>
      </c>
      <c r="AR2" t="s">
        <v>82</v>
      </c>
      <c r="AS2" t="s">
        <v>83</v>
      </c>
      <c r="AT2" t="s">
        <v>84</v>
      </c>
      <c r="AU2" t="s">
        <v>85</v>
      </c>
      <c r="AV2" t="s">
        <v>86</v>
      </c>
      <c r="AW2" t="s">
        <v>87</v>
      </c>
      <c r="AX2" t="s">
        <v>88</v>
      </c>
      <c r="AY2" t="s">
        <v>89</v>
      </c>
      <c r="AZ2" t="s">
        <v>90</v>
      </c>
      <c r="BA2" t="s">
        <v>91</v>
      </c>
      <c r="BB2" t="s">
        <v>92</v>
      </c>
      <c r="BC2" t="s">
        <v>93</v>
      </c>
      <c r="BD2" t="s">
        <v>94</v>
      </c>
      <c r="BE2" t="s">
        <v>95</v>
      </c>
      <c r="BF2" t="s">
        <v>96</v>
      </c>
      <c r="BG2" t="s">
        <v>97</v>
      </c>
      <c r="BH2" t="s">
        <v>98</v>
      </c>
      <c r="BI2" t="s">
        <v>99</v>
      </c>
      <c r="BJ2" t="s">
        <v>100</v>
      </c>
      <c r="BK2" t="s">
        <v>101</v>
      </c>
      <c r="BL2" t="s">
        <v>102</v>
      </c>
      <c r="BM2" t="s">
        <v>103</v>
      </c>
    </row>
    <row r="3" spans="1:65">
      <c r="A3" t="s">
        <v>104</v>
      </c>
      <c r="B3" t="s">
        <v>105</v>
      </c>
      <c r="C3" t="s">
        <v>105</v>
      </c>
      <c r="D3" t="s">
        <v>105</v>
      </c>
      <c r="E3" t="s">
        <v>105</v>
      </c>
      <c r="F3">
        <v>512.70000000000005</v>
      </c>
      <c r="G3" t="s">
        <v>106</v>
      </c>
      <c r="H3" t="s">
        <v>106</v>
      </c>
      <c r="I3" t="s">
        <v>106</v>
      </c>
      <c r="J3" t="s">
        <v>106</v>
      </c>
      <c r="K3" t="s">
        <v>106</v>
      </c>
      <c r="L3" t="s">
        <v>106</v>
      </c>
      <c r="M3" t="s">
        <v>106</v>
      </c>
      <c r="N3" t="s">
        <v>106</v>
      </c>
      <c r="O3" t="s">
        <v>106</v>
      </c>
      <c r="P3" t="s">
        <v>106</v>
      </c>
      <c r="Q3" t="s">
        <v>106</v>
      </c>
      <c r="R3" t="s">
        <v>106</v>
      </c>
      <c r="S3">
        <v>259</v>
      </c>
      <c r="T3" t="s">
        <v>106</v>
      </c>
      <c r="U3">
        <v>22.7</v>
      </c>
      <c r="V3" t="s">
        <v>106</v>
      </c>
      <c r="W3" t="s">
        <v>106</v>
      </c>
      <c r="X3" t="s">
        <v>106</v>
      </c>
      <c r="Y3" t="s">
        <v>106</v>
      </c>
      <c r="Z3" t="s">
        <v>106</v>
      </c>
      <c r="AA3" t="s">
        <v>106</v>
      </c>
      <c r="AB3" t="s">
        <v>106</v>
      </c>
      <c r="AC3" t="s">
        <v>106</v>
      </c>
      <c r="AD3" t="s">
        <v>106</v>
      </c>
      <c r="AE3" t="s">
        <v>106</v>
      </c>
      <c r="AF3" t="s">
        <v>106</v>
      </c>
      <c r="AG3" t="s">
        <v>106</v>
      </c>
      <c r="AH3" t="s">
        <v>106</v>
      </c>
      <c r="AI3" t="s">
        <v>106</v>
      </c>
      <c r="AJ3" t="s">
        <v>106</v>
      </c>
      <c r="AK3" t="s">
        <v>106</v>
      </c>
      <c r="AL3" t="s">
        <v>106</v>
      </c>
      <c r="AM3" t="s">
        <v>106</v>
      </c>
      <c r="AN3" t="s">
        <v>106</v>
      </c>
      <c r="AO3" t="s">
        <v>106</v>
      </c>
      <c r="AP3" t="s">
        <v>106</v>
      </c>
      <c r="AQ3" t="s">
        <v>106</v>
      </c>
      <c r="AR3">
        <v>1806.9</v>
      </c>
      <c r="AS3">
        <v>974.1</v>
      </c>
      <c r="AT3">
        <v>669.9</v>
      </c>
      <c r="AU3">
        <v>2804.4</v>
      </c>
      <c r="AV3">
        <v>96.3</v>
      </c>
      <c r="AW3">
        <v>75.5</v>
      </c>
      <c r="AX3" t="s">
        <v>106</v>
      </c>
      <c r="AY3">
        <v>687.8</v>
      </c>
      <c r="AZ3">
        <v>488.9</v>
      </c>
      <c r="BA3" t="s">
        <v>106</v>
      </c>
      <c r="BB3">
        <v>31078.799999999999</v>
      </c>
      <c r="BC3">
        <v>594.5</v>
      </c>
      <c r="BD3">
        <v>224.7</v>
      </c>
      <c r="BE3">
        <v>3016.7</v>
      </c>
      <c r="BF3">
        <v>26.9</v>
      </c>
      <c r="BG3">
        <v>101</v>
      </c>
      <c r="BH3">
        <v>570.70000000000005</v>
      </c>
      <c r="BI3" t="s">
        <v>106</v>
      </c>
      <c r="BJ3" t="s">
        <v>106</v>
      </c>
      <c r="BK3">
        <v>66.3</v>
      </c>
      <c r="BL3">
        <v>44077.9</v>
      </c>
      <c r="BM3">
        <v>12138.4</v>
      </c>
    </row>
    <row r="4" spans="1:65">
      <c r="A4" t="s">
        <v>107</v>
      </c>
      <c r="B4" t="s">
        <v>105</v>
      </c>
      <c r="C4" t="s">
        <v>105</v>
      </c>
      <c r="D4" t="s">
        <v>105</v>
      </c>
      <c r="E4" t="s">
        <v>105</v>
      </c>
      <c r="F4" t="s">
        <v>106</v>
      </c>
      <c r="G4">
        <v>3470.3</v>
      </c>
      <c r="H4">
        <v>15767.8</v>
      </c>
      <c r="I4">
        <v>65146.6</v>
      </c>
      <c r="J4">
        <v>955.6</v>
      </c>
      <c r="K4">
        <v>0</v>
      </c>
      <c r="L4">
        <v>15.4</v>
      </c>
      <c r="M4">
        <v>2.2000000000000002</v>
      </c>
      <c r="N4">
        <v>227.6</v>
      </c>
      <c r="O4" t="s">
        <v>106</v>
      </c>
      <c r="P4" t="s">
        <v>106</v>
      </c>
      <c r="Q4" t="s">
        <v>106</v>
      </c>
      <c r="R4" t="s">
        <v>106</v>
      </c>
      <c r="S4">
        <v>53217.3</v>
      </c>
      <c r="T4" t="s">
        <v>106</v>
      </c>
      <c r="U4">
        <v>157205.70000000001</v>
      </c>
      <c r="V4">
        <v>687.5</v>
      </c>
      <c r="W4" t="s">
        <v>106</v>
      </c>
      <c r="X4">
        <v>62.2</v>
      </c>
      <c r="Y4" t="s">
        <v>106</v>
      </c>
      <c r="Z4">
        <v>7255.1</v>
      </c>
      <c r="AA4">
        <v>2117.6999999999998</v>
      </c>
      <c r="AB4">
        <v>16.2</v>
      </c>
      <c r="AC4">
        <v>0.5</v>
      </c>
      <c r="AD4" t="s">
        <v>106</v>
      </c>
      <c r="AE4" t="s">
        <v>106</v>
      </c>
      <c r="AF4">
        <v>4.9000000000000004</v>
      </c>
      <c r="AG4">
        <v>19.8</v>
      </c>
      <c r="AH4" t="s">
        <v>106</v>
      </c>
      <c r="AI4" t="s">
        <v>106</v>
      </c>
      <c r="AJ4">
        <v>5001.3999999999996</v>
      </c>
      <c r="AK4">
        <v>27713.1</v>
      </c>
      <c r="AL4">
        <v>0.4</v>
      </c>
      <c r="AM4">
        <v>5.2</v>
      </c>
      <c r="AN4" t="s">
        <v>106</v>
      </c>
      <c r="AO4" t="s">
        <v>106</v>
      </c>
      <c r="AP4" t="s">
        <v>106</v>
      </c>
      <c r="AQ4">
        <v>6.2</v>
      </c>
      <c r="AR4" t="s">
        <v>106</v>
      </c>
      <c r="AS4" t="s">
        <v>106</v>
      </c>
      <c r="AT4" t="s">
        <v>106</v>
      </c>
      <c r="AU4" t="s">
        <v>106</v>
      </c>
      <c r="AV4" t="s">
        <v>106</v>
      </c>
      <c r="AW4" t="s">
        <v>106</v>
      </c>
      <c r="AX4" t="s">
        <v>106</v>
      </c>
      <c r="AY4" t="s">
        <v>106</v>
      </c>
      <c r="AZ4" t="s">
        <v>106</v>
      </c>
      <c r="BA4" t="s">
        <v>106</v>
      </c>
      <c r="BB4" t="s">
        <v>106</v>
      </c>
      <c r="BC4" t="s">
        <v>106</v>
      </c>
      <c r="BD4" t="s">
        <v>106</v>
      </c>
      <c r="BE4" t="s">
        <v>106</v>
      </c>
      <c r="BF4" t="s">
        <v>106</v>
      </c>
      <c r="BG4" t="s">
        <v>106</v>
      </c>
      <c r="BH4" t="s">
        <v>106</v>
      </c>
      <c r="BI4" t="s">
        <v>106</v>
      </c>
      <c r="BJ4" t="s">
        <v>106</v>
      </c>
      <c r="BK4" t="s">
        <v>106</v>
      </c>
      <c r="BL4">
        <v>338898.7</v>
      </c>
      <c r="BM4" t="s">
        <v>106</v>
      </c>
    </row>
    <row r="5" spans="1:65">
      <c r="A5" t="s">
        <v>108</v>
      </c>
      <c r="B5" t="s">
        <v>105</v>
      </c>
      <c r="C5" t="s">
        <v>105</v>
      </c>
      <c r="D5" t="s">
        <v>105</v>
      </c>
      <c r="E5" t="s">
        <v>105</v>
      </c>
      <c r="F5" t="s">
        <v>106</v>
      </c>
      <c r="G5">
        <v>-0.2</v>
      </c>
      <c r="H5" t="s">
        <v>106</v>
      </c>
      <c r="I5" t="s">
        <v>106</v>
      </c>
      <c r="J5">
        <v>0</v>
      </c>
      <c r="K5" t="s">
        <v>106</v>
      </c>
      <c r="L5">
        <v>0</v>
      </c>
      <c r="M5" t="s">
        <v>106</v>
      </c>
      <c r="N5">
        <v>-11.7</v>
      </c>
      <c r="O5" t="s">
        <v>106</v>
      </c>
      <c r="P5" t="s">
        <v>106</v>
      </c>
      <c r="Q5" t="s">
        <v>106</v>
      </c>
      <c r="R5" t="s">
        <v>106</v>
      </c>
      <c r="S5" t="s">
        <v>106</v>
      </c>
      <c r="T5" t="s">
        <v>106</v>
      </c>
      <c r="U5" t="s">
        <v>106</v>
      </c>
      <c r="V5">
        <v>-64.599999999999994</v>
      </c>
      <c r="W5" t="s">
        <v>106</v>
      </c>
      <c r="X5">
        <v>-73.5</v>
      </c>
      <c r="Y5" t="s">
        <v>106</v>
      </c>
      <c r="Z5">
        <v>-498.5</v>
      </c>
      <c r="AA5">
        <v>-74</v>
      </c>
      <c r="AB5">
        <v>-10910.8</v>
      </c>
      <c r="AC5">
        <v>-26.1</v>
      </c>
      <c r="AD5" t="s">
        <v>106</v>
      </c>
      <c r="AE5">
        <v>-15896.1</v>
      </c>
      <c r="AF5">
        <v>-581.6</v>
      </c>
      <c r="AG5">
        <v>-28027.9</v>
      </c>
      <c r="AH5">
        <v>-33.299999999999997</v>
      </c>
      <c r="AI5" t="s">
        <v>106</v>
      </c>
      <c r="AJ5">
        <v>-2731.6</v>
      </c>
      <c r="AK5">
        <v>-5808</v>
      </c>
      <c r="AL5">
        <v>-156.9</v>
      </c>
      <c r="AM5">
        <v>-2416.3000000000002</v>
      </c>
      <c r="AN5">
        <v>-3324.6</v>
      </c>
      <c r="AO5" t="s">
        <v>106</v>
      </c>
      <c r="AP5" t="s">
        <v>106</v>
      </c>
      <c r="AQ5">
        <v>-1888.5</v>
      </c>
      <c r="AR5" t="s">
        <v>106</v>
      </c>
      <c r="AS5" t="s">
        <v>106</v>
      </c>
      <c r="AT5" t="s">
        <v>106</v>
      </c>
      <c r="AU5" t="s">
        <v>106</v>
      </c>
      <c r="AV5" t="s">
        <v>106</v>
      </c>
      <c r="AW5" t="s">
        <v>106</v>
      </c>
      <c r="AX5" t="s">
        <v>106</v>
      </c>
      <c r="AY5" t="s">
        <v>106</v>
      </c>
      <c r="AZ5" t="s">
        <v>106</v>
      </c>
      <c r="BA5" t="s">
        <v>106</v>
      </c>
      <c r="BB5" t="s">
        <v>106</v>
      </c>
      <c r="BC5" t="s">
        <v>106</v>
      </c>
      <c r="BD5" t="s">
        <v>106</v>
      </c>
      <c r="BE5" t="s">
        <v>106</v>
      </c>
      <c r="BF5" t="s">
        <v>106</v>
      </c>
      <c r="BG5" t="s">
        <v>106</v>
      </c>
      <c r="BH5" t="s">
        <v>106</v>
      </c>
      <c r="BI5" t="s">
        <v>106</v>
      </c>
      <c r="BJ5" t="s">
        <v>106</v>
      </c>
      <c r="BK5" t="s">
        <v>106</v>
      </c>
      <c r="BL5">
        <v>-72524.100000000006</v>
      </c>
      <c r="BM5" t="s">
        <v>106</v>
      </c>
    </row>
    <row r="6" spans="1:65">
      <c r="A6" t="s">
        <v>109</v>
      </c>
      <c r="B6" t="s">
        <v>105</v>
      </c>
      <c r="C6" t="s">
        <v>105</v>
      </c>
      <c r="D6" t="s">
        <v>105</v>
      </c>
      <c r="E6" t="s">
        <v>105</v>
      </c>
      <c r="F6" t="s">
        <v>106</v>
      </c>
      <c r="G6" t="s">
        <v>106</v>
      </c>
      <c r="H6" t="s">
        <v>106</v>
      </c>
      <c r="I6" t="s">
        <v>106</v>
      </c>
      <c r="J6" t="s">
        <v>106</v>
      </c>
      <c r="K6" t="s">
        <v>106</v>
      </c>
      <c r="L6" t="s">
        <v>106</v>
      </c>
      <c r="M6" t="s">
        <v>106</v>
      </c>
      <c r="N6" t="s">
        <v>106</v>
      </c>
      <c r="O6" t="s">
        <v>106</v>
      </c>
      <c r="P6" t="s">
        <v>106</v>
      </c>
      <c r="Q6" t="s">
        <v>106</v>
      </c>
      <c r="R6" t="s">
        <v>106</v>
      </c>
      <c r="S6" t="s">
        <v>106</v>
      </c>
      <c r="T6" t="s">
        <v>106</v>
      </c>
      <c r="U6" t="s">
        <v>106</v>
      </c>
      <c r="V6" t="s">
        <v>106</v>
      </c>
      <c r="W6" t="s">
        <v>106</v>
      </c>
      <c r="X6" t="s">
        <v>106</v>
      </c>
      <c r="Y6" t="s">
        <v>106</v>
      </c>
      <c r="Z6">
        <v>0</v>
      </c>
      <c r="AA6" t="s">
        <v>106</v>
      </c>
      <c r="AB6" t="s">
        <v>106</v>
      </c>
      <c r="AC6" t="s">
        <v>106</v>
      </c>
      <c r="AD6" t="s">
        <v>106</v>
      </c>
      <c r="AE6" t="s">
        <v>106</v>
      </c>
      <c r="AF6" t="s">
        <v>106</v>
      </c>
      <c r="AG6">
        <v>-1290.5</v>
      </c>
      <c r="AH6">
        <v>-54.3</v>
      </c>
      <c r="AI6">
        <v>-2</v>
      </c>
      <c r="AJ6">
        <v>-7111.6</v>
      </c>
      <c r="AK6" t="s">
        <v>106</v>
      </c>
      <c r="AL6">
        <v>0</v>
      </c>
      <c r="AM6" t="s">
        <v>106</v>
      </c>
      <c r="AN6" t="s">
        <v>106</v>
      </c>
      <c r="AO6" t="s">
        <v>106</v>
      </c>
      <c r="AP6" t="s">
        <v>106</v>
      </c>
      <c r="AQ6" t="s">
        <v>106</v>
      </c>
      <c r="AR6" t="s">
        <v>106</v>
      </c>
      <c r="AS6" t="s">
        <v>106</v>
      </c>
      <c r="AT6" t="s">
        <v>106</v>
      </c>
      <c r="AU6" t="s">
        <v>106</v>
      </c>
      <c r="AV6" t="s">
        <v>106</v>
      </c>
      <c r="AW6" t="s">
        <v>106</v>
      </c>
      <c r="AX6" t="s">
        <v>106</v>
      </c>
      <c r="AY6" t="s">
        <v>106</v>
      </c>
      <c r="AZ6" t="s">
        <v>106</v>
      </c>
      <c r="BA6" t="s">
        <v>106</v>
      </c>
      <c r="BB6" t="s">
        <v>106</v>
      </c>
      <c r="BC6" t="s">
        <v>106</v>
      </c>
      <c r="BD6" t="s">
        <v>106</v>
      </c>
      <c r="BE6" t="s">
        <v>106</v>
      </c>
      <c r="BF6" t="s">
        <v>106</v>
      </c>
      <c r="BG6" t="s">
        <v>106</v>
      </c>
      <c r="BH6" t="s">
        <v>106</v>
      </c>
      <c r="BI6" t="s">
        <v>106</v>
      </c>
      <c r="BJ6" t="s">
        <v>106</v>
      </c>
      <c r="BK6" t="s">
        <v>106</v>
      </c>
      <c r="BL6">
        <v>-8458.4</v>
      </c>
      <c r="BM6" t="s">
        <v>106</v>
      </c>
    </row>
    <row r="7" spans="1:65">
      <c r="A7" t="s">
        <v>110</v>
      </c>
      <c r="B7" t="s">
        <v>105</v>
      </c>
      <c r="C7" t="s">
        <v>105</v>
      </c>
      <c r="D7" t="s">
        <v>105</v>
      </c>
      <c r="E7" t="s">
        <v>105</v>
      </c>
      <c r="F7" t="s">
        <v>106</v>
      </c>
      <c r="G7" t="s">
        <v>106</v>
      </c>
      <c r="H7" t="s">
        <v>106</v>
      </c>
      <c r="I7" t="s">
        <v>106</v>
      </c>
      <c r="J7" t="s">
        <v>106</v>
      </c>
      <c r="K7" t="s">
        <v>106</v>
      </c>
      <c r="L7" t="s">
        <v>106</v>
      </c>
      <c r="M7" t="s">
        <v>106</v>
      </c>
      <c r="N7" t="s">
        <v>106</v>
      </c>
      <c r="O7" t="s">
        <v>106</v>
      </c>
      <c r="P7" t="s">
        <v>106</v>
      </c>
      <c r="Q7" t="s">
        <v>106</v>
      </c>
      <c r="R7" t="s">
        <v>106</v>
      </c>
      <c r="S7" t="s">
        <v>106</v>
      </c>
      <c r="T7" t="s">
        <v>106</v>
      </c>
      <c r="U7" t="s">
        <v>106</v>
      </c>
      <c r="V7" t="s">
        <v>106</v>
      </c>
      <c r="W7" t="s">
        <v>106</v>
      </c>
      <c r="X7" t="s">
        <v>106</v>
      </c>
      <c r="Y7" t="s">
        <v>106</v>
      </c>
      <c r="Z7" t="s">
        <v>106</v>
      </c>
      <c r="AA7" t="s">
        <v>106</v>
      </c>
      <c r="AB7" t="s">
        <v>106</v>
      </c>
      <c r="AC7">
        <v>-0.5</v>
      </c>
      <c r="AD7" t="s">
        <v>106</v>
      </c>
      <c r="AE7">
        <v>-5596.8</v>
      </c>
      <c r="AF7" t="s">
        <v>106</v>
      </c>
      <c r="AG7" t="s">
        <v>106</v>
      </c>
      <c r="AH7" t="s">
        <v>106</v>
      </c>
      <c r="AI7" t="s">
        <v>106</v>
      </c>
      <c r="AJ7" t="s">
        <v>106</v>
      </c>
      <c r="AK7" t="s">
        <v>106</v>
      </c>
      <c r="AL7" t="s">
        <v>106</v>
      </c>
      <c r="AM7" t="s">
        <v>106</v>
      </c>
      <c r="AN7" t="s">
        <v>106</v>
      </c>
      <c r="AO7" t="s">
        <v>106</v>
      </c>
      <c r="AP7" t="s">
        <v>106</v>
      </c>
      <c r="AQ7" t="s">
        <v>106</v>
      </c>
      <c r="AR7" t="s">
        <v>106</v>
      </c>
      <c r="AS7" t="s">
        <v>106</v>
      </c>
      <c r="AT7" t="s">
        <v>106</v>
      </c>
      <c r="AU7" t="s">
        <v>106</v>
      </c>
      <c r="AV7" t="s">
        <v>106</v>
      </c>
      <c r="AW7" t="s">
        <v>106</v>
      </c>
      <c r="AX7" t="s">
        <v>106</v>
      </c>
      <c r="AY7" t="s">
        <v>106</v>
      </c>
      <c r="AZ7" t="s">
        <v>106</v>
      </c>
      <c r="BA7" t="s">
        <v>106</v>
      </c>
      <c r="BB7" t="s">
        <v>106</v>
      </c>
      <c r="BC7" t="s">
        <v>106</v>
      </c>
      <c r="BD7" t="s">
        <v>106</v>
      </c>
      <c r="BE7" t="s">
        <v>106</v>
      </c>
      <c r="BF7" t="s">
        <v>106</v>
      </c>
      <c r="BG7" t="s">
        <v>106</v>
      </c>
      <c r="BH7" t="s">
        <v>106</v>
      </c>
      <c r="BI7" t="s">
        <v>106</v>
      </c>
      <c r="BJ7" t="s">
        <v>106</v>
      </c>
      <c r="BK7" t="s">
        <v>106</v>
      </c>
      <c r="BL7">
        <v>-5597.4</v>
      </c>
      <c r="BM7" t="s">
        <v>106</v>
      </c>
    </row>
    <row r="8" spans="1:65">
      <c r="A8" t="s">
        <v>111</v>
      </c>
      <c r="B8" t="s">
        <v>105</v>
      </c>
      <c r="C8" t="s">
        <v>105</v>
      </c>
      <c r="D8" t="s">
        <v>105</v>
      </c>
      <c r="E8" t="s">
        <v>105</v>
      </c>
      <c r="F8">
        <v>-55.8</v>
      </c>
      <c r="G8">
        <v>28.8</v>
      </c>
      <c r="H8">
        <v>-547.20000000000005</v>
      </c>
      <c r="I8">
        <v>-509.5</v>
      </c>
      <c r="J8" t="s">
        <v>106</v>
      </c>
      <c r="K8" t="s">
        <v>106</v>
      </c>
      <c r="L8" t="s">
        <v>106</v>
      </c>
      <c r="M8" t="s">
        <v>106</v>
      </c>
      <c r="N8">
        <v>-47.4</v>
      </c>
      <c r="O8" t="s">
        <v>106</v>
      </c>
      <c r="P8" t="s">
        <v>106</v>
      </c>
      <c r="Q8" t="s">
        <v>106</v>
      </c>
      <c r="R8" t="s">
        <v>106</v>
      </c>
      <c r="S8">
        <v>398.8</v>
      </c>
      <c r="T8" t="s">
        <v>106</v>
      </c>
      <c r="U8">
        <v>955</v>
      </c>
      <c r="V8">
        <v>-140.4</v>
      </c>
      <c r="W8">
        <v>-0.1</v>
      </c>
      <c r="X8">
        <v>0.3</v>
      </c>
      <c r="Y8" t="s">
        <v>106</v>
      </c>
      <c r="Z8">
        <v>56.9</v>
      </c>
      <c r="AA8">
        <v>56.6</v>
      </c>
      <c r="AB8">
        <v>129.69999999999999</v>
      </c>
      <c r="AC8">
        <v>2.5</v>
      </c>
      <c r="AD8" t="s">
        <v>106</v>
      </c>
      <c r="AE8">
        <v>12.5</v>
      </c>
      <c r="AF8">
        <v>-32.700000000000003</v>
      </c>
      <c r="AG8">
        <v>97</v>
      </c>
      <c r="AH8">
        <v>21.8</v>
      </c>
      <c r="AI8">
        <v>-0.7</v>
      </c>
      <c r="AJ8">
        <v>299.10000000000002</v>
      </c>
      <c r="AK8">
        <v>429.1</v>
      </c>
      <c r="AL8">
        <v>0.9</v>
      </c>
      <c r="AM8">
        <v>-20.9</v>
      </c>
      <c r="AN8">
        <v>19.8</v>
      </c>
      <c r="AO8">
        <v>0.6</v>
      </c>
      <c r="AP8">
        <v>-3.1</v>
      </c>
      <c r="AQ8">
        <v>-24.8</v>
      </c>
      <c r="AR8" t="s">
        <v>106</v>
      </c>
      <c r="AS8" t="s">
        <v>106</v>
      </c>
      <c r="AT8" t="s">
        <v>106</v>
      </c>
      <c r="AU8" t="s">
        <v>106</v>
      </c>
      <c r="AV8" t="s">
        <v>106</v>
      </c>
      <c r="AW8" t="s">
        <v>106</v>
      </c>
      <c r="AX8" t="s">
        <v>106</v>
      </c>
      <c r="AY8">
        <v>-2.5</v>
      </c>
      <c r="AZ8" t="s">
        <v>106</v>
      </c>
      <c r="BA8" t="s">
        <v>106</v>
      </c>
      <c r="BB8" t="s">
        <v>106</v>
      </c>
      <c r="BC8" t="s">
        <v>106</v>
      </c>
      <c r="BD8" t="s">
        <v>106</v>
      </c>
      <c r="BE8" t="s">
        <v>106</v>
      </c>
      <c r="BF8" t="s">
        <v>106</v>
      </c>
      <c r="BG8" t="s">
        <v>106</v>
      </c>
      <c r="BH8" t="s">
        <v>106</v>
      </c>
      <c r="BI8" t="s">
        <v>106</v>
      </c>
      <c r="BJ8" t="s">
        <v>106</v>
      </c>
      <c r="BK8" t="s">
        <v>106</v>
      </c>
      <c r="BL8">
        <v>1124</v>
      </c>
      <c r="BM8">
        <v>-2.5</v>
      </c>
    </row>
    <row r="9" spans="1:65">
      <c r="A9" t="s">
        <v>112</v>
      </c>
      <c r="B9" t="s">
        <v>105</v>
      </c>
      <c r="C9" t="s">
        <v>105</v>
      </c>
      <c r="D9" t="s">
        <v>105</v>
      </c>
      <c r="E9" t="s">
        <v>105</v>
      </c>
      <c r="F9">
        <v>456.9</v>
      </c>
      <c r="G9">
        <v>3499</v>
      </c>
      <c r="H9">
        <v>15220.5</v>
      </c>
      <c r="I9">
        <v>64637</v>
      </c>
      <c r="J9">
        <v>955.6</v>
      </c>
      <c r="K9">
        <v>0</v>
      </c>
      <c r="L9">
        <v>15.4</v>
      </c>
      <c r="M9">
        <v>2.2000000000000002</v>
      </c>
      <c r="N9">
        <v>168.6</v>
      </c>
      <c r="O9" t="s">
        <v>106</v>
      </c>
      <c r="P9" t="s">
        <v>106</v>
      </c>
      <c r="Q9" t="s">
        <v>106</v>
      </c>
      <c r="R9" t="s">
        <v>106</v>
      </c>
      <c r="S9">
        <v>53875.1</v>
      </c>
      <c r="T9" t="s">
        <v>106</v>
      </c>
      <c r="U9">
        <v>158183.29999999999</v>
      </c>
      <c r="V9">
        <v>482.5</v>
      </c>
      <c r="W9">
        <v>-0.1</v>
      </c>
      <c r="X9">
        <v>-11</v>
      </c>
      <c r="Y9" t="s">
        <v>106</v>
      </c>
      <c r="Z9">
        <v>6813.4</v>
      </c>
      <c r="AA9">
        <v>2100.3000000000002</v>
      </c>
      <c r="AB9">
        <v>-10764.9</v>
      </c>
      <c r="AC9">
        <v>-23.7</v>
      </c>
      <c r="AD9" t="s">
        <v>106</v>
      </c>
      <c r="AE9">
        <v>-21480.400000000001</v>
      </c>
      <c r="AF9">
        <v>-609.4</v>
      </c>
      <c r="AG9">
        <v>-29201.599999999999</v>
      </c>
      <c r="AH9">
        <v>-65.8</v>
      </c>
      <c r="AI9">
        <v>-2.7</v>
      </c>
      <c r="AJ9">
        <v>-4542.7</v>
      </c>
      <c r="AK9">
        <v>22334.2</v>
      </c>
      <c r="AL9">
        <v>-155.6</v>
      </c>
      <c r="AM9">
        <v>-2432</v>
      </c>
      <c r="AN9">
        <v>-3304.8</v>
      </c>
      <c r="AO9">
        <v>0.6</v>
      </c>
      <c r="AP9">
        <v>-3.1</v>
      </c>
      <c r="AQ9">
        <v>-1907.1</v>
      </c>
      <c r="AR9">
        <v>1806.9</v>
      </c>
      <c r="AS9">
        <v>974.1</v>
      </c>
      <c r="AT9">
        <v>669.9</v>
      </c>
      <c r="AU9">
        <v>2804.4</v>
      </c>
      <c r="AV9">
        <v>96.3</v>
      </c>
      <c r="AW9">
        <v>75.5</v>
      </c>
      <c r="AX9" t="s">
        <v>106</v>
      </c>
      <c r="AY9">
        <v>685.3</v>
      </c>
      <c r="AZ9">
        <v>488.9</v>
      </c>
      <c r="BA9" t="s">
        <v>106</v>
      </c>
      <c r="BB9">
        <v>31078.799999999999</v>
      </c>
      <c r="BC9">
        <v>594.5</v>
      </c>
      <c r="BD9">
        <v>224.7</v>
      </c>
      <c r="BE9">
        <v>3016.7</v>
      </c>
      <c r="BF9">
        <v>26.9</v>
      </c>
      <c r="BG9">
        <v>101</v>
      </c>
      <c r="BH9">
        <v>570.70000000000005</v>
      </c>
      <c r="BI9" t="s">
        <v>106</v>
      </c>
      <c r="BJ9" t="s">
        <v>106</v>
      </c>
      <c r="BK9">
        <v>66.3</v>
      </c>
      <c r="BL9">
        <v>297520.7</v>
      </c>
      <c r="BM9">
        <v>12135.9</v>
      </c>
    </row>
    <row r="10" spans="1:65">
      <c r="A10" t="s">
        <v>113</v>
      </c>
      <c r="B10" t="s">
        <v>105</v>
      </c>
      <c r="C10" t="s">
        <v>105</v>
      </c>
      <c r="D10" t="s">
        <v>105</v>
      </c>
      <c r="E10" t="s">
        <v>105</v>
      </c>
      <c r="F10" t="s">
        <v>106</v>
      </c>
      <c r="G10" t="s">
        <v>106</v>
      </c>
      <c r="H10" t="s">
        <v>106</v>
      </c>
      <c r="I10" t="s">
        <v>106</v>
      </c>
      <c r="J10" t="s">
        <v>106</v>
      </c>
      <c r="K10" t="s">
        <v>106</v>
      </c>
      <c r="L10" t="s">
        <v>106</v>
      </c>
      <c r="M10" t="s">
        <v>106</v>
      </c>
      <c r="N10" t="s">
        <v>106</v>
      </c>
      <c r="O10" t="s">
        <v>106</v>
      </c>
      <c r="P10" t="s">
        <v>106</v>
      </c>
      <c r="Q10" t="s">
        <v>106</v>
      </c>
      <c r="R10" t="s">
        <v>106</v>
      </c>
      <c r="S10" t="s">
        <v>106</v>
      </c>
      <c r="T10" t="s">
        <v>106</v>
      </c>
      <c r="U10" t="s">
        <v>106</v>
      </c>
      <c r="V10">
        <v>17202.900000000001</v>
      </c>
      <c r="W10">
        <v>0</v>
      </c>
      <c r="X10" t="s">
        <v>106</v>
      </c>
      <c r="Y10">
        <v>0</v>
      </c>
      <c r="Z10">
        <v>-561.29999999999995</v>
      </c>
      <c r="AA10">
        <v>173.3</v>
      </c>
      <c r="AB10">
        <v>-77.099999999999994</v>
      </c>
      <c r="AC10">
        <v>12.8</v>
      </c>
      <c r="AD10" t="s">
        <v>106</v>
      </c>
      <c r="AE10">
        <v>-241</v>
      </c>
      <c r="AF10">
        <v>118.6</v>
      </c>
      <c r="AG10">
        <v>95.7</v>
      </c>
      <c r="AH10">
        <v>-39.9</v>
      </c>
      <c r="AI10">
        <v>46.7</v>
      </c>
      <c r="AJ10">
        <v>-2479.6</v>
      </c>
      <c r="AK10">
        <v>-8719</v>
      </c>
      <c r="AL10">
        <v>-173.9</v>
      </c>
      <c r="AM10">
        <v>-13.6</v>
      </c>
      <c r="AN10" t="s">
        <v>106</v>
      </c>
      <c r="AO10" t="s">
        <v>106</v>
      </c>
      <c r="AP10" t="s">
        <v>106</v>
      </c>
      <c r="AQ10">
        <v>0.1</v>
      </c>
      <c r="AR10" t="s">
        <v>106</v>
      </c>
      <c r="AS10" t="s">
        <v>106</v>
      </c>
      <c r="AT10" t="s">
        <v>106</v>
      </c>
      <c r="AU10" t="s">
        <v>106</v>
      </c>
      <c r="AV10" t="s">
        <v>106</v>
      </c>
      <c r="AW10" t="s">
        <v>106</v>
      </c>
      <c r="AX10" t="s">
        <v>106</v>
      </c>
      <c r="AY10" t="s">
        <v>106</v>
      </c>
      <c r="AZ10" t="s">
        <v>106</v>
      </c>
      <c r="BA10" t="s">
        <v>106</v>
      </c>
      <c r="BB10" t="s">
        <v>106</v>
      </c>
      <c r="BC10" t="s">
        <v>106</v>
      </c>
      <c r="BD10" t="s">
        <v>106</v>
      </c>
      <c r="BE10" t="s">
        <v>106</v>
      </c>
      <c r="BF10" t="s">
        <v>106</v>
      </c>
      <c r="BG10" t="s">
        <v>106</v>
      </c>
      <c r="BH10" t="s">
        <v>106</v>
      </c>
      <c r="BI10" t="s">
        <v>106</v>
      </c>
      <c r="BJ10" t="s">
        <v>106</v>
      </c>
      <c r="BK10" t="s">
        <v>106</v>
      </c>
      <c r="BL10">
        <v>5344.6</v>
      </c>
      <c r="BM10">
        <v>0</v>
      </c>
    </row>
    <row r="11" spans="1:65">
      <c r="A11" t="s">
        <v>114</v>
      </c>
      <c r="B11" t="s">
        <v>105</v>
      </c>
      <c r="C11" t="s">
        <v>105</v>
      </c>
      <c r="D11" t="s">
        <v>105</v>
      </c>
      <c r="E11" t="s">
        <v>105</v>
      </c>
      <c r="F11">
        <v>19.8</v>
      </c>
      <c r="G11">
        <v>-28.6</v>
      </c>
      <c r="H11">
        <v>3000.4</v>
      </c>
      <c r="I11">
        <v>-2257.4</v>
      </c>
      <c r="J11" t="s">
        <v>106</v>
      </c>
      <c r="K11" t="s">
        <v>106</v>
      </c>
      <c r="L11" t="s">
        <v>106</v>
      </c>
      <c r="M11" t="s">
        <v>106</v>
      </c>
      <c r="N11">
        <v>10</v>
      </c>
      <c r="O11" t="s">
        <v>106</v>
      </c>
      <c r="P11" t="s">
        <v>106</v>
      </c>
      <c r="Q11" t="s">
        <v>106</v>
      </c>
      <c r="R11" t="s">
        <v>106</v>
      </c>
      <c r="S11">
        <v>-341.9</v>
      </c>
      <c r="T11">
        <v>490.5</v>
      </c>
      <c r="U11">
        <v>-2107.8000000000002</v>
      </c>
      <c r="V11">
        <v>-24.1</v>
      </c>
      <c r="W11">
        <v>0.1</v>
      </c>
      <c r="X11">
        <v>0.3</v>
      </c>
      <c r="Y11">
        <v>0.5</v>
      </c>
      <c r="Z11">
        <v>-6.1</v>
      </c>
      <c r="AA11">
        <v>4.3</v>
      </c>
      <c r="AB11">
        <v>-25.9</v>
      </c>
      <c r="AC11" t="s">
        <v>106</v>
      </c>
      <c r="AD11" t="s">
        <v>106</v>
      </c>
      <c r="AE11">
        <v>-122.8</v>
      </c>
      <c r="AF11">
        <v>6.1</v>
      </c>
      <c r="AG11">
        <v>-2.1</v>
      </c>
      <c r="AH11">
        <v>0.5</v>
      </c>
      <c r="AI11">
        <v>0</v>
      </c>
      <c r="AJ11">
        <v>-5.3</v>
      </c>
      <c r="AK11">
        <v>1.7</v>
      </c>
      <c r="AL11">
        <v>0.1</v>
      </c>
      <c r="AM11">
        <v>-0.4</v>
      </c>
      <c r="AN11">
        <v>0.9</v>
      </c>
      <c r="AO11" t="s">
        <v>106</v>
      </c>
      <c r="AP11" t="s">
        <v>106</v>
      </c>
      <c r="AQ11">
        <v>-1</v>
      </c>
      <c r="AR11" t="s">
        <v>106</v>
      </c>
      <c r="AS11" t="s">
        <v>106</v>
      </c>
      <c r="AT11" t="s">
        <v>106</v>
      </c>
      <c r="AU11" t="s">
        <v>106</v>
      </c>
      <c r="AV11" t="s">
        <v>106</v>
      </c>
      <c r="AW11">
        <v>2</v>
      </c>
      <c r="AX11" t="s">
        <v>106</v>
      </c>
      <c r="AY11">
        <v>0.1</v>
      </c>
      <c r="AZ11" t="s">
        <v>106</v>
      </c>
      <c r="BA11" t="s">
        <v>106</v>
      </c>
      <c r="BB11" t="s">
        <v>106</v>
      </c>
      <c r="BC11" t="s">
        <v>106</v>
      </c>
      <c r="BD11" t="s">
        <v>106</v>
      </c>
      <c r="BE11" t="s">
        <v>106</v>
      </c>
      <c r="BF11" t="s">
        <v>106</v>
      </c>
      <c r="BG11">
        <v>0.1</v>
      </c>
      <c r="BH11" t="s">
        <v>106</v>
      </c>
      <c r="BI11" t="s">
        <v>106</v>
      </c>
      <c r="BJ11" t="s">
        <v>106</v>
      </c>
      <c r="BK11" t="s">
        <v>106</v>
      </c>
      <c r="BL11">
        <v>-1386.1</v>
      </c>
      <c r="BM11">
        <v>2.6</v>
      </c>
    </row>
    <row r="12" spans="1:65">
      <c r="A12" t="s">
        <v>115</v>
      </c>
      <c r="B12" t="s">
        <v>105</v>
      </c>
      <c r="C12" t="s">
        <v>105</v>
      </c>
      <c r="D12" t="s">
        <v>105</v>
      </c>
      <c r="E12" t="s">
        <v>105</v>
      </c>
      <c r="F12">
        <v>476.7</v>
      </c>
      <c r="G12">
        <v>3470.3</v>
      </c>
      <c r="H12">
        <v>18220.900000000001</v>
      </c>
      <c r="I12">
        <v>62379.6</v>
      </c>
      <c r="J12">
        <v>955.6</v>
      </c>
      <c r="K12">
        <v>0</v>
      </c>
      <c r="L12">
        <v>15.4</v>
      </c>
      <c r="M12">
        <v>2.2000000000000002</v>
      </c>
      <c r="N12">
        <v>178.6</v>
      </c>
      <c r="O12" t="s">
        <v>106</v>
      </c>
      <c r="P12" t="s">
        <v>106</v>
      </c>
      <c r="Q12" t="s">
        <v>106</v>
      </c>
      <c r="R12" t="s">
        <v>106</v>
      </c>
      <c r="S12">
        <v>53533.2</v>
      </c>
      <c r="T12">
        <v>490.5</v>
      </c>
      <c r="U12">
        <v>156075.5</v>
      </c>
      <c r="V12">
        <v>17661.3</v>
      </c>
      <c r="W12">
        <v>0</v>
      </c>
      <c r="X12">
        <v>-10.8</v>
      </c>
      <c r="Y12">
        <v>0.5</v>
      </c>
      <c r="Z12">
        <v>6246.1</v>
      </c>
      <c r="AA12">
        <v>2277.9</v>
      </c>
      <c r="AB12">
        <v>-10868</v>
      </c>
      <c r="AC12">
        <v>-10.9</v>
      </c>
      <c r="AD12" t="s">
        <v>106</v>
      </c>
      <c r="AE12">
        <v>-21844.3</v>
      </c>
      <c r="AF12">
        <v>-484.7</v>
      </c>
      <c r="AG12">
        <v>-29108</v>
      </c>
      <c r="AH12">
        <v>-105.2</v>
      </c>
      <c r="AI12">
        <v>44</v>
      </c>
      <c r="AJ12">
        <v>-7027.6</v>
      </c>
      <c r="AK12">
        <v>13617</v>
      </c>
      <c r="AL12">
        <v>-329.3</v>
      </c>
      <c r="AM12">
        <v>-2446.1</v>
      </c>
      <c r="AN12">
        <v>-3303.9</v>
      </c>
      <c r="AO12">
        <v>0.6</v>
      </c>
      <c r="AP12">
        <v>-3.1</v>
      </c>
      <c r="AQ12">
        <v>-1908</v>
      </c>
      <c r="AR12">
        <v>1806.9</v>
      </c>
      <c r="AS12">
        <v>974.1</v>
      </c>
      <c r="AT12">
        <v>669.9</v>
      </c>
      <c r="AU12">
        <v>2804.4</v>
      </c>
      <c r="AV12">
        <v>96.3</v>
      </c>
      <c r="AW12">
        <v>77.5</v>
      </c>
      <c r="AX12" t="s">
        <v>106</v>
      </c>
      <c r="AY12">
        <v>685.4</v>
      </c>
      <c r="AZ12">
        <v>488.9</v>
      </c>
      <c r="BA12" t="s">
        <v>106</v>
      </c>
      <c r="BB12">
        <v>31078.799999999999</v>
      </c>
      <c r="BC12">
        <v>594.5</v>
      </c>
      <c r="BD12">
        <v>224.7</v>
      </c>
      <c r="BE12">
        <v>3016.7</v>
      </c>
      <c r="BF12">
        <v>26.9</v>
      </c>
      <c r="BG12">
        <v>101.1</v>
      </c>
      <c r="BH12">
        <v>570.70000000000005</v>
      </c>
      <c r="BI12" t="s">
        <v>106</v>
      </c>
      <c r="BJ12" t="s">
        <v>106</v>
      </c>
      <c r="BK12">
        <v>66.3</v>
      </c>
      <c r="BL12">
        <v>301479.2</v>
      </c>
      <c r="BM12">
        <v>12138.5</v>
      </c>
    </row>
    <row r="13" spans="1:65">
      <c r="A13" t="s">
        <v>116</v>
      </c>
      <c r="B13" t="s">
        <v>105</v>
      </c>
      <c r="C13" t="s">
        <v>105</v>
      </c>
      <c r="D13" t="s">
        <v>105</v>
      </c>
      <c r="E13" t="s">
        <v>105</v>
      </c>
      <c r="F13">
        <v>-476.7</v>
      </c>
      <c r="G13">
        <v>-405.1</v>
      </c>
      <c r="H13">
        <v>-18220.900000000001</v>
      </c>
      <c r="I13">
        <v>-58811.6</v>
      </c>
      <c r="J13">
        <v>-955.6</v>
      </c>
      <c r="K13" t="s">
        <v>106</v>
      </c>
      <c r="L13" t="s">
        <v>106</v>
      </c>
      <c r="M13">
        <v>296.10000000000002</v>
      </c>
      <c r="N13">
        <v>555.70000000000005</v>
      </c>
      <c r="O13">
        <v>560.70000000000005</v>
      </c>
      <c r="P13">
        <v>2799</v>
      </c>
      <c r="Q13">
        <v>2324.5</v>
      </c>
      <c r="R13">
        <v>371.1</v>
      </c>
      <c r="S13">
        <v>-50941.4</v>
      </c>
      <c r="T13">
        <v>23288.5</v>
      </c>
      <c r="U13">
        <v>-156075.5</v>
      </c>
      <c r="V13">
        <v>-17661.3</v>
      </c>
      <c r="W13">
        <v>0</v>
      </c>
      <c r="X13">
        <v>10.8</v>
      </c>
      <c r="Y13">
        <v>2809.9</v>
      </c>
      <c r="Z13">
        <v>487.2</v>
      </c>
      <c r="AA13">
        <v>2412.9</v>
      </c>
      <c r="AB13">
        <v>21143</v>
      </c>
      <c r="AC13">
        <v>14</v>
      </c>
      <c r="AD13" t="s">
        <v>106</v>
      </c>
      <c r="AE13">
        <v>23660</v>
      </c>
      <c r="AF13">
        <v>2806.7</v>
      </c>
      <c r="AG13">
        <v>52624.9</v>
      </c>
      <c r="AH13">
        <v>294.3</v>
      </c>
      <c r="AI13">
        <v>20.2</v>
      </c>
      <c r="AJ13">
        <v>8173.8</v>
      </c>
      <c r="AK13">
        <v>31177.7</v>
      </c>
      <c r="AL13">
        <v>544.5</v>
      </c>
      <c r="AM13">
        <v>3169.3</v>
      </c>
      <c r="AN13">
        <v>4988</v>
      </c>
      <c r="AO13">
        <v>20</v>
      </c>
      <c r="AP13">
        <v>286.89999999999998</v>
      </c>
      <c r="AQ13">
        <v>2929.7</v>
      </c>
      <c r="AR13">
        <v>-248.7</v>
      </c>
      <c r="AS13">
        <v>-136.19999999999999</v>
      </c>
      <c r="AT13">
        <v>-242.5</v>
      </c>
      <c r="AU13">
        <v>-1980.3</v>
      </c>
      <c r="AV13">
        <v>-43.5</v>
      </c>
      <c r="AW13">
        <v>-70.8</v>
      </c>
      <c r="AX13" t="s">
        <v>106</v>
      </c>
      <c r="AY13" t="s">
        <v>106</v>
      </c>
      <c r="AZ13">
        <v>-488.9</v>
      </c>
      <c r="BA13" t="s">
        <v>106</v>
      </c>
      <c r="BB13">
        <v>-31078.799999999999</v>
      </c>
      <c r="BC13">
        <v>-594.5</v>
      </c>
      <c r="BD13" t="s">
        <v>106</v>
      </c>
      <c r="BE13">
        <v>-3016.7</v>
      </c>
      <c r="BF13" t="s">
        <v>106</v>
      </c>
      <c r="BG13">
        <v>-101.1</v>
      </c>
      <c r="BH13">
        <v>-570.70000000000005</v>
      </c>
      <c r="BI13" t="s">
        <v>106</v>
      </c>
      <c r="BJ13">
        <v>50908.800000000003</v>
      </c>
      <c r="BK13">
        <v>7003.8</v>
      </c>
      <c r="BL13">
        <v>-96438.8</v>
      </c>
      <c r="BM13">
        <v>810.6</v>
      </c>
    </row>
    <row r="14" spans="1:65">
      <c r="B14" t="s">
        <v>117</v>
      </c>
      <c r="C14" t="s">
        <v>105</v>
      </c>
      <c r="D14" t="s">
        <v>105</v>
      </c>
      <c r="E14" t="s">
        <v>105</v>
      </c>
      <c r="F14">
        <v>-189.3</v>
      </c>
      <c r="G14">
        <v>-386.9</v>
      </c>
      <c r="H14" t="s">
        <v>106</v>
      </c>
      <c r="I14">
        <v>-50087.199999999997</v>
      </c>
      <c r="J14">
        <v>-955.6</v>
      </c>
      <c r="K14" t="s">
        <v>106</v>
      </c>
      <c r="L14" t="s">
        <v>106</v>
      </c>
      <c r="M14" t="s">
        <v>106</v>
      </c>
      <c r="N14" t="s">
        <v>106</v>
      </c>
      <c r="O14" t="s">
        <v>106</v>
      </c>
      <c r="P14">
        <v>-779.4</v>
      </c>
      <c r="Q14">
        <v>-3068.2</v>
      </c>
      <c r="R14">
        <v>-1295.3</v>
      </c>
      <c r="S14">
        <v>-18981.7</v>
      </c>
      <c r="T14">
        <v>-14.1</v>
      </c>
      <c r="U14" t="s">
        <v>106</v>
      </c>
      <c r="V14" t="s">
        <v>106</v>
      </c>
      <c r="W14" t="s">
        <v>106</v>
      </c>
      <c r="X14" t="s">
        <v>106</v>
      </c>
      <c r="Y14">
        <v>-261.5</v>
      </c>
      <c r="Z14">
        <v>-5.0999999999999996</v>
      </c>
      <c r="AA14">
        <v>-0.6</v>
      </c>
      <c r="AB14">
        <v>0</v>
      </c>
      <c r="AC14" t="s">
        <v>106</v>
      </c>
      <c r="AD14" t="s">
        <v>106</v>
      </c>
      <c r="AE14" t="s">
        <v>106</v>
      </c>
      <c r="AF14">
        <v>-184.6</v>
      </c>
      <c r="AG14">
        <v>-139.69999999999999</v>
      </c>
      <c r="AH14" t="s">
        <v>106</v>
      </c>
      <c r="AI14" t="s">
        <v>106</v>
      </c>
      <c r="AJ14">
        <v>-519.20000000000005</v>
      </c>
      <c r="AK14" t="s">
        <v>106</v>
      </c>
      <c r="AL14" t="s">
        <v>106</v>
      </c>
      <c r="AM14" t="s">
        <v>106</v>
      </c>
      <c r="AN14" t="s">
        <v>106</v>
      </c>
      <c r="AO14" t="s">
        <v>106</v>
      </c>
      <c r="AP14" t="s">
        <v>106</v>
      </c>
      <c r="AQ14" t="s">
        <v>106</v>
      </c>
      <c r="AR14">
        <v>-62.2</v>
      </c>
      <c r="AS14">
        <v>-12.4</v>
      </c>
      <c r="AT14">
        <v>-45.9</v>
      </c>
      <c r="AU14">
        <v>-917.2</v>
      </c>
      <c r="AV14">
        <v>-38.799999999999997</v>
      </c>
      <c r="AW14">
        <v>-51</v>
      </c>
      <c r="AX14" t="s">
        <v>106</v>
      </c>
      <c r="AY14" t="s">
        <v>106</v>
      </c>
      <c r="AZ14">
        <v>-488.9</v>
      </c>
      <c r="BA14" t="s">
        <v>106</v>
      </c>
      <c r="BB14">
        <v>-31078.799999999999</v>
      </c>
      <c r="BC14">
        <v>-594.5</v>
      </c>
      <c r="BD14" t="s">
        <v>106</v>
      </c>
      <c r="BE14">
        <v>-3016.7</v>
      </c>
      <c r="BF14" t="s">
        <v>106</v>
      </c>
      <c r="BG14">
        <v>-101.1</v>
      </c>
      <c r="BH14">
        <v>-570.70000000000005</v>
      </c>
      <c r="BI14">
        <v>-487.2</v>
      </c>
      <c r="BJ14">
        <v>45602.1</v>
      </c>
      <c r="BK14" t="s">
        <v>106</v>
      </c>
      <c r="BL14">
        <v>-68731.600000000006</v>
      </c>
      <c r="BM14">
        <v>-12010.5</v>
      </c>
    </row>
    <row r="15" spans="1:65">
      <c r="C15" t="s">
        <v>118</v>
      </c>
      <c r="D15" t="s">
        <v>105</v>
      </c>
      <c r="E15" t="s">
        <v>105</v>
      </c>
      <c r="F15">
        <v>-189.3</v>
      </c>
      <c r="G15">
        <v>-386.9</v>
      </c>
      <c r="H15" t="s">
        <v>106</v>
      </c>
      <c r="I15">
        <v>-49976.7</v>
      </c>
      <c r="J15">
        <v>-955.6</v>
      </c>
      <c r="K15" t="s">
        <v>106</v>
      </c>
      <c r="L15" t="s">
        <v>106</v>
      </c>
      <c r="M15" t="s">
        <v>106</v>
      </c>
      <c r="N15" t="s">
        <v>106</v>
      </c>
      <c r="O15" t="s">
        <v>106</v>
      </c>
      <c r="P15" t="s">
        <v>106</v>
      </c>
      <c r="Q15" t="s">
        <v>106</v>
      </c>
      <c r="R15">
        <v>-219.7</v>
      </c>
      <c r="S15">
        <v>-18304.400000000001</v>
      </c>
      <c r="T15" t="s">
        <v>106</v>
      </c>
      <c r="U15" t="s">
        <v>106</v>
      </c>
      <c r="V15" t="s">
        <v>106</v>
      </c>
      <c r="W15" t="s">
        <v>106</v>
      </c>
      <c r="X15" t="s">
        <v>106</v>
      </c>
      <c r="Y15" t="s">
        <v>106</v>
      </c>
      <c r="Z15">
        <v>-5.0999999999999996</v>
      </c>
      <c r="AA15">
        <v>-0.6</v>
      </c>
      <c r="AB15">
        <v>0</v>
      </c>
      <c r="AC15" t="s">
        <v>106</v>
      </c>
      <c r="AD15" t="s">
        <v>106</v>
      </c>
      <c r="AE15" t="s">
        <v>106</v>
      </c>
      <c r="AF15">
        <v>-184.6</v>
      </c>
      <c r="AG15">
        <v>-139.5</v>
      </c>
      <c r="AH15" t="s">
        <v>106</v>
      </c>
      <c r="AI15" t="s">
        <v>106</v>
      </c>
      <c r="AJ15">
        <v>-464.7</v>
      </c>
      <c r="AK15" t="s">
        <v>106</v>
      </c>
      <c r="AL15" t="s">
        <v>106</v>
      </c>
      <c r="AM15" t="s">
        <v>106</v>
      </c>
      <c r="AN15" t="s">
        <v>106</v>
      </c>
      <c r="AO15" t="s">
        <v>106</v>
      </c>
      <c r="AP15" t="s">
        <v>106</v>
      </c>
      <c r="AQ15" t="s">
        <v>106</v>
      </c>
      <c r="AR15">
        <v>-61.3</v>
      </c>
      <c r="AS15">
        <v>-5.3</v>
      </c>
      <c r="AT15">
        <v>-43.1</v>
      </c>
      <c r="AU15">
        <v>-916.2</v>
      </c>
      <c r="AV15">
        <v>-35.9</v>
      </c>
      <c r="AW15">
        <v>-51</v>
      </c>
      <c r="AX15" t="s">
        <v>106</v>
      </c>
      <c r="AY15" t="s">
        <v>106</v>
      </c>
      <c r="AZ15">
        <v>-488.9</v>
      </c>
      <c r="BA15" t="s">
        <v>106</v>
      </c>
      <c r="BB15">
        <v>-31078.799999999999</v>
      </c>
      <c r="BC15">
        <v>-594</v>
      </c>
      <c r="BD15" t="s">
        <v>106</v>
      </c>
      <c r="BE15">
        <v>-2513.6</v>
      </c>
      <c r="BF15" t="s">
        <v>106</v>
      </c>
      <c r="BG15">
        <v>-101.1</v>
      </c>
      <c r="BH15">
        <v>-568.6</v>
      </c>
      <c r="BI15">
        <v>-480.6</v>
      </c>
      <c r="BJ15">
        <v>43036.7</v>
      </c>
      <c r="BK15" t="s">
        <v>106</v>
      </c>
      <c r="BL15">
        <v>-64728.9</v>
      </c>
      <c r="BM15">
        <v>-6299</v>
      </c>
    </row>
    <row r="16" spans="1:65">
      <c r="C16" t="s">
        <v>119</v>
      </c>
      <c r="D16" t="s">
        <v>105</v>
      </c>
      <c r="E16" t="s">
        <v>105</v>
      </c>
      <c r="F16" t="s">
        <v>106</v>
      </c>
      <c r="G16" t="s">
        <v>106</v>
      </c>
      <c r="H16" t="s">
        <v>106</v>
      </c>
      <c r="I16">
        <v>-110.4</v>
      </c>
      <c r="J16" t="s">
        <v>106</v>
      </c>
      <c r="K16" t="s">
        <v>106</v>
      </c>
      <c r="L16" t="s">
        <v>106</v>
      </c>
      <c r="M16" t="s">
        <v>106</v>
      </c>
      <c r="N16" t="s">
        <v>106</v>
      </c>
      <c r="O16" t="s">
        <v>106</v>
      </c>
      <c r="P16">
        <v>-779.4</v>
      </c>
      <c r="Q16">
        <v>-3068.2</v>
      </c>
      <c r="R16">
        <v>-1075.7</v>
      </c>
      <c r="S16">
        <v>-677.3</v>
      </c>
      <c r="T16">
        <v>-14.1</v>
      </c>
      <c r="U16" t="s">
        <v>106</v>
      </c>
      <c r="V16" t="s">
        <v>106</v>
      </c>
      <c r="W16" t="s">
        <v>106</v>
      </c>
      <c r="X16" t="s">
        <v>106</v>
      </c>
      <c r="Y16">
        <v>-261.5</v>
      </c>
      <c r="Z16" t="s">
        <v>106</v>
      </c>
      <c r="AA16" t="s">
        <v>106</v>
      </c>
      <c r="AB16" t="s">
        <v>106</v>
      </c>
      <c r="AC16" t="s">
        <v>106</v>
      </c>
      <c r="AD16" t="s">
        <v>106</v>
      </c>
      <c r="AE16" t="s">
        <v>106</v>
      </c>
      <c r="AF16" t="s">
        <v>106</v>
      </c>
      <c r="AG16">
        <v>-0.2</v>
      </c>
      <c r="AH16" t="s">
        <v>106</v>
      </c>
      <c r="AI16" t="s">
        <v>106</v>
      </c>
      <c r="AJ16">
        <v>-54.5</v>
      </c>
      <c r="AK16" t="s">
        <v>106</v>
      </c>
      <c r="AL16" t="s">
        <v>106</v>
      </c>
      <c r="AM16" t="s">
        <v>106</v>
      </c>
      <c r="AN16" t="s">
        <v>106</v>
      </c>
      <c r="AO16" t="s">
        <v>106</v>
      </c>
      <c r="AP16" t="s">
        <v>106</v>
      </c>
      <c r="AQ16" t="s">
        <v>106</v>
      </c>
      <c r="AR16">
        <v>-0.9</v>
      </c>
      <c r="AS16">
        <v>-7.1</v>
      </c>
      <c r="AT16">
        <v>-2.7</v>
      </c>
      <c r="AU16">
        <v>-1</v>
      </c>
      <c r="AV16">
        <v>-2.9</v>
      </c>
      <c r="AW16" t="s">
        <v>106</v>
      </c>
      <c r="AX16" t="s">
        <v>106</v>
      </c>
      <c r="AY16" t="s">
        <v>106</v>
      </c>
      <c r="AZ16" t="s">
        <v>106</v>
      </c>
      <c r="BA16" t="s">
        <v>106</v>
      </c>
      <c r="BB16" t="s">
        <v>106</v>
      </c>
      <c r="BC16">
        <v>-0.5</v>
      </c>
      <c r="BD16" t="s">
        <v>106</v>
      </c>
      <c r="BE16">
        <v>-503.1</v>
      </c>
      <c r="BF16" t="s">
        <v>106</v>
      </c>
      <c r="BG16" t="s">
        <v>106</v>
      </c>
      <c r="BH16">
        <v>-2.1</v>
      </c>
      <c r="BI16">
        <v>-6.5</v>
      </c>
      <c r="BJ16">
        <v>2565.4</v>
      </c>
      <c r="BK16" t="s">
        <v>106</v>
      </c>
      <c r="BL16">
        <v>-4002.6</v>
      </c>
      <c r="BM16">
        <v>-5711.5</v>
      </c>
    </row>
    <row r="17" spans="1:65">
      <c r="B17" t="s">
        <v>120</v>
      </c>
      <c r="C17" t="s">
        <v>105</v>
      </c>
      <c r="D17" t="s">
        <v>105</v>
      </c>
      <c r="E17" t="s">
        <v>105</v>
      </c>
      <c r="F17" t="s">
        <v>106</v>
      </c>
      <c r="G17" t="s">
        <v>106</v>
      </c>
      <c r="H17" t="s">
        <v>106</v>
      </c>
      <c r="I17">
        <v>-3703.4</v>
      </c>
      <c r="J17" t="s">
        <v>106</v>
      </c>
      <c r="K17" t="s">
        <v>106</v>
      </c>
      <c r="L17" t="s">
        <v>106</v>
      </c>
      <c r="M17" t="s">
        <v>106</v>
      </c>
      <c r="N17" t="s">
        <v>106</v>
      </c>
      <c r="O17" t="s">
        <v>106</v>
      </c>
      <c r="P17" t="s">
        <v>106</v>
      </c>
      <c r="Q17" t="s">
        <v>106</v>
      </c>
      <c r="R17" t="s">
        <v>106</v>
      </c>
      <c r="S17">
        <v>-7584.6</v>
      </c>
      <c r="T17">
        <v>-561.1</v>
      </c>
      <c r="U17" t="s">
        <v>106</v>
      </c>
      <c r="V17" t="s">
        <v>106</v>
      </c>
      <c r="W17" t="s">
        <v>106</v>
      </c>
      <c r="X17" t="s">
        <v>106</v>
      </c>
      <c r="Y17">
        <v>-625.4</v>
      </c>
      <c r="Z17">
        <v>-76.400000000000006</v>
      </c>
      <c r="AA17" t="s">
        <v>106</v>
      </c>
      <c r="AB17" t="s">
        <v>106</v>
      </c>
      <c r="AC17" t="s">
        <v>106</v>
      </c>
      <c r="AD17" t="s">
        <v>106</v>
      </c>
      <c r="AE17" t="s">
        <v>106</v>
      </c>
      <c r="AF17">
        <v>-4.5</v>
      </c>
      <c r="AG17">
        <v>0</v>
      </c>
      <c r="AH17" t="s">
        <v>106</v>
      </c>
      <c r="AI17" t="s">
        <v>106</v>
      </c>
      <c r="AJ17">
        <v>-187.9</v>
      </c>
      <c r="AK17" t="s">
        <v>106</v>
      </c>
      <c r="AL17" t="s">
        <v>106</v>
      </c>
      <c r="AM17" t="s">
        <v>106</v>
      </c>
      <c r="AN17" t="s">
        <v>106</v>
      </c>
      <c r="AO17" t="s">
        <v>106</v>
      </c>
      <c r="AP17">
        <v>-316.89999999999998</v>
      </c>
      <c r="AQ17">
        <v>-670.5</v>
      </c>
      <c r="AR17">
        <v>-71.599999999999994</v>
      </c>
      <c r="AS17">
        <v>-123.8</v>
      </c>
      <c r="AT17">
        <v>-172.5</v>
      </c>
      <c r="AU17">
        <v>-1046.5999999999999</v>
      </c>
      <c r="AV17">
        <v>-0.8</v>
      </c>
      <c r="AW17" t="s">
        <v>106</v>
      </c>
      <c r="AX17" t="s">
        <v>106</v>
      </c>
      <c r="AY17" t="s">
        <v>106</v>
      </c>
      <c r="AZ17" t="s">
        <v>106</v>
      </c>
      <c r="BA17" t="s">
        <v>106</v>
      </c>
      <c r="BB17" t="s">
        <v>106</v>
      </c>
      <c r="BC17" t="s">
        <v>106</v>
      </c>
      <c r="BD17" t="s">
        <v>106</v>
      </c>
      <c r="BE17" t="s">
        <v>106</v>
      </c>
      <c r="BF17" t="s">
        <v>106</v>
      </c>
      <c r="BG17" t="s">
        <v>106</v>
      </c>
      <c r="BH17" t="s">
        <v>106</v>
      </c>
      <c r="BI17" t="s">
        <v>106</v>
      </c>
      <c r="BJ17">
        <v>5292.8</v>
      </c>
      <c r="BK17">
        <v>6593.6</v>
      </c>
      <c r="BL17">
        <v>-3259.7</v>
      </c>
      <c r="BM17">
        <v>-2040.7</v>
      </c>
    </row>
    <row r="18" spans="1:65">
      <c r="C18" t="s">
        <v>121</v>
      </c>
      <c r="D18" t="s">
        <v>105</v>
      </c>
      <c r="E18" t="s">
        <v>105</v>
      </c>
      <c r="F18" t="s">
        <v>106</v>
      </c>
      <c r="G18" t="s">
        <v>106</v>
      </c>
      <c r="H18" t="s">
        <v>106</v>
      </c>
      <c r="I18" t="s">
        <v>106</v>
      </c>
      <c r="J18" t="s">
        <v>106</v>
      </c>
      <c r="K18" t="s">
        <v>106</v>
      </c>
      <c r="L18" t="s">
        <v>106</v>
      </c>
      <c r="M18" t="s">
        <v>106</v>
      </c>
      <c r="N18" t="s">
        <v>106</v>
      </c>
      <c r="O18" t="s">
        <v>106</v>
      </c>
      <c r="P18" t="s">
        <v>106</v>
      </c>
      <c r="Q18" t="s">
        <v>106</v>
      </c>
      <c r="R18" t="s">
        <v>106</v>
      </c>
      <c r="S18">
        <v>-6998.7</v>
      </c>
      <c r="T18">
        <v>-422</v>
      </c>
      <c r="U18" t="s">
        <v>106</v>
      </c>
      <c r="V18" t="s">
        <v>106</v>
      </c>
      <c r="W18" t="s">
        <v>106</v>
      </c>
      <c r="X18" t="s">
        <v>106</v>
      </c>
      <c r="Y18" t="s">
        <v>106</v>
      </c>
      <c r="Z18">
        <v>-15.5</v>
      </c>
      <c r="AA18" t="s">
        <v>106</v>
      </c>
      <c r="AB18" t="s">
        <v>106</v>
      </c>
      <c r="AC18" t="s">
        <v>106</v>
      </c>
      <c r="AD18" t="s">
        <v>106</v>
      </c>
      <c r="AE18" t="s">
        <v>106</v>
      </c>
      <c r="AF18">
        <v>-0.4</v>
      </c>
      <c r="AG18">
        <v>0</v>
      </c>
      <c r="AH18" t="s">
        <v>106</v>
      </c>
      <c r="AI18" t="s">
        <v>106</v>
      </c>
      <c r="AJ18">
        <v>-37.1</v>
      </c>
      <c r="AK18" t="s">
        <v>106</v>
      </c>
      <c r="AL18" t="s">
        <v>106</v>
      </c>
      <c r="AM18" t="s">
        <v>106</v>
      </c>
      <c r="AN18" t="s">
        <v>106</v>
      </c>
      <c r="AO18" t="s">
        <v>106</v>
      </c>
      <c r="AP18" t="s">
        <v>106</v>
      </c>
      <c r="AQ18" t="s">
        <v>106</v>
      </c>
      <c r="AR18">
        <v>-71.5</v>
      </c>
      <c r="AS18">
        <v>-78.2</v>
      </c>
      <c r="AT18">
        <v>-10.9</v>
      </c>
      <c r="AU18">
        <v>-66</v>
      </c>
      <c r="AV18" t="s">
        <v>106</v>
      </c>
      <c r="AW18" t="s">
        <v>106</v>
      </c>
      <c r="AX18" t="s">
        <v>106</v>
      </c>
      <c r="AY18" t="s">
        <v>106</v>
      </c>
      <c r="AZ18" t="s">
        <v>106</v>
      </c>
      <c r="BA18" t="s">
        <v>106</v>
      </c>
      <c r="BB18" t="s">
        <v>106</v>
      </c>
      <c r="BC18" t="s">
        <v>106</v>
      </c>
      <c r="BD18" t="s">
        <v>106</v>
      </c>
      <c r="BE18" t="s">
        <v>106</v>
      </c>
      <c r="BF18" t="s">
        <v>106</v>
      </c>
      <c r="BG18" t="s">
        <v>106</v>
      </c>
      <c r="BH18" t="s">
        <v>106</v>
      </c>
      <c r="BI18" t="s">
        <v>106</v>
      </c>
      <c r="BJ18">
        <v>3252.2</v>
      </c>
      <c r="BK18">
        <v>2920.3</v>
      </c>
      <c r="BL18">
        <v>-1527.9</v>
      </c>
      <c r="BM18">
        <v>-226.6</v>
      </c>
    </row>
    <row r="19" spans="1:65">
      <c r="C19" t="s">
        <v>122</v>
      </c>
      <c r="D19" t="s">
        <v>105</v>
      </c>
      <c r="E19" t="s">
        <v>105</v>
      </c>
      <c r="F19" t="s">
        <v>106</v>
      </c>
      <c r="G19" t="s">
        <v>106</v>
      </c>
      <c r="H19" t="s">
        <v>106</v>
      </c>
      <c r="I19">
        <v>-3703.4</v>
      </c>
      <c r="J19" t="s">
        <v>106</v>
      </c>
      <c r="K19" t="s">
        <v>106</v>
      </c>
      <c r="L19" t="s">
        <v>106</v>
      </c>
      <c r="M19" t="s">
        <v>106</v>
      </c>
      <c r="N19" t="s">
        <v>106</v>
      </c>
      <c r="O19" t="s">
        <v>106</v>
      </c>
      <c r="P19" t="s">
        <v>106</v>
      </c>
      <c r="Q19" t="s">
        <v>106</v>
      </c>
      <c r="R19" t="s">
        <v>106</v>
      </c>
      <c r="S19">
        <v>-585.9</v>
      </c>
      <c r="T19">
        <v>-139.1</v>
      </c>
      <c r="U19" t="s">
        <v>106</v>
      </c>
      <c r="V19" t="s">
        <v>106</v>
      </c>
      <c r="W19" t="s">
        <v>106</v>
      </c>
      <c r="X19" t="s">
        <v>106</v>
      </c>
      <c r="Y19">
        <v>-625.4</v>
      </c>
      <c r="Z19">
        <v>-60.9</v>
      </c>
      <c r="AA19" t="s">
        <v>106</v>
      </c>
      <c r="AB19" t="s">
        <v>106</v>
      </c>
      <c r="AC19" t="s">
        <v>106</v>
      </c>
      <c r="AD19" t="s">
        <v>106</v>
      </c>
      <c r="AE19" t="s">
        <v>106</v>
      </c>
      <c r="AF19">
        <v>-4.2</v>
      </c>
      <c r="AG19" t="s">
        <v>106</v>
      </c>
      <c r="AH19" t="s">
        <v>106</v>
      </c>
      <c r="AI19" t="s">
        <v>106</v>
      </c>
      <c r="AJ19">
        <v>-150.80000000000001</v>
      </c>
      <c r="AK19" t="s">
        <v>106</v>
      </c>
      <c r="AL19" t="s">
        <v>106</v>
      </c>
      <c r="AM19" t="s">
        <v>106</v>
      </c>
      <c r="AN19" t="s">
        <v>106</v>
      </c>
      <c r="AO19" t="s">
        <v>106</v>
      </c>
      <c r="AP19">
        <v>-316.89999999999998</v>
      </c>
      <c r="AQ19">
        <v>-670.5</v>
      </c>
      <c r="AR19">
        <v>-0.1</v>
      </c>
      <c r="AS19">
        <v>-45.6</v>
      </c>
      <c r="AT19">
        <v>-161.69999999999999</v>
      </c>
      <c r="AU19">
        <v>-980.6</v>
      </c>
      <c r="AV19">
        <v>-0.8</v>
      </c>
      <c r="AW19" t="s">
        <v>106</v>
      </c>
      <c r="AX19" t="s">
        <v>106</v>
      </c>
      <c r="AY19" t="s">
        <v>106</v>
      </c>
      <c r="AZ19" t="s">
        <v>106</v>
      </c>
      <c r="BA19" t="s">
        <v>106</v>
      </c>
      <c r="BB19" t="s">
        <v>106</v>
      </c>
      <c r="BC19" t="s">
        <v>106</v>
      </c>
      <c r="BD19" t="s">
        <v>106</v>
      </c>
      <c r="BE19" t="s">
        <v>106</v>
      </c>
      <c r="BF19" t="s">
        <v>106</v>
      </c>
      <c r="BG19" t="s">
        <v>106</v>
      </c>
      <c r="BH19" t="s">
        <v>106</v>
      </c>
      <c r="BI19" t="s">
        <v>106</v>
      </c>
      <c r="BJ19">
        <v>2040.6</v>
      </c>
      <c r="BK19">
        <v>3673.3</v>
      </c>
      <c r="BL19">
        <v>-1731.8</v>
      </c>
      <c r="BM19">
        <v>-1814.1</v>
      </c>
    </row>
    <row r="20" spans="1:65">
      <c r="B20" t="s">
        <v>123</v>
      </c>
      <c r="C20" t="s">
        <v>105</v>
      </c>
      <c r="D20" t="s">
        <v>105</v>
      </c>
      <c r="E20" t="s">
        <v>105</v>
      </c>
      <c r="F20" t="s">
        <v>106</v>
      </c>
      <c r="G20" t="s">
        <v>106</v>
      </c>
      <c r="H20" t="s">
        <v>106</v>
      </c>
      <c r="I20" t="s">
        <v>106</v>
      </c>
      <c r="J20" t="s">
        <v>106</v>
      </c>
      <c r="K20" t="s">
        <v>106</v>
      </c>
      <c r="L20" t="s">
        <v>106</v>
      </c>
      <c r="M20" t="s">
        <v>106</v>
      </c>
      <c r="N20" t="s">
        <v>106</v>
      </c>
      <c r="O20" t="s">
        <v>106</v>
      </c>
      <c r="P20" t="s">
        <v>106</v>
      </c>
      <c r="Q20" t="s">
        <v>106</v>
      </c>
      <c r="R20" t="s">
        <v>106</v>
      </c>
      <c r="S20">
        <v>-40.9</v>
      </c>
      <c r="T20">
        <v>-296.8</v>
      </c>
      <c r="U20" t="s">
        <v>106</v>
      </c>
      <c r="V20" t="s">
        <v>106</v>
      </c>
      <c r="W20" t="s">
        <v>106</v>
      </c>
      <c r="X20" t="s">
        <v>106</v>
      </c>
      <c r="Y20" t="s">
        <v>106</v>
      </c>
      <c r="Z20">
        <v>-72.2</v>
      </c>
      <c r="AA20" t="s">
        <v>106</v>
      </c>
      <c r="AB20" t="s">
        <v>106</v>
      </c>
      <c r="AC20" t="s">
        <v>106</v>
      </c>
      <c r="AD20" t="s">
        <v>106</v>
      </c>
      <c r="AE20" t="s">
        <v>106</v>
      </c>
      <c r="AF20">
        <v>-0.9</v>
      </c>
      <c r="AG20">
        <v>-0.3</v>
      </c>
      <c r="AH20">
        <v>0</v>
      </c>
      <c r="AI20" t="s">
        <v>106</v>
      </c>
      <c r="AJ20">
        <v>-197</v>
      </c>
      <c r="AK20" t="s">
        <v>106</v>
      </c>
      <c r="AL20" t="s">
        <v>106</v>
      </c>
      <c r="AM20" t="s">
        <v>106</v>
      </c>
      <c r="AN20" t="s">
        <v>106</v>
      </c>
      <c r="AO20" t="s">
        <v>106</v>
      </c>
      <c r="AP20" t="s">
        <v>106</v>
      </c>
      <c r="AQ20">
        <v>-16.3</v>
      </c>
      <c r="AR20">
        <v>-114.9</v>
      </c>
      <c r="AS20" t="s">
        <v>106</v>
      </c>
      <c r="AT20">
        <v>-24.1</v>
      </c>
      <c r="AU20">
        <v>-16.600000000000001</v>
      </c>
      <c r="AV20">
        <v>-3.9</v>
      </c>
      <c r="AW20">
        <v>-19.8</v>
      </c>
      <c r="AX20" t="s">
        <v>106</v>
      </c>
      <c r="AY20" t="s">
        <v>106</v>
      </c>
      <c r="AZ20" t="s">
        <v>106</v>
      </c>
      <c r="BA20" t="s">
        <v>106</v>
      </c>
      <c r="BB20" t="s">
        <v>106</v>
      </c>
      <c r="BC20" t="s">
        <v>106</v>
      </c>
      <c r="BD20" t="s">
        <v>106</v>
      </c>
      <c r="BE20" t="s">
        <v>106</v>
      </c>
      <c r="BF20" t="s">
        <v>106</v>
      </c>
      <c r="BG20" t="s">
        <v>106</v>
      </c>
      <c r="BH20" t="s">
        <v>106</v>
      </c>
      <c r="BI20" t="s">
        <v>106</v>
      </c>
      <c r="BJ20" t="s">
        <v>106</v>
      </c>
      <c r="BK20">
        <v>447.3</v>
      </c>
      <c r="BL20">
        <v>-356.4</v>
      </c>
      <c r="BM20">
        <v>-179.2</v>
      </c>
    </row>
    <row r="21" spans="1:65">
      <c r="C21" t="s">
        <v>124</v>
      </c>
      <c r="D21" t="s">
        <v>105</v>
      </c>
      <c r="E21" t="s">
        <v>105</v>
      </c>
      <c r="F21" t="s">
        <v>106</v>
      </c>
      <c r="G21" t="s">
        <v>106</v>
      </c>
      <c r="H21" t="s">
        <v>106</v>
      </c>
      <c r="I21" t="s">
        <v>106</v>
      </c>
      <c r="J21" t="s">
        <v>106</v>
      </c>
      <c r="K21" t="s">
        <v>106</v>
      </c>
      <c r="L21" t="s">
        <v>106</v>
      </c>
      <c r="M21" t="s">
        <v>106</v>
      </c>
      <c r="N21" t="s">
        <v>106</v>
      </c>
      <c r="O21" t="s">
        <v>106</v>
      </c>
      <c r="P21" t="s">
        <v>106</v>
      </c>
      <c r="Q21" t="s">
        <v>106</v>
      </c>
      <c r="R21" t="s">
        <v>106</v>
      </c>
      <c r="S21">
        <v>-40.9</v>
      </c>
      <c r="T21">
        <v>-286</v>
      </c>
      <c r="U21" t="s">
        <v>106</v>
      </c>
      <c r="V21" t="s">
        <v>106</v>
      </c>
      <c r="W21" t="s">
        <v>106</v>
      </c>
      <c r="X21" t="s">
        <v>106</v>
      </c>
      <c r="Y21" t="s">
        <v>106</v>
      </c>
      <c r="Z21">
        <v>-71</v>
      </c>
      <c r="AA21" t="s">
        <v>106</v>
      </c>
      <c r="AB21" t="s">
        <v>106</v>
      </c>
      <c r="AC21" t="s">
        <v>106</v>
      </c>
      <c r="AD21" t="s">
        <v>106</v>
      </c>
      <c r="AE21" t="s">
        <v>106</v>
      </c>
      <c r="AF21">
        <v>-0.9</v>
      </c>
      <c r="AG21">
        <v>0</v>
      </c>
      <c r="AH21">
        <v>0</v>
      </c>
      <c r="AI21" t="s">
        <v>106</v>
      </c>
      <c r="AJ21">
        <v>-154.30000000000001</v>
      </c>
      <c r="AK21" t="s">
        <v>106</v>
      </c>
      <c r="AL21" t="s">
        <v>106</v>
      </c>
      <c r="AM21" t="s">
        <v>106</v>
      </c>
      <c r="AN21" t="s">
        <v>106</v>
      </c>
      <c r="AO21" t="s">
        <v>106</v>
      </c>
      <c r="AP21" t="s">
        <v>106</v>
      </c>
      <c r="AQ21" t="s">
        <v>106</v>
      </c>
      <c r="AR21" t="s">
        <v>106</v>
      </c>
      <c r="AS21" t="s">
        <v>106</v>
      </c>
      <c r="AT21" t="s">
        <v>106</v>
      </c>
      <c r="AU21" t="s">
        <v>106</v>
      </c>
      <c r="AV21">
        <v>-3.9</v>
      </c>
      <c r="AW21">
        <v>-19.8</v>
      </c>
      <c r="AX21" t="s">
        <v>106</v>
      </c>
      <c r="AY21" t="s">
        <v>106</v>
      </c>
      <c r="AZ21" t="s">
        <v>106</v>
      </c>
      <c r="BA21" t="s">
        <v>106</v>
      </c>
      <c r="BB21" t="s">
        <v>106</v>
      </c>
      <c r="BC21" t="s">
        <v>106</v>
      </c>
      <c r="BD21" t="s">
        <v>106</v>
      </c>
      <c r="BE21" t="s">
        <v>106</v>
      </c>
      <c r="BF21" t="s">
        <v>106</v>
      </c>
      <c r="BG21" t="s">
        <v>106</v>
      </c>
      <c r="BH21" t="s">
        <v>106</v>
      </c>
      <c r="BI21" t="s">
        <v>106</v>
      </c>
      <c r="BJ21" t="s">
        <v>106</v>
      </c>
      <c r="BK21">
        <v>241</v>
      </c>
      <c r="BL21">
        <v>-335.8</v>
      </c>
      <c r="BM21">
        <v>-23.7</v>
      </c>
    </row>
    <row r="22" spans="1:65">
      <c r="C22" t="s">
        <v>125</v>
      </c>
      <c r="D22" t="s">
        <v>105</v>
      </c>
      <c r="E22" t="s">
        <v>105</v>
      </c>
      <c r="F22" t="s">
        <v>106</v>
      </c>
      <c r="G22" t="s">
        <v>106</v>
      </c>
      <c r="H22" t="s">
        <v>106</v>
      </c>
      <c r="I22" t="s">
        <v>106</v>
      </c>
      <c r="J22" t="s">
        <v>106</v>
      </c>
      <c r="K22" t="s">
        <v>106</v>
      </c>
      <c r="L22" t="s">
        <v>106</v>
      </c>
      <c r="M22" t="s">
        <v>106</v>
      </c>
      <c r="N22" t="s">
        <v>106</v>
      </c>
      <c r="O22" t="s">
        <v>106</v>
      </c>
      <c r="P22" t="s">
        <v>106</v>
      </c>
      <c r="Q22" t="s">
        <v>106</v>
      </c>
      <c r="R22" t="s">
        <v>106</v>
      </c>
      <c r="S22" t="s">
        <v>106</v>
      </c>
      <c r="T22">
        <v>-10.8</v>
      </c>
      <c r="U22" t="s">
        <v>106</v>
      </c>
      <c r="V22" t="s">
        <v>106</v>
      </c>
      <c r="W22" t="s">
        <v>106</v>
      </c>
      <c r="X22" t="s">
        <v>106</v>
      </c>
      <c r="Y22" t="s">
        <v>106</v>
      </c>
      <c r="Z22">
        <v>-1.2</v>
      </c>
      <c r="AA22" t="s">
        <v>106</v>
      </c>
      <c r="AB22" t="s">
        <v>106</v>
      </c>
      <c r="AC22" t="s">
        <v>106</v>
      </c>
      <c r="AD22" t="s">
        <v>106</v>
      </c>
      <c r="AE22" t="s">
        <v>106</v>
      </c>
      <c r="AF22" t="s">
        <v>106</v>
      </c>
      <c r="AG22">
        <v>-0.3</v>
      </c>
      <c r="AH22" t="s">
        <v>106</v>
      </c>
      <c r="AI22" t="s">
        <v>106</v>
      </c>
      <c r="AJ22">
        <v>-42.8</v>
      </c>
      <c r="AK22" t="s">
        <v>106</v>
      </c>
      <c r="AL22" t="s">
        <v>106</v>
      </c>
      <c r="AM22" t="s">
        <v>106</v>
      </c>
      <c r="AN22" t="s">
        <v>106</v>
      </c>
      <c r="AO22" t="s">
        <v>106</v>
      </c>
      <c r="AP22" t="s">
        <v>106</v>
      </c>
      <c r="AQ22">
        <v>-16.3</v>
      </c>
      <c r="AR22">
        <v>-114.9</v>
      </c>
      <c r="AS22" t="s">
        <v>106</v>
      </c>
      <c r="AT22">
        <v>-24.1</v>
      </c>
      <c r="AU22">
        <v>-16.600000000000001</v>
      </c>
      <c r="AV22" t="s">
        <v>106</v>
      </c>
      <c r="AW22" t="s">
        <v>106</v>
      </c>
      <c r="AX22" t="s">
        <v>106</v>
      </c>
      <c r="AY22" t="s">
        <v>106</v>
      </c>
      <c r="AZ22" t="s">
        <v>106</v>
      </c>
      <c r="BA22" t="s">
        <v>106</v>
      </c>
      <c r="BB22" t="s">
        <v>106</v>
      </c>
      <c r="BC22" t="s">
        <v>106</v>
      </c>
      <c r="BD22" t="s">
        <v>106</v>
      </c>
      <c r="BE22" t="s">
        <v>106</v>
      </c>
      <c r="BF22" t="s">
        <v>106</v>
      </c>
      <c r="BG22" t="s">
        <v>106</v>
      </c>
      <c r="BH22" t="s">
        <v>106</v>
      </c>
      <c r="BI22" t="s">
        <v>106</v>
      </c>
      <c r="BJ22" t="s">
        <v>106</v>
      </c>
      <c r="BK22">
        <v>206.2</v>
      </c>
      <c r="BL22">
        <v>-20.6</v>
      </c>
      <c r="BM22">
        <v>-155.5</v>
      </c>
    </row>
    <row r="23" spans="1:65">
      <c r="B23" t="s">
        <v>126</v>
      </c>
      <c r="C23" t="s">
        <v>105</v>
      </c>
      <c r="D23" t="s">
        <v>105</v>
      </c>
      <c r="E23" t="s">
        <v>105</v>
      </c>
      <c r="F23" t="s">
        <v>106</v>
      </c>
      <c r="G23" t="s">
        <v>106</v>
      </c>
      <c r="H23" t="s">
        <v>106</v>
      </c>
      <c r="I23" t="s">
        <v>106</v>
      </c>
      <c r="J23" t="s">
        <v>106</v>
      </c>
      <c r="K23" t="s">
        <v>106</v>
      </c>
      <c r="L23" t="s">
        <v>106</v>
      </c>
      <c r="M23" t="s">
        <v>106</v>
      </c>
      <c r="N23" t="s">
        <v>106</v>
      </c>
      <c r="O23" t="s">
        <v>106</v>
      </c>
      <c r="P23" t="s">
        <v>106</v>
      </c>
      <c r="Q23" t="s">
        <v>106</v>
      </c>
      <c r="R23" t="s">
        <v>106</v>
      </c>
      <c r="S23" t="s">
        <v>106</v>
      </c>
      <c r="T23" t="s">
        <v>106</v>
      </c>
      <c r="U23" t="s">
        <v>106</v>
      </c>
      <c r="V23" t="s">
        <v>106</v>
      </c>
      <c r="W23" t="s">
        <v>106</v>
      </c>
      <c r="X23" t="s">
        <v>106</v>
      </c>
      <c r="Y23" t="s">
        <v>106</v>
      </c>
      <c r="Z23" t="s">
        <v>106</v>
      </c>
      <c r="AA23" t="s">
        <v>106</v>
      </c>
      <c r="AB23" t="s">
        <v>106</v>
      </c>
      <c r="AC23" t="s">
        <v>106</v>
      </c>
      <c r="AD23" t="s">
        <v>106</v>
      </c>
      <c r="AE23" t="s">
        <v>106</v>
      </c>
      <c r="AF23" t="s">
        <v>106</v>
      </c>
      <c r="AG23" t="s">
        <v>106</v>
      </c>
      <c r="AH23" t="s">
        <v>106</v>
      </c>
      <c r="AI23" t="s">
        <v>106</v>
      </c>
      <c r="AJ23" t="s">
        <v>106</v>
      </c>
      <c r="AK23" t="s">
        <v>106</v>
      </c>
      <c r="AL23" t="s">
        <v>106</v>
      </c>
      <c r="AM23" t="s">
        <v>106</v>
      </c>
      <c r="AN23" t="s">
        <v>106</v>
      </c>
      <c r="AO23" t="s">
        <v>106</v>
      </c>
      <c r="AP23" t="s">
        <v>106</v>
      </c>
      <c r="AQ23" t="s">
        <v>106</v>
      </c>
      <c r="AR23" t="s">
        <v>106</v>
      </c>
      <c r="AS23" t="s">
        <v>106</v>
      </c>
      <c r="AT23" t="s">
        <v>106</v>
      </c>
      <c r="AU23" t="s">
        <v>106</v>
      </c>
      <c r="AV23" t="s">
        <v>106</v>
      </c>
      <c r="AW23" t="s">
        <v>106</v>
      </c>
      <c r="AX23" t="s">
        <v>106</v>
      </c>
      <c r="AY23" t="s">
        <v>106</v>
      </c>
      <c r="AZ23" t="s">
        <v>106</v>
      </c>
      <c r="BA23" t="s">
        <v>106</v>
      </c>
      <c r="BB23" t="s">
        <v>106</v>
      </c>
      <c r="BC23" t="s">
        <v>106</v>
      </c>
      <c r="BD23" t="s">
        <v>106</v>
      </c>
      <c r="BE23" t="s">
        <v>106</v>
      </c>
      <c r="BF23" t="s">
        <v>106</v>
      </c>
      <c r="BG23" t="s">
        <v>106</v>
      </c>
      <c r="BH23" t="s">
        <v>106</v>
      </c>
      <c r="BI23" t="s">
        <v>106</v>
      </c>
      <c r="BJ23">
        <v>13.9</v>
      </c>
      <c r="BK23">
        <v>-37.1</v>
      </c>
      <c r="BL23">
        <v>-23.1</v>
      </c>
      <c r="BM23" t="s">
        <v>106</v>
      </c>
    </row>
    <row r="24" spans="1:65">
      <c r="B24" t="s">
        <v>127</v>
      </c>
      <c r="C24" t="s">
        <v>105</v>
      </c>
      <c r="D24" t="s">
        <v>105</v>
      </c>
      <c r="E24" t="s">
        <v>105</v>
      </c>
      <c r="F24" t="s">
        <v>106</v>
      </c>
      <c r="G24" t="s">
        <v>106</v>
      </c>
      <c r="H24">
        <v>-17195.599999999999</v>
      </c>
      <c r="I24" t="s">
        <v>106</v>
      </c>
      <c r="J24" t="s">
        <v>106</v>
      </c>
      <c r="K24" t="s">
        <v>106</v>
      </c>
      <c r="L24" t="s">
        <v>106</v>
      </c>
      <c r="M24" t="s">
        <v>106</v>
      </c>
      <c r="N24">
        <v>11619.7</v>
      </c>
      <c r="O24">
        <v>560.70000000000005</v>
      </c>
      <c r="P24">
        <v>3578.4</v>
      </c>
      <c r="Q24" t="s">
        <v>106</v>
      </c>
      <c r="R24" t="s">
        <v>106</v>
      </c>
      <c r="S24" t="s">
        <v>106</v>
      </c>
      <c r="T24" t="s">
        <v>106</v>
      </c>
      <c r="U24" t="s">
        <v>106</v>
      </c>
      <c r="V24" t="s">
        <v>106</v>
      </c>
      <c r="W24" t="s">
        <v>106</v>
      </c>
      <c r="X24" t="s">
        <v>106</v>
      </c>
      <c r="Y24" t="s">
        <v>106</v>
      </c>
      <c r="Z24" t="s">
        <v>106</v>
      </c>
      <c r="AA24" t="s">
        <v>106</v>
      </c>
      <c r="AB24" t="s">
        <v>106</v>
      </c>
      <c r="AC24" t="s">
        <v>106</v>
      </c>
      <c r="AD24" t="s">
        <v>106</v>
      </c>
      <c r="AE24" t="s">
        <v>106</v>
      </c>
      <c r="AF24" t="s">
        <v>106</v>
      </c>
      <c r="AG24" t="s">
        <v>106</v>
      </c>
      <c r="AH24" t="s">
        <v>106</v>
      </c>
      <c r="AI24" t="s">
        <v>106</v>
      </c>
      <c r="AJ24" t="s">
        <v>106</v>
      </c>
      <c r="AK24" t="s">
        <v>106</v>
      </c>
      <c r="AL24" t="s">
        <v>106</v>
      </c>
      <c r="AM24" t="s">
        <v>106</v>
      </c>
      <c r="AN24" t="s">
        <v>106</v>
      </c>
      <c r="AO24" t="s">
        <v>106</v>
      </c>
      <c r="AP24" t="s">
        <v>106</v>
      </c>
      <c r="AQ24" t="s">
        <v>106</v>
      </c>
      <c r="AR24" t="s">
        <v>106</v>
      </c>
      <c r="AS24" t="s">
        <v>106</v>
      </c>
      <c r="AT24" t="s">
        <v>106</v>
      </c>
      <c r="AU24" t="s">
        <v>106</v>
      </c>
      <c r="AV24" t="s">
        <v>106</v>
      </c>
      <c r="AW24" t="s">
        <v>106</v>
      </c>
      <c r="AX24" t="s">
        <v>106</v>
      </c>
      <c r="AY24" t="s">
        <v>106</v>
      </c>
      <c r="AZ24" t="s">
        <v>106</v>
      </c>
      <c r="BA24" t="s">
        <v>106</v>
      </c>
      <c r="BB24" t="s">
        <v>106</v>
      </c>
      <c r="BC24" t="s">
        <v>106</v>
      </c>
      <c r="BD24" t="s">
        <v>106</v>
      </c>
      <c r="BE24" t="s">
        <v>106</v>
      </c>
      <c r="BF24" t="s">
        <v>106</v>
      </c>
      <c r="BG24" t="s">
        <v>106</v>
      </c>
      <c r="BH24" t="s">
        <v>106</v>
      </c>
      <c r="BI24" t="s">
        <v>106</v>
      </c>
      <c r="BJ24" t="s">
        <v>106</v>
      </c>
      <c r="BK24" t="s">
        <v>106</v>
      </c>
      <c r="BL24">
        <v>-1436.7</v>
      </c>
      <c r="BM24" t="s">
        <v>106</v>
      </c>
    </row>
    <row r="25" spans="1:65">
      <c r="B25" t="s">
        <v>128</v>
      </c>
      <c r="C25" t="s">
        <v>105</v>
      </c>
      <c r="D25" t="s">
        <v>105</v>
      </c>
      <c r="E25" t="s">
        <v>105</v>
      </c>
      <c r="F25" t="s">
        <v>106</v>
      </c>
      <c r="G25" t="s">
        <v>106</v>
      </c>
      <c r="H25">
        <v>-1025.3</v>
      </c>
      <c r="I25">
        <v>-4839.2</v>
      </c>
      <c r="J25" t="s">
        <v>106</v>
      </c>
      <c r="K25" t="s">
        <v>106</v>
      </c>
      <c r="L25" t="s">
        <v>106</v>
      </c>
      <c r="M25" t="s">
        <v>106</v>
      </c>
      <c r="N25">
        <v>-11064.1</v>
      </c>
      <c r="O25" t="s">
        <v>106</v>
      </c>
      <c r="P25" t="s">
        <v>106</v>
      </c>
      <c r="Q25">
        <v>5392.6</v>
      </c>
      <c r="R25">
        <v>1446.8</v>
      </c>
      <c r="S25" t="s">
        <v>106</v>
      </c>
      <c r="T25" t="s">
        <v>106</v>
      </c>
      <c r="U25" t="s">
        <v>106</v>
      </c>
      <c r="V25" t="s">
        <v>106</v>
      </c>
      <c r="W25" t="s">
        <v>106</v>
      </c>
      <c r="X25" t="s">
        <v>106</v>
      </c>
      <c r="Y25" t="s">
        <v>106</v>
      </c>
      <c r="Z25" t="s">
        <v>106</v>
      </c>
      <c r="AA25" t="s">
        <v>106</v>
      </c>
      <c r="AB25" t="s">
        <v>106</v>
      </c>
      <c r="AC25" t="s">
        <v>106</v>
      </c>
      <c r="AD25" t="s">
        <v>106</v>
      </c>
      <c r="AE25" t="s">
        <v>106</v>
      </c>
      <c r="AF25" t="s">
        <v>106</v>
      </c>
      <c r="AG25" t="s">
        <v>106</v>
      </c>
      <c r="AH25" t="s">
        <v>106</v>
      </c>
      <c r="AI25" t="s">
        <v>106</v>
      </c>
      <c r="AJ25" t="s">
        <v>106</v>
      </c>
      <c r="AK25" t="s">
        <v>106</v>
      </c>
      <c r="AL25" t="s">
        <v>106</v>
      </c>
      <c r="AM25" t="s">
        <v>106</v>
      </c>
      <c r="AN25" t="s">
        <v>106</v>
      </c>
      <c r="AO25" t="s">
        <v>106</v>
      </c>
      <c r="AP25" t="s">
        <v>106</v>
      </c>
      <c r="AQ25" t="s">
        <v>106</v>
      </c>
      <c r="AR25" t="s">
        <v>106</v>
      </c>
      <c r="AS25" t="s">
        <v>106</v>
      </c>
      <c r="AT25" t="s">
        <v>106</v>
      </c>
      <c r="AU25" t="s">
        <v>106</v>
      </c>
      <c r="AV25" t="s">
        <v>106</v>
      </c>
      <c r="AW25" t="s">
        <v>106</v>
      </c>
      <c r="AX25" t="s">
        <v>106</v>
      </c>
      <c r="AY25" t="s">
        <v>106</v>
      </c>
      <c r="AZ25" t="s">
        <v>106</v>
      </c>
      <c r="BA25" t="s">
        <v>106</v>
      </c>
      <c r="BB25" t="s">
        <v>106</v>
      </c>
      <c r="BC25" t="s">
        <v>106</v>
      </c>
      <c r="BD25" t="s">
        <v>106</v>
      </c>
      <c r="BE25" t="s">
        <v>106</v>
      </c>
      <c r="BF25" t="s">
        <v>106</v>
      </c>
      <c r="BG25" t="s">
        <v>106</v>
      </c>
      <c r="BH25" t="s">
        <v>106</v>
      </c>
      <c r="BI25" t="s">
        <v>106</v>
      </c>
      <c r="BJ25" t="s">
        <v>106</v>
      </c>
      <c r="BK25" t="s">
        <v>106</v>
      </c>
      <c r="BL25">
        <v>-10089.200000000001</v>
      </c>
      <c r="BM25" t="s">
        <v>106</v>
      </c>
    </row>
    <row r="26" spans="1:65">
      <c r="B26" t="s">
        <v>129</v>
      </c>
      <c r="C26" t="s">
        <v>105</v>
      </c>
      <c r="D26" t="s">
        <v>105</v>
      </c>
      <c r="E26" t="s">
        <v>105</v>
      </c>
      <c r="F26">
        <v>-287.39999999999998</v>
      </c>
      <c r="G26">
        <v>-18.2</v>
      </c>
      <c r="H26" t="s">
        <v>106</v>
      </c>
      <c r="I26" t="s">
        <v>106</v>
      </c>
      <c r="J26" t="s">
        <v>106</v>
      </c>
      <c r="K26" t="s">
        <v>106</v>
      </c>
      <c r="L26" t="s">
        <v>106</v>
      </c>
      <c r="M26">
        <v>296.10000000000002</v>
      </c>
      <c r="N26" t="s">
        <v>106</v>
      </c>
      <c r="O26" t="s">
        <v>106</v>
      </c>
      <c r="P26" t="s">
        <v>106</v>
      </c>
      <c r="Q26" t="s">
        <v>106</v>
      </c>
      <c r="R26" t="s">
        <v>106</v>
      </c>
      <c r="S26" t="s">
        <v>106</v>
      </c>
      <c r="T26" t="s">
        <v>106</v>
      </c>
      <c r="U26" t="s">
        <v>106</v>
      </c>
      <c r="V26" t="s">
        <v>106</v>
      </c>
      <c r="W26" t="s">
        <v>106</v>
      </c>
      <c r="X26" t="s">
        <v>106</v>
      </c>
      <c r="Y26" t="s">
        <v>106</v>
      </c>
      <c r="Z26" t="s">
        <v>106</v>
      </c>
      <c r="AA26" t="s">
        <v>106</v>
      </c>
      <c r="AB26" t="s">
        <v>106</v>
      </c>
      <c r="AC26" t="s">
        <v>106</v>
      </c>
      <c r="AD26" t="s">
        <v>106</v>
      </c>
      <c r="AE26" t="s">
        <v>106</v>
      </c>
      <c r="AF26" t="s">
        <v>106</v>
      </c>
      <c r="AG26" t="s">
        <v>106</v>
      </c>
      <c r="AH26" t="s">
        <v>106</v>
      </c>
      <c r="AI26" t="s">
        <v>106</v>
      </c>
      <c r="AJ26" t="s">
        <v>106</v>
      </c>
      <c r="AK26" t="s">
        <v>106</v>
      </c>
      <c r="AL26" t="s">
        <v>106</v>
      </c>
      <c r="AM26" t="s">
        <v>106</v>
      </c>
      <c r="AN26" t="s">
        <v>106</v>
      </c>
      <c r="AO26" t="s">
        <v>106</v>
      </c>
      <c r="AP26" t="s">
        <v>106</v>
      </c>
      <c r="AQ26" t="s">
        <v>106</v>
      </c>
      <c r="AR26" t="s">
        <v>106</v>
      </c>
      <c r="AS26" t="s">
        <v>106</v>
      </c>
      <c r="AT26" t="s">
        <v>106</v>
      </c>
      <c r="AU26" t="s">
        <v>106</v>
      </c>
      <c r="AV26" t="s">
        <v>106</v>
      </c>
      <c r="AW26" t="s">
        <v>106</v>
      </c>
      <c r="AX26" t="s">
        <v>106</v>
      </c>
      <c r="AY26" t="s">
        <v>106</v>
      </c>
      <c r="AZ26" t="s">
        <v>106</v>
      </c>
      <c r="BA26" t="s">
        <v>106</v>
      </c>
      <c r="BB26" t="s">
        <v>106</v>
      </c>
      <c r="BC26" t="s">
        <v>106</v>
      </c>
      <c r="BD26" t="s">
        <v>106</v>
      </c>
      <c r="BE26" t="s">
        <v>106</v>
      </c>
      <c r="BF26" t="s">
        <v>106</v>
      </c>
      <c r="BG26" t="s">
        <v>106</v>
      </c>
      <c r="BH26" t="s">
        <v>106</v>
      </c>
      <c r="BI26" t="s">
        <v>106</v>
      </c>
      <c r="BJ26" t="s">
        <v>106</v>
      </c>
      <c r="BK26" t="s">
        <v>106</v>
      </c>
      <c r="BL26">
        <v>-9.6</v>
      </c>
      <c r="BM26" t="s">
        <v>106</v>
      </c>
    </row>
    <row r="27" spans="1:65">
      <c r="B27" t="s">
        <v>130</v>
      </c>
      <c r="C27" t="s">
        <v>105</v>
      </c>
      <c r="D27" t="s">
        <v>105</v>
      </c>
      <c r="E27" t="s">
        <v>105</v>
      </c>
      <c r="F27" t="s">
        <v>106</v>
      </c>
      <c r="G27" t="s">
        <v>106</v>
      </c>
      <c r="H27" t="s">
        <v>106</v>
      </c>
      <c r="I27" t="s">
        <v>106</v>
      </c>
      <c r="J27" t="s">
        <v>106</v>
      </c>
      <c r="K27" t="s">
        <v>106</v>
      </c>
      <c r="L27" t="s">
        <v>106</v>
      </c>
      <c r="M27" t="s">
        <v>106</v>
      </c>
      <c r="N27" t="s">
        <v>106</v>
      </c>
      <c r="O27" t="s">
        <v>106</v>
      </c>
      <c r="P27" t="s">
        <v>106</v>
      </c>
      <c r="Q27" t="s">
        <v>106</v>
      </c>
      <c r="R27" t="s">
        <v>106</v>
      </c>
      <c r="S27" t="s">
        <v>106</v>
      </c>
      <c r="T27" t="s">
        <v>106</v>
      </c>
      <c r="U27">
        <v>-156075.5</v>
      </c>
      <c r="V27">
        <v>-33101.5</v>
      </c>
      <c r="W27">
        <v>0</v>
      </c>
      <c r="X27">
        <v>106.9</v>
      </c>
      <c r="Y27">
        <v>3696.7</v>
      </c>
      <c r="Z27">
        <v>1425.9</v>
      </c>
      <c r="AA27">
        <v>2562.5</v>
      </c>
      <c r="AB27">
        <v>21143</v>
      </c>
      <c r="AC27">
        <v>14</v>
      </c>
      <c r="AD27" t="s">
        <v>106</v>
      </c>
      <c r="AE27">
        <v>23660</v>
      </c>
      <c r="AF27">
        <v>2996.8</v>
      </c>
      <c r="AG27">
        <v>52765</v>
      </c>
      <c r="AH27">
        <v>294.3</v>
      </c>
      <c r="AI27">
        <v>20.2</v>
      </c>
      <c r="AJ27">
        <v>9078</v>
      </c>
      <c r="AK27">
        <v>40146.800000000003</v>
      </c>
      <c r="AL27">
        <v>544.5</v>
      </c>
      <c r="AM27">
        <v>3169.3</v>
      </c>
      <c r="AN27">
        <v>4988</v>
      </c>
      <c r="AO27">
        <v>20</v>
      </c>
      <c r="AP27">
        <v>603.70000000000005</v>
      </c>
      <c r="AQ27">
        <v>3616.5</v>
      </c>
      <c r="AR27" t="s">
        <v>106</v>
      </c>
      <c r="AS27" t="s">
        <v>106</v>
      </c>
      <c r="AT27" t="s">
        <v>106</v>
      </c>
      <c r="AU27" t="s">
        <v>106</v>
      </c>
      <c r="AV27" t="s">
        <v>106</v>
      </c>
      <c r="AW27" t="s">
        <v>106</v>
      </c>
      <c r="AX27" t="s">
        <v>106</v>
      </c>
      <c r="AY27" t="s">
        <v>106</v>
      </c>
      <c r="AZ27" t="s">
        <v>106</v>
      </c>
      <c r="BA27" t="s">
        <v>106</v>
      </c>
      <c r="BB27" t="s">
        <v>106</v>
      </c>
      <c r="BC27" t="s">
        <v>106</v>
      </c>
      <c r="BD27" t="s">
        <v>106</v>
      </c>
      <c r="BE27" t="s">
        <v>106</v>
      </c>
      <c r="BF27" t="s">
        <v>106</v>
      </c>
      <c r="BG27" t="s">
        <v>106</v>
      </c>
      <c r="BH27" t="s">
        <v>106</v>
      </c>
      <c r="BI27" t="s">
        <v>106</v>
      </c>
      <c r="BJ27" t="s">
        <v>106</v>
      </c>
      <c r="BK27" t="s">
        <v>106</v>
      </c>
      <c r="BL27">
        <v>-18325</v>
      </c>
      <c r="BM27" t="s">
        <v>106</v>
      </c>
    </row>
    <row r="28" spans="1:65">
      <c r="B28" t="s">
        <v>131</v>
      </c>
      <c r="C28" t="s">
        <v>105</v>
      </c>
      <c r="D28" t="s">
        <v>105</v>
      </c>
      <c r="E28" t="s">
        <v>105</v>
      </c>
      <c r="F28" t="s">
        <v>106</v>
      </c>
      <c r="G28" t="s">
        <v>106</v>
      </c>
      <c r="H28" t="s">
        <v>106</v>
      </c>
      <c r="I28" t="s">
        <v>106</v>
      </c>
      <c r="J28" t="s">
        <v>106</v>
      </c>
      <c r="K28" t="s">
        <v>106</v>
      </c>
      <c r="L28" t="s">
        <v>106</v>
      </c>
      <c r="M28" t="s">
        <v>106</v>
      </c>
      <c r="N28" t="s">
        <v>106</v>
      </c>
      <c r="O28" t="s">
        <v>106</v>
      </c>
      <c r="P28" t="s">
        <v>106</v>
      </c>
      <c r="Q28" t="s">
        <v>106</v>
      </c>
      <c r="R28" t="s">
        <v>106</v>
      </c>
      <c r="S28" t="s">
        <v>106</v>
      </c>
      <c r="T28" t="s">
        <v>106</v>
      </c>
      <c r="U28" t="s">
        <v>106</v>
      </c>
      <c r="V28">
        <v>15440.2</v>
      </c>
      <c r="W28" t="s">
        <v>106</v>
      </c>
      <c r="X28">
        <v>-96.1</v>
      </c>
      <c r="Y28" t="s">
        <v>106</v>
      </c>
      <c r="Z28">
        <v>-761.4</v>
      </c>
      <c r="AA28">
        <v>-149</v>
      </c>
      <c r="AB28" t="s">
        <v>106</v>
      </c>
      <c r="AC28" t="s">
        <v>106</v>
      </c>
      <c r="AD28" t="s">
        <v>106</v>
      </c>
      <c r="AE28" t="s">
        <v>106</v>
      </c>
      <c r="AF28" t="s">
        <v>106</v>
      </c>
      <c r="AG28" t="s">
        <v>106</v>
      </c>
      <c r="AH28" t="s">
        <v>106</v>
      </c>
      <c r="AI28" t="s">
        <v>106</v>
      </c>
      <c r="AJ28" t="s">
        <v>106</v>
      </c>
      <c r="AK28">
        <v>-8969.1</v>
      </c>
      <c r="AL28" t="s">
        <v>106</v>
      </c>
      <c r="AM28" t="s">
        <v>106</v>
      </c>
      <c r="AN28" t="s">
        <v>106</v>
      </c>
      <c r="AO28" t="s">
        <v>106</v>
      </c>
      <c r="AP28" t="s">
        <v>106</v>
      </c>
      <c r="AQ28" t="s">
        <v>106</v>
      </c>
      <c r="AR28" t="s">
        <v>106</v>
      </c>
      <c r="AS28" t="s">
        <v>106</v>
      </c>
      <c r="AT28" t="s">
        <v>106</v>
      </c>
      <c r="AU28" t="s">
        <v>106</v>
      </c>
      <c r="AV28" t="s">
        <v>106</v>
      </c>
      <c r="AW28" t="s">
        <v>106</v>
      </c>
      <c r="AX28" t="s">
        <v>106</v>
      </c>
      <c r="AY28" t="s">
        <v>106</v>
      </c>
      <c r="AZ28" t="s">
        <v>106</v>
      </c>
      <c r="BA28" t="s">
        <v>106</v>
      </c>
      <c r="BB28" t="s">
        <v>106</v>
      </c>
      <c r="BC28" t="s">
        <v>106</v>
      </c>
      <c r="BD28" t="s">
        <v>106</v>
      </c>
      <c r="BE28" t="s">
        <v>106</v>
      </c>
      <c r="BF28" t="s">
        <v>106</v>
      </c>
      <c r="BG28" t="s">
        <v>106</v>
      </c>
      <c r="BH28" t="s">
        <v>106</v>
      </c>
      <c r="BI28" t="s">
        <v>106</v>
      </c>
      <c r="BJ28" t="s">
        <v>106</v>
      </c>
      <c r="BK28" t="s">
        <v>106</v>
      </c>
      <c r="BL28">
        <v>5464.7</v>
      </c>
      <c r="BM28" t="s">
        <v>106</v>
      </c>
    </row>
    <row r="29" spans="1:65">
      <c r="B29" t="s">
        <v>132</v>
      </c>
      <c r="C29" t="s">
        <v>105</v>
      </c>
      <c r="D29" t="s">
        <v>105</v>
      </c>
      <c r="E29" t="s">
        <v>105</v>
      </c>
      <c r="F29" t="s">
        <v>106</v>
      </c>
      <c r="G29" t="s">
        <v>106</v>
      </c>
      <c r="H29" t="s">
        <v>106</v>
      </c>
      <c r="I29" t="s">
        <v>106</v>
      </c>
      <c r="J29" t="s">
        <v>106</v>
      </c>
      <c r="K29" t="s">
        <v>106</v>
      </c>
      <c r="L29" t="s">
        <v>106</v>
      </c>
      <c r="M29" t="s">
        <v>106</v>
      </c>
      <c r="N29" t="s">
        <v>106</v>
      </c>
      <c r="O29" t="s">
        <v>106</v>
      </c>
      <c r="P29" t="s">
        <v>106</v>
      </c>
      <c r="Q29" t="s">
        <v>106</v>
      </c>
      <c r="R29" t="s">
        <v>106</v>
      </c>
      <c r="S29">
        <v>-24334.2</v>
      </c>
      <c r="T29">
        <v>24357.8</v>
      </c>
      <c r="U29" t="s">
        <v>106</v>
      </c>
      <c r="V29" t="s">
        <v>106</v>
      </c>
      <c r="W29" t="s">
        <v>106</v>
      </c>
      <c r="X29" t="s">
        <v>106</v>
      </c>
      <c r="Y29" t="s">
        <v>106</v>
      </c>
      <c r="Z29">
        <v>-23.6</v>
      </c>
      <c r="AA29" t="s">
        <v>106</v>
      </c>
      <c r="AB29" t="s">
        <v>106</v>
      </c>
      <c r="AC29" t="s">
        <v>106</v>
      </c>
      <c r="AD29" t="s">
        <v>106</v>
      </c>
      <c r="AE29" t="s">
        <v>106</v>
      </c>
      <c r="AF29" t="s">
        <v>106</v>
      </c>
      <c r="AG29" t="s">
        <v>106</v>
      </c>
      <c r="AH29" t="s">
        <v>106</v>
      </c>
      <c r="AI29" t="s">
        <v>106</v>
      </c>
      <c r="AJ29" t="s">
        <v>106</v>
      </c>
      <c r="AK29" t="s">
        <v>106</v>
      </c>
      <c r="AL29" t="s">
        <v>106</v>
      </c>
      <c r="AM29" t="s">
        <v>106</v>
      </c>
      <c r="AN29" t="s">
        <v>106</v>
      </c>
      <c r="AO29" t="s">
        <v>106</v>
      </c>
      <c r="AP29" t="s">
        <v>106</v>
      </c>
      <c r="AQ29" t="s">
        <v>106</v>
      </c>
      <c r="AR29" t="s">
        <v>106</v>
      </c>
      <c r="AS29" t="s">
        <v>106</v>
      </c>
      <c r="AT29" t="s">
        <v>106</v>
      </c>
      <c r="AU29" t="s">
        <v>106</v>
      </c>
      <c r="AV29" t="s">
        <v>106</v>
      </c>
      <c r="AW29" t="s">
        <v>106</v>
      </c>
      <c r="AX29" t="s">
        <v>106</v>
      </c>
      <c r="AY29" t="s">
        <v>106</v>
      </c>
      <c r="AZ29" t="s">
        <v>106</v>
      </c>
      <c r="BA29" t="s">
        <v>106</v>
      </c>
      <c r="BB29" t="s">
        <v>106</v>
      </c>
      <c r="BC29" t="s">
        <v>106</v>
      </c>
      <c r="BD29" t="s">
        <v>106</v>
      </c>
      <c r="BE29" t="s">
        <v>106</v>
      </c>
      <c r="BF29" t="s">
        <v>106</v>
      </c>
      <c r="BG29" t="s">
        <v>106</v>
      </c>
      <c r="BH29" t="s">
        <v>106</v>
      </c>
      <c r="BI29" t="s">
        <v>106</v>
      </c>
      <c r="BJ29" t="s">
        <v>106</v>
      </c>
      <c r="BK29" t="s">
        <v>106</v>
      </c>
      <c r="BL29">
        <v>0</v>
      </c>
      <c r="BM29" t="s">
        <v>106</v>
      </c>
    </row>
    <row r="30" spans="1:65">
      <c r="B30" t="s">
        <v>133</v>
      </c>
      <c r="C30" t="s">
        <v>105</v>
      </c>
      <c r="D30" t="s">
        <v>105</v>
      </c>
      <c r="E30" t="s">
        <v>105</v>
      </c>
      <c r="F30" t="s">
        <v>106</v>
      </c>
      <c r="G30" t="s">
        <v>106</v>
      </c>
      <c r="H30" t="s">
        <v>106</v>
      </c>
      <c r="I30">
        <v>-181.8</v>
      </c>
      <c r="J30" t="s">
        <v>106</v>
      </c>
      <c r="K30" t="s">
        <v>106</v>
      </c>
      <c r="L30" t="s">
        <v>106</v>
      </c>
      <c r="M30" t="s">
        <v>106</v>
      </c>
      <c r="N30" t="s">
        <v>106</v>
      </c>
      <c r="O30" t="s">
        <v>106</v>
      </c>
      <c r="P30" t="s">
        <v>106</v>
      </c>
      <c r="Q30" t="s">
        <v>106</v>
      </c>
      <c r="R30">
        <v>219.7</v>
      </c>
      <c r="S30" t="s">
        <v>106</v>
      </c>
      <c r="T30" t="s">
        <v>106</v>
      </c>
      <c r="U30" t="s">
        <v>106</v>
      </c>
      <c r="V30" t="s">
        <v>106</v>
      </c>
      <c r="W30" t="s">
        <v>106</v>
      </c>
      <c r="X30" t="s">
        <v>106</v>
      </c>
      <c r="Y30" t="s">
        <v>106</v>
      </c>
      <c r="Z30" t="s">
        <v>106</v>
      </c>
      <c r="AA30" t="s">
        <v>106</v>
      </c>
      <c r="AB30" t="s">
        <v>106</v>
      </c>
      <c r="AC30" t="s">
        <v>106</v>
      </c>
      <c r="AD30" t="s">
        <v>106</v>
      </c>
      <c r="AE30" t="s">
        <v>106</v>
      </c>
      <c r="AF30" t="s">
        <v>106</v>
      </c>
      <c r="AG30" t="s">
        <v>106</v>
      </c>
      <c r="AH30" t="s">
        <v>106</v>
      </c>
      <c r="AI30" t="s">
        <v>106</v>
      </c>
      <c r="AJ30" t="s">
        <v>106</v>
      </c>
      <c r="AK30" t="s">
        <v>106</v>
      </c>
      <c r="AL30" t="s">
        <v>106</v>
      </c>
      <c r="AM30" t="s">
        <v>106</v>
      </c>
      <c r="AN30" t="s">
        <v>106</v>
      </c>
      <c r="AO30" t="s">
        <v>106</v>
      </c>
      <c r="AP30" t="s">
        <v>106</v>
      </c>
      <c r="AQ30" t="s">
        <v>106</v>
      </c>
      <c r="AR30" t="s">
        <v>106</v>
      </c>
      <c r="AS30" t="s">
        <v>106</v>
      </c>
      <c r="AT30" t="s">
        <v>106</v>
      </c>
      <c r="AU30" t="s">
        <v>106</v>
      </c>
      <c r="AV30" t="s">
        <v>106</v>
      </c>
      <c r="AW30" t="s">
        <v>106</v>
      </c>
      <c r="AX30" t="s">
        <v>106</v>
      </c>
      <c r="AY30" t="s">
        <v>106</v>
      </c>
      <c r="AZ30" t="s">
        <v>106</v>
      </c>
      <c r="BA30" t="s">
        <v>106</v>
      </c>
      <c r="BB30" t="s">
        <v>106</v>
      </c>
      <c r="BC30" t="s">
        <v>106</v>
      </c>
      <c r="BD30" t="s">
        <v>106</v>
      </c>
      <c r="BE30" t="s">
        <v>106</v>
      </c>
      <c r="BF30" t="s">
        <v>106</v>
      </c>
      <c r="BG30" t="s">
        <v>106</v>
      </c>
      <c r="BH30" t="s">
        <v>106</v>
      </c>
      <c r="BI30" t="s">
        <v>106</v>
      </c>
      <c r="BJ30" t="s">
        <v>106</v>
      </c>
      <c r="BK30" t="s">
        <v>106</v>
      </c>
      <c r="BL30">
        <v>37.799999999999997</v>
      </c>
      <c r="BM30">
        <v>439.3</v>
      </c>
    </row>
    <row r="31" spans="1:65">
      <c r="B31" t="s">
        <v>134</v>
      </c>
      <c r="C31" t="s">
        <v>105</v>
      </c>
      <c r="D31" t="s">
        <v>105</v>
      </c>
      <c r="E31" t="s">
        <v>105</v>
      </c>
      <c r="F31" t="s">
        <v>106</v>
      </c>
      <c r="G31" t="s">
        <v>106</v>
      </c>
      <c r="H31" t="s">
        <v>106</v>
      </c>
      <c r="I31" t="s">
        <v>106</v>
      </c>
      <c r="J31" t="s">
        <v>106</v>
      </c>
      <c r="K31" t="s">
        <v>106</v>
      </c>
      <c r="L31" t="s">
        <v>106</v>
      </c>
      <c r="M31" t="s">
        <v>106</v>
      </c>
      <c r="N31" t="s">
        <v>106</v>
      </c>
      <c r="O31" t="s">
        <v>106</v>
      </c>
      <c r="P31" t="s">
        <v>106</v>
      </c>
      <c r="Q31" t="s">
        <v>106</v>
      </c>
      <c r="R31" t="s">
        <v>106</v>
      </c>
      <c r="S31" t="s">
        <v>106</v>
      </c>
      <c r="T31">
        <v>-197.3</v>
      </c>
      <c r="U31" t="s">
        <v>106</v>
      </c>
      <c r="V31" t="s">
        <v>106</v>
      </c>
      <c r="W31" t="s">
        <v>106</v>
      </c>
      <c r="X31" t="s">
        <v>106</v>
      </c>
      <c r="Y31" t="s">
        <v>106</v>
      </c>
      <c r="Z31" t="s">
        <v>106</v>
      </c>
      <c r="AA31" t="s">
        <v>106</v>
      </c>
      <c r="AB31" t="s">
        <v>106</v>
      </c>
      <c r="AC31" t="s">
        <v>106</v>
      </c>
      <c r="AD31" t="s">
        <v>106</v>
      </c>
      <c r="AE31" t="s">
        <v>106</v>
      </c>
      <c r="AF31" t="s">
        <v>106</v>
      </c>
      <c r="AG31" t="s">
        <v>106</v>
      </c>
      <c r="AH31" t="s">
        <v>106</v>
      </c>
      <c r="AI31" t="s">
        <v>106</v>
      </c>
      <c r="AJ31" t="s">
        <v>106</v>
      </c>
      <c r="AK31" t="s">
        <v>106</v>
      </c>
      <c r="AL31" t="s">
        <v>106</v>
      </c>
      <c r="AM31" t="s">
        <v>106</v>
      </c>
      <c r="AN31" t="s">
        <v>106</v>
      </c>
      <c r="AO31" t="s">
        <v>106</v>
      </c>
      <c r="AP31" t="s">
        <v>106</v>
      </c>
      <c r="AQ31" t="s">
        <v>106</v>
      </c>
      <c r="AR31" t="s">
        <v>106</v>
      </c>
      <c r="AS31" t="s">
        <v>106</v>
      </c>
      <c r="AT31" t="s">
        <v>106</v>
      </c>
      <c r="AU31" t="s">
        <v>106</v>
      </c>
      <c r="AV31" t="s">
        <v>106</v>
      </c>
      <c r="AW31" t="s">
        <v>106</v>
      </c>
      <c r="AX31" t="s">
        <v>106</v>
      </c>
      <c r="AY31" t="s">
        <v>106</v>
      </c>
      <c r="AZ31" t="s">
        <v>106</v>
      </c>
      <c r="BA31" t="s">
        <v>106</v>
      </c>
      <c r="BB31" t="s">
        <v>106</v>
      </c>
      <c r="BC31" t="s">
        <v>106</v>
      </c>
      <c r="BD31" t="s">
        <v>106</v>
      </c>
      <c r="BE31" t="s">
        <v>106</v>
      </c>
      <c r="BF31" t="s">
        <v>106</v>
      </c>
      <c r="BG31" t="s">
        <v>106</v>
      </c>
      <c r="BH31" t="s">
        <v>106</v>
      </c>
      <c r="BI31">
        <v>487.2</v>
      </c>
      <c r="BJ31" t="s">
        <v>106</v>
      </c>
      <c r="BK31" t="s">
        <v>106</v>
      </c>
      <c r="BL31">
        <v>289.89999999999998</v>
      </c>
      <c r="BM31">
        <v>487.2</v>
      </c>
    </row>
    <row r="32" spans="1:65">
      <c r="A32" t="s">
        <v>135</v>
      </c>
      <c r="B32" t="s">
        <v>105</v>
      </c>
      <c r="C32" t="s">
        <v>105</v>
      </c>
      <c r="D32" t="s">
        <v>105</v>
      </c>
      <c r="E32" t="s">
        <v>105</v>
      </c>
      <c r="F32" t="s">
        <v>106</v>
      </c>
      <c r="G32" t="s">
        <v>106</v>
      </c>
      <c r="H32" t="s">
        <v>106</v>
      </c>
      <c r="I32" t="s">
        <v>106</v>
      </c>
      <c r="J32" t="s">
        <v>106</v>
      </c>
      <c r="K32" t="s">
        <v>106</v>
      </c>
      <c r="L32" t="s">
        <v>106</v>
      </c>
      <c r="M32" t="s">
        <v>106</v>
      </c>
      <c r="N32" t="s">
        <v>106</v>
      </c>
      <c r="O32" t="s">
        <v>106</v>
      </c>
      <c r="P32">
        <v>-956.9</v>
      </c>
      <c r="Q32">
        <v>-2279.6999999999998</v>
      </c>
      <c r="R32">
        <v>-37.9</v>
      </c>
      <c r="S32">
        <v>-1587.5</v>
      </c>
      <c r="T32">
        <v>-848.5</v>
      </c>
      <c r="U32" t="s">
        <v>106</v>
      </c>
      <c r="V32" t="s">
        <v>106</v>
      </c>
      <c r="W32" t="s">
        <v>106</v>
      </c>
      <c r="X32" t="s">
        <v>106</v>
      </c>
      <c r="Y32">
        <v>-2685.5</v>
      </c>
      <c r="Z32">
        <v>-286.3</v>
      </c>
      <c r="AA32">
        <v>-19.600000000000001</v>
      </c>
      <c r="AB32">
        <v>-0.4</v>
      </c>
      <c r="AC32" t="s">
        <v>106</v>
      </c>
      <c r="AD32" t="s">
        <v>106</v>
      </c>
      <c r="AE32" t="s">
        <v>106</v>
      </c>
      <c r="AF32">
        <v>-2.1</v>
      </c>
      <c r="AG32">
        <v>-19.3</v>
      </c>
      <c r="AH32">
        <v>-0.5</v>
      </c>
      <c r="AI32">
        <v>-0.4</v>
      </c>
      <c r="AJ32">
        <v>-241.3</v>
      </c>
      <c r="AK32" t="s">
        <v>106</v>
      </c>
      <c r="AL32" t="s">
        <v>106</v>
      </c>
      <c r="AM32" t="s">
        <v>106</v>
      </c>
      <c r="AN32" t="s">
        <v>106</v>
      </c>
      <c r="AO32" t="s">
        <v>106</v>
      </c>
      <c r="AP32" t="s">
        <v>106</v>
      </c>
      <c r="AQ32" t="s">
        <v>106</v>
      </c>
      <c r="AR32" t="s">
        <v>106</v>
      </c>
      <c r="AS32" t="s">
        <v>106</v>
      </c>
      <c r="AT32">
        <v>-14.2</v>
      </c>
      <c r="AU32" t="s">
        <v>106</v>
      </c>
      <c r="AV32" t="s">
        <v>106</v>
      </c>
      <c r="AW32" t="s">
        <v>106</v>
      </c>
      <c r="AX32" t="s">
        <v>106</v>
      </c>
      <c r="AY32" t="s">
        <v>106</v>
      </c>
      <c r="AZ32" t="s">
        <v>106</v>
      </c>
      <c r="BA32" t="s">
        <v>106</v>
      </c>
      <c r="BB32" t="s">
        <v>106</v>
      </c>
      <c r="BC32" t="s">
        <v>106</v>
      </c>
      <c r="BD32" t="s">
        <v>106</v>
      </c>
      <c r="BE32" t="s">
        <v>106</v>
      </c>
      <c r="BF32" t="s">
        <v>106</v>
      </c>
      <c r="BG32" t="s">
        <v>106</v>
      </c>
      <c r="BH32" t="s">
        <v>106</v>
      </c>
      <c r="BI32" t="s">
        <v>106</v>
      </c>
      <c r="BJ32">
        <v>-3271.1</v>
      </c>
      <c r="BK32">
        <v>-183.1</v>
      </c>
      <c r="BL32">
        <v>-12434.5</v>
      </c>
      <c r="BM32">
        <v>-5974.3</v>
      </c>
    </row>
    <row r="33" spans="1:65">
      <c r="B33" t="s">
        <v>136</v>
      </c>
      <c r="C33" t="s">
        <v>105</v>
      </c>
      <c r="D33" t="s">
        <v>105</v>
      </c>
      <c r="E33" t="s">
        <v>105</v>
      </c>
      <c r="F33" t="s">
        <v>106</v>
      </c>
      <c r="G33" t="s">
        <v>106</v>
      </c>
      <c r="H33" t="s">
        <v>106</v>
      </c>
      <c r="I33" t="s">
        <v>106</v>
      </c>
      <c r="J33" t="s">
        <v>106</v>
      </c>
      <c r="K33" t="s">
        <v>106</v>
      </c>
      <c r="L33" t="s">
        <v>106</v>
      </c>
      <c r="M33" t="s">
        <v>106</v>
      </c>
      <c r="N33" t="s">
        <v>106</v>
      </c>
      <c r="O33" t="s">
        <v>106</v>
      </c>
      <c r="P33" t="s">
        <v>106</v>
      </c>
      <c r="Q33" t="s">
        <v>106</v>
      </c>
      <c r="R33" t="s">
        <v>106</v>
      </c>
      <c r="S33" t="s">
        <v>106</v>
      </c>
      <c r="T33" t="s">
        <v>106</v>
      </c>
      <c r="U33" t="s">
        <v>106</v>
      </c>
      <c r="V33" t="s">
        <v>106</v>
      </c>
      <c r="W33" t="s">
        <v>106</v>
      </c>
      <c r="X33" t="s">
        <v>106</v>
      </c>
      <c r="Y33" t="s">
        <v>106</v>
      </c>
      <c r="Z33" t="s">
        <v>106</v>
      </c>
      <c r="AA33" t="s">
        <v>106</v>
      </c>
      <c r="AB33">
        <v>0</v>
      </c>
      <c r="AC33" t="s">
        <v>106</v>
      </c>
      <c r="AD33" t="s">
        <v>106</v>
      </c>
      <c r="AE33" t="s">
        <v>106</v>
      </c>
      <c r="AF33">
        <v>-0.1</v>
      </c>
      <c r="AG33">
        <v>-9.6</v>
      </c>
      <c r="AH33" t="s">
        <v>106</v>
      </c>
      <c r="AI33" t="s">
        <v>106</v>
      </c>
      <c r="AJ33">
        <v>-0.3</v>
      </c>
      <c r="AK33" t="s">
        <v>106</v>
      </c>
      <c r="AL33" t="s">
        <v>106</v>
      </c>
      <c r="AM33" t="s">
        <v>106</v>
      </c>
      <c r="AN33" t="s">
        <v>106</v>
      </c>
      <c r="AO33" t="s">
        <v>106</v>
      </c>
      <c r="AP33" t="s">
        <v>106</v>
      </c>
      <c r="AQ33" t="s">
        <v>106</v>
      </c>
      <c r="AR33" t="s">
        <v>106</v>
      </c>
      <c r="AS33" t="s">
        <v>106</v>
      </c>
      <c r="AT33" t="s">
        <v>106</v>
      </c>
      <c r="AU33" t="s">
        <v>106</v>
      </c>
      <c r="AV33" t="s">
        <v>106</v>
      </c>
      <c r="AW33" t="s">
        <v>106</v>
      </c>
      <c r="AX33" t="s">
        <v>106</v>
      </c>
      <c r="AY33" t="s">
        <v>106</v>
      </c>
      <c r="AZ33" t="s">
        <v>106</v>
      </c>
      <c r="BA33" t="s">
        <v>106</v>
      </c>
      <c r="BB33" t="s">
        <v>106</v>
      </c>
      <c r="BC33" t="s">
        <v>106</v>
      </c>
      <c r="BD33" t="s">
        <v>106</v>
      </c>
      <c r="BE33" t="s">
        <v>106</v>
      </c>
      <c r="BF33" t="s">
        <v>106</v>
      </c>
      <c r="BG33" t="s">
        <v>106</v>
      </c>
      <c r="BH33" t="s">
        <v>106</v>
      </c>
      <c r="BI33" t="s">
        <v>106</v>
      </c>
      <c r="BJ33" t="s">
        <v>106</v>
      </c>
      <c r="BK33" t="s">
        <v>106</v>
      </c>
      <c r="BL33">
        <v>-9.9</v>
      </c>
      <c r="BM33" t="s">
        <v>106</v>
      </c>
    </row>
    <row r="34" spans="1:65">
      <c r="B34" t="s">
        <v>137</v>
      </c>
      <c r="C34" t="s">
        <v>105</v>
      </c>
      <c r="D34" t="s">
        <v>105</v>
      </c>
      <c r="E34" t="s">
        <v>105</v>
      </c>
      <c r="F34" t="s">
        <v>106</v>
      </c>
      <c r="G34" t="s">
        <v>106</v>
      </c>
      <c r="H34" t="s">
        <v>106</v>
      </c>
      <c r="I34" t="s">
        <v>106</v>
      </c>
      <c r="J34" t="s">
        <v>106</v>
      </c>
      <c r="K34" t="s">
        <v>106</v>
      </c>
      <c r="L34" t="s">
        <v>106</v>
      </c>
      <c r="M34" t="s">
        <v>106</v>
      </c>
      <c r="N34" t="s">
        <v>106</v>
      </c>
      <c r="O34" t="s">
        <v>106</v>
      </c>
      <c r="P34" t="s">
        <v>106</v>
      </c>
      <c r="Q34" t="s">
        <v>106</v>
      </c>
      <c r="R34" t="s">
        <v>106</v>
      </c>
      <c r="S34" t="s">
        <v>106</v>
      </c>
      <c r="T34" t="s">
        <v>106</v>
      </c>
      <c r="U34" t="s">
        <v>106</v>
      </c>
      <c r="V34" t="s">
        <v>106</v>
      </c>
      <c r="W34" t="s">
        <v>106</v>
      </c>
      <c r="X34" t="s">
        <v>106</v>
      </c>
      <c r="Y34" t="s">
        <v>106</v>
      </c>
      <c r="Z34">
        <v>-3.7</v>
      </c>
      <c r="AA34">
        <v>0</v>
      </c>
      <c r="AB34" t="s">
        <v>106</v>
      </c>
      <c r="AC34" t="s">
        <v>106</v>
      </c>
      <c r="AD34" t="s">
        <v>106</v>
      </c>
      <c r="AE34" t="s">
        <v>106</v>
      </c>
      <c r="AF34" t="s">
        <v>106</v>
      </c>
      <c r="AG34">
        <v>0</v>
      </c>
      <c r="AH34" t="s">
        <v>106</v>
      </c>
      <c r="AI34" t="s">
        <v>106</v>
      </c>
      <c r="AJ34" t="s">
        <v>106</v>
      </c>
      <c r="AK34" t="s">
        <v>106</v>
      </c>
      <c r="AL34" t="s">
        <v>106</v>
      </c>
      <c r="AM34" t="s">
        <v>106</v>
      </c>
      <c r="AN34" t="s">
        <v>106</v>
      </c>
      <c r="AO34" t="s">
        <v>106</v>
      </c>
      <c r="AP34" t="s">
        <v>106</v>
      </c>
      <c r="AQ34" t="s">
        <v>106</v>
      </c>
      <c r="AR34" t="s">
        <v>106</v>
      </c>
      <c r="AS34" t="s">
        <v>106</v>
      </c>
      <c r="AT34" t="s">
        <v>106</v>
      </c>
      <c r="AU34" t="s">
        <v>106</v>
      </c>
      <c r="AV34" t="s">
        <v>106</v>
      </c>
      <c r="AW34" t="s">
        <v>106</v>
      </c>
      <c r="AX34" t="s">
        <v>106</v>
      </c>
      <c r="AY34" t="s">
        <v>106</v>
      </c>
      <c r="AZ34" t="s">
        <v>106</v>
      </c>
      <c r="BA34" t="s">
        <v>106</v>
      </c>
      <c r="BB34" t="s">
        <v>106</v>
      </c>
      <c r="BC34" t="s">
        <v>106</v>
      </c>
      <c r="BD34" t="s">
        <v>106</v>
      </c>
      <c r="BE34" t="s">
        <v>106</v>
      </c>
      <c r="BF34" t="s">
        <v>106</v>
      </c>
      <c r="BG34" t="s">
        <v>106</v>
      </c>
      <c r="BH34" t="s">
        <v>106</v>
      </c>
      <c r="BI34" t="s">
        <v>106</v>
      </c>
      <c r="BJ34" t="s">
        <v>106</v>
      </c>
      <c r="BK34" t="s">
        <v>106</v>
      </c>
      <c r="BL34">
        <v>-3.7</v>
      </c>
      <c r="BM34" t="s">
        <v>106</v>
      </c>
    </row>
    <row r="35" spans="1:65">
      <c r="B35" t="s">
        <v>138</v>
      </c>
      <c r="C35" t="s">
        <v>105</v>
      </c>
      <c r="D35" t="s">
        <v>105</v>
      </c>
      <c r="E35" t="s">
        <v>105</v>
      </c>
      <c r="F35" t="s">
        <v>106</v>
      </c>
      <c r="G35" t="s">
        <v>106</v>
      </c>
      <c r="H35" t="s">
        <v>106</v>
      </c>
      <c r="I35" t="s">
        <v>106</v>
      </c>
      <c r="J35" t="s">
        <v>106</v>
      </c>
      <c r="K35" t="s">
        <v>106</v>
      </c>
      <c r="L35" t="s">
        <v>106</v>
      </c>
      <c r="M35" t="s">
        <v>106</v>
      </c>
      <c r="N35" t="s">
        <v>106</v>
      </c>
      <c r="O35" t="s">
        <v>106</v>
      </c>
      <c r="P35" t="s">
        <v>106</v>
      </c>
      <c r="Q35" t="s">
        <v>106</v>
      </c>
      <c r="R35" t="s">
        <v>106</v>
      </c>
      <c r="S35" t="s">
        <v>106</v>
      </c>
      <c r="T35" t="s">
        <v>106</v>
      </c>
      <c r="U35" t="s">
        <v>106</v>
      </c>
      <c r="V35" t="s">
        <v>106</v>
      </c>
      <c r="W35" t="s">
        <v>106</v>
      </c>
      <c r="X35" t="s">
        <v>106</v>
      </c>
      <c r="Y35" t="s">
        <v>106</v>
      </c>
      <c r="Z35" t="s">
        <v>106</v>
      </c>
      <c r="AA35" t="s">
        <v>106</v>
      </c>
      <c r="AB35" t="s">
        <v>106</v>
      </c>
      <c r="AC35" t="s">
        <v>106</v>
      </c>
      <c r="AD35" t="s">
        <v>106</v>
      </c>
      <c r="AE35" t="s">
        <v>106</v>
      </c>
      <c r="AF35" t="s">
        <v>106</v>
      </c>
      <c r="AG35" t="s">
        <v>106</v>
      </c>
      <c r="AH35" t="s">
        <v>106</v>
      </c>
      <c r="AI35" t="s">
        <v>106</v>
      </c>
      <c r="AJ35" t="s">
        <v>106</v>
      </c>
      <c r="AK35" t="s">
        <v>106</v>
      </c>
      <c r="AL35" t="s">
        <v>106</v>
      </c>
      <c r="AM35" t="s">
        <v>106</v>
      </c>
      <c r="AN35" t="s">
        <v>106</v>
      </c>
      <c r="AO35" t="s">
        <v>106</v>
      </c>
      <c r="AP35" t="s">
        <v>106</v>
      </c>
      <c r="AQ35" t="s">
        <v>106</v>
      </c>
      <c r="AR35" t="s">
        <v>106</v>
      </c>
      <c r="AS35" t="s">
        <v>106</v>
      </c>
      <c r="AT35" t="s">
        <v>106</v>
      </c>
      <c r="AU35" t="s">
        <v>106</v>
      </c>
      <c r="AV35" t="s">
        <v>106</v>
      </c>
      <c r="AW35" t="s">
        <v>106</v>
      </c>
      <c r="AX35" t="s">
        <v>106</v>
      </c>
      <c r="AY35" t="s">
        <v>106</v>
      </c>
      <c r="AZ35" t="s">
        <v>106</v>
      </c>
      <c r="BA35" t="s">
        <v>106</v>
      </c>
      <c r="BB35" t="s">
        <v>106</v>
      </c>
      <c r="BC35" t="s">
        <v>106</v>
      </c>
      <c r="BD35" t="s">
        <v>106</v>
      </c>
      <c r="BE35" t="s">
        <v>106</v>
      </c>
      <c r="BF35" t="s">
        <v>106</v>
      </c>
      <c r="BG35" t="s">
        <v>106</v>
      </c>
      <c r="BH35" t="s">
        <v>106</v>
      </c>
      <c r="BI35" t="s">
        <v>106</v>
      </c>
      <c r="BJ35">
        <v>-1855.3</v>
      </c>
      <c r="BK35" t="s">
        <v>106</v>
      </c>
      <c r="BL35">
        <v>-1855.3</v>
      </c>
      <c r="BM35" t="s">
        <v>106</v>
      </c>
    </row>
    <row r="36" spans="1:65">
      <c r="B36" t="s">
        <v>139</v>
      </c>
      <c r="C36" t="s">
        <v>105</v>
      </c>
      <c r="D36" t="s">
        <v>105</v>
      </c>
      <c r="E36" t="s">
        <v>105</v>
      </c>
      <c r="F36" t="s">
        <v>106</v>
      </c>
      <c r="G36" t="s">
        <v>106</v>
      </c>
      <c r="H36" t="s">
        <v>106</v>
      </c>
      <c r="I36" t="s">
        <v>106</v>
      </c>
      <c r="J36" t="s">
        <v>106</v>
      </c>
      <c r="K36" t="s">
        <v>106</v>
      </c>
      <c r="L36" t="s">
        <v>106</v>
      </c>
      <c r="M36" t="s">
        <v>106</v>
      </c>
      <c r="N36" t="s">
        <v>106</v>
      </c>
      <c r="O36" t="s">
        <v>106</v>
      </c>
      <c r="P36" t="s">
        <v>106</v>
      </c>
      <c r="Q36" t="s">
        <v>106</v>
      </c>
      <c r="R36" t="s">
        <v>106</v>
      </c>
      <c r="S36" t="s">
        <v>106</v>
      </c>
      <c r="T36" t="s">
        <v>106</v>
      </c>
      <c r="U36" t="s">
        <v>106</v>
      </c>
      <c r="V36" t="s">
        <v>106</v>
      </c>
      <c r="W36" t="s">
        <v>106</v>
      </c>
      <c r="X36" t="s">
        <v>106</v>
      </c>
      <c r="Y36" t="s">
        <v>106</v>
      </c>
      <c r="Z36" t="s">
        <v>106</v>
      </c>
      <c r="AA36" t="s">
        <v>106</v>
      </c>
      <c r="AB36" t="s">
        <v>106</v>
      </c>
      <c r="AC36" t="s">
        <v>106</v>
      </c>
      <c r="AD36" t="s">
        <v>106</v>
      </c>
      <c r="AE36" t="s">
        <v>106</v>
      </c>
      <c r="AF36" t="s">
        <v>106</v>
      </c>
      <c r="AG36" t="s">
        <v>106</v>
      </c>
      <c r="AH36" t="s">
        <v>106</v>
      </c>
      <c r="AI36" t="s">
        <v>106</v>
      </c>
      <c r="AJ36" t="s">
        <v>106</v>
      </c>
      <c r="AK36" t="s">
        <v>106</v>
      </c>
      <c r="AL36" t="s">
        <v>106</v>
      </c>
      <c r="AM36" t="s">
        <v>106</v>
      </c>
      <c r="AN36" t="s">
        <v>106</v>
      </c>
      <c r="AO36" t="s">
        <v>106</v>
      </c>
      <c r="AP36" t="s">
        <v>106</v>
      </c>
      <c r="AQ36" t="s">
        <v>106</v>
      </c>
      <c r="AR36" t="s">
        <v>106</v>
      </c>
      <c r="AS36" t="s">
        <v>106</v>
      </c>
      <c r="AT36" t="s">
        <v>106</v>
      </c>
      <c r="AU36" t="s">
        <v>106</v>
      </c>
      <c r="AV36" t="s">
        <v>106</v>
      </c>
      <c r="AW36" t="s">
        <v>106</v>
      </c>
      <c r="AX36" t="s">
        <v>106</v>
      </c>
      <c r="AY36" t="s">
        <v>106</v>
      </c>
      <c r="AZ36" t="s">
        <v>106</v>
      </c>
      <c r="BA36" t="s">
        <v>106</v>
      </c>
      <c r="BB36" t="s">
        <v>106</v>
      </c>
      <c r="BC36" t="s">
        <v>106</v>
      </c>
      <c r="BD36" t="s">
        <v>106</v>
      </c>
      <c r="BE36" t="s">
        <v>106</v>
      </c>
      <c r="BF36" t="s">
        <v>106</v>
      </c>
      <c r="BG36" t="s">
        <v>106</v>
      </c>
      <c r="BH36" t="s">
        <v>106</v>
      </c>
      <c r="BI36" t="s">
        <v>106</v>
      </c>
      <c r="BJ36">
        <v>-97.1</v>
      </c>
      <c r="BK36" t="s">
        <v>106</v>
      </c>
      <c r="BL36">
        <v>-97.1</v>
      </c>
      <c r="BM36" t="s">
        <v>106</v>
      </c>
    </row>
    <row r="37" spans="1:65">
      <c r="B37" t="s">
        <v>140</v>
      </c>
      <c r="C37" t="s">
        <v>105</v>
      </c>
      <c r="D37" t="s">
        <v>105</v>
      </c>
      <c r="E37" t="s">
        <v>105</v>
      </c>
      <c r="F37" t="s">
        <v>106</v>
      </c>
      <c r="G37" t="s">
        <v>106</v>
      </c>
      <c r="H37" t="s">
        <v>106</v>
      </c>
      <c r="I37" t="s">
        <v>106</v>
      </c>
      <c r="J37" t="s">
        <v>106</v>
      </c>
      <c r="K37" t="s">
        <v>106</v>
      </c>
      <c r="L37" t="s">
        <v>106</v>
      </c>
      <c r="M37" t="s">
        <v>106</v>
      </c>
      <c r="N37" t="s">
        <v>106</v>
      </c>
      <c r="O37" t="s">
        <v>106</v>
      </c>
      <c r="P37">
        <v>-355.5</v>
      </c>
      <c r="Q37">
        <v>-1076.5999999999999</v>
      </c>
      <c r="R37">
        <v>-16.8</v>
      </c>
      <c r="S37" t="s">
        <v>106</v>
      </c>
      <c r="T37" t="s">
        <v>106</v>
      </c>
      <c r="U37" t="s">
        <v>106</v>
      </c>
      <c r="V37" t="s">
        <v>106</v>
      </c>
      <c r="W37" t="s">
        <v>106</v>
      </c>
      <c r="X37" t="s">
        <v>106</v>
      </c>
      <c r="Y37" t="s">
        <v>106</v>
      </c>
      <c r="Z37" t="s">
        <v>106</v>
      </c>
      <c r="AA37" t="s">
        <v>106</v>
      </c>
      <c r="AB37" t="s">
        <v>106</v>
      </c>
      <c r="AC37" t="s">
        <v>106</v>
      </c>
      <c r="AD37" t="s">
        <v>106</v>
      </c>
      <c r="AE37" t="s">
        <v>106</v>
      </c>
      <c r="AF37" t="s">
        <v>106</v>
      </c>
      <c r="AG37" t="s">
        <v>106</v>
      </c>
      <c r="AH37" t="s">
        <v>106</v>
      </c>
      <c r="AI37" t="s">
        <v>106</v>
      </c>
      <c r="AJ37" t="s">
        <v>106</v>
      </c>
      <c r="AK37" t="s">
        <v>106</v>
      </c>
      <c r="AL37" t="s">
        <v>106</v>
      </c>
      <c r="AM37" t="s">
        <v>106</v>
      </c>
      <c r="AN37" t="s">
        <v>106</v>
      </c>
      <c r="AO37" t="s">
        <v>106</v>
      </c>
      <c r="AP37" t="s">
        <v>106</v>
      </c>
      <c r="AQ37" t="s">
        <v>106</v>
      </c>
      <c r="AR37" t="s">
        <v>106</v>
      </c>
      <c r="AS37" t="s">
        <v>106</v>
      </c>
      <c r="AT37" t="s">
        <v>106</v>
      </c>
      <c r="AU37" t="s">
        <v>106</v>
      </c>
      <c r="AV37" t="s">
        <v>106</v>
      </c>
      <c r="AW37" t="s">
        <v>106</v>
      </c>
      <c r="AX37" t="s">
        <v>106</v>
      </c>
      <c r="AY37" t="s">
        <v>106</v>
      </c>
      <c r="AZ37" t="s">
        <v>106</v>
      </c>
      <c r="BA37" t="s">
        <v>106</v>
      </c>
      <c r="BB37" t="s">
        <v>106</v>
      </c>
      <c r="BC37" t="s">
        <v>106</v>
      </c>
      <c r="BD37" t="s">
        <v>106</v>
      </c>
      <c r="BE37" t="s">
        <v>106</v>
      </c>
      <c r="BF37" t="s">
        <v>106</v>
      </c>
      <c r="BG37" t="s">
        <v>106</v>
      </c>
      <c r="BH37" t="s">
        <v>106</v>
      </c>
      <c r="BI37" t="s">
        <v>106</v>
      </c>
      <c r="BJ37" t="s">
        <v>106</v>
      </c>
      <c r="BK37" t="s">
        <v>106</v>
      </c>
      <c r="BL37">
        <v>-1448.9</v>
      </c>
      <c r="BM37">
        <v>-1448.9</v>
      </c>
    </row>
    <row r="38" spans="1:65">
      <c r="B38" t="s">
        <v>141</v>
      </c>
      <c r="C38" t="s">
        <v>105</v>
      </c>
      <c r="D38" t="s">
        <v>105</v>
      </c>
      <c r="E38" t="s">
        <v>105</v>
      </c>
      <c r="F38" t="s">
        <v>106</v>
      </c>
      <c r="G38" t="s">
        <v>106</v>
      </c>
      <c r="H38" t="s">
        <v>106</v>
      </c>
      <c r="I38" t="s">
        <v>106</v>
      </c>
      <c r="J38" t="s">
        <v>106</v>
      </c>
      <c r="K38" t="s">
        <v>106</v>
      </c>
      <c r="L38" t="s">
        <v>106</v>
      </c>
      <c r="M38" t="s">
        <v>106</v>
      </c>
      <c r="N38" t="s">
        <v>106</v>
      </c>
      <c r="O38" t="s">
        <v>106</v>
      </c>
      <c r="P38">
        <v>-601.4</v>
      </c>
      <c r="Q38">
        <v>-1203.0999999999999</v>
      </c>
      <c r="R38">
        <v>-21.1</v>
      </c>
      <c r="S38" t="s">
        <v>106</v>
      </c>
      <c r="T38" t="s">
        <v>106</v>
      </c>
      <c r="U38" t="s">
        <v>106</v>
      </c>
      <c r="V38" t="s">
        <v>106</v>
      </c>
      <c r="W38" t="s">
        <v>106</v>
      </c>
      <c r="X38" t="s">
        <v>106</v>
      </c>
      <c r="Y38" t="s">
        <v>106</v>
      </c>
      <c r="Z38" t="s">
        <v>106</v>
      </c>
      <c r="AA38" t="s">
        <v>106</v>
      </c>
      <c r="AB38" t="s">
        <v>106</v>
      </c>
      <c r="AC38" t="s">
        <v>106</v>
      </c>
      <c r="AD38" t="s">
        <v>106</v>
      </c>
      <c r="AE38" t="s">
        <v>106</v>
      </c>
      <c r="AF38" t="s">
        <v>106</v>
      </c>
      <c r="AG38" t="s">
        <v>106</v>
      </c>
      <c r="AH38" t="s">
        <v>106</v>
      </c>
      <c r="AI38" t="s">
        <v>106</v>
      </c>
      <c r="AJ38" t="s">
        <v>106</v>
      </c>
      <c r="AK38" t="s">
        <v>106</v>
      </c>
      <c r="AL38" t="s">
        <v>106</v>
      </c>
      <c r="AM38" t="s">
        <v>106</v>
      </c>
      <c r="AN38" t="s">
        <v>106</v>
      </c>
      <c r="AO38" t="s">
        <v>106</v>
      </c>
      <c r="AP38" t="s">
        <v>106</v>
      </c>
      <c r="AQ38" t="s">
        <v>106</v>
      </c>
      <c r="AR38" t="s">
        <v>106</v>
      </c>
      <c r="AS38" t="s">
        <v>106</v>
      </c>
      <c r="AT38" t="s">
        <v>106</v>
      </c>
      <c r="AU38" t="s">
        <v>106</v>
      </c>
      <c r="AV38" t="s">
        <v>106</v>
      </c>
      <c r="AW38" t="s">
        <v>106</v>
      </c>
      <c r="AX38" t="s">
        <v>106</v>
      </c>
      <c r="AY38" t="s">
        <v>106</v>
      </c>
      <c r="AZ38" t="s">
        <v>106</v>
      </c>
      <c r="BA38" t="s">
        <v>106</v>
      </c>
      <c r="BB38" t="s">
        <v>106</v>
      </c>
      <c r="BC38" t="s">
        <v>106</v>
      </c>
      <c r="BD38" t="s">
        <v>106</v>
      </c>
      <c r="BE38" t="s">
        <v>106</v>
      </c>
      <c r="BF38" t="s">
        <v>106</v>
      </c>
      <c r="BG38" t="s">
        <v>106</v>
      </c>
      <c r="BH38" t="s">
        <v>106</v>
      </c>
      <c r="BI38" t="s">
        <v>106</v>
      </c>
      <c r="BJ38" t="s">
        <v>106</v>
      </c>
      <c r="BK38" t="s">
        <v>106</v>
      </c>
      <c r="BL38">
        <v>-1825.7</v>
      </c>
      <c r="BM38">
        <v>-1825.7</v>
      </c>
    </row>
    <row r="39" spans="1:65">
      <c r="B39" t="s">
        <v>142</v>
      </c>
      <c r="C39" t="s">
        <v>105</v>
      </c>
      <c r="D39" t="s">
        <v>105</v>
      </c>
      <c r="E39" t="s">
        <v>105</v>
      </c>
      <c r="F39" t="s">
        <v>106</v>
      </c>
      <c r="G39" t="s">
        <v>106</v>
      </c>
      <c r="H39" t="s">
        <v>106</v>
      </c>
      <c r="I39" t="s">
        <v>106</v>
      </c>
      <c r="J39" t="s">
        <v>106</v>
      </c>
      <c r="K39" t="s">
        <v>106</v>
      </c>
      <c r="L39" t="s">
        <v>106</v>
      </c>
      <c r="M39" t="s">
        <v>106</v>
      </c>
      <c r="N39" t="s">
        <v>106</v>
      </c>
      <c r="O39" t="s">
        <v>106</v>
      </c>
      <c r="P39" t="s">
        <v>106</v>
      </c>
      <c r="Q39" t="s">
        <v>106</v>
      </c>
      <c r="R39" t="s">
        <v>106</v>
      </c>
      <c r="S39" t="s">
        <v>106</v>
      </c>
      <c r="T39" t="s">
        <v>106</v>
      </c>
      <c r="U39" t="s">
        <v>106</v>
      </c>
      <c r="V39" t="s">
        <v>106</v>
      </c>
      <c r="W39" t="s">
        <v>106</v>
      </c>
      <c r="X39" t="s">
        <v>106</v>
      </c>
      <c r="Y39" t="s">
        <v>106</v>
      </c>
      <c r="Z39" t="s">
        <v>106</v>
      </c>
      <c r="AA39" t="s">
        <v>106</v>
      </c>
      <c r="AB39" t="s">
        <v>106</v>
      </c>
      <c r="AC39" t="s">
        <v>106</v>
      </c>
      <c r="AD39" t="s">
        <v>106</v>
      </c>
      <c r="AE39" t="s">
        <v>106</v>
      </c>
      <c r="AF39" t="s">
        <v>106</v>
      </c>
      <c r="AG39" t="s">
        <v>106</v>
      </c>
      <c r="AH39" t="s">
        <v>106</v>
      </c>
      <c r="AI39" t="s">
        <v>106</v>
      </c>
      <c r="AJ39" t="s">
        <v>106</v>
      </c>
      <c r="AK39" t="s">
        <v>106</v>
      </c>
      <c r="AL39" t="s">
        <v>106</v>
      </c>
      <c r="AM39" t="s">
        <v>106</v>
      </c>
      <c r="AN39" t="s">
        <v>106</v>
      </c>
      <c r="AO39" t="s">
        <v>106</v>
      </c>
      <c r="AP39" t="s">
        <v>106</v>
      </c>
      <c r="AQ39" t="s">
        <v>106</v>
      </c>
      <c r="AR39" t="s">
        <v>106</v>
      </c>
      <c r="AS39" t="s">
        <v>106</v>
      </c>
      <c r="AT39" t="s">
        <v>106</v>
      </c>
      <c r="AU39" t="s">
        <v>106</v>
      </c>
      <c r="AV39" t="s">
        <v>106</v>
      </c>
      <c r="AW39" t="s">
        <v>106</v>
      </c>
      <c r="AX39" t="s">
        <v>106</v>
      </c>
      <c r="AY39" t="s">
        <v>106</v>
      </c>
      <c r="AZ39" t="s">
        <v>106</v>
      </c>
      <c r="BA39" t="s">
        <v>106</v>
      </c>
      <c r="BB39" t="s">
        <v>106</v>
      </c>
      <c r="BC39" t="s">
        <v>106</v>
      </c>
      <c r="BD39" t="s">
        <v>106</v>
      </c>
      <c r="BE39" t="s">
        <v>106</v>
      </c>
      <c r="BF39" t="s">
        <v>106</v>
      </c>
      <c r="BG39" t="s">
        <v>106</v>
      </c>
      <c r="BH39" t="s">
        <v>106</v>
      </c>
      <c r="BI39" t="s">
        <v>106</v>
      </c>
      <c r="BJ39" t="s">
        <v>106</v>
      </c>
      <c r="BK39" t="s">
        <v>106</v>
      </c>
      <c r="BL39" t="s">
        <v>106</v>
      </c>
      <c r="BM39" t="s">
        <v>106</v>
      </c>
    </row>
    <row r="40" spans="1:65">
      <c r="B40" t="s">
        <v>143</v>
      </c>
      <c r="C40" t="s">
        <v>105</v>
      </c>
      <c r="D40" t="s">
        <v>105</v>
      </c>
      <c r="E40" t="s">
        <v>105</v>
      </c>
      <c r="F40" t="s">
        <v>106</v>
      </c>
      <c r="G40" t="s">
        <v>106</v>
      </c>
      <c r="H40" t="s">
        <v>106</v>
      </c>
      <c r="I40" t="s">
        <v>106</v>
      </c>
      <c r="J40" t="s">
        <v>106</v>
      </c>
      <c r="K40" t="s">
        <v>106</v>
      </c>
      <c r="L40" t="s">
        <v>106</v>
      </c>
      <c r="M40" t="s">
        <v>106</v>
      </c>
      <c r="N40" t="s">
        <v>106</v>
      </c>
      <c r="O40" t="s">
        <v>106</v>
      </c>
      <c r="P40" t="s">
        <v>106</v>
      </c>
      <c r="Q40" t="s">
        <v>106</v>
      </c>
      <c r="R40" t="s">
        <v>106</v>
      </c>
      <c r="S40">
        <v>-1471.9</v>
      </c>
      <c r="T40">
        <v>-848.5</v>
      </c>
      <c r="U40" t="s">
        <v>106</v>
      </c>
      <c r="V40" t="s">
        <v>106</v>
      </c>
      <c r="W40" t="s">
        <v>106</v>
      </c>
      <c r="X40" t="s">
        <v>106</v>
      </c>
      <c r="Y40">
        <v>-2675.7</v>
      </c>
      <c r="Z40">
        <v>-124.6</v>
      </c>
      <c r="AA40">
        <v>-0.1</v>
      </c>
      <c r="AB40">
        <v>-0.3</v>
      </c>
      <c r="AC40" t="s">
        <v>106</v>
      </c>
      <c r="AD40" t="s">
        <v>106</v>
      </c>
      <c r="AE40" t="s">
        <v>106</v>
      </c>
      <c r="AF40">
        <v>-1.3</v>
      </c>
      <c r="AG40">
        <v>-4.5</v>
      </c>
      <c r="AH40">
        <v>-0.5</v>
      </c>
      <c r="AI40">
        <v>-0.1</v>
      </c>
      <c r="AJ40">
        <v>-229</v>
      </c>
      <c r="AK40" t="s">
        <v>106</v>
      </c>
      <c r="AL40" t="s">
        <v>106</v>
      </c>
      <c r="AM40" t="s">
        <v>106</v>
      </c>
      <c r="AN40" t="s">
        <v>106</v>
      </c>
      <c r="AO40" t="s">
        <v>106</v>
      </c>
      <c r="AP40" t="s">
        <v>106</v>
      </c>
      <c r="AQ40" t="s">
        <v>106</v>
      </c>
      <c r="AR40" t="s">
        <v>106</v>
      </c>
      <c r="AS40" t="s">
        <v>106</v>
      </c>
      <c r="AT40" t="s">
        <v>106</v>
      </c>
      <c r="AU40" t="s">
        <v>106</v>
      </c>
      <c r="AV40" t="s">
        <v>106</v>
      </c>
      <c r="AW40" t="s">
        <v>106</v>
      </c>
      <c r="AX40" t="s">
        <v>106</v>
      </c>
      <c r="AY40" t="s">
        <v>106</v>
      </c>
      <c r="AZ40" t="s">
        <v>106</v>
      </c>
      <c r="BA40" t="s">
        <v>106</v>
      </c>
      <c r="BB40" t="s">
        <v>106</v>
      </c>
      <c r="BC40" t="s">
        <v>106</v>
      </c>
      <c r="BD40" t="s">
        <v>106</v>
      </c>
      <c r="BE40" t="s">
        <v>106</v>
      </c>
      <c r="BF40" t="s">
        <v>106</v>
      </c>
      <c r="BG40" t="s">
        <v>106</v>
      </c>
      <c r="BH40" t="s">
        <v>106</v>
      </c>
      <c r="BI40" t="s">
        <v>106</v>
      </c>
      <c r="BJ40">
        <v>-1269</v>
      </c>
      <c r="BK40">
        <v>-183.1</v>
      </c>
      <c r="BL40">
        <v>-6808.6</v>
      </c>
      <c r="BM40">
        <v>-2675.7</v>
      </c>
    </row>
    <row r="41" spans="1:65">
      <c r="B41" t="s">
        <v>144</v>
      </c>
      <c r="C41" t="s">
        <v>105</v>
      </c>
      <c r="D41" t="s">
        <v>105</v>
      </c>
      <c r="E41" t="s">
        <v>105</v>
      </c>
      <c r="F41" t="s">
        <v>106</v>
      </c>
      <c r="G41" t="s">
        <v>106</v>
      </c>
      <c r="H41" t="s">
        <v>106</v>
      </c>
      <c r="I41" t="s">
        <v>106</v>
      </c>
      <c r="J41" t="s">
        <v>106</v>
      </c>
      <c r="K41" t="s">
        <v>106</v>
      </c>
      <c r="L41" t="s">
        <v>106</v>
      </c>
      <c r="M41" t="s">
        <v>106</v>
      </c>
      <c r="N41" t="s">
        <v>106</v>
      </c>
      <c r="O41" t="s">
        <v>106</v>
      </c>
      <c r="P41" t="s">
        <v>106</v>
      </c>
      <c r="Q41" t="s">
        <v>106</v>
      </c>
      <c r="R41" t="s">
        <v>106</v>
      </c>
      <c r="S41">
        <v>-115.6</v>
      </c>
      <c r="T41" t="s">
        <v>106</v>
      </c>
      <c r="U41" t="s">
        <v>106</v>
      </c>
      <c r="V41" t="s">
        <v>106</v>
      </c>
      <c r="W41" t="s">
        <v>106</v>
      </c>
      <c r="X41" t="s">
        <v>106</v>
      </c>
      <c r="Y41">
        <v>-9.8000000000000007</v>
      </c>
      <c r="Z41">
        <v>-73</v>
      </c>
      <c r="AA41">
        <v>-8.6999999999999993</v>
      </c>
      <c r="AB41">
        <v>0</v>
      </c>
      <c r="AC41" t="s">
        <v>106</v>
      </c>
      <c r="AD41" t="s">
        <v>106</v>
      </c>
      <c r="AE41" t="s">
        <v>106</v>
      </c>
      <c r="AF41">
        <v>-0.1</v>
      </c>
      <c r="AG41">
        <v>-0.1</v>
      </c>
      <c r="AH41" t="s">
        <v>106</v>
      </c>
      <c r="AI41" t="s">
        <v>106</v>
      </c>
      <c r="AJ41" t="s">
        <v>106</v>
      </c>
      <c r="AK41" t="s">
        <v>106</v>
      </c>
      <c r="AL41" t="s">
        <v>106</v>
      </c>
      <c r="AM41" t="s">
        <v>106</v>
      </c>
      <c r="AN41" t="s">
        <v>106</v>
      </c>
      <c r="AO41" t="s">
        <v>106</v>
      </c>
      <c r="AP41" t="s">
        <v>106</v>
      </c>
      <c r="AQ41" t="s">
        <v>106</v>
      </c>
      <c r="AR41" t="s">
        <v>106</v>
      </c>
      <c r="AS41" t="s">
        <v>106</v>
      </c>
      <c r="AT41" t="s">
        <v>106</v>
      </c>
      <c r="AU41" t="s">
        <v>106</v>
      </c>
      <c r="AV41" t="s">
        <v>106</v>
      </c>
      <c r="AW41" t="s">
        <v>106</v>
      </c>
      <c r="AX41" t="s">
        <v>106</v>
      </c>
      <c r="AY41" t="s">
        <v>106</v>
      </c>
      <c r="AZ41" t="s">
        <v>106</v>
      </c>
      <c r="BA41" t="s">
        <v>106</v>
      </c>
      <c r="BB41" t="s">
        <v>106</v>
      </c>
      <c r="BC41" t="s">
        <v>106</v>
      </c>
      <c r="BD41" t="s">
        <v>106</v>
      </c>
      <c r="BE41" t="s">
        <v>106</v>
      </c>
      <c r="BF41" t="s">
        <v>106</v>
      </c>
      <c r="BG41" t="s">
        <v>106</v>
      </c>
      <c r="BH41" t="s">
        <v>106</v>
      </c>
      <c r="BI41" t="s">
        <v>106</v>
      </c>
      <c r="BJ41" t="s">
        <v>106</v>
      </c>
      <c r="BK41" t="s">
        <v>106</v>
      </c>
      <c r="BL41">
        <v>-207.3</v>
      </c>
      <c r="BM41">
        <v>-9.8000000000000007</v>
      </c>
    </row>
    <row r="42" spans="1:65">
      <c r="B42" t="s">
        <v>145</v>
      </c>
      <c r="C42" t="s">
        <v>105</v>
      </c>
      <c r="D42" t="s">
        <v>105</v>
      </c>
      <c r="E42" t="s">
        <v>105</v>
      </c>
      <c r="F42" t="s">
        <v>106</v>
      </c>
      <c r="G42" t="s">
        <v>106</v>
      </c>
      <c r="H42" t="s">
        <v>106</v>
      </c>
      <c r="I42" t="s">
        <v>106</v>
      </c>
      <c r="J42" t="s">
        <v>106</v>
      </c>
      <c r="K42" t="s">
        <v>106</v>
      </c>
      <c r="L42" t="s">
        <v>106</v>
      </c>
      <c r="M42" t="s">
        <v>106</v>
      </c>
      <c r="N42" t="s">
        <v>106</v>
      </c>
      <c r="O42" t="s">
        <v>106</v>
      </c>
      <c r="P42" t="s">
        <v>106</v>
      </c>
      <c r="Q42" t="s">
        <v>106</v>
      </c>
      <c r="R42" t="s">
        <v>106</v>
      </c>
      <c r="S42" t="s">
        <v>106</v>
      </c>
      <c r="T42" t="s">
        <v>106</v>
      </c>
      <c r="U42" t="s">
        <v>106</v>
      </c>
      <c r="V42" t="s">
        <v>106</v>
      </c>
      <c r="W42" t="s">
        <v>106</v>
      </c>
      <c r="X42" t="s">
        <v>106</v>
      </c>
      <c r="Y42" t="s">
        <v>106</v>
      </c>
      <c r="Z42" t="s">
        <v>106</v>
      </c>
      <c r="AA42" t="s">
        <v>106</v>
      </c>
      <c r="AB42" t="s">
        <v>106</v>
      </c>
      <c r="AC42" t="s">
        <v>106</v>
      </c>
      <c r="AD42" t="s">
        <v>106</v>
      </c>
      <c r="AE42" t="s">
        <v>106</v>
      </c>
      <c r="AF42" t="s">
        <v>106</v>
      </c>
      <c r="AG42" t="s">
        <v>106</v>
      </c>
      <c r="AH42" t="s">
        <v>106</v>
      </c>
      <c r="AI42" t="s">
        <v>106</v>
      </c>
      <c r="AJ42" t="s">
        <v>106</v>
      </c>
      <c r="AK42" t="s">
        <v>106</v>
      </c>
      <c r="AL42" t="s">
        <v>106</v>
      </c>
      <c r="AM42" t="s">
        <v>106</v>
      </c>
      <c r="AN42" t="s">
        <v>106</v>
      </c>
      <c r="AO42" t="s">
        <v>106</v>
      </c>
      <c r="AP42" t="s">
        <v>106</v>
      </c>
      <c r="AQ42" t="s">
        <v>106</v>
      </c>
      <c r="AR42" t="s">
        <v>106</v>
      </c>
      <c r="AS42" t="s">
        <v>106</v>
      </c>
      <c r="AT42" t="s">
        <v>106</v>
      </c>
      <c r="AU42" t="s">
        <v>106</v>
      </c>
      <c r="AV42" t="s">
        <v>106</v>
      </c>
      <c r="AW42" t="s">
        <v>106</v>
      </c>
      <c r="AX42" t="s">
        <v>106</v>
      </c>
      <c r="AY42" t="s">
        <v>106</v>
      </c>
      <c r="AZ42" t="s">
        <v>106</v>
      </c>
      <c r="BA42" t="s">
        <v>106</v>
      </c>
      <c r="BB42" t="s">
        <v>106</v>
      </c>
      <c r="BC42" t="s">
        <v>106</v>
      </c>
      <c r="BD42" t="s">
        <v>106</v>
      </c>
      <c r="BE42" t="s">
        <v>106</v>
      </c>
      <c r="BF42" t="s">
        <v>106</v>
      </c>
      <c r="BG42" t="s">
        <v>106</v>
      </c>
      <c r="BH42" t="s">
        <v>106</v>
      </c>
      <c r="BI42" t="s">
        <v>106</v>
      </c>
      <c r="BJ42" t="s">
        <v>106</v>
      </c>
      <c r="BK42" t="s">
        <v>106</v>
      </c>
      <c r="BL42" t="s">
        <v>106</v>
      </c>
      <c r="BM42" t="s">
        <v>106</v>
      </c>
    </row>
    <row r="43" spans="1:65">
      <c r="B43" t="s">
        <v>146</v>
      </c>
      <c r="C43" t="s">
        <v>105</v>
      </c>
      <c r="D43" t="s">
        <v>105</v>
      </c>
      <c r="E43" t="s">
        <v>105</v>
      </c>
      <c r="F43" t="s">
        <v>106</v>
      </c>
      <c r="G43" t="s">
        <v>106</v>
      </c>
      <c r="H43" t="s">
        <v>106</v>
      </c>
      <c r="I43" t="s">
        <v>106</v>
      </c>
      <c r="J43" t="s">
        <v>106</v>
      </c>
      <c r="K43" t="s">
        <v>106</v>
      </c>
      <c r="L43" t="s">
        <v>106</v>
      </c>
      <c r="M43" t="s">
        <v>106</v>
      </c>
      <c r="N43" t="s">
        <v>106</v>
      </c>
      <c r="O43" t="s">
        <v>106</v>
      </c>
      <c r="P43" t="s">
        <v>106</v>
      </c>
      <c r="Q43" t="s">
        <v>106</v>
      </c>
      <c r="R43" t="s">
        <v>106</v>
      </c>
      <c r="S43" t="s">
        <v>106</v>
      </c>
      <c r="T43" t="s">
        <v>106</v>
      </c>
      <c r="U43" t="s">
        <v>106</v>
      </c>
      <c r="V43" t="s">
        <v>106</v>
      </c>
      <c r="W43" t="s">
        <v>106</v>
      </c>
      <c r="X43" t="s">
        <v>106</v>
      </c>
      <c r="Y43" t="s">
        <v>106</v>
      </c>
      <c r="Z43">
        <v>-85.1</v>
      </c>
      <c r="AA43">
        <v>-10.8</v>
      </c>
      <c r="AB43">
        <v>-0.1</v>
      </c>
      <c r="AC43" t="s">
        <v>106</v>
      </c>
      <c r="AD43" t="s">
        <v>106</v>
      </c>
      <c r="AE43" t="s">
        <v>106</v>
      </c>
      <c r="AF43">
        <v>-0.7</v>
      </c>
      <c r="AG43">
        <v>-5.0999999999999996</v>
      </c>
      <c r="AH43">
        <v>0</v>
      </c>
      <c r="AI43">
        <v>-0.3</v>
      </c>
      <c r="AJ43">
        <v>-12</v>
      </c>
      <c r="AK43" t="s">
        <v>106</v>
      </c>
      <c r="AL43" t="s">
        <v>106</v>
      </c>
      <c r="AM43" t="s">
        <v>106</v>
      </c>
      <c r="AN43" t="s">
        <v>106</v>
      </c>
      <c r="AO43" t="s">
        <v>106</v>
      </c>
      <c r="AP43" t="s">
        <v>106</v>
      </c>
      <c r="AQ43" t="s">
        <v>106</v>
      </c>
      <c r="AR43" t="s">
        <v>106</v>
      </c>
      <c r="AS43" t="s">
        <v>106</v>
      </c>
      <c r="AT43">
        <v>-14.2</v>
      </c>
      <c r="AU43" t="s">
        <v>106</v>
      </c>
      <c r="AV43" t="s">
        <v>106</v>
      </c>
      <c r="AW43" t="s">
        <v>106</v>
      </c>
      <c r="AX43" t="s">
        <v>106</v>
      </c>
      <c r="AY43" t="s">
        <v>106</v>
      </c>
      <c r="AZ43" t="s">
        <v>106</v>
      </c>
      <c r="BA43" t="s">
        <v>106</v>
      </c>
      <c r="BB43" t="s">
        <v>106</v>
      </c>
      <c r="BC43" t="s">
        <v>106</v>
      </c>
      <c r="BD43" t="s">
        <v>106</v>
      </c>
      <c r="BE43" t="s">
        <v>106</v>
      </c>
      <c r="BF43" t="s">
        <v>106</v>
      </c>
      <c r="BG43" t="s">
        <v>106</v>
      </c>
      <c r="BH43" t="s">
        <v>106</v>
      </c>
      <c r="BI43" t="s">
        <v>106</v>
      </c>
      <c r="BJ43">
        <v>-49.7</v>
      </c>
      <c r="BK43" t="s">
        <v>106</v>
      </c>
      <c r="BL43">
        <v>-178</v>
      </c>
      <c r="BM43">
        <v>-14.2</v>
      </c>
    </row>
    <row r="44" spans="1:65">
      <c r="A44" t="s">
        <v>147</v>
      </c>
      <c r="B44" t="s">
        <v>105</v>
      </c>
      <c r="C44" t="s">
        <v>105</v>
      </c>
      <c r="D44" t="s">
        <v>105</v>
      </c>
      <c r="E44" t="s">
        <v>105</v>
      </c>
      <c r="F44" t="s">
        <v>106</v>
      </c>
      <c r="G44" t="s">
        <v>106</v>
      </c>
      <c r="H44" t="s">
        <v>106</v>
      </c>
      <c r="I44" t="s">
        <v>106</v>
      </c>
      <c r="J44" t="s">
        <v>106</v>
      </c>
      <c r="K44" t="s">
        <v>106</v>
      </c>
      <c r="L44" t="s">
        <v>106</v>
      </c>
      <c r="M44" t="s">
        <v>106</v>
      </c>
      <c r="N44" t="s">
        <v>106</v>
      </c>
      <c r="O44" t="s">
        <v>106</v>
      </c>
      <c r="P44" t="s">
        <v>106</v>
      </c>
      <c r="Q44" t="s">
        <v>106</v>
      </c>
      <c r="R44" t="s">
        <v>106</v>
      </c>
      <c r="S44">
        <v>3</v>
      </c>
      <c r="T44" t="s">
        <v>106</v>
      </c>
      <c r="U44" t="s">
        <v>106</v>
      </c>
      <c r="V44" t="s">
        <v>106</v>
      </c>
      <c r="W44" t="s">
        <v>106</v>
      </c>
      <c r="X44" t="s">
        <v>106</v>
      </c>
      <c r="Y44" t="s">
        <v>106</v>
      </c>
      <c r="Z44" t="s">
        <v>106</v>
      </c>
      <c r="AA44" t="s">
        <v>106</v>
      </c>
      <c r="AB44" t="s">
        <v>106</v>
      </c>
      <c r="AC44" t="s">
        <v>106</v>
      </c>
      <c r="AD44" t="s">
        <v>106</v>
      </c>
      <c r="AE44" t="s">
        <v>106</v>
      </c>
      <c r="AF44" t="s">
        <v>106</v>
      </c>
      <c r="AG44" t="s">
        <v>106</v>
      </c>
      <c r="AH44" t="s">
        <v>106</v>
      </c>
      <c r="AI44" t="s">
        <v>106</v>
      </c>
      <c r="AJ44" t="s">
        <v>106</v>
      </c>
      <c r="AK44" t="s">
        <v>106</v>
      </c>
      <c r="AL44" t="s">
        <v>106</v>
      </c>
      <c r="AM44" t="s">
        <v>106</v>
      </c>
      <c r="AN44" t="s">
        <v>106</v>
      </c>
      <c r="AO44" t="s">
        <v>106</v>
      </c>
      <c r="AP44" t="s">
        <v>106</v>
      </c>
      <c r="AQ44" t="s">
        <v>106</v>
      </c>
      <c r="AR44" t="s">
        <v>106</v>
      </c>
      <c r="AS44" t="s">
        <v>106</v>
      </c>
      <c r="AT44" t="s">
        <v>106</v>
      </c>
      <c r="AU44" t="s">
        <v>106</v>
      </c>
      <c r="AV44" t="s">
        <v>106</v>
      </c>
      <c r="AW44" t="s">
        <v>106</v>
      </c>
      <c r="AX44" t="s">
        <v>106</v>
      </c>
      <c r="AY44" t="s">
        <v>106</v>
      </c>
      <c r="AZ44" t="s">
        <v>106</v>
      </c>
      <c r="BA44" t="s">
        <v>106</v>
      </c>
      <c r="BB44" t="s">
        <v>106</v>
      </c>
      <c r="BC44" t="s">
        <v>106</v>
      </c>
      <c r="BD44" t="s">
        <v>106</v>
      </c>
      <c r="BE44" t="s">
        <v>106</v>
      </c>
      <c r="BF44" t="s">
        <v>106</v>
      </c>
      <c r="BG44" t="s">
        <v>106</v>
      </c>
      <c r="BH44" t="s">
        <v>106</v>
      </c>
      <c r="BI44" t="s">
        <v>106</v>
      </c>
      <c r="BJ44">
        <v>-1442.1</v>
      </c>
      <c r="BK44">
        <v>-916.8</v>
      </c>
      <c r="BL44">
        <v>-2356</v>
      </c>
      <c r="BM44" t="s">
        <v>106</v>
      </c>
    </row>
    <row r="45" spans="1:65">
      <c r="A45" t="s">
        <v>148</v>
      </c>
      <c r="B45" t="s">
        <v>105</v>
      </c>
      <c r="C45" t="s">
        <v>105</v>
      </c>
      <c r="D45" t="s">
        <v>105</v>
      </c>
      <c r="E45" t="s">
        <v>105</v>
      </c>
      <c r="F45" t="s">
        <v>106</v>
      </c>
      <c r="G45">
        <v>3065.2</v>
      </c>
      <c r="H45" t="s">
        <v>106</v>
      </c>
      <c r="I45">
        <v>3568</v>
      </c>
      <c r="J45" t="s">
        <v>106</v>
      </c>
      <c r="K45">
        <v>0</v>
      </c>
      <c r="L45">
        <v>15.4</v>
      </c>
      <c r="M45">
        <v>298.3</v>
      </c>
      <c r="N45">
        <v>734.2</v>
      </c>
      <c r="O45">
        <v>560.70000000000005</v>
      </c>
      <c r="P45">
        <v>1842.1</v>
      </c>
      <c r="Q45">
        <v>44.8</v>
      </c>
      <c r="R45">
        <v>333.2</v>
      </c>
      <c r="S45">
        <v>1007.3</v>
      </c>
      <c r="T45">
        <v>22930.5</v>
      </c>
      <c r="U45" t="s">
        <v>106</v>
      </c>
      <c r="V45" t="s">
        <v>106</v>
      </c>
      <c r="W45" t="s">
        <v>106</v>
      </c>
      <c r="X45" t="s">
        <v>106</v>
      </c>
      <c r="Y45">
        <v>124.9</v>
      </c>
      <c r="Z45">
        <v>6446.9</v>
      </c>
      <c r="AA45">
        <v>4671.2</v>
      </c>
      <c r="AB45">
        <v>10274.6</v>
      </c>
      <c r="AC45">
        <v>3.1</v>
      </c>
      <c r="AD45" t="s">
        <v>106</v>
      </c>
      <c r="AE45">
        <v>1815.7</v>
      </c>
      <c r="AF45">
        <v>2319.9</v>
      </c>
      <c r="AG45">
        <v>23497.599999999999</v>
      </c>
      <c r="AH45">
        <v>188.5</v>
      </c>
      <c r="AI45">
        <v>63.8</v>
      </c>
      <c r="AJ45">
        <v>904.9</v>
      </c>
      <c r="AK45">
        <v>44794.8</v>
      </c>
      <c r="AL45">
        <v>215.1</v>
      </c>
      <c r="AM45">
        <v>723.3</v>
      </c>
      <c r="AN45">
        <v>1684.1</v>
      </c>
      <c r="AO45">
        <v>20.6</v>
      </c>
      <c r="AP45">
        <v>283.7</v>
      </c>
      <c r="AQ45">
        <v>1021.7</v>
      </c>
      <c r="AR45">
        <v>1558.2</v>
      </c>
      <c r="AS45">
        <v>837.9</v>
      </c>
      <c r="AT45">
        <v>413.2</v>
      </c>
      <c r="AU45">
        <v>824.1</v>
      </c>
      <c r="AV45">
        <v>52.8</v>
      </c>
      <c r="AW45">
        <v>6.7</v>
      </c>
      <c r="AX45" t="s">
        <v>106</v>
      </c>
      <c r="AY45">
        <v>685.4</v>
      </c>
      <c r="AZ45" t="s">
        <v>106</v>
      </c>
      <c r="BA45" t="s">
        <v>106</v>
      </c>
      <c r="BB45" t="s">
        <v>106</v>
      </c>
      <c r="BC45" t="s">
        <v>106</v>
      </c>
      <c r="BD45">
        <v>224.7</v>
      </c>
      <c r="BE45" t="s">
        <v>106</v>
      </c>
      <c r="BF45">
        <v>26.9</v>
      </c>
      <c r="BG45" t="s">
        <v>106</v>
      </c>
      <c r="BH45" t="s">
        <v>106</v>
      </c>
      <c r="BI45" t="s">
        <v>106</v>
      </c>
      <c r="BJ45">
        <v>46195.5</v>
      </c>
      <c r="BK45">
        <v>5970.2</v>
      </c>
      <c r="BL45">
        <v>190249.9</v>
      </c>
      <c r="BM45">
        <v>6974.9</v>
      </c>
    </row>
    <row r="46" spans="1:65">
      <c r="B46" t="s">
        <v>149</v>
      </c>
      <c r="C46" t="s">
        <v>105</v>
      </c>
      <c r="D46" t="s">
        <v>105</v>
      </c>
      <c r="E46" t="s">
        <v>105</v>
      </c>
      <c r="F46" t="s">
        <v>106</v>
      </c>
      <c r="G46">
        <v>3065.2</v>
      </c>
      <c r="H46" t="s">
        <v>106</v>
      </c>
      <c r="I46">
        <v>3568</v>
      </c>
      <c r="J46" t="s">
        <v>106</v>
      </c>
      <c r="K46">
        <v>0</v>
      </c>
      <c r="L46" t="s">
        <v>106</v>
      </c>
      <c r="M46">
        <v>298.3</v>
      </c>
      <c r="N46">
        <v>734.2</v>
      </c>
      <c r="O46" t="s">
        <v>106</v>
      </c>
      <c r="P46">
        <v>1842.1</v>
      </c>
      <c r="Q46">
        <v>44.8</v>
      </c>
      <c r="R46">
        <v>333.2</v>
      </c>
      <c r="S46">
        <v>674.8</v>
      </c>
      <c r="T46">
        <v>22930.5</v>
      </c>
      <c r="U46" t="s">
        <v>106</v>
      </c>
      <c r="V46" t="s">
        <v>106</v>
      </c>
      <c r="W46" t="s">
        <v>106</v>
      </c>
      <c r="X46" t="s">
        <v>106</v>
      </c>
      <c r="Y46">
        <v>124.9</v>
      </c>
      <c r="Z46">
        <v>2571.6999999999998</v>
      </c>
      <c r="AA46">
        <v>3901.9</v>
      </c>
      <c r="AB46">
        <v>10274.6</v>
      </c>
      <c r="AC46">
        <v>3.1</v>
      </c>
      <c r="AD46" t="s">
        <v>106</v>
      </c>
      <c r="AE46">
        <v>1815.7</v>
      </c>
      <c r="AF46">
        <v>2319.9</v>
      </c>
      <c r="AG46">
        <v>23497.599999999999</v>
      </c>
      <c r="AH46">
        <v>188.5</v>
      </c>
      <c r="AI46">
        <v>63.8</v>
      </c>
      <c r="AJ46">
        <v>904.9</v>
      </c>
      <c r="AK46" t="s">
        <v>106</v>
      </c>
      <c r="AL46" t="s">
        <v>106</v>
      </c>
      <c r="AM46" t="s">
        <v>106</v>
      </c>
      <c r="AN46" t="s">
        <v>106</v>
      </c>
      <c r="AO46" t="s">
        <v>106</v>
      </c>
      <c r="AP46" t="s">
        <v>106</v>
      </c>
      <c r="AQ46" t="s">
        <v>106</v>
      </c>
      <c r="AR46">
        <v>1558.2</v>
      </c>
      <c r="AS46">
        <v>837.9</v>
      </c>
      <c r="AT46">
        <v>413.2</v>
      </c>
      <c r="AU46">
        <v>824.1</v>
      </c>
      <c r="AV46">
        <v>52.8</v>
      </c>
      <c r="AW46">
        <v>6.7</v>
      </c>
      <c r="AX46" t="s">
        <v>106</v>
      </c>
      <c r="AY46">
        <v>685.4</v>
      </c>
      <c r="AZ46" t="s">
        <v>106</v>
      </c>
      <c r="BA46" t="s">
        <v>106</v>
      </c>
      <c r="BB46" t="s">
        <v>106</v>
      </c>
      <c r="BC46" t="s">
        <v>106</v>
      </c>
      <c r="BD46">
        <v>224.7</v>
      </c>
      <c r="BE46" t="s">
        <v>106</v>
      </c>
      <c r="BF46">
        <v>26.9</v>
      </c>
      <c r="BG46" t="s">
        <v>106</v>
      </c>
      <c r="BH46" t="s">
        <v>106</v>
      </c>
      <c r="BI46" t="s">
        <v>106</v>
      </c>
      <c r="BJ46">
        <v>46195.5</v>
      </c>
      <c r="BK46">
        <v>5970.2</v>
      </c>
      <c r="BL46">
        <v>135953.4</v>
      </c>
      <c r="BM46">
        <v>6974.9</v>
      </c>
    </row>
    <row r="47" spans="1:65">
      <c r="C47" t="s">
        <v>150</v>
      </c>
      <c r="D47" t="s">
        <v>105</v>
      </c>
      <c r="E47" t="s">
        <v>105</v>
      </c>
      <c r="F47" t="s">
        <v>106</v>
      </c>
      <c r="G47">
        <v>3065.2</v>
      </c>
      <c r="H47" t="s">
        <v>106</v>
      </c>
      <c r="I47">
        <v>3568</v>
      </c>
      <c r="J47" t="s">
        <v>106</v>
      </c>
      <c r="K47">
        <v>0</v>
      </c>
      <c r="L47" t="s">
        <v>106</v>
      </c>
      <c r="M47">
        <v>1.3</v>
      </c>
      <c r="N47">
        <v>734.2</v>
      </c>
      <c r="O47" t="s">
        <v>106</v>
      </c>
      <c r="P47">
        <v>1842.1</v>
      </c>
      <c r="Q47">
        <v>44.8</v>
      </c>
      <c r="R47">
        <v>333.2</v>
      </c>
      <c r="S47">
        <v>674.8</v>
      </c>
      <c r="T47">
        <v>7545.5</v>
      </c>
      <c r="U47" t="s">
        <v>106</v>
      </c>
      <c r="V47" t="s">
        <v>106</v>
      </c>
      <c r="W47" t="s">
        <v>106</v>
      </c>
      <c r="X47" t="s">
        <v>106</v>
      </c>
      <c r="Y47">
        <v>124.9</v>
      </c>
      <c r="Z47">
        <v>840.3</v>
      </c>
      <c r="AA47">
        <v>178.3</v>
      </c>
      <c r="AB47">
        <v>167.9</v>
      </c>
      <c r="AC47">
        <v>0</v>
      </c>
      <c r="AD47" t="s">
        <v>106</v>
      </c>
      <c r="AE47">
        <v>0.4</v>
      </c>
      <c r="AF47">
        <v>207.4</v>
      </c>
      <c r="AG47">
        <v>2254.8000000000002</v>
      </c>
      <c r="AH47">
        <v>76.8</v>
      </c>
      <c r="AI47">
        <v>37.700000000000003</v>
      </c>
      <c r="AJ47">
        <v>689</v>
      </c>
      <c r="AK47" t="s">
        <v>106</v>
      </c>
      <c r="AL47" t="s">
        <v>106</v>
      </c>
      <c r="AM47" t="s">
        <v>106</v>
      </c>
      <c r="AN47" t="s">
        <v>106</v>
      </c>
      <c r="AO47" t="s">
        <v>106</v>
      </c>
      <c r="AP47" t="s">
        <v>106</v>
      </c>
      <c r="AQ47" t="s">
        <v>106</v>
      </c>
      <c r="AR47">
        <v>1472.7</v>
      </c>
      <c r="AS47">
        <v>133.9</v>
      </c>
      <c r="AT47">
        <v>382.6</v>
      </c>
      <c r="AU47">
        <v>617.20000000000005</v>
      </c>
      <c r="AV47">
        <v>18.7</v>
      </c>
      <c r="AW47">
        <v>4.7</v>
      </c>
      <c r="AX47" t="s">
        <v>106</v>
      </c>
      <c r="AY47" t="s">
        <v>106</v>
      </c>
      <c r="AZ47" t="s">
        <v>106</v>
      </c>
      <c r="BA47" t="s">
        <v>106</v>
      </c>
      <c r="BB47" t="s">
        <v>106</v>
      </c>
      <c r="BC47" t="s">
        <v>106</v>
      </c>
      <c r="BD47">
        <v>33.799999999999997</v>
      </c>
      <c r="BE47" t="s">
        <v>106</v>
      </c>
      <c r="BF47">
        <v>1</v>
      </c>
      <c r="BG47" t="s">
        <v>106</v>
      </c>
      <c r="BH47" t="s">
        <v>106</v>
      </c>
      <c r="BI47" t="s">
        <v>106</v>
      </c>
      <c r="BJ47">
        <v>25117.200000000001</v>
      </c>
      <c r="BK47">
        <v>3438.5</v>
      </c>
      <c r="BL47">
        <v>53606.6</v>
      </c>
      <c r="BM47">
        <v>5009.6000000000004</v>
      </c>
    </row>
    <row r="48" spans="1:65">
      <c r="D48" t="s">
        <v>151</v>
      </c>
      <c r="E48" t="s">
        <v>105</v>
      </c>
      <c r="F48" t="s">
        <v>106</v>
      </c>
      <c r="G48" t="s">
        <v>106</v>
      </c>
      <c r="H48" t="s">
        <v>106</v>
      </c>
      <c r="I48" t="s">
        <v>106</v>
      </c>
      <c r="J48" t="s">
        <v>106</v>
      </c>
      <c r="K48" t="s">
        <v>106</v>
      </c>
      <c r="L48" t="s">
        <v>106</v>
      </c>
      <c r="M48">
        <v>0.7</v>
      </c>
      <c r="N48" t="s">
        <v>106</v>
      </c>
      <c r="O48" t="s">
        <v>106</v>
      </c>
      <c r="P48" t="s">
        <v>106</v>
      </c>
      <c r="Q48" t="s">
        <v>106</v>
      </c>
      <c r="R48" t="s">
        <v>106</v>
      </c>
      <c r="S48" t="s">
        <v>106</v>
      </c>
      <c r="T48">
        <v>4.5</v>
      </c>
      <c r="U48" t="s">
        <v>106</v>
      </c>
      <c r="V48" t="s">
        <v>106</v>
      </c>
      <c r="W48" t="s">
        <v>106</v>
      </c>
      <c r="X48" t="s">
        <v>106</v>
      </c>
      <c r="Y48" t="s">
        <v>106</v>
      </c>
      <c r="Z48">
        <v>4.5999999999999996</v>
      </c>
      <c r="AA48">
        <v>0.1</v>
      </c>
      <c r="AB48">
        <v>31.1</v>
      </c>
      <c r="AC48" t="s">
        <v>106</v>
      </c>
      <c r="AD48" t="s">
        <v>106</v>
      </c>
      <c r="AE48" t="s">
        <v>106</v>
      </c>
      <c r="AF48">
        <v>126.6</v>
      </c>
      <c r="AG48">
        <v>208.1</v>
      </c>
      <c r="AH48">
        <v>11.1</v>
      </c>
      <c r="AI48">
        <v>11.8</v>
      </c>
      <c r="AJ48">
        <v>2.9</v>
      </c>
      <c r="AK48" t="s">
        <v>106</v>
      </c>
      <c r="AL48" t="s">
        <v>106</v>
      </c>
      <c r="AM48" t="s">
        <v>106</v>
      </c>
      <c r="AN48" t="s">
        <v>106</v>
      </c>
      <c r="AO48" t="s">
        <v>106</v>
      </c>
      <c r="AP48" t="s">
        <v>106</v>
      </c>
      <c r="AQ48" t="s">
        <v>106</v>
      </c>
      <c r="AR48" t="s">
        <v>106</v>
      </c>
      <c r="AS48">
        <v>0.7</v>
      </c>
      <c r="AT48" t="s">
        <v>106</v>
      </c>
      <c r="AU48">
        <v>133.80000000000001</v>
      </c>
      <c r="AV48" t="s">
        <v>106</v>
      </c>
      <c r="AW48" t="s">
        <v>106</v>
      </c>
      <c r="AX48" t="s">
        <v>106</v>
      </c>
      <c r="AY48" t="s">
        <v>106</v>
      </c>
      <c r="AZ48" t="s">
        <v>106</v>
      </c>
      <c r="BA48" t="s">
        <v>106</v>
      </c>
      <c r="BB48" t="s">
        <v>106</v>
      </c>
      <c r="BC48" t="s">
        <v>106</v>
      </c>
      <c r="BD48">
        <v>29.3</v>
      </c>
      <c r="BE48" t="s">
        <v>106</v>
      </c>
      <c r="BF48" t="s">
        <v>106</v>
      </c>
      <c r="BG48" t="s">
        <v>106</v>
      </c>
      <c r="BH48" t="s">
        <v>106</v>
      </c>
      <c r="BI48" t="s">
        <v>106</v>
      </c>
      <c r="BJ48">
        <v>1218.2</v>
      </c>
      <c r="BK48" t="s">
        <v>106</v>
      </c>
      <c r="BL48">
        <v>1783.7</v>
      </c>
      <c r="BM48">
        <v>163.80000000000001</v>
      </c>
    </row>
    <row r="49" spans="3:65">
      <c r="D49" t="s">
        <v>152</v>
      </c>
      <c r="E49" t="s">
        <v>105</v>
      </c>
      <c r="F49" t="s">
        <v>106</v>
      </c>
      <c r="G49" t="s">
        <v>106</v>
      </c>
      <c r="H49" t="s">
        <v>106</v>
      </c>
      <c r="I49" t="s">
        <v>106</v>
      </c>
      <c r="J49" t="s">
        <v>106</v>
      </c>
      <c r="K49" t="s">
        <v>106</v>
      </c>
      <c r="L49" t="s">
        <v>106</v>
      </c>
      <c r="M49" t="s">
        <v>106</v>
      </c>
      <c r="N49" t="s">
        <v>106</v>
      </c>
      <c r="O49" t="s">
        <v>106</v>
      </c>
      <c r="P49" t="s">
        <v>106</v>
      </c>
      <c r="Q49" t="s">
        <v>106</v>
      </c>
      <c r="R49" t="s">
        <v>106</v>
      </c>
      <c r="S49" t="s">
        <v>106</v>
      </c>
      <c r="T49" t="s">
        <v>106</v>
      </c>
      <c r="U49" t="s">
        <v>106</v>
      </c>
      <c r="V49" t="s">
        <v>106</v>
      </c>
      <c r="W49" t="s">
        <v>106</v>
      </c>
      <c r="X49" t="s">
        <v>106</v>
      </c>
      <c r="Y49" t="s">
        <v>106</v>
      </c>
      <c r="Z49">
        <v>1.2</v>
      </c>
      <c r="AA49" t="s">
        <v>106</v>
      </c>
      <c r="AB49">
        <v>81.3</v>
      </c>
      <c r="AC49" t="s">
        <v>106</v>
      </c>
      <c r="AD49" t="s">
        <v>106</v>
      </c>
      <c r="AE49" t="s">
        <v>106</v>
      </c>
      <c r="AF49" t="s">
        <v>106</v>
      </c>
      <c r="AG49">
        <v>894.1</v>
      </c>
      <c r="AH49">
        <v>3.3</v>
      </c>
      <c r="AI49">
        <v>9</v>
      </c>
      <c r="AJ49">
        <v>6.6</v>
      </c>
      <c r="AK49" t="s">
        <v>106</v>
      </c>
      <c r="AL49" t="s">
        <v>106</v>
      </c>
      <c r="AM49" t="s">
        <v>106</v>
      </c>
      <c r="AN49" t="s">
        <v>106</v>
      </c>
      <c r="AO49" t="s">
        <v>106</v>
      </c>
      <c r="AP49" t="s">
        <v>106</v>
      </c>
      <c r="AQ49" t="s">
        <v>106</v>
      </c>
      <c r="AR49" t="s">
        <v>106</v>
      </c>
      <c r="AS49" t="s">
        <v>106</v>
      </c>
      <c r="AT49" t="s">
        <v>106</v>
      </c>
      <c r="AU49" t="s">
        <v>106</v>
      </c>
      <c r="AV49" t="s">
        <v>106</v>
      </c>
      <c r="AW49" t="s">
        <v>106</v>
      </c>
      <c r="AX49" t="s">
        <v>106</v>
      </c>
      <c r="AY49" t="s">
        <v>106</v>
      </c>
      <c r="AZ49" t="s">
        <v>106</v>
      </c>
      <c r="BA49" t="s">
        <v>106</v>
      </c>
      <c r="BB49" t="s">
        <v>106</v>
      </c>
      <c r="BC49" t="s">
        <v>106</v>
      </c>
      <c r="BD49" t="s">
        <v>106</v>
      </c>
      <c r="BE49" t="s">
        <v>106</v>
      </c>
      <c r="BF49" t="s">
        <v>106</v>
      </c>
      <c r="BG49" t="s">
        <v>106</v>
      </c>
      <c r="BH49" t="s">
        <v>106</v>
      </c>
      <c r="BI49" t="s">
        <v>106</v>
      </c>
      <c r="BJ49">
        <v>270</v>
      </c>
      <c r="BK49" t="s">
        <v>106</v>
      </c>
      <c r="BL49">
        <v>1265.3</v>
      </c>
      <c r="BM49" t="s">
        <v>106</v>
      </c>
    </row>
    <row r="50" spans="3:65">
      <c r="D50" t="s">
        <v>153</v>
      </c>
      <c r="E50" t="s">
        <v>105</v>
      </c>
      <c r="F50" t="s">
        <v>106</v>
      </c>
      <c r="G50" t="s">
        <v>106</v>
      </c>
      <c r="H50" t="s">
        <v>106</v>
      </c>
      <c r="I50" t="s">
        <v>106</v>
      </c>
      <c r="J50" t="s">
        <v>106</v>
      </c>
      <c r="K50" t="s">
        <v>106</v>
      </c>
      <c r="L50" t="s">
        <v>106</v>
      </c>
      <c r="M50" t="s">
        <v>106</v>
      </c>
      <c r="N50" t="s">
        <v>106</v>
      </c>
      <c r="O50" t="s">
        <v>106</v>
      </c>
      <c r="P50" t="s">
        <v>106</v>
      </c>
      <c r="Q50" t="s">
        <v>106</v>
      </c>
      <c r="R50" t="s">
        <v>106</v>
      </c>
      <c r="S50" t="s">
        <v>106</v>
      </c>
      <c r="T50" t="s">
        <v>106</v>
      </c>
      <c r="U50" t="s">
        <v>106</v>
      </c>
      <c r="V50" t="s">
        <v>106</v>
      </c>
      <c r="W50" t="s">
        <v>106</v>
      </c>
      <c r="X50" t="s">
        <v>106</v>
      </c>
      <c r="Y50" t="s">
        <v>106</v>
      </c>
      <c r="Z50">
        <v>1.8</v>
      </c>
      <c r="AA50">
        <v>0</v>
      </c>
      <c r="AB50">
        <v>0</v>
      </c>
      <c r="AC50" t="s">
        <v>106</v>
      </c>
      <c r="AD50" t="s">
        <v>106</v>
      </c>
      <c r="AE50" t="s">
        <v>106</v>
      </c>
      <c r="AF50">
        <v>0.9</v>
      </c>
      <c r="AG50">
        <v>32.6</v>
      </c>
      <c r="AH50">
        <v>3.7</v>
      </c>
      <c r="AI50">
        <v>0.5</v>
      </c>
      <c r="AJ50">
        <v>2</v>
      </c>
      <c r="AK50" t="s">
        <v>106</v>
      </c>
      <c r="AL50" t="s">
        <v>106</v>
      </c>
      <c r="AM50" t="s">
        <v>106</v>
      </c>
      <c r="AN50" t="s">
        <v>106</v>
      </c>
      <c r="AO50" t="s">
        <v>106</v>
      </c>
      <c r="AP50" t="s">
        <v>106</v>
      </c>
      <c r="AQ50" t="s">
        <v>106</v>
      </c>
      <c r="AR50" t="s">
        <v>106</v>
      </c>
      <c r="AS50" t="s">
        <v>106</v>
      </c>
      <c r="AT50" t="s">
        <v>106</v>
      </c>
      <c r="AU50">
        <v>0.1</v>
      </c>
      <c r="AV50" t="s">
        <v>106</v>
      </c>
      <c r="AW50" t="s">
        <v>106</v>
      </c>
      <c r="AX50" t="s">
        <v>106</v>
      </c>
      <c r="AY50" t="s">
        <v>106</v>
      </c>
      <c r="AZ50" t="s">
        <v>106</v>
      </c>
      <c r="BA50" t="s">
        <v>106</v>
      </c>
      <c r="BB50" t="s">
        <v>106</v>
      </c>
      <c r="BC50" t="s">
        <v>106</v>
      </c>
      <c r="BD50" t="s">
        <v>106</v>
      </c>
      <c r="BE50" t="s">
        <v>106</v>
      </c>
      <c r="BF50" t="s">
        <v>106</v>
      </c>
      <c r="BG50" t="s">
        <v>106</v>
      </c>
      <c r="BH50" t="s">
        <v>106</v>
      </c>
      <c r="BI50" t="s">
        <v>106</v>
      </c>
      <c r="BJ50">
        <v>128.4</v>
      </c>
      <c r="BK50" t="s">
        <v>106</v>
      </c>
      <c r="BL50">
        <v>169.8</v>
      </c>
      <c r="BM50">
        <v>0.1</v>
      </c>
    </row>
    <row r="51" spans="3:65">
      <c r="D51" t="s">
        <v>154</v>
      </c>
      <c r="E51" t="s">
        <v>105</v>
      </c>
      <c r="F51" t="s">
        <v>106</v>
      </c>
      <c r="G51">
        <v>3065.2</v>
      </c>
      <c r="H51" t="s">
        <v>106</v>
      </c>
      <c r="I51">
        <v>3568</v>
      </c>
      <c r="J51" t="s">
        <v>106</v>
      </c>
      <c r="K51" t="s">
        <v>106</v>
      </c>
      <c r="L51" t="s">
        <v>106</v>
      </c>
      <c r="M51">
        <v>0.6</v>
      </c>
      <c r="N51">
        <v>734.2</v>
      </c>
      <c r="O51" t="s">
        <v>106</v>
      </c>
      <c r="P51">
        <v>1842.1</v>
      </c>
      <c r="Q51">
        <v>44.8</v>
      </c>
      <c r="R51">
        <v>333.2</v>
      </c>
      <c r="S51">
        <v>674.8</v>
      </c>
      <c r="T51">
        <v>7540.9</v>
      </c>
      <c r="U51" t="s">
        <v>106</v>
      </c>
      <c r="V51" t="s">
        <v>106</v>
      </c>
      <c r="W51" t="s">
        <v>106</v>
      </c>
      <c r="X51" t="s">
        <v>106</v>
      </c>
      <c r="Y51">
        <v>124.9</v>
      </c>
      <c r="Z51">
        <v>812.5</v>
      </c>
      <c r="AA51">
        <v>178.1</v>
      </c>
      <c r="AB51">
        <v>45.5</v>
      </c>
      <c r="AC51">
        <v>0</v>
      </c>
      <c r="AD51" t="s">
        <v>106</v>
      </c>
      <c r="AE51">
        <v>0.4</v>
      </c>
      <c r="AF51">
        <v>69.8</v>
      </c>
      <c r="AG51">
        <v>443.4</v>
      </c>
      <c r="AH51">
        <v>41.9</v>
      </c>
      <c r="AI51">
        <v>7.3</v>
      </c>
      <c r="AJ51">
        <v>671.4</v>
      </c>
      <c r="AK51" t="s">
        <v>106</v>
      </c>
      <c r="AL51" t="s">
        <v>106</v>
      </c>
      <c r="AM51" t="s">
        <v>106</v>
      </c>
      <c r="AN51" t="s">
        <v>106</v>
      </c>
      <c r="AO51" t="s">
        <v>106</v>
      </c>
      <c r="AP51" t="s">
        <v>106</v>
      </c>
      <c r="AQ51" t="s">
        <v>106</v>
      </c>
      <c r="AR51">
        <v>1460.6</v>
      </c>
      <c r="AS51">
        <v>111.8</v>
      </c>
      <c r="AT51">
        <v>382.6</v>
      </c>
      <c r="AU51">
        <v>483.3</v>
      </c>
      <c r="AV51">
        <v>18.7</v>
      </c>
      <c r="AW51">
        <v>4.7</v>
      </c>
      <c r="AX51" t="s">
        <v>106</v>
      </c>
      <c r="AY51" t="s">
        <v>106</v>
      </c>
      <c r="AZ51" t="s">
        <v>106</v>
      </c>
      <c r="BA51" t="s">
        <v>106</v>
      </c>
      <c r="BB51" t="s">
        <v>106</v>
      </c>
      <c r="BC51" t="s">
        <v>106</v>
      </c>
      <c r="BD51">
        <v>4.5</v>
      </c>
      <c r="BE51" t="s">
        <v>106</v>
      </c>
      <c r="BF51">
        <v>1</v>
      </c>
      <c r="BG51" t="s">
        <v>106</v>
      </c>
      <c r="BH51" t="s">
        <v>106</v>
      </c>
      <c r="BI51" t="s">
        <v>106</v>
      </c>
      <c r="BJ51">
        <v>23499.8</v>
      </c>
      <c r="BK51">
        <v>3438.5</v>
      </c>
      <c r="BL51">
        <v>49604.4</v>
      </c>
      <c r="BM51">
        <v>4812.2</v>
      </c>
    </row>
    <row r="52" spans="3:65">
      <c r="E52" t="s">
        <v>155</v>
      </c>
      <c r="F52" t="s">
        <v>106</v>
      </c>
      <c r="G52" t="s">
        <v>106</v>
      </c>
      <c r="H52" t="s">
        <v>106</v>
      </c>
      <c r="I52" t="s">
        <v>106</v>
      </c>
      <c r="J52" t="s">
        <v>106</v>
      </c>
      <c r="K52" t="s">
        <v>106</v>
      </c>
      <c r="L52" t="s">
        <v>106</v>
      </c>
      <c r="M52" t="s">
        <v>106</v>
      </c>
      <c r="N52" t="s">
        <v>106</v>
      </c>
      <c r="O52" t="s">
        <v>106</v>
      </c>
      <c r="P52" t="s">
        <v>106</v>
      </c>
      <c r="Q52" t="s">
        <v>106</v>
      </c>
      <c r="R52" t="s">
        <v>106</v>
      </c>
      <c r="S52" t="s">
        <v>106</v>
      </c>
      <c r="T52">
        <v>802.8</v>
      </c>
      <c r="U52" t="s">
        <v>106</v>
      </c>
      <c r="V52" t="s">
        <v>106</v>
      </c>
      <c r="W52" t="s">
        <v>106</v>
      </c>
      <c r="X52" t="s">
        <v>106</v>
      </c>
      <c r="Y52" t="s">
        <v>106</v>
      </c>
      <c r="Z52">
        <v>23.5</v>
      </c>
      <c r="AA52">
        <v>1.6</v>
      </c>
      <c r="AB52">
        <v>0.6</v>
      </c>
      <c r="AC52" t="s">
        <v>106</v>
      </c>
      <c r="AD52" t="s">
        <v>106</v>
      </c>
      <c r="AE52" t="s">
        <v>106</v>
      </c>
      <c r="AF52">
        <v>5.4</v>
      </c>
      <c r="AG52">
        <v>13.7</v>
      </c>
      <c r="AH52">
        <v>0.7</v>
      </c>
      <c r="AI52">
        <v>0.3</v>
      </c>
      <c r="AJ52">
        <v>23.8</v>
      </c>
      <c r="AK52" t="s">
        <v>106</v>
      </c>
      <c r="AL52" t="s">
        <v>106</v>
      </c>
      <c r="AM52" t="s">
        <v>106</v>
      </c>
      <c r="AN52" t="s">
        <v>106</v>
      </c>
      <c r="AO52" t="s">
        <v>106</v>
      </c>
      <c r="AP52" t="s">
        <v>106</v>
      </c>
      <c r="AQ52" t="s">
        <v>106</v>
      </c>
      <c r="AR52">
        <v>24.8</v>
      </c>
      <c r="AS52" t="s">
        <v>106</v>
      </c>
      <c r="AT52">
        <v>0.9</v>
      </c>
      <c r="AU52">
        <v>18.399999999999999</v>
      </c>
      <c r="AV52">
        <v>6.8</v>
      </c>
      <c r="AW52" t="s">
        <v>106</v>
      </c>
      <c r="AX52" t="s">
        <v>106</v>
      </c>
      <c r="AY52" t="s">
        <v>106</v>
      </c>
      <c r="AZ52" t="s">
        <v>106</v>
      </c>
      <c r="BA52" t="s">
        <v>106</v>
      </c>
      <c r="BB52" t="s">
        <v>106</v>
      </c>
      <c r="BC52" t="s">
        <v>106</v>
      </c>
      <c r="BD52" t="s">
        <v>106</v>
      </c>
      <c r="BE52" t="s">
        <v>106</v>
      </c>
      <c r="BF52" t="s">
        <v>106</v>
      </c>
      <c r="BG52" t="s">
        <v>106</v>
      </c>
      <c r="BH52" t="s">
        <v>106</v>
      </c>
      <c r="BI52" t="s">
        <v>106</v>
      </c>
      <c r="BJ52">
        <v>1179</v>
      </c>
      <c r="BK52">
        <v>134</v>
      </c>
      <c r="BL52">
        <v>2236.3000000000002</v>
      </c>
      <c r="BM52">
        <v>50.8</v>
      </c>
    </row>
    <row r="53" spans="3:65">
      <c r="E53" t="s">
        <v>156</v>
      </c>
      <c r="F53" t="s">
        <v>106</v>
      </c>
      <c r="G53" t="s">
        <v>106</v>
      </c>
      <c r="H53" t="s">
        <v>106</v>
      </c>
      <c r="I53">
        <v>466</v>
      </c>
      <c r="J53" t="s">
        <v>106</v>
      </c>
      <c r="K53" t="s">
        <v>106</v>
      </c>
      <c r="L53" t="s">
        <v>106</v>
      </c>
      <c r="M53" t="s">
        <v>106</v>
      </c>
      <c r="N53" t="s">
        <v>106</v>
      </c>
      <c r="O53" t="s">
        <v>106</v>
      </c>
      <c r="P53" t="s">
        <v>106</v>
      </c>
      <c r="Q53" t="s">
        <v>106</v>
      </c>
      <c r="R53" t="s">
        <v>106</v>
      </c>
      <c r="S53" t="s">
        <v>106</v>
      </c>
      <c r="T53">
        <v>244.6</v>
      </c>
      <c r="U53" t="s">
        <v>106</v>
      </c>
      <c r="V53" t="s">
        <v>106</v>
      </c>
      <c r="W53" t="s">
        <v>106</v>
      </c>
      <c r="X53" t="s">
        <v>106</v>
      </c>
      <c r="Y53" t="s">
        <v>106</v>
      </c>
      <c r="Z53">
        <v>3.7</v>
      </c>
      <c r="AA53">
        <v>0.2</v>
      </c>
      <c r="AB53">
        <v>0.1</v>
      </c>
      <c r="AC53" t="s">
        <v>106</v>
      </c>
      <c r="AD53" t="s">
        <v>106</v>
      </c>
      <c r="AE53" t="s">
        <v>106</v>
      </c>
      <c r="AF53">
        <v>3.6</v>
      </c>
      <c r="AG53">
        <v>3.1</v>
      </c>
      <c r="AH53">
        <v>1</v>
      </c>
      <c r="AI53">
        <v>1.5</v>
      </c>
      <c r="AJ53">
        <v>14</v>
      </c>
      <c r="AK53" t="s">
        <v>106</v>
      </c>
      <c r="AL53" t="s">
        <v>106</v>
      </c>
      <c r="AM53" t="s">
        <v>106</v>
      </c>
      <c r="AN53" t="s">
        <v>106</v>
      </c>
      <c r="AO53" t="s">
        <v>106</v>
      </c>
      <c r="AP53" t="s">
        <v>106</v>
      </c>
      <c r="AQ53" t="s">
        <v>106</v>
      </c>
      <c r="AR53">
        <v>27.9</v>
      </c>
      <c r="AS53">
        <v>1.9</v>
      </c>
      <c r="AT53">
        <v>21.6</v>
      </c>
      <c r="AU53">
        <v>53.5</v>
      </c>
      <c r="AV53" t="s">
        <v>106</v>
      </c>
      <c r="AW53">
        <v>4.7</v>
      </c>
      <c r="AX53" t="s">
        <v>106</v>
      </c>
      <c r="AY53" t="s">
        <v>106</v>
      </c>
      <c r="AZ53" t="s">
        <v>106</v>
      </c>
      <c r="BA53" t="s">
        <v>106</v>
      </c>
      <c r="BB53" t="s">
        <v>106</v>
      </c>
      <c r="BC53" t="s">
        <v>106</v>
      </c>
      <c r="BD53" t="s">
        <v>106</v>
      </c>
      <c r="BE53" t="s">
        <v>106</v>
      </c>
      <c r="BF53" t="s">
        <v>106</v>
      </c>
      <c r="BG53" t="s">
        <v>106</v>
      </c>
      <c r="BH53" t="s">
        <v>106</v>
      </c>
      <c r="BI53" t="s">
        <v>106</v>
      </c>
      <c r="BJ53">
        <v>866.6</v>
      </c>
      <c r="BK53">
        <v>253</v>
      </c>
      <c r="BL53">
        <v>1967.1</v>
      </c>
      <c r="BM53">
        <v>109.6</v>
      </c>
    </row>
    <row r="54" spans="3:65">
      <c r="E54" t="s">
        <v>157</v>
      </c>
      <c r="F54" t="s">
        <v>106</v>
      </c>
      <c r="G54" t="s">
        <v>106</v>
      </c>
      <c r="H54" t="s">
        <v>106</v>
      </c>
      <c r="I54" t="s">
        <v>106</v>
      </c>
      <c r="J54" t="s">
        <v>106</v>
      </c>
      <c r="K54" t="s">
        <v>106</v>
      </c>
      <c r="L54" t="s">
        <v>106</v>
      </c>
      <c r="M54" t="s">
        <v>106</v>
      </c>
      <c r="N54" t="s">
        <v>106</v>
      </c>
      <c r="O54" t="s">
        <v>106</v>
      </c>
      <c r="P54" t="s">
        <v>106</v>
      </c>
      <c r="Q54" t="s">
        <v>106</v>
      </c>
      <c r="R54" t="s">
        <v>106</v>
      </c>
      <c r="S54" t="s">
        <v>106</v>
      </c>
      <c r="T54">
        <v>26.8</v>
      </c>
      <c r="U54" t="s">
        <v>106</v>
      </c>
      <c r="V54" t="s">
        <v>106</v>
      </c>
      <c r="W54" t="s">
        <v>106</v>
      </c>
      <c r="X54" t="s">
        <v>106</v>
      </c>
      <c r="Y54" t="s">
        <v>106</v>
      </c>
      <c r="Z54">
        <v>0.2</v>
      </c>
      <c r="AA54" t="s">
        <v>106</v>
      </c>
      <c r="AB54">
        <v>0.1</v>
      </c>
      <c r="AC54" t="s">
        <v>106</v>
      </c>
      <c r="AD54" t="s">
        <v>106</v>
      </c>
      <c r="AE54" t="s">
        <v>106</v>
      </c>
      <c r="AF54">
        <v>0.5</v>
      </c>
      <c r="AG54">
        <v>1.6</v>
      </c>
      <c r="AH54" t="s">
        <v>106</v>
      </c>
      <c r="AI54">
        <v>0.1</v>
      </c>
      <c r="AJ54">
        <v>1.7</v>
      </c>
      <c r="AK54" t="s">
        <v>106</v>
      </c>
      <c r="AL54" t="s">
        <v>106</v>
      </c>
      <c r="AM54" t="s">
        <v>106</v>
      </c>
      <c r="AN54" t="s">
        <v>106</v>
      </c>
      <c r="AO54" t="s">
        <v>106</v>
      </c>
      <c r="AP54" t="s">
        <v>106</v>
      </c>
      <c r="AQ54" t="s">
        <v>106</v>
      </c>
      <c r="AR54" t="s">
        <v>106</v>
      </c>
      <c r="AS54" t="s">
        <v>106</v>
      </c>
      <c r="AT54">
        <v>5.8</v>
      </c>
      <c r="AU54">
        <v>61.8</v>
      </c>
      <c r="AV54" t="s">
        <v>106</v>
      </c>
      <c r="AW54" t="s">
        <v>106</v>
      </c>
      <c r="AX54" t="s">
        <v>106</v>
      </c>
      <c r="AY54" t="s">
        <v>106</v>
      </c>
      <c r="AZ54" t="s">
        <v>106</v>
      </c>
      <c r="BA54" t="s">
        <v>106</v>
      </c>
      <c r="BB54" t="s">
        <v>106</v>
      </c>
      <c r="BC54" t="s">
        <v>106</v>
      </c>
      <c r="BD54" t="s">
        <v>106</v>
      </c>
      <c r="BE54" t="s">
        <v>106</v>
      </c>
      <c r="BF54" t="s">
        <v>106</v>
      </c>
      <c r="BG54" t="s">
        <v>106</v>
      </c>
      <c r="BH54" t="s">
        <v>106</v>
      </c>
      <c r="BI54" t="s">
        <v>106</v>
      </c>
      <c r="BJ54">
        <v>149.19999999999999</v>
      </c>
      <c r="BK54">
        <v>8.6999999999999993</v>
      </c>
      <c r="BL54">
        <v>256.5</v>
      </c>
      <c r="BM54">
        <v>67.599999999999994</v>
      </c>
    </row>
    <row r="55" spans="3:65">
      <c r="E55" t="s">
        <v>158</v>
      </c>
      <c r="F55" t="s">
        <v>106</v>
      </c>
      <c r="G55" t="s">
        <v>106</v>
      </c>
      <c r="H55" t="s">
        <v>106</v>
      </c>
      <c r="I55" t="s">
        <v>106</v>
      </c>
      <c r="J55" t="s">
        <v>106</v>
      </c>
      <c r="K55" t="s">
        <v>106</v>
      </c>
      <c r="L55" t="s">
        <v>106</v>
      </c>
      <c r="M55" t="s">
        <v>106</v>
      </c>
      <c r="N55" t="s">
        <v>106</v>
      </c>
      <c r="O55" t="s">
        <v>106</v>
      </c>
      <c r="P55" t="s">
        <v>106</v>
      </c>
      <c r="Q55" t="s">
        <v>106</v>
      </c>
      <c r="R55" t="s">
        <v>106</v>
      </c>
      <c r="S55">
        <v>0.1</v>
      </c>
      <c r="T55">
        <v>298.2</v>
      </c>
      <c r="U55" t="s">
        <v>106</v>
      </c>
      <c r="V55" t="s">
        <v>106</v>
      </c>
      <c r="W55" t="s">
        <v>106</v>
      </c>
      <c r="X55" t="s">
        <v>106</v>
      </c>
      <c r="Y55" t="s">
        <v>106</v>
      </c>
      <c r="Z55">
        <v>5.4</v>
      </c>
      <c r="AA55" t="s">
        <v>106</v>
      </c>
      <c r="AB55">
        <v>0</v>
      </c>
      <c r="AC55" t="s">
        <v>106</v>
      </c>
      <c r="AD55" t="s">
        <v>106</v>
      </c>
      <c r="AE55" t="s">
        <v>106</v>
      </c>
      <c r="AF55">
        <v>0.6</v>
      </c>
      <c r="AG55">
        <v>5.0999999999999996</v>
      </c>
      <c r="AH55">
        <v>0.2</v>
      </c>
      <c r="AI55">
        <v>0.5</v>
      </c>
      <c r="AJ55">
        <v>11</v>
      </c>
      <c r="AK55" t="s">
        <v>106</v>
      </c>
      <c r="AL55" t="s">
        <v>106</v>
      </c>
      <c r="AM55" t="s">
        <v>106</v>
      </c>
      <c r="AN55" t="s">
        <v>106</v>
      </c>
      <c r="AO55" t="s">
        <v>106</v>
      </c>
      <c r="AP55" t="s">
        <v>106</v>
      </c>
      <c r="AQ55" t="s">
        <v>106</v>
      </c>
      <c r="AR55">
        <v>282.2</v>
      </c>
      <c r="AS55">
        <v>20.399999999999999</v>
      </c>
      <c r="AT55">
        <v>116.8</v>
      </c>
      <c r="AU55">
        <v>178.9</v>
      </c>
      <c r="AV55">
        <v>1.9</v>
      </c>
      <c r="AW55" t="s">
        <v>106</v>
      </c>
      <c r="AX55" t="s">
        <v>106</v>
      </c>
      <c r="AY55" t="s">
        <v>106</v>
      </c>
      <c r="AZ55" t="s">
        <v>106</v>
      </c>
      <c r="BA55" t="s">
        <v>106</v>
      </c>
      <c r="BB55" t="s">
        <v>106</v>
      </c>
      <c r="BC55" t="s">
        <v>106</v>
      </c>
      <c r="BD55" t="s">
        <v>106</v>
      </c>
      <c r="BE55" t="s">
        <v>106</v>
      </c>
      <c r="BF55" t="s">
        <v>106</v>
      </c>
      <c r="BG55" t="s">
        <v>106</v>
      </c>
      <c r="BH55" t="s">
        <v>106</v>
      </c>
      <c r="BI55" t="s">
        <v>106</v>
      </c>
      <c r="BJ55">
        <v>847.2</v>
      </c>
      <c r="BK55">
        <v>255.5</v>
      </c>
      <c r="BL55">
        <v>2024</v>
      </c>
      <c r="BM55">
        <v>600.20000000000005</v>
      </c>
    </row>
    <row r="56" spans="3:65">
      <c r="E56" t="s">
        <v>159</v>
      </c>
      <c r="F56" t="s">
        <v>106</v>
      </c>
      <c r="G56" t="s">
        <v>106</v>
      </c>
      <c r="H56" t="s">
        <v>106</v>
      </c>
      <c r="I56">
        <v>657.6</v>
      </c>
      <c r="J56" t="s">
        <v>106</v>
      </c>
      <c r="K56" t="s">
        <v>106</v>
      </c>
      <c r="L56" t="s">
        <v>106</v>
      </c>
      <c r="M56" t="s">
        <v>106</v>
      </c>
      <c r="N56" t="s">
        <v>106</v>
      </c>
      <c r="O56" t="s">
        <v>106</v>
      </c>
      <c r="P56" t="s">
        <v>106</v>
      </c>
      <c r="Q56" t="s">
        <v>106</v>
      </c>
      <c r="R56" t="s">
        <v>106</v>
      </c>
      <c r="S56" t="s">
        <v>106</v>
      </c>
      <c r="T56">
        <v>1721.4</v>
      </c>
      <c r="U56" t="s">
        <v>106</v>
      </c>
      <c r="V56" t="s">
        <v>106</v>
      </c>
      <c r="W56" t="s">
        <v>106</v>
      </c>
      <c r="X56" t="s">
        <v>106</v>
      </c>
      <c r="Y56">
        <v>121.2</v>
      </c>
      <c r="Z56">
        <v>41.2</v>
      </c>
      <c r="AA56">
        <v>24</v>
      </c>
      <c r="AB56">
        <v>12.7</v>
      </c>
      <c r="AC56" t="s">
        <v>106</v>
      </c>
      <c r="AD56" t="s">
        <v>106</v>
      </c>
      <c r="AE56" t="s">
        <v>106</v>
      </c>
      <c r="AF56">
        <v>8.4</v>
      </c>
      <c r="AG56">
        <v>16.600000000000001</v>
      </c>
      <c r="AH56">
        <v>15.2</v>
      </c>
      <c r="AI56">
        <v>1.7</v>
      </c>
      <c r="AJ56">
        <v>128.30000000000001</v>
      </c>
      <c r="AK56" t="s">
        <v>106</v>
      </c>
      <c r="AL56" t="s">
        <v>106</v>
      </c>
      <c r="AM56" t="s">
        <v>106</v>
      </c>
      <c r="AN56" t="s">
        <v>106</v>
      </c>
      <c r="AO56" t="s">
        <v>106</v>
      </c>
      <c r="AP56" t="s">
        <v>106</v>
      </c>
      <c r="AQ56" t="s">
        <v>106</v>
      </c>
      <c r="AR56">
        <v>215.8</v>
      </c>
      <c r="AS56">
        <v>6.7</v>
      </c>
      <c r="AT56">
        <v>190.4</v>
      </c>
      <c r="AU56">
        <v>35.700000000000003</v>
      </c>
      <c r="AV56">
        <v>6.2</v>
      </c>
      <c r="AW56" t="s">
        <v>106</v>
      </c>
      <c r="AX56" t="s">
        <v>106</v>
      </c>
      <c r="AY56" t="s">
        <v>106</v>
      </c>
      <c r="AZ56" t="s">
        <v>106</v>
      </c>
      <c r="BA56" t="s">
        <v>106</v>
      </c>
      <c r="BB56" t="s">
        <v>106</v>
      </c>
      <c r="BC56" t="s">
        <v>106</v>
      </c>
      <c r="BD56" t="s">
        <v>106</v>
      </c>
      <c r="BE56" t="s">
        <v>106</v>
      </c>
      <c r="BF56" t="s">
        <v>106</v>
      </c>
      <c r="BG56" t="s">
        <v>106</v>
      </c>
      <c r="BH56" t="s">
        <v>106</v>
      </c>
      <c r="BI56" t="s">
        <v>106</v>
      </c>
      <c r="BJ56">
        <v>4693.8999999999996</v>
      </c>
      <c r="BK56">
        <v>2357.8000000000002</v>
      </c>
      <c r="BL56">
        <v>10254.799999999999</v>
      </c>
      <c r="BM56">
        <v>576</v>
      </c>
    </row>
    <row r="57" spans="3:65">
      <c r="E57" t="s">
        <v>160</v>
      </c>
      <c r="F57" t="s">
        <v>106</v>
      </c>
      <c r="G57" t="s">
        <v>106</v>
      </c>
      <c r="H57" t="s">
        <v>106</v>
      </c>
      <c r="I57">
        <v>2250.9</v>
      </c>
      <c r="J57" t="s">
        <v>106</v>
      </c>
      <c r="K57" t="s">
        <v>106</v>
      </c>
      <c r="L57" t="s">
        <v>106</v>
      </c>
      <c r="M57" t="s">
        <v>106</v>
      </c>
      <c r="N57" t="s">
        <v>106</v>
      </c>
      <c r="O57" t="s">
        <v>106</v>
      </c>
      <c r="P57" t="s">
        <v>106</v>
      </c>
      <c r="Q57" t="s">
        <v>106</v>
      </c>
      <c r="R57" t="s">
        <v>106</v>
      </c>
      <c r="S57" t="s">
        <v>106</v>
      </c>
      <c r="T57">
        <v>577.6</v>
      </c>
      <c r="U57" t="s">
        <v>106</v>
      </c>
      <c r="V57" t="s">
        <v>106</v>
      </c>
      <c r="W57" t="s">
        <v>106</v>
      </c>
      <c r="X57" t="s">
        <v>106</v>
      </c>
      <c r="Y57" t="s">
        <v>106</v>
      </c>
      <c r="Z57">
        <v>16.399999999999999</v>
      </c>
      <c r="AA57">
        <v>0</v>
      </c>
      <c r="AB57">
        <v>0.3</v>
      </c>
      <c r="AC57" t="s">
        <v>106</v>
      </c>
      <c r="AD57" t="s">
        <v>106</v>
      </c>
      <c r="AE57" t="s">
        <v>106</v>
      </c>
      <c r="AF57">
        <v>1.4</v>
      </c>
      <c r="AG57">
        <v>132.69999999999999</v>
      </c>
      <c r="AH57">
        <v>1.7</v>
      </c>
      <c r="AI57">
        <v>1.8</v>
      </c>
      <c r="AJ57">
        <v>265.39999999999998</v>
      </c>
      <c r="AK57" t="s">
        <v>106</v>
      </c>
      <c r="AL57" t="s">
        <v>106</v>
      </c>
      <c r="AM57" t="s">
        <v>106</v>
      </c>
      <c r="AN57" t="s">
        <v>106</v>
      </c>
      <c r="AO57" t="s">
        <v>106</v>
      </c>
      <c r="AP57" t="s">
        <v>106</v>
      </c>
      <c r="AQ57" t="s">
        <v>106</v>
      </c>
      <c r="AR57">
        <v>699.1</v>
      </c>
      <c r="AS57" t="s">
        <v>106</v>
      </c>
      <c r="AT57" t="s">
        <v>106</v>
      </c>
      <c r="AU57">
        <v>0.4</v>
      </c>
      <c r="AV57" t="s">
        <v>106</v>
      </c>
      <c r="AW57" t="s">
        <v>106</v>
      </c>
      <c r="AX57" t="s">
        <v>106</v>
      </c>
      <c r="AY57" t="s">
        <v>106</v>
      </c>
      <c r="AZ57" t="s">
        <v>106</v>
      </c>
      <c r="BA57" t="s">
        <v>106</v>
      </c>
      <c r="BB57" t="s">
        <v>106</v>
      </c>
      <c r="BC57" t="s">
        <v>106</v>
      </c>
      <c r="BD57" t="s">
        <v>106</v>
      </c>
      <c r="BE57" t="s">
        <v>106</v>
      </c>
      <c r="BF57" t="s">
        <v>106</v>
      </c>
      <c r="BG57" t="s">
        <v>106</v>
      </c>
      <c r="BH57" t="s">
        <v>106</v>
      </c>
      <c r="BI57" t="s">
        <v>106</v>
      </c>
      <c r="BJ57">
        <v>1050.2</v>
      </c>
      <c r="BK57">
        <v>0.3</v>
      </c>
      <c r="BL57">
        <v>4998.3</v>
      </c>
      <c r="BM57">
        <v>699.5</v>
      </c>
    </row>
    <row r="58" spans="3:65">
      <c r="E58" t="s">
        <v>161</v>
      </c>
      <c r="F58" t="s">
        <v>106</v>
      </c>
      <c r="G58">
        <v>900.2</v>
      </c>
      <c r="H58" t="s">
        <v>106</v>
      </c>
      <c r="I58" t="s">
        <v>106</v>
      </c>
      <c r="J58" t="s">
        <v>106</v>
      </c>
      <c r="K58" t="s">
        <v>106</v>
      </c>
      <c r="L58" t="s">
        <v>106</v>
      </c>
      <c r="M58" t="s">
        <v>106</v>
      </c>
      <c r="N58">
        <v>734.2</v>
      </c>
      <c r="O58" t="s">
        <v>106</v>
      </c>
      <c r="P58">
        <v>1842.1</v>
      </c>
      <c r="Q58">
        <v>44.8</v>
      </c>
      <c r="R58">
        <v>333.2</v>
      </c>
      <c r="S58">
        <v>426.8</v>
      </c>
      <c r="T58">
        <v>1232.5</v>
      </c>
      <c r="U58" t="s">
        <v>106</v>
      </c>
      <c r="V58" t="s">
        <v>106</v>
      </c>
      <c r="W58" t="s">
        <v>106</v>
      </c>
      <c r="X58" t="s">
        <v>106</v>
      </c>
      <c r="Y58" t="s">
        <v>106</v>
      </c>
      <c r="Z58">
        <v>48</v>
      </c>
      <c r="AA58">
        <v>19</v>
      </c>
      <c r="AB58" t="s">
        <v>106</v>
      </c>
      <c r="AC58" t="s">
        <v>106</v>
      </c>
      <c r="AD58" t="s">
        <v>106</v>
      </c>
      <c r="AE58" t="s">
        <v>106</v>
      </c>
      <c r="AF58">
        <v>0.3</v>
      </c>
      <c r="AG58">
        <v>2.7</v>
      </c>
      <c r="AH58">
        <v>0.1</v>
      </c>
      <c r="AI58">
        <v>0</v>
      </c>
      <c r="AJ58">
        <v>6</v>
      </c>
      <c r="AK58" t="s">
        <v>106</v>
      </c>
      <c r="AL58" t="s">
        <v>106</v>
      </c>
      <c r="AM58" t="s">
        <v>106</v>
      </c>
      <c r="AN58" t="s">
        <v>106</v>
      </c>
      <c r="AO58" t="s">
        <v>106</v>
      </c>
      <c r="AP58" t="s">
        <v>106</v>
      </c>
      <c r="AQ58" t="s">
        <v>106</v>
      </c>
      <c r="AR58">
        <v>4</v>
      </c>
      <c r="AS58" t="s">
        <v>106</v>
      </c>
      <c r="AT58" t="s">
        <v>106</v>
      </c>
      <c r="AU58">
        <v>7.3</v>
      </c>
      <c r="AV58" t="s">
        <v>106</v>
      </c>
      <c r="AW58" t="s">
        <v>106</v>
      </c>
      <c r="AX58" t="s">
        <v>106</v>
      </c>
      <c r="AY58" t="s">
        <v>106</v>
      </c>
      <c r="AZ58" t="s">
        <v>106</v>
      </c>
      <c r="BA58" t="s">
        <v>106</v>
      </c>
      <c r="BB58" t="s">
        <v>106</v>
      </c>
      <c r="BC58" t="s">
        <v>106</v>
      </c>
      <c r="BD58" t="s">
        <v>106</v>
      </c>
      <c r="BE58" t="s">
        <v>106</v>
      </c>
      <c r="BF58" t="s">
        <v>106</v>
      </c>
      <c r="BG58" t="s">
        <v>106</v>
      </c>
      <c r="BH58" t="s">
        <v>106</v>
      </c>
      <c r="BI58" t="s">
        <v>106</v>
      </c>
      <c r="BJ58">
        <v>4282.5</v>
      </c>
      <c r="BK58">
        <v>6.2</v>
      </c>
      <c r="BL58">
        <v>9890</v>
      </c>
      <c r="BM58">
        <v>2231.4</v>
      </c>
    </row>
    <row r="59" spans="3:65">
      <c r="E59" t="s">
        <v>162</v>
      </c>
      <c r="F59" t="s">
        <v>106</v>
      </c>
      <c r="G59">
        <v>148.30000000000001</v>
      </c>
      <c r="H59" t="s">
        <v>106</v>
      </c>
      <c r="I59">
        <v>193.5</v>
      </c>
      <c r="J59" t="s">
        <v>106</v>
      </c>
      <c r="K59" t="s">
        <v>106</v>
      </c>
      <c r="L59" t="s">
        <v>106</v>
      </c>
      <c r="M59" t="s">
        <v>106</v>
      </c>
      <c r="N59" t="s">
        <v>106</v>
      </c>
      <c r="O59" t="s">
        <v>106</v>
      </c>
      <c r="P59" t="s">
        <v>106</v>
      </c>
      <c r="Q59" t="s">
        <v>106</v>
      </c>
      <c r="R59" t="s">
        <v>106</v>
      </c>
      <c r="S59" t="s">
        <v>106</v>
      </c>
      <c r="T59">
        <v>370.3</v>
      </c>
      <c r="U59" t="s">
        <v>106</v>
      </c>
      <c r="V59" t="s">
        <v>106</v>
      </c>
      <c r="W59" t="s">
        <v>106</v>
      </c>
      <c r="X59" t="s">
        <v>106</v>
      </c>
      <c r="Y59" t="s">
        <v>106</v>
      </c>
      <c r="Z59">
        <v>12.1</v>
      </c>
      <c r="AA59">
        <v>0.2</v>
      </c>
      <c r="AB59" t="s">
        <v>106</v>
      </c>
      <c r="AC59" t="s">
        <v>106</v>
      </c>
      <c r="AD59" t="s">
        <v>106</v>
      </c>
      <c r="AE59" t="s">
        <v>106</v>
      </c>
      <c r="AF59">
        <v>0.1</v>
      </c>
      <c r="AG59">
        <v>3.1</v>
      </c>
      <c r="AH59">
        <v>0.2</v>
      </c>
      <c r="AI59">
        <v>0</v>
      </c>
      <c r="AJ59">
        <v>19.899999999999999</v>
      </c>
      <c r="AK59" t="s">
        <v>106</v>
      </c>
      <c r="AL59" t="s">
        <v>106</v>
      </c>
      <c r="AM59" t="s">
        <v>106</v>
      </c>
      <c r="AN59" t="s">
        <v>106</v>
      </c>
      <c r="AO59" t="s">
        <v>106</v>
      </c>
      <c r="AP59" t="s">
        <v>106</v>
      </c>
      <c r="AQ59" t="s">
        <v>106</v>
      </c>
      <c r="AR59" t="s">
        <v>106</v>
      </c>
      <c r="AS59" t="s">
        <v>106</v>
      </c>
      <c r="AT59" t="s">
        <v>106</v>
      </c>
      <c r="AU59" t="s">
        <v>106</v>
      </c>
      <c r="AV59" t="s">
        <v>106</v>
      </c>
      <c r="AW59" t="s">
        <v>106</v>
      </c>
      <c r="AX59" t="s">
        <v>106</v>
      </c>
      <c r="AY59" t="s">
        <v>106</v>
      </c>
      <c r="AZ59" t="s">
        <v>106</v>
      </c>
      <c r="BA59" t="s">
        <v>106</v>
      </c>
      <c r="BB59" t="s">
        <v>106</v>
      </c>
      <c r="BC59" t="s">
        <v>106</v>
      </c>
      <c r="BD59" t="s">
        <v>106</v>
      </c>
      <c r="BE59" t="s">
        <v>106</v>
      </c>
      <c r="BF59" t="s">
        <v>106</v>
      </c>
      <c r="BG59" t="s">
        <v>106</v>
      </c>
      <c r="BH59" t="s">
        <v>106</v>
      </c>
      <c r="BI59" t="s">
        <v>106</v>
      </c>
      <c r="BJ59">
        <v>852.3</v>
      </c>
      <c r="BK59">
        <v>70.2</v>
      </c>
      <c r="BL59">
        <v>1670.3</v>
      </c>
      <c r="BM59" t="s">
        <v>106</v>
      </c>
    </row>
    <row r="60" spans="3:65">
      <c r="E60" t="s">
        <v>163</v>
      </c>
      <c r="F60" t="s">
        <v>106</v>
      </c>
      <c r="G60" t="s">
        <v>106</v>
      </c>
      <c r="H60" t="s">
        <v>106</v>
      </c>
      <c r="I60" t="s">
        <v>106</v>
      </c>
      <c r="J60" t="s">
        <v>106</v>
      </c>
      <c r="K60" t="s">
        <v>106</v>
      </c>
      <c r="L60" t="s">
        <v>106</v>
      </c>
      <c r="M60" t="s">
        <v>106</v>
      </c>
      <c r="N60" t="s">
        <v>106</v>
      </c>
      <c r="O60" t="s">
        <v>106</v>
      </c>
      <c r="P60" t="s">
        <v>106</v>
      </c>
      <c r="Q60" t="s">
        <v>106</v>
      </c>
      <c r="R60" t="s">
        <v>106</v>
      </c>
      <c r="S60" t="s">
        <v>106</v>
      </c>
      <c r="T60">
        <v>1249.9000000000001</v>
      </c>
      <c r="U60" t="s">
        <v>106</v>
      </c>
      <c r="V60" t="s">
        <v>106</v>
      </c>
      <c r="W60" t="s">
        <v>106</v>
      </c>
      <c r="X60" t="s">
        <v>106</v>
      </c>
      <c r="Y60" t="s">
        <v>106</v>
      </c>
      <c r="Z60">
        <v>27.1</v>
      </c>
      <c r="AA60">
        <v>0.5</v>
      </c>
      <c r="AB60">
        <v>0.3</v>
      </c>
      <c r="AC60" t="s">
        <v>106</v>
      </c>
      <c r="AD60" t="s">
        <v>106</v>
      </c>
      <c r="AE60">
        <v>0</v>
      </c>
      <c r="AF60">
        <v>5.5</v>
      </c>
      <c r="AG60">
        <v>33.799999999999997</v>
      </c>
      <c r="AH60">
        <v>4.4000000000000004</v>
      </c>
      <c r="AI60">
        <v>0.1</v>
      </c>
      <c r="AJ60">
        <v>5.5</v>
      </c>
      <c r="AK60" t="s">
        <v>106</v>
      </c>
      <c r="AL60" t="s">
        <v>106</v>
      </c>
      <c r="AM60" t="s">
        <v>106</v>
      </c>
      <c r="AN60" t="s">
        <v>106</v>
      </c>
      <c r="AO60" t="s">
        <v>106</v>
      </c>
      <c r="AP60" t="s">
        <v>106</v>
      </c>
      <c r="AQ60" t="s">
        <v>106</v>
      </c>
      <c r="AR60">
        <v>5.7</v>
      </c>
      <c r="AS60" t="s">
        <v>106</v>
      </c>
      <c r="AT60">
        <v>1.6</v>
      </c>
      <c r="AU60">
        <v>82.3</v>
      </c>
      <c r="AV60" t="s">
        <v>106</v>
      </c>
      <c r="AW60" t="s">
        <v>106</v>
      </c>
      <c r="AX60" t="s">
        <v>106</v>
      </c>
      <c r="AY60" t="s">
        <v>106</v>
      </c>
      <c r="AZ60" t="s">
        <v>106</v>
      </c>
      <c r="BA60" t="s">
        <v>106</v>
      </c>
      <c r="BB60" t="s">
        <v>106</v>
      </c>
      <c r="BC60" t="s">
        <v>106</v>
      </c>
      <c r="BD60" t="s">
        <v>106</v>
      </c>
      <c r="BE60" t="s">
        <v>106</v>
      </c>
      <c r="BF60" t="s">
        <v>106</v>
      </c>
      <c r="BG60" t="s">
        <v>106</v>
      </c>
      <c r="BH60" t="s">
        <v>106</v>
      </c>
      <c r="BI60" t="s">
        <v>106</v>
      </c>
      <c r="BJ60">
        <v>7320.1</v>
      </c>
      <c r="BK60">
        <v>305.10000000000002</v>
      </c>
      <c r="BL60">
        <v>9041.9</v>
      </c>
      <c r="BM60">
        <v>89.6</v>
      </c>
    </row>
    <row r="61" spans="3:65">
      <c r="E61" t="s">
        <v>164</v>
      </c>
      <c r="F61" t="s">
        <v>106</v>
      </c>
      <c r="G61" t="s">
        <v>106</v>
      </c>
      <c r="H61" t="s">
        <v>106</v>
      </c>
      <c r="I61" t="s">
        <v>106</v>
      </c>
      <c r="J61" t="s">
        <v>106</v>
      </c>
      <c r="K61" t="s">
        <v>106</v>
      </c>
      <c r="L61" t="s">
        <v>106</v>
      </c>
      <c r="M61" t="s">
        <v>106</v>
      </c>
      <c r="N61" t="s">
        <v>106</v>
      </c>
      <c r="O61" t="s">
        <v>106</v>
      </c>
      <c r="P61" t="s">
        <v>106</v>
      </c>
      <c r="Q61" t="s">
        <v>106</v>
      </c>
      <c r="R61" t="s">
        <v>106</v>
      </c>
      <c r="S61">
        <v>17.600000000000001</v>
      </c>
      <c r="T61">
        <v>695.8</v>
      </c>
      <c r="U61" t="s">
        <v>106</v>
      </c>
      <c r="V61" t="s">
        <v>106</v>
      </c>
      <c r="W61" t="s">
        <v>106</v>
      </c>
      <c r="X61" t="s">
        <v>106</v>
      </c>
      <c r="Y61" t="s">
        <v>106</v>
      </c>
      <c r="Z61">
        <v>19</v>
      </c>
      <c r="AA61">
        <v>1.9</v>
      </c>
      <c r="AB61">
        <v>26.8</v>
      </c>
      <c r="AC61">
        <v>0</v>
      </c>
      <c r="AD61" t="s">
        <v>106</v>
      </c>
      <c r="AE61">
        <v>0</v>
      </c>
      <c r="AF61">
        <v>0.9</v>
      </c>
      <c r="AG61">
        <v>90.2</v>
      </c>
      <c r="AH61">
        <v>17</v>
      </c>
      <c r="AI61">
        <v>0.2</v>
      </c>
      <c r="AJ61">
        <v>57.2</v>
      </c>
      <c r="AK61" t="s">
        <v>106</v>
      </c>
      <c r="AL61" t="s">
        <v>106</v>
      </c>
      <c r="AM61" t="s">
        <v>106</v>
      </c>
      <c r="AN61" t="s">
        <v>106</v>
      </c>
      <c r="AO61" t="s">
        <v>106</v>
      </c>
      <c r="AP61" t="s">
        <v>106</v>
      </c>
      <c r="AQ61" t="s">
        <v>106</v>
      </c>
      <c r="AR61" t="s">
        <v>106</v>
      </c>
      <c r="AS61" t="s">
        <v>106</v>
      </c>
      <c r="AT61">
        <v>12</v>
      </c>
      <c r="AU61">
        <v>0.2</v>
      </c>
      <c r="AV61" t="s">
        <v>106</v>
      </c>
      <c r="AW61" t="s">
        <v>106</v>
      </c>
      <c r="AX61" t="s">
        <v>106</v>
      </c>
      <c r="AY61" t="s">
        <v>106</v>
      </c>
      <c r="AZ61" t="s">
        <v>106</v>
      </c>
      <c r="BA61" t="s">
        <v>106</v>
      </c>
      <c r="BB61" t="s">
        <v>106</v>
      </c>
      <c r="BC61" t="s">
        <v>106</v>
      </c>
      <c r="BD61" t="s">
        <v>106</v>
      </c>
      <c r="BE61" t="s">
        <v>106</v>
      </c>
      <c r="BF61" t="s">
        <v>106</v>
      </c>
      <c r="BG61" t="s">
        <v>106</v>
      </c>
      <c r="BH61" t="s">
        <v>106</v>
      </c>
      <c r="BI61" t="s">
        <v>106</v>
      </c>
      <c r="BJ61">
        <v>1881.3</v>
      </c>
      <c r="BK61">
        <v>47.5</v>
      </c>
      <c r="BL61">
        <v>2867.5</v>
      </c>
      <c r="BM61">
        <v>12.2</v>
      </c>
    </row>
    <row r="62" spans="3:65">
      <c r="E62" t="s">
        <v>165</v>
      </c>
      <c r="F62" t="s">
        <v>106</v>
      </c>
      <c r="G62">
        <v>2016.7</v>
      </c>
      <c r="H62" t="s">
        <v>106</v>
      </c>
      <c r="I62" t="s">
        <v>106</v>
      </c>
      <c r="J62" t="s">
        <v>106</v>
      </c>
      <c r="K62" t="s">
        <v>106</v>
      </c>
      <c r="L62" t="s">
        <v>106</v>
      </c>
      <c r="M62">
        <v>0.6</v>
      </c>
      <c r="N62" t="s">
        <v>106</v>
      </c>
      <c r="O62" t="s">
        <v>106</v>
      </c>
      <c r="P62" t="s">
        <v>106</v>
      </c>
      <c r="Q62" t="s">
        <v>106</v>
      </c>
      <c r="R62" t="s">
        <v>106</v>
      </c>
      <c r="S62">
        <v>230.3</v>
      </c>
      <c r="T62">
        <v>320.89999999999998</v>
      </c>
      <c r="U62" t="s">
        <v>106</v>
      </c>
      <c r="V62" t="s">
        <v>106</v>
      </c>
      <c r="W62" t="s">
        <v>106</v>
      </c>
      <c r="X62" t="s">
        <v>106</v>
      </c>
      <c r="Y62">
        <v>3.7</v>
      </c>
      <c r="Z62">
        <v>615.9</v>
      </c>
      <c r="AA62">
        <v>130.69999999999999</v>
      </c>
      <c r="AB62">
        <v>4.5999999999999996</v>
      </c>
      <c r="AC62" t="s">
        <v>106</v>
      </c>
      <c r="AD62" t="s">
        <v>106</v>
      </c>
      <c r="AE62">
        <v>0.3</v>
      </c>
      <c r="AF62">
        <v>43.1</v>
      </c>
      <c r="AG62">
        <v>140.80000000000001</v>
      </c>
      <c r="AH62">
        <v>1.5</v>
      </c>
      <c r="AI62">
        <v>1</v>
      </c>
      <c r="AJ62">
        <v>138.5</v>
      </c>
      <c r="AK62" t="s">
        <v>106</v>
      </c>
      <c r="AL62" t="s">
        <v>106</v>
      </c>
      <c r="AM62" t="s">
        <v>106</v>
      </c>
      <c r="AN62" t="s">
        <v>106</v>
      </c>
      <c r="AO62" t="s">
        <v>106</v>
      </c>
      <c r="AP62" t="s">
        <v>106</v>
      </c>
      <c r="AQ62" t="s">
        <v>106</v>
      </c>
      <c r="AR62">
        <v>201.3</v>
      </c>
      <c r="AS62">
        <v>82.9</v>
      </c>
      <c r="AT62">
        <v>33.4</v>
      </c>
      <c r="AU62">
        <v>45</v>
      </c>
      <c r="AV62">
        <v>3.7</v>
      </c>
      <c r="AW62" t="s">
        <v>106</v>
      </c>
      <c r="AX62" t="s">
        <v>106</v>
      </c>
      <c r="AY62" t="s">
        <v>106</v>
      </c>
      <c r="AZ62" t="s">
        <v>106</v>
      </c>
      <c r="BA62" t="s">
        <v>106</v>
      </c>
      <c r="BB62" t="s">
        <v>106</v>
      </c>
      <c r="BC62" t="s">
        <v>106</v>
      </c>
      <c r="BD62">
        <v>4.5</v>
      </c>
      <c r="BE62" t="s">
        <v>106</v>
      </c>
      <c r="BF62">
        <v>1</v>
      </c>
      <c r="BG62" t="s">
        <v>106</v>
      </c>
      <c r="BH62" t="s">
        <v>106</v>
      </c>
      <c r="BI62" t="s">
        <v>106</v>
      </c>
      <c r="BJ62">
        <v>377.4</v>
      </c>
      <c r="BK62">
        <v>0</v>
      </c>
      <c r="BL62">
        <v>4397.7</v>
      </c>
      <c r="BM62">
        <v>375.4</v>
      </c>
    </row>
    <row r="63" spans="3:65">
      <c r="D63" t="s">
        <v>166</v>
      </c>
      <c r="E63" t="s">
        <v>105</v>
      </c>
      <c r="F63" t="s">
        <v>106</v>
      </c>
      <c r="G63" t="s">
        <v>106</v>
      </c>
      <c r="H63" t="s">
        <v>106</v>
      </c>
      <c r="I63" t="s">
        <v>106</v>
      </c>
      <c r="J63" t="s">
        <v>106</v>
      </c>
      <c r="K63">
        <v>0</v>
      </c>
      <c r="L63" t="s">
        <v>106</v>
      </c>
      <c r="M63" t="s">
        <v>106</v>
      </c>
      <c r="N63" t="s">
        <v>106</v>
      </c>
      <c r="O63" t="s">
        <v>106</v>
      </c>
      <c r="P63" t="s">
        <v>106</v>
      </c>
      <c r="Q63" t="s">
        <v>106</v>
      </c>
      <c r="R63" t="s">
        <v>106</v>
      </c>
      <c r="S63" t="s">
        <v>106</v>
      </c>
      <c r="T63">
        <v>0.1</v>
      </c>
      <c r="U63" t="s">
        <v>106</v>
      </c>
      <c r="V63" t="s">
        <v>106</v>
      </c>
      <c r="W63" t="s">
        <v>106</v>
      </c>
      <c r="X63" t="s">
        <v>106</v>
      </c>
      <c r="Y63" t="s">
        <v>106</v>
      </c>
      <c r="Z63">
        <v>20.2</v>
      </c>
      <c r="AA63" t="s">
        <v>106</v>
      </c>
      <c r="AB63">
        <v>10</v>
      </c>
      <c r="AC63" t="s">
        <v>106</v>
      </c>
      <c r="AD63" t="s">
        <v>106</v>
      </c>
      <c r="AE63" t="s">
        <v>106</v>
      </c>
      <c r="AF63">
        <v>10.1</v>
      </c>
      <c r="AG63">
        <v>676.6</v>
      </c>
      <c r="AH63">
        <v>16.7</v>
      </c>
      <c r="AI63">
        <v>9.1</v>
      </c>
      <c r="AJ63">
        <v>6.1</v>
      </c>
      <c r="AK63" t="s">
        <v>106</v>
      </c>
      <c r="AL63" t="s">
        <v>106</v>
      </c>
      <c r="AM63" t="s">
        <v>106</v>
      </c>
      <c r="AN63" t="s">
        <v>106</v>
      </c>
      <c r="AO63" t="s">
        <v>106</v>
      </c>
      <c r="AP63" t="s">
        <v>106</v>
      </c>
      <c r="AQ63" t="s">
        <v>106</v>
      </c>
      <c r="AR63">
        <v>12.1</v>
      </c>
      <c r="AS63">
        <v>21.4</v>
      </c>
      <c r="AT63" t="s">
        <v>106</v>
      </c>
      <c r="AU63" t="s">
        <v>106</v>
      </c>
      <c r="AV63">
        <v>0</v>
      </c>
      <c r="AW63" t="s">
        <v>106</v>
      </c>
      <c r="AX63" t="s">
        <v>106</v>
      </c>
      <c r="AY63" t="s">
        <v>106</v>
      </c>
      <c r="AZ63" t="s">
        <v>106</v>
      </c>
      <c r="BA63" t="s">
        <v>106</v>
      </c>
      <c r="BB63" t="s">
        <v>106</v>
      </c>
      <c r="BC63" t="s">
        <v>106</v>
      </c>
      <c r="BD63" t="s">
        <v>106</v>
      </c>
      <c r="BE63" t="s">
        <v>106</v>
      </c>
      <c r="BF63" t="s">
        <v>106</v>
      </c>
      <c r="BG63" t="s">
        <v>106</v>
      </c>
      <c r="BH63" t="s">
        <v>106</v>
      </c>
      <c r="BI63" t="s">
        <v>106</v>
      </c>
      <c r="BJ63">
        <v>0.8</v>
      </c>
      <c r="BK63" t="s">
        <v>106</v>
      </c>
      <c r="BL63">
        <v>783.4</v>
      </c>
      <c r="BM63">
        <v>33.5</v>
      </c>
    </row>
    <row r="64" spans="3:65">
      <c r="C64" t="s">
        <v>167</v>
      </c>
      <c r="D64" t="s">
        <v>105</v>
      </c>
      <c r="E64" t="s">
        <v>105</v>
      </c>
      <c r="F64" t="s">
        <v>106</v>
      </c>
      <c r="G64" t="s">
        <v>106</v>
      </c>
      <c r="H64" t="s">
        <v>106</v>
      </c>
      <c r="I64" t="s">
        <v>106</v>
      </c>
      <c r="J64" t="s">
        <v>106</v>
      </c>
      <c r="K64" t="s">
        <v>106</v>
      </c>
      <c r="L64" t="s">
        <v>106</v>
      </c>
      <c r="M64" t="s">
        <v>106</v>
      </c>
      <c r="N64" t="s">
        <v>106</v>
      </c>
      <c r="O64" t="s">
        <v>106</v>
      </c>
      <c r="P64" t="s">
        <v>106</v>
      </c>
      <c r="Q64" t="s">
        <v>106</v>
      </c>
      <c r="R64" t="s">
        <v>106</v>
      </c>
      <c r="S64" t="s">
        <v>106</v>
      </c>
      <c r="T64">
        <v>1215.5999999999999</v>
      </c>
      <c r="U64" t="s">
        <v>106</v>
      </c>
      <c r="V64" t="s">
        <v>106</v>
      </c>
      <c r="W64" t="s">
        <v>106</v>
      </c>
      <c r="X64" t="s">
        <v>106</v>
      </c>
      <c r="Y64" t="s">
        <v>106</v>
      </c>
      <c r="Z64">
        <v>1.7</v>
      </c>
      <c r="AA64">
        <v>3606.6</v>
      </c>
      <c r="AB64">
        <v>10050.299999999999</v>
      </c>
      <c r="AC64">
        <v>0.8</v>
      </c>
      <c r="AD64" t="s">
        <v>106</v>
      </c>
      <c r="AE64">
        <v>1362.4</v>
      </c>
      <c r="AF64">
        <v>6.3</v>
      </c>
      <c r="AG64">
        <v>19760.2</v>
      </c>
      <c r="AH64">
        <v>91.2</v>
      </c>
      <c r="AI64">
        <v>15.7</v>
      </c>
      <c r="AJ64">
        <v>125.8</v>
      </c>
      <c r="AK64" t="s">
        <v>106</v>
      </c>
      <c r="AL64" t="s">
        <v>106</v>
      </c>
      <c r="AM64" t="s">
        <v>106</v>
      </c>
      <c r="AN64" t="s">
        <v>106</v>
      </c>
      <c r="AO64" t="s">
        <v>106</v>
      </c>
      <c r="AP64" t="s">
        <v>106</v>
      </c>
      <c r="AQ64" t="s">
        <v>106</v>
      </c>
      <c r="AR64" t="s">
        <v>106</v>
      </c>
      <c r="AS64" t="s">
        <v>106</v>
      </c>
      <c r="AT64" t="s">
        <v>106</v>
      </c>
      <c r="AU64" t="s">
        <v>106</v>
      </c>
      <c r="AV64" t="s">
        <v>106</v>
      </c>
      <c r="AW64" t="s">
        <v>106</v>
      </c>
      <c r="AX64" t="s">
        <v>106</v>
      </c>
      <c r="AY64">
        <v>685.4</v>
      </c>
      <c r="AZ64" t="s">
        <v>106</v>
      </c>
      <c r="BA64" t="s">
        <v>106</v>
      </c>
      <c r="BB64" t="s">
        <v>106</v>
      </c>
      <c r="BC64" t="s">
        <v>106</v>
      </c>
      <c r="BD64" t="s">
        <v>106</v>
      </c>
      <c r="BE64" t="s">
        <v>106</v>
      </c>
      <c r="BF64" t="s">
        <v>106</v>
      </c>
      <c r="BG64" t="s">
        <v>106</v>
      </c>
      <c r="BH64" t="s">
        <v>106</v>
      </c>
      <c r="BI64" t="s">
        <v>106</v>
      </c>
      <c r="BJ64">
        <v>271.39999999999998</v>
      </c>
      <c r="BK64" t="s">
        <v>106</v>
      </c>
      <c r="BL64">
        <v>37193.300000000003</v>
      </c>
      <c r="BM64">
        <v>685.4</v>
      </c>
    </row>
    <row r="65" spans="1:65">
      <c r="D65" t="s">
        <v>168</v>
      </c>
      <c r="E65" t="s">
        <v>105</v>
      </c>
      <c r="F65" t="s">
        <v>106</v>
      </c>
      <c r="G65" t="s">
        <v>106</v>
      </c>
      <c r="H65" t="s">
        <v>106</v>
      </c>
      <c r="I65" t="s">
        <v>106</v>
      </c>
      <c r="J65" t="s">
        <v>106</v>
      </c>
      <c r="K65" t="s">
        <v>106</v>
      </c>
      <c r="L65" t="s">
        <v>106</v>
      </c>
      <c r="M65" t="s">
        <v>106</v>
      </c>
      <c r="N65" t="s">
        <v>106</v>
      </c>
      <c r="O65" t="s">
        <v>106</v>
      </c>
      <c r="P65" t="s">
        <v>106</v>
      </c>
      <c r="Q65" t="s">
        <v>106</v>
      </c>
      <c r="R65" t="s">
        <v>106</v>
      </c>
      <c r="S65" t="s">
        <v>106</v>
      </c>
      <c r="T65" t="s">
        <v>106</v>
      </c>
      <c r="U65" t="s">
        <v>106</v>
      </c>
      <c r="V65" t="s">
        <v>106</v>
      </c>
      <c r="W65" t="s">
        <v>106</v>
      </c>
      <c r="X65" t="s">
        <v>106</v>
      </c>
      <c r="Y65" t="s">
        <v>106</v>
      </c>
      <c r="Z65">
        <v>0</v>
      </c>
      <c r="AA65" t="s">
        <v>106</v>
      </c>
      <c r="AB65" t="s">
        <v>106</v>
      </c>
      <c r="AC65" t="s">
        <v>106</v>
      </c>
      <c r="AD65" t="s">
        <v>106</v>
      </c>
      <c r="AE65" t="s">
        <v>106</v>
      </c>
      <c r="AF65">
        <v>0</v>
      </c>
      <c r="AG65">
        <v>95.4</v>
      </c>
      <c r="AH65" t="s">
        <v>106</v>
      </c>
      <c r="AI65" t="s">
        <v>106</v>
      </c>
      <c r="AJ65" t="s">
        <v>106</v>
      </c>
      <c r="AK65" t="s">
        <v>106</v>
      </c>
      <c r="AL65" t="s">
        <v>106</v>
      </c>
      <c r="AM65" t="s">
        <v>106</v>
      </c>
      <c r="AN65" t="s">
        <v>106</v>
      </c>
      <c r="AO65" t="s">
        <v>106</v>
      </c>
      <c r="AP65" t="s">
        <v>106</v>
      </c>
      <c r="AQ65" t="s">
        <v>106</v>
      </c>
      <c r="AR65" t="s">
        <v>106</v>
      </c>
      <c r="AS65" t="s">
        <v>106</v>
      </c>
      <c r="AT65" t="s">
        <v>106</v>
      </c>
      <c r="AU65" t="s">
        <v>106</v>
      </c>
      <c r="AV65" t="s">
        <v>106</v>
      </c>
      <c r="AW65" t="s">
        <v>106</v>
      </c>
      <c r="AX65" t="s">
        <v>106</v>
      </c>
      <c r="AY65" t="s">
        <v>106</v>
      </c>
      <c r="AZ65" t="s">
        <v>106</v>
      </c>
      <c r="BA65" t="s">
        <v>106</v>
      </c>
      <c r="BB65" t="s">
        <v>106</v>
      </c>
      <c r="BC65" t="s">
        <v>106</v>
      </c>
      <c r="BD65" t="s">
        <v>106</v>
      </c>
      <c r="BE65" t="s">
        <v>106</v>
      </c>
      <c r="BF65" t="s">
        <v>106</v>
      </c>
      <c r="BG65" t="s">
        <v>106</v>
      </c>
      <c r="BH65" t="s">
        <v>106</v>
      </c>
      <c r="BI65" t="s">
        <v>106</v>
      </c>
      <c r="BJ65">
        <v>250.1</v>
      </c>
      <c r="BK65" t="s">
        <v>106</v>
      </c>
      <c r="BL65">
        <v>345.5</v>
      </c>
      <c r="BM65" t="s">
        <v>106</v>
      </c>
    </row>
    <row r="66" spans="1:65">
      <c r="D66" t="s">
        <v>169</v>
      </c>
      <c r="E66" t="s">
        <v>105</v>
      </c>
      <c r="F66" t="s">
        <v>106</v>
      </c>
      <c r="G66" t="s">
        <v>106</v>
      </c>
      <c r="H66" t="s">
        <v>106</v>
      </c>
      <c r="I66" t="s">
        <v>106</v>
      </c>
      <c r="J66" t="s">
        <v>106</v>
      </c>
      <c r="K66" t="s">
        <v>106</v>
      </c>
      <c r="L66" t="s">
        <v>106</v>
      </c>
      <c r="M66" t="s">
        <v>106</v>
      </c>
      <c r="N66" t="s">
        <v>106</v>
      </c>
      <c r="O66" t="s">
        <v>106</v>
      </c>
      <c r="P66" t="s">
        <v>106</v>
      </c>
      <c r="Q66" t="s">
        <v>106</v>
      </c>
      <c r="R66" t="s">
        <v>106</v>
      </c>
      <c r="S66" t="s">
        <v>106</v>
      </c>
      <c r="T66">
        <v>1215.5999999999999</v>
      </c>
      <c r="U66" t="s">
        <v>106</v>
      </c>
      <c r="V66" t="s">
        <v>106</v>
      </c>
      <c r="W66" t="s">
        <v>106</v>
      </c>
      <c r="X66" t="s">
        <v>106</v>
      </c>
      <c r="Y66" t="s">
        <v>106</v>
      </c>
      <c r="Z66">
        <v>0.4</v>
      </c>
      <c r="AA66">
        <v>3606.6</v>
      </c>
      <c r="AB66">
        <v>10047.200000000001</v>
      </c>
      <c r="AC66" t="s">
        <v>106</v>
      </c>
      <c r="AD66" t="s">
        <v>106</v>
      </c>
      <c r="AE66" t="s">
        <v>106</v>
      </c>
      <c r="AF66">
        <v>0.7</v>
      </c>
      <c r="AG66">
        <v>19492.2</v>
      </c>
      <c r="AH66">
        <v>0.9</v>
      </c>
      <c r="AI66">
        <v>0.1</v>
      </c>
      <c r="AJ66">
        <v>3.7</v>
      </c>
      <c r="AK66" t="s">
        <v>106</v>
      </c>
      <c r="AL66" t="s">
        <v>106</v>
      </c>
      <c r="AM66" t="s">
        <v>106</v>
      </c>
      <c r="AN66" t="s">
        <v>106</v>
      </c>
      <c r="AO66" t="s">
        <v>106</v>
      </c>
      <c r="AP66" t="s">
        <v>106</v>
      </c>
      <c r="AQ66" t="s">
        <v>106</v>
      </c>
      <c r="AR66" t="s">
        <v>106</v>
      </c>
      <c r="AS66" t="s">
        <v>106</v>
      </c>
      <c r="AT66" t="s">
        <v>106</v>
      </c>
      <c r="AU66" t="s">
        <v>106</v>
      </c>
      <c r="AV66" t="s">
        <v>106</v>
      </c>
      <c r="AW66" t="s">
        <v>106</v>
      </c>
      <c r="AX66" t="s">
        <v>106</v>
      </c>
      <c r="AY66">
        <v>685.4</v>
      </c>
      <c r="AZ66" t="s">
        <v>106</v>
      </c>
      <c r="BA66" t="s">
        <v>106</v>
      </c>
      <c r="BB66" t="s">
        <v>106</v>
      </c>
      <c r="BC66" t="s">
        <v>106</v>
      </c>
      <c r="BD66" t="s">
        <v>106</v>
      </c>
      <c r="BE66" t="s">
        <v>106</v>
      </c>
      <c r="BF66" t="s">
        <v>106</v>
      </c>
      <c r="BG66" t="s">
        <v>106</v>
      </c>
      <c r="BH66" t="s">
        <v>106</v>
      </c>
      <c r="BI66" t="s">
        <v>106</v>
      </c>
      <c r="BJ66">
        <v>21.3</v>
      </c>
      <c r="BK66" t="s">
        <v>106</v>
      </c>
      <c r="BL66">
        <v>35074.1</v>
      </c>
      <c r="BM66">
        <v>685.4</v>
      </c>
    </row>
    <row r="67" spans="1:65">
      <c r="D67" t="s">
        <v>170</v>
      </c>
      <c r="E67" t="s">
        <v>105</v>
      </c>
      <c r="F67" t="s">
        <v>106</v>
      </c>
      <c r="G67" t="s">
        <v>106</v>
      </c>
      <c r="H67" t="s">
        <v>106</v>
      </c>
      <c r="I67" t="s">
        <v>106</v>
      </c>
      <c r="J67" t="s">
        <v>106</v>
      </c>
      <c r="K67" t="s">
        <v>106</v>
      </c>
      <c r="L67" t="s">
        <v>106</v>
      </c>
      <c r="M67" t="s">
        <v>106</v>
      </c>
      <c r="N67" t="s">
        <v>106</v>
      </c>
      <c r="O67" t="s">
        <v>106</v>
      </c>
      <c r="P67" t="s">
        <v>106</v>
      </c>
      <c r="Q67" t="s">
        <v>106</v>
      </c>
      <c r="R67" t="s">
        <v>106</v>
      </c>
      <c r="S67" t="s">
        <v>106</v>
      </c>
      <c r="T67" t="s">
        <v>106</v>
      </c>
      <c r="U67" t="s">
        <v>106</v>
      </c>
      <c r="V67" t="s">
        <v>106</v>
      </c>
      <c r="W67" t="s">
        <v>106</v>
      </c>
      <c r="X67" t="s">
        <v>106</v>
      </c>
      <c r="Y67" t="s">
        <v>106</v>
      </c>
      <c r="Z67">
        <v>0.9</v>
      </c>
      <c r="AA67" t="s">
        <v>106</v>
      </c>
      <c r="AB67">
        <v>3</v>
      </c>
      <c r="AC67" t="s">
        <v>106</v>
      </c>
      <c r="AD67" t="s">
        <v>106</v>
      </c>
      <c r="AE67" t="s">
        <v>106</v>
      </c>
      <c r="AF67">
        <v>5.4</v>
      </c>
      <c r="AG67">
        <v>171.6</v>
      </c>
      <c r="AH67">
        <v>90.3</v>
      </c>
      <c r="AI67">
        <v>15.7</v>
      </c>
      <c r="AJ67">
        <v>122.1</v>
      </c>
      <c r="AK67" t="s">
        <v>106</v>
      </c>
      <c r="AL67" t="s">
        <v>106</v>
      </c>
      <c r="AM67" t="s">
        <v>106</v>
      </c>
      <c r="AN67" t="s">
        <v>106</v>
      </c>
      <c r="AO67" t="s">
        <v>106</v>
      </c>
      <c r="AP67" t="s">
        <v>106</v>
      </c>
      <c r="AQ67" t="s">
        <v>106</v>
      </c>
      <c r="AR67" t="s">
        <v>106</v>
      </c>
      <c r="AS67" t="s">
        <v>106</v>
      </c>
      <c r="AT67" t="s">
        <v>106</v>
      </c>
      <c r="AU67" t="s">
        <v>106</v>
      </c>
      <c r="AV67" t="s">
        <v>106</v>
      </c>
      <c r="AW67" t="s">
        <v>106</v>
      </c>
      <c r="AX67" t="s">
        <v>106</v>
      </c>
      <c r="AY67" t="s">
        <v>106</v>
      </c>
      <c r="AZ67" t="s">
        <v>106</v>
      </c>
      <c r="BA67" t="s">
        <v>106</v>
      </c>
      <c r="BB67" t="s">
        <v>106</v>
      </c>
      <c r="BC67" t="s">
        <v>106</v>
      </c>
      <c r="BD67" t="s">
        <v>106</v>
      </c>
      <c r="BE67" t="s">
        <v>106</v>
      </c>
      <c r="BF67" t="s">
        <v>106</v>
      </c>
      <c r="BG67" t="s">
        <v>106</v>
      </c>
      <c r="BH67" t="s">
        <v>106</v>
      </c>
      <c r="BI67" t="s">
        <v>106</v>
      </c>
      <c r="BJ67" t="s">
        <v>106</v>
      </c>
      <c r="BK67" t="s">
        <v>106</v>
      </c>
      <c r="BL67">
        <v>409</v>
      </c>
      <c r="BM67" t="s">
        <v>106</v>
      </c>
    </row>
    <row r="68" spans="1:65">
      <c r="D68" t="s">
        <v>171</v>
      </c>
      <c r="E68" t="s">
        <v>105</v>
      </c>
      <c r="F68" t="s">
        <v>106</v>
      </c>
      <c r="G68" t="s">
        <v>106</v>
      </c>
      <c r="H68" t="s">
        <v>106</v>
      </c>
      <c r="I68" t="s">
        <v>106</v>
      </c>
      <c r="J68" t="s">
        <v>106</v>
      </c>
      <c r="K68" t="s">
        <v>106</v>
      </c>
      <c r="L68" t="s">
        <v>106</v>
      </c>
      <c r="M68" t="s">
        <v>106</v>
      </c>
      <c r="N68" t="s">
        <v>106</v>
      </c>
      <c r="O68" t="s">
        <v>106</v>
      </c>
      <c r="P68" t="s">
        <v>106</v>
      </c>
      <c r="Q68" t="s">
        <v>106</v>
      </c>
      <c r="R68" t="s">
        <v>106</v>
      </c>
      <c r="S68" t="s">
        <v>106</v>
      </c>
      <c r="T68" t="s">
        <v>106</v>
      </c>
      <c r="U68" t="s">
        <v>106</v>
      </c>
      <c r="V68" t="s">
        <v>106</v>
      </c>
      <c r="W68" t="s">
        <v>106</v>
      </c>
      <c r="X68" t="s">
        <v>106</v>
      </c>
      <c r="Y68" t="s">
        <v>106</v>
      </c>
      <c r="Z68">
        <v>0.3</v>
      </c>
      <c r="AA68" t="s">
        <v>106</v>
      </c>
      <c r="AB68">
        <v>0</v>
      </c>
      <c r="AC68">
        <v>0.8</v>
      </c>
      <c r="AD68" t="s">
        <v>106</v>
      </c>
      <c r="AE68">
        <v>1362.4</v>
      </c>
      <c r="AF68">
        <v>0.1</v>
      </c>
      <c r="AG68">
        <v>1.1000000000000001</v>
      </c>
      <c r="AH68" t="s">
        <v>106</v>
      </c>
      <c r="AI68" t="s">
        <v>106</v>
      </c>
      <c r="AJ68" t="s">
        <v>106</v>
      </c>
      <c r="AK68" t="s">
        <v>106</v>
      </c>
      <c r="AL68" t="s">
        <v>106</v>
      </c>
      <c r="AM68" t="s">
        <v>106</v>
      </c>
      <c r="AN68" t="s">
        <v>106</v>
      </c>
      <c r="AO68" t="s">
        <v>106</v>
      </c>
      <c r="AP68" t="s">
        <v>106</v>
      </c>
      <c r="AQ68" t="s">
        <v>106</v>
      </c>
      <c r="AR68" t="s">
        <v>106</v>
      </c>
      <c r="AS68" t="s">
        <v>106</v>
      </c>
      <c r="AT68" t="s">
        <v>106</v>
      </c>
      <c r="AU68" t="s">
        <v>106</v>
      </c>
      <c r="AV68" t="s">
        <v>106</v>
      </c>
      <c r="AW68" t="s">
        <v>106</v>
      </c>
      <c r="AX68" t="s">
        <v>106</v>
      </c>
      <c r="AY68" t="s">
        <v>106</v>
      </c>
      <c r="AZ68" t="s">
        <v>106</v>
      </c>
      <c r="BA68" t="s">
        <v>106</v>
      </c>
      <c r="BB68" t="s">
        <v>106</v>
      </c>
      <c r="BC68" t="s">
        <v>106</v>
      </c>
      <c r="BD68" t="s">
        <v>106</v>
      </c>
      <c r="BE68" t="s">
        <v>106</v>
      </c>
      <c r="BF68" t="s">
        <v>106</v>
      </c>
      <c r="BG68" t="s">
        <v>106</v>
      </c>
      <c r="BH68" t="s">
        <v>106</v>
      </c>
      <c r="BI68" t="s">
        <v>106</v>
      </c>
      <c r="BJ68" t="s">
        <v>106</v>
      </c>
      <c r="BK68" t="s">
        <v>106</v>
      </c>
      <c r="BL68">
        <v>1364.7</v>
      </c>
      <c r="BM68" t="s">
        <v>106</v>
      </c>
    </row>
    <row r="69" spans="1:65">
      <c r="C69" t="s">
        <v>172</v>
      </c>
      <c r="D69" t="s">
        <v>105</v>
      </c>
      <c r="E69" t="s">
        <v>105</v>
      </c>
      <c r="F69" t="s">
        <v>106</v>
      </c>
      <c r="G69" t="s">
        <v>106</v>
      </c>
      <c r="H69" t="s">
        <v>106</v>
      </c>
      <c r="I69" t="s">
        <v>106</v>
      </c>
      <c r="J69" t="s">
        <v>106</v>
      </c>
      <c r="K69" t="s">
        <v>106</v>
      </c>
      <c r="L69" t="s">
        <v>106</v>
      </c>
      <c r="M69">
        <v>271.39999999999998</v>
      </c>
      <c r="N69" t="s">
        <v>106</v>
      </c>
      <c r="O69" t="s">
        <v>106</v>
      </c>
      <c r="P69" t="s">
        <v>106</v>
      </c>
      <c r="Q69" t="s">
        <v>106</v>
      </c>
      <c r="R69" t="s">
        <v>106</v>
      </c>
      <c r="S69" t="s">
        <v>106</v>
      </c>
      <c r="T69">
        <v>10475.4</v>
      </c>
      <c r="U69" t="s">
        <v>106</v>
      </c>
      <c r="V69" t="s">
        <v>106</v>
      </c>
      <c r="W69" t="s">
        <v>106</v>
      </c>
      <c r="X69" t="s">
        <v>106</v>
      </c>
      <c r="Y69" t="s">
        <v>106</v>
      </c>
      <c r="Z69">
        <v>565.70000000000005</v>
      </c>
      <c r="AA69">
        <v>15.9</v>
      </c>
      <c r="AB69">
        <v>2.2999999999999998</v>
      </c>
      <c r="AC69" t="s">
        <v>106</v>
      </c>
      <c r="AD69" t="s">
        <v>106</v>
      </c>
      <c r="AE69" t="s">
        <v>106</v>
      </c>
      <c r="AF69">
        <v>1513.4</v>
      </c>
      <c r="AG69">
        <v>23.6</v>
      </c>
      <c r="AH69">
        <v>0.4</v>
      </c>
      <c r="AI69">
        <v>0</v>
      </c>
      <c r="AJ69">
        <v>30.5</v>
      </c>
      <c r="AK69" t="s">
        <v>106</v>
      </c>
      <c r="AL69" t="s">
        <v>106</v>
      </c>
      <c r="AM69" t="s">
        <v>106</v>
      </c>
      <c r="AN69" t="s">
        <v>106</v>
      </c>
      <c r="AO69" t="s">
        <v>106</v>
      </c>
      <c r="AP69" t="s">
        <v>106</v>
      </c>
      <c r="AQ69" t="s">
        <v>106</v>
      </c>
      <c r="AR69" t="s">
        <v>106</v>
      </c>
      <c r="AS69" t="s">
        <v>106</v>
      </c>
      <c r="AT69" t="s">
        <v>106</v>
      </c>
      <c r="AU69">
        <v>126.7</v>
      </c>
      <c r="AV69">
        <v>3.9</v>
      </c>
      <c r="AW69">
        <v>2</v>
      </c>
      <c r="AX69" t="s">
        <v>106</v>
      </c>
      <c r="AY69" t="s">
        <v>106</v>
      </c>
      <c r="AZ69" t="s">
        <v>106</v>
      </c>
      <c r="BA69" t="s">
        <v>106</v>
      </c>
      <c r="BB69" t="s">
        <v>106</v>
      </c>
      <c r="BC69" t="s">
        <v>106</v>
      </c>
      <c r="BD69">
        <v>36.200000000000003</v>
      </c>
      <c r="BE69" t="s">
        <v>106</v>
      </c>
      <c r="BF69">
        <v>12</v>
      </c>
      <c r="BG69" t="s">
        <v>106</v>
      </c>
      <c r="BH69" t="s">
        <v>106</v>
      </c>
      <c r="BI69" t="s">
        <v>106</v>
      </c>
      <c r="BJ69">
        <v>6195.9</v>
      </c>
      <c r="BK69">
        <v>2136.1</v>
      </c>
      <c r="BL69">
        <v>21411.4</v>
      </c>
      <c r="BM69">
        <v>180.7</v>
      </c>
    </row>
    <row r="70" spans="1:65">
      <c r="C70" t="s">
        <v>173</v>
      </c>
      <c r="D70" t="s">
        <v>105</v>
      </c>
      <c r="E70" t="s">
        <v>105</v>
      </c>
      <c r="F70" t="s">
        <v>106</v>
      </c>
      <c r="G70" t="s">
        <v>106</v>
      </c>
      <c r="H70" t="s">
        <v>106</v>
      </c>
      <c r="I70" t="s">
        <v>106</v>
      </c>
      <c r="J70" t="s">
        <v>106</v>
      </c>
      <c r="K70" t="s">
        <v>106</v>
      </c>
      <c r="L70" t="s">
        <v>106</v>
      </c>
      <c r="M70">
        <v>25.4</v>
      </c>
      <c r="N70" t="s">
        <v>106</v>
      </c>
      <c r="O70" t="s">
        <v>106</v>
      </c>
      <c r="P70" t="s">
        <v>106</v>
      </c>
      <c r="Q70" t="s">
        <v>106</v>
      </c>
      <c r="R70" t="s">
        <v>106</v>
      </c>
      <c r="S70" t="s">
        <v>106</v>
      </c>
      <c r="T70">
        <v>3616.1</v>
      </c>
      <c r="U70" t="s">
        <v>106</v>
      </c>
      <c r="V70" t="s">
        <v>106</v>
      </c>
      <c r="W70" t="s">
        <v>106</v>
      </c>
      <c r="X70" t="s">
        <v>106</v>
      </c>
      <c r="Y70" t="s">
        <v>106</v>
      </c>
      <c r="Z70">
        <v>1140.3</v>
      </c>
      <c r="AA70">
        <v>101</v>
      </c>
      <c r="AB70">
        <v>17.100000000000001</v>
      </c>
      <c r="AC70">
        <v>0</v>
      </c>
      <c r="AD70" t="s">
        <v>106</v>
      </c>
      <c r="AE70">
        <v>11.5</v>
      </c>
      <c r="AF70">
        <v>495.1</v>
      </c>
      <c r="AG70">
        <v>799</v>
      </c>
      <c r="AH70">
        <v>16.3</v>
      </c>
      <c r="AI70">
        <v>8.8000000000000007</v>
      </c>
      <c r="AJ70">
        <v>53.4</v>
      </c>
      <c r="AK70" t="s">
        <v>106</v>
      </c>
      <c r="AL70" t="s">
        <v>106</v>
      </c>
      <c r="AM70" t="s">
        <v>106</v>
      </c>
      <c r="AN70" t="s">
        <v>106</v>
      </c>
      <c r="AO70" t="s">
        <v>106</v>
      </c>
      <c r="AP70" t="s">
        <v>106</v>
      </c>
      <c r="AQ70" t="s">
        <v>106</v>
      </c>
      <c r="AR70">
        <v>32.299999999999997</v>
      </c>
      <c r="AS70">
        <v>19.100000000000001</v>
      </c>
      <c r="AT70">
        <v>15.1</v>
      </c>
      <c r="AU70">
        <v>52.6</v>
      </c>
      <c r="AV70" t="s">
        <v>106</v>
      </c>
      <c r="AW70" t="s">
        <v>106</v>
      </c>
      <c r="AX70" t="s">
        <v>106</v>
      </c>
      <c r="AY70" t="s">
        <v>106</v>
      </c>
      <c r="AZ70" t="s">
        <v>106</v>
      </c>
      <c r="BA70" t="s">
        <v>106</v>
      </c>
      <c r="BB70" t="s">
        <v>106</v>
      </c>
      <c r="BC70" t="s">
        <v>106</v>
      </c>
      <c r="BD70">
        <v>3.8</v>
      </c>
      <c r="BE70" t="s">
        <v>106</v>
      </c>
      <c r="BF70">
        <v>1.8</v>
      </c>
      <c r="BG70" t="s">
        <v>106</v>
      </c>
      <c r="BH70" t="s">
        <v>106</v>
      </c>
      <c r="BI70" t="s">
        <v>106</v>
      </c>
      <c r="BJ70">
        <v>11918.8</v>
      </c>
      <c r="BK70">
        <v>326.10000000000002</v>
      </c>
      <c r="BL70">
        <v>18653.599999999999</v>
      </c>
      <c r="BM70">
        <v>124.8</v>
      </c>
    </row>
    <row r="71" spans="1:65">
      <c r="C71" t="s">
        <v>174</v>
      </c>
      <c r="D71" t="s">
        <v>105</v>
      </c>
      <c r="E71" t="s">
        <v>105</v>
      </c>
      <c r="F71" t="s">
        <v>106</v>
      </c>
      <c r="G71" t="s">
        <v>106</v>
      </c>
      <c r="H71" t="s">
        <v>106</v>
      </c>
      <c r="I71" t="s">
        <v>106</v>
      </c>
      <c r="J71" t="s">
        <v>106</v>
      </c>
      <c r="K71" t="s">
        <v>106</v>
      </c>
      <c r="L71" t="s">
        <v>106</v>
      </c>
      <c r="M71">
        <v>0.2</v>
      </c>
      <c r="N71" t="s">
        <v>106</v>
      </c>
      <c r="O71" t="s">
        <v>106</v>
      </c>
      <c r="P71" t="s">
        <v>106</v>
      </c>
      <c r="Q71" t="s">
        <v>106</v>
      </c>
      <c r="R71" t="s">
        <v>106</v>
      </c>
      <c r="S71" t="s">
        <v>106</v>
      </c>
      <c r="T71">
        <v>77.900000000000006</v>
      </c>
      <c r="U71" t="s">
        <v>106</v>
      </c>
      <c r="V71" t="s">
        <v>106</v>
      </c>
      <c r="W71" t="s">
        <v>106</v>
      </c>
      <c r="X71" t="s">
        <v>106</v>
      </c>
      <c r="Y71" t="s">
        <v>106</v>
      </c>
      <c r="Z71">
        <v>23.7</v>
      </c>
      <c r="AA71">
        <v>0.2</v>
      </c>
      <c r="AB71">
        <v>37</v>
      </c>
      <c r="AC71">
        <v>2.2999999999999998</v>
      </c>
      <c r="AD71" t="s">
        <v>106</v>
      </c>
      <c r="AE71">
        <v>441.4</v>
      </c>
      <c r="AF71">
        <v>97.7</v>
      </c>
      <c r="AG71">
        <v>660.1</v>
      </c>
      <c r="AH71">
        <v>3.9</v>
      </c>
      <c r="AI71">
        <v>1.6</v>
      </c>
      <c r="AJ71">
        <v>6.2</v>
      </c>
      <c r="AK71" t="s">
        <v>106</v>
      </c>
      <c r="AL71" t="s">
        <v>106</v>
      </c>
      <c r="AM71" t="s">
        <v>106</v>
      </c>
      <c r="AN71" t="s">
        <v>106</v>
      </c>
      <c r="AO71" t="s">
        <v>106</v>
      </c>
      <c r="AP71" t="s">
        <v>106</v>
      </c>
      <c r="AQ71" t="s">
        <v>106</v>
      </c>
      <c r="AR71">
        <v>53.2</v>
      </c>
      <c r="AS71">
        <v>684.9</v>
      </c>
      <c r="AT71">
        <v>15.5</v>
      </c>
      <c r="AU71">
        <v>27.6</v>
      </c>
      <c r="AV71">
        <v>30.2</v>
      </c>
      <c r="AW71" t="s">
        <v>106</v>
      </c>
      <c r="AX71" t="s">
        <v>106</v>
      </c>
      <c r="AY71" t="s">
        <v>106</v>
      </c>
      <c r="AZ71" t="s">
        <v>106</v>
      </c>
      <c r="BA71" t="s">
        <v>106</v>
      </c>
      <c r="BB71" t="s">
        <v>106</v>
      </c>
      <c r="BC71" t="s">
        <v>106</v>
      </c>
      <c r="BD71">
        <v>150.9</v>
      </c>
      <c r="BE71" t="s">
        <v>106</v>
      </c>
      <c r="BF71">
        <v>12.2</v>
      </c>
      <c r="BG71" t="s">
        <v>106</v>
      </c>
      <c r="BH71" t="s">
        <v>106</v>
      </c>
      <c r="BI71" t="s">
        <v>106</v>
      </c>
      <c r="BJ71">
        <v>2692.3</v>
      </c>
      <c r="BK71">
        <v>69.5</v>
      </c>
      <c r="BL71">
        <v>5088.3999999999996</v>
      </c>
      <c r="BM71">
        <v>974.4</v>
      </c>
    </row>
    <row r="72" spans="1:65">
      <c r="B72" t="s">
        <v>175</v>
      </c>
      <c r="C72" t="s">
        <v>105</v>
      </c>
      <c r="D72" t="s">
        <v>105</v>
      </c>
      <c r="E72" t="s">
        <v>105</v>
      </c>
      <c r="F72" t="s">
        <v>106</v>
      </c>
      <c r="G72" t="s">
        <v>106</v>
      </c>
      <c r="H72" t="s">
        <v>106</v>
      </c>
      <c r="I72" t="s">
        <v>106</v>
      </c>
      <c r="J72" t="s">
        <v>106</v>
      </c>
      <c r="K72" t="s">
        <v>106</v>
      </c>
      <c r="L72">
        <v>15.4</v>
      </c>
      <c r="M72" t="s">
        <v>106</v>
      </c>
      <c r="N72" t="s">
        <v>106</v>
      </c>
      <c r="O72">
        <v>560.70000000000005</v>
      </c>
      <c r="P72" t="s">
        <v>106</v>
      </c>
      <c r="Q72" t="s">
        <v>106</v>
      </c>
      <c r="R72" t="s">
        <v>106</v>
      </c>
      <c r="S72">
        <v>332.6</v>
      </c>
      <c r="T72" t="s">
        <v>106</v>
      </c>
      <c r="U72" t="s">
        <v>106</v>
      </c>
      <c r="V72" t="s">
        <v>106</v>
      </c>
      <c r="W72" t="s">
        <v>106</v>
      </c>
      <c r="X72" t="s">
        <v>106</v>
      </c>
      <c r="Y72" t="s">
        <v>106</v>
      </c>
      <c r="Z72">
        <v>3875.3</v>
      </c>
      <c r="AA72">
        <v>769.2</v>
      </c>
      <c r="AB72" t="s">
        <v>106</v>
      </c>
      <c r="AC72" t="s">
        <v>106</v>
      </c>
      <c r="AD72" t="s">
        <v>106</v>
      </c>
      <c r="AE72" t="s">
        <v>106</v>
      </c>
      <c r="AF72" t="s">
        <v>106</v>
      </c>
      <c r="AG72" t="s">
        <v>106</v>
      </c>
      <c r="AH72" t="s">
        <v>106</v>
      </c>
      <c r="AI72" t="s">
        <v>106</v>
      </c>
      <c r="AJ72" t="s">
        <v>106</v>
      </c>
      <c r="AK72">
        <v>44794.8</v>
      </c>
      <c r="AL72">
        <v>215.1</v>
      </c>
      <c r="AM72">
        <v>723.3</v>
      </c>
      <c r="AN72">
        <v>1684.1</v>
      </c>
      <c r="AO72">
        <v>20.6</v>
      </c>
      <c r="AP72">
        <v>283.7</v>
      </c>
      <c r="AQ72">
        <v>1021.7</v>
      </c>
      <c r="AR72" t="s">
        <v>106</v>
      </c>
      <c r="AS72" t="s">
        <v>106</v>
      </c>
      <c r="AT72" t="s">
        <v>106</v>
      </c>
      <c r="AU72" t="s">
        <v>106</v>
      </c>
      <c r="AV72" t="s">
        <v>106</v>
      </c>
      <c r="AW72" t="s">
        <v>106</v>
      </c>
      <c r="AX72" t="s">
        <v>106</v>
      </c>
      <c r="AY72" t="s">
        <v>106</v>
      </c>
      <c r="AZ72" t="s">
        <v>106</v>
      </c>
      <c r="BA72" t="s">
        <v>106</v>
      </c>
      <c r="BB72" t="s">
        <v>106</v>
      </c>
      <c r="BC72" t="s">
        <v>106</v>
      </c>
      <c r="BD72" t="s">
        <v>106</v>
      </c>
      <c r="BE72" t="s">
        <v>106</v>
      </c>
      <c r="BF72" t="s">
        <v>106</v>
      </c>
      <c r="BG72" t="s">
        <v>106</v>
      </c>
      <c r="BH72" t="s">
        <v>106</v>
      </c>
      <c r="BI72" t="s">
        <v>106</v>
      </c>
      <c r="BJ72" t="s">
        <v>106</v>
      </c>
      <c r="BK72" t="s">
        <v>106</v>
      </c>
      <c r="BL72">
        <v>54296.5</v>
      </c>
      <c r="BM72" t="s">
        <v>106</v>
      </c>
    </row>
    <row r="73" spans="1:65">
      <c r="C73" t="s">
        <v>176</v>
      </c>
      <c r="D73" t="s">
        <v>105</v>
      </c>
      <c r="E73" t="s">
        <v>105</v>
      </c>
      <c r="F73" t="s">
        <v>106</v>
      </c>
      <c r="G73" t="s">
        <v>106</v>
      </c>
      <c r="H73" t="s">
        <v>106</v>
      </c>
      <c r="I73" t="s">
        <v>106</v>
      </c>
      <c r="J73" t="s">
        <v>106</v>
      </c>
      <c r="K73" t="s">
        <v>106</v>
      </c>
      <c r="L73">
        <v>15.4</v>
      </c>
      <c r="M73" t="s">
        <v>106</v>
      </c>
      <c r="N73" t="s">
        <v>106</v>
      </c>
      <c r="O73">
        <v>560.70000000000005</v>
      </c>
      <c r="P73" t="s">
        <v>106</v>
      </c>
      <c r="Q73" t="s">
        <v>106</v>
      </c>
      <c r="R73" t="s">
        <v>106</v>
      </c>
      <c r="S73">
        <v>332.6</v>
      </c>
      <c r="T73" t="s">
        <v>106</v>
      </c>
      <c r="U73" t="s">
        <v>106</v>
      </c>
      <c r="V73" t="s">
        <v>106</v>
      </c>
      <c r="W73" t="s">
        <v>106</v>
      </c>
      <c r="X73" t="s">
        <v>106</v>
      </c>
      <c r="Y73" t="s">
        <v>106</v>
      </c>
      <c r="Z73">
        <v>3875.3</v>
      </c>
      <c r="AA73">
        <v>769.2</v>
      </c>
      <c r="AB73" t="s">
        <v>106</v>
      </c>
      <c r="AC73" t="s">
        <v>106</v>
      </c>
      <c r="AD73" t="s">
        <v>106</v>
      </c>
      <c r="AE73" t="s">
        <v>106</v>
      </c>
      <c r="AF73" t="s">
        <v>106</v>
      </c>
      <c r="AG73" t="s">
        <v>106</v>
      </c>
      <c r="AH73" t="s">
        <v>106</v>
      </c>
      <c r="AI73" t="s">
        <v>106</v>
      </c>
      <c r="AJ73" t="s">
        <v>106</v>
      </c>
      <c r="AK73">
        <v>44794.8</v>
      </c>
      <c r="AL73">
        <v>184</v>
      </c>
      <c r="AM73">
        <v>723.3</v>
      </c>
      <c r="AN73">
        <v>1684.1</v>
      </c>
      <c r="AO73">
        <v>20.6</v>
      </c>
      <c r="AP73">
        <v>283.7</v>
      </c>
      <c r="AQ73">
        <v>1021.6</v>
      </c>
      <c r="AR73" t="s">
        <v>106</v>
      </c>
      <c r="AS73" t="s">
        <v>106</v>
      </c>
      <c r="AT73" t="s">
        <v>106</v>
      </c>
      <c r="AU73" t="s">
        <v>106</v>
      </c>
      <c r="AV73" t="s">
        <v>106</v>
      </c>
      <c r="AW73" t="s">
        <v>106</v>
      </c>
      <c r="AX73" t="s">
        <v>106</v>
      </c>
      <c r="AY73" t="s">
        <v>106</v>
      </c>
      <c r="AZ73" t="s">
        <v>106</v>
      </c>
      <c r="BA73" t="s">
        <v>106</v>
      </c>
      <c r="BB73" t="s">
        <v>106</v>
      </c>
      <c r="BC73" t="s">
        <v>106</v>
      </c>
      <c r="BD73" t="s">
        <v>106</v>
      </c>
      <c r="BE73" t="s">
        <v>106</v>
      </c>
      <c r="BF73" t="s">
        <v>106</v>
      </c>
      <c r="BG73" t="s">
        <v>106</v>
      </c>
      <c r="BH73" t="s">
        <v>106</v>
      </c>
      <c r="BI73" t="s">
        <v>106</v>
      </c>
      <c r="BJ73" t="s">
        <v>106</v>
      </c>
      <c r="BK73" t="s">
        <v>106</v>
      </c>
      <c r="BL73">
        <v>54265.2</v>
      </c>
      <c r="BM73" t="s">
        <v>106</v>
      </c>
    </row>
    <row r="74" spans="1:65">
      <c r="C74" t="s">
        <v>177</v>
      </c>
      <c r="D74" t="s">
        <v>105</v>
      </c>
      <c r="E74" t="s">
        <v>105</v>
      </c>
      <c r="F74" t="s">
        <v>106</v>
      </c>
      <c r="G74" t="s">
        <v>106</v>
      </c>
      <c r="H74" t="s">
        <v>106</v>
      </c>
      <c r="I74" t="s">
        <v>106</v>
      </c>
      <c r="J74" t="s">
        <v>106</v>
      </c>
      <c r="K74" t="s">
        <v>106</v>
      </c>
      <c r="L74" t="s">
        <v>106</v>
      </c>
      <c r="M74" t="s">
        <v>106</v>
      </c>
      <c r="N74" t="s">
        <v>106</v>
      </c>
      <c r="O74" t="s">
        <v>106</v>
      </c>
      <c r="P74" t="s">
        <v>106</v>
      </c>
      <c r="Q74" t="s">
        <v>106</v>
      </c>
      <c r="R74" t="s">
        <v>106</v>
      </c>
      <c r="S74" t="s">
        <v>106</v>
      </c>
      <c r="T74" t="s">
        <v>106</v>
      </c>
      <c r="U74" t="s">
        <v>106</v>
      </c>
      <c r="V74" t="s">
        <v>106</v>
      </c>
      <c r="W74" t="s">
        <v>106</v>
      </c>
      <c r="X74" t="s">
        <v>106</v>
      </c>
      <c r="Y74" t="s">
        <v>106</v>
      </c>
      <c r="Z74" t="s">
        <v>106</v>
      </c>
      <c r="AA74" t="s">
        <v>106</v>
      </c>
      <c r="AB74" t="s">
        <v>106</v>
      </c>
      <c r="AC74" t="s">
        <v>106</v>
      </c>
      <c r="AD74" t="s">
        <v>106</v>
      </c>
      <c r="AE74" t="s">
        <v>106</v>
      </c>
      <c r="AF74" t="s">
        <v>106</v>
      </c>
      <c r="AG74" t="s">
        <v>106</v>
      </c>
      <c r="AH74" t="s">
        <v>106</v>
      </c>
      <c r="AI74" t="s">
        <v>106</v>
      </c>
      <c r="AJ74" t="s">
        <v>106</v>
      </c>
      <c r="AK74" t="s">
        <v>106</v>
      </c>
      <c r="AL74">
        <v>0</v>
      </c>
      <c r="AM74" t="s">
        <v>106</v>
      </c>
      <c r="AN74" t="s">
        <v>106</v>
      </c>
      <c r="AO74" t="s">
        <v>106</v>
      </c>
      <c r="AP74" t="s">
        <v>106</v>
      </c>
      <c r="AQ74" t="s">
        <v>106</v>
      </c>
      <c r="AR74" t="s">
        <v>106</v>
      </c>
      <c r="AS74" t="s">
        <v>106</v>
      </c>
      <c r="AT74" t="s">
        <v>106</v>
      </c>
      <c r="AU74" t="s">
        <v>106</v>
      </c>
      <c r="AV74" t="s">
        <v>106</v>
      </c>
      <c r="AW74" t="s">
        <v>106</v>
      </c>
      <c r="AX74" t="s">
        <v>106</v>
      </c>
      <c r="AY74" t="s">
        <v>106</v>
      </c>
      <c r="AZ74" t="s">
        <v>106</v>
      </c>
      <c r="BA74" t="s">
        <v>106</v>
      </c>
      <c r="BB74" t="s">
        <v>106</v>
      </c>
      <c r="BC74" t="s">
        <v>106</v>
      </c>
      <c r="BD74" t="s">
        <v>106</v>
      </c>
      <c r="BE74" t="s">
        <v>106</v>
      </c>
      <c r="BF74" t="s">
        <v>106</v>
      </c>
      <c r="BG74" t="s">
        <v>106</v>
      </c>
      <c r="BH74" t="s">
        <v>106</v>
      </c>
      <c r="BI74" t="s">
        <v>106</v>
      </c>
      <c r="BJ74" t="s">
        <v>106</v>
      </c>
      <c r="BK74" t="s">
        <v>106</v>
      </c>
      <c r="BL74">
        <v>0</v>
      </c>
      <c r="BM74" t="s">
        <v>106</v>
      </c>
    </row>
    <row r="75" spans="1:65">
      <c r="C75" t="s">
        <v>178</v>
      </c>
      <c r="D75" t="s">
        <v>105</v>
      </c>
      <c r="E75" t="s">
        <v>105</v>
      </c>
      <c r="F75" t="s">
        <v>106</v>
      </c>
      <c r="G75" t="s">
        <v>106</v>
      </c>
      <c r="H75" t="s">
        <v>106</v>
      </c>
      <c r="I75" t="s">
        <v>106</v>
      </c>
      <c r="J75" t="s">
        <v>106</v>
      </c>
      <c r="K75" t="s">
        <v>106</v>
      </c>
      <c r="L75" t="s">
        <v>106</v>
      </c>
      <c r="M75" t="s">
        <v>106</v>
      </c>
      <c r="N75" t="s">
        <v>106</v>
      </c>
      <c r="O75" t="s">
        <v>106</v>
      </c>
      <c r="P75" t="s">
        <v>106</v>
      </c>
      <c r="Q75" t="s">
        <v>106</v>
      </c>
      <c r="R75" t="s">
        <v>106</v>
      </c>
      <c r="S75" t="s">
        <v>106</v>
      </c>
      <c r="T75" t="s">
        <v>106</v>
      </c>
      <c r="U75" t="s">
        <v>106</v>
      </c>
      <c r="V75" t="s">
        <v>106</v>
      </c>
      <c r="W75" t="s">
        <v>106</v>
      </c>
      <c r="X75" t="s">
        <v>106</v>
      </c>
      <c r="Y75" t="s">
        <v>106</v>
      </c>
      <c r="Z75" t="s">
        <v>106</v>
      </c>
      <c r="AA75" t="s">
        <v>106</v>
      </c>
      <c r="AB75" t="s">
        <v>106</v>
      </c>
      <c r="AC75" t="s">
        <v>106</v>
      </c>
      <c r="AD75" t="s">
        <v>106</v>
      </c>
      <c r="AE75" t="s">
        <v>106</v>
      </c>
      <c r="AF75" t="s">
        <v>106</v>
      </c>
      <c r="AG75" t="s">
        <v>106</v>
      </c>
      <c r="AH75" t="s">
        <v>106</v>
      </c>
      <c r="AI75" t="s">
        <v>106</v>
      </c>
      <c r="AJ75" t="s">
        <v>106</v>
      </c>
      <c r="AK75" t="s">
        <v>106</v>
      </c>
      <c r="AL75" t="s">
        <v>106</v>
      </c>
      <c r="AM75" t="s">
        <v>106</v>
      </c>
      <c r="AN75" t="s">
        <v>106</v>
      </c>
      <c r="AO75" t="s">
        <v>106</v>
      </c>
      <c r="AP75" t="s">
        <v>106</v>
      </c>
      <c r="AQ75" t="s">
        <v>106</v>
      </c>
      <c r="AR75" t="s">
        <v>106</v>
      </c>
      <c r="AS75" t="s">
        <v>106</v>
      </c>
      <c r="AT75" t="s">
        <v>106</v>
      </c>
      <c r="AU75" t="s">
        <v>106</v>
      </c>
      <c r="AV75" t="s">
        <v>106</v>
      </c>
      <c r="AW75" t="s">
        <v>106</v>
      </c>
      <c r="AX75" t="s">
        <v>106</v>
      </c>
      <c r="AY75" t="s">
        <v>106</v>
      </c>
      <c r="AZ75" t="s">
        <v>106</v>
      </c>
      <c r="BA75" t="s">
        <v>106</v>
      </c>
      <c r="BB75" t="s">
        <v>106</v>
      </c>
      <c r="BC75" t="s">
        <v>106</v>
      </c>
      <c r="BD75" t="s">
        <v>106</v>
      </c>
      <c r="BE75" t="s">
        <v>106</v>
      </c>
      <c r="BF75" t="s">
        <v>106</v>
      </c>
      <c r="BG75" t="s">
        <v>106</v>
      </c>
      <c r="BH75" t="s">
        <v>106</v>
      </c>
      <c r="BI75" t="s">
        <v>106</v>
      </c>
      <c r="BJ75" t="s">
        <v>106</v>
      </c>
      <c r="BK75" t="s">
        <v>106</v>
      </c>
      <c r="BL75" t="s">
        <v>106</v>
      </c>
      <c r="BM75" t="s">
        <v>106</v>
      </c>
    </row>
    <row r="76" spans="1:65">
      <c r="C76" t="s">
        <v>179</v>
      </c>
      <c r="D76" t="s">
        <v>105</v>
      </c>
      <c r="E76" t="s">
        <v>105</v>
      </c>
      <c r="F76" t="s">
        <v>106</v>
      </c>
      <c r="G76" t="s">
        <v>106</v>
      </c>
      <c r="H76" t="s">
        <v>106</v>
      </c>
      <c r="I76" t="s">
        <v>106</v>
      </c>
      <c r="J76" t="s">
        <v>106</v>
      </c>
      <c r="K76" t="s">
        <v>106</v>
      </c>
      <c r="L76" t="s">
        <v>106</v>
      </c>
      <c r="M76" t="s">
        <v>106</v>
      </c>
      <c r="N76" t="s">
        <v>106</v>
      </c>
      <c r="O76" t="s">
        <v>106</v>
      </c>
      <c r="P76" t="s">
        <v>106</v>
      </c>
      <c r="Q76" t="s">
        <v>106</v>
      </c>
      <c r="R76" t="s">
        <v>106</v>
      </c>
      <c r="S76" t="s">
        <v>106</v>
      </c>
      <c r="T76" t="s">
        <v>106</v>
      </c>
      <c r="U76" t="s">
        <v>106</v>
      </c>
      <c r="V76" t="s">
        <v>106</v>
      </c>
      <c r="W76" t="s">
        <v>106</v>
      </c>
      <c r="X76" t="s">
        <v>106</v>
      </c>
      <c r="Y76" t="s">
        <v>106</v>
      </c>
      <c r="Z76" t="s">
        <v>106</v>
      </c>
      <c r="AA76" t="s">
        <v>106</v>
      </c>
      <c r="AB76" t="s">
        <v>106</v>
      </c>
      <c r="AC76" t="s">
        <v>106</v>
      </c>
      <c r="AD76" t="s">
        <v>106</v>
      </c>
      <c r="AE76" t="s">
        <v>106</v>
      </c>
      <c r="AF76" t="s">
        <v>106</v>
      </c>
      <c r="AG76" t="s">
        <v>106</v>
      </c>
      <c r="AH76" t="s">
        <v>106</v>
      </c>
      <c r="AI76" t="s">
        <v>106</v>
      </c>
      <c r="AJ76" t="s">
        <v>106</v>
      </c>
      <c r="AK76" t="s">
        <v>106</v>
      </c>
      <c r="AL76">
        <v>30.8</v>
      </c>
      <c r="AM76" t="s">
        <v>106</v>
      </c>
      <c r="AN76" t="s">
        <v>106</v>
      </c>
      <c r="AO76" t="s">
        <v>106</v>
      </c>
      <c r="AP76" t="s">
        <v>106</v>
      </c>
      <c r="AQ76">
        <v>0.1</v>
      </c>
      <c r="AR76" t="s">
        <v>106</v>
      </c>
      <c r="AS76" t="s">
        <v>106</v>
      </c>
      <c r="AT76" t="s">
        <v>106</v>
      </c>
      <c r="AU76" t="s">
        <v>106</v>
      </c>
      <c r="AV76" t="s">
        <v>106</v>
      </c>
      <c r="AW76" t="s">
        <v>106</v>
      </c>
      <c r="AX76" t="s">
        <v>106</v>
      </c>
      <c r="AY76" t="s">
        <v>106</v>
      </c>
      <c r="AZ76" t="s">
        <v>106</v>
      </c>
      <c r="BA76" t="s">
        <v>106</v>
      </c>
      <c r="BB76" t="s">
        <v>106</v>
      </c>
      <c r="BC76" t="s">
        <v>106</v>
      </c>
      <c r="BD76" t="s">
        <v>106</v>
      </c>
      <c r="BE76" t="s">
        <v>106</v>
      </c>
      <c r="BF76" t="s">
        <v>106</v>
      </c>
      <c r="BG76" t="s">
        <v>106</v>
      </c>
      <c r="BH76" t="s">
        <v>106</v>
      </c>
      <c r="BI76" t="s">
        <v>106</v>
      </c>
      <c r="BJ76" t="s">
        <v>106</v>
      </c>
      <c r="BK76" t="s">
        <v>106</v>
      </c>
      <c r="BL76">
        <v>31</v>
      </c>
      <c r="BM76" t="s">
        <v>106</v>
      </c>
    </row>
    <row r="77" spans="1:65">
      <c r="C77" t="s">
        <v>180</v>
      </c>
      <c r="D77" t="s">
        <v>105</v>
      </c>
      <c r="E77" t="s">
        <v>105</v>
      </c>
      <c r="F77" t="s">
        <v>106</v>
      </c>
      <c r="G77" t="s">
        <v>106</v>
      </c>
      <c r="H77" t="s">
        <v>106</v>
      </c>
      <c r="I77" t="s">
        <v>106</v>
      </c>
      <c r="J77" t="s">
        <v>106</v>
      </c>
      <c r="K77" t="s">
        <v>106</v>
      </c>
      <c r="L77" t="s">
        <v>106</v>
      </c>
      <c r="M77" t="s">
        <v>106</v>
      </c>
      <c r="N77" t="s">
        <v>106</v>
      </c>
      <c r="O77" t="s">
        <v>106</v>
      </c>
      <c r="P77" t="s">
        <v>106</v>
      </c>
      <c r="Q77" t="s">
        <v>106</v>
      </c>
      <c r="R77" t="s">
        <v>106</v>
      </c>
      <c r="S77" t="s">
        <v>106</v>
      </c>
      <c r="T77" t="s">
        <v>106</v>
      </c>
      <c r="U77" t="s">
        <v>106</v>
      </c>
      <c r="V77" t="s">
        <v>106</v>
      </c>
      <c r="W77" t="s">
        <v>106</v>
      </c>
      <c r="X77" t="s">
        <v>106</v>
      </c>
      <c r="Y77" t="s">
        <v>106</v>
      </c>
      <c r="Z77" t="s">
        <v>106</v>
      </c>
      <c r="AA77" t="s">
        <v>106</v>
      </c>
      <c r="AB77" t="s">
        <v>106</v>
      </c>
      <c r="AC77" t="s">
        <v>106</v>
      </c>
      <c r="AD77" t="s">
        <v>106</v>
      </c>
      <c r="AE77" t="s">
        <v>106</v>
      </c>
      <c r="AF77" t="s">
        <v>106</v>
      </c>
      <c r="AG77" t="s">
        <v>106</v>
      </c>
      <c r="AH77" t="s">
        <v>106</v>
      </c>
      <c r="AI77" t="s">
        <v>106</v>
      </c>
      <c r="AJ77" t="s">
        <v>106</v>
      </c>
      <c r="AK77" t="s">
        <v>106</v>
      </c>
      <c r="AL77">
        <v>0.3</v>
      </c>
      <c r="AM77" t="s">
        <v>106</v>
      </c>
      <c r="AN77" t="s">
        <v>106</v>
      </c>
      <c r="AO77" t="s">
        <v>106</v>
      </c>
      <c r="AP77" t="s">
        <v>106</v>
      </c>
      <c r="AQ77" t="s">
        <v>106</v>
      </c>
      <c r="AR77" t="s">
        <v>106</v>
      </c>
      <c r="AS77" t="s">
        <v>106</v>
      </c>
      <c r="AT77" t="s">
        <v>106</v>
      </c>
      <c r="AU77" t="s">
        <v>106</v>
      </c>
      <c r="AV77" t="s">
        <v>106</v>
      </c>
      <c r="AW77" t="s">
        <v>106</v>
      </c>
      <c r="AX77" t="s">
        <v>106</v>
      </c>
      <c r="AY77" t="s">
        <v>106</v>
      </c>
      <c r="AZ77" t="s">
        <v>106</v>
      </c>
      <c r="BA77" t="s">
        <v>106</v>
      </c>
      <c r="BB77" t="s">
        <v>106</v>
      </c>
      <c r="BC77" t="s">
        <v>106</v>
      </c>
      <c r="BD77" t="s">
        <v>106</v>
      </c>
      <c r="BE77" t="s">
        <v>106</v>
      </c>
      <c r="BF77" t="s">
        <v>106</v>
      </c>
      <c r="BG77" t="s">
        <v>106</v>
      </c>
      <c r="BH77" t="s">
        <v>106</v>
      </c>
      <c r="BI77" t="s">
        <v>106</v>
      </c>
      <c r="BJ77" t="s">
        <v>106</v>
      </c>
      <c r="BK77" t="s">
        <v>106</v>
      </c>
      <c r="BL77">
        <v>0.3</v>
      </c>
      <c r="BM77" t="s">
        <v>106</v>
      </c>
    </row>
    <row r="78" spans="1:65">
      <c r="C78" t="s">
        <v>181</v>
      </c>
      <c r="D78" t="s">
        <v>105</v>
      </c>
      <c r="E78" t="s">
        <v>105</v>
      </c>
      <c r="F78" t="s">
        <v>106</v>
      </c>
      <c r="G78" t="s">
        <v>106</v>
      </c>
      <c r="H78" t="s">
        <v>106</v>
      </c>
      <c r="I78" t="s">
        <v>106</v>
      </c>
      <c r="J78" t="s">
        <v>106</v>
      </c>
      <c r="K78" t="s">
        <v>106</v>
      </c>
      <c r="L78" t="s">
        <v>106</v>
      </c>
      <c r="M78" t="s">
        <v>106</v>
      </c>
      <c r="N78" t="s">
        <v>106</v>
      </c>
      <c r="O78">
        <v>560.70000000000005</v>
      </c>
      <c r="P78" t="s">
        <v>106</v>
      </c>
      <c r="Q78" t="s">
        <v>106</v>
      </c>
      <c r="R78" t="s">
        <v>106</v>
      </c>
      <c r="S78" t="s">
        <v>106</v>
      </c>
      <c r="T78" t="s">
        <v>106</v>
      </c>
      <c r="U78" t="s">
        <v>106</v>
      </c>
      <c r="V78" t="s">
        <v>106</v>
      </c>
      <c r="W78" t="s">
        <v>106</v>
      </c>
      <c r="X78" t="s">
        <v>106</v>
      </c>
      <c r="Y78" t="s">
        <v>106</v>
      </c>
      <c r="Z78">
        <v>3875.3</v>
      </c>
      <c r="AA78">
        <v>769.2</v>
      </c>
      <c r="AB78" t="s">
        <v>106</v>
      </c>
      <c r="AC78" t="s">
        <v>106</v>
      </c>
      <c r="AD78" t="s">
        <v>106</v>
      </c>
      <c r="AE78" t="s">
        <v>106</v>
      </c>
      <c r="AF78" t="s">
        <v>106</v>
      </c>
      <c r="AG78" t="s">
        <v>106</v>
      </c>
      <c r="AH78" t="s">
        <v>106</v>
      </c>
      <c r="AI78" t="s">
        <v>106</v>
      </c>
      <c r="AJ78" t="s">
        <v>106</v>
      </c>
      <c r="AK78">
        <v>44794.8</v>
      </c>
      <c r="AL78" t="s">
        <v>106</v>
      </c>
      <c r="AM78" t="s">
        <v>106</v>
      </c>
      <c r="AN78" t="s">
        <v>106</v>
      </c>
      <c r="AO78" t="s">
        <v>106</v>
      </c>
      <c r="AP78" t="s">
        <v>106</v>
      </c>
      <c r="AQ78" t="s">
        <v>106</v>
      </c>
      <c r="AR78" t="s">
        <v>106</v>
      </c>
      <c r="AS78" t="s">
        <v>106</v>
      </c>
      <c r="AT78" t="s">
        <v>106</v>
      </c>
      <c r="AU78" t="s">
        <v>106</v>
      </c>
      <c r="AV78" t="s">
        <v>106</v>
      </c>
      <c r="AW78" t="s">
        <v>106</v>
      </c>
      <c r="AX78" t="s">
        <v>106</v>
      </c>
      <c r="AY78" t="s">
        <v>106</v>
      </c>
      <c r="AZ78" t="s">
        <v>106</v>
      </c>
      <c r="BA78" t="s">
        <v>106</v>
      </c>
      <c r="BB78" t="s">
        <v>106</v>
      </c>
      <c r="BC78" t="s">
        <v>106</v>
      </c>
      <c r="BD78" t="s">
        <v>106</v>
      </c>
      <c r="BE78" t="s">
        <v>106</v>
      </c>
      <c r="BF78" t="s">
        <v>106</v>
      </c>
      <c r="BG78" t="s">
        <v>106</v>
      </c>
      <c r="BH78" t="s">
        <v>106</v>
      </c>
      <c r="BI78" t="s">
        <v>106</v>
      </c>
      <c r="BJ78" t="s">
        <v>106</v>
      </c>
      <c r="BK78" t="s">
        <v>106</v>
      </c>
      <c r="BL78">
        <v>50000</v>
      </c>
      <c r="BM78" t="s">
        <v>106</v>
      </c>
    </row>
    <row r="79" spans="1:65">
      <c r="A79" t="s">
        <v>182</v>
      </c>
      <c r="B79" t="s">
        <v>105</v>
      </c>
      <c r="C79" t="s">
        <v>105</v>
      </c>
      <c r="D79" t="s">
        <v>105</v>
      </c>
      <c r="E79" t="s">
        <v>105</v>
      </c>
      <c r="F79">
        <v>818</v>
      </c>
      <c r="G79">
        <v>1671.9</v>
      </c>
      <c r="H79" t="s">
        <v>106</v>
      </c>
      <c r="I79">
        <v>224247.3</v>
      </c>
      <c r="J79">
        <v>3969</v>
      </c>
      <c r="K79" t="s">
        <v>106</v>
      </c>
      <c r="L79" t="s">
        <v>106</v>
      </c>
      <c r="M79" t="s">
        <v>106</v>
      </c>
      <c r="N79" t="s">
        <v>106</v>
      </c>
      <c r="O79" t="s">
        <v>106</v>
      </c>
      <c r="P79">
        <v>3412.7</v>
      </c>
      <c r="Q79">
        <v>13451.7</v>
      </c>
      <c r="R79">
        <v>5732.3</v>
      </c>
      <c r="S79">
        <v>148415.70000000001</v>
      </c>
      <c r="T79">
        <v>1357.4</v>
      </c>
      <c r="U79" t="s">
        <v>106</v>
      </c>
      <c r="V79" t="s">
        <v>106</v>
      </c>
      <c r="W79" t="s">
        <v>106</v>
      </c>
      <c r="X79" t="s">
        <v>106</v>
      </c>
      <c r="Y79">
        <v>2784.5</v>
      </c>
      <c r="Z79">
        <v>63.5</v>
      </c>
      <c r="AA79" t="s">
        <v>106</v>
      </c>
      <c r="AB79" t="s">
        <v>106</v>
      </c>
      <c r="AC79" t="s">
        <v>106</v>
      </c>
      <c r="AD79" t="s">
        <v>106</v>
      </c>
      <c r="AE79" t="s">
        <v>106</v>
      </c>
      <c r="AF79">
        <v>39.5</v>
      </c>
      <c r="AG79">
        <v>1294.4000000000001</v>
      </c>
      <c r="AH79" t="s">
        <v>106</v>
      </c>
      <c r="AI79" t="s">
        <v>106</v>
      </c>
      <c r="AJ79">
        <v>2610.8000000000002</v>
      </c>
      <c r="AK79" t="s">
        <v>106</v>
      </c>
      <c r="AL79" t="s">
        <v>106</v>
      </c>
      <c r="AM79" t="s">
        <v>106</v>
      </c>
      <c r="AN79" t="s">
        <v>106</v>
      </c>
      <c r="AO79" t="s">
        <v>106</v>
      </c>
      <c r="AP79">
        <v>256.8</v>
      </c>
      <c r="AQ79">
        <v>2655.3</v>
      </c>
      <c r="AR79">
        <v>312.89999999999998</v>
      </c>
      <c r="AS79">
        <v>362.1</v>
      </c>
      <c r="AT79">
        <v>490.6</v>
      </c>
      <c r="AU79">
        <v>6822.3</v>
      </c>
      <c r="AV79">
        <v>195.2</v>
      </c>
      <c r="AW79">
        <v>239.5</v>
      </c>
      <c r="AX79" t="s">
        <v>106</v>
      </c>
      <c r="AY79" t="s">
        <v>106</v>
      </c>
      <c r="AZ79">
        <v>2295.1999999999998</v>
      </c>
      <c r="BA79" t="s">
        <v>106</v>
      </c>
      <c r="BB79">
        <v>145909.70000000001</v>
      </c>
      <c r="BC79">
        <v>2791.1</v>
      </c>
      <c r="BD79" t="s">
        <v>106</v>
      </c>
      <c r="BE79">
        <v>14163</v>
      </c>
      <c r="BF79" t="s">
        <v>106</v>
      </c>
      <c r="BG79">
        <v>474.6</v>
      </c>
      <c r="BH79">
        <v>2679.2</v>
      </c>
      <c r="BI79">
        <v>2284.3000000000002</v>
      </c>
      <c r="BJ79" t="s">
        <v>106</v>
      </c>
      <c r="BK79">
        <v>161.80000000000001</v>
      </c>
      <c r="BL79">
        <v>591962.4</v>
      </c>
      <c r="BM79">
        <v>59522.7</v>
      </c>
    </row>
    <row r="80" spans="1:65">
      <c r="B80" t="s">
        <v>183</v>
      </c>
      <c r="C80" t="s">
        <v>105</v>
      </c>
      <c r="D80" t="s">
        <v>105</v>
      </c>
      <c r="E80" t="s">
        <v>105</v>
      </c>
      <c r="F80">
        <v>818</v>
      </c>
      <c r="G80">
        <v>1671.9</v>
      </c>
      <c r="H80" t="s">
        <v>106</v>
      </c>
      <c r="I80">
        <v>212006.3</v>
      </c>
      <c r="J80">
        <v>3969</v>
      </c>
      <c r="K80" t="s">
        <v>106</v>
      </c>
      <c r="L80" t="s">
        <v>106</v>
      </c>
      <c r="M80" t="s">
        <v>106</v>
      </c>
      <c r="N80" t="s">
        <v>106</v>
      </c>
      <c r="O80" t="s">
        <v>106</v>
      </c>
      <c r="P80" t="s">
        <v>106</v>
      </c>
      <c r="Q80" t="s">
        <v>106</v>
      </c>
      <c r="R80">
        <v>1031.3</v>
      </c>
      <c r="S80">
        <v>104648.2</v>
      </c>
      <c r="T80" t="s">
        <v>106</v>
      </c>
      <c r="U80" t="s">
        <v>106</v>
      </c>
      <c r="V80" t="s">
        <v>106</v>
      </c>
      <c r="W80" t="s">
        <v>106</v>
      </c>
      <c r="X80" t="s">
        <v>106</v>
      </c>
      <c r="Y80" t="s">
        <v>106</v>
      </c>
      <c r="Z80" t="s">
        <v>106</v>
      </c>
      <c r="AA80" t="s">
        <v>106</v>
      </c>
      <c r="AB80" t="s">
        <v>106</v>
      </c>
      <c r="AC80" t="s">
        <v>106</v>
      </c>
      <c r="AD80" t="s">
        <v>106</v>
      </c>
      <c r="AE80" t="s">
        <v>106</v>
      </c>
      <c r="AF80">
        <v>3.2</v>
      </c>
      <c r="AG80">
        <v>1293.7</v>
      </c>
      <c r="AH80" t="s">
        <v>106</v>
      </c>
      <c r="AI80" t="s">
        <v>106</v>
      </c>
      <c r="AJ80">
        <v>1755.3</v>
      </c>
      <c r="AK80" t="s">
        <v>106</v>
      </c>
      <c r="AL80" t="s">
        <v>106</v>
      </c>
      <c r="AM80" t="s">
        <v>106</v>
      </c>
      <c r="AN80" t="s">
        <v>106</v>
      </c>
      <c r="AO80" t="s">
        <v>106</v>
      </c>
      <c r="AP80" t="s">
        <v>106</v>
      </c>
      <c r="AQ80" t="s">
        <v>106</v>
      </c>
      <c r="AR80">
        <v>288</v>
      </c>
      <c r="AS80">
        <v>25</v>
      </c>
      <c r="AT80">
        <v>202.5</v>
      </c>
      <c r="AU80">
        <v>4111.5</v>
      </c>
      <c r="AV80">
        <v>168.4</v>
      </c>
      <c r="AW80">
        <v>239.5</v>
      </c>
      <c r="AX80" t="s">
        <v>106</v>
      </c>
      <c r="AY80" t="s">
        <v>106</v>
      </c>
      <c r="AZ80">
        <v>2295.1999999999998</v>
      </c>
      <c r="BA80" t="s">
        <v>106</v>
      </c>
      <c r="BB80">
        <v>145909.70000000001</v>
      </c>
      <c r="BC80">
        <v>2788.7</v>
      </c>
      <c r="BD80" t="s">
        <v>106</v>
      </c>
      <c r="BE80">
        <v>11801</v>
      </c>
      <c r="BF80" t="s">
        <v>106</v>
      </c>
      <c r="BG80">
        <v>474.6</v>
      </c>
      <c r="BH80">
        <v>2669.5</v>
      </c>
      <c r="BI80">
        <v>2256.6</v>
      </c>
      <c r="BJ80" t="s">
        <v>106</v>
      </c>
      <c r="BK80" t="s">
        <v>106</v>
      </c>
      <c r="BL80">
        <v>500426.7</v>
      </c>
      <c r="BM80">
        <v>29382.799999999999</v>
      </c>
    </row>
    <row r="81" spans="1:65">
      <c r="B81" t="s">
        <v>184</v>
      </c>
      <c r="C81" t="s">
        <v>105</v>
      </c>
      <c r="D81" t="s">
        <v>105</v>
      </c>
      <c r="E81" t="s">
        <v>105</v>
      </c>
      <c r="F81" t="s">
        <v>106</v>
      </c>
      <c r="G81" t="s">
        <v>106</v>
      </c>
      <c r="H81" t="s">
        <v>106</v>
      </c>
      <c r="I81">
        <v>488</v>
      </c>
      <c r="J81" t="s">
        <v>106</v>
      </c>
      <c r="K81" t="s">
        <v>106</v>
      </c>
      <c r="L81" t="s">
        <v>106</v>
      </c>
      <c r="M81" t="s">
        <v>106</v>
      </c>
      <c r="N81" t="s">
        <v>106</v>
      </c>
      <c r="O81" t="s">
        <v>106</v>
      </c>
      <c r="P81">
        <v>3412.7</v>
      </c>
      <c r="Q81">
        <v>13451.7</v>
      </c>
      <c r="R81">
        <v>4701.1000000000004</v>
      </c>
      <c r="S81">
        <v>3840.3</v>
      </c>
      <c r="T81">
        <v>66</v>
      </c>
      <c r="U81" t="s">
        <v>106</v>
      </c>
      <c r="V81" t="s">
        <v>106</v>
      </c>
      <c r="W81" t="s">
        <v>106</v>
      </c>
      <c r="X81" t="s">
        <v>106</v>
      </c>
      <c r="Y81">
        <v>1155.4000000000001</v>
      </c>
      <c r="Z81" t="s">
        <v>106</v>
      </c>
      <c r="AA81" t="s">
        <v>106</v>
      </c>
      <c r="AB81" t="s">
        <v>106</v>
      </c>
      <c r="AC81" t="s">
        <v>106</v>
      </c>
      <c r="AD81" t="s">
        <v>106</v>
      </c>
      <c r="AE81" t="s">
        <v>106</v>
      </c>
      <c r="AF81" t="s">
        <v>106</v>
      </c>
      <c r="AG81">
        <v>0.7</v>
      </c>
      <c r="AH81" t="s">
        <v>106</v>
      </c>
      <c r="AI81" t="s">
        <v>106</v>
      </c>
      <c r="AJ81">
        <v>240.8</v>
      </c>
      <c r="AK81" t="s">
        <v>106</v>
      </c>
      <c r="AL81" t="s">
        <v>106</v>
      </c>
      <c r="AM81" t="s">
        <v>106</v>
      </c>
      <c r="AN81" t="s">
        <v>106</v>
      </c>
      <c r="AO81" t="s">
        <v>106</v>
      </c>
      <c r="AP81" t="s">
        <v>106</v>
      </c>
      <c r="AQ81" t="s">
        <v>106</v>
      </c>
      <c r="AR81">
        <v>4</v>
      </c>
      <c r="AS81">
        <v>33.5</v>
      </c>
      <c r="AT81">
        <v>11.7</v>
      </c>
      <c r="AU81">
        <v>4.7</v>
      </c>
      <c r="AV81">
        <v>17.2</v>
      </c>
      <c r="AW81" t="s">
        <v>106</v>
      </c>
      <c r="AX81" t="s">
        <v>106</v>
      </c>
      <c r="AY81" t="s">
        <v>106</v>
      </c>
      <c r="AZ81" t="s">
        <v>106</v>
      </c>
      <c r="BA81" t="s">
        <v>106</v>
      </c>
      <c r="BB81" t="s">
        <v>106</v>
      </c>
      <c r="BC81">
        <v>2.4</v>
      </c>
      <c r="BD81" t="s">
        <v>106</v>
      </c>
      <c r="BE81">
        <v>2362.1</v>
      </c>
      <c r="BF81" t="s">
        <v>106</v>
      </c>
      <c r="BG81" t="s">
        <v>106</v>
      </c>
      <c r="BH81">
        <v>9.6999999999999993</v>
      </c>
      <c r="BI81">
        <v>27.8</v>
      </c>
      <c r="BJ81" t="s">
        <v>106</v>
      </c>
      <c r="BK81" t="s">
        <v>106</v>
      </c>
      <c r="BL81">
        <v>29829.8</v>
      </c>
      <c r="BM81">
        <v>25193.9</v>
      </c>
    </row>
    <row r="82" spans="1:65">
      <c r="B82" t="s">
        <v>185</v>
      </c>
      <c r="C82" t="s">
        <v>105</v>
      </c>
      <c r="D82" t="s">
        <v>105</v>
      </c>
      <c r="E82" t="s">
        <v>105</v>
      </c>
      <c r="F82" t="s">
        <v>106</v>
      </c>
      <c r="G82" t="s">
        <v>106</v>
      </c>
      <c r="H82" t="s">
        <v>106</v>
      </c>
      <c r="I82" t="s">
        <v>106</v>
      </c>
      <c r="J82" t="s">
        <v>106</v>
      </c>
      <c r="K82" t="s">
        <v>106</v>
      </c>
      <c r="L82" t="s">
        <v>106</v>
      </c>
      <c r="M82" t="s">
        <v>106</v>
      </c>
      <c r="N82" t="s">
        <v>106</v>
      </c>
      <c r="O82" t="s">
        <v>106</v>
      </c>
      <c r="P82" t="s">
        <v>106</v>
      </c>
      <c r="Q82" t="s">
        <v>106</v>
      </c>
      <c r="R82" t="s">
        <v>106</v>
      </c>
      <c r="S82">
        <v>36294</v>
      </c>
      <c r="T82">
        <v>1007.3</v>
      </c>
      <c r="U82" t="s">
        <v>106</v>
      </c>
      <c r="V82" t="s">
        <v>106</v>
      </c>
      <c r="W82" t="s">
        <v>106</v>
      </c>
      <c r="X82" t="s">
        <v>106</v>
      </c>
      <c r="Y82" t="s">
        <v>106</v>
      </c>
      <c r="Z82">
        <v>0.3</v>
      </c>
      <c r="AA82" t="s">
        <v>106</v>
      </c>
      <c r="AB82" t="s">
        <v>106</v>
      </c>
      <c r="AC82" t="s">
        <v>106</v>
      </c>
      <c r="AD82" t="s">
        <v>106</v>
      </c>
      <c r="AE82" t="s">
        <v>106</v>
      </c>
      <c r="AF82">
        <v>0.2</v>
      </c>
      <c r="AG82" t="s">
        <v>106</v>
      </c>
      <c r="AH82" t="s">
        <v>106</v>
      </c>
      <c r="AI82" t="s">
        <v>106</v>
      </c>
      <c r="AJ82">
        <v>302.89999999999998</v>
      </c>
      <c r="AK82" t="s">
        <v>106</v>
      </c>
      <c r="AL82" t="s">
        <v>106</v>
      </c>
      <c r="AM82" t="s">
        <v>106</v>
      </c>
      <c r="AN82" t="s">
        <v>106</v>
      </c>
      <c r="AO82" t="s">
        <v>106</v>
      </c>
      <c r="AP82" t="s">
        <v>106</v>
      </c>
      <c r="AQ82" t="s">
        <v>106</v>
      </c>
      <c r="AR82">
        <v>19.8</v>
      </c>
      <c r="AS82">
        <v>113.7</v>
      </c>
      <c r="AT82">
        <v>0</v>
      </c>
      <c r="AU82">
        <v>77.599999999999994</v>
      </c>
      <c r="AV82" t="s">
        <v>106</v>
      </c>
      <c r="AW82" t="s">
        <v>106</v>
      </c>
      <c r="AX82" t="s">
        <v>106</v>
      </c>
      <c r="AY82" t="s">
        <v>106</v>
      </c>
      <c r="AZ82" t="s">
        <v>106</v>
      </c>
      <c r="BA82" t="s">
        <v>106</v>
      </c>
      <c r="BB82" t="s">
        <v>106</v>
      </c>
      <c r="BC82" t="s">
        <v>106</v>
      </c>
      <c r="BD82" t="s">
        <v>106</v>
      </c>
      <c r="BE82" t="s">
        <v>106</v>
      </c>
      <c r="BF82" t="s">
        <v>106</v>
      </c>
      <c r="BG82" t="s">
        <v>106</v>
      </c>
      <c r="BH82" t="s">
        <v>106</v>
      </c>
      <c r="BI82" t="s">
        <v>106</v>
      </c>
      <c r="BJ82" t="s">
        <v>106</v>
      </c>
      <c r="BK82" t="s">
        <v>106</v>
      </c>
      <c r="BL82">
        <v>37815.699999999997</v>
      </c>
      <c r="BM82">
        <v>211.1</v>
      </c>
    </row>
    <row r="83" spans="1:65">
      <c r="B83" t="s">
        <v>186</v>
      </c>
      <c r="C83" t="s">
        <v>105</v>
      </c>
      <c r="D83" t="s">
        <v>105</v>
      </c>
      <c r="E83" t="s">
        <v>105</v>
      </c>
      <c r="F83" t="s">
        <v>106</v>
      </c>
      <c r="G83" t="s">
        <v>106</v>
      </c>
      <c r="H83" t="s">
        <v>106</v>
      </c>
      <c r="I83">
        <v>11753</v>
      </c>
      <c r="J83" t="s">
        <v>106</v>
      </c>
      <c r="K83" t="s">
        <v>106</v>
      </c>
      <c r="L83" t="s">
        <v>106</v>
      </c>
      <c r="M83" t="s">
        <v>106</v>
      </c>
      <c r="N83" t="s">
        <v>106</v>
      </c>
      <c r="O83" t="s">
        <v>106</v>
      </c>
      <c r="P83" t="s">
        <v>106</v>
      </c>
      <c r="Q83" t="s">
        <v>106</v>
      </c>
      <c r="R83" t="s">
        <v>106</v>
      </c>
      <c r="S83">
        <v>3633.2</v>
      </c>
      <c r="T83">
        <v>284.10000000000002</v>
      </c>
      <c r="U83" t="s">
        <v>106</v>
      </c>
      <c r="V83" t="s">
        <v>106</v>
      </c>
      <c r="W83" t="s">
        <v>106</v>
      </c>
      <c r="X83" t="s">
        <v>106</v>
      </c>
      <c r="Y83">
        <v>1629.1</v>
      </c>
      <c r="Z83">
        <v>63.2</v>
      </c>
      <c r="AA83" t="s">
        <v>106</v>
      </c>
      <c r="AB83" t="s">
        <v>106</v>
      </c>
      <c r="AC83" t="s">
        <v>106</v>
      </c>
      <c r="AD83" t="s">
        <v>106</v>
      </c>
      <c r="AE83" t="s">
        <v>106</v>
      </c>
      <c r="AF83">
        <v>36.1</v>
      </c>
      <c r="AG83" t="s">
        <v>106</v>
      </c>
      <c r="AH83" t="s">
        <v>106</v>
      </c>
      <c r="AI83" t="s">
        <v>106</v>
      </c>
      <c r="AJ83">
        <v>311.8</v>
      </c>
      <c r="AK83" t="s">
        <v>106</v>
      </c>
      <c r="AL83" t="s">
        <v>106</v>
      </c>
      <c r="AM83" t="s">
        <v>106</v>
      </c>
      <c r="AN83" t="s">
        <v>106</v>
      </c>
      <c r="AO83" t="s">
        <v>106</v>
      </c>
      <c r="AP83">
        <v>256.8</v>
      </c>
      <c r="AQ83">
        <v>2655.3</v>
      </c>
      <c r="AR83">
        <v>1.2</v>
      </c>
      <c r="AS83">
        <v>190</v>
      </c>
      <c r="AT83">
        <v>276.39999999999998</v>
      </c>
      <c r="AU83">
        <v>2628.5</v>
      </c>
      <c r="AV83">
        <v>9.6</v>
      </c>
      <c r="AW83" t="s">
        <v>106</v>
      </c>
      <c r="AX83" t="s">
        <v>106</v>
      </c>
      <c r="AY83" t="s">
        <v>106</v>
      </c>
      <c r="AZ83" t="s">
        <v>106</v>
      </c>
      <c r="BA83" t="s">
        <v>106</v>
      </c>
      <c r="BB83" t="s">
        <v>106</v>
      </c>
      <c r="BC83" t="s">
        <v>106</v>
      </c>
      <c r="BD83" t="s">
        <v>106</v>
      </c>
      <c r="BE83" t="s">
        <v>106</v>
      </c>
      <c r="BF83" t="s">
        <v>106</v>
      </c>
      <c r="BG83" t="s">
        <v>106</v>
      </c>
      <c r="BH83" t="s">
        <v>106</v>
      </c>
      <c r="BI83" t="s">
        <v>106</v>
      </c>
      <c r="BJ83" t="s">
        <v>106</v>
      </c>
      <c r="BK83" t="s">
        <v>106</v>
      </c>
      <c r="BL83">
        <v>23728.3</v>
      </c>
      <c r="BM83">
        <v>4734.8</v>
      </c>
    </row>
    <row r="84" spans="1:65">
      <c r="B84" t="s">
        <v>187</v>
      </c>
      <c r="C84" t="s">
        <v>105</v>
      </c>
      <c r="D84" t="s">
        <v>105</v>
      </c>
      <c r="E84" t="s">
        <v>105</v>
      </c>
      <c r="F84" t="s">
        <v>106</v>
      </c>
      <c r="G84" t="s">
        <v>106</v>
      </c>
      <c r="H84" t="s">
        <v>106</v>
      </c>
      <c r="I84" t="s">
        <v>106</v>
      </c>
      <c r="J84" t="s">
        <v>106</v>
      </c>
      <c r="K84" t="s">
        <v>106</v>
      </c>
      <c r="L84" t="s">
        <v>106</v>
      </c>
      <c r="M84" t="s">
        <v>106</v>
      </c>
      <c r="N84" t="s">
        <v>106</v>
      </c>
      <c r="O84" t="s">
        <v>106</v>
      </c>
      <c r="P84" t="s">
        <v>106</v>
      </c>
      <c r="Q84" t="s">
        <v>106</v>
      </c>
      <c r="R84" t="s">
        <v>106</v>
      </c>
      <c r="S84" t="s">
        <v>106</v>
      </c>
      <c r="T84" t="s">
        <v>106</v>
      </c>
      <c r="U84" t="s">
        <v>106</v>
      </c>
      <c r="V84" t="s">
        <v>106</v>
      </c>
      <c r="W84" t="s">
        <v>106</v>
      </c>
      <c r="X84" t="s">
        <v>106</v>
      </c>
      <c r="Y84" t="s">
        <v>106</v>
      </c>
      <c r="Z84" t="s">
        <v>106</v>
      </c>
      <c r="AA84" t="s">
        <v>106</v>
      </c>
      <c r="AB84" t="s">
        <v>106</v>
      </c>
      <c r="AC84" t="s">
        <v>106</v>
      </c>
      <c r="AD84" t="s">
        <v>106</v>
      </c>
      <c r="AE84" t="s">
        <v>106</v>
      </c>
      <c r="AF84" t="s">
        <v>106</v>
      </c>
      <c r="AG84" t="s">
        <v>106</v>
      </c>
      <c r="AH84" t="s">
        <v>106</v>
      </c>
      <c r="AI84" t="s">
        <v>106</v>
      </c>
      <c r="AJ84" t="s">
        <v>106</v>
      </c>
      <c r="AK84" t="s">
        <v>106</v>
      </c>
      <c r="AL84" t="s">
        <v>106</v>
      </c>
      <c r="AM84" t="s">
        <v>106</v>
      </c>
      <c r="AN84" t="s">
        <v>106</v>
      </c>
      <c r="AO84" t="s">
        <v>106</v>
      </c>
      <c r="AP84" t="s">
        <v>106</v>
      </c>
      <c r="AQ84" t="s">
        <v>106</v>
      </c>
      <c r="AR84" t="s">
        <v>106</v>
      </c>
      <c r="AS84" t="s">
        <v>106</v>
      </c>
      <c r="AT84" t="s">
        <v>106</v>
      </c>
      <c r="AU84" t="s">
        <v>106</v>
      </c>
      <c r="AV84" t="s">
        <v>106</v>
      </c>
      <c r="AW84" t="s">
        <v>106</v>
      </c>
      <c r="AX84" t="s">
        <v>106</v>
      </c>
      <c r="AY84" t="s">
        <v>106</v>
      </c>
      <c r="AZ84" t="s">
        <v>106</v>
      </c>
      <c r="BA84" t="s">
        <v>106</v>
      </c>
      <c r="BB84" t="s">
        <v>106</v>
      </c>
      <c r="BC84" t="s">
        <v>106</v>
      </c>
      <c r="BD84" t="s">
        <v>106</v>
      </c>
      <c r="BE84" t="s">
        <v>106</v>
      </c>
      <c r="BF84" t="s">
        <v>106</v>
      </c>
      <c r="BG84" t="s">
        <v>106</v>
      </c>
      <c r="BH84" t="s">
        <v>106</v>
      </c>
      <c r="BI84" t="s">
        <v>106</v>
      </c>
      <c r="BJ84" t="s">
        <v>106</v>
      </c>
      <c r="BK84">
        <v>161.80000000000001</v>
      </c>
      <c r="BL84">
        <v>161.80000000000001</v>
      </c>
      <c r="BM84" t="s">
        <v>106</v>
      </c>
    </row>
    <row r="85" spans="1:65">
      <c r="A85" t="s">
        <v>188</v>
      </c>
      <c r="B85" t="s">
        <v>105</v>
      </c>
      <c r="C85" t="s">
        <v>105</v>
      </c>
      <c r="D85" t="s">
        <v>105</v>
      </c>
      <c r="E85" t="s">
        <v>105</v>
      </c>
      <c r="F85" t="s">
        <v>106</v>
      </c>
      <c r="G85" t="s">
        <v>106</v>
      </c>
      <c r="H85" t="s">
        <v>106</v>
      </c>
      <c r="I85">
        <v>73991.399999999994</v>
      </c>
      <c r="J85" t="s">
        <v>106</v>
      </c>
      <c r="K85" t="s">
        <v>106</v>
      </c>
      <c r="L85" t="s">
        <v>106</v>
      </c>
      <c r="M85" t="s">
        <v>106</v>
      </c>
      <c r="N85" t="s">
        <v>106</v>
      </c>
      <c r="O85" t="s">
        <v>106</v>
      </c>
      <c r="P85" t="s">
        <v>106</v>
      </c>
      <c r="Q85" t="s">
        <v>106</v>
      </c>
      <c r="R85" t="s">
        <v>106</v>
      </c>
      <c r="S85">
        <v>63629</v>
      </c>
      <c r="T85">
        <v>17494.3</v>
      </c>
      <c r="U85" t="s">
        <v>106</v>
      </c>
      <c r="V85" t="s">
        <v>106</v>
      </c>
      <c r="W85" t="s">
        <v>106</v>
      </c>
      <c r="X85" t="s">
        <v>106</v>
      </c>
      <c r="Y85">
        <v>15132.2</v>
      </c>
      <c r="Z85">
        <v>1925.2</v>
      </c>
      <c r="AA85" t="s">
        <v>106</v>
      </c>
      <c r="AB85" t="s">
        <v>106</v>
      </c>
      <c r="AC85" t="s">
        <v>106</v>
      </c>
      <c r="AD85" t="s">
        <v>106</v>
      </c>
      <c r="AE85" t="s">
        <v>106</v>
      </c>
      <c r="AF85">
        <v>11.4</v>
      </c>
      <c r="AG85">
        <v>6.9</v>
      </c>
      <c r="AH85" t="s">
        <v>106</v>
      </c>
      <c r="AI85" t="s">
        <v>106</v>
      </c>
      <c r="AJ85">
        <v>9413.7000000000007</v>
      </c>
      <c r="AK85" t="s">
        <v>106</v>
      </c>
      <c r="AL85" t="s">
        <v>106</v>
      </c>
      <c r="AM85" t="s">
        <v>106</v>
      </c>
      <c r="AN85" t="s">
        <v>106</v>
      </c>
      <c r="AO85" t="s">
        <v>106</v>
      </c>
      <c r="AP85">
        <v>14679.6</v>
      </c>
      <c r="AQ85">
        <v>15252.3</v>
      </c>
      <c r="AR85">
        <v>7618.4</v>
      </c>
      <c r="AS85">
        <v>3766.8</v>
      </c>
      <c r="AT85">
        <v>4862.5</v>
      </c>
      <c r="AU85">
        <v>13914.5</v>
      </c>
      <c r="AV85">
        <v>147.5</v>
      </c>
      <c r="AW85">
        <v>735</v>
      </c>
      <c r="AX85" t="s">
        <v>106</v>
      </c>
      <c r="AY85" t="s">
        <v>106</v>
      </c>
      <c r="AZ85" t="s">
        <v>106</v>
      </c>
      <c r="BA85" t="s">
        <v>106</v>
      </c>
      <c r="BB85" t="s">
        <v>106</v>
      </c>
      <c r="BC85" t="s">
        <v>106</v>
      </c>
      <c r="BD85" t="s">
        <v>106</v>
      </c>
      <c r="BE85" t="s">
        <v>106</v>
      </c>
      <c r="BF85" t="s">
        <v>106</v>
      </c>
      <c r="BG85" t="s">
        <v>106</v>
      </c>
      <c r="BH85" t="s">
        <v>106</v>
      </c>
      <c r="BI85" t="s">
        <v>106</v>
      </c>
      <c r="BJ85" t="s">
        <v>106</v>
      </c>
      <c r="BK85">
        <v>54980.7</v>
      </c>
      <c r="BL85">
        <v>297561.40000000002</v>
      </c>
      <c r="BM85">
        <v>46176.9</v>
      </c>
    </row>
    <row r="86" spans="1:65">
      <c r="B86" t="s">
        <v>189</v>
      </c>
      <c r="C86" t="s">
        <v>105</v>
      </c>
      <c r="D86" t="s">
        <v>105</v>
      </c>
      <c r="E86" t="s">
        <v>105</v>
      </c>
      <c r="F86" t="s">
        <v>106</v>
      </c>
      <c r="G86" t="s">
        <v>106</v>
      </c>
      <c r="H86" t="s">
        <v>106</v>
      </c>
      <c r="I86" t="s">
        <v>106</v>
      </c>
      <c r="J86" t="s">
        <v>106</v>
      </c>
      <c r="K86" t="s">
        <v>106</v>
      </c>
      <c r="L86" t="s">
        <v>106</v>
      </c>
      <c r="M86" t="s">
        <v>106</v>
      </c>
      <c r="N86" t="s">
        <v>106</v>
      </c>
      <c r="O86" t="s">
        <v>106</v>
      </c>
      <c r="P86" t="s">
        <v>106</v>
      </c>
      <c r="Q86" t="s">
        <v>106</v>
      </c>
      <c r="R86" t="s">
        <v>106</v>
      </c>
      <c r="S86">
        <v>61793.9</v>
      </c>
      <c r="T86">
        <v>5965.6</v>
      </c>
      <c r="U86" t="s">
        <v>106</v>
      </c>
      <c r="V86" t="s">
        <v>106</v>
      </c>
      <c r="W86" t="s">
        <v>106</v>
      </c>
      <c r="X86" t="s">
        <v>106</v>
      </c>
      <c r="Y86" t="s">
        <v>106</v>
      </c>
      <c r="Z86">
        <v>1.8</v>
      </c>
      <c r="AA86" t="s">
        <v>106</v>
      </c>
      <c r="AB86" t="s">
        <v>106</v>
      </c>
      <c r="AC86" t="s">
        <v>106</v>
      </c>
      <c r="AD86" t="s">
        <v>106</v>
      </c>
      <c r="AE86" t="s">
        <v>106</v>
      </c>
      <c r="AF86">
        <v>1.6</v>
      </c>
      <c r="AG86" t="s">
        <v>106</v>
      </c>
      <c r="AH86" t="s">
        <v>106</v>
      </c>
      <c r="AI86" t="s">
        <v>106</v>
      </c>
      <c r="AJ86">
        <v>2644.5</v>
      </c>
      <c r="AK86" t="s">
        <v>106</v>
      </c>
      <c r="AL86" t="s">
        <v>106</v>
      </c>
      <c r="AM86" t="s">
        <v>106</v>
      </c>
      <c r="AN86" t="s">
        <v>106</v>
      </c>
      <c r="AO86" t="s">
        <v>106</v>
      </c>
      <c r="AP86" t="s">
        <v>106</v>
      </c>
      <c r="AQ86" t="s">
        <v>106</v>
      </c>
      <c r="AR86">
        <v>2815</v>
      </c>
      <c r="AS86">
        <v>2624.8</v>
      </c>
      <c r="AT86">
        <v>455.1</v>
      </c>
      <c r="AU86">
        <v>2017</v>
      </c>
      <c r="AV86" t="s">
        <v>106</v>
      </c>
      <c r="AW86" t="s">
        <v>106</v>
      </c>
      <c r="AX86" t="s">
        <v>106</v>
      </c>
      <c r="AY86" t="s">
        <v>106</v>
      </c>
      <c r="AZ86" t="s">
        <v>106</v>
      </c>
      <c r="BA86" t="s">
        <v>106</v>
      </c>
      <c r="BB86" t="s">
        <v>106</v>
      </c>
      <c r="BC86" t="s">
        <v>106</v>
      </c>
      <c r="BD86" t="s">
        <v>106</v>
      </c>
      <c r="BE86" t="s">
        <v>106</v>
      </c>
      <c r="BF86" t="s">
        <v>106</v>
      </c>
      <c r="BG86" t="s">
        <v>106</v>
      </c>
      <c r="BH86" t="s">
        <v>106</v>
      </c>
      <c r="BI86" t="s">
        <v>106</v>
      </c>
      <c r="BJ86" t="s">
        <v>106</v>
      </c>
      <c r="BK86">
        <v>43948.2</v>
      </c>
      <c r="BL86">
        <v>122267.5</v>
      </c>
      <c r="BM86">
        <v>7911.8</v>
      </c>
    </row>
    <row r="87" spans="1:65">
      <c r="B87" t="s">
        <v>190</v>
      </c>
      <c r="C87" t="s">
        <v>105</v>
      </c>
      <c r="D87" t="s">
        <v>105</v>
      </c>
      <c r="E87" t="s">
        <v>105</v>
      </c>
      <c r="F87" t="s">
        <v>106</v>
      </c>
      <c r="G87" t="s">
        <v>106</v>
      </c>
      <c r="H87" t="s">
        <v>106</v>
      </c>
      <c r="I87">
        <v>73991.399999999994</v>
      </c>
      <c r="J87" t="s">
        <v>106</v>
      </c>
      <c r="K87" t="s">
        <v>106</v>
      </c>
      <c r="L87" t="s">
        <v>106</v>
      </c>
      <c r="M87" t="s">
        <v>106</v>
      </c>
      <c r="N87" t="s">
        <v>106</v>
      </c>
      <c r="O87" t="s">
        <v>106</v>
      </c>
      <c r="P87" t="s">
        <v>106</v>
      </c>
      <c r="Q87" t="s">
        <v>106</v>
      </c>
      <c r="R87" t="s">
        <v>106</v>
      </c>
      <c r="S87">
        <v>723.5</v>
      </c>
      <c r="T87">
        <v>4447.3999999999996</v>
      </c>
      <c r="U87" t="s">
        <v>106</v>
      </c>
      <c r="V87" t="s">
        <v>106</v>
      </c>
      <c r="W87" t="s">
        <v>106</v>
      </c>
      <c r="X87" t="s">
        <v>106</v>
      </c>
      <c r="Y87">
        <v>15132.2</v>
      </c>
      <c r="Z87">
        <v>1855.3</v>
      </c>
      <c r="AA87" t="s">
        <v>106</v>
      </c>
      <c r="AB87" t="s">
        <v>106</v>
      </c>
      <c r="AC87" t="s">
        <v>106</v>
      </c>
      <c r="AD87" t="s">
        <v>106</v>
      </c>
      <c r="AE87" t="s">
        <v>106</v>
      </c>
      <c r="AF87" t="s">
        <v>106</v>
      </c>
      <c r="AG87" t="s">
        <v>106</v>
      </c>
      <c r="AH87" t="s">
        <v>106</v>
      </c>
      <c r="AI87" t="s">
        <v>106</v>
      </c>
      <c r="AJ87">
        <v>3778</v>
      </c>
      <c r="AK87" t="s">
        <v>106</v>
      </c>
      <c r="AL87" t="s">
        <v>106</v>
      </c>
      <c r="AM87" t="s">
        <v>106</v>
      </c>
      <c r="AN87" t="s">
        <v>106</v>
      </c>
      <c r="AO87" t="s">
        <v>106</v>
      </c>
      <c r="AP87">
        <v>14679.6</v>
      </c>
      <c r="AQ87">
        <v>14656.1</v>
      </c>
      <c r="AR87" t="s">
        <v>106</v>
      </c>
      <c r="AS87">
        <v>1142.0999999999999</v>
      </c>
      <c r="AT87">
        <v>3832.7</v>
      </c>
      <c r="AU87">
        <v>11297.6</v>
      </c>
      <c r="AV87" t="s">
        <v>106</v>
      </c>
      <c r="AW87" t="s">
        <v>106</v>
      </c>
      <c r="AX87" t="s">
        <v>106</v>
      </c>
      <c r="AY87" t="s">
        <v>106</v>
      </c>
      <c r="AZ87" t="s">
        <v>106</v>
      </c>
      <c r="BA87" t="s">
        <v>106</v>
      </c>
      <c r="BB87" t="s">
        <v>106</v>
      </c>
      <c r="BC87" t="s">
        <v>106</v>
      </c>
      <c r="BD87" t="s">
        <v>106</v>
      </c>
      <c r="BE87" t="s">
        <v>106</v>
      </c>
      <c r="BF87" t="s">
        <v>106</v>
      </c>
      <c r="BG87" t="s">
        <v>106</v>
      </c>
      <c r="BH87" t="s">
        <v>106</v>
      </c>
      <c r="BI87" t="s">
        <v>106</v>
      </c>
      <c r="BJ87" t="s">
        <v>106</v>
      </c>
      <c r="BK87">
        <v>8256.4</v>
      </c>
      <c r="BL87">
        <v>153792.20000000001</v>
      </c>
      <c r="BM87">
        <v>31404.5</v>
      </c>
    </row>
    <row r="88" spans="1:65">
      <c r="B88" t="s">
        <v>191</v>
      </c>
      <c r="C88" t="s">
        <v>105</v>
      </c>
      <c r="D88" t="s">
        <v>105</v>
      </c>
      <c r="E88" t="s">
        <v>105</v>
      </c>
      <c r="F88" t="s">
        <v>106</v>
      </c>
      <c r="G88" t="s">
        <v>106</v>
      </c>
      <c r="H88" t="s">
        <v>106</v>
      </c>
      <c r="I88" t="s">
        <v>106</v>
      </c>
      <c r="J88" t="s">
        <v>106</v>
      </c>
      <c r="K88" t="s">
        <v>106</v>
      </c>
      <c r="L88" t="s">
        <v>106</v>
      </c>
      <c r="M88" t="s">
        <v>106</v>
      </c>
      <c r="N88" t="s">
        <v>106</v>
      </c>
      <c r="O88" t="s">
        <v>106</v>
      </c>
      <c r="P88" t="s">
        <v>106</v>
      </c>
      <c r="Q88" t="s">
        <v>106</v>
      </c>
      <c r="R88" t="s">
        <v>106</v>
      </c>
      <c r="S88">
        <v>1111.5999999999999</v>
      </c>
      <c r="T88">
        <v>6681.4</v>
      </c>
      <c r="U88" t="s">
        <v>106</v>
      </c>
      <c r="V88" t="s">
        <v>106</v>
      </c>
      <c r="W88" t="s">
        <v>106</v>
      </c>
      <c r="X88" t="s">
        <v>106</v>
      </c>
      <c r="Y88" t="s">
        <v>106</v>
      </c>
      <c r="Z88">
        <v>26.9</v>
      </c>
      <c r="AA88" t="s">
        <v>106</v>
      </c>
      <c r="AB88" t="s">
        <v>106</v>
      </c>
      <c r="AC88" t="s">
        <v>106</v>
      </c>
      <c r="AD88" t="s">
        <v>106</v>
      </c>
      <c r="AE88" t="s">
        <v>106</v>
      </c>
      <c r="AF88">
        <v>9.8000000000000007</v>
      </c>
      <c r="AG88">
        <v>0.3</v>
      </c>
      <c r="AH88" t="s">
        <v>106</v>
      </c>
      <c r="AI88" t="s">
        <v>106</v>
      </c>
      <c r="AJ88">
        <v>1379.1</v>
      </c>
      <c r="AK88" t="s">
        <v>106</v>
      </c>
      <c r="AL88" t="s">
        <v>106</v>
      </c>
      <c r="AM88" t="s">
        <v>106</v>
      </c>
      <c r="AN88" t="s">
        <v>106</v>
      </c>
      <c r="AO88" t="s">
        <v>106</v>
      </c>
      <c r="AP88" t="s">
        <v>106</v>
      </c>
      <c r="AQ88" t="s">
        <v>106</v>
      </c>
      <c r="AR88" t="s">
        <v>106</v>
      </c>
      <c r="AS88" t="s">
        <v>106</v>
      </c>
      <c r="AT88" t="s">
        <v>106</v>
      </c>
      <c r="AU88" t="s">
        <v>106</v>
      </c>
      <c r="AV88">
        <v>147.5</v>
      </c>
      <c r="AW88">
        <v>735</v>
      </c>
      <c r="AX88" t="s">
        <v>106</v>
      </c>
      <c r="AY88" t="s">
        <v>106</v>
      </c>
      <c r="AZ88" t="s">
        <v>106</v>
      </c>
      <c r="BA88" t="s">
        <v>106</v>
      </c>
      <c r="BB88" t="s">
        <v>106</v>
      </c>
      <c r="BC88" t="s">
        <v>106</v>
      </c>
      <c r="BD88" t="s">
        <v>106</v>
      </c>
      <c r="BE88" t="s">
        <v>106</v>
      </c>
      <c r="BF88" t="s">
        <v>106</v>
      </c>
      <c r="BG88" t="s">
        <v>106</v>
      </c>
      <c r="BH88" t="s">
        <v>106</v>
      </c>
      <c r="BI88" t="s">
        <v>106</v>
      </c>
      <c r="BJ88" t="s">
        <v>106</v>
      </c>
      <c r="BK88" t="s">
        <v>106</v>
      </c>
      <c r="BL88">
        <v>10091.700000000001</v>
      </c>
      <c r="BM88">
        <v>882.5</v>
      </c>
    </row>
    <row r="89" spans="1:65">
      <c r="B89" t="s">
        <v>192</v>
      </c>
      <c r="C89" t="s">
        <v>105</v>
      </c>
      <c r="D89" t="s">
        <v>105</v>
      </c>
      <c r="E89" t="s">
        <v>105</v>
      </c>
      <c r="F89" t="s">
        <v>106</v>
      </c>
      <c r="G89" t="s">
        <v>106</v>
      </c>
      <c r="H89" t="s">
        <v>106</v>
      </c>
      <c r="I89" t="s">
        <v>106</v>
      </c>
      <c r="J89" t="s">
        <v>106</v>
      </c>
      <c r="K89" t="s">
        <v>106</v>
      </c>
      <c r="L89" t="s">
        <v>106</v>
      </c>
      <c r="M89" t="s">
        <v>106</v>
      </c>
      <c r="N89" t="s">
        <v>106</v>
      </c>
      <c r="O89" t="s">
        <v>106</v>
      </c>
      <c r="P89" t="s">
        <v>106</v>
      </c>
      <c r="Q89" t="s">
        <v>106</v>
      </c>
      <c r="R89" t="s">
        <v>106</v>
      </c>
      <c r="S89" t="s">
        <v>106</v>
      </c>
      <c r="T89">
        <v>400</v>
      </c>
      <c r="U89" t="s">
        <v>106</v>
      </c>
      <c r="V89" t="s">
        <v>106</v>
      </c>
      <c r="W89" t="s">
        <v>106</v>
      </c>
      <c r="X89" t="s">
        <v>106</v>
      </c>
      <c r="Y89" t="s">
        <v>106</v>
      </c>
      <c r="Z89">
        <v>41.1</v>
      </c>
      <c r="AA89" t="s">
        <v>106</v>
      </c>
      <c r="AB89" t="s">
        <v>106</v>
      </c>
      <c r="AC89" t="s">
        <v>106</v>
      </c>
      <c r="AD89" t="s">
        <v>106</v>
      </c>
      <c r="AE89" t="s">
        <v>106</v>
      </c>
      <c r="AF89" t="s">
        <v>106</v>
      </c>
      <c r="AG89">
        <v>6.6</v>
      </c>
      <c r="AH89" t="s">
        <v>106</v>
      </c>
      <c r="AI89" t="s">
        <v>106</v>
      </c>
      <c r="AJ89">
        <v>1612.1</v>
      </c>
      <c r="AK89" t="s">
        <v>106</v>
      </c>
      <c r="AL89" t="s">
        <v>106</v>
      </c>
      <c r="AM89" t="s">
        <v>106</v>
      </c>
      <c r="AN89" t="s">
        <v>106</v>
      </c>
      <c r="AO89" t="s">
        <v>106</v>
      </c>
      <c r="AP89" t="s">
        <v>106</v>
      </c>
      <c r="AQ89">
        <v>596.20000000000005</v>
      </c>
      <c r="AR89">
        <v>4803.3999999999996</v>
      </c>
      <c r="AS89" t="s">
        <v>106</v>
      </c>
      <c r="AT89">
        <v>574.70000000000005</v>
      </c>
      <c r="AU89">
        <v>599.9</v>
      </c>
      <c r="AV89" t="s">
        <v>106</v>
      </c>
      <c r="AW89" t="s">
        <v>106</v>
      </c>
      <c r="AX89" t="s">
        <v>106</v>
      </c>
      <c r="AY89" t="s">
        <v>106</v>
      </c>
      <c r="AZ89" t="s">
        <v>106</v>
      </c>
      <c r="BA89" t="s">
        <v>106</v>
      </c>
      <c r="BB89" t="s">
        <v>106</v>
      </c>
      <c r="BC89" t="s">
        <v>106</v>
      </c>
      <c r="BD89" t="s">
        <v>106</v>
      </c>
      <c r="BE89" t="s">
        <v>106</v>
      </c>
      <c r="BF89" t="s">
        <v>106</v>
      </c>
      <c r="BG89" t="s">
        <v>106</v>
      </c>
      <c r="BH89" t="s">
        <v>106</v>
      </c>
      <c r="BI89" t="s">
        <v>106</v>
      </c>
      <c r="BJ89" t="s">
        <v>106</v>
      </c>
      <c r="BK89" t="s">
        <v>106</v>
      </c>
      <c r="BL89">
        <v>8633.9</v>
      </c>
      <c r="BM89">
        <v>5978.1</v>
      </c>
    </row>
    <row r="90" spans="1:65">
      <c r="B90" t="s">
        <v>193</v>
      </c>
      <c r="C90" t="s">
        <v>105</v>
      </c>
      <c r="D90" t="s">
        <v>105</v>
      </c>
      <c r="E90" t="s">
        <v>105</v>
      </c>
      <c r="F90" t="s">
        <v>106</v>
      </c>
      <c r="G90" t="s">
        <v>106</v>
      </c>
      <c r="H90" t="s">
        <v>106</v>
      </c>
      <c r="I90" t="s">
        <v>106</v>
      </c>
      <c r="J90" t="s">
        <v>106</v>
      </c>
      <c r="K90" t="s">
        <v>106</v>
      </c>
      <c r="L90" t="s">
        <v>106</v>
      </c>
      <c r="M90" t="s">
        <v>106</v>
      </c>
      <c r="N90" t="s">
        <v>106</v>
      </c>
      <c r="O90" t="s">
        <v>106</v>
      </c>
      <c r="P90" t="s">
        <v>106</v>
      </c>
      <c r="Q90" t="s">
        <v>106</v>
      </c>
      <c r="R90" t="s">
        <v>106</v>
      </c>
      <c r="S90" t="s">
        <v>106</v>
      </c>
      <c r="T90" t="s">
        <v>106</v>
      </c>
      <c r="U90" t="s">
        <v>106</v>
      </c>
      <c r="V90" t="s">
        <v>106</v>
      </c>
      <c r="W90" t="s">
        <v>106</v>
      </c>
      <c r="X90" t="s">
        <v>106</v>
      </c>
      <c r="Y90" t="s">
        <v>106</v>
      </c>
      <c r="Z90" t="s">
        <v>106</v>
      </c>
      <c r="AA90" t="s">
        <v>106</v>
      </c>
      <c r="AB90" t="s">
        <v>106</v>
      </c>
      <c r="AC90" t="s">
        <v>106</v>
      </c>
      <c r="AD90" t="s">
        <v>106</v>
      </c>
      <c r="AE90" t="s">
        <v>106</v>
      </c>
      <c r="AF90" t="s">
        <v>106</v>
      </c>
      <c r="AG90" t="s">
        <v>106</v>
      </c>
      <c r="AH90" t="s">
        <v>106</v>
      </c>
      <c r="AI90" t="s">
        <v>106</v>
      </c>
      <c r="AJ90" t="s">
        <v>106</v>
      </c>
      <c r="AK90" t="s">
        <v>106</v>
      </c>
      <c r="AL90" t="s">
        <v>106</v>
      </c>
      <c r="AM90" t="s">
        <v>106</v>
      </c>
      <c r="AN90" t="s">
        <v>106</v>
      </c>
      <c r="AO90" t="s">
        <v>106</v>
      </c>
      <c r="AP90" t="s">
        <v>106</v>
      </c>
      <c r="AQ90" t="s">
        <v>106</v>
      </c>
      <c r="AR90" t="s">
        <v>106</v>
      </c>
      <c r="AS90" t="s">
        <v>106</v>
      </c>
      <c r="AT90" t="s">
        <v>106</v>
      </c>
      <c r="AU90" t="s">
        <v>106</v>
      </c>
      <c r="AV90" t="s">
        <v>106</v>
      </c>
      <c r="AW90" t="s">
        <v>106</v>
      </c>
      <c r="AX90" t="s">
        <v>106</v>
      </c>
      <c r="AY90" t="s">
        <v>106</v>
      </c>
      <c r="AZ90" t="s">
        <v>106</v>
      </c>
      <c r="BA90" t="s">
        <v>106</v>
      </c>
      <c r="BB90" t="s">
        <v>106</v>
      </c>
      <c r="BC90" t="s">
        <v>106</v>
      </c>
      <c r="BD90" t="s">
        <v>106</v>
      </c>
      <c r="BE90" t="s">
        <v>106</v>
      </c>
      <c r="BF90" t="s">
        <v>106</v>
      </c>
      <c r="BG90" t="s">
        <v>106</v>
      </c>
      <c r="BH90" t="s">
        <v>106</v>
      </c>
      <c r="BI90" t="s">
        <v>106</v>
      </c>
      <c r="BJ90" t="s">
        <v>106</v>
      </c>
      <c r="BK90">
        <v>2776.1</v>
      </c>
      <c r="BL90">
        <v>2776.1</v>
      </c>
      <c r="BM90" t="s">
        <v>106</v>
      </c>
    </row>
    <row r="92" spans="1:65" ht="17">
      <c r="A92" s="3" t="s">
        <v>194</v>
      </c>
      <c r="F92" s="4" t="s">
        <v>8</v>
      </c>
      <c r="G92" s="4" t="s">
        <v>8</v>
      </c>
      <c r="H92" s="4" t="s">
        <v>8</v>
      </c>
      <c r="I92" s="4" t="s">
        <v>8</v>
      </c>
      <c r="J92" s="4" t="s">
        <v>8</v>
      </c>
      <c r="K92" s="4" t="s">
        <v>30</v>
      </c>
      <c r="L92" s="4" t="s">
        <v>8</v>
      </c>
      <c r="M92" s="4" t="s">
        <v>8</v>
      </c>
      <c r="N92" s="4" t="s">
        <v>8</v>
      </c>
      <c r="O92" s="4" t="s">
        <v>8</v>
      </c>
      <c r="P92" s="4" t="s">
        <v>8</v>
      </c>
      <c r="Q92" s="4" t="s">
        <v>8</v>
      </c>
      <c r="R92" s="4" t="s">
        <v>8</v>
      </c>
      <c r="S92" s="4" t="s">
        <v>10</v>
      </c>
      <c r="T92" s="4" t="s">
        <v>10</v>
      </c>
      <c r="U92" s="4" t="s">
        <v>31</v>
      </c>
      <c r="V92" s="4" t="s">
        <v>31</v>
      </c>
      <c r="W92" s="4" t="s">
        <v>31</v>
      </c>
      <c r="X92" s="4" t="s">
        <v>31</v>
      </c>
      <c r="Y92" s="4" t="s">
        <v>33</v>
      </c>
      <c r="Z92" s="4" t="s">
        <v>33</v>
      </c>
      <c r="AA92" s="4" t="s">
        <v>33</v>
      </c>
      <c r="AB92" s="4" t="s">
        <v>21</v>
      </c>
      <c r="AC92" s="4" t="s">
        <v>21</v>
      </c>
      <c r="AD92" s="4" t="s">
        <v>27</v>
      </c>
      <c r="AE92" s="4" t="s">
        <v>27</v>
      </c>
      <c r="AF92" s="4" t="s">
        <v>27</v>
      </c>
      <c r="AG92" s="4" t="s">
        <v>24</v>
      </c>
      <c r="AH92" s="4" t="s">
        <v>32</v>
      </c>
      <c r="AI92" s="4" t="s">
        <v>32</v>
      </c>
      <c r="AJ92" s="4" t="s">
        <v>32</v>
      </c>
      <c r="AK92" s="4" t="s">
        <v>33</v>
      </c>
      <c r="AL92" s="4" t="s">
        <v>24</v>
      </c>
      <c r="AM92" s="4" t="s">
        <v>32</v>
      </c>
      <c r="AN92" s="4" t="s">
        <v>24</v>
      </c>
      <c r="AO92" s="4" t="s">
        <v>32</v>
      </c>
      <c r="AP92" s="4" t="s">
        <v>24</v>
      </c>
      <c r="AQ92" s="4" t="s">
        <v>32</v>
      </c>
      <c r="AR92" s="4" t="s">
        <v>19</v>
      </c>
      <c r="AS92" s="4" t="s">
        <v>34</v>
      </c>
      <c r="AT92" s="4" t="s">
        <v>34</v>
      </c>
      <c r="AU92" s="4" t="s">
        <v>19</v>
      </c>
      <c r="AV92" s="4" t="s">
        <v>19</v>
      </c>
      <c r="AW92" s="4" t="s">
        <v>19</v>
      </c>
      <c r="AX92" s="4" t="s">
        <v>25</v>
      </c>
      <c r="AY92" s="4" t="s">
        <v>26</v>
      </c>
      <c r="AZ92" s="4" t="s">
        <v>19</v>
      </c>
      <c r="BA92" s="4" t="s">
        <v>19</v>
      </c>
      <c r="BB92" s="4" t="s">
        <v>12</v>
      </c>
      <c r="BC92" s="4" t="s">
        <v>14</v>
      </c>
      <c r="BD92" s="4" t="s">
        <v>29</v>
      </c>
      <c r="BE92" s="4" t="s">
        <v>18</v>
      </c>
      <c r="BF92" s="4" t="s">
        <v>18</v>
      </c>
      <c r="BG92" s="4"/>
      <c r="BH92" s="4" t="s">
        <v>16</v>
      </c>
      <c r="BI92" s="4"/>
      <c r="BJ92" s="4" t="s">
        <v>4</v>
      </c>
      <c r="BK92" s="4" t="s">
        <v>28</v>
      </c>
    </row>
    <row r="93" spans="1:65" ht="17">
      <c r="A93" s="3" t="s">
        <v>195</v>
      </c>
      <c r="F93" s="4">
        <f t="shared" ref="F93:X93" si="0">F3</f>
        <v>512.70000000000005</v>
      </c>
      <c r="G93" s="4" t="str">
        <f t="shared" si="0"/>
        <v>-</v>
      </c>
      <c r="H93" s="4" t="str">
        <f t="shared" si="0"/>
        <v>-</v>
      </c>
      <c r="I93" s="4" t="str">
        <f t="shared" si="0"/>
        <v>-</v>
      </c>
      <c r="J93" s="4" t="str">
        <f t="shared" si="0"/>
        <v>-</v>
      </c>
      <c r="K93" s="4" t="str">
        <f t="shared" si="0"/>
        <v>-</v>
      </c>
      <c r="L93" s="4" t="str">
        <f t="shared" si="0"/>
        <v>-</v>
      </c>
      <c r="M93" s="4" t="str">
        <f t="shared" si="0"/>
        <v>-</v>
      </c>
      <c r="N93" s="4" t="str">
        <f t="shared" si="0"/>
        <v>-</v>
      </c>
      <c r="O93" s="4" t="str">
        <f t="shared" si="0"/>
        <v>-</v>
      </c>
      <c r="P93" s="4" t="str">
        <f t="shared" si="0"/>
        <v>-</v>
      </c>
      <c r="Q93" s="4" t="str">
        <f t="shared" si="0"/>
        <v>-</v>
      </c>
      <c r="R93" s="4" t="str">
        <f t="shared" si="0"/>
        <v>-</v>
      </c>
      <c r="S93" s="4">
        <f t="shared" si="0"/>
        <v>259</v>
      </c>
      <c r="T93" s="4" t="str">
        <f t="shared" si="0"/>
        <v>-</v>
      </c>
      <c r="U93" s="4">
        <f t="shared" si="0"/>
        <v>22.7</v>
      </c>
      <c r="V93" s="4" t="str">
        <f t="shared" si="0"/>
        <v>-</v>
      </c>
      <c r="W93" s="4" t="str">
        <f t="shared" si="0"/>
        <v>-</v>
      </c>
      <c r="X93" s="4" t="str">
        <f t="shared" si="0"/>
        <v>-</v>
      </c>
      <c r="Y93" s="4">
        <f t="shared" ref="Y93:AQ93" si="1">Y27</f>
        <v>3696.7</v>
      </c>
      <c r="Z93" s="4">
        <f t="shared" si="1"/>
        <v>1425.9</v>
      </c>
      <c r="AA93" s="4">
        <f t="shared" si="1"/>
        <v>2562.5</v>
      </c>
      <c r="AB93" s="4">
        <f t="shared" si="1"/>
        <v>21143</v>
      </c>
      <c r="AC93" s="4">
        <f t="shared" si="1"/>
        <v>14</v>
      </c>
      <c r="AD93" s="4" t="str">
        <f t="shared" si="1"/>
        <v>-</v>
      </c>
      <c r="AE93" s="4">
        <f t="shared" si="1"/>
        <v>23660</v>
      </c>
      <c r="AF93" s="4">
        <f t="shared" si="1"/>
        <v>2996.8</v>
      </c>
      <c r="AG93" s="4">
        <f t="shared" si="1"/>
        <v>52765</v>
      </c>
      <c r="AH93" s="4">
        <f t="shared" si="1"/>
        <v>294.3</v>
      </c>
      <c r="AI93" s="4">
        <f t="shared" si="1"/>
        <v>20.2</v>
      </c>
      <c r="AJ93" s="4">
        <f t="shared" si="1"/>
        <v>9078</v>
      </c>
      <c r="AK93" s="4">
        <f t="shared" si="1"/>
        <v>40146.800000000003</v>
      </c>
      <c r="AL93" s="4">
        <f t="shared" si="1"/>
        <v>544.5</v>
      </c>
      <c r="AM93" s="4">
        <f t="shared" si="1"/>
        <v>3169.3</v>
      </c>
      <c r="AN93" s="4">
        <f t="shared" si="1"/>
        <v>4988</v>
      </c>
      <c r="AO93" s="4">
        <f t="shared" si="1"/>
        <v>20</v>
      </c>
      <c r="AP93" s="4">
        <f t="shared" si="1"/>
        <v>603.70000000000005</v>
      </c>
      <c r="AQ93" s="4">
        <f t="shared" si="1"/>
        <v>3616.5</v>
      </c>
      <c r="AR93" s="4">
        <f t="shared" ref="AR93:BK93" si="2">AR3</f>
        <v>1806.9</v>
      </c>
      <c r="AS93" s="4">
        <f t="shared" si="2"/>
        <v>974.1</v>
      </c>
      <c r="AT93" s="4">
        <f t="shared" si="2"/>
        <v>669.9</v>
      </c>
      <c r="AU93" s="4">
        <f t="shared" si="2"/>
        <v>2804.4</v>
      </c>
      <c r="AV93" s="4">
        <f t="shared" si="2"/>
        <v>96.3</v>
      </c>
      <c r="AW93" s="4">
        <f t="shared" si="2"/>
        <v>75.5</v>
      </c>
      <c r="AX93" s="4" t="str">
        <f t="shared" si="2"/>
        <v>-</v>
      </c>
      <c r="AY93" s="4">
        <f t="shared" si="2"/>
        <v>687.8</v>
      </c>
      <c r="AZ93" s="4">
        <f t="shared" si="2"/>
        <v>488.9</v>
      </c>
      <c r="BA93" s="4" t="str">
        <f t="shared" si="2"/>
        <v>-</v>
      </c>
      <c r="BB93" s="4">
        <f t="shared" si="2"/>
        <v>31078.799999999999</v>
      </c>
      <c r="BC93" s="4">
        <f t="shared" si="2"/>
        <v>594.5</v>
      </c>
      <c r="BD93" s="4">
        <f t="shared" si="2"/>
        <v>224.7</v>
      </c>
      <c r="BE93" s="4">
        <f t="shared" si="2"/>
        <v>3016.7</v>
      </c>
      <c r="BF93" s="4">
        <f t="shared" si="2"/>
        <v>26.9</v>
      </c>
      <c r="BG93" s="4">
        <f t="shared" si="2"/>
        <v>101</v>
      </c>
      <c r="BH93" s="4">
        <f t="shared" si="2"/>
        <v>570.70000000000005</v>
      </c>
      <c r="BI93" s="4" t="str">
        <f t="shared" si="2"/>
        <v>-</v>
      </c>
      <c r="BJ93" s="4" t="str">
        <f t="shared" si="2"/>
        <v>-</v>
      </c>
      <c r="BK93" s="4">
        <f t="shared" si="2"/>
        <v>66.3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M93"/>
  <sheetViews>
    <sheetView workbookViewId="0">
      <pane xSplit="5" ySplit="2" topLeftCell="F3" activePane="bottomRight" state="frozen"/>
      <selection pane="topRight"/>
      <selection pane="bottomLeft"/>
      <selection pane="bottomRight"/>
    </sheetView>
  </sheetViews>
  <sheetFormatPr defaultRowHeight="14.5"/>
  <cols>
    <col min="1" max="1" width="14" customWidth="1"/>
  </cols>
  <sheetData>
    <row r="1" spans="1:6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196</v>
      </c>
      <c r="G1" t="s">
        <v>196</v>
      </c>
      <c r="H1" t="s">
        <v>196</v>
      </c>
      <c r="I1" t="s">
        <v>196</v>
      </c>
      <c r="J1" t="s">
        <v>196</v>
      </c>
      <c r="K1" t="s">
        <v>196</v>
      </c>
      <c r="L1" t="s">
        <v>196</v>
      </c>
      <c r="M1" t="s">
        <v>196</v>
      </c>
      <c r="N1" t="s">
        <v>196</v>
      </c>
      <c r="O1" t="s">
        <v>196</v>
      </c>
      <c r="P1" t="s">
        <v>196</v>
      </c>
      <c r="Q1" t="s">
        <v>196</v>
      </c>
      <c r="R1" t="s">
        <v>196</v>
      </c>
      <c r="S1" t="s">
        <v>196</v>
      </c>
      <c r="T1" t="s">
        <v>196</v>
      </c>
      <c r="U1" t="s">
        <v>196</v>
      </c>
      <c r="V1" t="s">
        <v>196</v>
      </c>
      <c r="W1" t="s">
        <v>196</v>
      </c>
      <c r="X1" t="s">
        <v>196</v>
      </c>
      <c r="Y1" t="s">
        <v>196</v>
      </c>
      <c r="Z1" t="s">
        <v>196</v>
      </c>
      <c r="AA1" t="s">
        <v>196</v>
      </c>
      <c r="AB1" t="s">
        <v>196</v>
      </c>
      <c r="AC1" t="s">
        <v>196</v>
      </c>
      <c r="AD1" t="s">
        <v>196</v>
      </c>
      <c r="AE1" t="s">
        <v>196</v>
      </c>
      <c r="AF1" t="s">
        <v>196</v>
      </c>
      <c r="AG1" t="s">
        <v>196</v>
      </c>
      <c r="AH1" t="s">
        <v>196</v>
      </c>
      <c r="AI1" t="s">
        <v>196</v>
      </c>
      <c r="AJ1" t="s">
        <v>196</v>
      </c>
      <c r="AK1" t="s">
        <v>196</v>
      </c>
      <c r="AL1" t="s">
        <v>196</v>
      </c>
      <c r="AM1" t="s">
        <v>196</v>
      </c>
      <c r="AN1" t="s">
        <v>196</v>
      </c>
      <c r="AO1" t="s">
        <v>196</v>
      </c>
      <c r="AP1" t="s">
        <v>196</v>
      </c>
      <c r="AQ1" t="s">
        <v>196</v>
      </c>
      <c r="AR1" t="s">
        <v>196</v>
      </c>
      <c r="AS1" t="s">
        <v>196</v>
      </c>
      <c r="AT1" t="s">
        <v>196</v>
      </c>
      <c r="AU1" t="s">
        <v>196</v>
      </c>
      <c r="AV1" t="s">
        <v>196</v>
      </c>
      <c r="AW1" t="s">
        <v>196</v>
      </c>
      <c r="AX1" t="s">
        <v>196</v>
      </c>
      <c r="AY1" t="s">
        <v>196</v>
      </c>
      <c r="AZ1" t="s">
        <v>196</v>
      </c>
      <c r="BA1" t="s">
        <v>196</v>
      </c>
      <c r="BB1" t="s">
        <v>196</v>
      </c>
      <c r="BC1" t="s">
        <v>196</v>
      </c>
      <c r="BD1" t="s">
        <v>196</v>
      </c>
      <c r="BE1" t="s">
        <v>196</v>
      </c>
      <c r="BF1" t="s">
        <v>196</v>
      </c>
      <c r="BG1" t="s">
        <v>196</v>
      </c>
      <c r="BH1" t="s">
        <v>196</v>
      </c>
      <c r="BI1" t="s">
        <v>196</v>
      </c>
      <c r="BJ1" t="s">
        <v>196</v>
      </c>
      <c r="BK1" t="s">
        <v>196</v>
      </c>
      <c r="BL1" t="s">
        <v>196</v>
      </c>
      <c r="BM1" t="s">
        <v>196</v>
      </c>
    </row>
    <row r="2" spans="1:6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76</v>
      </c>
      <c r="AM2" t="s">
        <v>77</v>
      </c>
      <c r="AN2" t="s">
        <v>78</v>
      </c>
      <c r="AO2" t="s">
        <v>79</v>
      </c>
      <c r="AP2" t="s">
        <v>80</v>
      </c>
      <c r="AQ2" t="s">
        <v>81</v>
      </c>
      <c r="AR2" t="s">
        <v>82</v>
      </c>
      <c r="AS2" t="s">
        <v>83</v>
      </c>
      <c r="AT2" t="s">
        <v>84</v>
      </c>
      <c r="AU2" t="s">
        <v>85</v>
      </c>
      <c r="AV2" t="s">
        <v>86</v>
      </c>
      <c r="AW2" t="s">
        <v>87</v>
      </c>
      <c r="AX2" t="s">
        <v>88</v>
      </c>
      <c r="AY2" t="s">
        <v>89</v>
      </c>
      <c r="AZ2" t="s">
        <v>90</v>
      </c>
      <c r="BA2" t="s">
        <v>91</v>
      </c>
      <c r="BB2" t="s">
        <v>92</v>
      </c>
      <c r="BC2" t="s">
        <v>93</v>
      </c>
      <c r="BD2" t="s">
        <v>94</v>
      </c>
      <c r="BE2" t="s">
        <v>95</v>
      </c>
      <c r="BF2" t="s">
        <v>96</v>
      </c>
      <c r="BG2" t="s">
        <v>97</v>
      </c>
      <c r="BH2" t="s">
        <v>98</v>
      </c>
      <c r="BI2" t="s">
        <v>99</v>
      </c>
      <c r="BJ2" t="s">
        <v>100</v>
      </c>
      <c r="BK2" t="s">
        <v>101</v>
      </c>
      <c r="BL2" t="s">
        <v>102</v>
      </c>
      <c r="BM2" t="s">
        <v>103</v>
      </c>
    </row>
    <row r="3" spans="1:65">
      <c r="A3" t="s">
        <v>104</v>
      </c>
      <c r="B3" t="s">
        <v>105</v>
      </c>
      <c r="C3" t="s">
        <v>105</v>
      </c>
      <c r="D3" t="s">
        <v>105</v>
      </c>
      <c r="E3" t="s">
        <v>105</v>
      </c>
      <c r="F3">
        <v>482</v>
      </c>
      <c r="G3" t="s">
        <v>106</v>
      </c>
      <c r="H3" t="s">
        <v>106</v>
      </c>
      <c r="I3" t="s">
        <v>106</v>
      </c>
      <c r="J3" t="s">
        <v>106</v>
      </c>
      <c r="K3" t="s">
        <v>106</v>
      </c>
      <c r="L3" t="s">
        <v>106</v>
      </c>
      <c r="M3" t="s">
        <v>106</v>
      </c>
      <c r="N3" t="s">
        <v>106</v>
      </c>
      <c r="O3" t="s">
        <v>106</v>
      </c>
      <c r="P3" t="s">
        <v>106</v>
      </c>
      <c r="Q3" t="s">
        <v>106</v>
      </c>
      <c r="R3" t="s">
        <v>106</v>
      </c>
      <c r="S3">
        <v>185</v>
      </c>
      <c r="T3" t="s">
        <v>106</v>
      </c>
      <c r="U3">
        <v>15.1</v>
      </c>
      <c r="V3" t="s">
        <v>106</v>
      </c>
      <c r="W3" t="s">
        <v>106</v>
      </c>
      <c r="X3" t="s">
        <v>106</v>
      </c>
      <c r="Y3" t="s">
        <v>106</v>
      </c>
      <c r="Z3" t="s">
        <v>106</v>
      </c>
      <c r="AA3" t="s">
        <v>106</v>
      </c>
      <c r="AB3" t="s">
        <v>106</v>
      </c>
      <c r="AC3" t="s">
        <v>106</v>
      </c>
      <c r="AD3" t="s">
        <v>106</v>
      </c>
      <c r="AE3" t="s">
        <v>106</v>
      </c>
      <c r="AF3" t="s">
        <v>106</v>
      </c>
      <c r="AG3" t="s">
        <v>106</v>
      </c>
      <c r="AH3" t="s">
        <v>106</v>
      </c>
      <c r="AI3" t="s">
        <v>106</v>
      </c>
      <c r="AJ3" t="s">
        <v>106</v>
      </c>
      <c r="AK3" t="s">
        <v>106</v>
      </c>
      <c r="AL3" t="s">
        <v>106</v>
      </c>
      <c r="AM3" t="s">
        <v>106</v>
      </c>
      <c r="AN3" t="s">
        <v>106</v>
      </c>
      <c r="AO3" t="s">
        <v>106</v>
      </c>
      <c r="AP3" t="s">
        <v>106</v>
      </c>
      <c r="AQ3" t="s">
        <v>106</v>
      </c>
      <c r="AR3">
        <v>1881</v>
      </c>
      <c r="AS3">
        <v>989.8</v>
      </c>
      <c r="AT3">
        <v>703.8</v>
      </c>
      <c r="AU3">
        <v>2643.1</v>
      </c>
      <c r="AV3">
        <v>95.4</v>
      </c>
      <c r="AW3">
        <v>62.2</v>
      </c>
      <c r="AX3" t="s">
        <v>106</v>
      </c>
      <c r="AY3">
        <v>694.1</v>
      </c>
      <c r="AZ3">
        <v>408.6</v>
      </c>
      <c r="BA3" t="s">
        <v>106</v>
      </c>
      <c r="BB3">
        <v>34119.1</v>
      </c>
      <c r="BC3">
        <v>826.3</v>
      </c>
      <c r="BD3">
        <v>241</v>
      </c>
      <c r="BE3">
        <v>4110.3999999999996</v>
      </c>
      <c r="BF3">
        <v>26.4</v>
      </c>
      <c r="BG3">
        <v>97.4</v>
      </c>
      <c r="BH3">
        <v>670.9</v>
      </c>
      <c r="BI3" t="s">
        <v>106</v>
      </c>
      <c r="BJ3" t="s">
        <v>106</v>
      </c>
      <c r="BK3">
        <v>73.099999999999994</v>
      </c>
      <c r="BL3">
        <v>48324.6</v>
      </c>
      <c r="BM3">
        <v>13450.4</v>
      </c>
    </row>
    <row r="4" spans="1:65">
      <c r="A4" t="s">
        <v>107</v>
      </c>
      <c r="B4" t="s">
        <v>105</v>
      </c>
      <c r="C4" t="s">
        <v>105</v>
      </c>
      <c r="D4" t="s">
        <v>105</v>
      </c>
      <c r="E4" t="s">
        <v>105</v>
      </c>
      <c r="F4" t="s">
        <v>106</v>
      </c>
      <c r="G4">
        <v>3180.7</v>
      </c>
      <c r="H4">
        <v>14800.1</v>
      </c>
      <c r="I4">
        <v>55730.5</v>
      </c>
      <c r="J4">
        <v>936.8</v>
      </c>
      <c r="K4">
        <v>0</v>
      </c>
      <c r="L4">
        <v>24.9</v>
      </c>
      <c r="M4">
        <v>0.3</v>
      </c>
      <c r="N4">
        <v>201.9</v>
      </c>
      <c r="O4" t="s">
        <v>106</v>
      </c>
      <c r="P4" t="s">
        <v>106</v>
      </c>
      <c r="Q4" t="s">
        <v>106</v>
      </c>
      <c r="R4" t="s">
        <v>106</v>
      </c>
      <c r="S4">
        <v>52216.800000000003</v>
      </c>
      <c r="T4" t="s">
        <v>106</v>
      </c>
      <c r="U4">
        <v>143762.4</v>
      </c>
      <c r="V4">
        <v>1288.3</v>
      </c>
      <c r="W4" t="s">
        <v>106</v>
      </c>
      <c r="X4">
        <v>42.4</v>
      </c>
      <c r="Y4" t="s">
        <v>106</v>
      </c>
      <c r="Z4">
        <v>7870.8</v>
      </c>
      <c r="AA4">
        <v>2198.3000000000002</v>
      </c>
      <c r="AB4">
        <v>0</v>
      </c>
      <c r="AC4">
        <v>0.7</v>
      </c>
      <c r="AD4" t="s">
        <v>106</v>
      </c>
      <c r="AE4" t="s">
        <v>106</v>
      </c>
      <c r="AF4">
        <v>11.2</v>
      </c>
      <c r="AG4">
        <v>2.7</v>
      </c>
      <c r="AH4" t="s">
        <v>106</v>
      </c>
      <c r="AI4" t="s">
        <v>106</v>
      </c>
      <c r="AJ4">
        <v>4691.3</v>
      </c>
      <c r="AK4">
        <v>26461.599999999999</v>
      </c>
      <c r="AL4">
        <v>0.9</v>
      </c>
      <c r="AM4">
        <v>25</v>
      </c>
      <c r="AN4">
        <v>68.8</v>
      </c>
      <c r="AO4" t="s">
        <v>106</v>
      </c>
      <c r="AP4" t="s">
        <v>106</v>
      </c>
      <c r="AQ4" t="s">
        <v>106</v>
      </c>
      <c r="AR4" t="s">
        <v>106</v>
      </c>
      <c r="AS4" t="s">
        <v>106</v>
      </c>
      <c r="AT4" t="s">
        <v>106</v>
      </c>
      <c r="AU4" t="s">
        <v>106</v>
      </c>
      <c r="AV4" t="s">
        <v>106</v>
      </c>
      <c r="AW4" t="s">
        <v>106</v>
      </c>
      <c r="AX4" t="s">
        <v>106</v>
      </c>
      <c r="AY4" t="s">
        <v>106</v>
      </c>
      <c r="AZ4" t="s">
        <v>106</v>
      </c>
      <c r="BA4" t="s">
        <v>106</v>
      </c>
      <c r="BB4" t="s">
        <v>106</v>
      </c>
      <c r="BC4" t="s">
        <v>106</v>
      </c>
      <c r="BD4" t="s">
        <v>106</v>
      </c>
      <c r="BE4" t="s">
        <v>106</v>
      </c>
      <c r="BF4" t="s">
        <v>106</v>
      </c>
      <c r="BG4" t="s">
        <v>106</v>
      </c>
      <c r="BH4" t="s">
        <v>106</v>
      </c>
      <c r="BI4" t="s">
        <v>106</v>
      </c>
      <c r="BJ4" t="s">
        <v>106</v>
      </c>
      <c r="BK4" t="s">
        <v>106</v>
      </c>
      <c r="BL4">
        <v>313516.40000000002</v>
      </c>
      <c r="BM4" t="s">
        <v>106</v>
      </c>
    </row>
    <row r="5" spans="1:65">
      <c r="A5" t="s">
        <v>108</v>
      </c>
      <c r="B5" t="s">
        <v>105</v>
      </c>
      <c r="C5" t="s">
        <v>105</v>
      </c>
      <c r="D5" t="s">
        <v>105</v>
      </c>
      <c r="E5" t="s">
        <v>105</v>
      </c>
      <c r="F5" t="s">
        <v>106</v>
      </c>
      <c r="G5">
        <v>-0.1</v>
      </c>
      <c r="H5" t="s">
        <v>106</v>
      </c>
      <c r="I5" t="s">
        <v>106</v>
      </c>
      <c r="J5">
        <v>0</v>
      </c>
      <c r="K5" t="s">
        <v>106</v>
      </c>
      <c r="L5">
        <v>0</v>
      </c>
      <c r="M5" t="s">
        <v>106</v>
      </c>
      <c r="N5">
        <v>-110.3</v>
      </c>
      <c r="O5" t="s">
        <v>106</v>
      </c>
      <c r="P5" t="s">
        <v>106</v>
      </c>
      <c r="Q5" t="s">
        <v>106</v>
      </c>
      <c r="R5" t="s">
        <v>106</v>
      </c>
      <c r="S5" t="s">
        <v>106</v>
      </c>
      <c r="T5" t="s">
        <v>106</v>
      </c>
      <c r="U5" t="s">
        <v>106</v>
      </c>
      <c r="V5">
        <v>-25.5</v>
      </c>
      <c r="W5" t="s">
        <v>106</v>
      </c>
      <c r="X5">
        <v>-54.3</v>
      </c>
      <c r="Y5" t="s">
        <v>106</v>
      </c>
      <c r="Z5">
        <v>-566.6</v>
      </c>
      <c r="AA5">
        <v>-23.7</v>
      </c>
      <c r="AB5">
        <v>-9206.6</v>
      </c>
      <c r="AC5">
        <v>-16.2</v>
      </c>
      <c r="AD5" t="s">
        <v>106</v>
      </c>
      <c r="AE5">
        <v>-11386.1</v>
      </c>
      <c r="AF5">
        <v>-891.9</v>
      </c>
      <c r="AG5">
        <v>-28726.7</v>
      </c>
      <c r="AH5">
        <v>-28.9</v>
      </c>
      <c r="AI5" t="s">
        <v>106</v>
      </c>
      <c r="AJ5">
        <v>-2066.1</v>
      </c>
      <c r="AK5">
        <v>-4496.2</v>
      </c>
      <c r="AL5">
        <v>-251.3</v>
      </c>
      <c r="AM5">
        <v>-2645</v>
      </c>
      <c r="AN5">
        <v>-3161.1</v>
      </c>
      <c r="AO5" t="s">
        <v>106</v>
      </c>
      <c r="AP5" t="s">
        <v>106</v>
      </c>
      <c r="AQ5">
        <v>-1741.2</v>
      </c>
      <c r="AR5" t="s">
        <v>106</v>
      </c>
      <c r="AS5" t="s">
        <v>106</v>
      </c>
      <c r="AT5" t="s">
        <v>106</v>
      </c>
      <c r="AU5" t="s">
        <v>106</v>
      </c>
      <c r="AV5" t="s">
        <v>106</v>
      </c>
      <c r="AW5" t="s">
        <v>106</v>
      </c>
      <c r="AX5" t="s">
        <v>106</v>
      </c>
      <c r="AY5" t="s">
        <v>106</v>
      </c>
      <c r="AZ5" t="s">
        <v>106</v>
      </c>
      <c r="BA5" t="s">
        <v>106</v>
      </c>
      <c r="BB5" t="s">
        <v>106</v>
      </c>
      <c r="BC5" t="s">
        <v>106</v>
      </c>
      <c r="BD5" t="s">
        <v>106</v>
      </c>
      <c r="BE5" t="s">
        <v>106</v>
      </c>
      <c r="BF5" t="s">
        <v>106</v>
      </c>
      <c r="BG5" t="s">
        <v>106</v>
      </c>
      <c r="BH5" t="s">
        <v>106</v>
      </c>
      <c r="BI5" t="s">
        <v>106</v>
      </c>
      <c r="BJ5" t="s">
        <v>106</v>
      </c>
      <c r="BK5" t="s">
        <v>106</v>
      </c>
      <c r="BL5">
        <v>-65397.599999999999</v>
      </c>
      <c r="BM5" t="s">
        <v>106</v>
      </c>
    </row>
    <row r="6" spans="1:65">
      <c r="A6" t="s">
        <v>109</v>
      </c>
      <c r="B6" t="s">
        <v>105</v>
      </c>
      <c r="C6" t="s">
        <v>105</v>
      </c>
      <c r="D6" t="s">
        <v>105</v>
      </c>
      <c r="E6" t="s">
        <v>105</v>
      </c>
      <c r="F6" t="s">
        <v>106</v>
      </c>
      <c r="G6" t="s">
        <v>106</v>
      </c>
      <c r="H6" t="s">
        <v>106</v>
      </c>
      <c r="I6" t="s">
        <v>106</v>
      </c>
      <c r="J6" t="s">
        <v>106</v>
      </c>
      <c r="K6" t="s">
        <v>106</v>
      </c>
      <c r="L6" t="s">
        <v>106</v>
      </c>
      <c r="M6" t="s">
        <v>106</v>
      </c>
      <c r="N6" t="s">
        <v>106</v>
      </c>
      <c r="O6" t="s">
        <v>106</v>
      </c>
      <c r="P6" t="s">
        <v>106</v>
      </c>
      <c r="Q6" t="s">
        <v>106</v>
      </c>
      <c r="R6" t="s">
        <v>106</v>
      </c>
      <c r="S6">
        <v>-31.7</v>
      </c>
      <c r="T6" t="s">
        <v>106</v>
      </c>
      <c r="U6" t="s">
        <v>106</v>
      </c>
      <c r="V6" t="s">
        <v>106</v>
      </c>
      <c r="W6" t="s">
        <v>106</v>
      </c>
      <c r="X6" t="s">
        <v>106</v>
      </c>
      <c r="Y6" t="s">
        <v>106</v>
      </c>
      <c r="Z6">
        <v>0</v>
      </c>
      <c r="AA6" t="s">
        <v>106</v>
      </c>
      <c r="AB6">
        <v>0</v>
      </c>
      <c r="AC6" t="s">
        <v>106</v>
      </c>
      <c r="AD6" t="s">
        <v>106</v>
      </c>
      <c r="AE6" t="s">
        <v>106</v>
      </c>
      <c r="AF6" t="s">
        <v>106</v>
      </c>
      <c r="AG6">
        <v>-1455.5</v>
      </c>
      <c r="AH6">
        <v>-18.399999999999999</v>
      </c>
      <c r="AI6">
        <v>-0.4</v>
      </c>
      <c r="AJ6">
        <v>-8772.2000000000007</v>
      </c>
      <c r="AK6" t="s">
        <v>106</v>
      </c>
      <c r="AL6">
        <v>0</v>
      </c>
      <c r="AM6" t="s">
        <v>106</v>
      </c>
      <c r="AN6" t="s">
        <v>106</v>
      </c>
      <c r="AO6" t="s">
        <v>106</v>
      </c>
      <c r="AP6" t="s">
        <v>106</v>
      </c>
      <c r="AQ6" t="s">
        <v>106</v>
      </c>
      <c r="AR6" t="s">
        <v>106</v>
      </c>
      <c r="AS6" t="s">
        <v>106</v>
      </c>
      <c r="AT6" t="s">
        <v>106</v>
      </c>
      <c r="AU6" t="s">
        <v>106</v>
      </c>
      <c r="AV6" t="s">
        <v>106</v>
      </c>
      <c r="AW6" t="s">
        <v>106</v>
      </c>
      <c r="AX6" t="s">
        <v>106</v>
      </c>
      <c r="AY6" t="s">
        <v>106</v>
      </c>
      <c r="AZ6" t="s">
        <v>106</v>
      </c>
      <c r="BA6" t="s">
        <v>106</v>
      </c>
      <c r="BB6" t="s">
        <v>106</v>
      </c>
      <c r="BC6" t="s">
        <v>106</v>
      </c>
      <c r="BD6" t="s">
        <v>106</v>
      </c>
      <c r="BE6" t="s">
        <v>106</v>
      </c>
      <c r="BF6" t="s">
        <v>106</v>
      </c>
      <c r="BG6" t="s">
        <v>106</v>
      </c>
      <c r="BH6" t="s">
        <v>106</v>
      </c>
      <c r="BI6" t="s">
        <v>106</v>
      </c>
      <c r="BJ6" t="s">
        <v>106</v>
      </c>
      <c r="BK6" t="s">
        <v>106</v>
      </c>
      <c r="BL6">
        <v>-10278.299999999999</v>
      </c>
      <c r="BM6" t="s">
        <v>106</v>
      </c>
    </row>
    <row r="7" spans="1:65">
      <c r="A7" t="s">
        <v>110</v>
      </c>
      <c r="B7" t="s">
        <v>105</v>
      </c>
      <c r="C7" t="s">
        <v>105</v>
      </c>
      <c r="D7" t="s">
        <v>105</v>
      </c>
      <c r="E7" t="s">
        <v>105</v>
      </c>
      <c r="F7" t="s">
        <v>106</v>
      </c>
      <c r="G7" t="s">
        <v>106</v>
      </c>
      <c r="H7" t="s">
        <v>106</v>
      </c>
      <c r="I7" t="s">
        <v>106</v>
      </c>
      <c r="J7" t="s">
        <v>106</v>
      </c>
      <c r="K7" t="s">
        <v>106</v>
      </c>
      <c r="L7" t="s">
        <v>106</v>
      </c>
      <c r="M7" t="s">
        <v>106</v>
      </c>
      <c r="N7" t="s">
        <v>106</v>
      </c>
      <c r="O7" t="s">
        <v>106</v>
      </c>
      <c r="P7" t="s">
        <v>106</v>
      </c>
      <c r="Q7" t="s">
        <v>106</v>
      </c>
      <c r="R7" t="s">
        <v>106</v>
      </c>
      <c r="S7" t="s">
        <v>106</v>
      </c>
      <c r="T7" t="s">
        <v>106</v>
      </c>
      <c r="U7" t="s">
        <v>106</v>
      </c>
      <c r="V7" t="s">
        <v>106</v>
      </c>
      <c r="W7" t="s">
        <v>106</v>
      </c>
      <c r="X7" t="s">
        <v>106</v>
      </c>
      <c r="Y7" t="s">
        <v>106</v>
      </c>
      <c r="Z7" t="s">
        <v>106</v>
      </c>
      <c r="AA7" t="s">
        <v>106</v>
      </c>
      <c r="AB7" t="s">
        <v>106</v>
      </c>
      <c r="AC7" t="s">
        <v>106</v>
      </c>
      <c r="AD7" t="s">
        <v>106</v>
      </c>
      <c r="AE7">
        <v>-3494.1</v>
      </c>
      <c r="AF7" t="s">
        <v>106</v>
      </c>
      <c r="AG7">
        <v>0</v>
      </c>
      <c r="AH7" t="s">
        <v>106</v>
      </c>
      <c r="AI7" t="s">
        <v>106</v>
      </c>
      <c r="AJ7" t="s">
        <v>106</v>
      </c>
      <c r="AK7" t="s">
        <v>106</v>
      </c>
      <c r="AL7" t="s">
        <v>106</v>
      </c>
      <c r="AM7" t="s">
        <v>106</v>
      </c>
      <c r="AN7" t="s">
        <v>106</v>
      </c>
      <c r="AO7" t="s">
        <v>106</v>
      </c>
      <c r="AP7" t="s">
        <v>106</v>
      </c>
      <c r="AQ7" t="s">
        <v>106</v>
      </c>
      <c r="AR7" t="s">
        <v>106</v>
      </c>
      <c r="AS7" t="s">
        <v>106</v>
      </c>
      <c r="AT7" t="s">
        <v>106</v>
      </c>
      <c r="AU7" t="s">
        <v>106</v>
      </c>
      <c r="AV7" t="s">
        <v>106</v>
      </c>
      <c r="AW7" t="s">
        <v>106</v>
      </c>
      <c r="AX7" t="s">
        <v>106</v>
      </c>
      <c r="AY7" t="s">
        <v>106</v>
      </c>
      <c r="AZ7" t="s">
        <v>106</v>
      </c>
      <c r="BA7" t="s">
        <v>106</v>
      </c>
      <c r="BB7" t="s">
        <v>106</v>
      </c>
      <c r="BC7" t="s">
        <v>106</v>
      </c>
      <c r="BD7" t="s">
        <v>106</v>
      </c>
      <c r="BE7" t="s">
        <v>106</v>
      </c>
      <c r="BF7" t="s">
        <v>106</v>
      </c>
      <c r="BG7" t="s">
        <v>106</v>
      </c>
      <c r="BH7" t="s">
        <v>106</v>
      </c>
      <c r="BI7" t="s">
        <v>106</v>
      </c>
      <c r="BJ7" t="s">
        <v>106</v>
      </c>
      <c r="BK7" t="s">
        <v>106</v>
      </c>
      <c r="BL7">
        <v>-3494.1</v>
      </c>
      <c r="BM7" t="s">
        <v>106</v>
      </c>
    </row>
    <row r="8" spans="1:65">
      <c r="A8" t="s">
        <v>111</v>
      </c>
      <c r="B8" t="s">
        <v>105</v>
      </c>
      <c r="C8" t="s">
        <v>105</v>
      </c>
      <c r="D8" t="s">
        <v>105</v>
      </c>
      <c r="E8" t="s">
        <v>105</v>
      </c>
      <c r="F8">
        <v>-65.7</v>
      </c>
      <c r="G8">
        <v>8.6</v>
      </c>
      <c r="H8">
        <v>-159.80000000000001</v>
      </c>
      <c r="I8">
        <v>973.3</v>
      </c>
      <c r="J8" t="s">
        <v>106</v>
      </c>
      <c r="K8" t="s">
        <v>106</v>
      </c>
      <c r="L8" t="s">
        <v>106</v>
      </c>
      <c r="M8" t="s">
        <v>106</v>
      </c>
      <c r="N8">
        <v>-2.9</v>
      </c>
      <c r="O8" t="s">
        <v>106</v>
      </c>
      <c r="P8" t="s">
        <v>106</v>
      </c>
      <c r="Q8" t="s">
        <v>106</v>
      </c>
      <c r="R8" t="s">
        <v>106</v>
      </c>
      <c r="S8">
        <v>1544.7</v>
      </c>
      <c r="T8" t="s">
        <v>106</v>
      </c>
      <c r="U8">
        <v>249.3</v>
      </c>
      <c r="V8">
        <v>37.700000000000003</v>
      </c>
      <c r="W8">
        <v>-0.1</v>
      </c>
      <c r="X8">
        <v>-4.4000000000000004</v>
      </c>
      <c r="Y8">
        <v>0</v>
      </c>
      <c r="Z8">
        <v>-60.9</v>
      </c>
      <c r="AA8">
        <v>-25.6</v>
      </c>
      <c r="AB8">
        <v>152.5</v>
      </c>
      <c r="AC8">
        <v>-0.5</v>
      </c>
      <c r="AD8" t="s">
        <v>106</v>
      </c>
      <c r="AE8">
        <v>222.9</v>
      </c>
      <c r="AF8">
        <v>134.1</v>
      </c>
      <c r="AG8">
        <v>425.2</v>
      </c>
      <c r="AH8">
        <v>19.8</v>
      </c>
      <c r="AI8">
        <v>-0.1</v>
      </c>
      <c r="AJ8">
        <v>165.6</v>
      </c>
      <c r="AK8">
        <v>-650.79999999999995</v>
      </c>
      <c r="AL8">
        <v>-9.5</v>
      </c>
      <c r="AM8">
        <v>-19.600000000000001</v>
      </c>
      <c r="AN8">
        <v>-57.7</v>
      </c>
      <c r="AO8">
        <v>0.4</v>
      </c>
      <c r="AP8">
        <v>4.3</v>
      </c>
      <c r="AQ8">
        <v>-4.5999999999999996</v>
      </c>
      <c r="AR8" t="s">
        <v>106</v>
      </c>
      <c r="AS8" t="s">
        <v>106</v>
      </c>
      <c r="AT8" t="s">
        <v>106</v>
      </c>
      <c r="AU8" t="s">
        <v>106</v>
      </c>
      <c r="AV8" t="s">
        <v>106</v>
      </c>
      <c r="AW8" t="s">
        <v>106</v>
      </c>
      <c r="AX8" t="s">
        <v>106</v>
      </c>
      <c r="AY8">
        <v>1</v>
      </c>
      <c r="AZ8" t="s">
        <v>106</v>
      </c>
      <c r="BA8" t="s">
        <v>106</v>
      </c>
      <c r="BB8" t="s">
        <v>106</v>
      </c>
      <c r="BC8" t="s">
        <v>106</v>
      </c>
      <c r="BD8" t="s">
        <v>106</v>
      </c>
      <c r="BE8" t="s">
        <v>106</v>
      </c>
      <c r="BF8" t="s">
        <v>106</v>
      </c>
      <c r="BG8" t="s">
        <v>106</v>
      </c>
      <c r="BH8" t="s">
        <v>106</v>
      </c>
      <c r="BI8" t="s">
        <v>106</v>
      </c>
      <c r="BJ8" t="s">
        <v>106</v>
      </c>
      <c r="BK8" t="s">
        <v>106</v>
      </c>
      <c r="BL8">
        <v>2877.3</v>
      </c>
      <c r="BM8">
        <v>1</v>
      </c>
    </row>
    <row r="9" spans="1:65">
      <c r="A9" t="s">
        <v>112</v>
      </c>
      <c r="B9" t="s">
        <v>105</v>
      </c>
      <c r="C9" t="s">
        <v>105</v>
      </c>
      <c r="D9" t="s">
        <v>105</v>
      </c>
      <c r="E9" t="s">
        <v>105</v>
      </c>
      <c r="F9">
        <v>416.2</v>
      </c>
      <c r="G9">
        <v>3189.2</v>
      </c>
      <c r="H9">
        <v>14640.3</v>
      </c>
      <c r="I9">
        <v>56703.9</v>
      </c>
      <c r="J9">
        <v>936.8</v>
      </c>
      <c r="K9">
        <v>0</v>
      </c>
      <c r="L9">
        <v>24.9</v>
      </c>
      <c r="M9">
        <v>0.3</v>
      </c>
      <c r="N9">
        <v>88.7</v>
      </c>
      <c r="O9" t="s">
        <v>106</v>
      </c>
      <c r="P9" t="s">
        <v>106</v>
      </c>
      <c r="Q9" t="s">
        <v>106</v>
      </c>
      <c r="R9" t="s">
        <v>106</v>
      </c>
      <c r="S9">
        <v>53914.8</v>
      </c>
      <c r="T9" t="s">
        <v>106</v>
      </c>
      <c r="U9">
        <v>144026.79999999999</v>
      </c>
      <c r="V9">
        <v>1300.5</v>
      </c>
      <c r="W9">
        <v>-0.1</v>
      </c>
      <c r="X9">
        <v>-16.2</v>
      </c>
      <c r="Y9">
        <v>0</v>
      </c>
      <c r="Z9">
        <v>7243.3</v>
      </c>
      <c r="AA9">
        <v>2149.1</v>
      </c>
      <c r="AB9">
        <v>-9054</v>
      </c>
      <c r="AC9">
        <v>-16</v>
      </c>
      <c r="AD9" t="s">
        <v>106</v>
      </c>
      <c r="AE9">
        <v>-14657.2</v>
      </c>
      <c r="AF9">
        <v>-746.6</v>
      </c>
      <c r="AG9">
        <v>-29754.2</v>
      </c>
      <c r="AH9">
        <v>-27.5</v>
      </c>
      <c r="AI9">
        <v>-0.5</v>
      </c>
      <c r="AJ9">
        <v>-5981.5</v>
      </c>
      <c r="AK9">
        <v>21314.6</v>
      </c>
      <c r="AL9">
        <v>-259.8</v>
      </c>
      <c r="AM9">
        <v>-2639.6</v>
      </c>
      <c r="AN9">
        <v>-3150.1</v>
      </c>
      <c r="AO9">
        <v>0.4</v>
      </c>
      <c r="AP9">
        <v>4.3</v>
      </c>
      <c r="AQ9">
        <v>-1745.8</v>
      </c>
      <c r="AR9">
        <v>1881</v>
      </c>
      <c r="AS9">
        <v>989.8</v>
      </c>
      <c r="AT9">
        <v>703.8</v>
      </c>
      <c r="AU9">
        <v>2643.1</v>
      </c>
      <c r="AV9">
        <v>95.4</v>
      </c>
      <c r="AW9">
        <v>62.2</v>
      </c>
      <c r="AX9" t="s">
        <v>106</v>
      </c>
      <c r="AY9">
        <v>695.1</v>
      </c>
      <c r="AZ9">
        <v>408.6</v>
      </c>
      <c r="BA9" t="s">
        <v>106</v>
      </c>
      <c r="BB9">
        <v>34119.1</v>
      </c>
      <c r="BC9">
        <v>826.3</v>
      </c>
      <c r="BD9">
        <v>241</v>
      </c>
      <c r="BE9">
        <v>4110.3999999999996</v>
      </c>
      <c r="BF9">
        <v>26.4</v>
      </c>
      <c r="BG9">
        <v>97.4</v>
      </c>
      <c r="BH9">
        <v>670.9</v>
      </c>
      <c r="BI9" t="s">
        <v>106</v>
      </c>
      <c r="BJ9" t="s">
        <v>106</v>
      </c>
      <c r="BK9">
        <v>73.099999999999994</v>
      </c>
      <c r="BL9">
        <v>285548.40000000002</v>
      </c>
      <c r="BM9">
        <v>13451.3</v>
      </c>
    </row>
    <row r="10" spans="1:65">
      <c r="A10" t="s">
        <v>113</v>
      </c>
      <c r="B10" t="s">
        <v>105</v>
      </c>
      <c r="C10" t="s">
        <v>105</v>
      </c>
      <c r="D10" t="s">
        <v>105</v>
      </c>
      <c r="E10" t="s">
        <v>105</v>
      </c>
      <c r="F10" t="s">
        <v>106</v>
      </c>
      <c r="G10" t="s">
        <v>106</v>
      </c>
      <c r="H10" t="s">
        <v>106</v>
      </c>
      <c r="I10" t="s">
        <v>106</v>
      </c>
      <c r="J10" t="s">
        <v>106</v>
      </c>
      <c r="K10" t="s">
        <v>106</v>
      </c>
      <c r="L10" t="s">
        <v>106</v>
      </c>
      <c r="M10" t="s">
        <v>106</v>
      </c>
      <c r="N10" t="s">
        <v>106</v>
      </c>
      <c r="O10" t="s">
        <v>106</v>
      </c>
      <c r="P10" t="s">
        <v>106</v>
      </c>
      <c r="Q10" t="s">
        <v>106</v>
      </c>
      <c r="R10" t="s">
        <v>106</v>
      </c>
      <c r="S10" t="s">
        <v>106</v>
      </c>
      <c r="T10" t="s">
        <v>106</v>
      </c>
      <c r="U10" t="s">
        <v>106</v>
      </c>
      <c r="V10">
        <v>18920.7</v>
      </c>
      <c r="W10" t="s">
        <v>106</v>
      </c>
      <c r="X10" t="s">
        <v>106</v>
      </c>
      <c r="Y10">
        <v>-16.399999999999999</v>
      </c>
      <c r="Z10">
        <v>-447.8</v>
      </c>
      <c r="AA10">
        <v>-8.6</v>
      </c>
      <c r="AB10">
        <v>319.3</v>
      </c>
      <c r="AC10">
        <v>18.5</v>
      </c>
      <c r="AD10" t="s">
        <v>106</v>
      </c>
      <c r="AE10">
        <v>215.8</v>
      </c>
      <c r="AF10">
        <v>-2952.6</v>
      </c>
      <c r="AG10">
        <v>1563.6</v>
      </c>
      <c r="AH10">
        <v>-6.5</v>
      </c>
      <c r="AI10">
        <v>18.899999999999999</v>
      </c>
      <c r="AJ10">
        <v>-4400.8999999999996</v>
      </c>
      <c r="AK10">
        <v>-7947.6</v>
      </c>
      <c r="AL10">
        <v>-276.10000000000002</v>
      </c>
      <c r="AM10">
        <v>-95.1</v>
      </c>
      <c r="AN10">
        <v>594.70000000000005</v>
      </c>
      <c r="AO10">
        <v>-3.3</v>
      </c>
      <c r="AP10" t="s">
        <v>106</v>
      </c>
      <c r="AQ10">
        <v>-14.5</v>
      </c>
      <c r="AR10" t="s">
        <v>106</v>
      </c>
      <c r="AS10" t="s">
        <v>106</v>
      </c>
      <c r="AT10" t="s">
        <v>106</v>
      </c>
      <c r="AU10" t="s">
        <v>106</v>
      </c>
      <c r="AV10" t="s">
        <v>106</v>
      </c>
      <c r="AW10" t="s">
        <v>106</v>
      </c>
      <c r="AX10" t="s">
        <v>106</v>
      </c>
      <c r="AY10" t="s">
        <v>106</v>
      </c>
      <c r="AZ10" t="s">
        <v>106</v>
      </c>
      <c r="BA10" t="s">
        <v>106</v>
      </c>
      <c r="BB10" t="s">
        <v>106</v>
      </c>
      <c r="BC10" t="s">
        <v>106</v>
      </c>
      <c r="BD10" t="s">
        <v>106</v>
      </c>
      <c r="BE10" t="s">
        <v>106</v>
      </c>
      <c r="BF10" t="s">
        <v>106</v>
      </c>
      <c r="BG10" t="s">
        <v>106</v>
      </c>
      <c r="BH10" t="s">
        <v>106</v>
      </c>
      <c r="BI10" t="s">
        <v>106</v>
      </c>
      <c r="BJ10" t="s">
        <v>106</v>
      </c>
      <c r="BK10" t="s">
        <v>106</v>
      </c>
      <c r="BL10">
        <v>5482.3</v>
      </c>
      <c r="BM10">
        <v>-16.399999999999999</v>
      </c>
    </row>
    <row r="11" spans="1:65">
      <c r="A11" t="s">
        <v>114</v>
      </c>
      <c r="B11" t="s">
        <v>105</v>
      </c>
      <c r="C11" t="s">
        <v>105</v>
      </c>
      <c r="D11" t="s">
        <v>105</v>
      </c>
      <c r="E11" t="s">
        <v>105</v>
      </c>
      <c r="F11">
        <v>5.4</v>
      </c>
      <c r="G11">
        <v>-8.5</v>
      </c>
      <c r="H11">
        <v>2626.7</v>
      </c>
      <c r="I11">
        <v>-2715</v>
      </c>
      <c r="J11" t="s">
        <v>106</v>
      </c>
      <c r="K11" t="s">
        <v>106</v>
      </c>
      <c r="L11" t="s">
        <v>106</v>
      </c>
      <c r="M11" t="s">
        <v>106</v>
      </c>
      <c r="N11">
        <v>-15.5</v>
      </c>
      <c r="O11" t="s">
        <v>106</v>
      </c>
      <c r="P11" t="s">
        <v>106</v>
      </c>
      <c r="Q11" t="s">
        <v>106</v>
      </c>
      <c r="R11" t="s">
        <v>106</v>
      </c>
      <c r="S11">
        <v>228.9</v>
      </c>
      <c r="T11">
        <v>393.5</v>
      </c>
      <c r="U11">
        <v>-246.9</v>
      </c>
      <c r="V11">
        <v>64.599999999999994</v>
      </c>
      <c r="W11">
        <v>-0.1</v>
      </c>
      <c r="X11">
        <v>10.7</v>
      </c>
      <c r="Y11">
        <v>131.19999999999999</v>
      </c>
      <c r="Z11">
        <v>-3.2</v>
      </c>
      <c r="AA11">
        <v>0.3</v>
      </c>
      <c r="AB11">
        <v>-11.7</v>
      </c>
      <c r="AC11">
        <v>-0.1</v>
      </c>
      <c r="AD11" t="s">
        <v>106</v>
      </c>
      <c r="AE11">
        <v>-88.2</v>
      </c>
      <c r="AF11">
        <v>12.2</v>
      </c>
      <c r="AG11">
        <v>13.2</v>
      </c>
      <c r="AH11">
        <v>-9.3000000000000007</v>
      </c>
      <c r="AI11">
        <v>0</v>
      </c>
      <c r="AJ11">
        <v>73.3</v>
      </c>
      <c r="AK11">
        <v>-13.5</v>
      </c>
      <c r="AL11">
        <v>-3.9</v>
      </c>
      <c r="AM11">
        <v>-28.1</v>
      </c>
      <c r="AN11">
        <v>16.5</v>
      </c>
      <c r="AO11">
        <v>0</v>
      </c>
      <c r="AP11" t="s">
        <v>106</v>
      </c>
      <c r="AQ11">
        <v>2.4</v>
      </c>
      <c r="AR11" t="s">
        <v>106</v>
      </c>
      <c r="AS11" t="s">
        <v>106</v>
      </c>
      <c r="AT11" t="s">
        <v>106</v>
      </c>
      <c r="AU11" t="s">
        <v>106</v>
      </c>
      <c r="AV11" t="s">
        <v>106</v>
      </c>
      <c r="AW11" t="s">
        <v>106</v>
      </c>
      <c r="AX11" t="s">
        <v>106</v>
      </c>
      <c r="AY11">
        <v>0</v>
      </c>
      <c r="AZ11" t="s">
        <v>106</v>
      </c>
      <c r="BA11" t="s">
        <v>106</v>
      </c>
      <c r="BB11" t="s">
        <v>106</v>
      </c>
      <c r="BC11" t="s">
        <v>106</v>
      </c>
      <c r="BD11" t="s">
        <v>106</v>
      </c>
      <c r="BE11" t="s">
        <v>106</v>
      </c>
      <c r="BF11" t="s">
        <v>106</v>
      </c>
      <c r="BG11" t="s">
        <v>106</v>
      </c>
      <c r="BH11" t="s">
        <v>106</v>
      </c>
      <c r="BI11" t="s">
        <v>106</v>
      </c>
      <c r="BJ11" t="s">
        <v>106</v>
      </c>
      <c r="BK11" t="s">
        <v>106</v>
      </c>
      <c r="BL11">
        <v>434.8</v>
      </c>
      <c r="BM11">
        <v>131.19999999999999</v>
      </c>
    </row>
    <row r="12" spans="1:65">
      <c r="A12" t="s">
        <v>115</v>
      </c>
      <c r="B12" t="s">
        <v>105</v>
      </c>
      <c r="C12" t="s">
        <v>105</v>
      </c>
      <c r="D12" t="s">
        <v>105</v>
      </c>
      <c r="E12" t="s">
        <v>105</v>
      </c>
      <c r="F12">
        <v>421.6</v>
      </c>
      <c r="G12">
        <v>3180.7</v>
      </c>
      <c r="H12">
        <v>17266.900000000001</v>
      </c>
      <c r="I12">
        <v>53988.800000000003</v>
      </c>
      <c r="J12">
        <v>936.8</v>
      </c>
      <c r="K12">
        <v>0</v>
      </c>
      <c r="L12">
        <v>24.9</v>
      </c>
      <c r="M12">
        <v>0.3</v>
      </c>
      <c r="N12">
        <v>73.2</v>
      </c>
      <c r="O12" t="s">
        <v>106</v>
      </c>
      <c r="P12" t="s">
        <v>106</v>
      </c>
      <c r="Q12" t="s">
        <v>106</v>
      </c>
      <c r="R12" t="s">
        <v>106</v>
      </c>
      <c r="S12">
        <v>54143.7</v>
      </c>
      <c r="T12">
        <v>393.5</v>
      </c>
      <c r="U12">
        <v>143779.9</v>
      </c>
      <c r="V12">
        <v>20285.8</v>
      </c>
      <c r="W12">
        <v>-0.2</v>
      </c>
      <c r="X12">
        <v>-5.5</v>
      </c>
      <c r="Y12">
        <v>114.8</v>
      </c>
      <c r="Z12">
        <v>6792.2</v>
      </c>
      <c r="AA12">
        <v>2140.8000000000002</v>
      </c>
      <c r="AB12">
        <v>-8746.4</v>
      </c>
      <c r="AC12">
        <v>2.4</v>
      </c>
      <c r="AD12" t="s">
        <v>106</v>
      </c>
      <c r="AE12">
        <v>-14529.6</v>
      </c>
      <c r="AF12">
        <v>-3687</v>
      </c>
      <c r="AG12">
        <v>-28177.4</v>
      </c>
      <c r="AH12">
        <v>-43.3</v>
      </c>
      <c r="AI12">
        <v>18.399999999999999</v>
      </c>
      <c r="AJ12">
        <v>-10309.1</v>
      </c>
      <c r="AK12">
        <v>13353.6</v>
      </c>
      <c r="AL12">
        <v>-539.79999999999995</v>
      </c>
      <c r="AM12">
        <v>-2762.7</v>
      </c>
      <c r="AN12">
        <v>-2539</v>
      </c>
      <c r="AO12">
        <v>-2.9</v>
      </c>
      <c r="AP12">
        <v>4.3</v>
      </c>
      <c r="AQ12">
        <v>-1757.9</v>
      </c>
      <c r="AR12">
        <v>1881</v>
      </c>
      <c r="AS12">
        <v>989.8</v>
      </c>
      <c r="AT12">
        <v>703.8</v>
      </c>
      <c r="AU12">
        <v>2643.1</v>
      </c>
      <c r="AV12">
        <v>95.4</v>
      </c>
      <c r="AW12">
        <v>62.2</v>
      </c>
      <c r="AX12" t="s">
        <v>106</v>
      </c>
      <c r="AY12">
        <v>695.1</v>
      </c>
      <c r="AZ12">
        <v>408.6</v>
      </c>
      <c r="BA12" t="s">
        <v>106</v>
      </c>
      <c r="BB12">
        <v>34119.1</v>
      </c>
      <c r="BC12">
        <v>826.3</v>
      </c>
      <c r="BD12">
        <v>241</v>
      </c>
      <c r="BE12">
        <v>4110.3999999999996</v>
      </c>
      <c r="BF12">
        <v>26.4</v>
      </c>
      <c r="BG12">
        <v>97.4</v>
      </c>
      <c r="BH12">
        <v>670.9</v>
      </c>
      <c r="BI12" t="s">
        <v>106</v>
      </c>
      <c r="BJ12" t="s">
        <v>106</v>
      </c>
      <c r="BK12">
        <v>73.099999999999994</v>
      </c>
      <c r="BL12">
        <v>291465.5</v>
      </c>
      <c r="BM12">
        <v>13566.2</v>
      </c>
    </row>
    <row r="13" spans="1:65">
      <c r="A13" t="s">
        <v>116</v>
      </c>
      <c r="B13" t="s">
        <v>105</v>
      </c>
      <c r="C13" t="s">
        <v>105</v>
      </c>
      <c r="D13" t="s">
        <v>105</v>
      </c>
      <c r="E13" t="s">
        <v>105</v>
      </c>
      <c r="F13">
        <v>-421.6</v>
      </c>
      <c r="G13">
        <v>-297.60000000000002</v>
      </c>
      <c r="H13">
        <v>-17266.900000000001</v>
      </c>
      <c r="I13">
        <v>-50690.1</v>
      </c>
      <c r="J13">
        <v>-936.8</v>
      </c>
      <c r="K13" t="s">
        <v>106</v>
      </c>
      <c r="L13" t="s">
        <v>106</v>
      </c>
      <c r="M13">
        <v>233.8</v>
      </c>
      <c r="N13">
        <v>678.6</v>
      </c>
      <c r="O13">
        <v>524.6</v>
      </c>
      <c r="P13">
        <v>2706.2</v>
      </c>
      <c r="Q13">
        <v>2282</v>
      </c>
      <c r="R13">
        <v>186.9</v>
      </c>
      <c r="S13">
        <v>-51196.9</v>
      </c>
      <c r="T13">
        <v>22482.9</v>
      </c>
      <c r="U13">
        <v>-143779.9</v>
      </c>
      <c r="V13">
        <v>-20283.8</v>
      </c>
      <c r="W13">
        <v>0.2</v>
      </c>
      <c r="X13">
        <v>5.5</v>
      </c>
      <c r="Y13">
        <v>2782.8</v>
      </c>
      <c r="Z13">
        <v>219.1</v>
      </c>
      <c r="AA13">
        <v>2033.5</v>
      </c>
      <c r="AB13">
        <v>18799.7</v>
      </c>
      <c r="AC13" t="s">
        <v>106</v>
      </c>
      <c r="AD13" t="s">
        <v>106</v>
      </c>
      <c r="AE13">
        <v>15607.6</v>
      </c>
      <c r="AF13">
        <v>6030.8</v>
      </c>
      <c r="AG13">
        <v>50441.4</v>
      </c>
      <c r="AH13">
        <v>241.3</v>
      </c>
      <c r="AI13">
        <v>12.9</v>
      </c>
      <c r="AJ13">
        <v>11321.9</v>
      </c>
      <c r="AK13">
        <v>27565.599999999999</v>
      </c>
      <c r="AL13">
        <v>808</v>
      </c>
      <c r="AM13">
        <v>3460</v>
      </c>
      <c r="AN13">
        <v>4145.3</v>
      </c>
      <c r="AO13">
        <v>22.5</v>
      </c>
      <c r="AP13">
        <v>206.5</v>
      </c>
      <c r="AQ13">
        <v>3809</v>
      </c>
      <c r="AR13">
        <v>-226.7</v>
      </c>
      <c r="AS13">
        <v>-111.1</v>
      </c>
      <c r="AT13">
        <v>-338.4</v>
      </c>
      <c r="AU13">
        <v>-1857.4</v>
      </c>
      <c r="AV13">
        <v>-40.799999999999997</v>
      </c>
      <c r="AW13">
        <v>-55.6</v>
      </c>
      <c r="AX13" t="s">
        <v>106</v>
      </c>
      <c r="AY13" t="s">
        <v>106</v>
      </c>
      <c r="AZ13">
        <v>-408.6</v>
      </c>
      <c r="BA13" t="s">
        <v>106</v>
      </c>
      <c r="BB13">
        <v>-34119.1</v>
      </c>
      <c r="BC13">
        <v>-826.3</v>
      </c>
      <c r="BD13" t="s">
        <v>106</v>
      </c>
      <c r="BE13">
        <v>-4110.3999999999996</v>
      </c>
      <c r="BF13" t="s">
        <v>106</v>
      </c>
      <c r="BG13">
        <v>-97.4</v>
      </c>
      <c r="BH13">
        <v>-670.9</v>
      </c>
      <c r="BI13" t="s">
        <v>106</v>
      </c>
      <c r="BJ13">
        <v>50484.6</v>
      </c>
      <c r="BK13">
        <v>7122.7</v>
      </c>
      <c r="BL13">
        <v>-93520.6</v>
      </c>
      <c r="BM13">
        <v>-785.7</v>
      </c>
    </row>
    <row r="14" spans="1:65">
      <c r="B14" t="s">
        <v>117</v>
      </c>
      <c r="C14" t="s">
        <v>105</v>
      </c>
      <c r="D14" t="s">
        <v>105</v>
      </c>
      <c r="E14" t="s">
        <v>105</v>
      </c>
      <c r="F14">
        <v>-189.2</v>
      </c>
      <c r="G14">
        <v>-289</v>
      </c>
      <c r="H14" t="s">
        <v>106</v>
      </c>
      <c r="I14">
        <v>-41745.9</v>
      </c>
      <c r="J14">
        <v>-936.8</v>
      </c>
      <c r="K14" t="s">
        <v>106</v>
      </c>
      <c r="L14" t="s">
        <v>106</v>
      </c>
      <c r="M14" t="s">
        <v>106</v>
      </c>
      <c r="N14" t="s">
        <v>106</v>
      </c>
      <c r="O14" t="s">
        <v>106</v>
      </c>
      <c r="P14">
        <v>-704</v>
      </c>
      <c r="Q14">
        <v>-2952</v>
      </c>
      <c r="R14">
        <v>-1619.3</v>
      </c>
      <c r="S14">
        <v>-19450.099999999999</v>
      </c>
      <c r="T14">
        <v>-10.199999999999999</v>
      </c>
      <c r="U14" t="s">
        <v>106</v>
      </c>
      <c r="V14" t="s">
        <v>106</v>
      </c>
      <c r="W14" t="s">
        <v>106</v>
      </c>
      <c r="X14" t="s">
        <v>106</v>
      </c>
      <c r="Y14">
        <v>-337.1</v>
      </c>
      <c r="Z14">
        <v>-10.5</v>
      </c>
      <c r="AA14">
        <v>-0.5</v>
      </c>
      <c r="AB14">
        <v>0</v>
      </c>
      <c r="AC14" t="s">
        <v>106</v>
      </c>
      <c r="AD14" t="s">
        <v>106</v>
      </c>
      <c r="AE14" t="s">
        <v>106</v>
      </c>
      <c r="AF14">
        <v>-152.6</v>
      </c>
      <c r="AG14">
        <v>-56.2</v>
      </c>
      <c r="AH14" t="s">
        <v>106</v>
      </c>
      <c r="AI14" t="s">
        <v>106</v>
      </c>
      <c r="AJ14">
        <v>-282</v>
      </c>
      <c r="AK14" t="s">
        <v>106</v>
      </c>
      <c r="AL14" t="s">
        <v>106</v>
      </c>
      <c r="AM14" t="s">
        <v>106</v>
      </c>
      <c r="AN14" t="s">
        <v>106</v>
      </c>
      <c r="AO14" t="s">
        <v>106</v>
      </c>
      <c r="AP14" t="s">
        <v>106</v>
      </c>
      <c r="AQ14" t="s">
        <v>106</v>
      </c>
      <c r="AR14">
        <v>-53.4</v>
      </c>
      <c r="AS14">
        <v>-27.8</v>
      </c>
      <c r="AT14">
        <v>-59.9</v>
      </c>
      <c r="AU14">
        <v>-864.2</v>
      </c>
      <c r="AV14">
        <v>-35.799999999999997</v>
      </c>
      <c r="AW14">
        <v>-38.299999999999997</v>
      </c>
      <c r="AX14" t="s">
        <v>106</v>
      </c>
      <c r="AY14" t="s">
        <v>106</v>
      </c>
      <c r="AZ14">
        <v>-408.6</v>
      </c>
      <c r="BA14" t="s">
        <v>106</v>
      </c>
      <c r="BB14">
        <v>-34119.1</v>
      </c>
      <c r="BC14">
        <v>-826.3</v>
      </c>
      <c r="BD14" t="s">
        <v>106</v>
      </c>
      <c r="BE14">
        <v>-4110.3999999999996</v>
      </c>
      <c r="BF14" t="s">
        <v>106</v>
      </c>
      <c r="BG14">
        <v>-97.4</v>
      </c>
      <c r="BH14">
        <v>-670.9</v>
      </c>
      <c r="BI14">
        <v>-750.8</v>
      </c>
      <c r="BJ14">
        <v>45013.4</v>
      </c>
      <c r="BK14" t="s">
        <v>106</v>
      </c>
      <c r="BL14">
        <v>-65785.2</v>
      </c>
      <c r="BM14">
        <v>-14062.6</v>
      </c>
    </row>
    <row r="15" spans="1:65">
      <c r="C15" t="s">
        <v>118</v>
      </c>
      <c r="D15" t="s">
        <v>105</v>
      </c>
      <c r="E15" t="s">
        <v>105</v>
      </c>
      <c r="F15">
        <v>-189.2</v>
      </c>
      <c r="G15">
        <v>-289</v>
      </c>
      <c r="H15" t="s">
        <v>106</v>
      </c>
      <c r="I15">
        <v>-41723.4</v>
      </c>
      <c r="J15">
        <v>-936.8</v>
      </c>
      <c r="K15" t="s">
        <v>106</v>
      </c>
      <c r="L15" t="s">
        <v>106</v>
      </c>
      <c r="M15" t="s">
        <v>106</v>
      </c>
      <c r="N15" t="s">
        <v>106</v>
      </c>
      <c r="O15" t="s">
        <v>106</v>
      </c>
      <c r="P15" t="s">
        <v>106</v>
      </c>
      <c r="Q15" t="s">
        <v>106</v>
      </c>
      <c r="R15">
        <v>-506.4</v>
      </c>
      <c r="S15">
        <v>-18621</v>
      </c>
      <c r="T15" t="s">
        <v>106</v>
      </c>
      <c r="U15" t="s">
        <v>106</v>
      </c>
      <c r="V15" t="s">
        <v>106</v>
      </c>
      <c r="W15" t="s">
        <v>106</v>
      </c>
      <c r="X15" t="s">
        <v>106</v>
      </c>
      <c r="Y15" t="s">
        <v>106</v>
      </c>
      <c r="Z15">
        <v>-10.5</v>
      </c>
      <c r="AA15">
        <v>-0.5</v>
      </c>
      <c r="AB15">
        <v>0</v>
      </c>
      <c r="AC15" t="s">
        <v>106</v>
      </c>
      <c r="AD15" t="s">
        <v>106</v>
      </c>
      <c r="AE15" t="s">
        <v>106</v>
      </c>
      <c r="AF15">
        <v>-152.6</v>
      </c>
      <c r="AG15">
        <v>-56.2</v>
      </c>
      <c r="AH15" t="s">
        <v>106</v>
      </c>
      <c r="AI15" t="s">
        <v>106</v>
      </c>
      <c r="AJ15">
        <v>-282</v>
      </c>
      <c r="AK15" t="s">
        <v>106</v>
      </c>
      <c r="AL15" t="s">
        <v>106</v>
      </c>
      <c r="AM15" t="s">
        <v>106</v>
      </c>
      <c r="AN15" t="s">
        <v>106</v>
      </c>
      <c r="AO15" t="s">
        <v>106</v>
      </c>
      <c r="AP15" t="s">
        <v>106</v>
      </c>
      <c r="AQ15" t="s">
        <v>106</v>
      </c>
      <c r="AR15">
        <v>-51.8</v>
      </c>
      <c r="AS15">
        <v>-27.7</v>
      </c>
      <c r="AT15">
        <v>-59.9</v>
      </c>
      <c r="AU15">
        <v>-864.2</v>
      </c>
      <c r="AV15">
        <v>-30.8</v>
      </c>
      <c r="AW15">
        <v>-38.299999999999997</v>
      </c>
      <c r="AX15" t="s">
        <v>106</v>
      </c>
      <c r="AY15" t="s">
        <v>106</v>
      </c>
      <c r="AZ15">
        <v>-408.6</v>
      </c>
      <c r="BA15" t="s">
        <v>106</v>
      </c>
      <c r="BB15">
        <v>-34119.1</v>
      </c>
      <c r="BC15">
        <v>-825.9</v>
      </c>
      <c r="BD15" t="s">
        <v>106</v>
      </c>
      <c r="BE15">
        <v>-3538.1</v>
      </c>
      <c r="BF15" t="s">
        <v>106</v>
      </c>
      <c r="BG15">
        <v>-97.4</v>
      </c>
      <c r="BH15">
        <v>-668.7</v>
      </c>
      <c r="BI15">
        <v>-742.4</v>
      </c>
      <c r="BJ15">
        <v>42429.9</v>
      </c>
      <c r="BK15" t="s">
        <v>106</v>
      </c>
      <c r="BL15">
        <v>-61811</v>
      </c>
      <c r="BM15">
        <v>-8366.7000000000007</v>
      </c>
    </row>
    <row r="16" spans="1:65">
      <c r="C16" t="s">
        <v>119</v>
      </c>
      <c r="D16" t="s">
        <v>105</v>
      </c>
      <c r="E16" t="s">
        <v>105</v>
      </c>
      <c r="F16" t="s">
        <v>106</v>
      </c>
      <c r="G16" t="s">
        <v>106</v>
      </c>
      <c r="H16" t="s">
        <v>106</v>
      </c>
      <c r="I16">
        <v>-22.5</v>
      </c>
      <c r="J16" t="s">
        <v>106</v>
      </c>
      <c r="K16" t="s">
        <v>106</v>
      </c>
      <c r="L16" t="s">
        <v>106</v>
      </c>
      <c r="M16" t="s">
        <v>106</v>
      </c>
      <c r="N16" t="s">
        <v>106</v>
      </c>
      <c r="O16" t="s">
        <v>106</v>
      </c>
      <c r="P16">
        <v>-704</v>
      </c>
      <c r="Q16">
        <v>-2952</v>
      </c>
      <c r="R16">
        <v>-1112.9000000000001</v>
      </c>
      <c r="S16">
        <v>-829.1</v>
      </c>
      <c r="T16">
        <v>-10.199999999999999</v>
      </c>
      <c r="U16" t="s">
        <v>106</v>
      </c>
      <c r="V16" t="s">
        <v>106</v>
      </c>
      <c r="W16" t="s">
        <v>106</v>
      </c>
      <c r="X16" t="s">
        <v>106</v>
      </c>
      <c r="Y16">
        <v>-337.1</v>
      </c>
      <c r="Z16" t="s">
        <v>106</v>
      </c>
      <c r="AA16" t="s">
        <v>106</v>
      </c>
      <c r="AB16" t="s">
        <v>106</v>
      </c>
      <c r="AC16" t="s">
        <v>106</v>
      </c>
      <c r="AD16" t="s">
        <v>106</v>
      </c>
      <c r="AE16" t="s">
        <v>106</v>
      </c>
      <c r="AF16" t="s">
        <v>106</v>
      </c>
      <c r="AG16">
        <v>0</v>
      </c>
      <c r="AH16" t="s">
        <v>106</v>
      </c>
      <c r="AI16" t="s">
        <v>106</v>
      </c>
      <c r="AJ16" t="s">
        <v>106</v>
      </c>
      <c r="AK16" t="s">
        <v>106</v>
      </c>
      <c r="AL16" t="s">
        <v>106</v>
      </c>
      <c r="AM16" t="s">
        <v>106</v>
      </c>
      <c r="AN16" t="s">
        <v>106</v>
      </c>
      <c r="AO16" t="s">
        <v>106</v>
      </c>
      <c r="AP16" t="s">
        <v>106</v>
      </c>
      <c r="AQ16" t="s">
        <v>106</v>
      </c>
      <c r="AR16">
        <v>-1.5</v>
      </c>
      <c r="AS16">
        <v>0</v>
      </c>
      <c r="AT16" t="s">
        <v>106</v>
      </c>
      <c r="AU16" t="s">
        <v>106</v>
      </c>
      <c r="AV16">
        <v>-5</v>
      </c>
      <c r="AW16" t="s">
        <v>106</v>
      </c>
      <c r="AX16" t="s">
        <v>106</v>
      </c>
      <c r="AY16" t="s">
        <v>106</v>
      </c>
      <c r="AZ16" t="s">
        <v>106</v>
      </c>
      <c r="BA16" t="s">
        <v>106</v>
      </c>
      <c r="BB16" t="s">
        <v>106</v>
      </c>
      <c r="BC16">
        <v>-0.5</v>
      </c>
      <c r="BD16" t="s">
        <v>106</v>
      </c>
      <c r="BE16">
        <v>-572.29999999999995</v>
      </c>
      <c r="BF16" t="s">
        <v>106</v>
      </c>
      <c r="BG16" t="s">
        <v>106</v>
      </c>
      <c r="BH16">
        <v>-2.2000000000000002</v>
      </c>
      <c r="BI16">
        <v>-8.4</v>
      </c>
      <c r="BJ16">
        <v>2583.5</v>
      </c>
      <c r="BK16" t="s">
        <v>106</v>
      </c>
      <c r="BL16">
        <v>-3974.2</v>
      </c>
      <c r="BM16">
        <v>-5695.9</v>
      </c>
    </row>
    <row r="17" spans="1:65">
      <c r="B17" t="s">
        <v>120</v>
      </c>
      <c r="C17" t="s">
        <v>105</v>
      </c>
      <c r="D17" t="s">
        <v>105</v>
      </c>
      <c r="E17" t="s">
        <v>105</v>
      </c>
      <c r="F17" t="s">
        <v>106</v>
      </c>
      <c r="G17" t="s">
        <v>106</v>
      </c>
      <c r="H17" t="s">
        <v>106</v>
      </c>
      <c r="I17">
        <v>-3871.6</v>
      </c>
      <c r="J17" t="s">
        <v>106</v>
      </c>
      <c r="K17" t="s">
        <v>106</v>
      </c>
      <c r="L17" t="s">
        <v>106</v>
      </c>
      <c r="M17" t="s">
        <v>106</v>
      </c>
      <c r="N17" t="s">
        <v>106</v>
      </c>
      <c r="O17" t="s">
        <v>106</v>
      </c>
      <c r="P17" t="s">
        <v>106</v>
      </c>
      <c r="Q17" t="s">
        <v>106</v>
      </c>
      <c r="R17" t="s">
        <v>106</v>
      </c>
      <c r="S17">
        <v>-8156.3</v>
      </c>
      <c r="T17">
        <v>-646.70000000000005</v>
      </c>
      <c r="U17" t="s">
        <v>106</v>
      </c>
      <c r="V17" t="s">
        <v>106</v>
      </c>
      <c r="W17" t="s">
        <v>106</v>
      </c>
      <c r="X17" t="s">
        <v>106</v>
      </c>
      <c r="Y17">
        <v>-629.79999999999995</v>
      </c>
      <c r="Z17">
        <v>-72.3</v>
      </c>
      <c r="AA17" t="s">
        <v>106</v>
      </c>
      <c r="AB17" t="s">
        <v>106</v>
      </c>
      <c r="AC17" t="s">
        <v>106</v>
      </c>
      <c r="AD17" t="s">
        <v>106</v>
      </c>
      <c r="AE17" t="s">
        <v>106</v>
      </c>
      <c r="AF17">
        <v>-4.8</v>
      </c>
      <c r="AG17">
        <v>0</v>
      </c>
      <c r="AH17" t="s">
        <v>106</v>
      </c>
      <c r="AI17" t="s">
        <v>106</v>
      </c>
      <c r="AJ17">
        <v>-155.69999999999999</v>
      </c>
      <c r="AK17" t="s">
        <v>106</v>
      </c>
      <c r="AL17" t="s">
        <v>106</v>
      </c>
      <c r="AM17" t="s">
        <v>106</v>
      </c>
      <c r="AN17" t="s">
        <v>106</v>
      </c>
      <c r="AO17" t="s">
        <v>106</v>
      </c>
      <c r="AP17">
        <v>-349.6</v>
      </c>
      <c r="AQ17">
        <v>-502.5</v>
      </c>
      <c r="AR17">
        <v>-25.3</v>
      </c>
      <c r="AS17">
        <v>-83.3</v>
      </c>
      <c r="AT17">
        <v>-242.6</v>
      </c>
      <c r="AU17">
        <v>-959.4</v>
      </c>
      <c r="AV17">
        <v>-1.8</v>
      </c>
      <c r="AW17" t="s">
        <v>106</v>
      </c>
      <c r="AX17" t="s">
        <v>106</v>
      </c>
      <c r="AY17" t="s">
        <v>106</v>
      </c>
      <c r="AZ17" t="s">
        <v>106</v>
      </c>
      <c r="BA17" t="s">
        <v>106</v>
      </c>
      <c r="BB17" t="s">
        <v>106</v>
      </c>
      <c r="BC17" t="s">
        <v>106</v>
      </c>
      <c r="BD17" t="s">
        <v>106</v>
      </c>
      <c r="BE17" t="s">
        <v>106</v>
      </c>
      <c r="BF17" t="s">
        <v>106</v>
      </c>
      <c r="BG17" t="s">
        <v>106</v>
      </c>
      <c r="BH17" t="s">
        <v>106</v>
      </c>
      <c r="BI17" t="s">
        <v>106</v>
      </c>
      <c r="BJ17">
        <v>5456.6</v>
      </c>
      <c r="BK17">
        <v>6788.7</v>
      </c>
      <c r="BL17">
        <v>-3456.4</v>
      </c>
      <c r="BM17">
        <v>-1942.2</v>
      </c>
    </row>
    <row r="18" spans="1:65">
      <c r="C18" t="s">
        <v>121</v>
      </c>
      <c r="D18" t="s">
        <v>105</v>
      </c>
      <c r="E18" t="s">
        <v>105</v>
      </c>
      <c r="F18" t="s">
        <v>106</v>
      </c>
      <c r="G18" t="s">
        <v>106</v>
      </c>
      <c r="H18" t="s">
        <v>106</v>
      </c>
      <c r="I18" t="s">
        <v>106</v>
      </c>
      <c r="J18" t="s">
        <v>106</v>
      </c>
      <c r="K18" t="s">
        <v>106</v>
      </c>
      <c r="L18" t="s">
        <v>106</v>
      </c>
      <c r="M18" t="s">
        <v>106</v>
      </c>
      <c r="N18" t="s">
        <v>106</v>
      </c>
      <c r="O18" t="s">
        <v>106</v>
      </c>
      <c r="P18" t="s">
        <v>106</v>
      </c>
      <c r="Q18" t="s">
        <v>106</v>
      </c>
      <c r="R18" t="s">
        <v>106</v>
      </c>
      <c r="S18">
        <v>-7447.8</v>
      </c>
      <c r="T18">
        <v>-435.7</v>
      </c>
      <c r="U18" t="s">
        <v>106</v>
      </c>
      <c r="V18" t="s">
        <v>106</v>
      </c>
      <c r="W18" t="s">
        <v>106</v>
      </c>
      <c r="X18" t="s">
        <v>106</v>
      </c>
      <c r="Y18" t="s">
        <v>106</v>
      </c>
      <c r="Z18">
        <v>-10.199999999999999</v>
      </c>
      <c r="AA18" t="s">
        <v>106</v>
      </c>
      <c r="AB18" t="s">
        <v>106</v>
      </c>
      <c r="AC18" t="s">
        <v>106</v>
      </c>
      <c r="AD18" t="s">
        <v>106</v>
      </c>
      <c r="AE18" t="s">
        <v>106</v>
      </c>
      <c r="AF18">
        <v>-0.5</v>
      </c>
      <c r="AG18">
        <v>0</v>
      </c>
      <c r="AH18" t="s">
        <v>106</v>
      </c>
      <c r="AI18" t="s">
        <v>106</v>
      </c>
      <c r="AJ18">
        <v>-54</v>
      </c>
      <c r="AK18" t="s">
        <v>106</v>
      </c>
      <c r="AL18" t="s">
        <v>106</v>
      </c>
      <c r="AM18" t="s">
        <v>106</v>
      </c>
      <c r="AN18" t="s">
        <v>106</v>
      </c>
      <c r="AO18" t="s">
        <v>106</v>
      </c>
      <c r="AP18" t="s">
        <v>106</v>
      </c>
      <c r="AQ18" t="s">
        <v>106</v>
      </c>
      <c r="AR18">
        <v>-22.5</v>
      </c>
      <c r="AS18">
        <v>-63.7</v>
      </c>
      <c r="AT18">
        <v>-3.8</v>
      </c>
      <c r="AU18">
        <v>-60.5</v>
      </c>
      <c r="AV18">
        <v>-0.3</v>
      </c>
      <c r="AW18" t="s">
        <v>106</v>
      </c>
      <c r="AX18" t="s">
        <v>106</v>
      </c>
      <c r="AY18" t="s">
        <v>106</v>
      </c>
      <c r="AZ18" t="s">
        <v>106</v>
      </c>
      <c r="BA18" t="s">
        <v>106</v>
      </c>
      <c r="BB18" t="s">
        <v>106</v>
      </c>
      <c r="BC18" t="s">
        <v>106</v>
      </c>
      <c r="BD18" t="s">
        <v>106</v>
      </c>
      <c r="BE18" t="s">
        <v>106</v>
      </c>
      <c r="BF18" t="s">
        <v>106</v>
      </c>
      <c r="BG18" t="s">
        <v>106</v>
      </c>
      <c r="BH18" t="s">
        <v>106</v>
      </c>
      <c r="BI18" t="s">
        <v>106</v>
      </c>
      <c r="BJ18">
        <v>3452.8</v>
      </c>
      <c r="BK18">
        <v>3064.9</v>
      </c>
      <c r="BL18">
        <v>-1581.3</v>
      </c>
      <c r="BM18">
        <v>-150.80000000000001</v>
      </c>
    </row>
    <row r="19" spans="1:65">
      <c r="C19" t="s">
        <v>122</v>
      </c>
      <c r="D19" t="s">
        <v>105</v>
      </c>
      <c r="E19" t="s">
        <v>105</v>
      </c>
      <c r="F19" t="s">
        <v>106</v>
      </c>
      <c r="G19" t="s">
        <v>106</v>
      </c>
      <c r="H19" t="s">
        <v>106</v>
      </c>
      <c r="I19">
        <v>-3871.6</v>
      </c>
      <c r="J19" t="s">
        <v>106</v>
      </c>
      <c r="K19" t="s">
        <v>106</v>
      </c>
      <c r="L19" t="s">
        <v>106</v>
      </c>
      <c r="M19" t="s">
        <v>106</v>
      </c>
      <c r="N19" t="s">
        <v>106</v>
      </c>
      <c r="O19" t="s">
        <v>106</v>
      </c>
      <c r="P19" t="s">
        <v>106</v>
      </c>
      <c r="Q19" t="s">
        <v>106</v>
      </c>
      <c r="R19" t="s">
        <v>106</v>
      </c>
      <c r="S19">
        <v>-708.5</v>
      </c>
      <c r="T19">
        <v>-211</v>
      </c>
      <c r="U19" t="s">
        <v>106</v>
      </c>
      <c r="V19" t="s">
        <v>106</v>
      </c>
      <c r="W19" t="s">
        <v>106</v>
      </c>
      <c r="X19" t="s">
        <v>106</v>
      </c>
      <c r="Y19">
        <v>-629.79999999999995</v>
      </c>
      <c r="Z19">
        <v>-62.1</v>
      </c>
      <c r="AA19" t="s">
        <v>106</v>
      </c>
      <c r="AB19" t="s">
        <v>106</v>
      </c>
      <c r="AC19" t="s">
        <v>106</v>
      </c>
      <c r="AD19" t="s">
        <v>106</v>
      </c>
      <c r="AE19" t="s">
        <v>106</v>
      </c>
      <c r="AF19">
        <v>-4.3</v>
      </c>
      <c r="AG19" t="s">
        <v>106</v>
      </c>
      <c r="AH19" t="s">
        <v>106</v>
      </c>
      <c r="AI19" t="s">
        <v>106</v>
      </c>
      <c r="AJ19">
        <v>-101.7</v>
      </c>
      <c r="AK19" t="s">
        <v>106</v>
      </c>
      <c r="AL19" t="s">
        <v>106</v>
      </c>
      <c r="AM19" t="s">
        <v>106</v>
      </c>
      <c r="AN19" t="s">
        <v>106</v>
      </c>
      <c r="AO19" t="s">
        <v>106</v>
      </c>
      <c r="AP19">
        <v>-349.6</v>
      </c>
      <c r="AQ19">
        <v>-502.5</v>
      </c>
      <c r="AR19">
        <v>-2.8</v>
      </c>
      <c r="AS19">
        <v>-19.600000000000001</v>
      </c>
      <c r="AT19">
        <v>-238.8</v>
      </c>
      <c r="AU19">
        <v>-898.9</v>
      </c>
      <c r="AV19">
        <v>-1.5</v>
      </c>
      <c r="AW19" t="s">
        <v>106</v>
      </c>
      <c r="AX19" t="s">
        <v>106</v>
      </c>
      <c r="AY19" t="s">
        <v>106</v>
      </c>
      <c r="AZ19" t="s">
        <v>106</v>
      </c>
      <c r="BA19" t="s">
        <v>106</v>
      </c>
      <c r="BB19" t="s">
        <v>106</v>
      </c>
      <c r="BC19" t="s">
        <v>106</v>
      </c>
      <c r="BD19" t="s">
        <v>106</v>
      </c>
      <c r="BE19" t="s">
        <v>106</v>
      </c>
      <c r="BF19" t="s">
        <v>106</v>
      </c>
      <c r="BG19" t="s">
        <v>106</v>
      </c>
      <c r="BH19" t="s">
        <v>106</v>
      </c>
      <c r="BI19" t="s">
        <v>106</v>
      </c>
      <c r="BJ19">
        <v>2003.8</v>
      </c>
      <c r="BK19">
        <v>3723.8</v>
      </c>
      <c r="BL19">
        <v>-1875.1</v>
      </c>
      <c r="BM19">
        <v>-1791.4</v>
      </c>
    </row>
    <row r="20" spans="1:65">
      <c r="B20" t="s">
        <v>123</v>
      </c>
      <c r="C20" t="s">
        <v>105</v>
      </c>
      <c r="D20" t="s">
        <v>105</v>
      </c>
      <c r="E20" t="s">
        <v>105</v>
      </c>
      <c r="F20" t="s">
        <v>106</v>
      </c>
      <c r="G20" t="s">
        <v>106</v>
      </c>
      <c r="H20" t="s">
        <v>106</v>
      </c>
      <c r="I20" t="s">
        <v>106</v>
      </c>
      <c r="J20" t="s">
        <v>106</v>
      </c>
      <c r="K20" t="s">
        <v>106</v>
      </c>
      <c r="L20" t="s">
        <v>106</v>
      </c>
      <c r="M20" t="s">
        <v>106</v>
      </c>
      <c r="N20" t="s">
        <v>106</v>
      </c>
      <c r="O20" t="s">
        <v>106</v>
      </c>
      <c r="P20" t="s">
        <v>106</v>
      </c>
      <c r="Q20" t="s">
        <v>106</v>
      </c>
      <c r="R20" t="s">
        <v>106</v>
      </c>
      <c r="S20">
        <v>-23.3</v>
      </c>
      <c r="T20">
        <v>-148.9</v>
      </c>
      <c r="U20" t="s">
        <v>106</v>
      </c>
      <c r="V20" t="s">
        <v>106</v>
      </c>
      <c r="W20" t="s">
        <v>106</v>
      </c>
      <c r="X20" t="s">
        <v>106</v>
      </c>
      <c r="Y20" t="s">
        <v>106</v>
      </c>
      <c r="Z20">
        <v>-65.599999999999994</v>
      </c>
      <c r="AA20" t="s">
        <v>106</v>
      </c>
      <c r="AB20" t="s">
        <v>106</v>
      </c>
      <c r="AC20" t="s">
        <v>106</v>
      </c>
      <c r="AD20" t="s">
        <v>106</v>
      </c>
      <c r="AE20" t="s">
        <v>106</v>
      </c>
      <c r="AF20">
        <v>-1.5</v>
      </c>
      <c r="AG20">
        <v>-0.5</v>
      </c>
      <c r="AH20" t="s">
        <v>106</v>
      </c>
      <c r="AI20" t="s">
        <v>106</v>
      </c>
      <c r="AJ20">
        <v>-154.6</v>
      </c>
      <c r="AK20" t="s">
        <v>106</v>
      </c>
      <c r="AL20" t="s">
        <v>106</v>
      </c>
      <c r="AM20" t="s">
        <v>106</v>
      </c>
      <c r="AN20" t="s">
        <v>106</v>
      </c>
      <c r="AO20" t="s">
        <v>106</v>
      </c>
      <c r="AP20" t="s">
        <v>106</v>
      </c>
      <c r="AQ20">
        <v>-9.5</v>
      </c>
      <c r="AR20">
        <v>-148.1</v>
      </c>
      <c r="AS20" t="s">
        <v>106</v>
      </c>
      <c r="AT20">
        <v>-35.9</v>
      </c>
      <c r="AU20">
        <v>-33.799999999999997</v>
      </c>
      <c r="AV20">
        <v>-3.2</v>
      </c>
      <c r="AW20">
        <v>-17.3</v>
      </c>
      <c r="AX20" t="s">
        <v>106</v>
      </c>
      <c r="AY20" t="s">
        <v>106</v>
      </c>
      <c r="AZ20" t="s">
        <v>106</v>
      </c>
      <c r="BA20" t="s">
        <v>106</v>
      </c>
      <c r="BB20" t="s">
        <v>106</v>
      </c>
      <c r="BC20" t="s">
        <v>106</v>
      </c>
      <c r="BD20" t="s">
        <v>106</v>
      </c>
      <c r="BE20" t="s">
        <v>106</v>
      </c>
      <c r="BF20" t="s">
        <v>106</v>
      </c>
      <c r="BG20" t="s">
        <v>106</v>
      </c>
      <c r="BH20" t="s">
        <v>106</v>
      </c>
      <c r="BI20" t="s">
        <v>106</v>
      </c>
      <c r="BJ20" t="s">
        <v>106</v>
      </c>
      <c r="BK20">
        <v>372.9</v>
      </c>
      <c r="BL20">
        <v>-269</v>
      </c>
      <c r="BM20">
        <v>-238.2</v>
      </c>
    </row>
    <row r="21" spans="1:65">
      <c r="C21" t="s">
        <v>124</v>
      </c>
      <c r="D21" t="s">
        <v>105</v>
      </c>
      <c r="E21" t="s">
        <v>105</v>
      </c>
      <c r="F21" t="s">
        <v>106</v>
      </c>
      <c r="G21" t="s">
        <v>106</v>
      </c>
      <c r="H21" t="s">
        <v>106</v>
      </c>
      <c r="I21" t="s">
        <v>106</v>
      </c>
      <c r="J21" t="s">
        <v>106</v>
      </c>
      <c r="K21" t="s">
        <v>106</v>
      </c>
      <c r="L21" t="s">
        <v>106</v>
      </c>
      <c r="M21" t="s">
        <v>106</v>
      </c>
      <c r="N21" t="s">
        <v>106</v>
      </c>
      <c r="O21" t="s">
        <v>106</v>
      </c>
      <c r="P21" t="s">
        <v>106</v>
      </c>
      <c r="Q21" t="s">
        <v>106</v>
      </c>
      <c r="R21" t="s">
        <v>106</v>
      </c>
      <c r="S21">
        <v>-23.3</v>
      </c>
      <c r="T21">
        <v>-146.19999999999999</v>
      </c>
      <c r="U21" t="s">
        <v>106</v>
      </c>
      <c r="V21" t="s">
        <v>106</v>
      </c>
      <c r="W21" t="s">
        <v>106</v>
      </c>
      <c r="X21" t="s">
        <v>106</v>
      </c>
      <c r="Y21" t="s">
        <v>106</v>
      </c>
      <c r="Z21">
        <v>-60</v>
      </c>
      <c r="AA21" t="s">
        <v>106</v>
      </c>
      <c r="AB21" t="s">
        <v>106</v>
      </c>
      <c r="AC21" t="s">
        <v>106</v>
      </c>
      <c r="AD21" t="s">
        <v>106</v>
      </c>
      <c r="AE21" t="s">
        <v>106</v>
      </c>
      <c r="AF21">
        <v>-1.5</v>
      </c>
      <c r="AG21" t="s">
        <v>106</v>
      </c>
      <c r="AH21" t="s">
        <v>106</v>
      </c>
      <c r="AI21" t="s">
        <v>106</v>
      </c>
      <c r="AJ21">
        <v>-153.1</v>
      </c>
      <c r="AK21" t="s">
        <v>106</v>
      </c>
      <c r="AL21" t="s">
        <v>106</v>
      </c>
      <c r="AM21" t="s">
        <v>106</v>
      </c>
      <c r="AN21" t="s">
        <v>106</v>
      </c>
      <c r="AO21" t="s">
        <v>106</v>
      </c>
      <c r="AP21" t="s">
        <v>106</v>
      </c>
      <c r="AQ21" t="s">
        <v>106</v>
      </c>
      <c r="AR21" t="s">
        <v>106</v>
      </c>
      <c r="AS21" t="s">
        <v>106</v>
      </c>
      <c r="AT21" t="s">
        <v>106</v>
      </c>
      <c r="AU21" t="s">
        <v>106</v>
      </c>
      <c r="AV21">
        <v>-3.2</v>
      </c>
      <c r="AW21">
        <v>-17.3</v>
      </c>
      <c r="AX21" t="s">
        <v>106</v>
      </c>
      <c r="AY21" t="s">
        <v>106</v>
      </c>
      <c r="AZ21" t="s">
        <v>106</v>
      </c>
      <c r="BA21" t="s">
        <v>106</v>
      </c>
      <c r="BB21" t="s">
        <v>106</v>
      </c>
      <c r="BC21" t="s">
        <v>106</v>
      </c>
      <c r="BD21" t="s">
        <v>106</v>
      </c>
      <c r="BE21" t="s">
        <v>106</v>
      </c>
      <c r="BF21" t="s">
        <v>106</v>
      </c>
      <c r="BG21" t="s">
        <v>106</v>
      </c>
      <c r="BH21" t="s">
        <v>106</v>
      </c>
      <c r="BI21" t="s">
        <v>106</v>
      </c>
      <c r="BJ21" t="s">
        <v>106</v>
      </c>
      <c r="BK21">
        <v>218</v>
      </c>
      <c r="BL21">
        <v>-186.5</v>
      </c>
      <c r="BM21">
        <v>-20.399999999999999</v>
      </c>
    </row>
    <row r="22" spans="1:65">
      <c r="C22" t="s">
        <v>125</v>
      </c>
      <c r="D22" t="s">
        <v>105</v>
      </c>
      <c r="E22" t="s">
        <v>105</v>
      </c>
      <c r="F22" t="s">
        <v>106</v>
      </c>
      <c r="G22" t="s">
        <v>106</v>
      </c>
      <c r="H22" t="s">
        <v>106</v>
      </c>
      <c r="I22" t="s">
        <v>106</v>
      </c>
      <c r="J22" t="s">
        <v>106</v>
      </c>
      <c r="K22" t="s">
        <v>106</v>
      </c>
      <c r="L22" t="s">
        <v>106</v>
      </c>
      <c r="M22" t="s">
        <v>106</v>
      </c>
      <c r="N22" t="s">
        <v>106</v>
      </c>
      <c r="O22" t="s">
        <v>106</v>
      </c>
      <c r="P22" t="s">
        <v>106</v>
      </c>
      <c r="Q22" t="s">
        <v>106</v>
      </c>
      <c r="R22" t="s">
        <v>106</v>
      </c>
      <c r="S22" t="s">
        <v>106</v>
      </c>
      <c r="T22">
        <v>-2.7</v>
      </c>
      <c r="U22" t="s">
        <v>106</v>
      </c>
      <c r="V22" t="s">
        <v>106</v>
      </c>
      <c r="W22" t="s">
        <v>106</v>
      </c>
      <c r="X22" t="s">
        <v>106</v>
      </c>
      <c r="Y22" t="s">
        <v>106</v>
      </c>
      <c r="Z22">
        <v>-5.6</v>
      </c>
      <c r="AA22" t="s">
        <v>106</v>
      </c>
      <c r="AB22" t="s">
        <v>106</v>
      </c>
      <c r="AC22" t="s">
        <v>106</v>
      </c>
      <c r="AD22" t="s">
        <v>106</v>
      </c>
      <c r="AE22" t="s">
        <v>106</v>
      </c>
      <c r="AF22" t="s">
        <v>106</v>
      </c>
      <c r="AG22">
        <v>-0.5</v>
      </c>
      <c r="AH22" t="s">
        <v>106</v>
      </c>
      <c r="AI22" t="s">
        <v>106</v>
      </c>
      <c r="AJ22">
        <v>-1.4</v>
      </c>
      <c r="AK22" t="s">
        <v>106</v>
      </c>
      <c r="AL22" t="s">
        <v>106</v>
      </c>
      <c r="AM22" t="s">
        <v>106</v>
      </c>
      <c r="AN22" t="s">
        <v>106</v>
      </c>
      <c r="AO22" t="s">
        <v>106</v>
      </c>
      <c r="AP22" t="s">
        <v>106</v>
      </c>
      <c r="AQ22">
        <v>-9.5</v>
      </c>
      <c r="AR22">
        <v>-148.1</v>
      </c>
      <c r="AS22" t="s">
        <v>106</v>
      </c>
      <c r="AT22">
        <v>-35.9</v>
      </c>
      <c r="AU22">
        <v>-33.799999999999997</v>
      </c>
      <c r="AV22" t="s">
        <v>106</v>
      </c>
      <c r="AW22" t="s">
        <v>106</v>
      </c>
      <c r="AX22" t="s">
        <v>106</v>
      </c>
      <c r="AY22" t="s">
        <v>106</v>
      </c>
      <c r="AZ22" t="s">
        <v>106</v>
      </c>
      <c r="BA22" t="s">
        <v>106</v>
      </c>
      <c r="BB22" t="s">
        <v>106</v>
      </c>
      <c r="BC22" t="s">
        <v>106</v>
      </c>
      <c r="BD22" t="s">
        <v>106</v>
      </c>
      <c r="BE22" t="s">
        <v>106</v>
      </c>
      <c r="BF22" t="s">
        <v>106</v>
      </c>
      <c r="BG22" t="s">
        <v>106</v>
      </c>
      <c r="BH22" t="s">
        <v>106</v>
      </c>
      <c r="BI22" t="s">
        <v>106</v>
      </c>
      <c r="BJ22" t="s">
        <v>106</v>
      </c>
      <c r="BK22">
        <v>154.9</v>
      </c>
      <c r="BL22">
        <v>-82.5</v>
      </c>
      <c r="BM22">
        <v>-217.7</v>
      </c>
    </row>
    <row r="23" spans="1:65">
      <c r="B23" t="s">
        <v>126</v>
      </c>
      <c r="C23" t="s">
        <v>105</v>
      </c>
      <c r="D23" t="s">
        <v>105</v>
      </c>
      <c r="E23" t="s">
        <v>105</v>
      </c>
      <c r="F23" t="s">
        <v>106</v>
      </c>
      <c r="G23" t="s">
        <v>106</v>
      </c>
      <c r="H23" t="s">
        <v>106</v>
      </c>
      <c r="I23" t="s">
        <v>106</v>
      </c>
      <c r="J23" t="s">
        <v>106</v>
      </c>
      <c r="K23" t="s">
        <v>106</v>
      </c>
      <c r="L23" t="s">
        <v>106</v>
      </c>
      <c r="M23" t="s">
        <v>106</v>
      </c>
      <c r="N23" t="s">
        <v>106</v>
      </c>
      <c r="O23" t="s">
        <v>106</v>
      </c>
      <c r="P23" t="s">
        <v>106</v>
      </c>
      <c r="Q23" t="s">
        <v>106</v>
      </c>
      <c r="R23" t="s">
        <v>106</v>
      </c>
      <c r="S23" t="s">
        <v>106</v>
      </c>
      <c r="T23" t="s">
        <v>106</v>
      </c>
      <c r="U23" t="s">
        <v>106</v>
      </c>
      <c r="V23" t="s">
        <v>106</v>
      </c>
      <c r="W23" t="s">
        <v>106</v>
      </c>
      <c r="X23" t="s">
        <v>106</v>
      </c>
      <c r="Y23" t="s">
        <v>106</v>
      </c>
      <c r="Z23" t="s">
        <v>106</v>
      </c>
      <c r="AA23" t="s">
        <v>106</v>
      </c>
      <c r="AB23" t="s">
        <v>106</v>
      </c>
      <c r="AC23" t="s">
        <v>106</v>
      </c>
      <c r="AD23" t="s">
        <v>106</v>
      </c>
      <c r="AE23" t="s">
        <v>106</v>
      </c>
      <c r="AF23" t="s">
        <v>106</v>
      </c>
      <c r="AG23" t="s">
        <v>106</v>
      </c>
      <c r="AH23" t="s">
        <v>106</v>
      </c>
      <c r="AI23" t="s">
        <v>106</v>
      </c>
      <c r="AJ23" t="s">
        <v>106</v>
      </c>
      <c r="AK23" t="s">
        <v>106</v>
      </c>
      <c r="AL23" t="s">
        <v>106</v>
      </c>
      <c r="AM23" t="s">
        <v>106</v>
      </c>
      <c r="AN23" t="s">
        <v>106</v>
      </c>
      <c r="AO23" t="s">
        <v>106</v>
      </c>
      <c r="AP23" t="s">
        <v>106</v>
      </c>
      <c r="AQ23" t="s">
        <v>106</v>
      </c>
      <c r="AR23" t="s">
        <v>106</v>
      </c>
      <c r="AS23" t="s">
        <v>106</v>
      </c>
      <c r="AT23" t="s">
        <v>106</v>
      </c>
      <c r="AU23" t="s">
        <v>106</v>
      </c>
      <c r="AV23" t="s">
        <v>106</v>
      </c>
      <c r="AW23" t="s">
        <v>106</v>
      </c>
      <c r="AX23" t="s">
        <v>106</v>
      </c>
      <c r="AY23" t="s">
        <v>106</v>
      </c>
      <c r="AZ23" t="s">
        <v>106</v>
      </c>
      <c r="BA23" t="s">
        <v>106</v>
      </c>
      <c r="BB23" t="s">
        <v>106</v>
      </c>
      <c r="BC23" t="s">
        <v>106</v>
      </c>
      <c r="BD23" t="s">
        <v>106</v>
      </c>
      <c r="BE23" t="s">
        <v>106</v>
      </c>
      <c r="BF23" t="s">
        <v>106</v>
      </c>
      <c r="BG23" t="s">
        <v>106</v>
      </c>
      <c r="BH23" t="s">
        <v>106</v>
      </c>
      <c r="BI23" t="s">
        <v>106</v>
      </c>
      <c r="BJ23">
        <v>14.6</v>
      </c>
      <c r="BK23">
        <v>-38.799999999999997</v>
      </c>
      <c r="BL23">
        <v>-24.3</v>
      </c>
      <c r="BM23" t="s">
        <v>106</v>
      </c>
    </row>
    <row r="24" spans="1:65">
      <c r="B24" t="s">
        <v>127</v>
      </c>
      <c r="C24" t="s">
        <v>105</v>
      </c>
      <c r="D24" t="s">
        <v>105</v>
      </c>
      <c r="E24" t="s">
        <v>105</v>
      </c>
      <c r="F24" t="s">
        <v>106</v>
      </c>
      <c r="G24" t="s">
        <v>106</v>
      </c>
      <c r="H24">
        <v>-16286.9</v>
      </c>
      <c r="I24" t="s">
        <v>106</v>
      </c>
      <c r="J24" t="s">
        <v>106</v>
      </c>
      <c r="K24" t="s">
        <v>106</v>
      </c>
      <c r="L24" t="s">
        <v>106</v>
      </c>
      <c r="M24" t="s">
        <v>106</v>
      </c>
      <c r="N24">
        <v>10870.2</v>
      </c>
      <c r="O24">
        <v>524.6</v>
      </c>
      <c r="P24">
        <v>3410.2</v>
      </c>
      <c r="Q24" t="s">
        <v>106</v>
      </c>
      <c r="R24" t="s">
        <v>106</v>
      </c>
      <c r="S24" t="s">
        <v>106</v>
      </c>
      <c r="T24" t="s">
        <v>106</v>
      </c>
      <c r="U24" t="s">
        <v>106</v>
      </c>
      <c r="V24" t="s">
        <v>106</v>
      </c>
      <c r="W24" t="s">
        <v>106</v>
      </c>
      <c r="X24" t="s">
        <v>106</v>
      </c>
      <c r="Y24" t="s">
        <v>106</v>
      </c>
      <c r="Z24" t="s">
        <v>106</v>
      </c>
      <c r="AA24" t="s">
        <v>106</v>
      </c>
      <c r="AB24" t="s">
        <v>106</v>
      </c>
      <c r="AC24" t="s">
        <v>106</v>
      </c>
      <c r="AD24" t="s">
        <v>106</v>
      </c>
      <c r="AE24" t="s">
        <v>106</v>
      </c>
      <c r="AF24" t="s">
        <v>106</v>
      </c>
      <c r="AG24" t="s">
        <v>106</v>
      </c>
      <c r="AH24" t="s">
        <v>106</v>
      </c>
      <c r="AI24" t="s">
        <v>106</v>
      </c>
      <c r="AJ24" t="s">
        <v>106</v>
      </c>
      <c r="AK24" t="s">
        <v>106</v>
      </c>
      <c r="AL24" t="s">
        <v>106</v>
      </c>
      <c r="AM24" t="s">
        <v>106</v>
      </c>
      <c r="AN24" t="s">
        <v>106</v>
      </c>
      <c r="AO24" t="s">
        <v>106</v>
      </c>
      <c r="AP24" t="s">
        <v>106</v>
      </c>
      <c r="AQ24" t="s">
        <v>106</v>
      </c>
      <c r="AR24" t="s">
        <v>106</v>
      </c>
      <c r="AS24" t="s">
        <v>106</v>
      </c>
      <c r="AT24" t="s">
        <v>106</v>
      </c>
      <c r="AU24" t="s">
        <v>106</v>
      </c>
      <c r="AV24" t="s">
        <v>106</v>
      </c>
      <c r="AW24" t="s">
        <v>106</v>
      </c>
      <c r="AX24" t="s">
        <v>106</v>
      </c>
      <c r="AY24" t="s">
        <v>106</v>
      </c>
      <c r="AZ24" t="s">
        <v>106</v>
      </c>
      <c r="BA24" t="s">
        <v>106</v>
      </c>
      <c r="BB24" t="s">
        <v>106</v>
      </c>
      <c r="BC24" t="s">
        <v>106</v>
      </c>
      <c r="BD24" t="s">
        <v>106</v>
      </c>
      <c r="BE24" t="s">
        <v>106</v>
      </c>
      <c r="BF24" t="s">
        <v>106</v>
      </c>
      <c r="BG24" t="s">
        <v>106</v>
      </c>
      <c r="BH24" t="s">
        <v>106</v>
      </c>
      <c r="BI24" t="s">
        <v>106</v>
      </c>
      <c r="BJ24" t="s">
        <v>106</v>
      </c>
      <c r="BK24" t="s">
        <v>106</v>
      </c>
      <c r="BL24">
        <v>-1482</v>
      </c>
      <c r="BM24" t="s">
        <v>106</v>
      </c>
    </row>
    <row r="25" spans="1:65">
      <c r="B25" t="s">
        <v>128</v>
      </c>
      <c r="C25" t="s">
        <v>105</v>
      </c>
      <c r="D25" t="s">
        <v>105</v>
      </c>
      <c r="E25" t="s">
        <v>105</v>
      </c>
      <c r="F25" t="s">
        <v>106</v>
      </c>
      <c r="G25" t="s">
        <v>106</v>
      </c>
      <c r="H25">
        <v>-980</v>
      </c>
      <c r="I25">
        <v>-4686.8</v>
      </c>
      <c r="J25" t="s">
        <v>106</v>
      </c>
      <c r="K25" t="s">
        <v>106</v>
      </c>
      <c r="L25" t="s">
        <v>106</v>
      </c>
      <c r="M25" t="s">
        <v>106</v>
      </c>
      <c r="N25">
        <v>-10191.6</v>
      </c>
      <c r="O25" t="s">
        <v>106</v>
      </c>
      <c r="P25" t="s">
        <v>106</v>
      </c>
      <c r="Q25">
        <v>5234</v>
      </c>
      <c r="R25">
        <v>1299.8</v>
      </c>
      <c r="S25" t="s">
        <v>106</v>
      </c>
      <c r="T25" t="s">
        <v>106</v>
      </c>
      <c r="U25" t="s">
        <v>106</v>
      </c>
      <c r="V25" t="s">
        <v>106</v>
      </c>
      <c r="W25" t="s">
        <v>106</v>
      </c>
      <c r="X25" t="s">
        <v>106</v>
      </c>
      <c r="Y25" t="s">
        <v>106</v>
      </c>
      <c r="Z25" t="s">
        <v>106</v>
      </c>
      <c r="AA25" t="s">
        <v>106</v>
      </c>
      <c r="AB25" t="s">
        <v>106</v>
      </c>
      <c r="AC25" t="s">
        <v>106</v>
      </c>
      <c r="AD25" t="s">
        <v>106</v>
      </c>
      <c r="AE25" t="s">
        <v>106</v>
      </c>
      <c r="AF25" t="s">
        <v>106</v>
      </c>
      <c r="AG25" t="s">
        <v>106</v>
      </c>
      <c r="AH25" t="s">
        <v>106</v>
      </c>
      <c r="AI25" t="s">
        <v>106</v>
      </c>
      <c r="AJ25" t="s">
        <v>106</v>
      </c>
      <c r="AK25" t="s">
        <v>106</v>
      </c>
      <c r="AL25" t="s">
        <v>106</v>
      </c>
      <c r="AM25" t="s">
        <v>106</v>
      </c>
      <c r="AN25" t="s">
        <v>106</v>
      </c>
      <c r="AO25" t="s">
        <v>106</v>
      </c>
      <c r="AP25" t="s">
        <v>106</v>
      </c>
      <c r="AQ25" t="s">
        <v>106</v>
      </c>
      <c r="AR25" t="s">
        <v>106</v>
      </c>
      <c r="AS25" t="s">
        <v>106</v>
      </c>
      <c r="AT25" t="s">
        <v>106</v>
      </c>
      <c r="AU25" t="s">
        <v>106</v>
      </c>
      <c r="AV25" t="s">
        <v>106</v>
      </c>
      <c r="AW25" t="s">
        <v>106</v>
      </c>
      <c r="AX25" t="s">
        <v>106</v>
      </c>
      <c r="AY25" t="s">
        <v>106</v>
      </c>
      <c r="AZ25" t="s">
        <v>106</v>
      </c>
      <c r="BA25" t="s">
        <v>106</v>
      </c>
      <c r="BB25" t="s">
        <v>106</v>
      </c>
      <c r="BC25" t="s">
        <v>106</v>
      </c>
      <c r="BD25" t="s">
        <v>106</v>
      </c>
      <c r="BE25" t="s">
        <v>106</v>
      </c>
      <c r="BF25" t="s">
        <v>106</v>
      </c>
      <c r="BG25" t="s">
        <v>106</v>
      </c>
      <c r="BH25" t="s">
        <v>106</v>
      </c>
      <c r="BI25" t="s">
        <v>106</v>
      </c>
      <c r="BJ25" t="s">
        <v>106</v>
      </c>
      <c r="BK25" t="s">
        <v>106</v>
      </c>
      <c r="BL25">
        <v>-9324.6</v>
      </c>
      <c r="BM25" t="s">
        <v>106</v>
      </c>
    </row>
    <row r="26" spans="1:65">
      <c r="B26" t="s">
        <v>129</v>
      </c>
      <c r="C26" t="s">
        <v>105</v>
      </c>
      <c r="D26" t="s">
        <v>105</v>
      </c>
      <c r="E26" t="s">
        <v>105</v>
      </c>
      <c r="F26">
        <v>-232.4</v>
      </c>
      <c r="G26">
        <v>-8.6</v>
      </c>
      <c r="H26" t="s">
        <v>106</v>
      </c>
      <c r="I26" t="s">
        <v>106</v>
      </c>
      <c r="J26" t="s">
        <v>106</v>
      </c>
      <c r="K26" t="s">
        <v>106</v>
      </c>
      <c r="L26" t="s">
        <v>106</v>
      </c>
      <c r="M26">
        <v>233.8</v>
      </c>
      <c r="N26" t="s">
        <v>106</v>
      </c>
      <c r="O26" t="s">
        <v>106</v>
      </c>
      <c r="P26" t="s">
        <v>106</v>
      </c>
      <c r="Q26" t="s">
        <v>106</v>
      </c>
      <c r="R26" t="s">
        <v>106</v>
      </c>
      <c r="S26" t="s">
        <v>106</v>
      </c>
      <c r="T26" t="s">
        <v>106</v>
      </c>
      <c r="U26" t="s">
        <v>106</v>
      </c>
      <c r="V26" t="s">
        <v>106</v>
      </c>
      <c r="W26" t="s">
        <v>106</v>
      </c>
      <c r="X26" t="s">
        <v>106</v>
      </c>
      <c r="Y26" t="s">
        <v>106</v>
      </c>
      <c r="Z26" t="s">
        <v>106</v>
      </c>
      <c r="AA26" t="s">
        <v>106</v>
      </c>
      <c r="AB26" t="s">
        <v>106</v>
      </c>
      <c r="AC26" t="s">
        <v>106</v>
      </c>
      <c r="AD26" t="s">
        <v>106</v>
      </c>
      <c r="AE26" t="s">
        <v>106</v>
      </c>
      <c r="AF26" t="s">
        <v>106</v>
      </c>
      <c r="AG26" t="s">
        <v>106</v>
      </c>
      <c r="AH26" t="s">
        <v>106</v>
      </c>
      <c r="AI26" t="s">
        <v>106</v>
      </c>
      <c r="AJ26" t="s">
        <v>106</v>
      </c>
      <c r="AK26" t="s">
        <v>106</v>
      </c>
      <c r="AL26" t="s">
        <v>106</v>
      </c>
      <c r="AM26" t="s">
        <v>106</v>
      </c>
      <c r="AN26" t="s">
        <v>106</v>
      </c>
      <c r="AO26" t="s">
        <v>106</v>
      </c>
      <c r="AP26" t="s">
        <v>106</v>
      </c>
      <c r="AQ26" t="s">
        <v>106</v>
      </c>
      <c r="AR26" t="s">
        <v>106</v>
      </c>
      <c r="AS26" t="s">
        <v>106</v>
      </c>
      <c r="AT26" t="s">
        <v>106</v>
      </c>
      <c r="AU26" t="s">
        <v>106</v>
      </c>
      <c r="AV26" t="s">
        <v>106</v>
      </c>
      <c r="AW26" t="s">
        <v>106</v>
      </c>
      <c r="AX26" t="s">
        <v>106</v>
      </c>
      <c r="AY26" t="s">
        <v>106</v>
      </c>
      <c r="AZ26" t="s">
        <v>106</v>
      </c>
      <c r="BA26" t="s">
        <v>106</v>
      </c>
      <c r="BB26" t="s">
        <v>106</v>
      </c>
      <c r="BC26" t="s">
        <v>106</v>
      </c>
      <c r="BD26" t="s">
        <v>106</v>
      </c>
      <c r="BE26" t="s">
        <v>106</v>
      </c>
      <c r="BF26" t="s">
        <v>106</v>
      </c>
      <c r="BG26" t="s">
        <v>106</v>
      </c>
      <c r="BH26" t="s">
        <v>106</v>
      </c>
      <c r="BI26" t="s">
        <v>106</v>
      </c>
      <c r="BJ26" t="s">
        <v>106</v>
      </c>
      <c r="BK26" t="s">
        <v>106</v>
      </c>
      <c r="BL26">
        <v>-7.2</v>
      </c>
      <c r="BM26" t="s">
        <v>106</v>
      </c>
    </row>
    <row r="27" spans="1:65">
      <c r="B27" t="s">
        <v>130</v>
      </c>
      <c r="C27" t="s">
        <v>105</v>
      </c>
      <c r="D27" t="s">
        <v>105</v>
      </c>
      <c r="E27" t="s">
        <v>105</v>
      </c>
      <c r="F27" t="s">
        <v>106</v>
      </c>
      <c r="G27" t="s">
        <v>106</v>
      </c>
      <c r="H27" t="s">
        <v>106</v>
      </c>
      <c r="I27" t="s">
        <v>106</v>
      </c>
      <c r="J27" t="s">
        <v>106</v>
      </c>
      <c r="K27" t="s">
        <v>106</v>
      </c>
      <c r="L27" t="s">
        <v>106</v>
      </c>
      <c r="M27" t="s">
        <v>106</v>
      </c>
      <c r="N27" t="s">
        <v>106</v>
      </c>
      <c r="O27" t="s">
        <v>106</v>
      </c>
      <c r="P27" t="s">
        <v>106</v>
      </c>
      <c r="Q27" t="s">
        <v>106</v>
      </c>
      <c r="R27" t="s">
        <v>106</v>
      </c>
      <c r="S27" t="s">
        <v>106</v>
      </c>
      <c r="T27" t="s">
        <v>106</v>
      </c>
      <c r="U27">
        <v>-143779.9</v>
      </c>
      <c r="V27">
        <v>-35730.1</v>
      </c>
      <c r="W27">
        <v>0.2</v>
      </c>
      <c r="X27">
        <v>151.69999999999999</v>
      </c>
      <c r="Y27">
        <v>3771.5</v>
      </c>
      <c r="Z27">
        <v>1262.2</v>
      </c>
      <c r="AA27">
        <v>2195.1999999999998</v>
      </c>
      <c r="AB27">
        <v>18799.7</v>
      </c>
      <c r="AC27" t="s">
        <v>106</v>
      </c>
      <c r="AD27" t="s">
        <v>106</v>
      </c>
      <c r="AE27">
        <v>15607.6</v>
      </c>
      <c r="AF27">
        <v>6189.6</v>
      </c>
      <c r="AG27">
        <v>50498.1</v>
      </c>
      <c r="AH27">
        <v>241.3</v>
      </c>
      <c r="AI27">
        <v>12.9</v>
      </c>
      <c r="AJ27">
        <v>11914.2</v>
      </c>
      <c r="AK27">
        <v>36322.5</v>
      </c>
      <c r="AL27">
        <v>808</v>
      </c>
      <c r="AM27">
        <v>3460</v>
      </c>
      <c r="AN27">
        <v>4145.3</v>
      </c>
      <c r="AO27">
        <v>22.5</v>
      </c>
      <c r="AP27">
        <v>556</v>
      </c>
      <c r="AQ27">
        <v>4321</v>
      </c>
      <c r="AR27" t="s">
        <v>106</v>
      </c>
      <c r="AS27" t="s">
        <v>106</v>
      </c>
      <c r="AT27" t="s">
        <v>106</v>
      </c>
      <c r="AU27" t="s">
        <v>106</v>
      </c>
      <c r="AV27" t="s">
        <v>106</v>
      </c>
      <c r="AW27" t="s">
        <v>106</v>
      </c>
      <c r="AX27" t="s">
        <v>106</v>
      </c>
      <c r="AY27" t="s">
        <v>106</v>
      </c>
      <c r="AZ27" t="s">
        <v>106</v>
      </c>
      <c r="BA27" t="s">
        <v>106</v>
      </c>
      <c r="BB27" t="s">
        <v>106</v>
      </c>
      <c r="BC27" t="s">
        <v>106</v>
      </c>
      <c r="BD27" t="s">
        <v>106</v>
      </c>
      <c r="BE27" t="s">
        <v>106</v>
      </c>
      <c r="BF27" t="s">
        <v>106</v>
      </c>
      <c r="BG27" t="s">
        <v>106</v>
      </c>
      <c r="BH27" t="s">
        <v>106</v>
      </c>
      <c r="BI27" t="s">
        <v>106</v>
      </c>
      <c r="BJ27" t="s">
        <v>106</v>
      </c>
      <c r="BK27" t="s">
        <v>106</v>
      </c>
      <c r="BL27">
        <v>-19230.5</v>
      </c>
      <c r="BM27" t="s">
        <v>106</v>
      </c>
    </row>
    <row r="28" spans="1:65">
      <c r="B28" t="s">
        <v>131</v>
      </c>
      <c r="C28" t="s">
        <v>105</v>
      </c>
      <c r="D28" t="s">
        <v>105</v>
      </c>
      <c r="E28" t="s">
        <v>105</v>
      </c>
      <c r="F28" t="s">
        <v>106</v>
      </c>
      <c r="G28" t="s">
        <v>106</v>
      </c>
      <c r="H28" t="s">
        <v>106</v>
      </c>
      <c r="I28" t="s">
        <v>106</v>
      </c>
      <c r="J28" t="s">
        <v>106</v>
      </c>
      <c r="K28" t="s">
        <v>106</v>
      </c>
      <c r="L28" t="s">
        <v>106</v>
      </c>
      <c r="M28" t="s">
        <v>106</v>
      </c>
      <c r="N28" t="s">
        <v>106</v>
      </c>
      <c r="O28" t="s">
        <v>106</v>
      </c>
      <c r="P28" t="s">
        <v>106</v>
      </c>
      <c r="Q28" t="s">
        <v>106</v>
      </c>
      <c r="R28" t="s">
        <v>106</v>
      </c>
      <c r="S28" t="s">
        <v>106</v>
      </c>
      <c r="T28" t="s">
        <v>106</v>
      </c>
      <c r="U28" t="s">
        <v>106</v>
      </c>
      <c r="V28">
        <v>15446.4</v>
      </c>
      <c r="W28" t="s">
        <v>106</v>
      </c>
      <c r="X28">
        <v>-146.19999999999999</v>
      </c>
      <c r="Y28">
        <v>-21.8</v>
      </c>
      <c r="Z28">
        <v>-870.1</v>
      </c>
      <c r="AA28">
        <v>-161.1</v>
      </c>
      <c r="AB28" t="s">
        <v>106</v>
      </c>
      <c r="AC28" t="s">
        <v>106</v>
      </c>
      <c r="AD28" t="s">
        <v>106</v>
      </c>
      <c r="AE28" t="s">
        <v>106</v>
      </c>
      <c r="AF28" t="s">
        <v>106</v>
      </c>
      <c r="AG28" t="s">
        <v>106</v>
      </c>
      <c r="AH28" t="s">
        <v>106</v>
      </c>
      <c r="AI28" t="s">
        <v>106</v>
      </c>
      <c r="AJ28" t="s">
        <v>106</v>
      </c>
      <c r="AK28">
        <v>-8756.9</v>
      </c>
      <c r="AL28" t="s">
        <v>106</v>
      </c>
      <c r="AM28" t="s">
        <v>106</v>
      </c>
      <c r="AN28" t="s">
        <v>106</v>
      </c>
      <c r="AO28" t="s">
        <v>106</v>
      </c>
      <c r="AP28" t="s">
        <v>106</v>
      </c>
      <c r="AQ28" t="s">
        <v>106</v>
      </c>
      <c r="AR28" t="s">
        <v>106</v>
      </c>
      <c r="AS28" t="s">
        <v>106</v>
      </c>
      <c r="AT28" t="s">
        <v>106</v>
      </c>
      <c r="AU28" t="s">
        <v>106</v>
      </c>
      <c r="AV28" t="s">
        <v>106</v>
      </c>
      <c r="AW28" t="s">
        <v>106</v>
      </c>
      <c r="AX28" t="s">
        <v>106</v>
      </c>
      <c r="AY28" t="s">
        <v>106</v>
      </c>
      <c r="AZ28" t="s">
        <v>106</v>
      </c>
      <c r="BA28" t="s">
        <v>106</v>
      </c>
      <c r="BB28" t="s">
        <v>106</v>
      </c>
      <c r="BC28" t="s">
        <v>106</v>
      </c>
      <c r="BD28" t="s">
        <v>106</v>
      </c>
      <c r="BE28" t="s">
        <v>106</v>
      </c>
      <c r="BF28" t="s">
        <v>106</v>
      </c>
      <c r="BG28" t="s">
        <v>106</v>
      </c>
      <c r="BH28" t="s">
        <v>106</v>
      </c>
      <c r="BI28" t="s">
        <v>106</v>
      </c>
      <c r="BJ28" t="s">
        <v>106</v>
      </c>
      <c r="BK28" t="s">
        <v>106</v>
      </c>
      <c r="BL28">
        <v>5490.1</v>
      </c>
      <c r="BM28" t="s">
        <v>106</v>
      </c>
    </row>
    <row r="29" spans="1:65">
      <c r="B29" t="s">
        <v>132</v>
      </c>
      <c r="C29" t="s">
        <v>105</v>
      </c>
      <c r="D29" t="s">
        <v>105</v>
      </c>
      <c r="E29" t="s">
        <v>105</v>
      </c>
      <c r="F29" t="s">
        <v>106</v>
      </c>
      <c r="G29" t="s">
        <v>106</v>
      </c>
      <c r="H29" t="s">
        <v>106</v>
      </c>
      <c r="I29" t="s">
        <v>106</v>
      </c>
      <c r="J29" t="s">
        <v>106</v>
      </c>
      <c r="K29" t="s">
        <v>106</v>
      </c>
      <c r="L29" t="s">
        <v>106</v>
      </c>
      <c r="M29" t="s">
        <v>106</v>
      </c>
      <c r="N29" t="s">
        <v>106</v>
      </c>
      <c r="O29" t="s">
        <v>106</v>
      </c>
      <c r="P29" t="s">
        <v>106</v>
      </c>
      <c r="Q29" t="s">
        <v>106</v>
      </c>
      <c r="R29" t="s">
        <v>106</v>
      </c>
      <c r="S29">
        <v>-23567.1</v>
      </c>
      <c r="T29">
        <v>23591.8</v>
      </c>
      <c r="U29" t="s">
        <v>106</v>
      </c>
      <c r="V29" t="s">
        <v>106</v>
      </c>
      <c r="W29" t="s">
        <v>106</v>
      </c>
      <c r="X29" t="s">
        <v>106</v>
      </c>
      <c r="Y29" t="s">
        <v>106</v>
      </c>
      <c r="Z29">
        <v>-24.7</v>
      </c>
      <c r="AA29" t="s">
        <v>106</v>
      </c>
      <c r="AB29" t="s">
        <v>106</v>
      </c>
      <c r="AC29" t="s">
        <v>106</v>
      </c>
      <c r="AD29" t="s">
        <v>106</v>
      </c>
      <c r="AE29" t="s">
        <v>106</v>
      </c>
      <c r="AF29" t="s">
        <v>106</v>
      </c>
      <c r="AG29" t="s">
        <v>106</v>
      </c>
      <c r="AH29" t="s">
        <v>106</v>
      </c>
      <c r="AI29" t="s">
        <v>106</v>
      </c>
      <c r="AJ29" t="s">
        <v>106</v>
      </c>
      <c r="AK29" t="s">
        <v>106</v>
      </c>
      <c r="AL29" t="s">
        <v>106</v>
      </c>
      <c r="AM29" t="s">
        <v>106</v>
      </c>
      <c r="AN29" t="s">
        <v>106</v>
      </c>
      <c r="AO29" t="s">
        <v>106</v>
      </c>
      <c r="AP29" t="s">
        <v>106</v>
      </c>
      <c r="AQ29" t="s">
        <v>106</v>
      </c>
      <c r="AR29" t="s">
        <v>106</v>
      </c>
      <c r="AS29" t="s">
        <v>106</v>
      </c>
      <c r="AT29" t="s">
        <v>106</v>
      </c>
      <c r="AU29" t="s">
        <v>106</v>
      </c>
      <c r="AV29" t="s">
        <v>106</v>
      </c>
      <c r="AW29" t="s">
        <v>106</v>
      </c>
      <c r="AX29" t="s">
        <v>106</v>
      </c>
      <c r="AY29" t="s">
        <v>106</v>
      </c>
      <c r="AZ29" t="s">
        <v>106</v>
      </c>
      <c r="BA29" t="s">
        <v>106</v>
      </c>
      <c r="BB29" t="s">
        <v>106</v>
      </c>
      <c r="BC29" t="s">
        <v>106</v>
      </c>
      <c r="BD29" t="s">
        <v>106</v>
      </c>
      <c r="BE29" t="s">
        <v>106</v>
      </c>
      <c r="BF29" t="s">
        <v>106</v>
      </c>
      <c r="BG29" t="s">
        <v>106</v>
      </c>
      <c r="BH29" t="s">
        <v>106</v>
      </c>
      <c r="BI29" t="s">
        <v>106</v>
      </c>
      <c r="BJ29" t="s">
        <v>106</v>
      </c>
      <c r="BK29" t="s">
        <v>106</v>
      </c>
      <c r="BL29">
        <v>0</v>
      </c>
      <c r="BM29" t="s">
        <v>106</v>
      </c>
    </row>
    <row r="30" spans="1:65">
      <c r="B30" t="s">
        <v>133</v>
      </c>
      <c r="C30" t="s">
        <v>105</v>
      </c>
      <c r="D30" t="s">
        <v>105</v>
      </c>
      <c r="E30" t="s">
        <v>105</v>
      </c>
      <c r="F30" t="s">
        <v>106</v>
      </c>
      <c r="G30" t="s">
        <v>106</v>
      </c>
      <c r="H30" t="s">
        <v>106</v>
      </c>
      <c r="I30">
        <v>-385.9</v>
      </c>
      <c r="J30" t="s">
        <v>106</v>
      </c>
      <c r="K30" t="s">
        <v>106</v>
      </c>
      <c r="L30" t="s">
        <v>106</v>
      </c>
      <c r="M30" t="s">
        <v>106</v>
      </c>
      <c r="N30" t="s">
        <v>106</v>
      </c>
      <c r="O30" t="s">
        <v>106</v>
      </c>
      <c r="P30" t="s">
        <v>106</v>
      </c>
      <c r="Q30" t="s">
        <v>106</v>
      </c>
      <c r="R30">
        <v>506.4</v>
      </c>
      <c r="S30" t="s">
        <v>106</v>
      </c>
      <c r="T30" t="s">
        <v>106</v>
      </c>
      <c r="U30" t="s">
        <v>106</v>
      </c>
      <c r="V30" t="s">
        <v>106</v>
      </c>
      <c r="W30" t="s">
        <v>106</v>
      </c>
      <c r="X30" t="s">
        <v>106</v>
      </c>
      <c r="Y30" t="s">
        <v>106</v>
      </c>
      <c r="Z30" t="s">
        <v>106</v>
      </c>
      <c r="AA30" t="s">
        <v>106</v>
      </c>
      <c r="AB30" t="s">
        <v>106</v>
      </c>
      <c r="AC30" t="s">
        <v>106</v>
      </c>
      <c r="AD30" t="s">
        <v>106</v>
      </c>
      <c r="AE30" t="s">
        <v>106</v>
      </c>
      <c r="AF30" t="s">
        <v>106</v>
      </c>
      <c r="AG30" t="s">
        <v>106</v>
      </c>
      <c r="AH30" t="s">
        <v>106</v>
      </c>
      <c r="AI30" t="s">
        <v>106</v>
      </c>
      <c r="AJ30" t="s">
        <v>106</v>
      </c>
      <c r="AK30" t="s">
        <v>106</v>
      </c>
      <c r="AL30" t="s">
        <v>106</v>
      </c>
      <c r="AM30" t="s">
        <v>106</v>
      </c>
      <c r="AN30" t="s">
        <v>106</v>
      </c>
      <c r="AO30" t="s">
        <v>106</v>
      </c>
      <c r="AP30" t="s">
        <v>106</v>
      </c>
      <c r="AQ30" t="s">
        <v>106</v>
      </c>
      <c r="AR30" t="s">
        <v>106</v>
      </c>
      <c r="AS30" t="s">
        <v>106</v>
      </c>
      <c r="AT30" t="s">
        <v>106</v>
      </c>
      <c r="AU30" t="s">
        <v>106</v>
      </c>
      <c r="AV30" t="s">
        <v>106</v>
      </c>
      <c r="AW30" t="s">
        <v>106</v>
      </c>
      <c r="AX30" t="s">
        <v>106</v>
      </c>
      <c r="AY30" t="s">
        <v>106</v>
      </c>
      <c r="AZ30" t="s">
        <v>106</v>
      </c>
      <c r="BA30" t="s">
        <v>106</v>
      </c>
      <c r="BB30" t="s">
        <v>106</v>
      </c>
      <c r="BC30" t="s">
        <v>106</v>
      </c>
      <c r="BD30" t="s">
        <v>106</v>
      </c>
      <c r="BE30" t="s">
        <v>106</v>
      </c>
      <c r="BF30" t="s">
        <v>106</v>
      </c>
      <c r="BG30" t="s">
        <v>106</v>
      </c>
      <c r="BH30" t="s">
        <v>106</v>
      </c>
      <c r="BI30" t="s">
        <v>106</v>
      </c>
      <c r="BJ30" t="s">
        <v>106</v>
      </c>
      <c r="BK30" t="s">
        <v>106</v>
      </c>
      <c r="BL30">
        <v>120.5</v>
      </c>
      <c r="BM30">
        <v>1012.8</v>
      </c>
    </row>
    <row r="31" spans="1:65">
      <c r="B31" t="s">
        <v>134</v>
      </c>
      <c r="C31" t="s">
        <v>105</v>
      </c>
      <c r="D31" t="s">
        <v>105</v>
      </c>
      <c r="E31" t="s">
        <v>105</v>
      </c>
      <c r="F31" t="s">
        <v>106</v>
      </c>
      <c r="G31" t="s">
        <v>106</v>
      </c>
      <c r="H31" t="s">
        <v>106</v>
      </c>
      <c r="I31" t="s">
        <v>106</v>
      </c>
      <c r="J31" t="s">
        <v>106</v>
      </c>
      <c r="K31" t="s">
        <v>106</v>
      </c>
      <c r="L31" t="s">
        <v>106</v>
      </c>
      <c r="M31" t="s">
        <v>106</v>
      </c>
      <c r="N31" t="s">
        <v>106</v>
      </c>
      <c r="O31" t="s">
        <v>106</v>
      </c>
      <c r="P31" t="s">
        <v>106</v>
      </c>
      <c r="Q31" t="s">
        <v>106</v>
      </c>
      <c r="R31" t="s">
        <v>106</v>
      </c>
      <c r="S31" t="s">
        <v>106</v>
      </c>
      <c r="T31">
        <v>-303.10000000000002</v>
      </c>
      <c r="U31" t="s">
        <v>106</v>
      </c>
      <c r="V31" t="s">
        <v>106</v>
      </c>
      <c r="W31" t="s">
        <v>106</v>
      </c>
      <c r="X31" t="s">
        <v>106</v>
      </c>
      <c r="Y31" t="s">
        <v>106</v>
      </c>
      <c r="Z31" t="s">
        <v>106</v>
      </c>
      <c r="AA31" t="s">
        <v>106</v>
      </c>
      <c r="AB31" t="s">
        <v>106</v>
      </c>
      <c r="AC31" t="s">
        <v>106</v>
      </c>
      <c r="AD31" t="s">
        <v>106</v>
      </c>
      <c r="AE31" t="s">
        <v>106</v>
      </c>
      <c r="AF31" t="s">
        <v>106</v>
      </c>
      <c r="AG31" t="s">
        <v>106</v>
      </c>
      <c r="AH31" t="s">
        <v>106</v>
      </c>
      <c r="AI31" t="s">
        <v>106</v>
      </c>
      <c r="AJ31" t="s">
        <v>106</v>
      </c>
      <c r="AK31" t="s">
        <v>106</v>
      </c>
      <c r="AL31" t="s">
        <v>106</v>
      </c>
      <c r="AM31" t="s">
        <v>106</v>
      </c>
      <c r="AN31" t="s">
        <v>106</v>
      </c>
      <c r="AO31" t="s">
        <v>106</v>
      </c>
      <c r="AP31" t="s">
        <v>106</v>
      </c>
      <c r="AQ31" t="s">
        <v>106</v>
      </c>
      <c r="AR31" t="s">
        <v>106</v>
      </c>
      <c r="AS31" t="s">
        <v>106</v>
      </c>
      <c r="AT31" t="s">
        <v>106</v>
      </c>
      <c r="AU31" t="s">
        <v>106</v>
      </c>
      <c r="AV31" t="s">
        <v>106</v>
      </c>
      <c r="AW31" t="s">
        <v>106</v>
      </c>
      <c r="AX31" t="s">
        <v>106</v>
      </c>
      <c r="AY31" t="s">
        <v>106</v>
      </c>
      <c r="AZ31" t="s">
        <v>106</v>
      </c>
      <c r="BA31" t="s">
        <v>106</v>
      </c>
      <c r="BB31" t="s">
        <v>106</v>
      </c>
      <c r="BC31" t="s">
        <v>106</v>
      </c>
      <c r="BD31" t="s">
        <v>106</v>
      </c>
      <c r="BE31" t="s">
        <v>106</v>
      </c>
      <c r="BF31" t="s">
        <v>106</v>
      </c>
      <c r="BG31" t="s">
        <v>106</v>
      </c>
      <c r="BH31" t="s">
        <v>106</v>
      </c>
      <c r="BI31">
        <v>750.8</v>
      </c>
      <c r="BJ31" t="s">
        <v>106</v>
      </c>
      <c r="BK31" t="s">
        <v>106</v>
      </c>
      <c r="BL31">
        <v>447.8</v>
      </c>
      <c r="BM31">
        <v>750.8</v>
      </c>
    </row>
    <row r="32" spans="1:65">
      <c r="A32" t="s">
        <v>135</v>
      </c>
      <c r="B32" t="s">
        <v>105</v>
      </c>
      <c r="C32" t="s">
        <v>105</v>
      </c>
      <c r="D32" t="s">
        <v>105</v>
      </c>
      <c r="E32" t="s">
        <v>105</v>
      </c>
      <c r="F32" t="s">
        <v>106</v>
      </c>
      <c r="G32" t="s">
        <v>106</v>
      </c>
      <c r="H32" t="s">
        <v>106</v>
      </c>
      <c r="I32" t="s">
        <v>106</v>
      </c>
      <c r="J32" t="s">
        <v>106</v>
      </c>
      <c r="K32" t="s">
        <v>106</v>
      </c>
      <c r="L32" t="s">
        <v>106</v>
      </c>
      <c r="M32" t="s">
        <v>106</v>
      </c>
      <c r="N32" t="s">
        <v>106</v>
      </c>
      <c r="O32" t="s">
        <v>106</v>
      </c>
      <c r="P32">
        <v>-917.3</v>
      </c>
      <c r="Q32">
        <v>-2237.9</v>
      </c>
      <c r="R32">
        <v>-38.1</v>
      </c>
      <c r="S32">
        <v>-1213.9000000000001</v>
      </c>
      <c r="T32">
        <v>-467.9</v>
      </c>
      <c r="U32" t="s">
        <v>106</v>
      </c>
      <c r="V32">
        <v>-2</v>
      </c>
      <c r="W32" t="s">
        <v>106</v>
      </c>
      <c r="X32" t="s">
        <v>106</v>
      </c>
      <c r="Y32">
        <v>-2660.6</v>
      </c>
      <c r="Z32">
        <v>-284</v>
      </c>
      <c r="AA32">
        <v>-12.2</v>
      </c>
      <c r="AB32">
        <v>-0.3</v>
      </c>
      <c r="AC32" t="s">
        <v>106</v>
      </c>
      <c r="AD32" t="s">
        <v>106</v>
      </c>
      <c r="AE32" t="s">
        <v>106</v>
      </c>
      <c r="AF32">
        <v>-2.2999999999999998</v>
      </c>
      <c r="AG32">
        <v>-26.3</v>
      </c>
      <c r="AH32">
        <v>-0.1</v>
      </c>
      <c r="AI32" t="s">
        <v>106</v>
      </c>
      <c r="AJ32">
        <v>-262.2</v>
      </c>
      <c r="AK32" t="s">
        <v>106</v>
      </c>
      <c r="AL32" t="s">
        <v>106</v>
      </c>
      <c r="AM32" t="s">
        <v>106</v>
      </c>
      <c r="AN32" t="s">
        <v>106</v>
      </c>
      <c r="AO32" t="s">
        <v>106</v>
      </c>
      <c r="AP32" t="s">
        <v>106</v>
      </c>
      <c r="AQ32" t="s">
        <v>106</v>
      </c>
      <c r="AR32" t="s">
        <v>106</v>
      </c>
      <c r="AS32" t="s">
        <v>106</v>
      </c>
      <c r="AT32" t="s">
        <v>106</v>
      </c>
      <c r="AU32" t="s">
        <v>106</v>
      </c>
      <c r="AV32" t="s">
        <v>106</v>
      </c>
      <c r="AW32" t="s">
        <v>106</v>
      </c>
      <c r="AX32" t="s">
        <v>106</v>
      </c>
      <c r="AY32" t="s">
        <v>106</v>
      </c>
      <c r="AZ32" t="s">
        <v>106</v>
      </c>
      <c r="BA32" t="s">
        <v>106</v>
      </c>
      <c r="BB32" t="s">
        <v>106</v>
      </c>
      <c r="BC32" t="s">
        <v>106</v>
      </c>
      <c r="BD32" t="s">
        <v>106</v>
      </c>
      <c r="BE32" t="s">
        <v>106</v>
      </c>
      <c r="BF32" t="s">
        <v>106</v>
      </c>
      <c r="BG32" t="s">
        <v>106</v>
      </c>
      <c r="BH32" t="s">
        <v>106</v>
      </c>
      <c r="BI32" t="s">
        <v>106</v>
      </c>
      <c r="BJ32">
        <v>-3136.1</v>
      </c>
      <c r="BK32">
        <v>-173.4</v>
      </c>
      <c r="BL32">
        <v>-11434.7</v>
      </c>
      <c r="BM32">
        <v>-5853.9</v>
      </c>
    </row>
    <row r="33" spans="1:65">
      <c r="B33" t="s">
        <v>136</v>
      </c>
      <c r="C33" t="s">
        <v>105</v>
      </c>
      <c r="D33" t="s">
        <v>105</v>
      </c>
      <c r="E33" t="s">
        <v>105</v>
      </c>
      <c r="F33" t="s">
        <v>106</v>
      </c>
      <c r="G33" t="s">
        <v>106</v>
      </c>
      <c r="H33" t="s">
        <v>106</v>
      </c>
      <c r="I33" t="s">
        <v>106</v>
      </c>
      <c r="J33" t="s">
        <v>106</v>
      </c>
      <c r="K33" t="s">
        <v>106</v>
      </c>
      <c r="L33" t="s">
        <v>106</v>
      </c>
      <c r="M33" t="s">
        <v>106</v>
      </c>
      <c r="N33" t="s">
        <v>106</v>
      </c>
      <c r="O33" t="s">
        <v>106</v>
      </c>
      <c r="P33" t="s">
        <v>106</v>
      </c>
      <c r="Q33" t="s">
        <v>106</v>
      </c>
      <c r="R33" t="s">
        <v>106</v>
      </c>
      <c r="S33" t="s">
        <v>106</v>
      </c>
      <c r="T33" t="s">
        <v>106</v>
      </c>
      <c r="U33" t="s">
        <v>106</v>
      </c>
      <c r="V33" t="s">
        <v>106</v>
      </c>
      <c r="W33" t="s">
        <v>106</v>
      </c>
      <c r="X33" t="s">
        <v>106</v>
      </c>
      <c r="Y33" t="s">
        <v>106</v>
      </c>
      <c r="Z33" t="s">
        <v>106</v>
      </c>
      <c r="AA33" t="s">
        <v>106</v>
      </c>
      <c r="AB33">
        <v>-0.1</v>
      </c>
      <c r="AC33" t="s">
        <v>106</v>
      </c>
      <c r="AD33" t="s">
        <v>106</v>
      </c>
      <c r="AE33" t="s">
        <v>106</v>
      </c>
      <c r="AF33">
        <v>-0.3</v>
      </c>
      <c r="AG33">
        <v>-16.399999999999999</v>
      </c>
      <c r="AH33" t="s">
        <v>106</v>
      </c>
      <c r="AI33" t="s">
        <v>106</v>
      </c>
      <c r="AJ33">
        <v>-0.2</v>
      </c>
      <c r="AK33" t="s">
        <v>106</v>
      </c>
      <c r="AL33" t="s">
        <v>106</v>
      </c>
      <c r="AM33" t="s">
        <v>106</v>
      </c>
      <c r="AN33" t="s">
        <v>106</v>
      </c>
      <c r="AO33" t="s">
        <v>106</v>
      </c>
      <c r="AP33" t="s">
        <v>106</v>
      </c>
      <c r="AQ33" t="s">
        <v>106</v>
      </c>
      <c r="AR33" t="s">
        <v>106</v>
      </c>
      <c r="AS33" t="s">
        <v>106</v>
      </c>
      <c r="AT33" t="s">
        <v>106</v>
      </c>
      <c r="AU33" t="s">
        <v>106</v>
      </c>
      <c r="AV33" t="s">
        <v>106</v>
      </c>
      <c r="AW33" t="s">
        <v>106</v>
      </c>
      <c r="AX33" t="s">
        <v>106</v>
      </c>
      <c r="AY33" t="s">
        <v>106</v>
      </c>
      <c r="AZ33" t="s">
        <v>106</v>
      </c>
      <c r="BA33" t="s">
        <v>106</v>
      </c>
      <c r="BB33" t="s">
        <v>106</v>
      </c>
      <c r="BC33" t="s">
        <v>106</v>
      </c>
      <c r="BD33" t="s">
        <v>106</v>
      </c>
      <c r="BE33" t="s">
        <v>106</v>
      </c>
      <c r="BF33" t="s">
        <v>106</v>
      </c>
      <c r="BG33" t="s">
        <v>106</v>
      </c>
      <c r="BH33" t="s">
        <v>106</v>
      </c>
      <c r="BI33" t="s">
        <v>106</v>
      </c>
      <c r="BJ33" t="s">
        <v>106</v>
      </c>
      <c r="BK33" t="s">
        <v>106</v>
      </c>
      <c r="BL33">
        <v>-17</v>
      </c>
      <c r="BM33" t="s">
        <v>106</v>
      </c>
    </row>
    <row r="34" spans="1:65">
      <c r="B34" t="s">
        <v>137</v>
      </c>
      <c r="C34" t="s">
        <v>105</v>
      </c>
      <c r="D34" t="s">
        <v>105</v>
      </c>
      <c r="E34" t="s">
        <v>105</v>
      </c>
      <c r="F34" t="s">
        <v>106</v>
      </c>
      <c r="G34" t="s">
        <v>106</v>
      </c>
      <c r="H34" t="s">
        <v>106</v>
      </c>
      <c r="I34" t="s">
        <v>106</v>
      </c>
      <c r="J34" t="s">
        <v>106</v>
      </c>
      <c r="K34" t="s">
        <v>106</v>
      </c>
      <c r="L34" t="s">
        <v>106</v>
      </c>
      <c r="M34" t="s">
        <v>106</v>
      </c>
      <c r="N34" t="s">
        <v>106</v>
      </c>
      <c r="O34" t="s">
        <v>106</v>
      </c>
      <c r="P34" t="s">
        <v>106</v>
      </c>
      <c r="Q34" t="s">
        <v>106</v>
      </c>
      <c r="R34" t="s">
        <v>106</v>
      </c>
      <c r="S34" t="s">
        <v>106</v>
      </c>
      <c r="T34" t="s">
        <v>106</v>
      </c>
      <c r="U34" t="s">
        <v>106</v>
      </c>
      <c r="V34" t="s">
        <v>106</v>
      </c>
      <c r="W34" t="s">
        <v>106</v>
      </c>
      <c r="X34" t="s">
        <v>106</v>
      </c>
      <c r="Y34" t="s">
        <v>106</v>
      </c>
      <c r="Z34">
        <v>-3.7</v>
      </c>
      <c r="AA34">
        <v>0</v>
      </c>
      <c r="AB34" t="s">
        <v>106</v>
      </c>
      <c r="AC34" t="s">
        <v>106</v>
      </c>
      <c r="AD34" t="s">
        <v>106</v>
      </c>
      <c r="AE34" t="s">
        <v>106</v>
      </c>
      <c r="AF34" t="s">
        <v>106</v>
      </c>
      <c r="AG34" t="s">
        <v>106</v>
      </c>
      <c r="AH34" t="s">
        <v>106</v>
      </c>
      <c r="AI34" t="s">
        <v>106</v>
      </c>
      <c r="AJ34" t="s">
        <v>106</v>
      </c>
      <c r="AK34" t="s">
        <v>106</v>
      </c>
      <c r="AL34" t="s">
        <v>106</v>
      </c>
      <c r="AM34" t="s">
        <v>106</v>
      </c>
      <c r="AN34" t="s">
        <v>106</v>
      </c>
      <c r="AO34" t="s">
        <v>106</v>
      </c>
      <c r="AP34" t="s">
        <v>106</v>
      </c>
      <c r="AQ34" t="s">
        <v>106</v>
      </c>
      <c r="AR34" t="s">
        <v>106</v>
      </c>
      <c r="AS34" t="s">
        <v>106</v>
      </c>
      <c r="AT34" t="s">
        <v>106</v>
      </c>
      <c r="AU34" t="s">
        <v>106</v>
      </c>
      <c r="AV34" t="s">
        <v>106</v>
      </c>
      <c r="AW34" t="s">
        <v>106</v>
      </c>
      <c r="AX34" t="s">
        <v>106</v>
      </c>
      <c r="AY34" t="s">
        <v>106</v>
      </c>
      <c r="AZ34" t="s">
        <v>106</v>
      </c>
      <c r="BA34" t="s">
        <v>106</v>
      </c>
      <c r="BB34" t="s">
        <v>106</v>
      </c>
      <c r="BC34" t="s">
        <v>106</v>
      </c>
      <c r="BD34" t="s">
        <v>106</v>
      </c>
      <c r="BE34" t="s">
        <v>106</v>
      </c>
      <c r="BF34" t="s">
        <v>106</v>
      </c>
      <c r="BG34" t="s">
        <v>106</v>
      </c>
      <c r="BH34" t="s">
        <v>106</v>
      </c>
      <c r="BI34" t="s">
        <v>106</v>
      </c>
      <c r="BJ34" t="s">
        <v>106</v>
      </c>
      <c r="BK34" t="s">
        <v>106</v>
      </c>
      <c r="BL34">
        <v>-3.7</v>
      </c>
      <c r="BM34" t="s">
        <v>106</v>
      </c>
    </row>
    <row r="35" spans="1:65">
      <c r="B35" t="s">
        <v>138</v>
      </c>
      <c r="C35" t="s">
        <v>105</v>
      </c>
      <c r="D35" t="s">
        <v>105</v>
      </c>
      <c r="E35" t="s">
        <v>105</v>
      </c>
      <c r="F35" t="s">
        <v>106</v>
      </c>
      <c r="G35" t="s">
        <v>106</v>
      </c>
      <c r="H35" t="s">
        <v>106</v>
      </c>
      <c r="I35" t="s">
        <v>106</v>
      </c>
      <c r="J35" t="s">
        <v>106</v>
      </c>
      <c r="K35" t="s">
        <v>106</v>
      </c>
      <c r="L35" t="s">
        <v>106</v>
      </c>
      <c r="M35" t="s">
        <v>106</v>
      </c>
      <c r="N35" t="s">
        <v>106</v>
      </c>
      <c r="O35" t="s">
        <v>106</v>
      </c>
      <c r="P35" t="s">
        <v>106</v>
      </c>
      <c r="Q35" t="s">
        <v>106</v>
      </c>
      <c r="R35" t="s">
        <v>106</v>
      </c>
      <c r="S35" t="s">
        <v>106</v>
      </c>
      <c r="T35" t="s">
        <v>106</v>
      </c>
      <c r="U35" t="s">
        <v>106</v>
      </c>
      <c r="V35" t="s">
        <v>106</v>
      </c>
      <c r="W35" t="s">
        <v>106</v>
      </c>
      <c r="X35" t="s">
        <v>106</v>
      </c>
      <c r="Y35" t="s">
        <v>106</v>
      </c>
      <c r="Z35" t="s">
        <v>106</v>
      </c>
      <c r="AA35" t="s">
        <v>106</v>
      </c>
      <c r="AB35" t="s">
        <v>106</v>
      </c>
      <c r="AC35" t="s">
        <v>106</v>
      </c>
      <c r="AD35" t="s">
        <v>106</v>
      </c>
      <c r="AE35" t="s">
        <v>106</v>
      </c>
      <c r="AF35" t="s">
        <v>106</v>
      </c>
      <c r="AG35" t="s">
        <v>106</v>
      </c>
      <c r="AH35" t="s">
        <v>106</v>
      </c>
      <c r="AI35" t="s">
        <v>106</v>
      </c>
      <c r="AJ35" t="s">
        <v>106</v>
      </c>
      <c r="AK35" t="s">
        <v>106</v>
      </c>
      <c r="AL35" t="s">
        <v>106</v>
      </c>
      <c r="AM35" t="s">
        <v>106</v>
      </c>
      <c r="AN35" t="s">
        <v>106</v>
      </c>
      <c r="AO35" t="s">
        <v>106</v>
      </c>
      <c r="AP35" t="s">
        <v>106</v>
      </c>
      <c r="AQ35" t="s">
        <v>106</v>
      </c>
      <c r="AR35" t="s">
        <v>106</v>
      </c>
      <c r="AS35" t="s">
        <v>106</v>
      </c>
      <c r="AT35" t="s">
        <v>106</v>
      </c>
      <c r="AU35" t="s">
        <v>106</v>
      </c>
      <c r="AV35" t="s">
        <v>106</v>
      </c>
      <c r="AW35" t="s">
        <v>106</v>
      </c>
      <c r="AX35" t="s">
        <v>106</v>
      </c>
      <c r="AY35" t="s">
        <v>106</v>
      </c>
      <c r="AZ35" t="s">
        <v>106</v>
      </c>
      <c r="BA35" t="s">
        <v>106</v>
      </c>
      <c r="BB35" t="s">
        <v>106</v>
      </c>
      <c r="BC35" t="s">
        <v>106</v>
      </c>
      <c r="BD35" t="s">
        <v>106</v>
      </c>
      <c r="BE35" t="s">
        <v>106</v>
      </c>
      <c r="BF35" t="s">
        <v>106</v>
      </c>
      <c r="BG35" t="s">
        <v>106</v>
      </c>
      <c r="BH35" t="s">
        <v>106</v>
      </c>
      <c r="BI35" t="s">
        <v>106</v>
      </c>
      <c r="BJ35">
        <v>-1817.6</v>
      </c>
      <c r="BK35" t="s">
        <v>106</v>
      </c>
      <c r="BL35">
        <v>-1817.6</v>
      </c>
      <c r="BM35" t="s">
        <v>106</v>
      </c>
    </row>
    <row r="36" spans="1:65">
      <c r="B36" t="s">
        <v>139</v>
      </c>
      <c r="C36" t="s">
        <v>105</v>
      </c>
      <c r="D36" t="s">
        <v>105</v>
      </c>
      <c r="E36" t="s">
        <v>105</v>
      </c>
      <c r="F36" t="s">
        <v>106</v>
      </c>
      <c r="G36" t="s">
        <v>106</v>
      </c>
      <c r="H36" t="s">
        <v>106</v>
      </c>
      <c r="I36" t="s">
        <v>106</v>
      </c>
      <c r="J36" t="s">
        <v>106</v>
      </c>
      <c r="K36" t="s">
        <v>106</v>
      </c>
      <c r="L36" t="s">
        <v>106</v>
      </c>
      <c r="M36" t="s">
        <v>106</v>
      </c>
      <c r="N36" t="s">
        <v>106</v>
      </c>
      <c r="O36" t="s">
        <v>106</v>
      </c>
      <c r="P36" t="s">
        <v>106</v>
      </c>
      <c r="Q36" t="s">
        <v>106</v>
      </c>
      <c r="R36" t="s">
        <v>106</v>
      </c>
      <c r="S36" t="s">
        <v>106</v>
      </c>
      <c r="T36" t="s">
        <v>106</v>
      </c>
      <c r="U36" t="s">
        <v>106</v>
      </c>
      <c r="V36" t="s">
        <v>106</v>
      </c>
      <c r="W36" t="s">
        <v>106</v>
      </c>
      <c r="X36" t="s">
        <v>106</v>
      </c>
      <c r="Y36" t="s">
        <v>106</v>
      </c>
      <c r="Z36" t="s">
        <v>106</v>
      </c>
      <c r="AA36" t="s">
        <v>106</v>
      </c>
      <c r="AB36" t="s">
        <v>106</v>
      </c>
      <c r="AC36" t="s">
        <v>106</v>
      </c>
      <c r="AD36" t="s">
        <v>106</v>
      </c>
      <c r="AE36" t="s">
        <v>106</v>
      </c>
      <c r="AF36" t="s">
        <v>106</v>
      </c>
      <c r="AG36" t="s">
        <v>106</v>
      </c>
      <c r="AH36" t="s">
        <v>106</v>
      </c>
      <c r="AI36" t="s">
        <v>106</v>
      </c>
      <c r="AJ36" t="s">
        <v>106</v>
      </c>
      <c r="AK36" t="s">
        <v>106</v>
      </c>
      <c r="AL36" t="s">
        <v>106</v>
      </c>
      <c r="AM36" t="s">
        <v>106</v>
      </c>
      <c r="AN36" t="s">
        <v>106</v>
      </c>
      <c r="AO36" t="s">
        <v>106</v>
      </c>
      <c r="AP36" t="s">
        <v>106</v>
      </c>
      <c r="AQ36" t="s">
        <v>106</v>
      </c>
      <c r="AR36" t="s">
        <v>106</v>
      </c>
      <c r="AS36" t="s">
        <v>106</v>
      </c>
      <c r="AT36" t="s">
        <v>106</v>
      </c>
      <c r="AU36" t="s">
        <v>106</v>
      </c>
      <c r="AV36" t="s">
        <v>106</v>
      </c>
      <c r="AW36" t="s">
        <v>106</v>
      </c>
      <c r="AX36" t="s">
        <v>106</v>
      </c>
      <c r="AY36" t="s">
        <v>106</v>
      </c>
      <c r="AZ36" t="s">
        <v>106</v>
      </c>
      <c r="BA36" t="s">
        <v>106</v>
      </c>
      <c r="BB36" t="s">
        <v>106</v>
      </c>
      <c r="BC36" t="s">
        <v>106</v>
      </c>
      <c r="BD36" t="s">
        <v>106</v>
      </c>
      <c r="BE36" t="s">
        <v>106</v>
      </c>
      <c r="BF36" t="s">
        <v>106</v>
      </c>
      <c r="BG36" t="s">
        <v>106</v>
      </c>
      <c r="BH36" t="s">
        <v>106</v>
      </c>
      <c r="BI36" t="s">
        <v>106</v>
      </c>
      <c r="BJ36">
        <v>-92.9</v>
      </c>
      <c r="BK36" t="s">
        <v>106</v>
      </c>
      <c r="BL36">
        <v>-92.9</v>
      </c>
      <c r="BM36" t="s">
        <v>106</v>
      </c>
    </row>
    <row r="37" spans="1:65">
      <c r="B37" t="s">
        <v>140</v>
      </c>
      <c r="C37" t="s">
        <v>105</v>
      </c>
      <c r="D37" t="s">
        <v>105</v>
      </c>
      <c r="E37" t="s">
        <v>105</v>
      </c>
      <c r="F37" t="s">
        <v>106</v>
      </c>
      <c r="G37" t="s">
        <v>106</v>
      </c>
      <c r="H37" t="s">
        <v>106</v>
      </c>
      <c r="I37" t="s">
        <v>106</v>
      </c>
      <c r="J37" t="s">
        <v>106</v>
      </c>
      <c r="K37" t="s">
        <v>106</v>
      </c>
      <c r="L37" t="s">
        <v>106</v>
      </c>
      <c r="M37" t="s">
        <v>106</v>
      </c>
      <c r="N37" t="s">
        <v>106</v>
      </c>
      <c r="O37" t="s">
        <v>106</v>
      </c>
      <c r="P37">
        <v>-318.5</v>
      </c>
      <c r="Q37">
        <v>-1083.7</v>
      </c>
      <c r="R37">
        <v>-17.7</v>
      </c>
      <c r="S37" t="s">
        <v>106</v>
      </c>
      <c r="T37" t="s">
        <v>106</v>
      </c>
      <c r="U37" t="s">
        <v>106</v>
      </c>
      <c r="V37" t="s">
        <v>106</v>
      </c>
      <c r="W37" t="s">
        <v>106</v>
      </c>
      <c r="X37" t="s">
        <v>106</v>
      </c>
      <c r="Y37" t="s">
        <v>106</v>
      </c>
      <c r="Z37" t="s">
        <v>106</v>
      </c>
      <c r="AA37" t="s">
        <v>106</v>
      </c>
      <c r="AB37" t="s">
        <v>106</v>
      </c>
      <c r="AC37" t="s">
        <v>106</v>
      </c>
      <c r="AD37" t="s">
        <v>106</v>
      </c>
      <c r="AE37" t="s">
        <v>106</v>
      </c>
      <c r="AF37" t="s">
        <v>106</v>
      </c>
      <c r="AG37" t="s">
        <v>106</v>
      </c>
      <c r="AH37" t="s">
        <v>106</v>
      </c>
      <c r="AI37" t="s">
        <v>106</v>
      </c>
      <c r="AJ37" t="s">
        <v>106</v>
      </c>
      <c r="AK37" t="s">
        <v>106</v>
      </c>
      <c r="AL37" t="s">
        <v>106</v>
      </c>
      <c r="AM37" t="s">
        <v>106</v>
      </c>
      <c r="AN37" t="s">
        <v>106</v>
      </c>
      <c r="AO37" t="s">
        <v>106</v>
      </c>
      <c r="AP37" t="s">
        <v>106</v>
      </c>
      <c r="AQ37" t="s">
        <v>106</v>
      </c>
      <c r="AR37" t="s">
        <v>106</v>
      </c>
      <c r="AS37" t="s">
        <v>106</v>
      </c>
      <c r="AT37" t="s">
        <v>106</v>
      </c>
      <c r="AU37" t="s">
        <v>106</v>
      </c>
      <c r="AV37" t="s">
        <v>106</v>
      </c>
      <c r="AW37" t="s">
        <v>106</v>
      </c>
      <c r="AX37" t="s">
        <v>106</v>
      </c>
      <c r="AY37" t="s">
        <v>106</v>
      </c>
      <c r="AZ37" t="s">
        <v>106</v>
      </c>
      <c r="BA37" t="s">
        <v>106</v>
      </c>
      <c r="BB37" t="s">
        <v>106</v>
      </c>
      <c r="BC37" t="s">
        <v>106</v>
      </c>
      <c r="BD37" t="s">
        <v>106</v>
      </c>
      <c r="BE37" t="s">
        <v>106</v>
      </c>
      <c r="BF37" t="s">
        <v>106</v>
      </c>
      <c r="BG37" t="s">
        <v>106</v>
      </c>
      <c r="BH37" t="s">
        <v>106</v>
      </c>
      <c r="BI37" t="s">
        <v>106</v>
      </c>
      <c r="BJ37" t="s">
        <v>106</v>
      </c>
      <c r="BK37" t="s">
        <v>106</v>
      </c>
      <c r="BL37">
        <v>-1419.9</v>
      </c>
      <c r="BM37">
        <v>-1419.9</v>
      </c>
    </row>
    <row r="38" spans="1:65">
      <c r="B38" t="s">
        <v>141</v>
      </c>
      <c r="C38" t="s">
        <v>105</v>
      </c>
      <c r="D38" t="s">
        <v>105</v>
      </c>
      <c r="E38" t="s">
        <v>105</v>
      </c>
      <c r="F38" t="s">
        <v>106</v>
      </c>
      <c r="G38" t="s">
        <v>106</v>
      </c>
      <c r="H38" t="s">
        <v>106</v>
      </c>
      <c r="I38" t="s">
        <v>106</v>
      </c>
      <c r="J38" t="s">
        <v>106</v>
      </c>
      <c r="K38" t="s">
        <v>106</v>
      </c>
      <c r="L38" t="s">
        <v>106</v>
      </c>
      <c r="M38" t="s">
        <v>106</v>
      </c>
      <c r="N38" t="s">
        <v>106</v>
      </c>
      <c r="O38" t="s">
        <v>106</v>
      </c>
      <c r="P38">
        <v>-598.9</v>
      </c>
      <c r="Q38">
        <v>-1154.2</v>
      </c>
      <c r="R38">
        <v>-20.399999999999999</v>
      </c>
      <c r="S38" t="s">
        <v>106</v>
      </c>
      <c r="T38" t="s">
        <v>106</v>
      </c>
      <c r="U38" t="s">
        <v>106</v>
      </c>
      <c r="V38" t="s">
        <v>106</v>
      </c>
      <c r="W38" t="s">
        <v>106</v>
      </c>
      <c r="X38" t="s">
        <v>106</v>
      </c>
      <c r="Y38" t="s">
        <v>106</v>
      </c>
      <c r="Z38" t="s">
        <v>106</v>
      </c>
      <c r="AA38" t="s">
        <v>106</v>
      </c>
      <c r="AB38" t="s">
        <v>106</v>
      </c>
      <c r="AC38" t="s">
        <v>106</v>
      </c>
      <c r="AD38" t="s">
        <v>106</v>
      </c>
      <c r="AE38" t="s">
        <v>106</v>
      </c>
      <c r="AF38" t="s">
        <v>106</v>
      </c>
      <c r="AG38" t="s">
        <v>106</v>
      </c>
      <c r="AH38" t="s">
        <v>106</v>
      </c>
      <c r="AI38" t="s">
        <v>106</v>
      </c>
      <c r="AJ38" t="s">
        <v>106</v>
      </c>
      <c r="AK38" t="s">
        <v>106</v>
      </c>
      <c r="AL38" t="s">
        <v>106</v>
      </c>
      <c r="AM38" t="s">
        <v>106</v>
      </c>
      <c r="AN38" t="s">
        <v>106</v>
      </c>
      <c r="AO38" t="s">
        <v>106</v>
      </c>
      <c r="AP38" t="s">
        <v>106</v>
      </c>
      <c r="AQ38" t="s">
        <v>106</v>
      </c>
      <c r="AR38" t="s">
        <v>106</v>
      </c>
      <c r="AS38" t="s">
        <v>106</v>
      </c>
      <c r="AT38" t="s">
        <v>106</v>
      </c>
      <c r="AU38" t="s">
        <v>106</v>
      </c>
      <c r="AV38" t="s">
        <v>106</v>
      </c>
      <c r="AW38" t="s">
        <v>106</v>
      </c>
      <c r="AX38" t="s">
        <v>106</v>
      </c>
      <c r="AY38" t="s">
        <v>106</v>
      </c>
      <c r="AZ38" t="s">
        <v>106</v>
      </c>
      <c r="BA38" t="s">
        <v>106</v>
      </c>
      <c r="BB38" t="s">
        <v>106</v>
      </c>
      <c r="BC38" t="s">
        <v>106</v>
      </c>
      <c r="BD38" t="s">
        <v>106</v>
      </c>
      <c r="BE38" t="s">
        <v>106</v>
      </c>
      <c r="BF38" t="s">
        <v>106</v>
      </c>
      <c r="BG38" t="s">
        <v>106</v>
      </c>
      <c r="BH38" t="s">
        <v>106</v>
      </c>
      <c r="BI38" t="s">
        <v>106</v>
      </c>
      <c r="BJ38" t="s">
        <v>106</v>
      </c>
      <c r="BK38" t="s">
        <v>106</v>
      </c>
      <c r="BL38">
        <v>-1773.4</v>
      </c>
      <c r="BM38">
        <v>-1773.4</v>
      </c>
    </row>
    <row r="39" spans="1:65">
      <c r="B39" t="s">
        <v>142</v>
      </c>
      <c r="C39" t="s">
        <v>105</v>
      </c>
      <c r="D39" t="s">
        <v>105</v>
      </c>
      <c r="E39" t="s">
        <v>105</v>
      </c>
      <c r="F39" t="s">
        <v>106</v>
      </c>
      <c r="G39" t="s">
        <v>106</v>
      </c>
      <c r="H39" t="s">
        <v>106</v>
      </c>
      <c r="I39" t="s">
        <v>106</v>
      </c>
      <c r="J39" t="s">
        <v>106</v>
      </c>
      <c r="K39" t="s">
        <v>106</v>
      </c>
      <c r="L39" t="s">
        <v>106</v>
      </c>
      <c r="M39" t="s">
        <v>106</v>
      </c>
      <c r="N39" t="s">
        <v>106</v>
      </c>
      <c r="O39" t="s">
        <v>106</v>
      </c>
      <c r="P39" t="s">
        <v>106</v>
      </c>
      <c r="Q39" t="s">
        <v>106</v>
      </c>
      <c r="R39" t="s">
        <v>106</v>
      </c>
      <c r="S39" t="s">
        <v>106</v>
      </c>
      <c r="T39" t="s">
        <v>106</v>
      </c>
      <c r="U39" t="s">
        <v>106</v>
      </c>
      <c r="V39" t="s">
        <v>106</v>
      </c>
      <c r="W39" t="s">
        <v>106</v>
      </c>
      <c r="X39" t="s">
        <v>106</v>
      </c>
      <c r="Y39" t="s">
        <v>106</v>
      </c>
      <c r="Z39" t="s">
        <v>106</v>
      </c>
      <c r="AA39" t="s">
        <v>106</v>
      </c>
      <c r="AB39" t="s">
        <v>106</v>
      </c>
      <c r="AC39" t="s">
        <v>106</v>
      </c>
      <c r="AD39" t="s">
        <v>106</v>
      </c>
      <c r="AE39" t="s">
        <v>106</v>
      </c>
      <c r="AF39" t="s">
        <v>106</v>
      </c>
      <c r="AG39" t="s">
        <v>106</v>
      </c>
      <c r="AH39" t="s">
        <v>106</v>
      </c>
      <c r="AI39" t="s">
        <v>106</v>
      </c>
      <c r="AJ39" t="s">
        <v>106</v>
      </c>
      <c r="AK39" t="s">
        <v>106</v>
      </c>
      <c r="AL39" t="s">
        <v>106</v>
      </c>
      <c r="AM39" t="s">
        <v>106</v>
      </c>
      <c r="AN39" t="s">
        <v>106</v>
      </c>
      <c r="AO39" t="s">
        <v>106</v>
      </c>
      <c r="AP39" t="s">
        <v>106</v>
      </c>
      <c r="AQ39" t="s">
        <v>106</v>
      </c>
      <c r="AR39" t="s">
        <v>106</v>
      </c>
      <c r="AS39" t="s">
        <v>106</v>
      </c>
      <c r="AT39" t="s">
        <v>106</v>
      </c>
      <c r="AU39" t="s">
        <v>106</v>
      </c>
      <c r="AV39" t="s">
        <v>106</v>
      </c>
      <c r="AW39" t="s">
        <v>106</v>
      </c>
      <c r="AX39" t="s">
        <v>106</v>
      </c>
      <c r="AY39" t="s">
        <v>106</v>
      </c>
      <c r="AZ39" t="s">
        <v>106</v>
      </c>
      <c r="BA39" t="s">
        <v>106</v>
      </c>
      <c r="BB39" t="s">
        <v>106</v>
      </c>
      <c r="BC39" t="s">
        <v>106</v>
      </c>
      <c r="BD39" t="s">
        <v>106</v>
      </c>
      <c r="BE39" t="s">
        <v>106</v>
      </c>
      <c r="BF39" t="s">
        <v>106</v>
      </c>
      <c r="BG39" t="s">
        <v>106</v>
      </c>
      <c r="BH39" t="s">
        <v>106</v>
      </c>
      <c r="BI39" t="s">
        <v>106</v>
      </c>
      <c r="BJ39" t="s">
        <v>106</v>
      </c>
      <c r="BK39" t="s">
        <v>106</v>
      </c>
      <c r="BL39" t="s">
        <v>106</v>
      </c>
      <c r="BM39" t="s">
        <v>106</v>
      </c>
    </row>
    <row r="40" spans="1:65">
      <c r="B40" t="s">
        <v>143</v>
      </c>
      <c r="C40" t="s">
        <v>105</v>
      </c>
      <c r="D40" t="s">
        <v>105</v>
      </c>
      <c r="E40" t="s">
        <v>105</v>
      </c>
      <c r="F40" t="s">
        <v>106</v>
      </c>
      <c r="G40" t="s">
        <v>106</v>
      </c>
      <c r="H40" t="s">
        <v>106</v>
      </c>
      <c r="I40" t="s">
        <v>106</v>
      </c>
      <c r="J40" t="s">
        <v>106</v>
      </c>
      <c r="K40" t="s">
        <v>106</v>
      </c>
      <c r="L40" t="s">
        <v>106</v>
      </c>
      <c r="M40" t="s">
        <v>106</v>
      </c>
      <c r="N40" t="s">
        <v>106</v>
      </c>
      <c r="O40" t="s">
        <v>106</v>
      </c>
      <c r="P40" t="s">
        <v>106</v>
      </c>
      <c r="Q40" t="s">
        <v>106</v>
      </c>
      <c r="R40" t="s">
        <v>106</v>
      </c>
      <c r="S40">
        <v>-1135.0999999999999</v>
      </c>
      <c r="T40">
        <v>-467.9</v>
      </c>
      <c r="U40" t="s">
        <v>106</v>
      </c>
      <c r="V40">
        <v>-2</v>
      </c>
      <c r="W40" t="s">
        <v>106</v>
      </c>
      <c r="X40" t="s">
        <v>106</v>
      </c>
      <c r="Y40">
        <v>-2650.5</v>
      </c>
      <c r="Z40">
        <v>-139.30000000000001</v>
      </c>
      <c r="AA40">
        <v>-0.1</v>
      </c>
      <c r="AB40">
        <v>-0.2</v>
      </c>
      <c r="AC40" t="s">
        <v>106</v>
      </c>
      <c r="AD40" t="s">
        <v>106</v>
      </c>
      <c r="AE40" t="s">
        <v>106</v>
      </c>
      <c r="AF40">
        <v>-0.5</v>
      </c>
      <c r="AG40">
        <v>-1.8</v>
      </c>
      <c r="AH40">
        <v>-0.1</v>
      </c>
      <c r="AI40" t="s">
        <v>106</v>
      </c>
      <c r="AJ40">
        <v>-252.8</v>
      </c>
      <c r="AK40" t="s">
        <v>106</v>
      </c>
      <c r="AL40" t="s">
        <v>106</v>
      </c>
      <c r="AM40" t="s">
        <v>106</v>
      </c>
      <c r="AN40" t="s">
        <v>106</v>
      </c>
      <c r="AO40" t="s">
        <v>106</v>
      </c>
      <c r="AP40" t="s">
        <v>106</v>
      </c>
      <c r="AQ40" t="s">
        <v>106</v>
      </c>
      <c r="AR40" t="s">
        <v>106</v>
      </c>
      <c r="AS40" t="s">
        <v>106</v>
      </c>
      <c r="AT40" t="s">
        <v>106</v>
      </c>
      <c r="AU40" t="s">
        <v>106</v>
      </c>
      <c r="AV40" t="s">
        <v>106</v>
      </c>
      <c r="AW40" t="s">
        <v>106</v>
      </c>
      <c r="AX40" t="s">
        <v>106</v>
      </c>
      <c r="AY40" t="s">
        <v>106</v>
      </c>
      <c r="AZ40" t="s">
        <v>106</v>
      </c>
      <c r="BA40" t="s">
        <v>106</v>
      </c>
      <c r="BB40" t="s">
        <v>106</v>
      </c>
      <c r="BC40" t="s">
        <v>106</v>
      </c>
      <c r="BD40" t="s">
        <v>106</v>
      </c>
      <c r="BE40" t="s">
        <v>106</v>
      </c>
      <c r="BF40" t="s">
        <v>106</v>
      </c>
      <c r="BG40" t="s">
        <v>106</v>
      </c>
      <c r="BH40" t="s">
        <v>106</v>
      </c>
      <c r="BI40" t="s">
        <v>106</v>
      </c>
      <c r="BJ40">
        <v>-1219</v>
      </c>
      <c r="BK40">
        <v>-173.4</v>
      </c>
      <c r="BL40">
        <v>-6042.8</v>
      </c>
      <c r="BM40">
        <v>-2650.5</v>
      </c>
    </row>
    <row r="41" spans="1:65">
      <c r="B41" t="s">
        <v>144</v>
      </c>
      <c r="C41" t="s">
        <v>105</v>
      </c>
      <c r="D41" t="s">
        <v>105</v>
      </c>
      <c r="E41" t="s">
        <v>105</v>
      </c>
      <c r="F41" t="s">
        <v>106</v>
      </c>
      <c r="G41" t="s">
        <v>106</v>
      </c>
      <c r="H41" t="s">
        <v>106</v>
      </c>
      <c r="I41" t="s">
        <v>106</v>
      </c>
      <c r="J41" t="s">
        <v>106</v>
      </c>
      <c r="K41" t="s">
        <v>106</v>
      </c>
      <c r="L41" t="s">
        <v>106</v>
      </c>
      <c r="M41" t="s">
        <v>106</v>
      </c>
      <c r="N41" t="s">
        <v>106</v>
      </c>
      <c r="O41" t="s">
        <v>106</v>
      </c>
      <c r="P41" t="s">
        <v>106</v>
      </c>
      <c r="Q41" t="s">
        <v>106</v>
      </c>
      <c r="R41" t="s">
        <v>106</v>
      </c>
      <c r="S41">
        <v>-78.8</v>
      </c>
      <c r="T41" t="s">
        <v>106</v>
      </c>
      <c r="U41" t="s">
        <v>106</v>
      </c>
      <c r="V41" t="s">
        <v>106</v>
      </c>
      <c r="W41" t="s">
        <v>106</v>
      </c>
      <c r="X41" t="s">
        <v>106</v>
      </c>
      <c r="Y41">
        <v>-10.1</v>
      </c>
      <c r="Z41">
        <v>-68.5</v>
      </c>
      <c r="AA41">
        <v>-7.7</v>
      </c>
      <c r="AB41">
        <v>0</v>
      </c>
      <c r="AC41" t="s">
        <v>106</v>
      </c>
      <c r="AD41" t="s">
        <v>106</v>
      </c>
      <c r="AE41" t="s">
        <v>106</v>
      </c>
      <c r="AF41" t="s">
        <v>106</v>
      </c>
      <c r="AG41">
        <v>-4.5</v>
      </c>
      <c r="AH41" t="s">
        <v>106</v>
      </c>
      <c r="AI41" t="s">
        <v>106</v>
      </c>
      <c r="AJ41" t="s">
        <v>106</v>
      </c>
      <c r="AK41" t="s">
        <v>106</v>
      </c>
      <c r="AL41" t="s">
        <v>106</v>
      </c>
      <c r="AM41" t="s">
        <v>106</v>
      </c>
      <c r="AN41" t="s">
        <v>106</v>
      </c>
      <c r="AO41" t="s">
        <v>106</v>
      </c>
      <c r="AP41" t="s">
        <v>106</v>
      </c>
      <c r="AQ41" t="s">
        <v>106</v>
      </c>
      <c r="AR41" t="s">
        <v>106</v>
      </c>
      <c r="AS41" t="s">
        <v>106</v>
      </c>
      <c r="AT41" t="s">
        <v>106</v>
      </c>
      <c r="AU41" t="s">
        <v>106</v>
      </c>
      <c r="AV41" t="s">
        <v>106</v>
      </c>
      <c r="AW41" t="s">
        <v>106</v>
      </c>
      <c r="AX41" t="s">
        <v>106</v>
      </c>
      <c r="AY41" t="s">
        <v>106</v>
      </c>
      <c r="AZ41" t="s">
        <v>106</v>
      </c>
      <c r="BA41" t="s">
        <v>106</v>
      </c>
      <c r="BB41" t="s">
        <v>106</v>
      </c>
      <c r="BC41" t="s">
        <v>106</v>
      </c>
      <c r="BD41" t="s">
        <v>106</v>
      </c>
      <c r="BE41" t="s">
        <v>106</v>
      </c>
      <c r="BF41" t="s">
        <v>106</v>
      </c>
      <c r="BG41" t="s">
        <v>106</v>
      </c>
      <c r="BH41" t="s">
        <v>106</v>
      </c>
      <c r="BI41" t="s">
        <v>106</v>
      </c>
      <c r="BJ41" t="s">
        <v>106</v>
      </c>
      <c r="BK41" t="s">
        <v>106</v>
      </c>
      <c r="BL41">
        <v>-169.6</v>
      </c>
      <c r="BM41">
        <v>-10.1</v>
      </c>
    </row>
    <row r="42" spans="1:65">
      <c r="B42" t="s">
        <v>145</v>
      </c>
      <c r="C42" t="s">
        <v>105</v>
      </c>
      <c r="D42" t="s">
        <v>105</v>
      </c>
      <c r="E42" t="s">
        <v>105</v>
      </c>
      <c r="F42" t="s">
        <v>106</v>
      </c>
      <c r="G42" t="s">
        <v>106</v>
      </c>
      <c r="H42" t="s">
        <v>106</v>
      </c>
      <c r="I42" t="s">
        <v>106</v>
      </c>
      <c r="J42" t="s">
        <v>106</v>
      </c>
      <c r="K42" t="s">
        <v>106</v>
      </c>
      <c r="L42" t="s">
        <v>106</v>
      </c>
      <c r="M42" t="s">
        <v>106</v>
      </c>
      <c r="N42" t="s">
        <v>106</v>
      </c>
      <c r="O42" t="s">
        <v>106</v>
      </c>
      <c r="P42" t="s">
        <v>106</v>
      </c>
      <c r="Q42" t="s">
        <v>106</v>
      </c>
      <c r="R42" t="s">
        <v>106</v>
      </c>
      <c r="S42" t="s">
        <v>106</v>
      </c>
      <c r="T42" t="s">
        <v>106</v>
      </c>
      <c r="U42" t="s">
        <v>106</v>
      </c>
      <c r="V42" t="s">
        <v>106</v>
      </c>
      <c r="W42" t="s">
        <v>106</v>
      </c>
      <c r="X42" t="s">
        <v>106</v>
      </c>
      <c r="Y42" t="s">
        <v>106</v>
      </c>
      <c r="Z42" t="s">
        <v>106</v>
      </c>
      <c r="AA42" t="s">
        <v>106</v>
      </c>
      <c r="AB42" t="s">
        <v>106</v>
      </c>
      <c r="AC42" t="s">
        <v>106</v>
      </c>
      <c r="AD42" t="s">
        <v>106</v>
      </c>
      <c r="AE42" t="s">
        <v>106</v>
      </c>
      <c r="AF42" t="s">
        <v>106</v>
      </c>
      <c r="AG42" t="s">
        <v>106</v>
      </c>
      <c r="AH42" t="s">
        <v>106</v>
      </c>
      <c r="AI42" t="s">
        <v>106</v>
      </c>
      <c r="AJ42" t="s">
        <v>106</v>
      </c>
      <c r="AK42" t="s">
        <v>106</v>
      </c>
      <c r="AL42" t="s">
        <v>106</v>
      </c>
      <c r="AM42" t="s">
        <v>106</v>
      </c>
      <c r="AN42" t="s">
        <v>106</v>
      </c>
      <c r="AO42" t="s">
        <v>106</v>
      </c>
      <c r="AP42" t="s">
        <v>106</v>
      </c>
      <c r="AQ42" t="s">
        <v>106</v>
      </c>
      <c r="AR42" t="s">
        <v>106</v>
      </c>
      <c r="AS42" t="s">
        <v>106</v>
      </c>
      <c r="AT42" t="s">
        <v>106</v>
      </c>
      <c r="AU42" t="s">
        <v>106</v>
      </c>
      <c r="AV42" t="s">
        <v>106</v>
      </c>
      <c r="AW42" t="s">
        <v>106</v>
      </c>
      <c r="AX42" t="s">
        <v>106</v>
      </c>
      <c r="AY42" t="s">
        <v>106</v>
      </c>
      <c r="AZ42" t="s">
        <v>106</v>
      </c>
      <c r="BA42" t="s">
        <v>106</v>
      </c>
      <c r="BB42" t="s">
        <v>106</v>
      </c>
      <c r="BC42" t="s">
        <v>106</v>
      </c>
      <c r="BD42" t="s">
        <v>106</v>
      </c>
      <c r="BE42" t="s">
        <v>106</v>
      </c>
      <c r="BF42" t="s">
        <v>106</v>
      </c>
      <c r="BG42" t="s">
        <v>106</v>
      </c>
      <c r="BH42" t="s">
        <v>106</v>
      </c>
      <c r="BI42" t="s">
        <v>106</v>
      </c>
      <c r="BJ42" t="s">
        <v>106</v>
      </c>
      <c r="BK42" t="s">
        <v>106</v>
      </c>
      <c r="BL42" t="s">
        <v>106</v>
      </c>
      <c r="BM42" t="s">
        <v>106</v>
      </c>
    </row>
    <row r="43" spans="1:65">
      <c r="B43" t="s">
        <v>146</v>
      </c>
      <c r="C43" t="s">
        <v>105</v>
      </c>
      <c r="D43" t="s">
        <v>105</v>
      </c>
      <c r="E43" t="s">
        <v>105</v>
      </c>
      <c r="F43" t="s">
        <v>106</v>
      </c>
      <c r="G43" t="s">
        <v>106</v>
      </c>
      <c r="H43" t="s">
        <v>106</v>
      </c>
      <c r="I43" t="s">
        <v>106</v>
      </c>
      <c r="J43" t="s">
        <v>106</v>
      </c>
      <c r="K43" t="s">
        <v>106</v>
      </c>
      <c r="L43" t="s">
        <v>106</v>
      </c>
      <c r="M43" t="s">
        <v>106</v>
      </c>
      <c r="N43" t="s">
        <v>106</v>
      </c>
      <c r="O43" t="s">
        <v>106</v>
      </c>
      <c r="P43" t="s">
        <v>106</v>
      </c>
      <c r="Q43" t="s">
        <v>106</v>
      </c>
      <c r="R43" t="s">
        <v>106</v>
      </c>
      <c r="S43" t="s">
        <v>106</v>
      </c>
      <c r="T43" t="s">
        <v>106</v>
      </c>
      <c r="U43" t="s">
        <v>106</v>
      </c>
      <c r="V43" t="s">
        <v>106</v>
      </c>
      <c r="W43" t="s">
        <v>106</v>
      </c>
      <c r="X43" t="s">
        <v>106</v>
      </c>
      <c r="Y43" t="s">
        <v>106</v>
      </c>
      <c r="Z43">
        <v>-72.5</v>
      </c>
      <c r="AA43">
        <v>-4.4000000000000004</v>
      </c>
      <c r="AB43" t="s">
        <v>106</v>
      </c>
      <c r="AC43" t="s">
        <v>106</v>
      </c>
      <c r="AD43" t="s">
        <v>106</v>
      </c>
      <c r="AE43" t="s">
        <v>106</v>
      </c>
      <c r="AF43">
        <v>-1.4</v>
      </c>
      <c r="AG43">
        <v>-3.6</v>
      </c>
      <c r="AH43">
        <v>0</v>
      </c>
      <c r="AI43" t="s">
        <v>106</v>
      </c>
      <c r="AJ43">
        <v>-9.3000000000000007</v>
      </c>
      <c r="AK43" t="s">
        <v>106</v>
      </c>
      <c r="AL43" t="s">
        <v>106</v>
      </c>
      <c r="AM43" t="s">
        <v>106</v>
      </c>
      <c r="AN43" t="s">
        <v>106</v>
      </c>
      <c r="AO43" t="s">
        <v>106</v>
      </c>
      <c r="AP43" t="s">
        <v>106</v>
      </c>
      <c r="AQ43" t="s">
        <v>106</v>
      </c>
      <c r="AR43" t="s">
        <v>106</v>
      </c>
      <c r="AS43" t="s">
        <v>106</v>
      </c>
      <c r="AT43" t="s">
        <v>106</v>
      </c>
      <c r="AU43" t="s">
        <v>106</v>
      </c>
      <c r="AV43" t="s">
        <v>106</v>
      </c>
      <c r="AW43" t="s">
        <v>106</v>
      </c>
      <c r="AX43" t="s">
        <v>106</v>
      </c>
      <c r="AY43" t="s">
        <v>106</v>
      </c>
      <c r="AZ43" t="s">
        <v>106</v>
      </c>
      <c r="BA43" t="s">
        <v>106</v>
      </c>
      <c r="BB43" t="s">
        <v>106</v>
      </c>
      <c r="BC43" t="s">
        <v>106</v>
      </c>
      <c r="BD43" t="s">
        <v>106</v>
      </c>
      <c r="BE43" t="s">
        <v>106</v>
      </c>
      <c r="BF43" t="s">
        <v>106</v>
      </c>
      <c r="BG43" t="s">
        <v>106</v>
      </c>
      <c r="BH43" t="s">
        <v>106</v>
      </c>
      <c r="BI43" t="s">
        <v>106</v>
      </c>
      <c r="BJ43">
        <v>-6.5</v>
      </c>
      <c r="BK43" t="s">
        <v>106</v>
      </c>
      <c r="BL43">
        <v>-97.8</v>
      </c>
      <c r="BM43" t="s">
        <v>106</v>
      </c>
    </row>
    <row r="44" spans="1:65">
      <c r="A44" t="s">
        <v>147</v>
      </c>
      <c r="B44" t="s">
        <v>105</v>
      </c>
      <c r="C44" t="s">
        <v>105</v>
      </c>
      <c r="D44" t="s">
        <v>105</v>
      </c>
      <c r="E44" t="s">
        <v>105</v>
      </c>
      <c r="F44" t="s">
        <v>106</v>
      </c>
      <c r="G44" t="s">
        <v>106</v>
      </c>
      <c r="H44" t="s">
        <v>106</v>
      </c>
      <c r="I44" t="s">
        <v>106</v>
      </c>
      <c r="J44" t="s">
        <v>106</v>
      </c>
      <c r="K44" t="s">
        <v>106</v>
      </c>
      <c r="L44" t="s">
        <v>106</v>
      </c>
      <c r="M44" t="s">
        <v>106</v>
      </c>
      <c r="N44" t="s">
        <v>106</v>
      </c>
      <c r="O44" t="s">
        <v>106</v>
      </c>
      <c r="P44" t="s">
        <v>106</v>
      </c>
      <c r="Q44" t="s">
        <v>106</v>
      </c>
      <c r="R44" t="s">
        <v>106</v>
      </c>
      <c r="S44">
        <v>7.6</v>
      </c>
      <c r="T44" t="s">
        <v>106</v>
      </c>
      <c r="U44" t="s">
        <v>106</v>
      </c>
      <c r="V44" t="s">
        <v>106</v>
      </c>
      <c r="W44" t="s">
        <v>106</v>
      </c>
      <c r="X44" t="s">
        <v>106</v>
      </c>
      <c r="Y44" t="s">
        <v>106</v>
      </c>
      <c r="Z44" t="s">
        <v>106</v>
      </c>
      <c r="AA44" t="s">
        <v>106</v>
      </c>
      <c r="AB44" t="s">
        <v>106</v>
      </c>
      <c r="AC44" t="s">
        <v>106</v>
      </c>
      <c r="AD44" t="s">
        <v>106</v>
      </c>
      <c r="AE44" t="s">
        <v>106</v>
      </c>
      <c r="AF44" t="s">
        <v>106</v>
      </c>
      <c r="AG44" t="s">
        <v>106</v>
      </c>
      <c r="AH44" t="s">
        <v>106</v>
      </c>
      <c r="AI44" t="s">
        <v>106</v>
      </c>
      <c r="AJ44" t="s">
        <v>106</v>
      </c>
      <c r="AK44" t="s">
        <v>106</v>
      </c>
      <c r="AL44" t="s">
        <v>106</v>
      </c>
      <c r="AM44" t="s">
        <v>106</v>
      </c>
      <c r="AN44" t="s">
        <v>106</v>
      </c>
      <c r="AO44" t="s">
        <v>106</v>
      </c>
      <c r="AP44" t="s">
        <v>106</v>
      </c>
      <c r="AQ44" t="s">
        <v>106</v>
      </c>
      <c r="AR44" t="s">
        <v>106</v>
      </c>
      <c r="AS44" t="s">
        <v>106</v>
      </c>
      <c r="AT44" t="s">
        <v>106</v>
      </c>
      <c r="AU44" t="s">
        <v>106</v>
      </c>
      <c r="AV44" t="s">
        <v>106</v>
      </c>
      <c r="AW44" t="s">
        <v>106</v>
      </c>
      <c r="AX44" t="s">
        <v>106</v>
      </c>
      <c r="AY44" t="s">
        <v>106</v>
      </c>
      <c r="AZ44" t="s">
        <v>106</v>
      </c>
      <c r="BA44" t="s">
        <v>106</v>
      </c>
      <c r="BB44" t="s">
        <v>106</v>
      </c>
      <c r="BC44" t="s">
        <v>106</v>
      </c>
      <c r="BD44" t="s">
        <v>106</v>
      </c>
      <c r="BE44" t="s">
        <v>106</v>
      </c>
      <c r="BF44" t="s">
        <v>106</v>
      </c>
      <c r="BG44" t="s">
        <v>106</v>
      </c>
      <c r="BH44" t="s">
        <v>106</v>
      </c>
      <c r="BI44" t="s">
        <v>106</v>
      </c>
      <c r="BJ44">
        <v>-1723.1</v>
      </c>
      <c r="BK44">
        <v>-767.2</v>
      </c>
      <c r="BL44">
        <v>-2482.6999999999998</v>
      </c>
      <c r="BM44" t="s">
        <v>106</v>
      </c>
    </row>
    <row r="45" spans="1:65">
      <c r="A45" t="s">
        <v>148</v>
      </c>
      <c r="B45" t="s">
        <v>105</v>
      </c>
      <c r="C45" t="s">
        <v>105</v>
      </c>
      <c r="D45" t="s">
        <v>105</v>
      </c>
      <c r="E45" t="s">
        <v>105</v>
      </c>
      <c r="F45" t="s">
        <v>106</v>
      </c>
      <c r="G45">
        <v>2883.2</v>
      </c>
      <c r="H45" t="s">
        <v>106</v>
      </c>
      <c r="I45">
        <v>3298.7</v>
      </c>
      <c r="J45" t="s">
        <v>106</v>
      </c>
      <c r="K45">
        <v>0</v>
      </c>
      <c r="L45">
        <v>24.9</v>
      </c>
      <c r="M45">
        <v>234.1</v>
      </c>
      <c r="N45">
        <v>751.8</v>
      </c>
      <c r="O45">
        <v>524.6</v>
      </c>
      <c r="P45">
        <v>1788.9</v>
      </c>
      <c r="Q45">
        <v>44.1</v>
      </c>
      <c r="R45">
        <v>148.80000000000001</v>
      </c>
      <c r="S45">
        <v>1740.6</v>
      </c>
      <c r="T45">
        <v>22408.5</v>
      </c>
      <c r="U45" t="s">
        <v>106</v>
      </c>
      <c r="V45" t="s">
        <v>106</v>
      </c>
      <c r="W45" t="s">
        <v>106</v>
      </c>
      <c r="X45" t="s">
        <v>106</v>
      </c>
      <c r="Y45">
        <v>237</v>
      </c>
      <c r="Z45">
        <v>6727.4</v>
      </c>
      <c r="AA45">
        <v>4162</v>
      </c>
      <c r="AB45">
        <v>10053</v>
      </c>
      <c r="AC45">
        <v>2.4</v>
      </c>
      <c r="AD45" t="s">
        <v>106</v>
      </c>
      <c r="AE45">
        <v>1078</v>
      </c>
      <c r="AF45">
        <v>2341.5</v>
      </c>
      <c r="AG45">
        <v>22237.8</v>
      </c>
      <c r="AH45">
        <v>197.9</v>
      </c>
      <c r="AI45">
        <v>31.2</v>
      </c>
      <c r="AJ45">
        <v>750.5</v>
      </c>
      <c r="AK45">
        <v>40919.199999999997</v>
      </c>
      <c r="AL45">
        <v>268.10000000000002</v>
      </c>
      <c r="AM45">
        <v>697.3</v>
      </c>
      <c r="AN45">
        <v>1606.3</v>
      </c>
      <c r="AO45">
        <v>19.600000000000001</v>
      </c>
      <c r="AP45">
        <v>210.8</v>
      </c>
      <c r="AQ45">
        <v>2051</v>
      </c>
      <c r="AR45">
        <v>1654.3</v>
      </c>
      <c r="AS45">
        <v>878.7</v>
      </c>
      <c r="AT45">
        <v>365.4</v>
      </c>
      <c r="AU45">
        <v>785.7</v>
      </c>
      <c r="AV45">
        <v>54.6</v>
      </c>
      <c r="AW45">
        <v>6.6</v>
      </c>
      <c r="AX45" t="s">
        <v>106</v>
      </c>
      <c r="AY45">
        <v>695.1</v>
      </c>
      <c r="AZ45" t="s">
        <v>106</v>
      </c>
      <c r="BA45" t="s">
        <v>106</v>
      </c>
      <c r="BB45" t="s">
        <v>106</v>
      </c>
      <c r="BC45" t="s">
        <v>106</v>
      </c>
      <c r="BD45">
        <v>241</v>
      </c>
      <c r="BE45" t="s">
        <v>106</v>
      </c>
      <c r="BF45">
        <v>26.4</v>
      </c>
      <c r="BG45" t="s">
        <v>106</v>
      </c>
      <c r="BH45" t="s">
        <v>106</v>
      </c>
      <c r="BI45" t="s">
        <v>106</v>
      </c>
      <c r="BJ45">
        <v>45625.4</v>
      </c>
      <c r="BK45">
        <v>6255.2</v>
      </c>
      <c r="BL45">
        <v>184027.4</v>
      </c>
      <c r="BM45">
        <v>6926.5</v>
      </c>
    </row>
    <row r="46" spans="1:65">
      <c r="B46" t="s">
        <v>149</v>
      </c>
      <c r="C46" t="s">
        <v>105</v>
      </c>
      <c r="D46" t="s">
        <v>105</v>
      </c>
      <c r="E46" t="s">
        <v>105</v>
      </c>
      <c r="F46" t="s">
        <v>106</v>
      </c>
      <c r="G46">
        <v>2883.2</v>
      </c>
      <c r="H46" t="s">
        <v>106</v>
      </c>
      <c r="I46">
        <v>3298.7</v>
      </c>
      <c r="J46" t="s">
        <v>106</v>
      </c>
      <c r="K46">
        <v>0</v>
      </c>
      <c r="L46" t="s">
        <v>106</v>
      </c>
      <c r="M46">
        <v>234.1</v>
      </c>
      <c r="N46">
        <v>751.8</v>
      </c>
      <c r="O46" t="s">
        <v>106</v>
      </c>
      <c r="P46">
        <v>1788.9</v>
      </c>
      <c r="Q46">
        <v>44.1</v>
      </c>
      <c r="R46">
        <v>148.80000000000001</v>
      </c>
      <c r="S46">
        <v>713.7</v>
      </c>
      <c r="T46">
        <v>22408.5</v>
      </c>
      <c r="U46" t="s">
        <v>106</v>
      </c>
      <c r="V46" t="s">
        <v>106</v>
      </c>
      <c r="W46" t="s">
        <v>106</v>
      </c>
      <c r="X46" t="s">
        <v>106</v>
      </c>
      <c r="Y46">
        <v>237</v>
      </c>
      <c r="Z46">
        <v>2672.7</v>
      </c>
      <c r="AA46">
        <v>3414.4</v>
      </c>
      <c r="AB46">
        <v>10053</v>
      </c>
      <c r="AC46">
        <v>2.4</v>
      </c>
      <c r="AD46" t="s">
        <v>106</v>
      </c>
      <c r="AE46">
        <v>1078</v>
      </c>
      <c r="AF46">
        <v>2341.5</v>
      </c>
      <c r="AG46">
        <v>22237.8</v>
      </c>
      <c r="AH46">
        <v>197.9</v>
      </c>
      <c r="AI46">
        <v>31.2</v>
      </c>
      <c r="AJ46">
        <v>750.5</v>
      </c>
      <c r="AK46" t="s">
        <v>106</v>
      </c>
      <c r="AL46" t="s">
        <v>106</v>
      </c>
      <c r="AM46" t="s">
        <v>106</v>
      </c>
      <c r="AN46" t="s">
        <v>106</v>
      </c>
      <c r="AO46" t="s">
        <v>106</v>
      </c>
      <c r="AP46" t="s">
        <v>106</v>
      </c>
      <c r="AQ46" t="s">
        <v>106</v>
      </c>
      <c r="AR46">
        <v>1654.3</v>
      </c>
      <c r="AS46">
        <v>878.7</v>
      </c>
      <c r="AT46">
        <v>365.4</v>
      </c>
      <c r="AU46">
        <v>785.7</v>
      </c>
      <c r="AV46">
        <v>54.6</v>
      </c>
      <c r="AW46">
        <v>6.6</v>
      </c>
      <c r="AX46" t="s">
        <v>106</v>
      </c>
      <c r="AY46">
        <v>695.1</v>
      </c>
      <c r="AZ46" t="s">
        <v>106</v>
      </c>
      <c r="BA46" t="s">
        <v>106</v>
      </c>
      <c r="BB46" t="s">
        <v>106</v>
      </c>
      <c r="BC46" t="s">
        <v>106</v>
      </c>
      <c r="BD46">
        <v>241</v>
      </c>
      <c r="BE46" t="s">
        <v>106</v>
      </c>
      <c r="BF46">
        <v>26.4</v>
      </c>
      <c r="BG46" t="s">
        <v>106</v>
      </c>
      <c r="BH46" t="s">
        <v>106</v>
      </c>
      <c r="BI46" t="s">
        <v>106</v>
      </c>
      <c r="BJ46">
        <v>45625.4</v>
      </c>
      <c r="BK46">
        <v>6255.2</v>
      </c>
      <c r="BL46">
        <v>131876.5</v>
      </c>
      <c r="BM46">
        <v>6926.5</v>
      </c>
    </row>
    <row r="47" spans="1:65">
      <c r="C47" t="s">
        <v>150</v>
      </c>
      <c r="D47" t="s">
        <v>105</v>
      </c>
      <c r="E47" t="s">
        <v>105</v>
      </c>
      <c r="F47" t="s">
        <v>106</v>
      </c>
      <c r="G47">
        <v>2883.2</v>
      </c>
      <c r="H47" t="s">
        <v>106</v>
      </c>
      <c r="I47">
        <v>3298.7</v>
      </c>
      <c r="J47" t="s">
        <v>106</v>
      </c>
      <c r="K47">
        <v>0</v>
      </c>
      <c r="L47" t="s">
        <v>106</v>
      </c>
      <c r="M47">
        <v>1</v>
      </c>
      <c r="N47">
        <v>751.8</v>
      </c>
      <c r="O47" t="s">
        <v>106</v>
      </c>
      <c r="P47">
        <v>1788.9</v>
      </c>
      <c r="Q47">
        <v>44.1</v>
      </c>
      <c r="R47">
        <v>148.80000000000001</v>
      </c>
      <c r="S47">
        <v>713.7</v>
      </c>
      <c r="T47">
        <v>7128.5</v>
      </c>
      <c r="U47" t="s">
        <v>106</v>
      </c>
      <c r="V47" t="s">
        <v>106</v>
      </c>
      <c r="W47" t="s">
        <v>106</v>
      </c>
      <c r="X47" t="s">
        <v>106</v>
      </c>
      <c r="Y47">
        <v>237</v>
      </c>
      <c r="Z47">
        <v>946.3</v>
      </c>
      <c r="AA47">
        <v>174.2</v>
      </c>
      <c r="AB47">
        <v>161.19999999999999</v>
      </c>
      <c r="AC47">
        <v>0</v>
      </c>
      <c r="AD47" t="s">
        <v>106</v>
      </c>
      <c r="AE47">
        <v>0.3</v>
      </c>
      <c r="AF47">
        <v>308.7</v>
      </c>
      <c r="AG47">
        <v>2345.3000000000002</v>
      </c>
      <c r="AH47">
        <v>96</v>
      </c>
      <c r="AI47">
        <v>22.1</v>
      </c>
      <c r="AJ47">
        <v>613.5</v>
      </c>
      <c r="AK47" t="s">
        <v>106</v>
      </c>
      <c r="AL47" t="s">
        <v>106</v>
      </c>
      <c r="AM47" t="s">
        <v>106</v>
      </c>
      <c r="AN47" t="s">
        <v>106</v>
      </c>
      <c r="AO47" t="s">
        <v>106</v>
      </c>
      <c r="AP47" t="s">
        <v>106</v>
      </c>
      <c r="AQ47" t="s">
        <v>106</v>
      </c>
      <c r="AR47">
        <v>1567.7</v>
      </c>
      <c r="AS47">
        <v>133.9</v>
      </c>
      <c r="AT47">
        <v>349.8</v>
      </c>
      <c r="AU47">
        <v>551.5</v>
      </c>
      <c r="AV47">
        <v>18</v>
      </c>
      <c r="AW47">
        <v>6.6</v>
      </c>
      <c r="AX47" t="s">
        <v>106</v>
      </c>
      <c r="AY47" t="s">
        <v>106</v>
      </c>
      <c r="AZ47" t="s">
        <v>106</v>
      </c>
      <c r="BA47" t="s">
        <v>106</v>
      </c>
      <c r="BB47" t="s">
        <v>106</v>
      </c>
      <c r="BC47" t="s">
        <v>106</v>
      </c>
      <c r="BD47">
        <v>35.700000000000003</v>
      </c>
      <c r="BE47" t="s">
        <v>106</v>
      </c>
      <c r="BF47">
        <v>1.2</v>
      </c>
      <c r="BG47" t="s">
        <v>106</v>
      </c>
      <c r="BH47" t="s">
        <v>106</v>
      </c>
      <c r="BI47" t="s">
        <v>106</v>
      </c>
      <c r="BJ47">
        <v>24451.7</v>
      </c>
      <c r="BK47">
        <v>3597.5</v>
      </c>
      <c r="BL47">
        <v>52376.800000000003</v>
      </c>
      <c r="BM47">
        <v>4883.1000000000004</v>
      </c>
    </row>
    <row r="48" spans="1:65">
      <c r="D48" t="s">
        <v>151</v>
      </c>
      <c r="E48" t="s">
        <v>105</v>
      </c>
      <c r="F48" t="s">
        <v>106</v>
      </c>
      <c r="G48" t="s">
        <v>106</v>
      </c>
      <c r="H48" t="s">
        <v>106</v>
      </c>
      <c r="I48" t="s">
        <v>106</v>
      </c>
      <c r="J48" t="s">
        <v>106</v>
      </c>
      <c r="K48" t="s">
        <v>106</v>
      </c>
      <c r="L48" t="s">
        <v>106</v>
      </c>
      <c r="M48">
        <v>0.6</v>
      </c>
      <c r="N48" t="s">
        <v>106</v>
      </c>
      <c r="O48" t="s">
        <v>106</v>
      </c>
      <c r="P48" t="s">
        <v>106</v>
      </c>
      <c r="Q48" t="s">
        <v>106</v>
      </c>
      <c r="R48" t="s">
        <v>106</v>
      </c>
      <c r="S48" t="s">
        <v>106</v>
      </c>
      <c r="T48">
        <v>1</v>
      </c>
      <c r="U48" t="s">
        <v>106</v>
      </c>
      <c r="V48" t="s">
        <v>106</v>
      </c>
      <c r="W48" t="s">
        <v>106</v>
      </c>
      <c r="X48" t="s">
        <v>106</v>
      </c>
      <c r="Y48" t="s">
        <v>106</v>
      </c>
      <c r="Z48">
        <v>4.7</v>
      </c>
      <c r="AA48">
        <v>0.1</v>
      </c>
      <c r="AB48">
        <v>33.799999999999997</v>
      </c>
      <c r="AC48" t="s">
        <v>106</v>
      </c>
      <c r="AD48" t="s">
        <v>106</v>
      </c>
      <c r="AE48" t="s">
        <v>106</v>
      </c>
      <c r="AF48">
        <v>189.6</v>
      </c>
      <c r="AG48">
        <v>261.89999999999998</v>
      </c>
      <c r="AH48">
        <v>7.1</v>
      </c>
      <c r="AI48">
        <v>3</v>
      </c>
      <c r="AJ48">
        <v>2</v>
      </c>
      <c r="AK48" t="s">
        <v>106</v>
      </c>
      <c r="AL48" t="s">
        <v>106</v>
      </c>
      <c r="AM48" t="s">
        <v>106</v>
      </c>
      <c r="AN48" t="s">
        <v>106</v>
      </c>
      <c r="AO48" t="s">
        <v>106</v>
      </c>
      <c r="AP48" t="s">
        <v>106</v>
      </c>
      <c r="AQ48" t="s">
        <v>106</v>
      </c>
      <c r="AR48" t="s">
        <v>106</v>
      </c>
      <c r="AS48">
        <v>0.6</v>
      </c>
      <c r="AT48" t="s">
        <v>106</v>
      </c>
      <c r="AU48">
        <v>144.5</v>
      </c>
      <c r="AV48" t="s">
        <v>106</v>
      </c>
      <c r="AW48" t="s">
        <v>106</v>
      </c>
      <c r="AX48" t="s">
        <v>106</v>
      </c>
      <c r="AY48" t="s">
        <v>106</v>
      </c>
      <c r="AZ48" t="s">
        <v>106</v>
      </c>
      <c r="BA48" t="s">
        <v>106</v>
      </c>
      <c r="BB48" t="s">
        <v>106</v>
      </c>
      <c r="BC48" t="s">
        <v>106</v>
      </c>
      <c r="BD48">
        <v>30.8</v>
      </c>
      <c r="BE48" t="s">
        <v>106</v>
      </c>
      <c r="BF48" t="s">
        <v>106</v>
      </c>
      <c r="BG48" t="s">
        <v>106</v>
      </c>
      <c r="BH48" t="s">
        <v>106</v>
      </c>
      <c r="BI48" t="s">
        <v>106</v>
      </c>
      <c r="BJ48">
        <v>1213.5</v>
      </c>
      <c r="BK48" t="s">
        <v>106</v>
      </c>
      <c r="BL48">
        <v>1893.4</v>
      </c>
      <c r="BM48">
        <v>176</v>
      </c>
    </row>
    <row r="49" spans="3:65">
      <c r="D49" t="s">
        <v>152</v>
      </c>
      <c r="E49" t="s">
        <v>105</v>
      </c>
      <c r="F49" t="s">
        <v>106</v>
      </c>
      <c r="G49" t="s">
        <v>106</v>
      </c>
      <c r="H49" t="s">
        <v>106</v>
      </c>
      <c r="I49" t="s">
        <v>106</v>
      </c>
      <c r="J49" t="s">
        <v>106</v>
      </c>
      <c r="K49" t="s">
        <v>106</v>
      </c>
      <c r="L49" t="s">
        <v>106</v>
      </c>
      <c r="M49" t="s">
        <v>106</v>
      </c>
      <c r="N49" t="s">
        <v>106</v>
      </c>
      <c r="O49" t="s">
        <v>106</v>
      </c>
      <c r="P49" t="s">
        <v>106</v>
      </c>
      <c r="Q49" t="s">
        <v>106</v>
      </c>
      <c r="R49" t="s">
        <v>106</v>
      </c>
      <c r="S49" t="s">
        <v>106</v>
      </c>
      <c r="T49" t="s">
        <v>106</v>
      </c>
      <c r="U49" t="s">
        <v>106</v>
      </c>
      <c r="V49" t="s">
        <v>106</v>
      </c>
      <c r="W49" t="s">
        <v>106</v>
      </c>
      <c r="X49" t="s">
        <v>106</v>
      </c>
      <c r="Y49" t="s">
        <v>106</v>
      </c>
      <c r="Z49">
        <v>1.2</v>
      </c>
      <c r="AA49" t="s">
        <v>106</v>
      </c>
      <c r="AB49">
        <v>82.7</v>
      </c>
      <c r="AC49" t="s">
        <v>106</v>
      </c>
      <c r="AD49" t="s">
        <v>106</v>
      </c>
      <c r="AE49" t="s">
        <v>106</v>
      </c>
      <c r="AF49">
        <v>0.2</v>
      </c>
      <c r="AG49">
        <v>936.9</v>
      </c>
      <c r="AH49">
        <v>10.1</v>
      </c>
      <c r="AI49">
        <v>8.9</v>
      </c>
      <c r="AJ49">
        <v>8.1</v>
      </c>
      <c r="AK49" t="s">
        <v>106</v>
      </c>
      <c r="AL49" t="s">
        <v>106</v>
      </c>
      <c r="AM49" t="s">
        <v>106</v>
      </c>
      <c r="AN49" t="s">
        <v>106</v>
      </c>
      <c r="AO49" t="s">
        <v>106</v>
      </c>
      <c r="AP49" t="s">
        <v>106</v>
      </c>
      <c r="AQ49" t="s">
        <v>106</v>
      </c>
      <c r="AR49" t="s">
        <v>106</v>
      </c>
      <c r="AS49" t="s">
        <v>106</v>
      </c>
      <c r="AT49" t="s">
        <v>106</v>
      </c>
      <c r="AU49" t="s">
        <v>106</v>
      </c>
      <c r="AV49" t="s">
        <v>106</v>
      </c>
      <c r="AW49" t="s">
        <v>106</v>
      </c>
      <c r="AX49" t="s">
        <v>106</v>
      </c>
      <c r="AY49" t="s">
        <v>106</v>
      </c>
      <c r="AZ49" t="s">
        <v>106</v>
      </c>
      <c r="BA49" t="s">
        <v>106</v>
      </c>
      <c r="BB49" t="s">
        <v>106</v>
      </c>
      <c r="BC49" t="s">
        <v>106</v>
      </c>
      <c r="BD49" t="s">
        <v>106</v>
      </c>
      <c r="BE49" t="s">
        <v>106</v>
      </c>
      <c r="BF49" t="s">
        <v>106</v>
      </c>
      <c r="BG49" t="s">
        <v>106</v>
      </c>
      <c r="BH49" t="s">
        <v>106</v>
      </c>
      <c r="BI49" t="s">
        <v>106</v>
      </c>
      <c r="BJ49">
        <v>251.6</v>
      </c>
      <c r="BK49" t="s">
        <v>106</v>
      </c>
      <c r="BL49">
        <v>1299.5</v>
      </c>
      <c r="BM49" t="s">
        <v>106</v>
      </c>
    </row>
    <row r="50" spans="3:65">
      <c r="D50" t="s">
        <v>153</v>
      </c>
      <c r="E50" t="s">
        <v>105</v>
      </c>
      <c r="F50" t="s">
        <v>106</v>
      </c>
      <c r="G50" t="s">
        <v>106</v>
      </c>
      <c r="H50" t="s">
        <v>106</v>
      </c>
      <c r="I50" t="s">
        <v>106</v>
      </c>
      <c r="J50" t="s">
        <v>106</v>
      </c>
      <c r="K50" t="s">
        <v>106</v>
      </c>
      <c r="L50" t="s">
        <v>106</v>
      </c>
      <c r="M50" t="s">
        <v>106</v>
      </c>
      <c r="N50" t="s">
        <v>106</v>
      </c>
      <c r="O50" t="s">
        <v>106</v>
      </c>
      <c r="P50" t="s">
        <v>106</v>
      </c>
      <c r="Q50" t="s">
        <v>106</v>
      </c>
      <c r="R50" t="s">
        <v>106</v>
      </c>
      <c r="S50" t="s">
        <v>106</v>
      </c>
      <c r="T50" t="s">
        <v>106</v>
      </c>
      <c r="U50" t="s">
        <v>106</v>
      </c>
      <c r="V50" t="s">
        <v>106</v>
      </c>
      <c r="W50" t="s">
        <v>106</v>
      </c>
      <c r="X50" t="s">
        <v>106</v>
      </c>
      <c r="Y50" t="s">
        <v>106</v>
      </c>
      <c r="Z50">
        <v>1.8</v>
      </c>
      <c r="AA50">
        <v>0</v>
      </c>
      <c r="AB50">
        <v>0</v>
      </c>
      <c r="AC50" t="s">
        <v>106</v>
      </c>
      <c r="AD50" t="s">
        <v>106</v>
      </c>
      <c r="AE50" t="s">
        <v>106</v>
      </c>
      <c r="AF50">
        <v>0.7</v>
      </c>
      <c r="AG50">
        <v>35.9</v>
      </c>
      <c r="AH50">
        <v>5.6</v>
      </c>
      <c r="AI50">
        <v>0</v>
      </c>
      <c r="AJ50">
        <v>2.6</v>
      </c>
      <c r="AK50" t="s">
        <v>106</v>
      </c>
      <c r="AL50" t="s">
        <v>106</v>
      </c>
      <c r="AM50" t="s">
        <v>106</v>
      </c>
      <c r="AN50" t="s">
        <v>106</v>
      </c>
      <c r="AO50" t="s">
        <v>106</v>
      </c>
      <c r="AP50" t="s">
        <v>106</v>
      </c>
      <c r="AQ50" t="s">
        <v>106</v>
      </c>
      <c r="AR50" t="s">
        <v>106</v>
      </c>
      <c r="AS50" t="s">
        <v>106</v>
      </c>
      <c r="AT50" t="s">
        <v>106</v>
      </c>
      <c r="AU50">
        <v>0.1</v>
      </c>
      <c r="AV50" t="s">
        <v>106</v>
      </c>
      <c r="AW50" t="s">
        <v>106</v>
      </c>
      <c r="AX50" t="s">
        <v>106</v>
      </c>
      <c r="AY50" t="s">
        <v>106</v>
      </c>
      <c r="AZ50" t="s">
        <v>106</v>
      </c>
      <c r="BA50" t="s">
        <v>106</v>
      </c>
      <c r="BB50" t="s">
        <v>106</v>
      </c>
      <c r="BC50" t="s">
        <v>106</v>
      </c>
      <c r="BD50" t="s">
        <v>106</v>
      </c>
      <c r="BE50" t="s">
        <v>106</v>
      </c>
      <c r="BF50" t="s">
        <v>106</v>
      </c>
      <c r="BG50" t="s">
        <v>106</v>
      </c>
      <c r="BH50" t="s">
        <v>106</v>
      </c>
      <c r="BI50" t="s">
        <v>106</v>
      </c>
      <c r="BJ50">
        <v>133.5</v>
      </c>
      <c r="BK50" t="s">
        <v>106</v>
      </c>
      <c r="BL50">
        <v>180.3</v>
      </c>
      <c r="BM50">
        <v>0.1</v>
      </c>
    </row>
    <row r="51" spans="3:65">
      <c r="D51" t="s">
        <v>154</v>
      </c>
      <c r="E51" t="s">
        <v>105</v>
      </c>
      <c r="F51" t="s">
        <v>106</v>
      </c>
      <c r="G51">
        <v>2883.2</v>
      </c>
      <c r="H51" t="s">
        <v>106</v>
      </c>
      <c r="I51">
        <v>3298.7</v>
      </c>
      <c r="J51" t="s">
        <v>106</v>
      </c>
      <c r="K51" t="s">
        <v>106</v>
      </c>
      <c r="L51" t="s">
        <v>106</v>
      </c>
      <c r="M51">
        <v>0.5</v>
      </c>
      <c r="N51">
        <v>751.8</v>
      </c>
      <c r="O51" t="s">
        <v>106</v>
      </c>
      <c r="P51">
        <v>1788.9</v>
      </c>
      <c r="Q51">
        <v>44.1</v>
      </c>
      <c r="R51">
        <v>148.80000000000001</v>
      </c>
      <c r="S51">
        <v>713.7</v>
      </c>
      <c r="T51">
        <v>7127.3</v>
      </c>
      <c r="U51" t="s">
        <v>106</v>
      </c>
      <c r="V51" t="s">
        <v>106</v>
      </c>
      <c r="W51" t="s">
        <v>106</v>
      </c>
      <c r="X51" t="s">
        <v>106</v>
      </c>
      <c r="Y51">
        <v>237</v>
      </c>
      <c r="Z51">
        <v>917.6</v>
      </c>
      <c r="AA51">
        <v>174.1</v>
      </c>
      <c r="AB51">
        <v>36</v>
      </c>
      <c r="AC51">
        <v>0</v>
      </c>
      <c r="AD51" t="s">
        <v>106</v>
      </c>
      <c r="AE51">
        <v>0.3</v>
      </c>
      <c r="AF51">
        <v>98.8</v>
      </c>
      <c r="AG51">
        <v>465</v>
      </c>
      <c r="AH51">
        <v>42.3</v>
      </c>
      <c r="AI51">
        <v>5.5</v>
      </c>
      <c r="AJ51">
        <v>596.70000000000005</v>
      </c>
      <c r="AK51" t="s">
        <v>106</v>
      </c>
      <c r="AL51" t="s">
        <v>106</v>
      </c>
      <c r="AM51" t="s">
        <v>106</v>
      </c>
      <c r="AN51" t="s">
        <v>106</v>
      </c>
      <c r="AO51" t="s">
        <v>106</v>
      </c>
      <c r="AP51" t="s">
        <v>106</v>
      </c>
      <c r="AQ51" t="s">
        <v>106</v>
      </c>
      <c r="AR51">
        <v>1567.7</v>
      </c>
      <c r="AS51">
        <v>118.3</v>
      </c>
      <c r="AT51">
        <v>349.8</v>
      </c>
      <c r="AU51">
        <v>406.7</v>
      </c>
      <c r="AV51">
        <v>18</v>
      </c>
      <c r="AW51">
        <v>6.6</v>
      </c>
      <c r="AX51" t="s">
        <v>106</v>
      </c>
      <c r="AY51" t="s">
        <v>106</v>
      </c>
      <c r="AZ51" t="s">
        <v>106</v>
      </c>
      <c r="BA51" t="s">
        <v>106</v>
      </c>
      <c r="BB51" t="s">
        <v>106</v>
      </c>
      <c r="BC51" t="s">
        <v>106</v>
      </c>
      <c r="BD51">
        <v>4.8</v>
      </c>
      <c r="BE51" t="s">
        <v>106</v>
      </c>
      <c r="BF51">
        <v>1.2</v>
      </c>
      <c r="BG51" t="s">
        <v>106</v>
      </c>
      <c r="BH51" t="s">
        <v>106</v>
      </c>
      <c r="BI51" t="s">
        <v>106</v>
      </c>
      <c r="BJ51">
        <v>22853.1</v>
      </c>
      <c r="BK51">
        <v>3597.5</v>
      </c>
      <c r="BL51">
        <v>48253.8</v>
      </c>
      <c r="BM51">
        <v>4691.8</v>
      </c>
    </row>
    <row r="52" spans="3:65">
      <c r="E52" t="s">
        <v>155</v>
      </c>
      <c r="F52" t="s">
        <v>106</v>
      </c>
      <c r="G52" t="s">
        <v>106</v>
      </c>
      <c r="H52" t="s">
        <v>106</v>
      </c>
      <c r="I52" t="s">
        <v>106</v>
      </c>
      <c r="J52" t="s">
        <v>106</v>
      </c>
      <c r="K52" t="s">
        <v>106</v>
      </c>
      <c r="L52" t="s">
        <v>106</v>
      </c>
      <c r="M52" t="s">
        <v>106</v>
      </c>
      <c r="N52" t="s">
        <v>106</v>
      </c>
      <c r="O52" t="s">
        <v>106</v>
      </c>
      <c r="P52" t="s">
        <v>106</v>
      </c>
      <c r="Q52" t="s">
        <v>106</v>
      </c>
      <c r="R52" t="s">
        <v>106</v>
      </c>
      <c r="S52" t="s">
        <v>106</v>
      </c>
      <c r="T52">
        <v>838.4</v>
      </c>
      <c r="U52" t="s">
        <v>106</v>
      </c>
      <c r="V52" t="s">
        <v>106</v>
      </c>
      <c r="W52" t="s">
        <v>106</v>
      </c>
      <c r="X52" t="s">
        <v>106</v>
      </c>
      <c r="Y52" t="s">
        <v>106</v>
      </c>
      <c r="Z52">
        <v>21.1</v>
      </c>
      <c r="AA52">
        <v>1.2</v>
      </c>
      <c r="AB52">
        <v>0.1</v>
      </c>
      <c r="AC52" t="s">
        <v>106</v>
      </c>
      <c r="AD52" t="s">
        <v>106</v>
      </c>
      <c r="AE52" t="s">
        <v>106</v>
      </c>
      <c r="AF52">
        <v>9.1</v>
      </c>
      <c r="AG52">
        <v>16.2</v>
      </c>
      <c r="AH52">
        <v>1</v>
      </c>
      <c r="AI52">
        <v>0.6</v>
      </c>
      <c r="AJ52">
        <v>22.4</v>
      </c>
      <c r="AK52" t="s">
        <v>106</v>
      </c>
      <c r="AL52" t="s">
        <v>106</v>
      </c>
      <c r="AM52" t="s">
        <v>106</v>
      </c>
      <c r="AN52" t="s">
        <v>106</v>
      </c>
      <c r="AO52" t="s">
        <v>106</v>
      </c>
      <c r="AP52" t="s">
        <v>106</v>
      </c>
      <c r="AQ52" t="s">
        <v>106</v>
      </c>
      <c r="AR52">
        <v>35.9</v>
      </c>
      <c r="AS52" t="s">
        <v>106</v>
      </c>
      <c r="AT52">
        <v>3.1</v>
      </c>
      <c r="AU52">
        <v>15.9</v>
      </c>
      <c r="AV52">
        <v>8.4</v>
      </c>
      <c r="AW52" t="s">
        <v>106</v>
      </c>
      <c r="AX52" t="s">
        <v>106</v>
      </c>
      <c r="AY52" t="s">
        <v>106</v>
      </c>
      <c r="AZ52" t="s">
        <v>106</v>
      </c>
      <c r="BA52" t="s">
        <v>106</v>
      </c>
      <c r="BB52" t="s">
        <v>106</v>
      </c>
      <c r="BC52" t="s">
        <v>106</v>
      </c>
      <c r="BD52" t="s">
        <v>106</v>
      </c>
      <c r="BE52" t="s">
        <v>106</v>
      </c>
      <c r="BF52" t="s">
        <v>106</v>
      </c>
      <c r="BG52" t="s">
        <v>106</v>
      </c>
      <c r="BH52" t="s">
        <v>106</v>
      </c>
      <c r="BI52" t="s">
        <v>106</v>
      </c>
      <c r="BJ52">
        <v>1112.8</v>
      </c>
      <c r="BK52">
        <v>118.4</v>
      </c>
      <c r="BL52">
        <v>2204.6999999999998</v>
      </c>
      <c r="BM52">
        <v>63.3</v>
      </c>
    </row>
    <row r="53" spans="3:65">
      <c r="E53" t="s">
        <v>156</v>
      </c>
      <c r="F53" t="s">
        <v>106</v>
      </c>
      <c r="G53" t="s">
        <v>106</v>
      </c>
      <c r="H53" t="s">
        <v>106</v>
      </c>
      <c r="I53">
        <v>399.4</v>
      </c>
      <c r="J53" t="s">
        <v>106</v>
      </c>
      <c r="K53" t="s">
        <v>106</v>
      </c>
      <c r="L53" t="s">
        <v>106</v>
      </c>
      <c r="M53" t="s">
        <v>106</v>
      </c>
      <c r="N53" t="s">
        <v>106</v>
      </c>
      <c r="O53" t="s">
        <v>106</v>
      </c>
      <c r="P53" t="s">
        <v>106</v>
      </c>
      <c r="Q53" t="s">
        <v>106</v>
      </c>
      <c r="R53" t="s">
        <v>106</v>
      </c>
      <c r="S53" t="s">
        <v>106</v>
      </c>
      <c r="T53">
        <v>218.6</v>
      </c>
      <c r="U53" t="s">
        <v>106</v>
      </c>
      <c r="V53" t="s">
        <v>106</v>
      </c>
      <c r="W53" t="s">
        <v>106</v>
      </c>
      <c r="X53" t="s">
        <v>106</v>
      </c>
      <c r="Y53" t="s">
        <v>106</v>
      </c>
      <c r="Z53">
        <v>3.7</v>
      </c>
      <c r="AA53">
        <v>0.2</v>
      </c>
      <c r="AB53">
        <v>0.1</v>
      </c>
      <c r="AC53" t="s">
        <v>106</v>
      </c>
      <c r="AD53" t="s">
        <v>106</v>
      </c>
      <c r="AE53" t="s">
        <v>106</v>
      </c>
      <c r="AF53">
        <v>6.3</v>
      </c>
      <c r="AG53">
        <v>3.6</v>
      </c>
      <c r="AH53">
        <v>0.5</v>
      </c>
      <c r="AI53">
        <v>1.1000000000000001</v>
      </c>
      <c r="AJ53">
        <v>7.6</v>
      </c>
      <c r="AK53" t="s">
        <v>106</v>
      </c>
      <c r="AL53" t="s">
        <v>106</v>
      </c>
      <c r="AM53" t="s">
        <v>106</v>
      </c>
      <c r="AN53" t="s">
        <v>106</v>
      </c>
      <c r="AO53" t="s">
        <v>106</v>
      </c>
      <c r="AP53" t="s">
        <v>106</v>
      </c>
      <c r="AQ53" t="s">
        <v>106</v>
      </c>
      <c r="AR53">
        <v>28.1</v>
      </c>
      <c r="AS53">
        <v>1.9</v>
      </c>
      <c r="AT53">
        <v>19.600000000000001</v>
      </c>
      <c r="AU53">
        <v>55.1</v>
      </c>
      <c r="AV53" t="s">
        <v>106</v>
      </c>
      <c r="AW53">
        <v>6.6</v>
      </c>
      <c r="AX53" t="s">
        <v>106</v>
      </c>
      <c r="AY53" t="s">
        <v>106</v>
      </c>
      <c r="AZ53" t="s">
        <v>106</v>
      </c>
      <c r="BA53" t="s">
        <v>106</v>
      </c>
      <c r="BB53" t="s">
        <v>106</v>
      </c>
      <c r="BC53" t="s">
        <v>106</v>
      </c>
      <c r="BD53" t="s">
        <v>106</v>
      </c>
      <c r="BE53" t="s">
        <v>106</v>
      </c>
      <c r="BF53" t="s">
        <v>106</v>
      </c>
      <c r="BG53" t="s">
        <v>106</v>
      </c>
      <c r="BH53" t="s">
        <v>106</v>
      </c>
      <c r="BI53" t="s">
        <v>106</v>
      </c>
      <c r="BJ53">
        <v>782.6</v>
      </c>
      <c r="BK53">
        <v>219.4</v>
      </c>
      <c r="BL53">
        <v>1754.4</v>
      </c>
      <c r="BM53">
        <v>111.3</v>
      </c>
    </row>
    <row r="54" spans="3:65">
      <c r="E54" t="s">
        <v>157</v>
      </c>
      <c r="F54" t="s">
        <v>106</v>
      </c>
      <c r="G54" t="s">
        <v>106</v>
      </c>
      <c r="H54" t="s">
        <v>106</v>
      </c>
      <c r="I54" t="s">
        <v>106</v>
      </c>
      <c r="J54" t="s">
        <v>106</v>
      </c>
      <c r="K54" t="s">
        <v>106</v>
      </c>
      <c r="L54" t="s">
        <v>106</v>
      </c>
      <c r="M54" t="s">
        <v>106</v>
      </c>
      <c r="N54" t="s">
        <v>106</v>
      </c>
      <c r="O54" t="s">
        <v>106</v>
      </c>
      <c r="P54" t="s">
        <v>106</v>
      </c>
      <c r="Q54" t="s">
        <v>106</v>
      </c>
      <c r="R54" t="s">
        <v>106</v>
      </c>
      <c r="S54" t="s">
        <v>106</v>
      </c>
      <c r="T54">
        <v>24.3</v>
      </c>
      <c r="U54" t="s">
        <v>106</v>
      </c>
      <c r="V54" t="s">
        <v>106</v>
      </c>
      <c r="W54" t="s">
        <v>106</v>
      </c>
      <c r="X54" t="s">
        <v>106</v>
      </c>
      <c r="Y54" t="s">
        <v>106</v>
      </c>
      <c r="Z54">
        <v>0.2</v>
      </c>
      <c r="AA54" t="s">
        <v>106</v>
      </c>
      <c r="AB54">
        <v>0.2</v>
      </c>
      <c r="AC54" t="s">
        <v>106</v>
      </c>
      <c r="AD54" t="s">
        <v>106</v>
      </c>
      <c r="AE54" t="s">
        <v>106</v>
      </c>
      <c r="AF54">
        <v>0.8</v>
      </c>
      <c r="AG54">
        <v>4</v>
      </c>
      <c r="AH54">
        <v>0.1</v>
      </c>
      <c r="AI54">
        <v>0</v>
      </c>
      <c r="AJ54">
        <v>1.2</v>
      </c>
      <c r="AK54" t="s">
        <v>106</v>
      </c>
      <c r="AL54" t="s">
        <v>106</v>
      </c>
      <c r="AM54" t="s">
        <v>106</v>
      </c>
      <c r="AN54" t="s">
        <v>106</v>
      </c>
      <c r="AO54" t="s">
        <v>106</v>
      </c>
      <c r="AP54" t="s">
        <v>106</v>
      </c>
      <c r="AQ54" t="s">
        <v>106</v>
      </c>
      <c r="AR54" t="s">
        <v>106</v>
      </c>
      <c r="AS54" t="s">
        <v>106</v>
      </c>
      <c r="AT54">
        <v>6.4</v>
      </c>
      <c r="AU54">
        <v>53.3</v>
      </c>
      <c r="AV54" t="s">
        <v>106</v>
      </c>
      <c r="AW54" t="s">
        <v>106</v>
      </c>
      <c r="AX54" t="s">
        <v>106</v>
      </c>
      <c r="AY54" t="s">
        <v>106</v>
      </c>
      <c r="AZ54" t="s">
        <v>106</v>
      </c>
      <c r="BA54" t="s">
        <v>106</v>
      </c>
      <c r="BB54" t="s">
        <v>106</v>
      </c>
      <c r="BC54" t="s">
        <v>106</v>
      </c>
      <c r="BD54" t="s">
        <v>106</v>
      </c>
      <c r="BE54" t="s">
        <v>106</v>
      </c>
      <c r="BF54" t="s">
        <v>106</v>
      </c>
      <c r="BG54" t="s">
        <v>106</v>
      </c>
      <c r="BH54" t="s">
        <v>106</v>
      </c>
      <c r="BI54" t="s">
        <v>106</v>
      </c>
      <c r="BJ54">
        <v>146.4</v>
      </c>
      <c r="BK54">
        <v>8.1</v>
      </c>
      <c r="BL54">
        <v>245.1</v>
      </c>
      <c r="BM54">
        <v>59.7</v>
      </c>
    </row>
    <row r="55" spans="3:65">
      <c r="E55" t="s">
        <v>158</v>
      </c>
      <c r="F55" t="s">
        <v>106</v>
      </c>
      <c r="G55" t="s">
        <v>106</v>
      </c>
      <c r="H55" t="s">
        <v>106</v>
      </c>
      <c r="I55" t="s">
        <v>106</v>
      </c>
      <c r="J55" t="s">
        <v>106</v>
      </c>
      <c r="K55" t="s">
        <v>106</v>
      </c>
      <c r="L55" t="s">
        <v>106</v>
      </c>
      <c r="M55" t="s">
        <v>106</v>
      </c>
      <c r="N55" t="s">
        <v>106</v>
      </c>
      <c r="O55" t="s">
        <v>106</v>
      </c>
      <c r="P55" t="s">
        <v>106</v>
      </c>
      <c r="Q55" t="s">
        <v>106</v>
      </c>
      <c r="R55" t="s">
        <v>106</v>
      </c>
      <c r="S55">
        <v>1.2</v>
      </c>
      <c r="T55">
        <v>304.3</v>
      </c>
      <c r="U55" t="s">
        <v>106</v>
      </c>
      <c r="V55" t="s">
        <v>106</v>
      </c>
      <c r="W55" t="s">
        <v>106</v>
      </c>
      <c r="X55" t="s">
        <v>106</v>
      </c>
      <c r="Y55" t="s">
        <v>106</v>
      </c>
      <c r="Z55">
        <v>5.2</v>
      </c>
      <c r="AA55" t="s">
        <v>106</v>
      </c>
      <c r="AB55">
        <v>0.1</v>
      </c>
      <c r="AC55" t="s">
        <v>106</v>
      </c>
      <c r="AD55" t="s">
        <v>106</v>
      </c>
      <c r="AE55" t="s">
        <v>106</v>
      </c>
      <c r="AF55">
        <v>1.1000000000000001</v>
      </c>
      <c r="AG55">
        <v>7.6</v>
      </c>
      <c r="AH55">
        <v>0.6</v>
      </c>
      <c r="AI55">
        <v>0.4</v>
      </c>
      <c r="AJ55">
        <v>10.7</v>
      </c>
      <c r="AK55" t="s">
        <v>106</v>
      </c>
      <c r="AL55" t="s">
        <v>106</v>
      </c>
      <c r="AM55" t="s">
        <v>106</v>
      </c>
      <c r="AN55" t="s">
        <v>106</v>
      </c>
      <c r="AO55" t="s">
        <v>106</v>
      </c>
      <c r="AP55" t="s">
        <v>106</v>
      </c>
      <c r="AQ55" t="s">
        <v>106</v>
      </c>
      <c r="AR55">
        <v>324.8</v>
      </c>
      <c r="AS55">
        <v>21.9</v>
      </c>
      <c r="AT55">
        <v>113.5</v>
      </c>
      <c r="AU55">
        <v>177.2</v>
      </c>
      <c r="AV55">
        <v>1.6</v>
      </c>
      <c r="AW55" t="s">
        <v>106</v>
      </c>
      <c r="AX55" t="s">
        <v>106</v>
      </c>
      <c r="AY55" t="s">
        <v>106</v>
      </c>
      <c r="AZ55" t="s">
        <v>106</v>
      </c>
      <c r="BA55" t="s">
        <v>106</v>
      </c>
      <c r="BB55" t="s">
        <v>106</v>
      </c>
      <c r="BC55" t="s">
        <v>106</v>
      </c>
      <c r="BD55" t="s">
        <v>106</v>
      </c>
      <c r="BE55" t="s">
        <v>106</v>
      </c>
      <c r="BF55" t="s">
        <v>106</v>
      </c>
      <c r="BG55" t="s">
        <v>106</v>
      </c>
      <c r="BH55" t="s">
        <v>106</v>
      </c>
      <c r="BI55" t="s">
        <v>106</v>
      </c>
      <c r="BJ55">
        <v>808.9</v>
      </c>
      <c r="BK55">
        <v>236.2</v>
      </c>
      <c r="BL55">
        <v>2015.4</v>
      </c>
      <c r="BM55">
        <v>639</v>
      </c>
    </row>
    <row r="56" spans="3:65">
      <c r="E56" t="s">
        <v>159</v>
      </c>
      <c r="F56" t="s">
        <v>106</v>
      </c>
      <c r="G56" t="s">
        <v>106</v>
      </c>
      <c r="H56" t="s">
        <v>106</v>
      </c>
      <c r="I56">
        <v>708.1</v>
      </c>
      <c r="J56" t="s">
        <v>106</v>
      </c>
      <c r="K56" t="s">
        <v>106</v>
      </c>
      <c r="L56" t="s">
        <v>106</v>
      </c>
      <c r="M56" t="s">
        <v>106</v>
      </c>
      <c r="N56" t="s">
        <v>106</v>
      </c>
      <c r="O56" t="s">
        <v>106</v>
      </c>
      <c r="P56" t="s">
        <v>106</v>
      </c>
      <c r="Q56" t="s">
        <v>106</v>
      </c>
      <c r="R56" t="s">
        <v>106</v>
      </c>
      <c r="S56" t="s">
        <v>106</v>
      </c>
      <c r="T56">
        <v>1686.5</v>
      </c>
      <c r="U56" t="s">
        <v>106</v>
      </c>
      <c r="V56" t="s">
        <v>106</v>
      </c>
      <c r="W56" t="s">
        <v>106</v>
      </c>
      <c r="X56" t="s">
        <v>106</v>
      </c>
      <c r="Y56">
        <v>237</v>
      </c>
      <c r="Z56">
        <v>139.1</v>
      </c>
      <c r="AA56">
        <v>9</v>
      </c>
      <c r="AB56">
        <v>0.2</v>
      </c>
      <c r="AC56" t="s">
        <v>106</v>
      </c>
      <c r="AD56" t="s">
        <v>106</v>
      </c>
      <c r="AE56" t="s">
        <v>106</v>
      </c>
      <c r="AF56">
        <v>9.8000000000000007</v>
      </c>
      <c r="AG56">
        <v>8</v>
      </c>
      <c r="AH56">
        <v>11.6</v>
      </c>
      <c r="AI56">
        <v>1.7</v>
      </c>
      <c r="AJ56">
        <v>152.69999999999999</v>
      </c>
      <c r="AK56" t="s">
        <v>106</v>
      </c>
      <c r="AL56" t="s">
        <v>106</v>
      </c>
      <c r="AM56" t="s">
        <v>106</v>
      </c>
      <c r="AN56" t="s">
        <v>106</v>
      </c>
      <c r="AO56" t="s">
        <v>106</v>
      </c>
      <c r="AP56" t="s">
        <v>106</v>
      </c>
      <c r="AQ56" t="s">
        <v>106</v>
      </c>
      <c r="AR56">
        <v>270.8</v>
      </c>
      <c r="AS56">
        <v>36.200000000000003</v>
      </c>
      <c r="AT56">
        <v>142.19999999999999</v>
      </c>
      <c r="AU56">
        <v>20.100000000000001</v>
      </c>
      <c r="AV56">
        <v>5.7</v>
      </c>
      <c r="AW56" t="s">
        <v>106</v>
      </c>
      <c r="AX56" t="s">
        <v>106</v>
      </c>
      <c r="AY56" t="s">
        <v>106</v>
      </c>
      <c r="AZ56" t="s">
        <v>106</v>
      </c>
      <c r="BA56" t="s">
        <v>106</v>
      </c>
      <c r="BB56" t="s">
        <v>106</v>
      </c>
      <c r="BC56" t="s">
        <v>106</v>
      </c>
      <c r="BD56" t="s">
        <v>106</v>
      </c>
      <c r="BE56" t="s">
        <v>106</v>
      </c>
      <c r="BF56" t="s">
        <v>106</v>
      </c>
      <c r="BG56" t="s">
        <v>106</v>
      </c>
      <c r="BH56" t="s">
        <v>106</v>
      </c>
      <c r="BI56" t="s">
        <v>106</v>
      </c>
      <c r="BJ56">
        <v>4905.8</v>
      </c>
      <c r="BK56">
        <v>2599.4</v>
      </c>
      <c r="BL56">
        <v>10943.8</v>
      </c>
      <c r="BM56">
        <v>712</v>
      </c>
    </row>
    <row r="57" spans="3:65">
      <c r="E57" t="s">
        <v>160</v>
      </c>
      <c r="F57" t="s">
        <v>106</v>
      </c>
      <c r="G57" t="s">
        <v>106</v>
      </c>
      <c r="H57" t="s">
        <v>106</v>
      </c>
      <c r="I57">
        <v>2015.2</v>
      </c>
      <c r="J57" t="s">
        <v>106</v>
      </c>
      <c r="K57" t="s">
        <v>106</v>
      </c>
      <c r="L57" t="s">
        <v>106</v>
      </c>
      <c r="M57" t="s">
        <v>106</v>
      </c>
      <c r="N57" t="s">
        <v>106</v>
      </c>
      <c r="O57" t="s">
        <v>106</v>
      </c>
      <c r="P57" t="s">
        <v>106</v>
      </c>
      <c r="Q57" t="s">
        <v>106</v>
      </c>
      <c r="R57" t="s">
        <v>106</v>
      </c>
      <c r="S57" t="s">
        <v>106</v>
      </c>
      <c r="T57">
        <v>530.6</v>
      </c>
      <c r="U57" t="s">
        <v>106</v>
      </c>
      <c r="V57" t="s">
        <v>106</v>
      </c>
      <c r="W57" t="s">
        <v>106</v>
      </c>
      <c r="X57" t="s">
        <v>106</v>
      </c>
      <c r="Y57" t="s">
        <v>106</v>
      </c>
      <c r="Z57">
        <v>15</v>
      </c>
      <c r="AA57">
        <v>0</v>
      </c>
      <c r="AB57">
        <v>0.1</v>
      </c>
      <c r="AC57" t="s">
        <v>106</v>
      </c>
      <c r="AD57" t="s">
        <v>106</v>
      </c>
      <c r="AE57" t="s">
        <v>106</v>
      </c>
      <c r="AF57">
        <v>0.9</v>
      </c>
      <c r="AG57">
        <v>130.6</v>
      </c>
      <c r="AH57">
        <v>2.6</v>
      </c>
      <c r="AI57">
        <v>0.6</v>
      </c>
      <c r="AJ57">
        <v>258.5</v>
      </c>
      <c r="AK57" t="s">
        <v>106</v>
      </c>
      <c r="AL57" t="s">
        <v>106</v>
      </c>
      <c r="AM57" t="s">
        <v>106</v>
      </c>
      <c r="AN57" t="s">
        <v>106</v>
      </c>
      <c r="AO57" t="s">
        <v>106</v>
      </c>
      <c r="AP57" t="s">
        <v>106</v>
      </c>
      <c r="AQ57" t="s">
        <v>106</v>
      </c>
      <c r="AR57">
        <v>730.1</v>
      </c>
      <c r="AS57" t="s">
        <v>106</v>
      </c>
      <c r="AT57" t="s">
        <v>106</v>
      </c>
      <c r="AU57">
        <v>1.8</v>
      </c>
      <c r="AV57" t="s">
        <v>106</v>
      </c>
      <c r="AW57" t="s">
        <v>106</v>
      </c>
      <c r="AX57" t="s">
        <v>106</v>
      </c>
      <c r="AY57" t="s">
        <v>106</v>
      </c>
      <c r="AZ57" t="s">
        <v>106</v>
      </c>
      <c r="BA57" t="s">
        <v>106</v>
      </c>
      <c r="BB57" t="s">
        <v>106</v>
      </c>
      <c r="BC57" t="s">
        <v>106</v>
      </c>
      <c r="BD57" t="s">
        <v>106</v>
      </c>
      <c r="BE57" t="s">
        <v>106</v>
      </c>
      <c r="BF57" t="s">
        <v>106</v>
      </c>
      <c r="BG57" t="s">
        <v>106</v>
      </c>
      <c r="BH57" t="s">
        <v>106</v>
      </c>
      <c r="BI57" t="s">
        <v>106</v>
      </c>
      <c r="BJ57">
        <v>959.3</v>
      </c>
      <c r="BK57">
        <v>0.5</v>
      </c>
      <c r="BL57">
        <v>4645.8</v>
      </c>
      <c r="BM57">
        <v>731.9</v>
      </c>
    </row>
    <row r="58" spans="3:65">
      <c r="E58" t="s">
        <v>161</v>
      </c>
      <c r="F58" t="s">
        <v>106</v>
      </c>
      <c r="G58">
        <v>746.7</v>
      </c>
      <c r="H58" t="s">
        <v>106</v>
      </c>
      <c r="I58" t="s">
        <v>106</v>
      </c>
      <c r="J58" t="s">
        <v>106</v>
      </c>
      <c r="K58" t="s">
        <v>106</v>
      </c>
      <c r="L58" t="s">
        <v>106</v>
      </c>
      <c r="M58" t="s">
        <v>106</v>
      </c>
      <c r="N58">
        <v>751.8</v>
      </c>
      <c r="O58" t="s">
        <v>106</v>
      </c>
      <c r="P58">
        <v>1788.9</v>
      </c>
      <c r="Q58">
        <v>44.1</v>
      </c>
      <c r="R58">
        <v>148.80000000000001</v>
      </c>
      <c r="S58">
        <v>437.3</v>
      </c>
      <c r="T58">
        <v>1029.9000000000001</v>
      </c>
      <c r="U58" t="s">
        <v>106</v>
      </c>
      <c r="V58" t="s">
        <v>106</v>
      </c>
      <c r="W58" t="s">
        <v>106</v>
      </c>
      <c r="X58" t="s">
        <v>106</v>
      </c>
      <c r="Y58" t="s">
        <v>106</v>
      </c>
      <c r="Z58">
        <v>60.2</v>
      </c>
      <c r="AA58">
        <v>3.6</v>
      </c>
      <c r="AB58" t="s">
        <v>106</v>
      </c>
      <c r="AC58" t="s">
        <v>106</v>
      </c>
      <c r="AD58" t="s">
        <v>106</v>
      </c>
      <c r="AE58" t="s">
        <v>106</v>
      </c>
      <c r="AF58">
        <v>0.4</v>
      </c>
      <c r="AG58">
        <v>4.5999999999999996</v>
      </c>
      <c r="AH58">
        <v>0.1</v>
      </c>
      <c r="AI58">
        <v>0</v>
      </c>
      <c r="AJ58">
        <v>0.7</v>
      </c>
      <c r="AK58" t="s">
        <v>106</v>
      </c>
      <c r="AL58" t="s">
        <v>106</v>
      </c>
      <c r="AM58" t="s">
        <v>106</v>
      </c>
      <c r="AN58" t="s">
        <v>106</v>
      </c>
      <c r="AO58" t="s">
        <v>106</v>
      </c>
      <c r="AP58" t="s">
        <v>106</v>
      </c>
      <c r="AQ58" t="s">
        <v>106</v>
      </c>
      <c r="AR58">
        <v>7.6</v>
      </c>
      <c r="AS58" t="s">
        <v>106</v>
      </c>
      <c r="AT58" t="s">
        <v>106</v>
      </c>
      <c r="AU58">
        <v>3.8</v>
      </c>
      <c r="AV58" t="s">
        <v>106</v>
      </c>
      <c r="AW58" t="s">
        <v>106</v>
      </c>
      <c r="AX58" t="s">
        <v>106</v>
      </c>
      <c r="AY58" t="s">
        <v>106</v>
      </c>
      <c r="AZ58" t="s">
        <v>106</v>
      </c>
      <c r="BA58" t="s">
        <v>106</v>
      </c>
      <c r="BB58" t="s">
        <v>106</v>
      </c>
      <c r="BC58" t="s">
        <v>106</v>
      </c>
      <c r="BD58" t="s">
        <v>106</v>
      </c>
      <c r="BE58" t="s">
        <v>106</v>
      </c>
      <c r="BF58" t="s">
        <v>106</v>
      </c>
      <c r="BG58" t="s">
        <v>106</v>
      </c>
      <c r="BH58" t="s">
        <v>106</v>
      </c>
      <c r="BI58" t="s">
        <v>106</v>
      </c>
      <c r="BJ58">
        <v>4038.5</v>
      </c>
      <c r="BK58">
        <v>5.8</v>
      </c>
      <c r="BL58">
        <v>9072.7999999999993</v>
      </c>
      <c r="BM58">
        <v>1993.1</v>
      </c>
    </row>
    <row r="59" spans="3:65">
      <c r="E59" t="s">
        <v>162</v>
      </c>
      <c r="F59" t="s">
        <v>106</v>
      </c>
      <c r="G59">
        <v>204.4</v>
      </c>
      <c r="H59" t="s">
        <v>106</v>
      </c>
      <c r="I59">
        <v>176</v>
      </c>
      <c r="J59" t="s">
        <v>106</v>
      </c>
      <c r="K59" t="s">
        <v>106</v>
      </c>
      <c r="L59" t="s">
        <v>106</v>
      </c>
      <c r="M59" t="s">
        <v>106</v>
      </c>
      <c r="N59" t="s">
        <v>106</v>
      </c>
      <c r="O59" t="s">
        <v>106</v>
      </c>
      <c r="P59" t="s">
        <v>106</v>
      </c>
      <c r="Q59" t="s">
        <v>106</v>
      </c>
      <c r="R59" t="s">
        <v>106</v>
      </c>
      <c r="S59" t="s">
        <v>106</v>
      </c>
      <c r="T59">
        <v>461.1</v>
      </c>
      <c r="U59" t="s">
        <v>106</v>
      </c>
      <c r="V59" t="s">
        <v>106</v>
      </c>
      <c r="W59" t="s">
        <v>106</v>
      </c>
      <c r="X59" t="s">
        <v>106</v>
      </c>
      <c r="Y59" t="s">
        <v>106</v>
      </c>
      <c r="Z59">
        <v>12.2</v>
      </c>
      <c r="AA59">
        <v>0.1</v>
      </c>
      <c r="AB59" t="s">
        <v>106</v>
      </c>
      <c r="AC59" t="s">
        <v>106</v>
      </c>
      <c r="AD59" t="s">
        <v>106</v>
      </c>
      <c r="AE59" t="s">
        <v>106</v>
      </c>
      <c r="AF59">
        <v>0.1</v>
      </c>
      <c r="AG59">
        <v>3.2</v>
      </c>
      <c r="AH59">
        <v>0.1</v>
      </c>
      <c r="AI59">
        <v>0</v>
      </c>
      <c r="AJ59">
        <v>24.4</v>
      </c>
      <c r="AK59" t="s">
        <v>106</v>
      </c>
      <c r="AL59" t="s">
        <v>106</v>
      </c>
      <c r="AM59" t="s">
        <v>106</v>
      </c>
      <c r="AN59" t="s">
        <v>106</v>
      </c>
      <c r="AO59" t="s">
        <v>106</v>
      </c>
      <c r="AP59" t="s">
        <v>106</v>
      </c>
      <c r="AQ59" t="s">
        <v>106</v>
      </c>
      <c r="AR59" t="s">
        <v>106</v>
      </c>
      <c r="AS59" t="s">
        <v>106</v>
      </c>
      <c r="AT59" t="s">
        <v>106</v>
      </c>
      <c r="AU59" t="s">
        <v>106</v>
      </c>
      <c r="AV59" t="s">
        <v>106</v>
      </c>
      <c r="AW59" t="s">
        <v>106</v>
      </c>
      <c r="AX59" t="s">
        <v>106</v>
      </c>
      <c r="AY59" t="s">
        <v>106</v>
      </c>
      <c r="AZ59" t="s">
        <v>106</v>
      </c>
      <c r="BA59" t="s">
        <v>106</v>
      </c>
      <c r="BB59" t="s">
        <v>106</v>
      </c>
      <c r="BC59" t="s">
        <v>106</v>
      </c>
      <c r="BD59" t="s">
        <v>106</v>
      </c>
      <c r="BE59" t="s">
        <v>106</v>
      </c>
      <c r="BF59" t="s">
        <v>106</v>
      </c>
      <c r="BG59" t="s">
        <v>106</v>
      </c>
      <c r="BH59" t="s">
        <v>106</v>
      </c>
      <c r="BI59" t="s">
        <v>106</v>
      </c>
      <c r="BJ59">
        <v>898.1</v>
      </c>
      <c r="BK59">
        <v>76.599999999999994</v>
      </c>
      <c r="BL59">
        <v>1856.4</v>
      </c>
      <c r="BM59" t="s">
        <v>106</v>
      </c>
    </row>
    <row r="60" spans="3:65">
      <c r="E60" t="s">
        <v>163</v>
      </c>
      <c r="F60" t="s">
        <v>106</v>
      </c>
      <c r="G60" t="s">
        <v>106</v>
      </c>
      <c r="H60" t="s">
        <v>106</v>
      </c>
      <c r="I60" t="s">
        <v>106</v>
      </c>
      <c r="J60" t="s">
        <v>106</v>
      </c>
      <c r="K60" t="s">
        <v>106</v>
      </c>
      <c r="L60" t="s">
        <v>106</v>
      </c>
      <c r="M60" t="s">
        <v>106</v>
      </c>
      <c r="N60" t="s">
        <v>106</v>
      </c>
      <c r="O60" t="s">
        <v>106</v>
      </c>
      <c r="P60" t="s">
        <v>106</v>
      </c>
      <c r="Q60" t="s">
        <v>106</v>
      </c>
      <c r="R60" t="s">
        <v>106</v>
      </c>
      <c r="S60" t="s">
        <v>106</v>
      </c>
      <c r="T60">
        <v>1287.7</v>
      </c>
      <c r="U60" t="s">
        <v>106</v>
      </c>
      <c r="V60" t="s">
        <v>106</v>
      </c>
      <c r="W60" t="s">
        <v>106</v>
      </c>
      <c r="X60" t="s">
        <v>106</v>
      </c>
      <c r="Y60" t="s">
        <v>106</v>
      </c>
      <c r="Z60">
        <v>23.3</v>
      </c>
      <c r="AA60">
        <v>0.6</v>
      </c>
      <c r="AB60">
        <v>0.4</v>
      </c>
      <c r="AC60" t="s">
        <v>106</v>
      </c>
      <c r="AD60" t="s">
        <v>106</v>
      </c>
      <c r="AE60" t="s">
        <v>106</v>
      </c>
      <c r="AF60">
        <v>8.5</v>
      </c>
      <c r="AG60">
        <v>41.9</v>
      </c>
      <c r="AH60">
        <v>1.2</v>
      </c>
      <c r="AI60">
        <v>0.1</v>
      </c>
      <c r="AJ60">
        <v>2.8</v>
      </c>
      <c r="AK60" t="s">
        <v>106</v>
      </c>
      <c r="AL60" t="s">
        <v>106</v>
      </c>
      <c r="AM60" t="s">
        <v>106</v>
      </c>
      <c r="AN60" t="s">
        <v>106</v>
      </c>
      <c r="AO60" t="s">
        <v>106</v>
      </c>
      <c r="AP60" t="s">
        <v>106</v>
      </c>
      <c r="AQ60" t="s">
        <v>106</v>
      </c>
      <c r="AR60">
        <v>5.6</v>
      </c>
      <c r="AS60" t="s">
        <v>106</v>
      </c>
      <c r="AT60">
        <v>4.2</v>
      </c>
      <c r="AU60">
        <v>44.6</v>
      </c>
      <c r="AV60" t="s">
        <v>106</v>
      </c>
      <c r="AW60" t="s">
        <v>106</v>
      </c>
      <c r="AX60" t="s">
        <v>106</v>
      </c>
      <c r="AY60" t="s">
        <v>106</v>
      </c>
      <c r="AZ60" t="s">
        <v>106</v>
      </c>
      <c r="BA60" t="s">
        <v>106</v>
      </c>
      <c r="BB60" t="s">
        <v>106</v>
      </c>
      <c r="BC60" t="s">
        <v>106</v>
      </c>
      <c r="BD60" t="s">
        <v>106</v>
      </c>
      <c r="BE60" t="s">
        <v>106</v>
      </c>
      <c r="BF60" t="s">
        <v>106</v>
      </c>
      <c r="BG60" t="s">
        <v>106</v>
      </c>
      <c r="BH60" t="s">
        <v>106</v>
      </c>
      <c r="BI60" t="s">
        <v>106</v>
      </c>
      <c r="BJ60">
        <v>7132.7</v>
      </c>
      <c r="BK60">
        <v>292.60000000000002</v>
      </c>
      <c r="BL60">
        <v>8846</v>
      </c>
      <c r="BM60">
        <v>54.4</v>
      </c>
    </row>
    <row r="61" spans="3:65">
      <c r="E61" t="s">
        <v>164</v>
      </c>
      <c r="F61" t="s">
        <v>106</v>
      </c>
      <c r="G61" t="s">
        <v>106</v>
      </c>
      <c r="H61" t="s">
        <v>106</v>
      </c>
      <c r="I61" t="s">
        <v>106</v>
      </c>
      <c r="J61" t="s">
        <v>106</v>
      </c>
      <c r="K61" t="s">
        <v>106</v>
      </c>
      <c r="L61" t="s">
        <v>106</v>
      </c>
      <c r="M61" t="s">
        <v>106</v>
      </c>
      <c r="N61" t="s">
        <v>106</v>
      </c>
      <c r="O61" t="s">
        <v>106</v>
      </c>
      <c r="P61" t="s">
        <v>106</v>
      </c>
      <c r="Q61" t="s">
        <v>106</v>
      </c>
      <c r="R61" t="s">
        <v>106</v>
      </c>
      <c r="S61">
        <v>46.4</v>
      </c>
      <c r="T61">
        <v>635</v>
      </c>
      <c r="U61" t="s">
        <v>106</v>
      </c>
      <c r="V61" t="s">
        <v>106</v>
      </c>
      <c r="W61" t="s">
        <v>106</v>
      </c>
      <c r="X61" t="s">
        <v>106</v>
      </c>
      <c r="Y61" t="s">
        <v>106</v>
      </c>
      <c r="Z61">
        <v>22.4</v>
      </c>
      <c r="AA61">
        <v>1.9</v>
      </c>
      <c r="AB61">
        <v>30.1</v>
      </c>
      <c r="AC61">
        <v>0</v>
      </c>
      <c r="AD61" t="s">
        <v>106</v>
      </c>
      <c r="AE61">
        <v>0</v>
      </c>
      <c r="AF61">
        <v>0.6</v>
      </c>
      <c r="AG61">
        <v>92.3</v>
      </c>
      <c r="AH61">
        <v>21.7</v>
      </c>
      <c r="AI61">
        <v>0.1</v>
      </c>
      <c r="AJ61">
        <v>50.9</v>
      </c>
      <c r="AK61" t="s">
        <v>106</v>
      </c>
      <c r="AL61" t="s">
        <v>106</v>
      </c>
      <c r="AM61" t="s">
        <v>106</v>
      </c>
      <c r="AN61" t="s">
        <v>106</v>
      </c>
      <c r="AO61" t="s">
        <v>106</v>
      </c>
      <c r="AP61" t="s">
        <v>106</v>
      </c>
      <c r="AQ61" t="s">
        <v>106</v>
      </c>
      <c r="AR61">
        <v>4.7</v>
      </c>
      <c r="AS61" t="s">
        <v>106</v>
      </c>
      <c r="AT61">
        <v>12.2</v>
      </c>
      <c r="AU61">
        <v>0.2</v>
      </c>
      <c r="AV61" t="s">
        <v>106</v>
      </c>
      <c r="AW61" t="s">
        <v>106</v>
      </c>
      <c r="AX61" t="s">
        <v>106</v>
      </c>
      <c r="AY61" t="s">
        <v>106</v>
      </c>
      <c r="AZ61" t="s">
        <v>106</v>
      </c>
      <c r="BA61" t="s">
        <v>106</v>
      </c>
      <c r="BB61" t="s">
        <v>106</v>
      </c>
      <c r="BC61" t="s">
        <v>106</v>
      </c>
      <c r="BD61" t="s">
        <v>106</v>
      </c>
      <c r="BE61" t="s">
        <v>106</v>
      </c>
      <c r="BF61" t="s">
        <v>106</v>
      </c>
      <c r="BG61" t="s">
        <v>106</v>
      </c>
      <c r="BH61" t="s">
        <v>106</v>
      </c>
      <c r="BI61" t="s">
        <v>106</v>
      </c>
      <c r="BJ61">
        <v>1778.2</v>
      </c>
      <c r="BK61">
        <v>40.6</v>
      </c>
      <c r="BL61">
        <v>2737.1</v>
      </c>
      <c r="BM61">
        <v>17.100000000000001</v>
      </c>
    </row>
    <row r="62" spans="3:65">
      <c r="E62" t="s">
        <v>165</v>
      </c>
      <c r="F62" t="s">
        <v>106</v>
      </c>
      <c r="G62">
        <v>1932</v>
      </c>
      <c r="H62" t="s">
        <v>106</v>
      </c>
      <c r="I62" t="s">
        <v>106</v>
      </c>
      <c r="J62" t="s">
        <v>106</v>
      </c>
      <c r="K62" t="s">
        <v>106</v>
      </c>
      <c r="L62" t="s">
        <v>106</v>
      </c>
      <c r="M62">
        <v>0.5</v>
      </c>
      <c r="N62" t="s">
        <v>106</v>
      </c>
      <c r="O62" t="s">
        <v>106</v>
      </c>
      <c r="P62" t="s">
        <v>106</v>
      </c>
      <c r="Q62" t="s">
        <v>106</v>
      </c>
      <c r="R62" t="s">
        <v>106</v>
      </c>
      <c r="S62">
        <v>228.9</v>
      </c>
      <c r="T62">
        <v>111.1</v>
      </c>
      <c r="U62" t="s">
        <v>106</v>
      </c>
      <c r="V62" t="s">
        <v>106</v>
      </c>
      <c r="W62" t="s">
        <v>106</v>
      </c>
      <c r="X62" t="s">
        <v>106</v>
      </c>
      <c r="Y62" t="s">
        <v>106</v>
      </c>
      <c r="Z62">
        <v>615.1</v>
      </c>
      <c r="AA62">
        <v>157.4</v>
      </c>
      <c r="AB62">
        <v>4.5999999999999996</v>
      </c>
      <c r="AC62" t="s">
        <v>106</v>
      </c>
      <c r="AD62" t="s">
        <v>106</v>
      </c>
      <c r="AE62">
        <v>0.2</v>
      </c>
      <c r="AF62">
        <v>61.3</v>
      </c>
      <c r="AG62">
        <v>153</v>
      </c>
      <c r="AH62">
        <v>2.7</v>
      </c>
      <c r="AI62">
        <v>0.9</v>
      </c>
      <c r="AJ62">
        <v>64.8</v>
      </c>
      <c r="AK62" t="s">
        <v>106</v>
      </c>
      <c r="AL62" t="s">
        <v>106</v>
      </c>
      <c r="AM62" t="s">
        <v>106</v>
      </c>
      <c r="AN62" t="s">
        <v>106</v>
      </c>
      <c r="AO62" t="s">
        <v>106</v>
      </c>
      <c r="AP62" t="s">
        <v>106</v>
      </c>
      <c r="AQ62" t="s">
        <v>106</v>
      </c>
      <c r="AR62">
        <v>160.19999999999999</v>
      </c>
      <c r="AS62">
        <v>58.3</v>
      </c>
      <c r="AT62">
        <v>48.6</v>
      </c>
      <c r="AU62">
        <v>34.700000000000003</v>
      </c>
      <c r="AV62">
        <v>2.2999999999999998</v>
      </c>
      <c r="AW62" t="s">
        <v>106</v>
      </c>
      <c r="AX62" t="s">
        <v>106</v>
      </c>
      <c r="AY62" t="s">
        <v>106</v>
      </c>
      <c r="AZ62" t="s">
        <v>106</v>
      </c>
      <c r="BA62" t="s">
        <v>106</v>
      </c>
      <c r="BB62" t="s">
        <v>106</v>
      </c>
      <c r="BC62" t="s">
        <v>106</v>
      </c>
      <c r="BD62">
        <v>4.8</v>
      </c>
      <c r="BE62" t="s">
        <v>106</v>
      </c>
      <c r="BF62">
        <v>1.2</v>
      </c>
      <c r="BG62" t="s">
        <v>106</v>
      </c>
      <c r="BH62" t="s">
        <v>106</v>
      </c>
      <c r="BI62" t="s">
        <v>106</v>
      </c>
      <c r="BJ62">
        <v>289.8</v>
      </c>
      <c r="BK62">
        <v>0</v>
      </c>
      <c r="BL62">
        <v>3932.3</v>
      </c>
      <c r="BM62">
        <v>310.10000000000002</v>
      </c>
    </row>
    <row r="63" spans="3:65">
      <c r="D63" t="s">
        <v>166</v>
      </c>
      <c r="E63" t="s">
        <v>105</v>
      </c>
      <c r="F63" t="s">
        <v>106</v>
      </c>
      <c r="G63" t="s">
        <v>106</v>
      </c>
      <c r="H63" t="s">
        <v>106</v>
      </c>
      <c r="I63" t="s">
        <v>106</v>
      </c>
      <c r="J63" t="s">
        <v>106</v>
      </c>
      <c r="K63">
        <v>0</v>
      </c>
      <c r="L63" t="s">
        <v>106</v>
      </c>
      <c r="M63" t="s">
        <v>106</v>
      </c>
      <c r="N63" t="s">
        <v>106</v>
      </c>
      <c r="O63" t="s">
        <v>106</v>
      </c>
      <c r="P63" t="s">
        <v>106</v>
      </c>
      <c r="Q63" t="s">
        <v>106</v>
      </c>
      <c r="R63" t="s">
        <v>106</v>
      </c>
      <c r="S63" t="s">
        <v>106</v>
      </c>
      <c r="T63">
        <v>0.1</v>
      </c>
      <c r="U63" t="s">
        <v>106</v>
      </c>
      <c r="V63" t="s">
        <v>106</v>
      </c>
      <c r="W63" t="s">
        <v>106</v>
      </c>
      <c r="X63" t="s">
        <v>106</v>
      </c>
      <c r="Y63" t="s">
        <v>106</v>
      </c>
      <c r="Z63">
        <v>21.1</v>
      </c>
      <c r="AA63" t="s">
        <v>106</v>
      </c>
      <c r="AB63">
        <v>8.6999999999999993</v>
      </c>
      <c r="AC63" t="s">
        <v>106</v>
      </c>
      <c r="AD63" t="s">
        <v>106</v>
      </c>
      <c r="AE63" t="s">
        <v>106</v>
      </c>
      <c r="AF63">
        <v>19.3</v>
      </c>
      <c r="AG63">
        <v>645.6</v>
      </c>
      <c r="AH63">
        <v>31</v>
      </c>
      <c r="AI63">
        <v>4.7</v>
      </c>
      <c r="AJ63">
        <v>4.0999999999999996</v>
      </c>
      <c r="AK63" t="s">
        <v>106</v>
      </c>
      <c r="AL63" t="s">
        <v>106</v>
      </c>
      <c r="AM63" t="s">
        <v>106</v>
      </c>
      <c r="AN63" t="s">
        <v>106</v>
      </c>
      <c r="AO63" t="s">
        <v>106</v>
      </c>
      <c r="AP63" t="s">
        <v>106</v>
      </c>
      <c r="AQ63" t="s">
        <v>106</v>
      </c>
      <c r="AR63">
        <v>0</v>
      </c>
      <c r="AS63">
        <v>15</v>
      </c>
      <c r="AT63" t="s">
        <v>106</v>
      </c>
      <c r="AU63">
        <v>0.2</v>
      </c>
      <c r="AV63">
        <v>0</v>
      </c>
      <c r="AW63" t="s">
        <v>106</v>
      </c>
      <c r="AX63" t="s">
        <v>106</v>
      </c>
      <c r="AY63" t="s">
        <v>106</v>
      </c>
      <c r="AZ63" t="s">
        <v>106</v>
      </c>
      <c r="BA63" t="s">
        <v>106</v>
      </c>
      <c r="BB63" t="s">
        <v>106</v>
      </c>
      <c r="BC63" t="s">
        <v>106</v>
      </c>
      <c r="BD63" t="s">
        <v>106</v>
      </c>
      <c r="BE63" t="s">
        <v>106</v>
      </c>
      <c r="BF63" t="s">
        <v>106</v>
      </c>
      <c r="BG63" t="s">
        <v>106</v>
      </c>
      <c r="BH63" t="s">
        <v>106</v>
      </c>
      <c r="BI63" t="s">
        <v>106</v>
      </c>
      <c r="BJ63" t="s">
        <v>106</v>
      </c>
      <c r="BK63" t="s">
        <v>106</v>
      </c>
      <c r="BL63">
        <v>749.8</v>
      </c>
      <c r="BM63">
        <v>15.2</v>
      </c>
    </row>
    <row r="64" spans="3:65">
      <c r="C64" t="s">
        <v>167</v>
      </c>
      <c r="D64" t="s">
        <v>105</v>
      </c>
      <c r="E64" t="s">
        <v>105</v>
      </c>
      <c r="F64" t="s">
        <v>106</v>
      </c>
      <c r="G64" t="s">
        <v>106</v>
      </c>
      <c r="H64" t="s">
        <v>106</v>
      </c>
      <c r="I64" t="s">
        <v>106</v>
      </c>
      <c r="J64" t="s">
        <v>106</v>
      </c>
      <c r="K64" t="s">
        <v>106</v>
      </c>
      <c r="L64" t="s">
        <v>106</v>
      </c>
      <c r="M64" t="s">
        <v>106</v>
      </c>
      <c r="N64" t="s">
        <v>106</v>
      </c>
      <c r="O64" t="s">
        <v>106</v>
      </c>
      <c r="P64" t="s">
        <v>106</v>
      </c>
      <c r="Q64" t="s">
        <v>106</v>
      </c>
      <c r="R64" t="s">
        <v>106</v>
      </c>
      <c r="S64" t="s">
        <v>106</v>
      </c>
      <c r="T64">
        <v>1098.5999999999999</v>
      </c>
      <c r="U64" t="s">
        <v>106</v>
      </c>
      <c r="V64" t="s">
        <v>106</v>
      </c>
      <c r="W64" t="s">
        <v>106</v>
      </c>
      <c r="X64" t="s">
        <v>106</v>
      </c>
      <c r="Y64" t="s">
        <v>106</v>
      </c>
      <c r="Z64">
        <v>1.7</v>
      </c>
      <c r="AA64">
        <v>3138.6</v>
      </c>
      <c r="AB64">
        <v>9857.4</v>
      </c>
      <c r="AC64">
        <v>0.7</v>
      </c>
      <c r="AD64" t="s">
        <v>106</v>
      </c>
      <c r="AE64">
        <v>621</v>
      </c>
      <c r="AF64">
        <v>7</v>
      </c>
      <c r="AG64">
        <v>18864.2</v>
      </c>
      <c r="AH64">
        <v>87.1</v>
      </c>
      <c r="AI64">
        <v>6.1</v>
      </c>
      <c r="AJ64">
        <v>82.6</v>
      </c>
      <c r="AK64" t="s">
        <v>106</v>
      </c>
      <c r="AL64" t="s">
        <v>106</v>
      </c>
      <c r="AM64" t="s">
        <v>106</v>
      </c>
      <c r="AN64" t="s">
        <v>106</v>
      </c>
      <c r="AO64" t="s">
        <v>106</v>
      </c>
      <c r="AP64" t="s">
        <v>106</v>
      </c>
      <c r="AQ64" t="s">
        <v>106</v>
      </c>
      <c r="AR64" t="s">
        <v>106</v>
      </c>
      <c r="AS64" t="s">
        <v>106</v>
      </c>
      <c r="AT64" t="s">
        <v>106</v>
      </c>
      <c r="AU64" t="s">
        <v>106</v>
      </c>
      <c r="AV64" t="s">
        <v>106</v>
      </c>
      <c r="AW64" t="s">
        <v>106</v>
      </c>
      <c r="AX64" t="s">
        <v>106</v>
      </c>
      <c r="AY64">
        <v>695.1</v>
      </c>
      <c r="AZ64" t="s">
        <v>106</v>
      </c>
      <c r="BA64" t="s">
        <v>106</v>
      </c>
      <c r="BB64" t="s">
        <v>106</v>
      </c>
      <c r="BC64" t="s">
        <v>106</v>
      </c>
      <c r="BD64" t="s">
        <v>106</v>
      </c>
      <c r="BE64" t="s">
        <v>106</v>
      </c>
      <c r="BF64" t="s">
        <v>106</v>
      </c>
      <c r="BG64" t="s">
        <v>106</v>
      </c>
      <c r="BH64" t="s">
        <v>106</v>
      </c>
      <c r="BI64" t="s">
        <v>106</v>
      </c>
      <c r="BJ64">
        <v>285.10000000000002</v>
      </c>
      <c r="BK64" t="s">
        <v>106</v>
      </c>
      <c r="BL64">
        <v>34745.1</v>
      </c>
      <c r="BM64">
        <v>695.1</v>
      </c>
    </row>
    <row r="65" spans="1:65">
      <c r="D65" t="s">
        <v>168</v>
      </c>
      <c r="E65" t="s">
        <v>105</v>
      </c>
      <c r="F65" t="s">
        <v>106</v>
      </c>
      <c r="G65" t="s">
        <v>106</v>
      </c>
      <c r="H65" t="s">
        <v>106</v>
      </c>
      <c r="I65" t="s">
        <v>106</v>
      </c>
      <c r="J65" t="s">
        <v>106</v>
      </c>
      <c r="K65" t="s">
        <v>106</v>
      </c>
      <c r="L65" t="s">
        <v>106</v>
      </c>
      <c r="M65" t="s">
        <v>106</v>
      </c>
      <c r="N65" t="s">
        <v>106</v>
      </c>
      <c r="O65" t="s">
        <v>106</v>
      </c>
      <c r="P65" t="s">
        <v>106</v>
      </c>
      <c r="Q65" t="s">
        <v>106</v>
      </c>
      <c r="R65" t="s">
        <v>106</v>
      </c>
      <c r="S65" t="s">
        <v>106</v>
      </c>
      <c r="T65" t="s">
        <v>106</v>
      </c>
      <c r="U65" t="s">
        <v>106</v>
      </c>
      <c r="V65" t="s">
        <v>106</v>
      </c>
      <c r="W65" t="s">
        <v>106</v>
      </c>
      <c r="X65" t="s">
        <v>106</v>
      </c>
      <c r="Y65" t="s">
        <v>106</v>
      </c>
      <c r="Z65">
        <v>0</v>
      </c>
      <c r="AA65" t="s">
        <v>106</v>
      </c>
      <c r="AB65" t="s">
        <v>106</v>
      </c>
      <c r="AC65" t="s">
        <v>106</v>
      </c>
      <c r="AD65" t="s">
        <v>106</v>
      </c>
      <c r="AE65" t="s">
        <v>106</v>
      </c>
      <c r="AF65">
        <v>0</v>
      </c>
      <c r="AG65">
        <v>84.1</v>
      </c>
      <c r="AH65" t="s">
        <v>106</v>
      </c>
      <c r="AI65" t="s">
        <v>106</v>
      </c>
      <c r="AJ65" t="s">
        <v>106</v>
      </c>
      <c r="AK65" t="s">
        <v>106</v>
      </c>
      <c r="AL65" t="s">
        <v>106</v>
      </c>
      <c r="AM65" t="s">
        <v>106</v>
      </c>
      <c r="AN65" t="s">
        <v>106</v>
      </c>
      <c r="AO65" t="s">
        <v>106</v>
      </c>
      <c r="AP65" t="s">
        <v>106</v>
      </c>
      <c r="AQ65" t="s">
        <v>106</v>
      </c>
      <c r="AR65" t="s">
        <v>106</v>
      </c>
      <c r="AS65" t="s">
        <v>106</v>
      </c>
      <c r="AT65" t="s">
        <v>106</v>
      </c>
      <c r="AU65" t="s">
        <v>106</v>
      </c>
      <c r="AV65" t="s">
        <v>106</v>
      </c>
      <c r="AW65" t="s">
        <v>106</v>
      </c>
      <c r="AX65" t="s">
        <v>106</v>
      </c>
      <c r="AY65" t="s">
        <v>106</v>
      </c>
      <c r="AZ65" t="s">
        <v>106</v>
      </c>
      <c r="BA65" t="s">
        <v>106</v>
      </c>
      <c r="BB65" t="s">
        <v>106</v>
      </c>
      <c r="BC65" t="s">
        <v>106</v>
      </c>
      <c r="BD65" t="s">
        <v>106</v>
      </c>
      <c r="BE65" t="s">
        <v>106</v>
      </c>
      <c r="BF65" t="s">
        <v>106</v>
      </c>
      <c r="BG65" t="s">
        <v>106</v>
      </c>
      <c r="BH65" t="s">
        <v>106</v>
      </c>
      <c r="BI65" t="s">
        <v>106</v>
      </c>
      <c r="BJ65">
        <v>249.3</v>
      </c>
      <c r="BK65" t="s">
        <v>106</v>
      </c>
      <c r="BL65">
        <v>333.4</v>
      </c>
      <c r="BM65" t="s">
        <v>106</v>
      </c>
    </row>
    <row r="66" spans="1:65">
      <c r="D66" t="s">
        <v>169</v>
      </c>
      <c r="E66" t="s">
        <v>105</v>
      </c>
      <c r="F66" t="s">
        <v>106</v>
      </c>
      <c r="G66" t="s">
        <v>106</v>
      </c>
      <c r="H66" t="s">
        <v>106</v>
      </c>
      <c r="I66" t="s">
        <v>106</v>
      </c>
      <c r="J66" t="s">
        <v>106</v>
      </c>
      <c r="K66" t="s">
        <v>106</v>
      </c>
      <c r="L66" t="s">
        <v>106</v>
      </c>
      <c r="M66" t="s">
        <v>106</v>
      </c>
      <c r="N66" t="s">
        <v>106</v>
      </c>
      <c r="O66" t="s">
        <v>106</v>
      </c>
      <c r="P66" t="s">
        <v>106</v>
      </c>
      <c r="Q66" t="s">
        <v>106</v>
      </c>
      <c r="R66" t="s">
        <v>106</v>
      </c>
      <c r="S66" t="s">
        <v>106</v>
      </c>
      <c r="T66">
        <v>1098.5999999999999</v>
      </c>
      <c r="U66" t="s">
        <v>106</v>
      </c>
      <c r="V66" t="s">
        <v>106</v>
      </c>
      <c r="W66" t="s">
        <v>106</v>
      </c>
      <c r="X66" t="s">
        <v>106</v>
      </c>
      <c r="Y66" t="s">
        <v>106</v>
      </c>
      <c r="Z66">
        <v>0.4</v>
      </c>
      <c r="AA66">
        <v>3138.6</v>
      </c>
      <c r="AB66">
        <v>9857.2999999999993</v>
      </c>
      <c r="AC66" t="s">
        <v>106</v>
      </c>
      <c r="AD66" t="s">
        <v>106</v>
      </c>
      <c r="AE66" t="s">
        <v>106</v>
      </c>
      <c r="AF66">
        <v>0.9</v>
      </c>
      <c r="AG66">
        <v>18621.599999999999</v>
      </c>
      <c r="AH66">
        <v>0.2</v>
      </c>
      <c r="AI66">
        <v>0.1</v>
      </c>
      <c r="AJ66">
        <v>2.1</v>
      </c>
      <c r="AK66" t="s">
        <v>106</v>
      </c>
      <c r="AL66" t="s">
        <v>106</v>
      </c>
      <c r="AM66" t="s">
        <v>106</v>
      </c>
      <c r="AN66" t="s">
        <v>106</v>
      </c>
      <c r="AO66" t="s">
        <v>106</v>
      </c>
      <c r="AP66" t="s">
        <v>106</v>
      </c>
      <c r="AQ66" t="s">
        <v>106</v>
      </c>
      <c r="AR66" t="s">
        <v>106</v>
      </c>
      <c r="AS66" t="s">
        <v>106</v>
      </c>
      <c r="AT66" t="s">
        <v>106</v>
      </c>
      <c r="AU66" t="s">
        <v>106</v>
      </c>
      <c r="AV66" t="s">
        <v>106</v>
      </c>
      <c r="AW66" t="s">
        <v>106</v>
      </c>
      <c r="AX66" t="s">
        <v>106</v>
      </c>
      <c r="AY66">
        <v>695.1</v>
      </c>
      <c r="AZ66" t="s">
        <v>106</v>
      </c>
      <c r="BA66" t="s">
        <v>106</v>
      </c>
      <c r="BB66" t="s">
        <v>106</v>
      </c>
      <c r="BC66" t="s">
        <v>106</v>
      </c>
      <c r="BD66" t="s">
        <v>106</v>
      </c>
      <c r="BE66" t="s">
        <v>106</v>
      </c>
      <c r="BF66" t="s">
        <v>106</v>
      </c>
      <c r="BG66" t="s">
        <v>106</v>
      </c>
      <c r="BH66" t="s">
        <v>106</v>
      </c>
      <c r="BI66" t="s">
        <v>106</v>
      </c>
      <c r="BJ66">
        <v>35.799999999999997</v>
      </c>
      <c r="BK66" t="s">
        <v>106</v>
      </c>
      <c r="BL66">
        <v>33450.6</v>
      </c>
      <c r="BM66">
        <v>695.1</v>
      </c>
    </row>
    <row r="67" spans="1:65">
      <c r="D67" t="s">
        <v>170</v>
      </c>
      <c r="E67" t="s">
        <v>105</v>
      </c>
      <c r="F67" t="s">
        <v>106</v>
      </c>
      <c r="G67" t="s">
        <v>106</v>
      </c>
      <c r="H67" t="s">
        <v>106</v>
      </c>
      <c r="I67" t="s">
        <v>106</v>
      </c>
      <c r="J67" t="s">
        <v>106</v>
      </c>
      <c r="K67" t="s">
        <v>106</v>
      </c>
      <c r="L67" t="s">
        <v>106</v>
      </c>
      <c r="M67" t="s">
        <v>106</v>
      </c>
      <c r="N67" t="s">
        <v>106</v>
      </c>
      <c r="O67" t="s">
        <v>106</v>
      </c>
      <c r="P67" t="s">
        <v>106</v>
      </c>
      <c r="Q67" t="s">
        <v>106</v>
      </c>
      <c r="R67" t="s">
        <v>106</v>
      </c>
      <c r="S67" t="s">
        <v>106</v>
      </c>
      <c r="T67" t="s">
        <v>106</v>
      </c>
      <c r="U67" t="s">
        <v>106</v>
      </c>
      <c r="V67" t="s">
        <v>106</v>
      </c>
      <c r="W67" t="s">
        <v>106</v>
      </c>
      <c r="X67" t="s">
        <v>106</v>
      </c>
      <c r="Y67" t="s">
        <v>106</v>
      </c>
      <c r="Z67">
        <v>1</v>
      </c>
      <c r="AA67" t="s">
        <v>106</v>
      </c>
      <c r="AB67">
        <v>0.1</v>
      </c>
      <c r="AC67" t="s">
        <v>106</v>
      </c>
      <c r="AD67" t="s">
        <v>106</v>
      </c>
      <c r="AE67" t="s">
        <v>106</v>
      </c>
      <c r="AF67">
        <v>5.8</v>
      </c>
      <c r="AG67">
        <v>156.30000000000001</v>
      </c>
      <c r="AH67">
        <v>86.9</v>
      </c>
      <c r="AI67">
        <v>6.1</v>
      </c>
      <c r="AJ67">
        <v>80.400000000000006</v>
      </c>
      <c r="AK67" t="s">
        <v>106</v>
      </c>
      <c r="AL67" t="s">
        <v>106</v>
      </c>
      <c r="AM67" t="s">
        <v>106</v>
      </c>
      <c r="AN67" t="s">
        <v>106</v>
      </c>
      <c r="AO67" t="s">
        <v>106</v>
      </c>
      <c r="AP67" t="s">
        <v>106</v>
      </c>
      <c r="AQ67" t="s">
        <v>106</v>
      </c>
      <c r="AR67" t="s">
        <v>106</v>
      </c>
      <c r="AS67" t="s">
        <v>106</v>
      </c>
      <c r="AT67" t="s">
        <v>106</v>
      </c>
      <c r="AU67" t="s">
        <v>106</v>
      </c>
      <c r="AV67" t="s">
        <v>106</v>
      </c>
      <c r="AW67" t="s">
        <v>106</v>
      </c>
      <c r="AX67" t="s">
        <v>106</v>
      </c>
      <c r="AY67" t="s">
        <v>106</v>
      </c>
      <c r="AZ67" t="s">
        <v>106</v>
      </c>
      <c r="BA67" t="s">
        <v>106</v>
      </c>
      <c r="BB67" t="s">
        <v>106</v>
      </c>
      <c r="BC67" t="s">
        <v>106</v>
      </c>
      <c r="BD67" t="s">
        <v>106</v>
      </c>
      <c r="BE67" t="s">
        <v>106</v>
      </c>
      <c r="BF67" t="s">
        <v>106</v>
      </c>
      <c r="BG67" t="s">
        <v>106</v>
      </c>
      <c r="BH67" t="s">
        <v>106</v>
      </c>
      <c r="BI67" t="s">
        <v>106</v>
      </c>
      <c r="BJ67" t="s">
        <v>106</v>
      </c>
      <c r="BK67" t="s">
        <v>106</v>
      </c>
      <c r="BL67">
        <v>336.5</v>
      </c>
      <c r="BM67" t="s">
        <v>106</v>
      </c>
    </row>
    <row r="68" spans="1:65">
      <c r="D68" t="s">
        <v>171</v>
      </c>
      <c r="E68" t="s">
        <v>105</v>
      </c>
      <c r="F68" t="s">
        <v>106</v>
      </c>
      <c r="G68" t="s">
        <v>106</v>
      </c>
      <c r="H68" t="s">
        <v>106</v>
      </c>
      <c r="I68" t="s">
        <v>106</v>
      </c>
      <c r="J68" t="s">
        <v>106</v>
      </c>
      <c r="K68" t="s">
        <v>106</v>
      </c>
      <c r="L68" t="s">
        <v>106</v>
      </c>
      <c r="M68" t="s">
        <v>106</v>
      </c>
      <c r="N68" t="s">
        <v>106</v>
      </c>
      <c r="O68" t="s">
        <v>106</v>
      </c>
      <c r="P68" t="s">
        <v>106</v>
      </c>
      <c r="Q68" t="s">
        <v>106</v>
      </c>
      <c r="R68" t="s">
        <v>106</v>
      </c>
      <c r="S68" t="s">
        <v>106</v>
      </c>
      <c r="T68" t="s">
        <v>106</v>
      </c>
      <c r="U68" t="s">
        <v>106</v>
      </c>
      <c r="V68" t="s">
        <v>106</v>
      </c>
      <c r="W68" t="s">
        <v>106</v>
      </c>
      <c r="X68" t="s">
        <v>106</v>
      </c>
      <c r="Y68" t="s">
        <v>106</v>
      </c>
      <c r="Z68">
        <v>0.3</v>
      </c>
      <c r="AA68" t="s">
        <v>106</v>
      </c>
      <c r="AB68">
        <v>0</v>
      </c>
      <c r="AC68">
        <v>0.7</v>
      </c>
      <c r="AD68" t="s">
        <v>106</v>
      </c>
      <c r="AE68">
        <v>621</v>
      </c>
      <c r="AF68">
        <v>0.2</v>
      </c>
      <c r="AG68">
        <v>2.4</v>
      </c>
      <c r="AH68" t="s">
        <v>106</v>
      </c>
      <c r="AI68">
        <v>0</v>
      </c>
      <c r="AJ68" t="s">
        <v>106</v>
      </c>
      <c r="AK68" t="s">
        <v>106</v>
      </c>
      <c r="AL68" t="s">
        <v>106</v>
      </c>
      <c r="AM68" t="s">
        <v>106</v>
      </c>
      <c r="AN68" t="s">
        <v>106</v>
      </c>
      <c r="AO68" t="s">
        <v>106</v>
      </c>
      <c r="AP68" t="s">
        <v>106</v>
      </c>
      <c r="AQ68" t="s">
        <v>106</v>
      </c>
      <c r="AR68" t="s">
        <v>106</v>
      </c>
      <c r="AS68" t="s">
        <v>106</v>
      </c>
      <c r="AT68" t="s">
        <v>106</v>
      </c>
      <c r="AU68" t="s">
        <v>106</v>
      </c>
      <c r="AV68" t="s">
        <v>106</v>
      </c>
      <c r="AW68" t="s">
        <v>106</v>
      </c>
      <c r="AX68" t="s">
        <v>106</v>
      </c>
      <c r="AY68" t="s">
        <v>106</v>
      </c>
      <c r="AZ68" t="s">
        <v>106</v>
      </c>
      <c r="BA68" t="s">
        <v>106</v>
      </c>
      <c r="BB68" t="s">
        <v>106</v>
      </c>
      <c r="BC68" t="s">
        <v>106</v>
      </c>
      <c r="BD68" t="s">
        <v>106</v>
      </c>
      <c r="BE68" t="s">
        <v>106</v>
      </c>
      <c r="BF68" t="s">
        <v>106</v>
      </c>
      <c r="BG68" t="s">
        <v>106</v>
      </c>
      <c r="BH68" t="s">
        <v>106</v>
      </c>
      <c r="BI68" t="s">
        <v>106</v>
      </c>
      <c r="BJ68" t="s">
        <v>106</v>
      </c>
      <c r="BK68" t="s">
        <v>106</v>
      </c>
      <c r="BL68">
        <v>624.70000000000005</v>
      </c>
      <c r="BM68" t="s">
        <v>106</v>
      </c>
    </row>
    <row r="69" spans="1:65">
      <c r="C69" t="s">
        <v>172</v>
      </c>
      <c r="D69" t="s">
        <v>105</v>
      </c>
      <c r="E69" t="s">
        <v>105</v>
      </c>
      <c r="F69" t="s">
        <v>106</v>
      </c>
      <c r="G69" t="s">
        <v>106</v>
      </c>
      <c r="H69" t="s">
        <v>106</v>
      </c>
      <c r="I69" t="s">
        <v>106</v>
      </c>
      <c r="J69" t="s">
        <v>106</v>
      </c>
      <c r="K69" t="s">
        <v>106</v>
      </c>
      <c r="L69" t="s">
        <v>106</v>
      </c>
      <c r="M69">
        <v>213</v>
      </c>
      <c r="N69" t="s">
        <v>106</v>
      </c>
      <c r="O69" t="s">
        <v>106</v>
      </c>
      <c r="P69" t="s">
        <v>106</v>
      </c>
      <c r="Q69" t="s">
        <v>106</v>
      </c>
      <c r="R69" t="s">
        <v>106</v>
      </c>
      <c r="S69" t="s">
        <v>106</v>
      </c>
      <c r="T69">
        <v>10893.6</v>
      </c>
      <c r="U69" t="s">
        <v>106</v>
      </c>
      <c r="V69" t="s">
        <v>106</v>
      </c>
      <c r="W69" t="s">
        <v>106</v>
      </c>
      <c r="X69" t="s">
        <v>106</v>
      </c>
      <c r="Y69" t="s">
        <v>106</v>
      </c>
      <c r="Z69">
        <v>555.6</v>
      </c>
      <c r="AA69">
        <v>13.8</v>
      </c>
      <c r="AB69">
        <v>0.7</v>
      </c>
      <c r="AC69" t="s">
        <v>106</v>
      </c>
      <c r="AD69" t="s">
        <v>106</v>
      </c>
      <c r="AE69" t="s">
        <v>106</v>
      </c>
      <c r="AF69">
        <v>1495.7</v>
      </c>
      <c r="AG69">
        <v>2.4</v>
      </c>
      <c r="AH69">
        <v>1.4</v>
      </c>
      <c r="AI69">
        <v>0.2</v>
      </c>
      <c r="AJ69">
        <v>27.4</v>
      </c>
      <c r="AK69" t="s">
        <v>106</v>
      </c>
      <c r="AL69" t="s">
        <v>106</v>
      </c>
      <c r="AM69" t="s">
        <v>106</v>
      </c>
      <c r="AN69" t="s">
        <v>106</v>
      </c>
      <c r="AO69" t="s">
        <v>106</v>
      </c>
      <c r="AP69" t="s">
        <v>106</v>
      </c>
      <c r="AQ69" t="s">
        <v>106</v>
      </c>
      <c r="AR69" t="s">
        <v>106</v>
      </c>
      <c r="AS69" t="s">
        <v>106</v>
      </c>
      <c r="AT69" t="s">
        <v>106</v>
      </c>
      <c r="AU69">
        <v>126.6</v>
      </c>
      <c r="AV69" t="s">
        <v>106</v>
      </c>
      <c r="AW69" t="s">
        <v>106</v>
      </c>
      <c r="AX69" t="s">
        <v>106</v>
      </c>
      <c r="AY69" t="s">
        <v>106</v>
      </c>
      <c r="AZ69" t="s">
        <v>106</v>
      </c>
      <c r="BA69" t="s">
        <v>106</v>
      </c>
      <c r="BB69" t="s">
        <v>106</v>
      </c>
      <c r="BC69" t="s">
        <v>106</v>
      </c>
      <c r="BD69">
        <v>39.299999999999997</v>
      </c>
      <c r="BE69" t="s">
        <v>106</v>
      </c>
      <c r="BF69">
        <v>11.7</v>
      </c>
      <c r="BG69" t="s">
        <v>106</v>
      </c>
      <c r="BH69" t="s">
        <v>106</v>
      </c>
      <c r="BI69" t="s">
        <v>106</v>
      </c>
      <c r="BJ69">
        <v>6531.9</v>
      </c>
      <c r="BK69">
        <v>2259.6999999999998</v>
      </c>
      <c r="BL69">
        <v>22173</v>
      </c>
      <c r="BM69">
        <v>177.6</v>
      </c>
    </row>
    <row r="70" spans="1:65">
      <c r="C70" t="s">
        <v>173</v>
      </c>
      <c r="D70" t="s">
        <v>105</v>
      </c>
      <c r="E70" t="s">
        <v>105</v>
      </c>
      <c r="F70" t="s">
        <v>106</v>
      </c>
      <c r="G70" t="s">
        <v>106</v>
      </c>
      <c r="H70" t="s">
        <v>106</v>
      </c>
      <c r="I70" t="s">
        <v>106</v>
      </c>
      <c r="J70" t="s">
        <v>106</v>
      </c>
      <c r="K70" t="s">
        <v>106</v>
      </c>
      <c r="L70" t="s">
        <v>106</v>
      </c>
      <c r="M70">
        <v>20</v>
      </c>
      <c r="N70" t="s">
        <v>106</v>
      </c>
      <c r="O70" t="s">
        <v>106</v>
      </c>
      <c r="P70" t="s">
        <v>106</v>
      </c>
      <c r="Q70" t="s">
        <v>106</v>
      </c>
      <c r="R70" t="s">
        <v>106</v>
      </c>
      <c r="S70" t="s">
        <v>106</v>
      </c>
      <c r="T70">
        <v>3218</v>
      </c>
      <c r="U70" t="s">
        <v>106</v>
      </c>
      <c r="V70" t="s">
        <v>106</v>
      </c>
      <c r="W70" t="s">
        <v>106</v>
      </c>
      <c r="X70" t="s">
        <v>106</v>
      </c>
      <c r="Y70" t="s">
        <v>106</v>
      </c>
      <c r="Z70">
        <v>1145.4000000000001</v>
      </c>
      <c r="AA70">
        <v>87.7</v>
      </c>
      <c r="AB70">
        <v>7.5</v>
      </c>
      <c r="AC70">
        <v>0</v>
      </c>
      <c r="AD70" t="s">
        <v>106</v>
      </c>
      <c r="AE70">
        <v>11.2</v>
      </c>
      <c r="AF70">
        <v>492.6</v>
      </c>
      <c r="AG70">
        <v>444.2</v>
      </c>
      <c r="AH70">
        <v>6.3</v>
      </c>
      <c r="AI70">
        <v>2.6</v>
      </c>
      <c r="AJ70">
        <v>22.2</v>
      </c>
      <c r="AK70" t="s">
        <v>106</v>
      </c>
      <c r="AL70" t="s">
        <v>106</v>
      </c>
      <c r="AM70" t="s">
        <v>106</v>
      </c>
      <c r="AN70" t="s">
        <v>106</v>
      </c>
      <c r="AO70" t="s">
        <v>106</v>
      </c>
      <c r="AP70" t="s">
        <v>106</v>
      </c>
      <c r="AQ70" t="s">
        <v>106</v>
      </c>
      <c r="AR70">
        <v>32.4</v>
      </c>
      <c r="AS70">
        <v>23.1</v>
      </c>
      <c r="AT70">
        <v>1.1000000000000001</v>
      </c>
      <c r="AU70">
        <v>44.5</v>
      </c>
      <c r="AV70" t="s">
        <v>106</v>
      </c>
      <c r="AW70" t="s">
        <v>106</v>
      </c>
      <c r="AX70" t="s">
        <v>106</v>
      </c>
      <c r="AY70" t="s">
        <v>106</v>
      </c>
      <c r="AZ70" t="s">
        <v>106</v>
      </c>
      <c r="BA70" t="s">
        <v>106</v>
      </c>
      <c r="BB70" t="s">
        <v>106</v>
      </c>
      <c r="BC70" t="s">
        <v>106</v>
      </c>
      <c r="BD70">
        <v>3.9</v>
      </c>
      <c r="BE70" t="s">
        <v>106</v>
      </c>
      <c r="BF70">
        <v>1.6</v>
      </c>
      <c r="BG70" t="s">
        <v>106</v>
      </c>
      <c r="BH70" t="s">
        <v>106</v>
      </c>
      <c r="BI70" t="s">
        <v>106</v>
      </c>
      <c r="BJ70">
        <v>11791.3</v>
      </c>
      <c r="BK70">
        <v>334.5</v>
      </c>
      <c r="BL70">
        <v>17690.099999999999</v>
      </c>
      <c r="BM70">
        <v>106.6</v>
      </c>
    </row>
    <row r="71" spans="1:65">
      <c r="C71" t="s">
        <v>174</v>
      </c>
      <c r="D71" t="s">
        <v>105</v>
      </c>
      <c r="E71" t="s">
        <v>105</v>
      </c>
      <c r="F71" t="s">
        <v>106</v>
      </c>
      <c r="G71" t="s">
        <v>106</v>
      </c>
      <c r="H71" t="s">
        <v>106</v>
      </c>
      <c r="I71" t="s">
        <v>106</v>
      </c>
      <c r="J71" t="s">
        <v>106</v>
      </c>
      <c r="K71" t="s">
        <v>106</v>
      </c>
      <c r="L71" t="s">
        <v>106</v>
      </c>
      <c r="M71">
        <v>0.1</v>
      </c>
      <c r="N71" t="s">
        <v>106</v>
      </c>
      <c r="O71" t="s">
        <v>106</v>
      </c>
      <c r="P71" t="s">
        <v>106</v>
      </c>
      <c r="Q71" t="s">
        <v>106</v>
      </c>
      <c r="R71" t="s">
        <v>106</v>
      </c>
      <c r="S71" t="s">
        <v>106</v>
      </c>
      <c r="T71">
        <v>69.900000000000006</v>
      </c>
      <c r="U71" t="s">
        <v>106</v>
      </c>
      <c r="V71" t="s">
        <v>106</v>
      </c>
      <c r="W71" t="s">
        <v>106</v>
      </c>
      <c r="X71" t="s">
        <v>106</v>
      </c>
      <c r="Y71" t="s">
        <v>106</v>
      </c>
      <c r="Z71">
        <v>23.6</v>
      </c>
      <c r="AA71">
        <v>0.2</v>
      </c>
      <c r="AB71">
        <v>26.3</v>
      </c>
      <c r="AC71">
        <v>1.7</v>
      </c>
      <c r="AD71" t="s">
        <v>106</v>
      </c>
      <c r="AE71">
        <v>445.6</v>
      </c>
      <c r="AF71">
        <v>37.5</v>
      </c>
      <c r="AG71">
        <v>581.6</v>
      </c>
      <c r="AH71">
        <v>7.1</v>
      </c>
      <c r="AI71">
        <v>0.1</v>
      </c>
      <c r="AJ71">
        <v>4.9000000000000004</v>
      </c>
      <c r="AK71" t="s">
        <v>106</v>
      </c>
      <c r="AL71" t="s">
        <v>106</v>
      </c>
      <c r="AM71" t="s">
        <v>106</v>
      </c>
      <c r="AN71" t="s">
        <v>106</v>
      </c>
      <c r="AO71" t="s">
        <v>106</v>
      </c>
      <c r="AP71" t="s">
        <v>106</v>
      </c>
      <c r="AQ71" t="s">
        <v>106</v>
      </c>
      <c r="AR71">
        <v>54.2</v>
      </c>
      <c r="AS71">
        <v>721.8</v>
      </c>
      <c r="AT71">
        <v>14.5</v>
      </c>
      <c r="AU71">
        <v>63.1</v>
      </c>
      <c r="AV71">
        <v>36.6</v>
      </c>
      <c r="AW71" t="s">
        <v>106</v>
      </c>
      <c r="AX71" t="s">
        <v>106</v>
      </c>
      <c r="AY71" t="s">
        <v>106</v>
      </c>
      <c r="AZ71" t="s">
        <v>106</v>
      </c>
      <c r="BA71" t="s">
        <v>106</v>
      </c>
      <c r="BB71" t="s">
        <v>106</v>
      </c>
      <c r="BC71" t="s">
        <v>106</v>
      </c>
      <c r="BD71">
        <v>162.19999999999999</v>
      </c>
      <c r="BE71" t="s">
        <v>106</v>
      </c>
      <c r="BF71">
        <v>11.8</v>
      </c>
      <c r="BG71" t="s">
        <v>106</v>
      </c>
      <c r="BH71" t="s">
        <v>106</v>
      </c>
      <c r="BI71" t="s">
        <v>106</v>
      </c>
      <c r="BJ71">
        <v>2565.4</v>
      </c>
      <c r="BK71">
        <v>63.5</v>
      </c>
      <c r="BL71">
        <v>4891.5</v>
      </c>
      <c r="BM71">
        <v>1064.0999999999999</v>
      </c>
    </row>
    <row r="72" spans="1:65">
      <c r="B72" t="s">
        <v>175</v>
      </c>
      <c r="C72" t="s">
        <v>105</v>
      </c>
      <c r="D72" t="s">
        <v>105</v>
      </c>
      <c r="E72" t="s">
        <v>105</v>
      </c>
      <c r="F72" t="s">
        <v>106</v>
      </c>
      <c r="G72" t="s">
        <v>106</v>
      </c>
      <c r="H72" t="s">
        <v>106</v>
      </c>
      <c r="I72" t="s">
        <v>106</v>
      </c>
      <c r="J72" t="s">
        <v>106</v>
      </c>
      <c r="K72" t="s">
        <v>106</v>
      </c>
      <c r="L72">
        <v>24.9</v>
      </c>
      <c r="M72" t="s">
        <v>106</v>
      </c>
      <c r="N72" t="s">
        <v>106</v>
      </c>
      <c r="O72">
        <v>524.6</v>
      </c>
      <c r="P72" t="s">
        <v>106</v>
      </c>
      <c r="Q72" t="s">
        <v>106</v>
      </c>
      <c r="R72" t="s">
        <v>106</v>
      </c>
      <c r="S72">
        <v>1026.9000000000001</v>
      </c>
      <c r="T72" t="s">
        <v>106</v>
      </c>
      <c r="U72" t="s">
        <v>106</v>
      </c>
      <c r="V72" t="s">
        <v>106</v>
      </c>
      <c r="W72" t="s">
        <v>106</v>
      </c>
      <c r="X72" t="s">
        <v>106</v>
      </c>
      <c r="Y72" t="s">
        <v>106</v>
      </c>
      <c r="Z72">
        <v>4054.7</v>
      </c>
      <c r="AA72">
        <v>747.6</v>
      </c>
      <c r="AB72" t="s">
        <v>106</v>
      </c>
      <c r="AC72" t="s">
        <v>106</v>
      </c>
      <c r="AD72" t="s">
        <v>106</v>
      </c>
      <c r="AE72" t="s">
        <v>106</v>
      </c>
      <c r="AF72" t="s">
        <v>106</v>
      </c>
      <c r="AG72" t="s">
        <v>106</v>
      </c>
      <c r="AH72" t="s">
        <v>106</v>
      </c>
      <c r="AI72" t="s">
        <v>106</v>
      </c>
      <c r="AJ72" t="s">
        <v>106</v>
      </c>
      <c r="AK72">
        <v>40919.199999999997</v>
      </c>
      <c r="AL72">
        <v>268.10000000000002</v>
      </c>
      <c r="AM72">
        <v>697.3</v>
      </c>
      <c r="AN72">
        <v>1606.3</v>
      </c>
      <c r="AO72">
        <v>19.600000000000001</v>
      </c>
      <c r="AP72">
        <v>210.8</v>
      </c>
      <c r="AQ72">
        <v>2051</v>
      </c>
      <c r="AR72" t="s">
        <v>106</v>
      </c>
      <c r="AS72" t="s">
        <v>106</v>
      </c>
      <c r="AT72" t="s">
        <v>106</v>
      </c>
      <c r="AU72" t="s">
        <v>106</v>
      </c>
      <c r="AV72" t="s">
        <v>106</v>
      </c>
      <c r="AW72" t="s">
        <v>106</v>
      </c>
      <c r="AX72" t="s">
        <v>106</v>
      </c>
      <c r="AY72" t="s">
        <v>106</v>
      </c>
      <c r="AZ72" t="s">
        <v>106</v>
      </c>
      <c r="BA72" t="s">
        <v>106</v>
      </c>
      <c r="BB72" t="s">
        <v>106</v>
      </c>
      <c r="BC72" t="s">
        <v>106</v>
      </c>
      <c r="BD72" t="s">
        <v>106</v>
      </c>
      <c r="BE72" t="s">
        <v>106</v>
      </c>
      <c r="BF72" t="s">
        <v>106</v>
      </c>
      <c r="BG72" t="s">
        <v>106</v>
      </c>
      <c r="BH72" t="s">
        <v>106</v>
      </c>
      <c r="BI72" t="s">
        <v>106</v>
      </c>
      <c r="BJ72" t="s">
        <v>106</v>
      </c>
      <c r="BK72" t="s">
        <v>106</v>
      </c>
      <c r="BL72">
        <v>52150.9</v>
      </c>
      <c r="BM72" t="s">
        <v>106</v>
      </c>
    </row>
    <row r="73" spans="1:65">
      <c r="C73" t="s">
        <v>176</v>
      </c>
      <c r="D73" t="s">
        <v>105</v>
      </c>
      <c r="E73" t="s">
        <v>105</v>
      </c>
      <c r="F73" t="s">
        <v>106</v>
      </c>
      <c r="G73" t="s">
        <v>106</v>
      </c>
      <c r="H73" t="s">
        <v>106</v>
      </c>
      <c r="I73" t="s">
        <v>106</v>
      </c>
      <c r="J73" t="s">
        <v>106</v>
      </c>
      <c r="K73" t="s">
        <v>106</v>
      </c>
      <c r="L73">
        <v>24.9</v>
      </c>
      <c r="M73" t="s">
        <v>106</v>
      </c>
      <c r="N73" t="s">
        <v>106</v>
      </c>
      <c r="O73">
        <v>524.6</v>
      </c>
      <c r="P73" t="s">
        <v>106</v>
      </c>
      <c r="Q73" t="s">
        <v>106</v>
      </c>
      <c r="R73" t="s">
        <v>106</v>
      </c>
      <c r="S73">
        <v>1026.9000000000001</v>
      </c>
      <c r="T73" t="s">
        <v>106</v>
      </c>
      <c r="U73" t="s">
        <v>106</v>
      </c>
      <c r="V73" t="s">
        <v>106</v>
      </c>
      <c r="W73" t="s">
        <v>106</v>
      </c>
      <c r="X73" t="s">
        <v>106</v>
      </c>
      <c r="Y73" t="s">
        <v>106</v>
      </c>
      <c r="Z73">
        <v>4054.7</v>
      </c>
      <c r="AA73">
        <v>747.6</v>
      </c>
      <c r="AB73" t="s">
        <v>106</v>
      </c>
      <c r="AC73" t="s">
        <v>106</v>
      </c>
      <c r="AD73" t="s">
        <v>106</v>
      </c>
      <c r="AE73" t="s">
        <v>106</v>
      </c>
      <c r="AF73" t="s">
        <v>106</v>
      </c>
      <c r="AG73" t="s">
        <v>106</v>
      </c>
      <c r="AH73" t="s">
        <v>106</v>
      </c>
      <c r="AI73" t="s">
        <v>106</v>
      </c>
      <c r="AJ73" t="s">
        <v>106</v>
      </c>
      <c r="AK73">
        <v>40919.199999999997</v>
      </c>
      <c r="AL73">
        <v>229.5</v>
      </c>
      <c r="AM73">
        <v>697.3</v>
      </c>
      <c r="AN73">
        <v>1606.3</v>
      </c>
      <c r="AO73">
        <v>19.600000000000001</v>
      </c>
      <c r="AP73">
        <v>210.8</v>
      </c>
      <c r="AQ73">
        <v>2051</v>
      </c>
      <c r="AR73" t="s">
        <v>106</v>
      </c>
      <c r="AS73" t="s">
        <v>106</v>
      </c>
      <c r="AT73" t="s">
        <v>106</v>
      </c>
      <c r="AU73" t="s">
        <v>106</v>
      </c>
      <c r="AV73" t="s">
        <v>106</v>
      </c>
      <c r="AW73" t="s">
        <v>106</v>
      </c>
      <c r="AX73" t="s">
        <v>106</v>
      </c>
      <c r="AY73" t="s">
        <v>106</v>
      </c>
      <c r="AZ73" t="s">
        <v>106</v>
      </c>
      <c r="BA73" t="s">
        <v>106</v>
      </c>
      <c r="BB73" t="s">
        <v>106</v>
      </c>
      <c r="BC73" t="s">
        <v>106</v>
      </c>
      <c r="BD73" t="s">
        <v>106</v>
      </c>
      <c r="BE73" t="s">
        <v>106</v>
      </c>
      <c r="BF73" t="s">
        <v>106</v>
      </c>
      <c r="BG73" t="s">
        <v>106</v>
      </c>
      <c r="BH73" t="s">
        <v>106</v>
      </c>
      <c r="BI73" t="s">
        <v>106</v>
      </c>
      <c r="BJ73" t="s">
        <v>106</v>
      </c>
      <c r="BK73" t="s">
        <v>106</v>
      </c>
      <c r="BL73">
        <v>52112.3</v>
      </c>
      <c r="BM73" t="s">
        <v>106</v>
      </c>
    </row>
    <row r="74" spans="1:65">
      <c r="C74" t="s">
        <v>177</v>
      </c>
      <c r="D74" t="s">
        <v>105</v>
      </c>
      <c r="E74" t="s">
        <v>105</v>
      </c>
      <c r="F74" t="s">
        <v>106</v>
      </c>
      <c r="G74" t="s">
        <v>106</v>
      </c>
      <c r="H74" t="s">
        <v>106</v>
      </c>
      <c r="I74" t="s">
        <v>106</v>
      </c>
      <c r="J74" t="s">
        <v>106</v>
      </c>
      <c r="K74" t="s">
        <v>106</v>
      </c>
      <c r="L74" t="s">
        <v>106</v>
      </c>
      <c r="M74" t="s">
        <v>106</v>
      </c>
      <c r="N74" t="s">
        <v>106</v>
      </c>
      <c r="O74" t="s">
        <v>106</v>
      </c>
      <c r="P74" t="s">
        <v>106</v>
      </c>
      <c r="Q74" t="s">
        <v>106</v>
      </c>
      <c r="R74" t="s">
        <v>106</v>
      </c>
      <c r="S74" t="s">
        <v>106</v>
      </c>
      <c r="T74" t="s">
        <v>106</v>
      </c>
      <c r="U74" t="s">
        <v>106</v>
      </c>
      <c r="V74" t="s">
        <v>106</v>
      </c>
      <c r="W74" t="s">
        <v>106</v>
      </c>
      <c r="X74" t="s">
        <v>106</v>
      </c>
      <c r="Y74" t="s">
        <v>106</v>
      </c>
      <c r="Z74" t="s">
        <v>106</v>
      </c>
      <c r="AA74" t="s">
        <v>106</v>
      </c>
      <c r="AB74" t="s">
        <v>106</v>
      </c>
      <c r="AC74" t="s">
        <v>106</v>
      </c>
      <c r="AD74" t="s">
        <v>106</v>
      </c>
      <c r="AE74" t="s">
        <v>106</v>
      </c>
      <c r="AF74" t="s">
        <v>106</v>
      </c>
      <c r="AG74" t="s">
        <v>106</v>
      </c>
      <c r="AH74" t="s">
        <v>106</v>
      </c>
      <c r="AI74" t="s">
        <v>106</v>
      </c>
      <c r="AJ74" t="s">
        <v>106</v>
      </c>
      <c r="AK74" t="s">
        <v>106</v>
      </c>
      <c r="AL74">
        <v>0</v>
      </c>
      <c r="AM74" t="s">
        <v>106</v>
      </c>
      <c r="AN74" t="s">
        <v>106</v>
      </c>
      <c r="AO74" t="s">
        <v>106</v>
      </c>
      <c r="AP74" t="s">
        <v>106</v>
      </c>
      <c r="AQ74" t="s">
        <v>106</v>
      </c>
      <c r="AR74" t="s">
        <v>106</v>
      </c>
      <c r="AS74" t="s">
        <v>106</v>
      </c>
      <c r="AT74" t="s">
        <v>106</v>
      </c>
      <c r="AU74" t="s">
        <v>106</v>
      </c>
      <c r="AV74" t="s">
        <v>106</v>
      </c>
      <c r="AW74" t="s">
        <v>106</v>
      </c>
      <c r="AX74" t="s">
        <v>106</v>
      </c>
      <c r="AY74" t="s">
        <v>106</v>
      </c>
      <c r="AZ74" t="s">
        <v>106</v>
      </c>
      <c r="BA74" t="s">
        <v>106</v>
      </c>
      <c r="BB74" t="s">
        <v>106</v>
      </c>
      <c r="BC74" t="s">
        <v>106</v>
      </c>
      <c r="BD74" t="s">
        <v>106</v>
      </c>
      <c r="BE74" t="s">
        <v>106</v>
      </c>
      <c r="BF74" t="s">
        <v>106</v>
      </c>
      <c r="BG74" t="s">
        <v>106</v>
      </c>
      <c r="BH74" t="s">
        <v>106</v>
      </c>
      <c r="BI74" t="s">
        <v>106</v>
      </c>
      <c r="BJ74" t="s">
        <v>106</v>
      </c>
      <c r="BK74" t="s">
        <v>106</v>
      </c>
      <c r="BL74">
        <v>0</v>
      </c>
      <c r="BM74" t="s">
        <v>106</v>
      </c>
    </row>
    <row r="75" spans="1:65">
      <c r="C75" t="s">
        <v>178</v>
      </c>
      <c r="D75" t="s">
        <v>105</v>
      </c>
      <c r="E75" t="s">
        <v>105</v>
      </c>
      <c r="F75" t="s">
        <v>106</v>
      </c>
      <c r="G75" t="s">
        <v>106</v>
      </c>
      <c r="H75" t="s">
        <v>106</v>
      </c>
      <c r="I75" t="s">
        <v>106</v>
      </c>
      <c r="J75" t="s">
        <v>106</v>
      </c>
      <c r="K75" t="s">
        <v>106</v>
      </c>
      <c r="L75" t="s">
        <v>106</v>
      </c>
      <c r="M75" t="s">
        <v>106</v>
      </c>
      <c r="N75" t="s">
        <v>106</v>
      </c>
      <c r="O75" t="s">
        <v>106</v>
      </c>
      <c r="P75" t="s">
        <v>106</v>
      </c>
      <c r="Q75" t="s">
        <v>106</v>
      </c>
      <c r="R75" t="s">
        <v>106</v>
      </c>
      <c r="S75" t="s">
        <v>106</v>
      </c>
      <c r="T75" t="s">
        <v>106</v>
      </c>
      <c r="U75" t="s">
        <v>106</v>
      </c>
      <c r="V75" t="s">
        <v>106</v>
      </c>
      <c r="W75" t="s">
        <v>106</v>
      </c>
      <c r="X75" t="s">
        <v>106</v>
      </c>
      <c r="Y75" t="s">
        <v>106</v>
      </c>
      <c r="Z75" t="s">
        <v>106</v>
      </c>
      <c r="AA75" t="s">
        <v>106</v>
      </c>
      <c r="AB75" t="s">
        <v>106</v>
      </c>
      <c r="AC75" t="s">
        <v>106</v>
      </c>
      <c r="AD75" t="s">
        <v>106</v>
      </c>
      <c r="AE75" t="s">
        <v>106</v>
      </c>
      <c r="AF75" t="s">
        <v>106</v>
      </c>
      <c r="AG75" t="s">
        <v>106</v>
      </c>
      <c r="AH75" t="s">
        <v>106</v>
      </c>
      <c r="AI75" t="s">
        <v>106</v>
      </c>
      <c r="AJ75" t="s">
        <v>106</v>
      </c>
      <c r="AK75" t="s">
        <v>106</v>
      </c>
      <c r="AL75" t="s">
        <v>106</v>
      </c>
      <c r="AM75" t="s">
        <v>106</v>
      </c>
      <c r="AN75" t="s">
        <v>106</v>
      </c>
      <c r="AO75" t="s">
        <v>106</v>
      </c>
      <c r="AP75" t="s">
        <v>106</v>
      </c>
      <c r="AQ75" t="s">
        <v>106</v>
      </c>
      <c r="AR75" t="s">
        <v>106</v>
      </c>
      <c r="AS75" t="s">
        <v>106</v>
      </c>
      <c r="AT75" t="s">
        <v>106</v>
      </c>
      <c r="AU75" t="s">
        <v>106</v>
      </c>
      <c r="AV75" t="s">
        <v>106</v>
      </c>
      <c r="AW75" t="s">
        <v>106</v>
      </c>
      <c r="AX75" t="s">
        <v>106</v>
      </c>
      <c r="AY75" t="s">
        <v>106</v>
      </c>
      <c r="AZ75" t="s">
        <v>106</v>
      </c>
      <c r="BA75" t="s">
        <v>106</v>
      </c>
      <c r="BB75" t="s">
        <v>106</v>
      </c>
      <c r="BC75" t="s">
        <v>106</v>
      </c>
      <c r="BD75" t="s">
        <v>106</v>
      </c>
      <c r="BE75" t="s">
        <v>106</v>
      </c>
      <c r="BF75" t="s">
        <v>106</v>
      </c>
      <c r="BG75" t="s">
        <v>106</v>
      </c>
      <c r="BH75" t="s">
        <v>106</v>
      </c>
      <c r="BI75" t="s">
        <v>106</v>
      </c>
      <c r="BJ75" t="s">
        <v>106</v>
      </c>
      <c r="BK75" t="s">
        <v>106</v>
      </c>
      <c r="BL75" t="s">
        <v>106</v>
      </c>
      <c r="BM75" t="s">
        <v>106</v>
      </c>
    </row>
    <row r="76" spans="1:65">
      <c r="C76" t="s">
        <v>179</v>
      </c>
      <c r="D76" t="s">
        <v>105</v>
      </c>
      <c r="E76" t="s">
        <v>105</v>
      </c>
      <c r="F76" t="s">
        <v>106</v>
      </c>
      <c r="G76" t="s">
        <v>106</v>
      </c>
      <c r="H76" t="s">
        <v>106</v>
      </c>
      <c r="I76" t="s">
        <v>106</v>
      </c>
      <c r="J76" t="s">
        <v>106</v>
      </c>
      <c r="K76" t="s">
        <v>106</v>
      </c>
      <c r="L76" t="s">
        <v>106</v>
      </c>
      <c r="M76" t="s">
        <v>106</v>
      </c>
      <c r="N76" t="s">
        <v>106</v>
      </c>
      <c r="O76" t="s">
        <v>106</v>
      </c>
      <c r="P76" t="s">
        <v>106</v>
      </c>
      <c r="Q76" t="s">
        <v>106</v>
      </c>
      <c r="R76" t="s">
        <v>106</v>
      </c>
      <c r="S76" t="s">
        <v>106</v>
      </c>
      <c r="T76" t="s">
        <v>106</v>
      </c>
      <c r="U76" t="s">
        <v>106</v>
      </c>
      <c r="V76" t="s">
        <v>106</v>
      </c>
      <c r="W76" t="s">
        <v>106</v>
      </c>
      <c r="X76" t="s">
        <v>106</v>
      </c>
      <c r="Y76" t="s">
        <v>106</v>
      </c>
      <c r="Z76" t="s">
        <v>106</v>
      </c>
      <c r="AA76" t="s">
        <v>106</v>
      </c>
      <c r="AB76" t="s">
        <v>106</v>
      </c>
      <c r="AC76" t="s">
        <v>106</v>
      </c>
      <c r="AD76" t="s">
        <v>106</v>
      </c>
      <c r="AE76" t="s">
        <v>106</v>
      </c>
      <c r="AF76" t="s">
        <v>106</v>
      </c>
      <c r="AG76" t="s">
        <v>106</v>
      </c>
      <c r="AH76" t="s">
        <v>106</v>
      </c>
      <c r="AI76" t="s">
        <v>106</v>
      </c>
      <c r="AJ76" t="s">
        <v>106</v>
      </c>
      <c r="AK76" t="s">
        <v>106</v>
      </c>
      <c r="AL76">
        <v>38.299999999999997</v>
      </c>
      <c r="AM76" t="s">
        <v>106</v>
      </c>
      <c r="AN76" t="s">
        <v>106</v>
      </c>
      <c r="AO76" t="s">
        <v>106</v>
      </c>
      <c r="AP76" t="s">
        <v>106</v>
      </c>
      <c r="AQ76" t="s">
        <v>106</v>
      </c>
      <c r="AR76" t="s">
        <v>106</v>
      </c>
      <c r="AS76" t="s">
        <v>106</v>
      </c>
      <c r="AT76" t="s">
        <v>106</v>
      </c>
      <c r="AU76" t="s">
        <v>106</v>
      </c>
      <c r="AV76" t="s">
        <v>106</v>
      </c>
      <c r="AW76" t="s">
        <v>106</v>
      </c>
      <c r="AX76" t="s">
        <v>106</v>
      </c>
      <c r="AY76" t="s">
        <v>106</v>
      </c>
      <c r="AZ76" t="s">
        <v>106</v>
      </c>
      <c r="BA76" t="s">
        <v>106</v>
      </c>
      <c r="BB76" t="s">
        <v>106</v>
      </c>
      <c r="BC76" t="s">
        <v>106</v>
      </c>
      <c r="BD76" t="s">
        <v>106</v>
      </c>
      <c r="BE76" t="s">
        <v>106</v>
      </c>
      <c r="BF76" t="s">
        <v>106</v>
      </c>
      <c r="BG76" t="s">
        <v>106</v>
      </c>
      <c r="BH76" t="s">
        <v>106</v>
      </c>
      <c r="BI76" t="s">
        <v>106</v>
      </c>
      <c r="BJ76" t="s">
        <v>106</v>
      </c>
      <c r="BK76" t="s">
        <v>106</v>
      </c>
      <c r="BL76">
        <v>38.299999999999997</v>
      </c>
      <c r="BM76" t="s">
        <v>106</v>
      </c>
    </row>
    <row r="77" spans="1:65">
      <c r="C77" t="s">
        <v>180</v>
      </c>
      <c r="D77" t="s">
        <v>105</v>
      </c>
      <c r="E77" t="s">
        <v>105</v>
      </c>
      <c r="F77" t="s">
        <v>106</v>
      </c>
      <c r="G77" t="s">
        <v>106</v>
      </c>
      <c r="H77" t="s">
        <v>106</v>
      </c>
      <c r="I77" t="s">
        <v>106</v>
      </c>
      <c r="J77" t="s">
        <v>106</v>
      </c>
      <c r="K77" t="s">
        <v>106</v>
      </c>
      <c r="L77" t="s">
        <v>106</v>
      </c>
      <c r="M77" t="s">
        <v>106</v>
      </c>
      <c r="N77" t="s">
        <v>106</v>
      </c>
      <c r="O77" t="s">
        <v>106</v>
      </c>
      <c r="P77" t="s">
        <v>106</v>
      </c>
      <c r="Q77" t="s">
        <v>106</v>
      </c>
      <c r="R77" t="s">
        <v>106</v>
      </c>
      <c r="S77" t="s">
        <v>106</v>
      </c>
      <c r="T77" t="s">
        <v>106</v>
      </c>
      <c r="U77" t="s">
        <v>106</v>
      </c>
      <c r="V77" t="s">
        <v>106</v>
      </c>
      <c r="W77" t="s">
        <v>106</v>
      </c>
      <c r="X77" t="s">
        <v>106</v>
      </c>
      <c r="Y77" t="s">
        <v>106</v>
      </c>
      <c r="Z77" t="s">
        <v>106</v>
      </c>
      <c r="AA77" t="s">
        <v>106</v>
      </c>
      <c r="AB77" t="s">
        <v>106</v>
      </c>
      <c r="AC77" t="s">
        <v>106</v>
      </c>
      <c r="AD77" t="s">
        <v>106</v>
      </c>
      <c r="AE77" t="s">
        <v>106</v>
      </c>
      <c r="AF77" t="s">
        <v>106</v>
      </c>
      <c r="AG77" t="s">
        <v>106</v>
      </c>
      <c r="AH77" t="s">
        <v>106</v>
      </c>
      <c r="AI77" t="s">
        <v>106</v>
      </c>
      <c r="AJ77" t="s">
        <v>106</v>
      </c>
      <c r="AK77" t="s">
        <v>106</v>
      </c>
      <c r="AL77">
        <v>0.3</v>
      </c>
      <c r="AM77" t="s">
        <v>106</v>
      </c>
      <c r="AN77" t="s">
        <v>106</v>
      </c>
      <c r="AO77" t="s">
        <v>106</v>
      </c>
      <c r="AP77" t="s">
        <v>106</v>
      </c>
      <c r="AQ77" t="s">
        <v>106</v>
      </c>
      <c r="AR77" t="s">
        <v>106</v>
      </c>
      <c r="AS77" t="s">
        <v>106</v>
      </c>
      <c r="AT77" t="s">
        <v>106</v>
      </c>
      <c r="AU77" t="s">
        <v>106</v>
      </c>
      <c r="AV77" t="s">
        <v>106</v>
      </c>
      <c r="AW77" t="s">
        <v>106</v>
      </c>
      <c r="AX77" t="s">
        <v>106</v>
      </c>
      <c r="AY77" t="s">
        <v>106</v>
      </c>
      <c r="AZ77" t="s">
        <v>106</v>
      </c>
      <c r="BA77" t="s">
        <v>106</v>
      </c>
      <c r="BB77" t="s">
        <v>106</v>
      </c>
      <c r="BC77" t="s">
        <v>106</v>
      </c>
      <c r="BD77" t="s">
        <v>106</v>
      </c>
      <c r="BE77" t="s">
        <v>106</v>
      </c>
      <c r="BF77" t="s">
        <v>106</v>
      </c>
      <c r="BG77" t="s">
        <v>106</v>
      </c>
      <c r="BH77" t="s">
        <v>106</v>
      </c>
      <c r="BI77" t="s">
        <v>106</v>
      </c>
      <c r="BJ77" t="s">
        <v>106</v>
      </c>
      <c r="BK77" t="s">
        <v>106</v>
      </c>
      <c r="BL77">
        <v>0.3</v>
      </c>
      <c r="BM77" t="s">
        <v>106</v>
      </c>
    </row>
    <row r="78" spans="1:65">
      <c r="C78" t="s">
        <v>181</v>
      </c>
      <c r="D78" t="s">
        <v>105</v>
      </c>
      <c r="E78" t="s">
        <v>105</v>
      </c>
      <c r="F78" t="s">
        <v>106</v>
      </c>
      <c r="G78" t="s">
        <v>106</v>
      </c>
      <c r="H78" t="s">
        <v>106</v>
      </c>
      <c r="I78" t="s">
        <v>106</v>
      </c>
      <c r="J78" t="s">
        <v>106</v>
      </c>
      <c r="K78" t="s">
        <v>106</v>
      </c>
      <c r="L78" t="s">
        <v>106</v>
      </c>
      <c r="M78" t="s">
        <v>106</v>
      </c>
      <c r="N78" t="s">
        <v>106</v>
      </c>
      <c r="O78">
        <v>524.6</v>
      </c>
      <c r="P78" t="s">
        <v>106</v>
      </c>
      <c r="Q78" t="s">
        <v>106</v>
      </c>
      <c r="R78" t="s">
        <v>106</v>
      </c>
      <c r="S78" t="s">
        <v>106</v>
      </c>
      <c r="T78" t="s">
        <v>106</v>
      </c>
      <c r="U78" t="s">
        <v>106</v>
      </c>
      <c r="V78" t="s">
        <v>106</v>
      </c>
      <c r="W78" t="s">
        <v>106</v>
      </c>
      <c r="X78" t="s">
        <v>106</v>
      </c>
      <c r="Y78" t="s">
        <v>106</v>
      </c>
      <c r="Z78">
        <v>4054.7</v>
      </c>
      <c r="AA78">
        <v>747.6</v>
      </c>
      <c r="AB78" t="s">
        <v>106</v>
      </c>
      <c r="AC78" t="s">
        <v>106</v>
      </c>
      <c r="AD78" t="s">
        <v>106</v>
      </c>
      <c r="AE78" t="s">
        <v>106</v>
      </c>
      <c r="AF78" t="s">
        <v>106</v>
      </c>
      <c r="AG78" t="s">
        <v>106</v>
      </c>
      <c r="AH78" t="s">
        <v>106</v>
      </c>
      <c r="AI78" t="s">
        <v>106</v>
      </c>
      <c r="AJ78" t="s">
        <v>106</v>
      </c>
      <c r="AK78">
        <v>40919.199999999997</v>
      </c>
      <c r="AL78" t="s">
        <v>106</v>
      </c>
      <c r="AM78" t="s">
        <v>106</v>
      </c>
      <c r="AN78" t="s">
        <v>106</v>
      </c>
      <c r="AO78" t="s">
        <v>106</v>
      </c>
      <c r="AP78" t="s">
        <v>106</v>
      </c>
      <c r="AQ78" t="s">
        <v>106</v>
      </c>
      <c r="AR78" t="s">
        <v>106</v>
      </c>
      <c r="AS78" t="s">
        <v>106</v>
      </c>
      <c r="AT78" t="s">
        <v>106</v>
      </c>
      <c r="AU78" t="s">
        <v>106</v>
      </c>
      <c r="AV78" t="s">
        <v>106</v>
      </c>
      <c r="AW78" t="s">
        <v>106</v>
      </c>
      <c r="AX78" t="s">
        <v>106</v>
      </c>
      <c r="AY78" t="s">
        <v>106</v>
      </c>
      <c r="AZ78" t="s">
        <v>106</v>
      </c>
      <c r="BA78" t="s">
        <v>106</v>
      </c>
      <c r="BB78" t="s">
        <v>106</v>
      </c>
      <c r="BC78" t="s">
        <v>106</v>
      </c>
      <c r="BD78" t="s">
        <v>106</v>
      </c>
      <c r="BE78" t="s">
        <v>106</v>
      </c>
      <c r="BF78" t="s">
        <v>106</v>
      </c>
      <c r="BG78" t="s">
        <v>106</v>
      </c>
      <c r="BH78" t="s">
        <v>106</v>
      </c>
      <c r="BI78" t="s">
        <v>106</v>
      </c>
      <c r="BJ78" t="s">
        <v>106</v>
      </c>
      <c r="BK78" t="s">
        <v>106</v>
      </c>
      <c r="BL78">
        <v>46246</v>
      </c>
      <c r="BM78" t="s">
        <v>106</v>
      </c>
    </row>
    <row r="79" spans="1:65">
      <c r="A79" t="s">
        <v>182</v>
      </c>
      <c r="B79" t="s">
        <v>105</v>
      </c>
      <c r="C79" t="s">
        <v>105</v>
      </c>
      <c r="D79" t="s">
        <v>105</v>
      </c>
      <c r="E79" t="s">
        <v>105</v>
      </c>
      <c r="F79">
        <v>786.2</v>
      </c>
      <c r="G79">
        <v>1235</v>
      </c>
      <c r="H79" t="s">
        <v>106</v>
      </c>
      <c r="I79">
        <v>192753.9</v>
      </c>
      <c r="J79">
        <v>3922.2</v>
      </c>
      <c r="K79" t="s">
        <v>106</v>
      </c>
      <c r="L79" t="s">
        <v>106</v>
      </c>
      <c r="M79" t="s">
        <v>106</v>
      </c>
      <c r="N79" t="s">
        <v>106</v>
      </c>
      <c r="O79" t="s">
        <v>106</v>
      </c>
      <c r="P79">
        <v>3135.5</v>
      </c>
      <c r="Q79">
        <v>12978.5</v>
      </c>
      <c r="R79">
        <v>7527.7</v>
      </c>
      <c r="S79">
        <v>154144.9</v>
      </c>
      <c r="T79">
        <v>1231.3</v>
      </c>
      <c r="U79" t="s">
        <v>106</v>
      </c>
      <c r="V79" t="s">
        <v>106</v>
      </c>
      <c r="W79" t="s">
        <v>106</v>
      </c>
      <c r="X79" t="s">
        <v>106</v>
      </c>
      <c r="Y79">
        <v>3310.8</v>
      </c>
      <c r="Z79">
        <v>65.900000000000006</v>
      </c>
      <c r="AA79" t="s">
        <v>106</v>
      </c>
      <c r="AB79" t="s">
        <v>106</v>
      </c>
      <c r="AC79" t="s">
        <v>106</v>
      </c>
      <c r="AD79" t="s">
        <v>106</v>
      </c>
      <c r="AE79" t="s">
        <v>106</v>
      </c>
      <c r="AF79">
        <v>216.4</v>
      </c>
      <c r="AG79">
        <v>642</v>
      </c>
      <c r="AH79" t="s">
        <v>106</v>
      </c>
      <c r="AI79" t="s">
        <v>106</v>
      </c>
      <c r="AJ79">
        <v>1686.2</v>
      </c>
      <c r="AK79" t="s">
        <v>106</v>
      </c>
      <c r="AL79" t="s">
        <v>106</v>
      </c>
      <c r="AM79" t="s">
        <v>106</v>
      </c>
      <c r="AN79" t="s">
        <v>106</v>
      </c>
      <c r="AO79" t="s">
        <v>106</v>
      </c>
      <c r="AP79">
        <v>182</v>
      </c>
      <c r="AQ79">
        <v>1730</v>
      </c>
      <c r="AR79">
        <v>314</v>
      </c>
      <c r="AS79">
        <v>452.8</v>
      </c>
      <c r="AT79">
        <v>527.5</v>
      </c>
      <c r="AU79">
        <v>7250.3</v>
      </c>
      <c r="AV79">
        <v>179</v>
      </c>
      <c r="AW79">
        <v>180</v>
      </c>
      <c r="AX79" t="s">
        <v>106</v>
      </c>
      <c r="AY79" t="s">
        <v>106</v>
      </c>
      <c r="AZ79">
        <v>1918.1</v>
      </c>
      <c r="BA79" t="s">
        <v>106</v>
      </c>
      <c r="BB79">
        <v>160183.70000000001</v>
      </c>
      <c r="BC79">
        <v>3879.4</v>
      </c>
      <c r="BD79" t="s">
        <v>106</v>
      </c>
      <c r="BE79">
        <v>19297.900000000001</v>
      </c>
      <c r="BF79" t="s">
        <v>106</v>
      </c>
      <c r="BG79">
        <v>457.3</v>
      </c>
      <c r="BH79">
        <v>3149.8</v>
      </c>
      <c r="BI79">
        <v>3522.4</v>
      </c>
      <c r="BJ79" t="s">
        <v>106</v>
      </c>
      <c r="BK79">
        <v>169.6</v>
      </c>
      <c r="BL79">
        <v>587030.4</v>
      </c>
      <c r="BM79">
        <v>43505.9</v>
      </c>
    </row>
    <row r="80" spans="1:65">
      <c r="B80" t="s">
        <v>183</v>
      </c>
      <c r="C80" t="s">
        <v>105</v>
      </c>
      <c r="D80" t="s">
        <v>105</v>
      </c>
      <c r="E80" t="s">
        <v>105</v>
      </c>
      <c r="F80">
        <v>786.2</v>
      </c>
      <c r="G80">
        <v>1235</v>
      </c>
      <c r="H80" t="s">
        <v>106</v>
      </c>
      <c r="I80">
        <v>180887</v>
      </c>
      <c r="J80">
        <v>3922.2</v>
      </c>
      <c r="K80" t="s">
        <v>106</v>
      </c>
      <c r="L80" t="s">
        <v>106</v>
      </c>
      <c r="M80" t="s">
        <v>106</v>
      </c>
      <c r="N80" t="s">
        <v>106</v>
      </c>
      <c r="O80" t="s">
        <v>106</v>
      </c>
      <c r="P80" t="s">
        <v>106</v>
      </c>
      <c r="Q80" t="s">
        <v>106</v>
      </c>
      <c r="R80">
        <v>2377.4</v>
      </c>
      <c r="S80">
        <v>107487.9</v>
      </c>
      <c r="T80" t="s">
        <v>106</v>
      </c>
      <c r="U80" t="s">
        <v>106</v>
      </c>
      <c r="V80" t="s">
        <v>106</v>
      </c>
      <c r="W80" t="s">
        <v>106</v>
      </c>
      <c r="X80" t="s">
        <v>106</v>
      </c>
      <c r="Y80" t="s">
        <v>106</v>
      </c>
      <c r="Z80" t="s">
        <v>106</v>
      </c>
      <c r="AA80" t="s">
        <v>106</v>
      </c>
      <c r="AB80" t="s">
        <v>106</v>
      </c>
      <c r="AC80" t="s">
        <v>106</v>
      </c>
      <c r="AD80" t="s">
        <v>106</v>
      </c>
      <c r="AE80" t="s">
        <v>106</v>
      </c>
      <c r="AF80">
        <v>4.5</v>
      </c>
      <c r="AG80">
        <v>642</v>
      </c>
      <c r="AH80" t="s">
        <v>106</v>
      </c>
      <c r="AI80" t="s">
        <v>106</v>
      </c>
      <c r="AJ80">
        <v>1308</v>
      </c>
      <c r="AK80" t="s">
        <v>106</v>
      </c>
      <c r="AL80" t="s">
        <v>106</v>
      </c>
      <c r="AM80" t="s">
        <v>106</v>
      </c>
      <c r="AN80" t="s">
        <v>106</v>
      </c>
      <c r="AO80" t="s">
        <v>106</v>
      </c>
      <c r="AP80" t="s">
        <v>106</v>
      </c>
      <c r="AQ80" t="s">
        <v>106</v>
      </c>
      <c r="AR80">
        <v>243.4</v>
      </c>
      <c r="AS80">
        <v>130.19999999999999</v>
      </c>
      <c r="AT80">
        <v>281.7</v>
      </c>
      <c r="AU80">
        <v>4068.7</v>
      </c>
      <c r="AV80">
        <v>144.19999999999999</v>
      </c>
      <c r="AW80">
        <v>180</v>
      </c>
      <c r="AX80" t="s">
        <v>106</v>
      </c>
      <c r="AY80" t="s">
        <v>106</v>
      </c>
      <c r="AZ80">
        <v>1918.1</v>
      </c>
      <c r="BA80" t="s">
        <v>106</v>
      </c>
      <c r="BB80">
        <v>160183.70000000001</v>
      </c>
      <c r="BC80">
        <v>3877.2</v>
      </c>
      <c r="BD80" t="s">
        <v>106</v>
      </c>
      <c r="BE80">
        <v>16610.900000000001</v>
      </c>
      <c r="BF80" t="s">
        <v>106</v>
      </c>
      <c r="BG80">
        <v>457.3</v>
      </c>
      <c r="BH80">
        <v>3139.5</v>
      </c>
      <c r="BI80">
        <v>3485.6</v>
      </c>
      <c r="BJ80" t="s">
        <v>106</v>
      </c>
      <c r="BK80" t="s">
        <v>106</v>
      </c>
      <c r="BL80">
        <v>493370.6</v>
      </c>
      <c r="BM80">
        <v>36914.1</v>
      </c>
    </row>
    <row r="81" spans="1:65">
      <c r="B81" t="s">
        <v>184</v>
      </c>
      <c r="C81" t="s">
        <v>105</v>
      </c>
      <c r="D81" t="s">
        <v>105</v>
      </c>
      <c r="E81" t="s">
        <v>105</v>
      </c>
      <c r="F81" t="s">
        <v>106</v>
      </c>
      <c r="G81" t="s">
        <v>106</v>
      </c>
      <c r="H81" t="s">
        <v>106</v>
      </c>
      <c r="I81">
        <v>99.5</v>
      </c>
      <c r="J81" t="s">
        <v>106</v>
      </c>
      <c r="K81" t="s">
        <v>106</v>
      </c>
      <c r="L81" t="s">
        <v>106</v>
      </c>
      <c r="M81" t="s">
        <v>106</v>
      </c>
      <c r="N81" t="s">
        <v>106</v>
      </c>
      <c r="O81" t="s">
        <v>106</v>
      </c>
      <c r="P81">
        <v>3135.5</v>
      </c>
      <c r="Q81">
        <v>12978.5</v>
      </c>
      <c r="R81">
        <v>5150.3</v>
      </c>
      <c r="S81">
        <v>4350.7</v>
      </c>
      <c r="T81">
        <v>45.1</v>
      </c>
      <c r="U81" t="s">
        <v>106</v>
      </c>
      <c r="V81" t="s">
        <v>106</v>
      </c>
      <c r="W81" t="s">
        <v>106</v>
      </c>
      <c r="X81" t="s">
        <v>106</v>
      </c>
      <c r="Y81">
        <v>1525.4</v>
      </c>
      <c r="Z81" t="s">
        <v>106</v>
      </c>
      <c r="AA81" t="s">
        <v>106</v>
      </c>
      <c r="AB81" t="s">
        <v>106</v>
      </c>
      <c r="AC81" t="s">
        <v>106</v>
      </c>
      <c r="AD81" t="s">
        <v>106</v>
      </c>
      <c r="AE81" t="s">
        <v>106</v>
      </c>
      <c r="AF81" t="s">
        <v>106</v>
      </c>
      <c r="AG81">
        <v>0</v>
      </c>
      <c r="AH81" t="s">
        <v>106</v>
      </c>
      <c r="AI81" t="s">
        <v>106</v>
      </c>
      <c r="AJ81" t="s">
        <v>106</v>
      </c>
      <c r="AK81" t="s">
        <v>106</v>
      </c>
      <c r="AL81" t="s">
        <v>106</v>
      </c>
      <c r="AM81" t="s">
        <v>106</v>
      </c>
      <c r="AN81" t="s">
        <v>106</v>
      </c>
      <c r="AO81" t="s">
        <v>106</v>
      </c>
      <c r="AP81" t="s">
        <v>106</v>
      </c>
      <c r="AQ81" t="s">
        <v>106</v>
      </c>
      <c r="AR81">
        <v>3.2</v>
      </c>
      <c r="AS81">
        <v>0.2</v>
      </c>
      <c r="AT81" t="s">
        <v>106</v>
      </c>
      <c r="AU81" t="s">
        <v>106</v>
      </c>
      <c r="AV81">
        <v>16.600000000000001</v>
      </c>
      <c r="AW81" t="s">
        <v>106</v>
      </c>
      <c r="AX81" t="s">
        <v>106</v>
      </c>
      <c r="AY81" t="s">
        <v>106</v>
      </c>
      <c r="AZ81" t="s">
        <v>106</v>
      </c>
      <c r="BA81" t="s">
        <v>106</v>
      </c>
      <c r="BB81" t="s">
        <v>106</v>
      </c>
      <c r="BC81">
        <v>2.2000000000000002</v>
      </c>
      <c r="BD81" t="s">
        <v>106</v>
      </c>
      <c r="BE81">
        <v>2686.9</v>
      </c>
      <c r="BF81" t="s">
        <v>106</v>
      </c>
      <c r="BG81" t="s">
        <v>106</v>
      </c>
      <c r="BH81">
        <v>10.3</v>
      </c>
      <c r="BI81">
        <v>36.700000000000003</v>
      </c>
      <c r="BJ81" t="s">
        <v>106</v>
      </c>
      <c r="BK81" t="s">
        <v>106</v>
      </c>
      <c r="BL81">
        <v>30041.200000000001</v>
      </c>
      <c r="BM81">
        <v>2756.2</v>
      </c>
    </row>
    <row r="82" spans="1:65">
      <c r="B82" t="s">
        <v>185</v>
      </c>
      <c r="C82" t="s">
        <v>105</v>
      </c>
      <c r="D82" t="s">
        <v>105</v>
      </c>
      <c r="E82" t="s">
        <v>105</v>
      </c>
      <c r="F82" t="s">
        <v>106</v>
      </c>
      <c r="G82" t="s">
        <v>106</v>
      </c>
      <c r="H82" t="s">
        <v>106</v>
      </c>
      <c r="I82" t="s">
        <v>106</v>
      </c>
      <c r="J82" t="s">
        <v>106</v>
      </c>
      <c r="K82" t="s">
        <v>106</v>
      </c>
      <c r="L82" t="s">
        <v>106</v>
      </c>
      <c r="M82" t="s">
        <v>106</v>
      </c>
      <c r="N82" t="s">
        <v>106</v>
      </c>
      <c r="O82" t="s">
        <v>106</v>
      </c>
      <c r="P82" t="s">
        <v>106</v>
      </c>
      <c r="Q82" t="s">
        <v>106</v>
      </c>
      <c r="R82" t="s">
        <v>106</v>
      </c>
      <c r="S82">
        <v>38760.5</v>
      </c>
      <c r="T82">
        <v>893.5</v>
      </c>
      <c r="U82" t="s">
        <v>106</v>
      </c>
      <c r="V82" t="s">
        <v>106</v>
      </c>
      <c r="W82" t="s">
        <v>106</v>
      </c>
      <c r="X82" t="s">
        <v>106</v>
      </c>
      <c r="Y82" t="s">
        <v>106</v>
      </c>
      <c r="Z82" t="s">
        <v>106</v>
      </c>
      <c r="AA82" t="s">
        <v>106</v>
      </c>
      <c r="AB82" t="s">
        <v>106</v>
      </c>
      <c r="AC82" t="s">
        <v>106</v>
      </c>
      <c r="AD82" t="s">
        <v>106</v>
      </c>
      <c r="AE82" t="s">
        <v>106</v>
      </c>
      <c r="AF82">
        <v>174.6</v>
      </c>
      <c r="AG82" t="s">
        <v>106</v>
      </c>
      <c r="AH82" t="s">
        <v>106</v>
      </c>
      <c r="AI82" t="s">
        <v>106</v>
      </c>
      <c r="AJ82">
        <v>95.2</v>
      </c>
      <c r="AK82" t="s">
        <v>106</v>
      </c>
      <c r="AL82" t="s">
        <v>106</v>
      </c>
      <c r="AM82" t="s">
        <v>106</v>
      </c>
      <c r="AN82" t="s">
        <v>106</v>
      </c>
      <c r="AO82" t="s">
        <v>106</v>
      </c>
      <c r="AP82" t="s">
        <v>106</v>
      </c>
      <c r="AQ82" t="s">
        <v>106</v>
      </c>
      <c r="AR82">
        <v>54.1</v>
      </c>
      <c r="AS82">
        <v>98.6</v>
      </c>
      <c r="AT82">
        <v>4.2</v>
      </c>
      <c r="AU82">
        <v>67.7</v>
      </c>
      <c r="AV82">
        <v>1</v>
      </c>
      <c r="AW82" t="s">
        <v>106</v>
      </c>
      <c r="AX82" t="s">
        <v>106</v>
      </c>
      <c r="AY82" t="s">
        <v>106</v>
      </c>
      <c r="AZ82" t="s">
        <v>106</v>
      </c>
      <c r="BA82" t="s">
        <v>106</v>
      </c>
      <c r="BB82" t="s">
        <v>106</v>
      </c>
      <c r="BC82" t="s">
        <v>106</v>
      </c>
      <c r="BD82" t="s">
        <v>106</v>
      </c>
      <c r="BE82" t="s">
        <v>106</v>
      </c>
      <c r="BF82" t="s">
        <v>106</v>
      </c>
      <c r="BG82" t="s">
        <v>106</v>
      </c>
      <c r="BH82" t="s">
        <v>106</v>
      </c>
      <c r="BI82" t="s">
        <v>106</v>
      </c>
      <c r="BJ82" t="s">
        <v>106</v>
      </c>
      <c r="BK82" t="s">
        <v>106</v>
      </c>
      <c r="BL82">
        <v>40149.4</v>
      </c>
      <c r="BM82">
        <v>225.6</v>
      </c>
    </row>
    <row r="83" spans="1:65">
      <c r="B83" t="s">
        <v>186</v>
      </c>
      <c r="C83" t="s">
        <v>105</v>
      </c>
      <c r="D83" t="s">
        <v>105</v>
      </c>
      <c r="E83" t="s">
        <v>105</v>
      </c>
      <c r="F83" t="s">
        <v>106</v>
      </c>
      <c r="G83" t="s">
        <v>106</v>
      </c>
      <c r="H83" t="s">
        <v>106</v>
      </c>
      <c r="I83">
        <v>11767.4</v>
      </c>
      <c r="J83" t="s">
        <v>106</v>
      </c>
      <c r="K83" t="s">
        <v>106</v>
      </c>
      <c r="L83" t="s">
        <v>106</v>
      </c>
      <c r="M83" t="s">
        <v>106</v>
      </c>
      <c r="N83" t="s">
        <v>106</v>
      </c>
      <c r="O83" t="s">
        <v>106</v>
      </c>
      <c r="P83" t="s">
        <v>106</v>
      </c>
      <c r="Q83" t="s">
        <v>106</v>
      </c>
      <c r="R83" t="s">
        <v>106</v>
      </c>
      <c r="S83">
        <v>3545.9</v>
      </c>
      <c r="T83">
        <v>292.7</v>
      </c>
      <c r="U83" t="s">
        <v>106</v>
      </c>
      <c r="V83" t="s">
        <v>106</v>
      </c>
      <c r="W83" t="s">
        <v>106</v>
      </c>
      <c r="X83" t="s">
        <v>106</v>
      </c>
      <c r="Y83">
        <v>1785.4</v>
      </c>
      <c r="Z83">
        <v>65.900000000000006</v>
      </c>
      <c r="AA83" t="s">
        <v>106</v>
      </c>
      <c r="AB83" t="s">
        <v>106</v>
      </c>
      <c r="AC83" t="s">
        <v>106</v>
      </c>
      <c r="AD83" t="s">
        <v>106</v>
      </c>
      <c r="AE83" t="s">
        <v>106</v>
      </c>
      <c r="AF83">
        <v>37.4</v>
      </c>
      <c r="AG83" t="s">
        <v>106</v>
      </c>
      <c r="AH83" t="s">
        <v>106</v>
      </c>
      <c r="AI83" t="s">
        <v>106</v>
      </c>
      <c r="AJ83">
        <v>282.89999999999998</v>
      </c>
      <c r="AK83" t="s">
        <v>106</v>
      </c>
      <c r="AL83" t="s">
        <v>106</v>
      </c>
      <c r="AM83" t="s">
        <v>106</v>
      </c>
      <c r="AN83" t="s">
        <v>106</v>
      </c>
      <c r="AO83" t="s">
        <v>106</v>
      </c>
      <c r="AP83">
        <v>182</v>
      </c>
      <c r="AQ83">
        <v>1730</v>
      </c>
      <c r="AR83">
        <v>13.4</v>
      </c>
      <c r="AS83">
        <v>223.8</v>
      </c>
      <c r="AT83">
        <v>241.7</v>
      </c>
      <c r="AU83">
        <v>3113.9</v>
      </c>
      <c r="AV83">
        <v>17.2</v>
      </c>
      <c r="AW83" t="s">
        <v>106</v>
      </c>
      <c r="AX83" t="s">
        <v>106</v>
      </c>
      <c r="AY83" t="s">
        <v>106</v>
      </c>
      <c r="AZ83" t="s">
        <v>106</v>
      </c>
      <c r="BA83" t="s">
        <v>106</v>
      </c>
      <c r="BB83" t="s">
        <v>106</v>
      </c>
      <c r="BC83" t="s">
        <v>106</v>
      </c>
      <c r="BD83" t="s">
        <v>106</v>
      </c>
      <c r="BE83" t="s">
        <v>106</v>
      </c>
      <c r="BF83" t="s">
        <v>106</v>
      </c>
      <c r="BG83" t="s">
        <v>106</v>
      </c>
      <c r="BH83" t="s">
        <v>106</v>
      </c>
      <c r="BI83" t="s">
        <v>106</v>
      </c>
      <c r="BJ83" t="s">
        <v>106</v>
      </c>
      <c r="BK83" t="s">
        <v>106</v>
      </c>
      <c r="BL83">
        <v>23299.599999999999</v>
      </c>
      <c r="BM83">
        <v>3610</v>
      </c>
    </row>
    <row r="84" spans="1:65">
      <c r="B84" t="s">
        <v>187</v>
      </c>
      <c r="C84" t="s">
        <v>105</v>
      </c>
      <c r="D84" t="s">
        <v>105</v>
      </c>
      <c r="E84" t="s">
        <v>105</v>
      </c>
      <c r="F84" t="s">
        <v>106</v>
      </c>
      <c r="G84" t="s">
        <v>106</v>
      </c>
      <c r="H84" t="s">
        <v>106</v>
      </c>
      <c r="I84" t="s">
        <v>106</v>
      </c>
      <c r="J84" t="s">
        <v>106</v>
      </c>
      <c r="K84" t="s">
        <v>106</v>
      </c>
      <c r="L84" t="s">
        <v>106</v>
      </c>
      <c r="M84" t="s">
        <v>106</v>
      </c>
      <c r="N84" t="s">
        <v>106</v>
      </c>
      <c r="O84" t="s">
        <v>106</v>
      </c>
      <c r="P84" t="s">
        <v>106</v>
      </c>
      <c r="Q84" t="s">
        <v>106</v>
      </c>
      <c r="R84" t="s">
        <v>106</v>
      </c>
      <c r="S84" t="s">
        <v>106</v>
      </c>
      <c r="T84" t="s">
        <v>106</v>
      </c>
      <c r="U84" t="s">
        <v>106</v>
      </c>
      <c r="V84" t="s">
        <v>106</v>
      </c>
      <c r="W84" t="s">
        <v>106</v>
      </c>
      <c r="X84" t="s">
        <v>106</v>
      </c>
      <c r="Y84" t="s">
        <v>106</v>
      </c>
      <c r="Z84" t="s">
        <v>106</v>
      </c>
      <c r="AA84" t="s">
        <v>106</v>
      </c>
      <c r="AB84" t="s">
        <v>106</v>
      </c>
      <c r="AC84" t="s">
        <v>106</v>
      </c>
      <c r="AD84" t="s">
        <v>106</v>
      </c>
      <c r="AE84" t="s">
        <v>106</v>
      </c>
      <c r="AF84" t="s">
        <v>106</v>
      </c>
      <c r="AG84" t="s">
        <v>106</v>
      </c>
      <c r="AH84" t="s">
        <v>106</v>
      </c>
      <c r="AI84" t="s">
        <v>106</v>
      </c>
      <c r="AJ84" t="s">
        <v>106</v>
      </c>
      <c r="AK84" t="s">
        <v>106</v>
      </c>
      <c r="AL84" t="s">
        <v>106</v>
      </c>
      <c r="AM84" t="s">
        <v>106</v>
      </c>
      <c r="AN84" t="s">
        <v>106</v>
      </c>
      <c r="AO84" t="s">
        <v>106</v>
      </c>
      <c r="AP84" t="s">
        <v>106</v>
      </c>
      <c r="AQ84" t="s">
        <v>106</v>
      </c>
      <c r="AR84" t="s">
        <v>106</v>
      </c>
      <c r="AS84" t="s">
        <v>106</v>
      </c>
      <c r="AT84" t="s">
        <v>106</v>
      </c>
      <c r="AU84" t="s">
        <v>106</v>
      </c>
      <c r="AV84" t="s">
        <v>106</v>
      </c>
      <c r="AW84" t="s">
        <v>106</v>
      </c>
      <c r="AX84" t="s">
        <v>106</v>
      </c>
      <c r="AY84" t="s">
        <v>106</v>
      </c>
      <c r="AZ84" t="s">
        <v>106</v>
      </c>
      <c r="BA84" t="s">
        <v>106</v>
      </c>
      <c r="BB84" t="s">
        <v>106</v>
      </c>
      <c r="BC84" t="s">
        <v>106</v>
      </c>
      <c r="BD84" t="s">
        <v>106</v>
      </c>
      <c r="BE84" t="s">
        <v>106</v>
      </c>
      <c r="BF84" t="s">
        <v>106</v>
      </c>
      <c r="BG84" t="s">
        <v>106</v>
      </c>
      <c r="BH84" t="s">
        <v>106</v>
      </c>
      <c r="BI84" t="s">
        <v>106</v>
      </c>
      <c r="BJ84" t="s">
        <v>106</v>
      </c>
      <c r="BK84">
        <v>169.6</v>
      </c>
      <c r="BL84">
        <v>169.6</v>
      </c>
      <c r="BM84" t="s">
        <v>106</v>
      </c>
    </row>
    <row r="85" spans="1:65">
      <c r="A85" t="s">
        <v>188</v>
      </c>
      <c r="B85" t="s">
        <v>105</v>
      </c>
      <c r="C85" t="s">
        <v>105</v>
      </c>
      <c r="D85" t="s">
        <v>105</v>
      </c>
      <c r="E85" t="s">
        <v>105</v>
      </c>
      <c r="F85" t="s">
        <v>106</v>
      </c>
      <c r="G85" t="s">
        <v>106</v>
      </c>
      <c r="H85" t="s">
        <v>106</v>
      </c>
      <c r="I85">
        <v>77007.399999999994</v>
      </c>
      <c r="J85" t="s">
        <v>106</v>
      </c>
      <c r="K85" t="s">
        <v>106</v>
      </c>
      <c r="L85" t="s">
        <v>106</v>
      </c>
      <c r="M85" t="s">
        <v>106</v>
      </c>
      <c r="N85" t="s">
        <v>106</v>
      </c>
      <c r="O85" t="s">
        <v>106</v>
      </c>
      <c r="P85" t="s">
        <v>106</v>
      </c>
      <c r="Q85" t="s">
        <v>106</v>
      </c>
      <c r="R85" t="s">
        <v>106</v>
      </c>
      <c r="S85">
        <v>71382</v>
      </c>
      <c r="T85">
        <v>17787.3</v>
      </c>
      <c r="U85" t="s">
        <v>106</v>
      </c>
      <c r="V85" t="s">
        <v>106</v>
      </c>
      <c r="W85" t="s">
        <v>106</v>
      </c>
      <c r="X85" t="s">
        <v>106</v>
      </c>
      <c r="Y85">
        <v>19280.900000000001</v>
      </c>
      <c r="Z85">
        <v>1929.7</v>
      </c>
      <c r="AA85" t="s">
        <v>106</v>
      </c>
      <c r="AB85" t="s">
        <v>106</v>
      </c>
      <c r="AC85" t="s">
        <v>106</v>
      </c>
      <c r="AD85" t="s">
        <v>106</v>
      </c>
      <c r="AE85" t="s">
        <v>106</v>
      </c>
      <c r="AF85">
        <v>1494</v>
      </c>
      <c r="AG85">
        <v>9.8000000000000007</v>
      </c>
      <c r="AH85" t="s">
        <v>106</v>
      </c>
      <c r="AI85" t="s">
        <v>106</v>
      </c>
      <c r="AJ85">
        <v>5071.3</v>
      </c>
      <c r="AK85" t="s">
        <v>106</v>
      </c>
      <c r="AL85" t="s">
        <v>106</v>
      </c>
      <c r="AM85" t="s">
        <v>106</v>
      </c>
      <c r="AN85" t="s">
        <v>106</v>
      </c>
      <c r="AO85" t="s">
        <v>106</v>
      </c>
      <c r="AP85">
        <v>12570.4</v>
      </c>
      <c r="AQ85">
        <v>11339.5</v>
      </c>
      <c r="AR85">
        <v>3761.7</v>
      </c>
      <c r="AS85">
        <v>3341.2</v>
      </c>
      <c r="AT85">
        <v>6777.2</v>
      </c>
      <c r="AU85">
        <v>9516.7999999999993</v>
      </c>
      <c r="AV85">
        <v>124.6</v>
      </c>
      <c r="AW85">
        <v>591.1</v>
      </c>
      <c r="AX85" t="s">
        <v>106</v>
      </c>
      <c r="AY85" t="s">
        <v>106</v>
      </c>
      <c r="AZ85" t="s">
        <v>106</v>
      </c>
      <c r="BA85" t="s">
        <v>106</v>
      </c>
      <c r="BB85" t="s">
        <v>106</v>
      </c>
      <c r="BC85" t="s">
        <v>106</v>
      </c>
      <c r="BD85" t="s">
        <v>106</v>
      </c>
      <c r="BE85" t="s">
        <v>106</v>
      </c>
      <c r="BF85" t="s">
        <v>106</v>
      </c>
      <c r="BG85" t="s">
        <v>106</v>
      </c>
      <c r="BH85" t="s">
        <v>106</v>
      </c>
      <c r="BI85" t="s">
        <v>106</v>
      </c>
      <c r="BJ85" t="s">
        <v>106</v>
      </c>
      <c r="BK85">
        <v>60914.400000000001</v>
      </c>
      <c r="BL85">
        <v>302899.40000000002</v>
      </c>
      <c r="BM85">
        <v>24112.6</v>
      </c>
    </row>
    <row r="86" spans="1:65">
      <c r="B86" t="s">
        <v>189</v>
      </c>
      <c r="C86" t="s">
        <v>105</v>
      </c>
      <c r="D86" t="s">
        <v>105</v>
      </c>
      <c r="E86" t="s">
        <v>105</v>
      </c>
      <c r="F86" t="s">
        <v>106</v>
      </c>
      <c r="G86" t="s">
        <v>106</v>
      </c>
      <c r="H86" t="s">
        <v>106</v>
      </c>
      <c r="I86" t="s">
        <v>106</v>
      </c>
      <c r="J86" t="s">
        <v>106</v>
      </c>
      <c r="K86" t="s">
        <v>106</v>
      </c>
      <c r="L86" t="s">
        <v>106</v>
      </c>
      <c r="M86" t="s">
        <v>106</v>
      </c>
      <c r="N86" t="s">
        <v>106</v>
      </c>
      <c r="O86" t="s">
        <v>106</v>
      </c>
      <c r="P86" t="s">
        <v>106</v>
      </c>
      <c r="Q86" t="s">
        <v>106</v>
      </c>
      <c r="R86" t="s">
        <v>106</v>
      </c>
      <c r="S86">
        <v>65391.3</v>
      </c>
      <c r="T86">
        <v>6764.3</v>
      </c>
      <c r="U86" t="s">
        <v>106</v>
      </c>
      <c r="V86" t="s">
        <v>106</v>
      </c>
      <c r="W86" t="s">
        <v>106</v>
      </c>
      <c r="X86" t="s">
        <v>106</v>
      </c>
      <c r="Y86" t="s">
        <v>106</v>
      </c>
      <c r="Z86" t="s">
        <v>106</v>
      </c>
      <c r="AA86" t="s">
        <v>106</v>
      </c>
      <c r="AB86" t="s">
        <v>106</v>
      </c>
      <c r="AC86" t="s">
        <v>106</v>
      </c>
      <c r="AD86" t="s">
        <v>106</v>
      </c>
      <c r="AE86" t="s">
        <v>106</v>
      </c>
      <c r="AF86">
        <v>1494</v>
      </c>
      <c r="AG86" t="s">
        <v>106</v>
      </c>
      <c r="AH86" t="s">
        <v>106</v>
      </c>
      <c r="AI86" t="s">
        <v>106</v>
      </c>
      <c r="AJ86">
        <v>401.2</v>
      </c>
      <c r="AK86" t="s">
        <v>106</v>
      </c>
      <c r="AL86" t="s">
        <v>106</v>
      </c>
      <c r="AM86" t="s">
        <v>106</v>
      </c>
      <c r="AN86" t="s">
        <v>106</v>
      </c>
      <c r="AO86" t="s">
        <v>106</v>
      </c>
      <c r="AP86" t="s">
        <v>106</v>
      </c>
      <c r="AQ86" t="s">
        <v>106</v>
      </c>
      <c r="AR86">
        <v>766</v>
      </c>
      <c r="AS86">
        <v>3341.2</v>
      </c>
      <c r="AT86">
        <v>108.5</v>
      </c>
      <c r="AU86">
        <v>2162.6999999999998</v>
      </c>
      <c r="AV86">
        <v>4.5</v>
      </c>
      <c r="AW86" t="s">
        <v>106</v>
      </c>
      <c r="AX86" t="s">
        <v>106</v>
      </c>
      <c r="AY86" t="s">
        <v>106</v>
      </c>
      <c r="AZ86" t="s">
        <v>106</v>
      </c>
      <c r="BA86" t="s">
        <v>106</v>
      </c>
      <c r="BB86" t="s">
        <v>106</v>
      </c>
      <c r="BC86" t="s">
        <v>106</v>
      </c>
      <c r="BD86" t="s">
        <v>106</v>
      </c>
      <c r="BE86" t="s">
        <v>106</v>
      </c>
      <c r="BF86" t="s">
        <v>106</v>
      </c>
      <c r="BG86" t="s">
        <v>106</v>
      </c>
      <c r="BH86" t="s">
        <v>106</v>
      </c>
      <c r="BI86" t="s">
        <v>106</v>
      </c>
      <c r="BJ86" t="s">
        <v>106</v>
      </c>
      <c r="BK86">
        <v>47886.6</v>
      </c>
      <c r="BL86">
        <v>128320.2</v>
      </c>
      <c r="BM86">
        <v>6382.8</v>
      </c>
    </row>
    <row r="87" spans="1:65">
      <c r="B87" t="s">
        <v>190</v>
      </c>
      <c r="C87" t="s">
        <v>105</v>
      </c>
      <c r="D87" t="s">
        <v>105</v>
      </c>
      <c r="E87" t="s">
        <v>105</v>
      </c>
      <c r="F87" t="s">
        <v>106</v>
      </c>
      <c r="G87" t="s">
        <v>106</v>
      </c>
      <c r="H87" t="s">
        <v>106</v>
      </c>
      <c r="I87">
        <v>77007.399999999994</v>
      </c>
      <c r="J87" t="s">
        <v>106</v>
      </c>
      <c r="K87" t="s">
        <v>106</v>
      </c>
      <c r="L87" t="s">
        <v>106</v>
      </c>
      <c r="M87" t="s">
        <v>106</v>
      </c>
      <c r="N87" t="s">
        <v>106</v>
      </c>
      <c r="O87" t="s">
        <v>106</v>
      </c>
      <c r="P87" t="s">
        <v>106</v>
      </c>
      <c r="Q87" t="s">
        <v>106</v>
      </c>
      <c r="R87" t="s">
        <v>106</v>
      </c>
      <c r="S87">
        <v>5115.8</v>
      </c>
      <c r="T87">
        <v>5375.4</v>
      </c>
      <c r="U87" t="s">
        <v>106</v>
      </c>
      <c r="V87" t="s">
        <v>106</v>
      </c>
      <c r="W87" t="s">
        <v>106</v>
      </c>
      <c r="X87" t="s">
        <v>106</v>
      </c>
      <c r="Y87">
        <v>19280.900000000001</v>
      </c>
      <c r="Z87">
        <v>1756.2</v>
      </c>
      <c r="AA87" t="s">
        <v>106</v>
      </c>
      <c r="AB87" t="s">
        <v>106</v>
      </c>
      <c r="AC87" t="s">
        <v>106</v>
      </c>
      <c r="AD87" t="s">
        <v>106</v>
      </c>
      <c r="AE87" t="s">
        <v>106</v>
      </c>
      <c r="AF87" t="s">
        <v>106</v>
      </c>
      <c r="AG87" t="s">
        <v>106</v>
      </c>
      <c r="AH87" t="s">
        <v>106</v>
      </c>
      <c r="AI87" t="s">
        <v>106</v>
      </c>
      <c r="AJ87">
        <v>2627.8</v>
      </c>
      <c r="AK87" t="s">
        <v>106</v>
      </c>
      <c r="AL87" t="s">
        <v>106</v>
      </c>
      <c r="AM87" t="s">
        <v>106</v>
      </c>
      <c r="AN87" t="s">
        <v>106</v>
      </c>
      <c r="AO87" t="s">
        <v>106</v>
      </c>
      <c r="AP87">
        <v>12570.4</v>
      </c>
      <c r="AQ87">
        <v>11033.4</v>
      </c>
      <c r="AR87" t="s">
        <v>106</v>
      </c>
      <c r="AS87" t="s">
        <v>106</v>
      </c>
      <c r="AT87">
        <v>4390</v>
      </c>
      <c r="AU87">
        <v>6781.5</v>
      </c>
      <c r="AV87" t="s">
        <v>106</v>
      </c>
      <c r="AW87" t="s">
        <v>106</v>
      </c>
      <c r="AX87" t="s">
        <v>106</v>
      </c>
      <c r="AY87" t="s">
        <v>106</v>
      </c>
      <c r="AZ87" t="s">
        <v>106</v>
      </c>
      <c r="BA87" t="s">
        <v>106</v>
      </c>
      <c r="BB87" t="s">
        <v>106</v>
      </c>
      <c r="BC87" t="s">
        <v>106</v>
      </c>
      <c r="BD87" t="s">
        <v>106</v>
      </c>
      <c r="BE87" t="s">
        <v>106</v>
      </c>
      <c r="BF87" t="s">
        <v>106</v>
      </c>
      <c r="BG87" t="s">
        <v>106</v>
      </c>
      <c r="BH87" t="s">
        <v>106</v>
      </c>
      <c r="BI87" t="s">
        <v>106</v>
      </c>
      <c r="BJ87" t="s">
        <v>106</v>
      </c>
      <c r="BK87">
        <v>9968.6</v>
      </c>
      <c r="BL87">
        <v>155907.29999999999</v>
      </c>
      <c r="BM87">
        <v>11171.5</v>
      </c>
    </row>
    <row r="88" spans="1:65">
      <c r="B88" t="s">
        <v>191</v>
      </c>
      <c r="C88" t="s">
        <v>105</v>
      </c>
      <c r="D88" t="s">
        <v>105</v>
      </c>
      <c r="E88" t="s">
        <v>105</v>
      </c>
      <c r="F88" t="s">
        <v>106</v>
      </c>
      <c r="G88" t="s">
        <v>106</v>
      </c>
      <c r="H88" t="s">
        <v>106</v>
      </c>
      <c r="I88" t="s">
        <v>106</v>
      </c>
      <c r="J88" t="s">
        <v>106</v>
      </c>
      <c r="K88" t="s">
        <v>106</v>
      </c>
      <c r="L88" t="s">
        <v>106</v>
      </c>
      <c r="M88" t="s">
        <v>106</v>
      </c>
      <c r="N88" t="s">
        <v>106</v>
      </c>
      <c r="O88" t="s">
        <v>106</v>
      </c>
      <c r="P88" t="s">
        <v>106</v>
      </c>
      <c r="Q88" t="s">
        <v>106</v>
      </c>
      <c r="R88" t="s">
        <v>106</v>
      </c>
      <c r="S88">
        <v>874.9</v>
      </c>
      <c r="T88">
        <v>5543.7</v>
      </c>
      <c r="U88" t="s">
        <v>106</v>
      </c>
      <c r="V88" t="s">
        <v>106</v>
      </c>
      <c r="W88" t="s">
        <v>106</v>
      </c>
      <c r="X88" t="s">
        <v>106</v>
      </c>
      <c r="Y88" t="s">
        <v>106</v>
      </c>
      <c r="Z88" t="s">
        <v>106</v>
      </c>
      <c r="AA88" t="s">
        <v>106</v>
      </c>
      <c r="AB88" t="s">
        <v>106</v>
      </c>
      <c r="AC88" t="s">
        <v>106</v>
      </c>
      <c r="AD88" t="s">
        <v>106</v>
      </c>
      <c r="AE88" t="s">
        <v>106</v>
      </c>
      <c r="AF88" t="s">
        <v>106</v>
      </c>
      <c r="AG88" t="s">
        <v>106</v>
      </c>
      <c r="AH88" t="s">
        <v>106</v>
      </c>
      <c r="AI88" t="s">
        <v>106</v>
      </c>
      <c r="AJ88">
        <v>1997.8</v>
      </c>
      <c r="AK88" t="s">
        <v>106</v>
      </c>
      <c r="AL88" t="s">
        <v>106</v>
      </c>
      <c r="AM88" t="s">
        <v>106</v>
      </c>
      <c r="AN88" t="s">
        <v>106</v>
      </c>
      <c r="AO88" t="s">
        <v>106</v>
      </c>
      <c r="AP88" t="s">
        <v>106</v>
      </c>
      <c r="AQ88" t="s">
        <v>106</v>
      </c>
      <c r="AR88" t="s">
        <v>106</v>
      </c>
      <c r="AS88" t="s">
        <v>106</v>
      </c>
      <c r="AT88" t="s">
        <v>106</v>
      </c>
      <c r="AU88" t="s">
        <v>106</v>
      </c>
      <c r="AV88">
        <v>120.1</v>
      </c>
      <c r="AW88">
        <v>591.1</v>
      </c>
      <c r="AX88" t="s">
        <v>106</v>
      </c>
      <c r="AY88" t="s">
        <v>106</v>
      </c>
      <c r="AZ88" t="s">
        <v>106</v>
      </c>
      <c r="BA88" t="s">
        <v>106</v>
      </c>
      <c r="BB88" t="s">
        <v>106</v>
      </c>
      <c r="BC88" t="s">
        <v>106</v>
      </c>
      <c r="BD88" t="s">
        <v>106</v>
      </c>
      <c r="BE88" t="s">
        <v>106</v>
      </c>
      <c r="BF88" t="s">
        <v>106</v>
      </c>
      <c r="BG88" t="s">
        <v>106</v>
      </c>
      <c r="BH88" t="s">
        <v>106</v>
      </c>
      <c r="BI88" t="s">
        <v>106</v>
      </c>
      <c r="BJ88" t="s">
        <v>106</v>
      </c>
      <c r="BK88" t="s">
        <v>106</v>
      </c>
      <c r="BL88">
        <v>9127.6</v>
      </c>
      <c r="BM88">
        <v>711.2</v>
      </c>
    </row>
    <row r="89" spans="1:65">
      <c r="B89" t="s">
        <v>192</v>
      </c>
      <c r="C89" t="s">
        <v>105</v>
      </c>
      <c r="D89" t="s">
        <v>105</v>
      </c>
      <c r="E89" t="s">
        <v>105</v>
      </c>
      <c r="F89" t="s">
        <v>106</v>
      </c>
      <c r="G89" t="s">
        <v>106</v>
      </c>
      <c r="H89" t="s">
        <v>106</v>
      </c>
      <c r="I89" t="s">
        <v>106</v>
      </c>
      <c r="J89" t="s">
        <v>106</v>
      </c>
      <c r="K89" t="s">
        <v>106</v>
      </c>
      <c r="L89" t="s">
        <v>106</v>
      </c>
      <c r="M89" t="s">
        <v>106</v>
      </c>
      <c r="N89" t="s">
        <v>106</v>
      </c>
      <c r="O89" t="s">
        <v>106</v>
      </c>
      <c r="P89" t="s">
        <v>106</v>
      </c>
      <c r="Q89" t="s">
        <v>106</v>
      </c>
      <c r="R89" t="s">
        <v>106</v>
      </c>
      <c r="S89" t="s">
        <v>106</v>
      </c>
      <c r="T89">
        <v>104</v>
      </c>
      <c r="U89" t="s">
        <v>106</v>
      </c>
      <c r="V89" t="s">
        <v>106</v>
      </c>
      <c r="W89" t="s">
        <v>106</v>
      </c>
      <c r="X89" t="s">
        <v>106</v>
      </c>
      <c r="Y89" t="s">
        <v>106</v>
      </c>
      <c r="Z89">
        <v>173.5</v>
      </c>
      <c r="AA89" t="s">
        <v>106</v>
      </c>
      <c r="AB89" t="s">
        <v>106</v>
      </c>
      <c r="AC89" t="s">
        <v>106</v>
      </c>
      <c r="AD89" t="s">
        <v>106</v>
      </c>
      <c r="AE89" t="s">
        <v>106</v>
      </c>
      <c r="AF89" t="s">
        <v>106</v>
      </c>
      <c r="AG89">
        <v>9.8000000000000007</v>
      </c>
      <c r="AH89" t="s">
        <v>106</v>
      </c>
      <c r="AI89" t="s">
        <v>106</v>
      </c>
      <c r="AJ89">
        <v>44.6</v>
      </c>
      <c r="AK89" t="s">
        <v>106</v>
      </c>
      <c r="AL89" t="s">
        <v>106</v>
      </c>
      <c r="AM89" t="s">
        <v>106</v>
      </c>
      <c r="AN89" t="s">
        <v>106</v>
      </c>
      <c r="AO89" t="s">
        <v>106</v>
      </c>
      <c r="AP89" t="s">
        <v>106</v>
      </c>
      <c r="AQ89">
        <v>306.10000000000002</v>
      </c>
      <c r="AR89">
        <v>2995.7</v>
      </c>
      <c r="AS89" t="s">
        <v>106</v>
      </c>
      <c r="AT89">
        <v>2278.6999999999998</v>
      </c>
      <c r="AU89">
        <v>572.6</v>
      </c>
      <c r="AV89" t="s">
        <v>106</v>
      </c>
      <c r="AW89" t="s">
        <v>106</v>
      </c>
      <c r="AX89" t="s">
        <v>106</v>
      </c>
      <c r="AY89" t="s">
        <v>106</v>
      </c>
      <c r="AZ89" t="s">
        <v>106</v>
      </c>
      <c r="BA89" t="s">
        <v>106</v>
      </c>
      <c r="BB89" t="s">
        <v>106</v>
      </c>
      <c r="BC89" t="s">
        <v>106</v>
      </c>
      <c r="BD89" t="s">
        <v>106</v>
      </c>
      <c r="BE89" t="s">
        <v>106</v>
      </c>
      <c r="BF89" t="s">
        <v>106</v>
      </c>
      <c r="BG89" t="s">
        <v>106</v>
      </c>
      <c r="BH89" t="s">
        <v>106</v>
      </c>
      <c r="BI89" t="s">
        <v>106</v>
      </c>
      <c r="BJ89" t="s">
        <v>106</v>
      </c>
      <c r="BK89" t="s">
        <v>106</v>
      </c>
      <c r="BL89">
        <v>6485.1</v>
      </c>
      <c r="BM89">
        <v>5847.1</v>
      </c>
    </row>
    <row r="90" spans="1:65">
      <c r="B90" t="s">
        <v>193</v>
      </c>
      <c r="C90" t="s">
        <v>105</v>
      </c>
      <c r="D90" t="s">
        <v>105</v>
      </c>
      <c r="E90" t="s">
        <v>105</v>
      </c>
      <c r="F90" t="s">
        <v>106</v>
      </c>
      <c r="G90" t="s">
        <v>106</v>
      </c>
      <c r="H90" t="s">
        <v>106</v>
      </c>
      <c r="I90" t="s">
        <v>106</v>
      </c>
      <c r="J90" t="s">
        <v>106</v>
      </c>
      <c r="K90" t="s">
        <v>106</v>
      </c>
      <c r="L90" t="s">
        <v>106</v>
      </c>
      <c r="M90" t="s">
        <v>106</v>
      </c>
      <c r="N90" t="s">
        <v>106</v>
      </c>
      <c r="O90" t="s">
        <v>106</v>
      </c>
      <c r="P90" t="s">
        <v>106</v>
      </c>
      <c r="Q90" t="s">
        <v>106</v>
      </c>
      <c r="R90" t="s">
        <v>106</v>
      </c>
      <c r="S90" t="s">
        <v>106</v>
      </c>
      <c r="T90" t="s">
        <v>106</v>
      </c>
      <c r="U90" t="s">
        <v>106</v>
      </c>
      <c r="V90" t="s">
        <v>106</v>
      </c>
      <c r="W90" t="s">
        <v>106</v>
      </c>
      <c r="X90" t="s">
        <v>106</v>
      </c>
      <c r="Y90" t="s">
        <v>106</v>
      </c>
      <c r="Z90" t="s">
        <v>106</v>
      </c>
      <c r="AA90" t="s">
        <v>106</v>
      </c>
      <c r="AB90" t="s">
        <v>106</v>
      </c>
      <c r="AC90" t="s">
        <v>106</v>
      </c>
      <c r="AD90" t="s">
        <v>106</v>
      </c>
      <c r="AE90" t="s">
        <v>106</v>
      </c>
      <c r="AF90" t="s">
        <v>106</v>
      </c>
      <c r="AG90" t="s">
        <v>106</v>
      </c>
      <c r="AH90" t="s">
        <v>106</v>
      </c>
      <c r="AI90" t="s">
        <v>106</v>
      </c>
      <c r="AJ90" t="s">
        <v>106</v>
      </c>
      <c r="AK90" t="s">
        <v>106</v>
      </c>
      <c r="AL90" t="s">
        <v>106</v>
      </c>
      <c r="AM90" t="s">
        <v>106</v>
      </c>
      <c r="AN90" t="s">
        <v>106</v>
      </c>
      <c r="AO90" t="s">
        <v>106</v>
      </c>
      <c r="AP90" t="s">
        <v>106</v>
      </c>
      <c r="AQ90" t="s">
        <v>106</v>
      </c>
      <c r="AR90" t="s">
        <v>106</v>
      </c>
      <c r="AS90" t="s">
        <v>106</v>
      </c>
      <c r="AT90" t="s">
        <v>106</v>
      </c>
      <c r="AU90" t="s">
        <v>106</v>
      </c>
      <c r="AV90" t="s">
        <v>106</v>
      </c>
      <c r="AW90" t="s">
        <v>106</v>
      </c>
      <c r="AX90" t="s">
        <v>106</v>
      </c>
      <c r="AY90" t="s">
        <v>106</v>
      </c>
      <c r="AZ90" t="s">
        <v>106</v>
      </c>
      <c r="BA90" t="s">
        <v>106</v>
      </c>
      <c r="BB90" t="s">
        <v>106</v>
      </c>
      <c r="BC90" t="s">
        <v>106</v>
      </c>
      <c r="BD90" t="s">
        <v>106</v>
      </c>
      <c r="BE90" t="s">
        <v>106</v>
      </c>
      <c r="BF90" t="s">
        <v>106</v>
      </c>
      <c r="BG90" t="s">
        <v>106</v>
      </c>
      <c r="BH90" t="s">
        <v>106</v>
      </c>
      <c r="BI90" t="s">
        <v>106</v>
      </c>
      <c r="BJ90" t="s">
        <v>106</v>
      </c>
      <c r="BK90">
        <v>3059.1</v>
      </c>
      <c r="BL90">
        <v>3059.1</v>
      </c>
      <c r="BM90" t="s">
        <v>106</v>
      </c>
    </row>
    <row r="92" spans="1:65" ht="17">
      <c r="A92" s="3" t="s">
        <v>194</v>
      </c>
      <c r="F92" s="4" t="s">
        <v>8</v>
      </c>
      <c r="G92" s="4" t="s">
        <v>8</v>
      </c>
      <c r="H92" s="4" t="s">
        <v>8</v>
      </c>
      <c r="I92" s="4" t="s">
        <v>8</v>
      </c>
      <c r="J92" s="4" t="s">
        <v>8</v>
      </c>
      <c r="K92" s="4" t="s">
        <v>30</v>
      </c>
      <c r="L92" s="4" t="s">
        <v>8</v>
      </c>
      <c r="M92" s="4" t="s">
        <v>8</v>
      </c>
      <c r="N92" s="4" t="s">
        <v>8</v>
      </c>
      <c r="O92" s="4" t="s">
        <v>8</v>
      </c>
      <c r="P92" s="4" t="s">
        <v>8</v>
      </c>
      <c r="Q92" s="4" t="s">
        <v>8</v>
      </c>
      <c r="R92" s="4" t="s">
        <v>8</v>
      </c>
      <c r="S92" s="4" t="s">
        <v>10</v>
      </c>
      <c r="T92" s="4" t="s">
        <v>10</v>
      </c>
      <c r="U92" s="4" t="s">
        <v>31</v>
      </c>
      <c r="V92" s="4" t="s">
        <v>31</v>
      </c>
      <c r="W92" s="4" t="s">
        <v>31</v>
      </c>
      <c r="X92" s="4" t="s">
        <v>31</v>
      </c>
      <c r="Y92" s="4" t="s">
        <v>33</v>
      </c>
      <c r="Z92" s="4" t="s">
        <v>33</v>
      </c>
      <c r="AA92" s="4" t="s">
        <v>33</v>
      </c>
      <c r="AB92" s="4" t="s">
        <v>21</v>
      </c>
      <c r="AC92" s="4" t="s">
        <v>21</v>
      </c>
      <c r="AD92" s="4" t="s">
        <v>27</v>
      </c>
      <c r="AE92" s="4" t="s">
        <v>27</v>
      </c>
      <c r="AF92" s="4" t="s">
        <v>27</v>
      </c>
      <c r="AG92" s="4" t="s">
        <v>24</v>
      </c>
      <c r="AH92" s="4" t="s">
        <v>32</v>
      </c>
      <c r="AI92" s="4" t="s">
        <v>32</v>
      </c>
      <c r="AJ92" s="4" t="s">
        <v>32</v>
      </c>
      <c r="AK92" s="4" t="s">
        <v>33</v>
      </c>
      <c r="AL92" s="4" t="s">
        <v>24</v>
      </c>
      <c r="AM92" s="4" t="s">
        <v>32</v>
      </c>
      <c r="AN92" s="4" t="s">
        <v>24</v>
      </c>
      <c r="AO92" s="4" t="s">
        <v>32</v>
      </c>
      <c r="AP92" s="4" t="s">
        <v>24</v>
      </c>
      <c r="AQ92" s="4" t="s">
        <v>32</v>
      </c>
      <c r="AR92" s="4" t="s">
        <v>19</v>
      </c>
      <c r="AS92" s="4" t="s">
        <v>34</v>
      </c>
      <c r="AT92" s="4" t="s">
        <v>34</v>
      </c>
      <c r="AU92" s="4" t="s">
        <v>19</v>
      </c>
      <c r="AV92" s="4" t="s">
        <v>19</v>
      </c>
      <c r="AW92" s="4" t="s">
        <v>19</v>
      </c>
      <c r="AX92" s="4" t="s">
        <v>25</v>
      </c>
      <c r="AY92" s="4" t="s">
        <v>26</v>
      </c>
      <c r="AZ92" s="4" t="s">
        <v>19</v>
      </c>
      <c r="BA92" s="4" t="s">
        <v>19</v>
      </c>
      <c r="BB92" s="4" t="s">
        <v>12</v>
      </c>
      <c r="BC92" s="4" t="s">
        <v>14</v>
      </c>
      <c r="BD92" s="4" t="s">
        <v>29</v>
      </c>
      <c r="BE92" s="4" t="s">
        <v>18</v>
      </c>
      <c r="BF92" s="4" t="s">
        <v>18</v>
      </c>
      <c r="BG92" s="4"/>
      <c r="BH92" s="4" t="s">
        <v>16</v>
      </c>
      <c r="BI92" s="4"/>
      <c r="BJ92" s="4" t="s">
        <v>4</v>
      </c>
      <c r="BK92" s="4" t="s">
        <v>28</v>
      </c>
    </row>
    <row r="93" spans="1:65" ht="17">
      <c r="A93" s="3" t="s">
        <v>195</v>
      </c>
      <c r="F93" s="4">
        <f t="shared" ref="F93:X93" si="0">F3</f>
        <v>482</v>
      </c>
      <c r="G93" s="4" t="str">
        <f t="shared" si="0"/>
        <v>-</v>
      </c>
      <c r="H93" s="4" t="str">
        <f t="shared" si="0"/>
        <v>-</v>
      </c>
      <c r="I93" s="4" t="str">
        <f t="shared" si="0"/>
        <v>-</v>
      </c>
      <c r="J93" s="4" t="str">
        <f t="shared" si="0"/>
        <v>-</v>
      </c>
      <c r="K93" s="4" t="str">
        <f t="shared" si="0"/>
        <v>-</v>
      </c>
      <c r="L93" s="4" t="str">
        <f t="shared" si="0"/>
        <v>-</v>
      </c>
      <c r="M93" s="4" t="str">
        <f t="shared" si="0"/>
        <v>-</v>
      </c>
      <c r="N93" s="4" t="str">
        <f t="shared" si="0"/>
        <v>-</v>
      </c>
      <c r="O93" s="4" t="str">
        <f t="shared" si="0"/>
        <v>-</v>
      </c>
      <c r="P93" s="4" t="str">
        <f t="shared" si="0"/>
        <v>-</v>
      </c>
      <c r="Q93" s="4" t="str">
        <f t="shared" si="0"/>
        <v>-</v>
      </c>
      <c r="R93" s="4" t="str">
        <f t="shared" si="0"/>
        <v>-</v>
      </c>
      <c r="S93" s="4">
        <f t="shared" si="0"/>
        <v>185</v>
      </c>
      <c r="T93" s="4" t="str">
        <f t="shared" si="0"/>
        <v>-</v>
      </c>
      <c r="U93" s="4">
        <f t="shared" si="0"/>
        <v>15.1</v>
      </c>
      <c r="V93" s="4" t="str">
        <f t="shared" si="0"/>
        <v>-</v>
      </c>
      <c r="W93" s="4" t="str">
        <f t="shared" si="0"/>
        <v>-</v>
      </c>
      <c r="X93" s="4" t="str">
        <f t="shared" si="0"/>
        <v>-</v>
      </c>
      <c r="Y93" s="4">
        <f t="shared" ref="Y93:AQ93" si="1">Y27</f>
        <v>3771.5</v>
      </c>
      <c r="Z93" s="4">
        <f t="shared" si="1"/>
        <v>1262.2</v>
      </c>
      <c r="AA93" s="4">
        <f t="shared" si="1"/>
        <v>2195.1999999999998</v>
      </c>
      <c r="AB93" s="4">
        <f t="shared" si="1"/>
        <v>18799.7</v>
      </c>
      <c r="AC93" s="4" t="str">
        <f t="shared" si="1"/>
        <v>-</v>
      </c>
      <c r="AD93" s="4" t="str">
        <f t="shared" si="1"/>
        <v>-</v>
      </c>
      <c r="AE93" s="4">
        <f t="shared" si="1"/>
        <v>15607.6</v>
      </c>
      <c r="AF93" s="4">
        <f t="shared" si="1"/>
        <v>6189.6</v>
      </c>
      <c r="AG93" s="4">
        <f t="shared" si="1"/>
        <v>50498.1</v>
      </c>
      <c r="AH93" s="4">
        <f t="shared" si="1"/>
        <v>241.3</v>
      </c>
      <c r="AI93" s="4">
        <f t="shared" si="1"/>
        <v>12.9</v>
      </c>
      <c r="AJ93" s="4">
        <f t="shared" si="1"/>
        <v>11914.2</v>
      </c>
      <c r="AK93" s="4">
        <f t="shared" si="1"/>
        <v>36322.5</v>
      </c>
      <c r="AL93" s="4">
        <f t="shared" si="1"/>
        <v>808</v>
      </c>
      <c r="AM93" s="4">
        <f t="shared" si="1"/>
        <v>3460</v>
      </c>
      <c r="AN93" s="4">
        <f t="shared" si="1"/>
        <v>4145.3</v>
      </c>
      <c r="AO93" s="4">
        <f t="shared" si="1"/>
        <v>22.5</v>
      </c>
      <c r="AP93" s="4">
        <f t="shared" si="1"/>
        <v>556</v>
      </c>
      <c r="AQ93" s="4">
        <f t="shared" si="1"/>
        <v>4321</v>
      </c>
      <c r="AR93" s="4">
        <f t="shared" ref="AR93:BK93" si="2">AR3</f>
        <v>1881</v>
      </c>
      <c r="AS93" s="4">
        <f t="shared" si="2"/>
        <v>989.8</v>
      </c>
      <c r="AT93" s="4">
        <f t="shared" si="2"/>
        <v>703.8</v>
      </c>
      <c r="AU93" s="4">
        <f t="shared" si="2"/>
        <v>2643.1</v>
      </c>
      <c r="AV93" s="4">
        <f t="shared" si="2"/>
        <v>95.4</v>
      </c>
      <c r="AW93" s="4">
        <f t="shared" si="2"/>
        <v>62.2</v>
      </c>
      <c r="AX93" s="4" t="str">
        <f t="shared" si="2"/>
        <v>-</v>
      </c>
      <c r="AY93" s="4">
        <f t="shared" si="2"/>
        <v>694.1</v>
      </c>
      <c r="AZ93" s="4">
        <f t="shared" si="2"/>
        <v>408.6</v>
      </c>
      <c r="BA93" s="4" t="str">
        <f t="shared" si="2"/>
        <v>-</v>
      </c>
      <c r="BB93" s="4">
        <f t="shared" si="2"/>
        <v>34119.1</v>
      </c>
      <c r="BC93" s="4">
        <f t="shared" si="2"/>
        <v>826.3</v>
      </c>
      <c r="BD93" s="4">
        <f t="shared" si="2"/>
        <v>241</v>
      </c>
      <c r="BE93" s="4">
        <f t="shared" si="2"/>
        <v>4110.3999999999996</v>
      </c>
      <c r="BF93" s="4">
        <f t="shared" si="2"/>
        <v>26.4</v>
      </c>
      <c r="BG93" s="4">
        <f t="shared" si="2"/>
        <v>97.4</v>
      </c>
      <c r="BH93" s="4">
        <f t="shared" si="2"/>
        <v>670.9</v>
      </c>
      <c r="BI93" s="4" t="str">
        <f t="shared" si="2"/>
        <v>-</v>
      </c>
      <c r="BJ93" s="4" t="str">
        <f t="shared" si="2"/>
        <v>-</v>
      </c>
      <c r="BK93" s="4">
        <f t="shared" si="2"/>
        <v>73.099999999999994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M93"/>
  <sheetViews>
    <sheetView workbookViewId="0">
      <pane xSplit="5" ySplit="2" topLeftCell="F3" activePane="bottomRight" state="frozen"/>
      <selection pane="topRight"/>
      <selection pane="bottomLeft"/>
      <selection pane="bottomRight"/>
    </sheetView>
  </sheetViews>
  <sheetFormatPr defaultRowHeight="14.5"/>
  <cols>
    <col min="1" max="1" width="14" customWidth="1"/>
  </cols>
  <sheetData>
    <row r="1" spans="1:6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197</v>
      </c>
      <c r="G1" t="s">
        <v>197</v>
      </c>
      <c r="H1" t="s">
        <v>197</v>
      </c>
      <c r="I1" t="s">
        <v>197</v>
      </c>
      <c r="J1" t="s">
        <v>197</v>
      </c>
      <c r="K1" t="s">
        <v>197</v>
      </c>
      <c r="L1" t="s">
        <v>197</v>
      </c>
      <c r="M1" t="s">
        <v>197</v>
      </c>
      <c r="N1" t="s">
        <v>197</v>
      </c>
      <c r="O1" t="s">
        <v>197</v>
      </c>
      <c r="P1" t="s">
        <v>197</v>
      </c>
      <c r="Q1" t="s">
        <v>197</v>
      </c>
      <c r="R1" t="s">
        <v>197</v>
      </c>
      <c r="S1" t="s">
        <v>197</v>
      </c>
      <c r="T1" t="s">
        <v>197</v>
      </c>
      <c r="U1" t="s">
        <v>197</v>
      </c>
      <c r="V1" t="s">
        <v>197</v>
      </c>
      <c r="W1" t="s">
        <v>197</v>
      </c>
      <c r="X1" t="s">
        <v>197</v>
      </c>
      <c r="Y1" t="s">
        <v>197</v>
      </c>
      <c r="Z1" t="s">
        <v>197</v>
      </c>
      <c r="AA1" t="s">
        <v>197</v>
      </c>
      <c r="AB1" t="s">
        <v>197</v>
      </c>
      <c r="AC1" t="s">
        <v>197</v>
      </c>
      <c r="AD1" t="s">
        <v>197</v>
      </c>
      <c r="AE1" t="s">
        <v>197</v>
      </c>
      <c r="AF1" t="s">
        <v>197</v>
      </c>
      <c r="AG1" t="s">
        <v>197</v>
      </c>
      <c r="AH1" t="s">
        <v>197</v>
      </c>
      <c r="AI1" t="s">
        <v>197</v>
      </c>
      <c r="AJ1" t="s">
        <v>197</v>
      </c>
      <c r="AK1" t="s">
        <v>197</v>
      </c>
      <c r="AL1" t="s">
        <v>197</v>
      </c>
      <c r="AM1" t="s">
        <v>197</v>
      </c>
      <c r="AN1" t="s">
        <v>197</v>
      </c>
      <c r="AO1" t="s">
        <v>197</v>
      </c>
      <c r="AP1" t="s">
        <v>197</v>
      </c>
      <c r="AQ1" t="s">
        <v>197</v>
      </c>
      <c r="AR1" t="s">
        <v>197</v>
      </c>
      <c r="AS1" t="s">
        <v>197</v>
      </c>
      <c r="AT1" t="s">
        <v>197</v>
      </c>
      <c r="AU1" t="s">
        <v>197</v>
      </c>
      <c r="AV1" t="s">
        <v>197</v>
      </c>
      <c r="AW1" t="s">
        <v>197</v>
      </c>
      <c r="AX1" t="s">
        <v>197</v>
      </c>
      <c r="AY1" t="s">
        <v>197</v>
      </c>
      <c r="AZ1" t="s">
        <v>197</v>
      </c>
      <c r="BA1" t="s">
        <v>197</v>
      </c>
      <c r="BB1" t="s">
        <v>197</v>
      </c>
      <c r="BC1" t="s">
        <v>197</v>
      </c>
      <c r="BD1" t="s">
        <v>197</v>
      </c>
      <c r="BE1" t="s">
        <v>197</v>
      </c>
      <c r="BF1" t="s">
        <v>197</v>
      </c>
      <c r="BG1" t="s">
        <v>197</v>
      </c>
      <c r="BH1" t="s">
        <v>197</v>
      </c>
      <c r="BI1" t="s">
        <v>197</v>
      </c>
      <c r="BJ1" t="s">
        <v>197</v>
      </c>
      <c r="BK1" t="s">
        <v>197</v>
      </c>
      <c r="BL1" t="s">
        <v>197</v>
      </c>
      <c r="BM1" t="s">
        <v>197</v>
      </c>
    </row>
    <row r="2" spans="1:6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76</v>
      </c>
      <c r="AM2" t="s">
        <v>77</v>
      </c>
      <c r="AN2" t="s">
        <v>78</v>
      </c>
      <c r="AO2" t="s">
        <v>79</v>
      </c>
      <c r="AP2" t="s">
        <v>80</v>
      </c>
      <c r="AQ2" t="s">
        <v>81</v>
      </c>
      <c r="AR2" t="s">
        <v>82</v>
      </c>
      <c r="AS2" t="s">
        <v>83</v>
      </c>
      <c r="AT2" t="s">
        <v>84</v>
      </c>
      <c r="AU2" t="s">
        <v>85</v>
      </c>
      <c r="AV2" t="s">
        <v>86</v>
      </c>
      <c r="AW2" t="s">
        <v>87</v>
      </c>
      <c r="AX2" t="s">
        <v>88</v>
      </c>
      <c r="AY2" t="s">
        <v>89</v>
      </c>
      <c r="AZ2" t="s">
        <v>90</v>
      </c>
      <c r="BA2" t="s">
        <v>91</v>
      </c>
      <c r="BB2" t="s">
        <v>92</v>
      </c>
      <c r="BC2" t="s">
        <v>93</v>
      </c>
      <c r="BD2" t="s">
        <v>94</v>
      </c>
      <c r="BE2" t="s">
        <v>95</v>
      </c>
      <c r="BF2" t="s">
        <v>96</v>
      </c>
      <c r="BG2" t="s">
        <v>97</v>
      </c>
      <c r="BH2" t="s">
        <v>98</v>
      </c>
      <c r="BI2" t="s">
        <v>99</v>
      </c>
      <c r="BJ2" t="s">
        <v>100</v>
      </c>
      <c r="BK2" t="s">
        <v>101</v>
      </c>
      <c r="BL2" t="s">
        <v>102</v>
      </c>
      <c r="BM2" t="s">
        <v>103</v>
      </c>
    </row>
    <row r="3" spans="1:65">
      <c r="A3" t="s">
        <v>104</v>
      </c>
      <c r="B3" t="s">
        <v>105</v>
      </c>
      <c r="C3" t="s">
        <v>105</v>
      </c>
      <c r="D3" t="s">
        <v>105</v>
      </c>
      <c r="E3" t="s">
        <v>105</v>
      </c>
      <c r="F3">
        <v>424.8</v>
      </c>
      <c r="G3" t="s">
        <v>106</v>
      </c>
      <c r="H3" t="s">
        <v>106</v>
      </c>
      <c r="I3" t="s">
        <v>106</v>
      </c>
      <c r="J3" t="s">
        <v>106</v>
      </c>
      <c r="K3" t="s">
        <v>106</v>
      </c>
      <c r="L3" t="s">
        <v>106</v>
      </c>
      <c r="M3" t="s">
        <v>106</v>
      </c>
      <c r="N3" t="s">
        <v>106</v>
      </c>
      <c r="O3" t="s">
        <v>106</v>
      </c>
      <c r="P3" t="s">
        <v>106</v>
      </c>
      <c r="Q3" t="s">
        <v>106</v>
      </c>
      <c r="R3" t="s">
        <v>106</v>
      </c>
      <c r="S3">
        <v>55</v>
      </c>
      <c r="T3" t="s">
        <v>106</v>
      </c>
      <c r="U3">
        <v>5.2</v>
      </c>
      <c r="V3" t="s">
        <v>106</v>
      </c>
      <c r="W3" t="s">
        <v>106</v>
      </c>
      <c r="X3" t="s">
        <v>106</v>
      </c>
      <c r="Y3" t="s">
        <v>106</v>
      </c>
      <c r="Z3" t="s">
        <v>106</v>
      </c>
      <c r="AA3" t="s">
        <v>106</v>
      </c>
      <c r="AB3" t="s">
        <v>106</v>
      </c>
      <c r="AC3" t="s">
        <v>106</v>
      </c>
      <c r="AD3" t="s">
        <v>106</v>
      </c>
      <c r="AE3" t="s">
        <v>106</v>
      </c>
      <c r="AF3" t="s">
        <v>106</v>
      </c>
      <c r="AG3" t="s">
        <v>106</v>
      </c>
      <c r="AH3" t="s">
        <v>106</v>
      </c>
      <c r="AI3" t="s">
        <v>106</v>
      </c>
      <c r="AJ3" t="s">
        <v>106</v>
      </c>
      <c r="AK3" t="s">
        <v>106</v>
      </c>
      <c r="AL3" t="s">
        <v>106</v>
      </c>
      <c r="AM3" t="s">
        <v>106</v>
      </c>
      <c r="AN3" t="s">
        <v>106</v>
      </c>
      <c r="AO3" t="s">
        <v>106</v>
      </c>
      <c r="AP3" t="s">
        <v>106</v>
      </c>
      <c r="AQ3" t="s">
        <v>106</v>
      </c>
      <c r="AR3">
        <v>2019</v>
      </c>
      <c r="AS3">
        <v>1013.5</v>
      </c>
      <c r="AT3">
        <v>649.29999999999995</v>
      </c>
      <c r="AU3">
        <v>3080.6</v>
      </c>
      <c r="AV3">
        <v>114.3</v>
      </c>
      <c r="AW3">
        <v>81.2</v>
      </c>
      <c r="AX3" t="s">
        <v>106</v>
      </c>
      <c r="AY3">
        <v>704.5</v>
      </c>
      <c r="AZ3">
        <v>390.3</v>
      </c>
      <c r="BA3" t="s">
        <v>106</v>
      </c>
      <c r="BB3">
        <v>33657.199999999997</v>
      </c>
      <c r="BC3">
        <v>651.20000000000005</v>
      </c>
      <c r="BD3">
        <v>255.6</v>
      </c>
      <c r="BE3">
        <v>5264.9</v>
      </c>
      <c r="BF3">
        <v>25.6</v>
      </c>
      <c r="BG3">
        <v>96.9</v>
      </c>
      <c r="BH3">
        <v>677.3</v>
      </c>
      <c r="BI3" t="s">
        <v>106</v>
      </c>
      <c r="BJ3" t="s">
        <v>106</v>
      </c>
      <c r="BK3">
        <v>67.599999999999994</v>
      </c>
      <c r="BL3">
        <v>49234</v>
      </c>
      <c r="BM3">
        <v>15024.3</v>
      </c>
    </row>
    <row r="4" spans="1:65">
      <c r="A4" t="s">
        <v>107</v>
      </c>
      <c r="B4" t="s">
        <v>105</v>
      </c>
      <c r="C4" t="s">
        <v>105</v>
      </c>
      <c r="D4" t="s">
        <v>105</v>
      </c>
      <c r="E4" t="s">
        <v>105</v>
      </c>
      <c r="F4" t="s">
        <v>106</v>
      </c>
      <c r="G4">
        <v>3276.3</v>
      </c>
      <c r="H4">
        <v>14993.2</v>
      </c>
      <c r="I4">
        <v>56592</v>
      </c>
      <c r="J4">
        <v>1040.3</v>
      </c>
      <c r="K4">
        <v>0</v>
      </c>
      <c r="L4">
        <v>35.6</v>
      </c>
      <c r="M4">
        <v>0</v>
      </c>
      <c r="N4">
        <v>234.2</v>
      </c>
      <c r="O4" t="s">
        <v>106</v>
      </c>
      <c r="P4" t="s">
        <v>106</v>
      </c>
      <c r="Q4" t="s">
        <v>106</v>
      </c>
      <c r="R4" t="s">
        <v>106</v>
      </c>
      <c r="S4">
        <v>59987</v>
      </c>
      <c r="T4" t="s">
        <v>106</v>
      </c>
      <c r="U4">
        <v>140812.79999999999</v>
      </c>
      <c r="V4">
        <v>2529.9</v>
      </c>
      <c r="W4" t="s">
        <v>106</v>
      </c>
      <c r="X4" t="s">
        <v>106</v>
      </c>
      <c r="Y4" t="s">
        <v>106</v>
      </c>
      <c r="Z4">
        <v>7426.6</v>
      </c>
      <c r="AA4">
        <v>2230.9</v>
      </c>
      <c r="AB4">
        <v>37.1</v>
      </c>
      <c r="AC4">
        <v>0.7</v>
      </c>
      <c r="AD4" t="s">
        <v>106</v>
      </c>
      <c r="AE4" t="s">
        <v>106</v>
      </c>
      <c r="AF4">
        <v>30.1</v>
      </c>
      <c r="AG4">
        <v>0</v>
      </c>
      <c r="AH4" t="s">
        <v>106</v>
      </c>
      <c r="AI4" t="s">
        <v>106</v>
      </c>
      <c r="AJ4">
        <v>5896.7</v>
      </c>
      <c r="AK4">
        <v>31050.3</v>
      </c>
      <c r="AL4">
        <v>0.3</v>
      </c>
      <c r="AM4">
        <v>150.69999999999999</v>
      </c>
      <c r="AN4">
        <v>535.70000000000005</v>
      </c>
      <c r="AO4" t="s">
        <v>106</v>
      </c>
      <c r="AP4" t="s">
        <v>106</v>
      </c>
      <c r="AQ4" t="s">
        <v>106</v>
      </c>
      <c r="AR4" t="s">
        <v>106</v>
      </c>
      <c r="AS4" t="s">
        <v>106</v>
      </c>
      <c r="AT4" t="s">
        <v>106</v>
      </c>
      <c r="AU4" t="s">
        <v>106</v>
      </c>
      <c r="AV4" t="s">
        <v>106</v>
      </c>
      <c r="AW4" t="s">
        <v>106</v>
      </c>
      <c r="AX4" t="s">
        <v>106</v>
      </c>
      <c r="AY4" t="s">
        <v>106</v>
      </c>
      <c r="AZ4" t="s">
        <v>106</v>
      </c>
      <c r="BA4" t="s">
        <v>106</v>
      </c>
      <c r="BB4" t="s">
        <v>106</v>
      </c>
      <c r="BC4" t="s">
        <v>106</v>
      </c>
      <c r="BD4" t="s">
        <v>106</v>
      </c>
      <c r="BE4" t="s">
        <v>106</v>
      </c>
      <c r="BF4" t="s">
        <v>106</v>
      </c>
      <c r="BG4" t="s">
        <v>106</v>
      </c>
      <c r="BH4" t="s">
        <v>106</v>
      </c>
      <c r="BI4" t="s">
        <v>106</v>
      </c>
      <c r="BJ4" t="s">
        <v>106</v>
      </c>
      <c r="BK4" t="s">
        <v>106</v>
      </c>
      <c r="BL4">
        <v>326860.3</v>
      </c>
      <c r="BM4" t="s">
        <v>106</v>
      </c>
    </row>
    <row r="5" spans="1:65">
      <c r="A5" t="s">
        <v>108</v>
      </c>
      <c r="B5" t="s">
        <v>105</v>
      </c>
      <c r="C5" t="s">
        <v>105</v>
      </c>
      <c r="D5" t="s">
        <v>105</v>
      </c>
      <c r="E5" t="s">
        <v>105</v>
      </c>
      <c r="F5" t="s">
        <v>106</v>
      </c>
      <c r="G5">
        <v>-0.2</v>
      </c>
      <c r="H5" t="s">
        <v>106</v>
      </c>
      <c r="I5" t="s">
        <v>106</v>
      </c>
      <c r="J5">
        <v>0</v>
      </c>
      <c r="K5" t="s">
        <v>106</v>
      </c>
      <c r="L5">
        <v>0</v>
      </c>
      <c r="M5" t="s">
        <v>106</v>
      </c>
      <c r="N5">
        <v>-216.6</v>
      </c>
      <c r="O5" t="s">
        <v>106</v>
      </c>
      <c r="P5" t="s">
        <v>106</v>
      </c>
      <c r="Q5" t="s">
        <v>106</v>
      </c>
      <c r="R5" t="s">
        <v>106</v>
      </c>
      <c r="S5" t="s">
        <v>106</v>
      </c>
      <c r="T5" t="s">
        <v>106</v>
      </c>
      <c r="U5" t="s">
        <v>106</v>
      </c>
      <c r="V5">
        <v>-193.8</v>
      </c>
      <c r="W5" t="s">
        <v>106</v>
      </c>
      <c r="X5">
        <v>-129</v>
      </c>
      <c r="Y5" t="s">
        <v>106</v>
      </c>
      <c r="Z5">
        <v>-277.2</v>
      </c>
      <c r="AA5">
        <v>-44.1</v>
      </c>
      <c r="AB5">
        <v>-12214.3</v>
      </c>
      <c r="AC5">
        <v>-18.7</v>
      </c>
      <c r="AD5" t="s">
        <v>106</v>
      </c>
      <c r="AE5">
        <v>-9057</v>
      </c>
      <c r="AF5">
        <v>-1098.4000000000001</v>
      </c>
      <c r="AG5">
        <v>-25966.2</v>
      </c>
      <c r="AH5">
        <v>-50.2</v>
      </c>
      <c r="AI5" t="s">
        <v>106</v>
      </c>
      <c r="AJ5">
        <v>-1340.2</v>
      </c>
      <c r="AK5">
        <v>-3824.7</v>
      </c>
      <c r="AL5">
        <v>-172.1</v>
      </c>
      <c r="AM5">
        <v>-3540.8</v>
      </c>
      <c r="AN5">
        <v>-2393</v>
      </c>
      <c r="AO5" t="s">
        <v>106</v>
      </c>
      <c r="AP5">
        <v>-4.3</v>
      </c>
      <c r="AQ5">
        <v>-1833.5</v>
      </c>
      <c r="AR5" t="s">
        <v>106</v>
      </c>
      <c r="AS5" t="s">
        <v>106</v>
      </c>
      <c r="AT5" t="s">
        <v>106</v>
      </c>
      <c r="AU5" t="s">
        <v>106</v>
      </c>
      <c r="AV5" t="s">
        <v>106</v>
      </c>
      <c r="AW5" t="s">
        <v>106</v>
      </c>
      <c r="AX5" t="s">
        <v>106</v>
      </c>
      <c r="AY5" t="s">
        <v>106</v>
      </c>
      <c r="AZ5" t="s">
        <v>106</v>
      </c>
      <c r="BA5" t="s">
        <v>106</v>
      </c>
      <c r="BB5" t="s">
        <v>106</v>
      </c>
      <c r="BC5" t="s">
        <v>106</v>
      </c>
      <c r="BD5" t="s">
        <v>106</v>
      </c>
      <c r="BE5" t="s">
        <v>106</v>
      </c>
      <c r="BF5" t="s">
        <v>106</v>
      </c>
      <c r="BG5" t="s">
        <v>106</v>
      </c>
      <c r="BH5" t="s">
        <v>106</v>
      </c>
      <c r="BI5" t="s">
        <v>106</v>
      </c>
      <c r="BJ5" t="s">
        <v>106</v>
      </c>
      <c r="BK5" t="s">
        <v>106</v>
      </c>
      <c r="BL5">
        <v>-62374.400000000001</v>
      </c>
      <c r="BM5" t="s">
        <v>106</v>
      </c>
    </row>
    <row r="6" spans="1:65">
      <c r="A6" t="s">
        <v>109</v>
      </c>
      <c r="B6" t="s">
        <v>105</v>
      </c>
      <c r="C6" t="s">
        <v>105</v>
      </c>
      <c r="D6" t="s">
        <v>105</v>
      </c>
      <c r="E6" t="s">
        <v>105</v>
      </c>
      <c r="F6" t="s">
        <v>106</v>
      </c>
      <c r="G6" t="s">
        <v>106</v>
      </c>
      <c r="H6" t="s">
        <v>106</v>
      </c>
      <c r="I6" t="s">
        <v>106</v>
      </c>
      <c r="J6" t="s">
        <v>106</v>
      </c>
      <c r="K6" t="s">
        <v>106</v>
      </c>
      <c r="L6" t="s">
        <v>106</v>
      </c>
      <c r="M6" t="s">
        <v>106</v>
      </c>
      <c r="N6" t="s">
        <v>106</v>
      </c>
      <c r="O6" t="s">
        <v>106</v>
      </c>
      <c r="P6" t="s">
        <v>106</v>
      </c>
      <c r="Q6" t="s">
        <v>106</v>
      </c>
      <c r="R6" t="s">
        <v>106</v>
      </c>
      <c r="S6">
        <v>-28.6</v>
      </c>
      <c r="T6" t="s">
        <v>106</v>
      </c>
      <c r="U6" t="s">
        <v>106</v>
      </c>
      <c r="V6" t="s">
        <v>106</v>
      </c>
      <c r="W6" t="s">
        <v>106</v>
      </c>
      <c r="X6" t="s">
        <v>106</v>
      </c>
      <c r="Y6" t="s">
        <v>106</v>
      </c>
      <c r="Z6">
        <v>0</v>
      </c>
      <c r="AA6" t="s">
        <v>106</v>
      </c>
      <c r="AB6">
        <v>0</v>
      </c>
      <c r="AC6" t="s">
        <v>106</v>
      </c>
      <c r="AD6" t="s">
        <v>106</v>
      </c>
      <c r="AE6" t="s">
        <v>106</v>
      </c>
      <c r="AF6" t="s">
        <v>106</v>
      </c>
      <c r="AG6">
        <v>-1826.2</v>
      </c>
      <c r="AH6">
        <v>-12.7</v>
      </c>
      <c r="AI6">
        <v>-0.2</v>
      </c>
      <c r="AJ6">
        <v>-9062.9</v>
      </c>
      <c r="AK6" t="s">
        <v>106</v>
      </c>
      <c r="AL6">
        <v>0</v>
      </c>
      <c r="AM6" t="s">
        <v>106</v>
      </c>
      <c r="AN6" t="s">
        <v>106</v>
      </c>
      <c r="AO6" t="s">
        <v>106</v>
      </c>
      <c r="AP6" t="s">
        <v>106</v>
      </c>
      <c r="AQ6" t="s">
        <v>106</v>
      </c>
      <c r="AR6" t="s">
        <v>106</v>
      </c>
      <c r="AS6" t="s">
        <v>106</v>
      </c>
      <c r="AT6" t="s">
        <v>106</v>
      </c>
      <c r="AU6" t="s">
        <v>106</v>
      </c>
      <c r="AV6" t="s">
        <v>106</v>
      </c>
      <c r="AW6" t="s">
        <v>106</v>
      </c>
      <c r="AX6" t="s">
        <v>106</v>
      </c>
      <c r="AY6" t="s">
        <v>106</v>
      </c>
      <c r="AZ6" t="s">
        <v>106</v>
      </c>
      <c r="BA6" t="s">
        <v>106</v>
      </c>
      <c r="BB6" t="s">
        <v>106</v>
      </c>
      <c r="BC6" t="s">
        <v>106</v>
      </c>
      <c r="BD6" t="s">
        <v>106</v>
      </c>
      <c r="BE6" t="s">
        <v>106</v>
      </c>
      <c r="BF6" t="s">
        <v>106</v>
      </c>
      <c r="BG6" t="s">
        <v>106</v>
      </c>
      <c r="BH6" t="s">
        <v>106</v>
      </c>
      <c r="BI6" t="s">
        <v>106</v>
      </c>
      <c r="BJ6" t="s">
        <v>106</v>
      </c>
      <c r="BK6" t="s">
        <v>106</v>
      </c>
      <c r="BL6">
        <v>-10930.7</v>
      </c>
      <c r="BM6" t="s">
        <v>106</v>
      </c>
    </row>
    <row r="7" spans="1:65">
      <c r="A7" t="s">
        <v>110</v>
      </c>
      <c r="B7" t="s">
        <v>105</v>
      </c>
      <c r="C7" t="s">
        <v>105</v>
      </c>
      <c r="D7" t="s">
        <v>105</v>
      </c>
      <c r="E7" t="s">
        <v>105</v>
      </c>
      <c r="F7" t="s">
        <v>106</v>
      </c>
      <c r="G7" t="s">
        <v>106</v>
      </c>
      <c r="H7" t="s">
        <v>106</v>
      </c>
      <c r="I7" t="s">
        <v>106</v>
      </c>
      <c r="J7" t="s">
        <v>106</v>
      </c>
      <c r="K7" t="s">
        <v>106</v>
      </c>
      <c r="L7" t="s">
        <v>106</v>
      </c>
      <c r="M7" t="s">
        <v>106</v>
      </c>
      <c r="N7" t="s">
        <v>106</v>
      </c>
      <c r="O7" t="s">
        <v>106</v>
      </c>
      <c r="P7" t="s">
        <v>106</v>
      </c>
      <c r="Q7" t="s">
        <v>106</v>
      </c>
      <c r="R7" t="s">
        <v>106</v>
      </c>
      <c r="S7" t="s">
        <v>106</v>
      </c>
      <c r="T7" t="s">
        <v>106</v>
      </c>
      <c r="U7" t="s">
        <v>106</v>
      </c>
      <c r="V7" t="s">
        <v>106</v>
      </c>
      <c r="W7" t="s">
        <v>106</v>
      </c>
      <c r="X7" t="s">
        <v>106</v>
      </c>
      <c r="Y7" t="s">
        <v>106</v>
      </c>
      <c r="Z7" t="s">
        <v>106</v>
      </c>
      <c r="AA7" t="s">
        <v>106</v>
      </c>
      <c r="AB7" t="s">
        <v>106</v>
      </c>
      <c r="AC7" t="s">
        <v>106</v>
      </c>
      <c r="AD7" t="s">
        <v>106</v>
      </c>
      <c r="AE7">
        <v>-2745.2</v>
      </c>
      <c r="AF7" t="s">
        <v>106</v>
      </c>
      <c r="AG7" t="s">
        <v>106</v>
      </c>
      <c r="AH7" t="s">
        <v>106</v>
      </c>
      <c r="AI7" t="s">
        <v>106</v>
      </c>
      <c r="AJ7" t="s">
        <v>106</v>
      </c>
      <c r="AK7" t="s">
        <v>106</v>
      </c>
      <c r="AL7" t="s">
        <v>106</v>
      </c>
      <c r="AM7" t="s">
        <v>106</v>
      </c>
      <c r="AN7" t="s">
        <v>106</v>
      </c>
      <c r="AO7" t="s">
        <v>106</v>
      </c>
      <c r="AP7" t="s">
        <v>106</v>
      </c>
      <c r="AQ7" t="s">
        <v>106</v>
      </c>
      <c r="AR7" t="s">
        <v>106</v>
      </c>
      <c r="AS7" t="s">
        <v>106</v>
      </c>
      <c r="AT7" t="s">
        <v>106</v>
      </c>
      <c r="AU7" t="s">
        <v>106</v>
      </c>
      <c r="AV7" t="s">
        <v>106</v>
      </c>
      <c r="AW7" t="s">
        <v>106</v>
      </c>
      <c r="AX7" t="s">
        <v>106</v>
      </c>
      <c r="AY7" t="s">
        <v>106</v>
      </c>
      <c r="AZ7" t="s">
        <v>106</v>
      </c>
      <c r="BA7" t="s">
        <v>106</v>
      </c>
      <c r="BB7" t="s">
        <v>106</v>
      </c>
      <c r="BC7" t="s">
        <v>106</v>
      </c>
      <c r="BD7" t="s">
        <v>106</v>
      </c>
      <c r="BE7" t="s">
        <v>106</v>
      </c>
      <c r="BF7" t="s">
        <v>106</v>
      </c>
      <c r="BG7" t="s">
        <v>106</v>
      </c>
      <c r="BH7" t="s">
        <v>106</v>
      </c>
      <c r="BI7" t="s">
        <v>106</v>
      </c>
      <c r="BJ7" t="s">
        <v>106</v>
      </c>
      <c r="BK7" t="s">
        <v>106</v>
      </c>
      <c r="BL7">
        <v>-2745.2</v>
      </c>
      <c r="BM7" t="s">
        <v>106</v>
      </c>
    </row>
    <row r="8" spans="1:65">
      <c r="A8" t="s">
        <v>111</v>
      </c>
      <c r="B8" t="s">
        <v>105</v>
      </c>
      <c r="C8" t="s">
        <v>105</v>
      </c>
      <c r="D8" t="s">
        <v>105</v>
      </c>
      <c r="E8" t="s">
        <v>105</v>
      </c>
      <c r="F8">
        <v>-18</v>
      </c>
      <c r="G8" t="s">
        <v>106</v>
      </c>
      <c r="H8">
        <v>-124.3</v>
      </c>
      <c r="I8">
        <v>580.20000000000005</v>
      </c>
      <c r="J8" t="s">
        <v>106</v>
      </c>
      <c r="K8" t="s">
        <v>106</v>
      </c>
      <c r="L8" t="s">
        <v>106</v>
      </c>
      <c r="M8" t="s">
        <v>106</v>
      </c>
      <c r="N8">
        <v>-2.9</v>
      </c>
      <c r="O8" t="s">
        <v>106</v>
      </c>
      <c r="P8" t="s">
        <v>106</v>
      </c>
      <c r="Q8" t="s">
        <v>106</v>
      </c>
      <c r="R8" t="s">
        <v>106</v>
      </c>
      <c r="S8">
        <v>-419.4</v>
      </c>
      <c r="T8" t="s">
        <v>106</v>
      </c>
      <c r="U8">
        <v>440.4</v>
      </c>
      <c r="V8">
        <v>-213.3</v>
      </c>
      <c r="W8">
        <v>0.1</v>
      </c>
      <c r="X8">
        <v>12.2</v>
      </c>
      <c r="Y8">
        <v>0</v>
      </c>
      <c r="Z8">
        <v>54.3</v>
      </c>
      <c r="AA8">
        <v>17.3</v>
      </c>
      <c r="AB8">
        <v>-67</v>
      </c>
      <c r="AC8">
        <v>0.7</v>
      </c>
      <c r="AD8" t="s">
        <v>106</v>
      </c>
      <c r="AE8">
        <v>158.69999999999999</v>
      </c>
      <c r="AF8">
        <v>-53.5</v>
      </c>
      <c r="AG8">
        <v>-90.9</v>
      </c>
      <c r="AH8">
        <v>-11.7</v>
      </c>
      <c r="AI8">
        <v>0.4</v>
      </c>
      <c r="AJ8">
        <v>-153.69999999999999</v>
      </c>
      <c r="AK8">
        <v>291.2</v>
      </c>
      <c r="AL8">
        <v>3</v>
      </c>
      <c r="AM8">
        <v>-69.400000000000006</v>
      </c>
      <c r="AN8">
        <v>-2.5</v>
      </c>
      <c r="AO8">
        <v>0</v>
      </c>
      <c r="AP8">
        <v>1.9</v>
      </c>
      <c r="AQ8">
        <v>-15.7</v>
      </c>
      <c r="AR8" t="s">
        <v>106</v>
      </c>
      <c r="AS8" t="s">
        <v>106</v>
      </c>
      <c r="AT8" t="s">
        <v>106</v>
      </c>
      <c r="AU8" t="s">
        <v>106</v>
      </c>
      <c r="AV8" t="s">
        <v>106</v>
      </c>
      <c r="AW8" t="s">
        <v>106</v>
      </c>
      <c r="AX8" t="s">
        <v>106</v>
      </c>
      <c r="AY8">
        <v>-0.6</v>
      </c>
      <c r="AZ8" t="s">
        <v>106</v>
      </c>
      <c r="BA8" t="s">
        <v>106</v>
      </c>
      <c r="BB8" t="s">
        <v>106</v>
      </c>
      <c r="BC8" t="s">
        <v>106</v>
      </c>
      <c r="BD8" t="s">
        <v>106</v>
      </c>
      <c r="BE8" t="s">
        <v>106</v>
      </c>
      <c r="BF8" t="s">
        <v>106</v>
      </c>
      <c r="BG8" t="s">
        <v>106</v>
      </c>
      <c r="BH8" t="s">
        <v>106</v>
      </c>
      <c r="BI8" t="s">
        <v>106</v>
      </c>
      <c r="BJ8" t="s">
        <v>106</v>
      </c>
      <c r="BK8" t="s">
        <v>106</v>
      </c>
      <c r="BL8">
        <v>317.8</v>
      </c>
      <c r="BM8">
        <v>-0.6</v>
      </c>
    </row>
    <row r="9" spans="1:65">
      <c r="A9" t="s">
        <v>112</v>
      </c>
      <c r="B9" t="s">
        <v>105</v>
      </c>
      <c r="C9" t="s">
        <v>105</v>
      </c>
      <c r="D9" t="s">
        <v>105</v>
      </c>
      <c r="E9" t="s">
        <v>105</v>
      </c>
      <c r="F9">
        <v>406.8</v>
      </c>
      <c r="G9">
        <v>3276.1</v>
      </c>
      <c r="H9">
        <v>14868.9</v>
      </c>
      <c r="I9">
        <v>57172.3</v>
      </c>
      <c r="J9">
        <v>1040.3</v>
      </c>
      <c r="K9">
        <v>0</v>
      </c>
      <c r="L9">
        <v>35.6</v>
      </c>
      <c r="M9">
        <v>0</v>
      </c>
      <c r="N9">
        <v>14.7</v>
      </c>
      <c r="O9" t="s">
        <v>106</v>
      </c>
      <c r="P9" t="s">
        <v>106</v>
      </c>
      <c r="Q9" t="s">
        <v>106</v>
      </c>
      <c r="R9" t="s">
        <v>106</v>
      </c>
      <c r="S9">
        <v>59593.9</v>
      </c>
      <c r="T9" t="s">
        <v>106</v>
      </c>
      <c r="U9">
        <v>141258.4</v>
      </c>
      <c r="V9">
        <v>2122.8000000000002</v>
      </c>
      <c r="W9">
        <v>0.1</v>
      </c>
      <c r="X9">
        <v>-116.8</v>
      </c>
      <c r="Y9">
        <v>0</v>
      </c>
      <c r="Z9">
        <v>7203.7</v>
      </c>
      <c r="AA9">
        <v>2204.1999999999998</v>
      </c>
      <c r="AB9">
        <v>-12244.2</v>
      </c>
      <c r="AC9">
        <v>-17.2</v>
      </c>
      <c r="AD9" t="s">
        <v>106</v>
      </c>
      <c r="AE9">
        <v>-11643.4</v>
      </c>
      <c r="AF9">
        <v>-1121.8</v>
      </c>
      <c r="AG9">
        <v>-27883.3</v>
      </c>
      <c r="AH9">
        <v>-74.599999999999994</v>
      </c>
      <c r="AI9">
        <v>0.2</v>
      </c>
      <c r="AJ9">
        <v>-4660.1000000000004</v>
      </c>
      <c r="AK9">
        <v>27516.7</v>
      </c>
      <c r="AL9">
        <v>-168.8</v>
      </c>
      <c r="AM9">
        <v>-3459.5</v>
      </c>
      <c r="AN9">
        <v>-1859.9</v>
      </c>
      <c r="AO9">
        <v>0</v>
      </c>
      <c r="AP9">
        <v>-2.4</v>
      </c>
      <c r="AQ9">
        <v>-1849.2</v>
      </c>
      <c r="AR9">
        <v>2019</v>
      </c>
      <c r="AS9">
        <v>1013.5</v>
      </c>
      <c r="AT9">
        <v>649.29999999999995</v>
      </c>
      <c r="AU9">
        <v>3080.6</v>
      </c>
      <c r="AV9">
        <v>114.3</v>
      </c>
      <c r="AW9">
        <v>81.2</v>
      </c>
      <c r="AX9" t="s">
        <v>106</v>
      </c>
      <c r="AY9">
        <v>703.9</v>
      </c>
      <c r="AZ9">
        <v>390.3</v>
      </c>
      <c r="BA9" t="s">
        <v>106</v>
      </c>
      <c r="BB9">
        <v>33657.199999999997</v>
      </c>
      <c r="BC9">
        <v>651.20000000000005</v>
      </c>
      <c r="BD9">
        <v>255.6</v>
      </c>
      <c r="BE9">
        <v>5264.9</v>
      </c>
      <c r="BF9">
        <v>25.6</v>
      </c>
      <c r="BG9">
        <v>96.9</v>
      </c>
      <c r="BH9">
        <v>677.3</v>
      </c>
      <c r="BI9" t="s">
        <v>106</v>
      </c>
      <c r="BJ9" t="s">
        <v>106</v>
      </c>
      <c r="BK9">
        <v>67.599999999999994</v>
      </c>
      <c r="BL9">
        <v>300361.8</v>
      </c>
      <c r="BM9">
        <v>15023.7</v>
      </c>
    </row>
    <row r="10" spans="1:65">
      <c r="A10" t="s">
        <v>113</v>
      </c>
      <c r="B10" t="s">
        <v>105</v>
      </c>
      <c r="C10" t="s">
        <v>105</v>
      </c>
      <c r="D10" t="s">
        <v>105</v>
      </c>
      <c r="E10" t="s">
        <v>105</v>
      </c>
      <c r="F10" t="s">
        <v>106</v>
      </c>
      <c r="G10" t="s">
        <v>106</v>
      </c>
      <c r="H10" t="s">
        <v>106</v>
      </c>
      <c r="I10" t="s">
        <v>106</v>
      </c>
      <c r="J10" t="s">
        <v>106</v>
      </c>
      <c r="K10" t="s">
        <v>106</v>
      </c>
      <c r="L10" t="s">
        <v>106</v>
      </c>
      <c r="M10" t="s">
        <v>106</v>
      </c>
      <c r="N10" t="s">
        <v>106</v>
      </c>
      <c r="O10" t="s">
        <v>106</v>
      </c>
      <c r="P10" t="s">
        <v>106</v>
      </c>
      <c r="Q10" t="s">
        <v>106</v>
      </c>
      <c r="R10" t="s">
        <v>106</v>
      </c>
      <c r="S10" t="s">
        <v>106</v>
      </c>
      <c r="T10" t="s">
        <v>106</v>
      </c>
      <c r="U10" t="s">
        <v>106</v>
      </c>
      <c r="V10">
        <v>21709.200000000001</v>
      </c>
      <c r="W10" t="s">
        <v>106</v>
      </c>
      <c r="X10" t="s">
        <v>106</v>
      </c>
      <c r="Y10">
        <v>-16.8</v>
      </c>
      <c r="Z10">
        <v>-430.9</v>
      </c>
      <c r="AA10">
        <v>-134.30000000000001</v>
      </c>
      <c r="AB10">
        <v>585.1</v>
      </c>
      <c r="AC10">
        <v>19.3</v>
      </c>
      <c r="AD10" t="s">
        <v>106</v>
      </c>
      <c r="AE10">
        <v>315.39999999999998</v>
      </c>
      <c r="AF10">
        <v>-3908.3</v>
      </c>
      <c r="AG10">
        <v>1946.3</v>
      </c>
      <c r="AH10">
        <v>-7.3</v>
      </c>
      <c r="AI10">
        <v>11.6</v>
      </c>
      <c r="AJ10">
        <v>-5959.2</v>
      </c>
      <c r="AK10">
        <v>-8314.7000000000007</v>
      </c>
      <c r="AL10">
        <v>-151.19999999999999</v>
      </c>
      <c r="AM10">
        <v>-284.2</v>
      </c>
      <c r="AN10">
        <v>765.1</v>
      </c>
      <c r="AO10">
        <v>-3.4</v>
      </c>
      <c r="AP10" t="s">
        <v>106</v>
      </c>
      <c r="AQ10">
        <v>-34.799999999999997</v>
      </c>
      <c r="AR10" t="s">
        <v>106</v>
      </c>
      <c r="AS10" t="s">
        <v>106</v>
      </c>
      <c r="AT10" t="s">
        <v>106</v>
      </c>
      <c r="AU10" t="s">
        <v>106</v>
      </c>
      <c r="AV10" t="s">
        <v>106</v>
      </c>
      <c r="AW10" t="s">
        <v>106</v>
      </c>
      <c r="AX10" t="s">
        <v>106</v>
      </c>
      <c r="AY10" t="s">
        <v>106</v>
      </c>
      <c r="AZ10" t="s">
        <v>106</v>
      </c>
      <c r="BA10" t="s">
        <v>106</v>
      </c>
      <c r="BB10" t="s">
        <v>106</v>
      </c>
      <c r="BC10" t="s">
        <v>106</v>
      </c>
      <c r="BD10" t="s">
        <v>106</v>
      </c>
      <c r="BE10" t="s">
        <v>106</v>
      </c>
      <c r="BF10" t="s">
        <v>106</v>
      </c>
      <c r="BG10" t="s">
        <v>106</v>
      </c>
      <c r="BH10" t="s">
        <v>106</v>
      </c>
      <c r="BI10" t="s">
        <v>106</v>
      </c>
      <c r="BJ10" t="s">
        <v>106</v>
      </c>
      <c r="BK10" t="s">
        <v>106</v>
      </c>
      <c r="BL10">
        <v>6107</v>
      </c>
      <c r="BM10">
        <v>-16.8</v>
      </c>
    </row>
    <row r="11" spans="1:65">
      <c r="A11" t="s">
        <v>114</v>
      </c>
      <c r="B11" t="s">
        <v>105</v>
      </c>
      <c r="C11" t="s">
        <v>105</v>
      </c>
      <c r="D11" t="s">
        <v>105</v>
      </c>
      <c r="E11" t="s">
        <v>105</v>
      </c>
      <c r="F11">
        <v>-5.2</v>
      </c>
      <c r="G11">
        <v>0.2</v>
      </c>
      <c r="H11">
        <v>2922.9</v>
      </c>
      <c r="I11">
        <v>-1502.9</v>
      </c>
      <c r="J11" t="s">
        <v>106</v>
      </c>
      <c r="K11" t="s">
        <v>106</v>
      </c>
      <c r="L11" t="s">
        <v>106</v>
      </c>
      <c r="M11" t="s">
        <v>106</v>
      </c>
      <c r="N11">
        <v>-10.9</v>
      </c>
      <c r="O11" t="s">
        <v>106</v>
      </c>
      <c r="P11" t="s">
        <v>106</v>
      </c>
      <c r="Q11" t="s">
        <v>106</v>
      </c>
      <c r="R11" t="s">
        <v>106</v>
      </c>
      <c r="S11">
        <v>195.9</v>
      </c>
      <c r="T11">
        <v>281.8</v>
      </c>
      <c r="U11">
        <v>-264.2</v>
      </c>
      <c r="V11">
        <v>73.8</v>
      </c>
      <c r="W11">
        <v>-0.2</v>
      </c>
      <c r="X11">
        <v>0</v>
      </c>
      <c r="Y11">
        <v>217.3</v>
      </c>
      <c r="Z11">
        <v>43.3</v>
      </c>
      <c r="AA11">
        <v>-0.8</v>
      </c>
      <c r="AB11">
        <v>2.9</v>
      </c>
      <c r="AC11">
        <v>0</v>
      </c>
      <c r="AD11" t="s">
        <v>106</v>
      </c>
      <c r="AE11">
        <v>6.2</v>
      </c>
      <c r="AF11">
        <v>14.6</v>
      </c>
      <c r="AG11">
        <v>-19.2</v>
      </c>
      <c r="AH11">
        <v>-0.2</v>
      </c>
      <c r="AI11">
        <v>0</v>
      </c>
      <c r="AJ11">
        <v>13.4</v>
      </c>
      <c r="AK11">
        <v>-198.5</v>
      </c>
      <c r="AL11">
        <v>-1.6</v>
      </c>
      <c r="AM11">
        <v>37.1</v>
      </c>
      <c r="AN11">
        <v>22.8</v>
      </c>
      <c r="AO11">
        <v>0.1</v>
      </c>
      <c r="AP11">
        <v>-0.1</v>
      </c>
      <c r="AQ11">
        <v>2.2000000000000002</v>
      </c>
      <c r="AR11" t="s">
        <v>106</v>
      </c>
      <c r="AS11" t="s">
        <v>106</v>
      </c>
      <c r="AT11" t="s">
        <v>106</v>
      </c>
      <c r="AU11" t="s">
        <v>106</v>
      </c>
      <c r="AV11" t="s">
        <v>106</v>
      </c>
      <c r="AW11">
        <v>0</v>
      </c>
      <c r="AX11" t="s">
        <v>106</v>
      </c>
      <c r="AY11">
        <v>0</v>
      </c>
      <c r="AZ11" t="s">
        <v>106</v>
      </c>
      <c r="BA11" t="s">
        <v>106</v>
      </c>
      <c r="BB11" t="s">
        <v>106</v>
      </c>
      <c r="BC11" t="s">
        <v>106</v>
      </c>
      <c r="BD11" t="s">
        <v>106</v>
      </c>
      <c r="BE11" t="s">
        <v>106</v>
      </c>
      <c r="BF11" t="s">
        <v>106</v>
      </c>
      <c r="BG11">
        <v>0</v>
      </c>
      <c r="BH11">
        <v>0</v>
      </c>
      <c r="BI11" t="s">
        <v>106</v>
      </c>
      <c r="BJ11" t="s">
        <v>106</v>
      </c>
      <c r="BK11" t="s">
        <v>106</v>
      </c>
      <c r="BL11">
        <v>1830.9</v>
      </c>
      <c r="BM11">
        <v>217.4</v>
      </c>
    </row>
    <row r="12" spans="1:65">
      <c r="A12" t="s">
        <v>115</v>
      </c>
      <c r="B12" t="s">
        <v>105</v>
      </c>
      <c r="C12" t="s">
        <v>105</v>
      </c>
      <c r="D12" t="s">
        <v>105</v>
      </c>
      <c r="E12" t="s">
        <v>105</v>
      </c>
      <c r="F12">
        <v>401.6</v>
      </c>
      <c r="G12">
        <v>3276.3</v>
      </c>
      <c r="H12">
        <v>17791.8</v>
      </c>
      <c r="I12">
        <v>55669.4</v>
      </c>
      <c r="J12">
        <v>1040.3</v>
      </c>
      <c r="K12">
        <v>0</v>
      </c>
      <c r="L12">
        <v>35.6</v>
      </c>
      <c r="M12">
        <v>0</v>
      </c>
      <c r="N12">
        <v>3.8</v>
      </c>
      <c r="O12" t="s">
        <v>106</v>
      </c>
      <c r="P12" t="s">
        <v>106</v>
      </c>
      <c r="Q12" t="s">
        <v>106</v>
      </c>
      <c r="R12" t="s">
        <v>106</v>
      </c>
      <c r="S12">
        <v>59789.8</v>
      </c>
      <c r="T12">
        <v>281.8</v>
      </c>
      <c r="U12">
        <v>140994.20000000001</v>
      </c>
      <c r="V12">
        <v>23905.8</v>
      </c>
      <c r="W12">
        <v>-0.1</v>
      </c>
      <c r="X12">
        <v>-116.8</v>
      </c>
      <c r="Y12">
        <v>200.6</v>
      </c>
      <c r="Z12">
        <v>6816</v>
      </c>
      <c r="AA12">
        <v>2069</v>
      </c>
      <c r="AB12">
        <v>-11656.2</v>
      </c>
      <c r="AC12">
        <v>2.1</v>
      </c>
      <c r="AD12" t="s">
        <v>106</v>
      </c>
      <c r="AE12">
        <v>-11321.8</v>
      </c>
      <c r="AF12">
        <v>-5015.5</v>
      </c>
      <c r="AG12">
        <v>-25956.1</v>
      </c>
      <c r="AH12">
        <v>-82.1</v>
      </c>
      <c r="AI12">
        <v>11.8</v>
      </c>
      <c r="AJ12">
        <v>-10606</v>
      </c>
      <c r="AK12">
        <v>19003.599999999999</v>
      </c>
      <c r="AL12">
        <v>-321.7</v>
      </c>
      <c r="AM12">
        <v>-3706.6</v>
      </c>
      <c r="AN12">
        <v>-1072</v>
      </c>
      <c r="AO12">
        <v>-3.3</v>
      </c>
      <c r="AP12">
        <v>-2.5</v>
      </c>
      <c r="AQ12">
        <v>-1881.8</v>
      </c>
      <c r="AR12">
        <v>2019</v>
      </c>
      <c r="AS12">
        <v>1013.5</v>
      </c>
      <c r="AT12">
        <v>649.29999999999995</v>
      </c>
      <c r="AU12">
        <v>3080.6</v>
      </c>
      <c r="AV12">
        <v>114.3</v>
      </c>
      <c r="AW12">
        <v>81.3</v>
      </c>
      <c r="AX12" t="s">
        <v>106</v>
      </c>
      <c r="AY12">
        <v>703.9</v>
      </c>
      <c r="AZ12">
        <v>390.3</v>
      </c>
      <c r="BA12" t="s">
        <v>106</v>
      </c>
      <c r="BB12">
        <v>33657.199999999997</v>
      </c>
      <c r="BC12">
        <v>651.20000000000005</v>
      </c>
      <c r="BD12">
        <v>255.6</v>
      </c>
      <c r="BE12">
        <v>5264.9</v>
      </c>
      <c r="BF12">
        <v>25.6</v>
      </c>
      <c r="BG12">
        <v>96.9</v>
      </c>
      <c r="BH12">
        <v>677.3</v>
      </c>
      <c r="BI12" t="s">
        <v>106</v>
      </c>
      <c r="BJ12" t="s">
        <v>106</v>
      </c>
      <c r="BK12">
        <v>67.599999999999994</v>
      </c>
      <c r="BL12">
        <v>308299.7</v>
      </c>
      <c r="BM12">
        <v>15224.4</v>
      </c>
    </row>
    <row r="13" spans="1:65">
      <c r="A13" t="s">
        <v>116</v>
      </c>
      <c r="B13" t="s">
        <v>105</v>
      </c>
      <c r="C13" t="s">
        <v>105</v>
      </c>
      <c r="D13" t="s">
        <v>105</v>
      </c>
      <c r="E13" t="s">
        <v>105</v>
      </c>
      <c r="F13">
        <v>-401.6</v>
      </c>
      <c r="G13">
        <v>-252.8</v>
      </c>
      <c r="H13">
        <v>-17791.8</v>
      </c>
      <c r="I13">
        <v>-51958.5</v>
      </c>
      <c r="J13">
        <v>-1040.3</v>
      </c>
      <c r="K13" t="s">
        <v>106</v>
      </c>
      <c r="L13" t="s">
        <v>106</v>
      </c>
      <c r="M13">
        <v>206.5</v>
      </c>
      <c r="N13">
        <v>710</v>
      </c>
      <c r="O13">
        <v>530.20000000000005</v>
      </c>
      <c r="P13">
        <v>2810</v>
      </c>
      <c r="Q13">
        <v>2385.4</v>
      </c>
      <c r="R13">
        <v>282.5</v>
      </c>
      <c r="S13">
        <v>-56824.800000000003</v>
      </c>
      <c r="T13">
        <v>23885.3</v>
      </c>
      <c r="U13">
        <v>-140994.20000000001</v>
      </c>
      <c r="V13">
        <v>-23899.8</v>
      </c>
      <c r="W13">
        <v>0.1</v>
      </c>
      <c r="X13">
        <v>116.8</v>
      </c>
      <c r="Y13">
        <v>2123.1</v>
      </c>
      <c r="Z13">
        <v>217.4</v>
      </c>
      <c r="AA13">
        <v>1926.2</v>
      </c>
      <c r="AB13">
        <v>22194.9</v>
      </c>
      <c r="AC13" t="s">
        <v>106</v>
      </c>
      <c r="AD13" t="s">
        <v>106</v>
      </c>
      <c r="AE13">
        <v>13472.8</v>
      </c>
      <c r="AF13">
        <v>7315.8</v>
      </c>
      <c r="AG13">
        <v>48398.6</v>
      </c>
      <c r="AH13">
        <v>240.9</v>
      </c>
      <c r="AI13">
        <v>10.199999999999999</v>
      </c>
      <c r="AJ13">
        <v>11422.5</v>
      </c>
      <c r="AK13">
        <v>26339.7</v>
      </c>
      <c r="AL13">
        <v>519</v>
      </c>
      <c r="AM13">
        <v>4925.8</v>
      </c>
      <c r="AN13">
        <v>2581.8000000000002</v>
      </c>
      <c r="AO13">
        <v>27.9</v>
      </c>
      <c r="AP13">
        <v>608.1</v>
      </c>
      <c r="AQ13">
        <v>4950.8</v>
      </c>
      <c r="AR13">
        <v>-232.1</v>
      </c>
      <c r="AS13">
        <v>-128.19999999999999</v>
      </c>
      <c r="AT13">
        <v>-293.10000000000002</v>
      </c>
      <c r="AU13">
        <v>-1844.2</v>
      </c>
      <c r="AV13">
        <v>-49.4</v>
      </c>
      <c r="AW13">
        <v>-75.5</v>
      </c>
      <c r="AX13" t="s">
        <v>106</v>
      </c>
      <c r="AY13" t="s">
        <v>106</v>
      </c>
      <c r="AZ13">
        <v>-390.3</v>
      </c>
      <c r="BA13" t="s">
        <v>106</v>
      </c>
      <c r="BB13">
        <v>-33657.199999999997</v>
      </c>
      <c r="BC13">
        <v>-651.20000000000005</v>
      </c>
      <c r="BD13" t="s">
        <v>106</v>
      </c>
      <c r="BE13">
        <v>-5264.9</v>
      </c>
      <c r="BF13" t="s">
        <v>106</v>
      </c>
      <c r="BG13">
        <v>-96.9</v>
      </c>
      <c r="BH13">
        <v>-677.3</v>
      </c>
      <c r="BI13" t="s">
        <v>106</v>
      </c>
      <c r="BJ13">
        <v>52912.9</v>
      </c>
      <c r="BK13">
        <v>7189.3</v>
      </c>
      <c r="BL13">
        <v>-98219.6</v>
      </c>
      <c r="BM13">
        <v>-2102.1999999999998</v>
      </c>
    </row>
    <row r="14" spans="1:65">
      <c r="B14" t="s">
        <v>117</v>
      </c>
      <c r="C14" t="s">
        <v>105</v>
      </c>
      <c r="D14" t="s">
        <v>105</v>
      </c>
      <c r="E14" t="s">
        <v>105</v>
      </c>
      <c r="F14">
        <v>-189.2</v>
      </c>
      <c r="G14">
        <v>-252.8</v>
      </c>
      <c r="H14" t="s">
        <v>106</v>
      </c>
      <c r="I14">
        <v>-42496.1</v>
      </c>
      <c r="J14">
        <v>-1040.3</v>
      </c>
      <c r="K14" t="s">
        <v>106</v>
      </c>
      <c r="L14" t="s">
        <v>106</v>
      </c>
      <c r="M14" t="s">
        <v>106</v>
      </c>
      <c r="N14" t="s">
        <v>106</v>
      </c>
      <c r="O14" t="s">
        <v>106</v>
      </c>
      <c r="P14">
        <v>-674.7</v>
      </c>
      <c r="Q14">
        <v>-2996.5</v>
      </c>
      <c r="R14">
        <v>-1562.9</v>
      </c>
      <c r="S14">
        <v>-22713</v>
      </c>
      <c r="T14">
        <v>-9.6</v>
      </c>
      <c r="U14" t="s">
        <v>106</v>
      </c>
      <c r="V14" t="s">
        <v>106</v>
      </c>
      <c r="W14" t="s">
        <v>106</v>
      </c>
      <c r="X14" t="s">
        <v>106</v>
      </c>
      <c r="Y14">
        <v>-322.8</v>
      </c>
      <c r="Z14">
        <v>-18.2</v>
      </c>
      <c r="AA14">
        <v>-0.5</v>
      </c>
      <c r="AB14">
        <v>0</v>
      </c>
      <c r="AC14" t="s">
        <v>106</v>
      </c>
      <c r="AD14" t="s">
        <v>106</v>
      </c>
      <c r="AE14" t="s">
        <v>106</v>
      </c>
      <c r="AF14">
        <v>-162.80000000000001</v>
      </c>
      <c r="AG14">
        <v>-88.5</v>
      </c>
      <c r="AH14" t="s">
        <v>106</v>
      </c>
      <c r="AI14" t="s">
        <v>106</v>
      </c>
      <c r="AJ14">
        <v>-291.10000000000002</v>
      </c>
      <c r="AK14" t="s">
        <v>106</v>
      </c>
      <c r="AL14" t="s">
        <v>106</v>
      </c>
      <c r="AM14" t="s">
        <v>106</v>
      </c>
      <c r="AN14" t="s">
        <v>106</v>
      </c>
      <c r="AO14" t="s">
        <v>106</v>
      </c>
      <c r="AP14" t="s">
        <v>106</v>
      </c>
      <c r="AQ14" t="s">
        <v>106</v>
      </c>
      <c r="AR14">
        <v>-68.400000000000006</v>
      </c>
      <c r="AS14">
        <v>-39.799999999999997</v>
      </c>
      <c r="AT14">
        <v>-37.4</v>
      </c>
      <c r="AU14">
        <v>-998.9</v>
      </c>
      <c r="AV14">
        <v>-43.5</v>
      </c>
      <c r="AW14">
        <v>-40</v>
      </c>
      <c r="AX14" t="s">
        <v>106</v>
      </c>
      <c r="AY14" t="s">
        <v>106</v>
      </c>
      <c r="AZ14">
        <v>-390.3</v>
      </c>
      <c r="BA14" t="s">
        <v>106</v>
      </c>
      <c r="BB14">
        <v>-33657.199999999997</v>
      </c>
      <c r="BC14">
        <v>-651.20000000000005</v>
      </c>
      <c r="BD14" t="s">
        <v>106</v>
      </c>
      <c r="BE14">
        <v>-5264.9</v>
      </c>
      <c r="BF14" t="s">
        <v>106</v>
      </c>
      <c r="BG14">
        <v>-96.9</v>
      </c>
      <c r="BH14">
        <v>-677.3</v>
      </c>
      <c r="BI14">
        <v>-1023.1</v>
      </c>
      <c r="BJ14">
        <v>47189.2</v>
      </c>
      <c r="BK14" t="s">
        <v>106</v>
      </c>
      <c r="BL14">
        <v>-68618.8</v>
      </c>
      <c r="BM14">
        <v>-15355.3</v>
      </c>
    </row>
    <row r="15" spans="1:65">
      <c r="C15" t="s">
        <v>118</v>
      </c>
      <c r="D15" t="s">
        <v>105</v>
      </c>
      <c r="E15" t="s">
        <v>105</v>
      </c>
      <c r="F15">
        <v>-189.2</v>
      </c>
      <c r="G15">
        <v>-252.8</v>
      </c>
      <c r="H15" t="s">
        <v>106</v>
      </c>
      <c r="I15">
        <v>-42471.8</v>
      </c>
      <c r="J15">
        <v>-1040.3</v>
      </c>
      <c r="K15" t="s">
        <v>106</v>
      </c>
      <c r="L15" t="s">
        <v>106</v>
      </c>
      <c r="M15" t="s">
        <v>106</v>
      </c>
      <c r="N15" t="s">
        <v>106</v>
      </c>
      <c r="O15" t="s">
        <v>106</v>
      </c>
      <c r="P15" t="s">
        <v>106</v>
      </c>
      <c r="Q15" t="s">
        <v>106</v>
      </c>
      <c r="R15">
        <v>-466.6</v>
      </c>
      <c r="S15">
        <v>-22126.9</v>
      </c>
      <c r="T15" t="s">
        <v>106</v>
      </c>
      <c r="U15" t="s">
        <v>106</v>
      </c>
      <c r="V15" t="s">
        <v>106</v>
      </c>
      <c r="W15" t="s">
        <v>106</v>
      </c>
      <c r="X15" t="s">
        <v>106</v>
      </c>
      <c r="Y15" t="s">
        <v>106</v>
      </c>
      <c r="Z15">
        <v>-18.2</v>
      </c>
      <c r="AA15">
        <v>-0.5</v>
      </c>
      <c r="AB15">
        <v>0</v>
      </c>
      <c r="AC15" t="s">
        <v>106</v>
      </c>
      <c r="AD15" t="s">
        <v>106</v>
      </c>
      <c r="AE15" t="s">
        <v>106</v>
      </c>
      <c r="AF15">
        <v>-162.80000000000001</v>
      </c>
      <c r="AG15">
        <v>-88.5</v>
      </c>
      <c r="AH15" t="s">
        <v>106</v>
      </c>
      <c r="AI15" t="s">
        <v>106</v>
      </c>
      <c r="AJ15">
        <v>-291.10000000000002</v>
      </c>
      <c r="AK15" t="s">
        <v>106</v>
      </c>
      <c r="AL15" t="s">
        <v>106</v>
      </c>
      <c r="AM15" t="s">
        <v>106</v>
      </c>
      <c r="AN15" t="s">
        <v>106</v>
      </c>
      <c r="AO15" t="s">
        <v>106</v>
      </c>
      <c r="AP15" t="s">
        <v>106</v>
      </c>
      <c r="AQ15" t="s">
        <v>106</v>
      </c>
      <c r="AR15">
        <v>-56.1</v>
      </c>
      <c r="AS15">
        <v>-39.799999999999997</v>
      </c>
      <c r="AT15">
        <v>-37.4</v>
      </c>
      <c r="AU15">
        <v>-998.9</v>
      </c>
      <c r="AV15">
        <v>-35.6</v>
      </c>
      <c r="AW15">
        <v>-40</v>
      </c>
      <c r="AX15" t="s">
        <v>106</v>
      </c>
      <c r="AY15" t="s">
        <v>106</v>
      </c>
      <c r="AZ15">
        <v>-390.3</v>
      </c>
      <c r="BA15" t="s">
        <v>106</v>
      </c>
      <c r="BB15">
        <v>-33657.199999999997</v>
      </c>
      <c r="BC15">
        <v>-650.6</v>
      </c>
      <c r="BD15" t="s">
        <v>106</v>
      </c>
      <c r="BE15">
        <v>-4648.2</v>
      </c>
      <c r="BF15" t="s">
        <v>106</v>
      </c>
      <c r="BG15">
        <v>-96.9</v>
      </c>
      <c r="BH15">
        <v>-675.2</v>
      </c>
      <c r="BI15">
        <v>-1006.9</v>
      </c>
      <c r="BJ15">
        <v>44407.4</v>
      </c>
      <c r="BK15" t="s">
        <v>106</v>
      </c>
      <c r="BL15">
        <v>-65034.5</v>
      </c>
      <c r="BM15">
        <v>-9609.2999999999993</v>
      </c>
    </row>
    <row r="16" spans="1:65">
      <c r="C16" t="s">
        <v>119</v>
      </c>
      <c r="D16" t="s">
        <v>105</v>
      </c>
      <c r="E16" t="s">
        <v>105</v>
      </c>
      <c r="F16" t="s">
        <v>106</v>
      </c>
      <c r="G16" t="s">
        <v>106</v>
      </c>
      <c r="H16" t="s">
        <v>106</v>
      </c>
      <c r="I16">
        <v>-24.4</v>
      </c>
      <c r="J16" t="s">
        <v>106</v>
      </c>
      <c r="K16" t="s">
        <v>106</v>
      </c>
      <c r="L16" t="s">
        <v>106</v>
      </c>
      <c r="M16" t="s">
        <v>106</v>
      </c>
      <c r="N16" t="s">
        <v>106</v>
      </c>
      <c r="O16" t="s">
        <v>106</v>
      </c>
      <c r="P16">
        <v>-674.7</v>
      </c>
      <c r="Q16">
        <v>-2996.5</v>
      </c>
      <c r="R16">
        <v>-1096.3</v>
      </c>
      <c r="S16">
        <v>-586.1</v>
      </c>
      <c r="T16">
        <v>-9.6</v>
      </c>
      <c r="U16" t="s">
        <v>106</v>
      </c>
      <c r="V16" t="s">
        <v>106</v>
      </c>
      <c r="W16" t="s">
        <v>106</v>
      </c>
      <c r="X16" t="s">
        <v>106</v>
      </c>
      <c r="Y16">
        <v>-322.8</v>
      </c>
      <c r="Z16" t="s">
        <v>106</v>
      </c>
      <c r="AA16" t="s">
        <v>106</v>
      </c>
      <c r="AB16" t="s">
        <v>106</v>
      </c>
      <c r="AC16" t="s">
        <v>106</v>
      </c>
      <c r="AD16" t="s">
        <v>106</v>
      </c>
      <c r="AE16" t="s">
        <v>106</v>
      </c>
      <c r="AF16" t="s">
        <v>106</v>
      </c>
      <c r="AG16">
        <v>0</v>
      </c>
      <c r="AH16" t="s">
        <v>106</v>
      </c>
      <c r="AI16" t="s">
        <v>106</v>
      </c>
      <c r="AJ16" t="s">
        <v>106</v>
      </c>
      <c r="AK16" t="s">
        <v>106</v>
      </c>
      <c r="AL16" t="s">
        <v>106</v>
      </c>
      <c r="AM16" t="s">
        <v>106</v>
      </c>
      <c r="AN16" t="s">
        <v>106</v>
      </c>
      <c r="AO16" t="s">
        <v>106</v>
      </c>
      <c r="AP16" t="s">
        <v>106</v>
      </c>
      <c r="AQ16" t="s">
        <v>106</v>
      </c>
      <c r="AR16">
        <v>-12.3</v>
      </c>
      <c r="AS16">
        <v>0</v>
      </c>
      <c r="AT16" t="s">
        <v>106</v>
      </c>
      <c r="AU16" t="s">
        <v>106</v>
      </c>
      <c r="AV16">
        <v>-7.9</v>
      </c>
      <c r="AW16" t="s">
        <v>106</v>
      </c>
      <c r="AX16" t="s">
        <v>106</v>
      </c>
      <c r="AY16" t="s">
        <v>106</v>
      </c>
      <c r="AZ16" t="s">
        <v>106</v>
      </c>
      <c r="BA16" t="s">
        <v>106</v>
      </c>
      <c r="BB16" t="s">
        <v>106</v>
      </c>
      <c r="BC16">
        <v>-0.6</v>
      </c>
      <c r="BD16" t="s">
        <v>106</v>
      </c>
      <c r="BE16">
        <v>-616.70000000000005</v>
      </c>
      <c r="BF16" t="s">
        <v>106</v>
      </c>
      <c r="BG16">
        <v>0</v>
      </c>
      <c r="BH16">
        <v>-2.2000000000000002</v>
      </c>
      <c r="BI16">
        <v>-16.2</v>
      </c>
      <c r="BJ16">
        <v>2781.8</v>
      </c>
      <c r="BK16" t="s">
        <v>106</v>
      </c>
      <c r="BL16">
        <v>-3584.3</v>
      </c>
      <c r="BM16">
        <v>-5746.1</v>
      </c>
    </row>
    <row r="17" spans="1:65">
      <c r="B17" t="s">
        <v>120</v>
      </c>
      <c r="C17" t="s">
        <v>105</v>
      </c>
      <c r="D17" t="s">
        <v>105</v>
      </c>
      <c r="E17" t="s">
        <v>105</v>
      </c>
      <c r="F17" t="s">
        <v>106</v>
      </c>
      <c r="G17" t="s">
        <v>106</v>
      </c>
      <c r="H17" t="s">
        <v>106</v>
      </c>
      <c r="I17">
        <v>-4307.7</v>
      </c>
      <c r="J17" t="s">
        <v>106</v>
      </c>
      <c r="K17" t="s">
        <v>106</v>
      </c>
      <c r="L17" t="s">
        <v>106</v>
      </c>
      <c r="M17" t="s">
        <v>106</v>
      </c>
      <c r="N17" t="s">
        <v>106</v>
      </c>
      <c r="O17" t="s">
        <v>106</v>
      </c>
      <c r="P17" t="s">
        <v>106</v>
      </c>
      <c r="Q17" t="s">
        <v>106</v>
      </c>
      <c r="R17" t="s">
        <v>106</v>
      </c>
      <c r="S17">
        <v>-9122.2000000000007</v>
      </c>
      <c r="T17">
        <v>-585.79999999999995</v>
      </c>
      <c r="U17" t="s">
        <v>106</v>
      </c>
      <c r="V17" t="s">
        <v>106</v>
      </c>
      <c r="W17" t="s">
        <v>106</v>
      </c>
      <c r="X17" t="s">
        <v>106</v>
      </c>
      <c r="Y17">
        <v>-1167.8</v>
      </c>
      <c r="Z17">
        <v>-163.69999999999999</v>
      </c>
      <c r="AA17" t="s">
        <v>106</v>
      </c>
      <c r="AB17" t="s">
        <v>106</v>
      </c>
      <c r="AC17" t="s">
        <v>106</v>
      </c>
      <c r="AD17" t="s">
        <v>106</v>
      </c>
      <c r="AE17" t="s">
        <v>106</v>
      </c>
      <c r="AF17">
        <v>-0.3</v>
      </c>
      <c r="AG17">
        <v>0</v>
      </c>
      <c r="AH17" t="s">
        <v>106</v>
      </c>
      <c r="AI17" t="s">
        <v>106</v>
      </c>
      <c r="AJ17">
        <v>-123.3</v>
      </c>
      <c r="AK17" t="s">
        <v>106</v>
      </c>
      <c r="AL17" t="s">
        <v>106</v>
      </c>
      <c r="AM17" t="s">
        <v>106</v>
      </c>
      <c r="AN17" t="s">
        <v>106</v>
      </c>
      <c r="AO17" t="s">
        <v>106</v>
      </c>
      <c r="AP17" t="s">
        <v>106</v>
      </c>
      <c r="AQ17">
        <v>-404.2</v>
      </c>
      <c r="AR17">
        <v>-30.2</v>
      </c>
      <c r="AS17">
        <v>-88.4</v>
      </c>
      <c r="AT17">
        <v>-221.9</v>
      </c>
      <c r="AU17">
        <v>-835.5</v>
      </c>
      <c r="AV17">
        <v>-1.8</v>
      </c>
      <c r="AW17" t="s">
        <v>106</v>
      </c>
      <c r="AX17" t="s">
        <v>106</v>
      </c>
      <c r="AY17" t="s">
        <v>106</v>
      </c>
      <c r="AZ17" t="s">
        <v>106</v>
      </c>
      <c r="BA17" t="s">
        <v>106</v>
      </c>
      <c r="BB17" t="s">
        <v>106</v>
      </c>
      <c r="BC17" t="s">
        <v>106</v>
      </c>
      <c r="BD17" t="s">
        <v>106</v>
      </c>
      <c r="BE17" t="s">
        <v>106</v>
      </c>
      <c r="BF17" t="s">
        <v>106</v>
      </c>
      <c r="BG17" t="s">
        <v>106</v>
      </c>
      <c r="BH17" t="s">
        <v>106</v>
      </c>
      <c r="BI17" t="s">
        <v>106</v>
      </c>
      <c r="BJ17">
        <v>5708.5</v>
      </c>
      <c r="BK17">
        <v>6856.6</v>
      </c>
      <c r="BL17">
        <v>-4487.7</v>
      </c>
      <c r="BM17">
        <v>-2345.6</v>
      </c>
    </row>
    <row r="18" spans="1:65">
      <c r="C18" t="s">
        <v>121</v>
      </c>
      <c r="D18" t="s">
        <v>105</v>
      </c>
      <c r="E18" t="s">
        <v>105</v>
      </c>
      <c r="F18" t="s">
        <v>106</v>
      </c>
      <c r="G18" t="s">
        <v>106</v>
      </c>
      <c r="H18" t="s">
        <v>106</v>
      </c>
      <c r="I18" t="s">
        <v>106</v>
      </c>
      <c r="J18" t="s">
        <v>106</v>
      </c>
      <c r="K18" t="s">
        <v>106</v>
      </c>
      <c r="L18" t="s">
        <v>106</v>
      </c>
      <c r="M18" t="s">
        <v>106</v>
      </c>
      <c r="N18" t="s">
        <v>106</v>
      </c>
      <c r="O18" t="s">
        <v>106</v>
      </c>
      <c r="P18" t="s">
        <v>106</v>
      </c>
      <c r="Q18" t="s">
        <v>106</v>
      </c>
      <c r="R18" t="s">
        <v>106</v>
      </c>
      <c r="S18">
        <v>-8214.4</v>
      </c>
      <c r="T18">
        <v>-475.8</v>
      </c>
      <c r="U18" t="s">
        <v>106</v>
      </c>
      <c r="V18" t="s">
        <v>106</v>
      </c>
      <c r="W18" t="s">
        <v>106</v>
      </c>
      <c r="X18" t="s">
        <v>106</v>
      </c>
      <c r="Y18" t="s">
        <v>106</v>
      </c>
      <c r="Z18">
        <v>-31.5</v>
      </c>
      <c r="AA18" t="s">
        <v>106</v>
      </c>
      <c r="AB18" t="s">
        <v>106</v>
      </c>
      <c r="AC18" t="s">
        <v>106</v>
      </c>
      <c r="AD18" t="s">
        <v>106</v>
      </c>
      <c r="AE18" t="s">
        <v>106</v>
      </c>
      <c r="AF18">
        <v>-0.3</v>
      </c>
      <c r="AG18">
        <v>0</v>
      </c>
      <c r="AH18" t="s">
        <v>106</v>
      </c>
      <c r="AI18" t="s">
        <v>106</v>
      </c>
      <c r="AJ18">
        <v>-8.1</v>
      </c>
      <c r="AK18" t="s">
        <v>106</v>
      </c>
      <c r="AL18" t="s">
        <v>106</v>
      </c>
      <c r="AM18" t="s">
        <v>106</v>
      </c>
      <c r="AN18" t="s">
        <v>106</v>
      </c>
      <c r="AO18" t="s">
        <v>106</v>
      </c>
      <c r="AP18" t="s">
        <v>106</v>
      </c>
      <c r="AQ18" t="s">
        <v>106</v>
      </c>
      <c r="AR18">
        <v>-27.9</v>
      </c>
      <c r="AS18">
        <v>-66</v>
      </c>
      <c r="AT18">
        <v>-2.6</v>
      </c>
      <c r="AU18">
        <v>-75.900000000000006</v>
      </c>
      <c r="AV18">
        <v>-0.7</v>
      </c>
      <c r="AW18" t="s">
        <v>106</v>
      </c>
      <c r="AX18" t="s">
        <v>106</v>
      </c>
      <c r="AY18" t="s">
        <v>106</v>
      </c>
      <c r="AZ18" t="s">
        <v>106</v>
      </c>
      <c r="BA18" t="s">
        <v>106</v>
      </c>
      <c r="BB18" t="s">
        <v>106</v>
      </c>
      <c r="BC18" t="s">
        <v>106</v>
      </c>
      <c r="BD18" t="s">
        <v>106</v>
      </c>
      <c r="BE18" t="s">
        <v>106</v>
      </c>
      <c r="BF18" t="s">
        <v>106</v>
      </c>
      <c r="BG18" t="s">
        <v>106</v>
      </c>
      <c r="BH18" t="s">
        <v>106</v>
      </c>
      <c r="BI18" t="s">
        <v>106</v>
      </c>
      <c r="BJ18">
        <v>3755.8</v>
      </c>
      <c r="BK18">
        <v>2864.6</v>
      </c>
      <c r="BL18">
        <v>-2282.6999999999998</v>
      </c>
      <c r="BM18">
        <v>-173.1</v>
      </c>
    </row>
    <row r="19" spans="1:65">
      <c r="C19" t="s">
        <v>122</v>
      </c>
      <c r="D19" t="s">
        <v>105</v>
      </c>
      <c r="E19" t="s">
        <v>105</v>
      </c>
      <c r="F19" t="s">
        <v>106</v>
      </c>
      <c r="G19" t="s">
        <v>106</v>
      </c>
      <c r="H19" t="s">
        <v>106</v>
      </c>
      <c r="I19">
        <v>-4307.7</v>
      </c>
      <c r="J19" t="s">
        <v>106</v>
      </c>
      <c r="K19" t="s">
        <v>106</v>
      </c>
      <c r="L19" t="s">
        <v>106</v>
      </c>
      <c r="M19" t="s">
        <v>106</v>
      </c>
      <c r="N19" t="s">
        <v>106</v>
      </c>
      <c r="O19" t="s">
        <v>106</v>
      </c>
      <c r="P19" t="s">
        <v>106</v>
      </c>
      <c r="Q19" t="s">
        <v>106</v>
      </c>
      <c r="R19" t="s">
        <v>106</v>
      </c>
      <c r="S19">
        <v>-907.8</v>
      </c>
      <c r="T19">
        <v>-110</v>
      </c>
      <c r="U19" t="s">
        <v>106</v>
      </c>
      <c r="V19" t="s">
        <v>106</v>
      </c>
      <c r="W19" t="s">
        <v>106</v>
      </c>
      <c r="X19" t="s">
        <v>106</v>
      </c>
      <c r="Y19">
        <v>-1167.8</v>
      </c>
      <c r="Z19">
        <v>-132.30000000000001</v>
      </c>
      <c r="AA19" t="s">
        <v>106</v>
      </c>
      <c r="AB19" t="s">
        <v>106</v>
      </c>
      <c r="AC19" t="s">
        <v>106</v>
      </c>
      <c r="AD19" t="s">
        <v>106</v>
      </c>
      <c r="AE19" t="s">
        <v>106</v>
      </c>
      <c r="AF19" t="s">
        <v>106</v>
      </c>
      <c r="AG19" t="s">
        <v>106</v>
      </c>
      <c r="AH19" t="s">
        <v>106</v>
      </c>
      <c r="AI19" t="s">
        <v>106</v>
      </c>
      <c r="AJ19">
        <v>-115.3</v>
      </c>
      <c r="AK19" t="s">
        <v>106</v>
      </c>
      <c r="AL19" t="s">
        <v>106</v>
      </c>
      <c r="AM19" t="s">
        <v>106</v>
      </c>
      <c r="AN19" t="s">
        <v>106</v>
      </c>
      <c r="AO19" t="s">
        <v>106</v>
      </c>
      <c r="AP19" t="s">
        <v>106</v>
      </c>
      <c r="AQ19">
        <v>-404.2</v>
      </c>
      <c r="AR19">
        <v>-2.2999999999999998</v>
      </c>
      <c r="AS19">
        <v>-22.4</v>
      </c>
      <c r="AT19">
        <v>-219.2</v>
      </c>
      <c r="AU19">
        <v>-759.6</v>
      </c>
      <c r="AV19">
        <v>-1.1000000000000001</v>
      </c>
      <c r="AW19" t="s">
        <v>106</v>
      </c>
      <c r="AX19" t="s">
        <v>106</v>
      </c>
      <c r="AY19" t="s">
        <v>106</v>
      </c>
      <c r="AZ19" t="s">
        <v>106</v>
      </c>
      <c r="BA19" t="s">
        <v>106</v>
      </c>
      <c r="BB19" t="s">
        <v>106</v>
      </c>
      <c r="BC19" t="s">
        <v>106</v>
      </c>
      <c r="BD19" t="s">
        <v>106</v>
      </c>
      <c r="BE19" t="s">
        <v>106</v>
      </c>
      <c r="BF19" t="s">
        <v>106</v>
      </c>
      <c r="BG19" t="s">
        <v>106</v>
      </c>
      <c r="BH19" t="s">
        <v>106</v>
      </c>
      <c r="BI19" t="s">
        <v>106</v>
      </c>
      <c r="BJ19">
        <v>1952.6</v>
      </c>
      <c r="BK19">
        <v>3992</v>
      </c>
      <c r="BL19">
        <v>-2205</v>
      </c>
      <c r="BM19">
        <v>-2172.4</v>
      </c>
    </row>
    <row r="20" spans="1:65">
      <c r="B20" t="s">
        <v>123</v>
      </c>
      <c r="C20" t="s">
        <v>105</v>
      </c>
      <c r="D20" t="s">
        <v>105</v>
      </c>
      <c r="E20" t="s">
        <v>105</v>
      </c>
      <c r="F20" t="s">
        <v>106</v>
      </c>
      <c r="G20" t="s">
        <v>106</v>
      </c>
      <c r="H20" t="s">
        <v>106</v>
      </c>
      <c r="I20" t="s">
        <v>106</v>
      </c>
      <c r="J20" t="s">
        <v>106</v>
      </c>
      <c r="K20" t="s">
        <v>106</v>
      </c>
      <c r="L20" t="s">
        <v>106</v>
      </c>
      <c r="M20" t="s">
        <v>106</v>
      </c>
      <c r="N20" t="s">
        <v>106</v>
      </c>
      <c r="O20" t="s">
        <v>106</v>
      </c>
      <c r="P20" t="s">
        <v>106</v>
      </c>
      <c r="Q20" t="s">
        <v>106</v>
      </c>
      <c r="R20" t="s">
        <v>106</v>
      </c>
      <c r="S20">
        <v>-21.4</v>
      </c>
      <c r="T20">
        <v>-157.9</v>
      </c>
      <c r="U20" t="s">
        <v>106</v>
      </c>
      <c r="V20" t="s">
        <v>106</v>
      </c>
      <c r="W20" t="s">
        <v>106</v>
      </c>
      <c r="X20" t="s">
        <v>106</v>
      </c>
      <c r="Y20" t="s">
        <v>106</v>
      </c>
      <c r="Z20">
        <v>-90.3</v>
      </c>
      <c r="AA20" t="s">
        <v>106</v>
      </c>
      <c r="AB20" t="s">
        <v>106</v>
      </c>
      <c r="AC20" t="s">
        <v>106</v>
      </c>
      <c r="AD20" t="s">
        <v>106</v>
      </c>
      <c r="AE20" t="s">
        <v>106</v>
      </c>
      <c r="AF20">
        <v>-3.6</v>
      </c>
      <c r="AG20">
        <v>-0.5</v>
      </c>
      <c r="AH20" t="s">
        <v>106</v>
      </c>
      <c r="AI20" t="s">
        <v>106</v>
      </c>
      <c r="AJ20">
        <v>-160.5</v>
      </c>
      <c r="AK20" t="s">
        <v>106</v>
      </c>
      <c r="AL20" t="s">
        <v>106</v>
      </c>
      <c r="AM20" t="s">
        <v>106</v>
      </c>
      <c r="AN20" t="s">
        <v>106</v>
      </c>
      <c r="AO20" t="s">
        <v>106</v>
      </c>
      <c r="AP20" t="s">
        <v>106</v>
      </c>
      <c r="AQ20" t="s">
        <v>106</v>
      </c>
      <c r="AR20">
        <v>-133.5</v>
      </c>
      <c r="AS20" t="s">
        <v>106</v>
      </c>
      <c r="AT20">
        <v>-33.9</v>
      </c>
      <c r="AU20">
        <v>-9.6999999999999993</v>
      </c>
      <c r="AV20">
        <v>-4.0999999999999996</v>
      </c>
      <c r="AW20">
        <v>-35.6</v>
      </c>
      <c r="AX20" t="s">
        <v>106</v>
      </c>
      <c r="AY20" t="s">
        <v>106</v>
      </c>
      <c r="AZ20" t="s">
        <v>106</v>
      </c>
      <c r="BA20" t="s">
        <v>106</v>
      </c>
      <c r="BB20" t="s">
        <v>106</v>
      </c>
      <c r="BC20" t="s">
        <v>106</v>
      </c>
      <c r="BD20" t="s">
        <v>106</v>
      </c>
      <c r="BE20" t="s">
        <v>106</v>
      </c>
      <c r="BF20" t="s">
        <v>106</v>
      </c>
      <c r="BG20" t="s">
        <v>106</v>
      </c>
      <c r="BH20" t="s">
        <v>106</v>
      </c>
      <c r="BI20" t="s">
        <v>106</v>
      </c>
      <c r="BJ20" t="s">
        <v>106</v>
      </c>
      <c r="BK20">
        <v>373.2</v>
      </c>
      <c r="BL20">
        <v>-277.60000000000002</v>
      </c>
      <c r="BM20">
        <v>-216.7</v>
      </c>
    </row>
    <row r="21" spans="1:65">
      <c r="C21" t="s">
        <v>124</v>
      </c>
      <c r="D21" t="s">
        <v>105</v>
      </c>
      <c r="E21" t="s">
        <v>105</v>
      </c>
      <c r="F21" t="s">
        <v>106</v>
      </c>
      <c r="G21" t="s">
        <v>106</v>
      </c>
      <c r="H21" t="s">
        <v>106</v>
      </c>
      <c r="I21" t="s">
        <v>106</v>
      </c>
      <c r="J21" t="s">
        <v>106</v>
      </c>
      <c r="K21" t="s">
        <v>106</v>
      </c>
      <c r="L21" t="s">
        <v>106</v>
      </c>
      <c r="M21" t="s">
        <v>106</v>
      </c>
      <c r="N21" t="s">
        <v>106</v>
      </c>
      <c r="O21" t="s">
        <v>106</v>
      </c>
      <c r="P21" t="s">
        <v>106</v>
      </c>
      <c r="Q21" t="s">
        <v>106</v>
      </c>
      <c r="R21" t="s">
        <v>106</v>
      </c>
      <c r="S21">
        <v>-21.4</v>
      </c>
      <c r="T21">
        <v>-157.9</v>
      </c>
      <c r="U21" t="s">
        <v>106</v>
      </c>
      <c r="V21" t="s">
        <v>106</v>
      </c>
      <c r="W21" t="s">
        <v>106</v>
      </c>
      <c r="X21" t="s">
        <v>106</v>
      </c>
      <c r="Y21" t="s">
        <v>106</v>
      </c>
      <c r="Z21">
        <v>-71.400000000000006</v>
      </c>
      <c r="AA21" t="s">
        <v>106</v>
      </c>
      <c r="AB21" t="s">
        <v>106</v>
      </c>
      <c r="AC21" t="s">
        <v>106</v>
      </c>
      <c r="AD21" t="s">
        <v>106</v>
      </c>
      <c r="AE21" t="s">
        <v>106</v>
      </c>
      <c r="AF21">
        <v>-3.6</v>
      </c>
      <c r="AG21" t="s">
        <v>106</v>
      </c>
      <c r="AH21" t="s">
        <v>106</v>
      </c>
      <c r="AI21" t="s">
        <v>106</v>
      </c>
      <c r="AJ21">
        <v>-160.5</v>
      </c>
      <c r="AK21" t="s">
        <v>106</v>
      </c>
      <c r="AL21" t="s">
        <v>106</v>
      </c>
      <c r="AM21" t="s">
        <v>106</v>
      </c>
      <c r="AN21" t="s">
        <v>106</v>
      </c>
      <c r="AO21" t="s">
        <v>106</v>
      </c>
      <c r="AP21" t="s">
        <v>106</v>
      </c>
      <c r="AQ21" t="s">
        <v>106</v>
      </c>
      <c r="AR21" t="s">
        <v>106</v>
      </c>
      <c r="AS21" t="s">
        <v>106</v>
      </c>
      <c r="AT21" t="s">
        <v>106</v>
      </c>
      <c r="AU21" t="s">
        <v>106</v>
      </c>
      <c r="AV21">
        <v>-4.0999999999999996</v>
      </c>
      <c r="AW21">
        <v>-35.6</v>
      </c>
      <c r="AX21" t="s">
        <v>106</v>
      </c>
      <c r="AY21" t="s">
        <v>106</v>
      </c>
      <c r="AZ21" t="s">
        <v>106</v>
      </c>
      <c r="BA21" t="s">
        <v>106</v>
      </c>
      <c r="BB21" t="s">
        <v>106</v>
      </c>
      <c r="BC21" t="s">
        <v>106</v>
      </c>
      <c r="BD21" t="s">
        <v>106</v>
      </c>
      <c r="BE21" t="s">
        <v>106</v>
      </c>
      <c r="BF21" t="s">
        <v>106</v>
      </c>
      <c r="BG21" t="s">
        <v>106</v>
      </c>
      <c r="BH21" t="s">
        <v>106</v>
      </c>
      <c r="BI21" t="s">
        <v>106</v>
      </c>
      <c r="BJ21" t="s">
        <v>106</v>
      </c>
      <c r="BK21">
        <v>225.2</v>
      </c>
      <c r="BL21">
        <v>-229.3</v>
      </c>
      <c r="BM21">
        <v>-39.700000000000003</v>
      </c>
    </row>
    <row r="22" spans="1:65">
      <c r="C22" t="s">
        <v>125</v>
      </c>
      <c r="D22" t="s">
        <v>105</v>
      </c>
      <c r="E22" t="s">
        <v>105</v>
      </c>
      <c r="F22" t="s">
        <v>106</v>
      </c>
      <c r="G22" t="s">
        <v>106</v>
      </c>
      <c r="H22" t="s">
        <v>106</v>
      </c>
      <c r="I22" t="s">
        <v>106</v>
      </c>
      <c r="J22" t="s">
        <v>106</v>
      </c>
      <c r="K22" t="s">
        <v>106</v>
      </c>
      <c r="L22" t="s">
        <v>106</v>
      </c>
      <c r="M22" t="s">
        <v>106</v>
      </c>
      <c r="N22" t="s">
        <v>106</v>
      </c>
      <c r="O22" t="s">
        <v>106</v>
      </c>
      <c r="P22" t="s">
        <v>106</v>
      </c>
      <c r="Q22" t="s">
        <v>106</v>
      </c>
      <c r="R22" t="s">
        <v>106</v>
      </c>
      <c r="S22" t="s">
        <v>106</v>
      </c>
      <c r="T22" t="s">
        <v>106</v>
      </c>
      <c r="U22" t="s">
        <v>106</v>
      </c>
      <c r="V22" t="s">
        <v>106</v>
      </c>
      <c r="W22" t="s">
        <v>106</v>
      </c>
      <c r="X22" t="s">
        <v>106</v>
      </c>
      <c r="Y22" t="s">
        <v>106</v>
      </c>
      <c r="Z22">
        <v>-18.899999999999999</v>
      </c>
      <c r="AA22" t="s">
        <v>106</v>
      </c>
      <c r="AB22" t="s">
        <v>106</v>
      </c>
      <c r="AC22" t="s">
        <v>106</v>
      </c>
      <c r="AD22" t="s">
        <v>106</v>
      </c>
      <c r="AE22" t="s">
        <v>106</v>
      </c>
      <c r="AF22" t="s">
        <v>106</v>
      </c>
      <c r="AG22">
        <v>-0.5</v>
      </c>
      <c r="AH22" t="s">
        <v>106</v>
      </c>
      <c r="AI22" t="s">
        <v>106</v>
      </c>
      <c r="AJ22" t="s">
        <v>106</v>
      </c>
      <c r="AK22" t="s">
        <v>106</v>
      </c>
      <c r="AL22" t="s">
        <v>106</v>
      </c>
      <c r="AM22" t="s">
        <v>106</v>
      </c>
      <c r="AN22" t="s">
        <v>106</v>
      </c>
      <c r="AO22" t="s">
        <v>106</v>
      </c>
      <c r="AP22" t="s">
        <v>106</v>
      </c>
      <c r="AQ22" t="s">
        <v>106</v>
      </c>
      <c r="AR22">
        <v>-133.5</v>
      </c>
      <c r="AS22" t="s">
        <v>106</v>
      </c>
      <c r="AT22">
        <v>-33.9</v>
      </c>
      <c r="AU22">
        <v>-9.6999999999999993</v>
      </c>
      <c r="AV22" t="s">
        <v>106</v>
      </c>
      <c r="AW22" t="s">
        <v>106</v>
      </c>
      <c r="AX22" t="s">
        <v>106</v>
      </c>
      <c r="AY22" t="s">
        <v>106</v>
      </c>
      <c r="AZ22" t="s">
        <v>106</v>
      </c>
      <c r="BA22" t="s">
        <v>106</v>
      </c>
      <c r="BB22" t="s">
        <v>106</v>
      </c>
      <c r="BC22" t="s">
        <v>106</v>
      </c>
      <c r="BD22" t="s">
        <v>106</v>
      </c>
      <c r="BE22" t="s">
        <v>106</v>
      </c>
      <c r="BF22" t="s">
        <v>106</v>
      </c>
      <c r="BG22" t="s">
        <v>106</v>
      </c>
      <c r="BH22" t="s">
        <v>106</v>
      </c>
      <c r="BI22" t="s">
        <v>106</v>
      </c>
      <c r="BJ22" t="s">
        <v>106</v>
      </c>
      <c r="BK22">
        <v>148</v>
      </c>
      <c r="BL22">
        <v>-48.3</v>
      </c>
      <c r="BM22">
        <v>-177</v>
      </c>
    </row>
    <row r="23" spans="1:65">
      <c r="B23" t="s">
        <v>126</v>
      </c>
      <c r="C23" t="s">
        <v>105</v>
      </c>
      <c r="D23" t="s">
        <v>105</v>
      </c>
      <c r="E23" t="s">
        <v>105</v>
      </c>
      <c r="F23" t="s">
        <v>106</v>
      </c>
      <c r="G23" t="s">
        <v>106</v>
      </c>
      <c r="H23" t="s">
        <v>106</v>
      </c>
      <c r="I23" t="s">
        <v>106</v>
      </c>
      <c r="J23" t="s">
        <v>106</v>
      </c>
      <c r="K23" t="s">
        <v>106</v>
      </c>
      <c r="L23" t="s">
        <v>106</v>
      </c>
      <c r="M23" t="s">
        <v>106</v>
      </c>
      <c r="N23" t="s">
        <v>106</v>
      </c>
      <c r="O23" t="s">
        <v>106</v>
      </c>
      <c r="P23" t="s">
        <v>106</v>
      </c>
      <c r="Q23" t="s">
        <v>106</v>
      </c>
      <c r="R23" t="s">
        <v>106</v>
      </c>
      <c r="S23" t="s">
        <v>106</v>
      </c>
      <c r="T23" t="s">
        <v>106</v>
      </c>
      <c r="U23" t="s">
        <v>106</v>
      </c>
      <c r="V23" t="s">
        <v>106</v>
      </c>
      <c r="W23" t="s">
        <v>106</v>
      </c>
      <c r="X23" t="s">
        <v>106</v>
      </c>
      <c r="Y23" t="s">
        <v>106</v>
      </c>
      <c r="Z23" t="s">
        <v>106</v>
      </c>
      <c r="AA23" t="s">
        <v>106</v>
      </c>
      <c r="AB23" t="s">
        <v>106</v>
      </c>
      <c r="AC23" t="s">
        <v>106</v>
      </c>
      <c r="AD23" t="s">
        <v>106</v>
      </c>
      <c r="AE23" t="s">
        <v>106</v>
      </c>
      <c r="AF23" t="s">
        <v>106</v>
      </c>
      <c r="AG23" t="s">
        <v>106</v>
      </c>
      <c r="AH23" t="s">
        <v>106</v>
      </c>
      <c r="AI23" t="s">
        <v>106</v>
      </c>
      <c r="AJ23" t="s">
        <v>106</v>
      </c>
      <c r="AK23" t="s">
        <v>106</v>
      </c>
      <c r="AL23" t="s">
        <v>106</v>
      </c>
      <c r="AM23" t="s">
        <v>106</v>
      </c>
      <c r="AN23" t="s">
        <v>106</v>
      </c>
      <c r="AO23" t="s">
        <v>106</v>
      </c>
      <c r="AP23" t="s">
        <v>106</v>
      </c>
      <c r="AQ23" t="s">
        <v>106</v>
      </c>
      <c r="AR23" t="s">
        <v>106</v>
      </c>
      <c r="AS23" t="s">
        <v>106</v>
      </c>
      <c r="AT23" t="s">
        <v>106</v>
      </c>
      <c r="AU23" t="s">
        <v>106</v>
      </c>
      <c r="AV23" t="s">
        <v>106</v>
      </c>
      <c r="AW23" t="s">
        <v>106</v>
      </c>
      <c r="AX23" t="s">
        <v>106</v>
      </c>
      <c r="AY23" t="s">
        <v>106</v>
      </c>
      <c r="AZ23" t="s">
        <v>106</v>
      </c>
      <c r="BA23" t="s">
        <v>106</v>
      </c>
      <c r="BB23" t="s">
        <v>106</v>
      </c>
      <c r="BC23" t="s">
        <v>106</v>
      </c>
      <c r="BD23" t="s">
        <v>106</v>
      </c>
      <c r="BE23" t="s">
        <v>106</v>
      </c>
      <c r="BF23" t="s">
        <v>106</v>
      </c>
      <c r="BG23" t="s">
        <v>106</v>
      </c>
      <c r="BH23" t="s">
        <v>106</v>
      </c>
      <c r="BI23" t="s">
        <v>106</v>
      </c>
      <c r="BJ23">
        <v>15.2</v>
      </c>
      <c r="BK23">
        <v>-40.5</v>
      </c>
      <c r="BL23">
        <v>-25.3</v>
      </c>
      <c r="BM23" t="s">
        <v>106</v>
      </c>
    </row>
    <row r="24" spans="1:65">
      <c r="B24" t="s">
        <v>127</v>
      </c>
      <c r="C24" t="s">
        <v>105</v>
      </c>
      <c r="D24" t="s">
        <v>105</v>
      </c>
      <c r="E24" t="s">
        <v>105</v>
      </c>
      <c r="F24" t="s">
        <v>106</v>
      </c>
      <c r="G24" t="s">
        <v>106</v>
      </c>
      <c r="H24">
        <v>-16794.099999999999</v>
      </c>
      <c r="I24" t="s">
        <v>106</v>
      </c>
      <c r="J24" t="s">
        <v>106</v>
      </c>
      <c r="K24" t="s">
        <v>106</v>
      </c>
      <c r="L24" t="s">
        <v>106</v>
      </c>
      <c r="M24" t="s">
        <v>106</v>
      </c>
      <c r="N24">
        <v>10987.8</v>
      </c>
      <c r="O24">
        <v>530.20000000000005</v>
      </c>
      <c r="P24">
        <v>3484.7</v>
      </c>
      <c r="Q24" t="s">
        <v>106</v>
      </c>
      <c r="R24" t="s">
        <v>106</v>
      </c>
      <c r="S24" t="s">
        <v>106</v>
      </c>
      <c r="T24" t="s">
        <v>106</v>
      </c>
      <c r="U24" t="s">
        <v>106</v>
      </c>
      <c r="V24" t="s">
        <v>106</v>
      </c>
      <c r="W24" t="s">
        <v>106</v>
      </c>
      <c r="X24" t="s">
        <v>106</v>
      </c>
      <c r="Y24" t="s">
        <v>106</v>
      </c>
      <c r="Z24" t="s">
        <v>106</v>
      </c>
      <c r="AA24" t="s">
        <v>106</v>
      </c>
      <c r="AB24" t="s">
        <v>106</v>
      </c>
      <c r="AC24" t="s">
        <v>106</v>
      </c>
      <c r="AD24" t="s">
        <v>106</v>
      </c>
      <c r="AE24" t="s">
        <v>106</v>
      </c>
      <c r="AF24" t="s">
        <v>106</v>
      </c>
      <c r="AG24" t="s">
        <v>106</v>
      </c>
      <c r="AH24" t="s">
        <v>106</v>
      </c>
      <c r="AI24" t="s">
        <v>106</v>
      </c>
      <c r="AJ24" t="s">
        <v>106</v>
      </c>
      <c r="AK24" t="s">
        <v>106</v>
      </c>
      <c r="AL24" t="s">
        <v>106</v>
      </c>
      <c r="AM24" t="s">
        <v>106</v>
      </c>
      <c r="AN24" t="s">
        <v>106</v>
      </c>
      <c r="AO24" t="s">
        <v>106</v>
      </c>
      <c r="AP24" t="s">
        <v>106</v>
      </c>
      <c r="AQ24" t="s">
        <v>106</v>
      </c>
      <c r="AR24" t="s">
        <v>106</v>
      </c>
      <c r="AS24" t="s">
        <v>106</v>
      </c>
      <c r="AT24" t="s">
        <v>106</v>
      </c>
      <c r="AU24" t="s">
        <v>106</v>
      </c>
      <c r="AV24" t="s">
        <v>106</v>
      </c>
      <c r="AW24" t="s">
        <v>106</v>
      </c>
      <c r="AX24" t="s">
        <v>106</v>
      </c>
      <c r="AY24" t="s">
        <v>106</v>
      </c>
      <c r="AZ24" t="s">
        <v>106</v>
      </c>
      <c r="BA24" t="s">
        <v>106</v>
      </c>
      <c r="BB24" t="s">
        <v>106</v>
      </c>
      <c r="BC24" t="s">
        <v>106</v>
      </c>
      <c r="BD24" t="s">
        <v>106</v>
      </c>
      <c r="BE24" t="s">
        <v>106</v>
      </c>
      <c r="BF24" t="s">
        <v>106</v>
      </c>
      <c r="BG24" t="s">
        <v>106</v>
      </c>
      <c r="BH24" t="s">
        <v>106</v>
      </c>
      <c r="BI24" t="s">
        <v>106</v>
      </c>
      <c r="BJ24" t="s">
        <v>106</v>
      </c>
      <c r="BK24" t="s">
        <v>106</v>
      </c>
      <c r="BL24">
        <v>-1791.3</v>
      </c>
      <c r="BM24" t="s">
        <v>106</v>
      </c>
    </row>
    <row r="25" spans="1:65">
      <c r="B25" t="s">
        <v>128</v>
      </c>
      <c r="C25" t="s">
        <v>105</v>
      </c>
      <c r="D25" t="s">
        <v>105</v>
      </c>
      <c r="E25" t="s">
        <v>105</v>
      </c>
      <c r="F25" t="s">
        <v>106</v>
      </c>
      <c r="G25" t="s">
        <v>106</v>
      </c>
      <c r="H25">
        <v>-997.7</v>
      </c>
      <c r="I25">
        <v>-4791.3999999999996</v>
      </c>
      <c r="J25" t="s">
        <v>106</v>
      </c>
      <c r="K25" t="s">
        <v>106</v>
      </c>
      <c r="L25" t="s">
        <v>106</v>
      </c>
      <c r="M25" t="s">
        <v>106</v>
      </c>
      <c r="N25">
        <v>-10277.799999999999</v>
      </c>
      <c r="O25" t="s">
        <v>106</v>
      </c>
      <c r="P25" t="s">
        <v>106</v>
      </c>
      <c r="Q25">
        <v>5381.9</v>
      </c>
      <c r="R25">
        <v>1378.8</v>
      </c>
      <c r="S25" t="s">
        <v>106</v>
      </c>
      <c r="T25" t="s">
        <v>106</v>
      </c>
      <c r="U25" t="s">
        <v>106</v>
      </c>
      <c r="V25" t="s">
        <v>106</v>
      </c>
      <c r="W25" t="s">
        <v>106</v>
      </c>
      <c r="X25" t="s">
        <v>106</v>
      </c>
      <c r="Y25" t="s">
        <v>106</v>
      </c>
      <c r="Z25" t="s">
        <v>106</v>
      </c>
      <c r="AA25" t="s">
        <v>106</v>
      </c>
      <c r="AB25" t="s">
        <v>106</v>
      </c>
      <c r="AC25" t="s">
        <v>106</v>
      </c>
      <c r="AD25" t="s">
        <v>106</v>
      </c>
      <c r="AE25" t="s">
        <v>106</v>
      </c>
      <c r="AF25" t="s">
        <v>106</v>
      </c>
      <c r="AG25" t="s">
        <v>106</v>
      </c>
      <c r="AH25" t="s">
        <v>106</v>
      </c>
      <c r="AI25" t="s">
        <v>106</v>
      </c>
      <c r="AJ25" t="s">
        <v>106</v>
      </c>
      <c r="AK25" t="s">
        <v>106</v>
      </c>
      <c r="AL25" t="s">
        <v>106</v>
      </c>
      <c r="AM25" t="s">
        <v>106</v>
      </c>
      <c r="AN25" t="s">
        <v>106</v>
      </c>
      <c r="AO25" t="s">
        <v>106</v>
      </c>
      <c r="AP25" t="s">
        <v>106</v>
      </c>
      <c r="AQ25" t="s">
        <v>106</v>
      </c>
      <c r="AR25" t="s">
        <v>106</v>
      </c>
      <c r="AS25" t="s">
        <v>106</v>
      </c>
      <c r="AT25" t="s">
        <v>106</v>
      </c>
      <c r="AU25" t="s">
        <v>106</v>
      </c>
      <c r="AV25" t="s">
        <v>106</v>
      </c>
      <c r="AW25" t="s">
        <v>106</v>
      </c>
      <c r="AX25" t="s">
        <v>106</v>
      </c>
      <c r="AY25" t="s">
        <v>106</v>
      </c>
      <c r="AZ25" t="s">
        <v>106</v>
      </c>
      <c r="BA25" t="s">
        <v>106</v>
      </c>
      <c r="BB25" t="s">
        <v>106</v>
      </c>
      <c r="BC25" t="s">
        <v>106</v>
      </c>
      <c r="BD25" t="s">
        <v>106</v>
      </c>
      <c r="BE25" t="s">
        <v>106</v>
      </c>
      <c r="BF25" t="s">
        <v>106</v>
      </c>
      <c r="BG25" t="s">
        <v>106</v>
      </c>
      <c r="BH25" t="s">
        <v>106</v>
      </c>
      <c r="BI25" t="s">
        <v>106</v>
      </c>
      <c r="BJ25" t="s">
        <v>106</v>
      </c>
      <c r="BK25" t="s">
        <v>106</v>
      </c>
      <c r="BL25">
        <v>-9306.2999999999993</v>
      </c>
      <c r="BM25" t="s">
        <v>106</v>
      </c>
    </row>
    <row r="26" spans="1:65">
      <c r="B26" t="s">
        <v>129</v>
      </c>
      <c r="C26" t="s">
        <v>105</v>
      </c>
      <c r="D26" t="s">
        <v>105</v>
      </c>
      <c r="E26" t="s">
        <v>105</v>
      </c>
      <c r="F26">
        <v>-212.4</v>
      </c>
      <c r="G26" t="s">
        <v>106</v>
      </c>
      <c r="H26" t="s">
        <v>106</v>
      </c>
      <c r="I26" t="s">
        <v>106</v>
      </c>
      <c r="J26" t="s">
        <v>106</v>
      </c>
      <c r="K26" t="s">
        <v>106</v>
      </c>
      <c r="L26" t="s">
        <v>106</v>
      </c>
      <c r="M26">
        <v>206.5</v>
      </c>
      <c r="N26" t="s">
        <v>106</v>
      </c>
      <c r="O26" t="s">
        <v>106</v>
      </c>
      <c r="P26" t="s">
        <v>106</v>
      </c>
      <c r="Q26" t="s">
        <v>106</v>
      </c>
      <c r="R26" t="s">
        <v>106</v>
      </c>
      <c r="S26" t="s">
        <v>106</v>
      </c>
      <c r="T26" t="s">
        <v>106</v>
      </c>
      <c r="U26" t="s">
        <v>106</v>
      </c>
      <c r="V26" t="s">
        <v>106</v>
      </c>
      <c r="W26" t="s">
        <v>106</v>
      </c>
      <c r="X26" t="s">
        <v>106</v>
      </c>
      <c r="Y26" t="s">
        <v>106</v>
      </c>
      <c r="Z26" t="s">
        <v>106</v>
      </c>
      <c r="AA26" t="s">
        <v>106</v>
      </c>
      <c r="AB26" t="s">
        <v>106</v>
      </c>
      <c r="AC26" t="s">
        <v>106</v>
      </c>
      <c r="AD26" t="s">
        <v>106</v>
      </c>
      <c r="AE26" t="s">
        <v>106</v>
      </c>
      <c r="AF26" t="s">
        <v>106</v>
      </c>
      <c r="AG26" t="s">
        <v>106</v>
      </c>
      <c r="AH26" t="s">
        <v>106</v>
      </c>
      <c r="AI26" t="s">
        <v>106</v>
      </c>
      <c r="AJ26" t="s">
        <v>106</v>
      </c>
      <c r="AK26" t="s">
        <v>106</v>
      </c>
      <c r="AL26" t="s">
        <v>106</v>
      </c>
      <c r="AM26" t="s">
        <v>106</v>
      </c>
      <c r="AN26" t="s">
        <v>106</v>
      </c>
      <c r="AO26" t="s">
        <v>106</v>
      </c>
      <c r="AP26" t="s">
        <v>106</v>
      </c>
      <c r="AQ26" t="s">
        <v>106</v>
      </c>
      <c r="AR26" t="s">
        <v>106</v>
      </c>
      <c r="AS26" t="s">
        <v>106</v>
      </c>
      <c r="AT26" t="s">
        <v>106</v>
      </c>
      <c r="AU26" t="s">
        <v>106</v>
      </c>
      <c r="AV26" t="s">
        <v>106</v>
      </c>
      <c r="AW26" t="s">
        <v>106</v>
      </c>
      <c r="AX26" t="s">
        <v>106</v>
      </c>
      <c r="AY26" t="s">
        <v>106</v>
      </c>
      <c r="AZ26" t="s">
        <v>106</v>
      </c>
      <c r="BA26" t="s">
        <v>106</v>
      </c>
      <c r="BB26" t="s">
        <v>106</v>
      </c>
      <c r="BC26" t="s">
        <v>106</v>
      </c>
      <c r="BD26" t="s">
        <v>106</v>
      </c>
      <c r="BE26" t="s">
        <v>106</v>
      </c>
      <c r="BF26" t="s">
        <v>106</v>
      </c>
      <c r="BG26" t="s">
        <v>106</v>
      </c>
      <c r="BH26" t="s">
        <v>106</v>
      </c>
      <c r="BI26" t="s">
        <v>106</v>
      </c>
      <c r="BJ26" t="s">
        <v>106</v>
      </c>
      <c r="BK26" t="s">
        <v>106</v>
      </c>
      <c r="BL26">
        <v>-5.8</v>
      </c>
      <c r="BM26" t="s">
        <v>106</v>
      </c>
    </row>
    <row r="27" spans="1:65">
      <c r="B27" t="s">
        <v>130</v>
      </c>
      <c r="C27" t="s">
        <v>105</v>
      </c>
      <c r="D27" t="s">
        <v>105</v>
      </c>
      <c r="E27" t="s">
        <v>105</v>
      </c>
      <c r="F27" t="s">
        <v>106</v>
      </c>
      <c r="G27" t="s">
        <v>106</v>
      </c>
      <c r="H27" t="s">
        <v>106</v>
      </c>
      <c r="I27" t="s">
        <v>106</v>
      </c>
      <c r="J27" t="s">
        <v>106</v>
      </c>
      <c r="K27" t="s">
        <v>106</v>
      </c>
      <c r="L27" t="s">
        <v>106</v>
      </c>
      <c r="M27" t="s">
        <v>106</v>
      </c>
      <c r="N27" t="s">
        <v>106</v>
      </c>
      <c r="O27" t="s">
        <v>106</v>
      </c>
      <c r="P27" t="s">
        <v>106</v>
      </c>
      <c r="Q27" t="s">
        <v>106</v>
      </c>
      <c r="R27" t="s">
        <v>106</v>
      </c>
      <c r="S27" t="s">
        <v>106</v>
      </c>
      <c r="T27" t="s">
        <v>106</v>
      </c>
      <c r="U27">
        <v>-140994.20000000001</v>
      </c>
      <c r="V27">
        <v>-41268.300000000003</v>
      </c>
      <c r="W27">
        <v>0.1</v>
      </c>
      <c r="X27">
        <v>202.9</v>
      </c>
      <c r="Y27">
        <v>3648.1</v>
      </c>
      <c r="Z27">
        <v>1533.7</v>
      </c>
      <c r="AA27">
        <v>2083.6999999999998</v>
      </c>
      <c r="AB27">
        <v>22194.9</v>
      </c>
      <c r="AC27" t="s">
        <v>106</v>
      </c>
      <c r="AD27" t="s">
        <v>106</v>
      </c>
      <c r="AE27">
        <v>13472.8</v>
      </c>
      <c r="AF27">
        <v>7482.5</v>
      </c>
      <c r="AG27">
        <v>48487.6</v>
      </c>
      <c r="AH27">
        <v>240.9</v>
      </c>
      <c r="AI27">
        <v>10.199999999999999</v>
      </c>
      <c r="AJ27">
        <v>11997.4</v>
      </c>
      <c r="AK27">
        <v>36377.5</v>
      </c>
      <c r="AL27">
        <v>519</v>
      </c>
      <c r="AM27">
        <v>4925.8</v>
      </c>
      <c r="AN27">
        <v>2581.8000000000002</v>
      </c>
      <c r="AO27">
        <v>27.9</v>
      </c>
      <c r="AP27">
        <v>608.1</v>
      </c>
      <c r="AQ27">
        <v>5355</v>
      </c>
      <c r="AR27" t="s">
        <v>106</v>
      </c>
      <c r="AS27" t="s">
        <v>106</v>
      </c>
      <c r="AT27" t="s">
        <v>106</v>
      </c>
      <c r="AU27" t="s">
        <v>106</v>
      </c>
      <c r="AV27" t="s">
        <v>106</v>
      </c>
      <c r="AW27" t="s">
        <v>106</v>
      </c>
      <c r="AX27" t="s">
        <v>106</v>
      </c>
      <c r="AY27" t="s">
        <v>106</v>
      </c>
      <c r="AZ27" t="s">
        <v>106</v>
      </c>
      <c r="BA27" t="s">
        <v>106</v>
      </c>
      <c r="BB27" t="s">
        <v>106</v>
      </c>
      <c r="BC27" t="s">
        <v>106</v>
      </c>
      <c r="BD27" t="s">
        <v>106</v>
      </c>
      <c r="BE27" t="s">
        <v>106</v>
      </c>
      <c r="BF27" t="s">
        <v>106</v>
      </c>
      <c r="BG27" t="s">
        <v>106</v>
      </c>
      <c r="BH27" t="s">
        <v>106</v>
      </c>
      <c r="BI27" t="s">
        <v>106</v>
      </c>
      <c r="BJ27" t="s">
        <v>106</v>
      </c>
      <c r="BK27" t="s">
        <v>106</v>
      </c>
      <c r="BL27">
        <v>-20512.8</v>
      </c>
      <c r="BM27" t="s">
        <v>106</v>
      </c>
    </row>
    <row r="28" spans="1:65">
      <c r="B28" t="s">
        <v>131</v>
      </c>
      <c r="C28" t="s">
        <v>105</v>
      </c>
      <c r="D28" t="s">
        <v>105</v>
      </c>
      <c r="E28" t="s">
        <v>105</v>
      </c>
      <c r="F28" t="s">
        <v>106</v>
      </c>
      <c r="G28" t="s">
        <v>106</v>
      </c>
      <c r="H28" t="s">
        <v>106</v>
      </c>
      <c r="I28" t="s">
        <v>106</v>
      </c>
      <c r="J28" t="s">
        <v>106</v>
      </c>
      <c r="K28" t="s">
        <v>106</v>
      </c>
      <c r="L28" t="s">
        <v>106</v>
      </c>
      <c r="M28" t="s">
        <v>106</v>
      </c>
      <c r="N28" t="s">
        <v>106</v>
      </c>
      <c r="O28" t="s">
        <v>106</v>
      </c>
      <c r="P28" t="s">
        <v>106</v>
      </c>
      <c r="Q28" t="s">
        <v>106</v>
      </c>
      <c r="R28" t="s">
        <v>106</v>
      </c>
      <c r="S28" t="s">
        <v>106</v>
      </c>
      <c r="T28" t="s">
        <v>106</v>
      </c>
      <c r="U28" t="s">
        <v>106</v>
      </c>
      <c r="V28">
        <v>17368.5</v>
      </c>
      <c r="W28" t="s">
        <v>106</v>
      </c>
      <c r="X28">
        <v>-86.1</v>
      </c>
      <c r="Y28">
        <v>-34.4</v>
      </c>
      <c r="Z28">
        <v>-881.4</v>
      </c>
      <c r="AA28">
        <v>-156.9</v>
      </c>
      <c r="AB28" t="s">
        <v>106</v>
      </c>
      <c r="AC28" t="s">
        <v>106</v>
      </c>
      <c r="AD28" t="s">
        <v>106</v>
      </c>
      <c r="AE28" t="s">
        <v>106</v>
      </c>
      <c r="AF28" t="s">
        <v>106</v>
      </c>
      <c r="AG28" t="s">
        <v>106</v>
      </c>
      <c r="AH28" t="s">
        <v>106</v>
      </c>
      <c r="AI28" t="s">
        <v>106</v>
      </c>
      <c r="AJ28" t="s">
        <v>106</v>
      </c>
      <c r="AK28">
        <v>-10037.799999999999</v>
      </c>
      <c r="AL28" t="s">
        <v>106</v>
      </c>
      <c r="AM28" t="s">
        <v>106</v>
      </c>
      <c r="AN28" t="s">
        <v>106</v>
      </c>
      <c r="AO28" t="s">
        <v>106</v>
      </c>
      <c r="AP28" t="s">
        <v>106</v>
      </c>
      <c r="AQ28" t="s">
        <v>106</v>
      </c>
      <c r="AR28" t="s">
        <v>106</v>
      </c>
      <c r="AS28" t="s">
        <v>106</v>
      </c>
      <c r="AT28" t="s">
        <v>106</v>
      </c>
      <c r="AU28" t="s">
        <v>106</v>
      </c>
      <c r="AV28" t="s">
        <v>106</v>
      </c>
      <c r="AW28" t="s">
        <v>106</v>
      </c>
      <c r="AX28" t="s">
        <v>106</v>
      </c>
      <c r="AY28" t="s">
        <v>106</v>
      </c>
      <c r="AZ28" t="s">
        <v>106</v>
      </c>
      <c r="BA28" t="s">
        <v>106</v>
      </c>
      <c r="BB28" t="s">
        <v>106</v>
      </c>
      <c r="BC28" t="s">
        <v>106</v>
      </c>
      <c r="BD28" t="s">
        <v>106</v>
      </c>
      <c r="BE28" t="s">
        <v>106</v>
      </c>
      <c r="BF28" t="s">
        <v>106</v>
      </c>
      <c r="BG28" t="s">
        <v>106</v>
      </c>
      <c r="BH28" t="s">
        <v>106</v>
      </c>
      <c r="BI28" t="s">
        <v>106</v>
      </c>
      <c r="BJ28" t="s">
        <v>106</v>
      </c>
      <c r="BK28" t="s">
        <v>106</v>
      </c>
      <c r="BL28">
        <v>6171.9</v>
      </c>
      <c r="BM28" t="s">
        <v>106</v>
      </c>
    </row>
    <row r="29" spans="1:65">
      <c r="B29" t="s">
        <v>132</v>
      </c>
      <c r="C29" t="s">
        <v>105</v>
      </c>
      <c r="D29" t="s">
        <v>105</v>
      </c>
      <c r="E29" t="s">
        <v>105</v>
      </c>
      <c r="F29" t="s">
        <v>106</v>
      </c>
      <c r="G29" t="s">
        <v>106</v>
      </c>
      <c r="H29" t="s">
        <v>106</v>
      </c>
      <c r="I29" t="s">
        <v>106</v>
      </c>
      <c r="J29" t="s">
        <v>106</v>
      </c>
      <c r="K29" t="s">
        <v>106</v>
      </c>
      <c r="L29" t="s">
        <v>106</v>
      </c>
      <c r="M29" t="s">
        <v>106</v>
      </c>
      <c r="N29" t="s">
        <v>106</v>
      </c>
      <c r="O29" t="s">
        <v>106</v>
      </c>
      <c r="P29" t="s">
        <v>106</v>
      </c>
      <c r="Q29" t="s">
        <v>106</v>
      </c>
      <c r="R29" t="s">
        <v>106</v>
      </c>
      <c r="S29">
        <v>-24968.2</v>
      </c>
      <c r="T29">
        <v>25130.799999999999</v>
      </c>
      <c r="U29" t="s">
        <v>106</v>
      </c>
      <c r="V29" t="s">
        <v>106</v>
      </c>
      <c r="W29" t="s">
        <v>106</v>
      </c>
      <c r="X29" t="s">
        <v>106</v>
      </c>
      <c r="Y29" t="s">
        <v>106</v>
      </c>
      <c r="Z29">
        <v>-162.6</v>
      </c>
      <c r="AA29" t="s">
        <v>106</v>
      </c>
      <c r="AB29" t="s">
        <v>106</v>
      </c>
      <c r="AC29" t="s">
        <v>106</v>
      </c>
      <c r="AD29" t="s">
        <v>106</v>
      </c>
      <c r="AE29" t="s">
        <v>106</v>
      </c>
      <c r="AF29" t="s">
        <v>106</v>
      </c>
      <c r="AG29" t="s">
        <v>106</v>
      </c>
      <c r="AH29" t="s">
        <v>106</v>
      </c>
      <c r="AI29" t="s">
        <v>106</v>
      </c>
      <c r="AJ29" t="s">
        <v>106</v>
      </c>
      <c r="AK29" t="s">
        <v>106</v>
      </c>
      <c r="AL29" t="s">
        <v>106</v>
      </c>
      <c r="AM29" t="s">
        <v>106</v>
      </c>
      <c r="AN29" t="s">
        <v>106</v>
      </c>
      <c r="AO29" t="s">
        <v>106</v>
      </c>
      <c r="AP29" t="s">
        <v>106</v>
      </c>
      <c r="AQ29" t="s">
        <v>106</v>
      </c>
      <c r="AR29" t="s">
        <v>106</v>
      </c>
      <c r="AS29" t="s">
        <v>106</v>
      </c>
      <c r="AT29" t="s">
        <v>106</v>
      </c>
      <c r="AU29" t="s">
        <v>106</v>
      </c>
      <c r="AV29" t="s">
        <v>106</v>
      </c>
      <c r="AW29" t="s">
        <v>106</v>
      </c>
      <c r="AX29" t="s">
        <v>106</v>
      </c>
      <c r="AY29" t="s">
        <v>106</v>
      </c>
      <c r="AZ29" t="s">
        <v>106</v>
      </c>
      <c r="BA29" t="s">
        <v>106</v>
      </c>
      <c r="BB29" t="s">
        <v>106</v>
      </c>
      <c r="BC29" t="s">
        <v>106</v>
      </c>
      <c r="BD29" t="s">
        <v>106</v>
      </c>
      <c r="BE29" t="s">
        <v>106</v>
      </c>
      <c r="BF29" t="s">
        <v>106</v>
      </c>
      <c r="BG29" t="s">
        <v>106</v>
      </c>
      <c r="BH29" t="s">
        <v>106</v>
      </c>
      <c r="BI29" t="s">
        <v>106</v>
      </c>
      <c r="BJ29" t="s">
        <v>106</v>
      </c>
      <c r="BK29" t="s">
        <v>106</v>
      </c>
      <c r="BL29">
        <v>0</v>
      </c>
      <c r="BM29" t="s">
        <v>106</v>
      </c>
    </row>
    <row r="30" spans="1:65">
      <c r="B30" t="s">
        <v>133</v>
      </c>
      <c r="C30" t="s">
        <v>105</v>
      </c>
      <c r="D30" t="s">
        <v>105</v>
      </c>
      <c r="E30" t="s">
        <v>105</v>
      </c>
      <c r="F30" t="s">
        <v>106</v>
      </c>
      <c r="G30" t="s">
        <v>106</v>
      </c>
      <c r="H30" t="s">
        <v>106</v>
      </c>
      <c r="I30">
        <v>-363.2</v>
      </c>
      <c r="J30" t="s">
        <v>106</v>
      </c>
      <c r="K30" t="s">
        <v>106</v>
      </c>
      <c r="L30" t="s">
        <v>106</v>
      </c>
      <c r="M30" t="s">
        <v>106</v>
      </c>
      <c r="N30" t="s">
        <v>106</v>
      </c>
      <c r="O30" t="s">
        <v>106</v>
      </c>
      <c r="P30" t="s">
        <v>106</v>
      </c>
      <c r="Q30" t="s">
        <v>106</v>
      </c>
      <c r="R30">
        <v>466.6</v>
      </c>
      <c r="S30" t="s">
        <v>106</v>
      </c>
      <c r="T30" t="s">
        <v>106</v>
      </c>
      <c r="U30" t="s">
        <v>106</v>
      </c>
      <c r="V30" t="s">
        <v>106</v>
      </c>
      <c r="W30" t="s">
        <v>106</v>
      </c>
      <c r="X30" t="s">
        <v>106</v>
      </c>
      <c r="Y30" t="s">
        <v>106</v>
      </c>
      <c r="Z30" t="s">
        <v>106</v>
      </c>
      <c r="AA30" t="s">
        <v>106</v>
      </c>
      <c r="AB30" t="s">
        <v>106</v>
      </c>
      <c r="AC30" t="s">
        <v>106</v>
      </c>
      <c r="AD30" t="s">
        <v>106</v>
      </c>
      <c r="AE30" t="s">
        <v>106</v>
      </c>
      <c r="AF30" t="s">
        <v>106</v>
      </c>
      <c r="AG30" t="s">
        <v>106</v>
      </c>
      <c r="AH30" t="s">
        <v>106</v>
      </c>
      <c r="AI30" t="s">
        <v>106</v>
      </c>
      <c r="AJ30" t="s">
        <v>106</v>
      </c>
      <c r="AK30" t="s">
        <v>106</v>
      </c>
      <c r="AL30" t="s">
        <v>106</v>
      </c>
      <c r="AM30" t="s">
        <v>106</v>
      </c>
      <c r="AN30" t="s">
        <v>106</v>
      </c>
      <c r="AO30" t="s">
        <v>106</v>
      </c>
      <c r="AP30" t="s">
        <v>106</v>
      </c>
      <c r="AQ30" t="s">
        <v>106</v>
      </c>
      <c r="AR30" t="s">
        <v>106</v>
      </c>
      <c r="AS30" t="s">
        <v>106</v>
      </c>
      <c r="AT30" t="s">
        <v>106</v>
      </c>
      <c r="AU30" t="s">
        <v>106</v>
      </c>
      <c r="AV30" t="s">
        <v>106</v>
      </c>
      <c r="AW30" t="s">
        <v>106</v>
      </c>
      <c r="AX30" t="s">
        <v>106</v>
      </c>
      <c r="AY30" t="s">
        <v>106</v>
      </c>
      <c r="AZ30" t="s">
        <v>106</v>
      </c>
      <c r="BA30" t="s">
        <v>106</v>
      </c>
      <c r="BB30" t="s">
        <v>106</v>
      </c>
      <c r="BC30" t="s">
        <v>106</v>
      </c>
      <c r="BD30" t="s">
        <v>106</v>
      </c>
      <c r="BE30" t="s">
        <v>106</v>
      </c>
      <c r="BF30" t="s">
        <v>106</v>
      </c>
      <c r="BG30" t="s">
        <v>106</v>
      </c>
      <c r="BH30" t="s">
        <v>106</v>
      </c>
      <c r="BI30" t="s">
        <v>106</v>
      </c>
      <c r="BJ30" t="s">
        <v>106</v>
      </c>
      <c r="BK30" t="s">
        <v>106</v>
      </c>
      <c r="BL30">
        <v>103.4</v>
      </c>
      <c r="BM30">
        <v>933.3</v>
      </c>
    </row>
    <row r="31" spans="1:65">
      <c r="B31" t="s">
        <v>134</v>
      </c>
      <c r="C31" t="s">
        <v>105</v>
      </c>
      <c r="D31" t="s">
        <v>105</v>
      </c>
      <c r="E31" t="s">
        <v>105</v>
      </c>
      <c r="F31" t="s">
        <v>106</v>
      </c>
      <c r="G31" t="s">
        <v>106</v>
      </c>
      <c r="H31" t="s">
        <v>106</v>
      </c>
      <c r="I31" t="s">
        <v>106</v>
      </c>
      <c r="J31" t="s">
        <v>106</v>
      </c>
      <c r="K31" t="s">
        <v>106</v>
      </c>
      <c r="L31" t="s">
        <v>106</v>
      </c>
      <c r="M31" t="s">
        <v>106</v>
      </c>
      <c r="N31" t="s">
        <v>106</v>
      </c>
      <c r="O31" t="s">
        <v>106</v>
      </c>
      <c r="P31" t="s">
        <v>106</v>
      </c>
      <c r="Q31" t="s">
        <v>106</v>
      </c>
      <c r="R31" t="s">
        <v>106</v>
      </c>
      <c r="S31" t="s">
        <v>106</v>
      </c>
      <c r="T31">
        <v>-492.2</v>
      </c>
      <c r="U31" t="s">
        <v>106</v>
      </c>
      <c r="V31" t="s">
        <v>106</v>
      </c>
      <c r="W31" t="s">
        <v>106</v>
      </c>
      <c r="X31" t="s">
        <v>106</v>
      </c>
      <c r="Y31" t="s">
        <v>106</v>
      </c>
      <c r="Z31" t="s">
        <v>106</v>
      </c>
      <c r="AA31" t="s">
        <v>106</v>
      </c>
      <c r="AB31" t="s">
        <v>106</v>
      </c>
      <c r="AC31" t="s">
        <v>106</v>
      </c>
      <c r="AD31" t="s">
        <v>106</v>
      </c>
      <c r="AE31" t="s">
        <v>106</v>
      </c>
      <c r="AF31" t="s">
        <v>106</v>
      </c>
      <c r="AG31" t="s">
        <v>106</v>
      </c>
      <c r="AH31" t="s">
        <v>106</v>
      </c>
      <c r="AI31" t="s">
        <v>106</v>
      </c>
      <c r="AJ31" t="s">
        <v>106</v>
      </c>
      <c r="AK31" t="s">
        <v>106</v>
      </c>
      <c r="AL31" t="s">
        <v>106</v>
      </c>
      <c r="AM31" t="s">
        <v>106</v>
      </c>
      <c r="AN31" t="s">
        <v>106</v>
      </c>
      <c r="AO31" t="s">
        <v>106</v>
      </c>
      <c r="AP31" t="s">
        <v>106</v>
      </c>
      <c r="AQ31" t="s">
        <v>106</v>
      </c>
      <c r="AR31" t="s">
        <v>106</v>
      </c>
      <c r="AS31" t="s">
        <v>106</v>
      </c>
      <c r="AT31" t="s">
        <v>106</v>
      </c>
      <c r="AU31" t="s">
        <v>106</v>
      </c>
      <c r="AV31" t="s">
        <v>106</v>
      </c>
      <c r="AW31" t="s">
        <v>106</v>
      </c>
      <c r="AX31" t="s">
        <v>106</v>
      </c>
      <c r="AY31" t="s">
        <v>106</v>
      </c>
      <c r="AZ31" t="s">
        <v>106</v>
      </c>
      <c r="BA31" t="s">
        <v>106</v>
      </c>
      <c r="BB31" t="s">
        <v>106</v>
      </c>
      <c r="BC31" t="s">
        <v>106</v>
      </c>
      <c r="BD31" t="s">
        <v>106</v>
      </c>
      <c r="BE31" t="s">
        <v>106</v>
      </c>
      <c r="BF31" t="s">
        <v>106</v>
      </c>
      <c r="BG31" t="s">
        <v>106</v>
      </c>
      <c r="BH31" t="s">
        <v>106</v>
      </c>
      <c r="BI31">
        <v>1023.1</v>
      </c>
      <c r="BJ31" t="s">
        <v>106</v>
      </c>
      <c r="BK31" t="s">
        <v>106</v>
      </c>
      <c r="BL31">
        <v>531</v>
      </c>
      <c r="BM31">
        <v>1023.1</v>
      </c>
    </row>
    <row r="32" spans="1:65">
      <c r="A32" t="s">
        <v>135</v>
      </c>
      <c r="B32" t="s">
        <v>105</v>
      </c>
      <c r="C32" t="s">
        <v>105</v>
      </c>
      <c r="D32" t="s">
        <v>105</v>
      </c>
      <c r="E32" t="s">
        <v>105</v>
      </c>
      <c r="F32" t="s">
        <v>106</v>
      </c>
      <c r="G32" t="s">
        <v>106</v>
      </c>
      <c r="H32" t="s">
        <v>106</v>
      </c>
      <c r="I32" t="s">
        <v>106</v>
      </c>
      <c r="J32" t="s">
        <v>106</v>
      </c>
      <c r="K32" t="s">
        <v>106</v>
      </c>
      <c r="L32" t="s">
        <v>106</v>
      </c>
      <c r="M32" t="s">
        <v>106</v>
      </c>
      <c r="N32" t="s">
        <v>106</v>
      </c>
      <c r="O32" t="s">
        <v>106</v>
      </c>
      <c r="P32">
        <v>-978.5</v>
      </c>
      <c r="Q32">
        <v>-2298</v>
      </c>
      <c r="R32">
        <v>-40</v>
      </c>
      <c r="S32">
        <v>-1145.5</v>
      </c>
      <c r="T32">
        <v>-905</v>
      </c>
      <c r="U32" t="s">
        <v>106</v>
      </c>
      <c r="V32">
        <v>-6.1</v>
      </c>
      <c r="W32" t="s">
        <v>106</v>
      </c>
      <c r="X32" t="s">
        <v>106</v>
      </c>
      <c r="Y32">
        <v>-2049.8000000000002</v>
      </c>
      <c r="Z32">
        <v>-192.5</v>
      </c>
      <c r="AA32">
        <v>-11.2</v>
      </c>
      <c r="AB32">
        <v>-0.2</v>
      </c>
      <c r="AC32" t="s">
        <v>106</v>
      </c>
      <c r="AD32" t="s">
        <v>106</v>
      </c>
      <c r="AE32">
        <v>-0.4</v>
      </c>
      <c r="AF32">
        <v>-3.5</v>
      </c>
      <c r="AG32">
        <v>-100.7</v>
      </c>
      <c r="AH32" t="s">
        <v>106</v>
      </c>
      <c r="AI32" t="s">
        <v>106</v>
      </c>
      <c r="AJ32">
        <v>-115.1</v>
      </c>
      <c r="AK32" t="s">
        <v>106</v>
      </c>
      <c r="AL32" t="s">
        <v>106</v>
      </c>
      <c r="AM32" t="s">
        <v>106</v>
      </c>
      <c r="AN32" t="s">
        <v>106</v>
      </c>
      <c r="AO32" t="s">
        <v>106</v>
      </c>
      <c r="AP32" t="s">
        <v>106</v>
      </c>
      <c r="AQ32" t="s">
        <v>106</v>
      </c>
      <c r="AR32" t="s">
        <v>106</v>
      </c>
      <c r="AS32" t="s">
        <v>106</v>
      </c>
      <c r="AT32" t="s">
        <v>106</v>
      </c>
      <c r="AU32" t="s">
        <v>106</v>
      </c>
      <c r="AV32" t="s">
        <v>106</v>
      </c>
      <c r="AW32" t="s">
        <v>106</v>
      </c>
      <c r="AX32" t="s">
        <v>106</v>
      </c>
      <c r="AY32" t="s">
        <v>106</v>
      </c>
      <c r="AZ32" t="s">
        <v>106</v>
      </c>
      <c r="BA32" t="s">
        <v>106</v>
      </c>
      <c r="BB32" t="s">
        <v>106</v>
      </c>
      <c r="BC32" t="s">
        <v>106</v>
      </c>
      <c r="BD32" t="s">
        <v>106</v>
      </c>
      <c r="BE32" t="s">
        <v>106</v>
      </c>
      <c r="BF32" t="s">
        <v>106</v>
      </c>
      <c r="BG32" t="s">
        <v>106</v>
      </c>
      <c r="BH32" t="s">
        <v>106</v>
      </c>
      <c r="BI32" t="s">
        <v>106</v>
      </c>
      <c r="BJ32">
        <v>-3148.9</v>
      </c>
      <c r="BK32">
        <v>-205.8</v>
      </c>
      <c r="BL32">
        <v>-11201.3</v>
      </c>
      <c r="BM32">
        <v>-5366.2</v>
      </c>
    </row>
    <row r="33" spans="1:65">
      <c r="B33" t="s">
        <v>136</v>
      </c>
      <c r="C33" t="s">
        <v>105</v>
      </c>
      <c r="D33" t="s">
        <v>105</v>
      </c>
      <c r="E33" t="s">
        <v>105</v>
      </c>
      <c r="F33" t="s">
        <v>106</v>
      </c>
      <c r="G33" t="s">
        <v>106</v>
      </c>
      <c r="H33" t="s">
        <v>106</v>
      </c>
      <c r="I33" t="s">
        <v>106</v>
      </c>
      <c r="J33" t="s">
        <v>106</v>
      </c>
      <c r="K33" t="s">
        <v>106</v>
      </c>
      <c r="L33" t="s">
        <v>106</v>
      </c>
      <c r="M33" t="s">
        <v>106</v>
      </c>
      <c r="N33" t="s">
        <v>106</v>
      </c>
      <c r="O33" t="s">
        <v>106</v>
      </c>
      <c r="P33" t="s">
        <v>106</v>
      </c>
      <c r="Q33" t="s">
        <v>106</v>
      </c>
      <c r="R33" t="s">
        <v>106</v>
      </c>
      <c r="S33" t="s">
        <v>106</v>
      </c>
      <c r="T33" t="s">
        <v>106</v>
      </c>
      <c r="U33" t="s">
        <v>106</v>
      </c>
      <c r="V33" t="s">
        <v>106</v>
      </c>
      <c r="W33" t="s">
        <v>106</v>
      </c>
      <c r="X33" t="s">
        <v>106</v>
      </c>
      <c r="Y33" t="s">
        <v>106</v>
      </c>
      <c r="Z33" t="s">
        <v>106</v>
      </c>
      <c r="AA33" t="s">
        <v>106</v>
      </c>
      <c r="AB33">
        <v>0</v>
      </c>
      <c r="AC33" t="s">
        <v>106</v>
      </c>
      <c r="AD33" t="s">
        <v>106</v>
      </c>
      <c r="AE33" t="s">
        <v>106</v>
      </c>
      <c r="AF33">
        <v>-0.4</v>
      </c>
      <c r="AG33">
        <v>-15.8</v>
      </c>
      <c r="AH33" t="s">
        <v>106</v>
      </c>
      <c r="AI33" t="s">
        <v>106</v>
      </c>
      <c r="AJ33">
        <v>-0.3</v>
      </c>
      <c r="AK33" t="s">
        <v>106</v>
      </c>
      <c r="AL33" t="s">
        <v>106</v>
      </c>
      <c r="AM33" t="s">
        <v>106</v>
      </c>
      <c r="AN33" t="s">
        <v>106</v>
      </c>
      <c r="AO33" t="s">
        <v>106</v>
      </c>
      <c r="AP33" t="s">
        <v>106</v>
      </c>
      <c r="AQ33" t="s">
        <v>106</v>
      </c>
      <c r="AR33" t="s">
        <v>106</v>
      </c>
      <c r="AS33" t="s">
        <v>106</v>
      </c>
      <c r="AT33" t="s">
        <v>106</v>
      </c>
      <c r="AU33" t="s">
        <v>106</v>
      </c>
      <c r="AV33" t="s">
        <v>106</v>
      </c>
      <c r="AW33" t="s">
        <v>106</v>
      </c>
      <c r="AX33" t="s">
        <v>106</v>
      </c>
      <c r="AY33" t="s">
        <v>106</v>
      </c>
      <c r="AZ33" t="s">
        <v>106</v>
      </c>
      <c r="BA33" t="s">
        <v>106</v>
      </c>
      <c r="BB33" t="s">
        <v>106</v>
      </c>
      <c r="BC33" t="s">
        <v>106</v>
      </c>
      <c r="BD33" t="s">
        <v>106</v>
      </c>
      <c r="BE33" t="s">
        <v>106</v>
      </c>
      <c r="BF33" t="s">
        <v>106</v>
      </c>
      <c r="BG33" t="s">
        <v>106</v>
      </c>
      <c r="BH33" t="s">
        <v>106</v>
      </c>
      <c r="BI33" t="s">
        <v>106</v>
      </c>
      <c r="BJ33" t="s">
        <v>106</v>
      </c>
      <c r="BK33" t="s">
        <v>106</v>
      </c>
      <c r="BL33">
        <v>-16.600000000000001</v>
      </c>
      <c r="BM33" t="s">
        <v>106</v>
      </c>
    </row>
    <row r="34" spans="1:65">
      <c r="B34" t="s">
        <v>137</v>
      </c>
      <c r="C34" t="s">
        <v>105</v>
      </c>
      <c r="D34" t="s">
        <v>105</v>
      </c>
      <c r="E34" t="s">
        <v>105</v>
      </c>
      <c r="F34" t="s">
        <v>106</v>
      </c>
      <c r="G34" t="s">
        <v>106</v>
      </c>
      <c r="H34" t="s">
        <v>106</v>
      </c>
      <c r="I34" t="s">
        <v>106</v>
      </c>
      <c r="J34" t="s">
        <v>106</v>
      </c>
      <c r="K34" t="s">
        <v>106</v>
      </c>
      <c r="L34" t="s">
        <v>106</v>
      </c>
      <c r="M34" t="s">
        <v>106</v>
      </c>
      <c r="N34" t="s">
        <v>106</v>
      </c>
      <c r="O34" t="s">
        <v>106</v>
      </c>
      <c r="P34" t="s">
        <v>106</v>
      </c>
      <c r="Q34" t="s">
        <v>106</v>
      </c>
      <c r="R34" t="s">
        <v>106</v>
      </c>
      <c r="S34" t="s">
        <v>106</v>
      </c>
      <c r="T34" t="s">
        <v>106</v>
      </c>
      <c r="U34" t="s">
        <v>106</v>
      </c>
      <c r="V34" t="s">
        <v>106</v>
      </c>
      <c r="W34" t="s">
        <v>106</v>
      </c>
      <c r="X34" t="s">
        <v>106</v>
      </c>
      <c r="Y34" t="s">
        <v>106</v>
      </c>
      <c r="Z34">
        <v>-3.8</v>
      </c>
      <c r="AA34">
        <v>0</v>
      </c>
      <c r="AB34" t="s">
        <v>106</v>
      </c>
      <c r="AC34" t="s">
        <v>106</v>
      </c>
      <c r="AD34" t="s">
        <v>106</v>
      </c>
      <c r="AE34" t="s">
        <v>106</v>
      </c>
      <c r="AF34" t="s">
        <v>106</v>
      </c>
      <c r="AG34" t="s">
        <v>106</v>
      </c>
      <c r="AH34" t="s">
        <v>106</v>
      </c>
      <c r="AI34" t="s">
        <v>106</v>
      </c>
      <c r="AJ34" t="s">
        <v>106</v>
      </c>
      <c r="AK34" t="s">
        <v>106</v>
      </c>
      <c r="AL34" t="s">
        <v>106</v>
      </c>
      <c r="AM34" t="s">
        <v>106</v>
      </c>
      <c r="AN34" t="s">
        <v>106</v>
      </c>
      <c r="AO34" t="s">
        <v>106</v>
      </c>
      <c r="AP34" t="s">
        <v>106</v>
      </c>
      <c r="AQ34" t="s">
        <v>106</v>
      </c>
      <c r="AR34" t="s">
        <v>106</v>
      </c>
      <c r="AS34" t="s">
        <v>106</v>
      </c>
      <c r="AT34" t="s">
        <v>106</v>
      </c>
      <c r="AU34" t="s">
        <v>106</v>
      </c>
      <c r="AV34" t="s">
        <v>106</v>
      </c>
      <c r="AW34" t="s">
        <v>106</v>
      </c>
      <c r="AX34" t="s">
        <v>106</v>
      </c>
      <c r="AY34" t="s">
        <v>106</v>
      </c>
      <c r="AZ34" t="s">
        <v>106</v>
      </c>
      <c r="BA34" t="s">
        <v>106</v>
      </c>
      <c r="BB34" t="s">
        <v>106</v>
      </c>
      <c r="BC34" t="s">
        <v>106</v>
      </c>
      <c r="BD34" t="s">
        <v>106</v>
      </c>
      <c r="BE34" t="s">
        <v>106</v>
      </c>
      <c r="BF34" t="s">
        <v>106</v>
      </c>
      <c r="BG34" t="s">
        <v>106</v>
      </c>
      <c r="BH34" t="s">
        <v>106</v>
      </c>
      <c r="BI34" t="s">
        <v>106</v>
      </c>
      <c r="BJ34" t="s">
        <v>106</v>
      </c>
      <c r="BK34" t="s">
        <v>106</v>
      </c>
      <c r="BL34">
        <v>-3.8</v>
      </c>
      <c r="BM34" t="s">
        <v>106</v>
      </c>
    </row>
    <row r="35" spans="1:65">
      <c r="B35" t="s">
        <v>138</v>
      </c>
      <c r="C35" t="s">
        <v>105</v>
      </c>
      <c r="D35" t="s">
        <v>105</v>
      </c>
      <c r="E35" t="s">
        <v>105</v>
      </c>
      <c r="F35" t="s">
        <v>106</v>
      </c>
      <c r="G35" t="s">
        <v>106</v>
      </c>
      <c r="H35" t="s">
        <v>106</v>
      </c>
      <c r="I35" t="s">
        <v>106</v>
      </c>
      <c r="J35" t="s">
        <v>106</v>
      </c>
      <c r="K35" t="s">
        <v>106</v>
      </c>
      <c r="L35" t="s">
        <v>106</v>
      </c>
      <c r="M35" t="s">
        <v>106</v>
      </c>
      <c r="N35" t="s">
        <v>106</v>
      </c>
      <c r="O35" t="s">
        <v>106</v>
      </c>
      <c r="P35" t="s">
        <v>106</v>
      </c>
      <c r="Q35" t="s">
        <v>106</v>
      </c>
      <c r="R35" t="s">
        <v>106</v>
      </c>
      <c r="S35" t="s">
        <v>106</v>
      </c>
      <c r="T35" t="s">
        <v>106</v>
      </c>
      <c r="U35" t="s">
        <v>106</v>
      </c>
      <c r="V35" t="s">
        <v>106</v>
      </c>
      <c r="W35" t="s">
        <v>106</v>
      </c>
      <c r="X35" t="s">
        <v>106</v>
      </c>
      <c r="Y35" t="s">
        <v>106</v>
      </c>
      <c r="Z35" t="s">
        <v>106</v>
      </c>
      <c r="AA35" t="s">
        <v>106</v>
      </c>
      <c r="AB35" t="s">
        <v>106</v>
      </c>
      <c r="AC35" t="s">
        <v>106</v>
      </c>
      <c r="AD35" t="s">
        <v>106</v>
      </c>
      <c r="AE35" t="s">
        <v>106</v>
      </c>
      <c r="AF35" t="s">
        <v>106</v>
      </c>
      <c r="AG35" t="s">
        <v>106</v>
      </c>
      <c r="AH35" t="s">
        <v>106</v>
      </c>
      <c r="AI35" t="s">
        <v>106</v>
      </c>
      <c r="AJ35" t="s">
        <v>106</v>
      </c>
      <c r="AK35" t="s">
        <v>106</v>
      </c>
      <c r="AL35" t="s">
        <v>106</v>
      </c>
      <c r="AM35" t="s">
        <v>106</v>
      </c>
      <c r="AN35" t="s">
        <v>106</v>
      </c>
      <c r="AO35" t="s">
        <v>106</v>
      </c>
      <c r="AP35" t="s">
        <v>106</v>
      </c>
      <c r="AQ35" t="s">
        <v>106</v>
      </c>
      <c r="AR35" t="s">
        <v>106</v>
      </c>
      <c r="AS35" t="s">
        <v>106</v>
      </c>
      <c r="AT35" t="s">
        <v>106</v>
      </c>
      <c r="AU35" t="s">
        <v>106</v>
      </c>
      <c r="AV35" t="s">
        <v>106</v>
      </c>
      <c r="AW35" t="s">
        <v>106</v>
      </c>
      <c r="AX35" t="s">
        <v>106</v>
      </c>
      <c r="AY35" t="s">
        <v>106</v>
      </c>
      <c r="AZ35" t="s">
        <v>106</v>
      </c>
      <c r="BA35" t="s">
        <v>106</v>
      </c>
      <c r="BB35" t="s">
        <v>106</v>
      </c>
      <c r="BC35" t="s">
        <v>106</v>
      </c>
      <c r="BD35" t="s">
        <v>106</v>
      </c>
      <c r="BE35" t="s">
        <v>106</v>
      </c>
      <c r="BF35" t="s">
        <v>106</v>
      </c>
      <c r="BG35" t="s">
        <v>106</v>
      </c>
      <c r="BH35" t="s">
        <v>106</v>
      </c>
      <c r="BI35" t="s">
        <v>106</v>
      </c>
      <c r="BJ35">
        <v>-1827.9</v>
      </c>
      <c r="BK35" t="s">
        <v>106</v>
      </c>
      <c r="BL35">
        <v>-1827.9</v>
      </c>
      <c r="BM35" t="s">
        <v>106</v>
      </c>
    </row>
    <row r="36" spans="1:65">
      <c r="B36" t="s">
        <v>139</v>
      </c>
      <c r="C36" t="s">
        <v>105</v>
      </c>
      <c r="D36" t="s">
        <v>105</v>
      </c>
      <c r="E36" t="s">
        <v>105</v>
      </c>
      <c r="F36" t="s">
        <v>106</v>
      </c>
      <c r="G36" t="s">
        <v>106</v>
      </c>
      <c r="H36" t="s">
        <v>106</v>
      </c>
      <c r="I36" t="s">
        <v>106</v>
      </c>
      <c r="J36" t="s">
        <v>106</v>
      </c>
      <c r="K36" t="s">
        <v>106</v>
      </c>
      <c r="L36" t="s">
        <v>106</v>
      </c>
      <c r="M36" t="s">
        <v>106</v>
      </c>
      <c r="N36" t="s">
        <v>106</v>
      </c>
      <c r="O36" t="s">
        <v>106</v>
      </c>
      <c r="P36" t="s">
        <v>106</v>
      </c>
      <c r="Q36" t="s">
        <v>106</v>
      </c>
      <c r="R36" t="s">
        <v>106</v>
      </c>
      <c r="S36" t="s">
        <v>106</v>
      </c>
      <c r="T36" t="s">
        <v>106</v>
      </c>
      <c r="U36" t="s">
        <v>106</v>
      </c>
      <c r="V36" t="s">
        <v>106</v>
      </c>
      <c r="W36" t="s">
        <v>106</v>
      </c>
      <c r="X36" t="s">
        <v>106</v>
      </c>
      <c r="Y36" t="s">
        <v>106</v>
      </c>
      <c r="Z36" t="s">
        <v>106</v>
      </c>
      <c r="AA36" t="s">
        <v>106</v>
      </c>
      <c r="AB36" t="s">
        <v>106</v>
      </c>
      <c r="AC36" t="s">
        <v>106</v>
      </c>
      <c r="AD36" t="s">
        <v>106</v>
      </c>
      <c r="AE36" t="s">
        <v>106</v>
      </c>
      <c r="AF36" t="s">
        <v>106</v>
      </c>
      <c r="AG36" t="s">
        <v>106</v>
      </c>
      <c r="AH36" t="s">
        <v>106</v>
      </c>
      <c r="AI36" t="s">
        <v>106</v>
      </c>
      <c r="AJ36" t="s">
        <v>106</v>
      </c>
      <c r="AK36" t="s">
        <v>106</v>
      </c>
      <c r="AL36" t="s">
        <v>106</v>
      </c>
      <c r="AM36" t="s">
        <v>106</v>
      </c>
      <c r="AN36" t="s">
        <v>106</v>
      </c>
      <c r="AO36" t="s">
        <v>106</v>
      </c>
      <c r="AP36" t="s">
        <v>106</v>
      </c>
      <c r="AQ36" t="s">
        <v>106</v>
      </c>
      <c r="AR36" t="s">
        <v>106</v>
      </c>
      <c r="AS36" t="s">
        <v>106</v>
      </c>
      <c r="AT36" t="s">
        <v>106</v>
      </c>
      <c r="AU36" t="s">
        <v>106</v>
      </c>
      <c r="AV36" t="s">
        <v>106</v>
      </c>
      <c r="AW36" t="s">
        <v>106</v>
      </c>
      <c r="AX36" t="s">
        <v>106</v>
      </c>
      <c r="AY36" t="s">
        <v>106</v>
      </c>
      <c r="AZ36" t="s">
        <v>106</v>
      </c>
      <c r="BA36" t="s">
        <v>106</v>
      </c>
      <c r="BB36" t="s">
        <v>106</v>
      </c>
      <c r="BC36" t="s">
        <v>106</v>
      </c>
      <c r="BD36" t="s">
        <v>106</v>
      </c>
      <c r="BE36" t="s">
        <v>106</v>
      </c>
      <c r="BF36" t="s">
        <v>106</v>
      </c>
      <c r="BG36" t="s">
        <v>106</v>
      </c>
      <c r="BH36" t="s">
        <v>106</v>
      </c>
      <c r="BI36" t="s">
        <v>106</v>
      </c>
      <c r="BJ36">
        <v>-100.9</v>
      </c>
      <c r="BK36" t="s">
        <v>106</v>
      </c>
      <c r="BL36">
        <v>-100.9</v>
      </c>
      <c r="BM36" t="s">
        <v>106</v>
      </c>
    </row>
    <row r="37" spans="1:65">
      <c r="B37" t="s">
        <v>140</v>
      </c>
      <c r="C37" t="s">
        <v>105</v>
      </c>
      <c r="D37" t="s">
        <v>105</v>
      </c>
      <c r="E37" t="s">
        <v>105</v>
      </c>
      <c r="F37" t="s">
        <v>106</v>
      </c>
      <c r="G37" t="s">
        <v>106</v>
      </c>
      <c r="H37" t="s">
        <v>106</v>
      </c>
      <c r="I37" t="s">
        <v>106</v>
      </c>
      <c r="J37" t="s">
        <v>106</v>
      </c>
      <c r="K37" t="s">
        <v>106</v>
      </c>
      <c r="L37" t="s">
        <v>106</v>
      </c>
      <c r="M37" t="s">
        <v>106</v>
      </c>
      <c r="N37" t="s">
        <v>106</v>
      </c>
      <c r="O37" t="s">
        <v>106</v>
      </c>
      <c r="P37">
        <v>-356.7</v>
      </c>
      <c r="Q37">
        <v>-1116.4000000000001</v>
      </c>
      <c r="R37">
        <v>-19.100000000000001</v>
      </c>
      <c r="S37" t="s">
        <v>106</v>
      </c>
      <c r="T37" t="s">
        <v>106</v>
      </c>
      <c r="U37" t="s">
        <v>106</v>
      </c>
      <c r="V37" t="s">
        <v>106</v>
      </c>
      <c r="W37" t="s">
        <v>106</v>
      </c>
      <c r="X37" t="s">
        <v>106</v>
      </c>
      <c r="Y37" t="s">
        <v>106</v>
      </c>
      <c r="Z37" t="s">
        <v>106</v>
      </c>
      <c r="AA37" t="s">
        <v>106</v>
      </c>
      <c r="AB37" t="s">
        <v>106</v>
      </c>
      <c r="AC37" t="s">
        <v>106</v>
      </c>
      <c r="AD37" t="s">
        <v>106</v>
      </c>
      <c r="AE37" t="s">
        <v>106</v>
      </c>
      <c r="AF37" t="s">
        <v>106</v>
      </c>
      <c r="AG37" t="s">
        <v>106</v>
      </c>
      <c r="AH37" t="s">
        <v>106</v>
      </c>
      <c r="AI37" t="s">
        <v>106</v>
      </c>
      <c r="AJ37" t="s">
        <v>106</v>
      </c>
      <c r="AK37" t="s">
        <v>106</v>
      </c>
      <c r="AL37" t="s">
        <v>106</v>
      </c>
      <c r="AM37" t="s">
        <v>106</v>
      </c>
      <c r="AN37" t="s">
        <v>106</v>
      </c>
      <c r="AO37" t="s">
        <v>106</v>
      </c>
      <c r="AP37" t="s">
        <v>106</v>
      </c>
      <c r="AQ37" t="s">
        <v>106</v>
      </c>
      <c r="AR37" t="s">
        <v>106</v>
      </c>
      <c r="AS37" t="s">
        <v>106</v>
      </c>
      <c r="AT37" t="s">
        <v>106</v>
      </c>
      <c r="AU37" t="s">
        <v>106</v>
      </c>
      <c r="AV37" t="s">
        <v>106</v>
      </c>
      <c r="AW37" t="s">
        <v>106</v>
      </c>
      <c r="AX37" t="s">
        <v>106</v>
      </c>
      <c r="AY37" t="s">
        <v>106</v>
      </c>
      <c r="AZ37" t="s">
        <v>106</v>
      </c>
      <c r="BA37" t="s">
        <v>106</v>
      </c>
      <c r="BB37" t="s">
        <v>106</v>
      </c>
      <c r="BC37" t="s">
        <v>106</v>
      </c>
      <c r="BD37" t="s">
        <v>106</v>
      </c>
      <c r="BE37" t="s">
        <v>106</v>
      </c>
      <c r="BF37" t="s">
        <v>106</v>
      </c>
      <c r="BG37" t="s">
        <v>106</v>
      </c>
      <c r="BH37" t="s">
        <v>106</v>
      </c>
      <c r="BI37" t="s">
        <v>106</v>
      </c>
      <c r="BJ37" t="s">
        <v>106</v>
      </c>
      <c r="BK37" t="s">
        <v>106</v>
      </c>
      <c r="BL37">
        <v>-1492.3</v>
      </c>
      <c r="BM37">
        <v>-1492.3</v>
      </c>
    </row>
    <row r="38" spans="1:65">
      <c r="B38" t="s">
        <v>141</v>
      </c>
      <c r="C38" t="s">
        <v>105</v>
      </c>
      <c r="D38" t="s">
        <v>105</v>
      </c>
      <c r="E38" t="s">
        <v>105</v>
      </c>
      <c r="F38" t="s">
        <v>106</v>
      </c>
      <c r="G38" t="s">
        <v>106</v>
      </c>
      <c r="H38" t="s">
        <v>106</v>
      </c>
      <c r="I38" t="s">
        <v>106</v>
      </c>
      <c r="J38" t="s">
        <v>106</v>
      </c>
      <c r="K38" t="s">
        <v>106</v>
      </c>
      <c r="L38" t="s">
        <v>106</v>
      </c>
      <c r="M38" t="s">
        <v>106</v>
      </c>
      <c r="N38" t="s">
        <v>106</v>
      </c>
      <c r="O38" t="s">
        <v>106</v>
      </c>
      <c r="P38">
        <v>-621.79999999999995</v>
      </c>
      <c r="Q38">
        <v>-1181.5</v>
      </c>
      <c r="R38">
        <v>-20.8</v>
      </c>
      <c r="S38" t="s">
        <v>106</v>
      </c>
      <c r="T38" t="s">
        <v>106</v>
      </c>
      <c r="U38" t="s">
        <v>106</v>
      </c>
      <c r="V38" t="s">
        <v>106</v>
      </c>
      <c r="W38" t="s">
        <v>106</v>
      </c>
      <c r="X38" t="s">
        <v>106</v>
      </c>
      <c r="Y38" t="s">
        <v>106</v>
      </c>
      <c r="Z38" t="s">
        <v>106</v>
      </c>
      <c r="AA38" t="s">
        <v>106</v>
      </c>
      <c r="AB38" t="s">
        <v>106</v>
      </c>
      <c r="AC38" t="s">
        <v>106</v>
      </c>
      <c r="AD38" t="s">
        <v>106</v>
      </c>
      <c r="AE38" t="s">
        <v>106</v>
      </c>
      <c r="AF38" t="s">
        <v>106</v>
      </c>
      <c r="AG38" t="s">
        <v>106</v>
      </c>
      <c r="AH38" t="s">
        <v>106</v>
      </c>
      <c r="AI38" t="s">
        <v>106</v>
      </c>
      <c r="AJ38" t="s">
        <v>106</v>
      </c>
      <c r="AK38" t="s">
        <v>106</v>
      </c>
      <c r="AL38" t="s">
        <v>106</v>
      </c>
      <c r="AM38" t="s">
        <v>106</v>
      </c>
      <c r="AN38" t="s">
        <v>106</v>
      </c>
      <c r="AO38" t="s">
        <v>106</v>
      </c>
      <c r="AP38" t="s">
        <v>106</v>
      </c>
      <c r="AQ38" t="s">
        <v>106</v>
      </c>
      <c r="AR38" t="s">
        <v>106</v>
      </c>
      <c r="AS38" t="s">
        <v>106</v>
      </c>
      <c r="AT38" t="s">
        <v>106</v>
      </c>
      <c r="AU38" t="s">
        <v>106</v>
      </c>
      <c r="AV38" t="s">
        <v>106</v>
      </c>
      <c r="AW38" t="s">
        <v>106</v>
      </c>
      <c r="AX38" t="s">
        <v>106</v>
      </c>
      <c r="AY38" t="s">
        <v>106</v>
      </c>
      <c r="AZ38" t="s">
        <v>106</v>
      </c>
      <c r="BA38" t="s">
        <v>106</v>
      </c>
      <c r="BB38" t="s">
        <v>106</v>
      </c>
      <c r="BC38" t="s">
        <v>106</v>
      </c>
      <c r="BD38" t="s">
        <v>106</v>
      </c>
      <c r="BE38" t="s">
        <v>106</v>
      </c>
      <c r="BF38" t="s">
        <v>106</v>
      </c>
      <c r="BG38" t="s">
        <v>106</v>
      </c>
      <c r="BH38" t="s">
        <v>106</v>
      </c>
      <c r="BI38" t="s">
        <v>106</v>
      </c>
      <c r="BJ38" t="s">
        <v>106</v>
      </c>
      <c r="BK38" t="s">
        <v>106</v>
      </c>
      <c r="BL38">
        <v>-1824.2</v>
      </c>
      <c r="BM38">
        <v>-1824.2</v>
      </c>
    </row>
    <row r="39" spans="1:65">
      <c r="B39" t="s">
        <v>142</v>
      </c>
      <c r="C39" t="s">
        <v>105</v>
      </c>
      <c r="D39" t="s">
        <v>105</v>
      </c>
      <c r="E39" t="s">
        <v>105</v>
      </c>
      <c r="F39" t="s">
        <v>106</v>
      </c>
      <c r="G39" t="s">
        <v>106</v>
      </c>
      <c r="H39" t="s">
        <v>106</v>
      </c>
      <c r="I39" t="s">
        <v>106</v>
      </c>
      <c r="J39" t="s">
        <v>106</v>
      </c>
      <c r="K39" t="s">
        <v>106</v>
      </c>
      <c r="L39" t="s">
        <v>106</v>
      </c>
      <c r="M39" t="s">
        <v>106</v>
      </c>
      <c r="N39" t="s">
        <v>106</v>
      </c>
      <c r="O39" t="s">
        <v>106</v>
      </c>
      <c r="P39" t="s">
        <v>106</v>
      </c>
      <c r="Q39" t="s">
        <v>106</v>
      </c>
      <c r="R39" t="s">
        <v>106</v>
      </c>
      <c r="S39" t="s">
        <v>106</v>
      </c>
      <c r="T39" t="s">
        <v>106</v>
      </c>
      <c r="U39" t="s">
        <v>106</v>
      </c>
      <c r="V39" t="s">
        <v>106</v>
      </c>
      <c r="W39" t="s">
        <v>106</v>
      </c>
      <c r="X39" t="s">
        <v>106</v>
      </c>
      <c r="Y39" t="s">
        <v>106</v>
      </c>
      <c r="Z39" t="s">
        <v>106</v>
      </c>
      <c r="AA39" t="s">
        <v>106</v>
      </c>
      <c r="AB39" t="s">
        <v>106</v>
      </c>
      <c r="AC39" t="s">
        <v>106</v>
      </c>
      <c r="AD39" t="s">
        <v>106</v>
      </c>
      <c r="AE39" t="s">
        <v>106</v>
      </c>
      <c r="AF39" t="s">
        <v>106</v>
      </c>
      <c r="AG39" t="s">
        <v>106</v>
      </c>
      <c r="AH39" t="s">
        <v>106</v>
      </c>
      <c r="AI39" t="s">
        <v>106</v>
      </c>
      <c r="AJ39" t="s">
        <v>106</v>
      </c>
      <c r="AK39" t="s">
        <v>106</v>
      </c>
      <c r="AL39" t="s">
        <v>106</v>
      </c>
      <c r="AM39" t="s">
        <v>106</v>
      </c>
      <c r="AN39" t="s">
        <v>106</v>
      </c>
      <c r="AO39" t="s">
        <v>106</v>
      </c>
      <c r="AP39" t="s">
        <v>106</v>
      </c>
      <c r="AQ39" t="s">
        <v>106</v>
      </c>
      <c r="AR39" t="s">
        <v>106</v>
      </c>
      <c r="AS39" t="s">
        <v>106</v>
      </c>
      <c r="AT39" t="s">
        <v>106</v>
      </c>
      <c r="AU39" t="s">
        <v>106</v>
      </c>
      <c r="AV39" t="s">
        <v>106</v>
      </c>
      <c r="AW39" t="s">
        <v>106</v>
      </c>
      <c r="AX39" t="s">
        <v>106</v>
      </c>
      <c r="AY39" t="s">
        <v>106</v>
      </c>
      <c r="AZ39" t="s">
        <v>106</v>
      </c>
      <c r="BA39" t="s">
        <v>106</v>
      </c>
      <c r="BB39" t="s">
        <v>106</v>
      </c>
      <c r="BC39" t="s">
        <v>106</v>
      </c>
      <c r="BD39" t="s">
        <v>106</v>
      </c>
      <c r="BE39" t="s">
        <v>106</v>
      </c>
      <c r="BF39" t="s">
        <v>106</v>
      </c>
      <c r="BG39" t="s">
        <v>106</v>
      </c>
      <c r="BH39" t="s">
        <v>106</v>
      </c>
      <c r="BI39" t="s">
        <v>106</v>
      </c>
      <c r="BJ39" t="s">
        <v>106</v>
      </c>
      <c r="BK39" t="s">
        <v>106</v>
      </c>
      <c r="BL39" t="s">
        <v>106</v>
      </c>
      <c r="BM39" t="s">
        <v>106</v>
      </c>
    </row>
    <row r="40" spans="1:65">
      <c r="B40" t="s">
        <v>143</v>
      </c>
      <c r="C40" t="s">
        <v>105</v>
      </c>
      <c r="D40" t="s">
        <v>105</v>
      </c>
      <c r="E40" t="s">
        <v>105</v>
      </c>
      <c r="F40" t="s">
        <v>106</v>
      </c>
      <c r="G40" t="s">
        <v>106</v>
      </c>
      <c r="H40" t="s">
        <v>106</v>
      </c>
      <c r="I40" t="s">
        <v>106</v>
      </c>
      <c r="J40" t="s">
        <v>106</v>
      </c>
      <c r="K40" t="s">
        <v>106</v>
      </c>
      <c r="L40" t="s">
        <v>106</v>
      </c>
      <c r="M40" t="s">
        <v>106</v>
      </c>
      <c r="N40" t="s">
        <v>106</v>
      </c>
      <c r="O40" t="s">
        <v>106</v>
      </c>
      <c r="P40" t="s">
        <v>106</v>
      </c>
      <c r="Q40" t="s">
        <v>106</v>
      </c>
      <c r="R40" t="s">
        <v>106</v>
      </c>
      <c r="S40">
        <v>-1034.4000000000001</v>
      </c>
      <c r="T40">
        <v>-905</v>
      </c>
      <c r="U40" t="s">
        <v>106</v>
      </c>
      <c r="V40">
        <v>-6.1</v>
      </c>
      <c r="W40" t="s">
        <v>106</v>
      </c>
      <c r="X40" t="s">
        <v>106</v>
      </c>
      <c r="Y40">
        <v>-2033.9</v>
      </c>
      <c r="Z40">
        <v>-37.5</v>
      </c>
      <c r="AA40">
        <v>-0.1</v>
      </c>
      <c r="AB40">
        <v>-0.2</v>
      </c>
      <c r="AC40" t="s">
        <v>106</v>
      </c>
      <c r="AD40" t="s">
        <v>106</v>
      </c>
      <c r="AE40" t="s">
        <v>106</v>
      </c>
      <c r="AF40">
        <v>-0.5</v>
      </c>
      <c r="AG40">
        <v>-1.5</v>
      </c>
      <c r="AH40" t="s">
        <v>106</v>
      </c>
      <c r="AI40" t="s">
        <v>106</v>
      </c>
      <c r="AJ40">
        <v>-110.5</v>
      </c>
      <c r="AK40" t="s">
        <v>106</v>
      </c>
      <c r="AL40" t="s">
        <v>106</v>
      </c>
      <c r="AM40" t="s">
        <v>106</v>
      </c>
      <c r="AN40" t="s">
        <v>106</v>
      </c>
      <c r="AO40" t="s">
        <v>106</v>
      </c>
      <c r="AP40" t="s">
        <v>106</v>
      </c>
      <c r="AQ40" t="s">
        <v>106</v>
      </c>
      <c r="AR40" t="s">
        <v>106</v>
      </c>
      <c r="AS40" t="s">
        <v>106</v>
      </c>
      <c r="AT40" t="s">
        <v>106</v>
      </c>
      <c r="AU40" t="s">
        <v>106</v>
      </c>
      <c r="AV40" t="s">
        <v>106</v>
      </c>
      <c r="AW40" t="s">
        <v>106</v>
      </c>
      <c r="AX40" t="s">
        <v>106</v>
      </c>
      <c r="AY40" t="s">
        <v>106</v>
      </c>
      <c r="AZ40" t="s">
        <v>106</v>
      </c>
      <c r="BA40" t="s">
        <v>106</v>
      </c>
      <c r="BB40" t="s">
        <v>106</v>
      </c>
      <c r="BC40" t="s">
        <v>106</v>
      </c>
      <c r="BD40" t="s">
        <v>106</v>
      </c>
      <c r="BE40" t="s">
        <v>106</v>
      </c>
      <c r="BF40" t="s">
        <v>106</v>
      </c>
      <c r="BG40" t="s">
        <v>106</v>
      </c>
      <c r="BH40" t="s">
        <v>106</v>
      </c>
      <c r="BI40" t="s">
        <v>106</v>
      </c>
      <c r="BJ40">
        <v>-1212.3</v>
      </c>
      <c r="BK40">
        <v>-205.8</v>
      </c>
      <c r="BL40">
        <v>-5547.8</v>
      </c>
      <c r="BM40">
        <v>-2033.9</v>
      </c>
    </row>
    <row r="41" spans="1:65">
      <c r="B41" t="s">
        <v>144</v>
      </c>
      <c r="C41" t="s">
        <v>105</v>
      </c>
      <c r="D41" t="s">
        <v>105</v>
      </c>
      <c r="E41" t="s">
        <v>105</v>
      </c>
      <c r="F41" t="s">
        <v>106</v>
      </c>
      <c r="G41" t="s">
        <v>106</v>
      </c>
      <c r="H41" t="s">
        <v>106</v>
      </c>
      <c r="I41" t="s">
        <v>106</v>
      </c>
      <c r="J41" t="s">
        <v>106</v>
      </c>
      <c r="K41" t="s">
        <v>106</v>
      </c>
      <c r="L41" t="s">
        <v>106</v>
      </c>
      <c r="M41" t="s">
        <v>106</v>
      </c>
      <c r="N41" t="s">
        <v>106</v>
      </c>
      <c r="O41" t="s">
        <v>106</v>
      </c>
      <c r="P41" t="s">
        <v>106</v>
      </c>
      <c r="Q41" t="s">
        <v>106</v>
      </c>
      <c r="R41" t="s">
        <v>106</v>
      </c>
      <c r="S41">
        <v>-111.2</v>
      </c>
      <c r="T41" t="s">
        <v>106</v>
      </c>
      <c r="U41" t="s">
        <v>106</v>
      </c>
      <c r="V41" t="s">
        <v>106</v>
      </c>
      <c r="W41" t="s">
        <v>106</v>
      </c>
      <c r="X41" t="s">
        <v>106</v>
      </c>
      <c r="Y41">
        <v>-10.6</v>
      </c>
      <c r="Z41">
        <v>-93.9</v>
      </c>
      <c r="AA41">
        <v>-7.1</v>
      </c>
      <c r="AB41">
        <v>0</v>
      </c>
      <c r="AC41" t="s">
        <v>106</v>
      </c>
      <c r="AD41" t="s">
        <v>106</v>
      </c>
      <c r="AE41" t="s">
        <v>106</v>
      </c>
      <c r="AF41">
        <v>0</v>
      </c>
      <c r="AG41">
        <v>0</v>
      </c>
      <c r="AH41" t="s">
        <v>106</v>
      </c>
      <c r="AI41" t="s">
        <v>106</v>
      </c>
      <c r="AJ41" t="s">
        <v>106</v>
      </c>
      <c r="AK41" t="s">
        <v>106</v>
      </c>
      <c r="AL41" t="s">
        <v>106</v>
      </c>
      <c r="AM41" t="s">
        <v>106</v>
      </c>
      <c r="AN41" t="s">
        <v>106</v>
      </c>
      <c r="AO41" t="s">
        <v>106</v>
      </c>
      <c r="AP41" t="s">
        <v>106</v>
      </c>
      <c r="AQ41" t="s">
        <v>106</v>
      </c>
      <c r="AR41" t="s">
        <v>106</v>
      </c>
      <c r="AS41" t="s">
        <v>106</v>
      </c>
      <c r="AT41" t="s">
        <v>106</v>
      </c>
      <c r="AU41" t="s">
        <v>106</v>
      </c>
      <c r="AV41" t="s">
        <v>106</v>
      </c>
      <c r="AW41" t="s">
        <v>106</v>
      </c>
      <c r="AX41" t="s">
        <v>106</v>
      </c>
      <c r="AY41" t="s">
        <v>106</v>
      </c>
      <c r="AZ41" t="s">
        <v>106</v>
      </c>
      <c r="BA41" t="s">
        <v>106</v>
      </c>
      <c r="BB41" t="s">
        <v>106</v>
      </c>
      <c r="BC41" t="s">
        <v>106</v>
      </c>
      <c r="BD41" t="s">
        <v>106</v>
      </c>
      <c r="BE41" t="s">
        <v>106</v>
      </c>
      <c r="BF41" t="s">
        <v>106</v>
      </c>
      <c r="BG41" t="s">
        <v>106</v>
      </c>
      <c r="BH41" t="s">
        <v>106</v>
      </c>
      <c r="BI41" t="s">
        <v>106</v>
      </c>
      <c r="BJ41" t="s">
        <v>106</v>
      </c>
      <c r="BK41" t="s">
        <v>106</v>
      </c>
      <c r="BL41">
        <v>-222.8</v>
      </c>
      <c r="BM41">
        <v>-10.6</v>
      </c>
    </row>
    <row r="42" spans="1:65">
      <c r="B42" t="s">
        <v>145</v>
      </c>
      <c r="C42" t="s">
        <v>105</v>
      </c>
      <c r="D42" t="s">
        <v>105</v>
      </c>
      <c r="E42" t="s">
        <v>105</v>
      </c>
      <c r="F42" t="s">
        <v>106</v>
      </c>
      <c r="G42" t="s">
        <v>106</v>
      </c>
      <c r="H42" t="s">
        <v>106</v>
      </c>
      <c r="I42" t="s">
        <v>106</v>
      </c>
      <c r="J42" t="s">
        <v>106</v>
      </c>
      <c r="K42" t="s">
        <v>106</v>
      </c>
      <c r="L42" t="s">
        <v>106</v>
      </c>
      <c r="M42" t="s">
        <v>106</v>
      </c>
      <c r="N42" t="s">
        <v>106</v>
      </c>
      <c r="O42" t="s">
        <v>106</v>
      </c>
      <c r="P42" t="s">
        <v>106</v>
      </c>
      <c r="Q42" t="s">
        <v>106</v>
      </c>
      <c r="R42" t="s">
        <v>106</v>
      </c>
      <c r="S42" t="s">
        <v>106</v>
      </c>
      <c r="T42" t="s">
        <v>106</v>
      </c>
      <c r="U42" t="s">
        <v>106</v>
      </c>
      <c r="V42" t="s">
        <v>106</v>
      </c>
      <c r="W42" t="s">
        <v>106</v>
      </c>
      <c r="X42" t="s">
        <v>106</v>
      </c>
      <c r="Y42" t="s">
        <v>106</v>
      </c>
      <c r="Z42" t="s">
        <v>106</v>
      </c>
      <c r="AA42" t="s">
        <v>106</v>
      </c>
      <c r="AB42" t="s">
        <v>106</v>
      </c>
      <c r="AC42" t="s">
        <v>106</v>
      </c>
      <c r="AD42" t="s">
        <v>106</v>
      </c>
      <c r="AE42" t="s">
        <v>106</v>
      </c>
      <c r="AF42" t="s">
        <v>106</v>
      </c>
      <c r="AG42" t="s">
        <v>106</v>
      </c>
      <c r="AH42" t="s">
        <v>106</v>
      </c>
      <c r="AI42" t="s">
        <v>106</v>
      </c>
      <c r="AJ42" t="s">
        <v>106</v>
      </c>
      <c r="AK42" t="s">
        <v>106</v>
      </c>
      <c r="AL42" t="s">
        <v>106</v>
      </c>
      <c r="AM42" t="s">
        <v>106</v>
      </c>
      <c r="AN42" t="s">
        <v>106</v>
      </c>
      <c r="AO42" t="s">
        <v>106</v>
      </c>
      <c r="AP42" t="s">
        <v>106</v>
      </c>
      <c r="AQ42" t="s">
        <v>106</v>
      </c>
      <c r="AR42" t="s">
        <v>106</v>
      </c>
      <c r="AS42" t="s">
        <v>106</v>
      </c>
      <c r="AT42" t="s">
        <v>106</v>
      </c>
      <c r="AU42" t="s">
        <v>106</v>
      </c>
      <c r="AV42" t="s">
        <v>106</v>
      </c>
      <c r="AW42" t="s">
        <v>106</v>
      </c>
      <c r="AX42" t="s">
        <v>106</v>
      </c>
      <c r="AY42" t="s">
        <v>106</v>
      </c>
      <c r="AZ42" t="s">
        <v>106</v>
      </c>
      <c r="BA42" t="s">
        <v>106</v>
      </c>
      <c r="BB42" t="s">
        <v>106</v>
      </c>
      <c r="BC42" t="s">
        <v>106</v>
      </c>
      <c r="BD42" t="s">
        <v>106</v>
      </c>
      <c r="BE42" t="s">
        <v>106</v>
      </c>
      <c r="BF42" t="s">
        <v>106</v>
      </c>
      <c r="BG42" t="s">
        <v>106</v>
      </c>
      <c r="BH42" t="s">
        <v>106</v>
      </c>
      <c r="BI42" t="s">
        <v>106</v>
      </c>
      <c r="BJ42" t="s">
        <v>106</v>
      </c>
      <c r="BK42" t="s">
        <v>106</v>
      </c>
      <c r="BL42" t="s">
        <v>106</v>
      </c>
      <c r="BM42" t="s">
        <v>106</v>
      </c>
    </row>
    <row r="43" spans="1:65">
      <c r="B43" t="s">
        <v>146</v>
      </c>
      <c r="C43" t="s">
        <v>105</v>
      </c>
      <c r="D43" t="s">
        <v>105</v>
      </c>
      <c r="E43" t="s">
        <v>105</v>
      </c>
      <c r="F43" t="s">
        <v>106</v>
      </c>
      <c r="G43" t="s">
        <v>106</v>
      </c>
      <c r="H43" t="s">
        <v>106</v>
      </c>
      <c r="I43" t="s">
        <v>106</v>
      </c>
      <c r="J43" t="s">
        <v>106</v>
      </c>
      <c r="K43" t="s">
        <v>106</v>
      </c>
      <c r="L43" t="s">
        <v>106</v>
      </c>
      <c r="M43" t="s">
        <v>106</v>
      </c>
      <c r="N43" t="s">
        <v>106</v>
      </c>
      <c r="O43" t="s">
        <v>106</v>
      </c>
      <c r="P43" t="s">
        <v>106</v>
      </c>
      <c r="Q43" t="s">
        <v>106</v>
      </c>
      <c r="R43" t="s">
        <v>106</v>
      </c>
      <c r="S43" t="s">
        <v>106</v>
      </c>
      <c r="T43" t="s">
        <v>106</v>
      </c>
      <c r="U43" t="s">
        <v>106</v>
      </c>
      <c r="V43" t="s">
        <v>106</v>
      </c>
      <c r="W43" t="s">
        <v>106</v>
      </c>
      <c r="X43" t="s">
        <v>106</v>
      </c>
      <c r="Y43">
        <v>-5.3</v>
      </c>
      <c r="Z43">
        <v>-57.4</v>
      </c>
      <c r="AA43">
        <v>-3.9</v>
      </c>
      <c r="AB43" t="s">
        <v>106</v>
      </c>
      <c r="AC43" t="s">
        <v>106</v>
      </c>
      <c r="AD43" t="s">
        <v>106</v>
      </c>
      <c r="AE43">
        <v>-0.4</v>
      </c>
      <c r="AF43">
        <v>-2.6</v>
      </c>
      <c r="AG43">
        <v>-83.4</v>
      </c>
      <c r="AH43" t="s">
        <v>106</v>
      </c>
      <c r="AI43" t="s">
        <v>106</v>
      </c>
      <c r="AJ43">
        <v>-4.3</v>
      </c>
      <c r="AK43" t="s">
        <v>106</v>
      </c>
      <c r="AL43" t="s">
        <v>106</v>
      </c>
      <c r="AM43" t="s">
        <v>106</v>
      </c>
      <c r="AN43" t="s">
        <v>106</v>
      </c>
      <c r="AO43" t="s">
        <v>106</v>
      </c>
      <c r="AP43" t="s">
        <v>106</v>
      </c>
      <c r="AQ43" t="s">
        <v>106</v>
      </c>
      <c r="AR43" t="s">
        <v>106</v>
      </c>
      <c r="AS43" t="s">
        <v>106</v>
      </c>
      <c r="AT43" t="s">
        <v>106</v>
      </c>
      <c r="AU43" t="s">
        <v>106</v>
      </c>
      <c r="AV43" t="s">
        <v>106</v>
      </c>
      <c r="AW43" t="s">
        <v>106</v>
      </c>
      <c r="AX43" t="s">
        <v>106</v>
      </c>
      <c r="AY43" t="s">
        <v>106</v>
      </c>
      <c r="AZ43" t="s">
        <v>106</v>
      </c>
      <c r="BA43" t="s">
        <v>106</v>
      </c>
      <c r="BB43" t="s">
        <v>106</v>
      </c>
      <c r="BC43" t="s">
        <v>106</v>
      </c>
      <c r="BD43" t="s">
        <v>106</v>
      </c>
      <c r="BE43" t="s">
        <v>106</v>
      </c>
      <c r="BF43" t="s">
        <v>106</v>
      </c>
      <c r="BG43" t="s">
        <v>106</v>
      </c>
      <c r="BH43" t="s">
        <v>106</v>
      </c>
      <c r="BI43" t="s">
        <v>106</v>
      </c>
      <c r="BJ43">
        <v>-7.8</v>
      </c>
      <c r="BK43" t="s">
        <v>106</v>
      </c>
      <c r="BL43">
        <v>-165.1</v>
      </c>
      <c r="BM43">
        <v>-5.3</v>
      </c>
    </row>
    <row r="44" spans="1:65">
      <c r="A44" t="s">
        <v>147</v>
      </c>
      <c r="B44" t="s">
        <v>105</v>
      </c>
      <c r="C44" t="s">
        <v>105</v>
      </c>
      <c r="D44" t="s">
        <v>105</v>
      </c>
      <c r="E44" t="s">
        <v>105</v>
      </c>
      <c r="F44" t="s">
        <v>106</v>
      </c>
      <c r="G44" t="s">
        <v>106</v>
      </c>
      <c r="H44" t="s">
        <v>106</v>
      </c>
      <c r="I44" t="s">
        <v>106</v>
      </c>
      <c r="J44" t="s">
        <v>106</v>
      </c>
      <c r="K44" t="s">
        <v>106</v>
      </c>
      <c r="L44" t="s">
        <v>106</v>
      </c>
      <c r="M44" t="s">
        <v>106</v>
      </c>
      <c r="N44" t="s">
        <v>106</v>
      </c>
      <c r="O44" t="s">
        <v>106</v>
      </c>
      <c r="P44" t="s">
        <v>106</v>
      </c>
      <c r="Q44" t="s">
        <v>106</v>
      </c>
      <c r="R44" t="s">
        <v>106</v>
      </c>
      <c r="S44">
        <v>10.9</v>
      </c>
      <c r="T44" t="s">
        <v>106</v>
      </c>
      <c r="U44" t="s">
        <v>106</v>
      </c>
      <c r="V44" t="s">
        <v>106</v>
      </c>
      <c r="W44" t="s">
        <v>106</v>
      </c>
      <c r="X44" t="s">
        <v>106</v>
      </c>
      <c r="Y44" t="s">
        <v>106</v>
      </c>
      <c r="Z44" t="s">
        <v>106</v>
      </c>
      <c r="AA44" t="s">
        <v>106</v>
      </c>
      <c r="AB44" t="s">
        <v>106</v>
      </c>
      <c r="AC44" t="s">
        <v>106</v>
      </c>
      <c r="AD44" t="s">
        <v>106</v>
      </c>
      <c r="AE44" t="s">
        <v>106</v>
      </c>
      <c r="AF44" t="s">
        <v>106</v>
      </c>
      <c r="AG44" t="s">
        <v>106</v>
      </c>
      <c r="AH44" t="s">
        <v>106</v>
      </c>
      <c r="AI44" t="s">
        <v>106</v>
      </c>
      <c r="AJ44" t="s">
        <v>106</v>
      </c>
      <c r="AK44" t="s">
        <v>106</v>
      </c>
      <c r="AL44" t="s">
        <v>106</v>
      </c>
      <c r="AM44" t="s">
        <v>106</v>
      </c>
      <c r="AN44" t="s">
        <v>106</v>
      </c>
      <c r="AO44" t="s">
        <v>106</v>
      </c>
      <c r="AP44" t="s">
        <v>106</v>
      </c>
      <c r="AQ44" t="s">
        <v>106</v>
      </c>
      <c r="AR44" t="s">
        <v>106</v>
      </c>
      <c r="AS44" t="s">
        <v>106</v>
      </c>
      <c r="AT44" t="s">
        <v>106</v>
      </c>
      <c r="AU44" t="s">
        <v>106</v>
      </c>
      <c r="AV44" t="s">
        <v>106</v>
      </c>
      <c r="AW44" t="s">
        <v>106</v>
      </c>
      <c r="AX44" t="s">
        <v>106</v>
      </c>
      <c r="AY44" t="s">
        <v>106</v>
      </c>
      <c r="AZ44" t="s">
        <v>106</v>
      </c>
      <c r="BA44" t="s">
        <v>106</v>
      </c>
      <c r="BB44" t="s">
        <v>106</v>
      </c>
      <c r="BC44" t="s">
        <v>106</v>
      </c>
      <c r="BD44" t="s">
        <v>106</v>
      </c>
      <c r="BE44" t="s">
        <v>106</v>
      </c>
      <c r="BF44" t="s">
        <v>106</v>
      </c>
      <c r="BG44" t="s">
        <v>106</v>
      </c>
      <c r="BH44" t="s">
        <v>106</v>
      </c>
      <c r="BI44" t="s">
        <v>106</v>
      </c>
      <c r="BJ44">
        <v>-1510.9</v>
      </c>
      <c r="BK44">
        <v>-527.20000000000005</v>
      </c>
      <c r="BL44">
        <v>-2027.3</v>
      </c>
      <c r="BM44" t="s">
        <v>106</v>
      </c>
    </row>
    <row r="45" spans="1:65">
      <c r="A45" t="s">
        <v>148</v>
      </c>
      <c r="B45" t="s">
        <v>105</v>
      </c>
      <c r="C45" t="s">
        <v>105</v>
      </c>
      <c r="D45" t="s">
        <v>105</v>
      </c>
      <c r="E45" t="s">
        <v>105</v>
      </c>
      <c r="F45" t="s">
        <v>106</v>
      </c>
      <c r="G45">
        <v>3023.5</v>
      </c>
      <c r="H45" t="s">
        <v>106</v>
      </c>
      <c r="I45">
        <v>3710.9</v>
      </c>
      <c r="J45" t="s">
        <v>106</v>
      </c>
      <c r="K45">
        <v>0</v>
      </c>
      <c r="L45">
        <v>35.6</v>
      </c>
      <c r="M45">
        <v>206.6</v>
      </c>
      <c r="N45">
        <v>713.7</v>
      </c>
      <c r="O45">
        <v>530.20000000000005</v>
      </c>
      <c r="P45">
        <v>1831.5</v>
      </c>
      <c r="Q45">
        <v>87.4</v>
      </c>
      <c r="R45">
        <v>242.5</v>
      </c>
      <c r="S45">
        <v>1830.3</v>
      </c>
      <c r="T45">
        <v>23262.1</v>
      </c>
      <c r="U45" t="s">
        <v>106</v>
      </c>
      <c r="V45" t="s">
        <v>106</v>
      </c>
      <c r="W45" t="s">
        <v>106</v>
      </c>
      <c r="X45" t="s">
        <v>106</v>
      </c>
      <c r="Y45">
        <v>273.89999999999998</v>
      </c>
      <c r="Z45">
        <v>6840.9</v>
      </c>
      <c r="AA45">
        <v>3984.1</v>
      </c>
      <c r="AB45">
        <v>10538.4</v>
      </c>
      <c r="AC45">
        <v>2.1</v>
      </c>
      <c r="AD45" t="s">
        <v>106</v>
      </c>
      <c r="AE45">
        <v>2150.6</v>
      </c>
      <c r="AF45">
        <v>2296.8000000000002</v>
      </c>
      <c r="AG45">
        <v>22341.8</v>
      </c>
      <c r="AH45">
        <v>158.80000000000001</v>
      </c>
      <c r="AI45">
        <v>22</v>
      </c>
      <c r="AJ45">
        <v>701.4</v>
      </c>
      <c r="AK45">
        <v>45343.3</v>
      </c>
      <c r="AL45">
        <v>197.3</v>
      </c>
      <c r="AM45">
        <v>1219.2</v>
      </c>
      <c r="AN45">
        <v>1509.8</v>
      </c>
      <c r="AO45">
        <v>24.5</v>
      </c>
      <c r="AP45">
        <v>605.70000000000005</v>
      </c>
      <c r="AQ45">
        <v>3069</v>
      </c>
      <c r="AR45">
        <v>1786.8</v>
      </c>
      <c r="AS45">
        <v>885.3</v>
      </c>
      <c r="AT45">
        <v>356.2</v>
      </c>
      <c r="AU45">
        <v>1236.5</v>
      </c>
      <c r="AV45">
        <v>64.900000000000006</v>
      </c>
      <c r="AW45">
        <v>5.7</v>
      </c>
      <c r="AX45" t="s">
        <v>106</v>
      </c>
      <c r="AY45">
        <v>703.9</v>
      </c>
      <c r="AZ45" t="s">
        <v>106</v>
      </c>
      <c r="BA45" t="s">
        <v>106</v>
      </c>
      <c r="BB45" t="s">
        <v>106</v>
      </c>
      <c r="BC45" t="s">
        <v>106</v>
      </c>
      <c r="BD45">
        <v>255.6</v>
      </c>
      <c r="BE45" t="s">
        <v>106</v>
      </c>
      <c r="BF45">
        <v>25.6</v>
      </c>
      <c r="BG45" t="s">
        <v>106</v>
      </c>
      <c r="BH45" t="s">
        <v>106</v>
      </c>
      <c r="BI45" t="s">
        <v>106</v>
      </c>
      <c r="BJ45">
        <v>48253.1</v>
      </c>
      <c r="BK45">
        <v>6523.8</v>
      </c>
      <c r="BL45">
        <v>196851.6</v>
      </c>
      <c r="BM45">
        <v>7755.9</v>
      </c>
    </row>
    <row r="46" spans="1:65">
      <c r="B46" t="s">
        <v>149</v>
      </c>
      <c r="C46" t="s">
        <v>105</v>
      </c>
      <c r="D46" t="s">
        <v>105</v>
      </c>
      <c r="E46" t="s">
        <v>105</v>
      </c>
      <c r="F46" t="s">
        <v>106</v>
      </c>
      <c r="G46">
        <v>3023.5</v>
      </c>
      <c r="H46" t="s">
        <v>106</v>
      </c>
      <c r="I46">
        <v>3710.9</v>
      </c>
      <c r="J46" t="s">
        <v>106</v>
      </c>
      <c r="K46">
        <v>0</v>
      </c>
      <c r="L46" t="s">
        <v>106</v>
      </c>
      <c r="M46">
        <v>206.6</v>
      </c>
      <c r="N46">
        <v>713.7</v>
      </c>
      <c r="O46" t="s">
        <v>106</v>
      </c>
      <c r="P46">
        <v>1831.5</v>
      </c>
      <c r="Q46">
        <v>87.4</v>
      </c>
      <c r="R46">
        <v>242.5</v>
      </c>
      <c r="S46">
        <v>775.4</v>
      </c>
      <c r="T46">
        <v>23262.1</v>
      </c>
      <c r="U46" t="s">
        <v>106</v>
      </c>
      <c r="V46" t="s">
        <v>106</v>
      </c>
      <c r="W46" t="s">
        <v>106</v>
      </c>
      <c r="X46" t="s">
        <v>106</v>
      </c>
      <c r="Y46">
        <v>273.89999999999998</v>
      </c>
      <c r="Z46">
        <v>2866</v>
      </c>
      <c r="AA46">
        <v>3287.3</v>
      </c>
      <c r="AB46">
        <v>10538.4</v>
      </c>
      <c r="AC46">
        <v>2.1</v>
      </c>
      <c r="AD46" t="s">
        <v>106</v>
      </c>
      <c r="AE46">
        <v>2150.6</v>
      </c>
      <c r="AF46">
        <v>2296.8000000000002</v>
      </c>
      <c r="AG46">
        <v>22341.8</v>
      </c>
      <c r="AH46">
        <v>158.80000000000001</v>
      </c>
      <c r="AI46">
        <v>22</v>
      </c>
      <c r="AJ46">
        <v>701.4</v>
      </c>
      <c r="AK46" t="s">
        <v>106</v>
      </c>
      <c r="AL46" t="s">
        <v>106</v>
      </c>
      <c r="AM46" t="s">
        <v>106</v>
      </c>
      <c r="AN46" t="s">
        <v>106</v>
      </c>
      <c r="AO46" t="s">
        <v>106</v>
      </c>
      <c r="AP46" t="s">
        <v>106</v>
      </c>
      <c r="AQ46" t="s">
        <v>106</v>
      </c>
      <c r="AR46">
        <v>1786.8</v>
      </c>
      <c r="AS46">
        <v>885.3</v>
      </c>
      <c r="AT46">
        <v>356.2</v>
      </c>
      <c r="AU46">
        <v>1236.5</v>
      </c>
      <c r="AV46">
        <v>64.900000000000006</v>
      </c>
      <c r="AW46">
        <v>5.7</v>
      </c>
      <c r="AX46" t="s">
        <v>106</v>
      </c>
      <c r="AY46">
        <v>703.9</v>
      </c>
      <c r="AZ46" t="s">
        <v>106</v>
      </c>
      <c r="BA46" t="s">
        <v>106</v>
      </c>
      <c r="BB46" t="s">
        <v>106</v>
      </c>
      <c r="BC46" t="s">
        <v>106</v>
      </c>
      <c r="BD46">
        <v>255.6</v>
      </c>
      <c r="BE46" t="s">
        <v>106</v>
      </c>
      <c r="BF46">
        <v>25.6</v>
      </c>
      <c r="BG46" t="s">
        <v>106</v>
      </c>
      <c r="BH46" t="s">
        <v>106</v>
      </c>
      <c r="BI46" t="s">
        <v>106</v>
      </c>
      <c r="BJ46">
        <v>48253.1</v>
      </c>
      <c r="BK46">
        <v>6523.8</v>
      </c>
      <c r="BL46">
        <v>138590.29999999999</v>
      </c>
      <c r="BM46">
        <v>7755.9</v>
      </c>
    </row>
    <row r="47" spans="1:65">
      <c r="C47" t="s">
        <v>150</v>
      </c>
      <c r="D47" t="s">
        <v>105</v>
      </c>
      <c r="E47" t="s">
        <v>105</v>
      </c>
      <c r="F47" t="s">
        <v>106</v>
      </c>
      <c r="G47">
        <v>3023.5</v>
      </c>
      <c r="H47" t="s">
        <v>106</v>
      </c>
      <c r="I47">
        <v>3710.9</v>
      </c>
      <c r="J47" t="s">
        <v>106</v>
      </c>
      <c r="K47">
        <v>0</v>
      </c>
      <c r="L47" t="s">
        <v>106</v>
      </c>
      <c r="M47">
        <v>0.9</v>
      </c>
      <c r="N47">
        <v>713.7</v>
      </c>
      <c r="O47" t="s">
        <v>106</v>
      </c>
      <c r="P47">
        <v>1831.5</v>
      </c>
      <c r="Q47">
        <v>87.4</v>
      </c>
      <c r="R47">
        <v>242.5</v>
      </c>
      <c r="S47">
        <v>775.4</v>
      </c>
      <c r="T47">
        <v>7743</v>
      </c>
      <c r="U47" t="s">
        <v>106</v>
      </c>
      <c r="V47" t="s">
        <v>106</v>
      </c>
      <c r="W47" t="s">
        <v>106</v>
      </c>
      <c r="X47" t="s">
        <v>106</v>
      </c>
      <c r="Y47">
        <v>273.89999999999998</v>
      </c>
      <c r="Z47">
        <v>1099.4000000000001</v>
      </c>
      <c r="AA47">
        <v>158.4</v>
      </c>
      <c r="AB47">
        <v>147.69999999999999</v>
      </c>
      <c r="AC47">
        <v>0</v>
      </c>
      <c r="AD47" t="s">
        <v>106</v>
      </c>
      <c r="AE47">
        <v>0.3</v>
      </c>
      <c r="AF47">
        <v>315.39999999999998</v>
      </c>
      <c r="AG47">
        <v>2129.1</v>
      </c>
      <c r="AH47">
        <v>71.099999999999994</v>
      </c>
      <c r="AI47">
        <v>17.8</v>
      </c>
      <c r="AJ47">
        <v>505.9</v>
      </c>
      <c r="AK47" t="s">
        <v>106</v>
      </c>
      <c r="AL47" t="s">
        <v>106</v>
      </c>
      <c r="AM47" t="s">
        <v>106</v>
      </c>
      <c r="AN47" t="s">
        <v>106</v>
      </c>
      <c r="AO47" t="s">
        <v>106</v>
      </c>
      <c r="AP47" t="s">
        <v>106</v>
      </c>
      <c r="AQ47" t="s">
        <v>106</v>
      </c>
      <c r="AR47">
        <v>1686.4</v>
      </c>
      <c r="AS47">
        <v>116.9</v>
      </c>
      <c r="AT47">
        <v>342.5</v>
      </c>
      <c r="AU47">
        <v>1004.5</v>
      </c>
      <c r="AV47">
        <v>15.6</v>
      </c>
      <c r="AW47">
        <v>5.7</v>
      </c>
      <c r="AX47" t="s">
        <v>106</v>
      </c>
      <c r="AY47" t="s">
        <v>106</v>
      </c>
      <c r="AZ47" t="s">
        <v>106</v>
      </c>
      <c r="BA47" t="s">
        <v>106</v>
      </c>
      <c r="BB47" t="s">
        <v>106</v>
      </c>
      <c r="BC47" t="s">
        <v>106</v>
      </c>
      <c r="BD47">
        <v>37.6</v>
      </c>
      <c r="BE47" t="s">
        <v>106</v>
      </c>
      <c r="BF47">
        <v>1.3</v>
      </c>
      <c r="BG47" t="s">
        <v>106</v>
      </c>
      <c r="BH47" t="s">
        <v>106</v>
      </c>
      <c r="BI47" t="s">
        <v>106</v>
      </c>
      <c r="BJ47">
        <v>26318</v>
      </c>
      <c r="BK47">
        <v>3756.6</v>
      </c>
      <c r="BL47">
        <v>56133</v>
      </c>
      <c r="BM47">
        <v>5645.9</v>
      </c>
    </row>
    <row r="48" spans="1:65">
      <c r="D48" t="s">
        <v>151</v>
      </c>
      <c r="E48" t="s">
        <v>105</v>
      </c>
      <c r="F48" t="s">
        <v>106</v>
      </c>
      <c r="G48" t="s">
        <v>106</v>
      </c>
      <c r="H48" t="s">
        <v>106</v>
      </c>
      <c r="I48" t="s">
        <v>106</v>
      </c>
      <c r="J48" t="s">
        <v>106</v>
      </c>
      <c r="K48" t="s">
        <v>106</v>
      </c>
      <c r="L48" t="s">
        <v>106</v>
      </c>
      <c r="M48">
        <v>0.5</v>
      </c>
      <c r="N48" t="s">
        <v>106</v>
      </c>
      <c r="O48" t="s">
        <v>106</v>
      </c>
      <c r="P48" t="s">
        <v>106</v>
      </c>
      <c r="Q48" t="s">
        <v>106</v>
      </c>
      <c r="R48" t="s">
        <v>106</v>
      </c>
      <c r="S48" t="s">
        <v>106</v>
      </c>
      <c r="T48">
        <v>2.5</v>
      </c>
      <c r="U48" t="s">
        <v>106</v>
      </c>
      <c r="V48" t="s">
        <v>106</v>
      </c>
      <c r="W48" t="s">
        <v>106</v>
      </c>
      <c r="X48" t="s">
        <v>106</v>
      </c>
      <c r="Y48" t="s">
        <v>106</v>
      </c>
      <c r="Z48">
        <v>4.9000000000000004</v>
      </c>
      <c r="AA48">
        <v>0.1</v>
      </c>
      <c r="AB48">
        <v>31.8</v>
      </c>
      <c r="AC48" t="s">
        <v>106</v>
      </c>
      <c r="AD48" t="s">
        <v>106</v>
      </c>
      <c r="AE48" t="s">
        <v>106</v>
      </c>
      <c r="AF48">
        <v>201</v>
      </c>
      <c r="AG48">
        <v>242.2</v>
      </c>
      <c r="AH48">
        <v>4.3</v>
      </c>
      <c r="AI48">
        <v>3.9</v>
      </c>
      <c r="AJ48">
        <v>7.9</v>
      </c>
      <c r="AK48" t="s">
        <v>106</v>
      </c>
      <c r="AL48" t="s">
        <v>106</v>
      </c>
      <c r="AM48" t="s">
        <v>106</v>
      </c>
      <c r="AN48" t="s">
        <v>106</v>
      </c>
      <c r="AO48" t="s">
        <v>106</v>
      </c>
      <c r="AP48" t="s">
        <v>106</v>
      </c>
      <c r="AQ48" t="s">
        <v>106</v>
      </c>
      <c r="AR48" t="s">
        <v>106</v>
      </c>
      <c r="AS48">
        <v>0.6</v>
      </c>
      <c r="AT48" t="s">
        <v>106</v>
      </c>
      <c r="AU48">
        <v>99.1</v>
      </c>
      <c r="AV48" t="s">
        <v>106</v>
      </c>
      <c r="AW48" t="s">
        <v>106</v>
      </c>
      <c r="AX48" t="s">
        <v>106</v>
      </c>
      <c r="AY48" t="s">
        <v>106</v>
      </c>
      <c r="AZ48" t="s">
        <v>106</v>
      </c>
      <c r="BA48" t="s">
        <v>106</v>
      </c>
      <c r="BB48" t="s">
        <v>106</v>
      </c>
      <c r="BC48" t="s">
        <v>106</v>
      </c>
      <c r="BD48">
        <v>32.700000000000003</v>
      </c>
      <c r="BE48" t="s">
        <v>106</v>
      </c>
      <c r="BF48" t="s">
        <v>106</v>
      </c>
      <c r="BG48" t="s">
        <v>106</v>
      </c>
      <c r="BH48" t="s">
        <v>106</v>
      </c>
      <c r="BI48" t="s">
        <v>106</v>
      </c>
      <c r="BJ48">
        <v>1325.7</v>
      </c>
      <c r="BK48" t="s">
        <v>106</v>
      </c>
      <c r="BL48">
        <v>1957.2</v>
      </c>
      <c r="BM48">
        <v>132.4</v>
      </c>
    </row>
    <row r="49" spans="3:65">
      <c r="D49" t="s">
        <v>152</v>
      </c>
      <c r="E49" t="s">
        <v>105</v>
      </c>
      <c r="F49" t="s">
        <v>106</v>
      </c>
      <c r="G49" t="s">
        <v>106</v>
      </c>
      <c r="H49" t="s">
        <v>106</v>
      </c>
      <c r="I49" t="s">
        <v>106</v>
      </c>
      <c r="J49" t="s">
        <v>106</v>
      </c>
      <c r="K49" t="s">
        <v>106</v>
      </c>
      <c r="L49" t="s">
        <v>106</v>
      </c>
      <c r="M49" t="s">
        <v>106</v>
      </c>
      <c r="N49" t="s">
        <v>106</v>
      </c>
      <c r="O49" t="s">
        <v>106</v>
      </c>
      <c r="P49" t="s">
        <v>106</v>
      </c>
      <c r="Q49" t="s">
        <v>106</v>
      </c>
      <c r="R49" t="s">
        <v>106</v>
      </c>
      <c r="S49" t="s">
        <v>106</v>
      </c>
      <c r="T49" t="s">
        <v>106</v>
      </c>
      <c r="U49" t="s">
        <v>106</v>
      </c>
      <c r="V49" t="s">
        <v>106</v>
      </c>
      <c r="W49" t="s">
        <v>106</v>
      </c>
      <c r="X49" t="s">
        <v>106</v>
      </c>
      <c r="Y49" t="s">
        <v>106</v>
      </c>
      <c r="Z49">
        <v>1.2</v>
      </c>
      <c r="AA49" t="s">
        <v>106</v>
      </c>
      <c r="AB49">
        <v>78.599999999999994</v>
      </c>
      <c r="AC49" t="s">
        <v>106</v>
      </c>
      <c r="AD49" t="s">
        <v>106</v>
      </c>
      <c r="AE49" t="s">
        <v>106</v>
      </c>
      <c r="AF49">
        <v>0</v>
      </c>
      <c r="AG49">
        <v>785.9</v>
      </c>
      <c r="AH49">
        <v>8.1999999999999993</v>
      </c>
      <c r="AI49">
        <v>6.4</v>
      </c>
      <c r="AJ49">
        <v>5.8</v>
      </c>
      <c r="AK49" t="s">
        <v>106</v>
      </c>
      <c r="AL49" t="s">
        <v>106</v>
      </c>
      <c r="AM49" t="s">
        <v>106</v>
      </c>
      <c r="AN49" t="s">
        <v>106</v>
      </c>
      <c r="AO49" t="s">
        <v>106</v>
      </c>
      <c r="AP49" t="s">
        <v>106</v>
      </c>
      <c r="AQ49" t="s">
        <v>106</v>
      </c>
      <c r="AR49" t="s">
        <v>106</v>
      </c>
      <c r="AS49" t="s">
        <v>106</v>
      </c>
      <c r="AT49" t="s">
        <v>106</v>
      </c>
      <c r="AU49" t="s">
        <v>106</v>
      </c>
      <c r="AV49" t="s">
        <v>106</v>
      </c>
      <c r="AW49" t="s">
        <v>106</v>
      </c>
      <c r="AX49" t="s">
        <v>106</v>
      </c>
      <c r="AY49" t="s">
        <v>106</v>
      </c>
      <c r="AZ49" t="s">
        <v>106</v>
      </c>
      <c r="BA49" t="s">
        <v>106</v>
      </c>
      <c r="BB49" t="s">
        <v>106</v>
      </c>
      <c r="BC49" t="s">
        <v>106</v>
      </c>
      <c r="BD49" t="s">
        <v>106</v>
      </c>
      <c r="BE49" t="s">
        <v>106</v>
      </c>
      <c r="BF49" t="s">
        <v>106</v>
      </c>
      <c r="BG49" t="s">
        <v>106</v>
      </c>
      <c r="BH49" t="s">
        <v>106</v>
      </c>
      <c r="BI49" t="s">
        <v>106</v>
      </c>
      <c r="BJ49">
        <v>265</v>
      </c>
      <c r="BK49" t="s">
        <v>106</v>
      </c>
      <c r="BL49">
        <v>1150.9000000000001</v>
      </c>
      <c r="BM49" t="s">
        <v>106</v>
      </c>
    </row>
    <row r="50" spans="3:65">
      <c r="D50" t="s">
        <v>153</v>
      </c>
      <c r="E50" t="s">
        <v>105</v>
      </c>
      <c r="F50" t="s">
        <v>106</v>
      </c>
      <c r="G50" t="s">
        <v>106</v>
      </c>
      <c r="H50" t="s">
        <v>106</v>
      </c>
      <c r="I50" t="s">
        <v>106</v>
      </c>
      <c r="J50" t="s">
        <v>106</v>
      </c>
      <c r="K50" t="s">
        <v>106</v>
      </c>
      <c r="L50" t="s">
        <v>106</v>
      </c>
      <c r="M50" t="s">
        <v>106</v>
      </c>
      <c r="N50" t="s">
        <v>106</v>
      </c>
      <c r="O50" t="s">
        <v>106</v>
      </c>
      <c r="P50" t="s">
        <v>106</v>
      </c>
      <c r="Q50" t="s">
        <v>106</v>
      </c>
      <c r="R50" t="s">
        <v>106</v>
      </c>
      <c r="S50" t="s">
        <v>106</v>
      </c>
      <c r="T50" t="s">
        <v>106</v>
      </c>
      <c r="U50" t="s">
        <v>106</v>
      </c>
      <c r="V50" t="s">
        <v>106</v>
      </c>
      <c r="W50" t="s">
        <v>106</v>
      </c>
      <c r="X50" t="s">
        <v>106</v>
      </c>
      <c r="Y50" t="s">
        <v>106</v>
      </c>
      <c r="Z50">
        <v>1.8</v>
      </c>
      <c r="AA50">
        <v>0</v>
      </c>
      <c r="AB50">
        <v>0</v>
      </c>
      <c r="AC50" t="s">
        <v>106</v>
      </c>
      <c r="AD50" t="s">
        <v>106</v>
      </c>
      <c r="AE50" t="s">
        <v>106</v>
      </c>
      <c r="AF50">
        <v>0.7</v>
      </c>
      <c r="AG50">
        <v>31.1</v>
      </c>
      <c r="AH50">
        <v>7.3</v>
      </c>
      <c r="AI50">
        <v>0.2</v>
      </c>
      <c r="AJ50">
        <v>4</v>
      </c>
      <c r="AK50" t="s">
        <v>106</v>
      </c>
      <c r="AL50" t="s">
        <v>106</v>
      </c>
      <c r="AM50" t="s">
        <v>106</v>
      </c>
      <c r="AN50" t="s">
        <v>106</v>
      </c>
      <c r="AO50" t="s">
        <v>106</v>
      </c>
      <c r="AP50" t="s">
        <v>106</v>
      </c>
      <c r="AQ50" t="s">
        <v>106</v>
      </c>
      <c r="AR50" t="s">
        <v>106</v>
      </c>
      <c r="AS50" t="s">
        <v>106</v>
      </c>
      <c r="AT50" t="s">
        <v>106</v>
      </c>
      <c r="AU50">
        <v>0.1</v>
      </c>
      <c r="AV50" t="s">
        <v>106</v>
      </c>
      <c r="AW50" t="s">
        <v>106</v>
      </c>
      <c r="AX50" t="s">
        <v>106</v>
      </c>
      <c r="AY50" t="s">
        <v>106</v>
      </c>
      <c r="AZ50" t="s">
        <v>106</v>
      </c>
      <c r="BA50" t="s">
        <v>106</v>
      </c>
      <c r="BB50" t="s">
        <v>106</v>
      </c>
      <c r="BC50" t="s">
        <v>106</v>
      </c>
      <c r="BD50" t="s">
        <v>106</v>
      </c>
      <c r="BE50" t="s">
        <v>106</v>
      </c>
      <c r="BF50" t="s">
        <v>106</v>
      </c>
      <c r="BG50" t="s">
        <v>106</v>
      </c>
      <c r="BH50" t="s">
        <v>106</v>
      </c>
      <c r="BI50" t="s">
        <v>106</v>
      </c>
      <c r="BJ50">
        <v>155.4</v>
      </c>
      <c r="BK50" t="s">
        <v>106</v>
      </c>
      <c r="BL50">
        <v>200.6</v>
      </c>
      <c r="BM50">
        <v>0.1</v>
      </c>
    </row>
    <row r="51" spans="3:65">
      <c r="D51" t="s">
        <v>154</v>
      </c>
      <c r="E51" t="s">
        <v>105</v>
      </c>
      <c r="F51" t="s">
        <v>106</v>
      </c>
      <c r="G51">
        <v>3023.5</v>
      </c>
      <c r="H51" t="s">
        <v>106</v>
      </c>
      <c r="I51">
        <v>3710.9</v>
      </c>
      <c r="J51" t="s">
        <v>106</v>
      </c>
      <c r="K51" t="s">
        <v>106</v>
      </c>
      <c r="L51" t="s">
        <v>106</v>
      </c>
      <c r="M51">
        <v>0.4</v>
      </c>
      <c r="N51">
        <v>713.7</v>
      </c>
      <c r="O51" t="s">
        <v>106</v>
      </c>
      <c r="P51">
        <v>1831.5</v>
      </c>
      <c r="Q51">
        <v>87.4</v>
      </c>
      <c r="R51">
        <v>242.5</v>
      </c>
      <c r="S51">
        <v>775.4</v>
      </c>
      <c r="T51">
        <v>7740.6</v>
      </c>
      <c r="U51" t="s">
        <v>106</v>
      </c>
      <c r="V51" t="s">
        <v>106</v>
      </c>
      <c r="W51" t="s">
        <v>106</v>
      </c>
      <c r="X51" t="s">
        <v>106</v>
      </c>
      <c r="Y51">
        <v>273.89999999999998</v>
      </c>
      <c r="Z51">
        <v>1083.3</v>
      </c>
      <c r="AA51">
        <v>158.30000000000001</v>
      </c>
      <c r="AB51">
        <v>28.4</v>
      </c>
      <c r="AC51">
        <v>0</v>
      </c>
      <c r="AD51" t="s">
        <v>106</v>
      </c>
      <c r="AE51">
        <v>0.3</v>
      </c>
      <c r="AF51">
        <v>92.5</v>
      </c>
      <c r="AG51">
        <v>439</v>
      </c>
      <c r="AH51">
        <v>30.1</v>
      </c>
      <c r="AI51">
        <v>5.5</v>
      </c>
      <c r="AJ51">
        <v>482.9</v>
      </c>
      <c r="AK51" t="s">
        <v>106</v>
      </c>
      <c r="AL51" t="s">
        <v>106</v>
      </c>
      <c r="AM51" t="s">
        <v>106</v>
      </c>
      <c r="AN51" t="s">
        <v>106</v>
      </c>
      <c r="AO51" t="s">
        <v>106</v>
      </c>
      <c r="AP51" t="s">
        <v>106</v>
      </c>
      <c r="AQ51" t="s">
        <v>106</v>
      </c>
      <c r="AR51">
        <v>1686.4</v>
      </c>
      <c r="AS51">
        <v>105.7</v>
      </c>
      <c r="AT51">
        <v>342.5</v>
      </c>
      <c r="AU51">
        <v>905.2</v>
      </c>
      <c r="AV51">
        <v>15.5</v>
      </c>
      <c r="AW51">
        <v>5.7</v>
      </c>
      <c r="AX51" t="s">
        <v>106</v>
      </c>
      <c r="AY51" t="s">
        <v>106</v>
      </c>
      <c r="AZ51" t="s">
        <v>106</v>
      </c>
      <c r="BA51" t="s">
        <v>106</v>
      </c>
      <c r="BB51" t="s">
        <v>106</v>
      </c>
      <c r="BC51" t="s">
        <v>106</v>
      </c>
      <c r="BD51">
        <v>5</v>
      </c>
      <c r="BE51" t="s">
        <v>106</v>
      </c>
      <c r="BF51">
        <v>1.3</v>
      </c>
      <c r="BG51" t="s">
        <v>106</v>
      </c>
      <c r="BH51" t="s">
        <v>106</v>
      </c>
      <c r="BI51" t="s">
        <v>106</v>
      </c>
      <c r="BJ51">
        <v>24571.9</v>
      </c>
      <c r="BK51">
        <v>3756.6</v>
      </c>
      <c r="BL51">
        <v>52116</v>
      </c>
      <c r="BM51">
        <v>5502.6</v>
      </c>
    </row>
    <row r="52" spans="3:65">
      <c r="E52" t="s">
        <v>155</v>
      </c>
      <c r="F52" t="s">
        <v>106</v>
      </c>
      <c r="G52" t="s">
        <v>106</v>
      </c>
      <c r="H52" t="s">
        <v>106</v>
      </c>
      <c r="I52" t="s">
        <v>106</v>
      </c>
      <c r="J52" t="s">
        <v>106</v>
      </c>
      <c r="K52" t="s">
        <v>106</v>
      </c>
      <c r="L52" t="s">
        <v>106</v>
      </c>
      <c r="M52" t="s">
        <v>106</v>
      </c>
      <c r="N52" t="s">
        <v>106</v>
      </c>
      <c r="O52" t="s">
        <v>106</v>
      </c>
      <c r="P52" t="s">
        <v>106</v>
      </c>
      <c r="Q52" t="s">
        <v>106</v>
      </c>
      <c r="R52" t="s">
        <v>106</v>
      </c>
      <c r="S52" t="s">
        <v>106</v>
      </c>
      <c r="T52">
        <v>901.4</v>
      </c>
      <c r="U52" t="s">
        <v>106</v>
      </c>
      <c r="V52" t="s">
        <v>106</v>
      </c>
      <c r="W52" t="s">
        <v>106</v>
      </c>
      <c r="X52" t="s">
        <v>106</v>
      </c>
      <c r="Y52" t="s">
        <v>106</v>
      </c>
      <c r="Z52">
        <v>20.399999999999999</v>
      </c>
      <c r="AA52">
        <v>0.4</v>
      </c>
      <c r="AB52">
        <v>0.2</v>
      </c>
      <c r="AC52" t="s">
        <v>106</v>
      </c>
      <c r="AD52" t="s">
        <v>106</v>
      </c>
      <c r="AE52" t="s">
        <v>106</v>
      </c>
      <c r="AF52">
        <v>8.8000000000000007</v>
      </c>
      <c r="AG52">
        <v>3.6</v>
      </c>
      <c r="AH52">
        <v>0.4</v>
      </c>
      <c r="AI52">
        <v>0.2</v>
      </c>
      <c r="AJ52">
        <v>13</v>
      </c>
      <c r="AK52" t="s">
        <v>106</v>
      </c>
      <c r="AL52" t="s">
        <v>106</v>
      </c>
      <c r="AM52" t="s">
        <v>106</v>
      </c>
      <c r="AN52" t="s">
        <v>106</v>
      </c>
      <c r="AO52" t="s">
        <v>106</v>
      </c>
      <c r="AP52" t="s">
        <v>106</v>
      </c>
      <c r="AQ52" t="s">
        <v>106</v>
      </c>
      <c r="AR52">
        <v>36.4</v>
      </c>
      <c r="AS52" t="s">
        <v>106</v>
      </c>
      <c r="AT52">
        <v>4.4000000000000004</v>
      </c>
      <c r="AU52">
        <v>19.3</v>
      </c>
      <c r="AV52">
        <v>5.5</v>
      </c>
      <c r="AW52" t="s">
        <v>106</v>
      </c>
      <c r="AX52" t="s">
        <v>106</v>
      </c>
      <c r="AY52" t="s">
        <v>106</v>
      </c>
      <c r="AZ52" t="s">
        <v>106</v>
      </c>
      <c r="BA52" t="s">
        <v>106</v>
      </c>
      <c r="BB52" t="s">
        <v>106</v>
      </c>
      <c r="BC52" t="s">
        <v>106</v>
      </c>
      <c r="BD52" t="s">
        <v>106</v>
      </c>
      <c r="BE52" t="s">
        <v>106</v>
      </c>
      <c r="BF52" t="s">
        <v>106</v>
      </c>
      <c r="BG52" t="s">
        <v>106</v>
      </c>
      <c r="BH52" t="s">
        <v>106</v>
      </c>
      <c r="BI52" t="s">
        <v>106</v>
      </c>
      <c r="BJ52">
        <v>1167.4000000000001</v>
      </c>
      <c r="BK52">
        <v>117.1</v>
      </c>
      <c r="BL52">
        <v>2298.3000000000002</v>
      </c>
      <c r="BM52">
        <v>65.5</v>
      </c>
    </row>
    <row r="53" spans="3:65">
      <c r="E53" t="s">
        <v>156</v>
      </c>
      <c r="F53" t="s">
        <v>106</v>
      </c>
      <c r="G53" t="s">
        <v>106</v>
      </c>
      <c r="H53" t="s">
        <v>106</v>
      </c>
      <c r="I53">
        <v>436.2</v>
      </c>
      <c r="J53" t="s">
        <v>106</v>
      </c>
      <c r="K53" t="s">
        <v>106</v>
      </c>
      <c r="L53" t="s">
        <v>106</v>
      </c>
      <c r="M53" t="s">
        <v>106</v>
      </c>
      <c r="N53" t="s">
        <v>106</v>
      </c>
      <c r="O53" t="s">
        <v>106</v>
      </c>
      <c r="P53" t="s">
        <v>106</v>
      </c>
      <c r="Q53" t="s">
        <v>106</v>
      </c>
      <c r="R53" t="s">
        <v>106</v>
      </c>
      <c r="S53" t="s">
        <v>106</v>
      </c>
      <c r="T53">
        <v>233</v>
      </c>
      <c r="U53" t="s">
        <v>106</v>
      </c>
      <c r="V53" t="s">
        <v>106</v>
      </c>
      <c r="W53" t="s">
        <v>106</v>
      </c>
      <c r="X53" t="s">
        <v>106</v>
      </c>
      <c r="Y53" t="s">
        <v>106</v>
      </c>
      <c r="Z53">
        <v>3.9</v>
      </c>
      <c r="AA53">
        <v>0.2</v>
      </c>
      <c r="AB53">
        <v>0.1</v>
      </c>
      <c r="AC53" t="s">
        <v>106</v>
      </c>
      <c r="AD53" t="s">
        <v>106</v>
      </c>
      <c r="AE53" t="s">
        <v>106</v>
      </c>
      <c r="AF53">
        <v>4.8</v>
      </c>
      <c r="AG53">
        <v>2.4</v>
      </c>
      <c r="AH53">
        <v>0.2</v>
      </c>
      <c r="AI53">
        <v>1.2</v>
      </c>
      <c r="AJ53">
        <v>3.7</v>
      </c>
      <c r="AK53" t="s">
        <v>106</v>
      </c>
      <c r="AL53" t="s">
        <v>106</v>
      </c>
      <c r="AM53" t="s">
        <v>106</v>
      </c>
      <c r="AN53" t="s">
        <v>106</v>
      </c>
      <c r="AO53" t="s">
        <v>106</v>
      </c>
      <c r="AP53" t="s">
        <v>106</v>
      </c>
      <c r="AQ53" t="s">
        <v>106</v>
      </c>
      <c r="AR53">
        <v>31.5</v>
      </c>
      <c r="AS53" t="s">
        <v>106</v>
      </c>
      <c r="AT53">
        <v>17.899999999999999</v>
      </c>
      <c r="AU53">
        <v>59.7</v>
      </c>
      <c r="AV53" t="s">
        <v>106</v>
      </c>
      <c r="AW53">
        <v>5.7</v>
      </c>
      <c r="AX53" t="s">
        <v>106</v>
      </c>
      <c r="AY53" t="s">
        <v>106</v>
      </c>
      <c r="AZ53" t="s">
        <v>106</v>
      </c>
      <c r="BA53" t="s">
        <v>106</v>
      </c>
      <c r="BB53" t="s">
        <v>106</v>
      </c>
      <c r="BC53" t="s">
        <v>106</v>
      </c>
      <c r="BD53" t="s">
        <v>106</v>
      </c>
      <c r="BE53" t="s">
        <v>106</v>
      </c>
      <c r="BF53" t="s">
        <v>106</v>
      </c>
      <c r="BG53" t="s">
        <v>106</v>
      </c>
      <c r="BH53" t="s">
        <v>106</v>
      </c>
      <c r="BI53" t="s">
        <v>106</v>
      </c>
      <c r="BJ53">
        <v>831</v>
      </c>
      <c r="BK53">
        <v>244.4</v>
      </c>
      <c r="BL53">
        <v>1875.9</v>
      </c>
      <c r="BM53">
        <v>114.7</v>
      </c>
    </row>
    <row r="54" spans="3:65">
      <c r="E54" t="s">
        <v>157</v>
      </c>
      <c r="F54" t="s">
        <v>106</v>
      </c>
      <c r="G54" t="s">
        <v>106</v>
      </c>
      <c r="H54" t="s">
        <v>106</v>
      </c>
      <c r="I54" t="s">
        <v>106</v>
      </c>
      <c r="J54" t="s">
        <v>106</v>
      </c>
      <c r="K54" t="s">
        <v>106</v>
      </c>
      <c r="L54" t="s">
        <v>106</v>
      </c>
      <c r="M54" t="s">
        <v>106</v>
      </c>
      <c r="N54" t="s">
        <v>106</v>
      </c>
      <c r="O54" t="s">
        <v>106</v>
      </c>
      <c r="P54" t="s">
        <v>106</v>
      </c>
      <c r="Q54" t="s">
        <v>106</v>
      </c>
      <c r="R54" t="s">
        <v>106</v>
      </c>
      <c r="S54" t="s">
        <v>106</v>
      </c>
      <c r="T54">
        <v>28</v>
      </c>
      <c r="U54" t="s">
        <v>106</v>
      </c>
      <c r="V54" t="s">
        <v>106</v>
      </c>
      <c r="W54" t="s">
        <v>106</v>
      </c>
      <c r="X54" t="s">
        <v>106</v>
      </c>
      <c r="Y54" t="s">
        <v>106</v>
      </c>
      <c r="Z54">
        <v>0.3</v>
      </c>
      <c r="AA54" t="s">
        <v>106</v>
      </c>
      <c r="AB54">
        <v>0.2</v>
      </c>
      <c r="AC54" t="s">
        <v>106</v>
      </c>
      <c r="AD54" t="s">
        <v>106</v>
      </c>
      <c r="AE54" t="s">
        <v>106</v>
      </c>
      <c r="AF54">
        <v>0.9</v>
      </c>
      <c r="AG54">
        <v>4.3</v>
      </c>
      <c r="AH54" t="s">
        <v>106</v>
      </c>
      <c r="AI54" t="s">
        <v>106</v>
      </c>
      <c r="AJ54">
        <v>1.4</v>
      </c>
      <c r="AK54" t="s">
        <v>106</v>
      </c>
      <c r="AL54" t="s">
        <v>106</v>
      </c>
      <c r="AM54" t="s">
        <v>106</v>
      </c>
      <c r="AN54" t="s">
        <v>106</v>
      </c>
      <c r="AO54" t="s">
        <v>106</v>
      </c>
      <c r="AP54" t="s">
        <v>106</v>
      </c>
      <c r="AQ54" t="s">
        <v>106</v>
      </c>
      <c r="AR54" t="s">
        <v>106</v>
      </c>
      <c r="AS54" t="s">
        <v>106</v>
      </c>
      <c r="AT54">
        <v>6.4</v>
      </c>
      <c r="AU54">
        <v>57.6</v>
      </c>
      <c r="AV54" t="s">
        <v>106</v>
      </c>
      <c r="AW54" t="s">
        <v>106</v>
      </c>
      <c r="AX54" t="s">
        <v>106</v>
      </c>
      <c r="AY54" t="s">
        <v>106</v>
      </c>
      <c r="AZ54" t="s">
        <v>106</v>
      </c>
      <c r="BA54" t="s">
        <v>106</v>
      </c>
      <c r="BB54" t="s">
        <v>106</v>
      </c>
      <c r="BC54" t="s">
        <v>106</v>
      </c>
      <c r="BD54" t="s">
        <v>106</v>
      </c>
      <c r="BE54" t="s">
        <v>106</v>
      </c>
      <c r="BF54" t="s">
        <v>106</v>
      </c>
      <c r="BG54" t="s">
        <v>106</v>
      </c>
      <c r="BH54" t="s">
        <v>106</v>
      </c>
      <c r="BI54" t="s">
        <v>106</v>
      </c>
      <c r="BJ54">
        <v>151.4</v>
      </c>
      <c r="BK54">
        <v>7.6</v>
      </c>
      <c r="BL54">
        <v>258</v>
      </c>
      <c r="BM54">
        <v>63.9</v>
      </c>
    </row>
    <row r="55" spans="3:65">
      <c r="E55" t="s">
        <v>158</v>
      </c>
      <c r="F55" t="s">
        <v>106</v>
      </c>
      <c r="G55" t="s">
        <v>106</v>
      </c>
      <c r="H55" t="s">
        <v>106</v>
      </c>
      <c r="I55" t="s">
        <v>106</v>
      </c>
      <c r="J55" t="s">
        <v>106</v>
      </c>
      <c r="K55" t="s">
        <v>106</v>
      </c>
      <c r="L55" t="s">
        <v>106</v>
      </c>
      <c r="M55" t="s">
        <v>106</v>
      </c>
      <c r="N55" t="s">
        <v>106</v>
      </c>
      <c r="O55" t="s">
        <v>106</v>
      </c>
      <c r="P55" t="s">
        <v>106</v>
      </c>
      <c r="Q55" t="s">
        <v>106</v>
      </c>
      <c r="R55" t="s">
        <v>106</v>
      </c>
      <c r="S55">
        <v>1.1000000000000001</v>
      </c>
      <c r="T55">
        <v>309.7</v>
      </c>
      <c r="U55" t="s">
        <v>106</v>
      </c>
      <c r="V55" t="s">
        <v>106</v>
      </c>
      <c r="W55" t="s">
        <v>106</v>
      </c>
      <c r="X55" t="s">
        <v>106</v>
      </c>
      <c r="Y55" t="s">
        <v>106</v>
      </c>
      <c r="Z55">
        <v>5.3</v>
      </c>
      <c r="AA55" t="s">
        <v>106</v>
      </c>
      <c r="AB55">
        <v>0.1</v>
      </c>
      <c r="AC55" t="s">
        <v>106</v>
      </c>
      <c r="AD55" t="s">
        <v>106</v>
      </c>
      <c r="AE55" t="s">
        <v>106</v>
      </c>
      <c r="AF55">
        <v>1</v>
      </c>
      <c r="AG55">
        <v>7.3</v>
      </c>
      <c r="AH55">
        <v>0.3</v>
      </c>
      <c r="AI55">
        <v>0.3</v>
      </c>
      <c r="AJ55">
        <v>9.4</v>
      </c>
      <c r="AK55" t="s">
        <v>106</v>
      </c>
      <c r="AL55" t="s">
        <v>106</v>
      </c>
      <c r="AM55" t="s">
        <v>106</v>
      </c>
      <c r="AN55" t="s">
        <v>106</v>
      </c>
      <c r="AO55" t="s">
        <v>106</v>
      </c>
      <c r="AP55" t="s">
        <v>106</v>
      </c>
      <c r="AQ55" t="s">
        <v>106</v>
      </c>
      <c r="AR55">
        <v>302.2</v>
      </c>
      <c r="AS55">
        <v>20.9</v>
      </c>
      <c r="AT55">
        <v>137.80000000000001</v>
      </c>
      <c r="AU55">
        <v>241.5</v>
      </c>
      <c r="AV55">
        <v>1.4</v>
      </c>
      <c r="AW55" t="s">
        <v>106</v>
      </c>
      <c r="AX55" t="s">
        <v>106</v>
      </c>
      <c r="AY55" t="s">
        <v>106</v>
      </c>
      <c r="AZ55" t="s">
        <v>106</v>
      </c>
      <c r="BA55" t="s">
        <v>106</v>
      </c>
      <c r="BB55" t="s">
        <v>106</v>
      </c>
      <c r="BC55" t="s">
        <v>106</v>
      </c>
      <c r="BD55" t="s">
        <v>106</v>
      </c>
      <c r="BE55" t="s">
        <v>106</v>
      </c>
      <c r="BF55" t="s">
        <v>106</v>
      </c>
      <c r="BG55" t="s">
        <v>106</v>
      </c>
      <c r="BH55" t="s">
        <v>106</v>
      </c>
      <c r="BI55" t="s">
        <v>106</v>
      </c>
      <c r="BJ55">
        <v>824.3</v>
      </c>
      <c r="BK55">
        <v>241.9</v>
      </c>
      <c r="BL55">
        <v>2104.6</v>
      </c>
      <c r="BM55">
        <v>703.8</v>
      </c>
    </row>
    <row r="56" spans="3:65">
      <c r="E56" t="s">
        <v>159</v>
      </c>
      <c r="F56" t="s">
        <v>106</v>
      </c>
      <c r="G56" t="s">
        <v>106</v>
      </c>
      <c r="H56" t="s">
        <v>106</v>
      </c>
      <c r="I56">
        <v>696.2</v>
      </c>
      <c r="J56" t="s">
        <v>106</v>
      </c>
      <c r="K56" t="s">
        <v>106</v>
      </c>
      <c r="L56" t="s">
        <v>106</v>
      </c>
      <c r="M56" t="s">
        <v>106</v>
      </c>
      <c r="N56" t="s">
        <v>106</v>
      </c>
      <c r="O56" t="s">
        <v>106</v>
      </c>
      <c r="P56" t="s">
        <v>106</v>
      </c>
      <c r="Q56" t="s">
        <v>106</v>
      </c>
      <c r="R56" t="s">
        <v>106</v>
      </c>
      <c r="S56">
        <v>23.4</v>
      </c>
      <c r="T56">
        <v>1920.1</v>
      </c>
      <c r="U56" t="s">
        <v>106</v>
      </c>
      <c r="V56" t="s">
        <v>106</v>
      </c>
      <c r="W56" t="s">
        <v>106</v>
      </c>
      <c r="X56" t="s">
        <v>106</v>
      </c>
      <c r="Y56">
        <v>273.89999999999998</v>
      </c>
      <c r="Z56">
        <v>285.8</v>
      </c>
      <c r="AA56">
        <v>10.199999999999999</v>
      </c>
      <c r="AB56">
        <v>0.2</v>
      </c>
      <c r="AC56" t="s">
        <v>106</v>
      </c>
      <c r="AD56" t="s">
        <v>106</v>
      </c>
      <c r="AE56" t="s">
        <v>106</v>
      </c>
      <c r="AF56">
        <v>7.5</v>
      </c>
      <c r="AG56">
        <v>6.9</v>
      </c>
      <c r="AH56">
        <v>2.2999999999999998</v>
      </c>
      <c r="AI56">
        <v>2.7</v>
      </c>
      <c r="AJ56">
        <v>141.5</v>
      </c>
      <c r="AK56" t="s">
        <v>106</v>
      </c>
      <c r="AL56" t="s">
        <v>106</v>
      </c>
      <c r="AM56" t="s">
        <v>106</v>
      </c>
      <c r="AN56" t="s">
        <v>106</v>
      </c>
      <c r="AO56" t="s">
        <v>106</v>
      </c>
      <c r="AP56" t="s">
        <v>106</v>
      </c>
      <c r="AQ56" t="s">
        <v>106</v>
      </c>
      <c r="AR56">
        <v>295.2</v>
      </c>
      <c r="AS56">
        <v>28.1</v>
      </c>
      <c r="AT56">
        <v>133.9</v>
      </c>
      <c r="AU56">
        <v>359.9</v>
      </c>
      <c r="AV56">
        <v>6.7</v>
      </c>
      <c r="AW56" t="s">
        <v>106</v>
      </c>
      <c r="AX56" t="s">
        <v>106</v>
      </c>
      <c r="AY56" t="s">
        <v>106</v>
      </c>
      <c r="AZ56" t="s">
        <v>106</v>
      </c>
      <c r="BA56" t="s">
        <v>106</v>
      </c>
      <c r="BB56" t="s">
        <v>106</v>
      </c>
      <c r="BC56" t="s">
        <v>106</v>
      </c>
      <c r="BD56" t="s">
        <v>106</v>
      </c>
      <c r="BE56" t="s">
        <v>106</v>
      </c>
      <c r="BF56" t="s">
        <v>106</v>
      </c>
      <c r="BG56" t="s">
        <v>106</v>
      </c>
      <c r="BH56" t="s">
        <v>106</v>
      </c>
      <c r="BI56" t="s">
        <v>106</v>
      </c>
      <c r="BJ56">
        <v>5262.4</v>
      </c>
      <c r="BK56">
        <v>2724.1</v>
      </c>
      <c r="BL56">
        <v>12180.8</v>
      </c>
      <c r="BM56">
        <v>1097.7</v>
      </c>
    </row>
    <row r="57" spans="3:65">
      <c r="E57" t="s">
        <v>160</v>
      </c>
      <c r="F57" t="s">
        <v>106</v>
      </c>
      <c r="G57" t="s">
        <v>106</v>
      </c>
      <c r="H57" t="s">
        <v>106</v>
      </c>
      <c r="I57">
        <v>2160.1999999999998</v>
      </c>
      <c r="J57" t="s">
        <v>106</v>
      </c>
      <c r="K57" t="s">
        <v>106</v>
      </c>
      <c r="L57" t="s">
        <v>106</v>
      </c>
      <c r="M57" t="s">
        <v>106</v>
      </c>
      <c r="N57" t="s">
        <v>106</v>
      </c>
      <c r="O57" t="s">
        <v>106</v>
      </c>
      <c r="P57" t="s">
        <v>106</v>
      </c>
      <c r="Q57" t="s">
        <v>106</v>
      </c>
      <c r="R57" t="s">
        <v>106</v>
      </c>
      <c r="S57" t="s">
        <v>106</v>
      </c>
      <c r="T57">
        <v>552.9</v>
      </c>
      <c r="U57" t="s">
        <v>106</v>
      </c>
      <c r="V57" t="s">
        <v>106</v>
      </c>
      <c r="W57" t="s">
        <v>106</v>
      </c>
      <c r="X57" t="s">
        <v>106</v>
      </c>
      <c r="Y57" t="s">
        <v>106</v>
      </c>
      <c r="Z57">
        <v>18.100000000000001</v>
      </c>
      <c r="AA57">
        <v>0</v>
      </c>
      <c r="AB57">
        <v>0.4</v>
      </c>
      <c r="AC57" t="s">
        <v>106</v>
      </c>
      <c r="AD57" t="s">
        <v>106</v>
      </c>
      <c r="AE57" t="s">
        <v>106</v>
      </c>
      <c r="AF57">
        <v>0.7</v>
      </c>
      <c r="AG57">
        <v>131.5</v>
      </c>
      <c r="AH57">
        <v>2.6</v>
      </c>
      <c r="AI57">
        <v>0.4</v>
      </c>
      <c r="AJ57">
        <v>214.4</v>
      </c>
      <c r="AK57" t="s">
        <v>106</v>
      </c>
      <c r="AL57" t="s">
        <v>106</v>
      </c>
      <c r="AM57" t="s">
        <v>106</v>
      </c>
      <c r="AN57" t="s">
        <v>106</v>
      </c>
      <c r="AO57" t="s">
        <v>106</v>
      </c>
      <c r="AP57" t="s">
        <v>106</v>
      </c>
      <c r="AQ57" t="s">
        <v>106</v>
      </c>
      <c r="AR57">
        <v>850.6</v>
      </c>
      <c r="AS57" t="s">
        <v>106</v>
      </c>
      <c r="AT57" t="s">
        <v>106</v>
      </c>
      <c r="AU57">
        <v>2.2999999999999998</v>
      </c>
      <c r="AV57" t="s">
        <v>106</v>
      </c>
      <c r="AW57" t="s">
        <v>106</v>
      </c>
      <c r="AX57" t="s">
        <v>106</v>
      </c>
      <c r="AY57" t="s">
        <v>106</v>
      </c>
      <c r="AZ57" t="s">
        <v>106</v>
      </c>
      <c r="BA57" t="s">
        <v>106</v>
      </c>
      <c r="BB57" t="s">
        <v>106</v>
      </c>
      <c r="BC57" t="s">
        <v>106</v>
      </c>
      <c r="BD57" t="s">
        <v>106</v>
      </c>
      <c r="BE57" t="s">
        <v>106</v>
      </c>
      <c r="BF57" t="s">
        <v>106</v>
      </c>
      <c r="BG57" t="s">
        <v>106</v>
      </c>
      <c r="BH57" t="s">
        <v>106</v>
      </c>
      <c r="BI57" t="s">
        <v>106</v>
      </c>
      <c r="BJ57">
        <v>1006.2</v>
      </c>
      <c r="BK57">
        <v>0.5</v>
      </c>
      <c r="BL57">
        <v>4940.8999999999996</v>
      </c>
      <c r="BM57">
        <v>852.8</v>
      </c>
    </row>
    <row r="58" spans="3:65">
      <c r="E58" t="s">
        <v>161</v>
      </c>
      <c r="F58" t="s">
        <v>106</v>
      </c>
      <c r="G58">
        <v>623.1</v>
      </c>
      <c r="H58" t="s">
        <v>106</v>
      </c>
      <c r="I58">
        <v>281.60000000000002</v>
      </c>
      <c r="J58" t="s">
        <v>106</v>
      </c>
      <c r="K58" t="s">
        <v>106</v>
      </c>
      <c r="L58" t="s">
        <v>106</v>
      </c>
      <c r="M58" t="s">
        <v>106</v>
      </c>
      <c r="N58">
        <v>713.7</v>
      </c>
      <c r="O58" t="s">
        <v>106</v>
      </c>
      <c r="P58">
        <v>1831.5</v>
      </c>
      <c r="Q58">
        <v>87.4</v>
      </c>
      <c r="R58">
        <v>242.5</v>
      </c>
      <c r="S58">
        <v>446.8</v>
      </c>
      <c r="T58">
        <v>1096.0999999999999</v>
      </c>
      <c r="U58" t="s">
        <v>106</v>
      </c>
      <c r="V58" t="s">
        <v>106</v>
      </c>
      <c r="W58" t="s">
        <v>106</v>
      </c>
      <c r="X58" t="s">
        <v>106</v>
      </c>
      <c r="Y58" t="s">
        <v>106</v>
      </c>
      <c r="Z58">
        <v>60.5</v>
      </c>
      <c r="AA58">
        <v>1.9</v>
      </c>
      <c r="AB58" t="s">
        <v>106</v>
      </c>
      <c r="AC58" t="s">
        <v>106</v>
      </c>
      <c r="AD58" t="s">
        <v>106</v>
      </c>
      <c r="AE58" t="s">
        <v>106</v>
      </c>
      <c r="AF58">
        <v>0.2</v>
      </c>
      <c r="AG58">
        <v>4.3</v>
      </c>
      <c r="AH58">
        <v>0.1</v>
      </c>
      <c r="AI58">
        <v>0</v>
      </c>
      <c r="AJ58">
        <v>0</v>
      </c>
      <c r="AK58" t="s">
        <v>106</v>
      </c>
      <c r="AL58" t="s">
        <v>106</v>
      </c>
      <c r="AM58" t="s">
        <v>106</v>
      </c>
      <c r="AN58" t="s">
        <v>106</v>
      </c>
      <c r="AO58" t="s">
        <v>106</v>
      </c>
      <c r="AP58" t="s">
        <v>106</v>
      </c>
      <c r="AQ58" t="s">
        <v>106</v>
      </c>
      <c r="AR58">
        <v>7.9</v>
      </c>
      <c r="AS58" t="s">
        <v>106</v>
      </c>
      <c r="AT58" t="s">
        <v>106</v>
      </c>
      <c r="AU58">
        <v>3.8</v>
      </c>
      <c r="AV58" t="s">
        <v>106</v>
      </c>
      <c r="AW58" t="s">
        <v>106</v>
      </c>
      <c r="AX58" t="s">
        <v>106</v>
      </c>
      <c r="AY58" t="s">
        <v>106</v>
      </c>
      <c r="AZ58" t="s">
        <v>106</v>
      </c>
      <c r="BA58" t="s">
        <v>106</v>
      </c>
      <c r="BB58" t="s">
        <v>106</v>
      </c>
      <c r="BC58" t="s">
        <v>106</v>
      </c>
      <c r="BD58" t="s">
        <v>106</v>
      </c>
      <c r="BE58" t="s">
        <v>106</v>
      </c>
      <c r="BF58" t="s">
        <v>106</v>
      </c>
      <c r="BG58" t="s">
        <v>106</v>
      </c>
      <c r="BH58" t="s">
        <v>106</v>
      </c>
      <c r="BI58" t="s">
        <v>106</v>
      </c>
      <c r="BJ58">
        <v>4556</v>
      </c>
      <c r="BK58">
        <v>5.6</v>
      </c>
      <c r="BL58">
        <v>9963.4</v>
      </c>
      <c r="BM58">
        <v>2173.1999999999998</v>
      </c>
    </row>
    <row r="59" spans="3:65">
      <c r="E59" t="s">
        <v>162</v>
      </c>
      <c r="F59" t="s">
        <v>106</v>
      </c>
      <c r="G59">
        <v>247.9</v>
      </c>
      <c r="H59" t="s">
        <v>106</v>
      </c>
      <c r="I59">
        <v>136.6</v>
      </c>
      <c r="J59" t="s">
        <v>106</v>
      </c>
      <c r="K59" t="s">
        <v>106</v>
      </c>
      <c r="L59" t="s">
        <v>106</v>
      </c>
      <c r="M59" t="s">
        <v>106</v>
      </c>
      <c r="N59" t="s">
        <v>106</v>
      </c>
      <c r="O59" t="s">
        <v>106</v>
      </c>
      <c r="P59" t="s">
        <v>106</v>
      </c>
      <c r="Q59" t="s">
        <v>106</v>
      </c>
      <c r="R59" t="s">
        <v>106</v>
      </c>
      <c r="S59" t="s">
        <v>106</v>
      </c>
      <c r="T59">
        <v>484.3</v>
      </c>
      <c r="U59" t="s">
        <v>106</v>
      </c>
      <c r="V59" t="s">
        <v>106</v>
      </c>
      <c r="W59" t="s">
        <v>106</v>
      </c>
      <c r="X59" t="s">
        <v>106</v>
      </c>
      <c r="Y59" t="s">
        <v>106</v>
      </c>
      <c r="Z59">
        <v>12.4</v>
      </c>
      <c r="AA59">
        <v>0.1</v>
      </c>
      <c r="AB59" t="s">
        <v>106</v>
      </c>
      <c r="AC59" t="s">
        <v>106</v>
      </c>
      <c r="AD59" t="s">
        <v>106</v>
      </c>
      <c r="AE59" t="s">
        <v>106</v>
      </c>
      <c r="AF59">
        <v>0.2</v>
      </c>
      <c r="AG59">
        <v>3.1</v>
      </c>
      <c r="AH59">
        <v>0.1</v>
      </c>
      <c r="AI59">
        <v>0</v>
      </c>
      <c r="AJ59">
        <v>20.2</v>
      </c>
      <c r="AK59" t="s">
        <v>106</v>
      </c>
      <c r="AL59" t="s">
        <v>106</v>
      </c>
      <c r="AM59" t="s">
        <v>106</v>
      </c>
      <c r="AN59" t="s">
        <v>106</v>
      </c>
      <c r="AO59" t="s">
        <v>106</v>
      </c>
      <c r="AP59" t="s">
        <v>106</v>
      </c>
      <c r="AQ59" t="s">
        <v>106</v>
      </c>
      <c r="AR59" t="s">
        <v>106</v>
      </c>
      <c r="AS59" t="s">
        <v>106</v>
      </c>
      <c r="AT59" t="s">
        <v>106</v>
      </c>
      <c r="AU59" t="s">
        <v>106</v>
      </c>
      <c r="AV59" t="s">
        <v>106</v>
      </c>
      <c r="AW59" t="s">
        <v>106</v>
      </c>
      <c r="AX59" t="s">
        <v>106</v>
      </c>
      <c r="AY59" t="s">
        <v>106</v>
      </c>
      <c r="AZ59" t="s">
        <v>106</v>
      </c>
      <c r="BA59" t="s">
        <v>106</v>
      </c>
      <c r="BB59" t="s">
        <v>106</v>
      </c>
      <c r="BC59" t="s">
        <v>106</v>
      </c>
      <c r="BD59" t="s">
        <v>106</v>
      </c>
      <c r="BE59" t="s">
        <v>106</v>
      </c>
      <c r="BF59" t="s">
        <v>106</v>
      </c>
      <c r="BG59" t="s">
        <v>106</v>
      </c>
      <c r="BH59" t="s">
        <v>106</v>
      </c>
      <c r="BI59" t="s">
        <v>106</v>
      </c>
      <c r="BJ59">
        <v>829.2</v>
      </c>
      <c r="BK59">
        <v>71.3</v>
      </c>
      <c r="BL59">
        <v>1805.6</v>
      </c>
      <c r="BM59" t="s">
        <v>106</v>
      </c>
    </row>
    <row r="60" spans="3:65">
      <c r="E60" t="s">
        <v>163</v>
      </c>
      <c r="F60" t="s">
        <v>106</v>
      </c>
      <c r="G60" t="s">
        <v>106</v>
      </c>
      <c r="H60" t="s">
        <v>106</v>
      </c>
      <c r="I60" t="s">
        <v>106</v>
      </c>
      <c r="J60" t="s">
        <v>106</v>
      </c>
      <c r="K60" t="s">
        <v>106</v>
      </c>
      <c r="L60" t="s">
        <v>106</v>
      </c>
      <c r="M60" t="s">
        <v>106</v>
      </c>
      <c r="N60" t="s">
        <v>106</v>
      </c>
      <c r="O60" t="s">
        <v>106</v>
      </c>
      <c r="P60" t="s">
        <v>106</v>
      </c>
      <c r="Q60" t="s">
        <v>106</v>
      </c>
      <c r="R60" t="s">
        <v>106</v>
      </c>
      <c r="S60" t="s">
        <v>106</v>
      </c>
      <c r="T60">
        <v>1393</v>
      </c>
      <c r="U60" t="s">
        <v>106</v>
      </c>
      <c r="V60" t="s">
        <v>106</v>
      </c>
      <c r="W60" t="s">
        <v>106</v>
      </c>
      <c r="X60" t="s">
        <v>106</v>
      </c>
      <c r="Y60" t="s">
        <v>106</v>
      </c>
      <c r="Z60">
        <v>23.5</v>
      </c>
      <c r="AA60">
        <v>0.4</v>
      </c>
      <c r="AB60">
        <v>0.5</v>
      </c>
      <c r="AC60" t="s">
        <v>106</v>
      </c>
      <c r="AD60" t="s">
        <v>106</v>
      </c>
      <c r="AE60" t="s">
        <v>106</v>
      </c>
      <c r="AF60">
        <v>8</v>
      </c>
      <c r="AG60">
        <v>44</v>
      </c>
      <c r="AH60">
        <v>1.2</v>
      </c>
      <c r="AI60">
        <v>0.1</v>
      </c>
      <c r="AJ60">
        <v>2.8</v>
      </c>
      <c r="AK60" t="s">
        <v>106</v>
      </c>
      <c r="AL60" t="s">
        <v>106</v>
      </c>
      <c r="AM60" t="s">
        <v>106</v>
      </c>
      <c r="AN60" t="s">
        <v>106</v>
      </c>
      <c r="AO60" t="s">
        <v>106</v>
      </c>
      <c r="AP60" t="s">
        <v>106</v>
      </c>
      <c r="AQ60" t="s">
        <v>106</v>
      </c>
      <c r="AR60">
        <v>5.6</v>
      </c>
      <c r="AS60" t="s">
        <v>106</v>
      </c>
      <c r="AT60">
        <v>5.7</v>
      </c>
      <c r="AU60">
        <v>42.2</v>
      </c>
      <c r="AV60" t="s">
        <v>106</v>
      </c>
      <c r="AW60" t="s">
        <v>106</v>
      </c>
      <c r="AX60" t="s">
        <v>106</v>
      </c>
      <c r="AY60" t="s">
        <v>106</v>
      </c>
      <c r="AZ60" t="s">
        <v>106</v>
      </c>
      <c r="BA60" t="s">
        <v>106</v>
      </c>
      <c r="BB60" t="s">
        <v>106</v>
      </c>
      <c r="BC60" t="s">
        <v>106</v>
      </c>
      <c r="BD60" t="s">
        <v>106</v>
      </c>
      <c r="BE60" t="s">
        <v>106</v>
      </c>
      <c r="BF60" t="s">
        <v>106</v>
      </c>
      <c r="BG60" t="s">
        <v>106</v>
      </c>
      <c r="BH60" t="s">
        <v>106</v>
      </c>
      <c r="BI60" t="s">
        <v>106</v>
      </c>
      <c r="BJ60">
        <v>7728.8</v>
      </c>
      <c r="BK60">
        <v>295.7</v>
      </c>
      <c r="BL60">
        <v>9551.2999999999993</v>
      </c>
      <c r="BM60">
        <v>53.5</v>
      </c>
    </row>
    <row r="61" spans="3:65">
      <c r="E61" t="s">
        <v>164</v>
      </c>
      <c r="F61" t="s">
        <v>106</v>
      </c>
      <c r="G61" t="s">
        <v>106</v>
      </c>
      <c r="H61" t="s">
        <v>106</v>
      </c>
      <c r="I61" t="s">
        <v>106</v>
      </c>
      <c r="J61" t="s">
        <v>106</v>
      </c>
      <c r="K61" t="s">
        <v>106</v>
      </c>
      <c r="L61" t="s">
        <v>106</v>
      </c>
      <c r="M61" t="s">
        <v>106</v>
      </c>
      <c r="N61" t="s">
        <v>106</v>
      </c>
      <c r="O61" t="s">
        <v>106</v>
      </c>
      <c r="P61" t="s">
        <v>106</v>
      </c>
      <c r="Q61" t="s">
        <v>106</v>
      </c>
      <c r="R61" t="s">
        <v>106</v>
      </c>
      <c r="S61">
        <v>61.9</v>
      </c>
      <c r="T61">
        <v>670.4</v>
      </c>
      <c r="U61" t="s">
        <v>106</v>
      </c>
      <c r="V61" t="s">
        <v>106</v>
      </c>
      <c r="W61" t="s">
        <v>106</v>
      </c>
      <c r="X61" t="s">
        <v>106</v>
      </c>
      <c r="Y61" t="s">
        <v>106</v>
      </c>
      <c r="Z61">
        <v>28.8</v>
      </c>
      <c r="AA61">
        <v>1.6</v>
      </c>
      <c r="AB61">
        <v>21.8</v>
      </c>
      <c r="AC61">
        <v>0</v>
      </c>
      <c r="AD61" t="s">
        <v>106</v>
      </c>
      <c r="AE61">
        <v>0</v>
      </c>
      <c r="AF61">
        <v>0.5</v>
      </c>
      <c r="AG61">
        <v>78</v>
      </c>
      <c r="AH61">
        <v>20.9</v>
      </c>
      <c r="AI61">
        <v>0</v>
      </c>
      <c r="AJ61">
        <v>47.4</v>
      </c>
      <c r="AK61" t="s">
        <v>106</v>
      </c>
      <c r="AL61" t="s">
        <v>106</v>
      </c>
      <c r="AM61" t="s">
        <v>106</v>
      </c>
      <c r="AN61" t="s">
        <v>106</v>
      </c>
      <c r="AO61" t="s">
        <v>106</v>
      </c>
      <c r="AP61" t="s">
        <v>106</v>
      </c>
      <c r="AQ61" t="s">
        <v>106</v>
      </c>
      <c r="AR61">
        <v>4.7</v>
      </c>
      <c r="AS61" t="s">
        <v>106</v>
      </c>
      <c r="AT61">
        <v>14</v>
      </c>
      <c r="AU61">
        <v>0.2</v>
      </c>
      <c r="AV61" t="s">
        <v>106</v>
      </c>
      <c r="AW61" t="s">
        <v>106</v>
      </c>
      <c r="AX61" t="s">
        <v>106</v>
      </c>
      <c r="AY61" t="s">
        <v>106</v>
      </c>
      <c r="AZ61" t="s">
        <v>106</v>
      </c>
      <c r="BA61" t="s">
        <v>106</v>
      </c>
      <c r="BB61" t="s">
        <v>106</v>
      </c>
      <c r="BC61" t="s">
        <v>106</v>
      </c>
      <c r="BD61" t="s">
        <v>106</v>
      </c>
      <c r="BE61" t="s">
        <v>106</v>
      </c>
      <c r="BF61" t="s">
        <v>106</v>
      </c>
      <c r="BG61" t="s">
        <v>106</v>
      </c>
      <c r="BH61" t="s">
        <v>106</v>
      </c>
      <c r="BI61" t="s">
        <v>106</v>
      </c>
      <c r="BJ61">
        <v>1902</v>
      </c>
      <c r="BK61">
        <v>48.3</v>
      </c>
      <c r="BL61">
        <v>2900.5</v>
      </c>
      <c r="BM61">
        <v>18.8</v>
      </c>
    </row>
    <row r="62" spans="3:65">
      <c r="E62" t="s">
        <v>165</v>
      </c>
      <c r="F62" t="s">
        <v>106</v>
      </c>
      <c r="G62">
        <v>2152.5</v>
      </c>
      <c r="H62" t="s">
        <v>106</v>
      </c>
      <c r="I62" t="s">
        <v>106</v>
      </c>
      <c r="J62" t="s">
        <v>106</v>
      </c>
      <c r="K62" t="s">
        <v>106</v>
      </c>
      <c r="L62" t="s">
        <v>106</v>
      </c>
      <c r="M62">
        <v>0.4</v>
      </c>
      <c r="N62" t="s">
        <v>106</v>
      </c>
      <c r="O62" t="s">
        <v>106</v>
      </c>
      <c r="P62" t="s">
        <v>106</v>
      </c>
      <c r="Q62" t="s">
        <v>106</v>
      </c>
      <c r="R62" t="s">
        <v>106</v>
      </c>
      <c r="S62">
        <v>242.1</v>
      </c>
      <c r="T62">
        <v>151.80000000000001</v>
      </c>
      <c r="U62" t="s">
        <v>106</v>
      </c>
      <c r="V62" t="s">
        <v>106</v>
      </c>
      <c r="W62" t="s">
        <v>106</v>
      </c>
      <c r="X62" t="s">
        <v>106</v>
      </c>
      <c r="Y62" t="s">
        <v>106</v>
      </c>
      <c r="Z62">
        <v>624.29999999999995</v>
      </c>
      <c r="AA62">
        <v>143.5</v>
      </c>
      <c r="AB62">
        <v>5</v>
      </c>
      <c r="AC62" t="s">
        <v>106</v>
      </c>
      <c r="AD62" t="s">
        <v>106</v>
      </c>
      <c r="AE62">
        <v>0.3</v>
      </c>
      <c r="AF62">
        <v>59.9</v>
      </c>
      <c r="AG62">
        <v>153.6</v>
      </c>
      <c r="AH62">
        <v>1.9</v>
      </c>
      <c r="AI62">
        <v>0.5</v>
      </c>
      <c r="AJ62">
        <v>29.1</v>
      </c>
      <c r="AK62" t="s">
        <v>106</v>
      </c>
      <c r="AL62" t="s">
        <v>106</v>
      </c>
      <c r="AM62" t="s">
        <v>106</v>
      </c>
      <c r="AN62" t="s">
        <v>106</v>
      </c>
      <c r="AO62" t="s">
        <v>106</v>
      </c>
      <c r="AP62" t="s">
        <v>106</v>
      </c>
      <c r="AQ62" t="s">
        <v>106</v>
      </c>
      <c r="AR62">
        <v>152.4</v>
      </c>
      <c r="AS62">
        <v>56.8</v>
      </c>
      <c r="AT62">
        <v>22.5</v>
      </c>
      <c r="AU62">
        <v>118.7</v>
      </c>
      <c r="AV62">
        <v>2</v>
      </c>
      <c r="AW62" t="s">
        <v>106</v>
      </c>
      <c r="AX62" t="s">
        <v>106</v>
      </c>
      <c r="AY62" t="s">
        <v>106</v>
      </c>
      <c r="AZ62" t="s">
        <v>106</v>
      </c>
      <c r="BA62" t="s">
        <v>106</v>
      </c>
      <c r="BB62" t="s">
        <v>106</v>
      </c>
      <c r="BC62" t="s">
        <v>106</v>
      </c>
      <c r="BD62">
        <v>5</v>
      </c>
      <c r="BE62" t="s">
        <v>106</v>
      </c>
      <c r="BF62">
        <v>1.3</v>
      </c>
      <c r="BG62" t="s">
        <v>106</v>
      </c>
      <c r="BH62" t="s">
        <v>106</v>
      </c>
      <c r="BI62" t="s">
        <v>106</v>
      </c>
      <c r="BJ62">
        <v>313.3</v>
      </c>
      <c r="BK62">
        <v>0</v>
      </c>
      <c r="BL62">
        <v>4236.8</v>
      </c>
      <c r="BM62">
        <v>358.6</v>
      </c>
    </row>
    <row r="63" spans="3:65">
      <c r="D63" t="s">
        <v>166</v>
      </c>
      <c r="E63" t="s">
        <v>105</v>
      </c>
      <c r="F63" t="s">
        <v>106</v>
      </c>
      <c r="G63" t="s">
        <v>106</v>
      </c>
      <c r="H63" t="s">
        <v>106</v>
      </c>
      <c r="I63" t="s">
        <v>106</v>
      </c>
      <c r="J63" t="s">
        <v>106</v>
      </c>
      <c r="K63">
        <v>0</v>
      </c>
      <c r="L63" t="s">
        <v>106</v>
      </c>
      <c r="M63" t="s">
        <v>106</v>
      </c>
      <c r="N63" t="s">
        <v>106</v>
      </c>
      <c r="O63" t="s">
        <v>106</v>
      </c>
      <c r="P63" t="s">
        <v>106</v>
      </c>
      <c r="Q63" t="s">
        <v>106</v>
      </c>
      <c r="R63" t="s">
        <v>106</v>
      </c>
      <c r="S63" t="s">
        <v>106</v>
      </c>
      <c r="T63" t="s">
        <v>106</v>
      </c>
      <c r="U63" t="s">
        <v>106</v>
      </c>
      <c r="V63" t="s">
        <v>106</v>
      </c>
      <c r="W63" t="s">
        <v>106</v>
      </c>
      <c r="X63" t="s">
        <v>106</v>
      </c>
      <c r="Y63" t="s">
        <v>106</v>
      </c>
      <c r="Z63">
        <v>8.1999999999999993</v>
      </c>
      <c r="AA63" t="s">
        <v>106</v>
      </c>
      <c r="AB63">
        <v>8.8000000000000007</v>
      </c>
      <c r="AC63" t="s">
        <v>106</v>
      </c>
      <c r="AD63" t="s">
        <v>106</v>
      </c>
      <c r="AE63" t="s">
        <v>106</v>
      </c>
      <c r="AF63">
        <v>21.2</v>
      </c>
      <c r="AG63">
        <v>631</v>
      </c>
      <c r="AH63">
        <v>21.2</v>
      </c>
      <c r="AI63">
        <v>1.8</v>
      </c>
      <c r="AJ63">
        <v>5.3</v>
      </c>
      <c r="AK63" t="s">
        <v>106</v>
      </c>
      <c r="AL63" t="s">
        <v>106</v>
      </c>
      <c r="AM63" t="s">
        <v>106</v>
      </c>
      <c r="AN63" t="s">
        <v>106</v>
      </c>
      <c r="AO63" t="s">
        <v>106</v>
      </c>
      <c r="AP63" t="s">
        <v>106</v>
      </c>
      <c r="AQ63" t="s">
        <v>106</v>
      </c>
      <c r="AR63">
        <v>0</v>
      </c>
      <c r="AS63">
        <v>10.5</v>
      </c>
      <c r="AT63" t="s">
        <v>106</v>
      </c>
      <c r="AU63">
        <v>0.2</v>
      </c>
      <c r="AV63">
        <v>0</v>
      </c>
      <c r="AW63" t="s">
        <v>106</v>
      </c>
      <c r="AX63" t="s">
        <v>106</v>
      </c>
      <c r="AY63" t="s">
        <v>106</v>
      </c>
      <c r="AZ63" t="s">
        <v>106</v>
      </c>
      <c r="BA63" t="s">
        <v>106</v>
      </c>
      <c r="BB63" t="s">
        <v>106</v>
      </c>
      <c r="BC63" t="s">
        <v>106</v>
      </c>
      <c r="BD63" t="s">
        <v>106</v>
      </c>
      <c r="BE63" t="s">
        <v>106</v>
      </c>
      <c r="BF63" t="s">
        <v>106</v>
      </c>
      <c r="BG63" t="s">
        <v>106</v>
      </c>
      <c r="BH63" t="s">
        <v>106</v>
      </c>
      <c r="BI63" t="s">
        <v>106</v>
      </c>
      <c r="BJ63" t="s">
        <v>106</v>
      </c>
      <c r="BK63" t="s">
        <v>106</v>
      </c>
      <c r="BL63">
        <v>708.2</v>
      </c>
      <c r="BM63">
        <v>10.8</v>
      </c>
    </row>
    <row r="64" spans="3:65">
      <c r="C64" t="s">
        <v>167</v>
      </c>
      <c r="D64" t="s">
        <v>105</v>
      </c>
      <c r="E64" t="s">
        <v>105</v>
      </c>
      <c r="F64" t="s">
        <v>106</v>
      </c>
      <c r="G64" t="s">
        <v>106</v>
      </c>
      <c r="H64" t="s">
        <v>106</v>
      </c>
      <c r="I64" t="s">
        <v>106</v>
      </c>
      <c r="J64" t="s">
        <v>106</v>
      </c>
      <c r="K64" t="s">
        <v>106</v>
      </c>
      <c r="L64" t="s">
        <v>106</v>
      </c>
      <c r="M64" t="s">
        <v>106</v>
      </c>
      <c r="N64" t="s">
        <v>106</v>
      </c>
      <c r="O64" t="s">
        <v>106</v>
      </c>
      <c r="P64" t="s">
        <v>106</v>
      </c>
      <c r="Q64" t="s">
        <v>106</v>
      </c>
      <c r="R64" t="s">
        <v>106</v>
      </c>
      <c r="S64" t="s">
        <v>106</v>
      </c>
      <c r="T64">
        <v>1059.5999999999999</v>
      </c>
      <c r="U64" t="s">
        <v>106</v>
      </c>
      <c r="V64" t="s">
        <v>106</v>
      </c>
      <c r="W64" t="s">
        <v>106</v>
      </c>
      <c r="X64" t="s">
        <v>106</v>
      </c>
      <c r="Y64" t="s">
        <v>106</v>
      </c>
      <c r="Z64">
        <v>1.7</v>
      </c>
      <c r="AA64">
        <v>3031.2</v>
      </c>
      <c r="AB64">
        <v>10354.1</v>
      </c>
      <c r="AC64">
        <v>0.6</v>
      </c>
      <c r="AD64" t="s">
        <v>106</v>
      </c>
      <c r="AE64">
        <v>1673.4</v>
      </c>
      <c r="AF64">
        <v>5.4</v>
      </c>
      <c r="AG64">
        <v>19246.3</v>
      </c>
      <c r="AH64">
        <v>78.3</v>
      </c>
      <c r="AI64">
        <v>2.2999999999999998</v>
      </c>
      <c r="AJ64">
        <v>160.5</v>
      </c>
      <c r="AK64" t="s">
        <v>106</v>
      </c>
      <c r="AL64" t="s">
        <v>106</v>
      </c>
      <c r="AM64" t="s">
        <v>106</v>
      </c>
      <c r="AN64" t="s">
        <v>106</v>
      </c>
      <c r="AO64" t="s">
        <v>106</v>
      </c>
      <c r="AP64" t="s">
        <v>106</v>
      </c>
      <c r="AQ64" t="s">
        <v>106</v>
      </c>
      <c r="AR64" t="s">
        <v>106</v>
      </c>
      <c r="AS64" t="s">
        <v>106</v>
      </c>
      <c r="AT64" t="s">
        <v>106</v>
      </c>
      <c r="AU64" t="s">
        <v>106</v>
      </c>
      <c r="AV64" t="s">
        <v>106</v>
      </c>
      <c r="AW64" t="s">
        <v>106</v>
      </c>
      <c r="AX64" t="s">
        <v>106</v>
      </c>
      <c r="AY64">
        <v>703.9</v>
      </c>
      <c r="AZ64" t="s">
        <v>106</v>
      </c>
      <c r="BA64" t="s">
        <v>106</v>
      </c>
      <c r="BB64" t="s">
        <v>106</v>
      </c>
      <c r="BC64" t="s">
        <v>106</v>
      </c>
      <c r="BD64" t="s">
        <v>106</v>
      </c>
      <c r="BE64" t="s">
        <v>106</v>
      </c>
      <c r="BF64" t="s">
        <v>106</v>
      </c>
      <c r="BG64" t="s">
        <v>106</v>
      </c>
      <c r="BH64" t="s">
        <v>106</v>
      </c>
      <c r="BI64" t="s">
        <v>106</v>
      </c>
      <c r="BJ64">
        <v>318.3</v>
      </c>
      <c r="BK64" t="s">
        <v>106</v>
      </c>
      <c r="BL64">
        <v>36635.599999999999</v>
      </c>
      <c r="BM64">
        <v>703.9</v>
      </c>
    </row>
    <row r="65" spans="1:65">
      <c r="D65" t="s">
        <v>168</v>
      </c>
      <c r="E65" t="s">
        <v>105</v>
      </c>
      <c r="F65" t="s">
        <v>106</v>
      </c>
      <c r="G65" t="s">
        <v>106</v>
      </c>
      <c r="H65" t="s">
        <v>106</v>
      </c>
      <c r="I65" t="s">
        <v>106</v>
      </c>
      <c r="J65" t="s">
        <v>106</v>
      </c>
      <c r="K65" t="s">
        <v>106</v>
      </c>
      <c r="L65" t="s">
        <v>106</v>
      </c>
      <c r="M65" t="s">
        <v>106</v>
      </c>
      <c r="N65" t="s">
        <v>106</v>
      </c>
      <c r="O65" t="s">
        <v>106</v>
      </c>
      <c r="P65" t="s">
        <v>106</v>
      </c>
      <c r="Q65" t="s">
        <v>106</v>
      </c>
      <c r="R65" t="s">
        <v>106</v>
      </c>
      <c r="S65" t="s">
        <v>106</v>
      </c>
      <c r="T65" t="s">
        <v>106</v>
      </c>
      <c r="U65" t="s">
        <v>106</v>
      </c>
      <c r="V65" t="s">
        <v>106</v>
      </c>
      <c r="W65" t="s">
        <v>106</v>
      </c>
      <c r="X65" t="s">
        <v>106</v>
      </c>
      <c r="Y65" t="s">
        <v>106</v>
      </c>
      <c r="Z65">
        <v>0</v>
      </c>
      <c r="AA65" t="s">
        <v>106</v>
      </c>
      <c r="AB65" t="s">
        <v>106</v>
      </c>
      <c r="AC65" t="s">
        <v>106</v>
      </c>
      <c r="AD65" t="s">
        <v>106</v>
      </c>
      <c r="AE65" t="s">
        <v>106</v>
      </c>
      <c r="AF65">
        <v>0</v>
      </c>
      <c r="AG65">
        <v>74.8</v>
      </c>
      <c r="AH65" t="s">
        <v>106</v>
      </c>
      <c r="AI65" t="s">
        <v>106</v>
      </c>
      <c r="AJ65" t="s">
        <v>106</v>
      </c>
      <c r="AK65" t="s">
        <v>106</v>
      </c>
      <c r="AL65" t="s">
        <v>106</v>
      </c>
      <c r="AM65" t="s">
        <v>106</v>
      </c>
      <c r="AN65" t="s">
        <v>106</v>
      </c>
      <c r="AO65" t="s">
        <v>106</v>
      </c>
      <c r="AP65" t="s">
        <v>106</v>
      </c>
      <c r="AQ65" t="s">
        <v>106</v>
      </c>
      <c r="AR65" t="s">
        <v>106</v>
      </c>
      <c r="AS65" t="s">
        <v>106</v>
      </c>
      <c r="AT65" t="s">
        <v>106</v>
      </c>
      <c r="AU65" t="s">
        <v>106</v>
      </c>
      <c r="AV65" t="s">
        <v>106</v>
      </c>
      <c r="AW65" t="s">
        <v>106</v>
      </c>
      <c r="AX65" t="s">
        <v>106</v>
      </c>
      <c r="AY65" t="s">
        <v>106</v>
      </c>
      <c r="AZ65" t="s">
        <v>106</v>
      </c>
      <c r="BA65" t="s">
        <v>106</v>
      </c>
      <c r="BB65" t="s">
        <v>106</v>
      </c>
      <c r="BC65" t="s">
        <v>106</v>
      </c>
      <c r="BD65" t="s">
        <v>106</v>
      </c>
      <c r="BE65" t="s">
        <v>106</v>
      </c>
      <c r="BF65" t="s">
        <v>106</v>
      </c>
      <c r="BG65" t="s">
        <v>106</v>
      </c>
      <c r="BH65" t="s">
        <v>106</v>
      </c>
      <c r="BI65" t="s">
        <v>106</v>
      </c>
      <c r="BJ65">
        <v>257.7</v>
      </c>
      <c r="BK65" t="s">
        <v>106</v>
      </c>
      <c r="BL65">
        <v>332.5</v>
      </c>
      <c r="BM65" t="s">
        <v>106</v>
      </c>
    </row>
    <row r="66" spans="1:65">
      <c r="D66" t="s">
        <v>169</v>
      </c>
      <c r="E66" t="s">
        <v>105</v>
      </c>
      <c r="F66" t="s">
        <v>106</v>
      </c>
      <c r="G66" t="s">
        <v>106</v>
      </c>
      <c r="H66" t="s">
        <v>106</v>
      </c>
      <c r="I66" t="s">
        <v>106</v>
      </c>
      <c r="J66" t="s">
        <v>106</v>
      </c>
      <c r="K66" t="s">
        <v>106</v>
      </c>
      <c r="L66" t="s">
        <v>106</v>
      </c>
      <c r="M66" t="s">
        <v>106</v>
      </c>
      <c r="N66" t="s">
        <v>106</v>
      </c>
      <c r="O66" t="s">
        <v>106</v>
      </c>
      <c r="P66" t="s">
        <v>106</v>
      </c>
      <c r="Q66" t="s">
        <v>106</v>
      </c>
      <c r="R66" t="s">
        <v>106</v>
      </c>
      <c r="S66" t="s">
        <v>106</v>
      </c>
      <c r="T66">
        <v>1059.5999999999999</v>
      </c>
      <c r="U66" t="s">
        <v>106</v>
      </c>
      <c r="V66" t="s">
        <v>106</v>
      </c>
      <c r="W66" t="s">
        <v>106</v>
      </c>
      <c r="X66" t="s">
        <v>106</v>
      </c>
      <c r="Y66" t="s">
        <v>106</v>
      </c>
      <c r="Z66">
        <v>0.4</v>
      </c>
      <c r="AA66">
        <v>3031.2</v>
      </c>
      <c r="AB66">
        <v>10354.1</v>
      </c>
      <c r="AC66" t="s">
        <v>106</v>
      </c>
      <c r="AD66" t="s">
        <v>106</v>
      </c>
      <c r="AE66" t="s">
        <v>106</v>
      </c>
      <c r="AF66">
        <v>0.8</v>
      </c>
      <c r="AG66">
        <v>18987.5</v>
      </c>
      <c r="AH66">
        <v>0.9</v>
      </c>
      <c r="AI66">
        <v>0</v>
      </c>
      <c r="AJ66" t="s">
        <v>106</v>
      </c>
      <c r="AK66" t="s">
        <v>106</v>
      </c>
      <c r="AL66" t="s">
        <v>106</v>
      </c>
      <c r="AM66" t="s">
        <v>106</v>
      </c>
      <c r="AN66" t="s">
        <v>106</v>
      </c>
      <c r="AO66" t="s">
        <v>106</v>
      </c>
      <c r="AP66" t="s">
        <v>106</v>
      </c>
      <c r="AQ66" t="s">
        <v>106</v>
      </c>
      <c r="AR66" t="s">
        <v>106</v>
      </c>
      <c r="AS66" t="s">
        <v>106</v>
      </c>
      <c r="AT66" t="s">
        <v>106</v>
      </c>
      <c r="AU66" t="s">
        <v>106</v>
      </c>
      <c r="AV66" t="s">
        <v>106</v>
      </c>
      <c r="AW66" t="s">
        <v>106</v>
      </c>
      <c r="AX66" t="s">
        <v>106</v>
      </c>
      <c r="AY66">
        <v>703.9</v>
      </c>
      <c r="AZ66" t="s">
        <v>106</v>
      </c>
      <c r="BA66" t="s">
        <v>106</v>
      </c>
      <c r="BB66" t="s">
        <v>106</v>
      </c>
      <c r="BC66" t="s">
        <v>106</v>
      </c>
      <c r="BD66" t="s">
        <v>106</v>
      </c>
      <c r="BE66" t="s">
        <v>106</v>
      </c>
      <c r="BF66" t="s">
        <v>106</v>
      </c>
      <c r="BG66" t="s">
        <v>106</v>
      </c>
      <c r="BH66" t="s">
        <v>106</v>
      </c>
      <c r="BI66" t="s">
        <v>106</v>
      </c>
      <c r="BJ66">
        <v>60.6</v>
      </c>
      <c r="BK66" t="s">
        <v>106</v>
      </c>
      <c r="BL66">
        <v>34199.1</v>
      </c>
      <c r="BM66">
        <v>703.9</v>
      </c>
    </row>
    <row r="67" spans="1:65">
      <c r="D67" t="s">
        <v>170</v>
      </c>
      <c r="E67" t="s">
        <v>105</v>
      </c>
      <c r="F67" t="s">
        <v>106</v>
      </c>
      <c r="G67" t="s">
        <v>106</v>
      </c>
      <c r="H67" t="s">
        <v>106</v>
      </c>
      <c r="I67" t="s">
        <v>106</v>
      </c>
      <c r="J67" t="s">
        <v>106</v>
      </c>
      <c r="K67" t="s">
        <v>106</v>
      </c>
      <c r="L67" t="s">
        <v>106</v>
      </c>
      <c r="M67" t="s">
        <v>106</v>
      </c>
      <c r="N67" t="s">
        <v>106</v>
      </c>
      <c r="O67" t="s">
        <v>106</v>
      </c>
      <c r="P67" t="s">
        <v>106</v>
      </c>
      <c r="Q67" t="s">
        <v>106</v>
      </c>
      <c r="R67" t="s">
        <v>106</v>
      </c>
      <c r="S67" t="s">
        <v>106</v>
      </c>
      <c r="T67" t="s">
        <v>106</v>
      </c>
      <c r="U67" t="s">
        <v>106</v>
      </c>
      <c r="V67" t="s">
        <v>106</v>
      </c>
      <c r="W67" t="s">
        <v>106</v>
      </c>
      <c r="X67" t="s">
        <v>106</v>
      </c>
      <c r="Y67" t="s">
        <v>106</v>
      </c>
      <c r="Z67">
        <v>1</v>
      </c>
      <c r="AA67" t="s">
        <v>106</v>
      </c>
      <c r="AB67" t="s">
        <v>106</v>
      </c>
      <c r="AC67" t="s">
        <v>106</v>
      </c>
      <c r="AD67" t="s">
        <v>106</v>
      </c>
      <c r="AE67" t="s">
        <v>106</v>
      </c>
      <c r="AF67">
        <v>4.3</v>
      </c>
      <c r="AG67">
        <v>182.6</v>
      </c>
      <c r="AH67">
        <v>77.400000000000006</v>
      </c>
      <c r="AI67">
        <v>2.2999999999999998</v>
      </c>
      <c r="AJ67">
        <v>160.5</v>
      </c>
      <c r="AK67" t="s">
        <v>106</v>
      </c>
      <c r="AL67" t="s">
        <v>106</v>
      </c>
      <c r="AM67" t="s">
        <v>106</v>
      </c>
      <c r="AN67" t="s">
        <v>106</v>
      </c>
      <c r="AO67" t="s">
        <v>106</v>
      </c>
      <c r="AP67" t="s">
        <v>106</v>
      </c>
      <c r="AQ67" t="s">
        <v>106</v>
      </c>
      <c r="AR67" t="s">
        <v>106</v>
      </c>
      <c r="AS67" t="s">
        <v>106</v>
      </c>
      <c r="AT67" t="s">
        <v>106</v>
      </c>
      <c r="AU67" t="s">
        <v>106</v>
      </c>
      <c r="AV67" t="s">
        <v>106</v>
      </c>
      <c r="AW67" t="s">
        <v>106</v>
      </c>
      <c r="AX67" t="s">
        <v>106</v>
      </c>
      <c r="AY67" t="s">
        <v>106</v>
      </c>
      <c r="AZ67" t="s">
        <v>106</v>
      </c>
      <c r="BA67" t="s">
        <v>106</v>
      </c>
      <c r="BB67" t="s">
        <v>106</v>
      </c>
      <c r="BC67" t="s">
        <v>106</v>
      </c>
      <c r="BD67" t="s">
        <v>106</v>
      </c>
      <c r="BE67" t="s">
        <v>106</v>
      </c>
      <c r="BF67" t="s">
        <v>106</v>
      </c>
      <c r="BG67" t="s">
        <v>106</v>
      </c>
      <c r="BH67" t="s">
        <v>106</v>
      </c>
      <c r="BI67" t="s">
        <v>106</v>
      </c>
      <c r="BJ67" t="s">
        <v>106</v>
      </c>
      <c r="BK67" t="s">
        <v>106</v>
      </c>
      <c r="BL67">
        <v>428</v>
      </c>
      <c r="BM67" t="s">
        <v>106</v>
      </c>
    </row>
    <row r="68" spans="1:65">
      <c r="D68" t="s">
        <v>171</v>
      </c>
      <c r="E68" t="s">
        <v>105</v>
      </c>
      <c r="F68" t="s">
        <v>106</v>
      </c>
      <c r="G68" t="s">
        <v>106</v>
      </c>
      <c r="H68" t="s">
        <v>106</v>
      </c>
      <c r="I68" t="s">
        <v>106</v>
      </c>
      <c r="J68" t="s">
        <v>106</v>
      </c>
      <c r="K68" t="s">
        <v>106</v>
      </c>
      <c r="L68" t="s">
        <v>106</v>
      </c>
      <c r="M68" t="s">
        <v>106</v>
      </c>
      <c r="N68" t="s">
        <v>106</v>
      </c>
      <c r="O68" t="s">
        <v>106</v>
      </c>
      <c r="P68" t="s">
        <v>106</v>
      </c>
      <c r="Q68" t="s">
        <v>106</v>
      </c>
      <c r="R68" t="s">
        <v>106</v>
      </c>
      <c r="S68" t="s">
        <v>106</v>
      </c>
      <c r="T68" t="s">
        <v>106</v>
      </c>
      <c r="U68" t="s">
        <v>106</v>
      </c>
      <c r="V68" t="s">
        <v>106</v>
      </c>
      <c r="W68" t="s">
        <v>106</v>
      </c>
      <c r="X68" t="s">
        <v>106</v>
      </c>
      <c r="Y68" t="s">
        <v>106</v>
      </c>
      <c r="Z68">
        <v>0.3</v>
      </c>
      <c r="AA68" t="s">
        <v>106</v>
      </c>
      <c r="AB68">
        <v>0</v>
      </c>
      <c r="AC68">
        <v>0.6</v>
      </c>
      <c r="AD68" t="s">
        <v>106</v>
      </c>
      <c r="AE68">
        <v>1673.4</v>
      </c>
      <c r="AF68">
        <v>0.3</v>
      </c>
      <c r="AG68">
        <v>1.4</v>
      </c>
      <c r="AH68" t="s">
        <v>106</v>
      </c>
      <c r="AI68" t="s">
        <v>106</v>
      </c>
      <c r="AJ68" t="s">
        <v>106</v>
      </c>
      <c r="AK68" t="s">
        <v>106</v>
      </c>
      <c r="AL68" t="s">
        <v>106</v>
      </c>
      <c r="AM68" t="s">
        <v>106</v>
      </c>
      <c r="AN68" t="s">
        <v>106</v>
      </c>
      <c r="AO68" t="s">
        <v>106</v>
      </c>
      <c r="AP68" t="s">
        <v>106</v>
      </c>
      <c r="AQ68" t="s">
        <v>106</v>
      </c>
      <c r="AR68" t="s">
        <v>106</v>
      </c>
      <c r="AS68" t="s">
        <v>106</v>
      </c>
      <c r="AT68" t="s">
        <v>106</v>
      </c>
      <c r="AU68" t="s">
        <v>106</v>
      </c>
      <c r="AV68" t="s">
        <v>106</v>
      </c>
      <c r="AW68" t="s">
        <v>106</v>
      </c>
      <c r="AX68" t="s">
        <v>106</v>
      </c>
      <c r="AY68" t="s">
        <v>106</v>
      </c>
      <c r="AZ68" t="s">
        <v>106</v>
      </c>
      <c r="BA68" t="s">
        <v>106</v>
      </c>
      <c r="BB68" t="s">
        <v>106</v>
      </c>
      <c r="BC68" t="s">
        <v>106</v>
      </c>
      <c r="BD68" t="s">
        <v>106</v>
      </c>
      <c r="BE68" t="s">
        <v>106</v>
      </c>
      <c r="BF68" t="s">
        <v>106</v>
      </c>
      <c r="BG68" t="s">
        <v>106</v>
      </c>
      <c r="BH68" t="s">
        <v>106</v>
      </c>
      <c r="BI68" t="s">
        <v>106</v>
      </c>
      <c r="BJ68" t="s">
        <v>106</v>
      </c>
      <c r="BK68" t="s">
        <v>106</v>
      </c>
      <c r="BL68">
        <v>1676</v>
      </c>
      <c r="BM68" t="s">
        <v>106</v>
      </c>
    </row>
    <row r="69" spans="1:65">
      <c r="C69" t="s">
        <v>172</v>
      </c>
      <c r="D69" t="s">
        <v>105</v>
      </c>
      <c r="E69" t="s">
        <v>105</v>
      </c>
      <c r="F69" t="s">
        <v>106</v>
      </c>
      <c r="G69" t="s">
        <v>106</v>
      </c>
      <c r="H69" t="s">
        <v>106</v>
      </c>
      <c r="I69" t="s">
        <v>106</v>
      </c>
      <c r="J69" t="s">
        <v>106</v>
      </c>
      <c r="K69" t="s">
        <v>106</v>
      </c>
      <c r="L69" t="s">
        <v>106</v>
      </c>
      <c r="M69">
        <v>187.9</v>
      </c>
      <c r="N69" t="s">
        <v>106</v>
      </c>
      <c r="O69" t="s">
        <v>106</v>
      </c>
      <c r="P69" t="s">
        <v>106</v>
      </c>
      <c r="Q69" t="s">
        <v>106</v>
      </c>
      <c r="R69" t="s">
        <v>106</v>
      </c>
      <c r="S69" t="s">
        <v>106</v>
      </c>
      <c r="T69">
        <v>11096.1</v>
      </c>
      <c r="U69" t="s">
        <v>106</v>
      </c>
      <c r="V69" t="s">
        <v>106</v>
      </c>
      <c r="W69" t="s">
        <v>106</v>
      </c>
      <c r="X69" t="s">
        <v>106</v>
      </c>
      <c r="Y69" t="s">
        <v>106</v>
      </c>
      <c r="Z69">
        <v>572.1</v>
      </c>
      <c r="AA69">
        <v>13.1</v>
      </c>
      <c r="AB69">
        <v>0.9</v>
      </c>
      <c r="AC69" t="s">
        <v>106</v>
      </c>
      <c r="AD69" t="s">
        <v>106</v>
      </c>
      <c r="AE69" t="s">
        <v>106</v>
      </c>
      <c r="AF69">
        <v>1491.8</v>
      </c>
      <c r="AG69">
        <v>1.8</v>
      </c>
      <c r="AH69">
        <v>1.3</v>
      </c>
      <c r="AI69">
        <v>0.3</v>
      </c>
      <c r="AJ69">
        <v>14.9</v>
      </c>
      <c r="AK69" t="s">
        <v>106</v>
      </c>
      <c r="AL69" t="s">
        <v>106</v>
      </c>
      <c r="AM69" t="s">
        <v>106</v>
      </c>
      <c r="AN69" t="s">
        <v>106</v>
      </c>
      <c r="AO69" t="s">
        <v>106</v>
      </c>
      <c r="AP69" t="s">
        <v>106</v>
      </c>
      <c r="AQ69" t="s">
        <v>106</v>
      </c>
      <c r="AR69" t="s">
        <v>106</v>
      </c>
      <c r="AS69" t="s">
        <v>106</v>
      </c>
      <c r="AT69" t="s">
        <v>106</v>
      </c>
      <c r="AU69">
        <v>127.1</v>
      </c>
      <c r="AV69" t="s">
        <v>106</v>
      </c>
      <c r="AW69" t="s">
        <v>106</v>
      </c>
      <c r="AX69" t="s">
        <v>106</v>
      </c>
      <c r="AY69" t="s">
        <v>106</v>
      </c>
      <c r="AZ69" t="s">
        <v>106</v>
      </c>
      <c r="BA69" t="s">
        <v>106</v>
      </c>
      <c r="BB69" t="s">
        <v>106</v>
      </c>
      <c r="BC69" t="s">
        <v>106</v>
      </c>
      <c r="BD69">
        <v>41.8</v>
      </c>
      <c r="BE69" t="s">
        <v>106</v>
      </c>
      <c r="BF69">
        <v>11.5</v>
      </c>
      <c r="BG69" t="s">
        <v>106</v>
      </c>
      <c r="BH69" t="s">
        <v>106</v>
      </c>
      <c r="BI69" t="s">
        <v>106</v>
      </c>
      <c r="BJ69">
        <v>6847.9</v>
      </c>
      <c r="BK69">
        <v>2325.6999999999998</v>
      </c>
      <c r="BL69">
        <v>22734.1</v>
      </c>
      <c r="BM69">
        <v>180.4</v>
      </c>
    </row>
    <row r="70" spans="1:65">
      <c r="C70" t="s">
        <v>173</v>
      </c>
      <c r="D70" t="s">
        <v>105</v>
      </c>
      <c r="E70" t="s">
        <v>105</v>
      </c>
      <c r="F70" t="s">
        <v>106</v>
      </c>
      <c r="G70" t="s">
        <v>106</v>
      </c>
      <c r="H70" t="s">
        <v>106</v>
      </c>
      <c r="I70" t="s">
        <v>106</v>
      </c>
      <c r="J70" t="s">
        <v>106</v>
      </c>
      <c r="K70" t="s">
        <v>106</v>
      </c>
      <c r="L70" t="s">
        <v>106</v>
      </c>
      <c r="M70">
        <v>17.600000000000001</v>
      </c>
      <c r="N70" t="s">
        <v>106</v>
      </c>
      <c r="O70" t="s">
        <v>106</v>
      </c>
      <c r="P70" t="s">
        <v>106</v>
      </c>
      <c r="Q70" t="s">
        <v>106</v>
      </c>
      <c r="R70" t="s">
        <v>106</v>
      </c>
      <c r="S70" t="s">
        <v>106</v>
      </c>
      <c r="T70">
        <v>3289.5</v>
      </c>
      <c r="U70" t="s">
        <v>106</v>
      </c>
      <c r="V70" t="s">
        <v>106</v>
      </c>
      <c r="W70" t="s">
        <v>106</v>
      </c>
      <c r="X70" t="s">
        <v>106</v>
      </c>
      <c r="Y70" t="s">
        <v>106</v>
      </c>
      <c r="Z70">
        <v>1168.5</v>
      </c>
      <c r="AA70">
        <v>84.4</v>
      </c>
      <c r="AB70">
        <v>7.1</v>
      </c>
      <c r="AC70">
        <v>0</v>
      </c>
      <c r="AD70" t="s">
        <v>106</v>
      </c>
      <c r="AE70">
        <v>9.1999999999999993</v>
      </c>
      <c r="AF70">
        <v>451.2</v>
      </c>
      <c r="AG70">
        <v>390.6</v>
      </c>
      <c r="AH70">
        <v>4.0999999999999996</v>
      </c>
      <c r="AI70">
        <v>1.3</v>
      </c>
      <c r="AJ70">
        <v>15.8</v>
      </c>
      <c r="AK70" t="s">
        <v>106</v>
      </c>
      <c r="AL70" t="s">
        <v>106</v>
      </c>
      <c r="AM70" t="s">
        <v>106</v>
      </c>
      <c r="AN70" t="s">
        <v>106</v>
      </c>
      <c r="AO70" t="s">
        <v>106</v>
      </c>
      <c r="AP70" t="s">
        <v>106</v>
      </c>
      <c r="AQ70" t="s">
        <v>106</v>
      </c>
      <c r="AR70">
        <v>32</v>
      </c>
      <c r="AS70">
        <v>48</v>
      </c>
      <c r="AT70">
        <v>1.1000000000000001</v>
      </c>
      <c r="AU70">
        <v>42.6</v>
      </c>
      <c r="AV70" t="s">
        <v>106</v>
      </c>
      <c r="AW70" t="s">
        <v>106</v>
      </c>
      <c r="AX70" t="s">
        <v>106</v>
      </c>
      <c r="AY70" t="s">
        <v>106</v>
      </c>
      <c r="AZ70" t="s">
        <v>106</v>
      </c>
      <c r="BA70" t="s">
        <v>106</v>
      </c>
      <c r="BB70" t="s">
        <v>106</v>
      </c>
      <c r="BC70" t="s">
        <v>106</v>
      </c>
      <c r="BD70">
        <v>3.9</v>
      </c>
      <c r="BE70" t="s">
        <v>106</v>
      </c>
      <c r="BF70">
        <v>1.4</v>
      </c>
      <c r="BG70" t="s">
        <v>106</v>
      </c>
      <c r="BH70" t="s">
        <v>106</v>
      </c>
      <c r="BI70" t="s">
        <v>106</v>
      </c>
      <c r="BJ70">
        <v>12062.4</v>
      </c>
      <c r="BK70">
        <v>363.3</v>
      </c>
      <c r="BL70">
        <v>17994.099999999999</v>
      </c>
      <c r="BM70">
        <v>129</v>
      </c>
    </row>
    <row r="71" spans="1:65">
      <c r="C71" t="s">
        <v>174</v>
      </c>
      <c r="D71" t="s">
        <v>105</v>
      </c>
      <c r="E71" t="s">
        <v>105</v>
      </c>
      <c r="F71" t="s">
        <v>106</v>
      </c>
      <c r="G71" t="s">
        <v>106</v>
      </c>
      <c r="H71" t="s">
        <v>106</v>
      </c>
      <c r="I71" t="s">
        <v>106</v>
      </c>
      <c r="J71" t="s">
        <v>106</v>
      </c>
      <c r="K71" t="s">
        <v>106</v>
      </c>
      <c r="L71" t="s">
        <v>106</v>
      </c>
      <c r="M71">
        <v>0.1</v>
      </c>
      <c r="N71" t="s">
        <v>106</v>
      </c>
      <c r="O71" t="s">
        <v>106</v>
      </c>
      <c r="P71" t="s">
        <v>106</v>
      </c>
      <c r="Q71" t="s">
        <v>106</v>
      </c>
      <c r="R71" t="s">
        <v>106</v>
      </c>
      <c r="S71" t="s">
        <v>106</v>
      </c>
      <c r="T71">
        <v>73.900000000000006</v>
      </c>
      <c r="U71" t="s">
        <v>106</v>
      </c>
      <c r="V71" t="s">
        <v>106</v>
      </c>
      <c r="W71" t="s">
        <v>106</v>
      </c>
      <c r="X71" t="s">
        <v>106</v>
      </c>
      <c r="Y71" t="s">
        <v>106</v>
      </c>
      <c r="Z71">
        <v>24.4</v>
      </c>
      <c r="AA71">
        <v>0.2</v>
      </c>
      <c r="AB71">
        <v>28.6</v>
      </c>
      <c r="AC71">
        <v>1.5</v>
      </c>
      <c r="AD71" t="s">
        <v>106</v>
      </c>
      <c r="AE71">
        <v>467.6</v>
      </c>
      <c r="AF71">
        <v>33</v>
      </c>
      <c r="AG71">
        <v>574.20000000000005</v>
      </c>
      <c r="AH71">
        <v>4.0999999999999996</v>
      </c>
      <c r="AI71">
        <v>0.2</v>
      </c>
      <c r="AJ71">
        <v>4.3</v>
      </c>
      <c r="AK71" t="s">
        <v>106</v>
      </c>
      <c r="AL71" t="s">
        <v>106</v>
      </c>
      <c r="AM71" t="s">
        <v>106</v>
      </c>
      <c r="AN71" t="s">
        <v>106</v>
      </c>
      <c r="AO71" t="s">
        <v>106</v>
      </c>
      <c r="AP71" t="s">
        <v>106</v>
      </c>
      <c r="AQ71" t="s">
        <v>106</v>
      </c>
      <c r="AR71">
        <v>68.5</v>
      </c>
      <c r="AS71">
        <v>720.4</v>
      </c>
      <c r="AT71">
        <v>12.6</v>
      </c>
      <c r="AU71">
        <v>62.3</v>
      </c>
      <c r="AV71">
        <v>49.4</v>
      </c>
      <c r="AW71" t="s">
        <v>106</v>
      </c>
      <c r="AX71" t="s">
        <v>106</v>
      </c>
      <c r="AY71" t="s">
        <v>106</v>
      </c>
      <c r="AZ71" t="s">
        <v>106</v>
      </c>
      <c r="BA71" t="s">
        <v>106</v>
      </c>
      <c r="BB71" t="s">
        <v>106</v>
      </c>
      <c r="BC71" t="s">
        <v>106</v>
      </c>
      <c r="BD71">
        <v>172.3</v>
      </c>
      <c r="BE71" t="s">
        <v>106</v>
      </c>
      <c r="BF71">
        <v>11.3</v>
      </c>
      <c r="BG71" t="s">
        <v>106</v>
      </c>
      <c r="BH71" t="s">
        <v>106</v>
      </c>
      <c r="BI71" t="s">
        <v>106</v>
      </c>
      <c r="BJ71">
        <v>2706.6</v>
      </c>
      <c r="BK71">
        <v>78.2</v>
      </c>
      <c r="BL71">
        <v>5093.5</v>
      </c>
      <c r="BM71">
        <v>1096.8</v>
      </c>
    </row>
    <row r="72" spans="1:65">
      <c r="B72" t="s">
        <v>175</v>
      </c>
      <c r="C72" t="s">
        <v>105</v>
      </c>
      <c r="D72" t="s">
        <v>105</v>
      </c>
      <c r="E72" t="s">
        <v>105</v>
      </c>
      <c r="F72" t="s">
        <v>106</v>
      </c>
      <c r="G72" t="s">
        <v>106</v>
      </c>
      <c r="H72" t="s">
        <v>106</v>
      </c>
      <c r="I72" t="s">
        <v>106</v>
      </c>
      <c r="J72" t="s">
        <v>106</v>
      </c>
      <c r="K72" t="s">
        <v>106</v>
      </c>
      <c r="L72">
        <v>35.6</v>
      </c>
      <c r="M72" t="s">
        <v>106</v>
      </c>
      <c r="N72" t="s">
        <v>106</v>
      </c>
      <c r="O72">
        <v>530.20000000000005</v>
      </c>
      <c r="P72" t="s">
        <v>106</v>
      </c>
      <c r="Q72" t="s">
        <v>106</v>
      </c>
      <c r="R72" t="s">
        <v>106</v>
      </c>
      <c r="S72">
        <v>1054.9000000000001</v>
      </c>
      <c r="T72" t="s">
        <v>106</v>
      </c>
      <c r="U72" t="s">
        <v>106</v>
      </c>
      <c r="V72" t="s">
        <v>106</v>
      </c>
      <c r="W72" t="s">
        <v>106</v>
      </c>
      <c r="X72" t="s">
        <v>106</v>
      </c>
      <c r="Y72" t="s">
        <v>106</v>
      </c>
      <c r="Z72">
        <v>3974.9</v>
      </c>
      <c r="AA72">
        <v>696.8</v>
      </c>
      <c r="AB72" t="s">
        <v>106</v>
      </c>
      <c r="AC72" t="s">
        <v>106</v>
      </c>
      <c r="AD72" t="s">
        <v>106</v>
      </c>
      <c r="AE72" t="s">
        <v>106</v>
      </c>
      <c r="AF72" t="s">
        <v>106</v>
      </c>
      <c r="AG72" t="s">
        <v>106</v>
      </c>
      <c r="AH72" t="s">
        <v>106</v>
      </c>
      <c r="AI72" t="s">
        <v>106</v>
      </c>
      <c r="AJ72" t="s">
        <v>106</v>
      </c>
      <c r="AK72">
        <v>45343.3</v>
      </c>
      <c r="AL72">
        <v>197.3</v>
      </c>
      <c r="AM72">
        <v>1219.2</v>
      </c>
      <c r="AN72">
        <v>1509.8</v>
      </c>
      <c r="AO72">
        <v>24.5</v>
      </c>
      <c r="AP72">
        <v>605.70000000000005</v>
      </c>
      <c r="AQ72">
        <v>3069</v>
      </c>
      <c r="AR72" t="s">
        <v>106</v>
      </c>
      <c r="AS72" t="s">
        <v>106</v>
      </c>
      <c r="AT72" t="s">
        <v>106</v>
      </c>
      <c r="AU72" t="s">
        <v>106</v>
      </c>
      <c r="AV72" t="s">
        <v>106</v>
      </c>
      <c r="AW72" t="s">
        <v>106</v>
      </c>
      <c r="AX72" t="s">
        <v>106</v>
      </c>
      <c r="AY72" t="s">
        <v>106</v>
      </c>
      <c r="AZ72" t="s">
        <v>106</v>
      </c>
      <c r="BA72" t="s">
        <v>106</v>
      </c>
      <c r="BB72" t="s">
        <v>106</v>
      </c>
      <c r="BC72" t="s">
        <v>106</v>
      </c>
      <c r="BD72" t="s">
        <v>106</v>
      </c>
      <c r="BE72" t="s">
        <v>106</v>
      </c>
      <c r="BF72" t="s">
        <v>106</v>
      </c>
      <c r="BG72" t="s">
        <v>106</v>
      </c>
      <c r="BH72" t="s">
        <v>106</v>
      </c>
      <c r="BI72" t="s">
        <v>106</v>
      </c>
      <c r="BJ72" t="s">
        <v>106</v>
      </c>
      <c r="BK72" t="s">
        <v>106</v>
      </c>
      <c r="BL72">
        <v>58261.3</v>
      </c>
      <c r="BM72" t="s">
        <v>106</v>
      </c>
    </row>
    <row r="73" spans="1:65">
      <c r="C73" t="s">
        <v>176</v>
      </c>
      <c r="D73" t="s">
        <v>105</v>
      </c>
      <c r="E73" t="s">
        <v>105</v>
      </c>
      <c r="F73" t="s">
        <v>106</v>
      </c>
      <c r="G73" t="s">
        <v>106</v>
      </c>
      <c r="H73" t="s">
        <v>106</v>
      </c>
      <c r="I73" t="s">
        <v>106</v>
      </c>
      <c r="J73" t="s">
        <v>106</v>
      </c>
      <c r="K73" t="s">
        <v>106</v>
      </c>
      <c r="L73">
        <v>35.6</v>
      </c>
      <c r="M73" t="s">
        <v>106</v>
      </c>
      <c r="N73" t="s">
        <v>106</v>
      </c>
      <c r="O73">
        <v>530.20000000000005</v>
      </c>
      <c r="P73" t="s">
        <v>106</v>
      </c>
      <c r="Q73" t="s">
        <v>106</v>
      </c>
      <c r="R73" t="s">
        <v>106</v>
      </c>
      <c r="S73">
        <v>1054.9000000000001</v>
      </c>
      <c r="T73" t="s">
        <v>106</v>
      </c>
      <c r="U73" t="s">
        <v>106</v>
      </c>
      <c r="V73" t="s">
        <v>106</v>
      </c>
      <c r="W73" t="s">
        <v>106</v>
      </c>
      <c r="X73" t="s">
        <v>106</v>
      </c>
      <c r="Y73" t="s">
        <v>106</v>
      </c>
      <c r="Z73">
        <v>3974.9</v>
      </c>
      <c r="AA73">
        <v>696.8</v>
      </c>
      <c r="AB73" t="s">
        <v>106</v>
      </c>
      <c r="AC73" t="s">
        <v>106</v>
      </c>
      <c r="AD73" t="s">
        <v>106</v>
      </c>
      <c r="AE73" t="s">
        <v>106</v>
      </c>
      <c r="AF73" t="s">
        <v>106</v>
      </c>
      <c r="AG73" t="s">
        <v>106</v>
      </c>
      <c r="AH73" t="s">
        <v>106</v>
      </c>
      <c r="AI73" t="s">
        <v>106</v>
      </c>
      <c r="AJ73" t="s">
        <v>106</v>
      </c>
      <c r="AK73">
        <v>45343.3</v>
      </c>
      <c r="AL73">
        <v>169.6</v>
      </c>
      <c r="AM73">
        <v>1219.2</v>
      </c>
      <c r="AN73">
        <v>1509.8</v>
      </c>
      <c r="AO73">
        <v>24.5</v>
      </c>
      <c r="AP73">
        <v>605.20000000000005</v>
      </c>
      <c r="AQ73">
        <v>3069</v>
      </c>
      <c r="AR73" t="s">
        <v>106</v>
      </c>
      <c r="AS73" t="s">
        <v>106</v>
      </c>
      <c r="AT73" t="s">
        <v>106</v>
      </c>
      <c r="AU73" t="s">
        <v>106</v>
      </c>
      <c r="AV73" t="s">
        <v>106</v>
      </c>
      <c r="AW73" t="s">
        <v>106</v>
      </c>
      <c r="AX73" t="s">
        <v>106</v>
      </c>
      <c r="AY73" t="s">
        <v>106</v>
      </c>
      <c r="AZ73" t="s">
        <v>106</v>
      </c>
      <c r="BA73" t="s">
        <v>106</v>
      </c>
      <c r="BB73" t="s">
        <v>106</v>
      </c>
      <c r="BC73" t="s">
        <v>106</v>
      </c>
      <c r="BD73" t="s">
        <v>106</v>
      </c>
      <c r="BE73" t="s">
        <v>106</v>
      </c>
      <c r="BF73" t="s">
        <v>106</v>
      </c>
      <c r="BG73" t="s">
        <v>106</v>
      </c>
      <c r="BH73" t="s">
        <v>106</v>
      </c>
      <c r="BI73" t="s">
        <v>106</v>
      </c>
      <c r="BJ73" t="s">
        <v>106</v>
      </c>
      <c r="BK73" t="s">
        <v>106</v>
      </c>
      <c r="BL73">
        <v>58233</v>
      </c>
      <c r="BM73" t="s">
        <v>106</v>
      </c>
    </row>
    <row r="74" spans="1:65">
      <c r="C74" t="s">
        <v>177</v>
      </c>
      <c r="D74" t="s">
        <v>105</v>
      </c>
      <c r="E74" t="s">
        <v>105</v>
      </c>
      <c r="F74" t="s">
        <v>106</v>
      </c>
      <c r="G74" t="s">
        <v>106</v>
      </c>
      <c r="H74" t="s">
        <v>106</v>
      </c>
      <c r="I74" t="s">
        <v>106</v>
      </c>
      <c r="J74" t="s">
        <v>106</v>
      </c>
      <c r="K74" t="s">
        <v>106</v>
      </c>
      <c r="L74" t="s">
        <v>106</v>
      </c>
      <c r="M74" t="s">
        <v>106</v>
      </c>
      <c r="N74" t="s">
        <v>106</v>
      </c>
      <c r="O74" t="s">
        <v>106</v>
      </c>
      <c r="P74" t="s">
        <v>106</v>
      </c>
      <c r="Q74" t="s">
        <v>106</v>
      </c>
      <c r="R74" t="s">
        <v>106</v>
      </c>
      <c r="S74" t="s">
        <v>106</v>
      </c>
      <c r="T74" t="s">
        <v>106</v>
      </c>
      <c r="U74" t="s">
        <v>106</v>
      </c>
      <c r="V74" t="s">
        <v>106</v>
      </c>
      <c r="W74" t="s">
        <v>106</v>
      </c>
      <c r="X74" t="s">
        <v>106</v>
      </c>
      <c r="Y74" t="s">
        <v>106</v>
      </c>
      <c r="Z74" t="s">
        <v>106</v>
      </c>
      <c r="AA74" t="s">
        <v>106</v>
      </c>
      <c r="AB74" t="s">
        <v>106</v>
      </c>
      <c r="AC74" t="s">
        <v>106</v>
      </c>
      <c r="AD74" t="s">
        <v>106</v>
      </c>
      <c r="AE74" t="s">
        <v>106</v>
      </c>
      <c r="AF74" t="s">
        <v>106</v>
      </c>
      <c r="AG74" t="s">
        <v>106</v>
      </c>
      <c r="AH74" t="s">
        <v>106</v>
      </c>
      <c r="AI74" t="s">
        <v>106</v>
      </c>
      <c r="AJ74" t="s">
        <v>106</v>
      </c>
      <c r="AK74" t="s">
        <v>106</v>
      </c>
      <c r="AL74">
        <v>0</v>
      </c>
      <c r="AM74" t="s">
        <v>106</v>
      </c>
      <c r="AN74" t="s">
        <v>106</v>
      </c>
      <c r="AO74" t="s">
        <v>106</v>
      </c>
      <c r="AP74" t="s">
        <v>106</v>
      </c>
      <c r="AQ74" t="s">
        <v>106</v>
      </c>
      <c r="AR74" t="s">
        <v>106</v>
      </c>
      <c r="AS74" t="s">
        <v>106</v>
      </c>
      <c r="AT74" t="s">
        <v>106</v>
      </c>
      <c r="AU74" t="s">
        <v>106</v>
      </c>
      <c r="AV74" t="s">
        <v>106</v>
      </c>
      <c r="AW74" t="s">
        <v>106</v>
      </c>
      <c r="AX74" t="s">
        <v>106</v>
      </c>
      <c r="AY74" t="s">
        <v>106</v>
      </c>
      <c r="AZ74" t="s">
        <v>106</v>
      </c>
      <c r="BA74" t="s">
        <v>106</v>
      </c>
      <c r="BB74" t="s">
        <v>106</v>
      </c>
      <c r="BC74" t="s">
        <v>106</v>
      </c>
      <c r="BD74" t="s">
        <v>106</v>
      </c>
      <c r="BE74" t="s">
        <v>106</v>
      </c>
      <c r="BF74" t="s">
        <v>106</v>
      </c>
      <c r="BG74" t="s">
        <v>106</v>
      </c>
      <c r="BH74" t="s">
        <v>106</v>
      </c>
      <c r="BI74" t="s">
        <v>106</v>
      </c>
      <c r="BJ74" t="s">
        <v>106</v>
      </c>
      <c r="BK74" t="s">
        <v>106</v>
      </c>
      <c r="BL74">
        <v>0</v>
      </c>
      <c r="BM74" t="s">
        <v>106</v>
      </c>
    </row>
    <row r="75" spans="1:65">
      <c r="C75" t="s">
        <v>178</v>
      </c>
      <c r="D75" t="s">
        <v>105</v>
      </c>
      <c r="E75" t="s">
        <v>105</v>
      </c>
      <c r="F75" t="s">
        <v>106</v>
      </c>
      <c r="G75" t="s">
        <v>106</v>
      </c>
      <c r="H75" t="s">
        <v>106</v>
      </c>
      <c r="I75" t="s">
        <v>106</v>
      </c>
      <c r="J75" t="s">
        <v>106</v>
      </c>
      <c r="K75" t="s">
        <v>106</v>
      </c>
      <c r="L75" t="s">
        <v>106</v>
      </c>
      <c r="M75" t="s">
        <v>106</v>
      </c>
      <c r="N75" t="s">
        <v>106</v>
      </c>
      <c r="O75" t="s">
        <v>106</v>
      </c>
      <c r="P75" t="s">
        <v>106</v>
      </c>
      <c r="Q75" t="s">
        <v>106</v>
      </c>
      <c r="R75" t="s">
        <v>106</v>
      </c>
      <c r="S75" t="s">
        <v>106</v>
      </c>
      <c r="T75" t="s">
        <v>106</v>
      </c>
      <c r="U75" t="s">
        <v>106</v>
      </c>
      <c r="V75" t="s">
        <v>106</v>
      </c>
      <c r="W75" t="s">
        <v>106</v>
      </c>
      <c r="X75" t="s">
        <v>106</v>
      </c>
      <c r="Y75" t="s">
        <v>106</v>
      </c>
      <c r="Z75" t="s">
        <v>106</v>
      </c>
      <c r="AA75" t="s">
        <v>106</v>
      </c>
      <c r="AB75" t="s">
        <v>106</v>
      </c>
      <c r="AC75" t="s">
        <v>106</v>
      </c>
      <c r="AD75" t="s">
        <v>106</v>
      </c>
      <c r="AE75" t="s">
        <v>106</v>
      </c>
      <c r="AF75" t="s">
        <v>106</v>
      </c>
      <c r="AG75" t="s">
        <v>106</v>
      </c>
      <c r="AH75" t="s">
        <v>106</v>
      </c>
      <c r="AI75" t="s">
        <v>106</v>
      </c>
      <c r="AJ75" t="s">
        <v>106</v>
      </c>
      <c r="AK75" t="s">
        <v>106</v>
      </c>
      <c r="AL75" t="s">
        <v>106</v>
      </c>
      <c r="AM75" t="s">
        <v>106</v>
      </c>
      <c r="AN75" t="s">
        <v>106</v>
      </c>
      <c r="AO75" t="s">
        <v>106</v>
      </c>
      <c r="AP75" t="s">
        <v>106</v>
      </c>
      <c r="AQ75" t="s">
        <v>106</v>
      </c>
      <c r="AR75" t="s">
        <v>106</v>
      </c>
      <c r="AS75" t="s">
        <v>106</v>
      </c>
      <c r="AT75" t="s">
        <v>106</v>
      </c>
      <c r="AU75" t="s">
        <v>106</v>
      </c>
      <c r="AV75" t="s">
        <v>106</v>
      </c>
      <c r="AW75" t="s">
        <v>106</v>
      </c>
      <c r="AX75" t="s">
        <v>106</v>
      </c>
      <c r="AY75" t="s">
        <v>106</v>
      </c>
      <c r="AZ75" t="s">
        <v>106</v>
      </c>
      <c r="BA75" t="s">
        <v>106</v>
      </c>
      <c r="BB75" t="s">
        <v>106</v>
      </c>
      <c r="BC75" t="s">
        <v>106</v>
      </c>
      <c r="BD75" t="s">
        <v>106</v>
      </c>
      <c r="BE75" t="s">
        <v>106</v>
      </c>
      <c r="BF75" t="s">
        <v>106</v>
      </c>
      <c r="BG75" t="s">
        <v>106</v>
      </c>
      <c r="BH75" t="s">
        <v>106</v>
      </c>
      <c r="BI75" t="s">
        <v>106</v>
      </c>
      <c r="BJ75" t="s">
        <v>106</v>
      </c>
      <c r="BK75" t="s">
        <v>106</v>
      </c>
      <c r="BL75" t="s">
        <v>106</v>
      </c>
      <c r="BM75" t="s">
        <v>106</v>
      </c>
    </row>
    <row r="76" spans="1:65">
      <c r="C76" t="s">
        <v>179</v>
      </c>
      <c r="D76" t="s">
        <v>105</v>
      </c>
      <c r="E76" t="s">
        <v>105</v>
      </c>
      <c r="F76" t="s">
        <v>106</v>
      </c>
      <c r="G76" t="s">
        <v>106</v>
      </c>
      <c r="H76" t="s">
        <v>106</v>
      </c>
      <c r="I76" t="s">
        <v>106</v>
      </c>
      <c r="J76" t="s">
        <v>106</v>
      </c>
      <c r="K76" t="s">
        <v>106</v>
      </c>
      <c r="L76" t="s">
        <v>106</v>
      </c>
      <c r="M76" t="s">
        <v>106</v>
      </c>
      <c r="N76" t="s">
        <v>106</v>
      </c>
      <c r="O76" t="s">
        <v>106</v>
      </c>
      <c r="P76" t="s">
        <v>106</v>
      </c>
      <c r="Q76" t="s">
        <v>106</v>
      </c>
      <c r="R76" t="s">
        <v>106</v>
      </c>
      <c r="S76" t="s">
        <v>106</v>
      </c>
      <c r="T76" t="s">
        <v>106</v>
      </c>
      <c r="U76" t="s">
        <v>106</v>
      </c>
      <c r="V76" t="s">
        <v>106</v>
      </c>
      <c r="W76" t="s">
        <v>106</v>
      </c>
      <c r="X76" t="s">
        <v>106</v>
      </c>
      <c r="Y76" t="s">
        <v>106</v>
      </c>
      <c r="Z76" t="s">
        <v>106</v>
      </c>
      <c r="AA76" t="s">
        <v>106</v>
      </c>
      <c r="AB76" t="s">
        <v>106</v>
      </c>
      <c r="AC76" t="s">
        <v>106</v>
      </c>
      <c r="AD76" t="s">
        <v>106</v>
      </c>
      <c r="AE76" t="s">
        <v>106</v>
      </c>
      <c r="AF76" t="s">
        <v>106</v>
      </c>
      <c r="AG76" t="s">
        <v>106</v>
      </c>
      <c r="AH76" t="s">
        <v>106</v>
      </c>
      <c r="AI76" t="s">
        <v>106</v>
      </c>
      <c r="AJ76" t="s">
        <v>106</v>
      </c>
      <c r="AK76" t="s">
        <v>106</v>
      </c>
      <c r="AL76">
        <v>27.6</v>
      </c>
      <c r="AM76" t="s">
        <v>106</v>
      </c>
      <c r="AN76" t="s">
        <v>106</v>
      </c>
      <c r="AO76" t="s">
        <v>106</v>
      </c>
      <c r="AP76">
        <v>0.5</v>
      </c>
      <c r="AQ76" t="s">
        <v>106</v>
      </c>
      <c r="AR76" t="s">
        <v>106</v>
      </c>
      <c r="AS76" t="s">
        <v>106</v>
      </c>
      <c r="AT76" t="s">
        <v>106</v>
      </c>
      <c r="AU76" t="s">
        <v>106</v>
      </c>
      <c r="AV76" t="s">
        <v>106</v>
      </c>
      <c r="AW76" t="s">
        <v>106</v>
      </c>
      <c r="AX76" t="s">
        <v>106</v>
      </c>
      <c r="AY76" t="s">
        <v>106</v>
      </c>
      <c r="AZ76" t="s">
        <v>106</v>
      </c>
      <c r="BA76" t="s">
        <v>106</v>
      </c>
      <c r="BB76" t="s">
        <v>106</v>
      </c>
      <c r="BC76" t="s">
        <v>106</v>
      </c>
      <c r="BD76" t="s">
        <v>106</v>
      </c>
      <c r="BE76" t="s">
        <v>106</v>
      </c>
      <c r="BF76" t="s">
        <v>106</v>
      </c>
      <c r="BG76" t="s">
        <v>106</v>
      </c>
      <c r="BH76" t="s">
        <v>106</v>
      </c>
      <c r="BI76" t="s">
        <v>106</v>
      </c>
      <c r="BJ76" t="s">
        <v>106</v>
      </c>
      <c r="BK76" t="s">
        <v>106</v>
      </c>
      <c r="BL76">
        <v>28</v>
      </c>
      <c r="BM76" t="s">
        <v>106</v>
      </c>
    </row>
    <row r="77" spans="1:65">
      <c r="C77" t="s">
        <v>180</v>
      </c>
      <c r="D77" t="s">
        <v>105</v>
      </c>
      <c r="E77" t="s">
        <v>105</v>
      </c>
      <c r="F77" t="s">
        <v>106</v>
      </c>
      <c r="G77" t="s">
        <v>106</v>
      </c>
      <c r="H77" t="s">
        <v>106</v>
      </c>
      <c r="I77" t="s">
        <v>106</v>
      </c>
      <c r="J77" t="s">
        <v>106</v>
      </c>
      <c r="K77" t="s">
        <v>106</v>
      </c>
      <c r="L77" t="s">
        <v>106</v>
      </c>
      <c r="M77" t="s">
        <v>106</v>
      </c>
      <c r="N77" t="s">
        <v>106</v>
      </c>
      <c r="O77" t="s">
        <v>106</v>
      </c>
      <c r="P77" t="s">
        <v>106</v>
      </c>
      <c r="Q77" t="s">
        <v>106</v>
      </c>
      <c r="R77" t="s">
        <v>106</v>
      </c>
      <c r="S77" t="s">
        <v>106</v>
      </c>
      <c r="T77" t="s">
        <v>106</v>
      </c>
      <c r="U77" t="s">
        <v>106</v>
      </c>
      <c r="V77" t="s">
        <v>106</v>
      </c>
      <c r="W77" t="s">
        <v>106</v>
      </c>
      <c r="X77" t="s">
        <v>106</v>
      </c>
      <c r="Y77" t="s">
        <v>106</v>
      </c>
      <c r="Z77" t="s">
        <v>106</v>
      </c>
      <c r="AA77" t="s">
        <v>106</v>
      </c>
      <c r="AB77" t="s">
        <v>106</v>
      </c>
      <c r="AC77" t="s">
        <v>106</v>
      </c>
      <c r="AD77" t="s">
        <v>106</v>
      </c>
      <c r="AE77" t="s">
        <v>106</v>
      </c>
      <c r="AF77" t="s">
        <v>106</v>
      </c>
      <c r="AG77" t="s">
        <v>106</v>
      </c>
      <c r="AH77" t="s">
        <v>106</v>
      </c>
      <c r="AI77" t="s">
        <v>106</v>
      </c>
      <c r="AJ77" t="s">
        <v>106</v>
      </c>
      <c r="AK77" t="s">
        <v>106</v>
      </c>
      <c r="AL77">
        <v>0.2</v>
      </c>
      <c r="AM77" t="s">
        <v>106</v>
      </c>
      <c r="AN77" t="s">
        <v>106</v>
      </c>
      <c r="AO77" t="s">
        <v>106</v>
      </c>
      <c r="AP77" t="s">
        <v>106</v>
      </c>
      <c r="AQ77" t="s">
        <v>106</v>
      </c>
      <c r="AR77" t="s">
        <v>106</v>
      </c>
      <c r="AS77" t="s">
        <v>106</v>
      </c>
      <c r="AT77" t="s">
        <v>106</v>
      </c>
      <c r="AU77" t="s">
        <v>106</v>
      </c>
      <c r="AV77" t="s">
        <v>106</v>
      </c>
      <c r="AW77" t="s">
        <v>106</v>
      </c>
      <c r="AX77" t="s">
        <v>106</v>
      </c>
      <c r="AY77" t="s">
        <v>106</v>
      </c>
      <c r="AZ77" t="s">
        <v>106</v>
      </c>
      <c r="BA77" t="s">
        <v>106</v>
      </c>
      <c r="BB77" t="s">
        <v>106</v>
      </c>
      <c r="BC77" t="s">
        <v>106</v>
      </c>
      <c r="BD77" t="s">
        <v>106</v>
      </c>
      <c r="BE77" t="s">
        <v>106</v>
      </c>
      <c r="BF77" t="s">
        <v>106</v>
      </c>
      <c r="BG77" t="s">
        <v>106</v>
      </c>
      <c r="BH77" t="s">
        <v>106</v>
      </c>
      <c r="BI77" t="s">
        <v>106</v>
      </c>
      <c r="BJ77" t="s">
        <v>106</v>
      </c>
      <c r="BK77" t="s">
        <v>106</v>
      </c>
      <c r="BL77">
        <v>0.2</v>
      </c>
      <c r="BM77" t="s">
        <v>106</v>
      </c>
    </row>
    <row r="78" spans="1:65">
      <c r="C78" t="s">
        <v>181</v>
      </c>
      <c r="D78" t="s">
        <v>105</v>
      </c>
      <c r="E78" t="s">
        <v>105</v>
      </c>
      <c r="F78" t="s">
        <v>106</v>
      </c>
      <c r="G78" t="s">
        <v>106</v>
      </c>
      <c r="H78" t="s">
        <v>106</v>
      </c>
      <c r="I78" t="s">
        <v>106</v>
      </c>
      <c r="J78" t="s">
        <v>106</v>
      </c>
      <c r="K78" t="s">
        <v>106</v>
      </c>
      <c r="L78" t="s">
        <v>106</v>
      </c>
      <c r="M78" t="s">
        <v>106</v>
      </c>
      <c r="N78" t="s">
        <v>106</v>
      </c>
      <c r="O78">
        <v>530.20000000000005</v>
      </c>
      <c r="P78" t="s">
        <v>106</v>
      </c>
      <c r="Q78" t="s">
        <v>106</v>
      </c>
      <c r="R78" t="s">
        <v>106</v>
      </c>
      <c r="S78">
        <v>52.8</v>
      </c>
      <c r="T78" t="s">
        <v>106</v>
      </c>
      <c r="U78" t="s">
        <v>106</v>
      </c>
      <c r="V78" t="s">
        <v>106</v>
      </c>
      <c r="W78" t="s">
        <v>106</v>
      </c>
      <c r="X78" t="s">
        <v>106</v>
      </c>
      <c r="Y78" t="s">
        <v>106</v>
      </c>
      <c r="Z78">
        <v>3974.9</v>
      </c>
      <c r="AA78">
        <v>696.8</v>
      </c>
      <c r="AB78" t="s">
        <v>106</v>
      </c>
      <c r="AC78" t="s">
        <v>106</v>
      </c>
      <c r="AD78" t="s">
        <v>106</v>
      </c>
      <c r="AE78" t="s">
        <v>106</v>
      </c>
      <c r="AF78" t="s">
        <v>106</v>
      </c>
      <c r="AG78" t="s">
        <v>106</v>
      </c>
      <c r="AH78" t="s">
        <v>106</v>
      </c>
      <c r="AI78" t="s">
        <v>106</v>
      </c>
      <c r="AJ78" t="s">
        <v>106</v>
      </c>
      <c r="AK78">
        <v>45343.3</v>
      </c>
      <c r="AL78" t="s">
        <v>106</v>
      </c>
      <c r="AM78" t="s">
        <v>106</v>
      </c>
      <c r="AN78" t="s">
        <v>106</v>
      </c>
      <c r="AO78" t="s">
        <v>106</v>
      </c>
      <c r="AP78" t="s">
        <v>106</v>
      </c>
      <c r="AQ78" t="s">
        <v>106</v>
      </c>
      <c r="AR78" t="s">
        <v>106</v>
      </c>
      <c r="AS78" t="s">
        <v>106</v>
      </c>
      <c r="AT78" t="s">
        <v>106</v>
      </c>
      <c r="AU78" t="s">
        <v>106</v>
      </c>
      <c r="AV78" t="s">
        <v>106</v>
      </c>
      <c r="AW78" t="s">
        <v>106</v>
      </c>
      <c r="AX78" t="s">
        <v>106</v>
      </c>
      <c r="AY78" t="s">
        <v>106</v>
      </c>
      <c r="AZ78" t="s">
        <v>106</v>
      </c>
      <c r="BA78" t="s">
        <v>106</v>
      </c>
      <c r="BB78" t="s">
        <v>106</v>
      </c>
      <c r="BC78" t="s">
        <v>106</v>
      </c>
      <c r="BD78" t="s">
        <v>106</v>
      </c>
      <c r="BE78" t="s">
        <v>106</v>
      </c>
      <c r="BF78" t="s">
        <v>106</v>
      </c>
      <c r="BG78" t="s">
        <v>106</v>
      </c>
      <c r="BH78" t="s">
        <v>106</v>
      </c>
      <c r="BI78" t="s">
        <v>106</v>
      </c>
      <c r="BJ78" t="s">
        <v>106</v>
      </c>
      <c r="BK78" t="s">
        <v>106</v>
      </c>
      <c r="BL78">
        <v>50598</v>
      </c>
      <c r="BM78" t="s">
        <v>106</v>
      </c>
    </row>
    <row r="79" spans="1:65">
      <c r="A79" t="s">
        <v>182</v>
      </c>
      <c r="B79" t="s">
        <v>105</v>
      </c>
      <c r="C79" t="s">
        <v>105</v>
      </c>
      <c r="D79" t="s">
        <v>105</v>
      </c>
      <c r="E79" t="s">
        <v>105</v>
      </c>
      <c r="F79">
        <v>774.9</v>
      </c>
      <c r="G79">
        <v>1035.5</v>
      </c>
      <c r="H79" t="s">
        <v>106</v>
      </c>
      <c r="I79">
        <v>193199.9</v>
      </c>
      <c r="J79">
        <v>4300.5</v>
      </c>
      <c r="K79" t="s">
        <v>106</v>
      </c>
      <c r="L79" t="s">
        <v>106</v>
      </c>
      <c r="M79" t="s">
        <v>106</v>
      </c>
      <c r="N79" t="s">
        <v>106</v>
      </c>
      <c r="O79" t="s">
        <v>106</v>
      </c>
      <c r="P79">
        <v>3605.9</v>
      </c>
      <c r="Q79">
        <v>15672.3</v>
      </c>
      <c r="R79">
        <v>8019.1</v>
      </c>
      <c r="S79">
        <v>174415.1</v>
      </c>
      <c r="T79">
        <v>1035.5</v>
      </c>
      <c r="U79" t="s">
        <v>106</v>
      </c>
      <c r="V79" t="s">
        <v>106</v>
      </c>
      <c r="W79" t="s">
        <v>106</v>
      </c>
      <c r="X79" t="s">
        <v>106</v>
      </c>
      <c r="Y79">
        <v>2654.8</v>
      </c>
      <c r="Z79">
        <v>120.4</v>
      </c>
      <c r="AA79" t="s">
        <v>106</v>
      </c>
      <c r="AB79" t="s">
        <v>106</v>
      </c>
      <c r="AC79" t="s">
        <v>106</v>
      </c>
      <c r="AD79" t="s">
        <v>106</v>
      </c>
      <c r="AE79" t="s">
        <v>106</v>
      </c>
      <c r="AF79">
        <v>79.599999999999994</v>
      </c>
      <c r="AG79">
        <v>642</v>
      </c>
      <c r="AH79" t="s">
        <v>106</v>
      </c>
      <c r="AI79" t="s">
        <v>106</v>
      </c>
      <c r="AJ79">
        <v>1817.4</v>
      </c>
      <c r="AK79" t="s">
        <v>106</v>
      </c>
      <c r="AL79" t="s">
        <v>106</v>
      </c>
      <c r="AM79" t="s">
        <v>106</v>
      </c>
      <c r="AN79" t="s">
        <v>106</v>
      </c>
      <c r="AO79" t="s">
        <v>106</v>
      </c>
      <c r="AP79" t="s">
        <v>106</v>
      </c>
      <c r="AQ79">
        <v>1936.2</v>
      </c>
      <c r="AR79">
        <v>368.2</v>
      </c>
      <c r="AS79">
        <v>537.70000000000005</v>
      </c>
      <c r="AT79">
        <v>460</v>
      </c>
      <c r="AU79">
        <v>7979.7</v>
      </c>
      <c r="AV79">
        <v>191.1</v>
      </c>
      <c r="AW79">
        <v>187.5</v>
      </c>
      <c r="AX79" t="s">
        <v>106</v>
      </c>
      <c r="AY79" t="s">
        <v>106</v>
      </c>
      <c r="AZ79">
        <v>1832.4</v>
      </c>
      <c r="BA79" t="s">
        <v>106</v>
      </c>
      <c r="BB79">
        <v>158015.20000000001</v>
      </c>
      <c r="BC79">
        <v>3057.2</v>
      </c>
      <c r="BD79" t="s">
        <v>106</v>
      </c>
      <c r="BE79">
        <v>24717.599999999999</v>
      </c>
      <c r="BF79" t="s">
        <v>106</v>
      </c>
      <c r="BG79">
        <v>455</v>
      </c>
      <c r="BH79">
        <v>3180</v>
      </c>
      <c r="BI79">
        <v>4798.1000000000004</v>
      </c>
      <c r="BJ79" t="s">
        <v>106</v>
      </c>
      <c r="BK79">
        <v>177</v>
      </c>
      <c r="BL79">
        <v>615265.9</v>
      </c>
      <c r="BM79">
        <v>49955.3</v>
      </c>
    </row>
    <row r="80" spans="1:65">
      <c r="B80" t="s">
        <v>183</v>
      </c>
      <c r="C80" t="s">
        <v>105</v>
      </c>
      <c r="D80" t="s">
        <v>105</v>
      </c>
      <c r="E80" t="s">
        <v>105</v>
      </c>
      <c r="F80">
        <v>774.9</v>
      </c>
      <c r="G80">
        <v>1035.5</v>
      </c>
      <c r="H80" t="s">
        <v>106</v>
      </c>
      <c r="I80">
        <v>181192.6</v>
      </c>
      <c r="J80">
        <v>4300.5</v>
      </c>
      <c r="K80" t="s">
        <v>106</v>
      </c>
      <c r="L80" t="s">
        <v>106</v>
      </c>
      <c r="M80" t="s">
        <v>106</v>
      </c>
      <c r="N80" t="s">
        <v>106</v>
      </c>
      <c r="O80" t="s">
        <v>106</v>
      </c>
      <c r="P80" t="s">
        <v>106</v>
      </c>
      <c r="Q80" t="s">
        <v>106</v>
      </c>
      <c r="R80">
        <v>2190.8000000000002</v>
      </c>
      <c r="S80">
        <v>126067.1</v>
      </c>
      <c r="T80" t="s">
        <v>106</v>
      </c>
      <c r="U80" t="s">
        <v>106</v>
      </c>
      <c r="V80" t="s">
        <v>106</v>
      </c>
      <c r="W80" t="s">
        <v>106</v>
      </c>
      <c r="X80" t="s">
        <v>106</v>
      </c>
      <c r="Y80" t="s">
        <v>106</v>
      </c>
      <c r="Z80" t="s">
        <v>106</v>
      </c>
      <c r="AA80" t="s">
        <v>106</v>
      </c>
      <c r="AB80" t="s">
        <v>106</v>
      </c>
      <c r="AC80" t="s">
        <v>106</v>
      </c>
      <c r="AD80" t="s">
        <v>106</v>
      </c>
      <c r="AE80" t="s">
        <v>106</v>
      </c>
      <c r="AF80">
        <v>4.8</v>
      </c>
      <c r="AG80">
        <v>642</v>
      </c>
      <c r="AH80" t="s">
        <v>106</v>
      </c>
      <c r="AI80" t="s">
        <v>106</v>
      </c>
      <c r="AJ80">
        <v>1402.3</v>
      </c>
      <c r="AK80" t="s">
        <v>106</v>
      </c>
      <c r="AL80" t="s">
        <v>106</v>
      </c>
      <c r="AM80" t="s">
        <v>106</v>
      </c>
      <c r="AN80" t="s">
        <v>106</v>
      </c>
      <c r="AO80" t="s">
        <v>106</v>
      </c>
      <c r="AP80" t="s">
        <v>106</v>
      </c>
      <c r="AQ80" t="s">
        <v>106</v>
      </c>
      <c r="AR80">
        <v>263.5</v>
      </c>
      <c r="AS80">
        <v>186.9</v>
      </c>
      <c r="AT80">
        <v>175.6</v>
      </c>
      <c r="AU80">
        <v>4696.8999999999996</v>
      </c>
      <c r="AV80">
        <v>167.1</v>
      </c>
      <c r="AW80">
        <v>187.7</v>
      </c>
      <c r="AX80" t="s">
        <v>106</v>
      </c>
      <c r="AY80" t="s">
        <v>106</v>
      </c>
      <c r="AZ80">
        <v>1832.4</v>
      </c>
      <c r="BA80" t="s">
        <v>106</v>
      </c>
      <c r="BB80">
        <v>158015.20000000001</v>
      </c>
      <c r="BC80">
        <v>3054.5</v>
      </c>
      <c r="BD80" t="s">
        <v>106</v>
      </c>
      <c r="BE80">
        <v>21822.5</v>
      </c>
      <c r="BF80" t="s">
        <v>106</v>
      </c>
      <c r="BG80">
        <v>455</v>
      </c>
      <c r="BH80">
        <v>3169.8</v>
      </c>
      <c r="BI80">
        <v>4727.3999999999996</v>
      </c>
      <c r="BJ80" t="s">
        <v>106</v>
      </c>
      <c r="BK80" t="s">
        <v>106</v>
      </c>
      <c r="BL80">
        <v>516364.9</v>
      </c>
      <c r="BM80">
        <v>42930</v>
      </c>
    </row>
    <row r="81" spans="1:65">
      <c r="B81" t="s">
        <v>184</v>
      </c>
      <c r="C81" t="s">
        <v>105</v>
      </c>
      <c r="D81" t="s">
        <v>105</v>
      </c>
      <c r="E81" t="s">
        <v>105</v>
      </c>
      <c r="F81" t="s">
        <v>106</v>
      </c>
      <c r="G81" t="s">
        <v>106</v>
      </c>
      <c r="H81" t="s">
        <v>106</v>
      </c>
      <c r="I81">
        <v>107.7</v>
      </c>
      <c r="J81" t="s">
        <v>106</v>
      </c>
      <c r="K81" t="s">
        <v>106</v>
      </c>
      <c r="L81" t="s">
        <v>106</v>
      </c>
      <c r="M81" t="s">
        <v>106</v>
      </c>
      <c r="N81" t="s">
        <v>106</v>
      </c>
      <c r="O81" t="s">
        <v>106</v>
      </c>
      <c r="P81">
        <v>3605.9</v>
      </c>
      <c r="Q81">
        <v>15672.3</v>
      </c>
      <c r="R81">
        <v>5828.4</v>
      </c>
      <c r="S81">
        <v>2634.9</v>
      </c>
      <c r="T81">
        <v>42.3</v>
      </c>
      <c r="U81" t="s">
        <v>106</v>
      </c>
      <c r="V81" t="s">
        <v>106</v>
      </c>
      <c r="W81" t="s">
        <v>106</v>
      </c>
      <c r="X81" t="s">
        <v>106</v>
      </c>
      <c r="Y81">
        <v>1426.3</v>
      </c>
      <c r="Z81" t="s">
        <v>106</v>
      </c>
      <c r="AA81" t="s">
        <v>106</v>
      </c>
      <c r="AB81" t="s">
        <v>106</v>
      </c>
      <c r="AC81" t="s">
        <v>106</v>
      </c>
      <c r="AD81" t="s">
        <v>106</v>
      </c>
      <c r="AE81" t="s">
        <v>106</v>
      </c>
      <c r="AF81" t="s">
        <v>106</v>
      </c>
      <c r="AG81">
        <v>0</v>
      </c>
      <c r="AH81" t="s">
        <v>106</v>
      </c>
      <c r="AI81" t="s">
        <v>106</v>
      </c>
      <c r="AJ81" t="s">
        <v>106</v>
      </c>
      <c r="AK81" t="s">
        <v>106</v>
      </c>
      <c r="AL81" t="s">
        <v>106</v>
      </c>
      <c r="AM81" t="s">
        <v>106</v>
      </c>
      <c r="AN81" t="s">
        <v>106</v>
      </c>
      <c r="AO81" t="s">
        <v>106</v>
      </c>
      <c r="AP81" t="s">
        <v>106</v>
      </c>
      <c r="AQ81" t="s">
        <v>106</v>
      </c>
      <c r="AR81">
        <v>31.7</v>
      </c>
      <c r="AS81">
        <v>0.3</v>
      </c>
      <c r="AT81" t="s">
        <v>106</v>
      </c>
      <c r="AU81" t="s">
        <v>106</v>
      </c>
      <c r="AV81">
        <v>17.899999999999999</v>
      </c>
      <c r="AW81" t="s">
        <v>106</v>
      </c>
      <c r="AX81" t="s">
        <v>106</v>
      </c>
      <c r="AY81" t="s">
        <v>106</v>
      </c>
      <c r="AZ81" t="s">
        <v>106</v>
      </c>
      <c r="BA81" t="s">
        <v>106</v>
      </c>
      <c r="BB81" t="s">
        <v>106</v>
      </c>
      <c r="BC81">
        <v>2.7</v>
      </c>
      <c r="BD81" t="s">
        <v>106</v>
      </c>
      <c r="BE81">
        <v>2895.1</v>
      </c>
      <c r="BF81" t="s">
        <v>106</v>
      </c>
      <c r="BG81">
        <v>0</v>
      </c>
      <c r="BH81">
        <v>10.199999999999999</v>
      </c>
      <c r="BI81">
        <v>70.8</v>
      </c>
      <c r="BJ81" t="s">
        <v>106</v>
      </c>
      <c r="BK81" t="s">
        <v>106</v>
      </c>
      <c r="BL81">
        <v>32346.400000000001</v>
      </c>
      <c r="BM81">
        <v>3028.7</v>
      </c>
    </row>
    <row r="82" spans="1:65">
      <c r="B82" t="s">
        <v>185</v>
      </c>
      <c r="C82" t="s">
        <v>105</v>
      </c>
      <c r="D82" t="s">
        <v>105</v>
      </c>
      <c r="E82" t="s">
        <v>105</v>
      </c>
      <c r="F82" t="s">
        <v>106</v>
      </c>
      <c r="G82" t="s">
        <v>106</v>
      </c>
      <c r="H82" t="s">
        <v>106</v>
      </c>
      <c r="I82" t="s">
        <v>106</v>
      </c>
      <c r="J82" t="s">
        <v>106</v>
      </c>
      <c r="K82" t="s">
        <v>106</v>
      </c>
      <c r="L82" t="s">
        <v>106</v>
      </c>
      <c r="M82" t="s">
        <v>106</v>
      </c>
      <c r="N82" t="s">
        <v>106</v>
      </c>
      <c r="O82" t="s">
        <v>106</v>
      </c>
      <c r="P82" t="s">
        <v>106</v>
      </c>
      <c r="Q82" t="s">
        <v>106</v>
      </c>
      <c r="R82" t="s">
        <v>106</v>
      </c>
      <c r="S82">
        <v>42385.3</v>
      </c>
      <c r="T82">
        <v>812.5</v>
      </c>
      <c r="U82" t="s">
        <v>106</v>
      </c>
      <c r="V82" t="s">
        <v>106</v>
      </c>
      <c r="W82" t="s">
        <v>106</v>
      </c>
      <c r="X82" t="s">
        <v>106</v>
      </c>
      <c r="Y82" t="s">
        <v>106</v>
      </c>
      <c r="Z82" t="s">
        <v>106</v>
      </c>
      <c r="AA82" t="s">
        <v>106</v>
      </c>
      <c r="AB82" t="s">
        <v>106</v>
      </c>
      <c r="AC82" t="s">
        <v>106</v>
      </c>
      <c r="AD82" t="s">
        <v>106</v>
      </c>
      <c r="AE82" t="s">
        <v>106</v>
      </c>
      <c r="AF82">
        <v>74.8</v>
      </c>
      <c r="AG82" t="s">
        <v>106</v>
      </c>
      <c r="AH82" t="s">
        <v>106</v>
      </c>
      <c r="AI82" t="s">
        <v>106</v>
      </c>
      <c r="AJ82">
        <v>163.5</v>
      </c>
      <c r="AK82" t="s">
        <v>106</v>
      </c>
      <c r="AL82" t="s">
        <v>106</v>
      </c>
      <c r="AM82" t="s">
        <v>106</v>
      </c>
      <c r="AN82" t="s">
        <v>106</v>
      </c>
      <c r="AO82" t="s">
        <v>106</v>
      </c>
      <c r="AP82" t="s">
        <v>106</v>
      </c>
      <c r="AQ82" t="s">
        <v>106</v>
      </c>
      <c r="AR82">
        <v>57.5</v>
      </c>
      <c r="AS82">
        <v>98.4</v>
      </c>
      <c r="AT82">
        <v>13.3</v>
      </c>
      <c r="AU82">
        <v>65.7</v>
      </c>
      <c r="AV82">
        <v>1.5</v>
      </c>
      <c r="AW82" t="s">
        <v>106</v>
      </c>
      <c r="AX82" t="s">
        <v>106</v>
      </c>
      <c r="AY82" t="s">
        <v>106</v>
      </c>
      <c r="AZ82" t="s">
        <v>106</v>
      </c>
      <c r="BA82" t="s">
        <v>106</v>
      </c>
      <c r="BB82" t="s">
        <v>106</v>
      </c>
      <c r="BC82" t="s">
        <v>106</v>
      </c>
      <c r="BD82" t="s">
        <v>106</v>
      </c>
      <c r="BE82" t="s">
        <v>106</v>
      </c>
      <c r="BF82" t="s">
        <v>106</v>
      </c>
      <c r="BG82" t="s">
        <v>106</v>
      </c>
      <c r="BH82" t="s">
        <v>106</v>
      </c>
      <c r="BI82" t="s">
        <v>106</v>
      </c>
      <c r="BJ82" t="s">
        <v>106</v>
      </c>
      <c r="BK82" t="s">
        <v>106</v>
      </c>
      <c r="BL82">
        <v>43672.6</v>
      </c>
      <c r="BM82">
        <v>236.5</v>
      </c>
    </row>
    <row r="83" spans="1:65">
      <c r="B83" t="s">
        <v>186</v>
      </c>
      <c r="C83" t="s">
        <v>105</v>
      </c>
      <c r="D83" t="s">
        <v>105</v>
      </c>
      <c r="E83" t="s">
        <v>105</v>
      </c>
      <c r="F83" t="s">
        <v>106</v>
      </c>
      <c r="G83" t="s">
        <v>106</v>
      </c>
      <c r="H83" t="s">
        <v>106</v>
      </c>
      <c r="I83">
        <v>11899.6</v>
      </c>
      <c r="J83" t="s">
        <v>106</v>
      </c>
      <c r="K83" t="s">
        <v>106</v>
      </c>
      <c r="L83" t="s">
        <v>106</v>
      </c>
      <c r="M83" t="s">
        <v>106</v>
      </c>
      <c r="N83" t="s">
        <v>106</v>
      </c>
      <c r="O83" t="s">
        <v>106</v>
      </c>
      <c r="P83" t="s">
        <v>106</v>
      </c>
      <c r="Q83" t="s">
        <v>106</v>
      </c>
      <c r="R83" t="s">
        <v>106</v>
      </c>
      <c r="S83">
        <v>3327.9</v>
      </c>
      <c r="T83">
        <v>180.7</v>
      </c>
      <c r="U83" t="s">
        <v>106</v>
      </c>
      <c r="V83" t="s">
        <v>106</v>
      </c>
      <c r="W83" t="s">
        <v>106</v>
      </c>
      <c r="X83" t="s">
        <v>106</v>
      </c>
      <c r="Y83">
        <v>1228.5</v>
      </c>
      <c r="Z83">
        <v>120.4</v>
      </c>
      <c r="AA83" t="s">
        <v>106</v>
      </c>
      <c r="AB83" t="s">
        <v>106</v>
      </c>
      <c r="AC83" t="s">
        <v>106</v>
      </c>
      <c r="AD83" t="s">
        <v>106</v>
      </c>
      <c r="AE83" t="s">
        <v>106</v>
      </c>
      <c r="AF83" t="s">
        <v>106</v>
      </c>
      <c r="AG83" t="s">
        <v>106</v>
      </c>
      <c r="AH83" t="s">
        <v>106</v>
      </c>
      <c r="AI83" t="s">
        <v>106</v>
      </c>
      <c r="AJ83">
        <v>251.7</v>
      </c>
      <c r="AK83" t="s">
        <v>106</v>
      </c>
      <c r="AL83" t="s">
        <v>106</v>
      </c>
      <c r="AM83" t="s">
        <v>106</v>
      </c>
      <c r="AN83" t="s">
        <v>106</v>
      </c>
      <c r="AO83" t="s">
        <v>106</v>
      </c>
      <c r="AP83" t="s">
        <v>106</v>
      </c>
      <c r="AQ83">
        <v>1936.2</v>
      </c>
      <c r="AR83">
        <v>15.5</v>
      </c>
      <c r="AS83">
        <v>252.1</v>
      </c>
      <c r="AT83">
        <v>271</v>
      </c>
      <c r="AU83">
        <v>3217.1</v>
      </c>
      <c r="AV83">
        <v>4.5999999999999996</v>
      </c>
      <c r="AW83" t="s">
        <v>106</v>
      </c>
      <c r="AX83" t="s">
        <v>106</v>
      </c>
      <c r="AY83" t="s">
        <v>106</v>
      </c>
      <c r="AZ83" t="s">
        <v>106</v>
      </c>
      <c r="BA83" t="s">
        <v>106</v>
      </c>
      <c r="BB83" t="s">
        <v>106</v>
      </c>
      <c r="BC83" t="s">
        <v>106</v>
      </c>
      <c r="BD83" t="s">
        <v>106</v>
      </c>
      <c r="BE83" t="s">
        <v>106</v>
      </c>
      <c r="BF83" t="s">
        <v>106</v>
      </c>
      <c r="BG83" t="s">
        <v>106</v>
      </c>
      <c r="BH83" t="s">
        <v>106</v>
      </c>
      <c r="BI83" t="s">
        <v>106</v>
      </c>
      <c r="BJ83" t="s">
        <v>106</v>
      </c>
      <c r="BK83" t="s">
        <v>106</v>
      </c>
      <c r="BL83">
        <v>22705.1</v>
      </c>
      <c r="BM83">
        <v>3760.3</v>
      </c>
    </row>
    <row r="84" spans="1:65">
      <c r="B84" t="s">
        <v>187</v>
      </c>
      <c r="C84" t="s">
        <v>105</v>
      </c>
      <c r="D84" t="s">
        <v>105</v>
      </c>
      <c r="E84" t="s">
        <v>105</v>
      </c>
      <c r="F84" t="s">
        <v>106</v>
      </c>
      <c r="G84" t="s">
        <v>106</v>
      </c>
      <c r="H84" t="s">
        <v>106</v>
      </c>
      <c r="I84" t="s">
        <v>106</v>
      </c>
      <c r="J84" t="s">
        <v>106</v>
      </c>
      <c r="K84" t="s">
        <v>106</v>
      </c>
      <c r="L84" t="s">
        <v>106</v>
      </c>
      <c r="M84" t="s">
        <v>106</v>
      </c>
      <c r="N84" t="s">
        <v>106</v>
      </c>
      <c r="O84" t="s">
        <v>106</v>
      </c>
      <c r="P84" t="s">
        <v>106</v>
      </c>
      <c r="Q84" t="s">
        <v>106</v>
      </c>
      <c r="R84" t="s">
        <v>106</v>
      </c>
      <c r="S84" t="s">
        <v>106</v>
      </c>
      <c r="T84" t="s">
        <v>106</v>
      </c>
      <c r="U84" t="s">
        <v>106</v>
      </c>
      <c r="V84" t="s">
        <v>106</v>
      </c>
      <c r="W84" t="s">
        <v>106</v>
      </c>
      <c r="X84" t="s">
        <v>106</v>
      </c>
      <c r="Y84" t="s">
        <v>106</v>
      </c>
      <c r="Z84" t="s">
        <v>106</v>
      </c>
      <c r="AA84" t="s">
        <v>106</v>
      </c>
      <c r="AB84" t="s">
        <v>106</v>
      </c>
      <c r="AC84" t="s">
        <v>106</v>
      </c>
      <c r="AD84" t="s">
        <v>106</v>
      </c>
      <c r="AE84" t="s">
        <v>106</v>
      </c>
      <c r="AF84" t="s">
        <v>106</v>
      </c>
      <c r="AG84" t="s">
        <v>106</v>
      </c>
      <c r="AH84" t="s">
        <v>106</v>
      </c>
      <c r="AI84" t="s">
        <v>106</v>
      </c>
      <c r="AJ84" t="s">
        <v>106</v>
      </c>
      <c r="AK84" t="s">
        <v>106</v>
      </c>
      <c r="AL84" t="s">
        <v>106</v>
      </c>
      <c r="AM84" t="s">
        <v>106</v>
      </c>
      <c r="AN84" t="s">
        <v>106</v>
      </c>
      <c r="AO84" t="s">
        <v>106</v>
      </c>
      <c r="AP84" t="s">
        <v>106</v>
      </c>
      <c r="AQ84" t="s">
        <v>106</v>
      </c>
      <c r="AR84" t="s">
        <v>106</v>
      </c>
      <c r="AS84" t="s">
        <v>106</v>
      </c>
      <c r="AT84" t="s">
        <v>106</v>
      </c>
      <c r="AU84" t="s">
        <v>106</v>
      </c>
      <c r="AV84" t="s">
        <v>106</v>
      </c>
      <c r="AW84" t="s">
        <v>106</v>
      </c>
      <c r="AX84" t="s">
        <v>106</v>
      </c>
      <c r="AY84" t="s">
        <v>106</v>
      </c>
      <c r="AZ84" t="s">
        <v>106</v>
      </c>
      <c r="BA84" t="s">
        <v>106</v>
      </c>
      <c r="BB84" t="s">
        <v>106</v>
      </c>
      <c r="BC84" t="s">
        <v>106</v>
      </c>
      <c r="BD84" t="s">
        <v>106</v>
      </c>
      <c r="BE84" t="s">
        <v>106</v>
      </c>
      <c r="BF84" t="s">
        <v>106</v>
      </c>
      <c r="BG84" t="s">
        <v>106</v>
      </c>
      <c r="BH84" t="s">
        <v>106</v>
      </c>
      <c r="BI84" t="s">
        <v>106</v>
      </c>
      <c r="BJ84" t="s">
        <v>106</v>
      </c>
      <c r="BK84">
        <v>177</v>
      </c>
      <c r="BL84">
        <v>177</v>
      </c>
      <c r="BM84" t="s">
        <v>106</v>
      </c>
    </row>
    <row r="85" spans="1:65">
      <c r="A85" t="s">
        <v>188</v>
      </c>
      <c r="B85" t="s">
        <v>105</v>
      </c>
      <c r="C85" t="s">
        <v>105</v>
      </c>
      <c r="D85" t="s">
        <v>105</v>
      </c>
      <c r="E85" t="s">
        <v>105</v>
      </c>
      <c r="F85" t="s">
        <v>106</v>
      </c>
      <c r="G85" t="s">
        <v>106</v>
      </c>
      <c r="H85" t="s">
        <v>106</v>
      </c>
      <c r="I85">
        <v>85355.1</v>
      </c>
      <c r="J85" t="s">
        <v>106</v>
      </c>
      <c r="K85" t="s">
        <v>106</v>
      </c>
      <c r="L85" t="s">
        <v>106</v>
      </c>
      <c r="M85" t="s">
        <v>106</v>
      </c>
      <c r="N85" t="s">
        <v>106</v>
      </c>
      <c r="O85" t="s">
        <v>106</v>
      </c>
      <c r="P85" t="s">
        <v>106</v>
      </c>
      <c r="Q85" t="s">
        <v>106</v>
      </c>
      <c r="R85" t="s">
        <v>106</v>
      </c>
      <c r="S85">
        <v>68321.5</v>
      </c>
      <c r="T85">
        <v>14187.6</v>
      </c>
      <c r="U85" t="s">
        <v>106</v>
      </c>
      <c r="V85" t="s">
        <v>106</v>
      </c>
      <c r="W85" t="s">
        <v>106</v>
      </c>
      <c r="X85" t="s">
        <v>106</v>
      </c>
      <c r="Y85">
        <v>30493.4</v>
      </c>
      <c r="Z85">
        <v>4141.1000000000004</v>
      </c>
      <c r="AA85" t="s">
        <v>106</v>
      </c>
      <c r="AB85" t="s">
        <v>106</v>
      </c>
      <c r="AC85" t="s">
        <v>106</v>
      </c>
      <c r="AD85" t="s">
        <v>106</v>
      </c>
      <c r="AE85" t="s">
        <v>106</v>
      </c>
      <c r="AF85">
        <v>938.6</v>
      </c>
      <c r="AG85">
        <v>9.9</v>
      </c>
      <c r="AH85" t="s">
        <v>106</v>
      </c>
      <c r="AI85" t="s">
        <v>106</v>
      </c>
      <c r="AJ85">
        <v>5002.3</v>
      </c>
      <c r="AK85" t="s">
        <v>106</v>
      </c>
      <c r="AL85" t="s">
        <v>106</v>
      </c>
      <c r="AM85" t="s">
        <v>106</v>
      </c>
      <c r="AN85" t="s">
        <v>106</v>
      </c>
      <c r="AO85" t="s">
        <v>106</v>
      </c>
      <c r="AP85" t="s">
        <v>106</v>
      </c>
      <c r="AQ85">
        <v>5942.4</v>
      </c>
      <c r="AR85">
        <v>3263.9</v>
      </c>
      <c r="AS85">
        <v>3074.4</v>
      </c>
      <c r="AT85">
        <v>6869</v>
      </c>
      <c r="AU85">
        <v>10997.7</v>
      </c>
      <c r="AV85">
        <v>170.4</v>
      </c>
      <c r="AW85">
        <v>1340.4</v>
      </c>
      <c r="AX85" t="s">
        <v>106</v>
      </c>
      <c r="AY85" t="s">
        <v>106</v>
      </c>
      <c r="AZ85" t="s">
        <v>106</v>
      </c>
      <c r="BA85" t="s">
        <v>106</v>
      </c>
      <c r="BB85" t="s">
        <v>106</v>
      </c>
      <c r="BC85" t="s">
        <v>106</v>
      </c>
      <c r="BD85" t="s">
        <v>106</v>
      </c>
      <c r="BE85" t="s">
        <v>106</v>
      </c>
      <c r="BF85" t="s">
        <v>106</v>
      </c>
      <c r="BG85" t="s">
        <v>106</v>
      </c>
      <c r="BH85" t="s">
        <v>106</v>
      </c>
      <c r="BI85" t="s">
        <v>106</v>
      </c>
      <c r="BJ85" t="s">
        <v>106</v>
      </c>
      <c r="BK85">
        <v>65419</v>
      </c>
      <c r="BL85">
        <v>305526.59999999998</v>
      </c>
      <c r="BM85">
        <v>25715.8</v>
      </c>
    </row>
    <row r="86" spans="1:65">
      <c r="B86" t="s">
        <v>189</v>
      </c>
      <c r="C86" t="s">
        <v>105</v>
      </c>
      <c r="D86" t="s">
        <v>105</v>
      </c>
      <c r="E86" t="s">
        <v>105</v>
      </c>
      <c r="F86" t="s">
        <v>106</v>
      </c>
      <c r="G86" t="s">
        <v>106</v>
      </c>
      <c r="H86" t="s">
        <v>106</v>
      </c>
      <c r="I86" t="s">
        <v>106</v>
      </c>
      <c r="J86" t="s">
        <v>106</v>
      </c>
      <c r="K86" t="s">
        <v>106</v>
      </c>
      <c r="L86" t="s">
        <v>106</v>
      </c>
      <c r="M86" t="s">
        <v>106</v>
      </c>
      <c r="N86" t="s">
        <v>106</v>
      </c>
      <c r="O86" t="s">
        <v>106</v>
      </c>
      <c r="P86" t="s">
        <v>106</v>
      </c>
      <c r="Q86" t="s">
        <v>106</v>
      </c>
      <c r="R86" t="s">
        <v>106</v>
      </c>
      <c r="S86">
        <v>61784.9</v>
      </c>
      <c r="T86">
        <v>5450.9</v>
      </c>
      <c r="U86" t="s">
        <v>106</v>
      </c>
      <c r="V86" t="s">
        <v>106</v>
      </c>
      <c r="W86" t="s">
        <v>106</v>
      </c>
      <c r="X86" t="s">
        <v>106</v>
      </c>
      <c r="Y86" t="s">
        <v>106</v>
      </c>
      <c r="Z86" t="s">
        <v>106</v>
      </c>
      <c r="AA86" t="s">
        <v>106</v>
      </c>
      <c r="AB86" t="s">
        <v>106</v>
      </c>
      <c r="AC86" t="s">
        <v>106</v>
      </c>
      <c r="AD86" t="s">
        <v>106</v>
      </c>
      <c r="AE86" t="s">
        <v>106</v>
      </c>
      <c r="AF86">
        <v>938.6</v>
      </c>
      <c r="AG86" t="s">
        <v>106</v>
      </c>
      <c r="AH86" t="s">
        <v>106</v>
      </c>
      <c r="AI86" t="s">
        <v>106</v>
      </c>
      <c r="AJ86">
        <v>472.4</v>
      </c>
      <c r="AK86" t="s">
        <v>106</v>
      </c>
      <c r="AL86" t="s">
        <v>106</v>
      </c>
      <c r="AM86" t="s">
        <v>106</v>
      </c>
      <c r="AN86" t="s">
        <v>106</v>
      </c>
      <c r="AO86" t="s">
        <v>106</v>
      </c>
      <c r="AP86" t="s">
        <v>106</v>
      </c>
      <c r="AQ86" t="s">
        <v>106</v>
      </c>
      <c r="AR86">
        <v>189</v>
      </c>
      <c r="AS86">
        <v>3074.4</v>
      </c>
      <c r="AT86">
        <v>559.5</v>
      </c>
      <c r="AU86">
        <v>2956.6</v>
      </c>
      <c r="AV86">
        <v>15.3</v>
      </c>
      <c r="AW86" t="s">
        <v>106</v>
      </c>
      <c r="AX86" t="s">
        <v>106</v>
      </c>
      <c r="AY86" t="s">
        <v>106</v>
      </c>
      <c r="AZ86" t="s">
        <v>106</v>
      </c>
      <c r="BA86" t="s">
        <v>106</v>
      </c>
      <c r="BB86" t="s">
        <v>106</v>
      </c>
      <c r="BC86" t="s">
        <v>106</v>
      </c>
      <c r="BD86" t="s">
        <v>106</v>
      </c>
      <c r="BE86" t="s">
        <v>106</v>
      </c>
      <c r="BF86" t="s">
        <v>106</v>
      </c>
      <c r="BG86" t="s">
        <v>106</v>
      </c>
      <c r="BH86" t="s">
        <v>106</v>
      </c>
      <c r="BI86" t="s">
        <v>106</v>
      </c>
      <c r="BJ86" t="s">
        <v>106</v>
      </c>
      <c r="BK86">
        <v>44494.2</v>
      </c>
      <c r="BL86">
        <v>119935.9</v>
      </c>
      <c r="BM86">
        <v>6794.9</v>
      </c>
    </row>
    <row r="87" spans="1:65">
      <c r="B87" t="s">
        <v>190</v>
      </c>
      <c r="C87" t="s">
        <v>105</v>
      </c>
      <c r="D87" t="s">
        <v>105</v>
      </c>
      <c r="E87" t="s">
        <v>105</v>
      </c>
      <c r="F87" t="s">
        <v>106</v>
      </c>
      <c r="G87" t="s">
        <v>106</v>
      </c>
      <c r="H87" t="s">
        <v>106</v>
      </c>
      <c r="I87">
        <v>85355.1</v>
      </c>
      <c r="J87" t="s">
        <v>106</v>
      </c>
      <c r="K87" t="s">
        <v>106</v>
      </c>
      <c r="L87" t="s">
        <v>106</v>
      </c>
      <c r="M87" t="s">
        <v>106</v>
      </c>
      <c r="N87" t="s">
        <v>106</v>
      </c>
      <c r="O87" t="s">
        <v>106</v>
      </c>
      <c r="P87" t="s">
        <v>106</v>
      </c>
      <c r="Q87" t="s">
        <v>106</v>
      </c>
      <c r="R87" t="s">
        <v>106</v>
      </c>
      <c r="S87">
        <v>5729.2</v>
      </c>
      <c r="T87">
        <v>2942</v>
      </c>
      <c r="U87" t="s">
        <v>106</v>
      </c>
      <c r="V87" t="s">
        <v>106</v>
      </c>
      <c r="W87" t="s">
        <v>106</v>
      </c>
      <c r="X87" t="s">
        <v>106</v>
      </c>
      <c r="Y87">
        <v>30493.4</v>
      </c>
      <c r="Z87">
        <v>3556.4</v>
      </c>
      <c r="AA87" t="s">
        <v>106</v>
      </c>
      <c r="AB87" t="s">
        <v>106</v>
      </c>
      <c r="AC87" t="s">
        <v>106</v>
      </c>
      <c r="AD87" t="s">
        <v>106</v>
      </c>
      <c r="AE87" t="s">
        <v>106</v>
      </c>
      <c r="AF87" t="s">
        <v>106</v>
      </c>
      <c r="AG87" t="s">
        <v>106</v>
      </c>
      <c r="AH87" t="s">
        <v>106</v>
      </c>
      <c r="AI87" t="s">
        <v>106</v>
      </c>
      <c r="AJ87">
        <v>3199.3</v>
      </c>
      <c r="AK87" t="s">
        <v>106</v>
      </c>
      <c r="AL87" t="s">
        <v>106</v>
      </c>
      <c r="AM87" t="s">
        <v>106</v>
      </c>
      <c r="AN87" t="s">
        <v>106</v>
      </c>
      <c r="AO87" t="s">
        <v>106</v>
      </c>
      <c r="AP87" t="s">
        <v>106</v>
      </c>
      <c r="AQ87">
        <v>5942.4</v>
      </c>
      <c r="AR87" t="s">
        <v>106</v>
      </c>
      <c r="AS87" t="s">
        <v>106</v>
      </c>
      <c r="AT87">
        <v>4391.8999999999996</v>
      </c>
      <c r="AU87">
        <v>7430.7</v>
      </c>
      <c r="AV87" t="s">
        <v>106</v>
      </c>
      <c r="AW87" t="s">
        <v>106</v>
      </c>
      <c r="AX87" t="s">
        <v>106</v>
      </c>
      <c r="AY87" t="s">
        <v>106</v>
      </c>
      <c r="AZ87" t="s">
        <v>106</v>
      </c>
      <c r="BA87" t="s">
        <v>106</v>
      </c>
      <c r="BB87" t="s">
        <v>106</v>
      </c>
      <c r="BC87" t="s">
        <v>106</v>
      </c>
      <c r="BD87" t="s">
        <v>106</v>
      </c>
      <c r="BE87" t="s">
        <v>106</v>
      </c>
      <c r="BF87" t="s">
        <v>106</v>
      </c>
      <c r="BG87" t="s">
        <v>106</v>
      </c>
      <c r="BH87" t="s">
        <v>106</v>
      </c>
      <c r="BI87" t="s">
        <v>106</v>
      </c>
      <c r="BJ87" t="s">
        <v>106</v>
      </c>
      <c r="BK87">
        <v>18096.7</v>
      </c>
      <c r="BL87">
        <v>167137</v>
      </c>
      <c r="BM87">
        <v>11822.6</v>
      </c>
    </row>
    <row r="88" spans="1:65">
      <c r="B88" t="s">
        <v>191</v>
      </c>
      <c r="C88" t="s">
        <v>105</v>
      </c>
      <c r="D88" t="s">
        <v>105</v>
      </c>
      <c r="E88" t="s">
        <v>105</v>
      </c>
      <c r="F88" t="s">
        <v>106</v>
      </c>
      <c r="G88" t="s">
        <v>106</v>
      </c>
      <c r="H88" t="s">
        <v>106</v>
      </c>
      <c r="I88" t="s">
        <v>106</v>
      </c>
      <c r="J88" t="s">
        <v>106</v>
      </c>
      <c r="K88" t="s">
        <v>106</v>
      </c>
      <c r="L88" t="s">
        <v>106</v>
      </c>
      <c r="M88" t="s">
        <v>106</v>
      </c>
      <c r="N88" t="s">
        <v>106</v>
      </c>
      <c r="O88" t="s">
        <v>106</v>
      </c>
      <c r="P88" t="s">
        <v>106</v>
      </c>
      <c r="Q88" t="s">
        <v>106</v>
      </c>
      <c r="R88" t="s">
        <v>106</v>
      </c>
      <c r="S88">
        <v>807.3</v>
      </c>
      <c r="T88">
        <v>5794.7</v>
      </c>
      <c r="U88" t="s">
        <v>106</v>
      </c>
      <c r="V88" t="s">
        <v>106</v>
      </c>
      <c r="W88" t="s">
        <v>106</v>
      </c>
      <c r="X88" t="s">
        <v>106</v>
      </c>
      <c r="Y88" t="s">
        <v>106</v>
      </c>
      <c r="Z88" t="s">
        <v>106</v>
      </c>
      <c r="AA88" t="s">
        <v>106</v>
      </c>
      <c r="AB88" t="s">
        <v>106</v>
      </c>
      <c r="AC88" t="s">
        <v>106</v>
      </c>
      <c r="AD88" t="s">
        <v>106</v>
      </c>
      <c r="AE88" t="s">
        <v>106</v>
      </c>
      <c r="AF88" t="s">
        <v>106</v>
      </c>
      <c r="AG88" t="s">
        <v>106</v>
      </c>
      <c r="AH88" t="s">
        <v>106</v>
      </c>
      <c r="AI88" t="s">
        <v>106</v>
      </c>
      <c r="AJ88">
        <v>1330.6</v>
      </c>
      <c r="AK88" t="s">
        <v>106</v>
      </c>
      <c r="AL88" t="s">
        <v>106</v>
      </c>
      <c r="AM88" t="s">
        <v>106</v>
      </c>
      <c r="AN88" t="s">
        <v>106</v>
      </c>
      <c r="AO88" t="s">
        <v>106</v>
      </c>
      <c r="AP88" t="s">
        <v>106</v>
      </c>
      <c r="AQ88" t="s">
        <v>106</v>
      </c>
      <c r="AR88" t="s">
        <v>106</v>
      </c>
      <c r="AS88" t="s">
        <v>106</v>
      </c>
      <c r="AT88" t="s">
        <v>106</v>
      </c>
      <c r="AU88" t="s">
        <v>106</v>
      </c>
      <c r="AV88">
        <v>155.1</v>
      </c>
      <c r="AW88">
        <v>1340.4</v>
      </c>
      <c r="AX88" t="s">
        <v>106</v>
      </c>
      <c r="AY88" t="s">
        <v>106</v>
      </c>
      <c r="AZ88" t="s">
        <v>106</v>
      </c>
      <c r="BA88" t="s">
        <v>106</v>
      </c>
      <c r="BB88" t="s">
        <v>106</v>
      </c>
      <c r="BC88" t="s">
        <v>106</v>
      </c>
      <c r="BD88" t="s">
        <v>106</v>
      </c>
      <c r="BE88" t="s">
        <v>106</v>
      </c>
      <c r="BF88" t="s">
        <v>106</v>
      </c>
      <c r="BG88" t="s">
        <v>106</v>
      </c>
      <c r="BH88" t="s">
        <v>106</v>
      </c>
      <c r="BI88" t="s">
        <v>106</v>
      </c>
      <c r="BJ88" t="s">
        <v>106</v>
      </c>
      <c r="BK88" t="s">
        <v>106</v>
      </c>
      <c r="BL88">
        <v>9428.2000000000007</v>
      </c>
      <c r="BM88">
        <v>1495.6</v>
      </c>
    </row>
    <row r="89" spans="1:65">
      <c r="B89" t="s">
        <v>192</v>
      </c>
      <c r="C89" t="s">
        <v>105</v>
      </c>
      <c r="D89" t="s">
        <v>105</v>
      </c>
      <c r="E89" t="s">
        <v>105</v>
      </c>
      <c r="F89" t="s">
        <v>106</v>
      </c>
      <c r="G89" t="s">
        <v>106</v>
      </c>
      <c r="H89" t="s">
        <v>106</v>
      </c>
      <c r="I89" t="s">
        <v>106</v>
      </c>
      <c r="J89" t="s">
        <v>106</v>
      </c>
      <c r="K89" t="s">
        <v>106</v>
      </c>
      <c r="L89" t="s">
        <v>106</v>
      </c>
      <c r="M89" t="s">
        <v>106</v>
      </c>
      <c r="N89" t="s">
        <v>106</v>
      </c>
      <c r="O89" t="s">
        <v>106</v>
      </c>
      <c r="P89" t="s">
        <v>106</v>
      </c>
      <c r="Q89" t="s">
        <v>106</v>
      </c>
      <c r="R89" t="s">
        <v>106</v>
      </c>
      <c r="S89" t="s">
        <v>106</v>
      </c>
      <c r="T89" t="s">
        <v>106</v>
      </c>
      <c r="U89" t="s">
        <v>106</v>
      </c>
      <c r="V89" t="s">
        <v>106</v>
      </c>
      <c r="W89" t="s">
        <v>106</v>
      </c>
      <c r="X89" t="s">
        <v>106</v>
      </c>
      <c r="Y89" t="s">
        <v>106</v>
      </c>
      <c r="Z89">
        <v>584.79999999999995</v>
      </c>
      <c r="AA89" t="s">
        <v>106</v>
      </c>
      <c r="AB89" t="s">
        <v>106</v>
      </c>
      <c r="AC89" t="s">
        <v>106</v>
      </c>
      <c r="AD89" t="s">
        <v>106</v>
      </c>
      <c r="AE89" t="s">
        <v>106</v>
      </c>
      <c r="AF89" t="s">
        <v>106</v>
      </c>
      <c r="AG89">
        <v>9.9</v>
      </c>
      <c r="AH89" t="s">
        <v>106</v>
      </c>
      <c r="AI89" t="s">
        <v>106</v>
      </c>
      <c r="AJ89" t="s">
        <v>106</v>
      </c>
      <c r="AK89" t="s">
        <v>106</v>
      </c>
      <c r="AL89" t="s">
        <v>106</v>
      </c>
      <c r="AM89" t="s">
        <v>106</v>
      </c>
      <c r="AN89" t="s">
        <v>106</v>
      </c>
      <c r="AO89" t="s">
        <v>106</v>
      </c>
      <c r="AP89" t="s">
        <v>106</v>
      </c>
      <c r="AQ89" t="s">
        <v>106</v>
      </c>
      <c r="AR89">
        <v>3074.9</v>
      </c>
      <c r="AS89" t="s">
        <v>106</v>
      </c>
      <c r="AT89">
        <v>1917.5</v>
      </c>
      <c r="AU89">
        <v>610.29999999999995</v>
      </c>
      <c r="AV89" t="s">
        <v>106</v>
      </c>
      <c r="AW89" t="s">
        <v>106</v>
      </c>
      <c r="AX89" t="s">
        <v>106</v>
      </c>
      <c r="AY89" t="s">
        <v>106</v>
      </c>
      <c r="AZ89" t="s">
        <v>106</v>
      </c>
      <c r="BA89" t="s">
        <v>106</v>
      </c>
      <c r="BB89" t="s">
        <v>106</v>
      </c>
      <c r="BC89" t="s">
        <v>106</v>
      </c>
      <c r="BD89" t="s">
        <v>106</v>
      </c>
      <c r="BE89" t="s">
        <v>106</v>
      </c>
      <c r="BF89" t="s">
        <v>106</v>
      </c>
      <c r="BG89" t="s">
        <v>106</v>
      </c>
      <c r="BH89" t="s">
        <v>106</v>
      </c>
      <c r="BI89" t="s">
        <v>106</v>
      </c>
      <c r="BJ89" t="s">
        <v>106</v>
      </c>
      <c r="BK89" t="s">
        <v>106</v>
      </c>
      <c r="BL89">
        <v>6197.4</v>
      </c>
      <c r="BM89">
        <v>5602.8</v>
      </c>
    </row>
    <row r="90" spans="1:65">
      <c r="B90" t="s">
        <v>193</v>
      </c>
      <c r="C90" t="s">
        <v>105</v>
      </c>
      <c r="D90" t="s">
        <v>105</v>
      </c>
      <c r="E90" t="s">
        <v>105</v>
      </c>
      <c r="F90" t="s">
        <v>106</v>
      </c>
      <c r="G90" t="s">
        <v>106</v>
      </c>
      <c r="H90" t="s">
        <v>106</v>
      </c>
      <c r="I90" t="s">
        <v>106</v>
      </c>
      <c r="J90" t="s">
        <v>106</v>
      </c>
      <c r="K90" t="s">
        <v>106</v>
      </c>
      <c r="L90" t="s">
        <v>106</v>
      </c>
      <c r="M90" t="s">
        <v>106</v>
      </c>
      <c r="N90" t="s">
        <v>106</v>
      </c>
      <c r="O90" t="s">
        <v>106</v>
      </c>
      <c r="P90" t="s">
        <v>106</v>
      </c>
      <c r="Q90" t="s">
        <v>106</v>
      </c>
      <c r="R90" t="s">
        <v>106</v>
      </c>
      <c r="S90" t="s">
        <v>106</v>
      </c>
      <c r="T90" t="s">
        <v>106</v>
      </c>
      <c r="U90" t="s">
        <v>106</v>
      </c>
      <c r="V90" t="s">
        <v>106</v>
      </c>
      <c r="W90" t="s">
        <v>106</v>
      </c>
      <c r="X90" t="s">
        <v>106</v>
      </c>
      <c r="Y90" t="s">
        <v>106</v>
      </c>
      <c r="Z90" t="s">
        <v>106</v>
      </c>
      <c r="AA90" t="s">
        <v>106</v>
      </c>
      <c r="AB90" t="s">
        <v>106</v>
      </c>
      <c r="AC90" t="s">
        <v>106</v>
      </c>
      <c r="AD90" t="s">
        <v>106</v>
      </c>
      <c r="AE90" t="s">
        <v>106</v>
      </c>
      <c r="AF90" t="s">
        <v>106</v>
      </c>
      <c r="AG90" t="s">
        <v>106</v>
      </c>
      <c r="AH90" t="s">
        <v>106</v>
      </c>
      <c r="AI90" t="s">
        <v>106</v>
      </c>
      <c r="AJ90" t="s">
        <v>106</v>
      </c>
      <c r="AK90" t="s">
        <v>106</v>
      </c>
      <c r="AL90" t="s">
        <v>106</v>
      </c>
      <c r="AM90" t="s">
        <v>106</v>
      </c>
      <c r="AN90" t="s">
        <v>106</v>
      </c>
      <c r="AO90" t="s">
        <v>106</v>
      </c>
      <c r="AP90" t="s">
        <v>106</v>
      </c>
      <c r="AQ90" t="s">
        <v>106</v>
      </c>
      <c r="AR90" t="s">
        <v>106</v>
      </c>
      <c r="AS90" t="s">
        <v>106</v>
      </c>
      <c r="AT90" t="s">
        <v>106</v>
      </c>
      <c r="AU90" t="s">
        <v>106</v>
      </c>
      <c r="AV90" t="s">
        <v>106</v>
      </c>
      <c r="AW90" t="s">
        <v>106</v>
      </c>
      <c r="AX90" t="s">
        <v>106</v>
      </c>
      <c r="AY90" t="s">
        <v>106</v>
      </c>
      <c r="AZ90" t="s">
        <v>106</v>
      </c>
      <c r="BA90" t="s">
        <v>106</v>
      </c>
      <c r="BB90" t="s">
        <v>106</v>
      </c>
      <c r="BC90" t="s">
        <v>106</v>
      </c>
      <c r="BD90" t="s">
        <v>106</v>
      </c>
      <c r="BE90" t="s">
        <v>106</v>
      </c>
      <c r="BF90" t="s">
        <v>106</v>
      </c>
      <c r="BG90" t="s">
        <v>106</v>
      </c>
      <c r="BH90" t="s">
        <v>106</v>
      </c>
      <c r="BI90" t="s">
        <v>106</v>
      </c>
      <c r="BJ90" t="s">
        <v>106</v>
      </c>
      <c r="BK90">
        <v>2828.2</v>
      </c>
      <c r="BL90">
        <v>2828.2</v>
      </c>
      <c r="BM90" t="s">
        <v>106</v>
      </c>
    </row>
    <row r="92" spans="1:65" ht="17">
      <c r="A92" s="3" t="s">
        <v>194</v>
      </c>
      <c r="F92" s="4" t="s">
        <v>8</v>
      </c>
      <c r="G92" s="4" t="s">
        <v>8</v>
      </c>
      <c r="H92" s="4" t="s">
        <v>8</v>
      </c>
      <c r="I92" s="4" t="s">
        <v>8</v>
      </c>
      <c r="J92" s="4" t="s">
        <v>8</v>
      </c>
      <c r="K92" s="4" t="s">
        <v>30</v>
      </c>
      <c r="L92" s="4" t="s">
        <v>8</v>
      </c>
      <c r="M92" s="4" t="s">
        <v>8</v>
      </c>
      <c r="N92" s="4" t="s">
        <v>8</v>
      </c>
      <c r="O92" s="4" t="s">
        <v>8</v>
      </c>
      <c r="P92" s="4" t="s">
        <v>8</v>
      </c>
      <c r="Q92" s="4" t="s">
        <v>8</v>
      </c>
      <c r="R92" s="4" t="s">
        <v>8</v>
      </c>
      <c r="S92" s="4" t="s">
        <v>10</v>
      </c>
      <c r="T92" s="4" t="s">
        <v>10</v>
      </c>
      <c r="U92" s="4" t="s">
        <v>31</v>
      </c>
      <c r="V92" s="4" t="s">
        <v>31</v>
      </c>
      <c r="W92" s="4" t="s">
        <v>31</v>
      </c>
      <c r="X92" s="4" t="s">
        <v>31</v>
      </c>
      <c r="Y92" s="4" t="s">
        <v>33</v>
      </c>
      <c r="Z92" s="4" t="s">
        <v>33</v>
      </c>
      <c r="AA92" s="4" t="s">
        <v>33</v>
      </c>
      <c r="AB92" s="4" t="s">
        <v>21</v>
      </c>
      <c r="AC92" s="4" t="s">
        <v>21</v>
      </c>
      <c r="AD92" s="4" t="s">
        <v>27</v>
      </c>
      <c r="AE92" s="4" t="s">
        <v>27</v>
      </c>
      <c r="AF92" s="4" t="s">
        <v>27</v>
      </c>
      <c r="AG92" s="4" t="s">
        <v>24</v>
      </c>
      <c r="AH92" s="4" t="s">
        <v>32</v>
      </c>
      <c r="AI92" s="4" t="s">
        <v>32</v>
      </c>
      <c r="AJ92" s="4" t="s">
        <v>32</v>
      </c>
      <c r="AK92" s="4" t="s">
        <v>33</v>
      </c>
      <c r="AL92" s="4" t="s">
        <v>24</v>
      </c>
      <c r="AM92" s="4" t="s">
        <v>32</v>
      </c>
      <c r="AN92" s="4" t="s">
        <v>24</v>
      </c>
      <c r="AO92" s="4" t="s">
        <v>32</v>
      </c>
      <c r="AP92" s="4" t="s">
        <v>24</v>
      </c>
      <c r="AQ92" s="4" t="s">
        <v>32</v>
      </c>
      <c r="AR92" s="4" t="s">
        <v>19</v>
      </c>
      <c r="AS92" s="4" t="s">
        <v>34</v>
      </c>
      <c r="AT92" s="4" t="s">
        <v>34</v>
      </c>
      <c r="AU92" s="4" t="s">
        <v>19</v>
      </c>
      <c r="AV92" s="4" t="s">
        <v>19</v>
      </c>
      <c r="AW92" s="4" t="s">
        <v>19</v>
      </c>
      <c r="AX92" s="4" t="s">
        <v>25</v>
      </c>
      <c r="AY92" s="4" t="s">
        <v>26</v>
      </c>
      <c r="AZ92" s="4" t="s">
        <v>19</v>
      </c>
      <c r="BA92" s="4" t="s">
        <v>19</v>
      </c>
      <c r="BB92" s="4" t="s">
        <v>12</v>
      </c>
      <c r="BC92" s="4" t="s">
        <v>14</v>
      </c>
      <c r="BD92" s="4" t="s">
        <v>29</v>
      </c>
      <c r="BE92" s="4" t="s">
        <v>18</v>
      </c>
      <c r="BF92" s="4" t="s">
        <v>18</v>
      </c>
      <c r="BG92" s="4"/>
      <c r="BH92" s="4" t="s">
        <v>16</v>
      </c>
      <c r="BI92" s="4"/>
      <c r="BJ92" s="4" t="s">
        <v>4</v>
      </c>
      <c r="BK92" s="4" t="s">
        <v>28</v>
      </c>
    </row>
    <row r="93" spans="1:65" ht="17">
      <c r="A93" s="3" t="s">
        <v>195</v>
      </c>
      <c r="F93" s="4">
        <f t="shared" ref="F93:X93" si="0">F3</f>
        <v>424.8</v>
      </c>
      <c r="G93" s="4" t="str">
        <f t="shared" si="0"/>
        <v>-</v>
      </c>
      <c r="H93" s="4" t="str">
        <f t="shared" si="0"/>
        <v>-</v>
      </c>
      <c r="I93" s="4" t="str">
        <f t="shared" si="0"/>
        <v>-</v>
      </c>
      <c r="J93" s="4" t="str">
        <f t="shared" si="0"/>
        <v>-</v>
      </c>
      <c r="K93" s="4" t="str">
        <f t="shared" si="0"/>
        <v>-</v>
      </c>
      <c r="L93" s="4" t="str">
        <f t="shared" si="0"/>
        <v>-</v>
      </c>
      <c r="M93" s="4" t="str">
        <f t="shared" si="0"/>
        <v>-</v>
      </c>
      <c r="N93" s="4" t="str">
        <f t="shared" si="0"/>
        <v>-</v>
      </c>
      <c r="O93" s="4" t="str">
        <f t="shared" si="0"/>
        <v>-</v>
      </c>
      <c r="P93" s="4" t="str">
        <f t="shared" si="0"/>
        <v>-</v>
      </c>
      <c r="Q93" s="4" t="str">
        <f t="shared" si="0"/>
        <v>-</v>
      </c>
      <c r="R93" s="4" t="str">
        <f t="shared" si="0"/>
        <v>-</v>
      </c>
      <c r="S93" s="4">
        <f t="shared" si="0"/>
        <v>55</v>
      </c>
      <c r="T93" s="4" t="str">
        <f t="shared" si="0"/>
        <v>-</v>
      </c>
      <c r="U93" s="4">
        <f t="shared" si="0"/>
        <v>5.2</v>
      </c>
      <c r="V93" s="4" t="str">
        <f t="shared" si="0"/>
        <v>-</v>
      </c>
      <c r="W93" s="4" t="str">
        <f t="shared" si="0"/>
        <v>-</v>
      </c>
      <c r="X93" s="4" t="str">
        <f t="shared" si="0"/>
        <v>-</v>
      </c>
      <c r="Y93" s="4">
        <f t="shared" ref="Y93:AQ93" si="1">Y27</f>
        <v>3648.1</v>
      </c>
      <c r="Z93" s="4">
        <f t="shared" si="1"/>
        <v>1533.7</v>
      </c>
      <c r="AA93" s="4">
        <f t="shared" si="1"/>
        <v>2083.6999999999998</v>
      </c>
      <c r="AB93" s="4">
        <f t="shared" si="1"/>
        <v>22194.9</v>
      </c>
      <c r="AC93" s="4" t="str">
        <f t="shared" si="1"/>
        <v>-</v>
      </c>
      <c r="AD93" s="4" t="str">
        <f t="shared" si="1"/>
        <v>-</v>
      </c>
      <c r="AE93" s="4">
        <f t="shared" si="1"/>
        <v>13472.8</v>
      </c>
      <c r="AF93" s="4">
        <f t="shared" si="1"/>
        <v>7482.5</v>
      </c>
      <c r="AG93" s="4">
        <f t="shared" si="1"/>
        <v>48487.6</v>
      </c>
      <c r="AH93" s="4">
        <f t="shared" si="1"/>
        <v>240.9</v>
      </c>
      <c r="AI93" s="4">
        <f t="shared" si="1"/>
        <v>10.199999999999999</v>
      </c>
      <c r="AJ93" s="4">
        <f t="shared" si="1"/>
        <v>11997.4</v>
      </c>
      <c r="AK93" s="4">
        <f t="shared" si="1"/>
        <v>36377.5</v>
      </c>
      <c r="AL93" s="4">
        <f t="shared" si="1"/>
        <v>519</v>
      </c>
      <c r="AM93" s="4">
        <f t="shared" si="1"/>
        <v>4925.8</v>
      </c>
      <c r="AN93" s="4">
        <f t="shared" si="1"/>
        <v>2581.8000000000002</v>
      </c>
      <c r="AO93" s="4">
        <f t="shared" si="1"/>
        <v>27.9</v>
      </c>
      <c r="AP93" s="4">
        <f t="shared" si="1"/>
        <v>608.1</v>
      </c>
      <c r="AQ93" s="4">
        <f t="shared" si="1"/>
        <v>5355</v>
      </c>
      <c r="AR93" s="4">
        <f t="shared" ref="AR93:BK93" si="2">AR3</f>
        <v>2019</v>
      </c>
      <c r="AS93" s="4">
        <f t="shared" si="2"/>
        <v>1013.5</v>
      </c>
      <c r="AT93" s="4">
        <f t="shared" si="2"/>
        <v>649.29999999999995</v>
      </c>
      <c r="AU93" s="4">
        <f t="shared" si="2"/>
        <v>3080.6</v>
      </c>
      <c r="AV93" s="4">
        <f t="shared" si="2"/>
        <v>114.3</v>
      </c>
      <c r="AW93" s="4">
        <f t="shared" si="2"/>
        <v>81.2</v>
      </c>
      <c r="AX93" s="4" t="str">
        <f t="shared" si="2"/>
        <v>-</v>
      </c>
      <c r="AY93" s="4">
        <f t="shared" si="2"/>
        <v>704.5</v>
      </c>
      <c r="AZ93" s="4">
        <f t="shared" si="2"/>
        <v>390.3</v>
      </c>
      <c r="BA93" s="4" t="str">
        <f t="shared" si="2"/>
        <v>-</v>
      </c>
      <c r="BB93" s="4">
        <f t="shared" si="2"/>
        <v>33657.199999999997</v>
      </c>
      <c r="BC93" s="4">
        <f t="shared" si="2"/>
        <v>651.20000000000005</v>
      </c>
      <c r="BD93" s="4">
        <f t="shared" si="2"/>
        <v>255.6</v>
      </c>
      <c r="BE93" s="4">
        <f t="shared" si="2"/>
        <v>5264.9</v>
      </c>
      <c r="BF93" s="4">
        <f t="shared" si="2"/>
        <v>25.6</v>
      </c>
      <c r="BG93" s="4">
        <f t="shared" si="2"/>
        <v>96.9</v>
      </c>
      <c r="BH93" s="4">
        <f t="shared" si="2"/>
        <v>677.3</v>
      </c>
      <c r="BI93" s="4" t="str">
        <f t="shared" si="2"/>
        <v>-</v>
      </c>
      <c r="BJ93" s="4" t="str">
        <f t="shared" si="2"/>
        <v>-</v>
      </c>
      <c r="BK93" s="4">
        <f t="shared" si="2"/>
        <v>67.599999999999994</v>
      </c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93"/>
  <sheetViews>
    <sheetView workbookViewId="0">
      <pane xSplit="5" ySplit="2" topLeftCell="F3" activePane="bottomRight" state="frozen"/>
      <selection pane="topRight"/>
      <selection pane="bottomLeft"/>
      <selection pane="bottomRight"/>
    </sheetView>
  </sheetViews>
  <sheetFormatPr defaultRowHeight="14.5"/>
  <cols>
    <col min="1" max="1" width="14" customWidth="1"/>
  </cols>
  <sheetData>
    <row r="1" spans="1:6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198</v>
      </c>
      <c r="G1" t="s">
        <v>198</v>
      </c>
      <c r="H1" t="s">
        <v>198</v>
      </c>
      <c r="I1" t="s">
        <v>198</v>
      </c>
      <c r="J1" t="s">
        <v>198</v>
      </c>
      <c r="K1" t="s">
        <v>198</v>
      </c>
      <c r="L1" t="s">
        <v>198</v>
      </c>
      <c r="M1" t="s">
        <v>198</v>
      </c>
      <c r="N1" t="s">
        <v>198</v>
      </c>
      <c r="O1" t="s">
        <v>198</v>
      </c>
      <c r="P1" t="s">
        <v>198</v>
      </c>
      <c r="Q1" t="s">
        <v>198</v>
      </c>
      <c r="R1" t="s">
        <v>198</v>
      </c>
      <c r="S1" t="s">
        <v>198</v>
      </c>
      <c r="T1" t="s">
        <v>198</v>
      </c>
      <c r="U1" t="s">
        <v>198</v>
      </c>
      <c r="V1" t="s">
        <v>198</v>
      </c>
      <c r="W1" t="s">
        <v>198</v>
      </c>
      <c r="X1" t="s">
        <v>198</v>
      </c>
      <c r="Y1" t="s">
        <v>198</v>
      </c>
      <c r="Z1" t="s">
        <v>198</v>
      </c>
      <c r="AA1" t="s">
        <v>198</v>
      </c>
      <c r="AB1" t="s">
        <v>198</v>
      </c>
      <c r="AC1" t="s">
        <v>198</v>
      </c>
      <c r="AD1" t="s">
        <v>198</v>
      </c>
      <c r="AE1" t="s">
        <v>198</v>
      </c>
      <c r="AF1" t="s">
        <v>198</v>
      </c>
      <c r="AG1" t="s">
        <v>198</v>
      </c>
      <c r="AH1" t="s">
        <v>198</v>
      </c>
      <c r="AI1" t="s">
        <v>198</v>
      </c>
      <c r="AJ1" t="s">
        <v>198</v>
      </c>
      <c r="AK1" t="s">
        <v>198</v>
      </c>
      <c r="AL1" t="s">
        <v>198</v>
      </c>
      <c r="AM1" t="s">
        <v>198</v>
      </c>
      <c r="AN1" t="s">
        <v>198</v>
      </c>
      <c r="AO1" t="s">
        <v>198</v>
      </c>
      <c r="AP1" t="s">
        <v>198</v>
      </c>
      <c r="AQ1" t="s">
        <v>198</v>
      </c>
      <c r="AR1" t="s">
        <v>198</v>
      </c>
      <c r="AS1" t="s">
        <v>198</v>
      </c>
      <c r="AT1" t="s">
        <v>198</v>
      </c>
      <c r="AU1" t="s">
        <v>198</v>
      </c>
      <c r="AV1" t="s">
        <v>198</v>
      </c>
      <c r="AW1" t="s">
        <v>198</v>
      </c>
      <c r="AX1" t="s">
        <v>198</v>
      </c>
      <c r="AY1" t="s">
        <v>198</v>
      </c>
      <c r="AZ1" t="s">
        <v>198</v>
      </c>
      <c r="BA1" t="s">
        <v>198</v>
      </c>
      <c r="BB1" t="s">
        <v>198</v>
      </c>
      <c r="BC1" t="s">
        <v>198</v>
      </c>
      <c r="BD1" t="s">
        <v>198</v>
      </c>
      <c r="BE1" t="s">
        <v>198</v>
      </c>
      <c r="BF1" t="s">
        <v>198</v>
      </c>
      <c r="BG1" t="s">
        <v>198</v>
      </c>
      <c r="BH1" t="s">
        <v>198</v>
      </c>
      <c r="BI1" t="s">
        <v>198</v>
      </c>
      <c r="BJ1" t="s">
        <v>198</v>
      </c>
      <c r="BK1" t="s">
        <v>198</v>
      </c>
      <c r="BL1" t="s">
        <v>198</v>
      </c>
      <c r="BM1" t="s">
        <v>198</v>
      </c>
    </row>
    <row r="2" spans="1:6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76</v>
      </c>
      <c r="AM2" t="s">
        <v>77</v>
      </c>
      <c r="AN2" t="s">
        <v>78</v>
      </c>
      <c r="AO2" t="s">
        <v>79</v>
      </c>
      <c r="AP2" t="s">
        <v>80</v>
      </c>
      <c r="AQ2" t="s">
        <v>81</v>
      </c>
      <c r="AR2" t="s">
        <v>82</v>
      </c>
      <c r="AS2" t="s">
        <v>83</v>
      </c>
      <c r="AT2" t="s">
        <v>84</v>
      </c>
      <c r="AU2" t="s">
        <v>85</v>
      </c>
      <c r="AV2" t="s">
        <v>86</v>
      </c>
      <c r="AW2" t="s">
        <v>87</v>
      </c>
      <c r="AX2" t="s">
        <v>88</v>
      </c>
      <c r="AY2" t="s">
        <v>89</v>
      </c>
      <c r="AZ2" t="s">
        <v>90</v>
      </c>
      <c r="BA2" t="s">
        <v>91</v>
      </c>
      <c r="BB2" t="s">
        <v>92</v>
      </c>
      <c r="BC2" t="s">
        <v>93</v>
      </c>
      <c r="BD2" t="s">
        <v>94</v>
      </c>
      <c r="BE2" t="s">
        <v>95</v>
      </c>
      <c r="BF2" t="s">
        <v>96</v>
      </c>
      <c r="BG2" t="s">
        <v>97</v>
      </c>
      <c r="BH2" t="s">
        <v>98</v>
      </c>
      <c r="BI2" t="s">
        <v>99</v>
      </c>
      <c r="BJ2" t="s">
        <v>100</v>
      </c>
      <c r="BK2" t="s">
        <v>101</v>
      </c>
      <c r="BL2" t="s">
        <v>102</v>
      </c>
      <c r="BM2" t="s">
        <v>103</v>
      </c>
    </row>
    <row r="3" spans="1:65">
      <c r="A3" t="s">
        <v>104</v>
      </c>
      <c r="B3" t="s">
        <v>105</v>
      </c>
      <c r="C3" t="s">
        <v>105</v>
      </c>
      <c r="D3" t="s">
        <v>105</v>
      </c>
      <c r="E3" t="s">
        <v>105</v>
      </c>
      <c r="F3">
        <v>386.2</v>
      </c>
      <c r="G3" t="s">
        <v>106</v>
      </c>
      <c r="H3" t="s">
        <v>106</v>
      </c>
      <c r="I3" t="s">
        <v>106</v>
      </c>
      <c r="J3" t="s">
        <v>106</v>
      </c>
      <c r="K3" t="s">
        <v>106</v>
      </c>
      <c r="L3" t="s">
        <v>106</v>
      </c>
      <c r="M3" t="s">
        <v>106</v>
      </c>
      <c r="N3" t="s">
        <v>106</v>
      </c>
      <c r="O3" t="s">
        <v>106</v>
      </c>
      <c r="P3" t="s">
        <v>106</v>
      </c>
      <c r="Q3" t="s">
        <v>106</v>
      </c>
      <c r="R3" t="s">
        <v>106</v>
      </c>
      <c r="S3" t="s">
        <v>106</v>
      </c>
      <c r="T3" t="s">
        <v>106</v>
      </c>
      <c r="U3">
        <v>2.5</v>
      </c>
      <c r="V3" t="s">
        <v>106</v>
      </c>
      <c r="W3" t="s">
        <v>106</v>
      </c>
      <c r="X3" t="s">
        <v>106</v>
      </c>
      <c r="Y3" t="s">
        <v>106</v>
      </c>
      <c r="Z3" t="s">
        <v>106</v>
      </c>
      <c r="AA3" t="s">
        <v>106</v>
      </c>
      <c r="AB3" t="s">
        <v>106</v>
      </c>
      <c r="AC3" t="s">
        <v>106</v>
      </c>
      <c r="AD3" t="s">
        <v>106</v>
      </c>
      <c r="AE3" t="s">
        <v>106</v>
      </c>
      <c r="AF3" t="s">
        <v>106</v>
      </c>
      <c r="AG3" t="s">
        <v>106</v>
      </c>
      <c r="AH3" t="s">
        <v>106</v>
      </c>
      <c r="AI3" t="s">
        <v>106</v>
      </c>
      <c r="AJ3" t="s">
        <v>106</v>
      </c>
      <c r="AK3" t="s">
        <v>106</v>
      </c>
      <c r="AL3" t="s">
        <v>106</v>
      </c>
      <c r="AM3" t="s">
        <v>106</v>
      </c>
      <c r="AN3" t="s">
        <v>106</v>
      </c>
      <c r="AO3" t="s">
        <v>106</v>
      </c>
      <c r="AP3" t="s">
        <v>106</v>
      </c>
      <c r="AQ3" t="s">
        <v>106</v>
      </c>
      <c r="AR3">
        <v>2153.4</v>
      </c>
      <c r="AS3">
        <v>984.7</v>
      </c>
      <c r="AT3">
        <v>742</v>
      </c>
      <c r="AU3">
        <v>3166.3</v>
      </c>
      <c r="AV3">
        <v>101.8</v>
      </c>
      <c r="AW3">
        <v>69.400000000000006</v>
      </c>
      <c r="AX3" t="s">
        <v>106</v>
      </c>
      <c r="AY3">
        <v>681.1</v>
      </c>
      <c r="AZ3">
        <v>352.3</v>
      </c>
      <c r="BA3" t="s">
        <v>106</v>
      </c>
      <c r="BB3">
        <v>37499.5</v>
      </c>
      <c r="BC3">
        <v>755.1</v>
      </c>
      <c r="BD3">
        <v>279.7</v>
      </c>
      <c r="BE3">
        <v>6544.7</v>
      </c>
      <c r="BF3">
        <v>25</v>
      </c>
      <c r="BG3">
        <v>90.3</v>
      </c>
      <c r="BH3">
        <v>717.7</v>
      </c>
      <c r="BI3" t="s">
        <v>106</v>
      </c>
      <c r="BJ3" t="s">
        <v>106</v>
      </c>
      <c r="BK3">
        <v>69.3</v>
      </c>
      <c r="BL3">
        <v>54621</v>
      </c>
      <c r="BM3">
        <v>16663.400000000001</v>
      </c>
    </row>
    <row r="4" spans="1:65">
      <c r="A4" t="s">
        <v>107</v>
      </c>
      <c r="B4" t="s">
        <v>105</v>
      </c>
      <c r="C4" t="s">
        <v>105</v>
      </c>
      <c r="D4" t="s">
        <v>105</v>
      </c>
      <c r="E4" t="s">
        <v>105</v>
      </c>
      <c r="F4" t="s">
        <v>106</v>
      </c>
      <c r="G4">
        <v>2961.3</v>
      </c>
      <c r="H4">
        <v>15653.1</v>
      </c>
      <c r="I4">
        <v>55954.5</v>
      </c>
      <c r="J4">
        <v>991.7</v>
      </c>
      <c r="K4">
        <v>0</v>
      </c>
      <c r="L4">
        <v>27</v>
      </c>
      <c r="M4">
        <v>0</v>
      </c>
      <c r="N4">
        <v>205.8</v>
      </c>
      <c r="O4" t="s">
        <v>106</v>
      </c>
      <c r="P4" t="s">
        <v>106</v>
      </c>
      <c r="Q4" t="s">
        <v>106</v>
      </c>
      <c r="R4" t="s">
        <v>106</v>
      </c>
      <c r="S4">
        <v>60683.5</v>
      </c>
      <c r="T4" t="s">
        <v>106</v>
      </c>
      <c r="U4">
        <v>153637.20000000001</v>
      </c>
      <c r="V4">
        <v>3030.4</v>
      </c>
      <c r="W4" t="s">
        <v>106</v>
      </c>
      <c r="X4">
        <v>22.1</v>
      </c>
      <c r="Y4" t="s">
        <v>106</v>
      </c>
      <c r="Z4">
        <v>8321</v>
      </c>
      <c r="AA4">
        <v>2300.1999999999998</v>
      </c>
      <c r="AB4">
        <v>10.5</v>
      </c>
      <c r="AC4">
        <v>0.3</v>
      </c>
      <c r="AD4" t="s">
        <v>106</v>
      </c>
      <c r="AE4" t="s">
        <v>106</v>
      </c>
      <c r="AF4">
        <v>5.2</v>
      </c>
      <c r="AG4">
        <v>43</v>
      </c>
      <c r="AH4" t="s">
        <v>106</v>
      </c>
      <c r="AI4" t="s">
        <v>106</v>
      </c>
      <c r="AJ4">
        <v>3300.3</v>
      </c>
      <c r="AK4">
        <v>28965</v>
      </c>
      <c r="AL4">
        <v>1.2</v>
      </c>
      <c r="AM4">
        <v>241.1</v>
      </c>
      <c r="AN4">
        <v>88</v>
      </c>
      <c r="AO4" t="s">
        <v>106</v>
      </c>
      <c r="AP4" t="s">
        <v>106</v>
      </c>
      <c r="AQ4" t="s">
        <v>106</v>
      </c>
      <c r="AR4" t="s">
        <v>106</v>
      </c>
      <c r="AS4" t="s">
        <v>106</v>
      </c>
      <c r="AT4" t="s">
        <v>106</v>
      </c>
      <c r="AU4" t="s">
        <v>106</v>
      </c>
      <c r="AV4" t="s">
        <v>106</v>
      </c>
      <c r="AW4" t="s">
        <v>106</v>
      </c>
      <c r="AX4" t="s">
        <v>106</v>
      </c>
      <c r="AY4" t="s">
        <v>106</v>
      </c>
      <c r="AZ4" t="s">
        <v>106</v>
      </c>
      <c r="BA4" t="s">
        <v>106</v>
      </c>
      <c r="BB4" t="s">
        <v>106</v>
      </c>
      <c r="BC4" t="s">
        <v>106</v>
      </c>
      <c r="BD4" t="s">
        <v>106</v>
      </c>
      <c r="BE4" t="s">
        <v>106</v>
      </c>
      <c r="BF4" t="s">
        <v>106</v>
      </c>
      <c r="BG4" t="s">
        <v>106</v>
      </c>
      <c r="BH4" t="s">
        <v>106</v>
      </c>
      <c r="BI4" t="s">
        <v>106</v>
      </c>
      <c r="BJ4" t="s">
        <v>106</v>
      </c>
      <c r="BK4" t="s">
        <v>106</v>
      </c>
      <c r="BL4">
        <v>336442.8</v>
      </c>
      <c r="BM4" t="s">
        <v>106</v>
      </c>
    </row>
    <row r="5" spans="1:65">
      <c r="A5" t="s">
        <v>108</v>
      </c>
      <c r="B5" t="s">
        <v>105</v>
      </c>
      <c r="C5" t="s">
        <v>105</v>
      </c>
      <c r="D5" t="s">
        <v>105</v>
      </c>
      <c r="E5" t="s">
        <v>105</v>
      </c>
      <c r="F5" t="s">
        <v>106</v>
      </c>
      <c r="G5">
        <v>-0.2</v>
      </c>
      <c r="H5" t="s">
        <v>106</v>
      </c>
      <c r="I5" t="s">
        <v>106</v>
      </c>
      <c r="J5">
        <v>0</v>
      </c>
      <c r="K5" t="s">
        <v>106</v>
      </c>
      <c r="L5">
        <v>0</v>
      </c>
      <c r="M5" t="s">
        <v>106</v>
      </c>
      <c r="N5">
        <v>-19.3</v>
      </c>
      <c r="O5" t="s">
        <v>106</v>
      </c>
      <c r="P5" t="s">
        <v>106</v>
      </c>
      <c r="Q5" t="s">
        <v>106</v>
      </c>
      <c r="R5" t="s">
        <v>106</v>
      </c>
      <c r="S5" t="s">
        <v>106</v>
      </c>
      <c r="T5" t="s">
        <v>106</v>
      </c>
      <c r="U5" t="s">
        <v>106</v>
      </c>
      <c r="V5">
        <v>-147.9</v>
      </c>
      <c r="W5" t="s">
        <v>106</v>
      </c>
      <c r="X5">
        <v>-183.4</v>
      </c>
      <c r="Y5" t="s">
        <v>106</v>
      </c>
      <c r="Z5">
        <v>-58.8</v>
      </c>
      <c r="AA5">
        <v>-10.4</v>
      </c>
      <c r="AB5">
        <v>-12362.6</v>
      </c>
      <c r="AC5">
        <v>-14.5</v>
      </c>
      <c r="AD5" t="s">
        <v>106</v>
      </c>
      <c r="AE5">
        <v>-11876.4</v>
      </c>
      <c r="AF5">
        <v>-696.7</v>
      </c>
      <c r="AG5">
        <v>-29187</v>
      </c>
      <c r="AH5">
        <v>-4.5999999999999996</v>
      </c>
      <c r="AI5" t="s">
        <v>106</v>
      </c>
      <c r="AJ5">
        <v>-2020.3</v>
      </c>
      <c r="AK5">
        <v>-4155.3999999999996</v>
      </c>
      <c r="AL5">
        <v>-137.19999999999999</v>
      </c>
      <c r="AM5">
        <v>-3817.9</v>
      </c>
      <c r="AN5">
        <v>-2204.4</v>
      </c>
      <c r="AO5" t="s">
        <v>106</v>
      </c>
      <c r="AP5" t="s">
        <v>106</v>
      </c>
      <c r="AQ5">
        <v>-2440.9</v>
      </c>
      <c r="AR5" t="s">
        <v>106</v>
      </c>
      <c r="AS5" t="s">
        <v>106</v>
      </c>
      <c r="AT5" t="s">
        <v>106</v>
      </c>
      <c r="AU5" t="s">
        <v>106</v>
      </c>
      <c r="AV5" t="s">
        <v>106</v>
      </c>
      <c r="AW5" t="s">
        <v>106</v>
      </c>
      <c r="AX5" t="s">
        <v>106</v>
      </c>
      <c r="AY5" t="s">
        <v>106</v>
      </c>
      <c r="AZ5" t="s">
        <v>106</v>
      </c>
      <c r="BA5" t="s">
        <v>106</v>
      </c>
      <c r="BB5" t="s">
        <v>106</v>
      </c>
      <c r="BC5" t="s">
        <v>106</v>
      </c>
      <c r="BD5" t="s">
        <v>106</v>
      </c>
      <c r="BE5" t="s">
        <v>106</v>
      </c>
      <c r="BF5" t="s">
        <v>106</v>
      </c>
      <c r="BG5" t="s">
        <v>106</v>
      </c>
      <c r="BH5" t="s">
        <v>106</v>
      </c>
      <c r="BI5" t="s">
        <v>106</v>
      </c>
      <c r="BJ5" t="s">
        <v>106</v>
      </c>
      <c r="BK5" t="s">
        <v>106</v>
      </c>
      <c r="BL5">
        <v>-69337.899999999994</v>
      </c>
      <c r="BM5" t="s">
        <v>106</v>
      </c>
    </row>
    <row r="6" spans="1:65">
      <c r="A6" t="s">
        <v>109</v>
      </c>
      <c r="B6" t="s">
        <v>105</v>
      </c>
      <c r="C6" t="s">
        <v>105</v>
      </c>
      <c r="D6" t="s">
        <v>105</v>
      </c>
      <c r="E6" t="s">
        <v>105</v>
      </c>
      <c r="F6" t="s">
        <v>106</v>
      </c>
      <c r="G6" t="s">
        <v>106</v>
      </c>
      <c r="H6" t="s">
        <v>106</v>
      </c>
      <c r="I6" t="s">
        <v>106</v>
      </c>
      <c r="J6" t="s">
        <v>106</v>
      </c>
      <c r="K6" t="s">
        <v>106</v>
      </c>
      <c r="L6" t="s">
        <v>106</v>
      </c>
      <c r="M6" t="s">
        <v>106</v>
      </c>
      <c r="N6" t="s">
        <v>106</v>
      </c>
      <c r="O6" t="s">
        <v>106</v>
      </c>
      <c r="P6" t="s">
        <v>106</v>
      </c>
      <c r="Q6" t="s">
        <v>106</v>
      </c>
      <c r="R6" t="s">
        <v>106</v>
      </c>
      <c r="S6">
        <v>-10.5</v>
      </c>
      <c r="T6" t="s">
        <v>106</v>
      </c>
      <c r="U6" t="s">
        <v>106</v>
      </c>
      <c r="V6" t="s">
        <v>106</v>
      </c>
      <c r="W6" t="s">
        <v>106</v>
      </c>
      <c r="X6" t="s">
        <v>106</v>
      </c>
      <c r="Y6" t="s">
        <v>106</v>
      </c>
      <c r="Z6">
        <v>0</v>
      </c>
      <c r="AA6" t="s">
        <v>106</v>
      </c>
      <c r="AB6">
        <v>0</v>
      </c>
      <c r="AC6" t="s">
        <v>106</v>
      </c>
      <c r="AD6" t="s">
        <v>106</v>
      </c>
      <c r="AE6" t="s">
        <v>106</v>
      </c>
      <c r="AF6" t="s">
        <v>106</v>
      </c>
      <c r="AG6">
        <v>-2208.8000000000002</v>
      </c>
      <c r="AH6">
        <v>-15.3</v>
      </c>
      <c r="AI6">
        <v>0</v>
      </c>
      <c r="AJ6">
        <v>-9833.7000000000007</v>
      </c>
      <c r="AK6" t="s">
        <v>106</v>
      </c>
      <c r="AL6">
        <v>0</v>
      </c>
      <c r="AM6" t="s">
        <v>106</v>
      </c>
      <c r="AN6" t="s">
        <v>106</v>
      </c>
      <c r="AO6" t="s">
        <v>106</v>
      </c>
      <c r="AP6" t="s">
        <v>106</v>
      </c>
      <c r="AQ6" t="s">
        <v>106</v>
      </c>
      <c r="AR6" t="s">
        <v>106</v>
      </c>
      <c r="AS6" t="s">
        <v>106</v>
      </c>
      <c r="AT6" t="s">
        <v>106</v>
      </c>
      <c r="AU6" t="s">
        <v>106</v>
      </c>
      <c r="AV6" t="s">
        <v>106</v>
      </c>
      <c r="AW6" t="s">
        <v>106</v>
      </c>
      <c r="AX6" t="s">
        <v>106</v>
      </c>
      <c r="AY6" t="s">
        <v>106</v>
      </c>
      <c r="AZ6" t="s">
        <v>106</v>
      </c>
      <c r="BA6" t="s">
        <v>106</v>
      </c>
      <c r="BB6" t="s">
        <v>106</v>
      </c>
      <c r="BC6" t="s">
        <v>106</v>
      </c>
      <c r="BD6" t="s">
        <v>106</v>
      </c>
      <c r="BE6" t="s">
        <v>106</v>
      </c>
      <c r="BF6" t="s">
        <v>106</v>
      </c>
      <c r="BG6" t="s">
        <v>106</v>
      </c>
      <c r="BH6" t="s">
        <v>106</v>
      </c>
      <c r="BI6" t="s">
        <v>106</v>
      </c>
      <c r="BJ6" t="s">
        <v>106</v>
      </c>
      <c r="BK6" t="s">
        <v>106</v>
      </c>
      <c r="BL6">
        <v>-12068.3</v>
      </c>
      <c r="BM6" t="s">
        <v>106</v>
      </c>
    </row>
    <row r="7" spans="1:65">
      <c r="A7" t="s">
        <v>110</v>
      </c>
      <c r="B7" t="s">
        <v>105</v>
      </c>
      <c r="C7" t="s">
        <v>105</v>
      </c>
      <c r="D7" t="s">
        <v>105</v>
      </c>
      <c r="E7" t="s">
        <v>105</v>
      </c>
      <c r="F7" t="s">
        <v>106</v>
      </c>
      <c r="G7" t="s">
        <v>106</v>
      </c>
      <c r="H7" t="s">
        <v>106</v>
      </c>
      <c r="I7" t="s">
        <v>106</v>
      </c>
      <c r="J7" t="s">
        <v>106</v>
      </c>
      <c r="K7" t="s">
        <v>106</v>
      </c>
      <c r="L7" t="s">
        <v>106</v>
      </c>
      <c r="M7" t="s">
        <v>106</v>
      </c>
      <c r="N7" t="s">
        <v>106</v>
      </c>
      <c r="O7" t="s">
        <v>106</v>
      </c>
      <c r="P7" t="s">
        <v>106</v>
      </c>
      <c r="Q7" t="s">
        <v>106</v>
      </c>
      <c r="R7" t="s">
        <v>106</v>
      </c>
      <c r="S7" t="s">
        <v>106</v>
      </c>
      <c r="T7" t="s">
        <v>106</v>
      </c>
      <c r="U7" t="s">
        <v>106</v>
      </c>
      <c r="V7" t="s">
        <v>106</v>
      </c>
      <c r="W7" t="s">
        <v>106</v>
      </c>
      <c r="X7" t="s">
        <v>106</v>
      </c>
      <c r="Y7" t="s">
        <v>106</v>
      </c>
      <c r="Z7" t="s">
        <v>106</v>
      </c>
      <c r="AA7" t="s">
        <v>106</v>
      </c>
      <c r="AB7" t="s">
        <v>106</v>
      </c>
      <c r="AC7" t="s">
        <v>106</v>
      </c>
      <c r="AD7" t="s">
        <v>106</v>
      </c>
      <c r="AE7">
        <v>-3445</v>
      </c>
      <c r="AF7" t="s">
        <v>106</v>
      </c>
      <c r="AG7">
        <v>-0.2</v>
      </c>
      <c r="AH7" t="s">
        <v>106</v>
      </c>
      <c r="AI7" t="s">
        <v>106</v>
      </c>
      <c r="AJ7" t="s">
        <v>106</v>
      </c>
      <c r="AK7" t="s">
        <v>106</v>
      </c>
      <c r="AL7" t="s">
        <v>106</v>
      </c>
      <c r="AM7" t="s">
        <v>106</v>
      </c>
      <c r="AN7" t="s">
        <v>106</v>
      </c>
      <c r="AO7" t="s">
        <v>106</v>
      </c>
      <c r="AP7" t="s">
        <v>106</v>
      </c>
      <c r="AQ7" t="s">
        <v>106</v>
      </c>
      <c r="AR7" t="s">
        <v>106</v>
      </c>
      <c r="AS7" t="s">
        <v>106</v>
      </c>
      <c r="AT7" t="s">
        <v>106</v>
      </c>
      <c r="AU7" t="s">
        <v>106</v>
      </c>
      <c r="AV7" t="s">
        <v>106</v>
      </c>
      <c r="AW7" t="s">
        <v>106</v>
      </c>
      <c r="AX7" t="s">
        <v>106</v>
      </c>
      <c r="AY7" t="s">
        <v>106</v>
      </c>
      <c r="AZ7" t="s">
        <v>106</v>
      </c>
      <c r="BA7" t="s">
        <v>106</v>
      </c>
      <c r="BB7" t="s">
        <v>106</v>
      </c>
      <c r="BC7" t="s">
        <v>106</v>
      </c>
      <c r="BD7" t="s">
        <v>106</v>
      </c>
      <c r="BE7" t="s">
        <v>106</v>
      </c>
      <c r="BF7" t="s">
        <v>106</v>
      </c>
      <c r="BG7" t="s">
        <v>106</v>
      </c>
      <c r="BH7" t="s">
        <v>106</v>
      </c>
      <c r="BI7" t="s">
        <v>106</v>
      </c>
      <c r="BJ7" t="s">
        <v>106</v>
      </c>
      <c r="BK7" t="s">
        <v>106</v>
      </c>
      <c r="BL7">
        <v>-3445.2</v>
      </c>
      <c r="BM7" t="s">
        <v>106</v>
      </c>
    </row>
    <row r="8" spans="1:65">
      <c r="A8" t="s">
        <v>111</v>
      </c>
      <c r="B8" t="s">
        <v>105</v>
      </c>
      <c r="C8" t="s">
        <v>105</v>
      </c>
      <c r="D8" t="s">
        <v>105</v>
      </c>
      <c r="E8" t="s">
        <v>105</v>
      </c>
      <c r="F8">
        <v>1.4</v>
      </c>
      <c r="G8" t="s">
        <v>106</v>
      </c>
      <c r="H8">
        <v>-47.7</v>
      </c>
      <c r="I8">
        <v>-311.39999999999998</v>
      </c>
      <c r="J8" t="s">
        <v>106</v>
      </c>
      <c r="K8" t="s">
        <v>106</v>
      </c>
      <c r="L8" t="s">
        <v>106</v>
      </c>
      <c r="M8" t="s">
        <v>106</v>
      </c>
      <c r="N8">
        <v>-49.7</v>
      </c>
      <c r="O8" t="s">
        <v>106</v>
      </c>
      <c r="P8" t="s">
        <v>106</v>
      </c>
      <c r="Q8" t="s">
        <v>106</v>
      </c>
      <c r="R8" t="s">
        <v>106</v>
      </c>
      <c r="S8">
        <v>-1577.4</v>
      </c>
      <c r="T8" t="s">
        <v>106</v>
      </c>
      <c r="U8">
        <v>-343.7</v>
      </c>
      <c r="V8">
        <v>-171.1</v>
      </c>
      <c r="W8">
        <v>-0.8</v>
      </c>
      <c r="X8">
        <v>-10.4</v>
      </c>
      <c r="Y8" t="s">
        <v>106</v>
      </c>
      <c r="Z8">
        <v>-79</v>
      </c>
      <c r="AA8">
        <v>-45.5</v>
      </c>
      <c r="AB8">
        <v>-48.8</v>
      </c>
      <c r="AC8">
        <v>-1.2</v>
      </c>
      <c r="AD8" t="s">
        <v>106</v>
      </c>
      <c r="AE8">
        <v>-6.8</v>
      </c>
      <c r="AF8">
        <v>53.7</v>
      </c>
      <c r="AG8">
        <v>-75.7</v>
      </c>
      <c r="AH8">
        <v>13.4</v>
      </c>
      <c r="AI8">
        <v>-0.6</v>
      </c>
      <c r="AJ8">
        <v>96.2</v>
      </c>
      <c r="AK8">
        <v>130.80000000000001</v>
      </c>
      <c r="AL8">
        <v>9.6</v>
      </c>
      <c r="AM8">
        <v>-46.9</v>
      </c>
      <c r="AN8">
        <v>52.7</v>
      </c>
      <c r="AO8">
        <v>-0.1</v>
      </c>
      <c r="AP8">
        <v>-6</v>
      </c>
      <c r="AQ8">
        <v>9.5</v>
      </c>
      <c r="AR8" t="s">
        <v>106</v>
      </c>
      <c r="AS8" t="s">
        <v>106</v>
      </c>
      <c r="AT8" t="s">
        <v>106</v>
      </c>
      <c r="AU8" t="s">
        <v>106</v>
      </c>
      <c r="AV8" t="s">
        <v>106</v>
      </c>
      <c r="AW8" t="s">
        <v>106</v>
      </c>
      <c r="AX8" t="s">
        <v>106</v>
      </c>
      <c r="AY8">
        <v>0.5</v>
      </c>
      <c r="AZ8" t="s">
        <v>106</v>
      </c>
      <c r="BA8" t="s">
        <v>106</v>
      </c>
      <c r="BB8" t="s">
        <v>106</v>
      </c>
      <c r="BC8" t="s">
        <v>106</v>
      </c>
      <c r="BD8" t="s">
        <v>106</v>
      </c>
      <c r="BE8" t="s">
        <v>106</v>
      </c>
      <c r="BF8" t="s">
        <v>106</v>
      </c>
      <c r="BG8" t="s">
        <v>106</v>
      </c>
      <c r="BH8" t="s">
        <v>106</v>
      </c>
      <c r="BI8" t="s">
        <v>106</v>
      </c>
      <c r="BJ8" t="s">
        <v>106</v>
      </c>
      <c r="BK8" t="s">
        <v>106</v>
      </c>
      <c r="BL8">
        <v>-2454.8000000000002</v>
      </c>
      <c r="BM8">
        <v>0.5</v>
      </c>
    </row>
    <row r="9" spans="1:65">
      <c r="A9" t="s">
        <v>112</v>
      </c>
      <c r="B9" t="s">
        <v>105</v>
      </c>
      <c r="C9" t="s">
        <v>105</v>
      </c>
      <c r="D9" t="s">
        <v>105</v>
      </c>
      <c r="E9" t="s">
        <v>105</v>
      </c>
      <c r="F9">
        <v>387.6</v>
      </c>
      <c r="G9">
        <v>2961.1</v>
      </c>
      <c r="H9">
        <v>15605.4</v>
      </c>
      <c r="I9">
        <v>55643</v>
      </c>
      <c r="J9">
        <v>991.7</v>
      </c>
      <c r="K9">
        <v>0</v>
      </c>
      <c r="L9">
        <v>27</v>
      </c>
      <c r="M9">
        <v>0</v>
      </c>
      <c r="N9">
        <v>136.9</v>
      </c>
      <c r="O9" t="s">
        <v>106</v>
      </c>
      <c r="P9" t="s">
        <v>106</v>
      </c>
      <c r="Q9" t="s">
        <v>106</v>
      </c>
      <c r="R9" t="s">
        <v>106</v>
      </c>
      <c r="S9">
        <v>59095.7</v>
      </c>
      <c r="T9" t="s">
        <v>106</v>
      </c>
      <c r="U9">
        <v>153296.1</v>
      </c>
      <c r="V9">
        <v>2711.4</v>
      </c>
      <c r="W9">
        <v>-0.8</v>
      </c>
      <c r="X9">
        <v>-171.7</v>
      </c>
      <c r="Y9" t="s">
        <v>106</v>
      </c>
      <c r="Z9">
        <v>8183.3</v>
      </c>
      <c r="AA9">
        <v>2244.3000000000002</v>
      </c>
      <c r="AB9">
        <v>-12400.8</v>
      </c>
      <c r="AC9">
        <v>-15.4</v>
      </c>
      <c r="AD9" t="s">
        <v>106</v>
      </c>
      <c r="AE9">
        <v>-15328.3</v>
      </c>
      <c r="AF9">
        <v>-637.70000000000005</v>
      </c>
      <c r="AG9">
        <v>-31428.7</v>
      </c>
      <c r="AH9">
        <v>-6.6</v>
      </c>
      <c r="AI9">
        <v>-0.7</v>
      </c>
      <c r="AJ9">
        <v>-8457.4</v>
      </c>
      <c r="AK9">
        <v>24940.400000000001</v>
      </c>
      <c r="AL9">
        <v>-126.4</v>
      </c>
      <c r="AM9">
        <v>-3623.7</v>
      </c>
      <c r="AN9">
        <v>-2063.8000000000002</v>
      </c>
      <c r="AO9">
        <v>-0.1</v>
      </c>
      <c r="AP9">
        <v>-6</v>
      </c>
      <c r="AQ9">
        <v>-2431.4</v>
      </c>
      <c r="AR9">
        <v>2153.4</v>
      </c>
      <c r="AS9">
        <v>984.7</v>
      </c>
      <c r="AT9">
        <v>742</v>
      </c>
      <c r="AU9">
        <v>3166.3</v>
      </c>
      <c r="AV9">
        <v>101.8</v>
      </c>
      <c r="AW9">
        <v>69.400000000000006</v>
      </c>
      <c r="AX9" t="s">
        <v>106</v>
      </c>
      <c r="AY9">
        <v>681.6</v>
      </c>
      <c r="AZ9">
        <v>352.3</v>
      </c>
      <c r="BA9" t="s">
        <v>106</v>
      </c>
      <c r="BB9">
        <v>37499.5</v>
      </c>
      <c r="BC9">
        <v>755.1</v>
      </c>
      <c r="BD9">
        <v>279.7</v>
      </c>
      <c r="BE9">
        <v>6544.7</v>
      </c>
      <c r="BF9">
        <v>25</v>
      </c>
      <c r="BG9">
        <v>90.3</v>
      </c>
      <c r="BH9">
        <v>717.7</v>
      </c>
      <c r="BI9" t="s">
        <v>106</v>
      </c>
      <c r="BJ9" t="s">
        <v>106</v>
      </c>
      <c r="BK9">
        <v>69.3</v>
      </c>
      <c r="BL9">
        <v>303757.5</v>
      </c>
      <c r="BM9">
        <v>16663.900000000001</v>
      </c>
    </row>
    <row r="10" spans="1:65">
      <c r="A10" t="s">
        <v>113</v>
      </c>
      <c r="B10" t="s">
        <v>105</v>
      </c>
      <c r="C10" t="s">
        <v>105</v>
      </c>
      <c r="D10" t="s">
        <v>105</v>
      </c>
      <c r="E10" t="s">
        <v>105</v>
      </c>
      <c r="F10" t="s">
        <v>106</v>
      </c>
      <c r="G10" t="s">
        <v>106</v>
      </c>
      <c r="H10" t="s">
        <v>106</v>
      </c>
      <c r="I10" t="s">
        <v>106</v>
      </c>
      <c r="J10" t="s">
        <v>106</v>
      </c>
      <c r="K10" t="s">
        <v>106</v>
      </c>
      <c r="L10" t="s">
        <v>106</v>
      </c>
      <c r="M10" t="s">
        <v>106</v>
      </c>
      <c r="N10" t="s">
        <v>106</v>
      </c>
      <c r="O10" t="s">
        <v>106</v>
      </c>
      <c r="P10" t="s">
        <v>106</v>
      </c>
      <c r="Q10" t="s">
        <v>106</v>
      </c>
      <c r="R10" t="s">
        <v>106</v>
      </c>
      <c r="S10" t="s">
        <v>106</v>
      </c>
      <c r="T10" t="s">
        <v>106</v>
      </c>
      <c r="U10" t="s">
        <v>106</v>
      </c>
      <c r="V10">
        <v>21681.4</v>
      </c>
      <c r="W10" t="s">
        <v>106</v>
      </c>
      <c r="X10" t="s">
        <v>106</v>
      </c>
      <c r="Y10">
        <v>-8.9</v>
      </c>
      <c r="Z10">
        <v>-403.7</v>
      </c>
      <c r="AA10">
        <v>-113.4</v>
      </c>
      <c r="AB10">
        <v>612.29999999999995</v>
      </c>
      <c r="AC10">
        <v>16.7</v>
      </c>
      <c r="AD10" t="s">
        <v>106</v>
      </c>
      <c r="AE10">
        <v>446.4</v>
      </c>
      <c r="AF10">
        <v>-3628.9</v>
      </c>
      <c r="AG10">
        <v>1198</v>
      </c>
      <c r="AH10">
        <v>4.8</v>
      </c>
      <c r="AI10">
        <v>10.4</v>
      </c>
      <c r="AJ10">
        <v>-4929.8</v>
      </c>
      <c r="AK10">
        <v>-8778.7999999999993</v>
      </c>
      <c r="AL10">
        <v>-119.7</v>
      </c>
      <c r="AM10">
        <v>-265.5</v>
      </c>
      <c r="AN10">
        <v>597.70000000000005</v>
      </c>
      <c r="AO10">
        <v>-8.3000000000000007</v>
      </c>
      <c r="AP10" t="s">
        <v>106</v>
      </c>
      <c r="AQ10">
        <v>-62</v>
      </c>
      <c r="AR10" t="s">
        <v>106</v>
      </c>
      <c r="AS10" t="s">
        <v>106</v>
      </c>
      <c r="AT10" t="s">
        <v>106</v>
      </c>
      <c r="AU10" t="s">
        <v>106</v>
      </c>
      <c r="AV10" t="s">
        <v>106</v>
      </c>
      <c r="AW10" t="s">
        <v>106</v>
      </c>
      <c r="AX10" t="s">
        <v>106</v>
      </c>
      <c r="AY10" t="s">
        <v>106</v>
      </c>
      <c r="AZ10" t="s">
        <v>106</v>
      </c>
      <c r="BA10" t="s">
        <v>106</v>
      </c>
      <c r="BB10" t="s">
        <v>106</v>
      </c>
      <c r="BC10" t="s">
        <v>106</v>
      </c>
      <c r="BD10" t="s">
        <v>106</v>
      </c>
      <c r="BE10" t="s">
        <v>106</v>
      </c>
      <c r="BF10" t="s">
        <v>106</v>
      </c>
      <c r="BG10" t="s">
        <v>106</v>
      </c>
      <c r="BH10" t="s">
        <v>106</v>
      </c>
      <c r="BI10" t="s">
        <v>106</v>
      </c>
      <c r="BJ10" t="s">
        <v>106</v>
      </c>
      <c r="BK10" t="s">
        <v>106</v>
      </c>
      <c r="BL10">
        <v>6248.7</v>
      </c>
      <c r="BM10">
        <v>-8.9</v>
      </c>
    </row>
    <row r="11" spans="1:65">
      <c r="A11" t="s">
        <v>114</v>
      </c>
      <c r="B11" t="s">
        <v>105</v>
      </c>
      <c r="C11" t="s">
        <v>105</v>
      </c>
      <c r="D11" t="s">
        <v>105</v>
      </c>
      <c r="E11" t="s">
        <v>105</v>
      </c>
      <c r="F11">
        <v>0.9</v>
      </c>
      <c r="G11">
        <v>0.2</v>
      </c>
      <c r="H11">
        <v>987.3</v>
      </c>
      <c r="I11">
        <v>-1657.2</v>
      </c>
      <c r="J11" t="s">
        <v>106</v>
      </c>
      <c r="K11" t="s">
        <v>106</v>
      </c>
      <c r="L11" t="s">
        <v>106</v>
      </c>
      <c r="M11" t="s">
        <v>106</v>
      </c>
      <c r="N11">
        <v>47.9</v>
      </c>
      <c r="O11" t="s">
        <v>106</v>
      </c>
      <c r="P11" t="s">
        <v>106</v>
      </c>
      <c r="Q11" t="s">
        <v>106</v>
      </c>
      <c r="R11" t="s">
        <v>106</v>
      </c>
      <c r="S11">
        <v>351.4</v>
      </c>
      <c r="T11">
        <v>-66.099999999999994</v>
      </c>
      <c r="U11">
        <v>-430.6</v>
      </c>
      <c r="V11">
        <v>-41.9</v>
      </c>
      <c r="W11">
        <v>-0.2</v>
      </c>
      <c r="X11">
        <v>0.7</v>
      </c>
      <c r="Y11">
        <v>412.4</v>
      </c>
      <c r="Z11">
        <v>345.4</v>
      </c>
      <c r="AA11">
        <v>0.5</v>
      </c>
      <c r="AB11">
        <v>25.6</v>
      </c>
      <c r="AC11">
        <v>-0.1</v>
      </c>
      <c r="AD11" t="s">
        <v>106</v>
      </c>
      <c r="AE11">
        <v>12.3</v>
      </c>
      <c r="AF11">
        <v>-6.2</v>
      </c>
      <c r="AG11">
        <v>16</v>
      </c>
      <c r="AH11">
        <v>-0.2</v>
      </c>
      <c r="AI11">
        <v>0.1</v>
      </c>
      <c r="AJ11">
        <v>13.3</v>
      </c>
      <c r="AK11">
        <v>-66.2</v>
      </c>
      <c r="AL11">
        <v>-0.2</v>
      </c>
      <c r="AM11">
        <v>-65.8</v>
      </c>
      <c r="AN11">
        <v>12.9</v>
      </c>
      <c r="AO11">
        <v>0.1</v>
      </c>
      <c r="AP11">
        <v>-0.4</v>
      </c>
      <c r="AQ11">
        <v>-3.1</v>
      </c>
      <c r="AR11" t="s">
        <v>106</v>
      </c>
      <c r="AS11" t="s">
        <v>106</v>
      </c>
      <c r="AT11" t="s">
        <v>106</v>
      </c>
      <c r="AU11" t="s">
        <v>106</v>
      </c>
      <c r="AV11" t="s">
        <v>106</v>
      </c>
      <c r="AW11" t="s">
        <v>106</v>
      </c>
      <c r="AX11" t="s">
        <v>106</v>
      </c>
      <c r="AY11">
        <v>0</v>
      </c>
      <c r="AZ11" t="s">
        <v>106</v>
      </c>
      <c r="BA11" t="s">
        <v>106</v>
      </c>
      <c r="BB11" t="s">
        <v>106</v>
      </c>
      <c r="BC11" t="s">
        <v>106</v>
      </c>
      <c r="BD11" t="s">
        <v>106</v>
      </c>
      <c r="BE11" t="s">
        <v>106</v>
      </c>
      <c r="BF11" t="s">
        <v>106</v>
      </c>
      <c r="BG11" t="s">
        <v>106</v>
      </c>
      <c r="BH11" t="s">
        <v>106</v>
      </c>
      <c r="BI11" t="s">
        <v>106</v>
      </c>
      <c r="BJ11" t="s">
        <v>106</v>
      </c>
      <c r="BK11" t="s">
        <v>106</v>
      </c>
      <c r="BL11">
        <v>-111.2</v>
      </c>
      <c r="BM11">
        <v>412.4</v>
      </c>
    </row>
    <row r="12" spans="1:65">
      <c r="A12" t="s">
        <v>115</v>
      </c>
      <c r="B12" t="s">
        <v>105</v>
      </c>
      <c r="C12" t="s">
        <v>105</v>
      </c>
      <c r="D12" t="s">
        <v>105</v>
      </c>
      <c r="E12" t="s">
        <v>105</v>
      </c>
      <c r="F12">
        <v>388.6</v>
      </c>
      <c r="G12">
        <v>2961.3</v>
      </c>
      <c r="H12">
        <v>16592.7</v>
      </c>
      <c r="I12">
        <v>53985.9</v>
      </c>
      <c r="J12">
        <v>991.7</v>
      </c>
      <c r="K12">
        <v>0</v>
      </c>
      <c r="L12">
        <v>27</v>
      </c>
      <c r="M12">
        <v>0</v>
      </c>
      <c r="N12">
        <v>184.8</v>
      </c>
      <c r="O12" t="s">
        <v>106</v>
      </c>
      <c r="P12" t="s">
        <v>106</v>
      </c>
      <c r="Q12" t="s">
        <v>106</v>
      </c>
      <c r="R12" t="s">
        <v>106</v>
      </c>
      <c r="S12">
        <v>59447.1</v>
      </c>
      <c r="T12">
        <v>-66.099999999999994</v>
      </c>
      <c r="U12">
        <v>152865.5</v>
      </c>
      <c r="V12">
        <v>24350.799999999999</v>
      </c>
      <c r="W12">
        <v>-0.9</v>
      </c>
      <c r="X12">
        <v>-171</v>
      </c>
      <c r="Y12">
        <v>403.5</v>
      </c>
      <c r="Z12">
        <v>8125</v>
      </c>
      <c r="AA12">
        <v>2131.4</v>
      </c>
      <c r="AB12">
        <v>-11762.9</v>
      </c>
      <c r="AC12">
        <v>1.2</v>
      </c>
      <c r="AD12" t="s">
        <v>106</v>
      </c>
      <c r="AE12">
        <v>-14869.6</v>
      </c>
      <c r="AF12">
        <v>-4272.8999999999996</v>
      </c>
      <c r="AG12">
        <v>-30214.7</v>
      </c>
      <c r="AH12">
        <v>-2</v>
      </c>
      <c r="AI12">
        <v>9.8000000000000007</v>
      </c>
      <c r="AJ12">
        <v>-13374</v>
      </c>
      <c r="AK12">
        <v>16095.4</v>
      </c>
      <c r="AL12">
        <v>-246.3</v>
      </c>
      <c r="AM12">
        <v>-3955.1</v>
      </c>
      <c r="AN12">
        <v>-1453.2</v>
      </c>
      <c r="AO12">
        <v>-8.3000000000000007</v>
      </c>
      <c r="AP12">
        <v>-6.4</v>
      </c>
      <c r="AQ12">
        <v>-2496.4</v>
      </c>
      <c r="AR12">
        <v>2153.4</v>
      </c>
      <c r="AS12">
        <v>984.7</v>
      </c>
      <c r="AT12">
        <v>742</v>
      </c>
      <c r="AU12">
        <v>3166.3</v>
      </c>
      <c r="AV12">
        <v>101.8</v>
      </c>
      <c r="AW12">
        <v>69.400000000000006</v>
      </c>
      <c r="AX12" t="s">
        <v>106</v>
      </c>
      <c r="AY12">
        <v>681.6</v>
      </c>
      <c r="AZ12">
        <v>352.3</v>
      </c>
      <c r="BA12" t="s">
        <v>106</v>
      </c>
      <c r="BB12">
        <v>37499.5</v>
      </c>
      <c r="BC12">
        <v>755.1</v>
      </c>
      <c r="BD12">
        <v>279.7</v>
      </c>
      <c r="BE12">
        <v>6544.7</v>
      </c>
      <c r="BF12">
        <v>25</v>
      </c>
      <c r="BG12">
        <v>90.3</v>
      </c>
      <c r="BH12">
        <v>717.7</v>
      </c>
      <c r="BI12" t="s">
        <v>106</v>
      </c>
      <c r="BJ12" t="s">
        <v>106</v>
      </c>
      <c r="BK12">
        <v>69.3</v>
      </c>
      <c r="BL12">
        <v>309894.90000000002</v>
      </c>
      <c r="BM12">
        <v>17067.5</v>
      </c>
    </row>
    <row r="13" spans="1:65">
      <c r="A13" t="s">
        <v>116</v>
      </c>
      <c r="B13" t="s">
        <v>105</v>
      </c>
      <c r="C13" t="s">
        <v>105</v>
      </c>
      <c r="D13" t="s">
        <v>105</v>
      </c>
      <c r="E13" t="s">
        <v>105</v>
      </c>
      <c r="F13">
        <v>-388.6</v>
      </c>
      <c r="G13">
        <v>-281.60000000000002</v>
      </c>
      <c r="H13">
        <v>-16592.7</v>
      </c>
      <c r="I13">
        <v>-50315.7</v>
      </c>
      <c r="J13">
        <v>-991.7</v>
      </c>
      <c r="K13" t="s">
        <v>106</v>
      </c>
      <c r="L13" t="s">
        <v>106</v>
      </c>
      <c r="M13">
        <v>195.5</v>
      </c>
      <c r="N13">
        <v>511.7</v>
      </c>
      <c r="O13">
        <v>505.6</v>
      </c>
      <c r="P13">
        <v>2567.1999999999998</v>
      </c>
      <c r="Q13">
        <v>2173.6</v>
      </c>
      <c r="R13">
        <v>199.4</v>
      </c>
      <c r="S13">
        <v>-56679.4</v>
      </c>
      <c r="T13">
        <v>24617.7</v>
      </c>
      <c r="U13">
        <v>-152865.5</v>
      </c>
      <c r="V13">
        <v>-24263.599999999999</v>
      </c>
      <c r="W13">
        <v>0.9</v>
      </c>
      <c r="X13">
        <v>171</v>
      </c>
      <c r="Y13">
        <v>2418.4</v>
      </c>
      <c r="Z13">
        <v>-456.4</v>
      </c>
      <c r="AA13">
        <v>1894.6</v>
      </c>
      <c r="AB13">
        <v>22651.1</v>
      </c>
      <c r="AC13" t="s">
        <v>106</v>
      </c>
      <c r="AD13" t="s">
        <v>106</v>
      </c>
      <c r="AE13">
        <v>17031.900000000001</v>
      </c>
      <c r="AF13">
        <v>6389.1</v>
      </c>
      <c r="AG13">
        <v>51982.1</v>
      </c>
      <c r="AH13">
        <v>148.6</v>
      </c>
      <c r="AI13">
        <v>14.7</v>
      </c>
      <c r="AJ13">
        <v>14190.9</v>
      </c>
      <c r="AK13">
        <v>27483.3</v>
      </c>
      <c r="AL13">
        <v>421</v>
      </c>
      <c r="AM13">
        <v>5096</v>
      </c>
      <c r="AN13">
        <v>2791.2</v>
      </c>
      <c r="AO13">
        <v>32.200000000000003</v>
      </c>
      <c r="AP13">
        <v>496.2</v>
      </c>
      <c r="AQ13">
        <v>5206.6000000000004</v>
      </c>
      <c r="AR13">
        <v>-408.1</v>
      </c>
      <c r="AS13">
        <v>-284.7</v>
      </c>
      <c r="AT13">
        <v>-305.3</v>
      </c>
      <c r="AU13">
        <v>-2311</v>
      </c>
      <c r="AV13">
        <v>-44.1</v>
      </c>
      <c r="AW13">
        <v>-69.2</v>
      </c>
      <c r="AX13" t="s">
        <v>106</v>
      </c>
      <c r="AY13" t="s">
        <v>106</v>
      </c>
      <c r="AZ13">
        <v>-352.3</v>
      </c>
      <c r="BA13" t="s">
        <v>106</v>
      </c>
      <c r="BB13">
        <v>-37499.5</v>
      </c>
      <c r="BC13">
        <v>-755.1</v>
      </c>
      <c r="BD13" t="s">
        <v>106</v>
      </c>
      <c r="BE13">
        <v>-6544.7</v>
      </c>
      <c r="BF13" t="s">
        <v>106</v>
      </c>
      <c r="BG13">
        <v>-90.3</v>
      </c>
      <c r="BH13">
        <v>-717.7</v>
      </c>
      <c r="BI13" t="s">
        <v>106</v>
      </c>
      <c r="BJ13">
        <v>54421.8</v>
      </c>
      <c r="BK13">
        <v>7120.8</v>
      </c>
      <c r="BL13">
        <v>-101484</v>
      </c>
      <c r="BM13">
        <v>-4523.8999999999996</v>
      </c>
    </row>
    <row r="14" spans="1:65">
      <c r="B14" t="s">
        <v>117</v>
      </c>
      <c r="C14" t="s">
        <v>105</v>
      </c>
      <c r="D14" t="s">
        <v>105</v>
      </c>
      <c r="E14" t="s">
        <v>105</v>
      </c>
      <c r="F14">
        <v>-188.4</v>
      </c>
      <c r="G14">
        <v>-281.60000000000002</v>
      </c>
      <c r="H14" t="s">
        <v>106</v>
      </c>
      <c r="I14">
        <v>-42619.7</v>
      </c>
      <c r="J14">
        <v>-991.7</v>
      </c>
      <c r="K14" t="s">
        <v>106</v>
      </c>
      <c r="L14" t="s">
        <v>106</v>
      </c>
      <c r="M14" t="s">
        <v>106</v>
      </c>
      <c r="N14" t="s">
        <v>106</v>
      </c>
      <c r="O14" t="s">
        <v>106</v>
      </c>
      <c r="P14">
        <v>-651.70000000000005</v>
      </c>
      <c r="Q14">
        <v>-2689.4</v>
      </c>
      <c r="R14">
        <v>-1422.4</v>
      </c>
      <c r="S14">
        <v>-21337.599999999999</v>
      </c>
      <c r="T14">
        <v>-4.2</v>
      </c>
      <c r="U14" t="s">
        <v>106</v>
      </c>
      <c r="V14" t="s">
        <v>106</v>
      </c>
      <c r="W14" t="s">
        <v>106</v>
      </c>
      <c r="X14" t="s">
        <v>106</v>
      </c>
      <c r="Y14">
        <v>-339.7</v>
      </c>
      <c r="Z14">
        <v>-86.6</v>
      </c>
      <c r="AA14">
        <v>-0.5</v>
      </c>
      <c r="AB14">
        <v>0</v>
      </c>
      <c r="AC14" t="s">
        <v>106</v>
      </c>
      <c r="AD14" t="s">
        <v>106</v>
      </c>
      <c r="AE14" t="s">
        <v>106</v>
      </c>
      <c r="AF14">
        <v>-201.8</v>
      </c>
      <c r="AG14">
        <v>-138.19999999999999</v>
      </c>
      <c r="AH14" t="s">
        <v>106</v>
      </c>
      <c r="AI14" t="s">
        <v>106</v>
      </c>
      <c r="AJ14">
        <v>-145.6</v>
      </c>
      <c r="AK14" t="s">
        <v>106</v>
      </c>
      <c r="AL14" t="s">
        <v>106</v>
      </c>
      <c r="AM14" t="s">
        <v>106</v>
      </c>
      <c r="AN14" t="s">
        <v>106</v>
      </c>
      <c r="AO14" t="s">
        <v>106</v>
      </c>
      <c r="AP14" t="s">
        <v>106</v>
      </c>
      <c r="AQ14" t="s">
        <v>106</v>
      </c>
      <c r="AR14">
        <v>-160.19999999999999</v>
      </c>
      <c r="AS14">
        <v>-101.5</v>
      </c>
      <c r="AT14">
        <v>-26.9</v>
      </c>
      <c r="AU14">
        <v>-1288.4000000000001</v>
      </c>
      <c r="AV14">
        <v>-39.9</v>
      </c>
      <c r="AW14">
        <v>-44</v>
      </c>
      <c r="AX14" t="s">
        <v>106</v>
      </c>
      <c r="AY14" t="s">
        <v>106</v>
      </c>
      <c r="AZ14">
        <v>-352.3</v>
      </c>
      <c r="BA14" t="s">
        <v>106</v>
      </c>
      <c r="BB14">
        <v>-37499.5</v>
      </c>
      <c r="BC14">
        <v>-755.1</v>
      </c>
      <c r="BD14" t="s">
        <v>106</v>
      </c>
      <c r="BE14">
        <v>-6544.7</v>
      </c>
      <c r="BF14" t="s">
        <v>106</v>
      </c>
      <c r="BG14">
        <v>-90.3</v>
      </c>
      <c r="BH14">
        <v>-717.7</v>
      </c>
      <c r="BI14">
        <v>-1153.5</v>
      </c>
      <c r="BJ14">
        <v>48728.800000000003</v>
      </c>
      <c r="BK14" t="s">
        <v>106</v>
      </c>
      <c r="BL14">
        <v>-71144.399999999994</v>
      </c>
      <c r="BM14">
        <v>-16796.2</v>
      </c>
    </row>
    <row r="15" spans="1:65">
      <c r="C15" t="s">
        <v>118</v>
      </c>
      <c r="D15" t="s">
        <v>105</v>
      </c>
      <c r="E15" t="s">
        <v>105</v>
      </c>
      <c r="F15">
        <v>-188.4</v>
      </c>
      <c r="G15">
        <v>-281.60000000000002</v>
      </c>
      <c r="H15" t="s">
        <v>106</v>
      </c>
      <c r="I15">
        <v>-42502.3</v>
      </c>
      <c r="J15">
        <v>-991.7</v>
      </c>
      <c r="K15" t="s">
        <v>106</v>
      </c>
      <c r="L15" t="s">
        <v>106</v>
      </c>
      <c r="M15" t="s">
        <v>106</v>
      </c>
      <c r="N15" t="s">
        <v>106</v>
      </c>
      <c r="O15" t="s">
        <v>106</v>
      </c>
      <c r="P15" t="s">
        <v>106</v>
      </c>
      <c r="Q15" t="s">
        <v>106</v>
      </c>
      <c r="R15">
        <v>-418.5</v>
      </c>
      <c r="S15">
        <v>-21053</v>
      </c>
      <c r="T15" t="s">
        <v>106</v>
      </c>
      <c r="U15" t="s">
        <v>106</v>
      </c>
      <c r="V15" t="s">
        <v>106</v>
      </c>
      <c r="W15" t="s">
        <v>106</v>
      </c>
      <c r="X15" t="s">
        <v>106</v>
      </c>
      <c r="Y15" t="s">
        <v>106</v>
      </c>
      <c r="Z15">
        <v>-86.6</v>
      </c>
      <c r="AA15">
        <v>-0.5</v>
      </c>
      <c r="AB15">
        <v>0</v>
      </c>
      <c r="AC15" t="s">
        <v>106</v>
      </c>
      <c r="AD15" t="s">
        <v>106</v>
      </c>
      <c r="AE15" t="s">
        <v>106</v>
      </c>
      <c r="AF15">
        <v>-201.8</v>
      </c>
      <c r="AG15">
        <v>-138.19999999999999</v>
      </c>
      <c r="AH15" t="s">
        <v>106</v>
      </c>
      <c r="AI15" t="s">
        <v>106</v>
      </c>
      <c r="AJ15">
        <v>-118.9</v>
      </c>
      <c r="AK15" t="s">
        <v>106</v>
      </c>
      <c r="AL15" t="s">
        <v>106</v>
      </c>
      <c r="AM15" t="s">
        <v>106</v>
      </c>
      <c r="AN15" t="s">
        <v>106</v>
      </c>
      <c r="AO15" t="s">
        <v>106</v>
      </c>
      <c r="AP15" t="s">
        <v>106</v>
      </c>
      <c r="AQ15" t="s">
        <v>106</v>
      </c>
      <c r="AR15">
        <v>-87.1</v>
      </c>
      <c r="AS15">
        <v>-54.9</v>
      </c>
      <c r="AT15">
        <v>-26.9</v>
      </c>
      <c r="AU15">
        <v>-1250.7</v>
      </c>
      <c r="AV15">
        <v>-31</v>
      </c>
      <c r="AW15">
        <v>-44</v>
      </c>
      <c r="AX15" t="s">
        <v>106</v>
      </c>
      <c r="AY15" t="s">
        <v>106</v>
      </c>
      <c r="AZ15">
        <v>-352.3</v>
      </c>
      <c r="BA15" t="s">
        <v>106</v>
      </c>
      <c r="BB15">
        <v>-37499.5</v>
      </c>
      <c r="BC15">
        <v>-754.3</v>
      </c>
      <c r="BD15" t="s">
        <v>106</v>
      </c>
      <c r="BE15">
        <v>-5745.6</v>
      </c>
      <c r="BF15" t="s">
        <v>106</v>
      </c>
      <c r="BG15">
        <v>-90.3</v>
      </c>
      <c r="BH15">
        <v>-715.4</v>
      </c>
      <c r="BI15">
        <v>-1135.2</v>
      </c>
      <c r="BJ15">
        <v>46149</v>
      </c>
      <c r="BK15" t="s">
        <v>106</v>
      </c>
      <c r="BL15">
        <v>-67619.7</v>
      </c>
      <c r="BM15">
        <v>-11124.6</v>
      </c>
    </row>
    <row r="16" spans="1:65">
      <c r="C16" t="s">
        <v>119</v>
      </c>
      <c r="D16" t="s">
        <v>105</v>
      </c>
      <c r="E16" t="s">
        <v>105</v>
      </c>
      <c r="F16" t="s">
        <v>106</v>
      </c>
      <c r="G16" t="s">
        <v>106</v>
      </c>
      <c r="H16" t="s">
        <v>106</v>
      </c>
      <c r="I16">
        <v>-117.3</v>
      </c>
      <c r="J16" t="s">
        <v>106</v>
      </c>
      <c r="K16" t="s">
        <v>106</v>
      </c>
      <c r="L16" t="s">
        <v>106</v>
      </c>
      <c r="M16" t="s">
        <v>106</v>
      </c>
      <c r="N16" t="s">
        <v>106</v>
      </c>
      <c r="O16" t="s">
        <v>106</v>
      </c>
      <c r="P16">
        <v>-651.70000000000005</v>
      </c>
      <c r="Q16">
        <v>-2689.4</v>
      </c>
      <c r="R16">
        <v>-1003.9</v>
      </c>
      <c r="S16">
        <v>-284.60000000000002</v>
      </c>
      <c r="T16">
        <v>-4.2</v>
      </c>
      <c r="U16" t="s">
        <v>106</v>
      </c>
      <c r="V16" t="s">
        <v>106</v>
      </c>
      <c r="W16" t="s">
        <v>106</v>
      </c>
      <c r="X16" t="s">
        <v>106</v>
      </c>
      <c r="Y16">
        <v>-339.7</v>
      </c>
      <c r="Z16" t="s">
        <v>106</v>
      </c>
      <c r="AA16" t="s">
        <v>106</v>
      </c>
      <c r="AB16" t="s">
        <v>106</v>
      </c>
      <c r="AC16" t="s">
        <v>106</v>
      </c>
      <c r="AD16" t="s">
        <v>106</v>
      </c>
      <c r="AE16" t="s">
        <v>106</v>
      </c>
      <c r="AF16" t="s">
        <v>106</v>
      </c>
      <c r="AG16">
        <v>0</v>
      </c>
      <c r="AH16" t="s">
        <v>106</v>
      </c>
      <c r="AI16" t="s">
        <v>106</v>
      </c>
      <c r="AJ16">
        <v>-26.7</v>
      </c>
      <c r="AK16" t="s">
        <v>106</v>
      </c>
      <c r="AL16" t="s">
        <v>106</v>
      </c>
      <c r="AM16" t="s">
        <v>106</v>
      </c>
      <c r="AN16" t="s">
        <v>106</v>
      </c>
      <c r="AO16" t="s">
        <v>106</v>
      </c>
      <c r="AP16" t="s">
        <v>106</v>
      </c>
      <c r="AQ16" t="s">
        <v>106</v>
      </c>
      <c r="AR16">
        <v>-73.099999999999994</v>
      </c>
      <c r="AS16">
        <v>-46.7</v>
      </c>
      <c r="AT16" t="s">
        <v>106</v>
      </c>
      <c r="AU16">
        <v>-37.700000000000003</v>
      </c>
      <c r="AV16">
        <v>-8.9</v>
      </c>
      <c r="AW16" t="s">
        <v>106</v>
      </c>
      <c r="AX16" t="s">
        <v>106</v>
      </c>
      <c r="AY16" t="s">
        <v>106</v>
      </c>
      <c r="AZ16" t="s">
        <v>106</v>
      </c>
      <c r="BA16" t="s">
        <v>106</v>
      </c>
      <c r="BB16" t="s">
        <v>106</v>
      </c>
      <c r="BC16">
        <v>-0.8</v>
      </c>
      <c r="BD16" t="s">
        <v>106</v>
      </c>
      <c r="BE16">
        <v>-799.1</v>
      </c>
      <c r="BF16" t="s">
        <v>106</v>
      </c>
      <c r="BG16" t="s">
        <v>106</v>
      </c>
      <c r="BH16">
        <v>-2.2999999999999998</v>
      </c>
      <c r="BI16">
        <v>-18.3</v>
      </c>
      <c r="BJ16">
        <v>2579.6999999999998</v>
      </c>
      <c r="BK16" t="s">
        <v>106</v>
      </c>
      <c r="BL16">
        <v>-3524.7</v>
      </c>
      <c r="BM16">
        <v>-5671.6</v>
      </c>
    </row>
    <row r="17" spans="1:65">
      <c r="B17" t="s">
        <v>120</v>
      </c>
      <c r="C17" t="s">
        <v>105</v>
      </c>
      <c r="D17" t="s">
        <v>105</v>
      </c>
      <c r="E17" t="s">
        <v>105</v>
      </c>
      <c r="F17" t="s">
        <v>106</v>
      </c>
      <c r="G17" t="s">
        <v>106</v>
      </c>
      <c r="H17" t="s">
        <v>106</v>
      </c>
      <c r="I17">
        <v>-3234.5</v>
      </c>
      <c r="J17" t="s">
        <v>106</v>
      </c>
      <c r="K17" t="s">
        <v>106</v>
      </c>
      <c r="L17" t="s">
        <v>106</v>
      </c>
      <c r="M17" t="s">
        <v>106</v>
      </c>
      <c r="N17" t="s">
        <v>106</v>
      </c>
      <c r="O17" t="s">
        <v>106</v>
      </c>
      <c r="P17" t="s">
        <v>106</v>
      </c>
      <c r="Q17" t="s">
        <v>106</v>
      </c>
      <c r="R17" t="s">
        <v>106</v>
      </c>
      <c r="S17">
        <v>-9627.2999999999993</v>
      </c>
      <c r="T17">
        <v>-459.1</v>
      </c>
      <c r="U17" t="s">
        <v>106</v>
      </c>
      <c r="V17" t="s">
        <v>106</v>
      </c>
      <c r="W17" t="s">
        <v>106</v>
      </c>
      <c r="X17" t="s">
        <v>106</v>
      </c>
      <c r="Y17">
        <v>-690.4</v>
      </c>
      <c r="Z17">
        <v>-193.1</v>
      </c>
      <c r="AA17" t="s">
        <v>106</v>
      </c>
      <c r="AB17" t="s">
        <v>106</v>
      </c>
      <c r="AC17" t="s">
        <v>106</v>
      </c>
      <c r="AD17" t="s">
        <v>106</v>
      </c>
      <c r="AE17" t="s">
        <v>106</v>
      </c>
      <c r="AF17">
        <v>-0.2</v>
      </c>
      <c r="AG17">
        <v>0</v>
      </c>
      <c r="AH17" t="s">
        <v>106</v>
      </c>
      <c r="AI17" t="s">
        <v>106</v>
      </c>
      <c r="AJ17">
        <v>-70.099999999999994</v>
      </c>
      <c r="AK17" t="s">
        <v>106</v>
      </c>
      <c r="AL17" t="s">
        <v>106</v>
      </c>
      <c r="AM17" t="s">
        <v>106</v>
      </c>
      <c r="AN17" t="s">
        <v>106</v>
      </c>
      <c r="AO17" t="s">
        <v>106</v>
      </c>
      <c r="AP17" t="s">
        <v>106</v>
      </c>
      <c r="AQ17">
        <v>-966.8</v>
      </c>
      <c r="AR17">
        <v>-9</v>
      </c>
      <c r="AS17">
        <v>-183.2</v>
      </c>
      <c r="AT17">
        <v>-246.3</v>
      </c>
      <c r="AU17">
        <v>-740.9</v>
      </c>
      <c r="AV17">
        <v>-2.2000000000000002</v>
      </c>
      <c r="AW17">
        <v>-0.8</v>
      </c>
      <c r="AX17" t="s">
        <v>106</v>
      </c>
      <c r="AY17" t="s">
        <v>106</v>
      </c>
      <c r="AZ17" t="s">
        <v>106</v>
      </c>
      <c r="BA17" t="s">
        <v>106</v>
      </c>
      <c r="BB17" t="s">
        <v>106</v>
      </c>
      <c r="BC17" t="s">
        <v>106</v>
      </c>
      <c r="BD17" t="s">
        <v>106</v>
      </c>
      <c r="BE17" t="s">
        <v>106</v>
      </c>
      <c r="BF17" t="s">
        <v>106</v>
      </c>
      <c r="BG17" t="s">
        <v>106</v>
      </c>
      <c r="BH17" t="s">
        <v>106</v>
      </c>
      <c r="BI17" t="s">
        <v>106</v>
      </c>
      <c r="BJ17">
        <v>5678.7</v>
      </c>
      <c r="BK17">
        <v>6580.3</v>
      </c>
      <c r="BL17">
        <v>-4165</v>
      </c>
      <c r="BM17">
        <v>-1872.8</v>
      </c>
    </row>
    <row r="18" spans="1:65">
      <c r="C18" t="s">
        <v>121</v>
      </c>
      <c r="D18" t="s">
        <v>105</v>
      </c>
      <c r="E18" t="s">
        <v>105</v>
      </c>
      <c r="F18" t="s">
        <v>106</v>
      </c>
      <c r="G18" t="s">
        <v>106</v>
      </c>
      <c r="H18" t="s">
        <v>106</v>
      </c>
      <c r="I18" t="s">
        <v>106</v>
      </c>
      <c r="J18" t="s">
        <v>106</v>
      </c>
      <c r="K18" t="s">
        <v>106</v>
      </c>
      <c r="L18" t="s">
        <v>106</v>
      </c>
      <c r="M18" t="s">
        <v>106</v>
      </c>
      <c r="N18" t="s">
        <v>106</v>
      </c>
      <c r="O18" t="s">
        <v>106</v>
      </c>
      <c r="P18" t="s">
        <v>106</v>
      </c>
      <c r="Q18" t="s">
        <v>106</v>
      </c>
      <c r="R18" t="s">
        <v>106</v>
      </c>
      <c r="S18">
        <v>-8585.5</v>
      </c>
      <c r="T18">
        <v>-372.4</v>
      </c>
      <c r="U18" t="s">
        <v>106</v>
      </c>
      <c r="V18" t="s">
        <v>106</v>
      </c>
      <c r="W18" t="s">
        <v>106</v>
      </c>
      <c r="X18" t="s">
        <v>106</v>
      </c>
      <c r="Y18" t="s">
        <v>106</v>
      </c>
      <c r="Z18">
        <v>-82.1</v>
      </c>
      <c r="AA18" t="s">
        <v>106</v>
      </c>
      <c r="AB18" t="s">
        <v>106</v>
      </c>
      <c r="AC18" t="s">
        <v>106</v>
      </c>
      <c r="AD18" t="s">
        <v>106</v>
      </c>
      <c r="AE18" t="s">
        <v>106</v>
      </c>
      <c r="AF18">
        <v>-0.2</v>
      </c>
      <c r="AG18">
        <v>0</v>
      </c>
      <c r="AH18" t="s">
        <v>106</v>
      </c>
      <c r="AI18" t="s">
        <v>106</v>
      </c>
      <c r="AJ18">
        <v>-18.8</v>
      </c>
      <c r="AK18" t="s">
        <v>106</v>
      </c>
      <c r="AL18" t="s">
        <v>106</v>
      </c>
      <c r="AM18" t="s">
        <v>106</v>
      </c>
      <c r="AN18" t="s">
        <v>106</v>
      </c>
      <c r="AO18" t="s">
        <v>106</v>
      </c>
      <c r="AP18" t="s">
        <v>106</v>
      </c>
      <c r="AQ18" t="s">
        <v>106</v>
      </c>
      <c r="AR18">
        <v>-4.5</v>
      </c>
      <c r="AS18">
        <v>-171.2</v>
      </c>
      <c r="AT18">
        <v>-20</v>
      </c>
      <c r="AU18">
        <v>-24.5</v>
      </c>
      <c r="AV18">
        <v>-1</v>
      </c>
      <c r="AW18" t="s">
        <v>106</v>
      </c>
      <c r="AX18" t="s">
        <v>106</v>
      </c>
      <c r="AY18" t="s">
        <v>106</v>
      </c>
      <c r="AZ18" t="s">
        <v>106</v>
      </c>
      <c r="BA18" t="s">
        <v>106</v>
      </c>
      <c r="BB18" t="s">
        <v>106</v>
      </c>
      <c r="BC18" t="s">
        <v>106</v>
      </c>
      <c r="BD18" t="s">
        <v>106</v>
      </c>
      <c r="BE18" t="s">
        <v>106</v>
      </c>
      <c r="BF18" t="s">
        <v>106</v>
      </c>
      <c r="BG18" t="s">
        <v>106</v>
      </c>
      <c r="BH18" t="s">
        <v>106</v>
      </c>
      <c r="BI18" t="s">
        <v>106</v>
      </c>
      <c r="BJ18">
        <v>3713.9</v>
      </c>
      <c r="BK18">
        <v>2886.7</v>
      </c>
      <c r="BL18">
        <v>-2679.7</v>
      </c>
      <c r="BM18">
        <v>-221.3</v>
      </c>
    </row>
    <row r="19" spans="1:65">
      <c r="C19" t="s">
        <v>122</v>
      </c>
      <c r="D19" t="s">
        <v>105</v>
      </c>
      <c r="E19" t="s">
        <v>105</v>
      </c>
      <c r="F19" t="s">
        <v>106</v>
      </c>
      <c r="G19" t="s">
        <v>106</v>
      </c>
      <c r="H19" t="s">
        <v>106</v>
      </c>
      <c r="I19">
        <v>-3234.5</v>
      </c>
      <c r="J19" t="s">
        <v>106</v>
      </c>
      <c r="K19" t="s">
        <v>106</v>
      </c>
      <c r="L19" t="s">
        <v>106</v>
      </c>
      <c r="M19" t="s">
        <v>106</v>
      </c>
      <c r="N19" t="s">
        <v>106</v>
      </c>
      <c r="O19" t="s">
        <v>106</v>
      </c>
      <c r="P19" t="s">
        <v>106</v>
      </c>
      <c r="Q19" t="s">
        <v>106</v>
      </c>
      <c r="R19" t="s">
        <v>106</v>
      </c>
      <c r="S19">
        <v>-1041.8</v>
      </c>
      <c r="T19">
        <v>-86.7</v>
      </c>
      <c r="U19" t="s">
        <v>106</v>
      </c>
      <c r="V19" t="s">
        <v>106</v>
      </c>
      <c r="W19" t="s">
        <v>106</v>
      </c>
      <c r="X19" t="s">
        <v>106</v>
      </c>
      <c r="Y19">
        <v>-690.4</v>
      </c>
      <c r="Z19">
        <v>-111</v>
      </c>
      <c r="AA19" t="s">
        <v>106</v>
      </c>
      <c r="AB19" t="s">
        <v>106</v>
      </c>
      <c r="AC19" t="s">
        <v>106</v>
      </c>
      <c r="AD19" t="s">
        <v>106</v>
      </c>
      <c r="AE19" t="s">
        <v>106</v>
      </c>
      <c r="AF19" t="s">
        <v>106</v>
      </c>
      <c r="AG19" t="s">
        <v>106</v>
      </c>
      <c r="AH19" t="s">
        <v>106</v>
      </c>
      <c r="AI19" t="s">
        <v>106</v>
      </c>
      <c r="AJ19">
        <v>-51.4</v>
      </c>
      <c r="AK19" t="s">
        <v>106</v>
      </c>
      <c r="AL19" t="s">
        <v>106</v>
      </c>
      <c r="AM19" t="s">
        <v>106</v>
      </c>
      <c r="AN19" t="s">
        <v>106</v>
      </c>
      <c r="AO19" t="s">
        <v>106</v>
      </c>
      <c r="AP19" t="s">
        <v>106</v>
      </c>
      <c r="AQ19">
        <v>-966.8</v>
      </c>
      <c r="AR19">
        <v>-4.4000000000000004</v>
      </c>
      <c r="AS19">
        <v>-12</v>
      </c>
      <c r="AT19">
        <v>-226.3</v>
      </c>
      <c r="AU19">
        <v>-716.5</v>
      </c>
      <c r="AV19">
        <v>-1.1000000000000001</v>
      </c>
      <c r="AW19">
        <v>-0.8</v>
      </c>
      <c r="AX19" t="s">
        <v>106</v>
      </c>
      <c r="AY19" t="s">
        <v>106</v>
      </c>
      <c r="AZ19" t="s">
        <v>106</v>
      </c>
      <c r="BA19" t="s">
        <v>106</v>
      </c>
      <c r="BB19" t="s">
        <v>106</v>
      </c>
      <c r="BC19" t="s">
        <v>106</v>
      </c>
      <c r="BD19" t="s">
        <v>106</v>
      </c>
      <c r="BE19" t="s">
        <v>106</v>
      </c>
      <c r="BF19" t="s">
        <v>106</v>
      </c>
      <c r="BG19" t="s">
        <v>106</v>
      </c>
      <c r="BH19" t="s">
        <v>106</v>
      </c>
      <c r="BI19" t="s">
        <v>106</v>
      </c>
      <c r="BJ19">
        <v>1964.8</v>
      </c>
      <c r="BK19">
        <v>3693.6</v>
      </c>
      <c r="BL19">
        <v>-1485.3</v>
      </c>
      <c r="BM19">
        <v>-1651.6</v>
      </c>
    </row>
    <row r="20" spans="1:65">
      <c r="B20" t="s">
        <v>123</v>
      </c>
      <c r="C20" t="s">
        <v>105</v>
      </c>
      <c r="D20" t="s">
        <v>105</v>
      </c>
      <c r="E20" t="s">
        <v>105</v>
      </c>
      <c r="F20" t="s">
        <v>106</v>
      </c>
      <c r="G20" t="s">
        <v>106</v>
      </c>
      <c r="H20" t="s">
        <v>106</v>
      </c>
      <c r="I20" t="s">
        <v>106</v>
      </c>
      <c r="J20" t="s">
        <v>106</v>
      </c>
      <c r="K20" t="s">
        <v>106</v>
      </c>
      <c r="L20" t="s">
        <v>106</v>
      </c>
      <c r="M20" t="s">
        <v>106</v>
      </c>
      <c r="N20" t="s">
        <v>106</v>
      </c>
      <c r="O20" t="s">
        <v>106</v>
      </c>
      <c r="P20" t="s">
        <v>106</v>
      </c>
      <c r="Q20" t="s">
        <v>106</v>
      </c>
      <c r="R20" t="s">
        <v>106</v>
      </c>
      <c r="S20">
        <v>-20.9</v>
      </c>
      <c r="T20">
        <v>-339.7</v>
      </c>
      <c r="U20" t="s">
        <v>106</v>
      </c>
      <c r="V20" t="s">
        <v>106</v>
      </c>
      <c r="W20" t="s">
        <v>106</v>
      </c>
      <c r="X20" t="s">
        <v>106</v>
      </c>
      <c r="Y20" t="s">
        <v>106</v>
      </c>
      <c r="Z20">
        <v>-57.8</v>
      </c>
      <c r="AA20" t="s">
        <v>106</v>
      </c>
      <c r="AB20" t="s">
        <v>106</v>
      </c>
      <c r="AC20" t="s">
        <v>106</v>
      </c>
      <c r="AD20" t="s">
        <v>106</v>
      </c>
      <c r="AE20" t="s">
        <v>106</v>
      </c>
      <c r="AF20">
        <v>-33.6</v>
      </c>
      <c r="AG20">
        <v>-0.2</v>
      </c>
      <c r="AH20" t="s">
        <v>106</v>
      </c>
      <c r="AI20" t="s">
        <v>106</v>
      </c>
      <c r="AJ20">
        <v>-259.89999999999998</v>
      </c>
      <c r="AK20" t="s">
        <v>106</v>
      </c>
      <c r="AL20" t="s">
        <v>106</v>
      </c>
      <c r="AM20" t="s">
        <v>106</v>
      </c>
      <c r="AN20" t="s">
        <v>106</v>
      </c>
      <c r="AO20" t="s">
        <v>106</v>
      </c>
      <c r="AP20" t="s">
        <v>106</v>
      </c>
      <c r="AQ20">
        <v>-16.899999999999999</v>
      </c>
      <c r="AR20">
        <v>-238.9</v>
      </c>
      <c r="AS20" t="s">
        <v>106</v>
      </c>
      <c r="AT20">
        <v>-32.1</v>
      </c>
      <c r="AU20">
        <v>-281.7</v>
      </c>
      <c r="AV20">
        <v>-2</v>
      </c>
      <c r="AW20">
        <v>-24.3</v>
      </c>
      <c r="AX20" t="s">
        <v>106</v>
      </c>
      <c r="AY20" t="s">
        <v>106</v>
      </c>
      <c r="AZ20" t="s">
        <v>106</v>
      </c>
      <c r="BA20" t="s">
        <v>106</v>
      </c>
      <c r="BB20" t="s">
        <v>106</v>
      </c>
      <c r="BC20" t="s">
        <v>106</v>
      </c>
      <c r="BD20" t="s">
        <v>106</v>
      </c>
      <c r="BE20" t="s">
        <v>106</v>
      </c>
      <c r="BF20" t="s">
        <v>106</v>
      </c>
      <c r="BG20" t="s">
        <v>106</v>
      </c>
      <c r="BH20" t="s">
        <v>106</v>
      </c>
      <c r="BI20" t="s">
        <v>106</v>
      </c>
      <c r="BJ20" t="s">
        <v>106</v>
      </c>
      <c r="BK20">
        <v>609.9</v>
      </c>
      <c r="BL20">
        <v>-698.1</v>
      </c>
      <c r="BM20">
        <v>-579.1</v>
      </c>
    </row>
    <row r="21" spans="1:65">
      <c r="C21" t="s">
        <v>124</v>
      </c>
      <c r="D21" t="s">
        <v>105</v>
      </c>
      <c r="E21" t="s">
        <v>105</v>
      </c>
      <c r="F21" t="s">
        <v>106</v>
      </c>
      <c r="G21" t="s">
        <v>106</v>
      </c>
      <c r="H21" t="s">
        <v>106</v>
      </c>
      <c r="I21" t="s">
        <v>106</v>
      </c>
      <c r="J21" t="s">
        <v>106</v>
      </c>
      <c r="K21" t="s">
        <v>106</v>
      </c>
      <c r="L21" t="s">
        <v>106</v>
      </c>
      <c r="M21" t="s">
        <v>106</v>
      </c>
      <c r="N21" t="s">
        <v>106</v>
      </c>
      <c r="O21" t="s">
        <v>106</v>
      </c>
      <c r="P21" t="s">
        <v>106</v>
      </c>
      <c r="Q21" t="s">
        <v>106</v>
      </c>
      <c r="R21" t="s">
        <v>106</v>
      </c>
      <c r="S21">
        <v>-20</v>
      </c>
      <c r="T21">
        <v>-316.5</v>
      </c>
      <c r="U21" t="s">
        <v>106</v>
      </c>
      <c r="V21" t="s">
        <v>106</v>
      </c>
      <c r="W21" t="s">
        <v>106</v>
      </c>
      <c r="X21" t="s">
        <v>106</v>
      </c>
      <c r="Y21" t="s">
        <v>106</v>
      </c>
      <c r="Z21">
        <v>-50</v>
      </c>
      <c r="AA21" t="s">
        <v>106</v>
      </c>
      <c r="AB21" t="s">
        <v>106</v>
      </c>
      <c r="AC21" t="s">
        <v>106</v>
      </c>
      <c r="AD21" t="s">
        <v>106</v>
      </c>
      <c r="AE21" t="s">
        <v>106</v>
      </c>
      <c r="AF21">
        <v>-2.2999999999999998</v>
      </c>
      <c r="AG21" t="s">
        <v>106</v>
      </c>
      <c r="AH21" t="s">
        <v>106</v>
      </c>
      <c r="AI21" t="s">
        <v>106</v>
      </c>
      <c r="AJ21">
        <v>-182.5</v>
      </c>
      <c r="AK21" t="s">
        <v>106</v>
      </c>
      <c r="AL21" t="s">
        <v>106</v>
      </c>
      <c r="AM21" t="s">
        <v>106</v>
      </c>
      <c r="AN21" t="s">
        <v>106</v>
      </c>
      <c r="AO21" t="s">
        <v>106</v>
      </c>
      <c r="AP21" t="s">
        <v>106</v>
      </c>
      <c r="AQ21" t="s">
        <v>106</v>
      </c>
      <c r="AR21" t="s">
        <v>106</v>
      </c>
      <c r="AS21" t="s">
        <v>106</v>
      </c>
      <c r="AT21" t="s">
        <v>106</v>
      </c>
      <c r="AU21" t="s">
        <v>106</v>
      </c>
      <c r="AV21" t="s">
        <v>106</v>
      </c>
      <c r="AW21">
        <v>-24.3</v>
      </c>
      <c r="AX21" t="s">
        <v>106</v>
      </c>
      <c r="AY21" t="s">
        <v>106</v>
      </c>
      <c r="AZ21" t="s">
        <v>106</v>
      </c>
      <c r="BA21" t="s">
        <v>106</v>
      </c>
      <c r="BB21" t="s">
        <v>106</v>
      </c>
      <c r="BC21" t="s">
        <v>106</v>
      </c>
      <c r="BD21" t="s">
        <v>106</v>
      </c>
      <c r="BE21" t="s">
        <v>106</v>
      </c>
      <c r="BF21" t="s">
        <v>106</v>
      </c>
      <c r="BG21" t="s">
        <v>106</v>
      </c>
      <c r="BH21" t="s">
        <v>106</v>
      </c>
      <c r="BI21" t="s">
        <v>106</v>
      </c>
      <c r="BJ21" t="s">
        <v>106</v>
      </c>
      <c r="BK21">
        <v>338.4</v>
      </c>
      <c r="BL21">
        <v>-257.39999999999998</v>
      </c>
      <c r="BM21">
        <v>-24.3</v>
      </c>
    </row>
    <row r="22" spans="1:65">
      <c r="C22" t="s">
        <v>125</v>
      </c>
      <c r="D22" t="s">
        <v>105</v>
      </c>
      <c r="E22" t="s">
        <v>105</v>
      </c>
      <c r="F22" t="s">
        <v>106</v>
      </c>
      <c r="G22" t="s">
        <v>106</v>
      </c>
      <c r="H22" t="s">
        <v>106</v>
      </c>
      <c r="I22" t="s">
        <v>106</v>
      </c>
      <c r="J22" t="s">
        <v>106</v>
      </c>
      <c r="K22" t="s">
        <v>106</v>
      </c>
      <c r="L22" t="s">
        <v>106</v>
      </c>
      <c r="M22" t="s">
        <v>106</v>
      </c>
      <c r="N22" t="s">
        <v>106</v>
      </c>
      <c r="O22" t="s">
        <v>106</v>
      </c>
      <c r="P22" t="s">
        <v>106</v>
      </c>
      <c r="Q22" t="s">
        <v>106</v>
      </c>
      <c r="R22" t="s">
        <v>106</v>
      </c>
      <c r="S22">
        <v>-0.8</v>
      </c>
      <c r="T22">
        <v>-23.2</v>
      </c>
      <c r="U22" t="s">
        <v>106</v>
      </c>
      <c r="V22" t="s">
        <v>106</v>
      </c>
      <c r="W22" t="s">
        <v>106</v>
      </c>
      <c r="X22" t="s">
        <v>106</v>
      </c>
      <c r="Y22" t="s">
        <v>106</v>
      </c>
      <c r="Z22">
        <v>-7.8</v>
      </c>
      <c r="AA22" t="s">
        <v>106</v>
      </c>
      <c r="AB22" t="s">
        <v>106</v>
      </c>
      <c r="AC22" t="s">
        <v>106</v>
      </c>
      <c r="AD22" t="s">
        <v>106</v>
      </c>
      <c r="AE22" t="s">
        <v>106</v>
      </c>
      <c r="AF22">
        <v>-31.2</v>
      </c>
      <c r="AG22">
        <v>-0.2</v>
      </c>
      <c r="AH22" t="s">
        <v>106</v>
      </c>
      <c r="AI22" t="s">
        <v>106</v>
      </c>
      <c r="AJ22">
        <v>-77.400000000000006</v>
      </c>
      <c r="AK22" t="s">
        <v>106</v>
      </c>
      <c r="AL22" t="s">
        <v>106</v>
      </c>
      <c r="AM22" t="s">
        <v>106</v>
      </c>
      <c r="AN22" t="s">
        <v>106</v>
      </c>
      <c r="AO22" t="s">
        <v>106</v>
      </c>
      <c r="AP22" t="s">
        <v>106</v>
      </c>
      <c r="AQ22">
        <v>-16.899999999999999</v>
      </c>
      <c r="AR22">
        <v>-238.9</v>
      </c>
      <c r="AS22" t="s">
        <v>106</v>
      </c>
      <c r="AT22">
        <v>-32.1</v>
      </c>
      <c r="AU22">
        <v>-281.7</v>
      </c>
      <c r="AV22">
        <v>-2</v>
      </c>
      <c r="AW22" t="s">
        <v>106</v>
      </c>
      <c r="AX22" t="s">
        <v>106</v>
      </c>
      <c r="AY22" t="s">
        <v>106</v>
      </c>
      <c r="AZ22" t="s">
        <v>106</v>
      </c>
      <c r="BA22" t="s">
        <v>106</v>
      </c>
      <c r="BB22" t="s">
        <v>106</v>
      </c>
      <c r="BC22" t="s">
        <v>106</v>
      </c>
      <c r="BD22" t="s">
        <v>106</v>
      </c>
      <c r="BE22" t="s">
        <v>106</v>
      </c>
      <c r="BF22" t="s">
        <v>106</v>
      </c>
      <c r="BG22" t="s">
        <v>106</v>
      </c>
      <c r="BH22" t="s">
        <v>106</v>
      </c>
      <c r="BI22" t="s">
        <v>106</v>
      </c>
      <c r="BJ22" t="s">
        <v>106</v>
      </c>
      <c r="BK22">
        <v>271.5</v>
      </c>
      <c r="BL22">
        <v>-440.7</v>
      </c>
      <c r="BM22">
        <v>-554.70000000000005</v>
      </c>
    </row>
    <row r="23" spans="1:65">
      <c r="B23" t="s">
        <v>126</v>
      </c>
      <c r="C23" t="s">
        <v>105</v>
      </c>
      <c r="D23" t="s">
        <v>105</v>
      </c>
      <c r="E23" t="s">
        <v>105</v>
      </c>
      <c r="F23" t="s">
        <v>106</v>
      </c>
      <c r="G23" t="s">
        <v>106</v>
      </c>
      <c r="H23" t="s">
        <v>106</v>
      </c>
      <c r="I23" t="s">
        <v>106</v>
      </c>
      <c r="J23" t="s">
        <v>106</v>
      </c>
      <c r="K23" t="s">
        <v>106</v>
      </c>
      <c r="L23" t="s">
        <v>106</v>
      </c>
      <c r="M23" t="s">
        <v>106</v>
      </c>
      <c r="N23" t="s">
        <v>106</v>
      </c>
      <c r="O23" t="s">
        <v>106</v>
      </c>
      <c r="P23" t="s">
        <v>106</v>
      </c>
      <c r="Q23" t="s">
        <v>106</v>
      </c>
      <c r="R23" t="s">
        <v>106</v>
      </c>
      <c r="S23" t="s">
        <v>106</v>
      </c>
      <c r="T23" t="s">
        <v>106</v>
      </c>
      <c r="U23" t="s">
        <v>106</v>
      </c>
      <c r="V23" t="s">
        <v>106</v>
      </c>
      <c r="W23" t="s">
        <v>106</v>
      </c>
      <c r="X23" t="s">
        <v>106</v>
      </c>
      <c r="Y23" t="s">
        <v>106</v>
      </c>
      <c r="Z23" t="s">
        <v>106</v>
      </c>
      <c r="AA23" t="s">
        <v>106</v>
      </c>
      <c r="AB23" t="s">
        <v>106</v>
      </c>
      <c r="AC23" t="s">
        <v>106</v>
      </c>
      <c r="AD23" t="s">
        <v>106</v>
      </c>
      <c r="AE23" t="s">
        <v>106</v>
      </c>
      <c r="AF23" t="s">
        <v>106</v>
      </c>
      <c r="AG23" t="s">
        <v>106</v>
      </c>
      <c r="AH23" t="s">
        <v>106</v>
      </c>
      <c r="AI23" t="s">
        <v>106</v>
      </c>
      <c r="AJ23" t="s">
        <v>106</v>
      </c>
      <c r="AK23" t="s">
        <v>106</v>
      </c>
      <c r="AL23" t="s">
        <v>106</v>
      </c>
      <c r="AM23" t="s">
        <v>106</v>
      </c>
      <c r="AN23" t="s">
        <v>106</v>
      </c>
      <c r="AO23" t="s">
        <v>106</v>
      </c>
      <c r="AP23" t="s">
        <v>106</v>
      </c>
      <c r="AQ23" t="s">
        <v>106</v>
      </c>
      <c r="AR23" t="s">
        <v>106</v>
      </c>
      <c r="AS23" t="s">
        <v>106</v>
      </c>
      <c r="AT23" t="s">
        <v>106</v>
      </c>
      <c r="AU23" t="s">
        <v>106</v>
      </c>
      <c r="AV23" t="s">
        <v>106</v>
      </c>
      <c r="AW23" t="s">
        <v>106</v>
      </c>
      <c r="AX23" t="s">
        <v>106</v>
      </c>
      <c r="AY23" t="s">
        <v>106</v>
      </c>
      <c r="AZ23" t="s">
        <v>106</v>
      </c>
      <c r="BA23" t="s">
        <v>106</v>
      </c>
      <c r="BB23" t="s">
        <v>106</v>
      </c>
      <c r="BC23" t="s">
        <v>106</v>
      </c>
      <c r="BD23" t="s">
        <v>106</v>
      </c>
      <c r="BE23" t="s">
        <v>106</v>
      </c>
      <c r="BF23" t="s">
        <v>106</v>
      </c>
      <c r="BG23" t="s">
        <v>106</v>
      </c>
      <c r="BH23" t="s">
        <v>106</v>
      </c>
      <c r="BI23" t="s">
        <v>106</v>
      </c>
      <c r="BJ23">
        <v>14.3</v>
      </c>
      <c r="BK23">
        <v>-69.3</v>
      </c>
      <c r="BL23">
        <v>-55</v>
      </c>
      <c r="BM23" t="s">
        <v>106</v>
      </c>
    </row>
    <row r="24" spans="1:65">
      <c r="B24" t="s">
        <v>127</v>
      </c>
      <c r="C24" t="s">
        <v>105</v>
      </c>
      <c r="D24" t="s">
        <v>105</v>
      </c>
      <c r="E24" t="s">
        <v>105</v>
      </c>
      <c r="F24" t="s">
        <v>106</v>
      </c>
      <c r="G24" t="s">
        <v>106</v>
      </c>
      <c r="H24">
        <v>-15693.1</v>
      </c>
      <c r="I24" t="s">
        <v>106</v>
      </c>
      <c r="J24" t="s">
        <v>106</v>
      </c>
      <c r="K24" t="s">
        <v>106</v>
      </c>
      <c r="L24" t="s">
        <v>106</v>
      </c>
      <c r="M24" t="s">
        <v>106</v>
      </c>
      <c r="N24">
        <v>10341.1</v>
      </c>
      <c r="O24">
        <v>505.6</v>
      </c>
      <c r="P24">
        <v>3218.9</v>
      </c>
      <c r="Q24" t="s">
        <v>106</v>
      </c>
      <c r="R24" t="s">
        <v>106</v>
      </c>
      <c r="S24" t="s">
        <v>106</v>
      </c>
      <c r="T24" t="s">
        <v>106</v>
      </c>
      <c r="U24" t="s">
        <v>106</v>
      </c>
      <c r="V24" t="s">
        <v>106</v>
      </c>
      <c r="W24" t="s">
        <v>106</v>
      </c>
      <c r="X24" t="s">
        <v>106</v>
      </c>
      <c r="Y24" t="s">
        <v>106</v>
      </c>
      <c r="Z24" t="s">
        <v>106</v>
      </c>
      <c r="AA24" t="s">
        <v>106</v>
      </c>
      <c r="AB24" t="s">
        <v>106</v>
      </c>
      <c r="AC24" t="s">
        <v>106</v>
      </c>
      <c r="AD24" t="s">
        <v>106</v>
      </c>
      <c r="AE24" t="s">
        <v>106</v>
      </c>
      <c r="AF24" t="s">
        <v>106</v>
      </c>
      <c r="AG24" t="s">
        <v>106</v>
      </c>
      <c r="AH24" t="s">
        <v>106</v>
      </c>
      <c r="AI24" t="s">
        <v>106</v>
      </c>
      <c r="AJ24" t="s">
        <v>106</v>
      </c>
      <c r="AK24" t="s">
        <v>106</v>
      </c>
      <c r="AL24" t="s">
        <v>106</v>
      </c>
      <c r="AM24" t="s">
        <v>106</v>
      </c>
      <c r="AN24" t="s">
        <v>106</v>
      </c>
      <c r="AO24" t="s">
        <v>106</v>
      </c>
      <c r="AP24" t="s">
        <v>106</v>
      </c>
      <c r="AQ24" t="s">
        <v>106</v>
      </c>
      <c r="AR24" t="s">
        <v>106</v>
      </c>
      <c r="AS24" t="s">
        <v>106</v>
      </c>
      <c r="AT24" t="s">
        <v>106</v>
      </c>
      <c r="AU24" t="s">
        <v>106</v>
      </c>
      <c r="AV24" t="s">
        <v>106</v>
      </c>
      <c r="AW24" t="s">
        <v>106</v>
      </c>
      <c r="AX24" t="s">
        <v>106</v>
      </c>
      <c r="AY24" t="s">
        <v>106</v>
      </c>
      <c r="AZ24" t="s">
        <v>106</v>
      </c>
      <c r="BA24" t="s">
        <v>106</v>
      </c>
      <c r="BB24" t="s">
        <v>106</v>
      </c>
      <c r="BC24" t="s">
        <v>106</v>
      </c>
      <c r="BD24" t="s">
        <v>106</v>
      </c>
      <c r="BE24" t="s">
        <v>106</v>
      </c>
      <c r="BF24" t="s">
        <v>106</v>
      </c>
      <c r="BG24" t="s">
        <v>106</v>
      </c>
      <c r="BH24" t="s">
        <v>106</v>
      </c>
      <c r="BI24" t="s">
        <v>106</v>
      </c>
      <c r="BJ24" t="s">
        <v>106</v>
      </c>
      <c r="BK24" t="s">
        <v>106</v>
      </c>
      <c r="BL24">
        <v>-1627.5</v>
      </c>
      <c r="BM24" t="s">
        <v>106</v>
      </c>
    </row>
    <row r="25" spans="1:65">
      <c r="B25" t="s">
        <v>128</v>
      </c>
      <c r="C25" t="s">
        <v>105</v>
      </c>
      <c r="D25" t="s">
        <v>105</v>
      </c>
      <c r="E25" t="s">
        <v>105</v>
      </c>
      <c r="F25" t="s">
        <v>106</v>
      </c>
      <c r="G25" t="s">
        <v>106</v>
      </c>
      <c r="H25">
        <v>-899.6</v>
      </c>
      <c r="I25">
        <v>-4134.2</v>
      </c>
      <c r="J25" t="s">
        <v>106</v>
      </c>
      <c r="K25" t="s">
        <v>106</v>
      </c>
      <c r="L25" t="s">
        <v>106</v>
      </c>
      <c r="M25" t="s">
        <v>106</v>
      </c>
      <c r="N25">
        <v>-9829.2999999999993</v>
      </c>
      <c r="O25" t="s">
        <v>106</v>
      </c>
      <c r="P25" t="s">
        <v>106</v>
      </c>
      <c r="Q25">
        <v>4863</v>
      </c>
      <c r="R25">
        <v>1203.3</v>
      </c>
      <c r="S25" t="s">
        <v>106</v>
      </c>
      <c r="T25" t="s">
        <v>106</v>
      </c>
      <c r="U25" t="s">
        <v>106</v>
      </c>
      <c r="V25" t="s">
        <v>106</v>
      </c>
      <c r="W25" t="s">
        <v>106</v>
      </c>
      <c r="X25" t="s">
        <v>106</v>
      </c>
      <c r="Y25" t="s">
        <v>106</v>
      </c>
      <c r="Z25" t="s">
        <v>106</v>
      </c>
      <c r="AA25" t="s">
        <v>106</v>
      </c>
      <c r="AB25" t="s">
        <v>106</v>
      </c>
      <c r="AC25" t="s">
        <v>106</v>
      </c>
      <c r="AD25" t="s">
        <v>106</v>
      </c>
      <c r="AE25" t="s">
        <v>106</v>
      </c>
      <c r="AF25" t="s">
        <v>106</v>
      </c>
      <c r="AG25" t="s">
        <v>106</v>
      </c>
      <c r="AH25" t="s">
        <v>106</v>
      </c>
      <c r="AI25" t="s">
        <v>106</v>
      </c>
      <c r="AJ25" t="s">
        <v>106</v>
      </c>
      <c r="AK25" t="s">
        <v>106</v>
      </c>
      <c r="AL25" t="s">
        <v>106</v>
      </c>
      <c r="AM25" t="s">
        <v>106</v>
      </c>
      <c r="AN25" t="s">
        <v>106</v>
      </c>
      <c r="AO25" t="s">
        <v>106</v>
      </c>
      <c r="AP25" t="s">
        <v>106</v>
      </c>
      <c r="AQ25" t="s">
        <v>106</v>
      </c>
      <c r="AR25" t="s">
        <v>106</v>
      </c>
      <c r="AS25" t="s">
        <v>106</v>
      </c>
      <c r="AT25" t="s">
        <v>106</v>
      </c>
      <c r="AU25" t="s">
        <v>106</v>
      </c>
      <c r="AV25" t="s">
        <v>106</v>
      </c>
      <c r="AW25" t="s">
        <v>106</v>
      </c>
      <c r="AX25" t="s">
        <v>106</v>
      </c>
      <c r="AY25" t="s">
        <v>106</v>
      </c>
      <c r="AZ25" t="s">
        <v>106</v>
      </c>
      <c r="BA25" t="s">
        <v>106</v>
      </c>
      <c r="BB25" t="s">
        <v>106</v>
      </c>
      <c r="BC25" t="s">
        <v>106</v>
      </c>
      <c r="BD25" t="s">
        <v>106</v>
      </c>
      <c r="BE25" t="s">
        <v>106</v>
      </c>
      <c r="BF25" t="s">
        <v>106</v>
      </c>
      <c r="BG25" t="s">
        <v>106</v>
      </c>
      <c r="BH25" t="s">
        <v>106</v>
      </c>
      <c r="BI25" t="s">
        <v>106</v>
      </c>
      <c r="BJ25" t="s">
        <v>106</v>
      </c>
      <c r="BK25" t="s">
        <v>106</v>
      </c>
      <c r="BL25">
        <v>-8796.9</v>
      </c>
      <c r="BM25" t="s">
        <v>106</v>
      </c>
    </row>
    <row r="26" spans="1:65">
      <c r="B26" t="s">
        <v>129</v>
      </c>
      <c r="C26" t="s">
        <v>105</v>
      </c>
      <c r="D26" t="s">
        <v>105</v>
      </c>
      <c r="E26" t="s">
        <v>105</v>
      </c>
      <c r="F26">
        <v>-200.2</v>
      </c>
      <c r="G26" t="s">
        <v>106</v>
      </c>
      <c r="H26" t="s">
        <v>106</v>
      </c>
      <c r="I26" t="s">
        <v>106</v>
      </c>
      <c r="J26" t="s">
        <v>106</v>
      </c>
      <c r="K26" t="s">
        <v>106</v>
      </c>
      <c r="L26" t="s">
        <v>106</v>
      </c>
      <c r="M26">
        <v>195.5</v>
      </c>
      <c r="N26" t="s">
        <v>106</v>
      </c>
      <c r="O26" t="s">
        <v>106</v>
      </c>
      <c r="P26" t="s">
        <v>106</v>
      </c>
      <c r="Q26" t="s">
        <v>106</v>
      </c>
      <c r="R26" t="s">
        <v>106</v>
      </c>
      <c r="S26" t="s">
        <v>106</v>
      </c>
      <c r="T26" t="s">
        <v>106</v>
      </c>
      <c r="U26" t="s">
        <v>106</v>
      </c>
      <c r="V26" t="s">
        <v>106</v>
      </c>
      <c r="W26" t="s">
        <v>106</v>
      </c>
      <c r="X26" t="s">
        <v>106</v>
      </c>
      <c r="Y26" t="s">
        <v>106</v>
      </c>
      <c r="Z26" t="s">
        <v>106</v>
      </c>
      <c r="AA26" t="s">
        <v>106</v>
      </c>
      <c r="AB26" t="s">
        <v>106</v>
      </c>
      <c r="AC26" t="s">
        <v>106</v>
      </c>
      <c r="AD26" t="s">
        <v>106</v>
      </c>
      <c r="AE26" t="s">
        <v>106</v>
      </c>
      <c r="AF26" t="s">
        <v>106</v>
      </c>
      <c r="AG26" t="s">
        <v>106</v>
      </c>
      <c r="AH26" t="s">
        <v>106</v>
      </c>
      <c r="AI26" t="s">
        <v>106</v>
      </c>
      <c r="AJ26" t="s">
        <v>106</v>
      </c>
      <c r="AK26" t="s">
        <v>106</v>
      </c>
      <c r="AL26" t="s">
        <v>106</v>
      </c>
      <c r="AM26" t="s">
        <v>106</v>
      </c>
      <c r="AN26" t="s">
        <v>106</v>
      </c>
      <c r="AO26" t="s">
        <v>106</v>
      </c>
      <c r="AP26" t="s">
        <v>106</v>
      </c>
      <c r="AQ26" t="s">
        <v>106</v>
      </c>
      <c r="AR26" t="s">
        <v>106</v>
      </c>
      <c r="AS26" t="s">
        <v>106</v>
      </c>
      <c r="AT26" t="s">
        <v>106</v>
      </c>
      <c r="AU26" t="s">
        <v>106</v>
      </c>
      <c r="AV26" t="s">
        <v>106</v>
      </c>
      <c r="AW26" t="s">
        <v>106</v>
      </c>
      <c r="AX26" t="s">
        <v>106</v>
      </c>
      <c r="AY26" t="s">
        <v>106</v>
      </c>
      <c r="AZ26" t="s">
        <v>106</v>
      </c>
      <c r="BA26" t="s">
        <v>106</v>
      </c>
      <c r="BB26" t="s">
        <v>106</v>
      </c>
      <c r="BC26" t="s">
        <v>106</v>
      </c>
      <c r="BD26" t="s">
        <v>106</v>
      </c>
      <c r="BE26" t="s">
        <v>106</v>
      </c>
      <c r="BF26" t="s">
        <v>106</v>
      </c>
      <c r="BG26" t="s">
        <v>106</v>
      </c>
      <c r="BH26" t="s">
        <v>106</v>
      </c>
      <c r="BI26" t="s">
        <v>106</v>
      </c>
      <c r="BJ26" t="s">
        <v>106</v>
      </c>
      <c r="BK26" t="s">
        <v>106</v>
      </c>
      <c r="BL26">
        <v>-4.7</v>
      </c>
      <c r="BM26" t="s">
        <v>106</v>
      </c>
    </row>
    <row r="27" spans="1:65">
      <c r="B27" t="s">
        <v>130</v>
      </c>
      <c r="C27" t="s">
        <v>105</v>
      </c>
      <c r="D27" t="s">
        <v>105</v>
      </c>
      <c r="E27" t="s">
        <v>105</v>
      </c>
      <c r="F27" t="s">
        <v>106</v>
      </c>
      <c r="G27" t="s">
        <v>106</v>
      </c>
      <c r="H27" t="s">
        <v>106</v>
      </c>
      <c r="I27" t="s">
        <v>106</v>
      </c>
      <c r="J27" t="s">
        <v>106</v>
      </c>
      <c r="K27" t="s">
        <v>106</v>
      </c>
      <c r="L27" t="s">
        <v>106</v>
      </c>
      <c r="M27" t="s">
        <v>106</v>
      </c>
      <c r="N27" t="s">
        <v>106</v>
      </c>
      <c r="O27" t="s">
        <v>106</v>
      </c>
      <c r="P27" t="s">
        <v>106</v>
      </c>
      <c r="Q27" t="s">
        <v>106</v>
      </c>
      <c r="R27" t="s">
        <v>106</v>
      </c>
      <c r="S27" t="s">
        <v>106</v>
      </c>
      <c r="T27" t="s">
        <v>106</v>
      </c>
      <c r="U27">
        <v>-152865.5</v>
      </c>
      <c r="V27">
        <v>-44198.400000000001</v>
      </c>
      <c r="W27">
        <v>0.9</v>
      </c>
      <c r="X27">
        <v>351.4</v>
      </c>
      <c r="Y27">
        <v>3519.1</v>
      </c>
      <c r="Z27">
        <v>1424.7</v>
      </c>
      <c r="AA27">
        <v>2101.6999999999998</v>
      </c>
      <c r="AB27">
        <v>22651.1</v>
      </c>
      <c r="AC27" t="s">
        <v>106</v>
      </c>
      <c r="AD27" t="s">
        <v>106</v>
      </c>
      <c r="AE27">
        <v>17031.900000000001</v>
      </c>
      <c r="AF27">
        <v>6624.6</v>
      </c>
      <c r="AG27">
        <v>52120.6</v>
      </c>
      <c r="AH27">
        <v>148.6</v>
      </c>
      <c r="AI27">
        <v>14.7</v>
      </c>
      <c r="AJ27">
        <v>14666.6</v>
      </c>
      <c r="AK27">
        <v>38604.800000000003</v>
      </c>
      <c r="AL27">
        <v>421</v>
      </c>
      <c r="AM27">
        <v>5096</v>
      </c>
      <c r="AN27">
        <v>2791.2</v>
      </c>
      <c r="AO27">
        <v>32.200000000000003</v>
      </c>
      <c r="AP27">
        <v>496.2</v>
      </c>
      <c r="AQ27">
        <v>6190.3</v>
      </c>
      <c r="AR27" t="s">
        <v>106</v>
      </c>
      <c r="AS27" t="s">
        <v>106</v>
      </c>
      <c r="AT27" t="s">
        <v>106</v>
      </c>
      <c r="AU27" t="s">
        <v>106</v>
      </c>
      <c r="AV27" t="s">
        <v>106</v>
      </c>
      <c r="AW27" t="s">
        <v>106</v>
      </c>
      <c r="AX27" t="s">
        <v>106</v>
      </c>
      <c r="AY27" t="s">
        <v>106</v>
      </c>
      <c r="AZ27" t="s">
        <v>106</v>
      </c>
      <c r="BA27" t="s">
        <v>106</v>
      </c>
      <c r="BB27" t="s">
        <v>106</v>
      </c>
      <c r="BC27" t="s">
        <v>106</v>
      </c>
      <c r="BD27" t="s">
        <v>106</v>
      </c>
      <c r="BE27" t="s">
        <v>106</v>
      </c>
      <c r="BF27" t="s">
        <v>106</v>
      </c>
      <c r="BG27" t="s">
        <v>106</v>
      </c>
      <c r="BH27" t="s">
        <v>106</v>
      </c>
      <c r="BI27" t="s">
        <v>106</v>
      </c>
      <c r="BJ27" t="s">
        <v>106</v>
      </c>
      <c r="BK27" t="s">
        <v>106</v>
      </c>
      <c r="BL27">
        <v>-22776.3</v>
      </c>
      <c r="BM27" t="s">
        <v>106</v>
      </c>
    </row>
    <row r="28" spans="1:65">
      <c r="B28" t="s">
        <v>131</v>
      </c>
      <c r="C28" t="s">
        <v>105</v>
      </c>
      <c r="D28" t="s">
        <v>105</v>
      </c>
      <c r="E28" t="s">
        <v>105</v>
      </c>
      <c r="F28" t="s">
        <v>106</v>
      </c>
      <c r="G28" t="s">
        <v>106</v>
      </c>
      <c r="H28" t="s">
        <v>106</v>
      </c>
      <c r="I28" t="s">
        <v>106</v>
      </c>
      <c r="J28" t="s">
        <v>106</v>
      </c>
      <c r="K28" t="s">
        <v>106</v>
      </c>
      <c r="L28" t="s">
        <v>106</v>
      </c>
      <c r="M28" t="s">
        <v>106</v>
      </c>
      <c r="N28" t="s">
        <v>106</v>
      </c>
      <c r="O28" t="s">
        <v>106</v>
      </c>
      <c r="P28" t="s">
        <v>106</v>
      </c>
      <c r="Q28" t="s">
        <v>106</v>
      </c>
      <c r="R28" t="s">
        <v>106</v>
      </c>
      <c r="S28" t="s">
        <v>106</v>
      </c>
      <c r="T28" t="s">
        <v>106</v>
      </c>
      <c r="U28" t="s">
        <v>106</v>
      </c>
      <c r="V28">
        <v>19934.8</v>
      </c>
      <c r="W28" t="s">
        <v>106</v>
      </c>
      <c r="X28">
        <v>-180.4</v>
      </c>
      <c r="Y28">
        <v>-70.7</v>
      </c>
      <c r="Z28">
        <v>-1209.2</v>
      </c>
      <c r="AA28">
        <v>-206.6</v>
      </c>
      <c r="AB28" t="s">
        <v>106</v>
      </c>
      <c r="AC28" t="s">
        <v>106</v>
      </c>
      <c r="AD28" t="s">
        <v>106</v>
      </c>
      <c r="AE28" t="s">
        <v>106</v>
      </c>
      <c r="AF28" t="s">
        <v>106</v>
      </c>
      <c r="AG28" t="s">
        <v>106</v>
      </c>
      <c r="AH28" t="s">
        <v>106</v>
      </c>
      <c r="AI28" t="s">
        <v>106</v>
      </c>
      <c r="AJ28" t="s">
        <v>106</v>
      </c>
      <c r="AK28">
        <v>-11121.5</v>
      </c>
      <c r="AL28" t="s">
        <v>106</v>
      </c>
      <c r="AM28" t="s">
        <v>106</v>
      </c>
      <c r="AN28" t="s">
        <v>106</v>
      </c>
      <c r="AO28" t="s">
        <v>106</v>
      </c>
      <c r="AP28" t="s">
        <v>106</v>
      </c>
      <c r="AQ28" t="s">
        <v>106</v>
      </c>
      <c r="AR28" t="s">
        <v>106</v>
      </c>
      <c r="AS28" t="s">
        <v>106</v>
      </c>
      <c r="AT28" t="s">
        <v>106</v>
      </c>
      <c r="AU28" t="s">
        <v>106</v>
      </c>
      <c r="AV28" t="s">
        <v>106</v>
      </c>
      <c r="AW28" t="s">
        <v>106</v>
      </c>
      <c r="AX28" t="s">
        <v>106</v>
      </c>
      <c r="AY28" t="s">
        <v>106</v>
      </c>
      <c r="AZ28" t="s">
        <v>106</v>
      </c>
      <c r="BA28" t="s">
        <v>106</v>
      </c>
      <c r="BB28" t="s">
        <v>106</v>
      </c>
      <c r="BC28" t="s">
        <v>106</v>
      </c>
      <c r="BD28" t="s">
        <v>106</v>
      </c>
      <c r="BE28" t="s">
        <v>106</v>
      </c>
      <c r="BF28" t="s">
        <v>106</v>
      </c>
      <c r="BG28" t="s">
        <v>106</v>
      </c>
      <c r="BH28" t="s">
        <v>106</v>
      </c>
      <c r="BI28" t="s">
        <v>106</v>
      </c>
      <c r="BJ28" t="s">
        <v>106</v>
      </c>
      <c r="BK28" t="s">
        <v>106</v>
      </c>
      <c r="BL28">
        <v>7146.5</v>
      </c>
      <c r="BM28" t="s">
        <v>106</v>
      </c>
    </row>
    <row r="29" spans="1:65">
      <c r="B29" t="s">
        <v>132</v>
      </c>
      <c r="C29" t="s">
        <v>105</v>
      </c>
      <c r="D29" t="s">
        <v>105</v>
      </c>
      <c r="E29" t="s">
        <v>105</v>
      </c>
      <c r="F29" t="s">
        <v>106</v>
      </c>
      <c r="G29" t="s">
        <v>106</v>
      </c>
      <c r="H29" t="s">
        <v>106</v>
      </c>
      <c r="I29" t="s">
        <v>106</v>
      </c>
      <c r="J29" t="s">
        <v>106</v>
      </c>
      <c r="K29" t="s">
        <v>106</v>
      </c>
      <c r="L29" t="s">
        <v>106</v>
      </c>
      <c r="M29" t="s">
        <v>106</v>
      </c>
      <c r="N29" t="s">
        <v>106</v>
      </c>
      <c r="O29" t="s">
        <v>106</v>
      </c>
      <c r="P29" t="s">
        <v>106</v>
      </c>
      <c r="Q29" t="s">
        <v>106</v>
      </c>
      <c r="R29" t="s">
        <v>106</v>
      </c>
      <c r="S29">
        <v>-25693.599999999999</v>
      </c>
      <c r="T29">
        <v>26027.9</v>
      </c>
      <c r="U29" t="s">
        <v>106</v>
      </c>
      <c r="V29" t="s">
        <v>106</v>
      </c>
      <c r="W29" t="s">
        <v>106</v>
      </c>
      <c r="X29" t="s">
        <v>106</v>
      </c>
      <c r="Y29" t="s">
        <v>106</v>
      </c>
      <c r="Z29">
        <v>-334.3</v>
      </c>
      <c r="AA29" t="s">
        <v>106</v>
      </c>
      <c r="AB29" t="s">
        <v>106</v>
      </c>
      <c r="AC29" t="s">
        <v>106</v>
      </c>
      <c r="AD29" t="s">
        <v>106</v>
      </c>
      <c r="AE29" t="s">
        <v>106</v>
      </c>
      <c r="AF29" t="s">
        <v>106</v>
      </c>
      <c r="AG29" t="s">
        <v>106</v>
      </c>
      <c r="AH29" t="s">
        <v>106</v>
      </c>
      <c r="AI29" t="s">
        <v>106</v>
      </c>
      <c r="AJ29" t="s">
        <v>106</v>
      </c>
      <c r="AK29" t="s">
        <v>106</v>
      </c>
      <c r="AL29" t="s">
        <v>106</v>
      </c>
      <c r="AM29" t="s">
        <v>106</v>
      </c>
      <c r="AN29" t="s">
        <v>106</v>
      </c>
      <c r="AO29" t="s">
        <v>106</v>
      </c>
      <c r="AP29" t="s">
        <v>106</v>
      </c>
      <c r="AQ29" t="s">
        <v>106</v>
      </c>
      <c r="AR29" t="s">
        <v>106</v>
      </c>
      <c r="AS29" t="s">
        <v>106</v>
      </c>
      <c r="AT29" t="s">
        <v>106</v>
      </c>
      <c r="AU29" t="s">
        <v>106</v>
      </c>
      <c r="AV29" t="s">
        <v>106</v>
      </c>
      <c r="AW29" t="s">
        <v>106</v>
      </c>
      <c r="AX29" t="s">
        <v>106</v>
      </c>
      <c r="AY29" t="s">
        <v>106</v>
      </c>
      <c r="AZ29" t="s">
        <v>106</v>
      </c>
      <c r="BA29" t="s">
        <v>106</v>
      </c>
      <c r="BB29" t="s">
        <v>106</v>
      </c>
      <c r="BC29" t="s">
        <v>106</v>
      </c>
      <c r="BD29" t="s">
        <v>106</v>
      </c>
      <c r="BE29" t="s">
        <v>106</v>
      </c>
      <c r="BF29" t="s">
        <v>106</v>
      </c>
      <c r="BG29" t="s">
        <v>106</v>
      </c>
      <c r="BH29" t="s">
        <v>106</v>
      </c>
      <c r="BI29" t="s">
        <v>106</v>
      </c>
      <c r="BJ29" t="s">
        <v>106</v>
      </c>
      <c r="BK29" t="s">
        <v>106</v>
      </c>
      <c r="BL29">
        <v>0</v>
      </c>
      <c r="BM29" t="s">
        <v>106</v>
      </c>
    </row>
    <row r="30" spans="1:65">
      <c r="B30" t="s">
        <v>133</v>
      </c>
      <c r="C30" t="s">
        <v>105</v>
      </c>
      <c r="D30" t="s">
        <v>105</v>
      </c>
      <c r="E30" t="s">
        <v>105</v>
      </c>
      <c r="F30" t="s">
        <v>106</v>
      </c>
      <c r="G30" t="s">
        <v>106</v>
      </c>
      <c r="H30" t="s">
        <v>106</v>
      </c>
      <c r="I30">
        <v>-327.39999999999998</v>
      </c>
      <c r="J30" t="s">
        <v>106</v>
      </c>
      <c r="K30" t="s">
        <v>106</v>
      </c>
      <c r="L30" t="s">
        <v>106</v>
      </c>
      <c r="M30" t="s">
        <v>106</v>
      </c>
      <c r="N30" t="s">
        <v>106</v>
      </c>
      <c r="O30" t="s">
        <v>106</v>
      </c>
      <c r="P30" t="s">
        <v>106</v>
      </c>
      <c r="Q30" t="s">
        <v>106</v>
      </c>
      <c r="R30">
        <v>418.5</v>
      </c>
      <c r="S30" t="s">
        <v>106</v>
      </c>
      <c r="T30" t="s">
        <v>106</v>
      </c>
      <c r="U30" t="s">
        <v>106</v>
      </c>
      <c r="V30" t="s">
        <v>106</v>
      </c>
      <c r="W30" t="s">
        <v>106</v>
      </c>
      <c r="X30" t="s">
        <v>106</v>
      </c>
      <c r="Y30" t="s">
        <v>106</v>
      </c>
      <c r="Z30" t="s">
        <v>106</v>
      </c>
      <c r="AA30" t="s">
        <v>106</v>
      </c>
      <c r="AB30" t="s">
        <v>106</v>
      </c>
      <c r="AC30" t="s">
        <v>106</v>
      </c>
      <c r="AD30" t="s">
        <v>106</v>
      </c>
      <c r="AE30" t="s">
        <v>106</v>
      </c>
      <c r="AF30" t="s">
        <v>106</v>
      </c>
      <c r="AG30" t="s">
        <v>106</v>
      </c>
      <c r="AH30" t="s">
        <v>106</v>
      </c>
      <c r="AI30" t="s">
        <v>106</v>
      </c>
      <c r="AJ30" t="s">
        <v>106</v>
      </c>
      <c r="AK30" t="s">
        <v>106</v>
      </c>
      <c r="AL30" t="s">
        <v>106</v>
      </c>
      <c r="AM30" t="s">
        <v>106</v>
      </c>
      <c r="AN30" t="s">
        <v>106</v>
      </c>
      <c r="AO30" t="s">
        <v>106</v>
      </c>
      <c r="AP30" t="s">
        <v>106</v>
      </c>
      <c r="AQ30" t="s">
        <v>106</v>
      </c>
      <c r="AR30" t="s">
        <v>106</v>
      </c>
      <c r="AS30" t="s">
        <v>106</v>
      </c>
      <c r="AT30" t="s">
        <v>106</v>
      </c>
      <c r="AU30" t="s">
        <v>106</v>
      </c>
      <c r="AV30" t="s">
        <v>106</v>
      </c>
      <c r="AW30" t="s">
        <v>106</v>
      </c>
      <c r="AX30" t="s">
        <v>106</v>
      </c>
      <c r="AY30" t="s">
        <v>106</v>
      </c>
      <c r="AZ30" t="s">
        <v>106</v>
      </c>
      <c r="BA30" t="s">
        <v>106</v>
      </c>
      <c r="BB30" t="s">
        <v>106</v>
      </c>
      <c r="BC30" t="s">
        <v>106</v>
      </c>
      <c r="BD30" t="s">
        <v>106</v>
      </c>
      <c r="BE30" t="s">
        <v>106</v>
      </c>
      <c r="BF30" t="s">
        <v>106</v>
      </c>
      <c r="BG30" t="s">
        <v>106</v>
      </c>
      <c r="BH30" t="s">
        <v>106</v>
      </c>
      <c r="BI30" t="s">
        <v>106</v>
      </c>
      <c r="BJ30" t="s">
        <v>106</v>
      </c>
      <c r="BK30" t="s">
        <v>106</v>
      </c>
      <c r="BL30">
        <v>91.1</v>
      </c>
      <c r="BM30">
        <v>837</v>
      </c>
    </row>
    <row r="31" spans="1:65">
      <c r="B31" t="s">
        <v>134</v>
      </c>
      <c r="C31" t="s">
        <v>105</v>
      </c>
      <c r="D31" t="s">
        <v>105</v>
      </c>
      <c r="E31" t="s">
        <v>105</v>
      </c>
      <c r="F31" t="s">
        <v>106</v>
      </c>
      <c r="G31" t="s">
        <v>106</v>
      </c>
      <c r="H31" t="s">
        <v>106</v>
      </c>
      <c r="I31" t="s">
        <v>106</v>
      </c>
      <c r="J31" t="s">
        <v>106</v>
      </c>
      <c r="K31" t="s">
        <v>106</v>
      </c>
      <c r="L31" t="s">
        <v>106</v>
      </c>
      <c r="M31" t="s">
        <v>106</v>
      </c>
      <c r="N31" t="s">
        <v>106</v>
      </c>
      <c r="O31" t="s">
        <v>106</v>
      </c>
      <c r="P31" t="s">
        <v>106</v>
      </c>
      <c r="Q31" t="s">
        <v>106</v>
      </c>
      <c r="R31" t="s">
        <v>106</v>
      </c>
      <c r="S31" t="s">
        <v>106</v>
      </c>
      <c r="T31">
        <v>-607.20000000000005</v>
      </c>
      <c r="U31" t="s">
        <v>106</v>
      </c>
      <c r="V31" t="s">
        <v>106</v>
      </c>
      <c r="W31" t="s">
        <v>106</v>
      </c>
      <c r="X31" t="s">
        <v>106</v>
      </c>
      <c r="Y31" t="s">
        <v>106</v>
      </c>
      <c r="Z31" t="s">
        <v>106</v>
      </c>
      <c r="AA31" t="s">
        <v>106</v>
      </c>
      <c r="AB31" t="s">
        <v>106</v>
      </c>
      <c r="AC31" t="s">
        <v>106</v>
      </c>
      <c r="AD31" t="s">
        <v>106</v>
      </c>
      <c r="AE31" t="s">
        <v>106</v>
      </c>
      <c r="AF31" t="s">
        <v>106</v>
      </c>
      <c r="AG31" t="s">
        <v>106</v>
      </c>
      <c r="AH31" t="s">
        <v>106</v>
      </c>
      <c r="AI31" t="s">
        <v>106</v>
      </c>
      <c r="AJ31" t="s">
        <v>106</v>
      </c>
      <c r="AK31" t="s">
        <v>106</v>
      </c>
      <c r="AL31" t="s">
        <v>106</v>
      </c>
      <c r="AM31" t="s">
        <v>106</v>
      </c>
      <c r="AN31" t="s">
        <v>106</v>
      </c>
      <c r="AO31" t="s">
        <v>106</v>
      </c>
      <c r="AP31" t="s">
        <v>106</v>
      </c>
      <c r="AQ31" t="s">
        <v>106</v>
      </c>
      <c r="AR31" t="s">
        <v>106</v>
      </c>
      <c r="AS31" t="s">
        <v>106</v>
      </c>
      <c r="AT31" t="s">
        <v>106</v>
      </c>
      <c r="AU31" t="s">
        <v>106</v>
      </c>
      <c r="AV31" t="s">
        <v>106</v>
      </c>
      <c r="AW31" t="s">
        <v>106</v>
      </c>
      <c r="AX31" t="s">
        <v>106</v>
      </c>
      <c r="AY31" t="s">
        <v>106</v>
      </c>
      <c r="AZ31" t="s">
        <v>106</v>
      </c>
      <c r="BA31" t="s">
        <v>106</v>
      </c>
      <c r="BB31" t="s">
        <v>106</v>
      </c>
      <c r="BC31" t="s">
        <v>106</v>
      </c>
      <c r="BD31" t="s">
        <v>106</v>
      </c>
      <c r="BE31" t="s">
        <v>106</v>
      </c>
      <c r="BF31" t="s">
        <v>106</v>
      </c>
      <c r="BG31" t="s">
        <v>106</v>
      </c>
      <c r="BH31" t="s">
        <v>106</v>
      </c>
      <c r="BI31">
        <v>1153.5</v>
      </c>
      <c r="BJ31" t="s">
        <v>106</v>
      </c>
      <c r="BK31" t="s">
        <v>106</v>
      </c>
      <c r="BL31">
        <v>546.29999999999995</v>
      </c>
      <c r="BM31">
        <v>1153.5</v>
      </c>
    </row>
    <row r="32" spans="1:65">
      <c r="A32" t="s">
        <v>135</v>
      </c>
      <c r="B32" t="s">
        <v>105</v>
      </c>
      <c r="C32" t="s">
        <v>105</v>
      </c>
      <c r="D32" t="s">
        <v>105</v>
      </c>
      <c r="E32" t="s">
        <v>105</v>
      </c>
      <c r="F32" t="s">
        <v>106</v>
      </c>
      <c r="G32" t="s">
        <v>106</v>
      </c>
      <c r="H32" t="s">
        <v>106</v>
      </c>
      <c r="I32" t="s">
        <v>106</v>
      </c>
      <c r="J32" t="s">
        <v>106</v>
      </c>
      <c r="K32" t="s">
        <v>106</v>
      </c>
      <c r="L32" t="s">
        <v>106</v>
      </c>
      <c r="M32" t="s">
        <v>106</v>
      </c>
      <c r="N32" t="s">
        <v>106</v>
      </c>
      <c r="O32" t="s">
        <v>106</v>
      </c>
      <c r="P32">
        <v>-894.7</v>
      </c>
      <c r="Q32">
        <v>-2140.6999999999998</v>
      </c>
      <c r="R32">
        <v>-37.799999999999997</v>
      </c>
      <c r="S32">
        <v>-1085.7</v>
      </c>
      <c r="T32">
        <v>-828.7</v>
      </c>
      <c r="U32" t="s">
        <v>106</v>
      </c>
      <c r="V32">
        <v>-87.2</v>
      </c>
      <c r="W32" t="s">
        <v>106</v>
      </c>
      <c r="X32" t="s">
        <v>106</v>
      </c>
      <c r="Y32">
        <v>-2528.6</v>
      </c>
      <c r="Z32">
        <v>-225.5</v>
      </c>
      <c r="AA32">
        <v>-7.1</v>
      </c>
      <c r="AB32">
        <v>-0.2</v>
      </c>
      <c r="AC32" t="s">
        <v>106</v>
      </c>
      <c r="AD32" t="s">
        <v>106</v>
      </c>
      <c r="AE32">
        <v>-0.3</v>
      </c>
      <c r="AF32">
        <v>-3.3</v>
      </c>
      <c r="AG32">
        <v>-232.5</v>
      </c>
      <c r="AH32">
        <v>0</v>
      </c>
      <c r="AI32">
        <v>0</v>
      </c>
      <c r="AJ32">
        <v>-27.8</v>
      </c>
      <c r="AK32" t="s">
        <v>106</v>
      </c>
      <c r="AL32" t="s">
        <v>106</v>
      </c>
      <c r="AM32" t="s">
        <v>106</v>
      </c>
      <c r="AN32" t="s">
        <v>106</v>
      </c>
      <c r="AO32" t="s">
        <v>106</v>
      </c>
      <c r="AP32" t="s">
        <v>106</v>
      </c>
      <c r="AQ32" t="s">
        <v>106</v>
      </c>
      <c r="AR32" t="s">
        <v>106</v>
      </c>
      <c r="AS32" t="s">
        <v>106</v>
      </c>
      <c r="AT32" t="s">
        <v>106</v>
      </c>
      <c r="AU32" t="s">
        <v>106</v>
      </c>
      <c r="AV32" t="s">
        <v>106</v>
      </c>
      <c r="AW32" t="s">
        <v>106</v>
      </c>
      <c r="AX32" t="s">
        <v>106</v>
      </c>
      <c r="AY32" t="s">
        <v>106</v>
      </c>
      <c r="AZ32" t="s">
        <v>106</v>
      </c>
      <c r="BA32" t="s">
        <v>106</v>
      </c>
      <c r="BB32" t="s">
        <v>106</v>
      </c>
      <c r="BC32" t="s">
        <v>106</v>
      </c>
      <c r="BD32" t="s">
        <v>106</v>
      </c>
      <c r="BE32" t="s">
        <v>106</v>
      </c>
      <c r="BF32" t="s">
        <v>106</v>
      </c>
      <c r="BG32" t="s">
        <v>106</v>
      </c>
      <c r="BH32" t="s">
        <v>106</v>
      </c>
      <c r="BI32" t="s">
        <v>106</v>
      </c>
      <c r="BJ32">
        <v>-3277.4</v>
      </c>
      <c r="BK32">
        <v>-207.2</v>
      </c>
      <c r="BL32">
        <v>-11584.9</v>
      </c>
      <c r="BM32">
        <v>-5601.7</v>
      </c>
    </row>
    <row r="33" spans="1:65">
      <c r="B33" t="s">
        <v>136</v>
      </c>
      <c r="C33" t="s">
        <v>105</v>
      </c>
      <c r="D33" t="s">
        <v>105</v>
      </c>
      <c r="E33" t="s">
        <v>105</v>
      </c>
      <c r="F33" t="s">
        <v>106</v>
      </c>
      <c r="G33" t="s">
        <v>106</v>
      </c>
      <c r="H33" t="s">
        <v>106</v>
      </c>
      <c r="I33" t="s">
        <v>106</v>
      </c>
      <c r="J33" t="s">
        <v>106</v>
      </c>
      <c r="K33" t="s">
        <v>106</v>
      </c>
      <c r="L33" t="s">
        <v>106</v>
      </c>
      <c r="M33" t="s">
        <v>106</v>
      </c>
      <c r="N33" t="s">
        <v>106</v>
      </c>
      <c r="O33" t="s">
        <v>106</v>
      </c>
      <c r="P33" t="s">
        <v>106</v>
      </c>
      <c r="Q33" t="s">
        <v>106</v>
      </c>
      <c r="R33" t="s">
        <v>106</v>
      </c>
      <c r="S33" t="s">
        <v>106</v>
      </c>
      <c r="T33" t="s">
        <v>106</v>
      </c>
      <c r="U33" t="s">
        <v>106</v>
      </c>
      <c r="V33" t="s">
        <v>106</v>
      </c>
      <c r="W33" t="s">
        <v>106</v>
      </c>
      <c r="X33" t="s">
        <v>106</v>
      </c>
      <c r="Y33" t="s">
        <v>106</v>
      </c>
      <c r="Z33" t="s">
        <v>106</v>
      </c>
      <c r="AA33" t="s">
        <v>106</v>
      </c>
      <c r="AB33">
        <v>0</v>
      </c>
      <c r="AC33" t="s">
        <v>106</v>
      </c>
      <c r="AD33" t="s">
        <v>106</v>
      </c>
      <c r="AE33" t="s">
        <v>106</v>
      </c>
      <c r="AF33">
        <v>-0.4</v>
      </c>
      <c r="AG33">
        <v>-16.3</v>
      </c>
      <c r="AH33" t="s">
        <v>106</v>
      </c>
      <c r="AI33" t="s">
        <v>106</v>
      </c>
      <c r="AJ33">
        <v>-0.5</v>
      </c>
      <c r="AK33" t="s">
        <v>106</v>
      </c>
      <c r="AL33" t="s">
        <v>106</v>
      </c>
      <c r="AM33" t="s">
        <v>106</v>
      </c>
      <c r="AN33" t="s">
        <v>106</v>
      </c>
      <c r="AO33" t="s">
        <v>106</v>
      </c>
      <c r="AP33" t="s">
        <v>106</v>
      </c>
      <c r="AQ33" t="s">
        <v>106</v>
      </c>
      <c r="AR33" t="s">
        <v>106</v>
      </c>
      <c r="AS33" t="s">
        <v>106</v>
      </c>
      <c r="AT33" t="s">
        <v>106</v>
      </c>
      <c r="AU33" t="s">
        <v>106</v>
      </c>
      <c r="AV33" t="s">
        <v>106</v>
      </c>
      <c r="AW33" t="s">
        <v>106</v>
      </c>
      <c r="AX33" t="s">
        <v>106</v>
      </c>
      <c r="AY33" t="s">
        <v>106</v>
      </c>
      <c r="AZ33" t="s">
        <v>106</v>
      </c>
      <c r="BA33" t="s">
        <v>106</v>
      </c>
      <c r="BB33" t="s">
        <v>106</v>
      </c>
      <c r="BC33" t="s">
        <v>106</v>
      </c>
      <c r="BD33" t="s">
        <v>106</v>
      </c>
      <c r="BE33" t="s">
        <v>106</v>
      </c>
      <c r="BF33" t="s">
        <v>106</v>
      </c>
      <c r="BG33" t="s">
        <v>106</v>
      </c>
      <c r="BH33" t="s">
        <v>106</v>
      </c>
      <c r="BI33" t="s">
        <v>106</v>
      </c>
      <c r="BJ33" t="s">
        <v>106</v>
      </c>
      <c r="BK33" t="s">
        <v>106</v>
      </c>
      <c r="BL33">
        <v>-17.3</v>
      </c>
      <c r="BM33" t="s">
        <v>106</v>
      </c>
    </row>
    <row r="34" spans="1:65">
      <c r="B34" t="s">
        <v>137</v>
      </c>
      <c r="C34" t="s">
        <v>105</v>
      </c>
      <c r="D34" t="s">
        <v>105</v>
      </c>
      <c r="E34" t="s">
        <v>105</v>
      </c>
      <c r="F34" t="s">
        <v>106</v>
      </c>
      <c r="G34" t="s">
        <v>106</v>
      </c>
      <c r="H34" t="s">
        <v>106</v>
      </c>
      <c r="I34" t="s">
        <v>106</v>
      </c>
      <c r="J34" t="s">
        <v>106</v>
      </c>
      <c r="K34" t="s">
        <v>106</v>
      </c>
      <c r="L34" t="s">
        <v>106</v>
      </c>
      <c r="M34" t="s">
        <v>106</v>
      </c>
      <c r="N34" t="s">
        <v>106</v>
      </c>
      <c r="O34" t="s">
        <v>106</v>
      </c>
      <c r="P34" t="s">
        <v>106</v>
      </c>
      <c r="Q34" t="s">
        <v>106</v>
      </c>
      <c r="R34" t="s">
        <v>106</v>
      </c>
      <c r="S34" t="s">
        <v>106</v>
      </c>
      <c r="T34" t="s">
        <v>106</v>
      </c>
      <c r="U34" t="s">
        <v>106</v>
      </c>
      <c r="V34" t="s">
        <v>106</v>
      </c>
      <c r="W34" t="s">
        <v>106</v>
      </c>
      <c r="X34" t="s">
        <v>106</v>
      </c>
      <c r="Y34" t="s">
        <v>106</v>
      </c>
      <c r="Z34">
        <v>-3.9</v>
      </c>
      <c r="AA34">
        <v>0</v>
      </c>
      <c r="AB34" t="s">
        <v>106</v>
      </c>
      <c r="AC34" t="s">
        <v>106</v>
      </c>
      <c r="AD34" t="s">
        <v>106</v>
      </c>
      <c r="AE34" t="s">
        <v>106</v>
      </c>
      <c r="AF34" t="s">
        <v>106</v>
      </c>
      <c r="AG34" t="s">
        <v>106</v>
      </c>
      <c r="AH34" t="s">
        <v>106</v>
      </c>
      <c r="AI34" t="s">
        <v>106</v>
      </c>
      <c r="AJ34" t="s">
        <v>106</v>
      </c>
      <c r="AK34" t="s">
        <v>106</v>
      </c>
      <c r="AL34" t="s">
        <v>106</v>
      </c>
      <c r="AM34" t="s">
        <v>106</v>
      </c>
      <c r="AN34" t="s">
        <v>106</v>
      </c>
      <c r="AO34" t="s">
        <v>106</v>
      </c>
      <c r="AP34" t="s">
        <v>106</v>
      </c>
      <c r="AQ34" t="s">
        <v>106</v>
      </c>
      <c r="AR34" t="s">
        <v>106</v>
      </c>
      <c r="AS34" t="s">
        <v>106</v>
      </c>
      <c r="AT34" t="s">
        <v>106</v>
      </c>
      <c r="AU34" t="s">
        <v>106</v>
      </c>
      <c r="AV34" t="s">
        <v>106</v>
      </c>
      <c r="AW34" t="s">
        <v>106</v>
      </c>
      <c r="AX34" t="s">
        <v>106</v>
      </c>
      <c r="AY34" t="s">
        <v>106</v>
      </c>
      <c r="AZ34" t="s">
        <v>106</v>
      </c>
      <c r="BA34" t="s">
        <v>106</v>
      </c>
      <c r="BB34" t="s">
        <v>106</v>
      </c>
      <c r="BC34" t="s">
        <v>106</v>
      </c>
      <c r="BD34" t="s">
        <v>106</v>
      </c>
      <c r="BE34" t="s">
        <v>106</v>
      </c>
      <c r="BF34" t="s">
        <v>106</v>
      </c>
      <c r="BG34" t="s">
        <v>106</v>
      </c>
      <c r="BH34" t="s">
        <v>106</v>
      </c>
      <c r="BI34" t="s">
        <v>106</v>
      </c>
      <c r="BJ34" t="s">
        <v>106</v>
      </c>
      <c r="BK34" t="s">
        <v>106</v>
      </c>
      <c r="BL34">
        <v>-3.9</v>
      </c>
      <c r="BM34" t="s">
        <v>106</v>
      </c>
    </row>
    <row r="35" spans="1:65">
      <c r="B35" t="s">
        <v>138</v>
      </c>
      <c r="C35" t="s">
        <v>105</v>
      </c>
      <c r="D35" t="s">
        <v>105</v>
      </c>
      <c r="E35" t="s">
        <v>105</v>
      </c>
      <c r="F35" t="s">
        <v>106</v>
      </c>
      <c r="G35" t="s">
        <v>106</v>
      </c>
      <c r="H35" t="s">
        <v>106</v>
      </c>
      <c r="I35" t="s">
        <v>106</v>
      </c>
      <c r="J35" t="s">
        <v>106</v>
      </c>
      <c r="K35" t="s">
        <v>106</v>
      </c>
      <c r="L35" t="s">
        <v>106</v>
      </c>
      <c r="M35" t="s">
        <v>106</v>
      </c>
      <c r="N35" t="s">
        <v>106</v>
      </c>
      <c r="O35" t="s">
        <v>106</v>
      </c>
      <c r="P35" t="s">
        <v>106</v>
      </c>
      <c r="Q35" t="s">
        <v>106</v>
      </c>
      <c r="R35" t="s">
        <v>106</v>
      </c>
      <c r="S35" t="s">
        <v>106</v>
      </c>
      <c r="T35" t="s">
        <v>106</v>
      </c>
      <c r="U35" t="s">
        <v>106</v>
      </c>
      <c r="V35" t="s">
        <v>106</v>
      </c>
      <c r="W35" t="s">
        <v>106</v>
      </c>
      <c r="X35" t="s">
        <v>106</v>
      </c>
      <c r="Y35" t="s">
        <v>106</v>
      </c>
      <c r="Z35" t="s">
        <v>106</v>
      </c>
      <c r="AA35" t="s">
        <v>106</v>
      </c>
      <c r="AB35" t="s">
        <v>106</v>
      </c>
      <c r="AC35" t="s">
        <v>106</v>
      </c>
      <c r="AD35" t="s">
        <v>106</v>
      </c>
      <c r="AE35" t="s">
        <v>106</v>
      </c>
      <c r="AF35" t="s">
        <v>106</v>
      </c>
      <c r="AG35" t="s">
        <v>106</v>
      </c>
      <c r="AH35" t="s">
        <v>106</v>
      </c>
      <c r="AI35" t="s">
        <v>106</v>
      </c>
      <c r="AJ35" t="s">
        <v>106</v>
      </c>
      <c r="AK35" t="s">
        <v>106</v>
      </c>
      <c r="AL35" t="s">
        <v>106</v>
      </c>
      <c r="AM35" t="s">
        <v>106</v>
      </c>
      <c r="AN35" t="s">
        <v>106</v>
      </c>
      <c r="AO35" t="s">
        <v>106</v>
      </c>
      <c r="AP35" t="s">
        <v>106</v>
      </c>
      <c r="AQ35" t="s">
        <v>106</v>
      </c>
      <c r="AR35" t="s">
        <v>106</v>
      </c>
      <c r="AS35" t="s">
        <v>106</v>
      </c>
      <c r="AT35" t="s">
        <v>106</v>
      </c>
      <c r="AU35" t="s">
        <v>106</v>
      </c>
      <c r="AV35" t="s">
        <v>106</v>
      </c>
      <c r="AW35" t="s">
        <v>106</v>
      </c>
      <c r="AX35" t="s">
        <v>106</v>
      </c>
      <c r="AY35" t="s">
        <v>106</v>
      </c>
      <c r="AZ35" t="s">
        <v>106</v>
      </c>
      <c r="BA35" t="s">
        <v>106</v>
      </c>
      <c r="BB35" t="s">
        <v>106</v>
      </c>
      <c r="BC35" t="s">
        <v>106</v>
      </c>
      <c r="BD35" t="s">
        <v>106</v>
      </c>
      <c r="BE35" t="s">
        <v>106</v>
      </c>
      <c r="BF35" t="s">
        <v>106</v>
      </c>
      <c r="BG35" t="s">
        <v>106</v>
      </c>
      <c r="BH35" t="s">
        <v>106</v>
      </c>
      <c r="BI35" t="s">
        <v>106</v>
      </c>
      <c r="BJ35">
        <v>-1899</v>
      </c>
      <c r="BK35" t="s">
        <v>106</v>
      </c>
      <c r="BL35">
        <v>-1899</v>
      </c>
      <c r="BM35" t="s">
        <v>106</v>
      </c>
    </row>
    <row r="36" spans="1:65">
      <c r="B36" t="s">
        <v>139</v>
      </c>
      <c r="C36" t="s">
        <v>105</v>
      </c>
      <c r="D36" t="s">
        <v>105</v>
      </c>
      <c r="E36" t="s">
        <v>105</v>
      </c>
      <c r="F36" t="s">
        <v>106</v>
      </c>
      <c r="G36" t="s">
        <v>106</v>
      </c>
      <c r="H36" t="s">
        <v>106</v>
      </c>
      <c r="I36" t="s">
        <v>106</v>
      </c>
      <c r="J36" t="s">
        <v>106</v>
      </c>
      <c r="K36" t="s">
        <v>106</v>
      </c>
      <c r="L36" t="s">
        <v>106</v>
      </c>
      <c r="M36" t="s">
        <v>106</v>
      </c>
      <c r="N36" t="s">
        <v>106</v>
      </c>
      <c r="O36" t="s">
        <v>106</v>
      </c>
      <c r="P36" t="s">
        <v>106</v>
      </c>
      <c r="Q36" t="s">
        <v>106</v>
      </c>
      <c r="R36" t="s">
        <v>106</v>
      </c>
      <c r="S36" t="s">
        <v>106</v>
      </c>
      <c r="T36" t="s">
        <v>106</v>
      </c>
      <c r="U36" t="s">
        <v>106</v>
      </c>
      <c r="V36" t="s">
        <v>106</v>
      </c>
      <c r="W36" t="s">
        <v>106</v>
      </c>
      <c r="X36" t="s">
        <v>106</v>
      </c>
      <c r="Y36" t="s">
        <v>106</v>
      </c>
      <c r="Z36" t="s">
        <v>106</v>
      </c>
      <c r="AA36" t="s">
        <v>106</v>
      </c>
      <c r="AB36" t="s">
        <v>106</v>
      </c>
      <c r="AC36" t="s">
        <v>106</v>
      </c>
      <c r="AD36" t="s">
        <v>106</v>
      </c>
      <c r="AE36" t="s">
        <v>106</v>
      </c>
      <c r="AF36" t="s">
        <v>106</v>
      </c>
      <c r="AG36" t="s">
        <v>106</v>
      </c>
      <c r="AH36" t="s">
        <v>106</v>
      </c>
      <c r="AI36" t="s">
        <v>106</v>
      </c>
      <c r="AJ36" t="s">
        <v>106</v>
      </c>
      <c r="AK36" t="s">
        <v>106</v>
      </c>
      <c r="AL36" t="s">
        <v>106</v>
      </c>
      <c r="AM36" t="s">
        <v>106</v>
      </c>
      <c r="AN36" t="s">
        <v>106</v>
      </c>
      <c r="AO36" t="s">
        <v>106</v>
      </c>
      <c r="AP36" t="s">
        <v>106</v>
      </c>
      <c r="AQ36" t="s">
        <v>106</v>
      </c>
      <c r="AR36" t="s">
        <v>106</v>
      </c>
      <c r="AS36" t="s">
        <v>106</v>
      </c>
      <c r="AT36" t="s">
        <v>106</v>
      </c>
      <c r="AU36" t="s">
        <v>106</v>
      </c>
      <c r="AV36" t="s">
        <v>106</v>
      </c>
      <c r="AW36" t="s">
        <v>106</v>
      </c>
      <c r="AX36" t="s">
        <v>106</v>
      </c>
      <c r="AY36" t="s">
        <v>106</v>
      </c>
      <c r="AZ36" t="s">
        <v>106</v>
      </c>
      <c r="BA36" t="s">
        <v>106</v>
      </c>
      <c r="BB36" t="s">
        <v>106</v>
      </c>
      <c r="BC36" t="s">
        <v>106</v>
      </c>
      <c r="BD36" t="s">
        <v>106</v>
      </c>
      <c r="BE36" t="s">
        <v>106</v>
      </c>
      <c r="BF36" t="s">
        <v>106</v>
      </c>
      <c r="BG36" t="s">
        <v>106</v>
      </c>
      <c r="BH36" t="s">
        <v>106</v>
      </c>
      <c r="BI36" t="s">
        <v>106</v>
      </c>
      <c r="BJ36">
        <v>-102.9</v>
      </c>
      <c r="BK36" t="s">
        <v>106</v>
      </c>
      <c r="BL36">
        <v>-102.9</v>
      </c>
      <c r="BM36" t="s">
        <v>106</v>
      </c>
    </row>
    <row r="37" spans="1:65">
      <c r="B37" t="s">
        <v>140</v>
      </c>
      <c r="C37" t="s">
        <v>105</v>
      </c>
      <c r="D37" t="s">
        <v>105</v>
      </c>
      <c r="E37" t="s">
        <v>105</v>
      </c>
      <c r="F37" t="s">
        <v>106</v>
      </c>
      <c r="G37" t="s">
        <v>106</v>
      </c>
      <c r="H37" t="s">
        <v>106</v>
      </c>
      <c r="I37" t="s">
        <v>106</v>
      </c>
      <c r="J37" t="s">
        <v>106</v>
      </c>
      <c r="K37" t="s">
        <v>106</v>
      </c>
      <c r="L37" t="s">
        <v>106</v>
      </c>
      <c r="M37" t="s">
        <v>106</v>
      </c>
      <c r="N37" t="s">
        <v>106</v>
      </c>
      <c r="O37" t="s">
        <v>106</v>
      </c>
      <c r="P37">
        <v>-300.3</v>
      </c>
      <c r="Q37">
        <v>-1055.5</v>
      </c>
      <c r="R37">
        <v>-21</v>
      </c>
      <c r="S37" t="s">
        <v>106</v>
      </c>
      <c r="T37" t="s">
        <v>106</v>
      </c>
      <c r="U37" t="s">
        <v>106</v>
      </c>
      <c r="V37" t="s">
        <v>106</v>
      </c>
      <c r="W37" t="s">
        <v>106</v>
      </c>
      <c r="X37" t="s">
        <v>106</v>
      </c>
      <c r="Y37" t="s">
        <v>106</v>
      </c>
      <c r="Z37" t="s">
        <v>106</v>
      </c>
      <c r="AA37" t="s">
        <v>106</v>
      </c>
      <c r="AB37" t="s">
        <v>106</v>
      </c>
      <c r="AC37" t="s">
        <v>106</v>
      </c>
      <c r="AD37" t="s">
        <v>106</v>
      </c>
      <c r="AE37" t="s">
        <v>106</v>
      </c>
      <c r="AF37" t="s">
        <v>106</v>
      </c>
      <c r="AG37" t="s">
        <v>106</v>
      </c>
      <c r="AH37" t="s">
        <v>106</v>
      </c>
      <c r="AI37" t="s">
        <v>106</v>
      </c>
      <c r="AJ37" t="s">
        <v>106</v>
      </c>
      <c r="AK37" t="s">
        <v>106</v>
      </c>
      <c r="AL37" t="s">
        <v>106</v>
      </c>
      <c r="AM37" t="s">
        <v>106</v>
      </c>
      <c r="AN37" t="s">
        <v>106</v>
      </c>
      <c r="AO37" t="s">
        <v>106</v>
      </c>
      <c r="AP37" t="s">
        <v>106</v>
      </c>
      <c r="AQ37" t="s">
        <v>106</v>
      </c>
      <c r="AR37" t="s">
        <v>106</v>
      </c>
      <c r="AS37" t="s">
        <v>106</v>
      </c>
      <c r="AT37" t="s">
        <v>106</v>
      </c>
      <c r="AU37" t="s">
        <v>106</v>
      </c>
      <c r="AV37" t="s">
        <v>106</v>
      </c>
      <c r="AW37" t="s">
        <v>106</v>
      </c>
      <c r="AX37" t="s">
        <v>106</v>
      </c>
      <c r="AY37" t="s">
        <v>106</v>
      </c>
      <c r="AZ37" t="s">
        <v>106</v>
      </c>
      <c r="BA37" t="s">
        <v>106</v>
      </c>
      <c r="BB37" t="s">
        <v>106</v>
      </c>
      <c r="BC37" t="s">
        <v>106</v>
      </c>
      <c r="BD37" t="s">
        <v>106</v>
      </c>
      <c r="BE37" t="s">
        <v>106</v>
      </c>
      <c r="BF37" t="s">
        <v>106</v>
      </c>
      <c r="BG37" t="s">
        <v>106</v>
      </c>
      <c r="BH37" t="s">
        <v>106</v>
      </c>
      <c r="BI37" t="s">
        <v>106</v>
      </c>
      <c r="BJ37" t="s">
        <v>106</v>
      </c>
      <c r="BK37" t="s">
        <v>106</v>
      </c>
      <c r="BL37">
        <v>-1376.7</v>
      </c>
      <c r="BM37">
        <v>-1376.7</v>
      </c>
    </row>
    <row r="38" spans="1:65">
      <c r="B38" t="s">
        <v>141</v>
      </c>
      <c r="C38" t="s">
        <v>105</v>
      </c>
      <c r="D38" t="s">
        <v>105</v>
      </c>
      <c r="E38" t="s">
        <v>105</v>
      </c>
      <c r="F38" t="s">
        <v>106</v>
      </c>
      <c r="G38" t="s">
        <v>106</v>
      </c>
      <c r="H38" t="s">
        <v>106</v>
      </c>
      <c r="I38" t="s">
        <v>106</v>
      </c>
      <c r="J38" t="s">
        <v>106</v>
      </c>
      <c r="K38" t="s">
        <v>106</v>
      </c>
      <c r="L38" t="s">
        <v>106</v>
      </c>
      <c r="M38" t="s">
        <v>106</v>
      </c>
      <c r="N38" t="s">
        <v>106</v>
      </c>
      <c r="O38" t="s">
        <v>106</v>
      </c>
      <c r="P38">
        <v>-594.4</v>
      </c>
      <c r="Q38">
        <v>-1085.3</v>
      </c>
      <c r="R38">
        <v>-16.8</v>
      </c>
      <c r="S38" t="s">
        <v>106</v>
      </c>
      <c r="T38" t="s">
        <v>106</v>
      </c>
      <c r="U38" t="s">
        <v>106</v>
      </c>
      <c r="V38" t="s">
        <v>106</v>
      </c>
      <c r="W38" t="s">
        <v>106</v>
      </c>
      <c r="X38" t="s">
        <v>106</v>
      </c>
      <c r="Y38" t="s">
        <v>106</v>
      </c>
      <c r="Z38" t="s">
        <v>106</v>
      </c>
      <c r="AA38" t="s">
        <v>106</v>
      </c>
      <c r="AB38" t="s">
        <v>106</v>
      </c>
      <c r="AC38" t="s">
        <v>106</v>
      </c>
      <c r="AD38" t="s">
        <v>106</v>
      </c>
      <c r="AE38" t="s">
        <v>106</v>
      </c>
      <c r="AF38" t="s">
        <v>106</v>
      </c>
      <c r="AG38" t="s">
        <v>106</v>
      </c>
      <c r="AH38" t="s">
        <v>106</v>
      </c>
      <c r="AI38" t="s">
        <v>106</v>
      </c>
      <c r="AJ38" t="s">
        <v>106</v>
      </c>
      <c r="AK38" t="s">
        <v>106</v>
      </c>
      <c r="AL38" t="s">
        <v>106</v>
      </c>
      <c r="AM38" t="s">
        <v>106</v>
      </c>
      <c r="AN38" t="s">
        <v>106</v>
      </c>
      <c r="AO38" t="s">
        <v>106</v>
      </c>
      <c r="AP38" t="s">
        <v>106</v>
      </c>
      <c r="AQ38" t="s">
        <v>106</v>
      </c>
      <c r="AR38" t="s">
        <v>106</v>
      </c>
      <c r="AS38" t="s">
        <v>106</v>
      </c>
      <c r="AT38" t="s">
        <v>106</v>
      </c>
      <c r="AU38" t="s">
        <v>106</v>
      </c>
      <c r="AV38" t="s">
        <v>106</v>
      </c>
      <c r="AW38" t="s">
        <v>106</v>
      </c>
      <c r="AX38" t="s">
        <v>106</v>
      </c>
      <c r="AY38" t="s">
        <v>106</v>
      </c>
      <c r="AZ38" t="s">
        <v>106</v>
      </c>
      <c r="BA38" t="s">
        <v>106</v>
      </c>
      <c r="BB38" t="s">
        <v>106</v>
      </c>
      <c r="BC38" t="s">
        <v>106</v>
      </c>
      <c r="BD38" t="s">
        <v>106</v>
      </c>
      <c r="BE38" t="s">
        <v>106</v>
      </c>
      <c r="BF38" t="s">
        <v>106</v>
      </c>
      <c r="BG38" t="s">
        <v>106</v>
      </c>
      <c r="BH38" t="s">
        <v>106</v>
      </c>
      <c r="BI38" t="s">
        <v>106</v>
      </c>
      <c r="BJ38" t="s">
        <v>106</v>
      </c>
      <c r="BK38" t="s">
        <v>106</v>
      </c>
      <c r="BL38">
        <v>-1696.5</v>
      </c>
      <c r="BM38">
        <v>-1696.5</v>
      </c>
    </row>
    <row r="39" spans="1:65">
      <c r="B39" t="s">
        <v>142</v>
      </c>
      <c r="C39" t="s">
        <v>105</v>
      </c>
      <c r="D39" t="s">
        <v>105</v>
      </c>
      <c r="E39" t="s">
        <v>105</v>
      </c>
      <c r="F39" t="s">
        <v>106</v>
      </c>
      <c r="G39" t="s">
        <v>106</v>
      </c>
      <c r="H39" t="s">
        <v>106</v>
      </c>
      <c r="I39" t="s">
        <v>106</v>
      </c>
      <c r="J39" t="s">
        <v>106</v>
      </c>
      <c r="K39" t="s">
        <v>106</v>
      </c>
      <c r="L39" t="s">
        <v>106</v>
      </c>
      <c r="M39" t="s">
        <v>106</v>
      </c>
      <c r="N39" t="s">
        <v>106</v>
      </c>
      <c r="O39" t="s">
        <v>106</v>
      </c>
      <c r="P39" t="s">
        <v>106</v>
      </c>
      <c r="Q39" t="s">
        <v>106</v>
      </c>
      <c r="R39" t="s">
        <v>106</v>
      </c>
      <c r="S39" t="s">
        <v>106</v>
      </c>
      <c r="T39" t="s">
        <v>106</v>
      </c>
      <c r="U39" t="s">
        <v>106</v>
      </c>
      <c r="V39" t="s">
        <v>106</v>
      </c>
      <c r="W39" t="s">
        <v>106</v>
      </c>
      <c r="X39" t="s">
        <v>106</v>
      </c>
      <c r="Y39" t="s">
        <v>106</v>
      </c>
      <c r="Z39" t="s">
        <v>106</v>
      </c>
      <c r="AA39" t="s">
        <v>106</v>
      </c>
      <c r="AB39" t="s">
        <v>106</v>
      </c>
      <c r="AC39" t="s">
        <v>106</v>
      </c>
      <c r="AD39" t="s">
        <v>106</v>
      </c>
      <c r="AE39" t="s">
        <v>106</v>
      </c>
      <c r="AF39" t="s">
        <v>106</v>
      </c>
      <c r="AG39" t="s">
        <v>106</v>
      </c>
      <c r="AH39" t="s">
        <v>106</v>
      </c>
      <c r="AI39" t="s">
        <v>106</v>
      </c>
      <c r="AJ39" t="s">
        <v>106</v>
      </c>
      <c r="AK39" t="s">
        <v>106</v>
      </c>
      <c r="AL39" t="s">
        <v>106</v>
      </c>
      <c r="AM39" t="s">
        <v>106</v>
      </c>
      <c r="AN39" t="s">
        <v>106</v>
      </c>
      <c r="AO39" t="s">
        <v>106</v>
      </c>
      <c r="AP39" t="s">
        <v>106</v>
      </c>
      <c r="AQ39" t="s">
        <v>106</v>
      </c>
      <c r="AR39" t="s">
        <v>106</v>
      </c>
      <c r="AS39" t="s">
        <v>106</v>
      </c>
      <c r="AT39" t="s">
        <v>106</v>
      </c>
      <c r="AU39" t="s">
        <v>106</v>
      </c>
      <c r="AV39" t="s">
        <v>106</v>
      </c>
      <c r="AW39" t="s">
        <v>106</v>
      </c>
      <c r="AX39" t="s">
        <v>106</v>
      </c>
      <c r="AY39" t="s">
        <v>106</v>
      </c>
      <c r="AZ39" t="s">
        <v>106</v>
      </c>
      <c r="BA39" t="s">
        <v>106</v>
      </c>
      <c r="BB39" t="s">
        <v>106</v>
      </c>
      <c r="BC39" t="s">
        <v>106</v>
      </c>
      <c r="BD39" t="s">
        <v>106</v>
      </c>
      <c r="BE39" t="s">
        <v>106</v>
      </c>
      <c r="BF39" t="s">
        <v>106</v>
      </c>
      <c r="BG39" t="s">
        <v>106</v>
      </c>
      <c r="BH39" t="s">
        <v>106</v>
      </c>
      <c r="BI39" t="s">
        <v>106</v>
      </c>
      <c r="BJ39" t="s">
        <v>106</v>
      </c>
      <c r="BK39" t="s">
        <v>106</v>
      </c>
      <c r="BL39" t="s">
        <v>106</v>
      </c>
      <c r="BM39" t="s">
        <v>106</v>
      </c>
    </row>
    <row r="40" spans="1:65">
      <c r="B40" t="s">
        <v>143</v>
      </c>
      <c r="C40" t="s">
        <v>105</v>
      </c>
      <c r="D40" t="s">
        <v>105</v>
      </c>
      <c r="E40" t="s">
        <v>105</v>
      </c>
      <c r="F40" t="s">
        <v>106</v>
      </c>
      <c r="G40" t="s">
        <v>106</v>
      </c>
      <c r="H40" t="s">
        <v>106</v>
      </c>
      <c r="I40" t="s">
        <v>106</v>
      </c>
      <c r="J40" t="s">
        <v>106</v>
      </c>
      <c r="K40" t="s">
        <v>106</v>
      </c>
      <c r="L40" t="s">
        <v>106</v>
      </c>
      <c r="M40" t="s">
        <v>106</v>
      </c>
      <c r="N40" t="s">
        <v>106</v>
      </c>
      <c r="O40" t="s">
        <v>106</v>
      </c>
      <c r="P40" t="s">
        <v>106</v>
      </c>
      <c r="Q40" t="s">
        <v>106</v>
      </c>
      <c r="R40" t="s">
        <v>106</v>
      </c>
      <c r="S40">
        <v>-953.7</v>
      </c>
      <c r="T40">
        <v>-828.7</v>
      </c>
      <c r="U40" t="s">
        <v>106</v>
      </c>
      <c r="V40">
        <v>-87.2</v>
      </c>
      <c r="W40" t="s">
        <v>106</v>
      </c>
      <c r="X40" t="s">
        <v>106</v>
      </c>
      <c r="Y40">
        <v>-2500.3000000000002</v>
      </c>
      <c r="Z40">
        <v>-116.7</v>
      </c>
      <c r="AA40">
        <v>-0.1</v>
      </c>
      <c r="AB40">
        <v>-0.2</v>
      </c>
      <c r="AC40" t="s">
        <v>106</v>
      </c>
      <c r="AD40" t="s">
        <v>106</v>
      </c>
      <c r="AE40" t="s">
        <v>106</v>
      </c>
      <c r="AF40">
        <v>-0.1</v>
      </c>
      <c r="AG40">
        <v>-1.5</v>
      </c>
      <c r="AH40">
        <v>0</v>
      </c>
      <c r="AI40">
        <v>0</v>
      </c>
      <c r="AJ40">
        <v>-19.7</v>
      </c>
      <c r="AK40" t="s">
        <v>106</v>
      </c>
      <c r="AL40" t="s">
        <v>106</v>
      </c>
      <c r="AM40" t="s">
        <v>106</v>
      </c>
      <c r="AN40" t="s">
        <v>106</v>
      </c>
      <c r="AO40" t="s">
        <v>106</v>
      </c>
      <c r="AP40" t="s">
        <v>106</v>
      </c>
      <c r="AQ40" t="s">
        <v>106</v>
      </c>
      <c r="AR40" t="s">
        <v>106</v>
      </c>
      <c r="AS40" t="s">
        <v>106</v>
      </c>
      <c r="AT40" t="s">
        <v>106</v>
      </c>
      <c r="AU40" t="s">
        <v>106</v>
      </c>
      <c r="AV40" t="s">
        <v>106</v>
      </c>
      <c r="AW40" t="s">
        <v>106</v>
      </c>
      <c r="AX40" t="s">
        <v>106</v>
      </c>
      <c r="AY40" t="s">
        <v>106</v>
      </c>
      <c r="AZ40" t="s">
        <v>106</v>
      </c>
      <c r="BA40" t="s">
        <v>106</v>
      </c>
      <c r="BB40" t="s">
        <v>106</v>
      </c>
      <c r="BC40" t="s">
        <v>106</v>
      </c>
      <c r="BD40" t="s">
        <v>106</v>
      </c>
      <c r="BE40" t="s">
        <v>106</v>
      </c>
      <c r="BF40" t="s">
        <v>106</v>
      </c>
      <c r="BG40" t="s">
        <v>106</v>
      </c>
      <c r="BH40" t="s">
        <v>106</v>
      </c>
      <c r="BI40" t="s">
        <v>106</v>
      </c>
      <c r="BJ40">
        <v>-1268.5999999999999</v>
      </c>
      <c r="BK40">
        <v>-207.2</v>
      </c>
      <c r="BL40">
        <v>-5984.1</v>
      </c>
      <c r="BM40">
        <v>-2500.3000000000002</v>
      </c>
    </row>
    <row r="41" spans="1:65">
      <c r="B41" t="s">
        <v>144</v>
      </c>
      <c r="C41" t="s">
        <v>105</v>
      </c>
      <c r="D41" t="s">
        <v>105</v>
      </c>
      <c r="E41" t="s">
        <v>105</v>
      </c>
      <c r="F41" t="s">
        <v>106</v>
      </c>
      <c r="G41" t="s">
        <v>106</v>
      </c>
      <c r="H41" t="s">
        <v>106</v>
      </c>
      <c r="I41" t="s">
        <v>106</v>
      </c>
      <c r="J41" t="s">
        <v>106</v>
      </c>
      <c r="K41" t="s">
        <v>106</v>
      </c>
      <c r="L41" t="s">
        <v>106</v>
      </c>
      <c r="M41" t="s">
        <v>106</v>
      </c>
      <c r="N41" t="s">
        <v>106</v>
      </c>
      <c r="O41" t="s">
        <v>106</v>
      </c>
      <c r="P41" t="s">
        <v>106</v>
      </c>
      <c r="Q41" t="s">
        <v>106</v>
      </c>
      <c r="R41" t="s">
        <v>106</v>
      </c>
      <c r="S41">
        <v>-132</v>
      </c>
      <c r="T41" t="s">
        <v>106</v>
      </c>
      <c r="U41" t="s">
        <v>106</v>
      </c>
      <c r="V41" t="s">
        <v>106</v>
      </c>
      <c r="W41" t="s">
        <v>106</v>
      </c>
      <c r="X41" t="s">
        <v>106</v>
      </c>
      <c r="Y41">
        <v>-13.9</v>
      </c>
      <c r="Z41">
        <v>-94.4</v>
      </c>
      <c r="AA41">
        <v>-6.9</v>
      </c>
      <c r="AB41">
        <v>0</v>
      </c>
      <c r="AC41" t="s">
        <v>106</v>
      </c>
      <c r="AD41" t="s">
        <v>106</v>
      </c>
      <c r="AE41" t="s">
        <v>106</v>
      </c>
      <c r="AF41" t="s">
        <v>106</v>
      </c>
      <c r="AG41">
        <v>0</v>
      </c>
      <c r="AH41" t="s">
        <v>106</v>
      </c>
      <c r="AI41" t="s">
        <v>106</v>
      </c>
      <c r="AJ41">
        <v>-0.4</v>
      </c>
      <c r="AK41" t="s">
        <v>106</v>
      </c>
      <c r="AL41" t="s">
        <v>106</v>
      </c>
      <c r="AM41" t="s">
        <v>106</v>
      </c>
      <c r="AN41" t="s">
        <v>106</v>
      </c>
      <c r="AO41" t="s">
        <v>106</v>
      </c>
      <c r="AP41" t="s">
        <v>106</v>
      </c>
      <c r="AQ41" t="s">
        <v>106</v>
      </c>
      <c r="AR41" t="s">
        <v>106</v>
      </c>
      <c r="AS41" t="s">
        <v>106</v>
      </c>
      <c r="AT41" t="s">
        <v>106</v>
      </c>
      <c r="AU41" t="s">
        <v>106</v>
      </c>
      <c r="AV41" t="s">
        <v>106</v>
      </c>
      <c r="AW41" t="s">
        <v>106</v>
      </c>
      <c r="AX41" t="s">
        <v>106</v>
      </c>
      <c r="AY41" t="s">
        <v>106</v>
      </c>
      <c r="AZ41" t="s">
        <v>106</v>
      </c>
      <c r="BA41" t="s">
        <v>106</v>
      </c>
      <c r="BB41" t="s">
        <v>106</v>
      </c>
      <c r="BC41" t="s">
        <v>106</v>
      </c>
      <c r="BD41" t="s">
        <v>106</v>
      </c>
      <c r="BE41" t="s">
        <v>106</v>
      </c>
      <c r="BF41" t="s">
        <v>106</v>
      </c>
      <c r="BG41" t="s">
        <v>106</v>
      </c>
      <c r="BH41" t="s">
        <v>106</v>
      </c>
      <c r="BI41" t="s">
        <v>106</v>
      </c>
      <c r="BJ41" t="s">
        <v>106</v>
      </c>
      <c r="BK41" t="s">
        <v>106</v>
      </c>
      <c r="BL41">
        <v>-247.5</v>
      </c>
      <c r="BM41">
        <v>-13.9</v>
      </c>
    </row>
    <row r="42" spans="1:65">
      <c r="B42" t="s">
        <v>145</v>
      </c>
      <c r="C42" t="s">
        <v>105</v>
      </c>
      <c r="D42" t="s">
        <v>105</v>
      </c>
      <c r="E42" t="s">
        <v>105</v>
      </c>
      <c r="F42" t="s">
        <v>106</v>
      </c>
      <c r="G42" t="s">
        <v>106</v>
      </c>
      <c r="H42" t="s">
        <v>106</v>
      </c>
      <c r="I42" t="s">
        <v>106</v>
      </c>
      <c r="J42" t="s">
        <v>106</v>
      </c>
      <c r="K42" t="s">
        <v>106</v>
      </c>
      <c r="L42" t="s">
        <v>106</v>
      </c>
      <c r="M42" t="s">
        <v>106</v>
      </c>
      <c r="N42" t="s">
        <v>106</v>
      </c>
      <c r="O42" t="s">
        <v>106</v>
      </c>
      <c r="P42" t="s">
        <v>106</v>
      </c>
      <c r="Q42" t="s">
        <v>106</v>
      </c>
      <c r="R42" t="s">
        <v>106</v>
      </c>
      <c r="S42" t="s">
        <v>106</v>
      </c>
      <c r="T42" t="s">
        <v>106</v>
      </c>
      <c r="U42" t="s">
        <v>106</v>
      </c>
      <c r="V42" t="s">
        <v>106</v>
      </c>
      <c r="W42" t="s">
        <v>106</v>
      </c>
      <c r="X42" t="s">
        <v>106</v>
      </c>
      <c r="Y42" t="s">
        <v>106</v>
      </c>
      <c r="Z42" t="s">
        <v>106</v>
      </c>
      <c r="AA42" t="s">
        <v>106</v>
      </c>
      <c r="AB42" t="s">
        <v>106</v>
      </c>
      <c r="AC42" t="s">
        <v>106</v>
      </c>
      <c r="AD42" t="s">
        <v>106</v>
      </c>
      <c r="AE42" t="s">
        <v>106</v>
      </c>
      <c r="AF42" t="s">
        <v>106</v>
      </c>
      <c r="AG42" t="s">
        <v>106</v>
      </c>
      <c r="AH42" t="s">
        <v>106</v>
      </c>
      <c r="AI42" t="s">
        <v>106</v>
      </c>
      <c r="AJ42" t="s">
        <v>106</v>
      </c>
      <c r="AK42" t="s">
        <v>106</v>
      </c>
      <c r="AL42" t="s">
        <v>106</v>
      </c>
      <c r="AM42" t="s">
        <v>106</v>
      </c>
      <c r="AN42" t="s">
        <v>106</v>
      </c>
      <c r="AO42" t="s">
        <v>106</v>
      </c>
      <c r="AP42" t="s">
        <v>106</v>
      </c>
      <c r="AQ42" t="s">
        <v>106</v>
      </c>
      <c r="AR42" t="s">
        <v>106</v>
      </c>
      <c r="AS42" t="s">
        <v>106</v>
      </c>
      <c r="AT42" t="s">
        <v>106</v>
      </c>
      <c r="AU42" t="s">
        <v>106</v>
      </c>
      <c r="AV42" t="s">
        <v>106</v>
      </c>
      <c r="AW42" t="s">
        <v>106</v>
      </c>
      <c r="AX42" t="s">
        <v>106</v>
      </c>
      <c r="AY42" t="s">
        <v>106</v>
      </c>
      <c r="AZ42" t="s">
        <v>106</v>
      </c>
      <c r="BA42" t="s">
        <v>106</v>
      </c>
      <c r="BB42" t="s">
        <v>106</v>
      </c>
      <c r="BC42" t="s">
        <v>106</v>
      </c>
      <c r="BD42" t="s">
        <v>106</v>
      </c>
      <c r="BE42" t="s">
        <v>106</v>
      </c>
      <c r="BF42" t="s">
        <v>106</v>
      </c>
      <c r="BG42" t="s">
        <v>106</v>
      </c>
      <c r="BH42" t="s">
        <v>106</v>
      </c>
      <c r="BI42" t="s">
        <v>106</v>
      </c>
      <c r="BJ42" t="s">
        <v>106</v>
      </c>
      <c r="BK42" t="s">
        <v>106</v>
      </c>
      <c r="BL42" t="s">
        <v>106</v>
      </c>
      <c r="BM42" t="s">
        <v>106</v>
      </c>
    </row>
    <row r="43" spans="1:65">
      <c r="B43" t="s">
        <v>146</v>
      </c>
      <c r="C43" t="s">
        <v>105</v>
      </c>
      <c r="D43" t="s">
        <v>105</v>
      </c>
      <c r="E43" t="s">
        <v>105</v>
      </c>
      <c r="F43" t="s">
        <v>106</v>
      </c>
      <c r="G43" t="s">
        <v>106</v>
      </c>
      <c r="H43" t="s">
        <v>106</v>
      </c>
      <c r="I43" t="s">
        <v>106</v>
      </c>
      <c r="J43" t="s">
        <v>106</v>
      </c>
      <c r="K43" t="s">
        <v>106</v>
      </c>
      <c r="L43" t="s">
        <v>106</v>
      </c>
      <c r="M43" t="s">
        <v>106</v>
      </c>
      <c r="N43" t="s">
        <v>106</v>
      </c>
      <c r="O43" t="s">
        <v>106</v>
      </c>
      <c r="P43" t="s">
        <v>106</v>
      </c>
      <c r="Q43" t="s">
        <v>106</v>
      </c>
      <c r="R43" t="s">
        <v>106</v>
      </c>
      <c r="S43" t="s">
        <v>106</v>
      </c>
      <c r="T43" t="s">
        <v>106</v>
      </c>
      <c r="U43" t="s">
        <v>106</v>
      </c>
      <c r="V43" t="s">
        <v>106</v>
      </c>
      <c r="W43" t="s">
        <v>106</v>
      </c>
      <c r="X43" t="s">
        <v>106</v>
      </c>
      <c r="Y43">
        <v>-14.3</v>
      </c>
      <c r="Z43">
        <v>-10.5</v>
      </c>
      <c r="AA43">
        <v>-0.1</v>
      </c>
      <c r="AB43" t="s">
        <v>106</v>
      </c>
      <c r="AC43" t="s">
        <v>106</v>
      </c>
      <c r="AD43" t="s">
        <v>106</v>
      </c>
      <c r="AE43">
        <v>-0.3</v>
      </c>
      <c r="AF43">
        <v>-2.8</v>
      </c>
      <c r="AG43">
        <v>-214.7</v>
      </c>
      <c r="AH43" t="s">
        <v>106</v>
      </c>
      <c r="AI43" t="s">
        <v>106</v>
      </c>
      <c r="AJ43">
        <v>-7.2</v>
      </c>
      <c r="AK43" t="s">
        <v>106</v>
      </c>
      <c r="AL43" t="s">
        <v>106</v>
      </c>
      <c r="AM43" t="s">
        <v>106</v>
      </c>
      <c r="AN43" t="s">
        <v>106</v>
      </c>
      <c r="AO43" t="s">
        <v>106</v>
      </c>
      <c r="AP43" t="s">
        <v>106</v>
      </c>
      <c r="AQ43" t="s">
        <v>106</v>
      </c>
      <c r="AR43" t="s">
        <v>106</v>
      </c>
      <c r="AS43" t="s">
        <v>106</v>
      </c>
      <c r="AT43" t="s">
        <v>106</v>
      </c>
      <c r="AU43" t="s">
        <v>106</v>
      </c>
      <c r="AV43" t="s">
        <v>106</v>
      </c>
      <c r="AW43" t="s">
        <v>106</v>
      </c>
      <c r="AX43" t="s">
        <v>106</v>
      </c>
      <c r="AY43" t="s">
        <v>106</v>
      </c>
      <c r="AZ43" t="s">
        <v>106</v>
      </c>
      <c r="BA43" t="s">
        <v>106</v>
      </c>
      <c r="BB43" t="s">
        <v>106</v>
      </c>
      <c r="BC43" t="s">
        <v>106</v>
      </c>
      <c r="BD43" t="s">
        <v>106</v>
      </c>
      <c r="BE43" t="s">
        <v>106</v>
      </c>
      <c r="BF43" t="s">
        <v>106</v>
      </c>
      <c r="BG43" t="s">
        <v>106</v>
      </c>
      <c r="BH43" t="s">
        <v>106</v>
      </c>
      <c r="BI43" t="s">
        <v>106</v>
      </c>
      <c r="BJ43">
        <v>-6.9</v>
      </c>
      <c r="BK43" t="s">
        <v>106</v>
      </c>
      <c r="BL43">
        <v>-257</v>
      </c>
      <c r="BM43">
        <v>-14.3</v>
      </c>
    </row>
    <row r="44" spans="1:65">
      <c r="A44" t="s">
        <v>147</v>
      </c>
      <c r="B44" t="s">
        <v>105</v>
      </c>
      <c r="C44" t="s">
        <v>105</v>
      </c>
      <c r="D44" t="s">
        <v>105</v>
      </c>
      <c r="E44" t="s">
        <v>105</v>
      </c>
      <c r="F44" t="s">
        <v>106</v>
      </c>
      <c r="G44" t="s">
        <v>106</v>
      </c>
      <c r="H44" t="s">
        <v>106</v>
      </c>
      <c r="I44" t="s">
        <v>106</v>
      </c>
      <c r="J44" t="s">
        <v>106</v>
      </c>
      <c r="K44" t="s">
        <v>106</v>
      </c>
      <c r="L44" t="s">
        <v>106</v>
      </c>
      <c r="M44" t="s">
        <v>106</v>
      </c>
      <c r="N44" t="s">
        <v>106</v>
      </c>
      <c r="O44" t="s">
        <v>106</v>
      </c>
      <c r="P44" t="s">
        <v>106</v>
      </c>
      <c r="Q44" t="s">
        <v>106</v>
      </c>
      <c r="R44" t="s">
        <v>106</v>
      </c>
      <c r="S44">
        <v>4.7</v>
      </c>
      <c r="T44" t="s">
        <v>106</v>
      </c>
      <c r="U44" t="s">
        <v>106</v>
      </c>
      <c r="V44" t="s">
        <v>106</v>
      </c>
      <c r="W44" t="s">
        <v>106</v>
      </c>
      <c r="X44" t="s">
        <v>106</v>
      </c>
      <c r="Y44" t="s">
        <v>106</v>
      </c>
      <c r="Z44" t="s">
        <v>106</v>
      </c>
      <c r="AA44" t="s">
        <v>106</v>
      </c>
      <c r="AB44" t="s">
        <v>106</v>
      </c>
      <c r="AC44" t="s">
        <v>106</v>
      </c>
      <c r="AD44" t="s">
        <v>106</v>
      </c>
      <c r="AE44" t="s">
        <v>106</v>
      </c>
      <c r="AF44" t="s">
        <v>106</v>
      </c>
      <c r="AG44" t="s">
        <v>106</v>
      </c>
      <c r="AH44" t="s">
        <v>106</v>
      </c>
      <c r="AI44" t="s">
        <v>106</v>
      </c>
      <c r="AJ44" t="s">
        <v>106</v>
      </c>
      <c r="AK44" t="s">
        <v>106</v>
      </c>
      <c r="AL44" t="s">
        <v>106</v>
      </c>
      <c r="AM44" t="s">
        <v>106</v>
      </c>
      <c r="AN44" t="s">
        <v>106</v>
      </c>
      <c r="AO44" t="s">
        <v>106</v>
      </c>
      <c r="AP44" t="s">
        <v>106</v>
      </c>
      <c r="AQ44" t="s">
        <v>106</v>
      </c>
      <c r="AR44" t="s">
        <v>106</v>
      </c>
      <c r="AS44" t="s">
        <v>106</v>
      </c>
      <c r="AT44" t="s">
        <v>106</v>
      </c>
      <c r="AU44" t="s">
        <v>106</v>
      </c>
      <c r="AV44" t="s">
        <v>106</v>
      </c>
      <c r="AW44" t="s">
        <v>106</v>
      </c>
      <c r="AX44" t="s">
        <v>106</v>
      </c>
      <c r="AY44" t="s">
        <v>106</v>
      </c>
      <c r="AZ44" t="s">
        <v>106</v>
      </c>
      <c r="BA44" t="s">
        <v>106</v>
      </c>
      <c r="BB44" t="s">
        <v>106</v>
      </c>
      <c r="BC44" t="s">
        <v>106</v>
      </c>
      <c r="BD44" t="s">
        <v>106</v>
      </c>
      <c r="BE44" t="s">
        <v>106</v>
      </c>
      <c r="BF44" t="s">
        <v>106</v>
      </c>
      <c r="BG44" t="s">
        <v>106</v>
      </c>
      <c r="BH44" t="s">
        <v>106</v>
      </c>
      <c r="BI44" t="s">
        <v>106</v>
      </c>
      <c r="BJ44">
        <v>-1957.1</v>
      </c>
      <c r="BK44">
        <v>-333.4</v>
      </c>
      <c r="BL44">
        <v>-2285.6999999999998</v>
      </c>
      <c r="BM44" t="s">
        <v>106</v>
      </c>
    </row>
    <row r="45" spans="1:65">
      <c r="A45" t="s">
        <v>148</v>
      </c>
      <c r="B45" t="s">
        <v>105</v>
      </c>
      <c r="C45" t="s">
        <v>105</v>
      </c>
      <c r="D45" t="s">
        <v>105</v>
      </c>
      <c r="E45" t="s">
        <v>105</v>
      </c>
      <c r="F45" t="s">
        <v>106</v>
      </c>
      <c r="G45">
        <v>2679.7</v>
      </c>
      <c r="H45" t="s">
        <v>106</v>
      </c>
      <c r="I45">
        <v>3670.2</v>
      </c>
      <c r="J45" t="s">
        <v>106</v>
      </c>
      <c r="K45">
        <v>0</v>
      </c>
      <c r="L45">
        <v>27</v>
      </c>
      <c r="M45">
        <v>195.5</v>
      </c>
      <c r="N45">
        <v>696.6</v>
      </c>
      <c r="O45">
        <v>505.6</v>
      </c>
      <c r="P45">
        <v>1672.5</v>
      </c>
      <c r="Q45">
        <v>32.9</v>
      </c>
      <c r="R45">
        <v>161.6</v>
      </c>
      <c r="S45">
        <v>1686.7</v>
      </c>
      <c r="T45">
        <v>23722.9</v>
      </c>
      <c r="U45" t="s">
        <v>106</v>
      </c>
      <c r="V45" t="s">
        <v>106</v>
      </c>
      <c r="W45" t="s">
        <v>106</v>
      </c>
      <c r="X45" t="s">
        <v>106</v>
      </c>
      <c r="Y45">
        <v>293.3</v>
      </c>
      <c r="Z45">
        <v>7443.2</v>
      </c>
      <c r="AA45">
        <v>4018.9</v>
      </c>
      <c r="AB45">
        <v>10888</v>
      </c>
      <c r="AC45">
        <v>1.2</v>
      </c>
      <c r="AD45" t="s">
        <v>106</v>
      </c>
      <c r="AE45">
        <v>2162</v>
      </c>
      <c r="AF45">
        <v>2112.9</v>
      </c>
      <c r="AG45">
        <v>21534.9</v>
      </c>
      <c r="AH45">
        <v>146.6</v>
      </c>
      <c r="AI45">
        <v>24.5</v>
      </c>
      <c r="AJ45">
        <v>789.1</v>
      </c>
      <c r="AK45">
        <v>43578.7</v>
      </c>
      <c r="AL45">
        <v>174.7</v>
      </c>
      <c r="AM45">
        <v>1141</v>
      </c>
      <c r="AN45">
        <v>1338</v>
      </c>
      <c r="AO45">
        <v>23.9</v>
      </c>
      <c r="AP45">
        <v>489.8</v>
      </c>
      <c r="AQ45">
        <v>2710.1</v>
      </c>
      <c r="AR45">
        <v>1745.3</v>
      </c>
      <c r="AS45">
        <v>699.9</v>
      </c>
      <c r="AT45">
        <v>436.7</v>
      </c>
      <c r="AU45">
        <v>855.3</v>
      </c>
      <c r="AV45">
        <v>57.7</v>
      </c>
      <c r="AW45">
        <v>0.2</v>
      </c>
      <c r="AX45" t="s">
        <v>106</v>
      </c>
      <c r="AY45">
        <v>681.6</v>
      </c>
      <c r="AZ45" t="s">
        <v>106</v>
      </c>
      <c r="BA45" t="s">
        <v>106</v>
      </c>
      <c r="BB45" t="s">
        <v>106</v>
      </c>
      <c r="BC45" t="s">
        <v>106</v>
      </c>
      <c r="BD45">
        <v>279.7</v>
      </c>
      <c r="BE45" t="s">
        <v>106</v>
      </c>
      <c r="BF45">
        <v>25</v>
      </c>
      <c r="BG45" t="s">
        <v>106</v>
      </c>
      <c r="BH45" t="s">
        <v>106</v>
      </c>
      <c r="BI45" t="s">
        <v>106</v>
      </c>
      <c r="BJ45">
        <v>49187.3</v>
      </c>
      <c r="BK45">
        <v>6649.6</v>
      </c>
      <c r="BL45">
        <v>194540.3</v>
      </c>
      <c r="BM45">
        <v>6941.8</v>
      </c>
    </row>
    <row r="46" spans="1:65">
      <c r="B46" t="s">
        <v>149</v>
      </c>
      <c r="C46" t="s">
        <v>105</v>
      </c>
      <c r="D46" t="s">
        <v>105</v>
      </c>
      <c r="E46" t="s">
        <v>105</v>
      </c>
      <c r="F46" t="s">
        <v>106</v>
      </c>
      <c r="G46">
        <v>2679.7</v>
      </c>
      <c r="H46" t="s">
        <v>106</v>
      </c>
      <c r="I46">
        <v>3670.2</v>
      </c>
      <c r="J46" t="s">
        <v>106</v>
      </c>
      <c r="K46">
        <v>0</v>
      </c>
      <c r="L46" t="s">
        <v>106</v>
      </c>
      <c r="M46">
        <v>195.5</v>
      </c>
      <c r="N46">
        <v>696.6</v>
      </c>
      <c r="O46" t="s">
        <v>106</v>
      </c>
      <c r="P46">
        <v>1672.5</v>
      </c>
      <c r="Q46">
        <v>32.9</v>
      </c>
      <c r="R46">
        <v>161.6</v>
      </c>
      <c r="S46">
        <v>936.6</v>
      </c>
      <c r="T46">
        <v>23722.9</v>
      </c>
      <c r="U46" t="s">
        <v>106</v>
      </c>
      <c r="V46" t="s">
        <v>106</v>
      </c>
      <c r="W46" t="s">
        <v>106</v>
      </c>
      <c r="X46" t="s">
        <v>106</v>
      </c>
      <c r="Y46">
        <v>293.3</v>
      </c>
      <c r="Z46">
        <v>2675.4</v>
      </c>
      <c r="AA46">
        <v>3210.5</v>
      </c>
      <c r="AB46">
        <v>10888</v>
      </c>
      <c r="AC46">
        <v>1.2</v>
      </c>
      <c r="AD46" t="s">
        <v>106</v>
      </c>
      <c r="AE46">
        <v>2162</v>
      </c>
      <c r="AF46">
        <v>2112.9</v>
      </c>
      <c r="AG46">
        <v>21534.9</v>
      </c>
      <c r="AH46">
        <v>146.6</v>
      </c>
      <c r="AI46">
        <v>24.5</v>
      </c>
      <c r="AJ46">
        <v>789.1</v>
      </c>
      <c r="AK46" t="s">
        <v>106</v>
      </c>
      <c r="AL46" t="s">
        <v>106</v>
      </c>
      <c r="AM46" t="s">
        <v>106</v>
      </c>
      <c r="AN46" t="s">
        <v>106</v>
      </c>
      <c r="AO46" t="s">
        <v>106</v>
      </c>
      <c r="AP46" t="s">
        <v>106</v>
      </c>
      <c r="AQ46" t="s">
        <v>106</v>
      </c>
      <c r="AR46">
        <v>1745.3</v>
      </c>
      <c r="AS46">
        <v>699.9</v>
      </c>
      <c r="AT46">
        <v>436.7</v>
      </c>
      <c r="AU46">
        <v>855.3</v>
      </c>
      <c r="AV46">
        <v>57.7</v>
      </c>
      <c r="AW46">
        <v>0.2</v>
      </c>
      <c r="AX46" t="s">
        <v>106</v>
      </c>
      <c r="AY46">
        <v>681.6</v>
      </c>
      <c r="AZ46" t="s">
        <v>106</v>
      </c>
      <c r="BA46" t="s">
        <v>106</v>
      </c>
      <c r="BB46" t="s">
        <v>106</v>
      </c>
      <c r="BC46" t="s">
        <v>106</v>
      </c>
      <c r="BD46">
        <v>279.7</v>
      </c>
      <c r="BE46" t="s">
        <v>106</v>
      </c>
      <c r="BF46">
        <v>25</v>
      </c>
      <c r="BG46" t="s">
        <v>106</v>
      </c>
      <c r="BH46" t="s">
        <v>106</v>
      </c>
      <c r="BI46" t="s">
        <v>106</v>
      </c>
      <c r="BJ46">
        <v>49187.3</v>
      </c>
      <c r="BK46">
        <v>6649.6</v>
      </c>
      <c r="BL46">
        <v>138225.20000000001</v>
      </c>
      <c r="BM46">
        <v>6941.8</v>
      </c>
    </row>
    <row r="47" spans="1:65">
      <c r="C47" t="s">
        <v>150</v>
      </c>
      <c r="D47" t="s">
        <v>105</v>
      </c>
      <c r="E47" t="s">
        <v>105</v>
      </c>
      <c r="F47" t="s">
        <v>106</v>
      </c>
      <c r="G47">
        <v>2679.7</v>
      </c>
      <c r="H47" t="s">
        <v>106</v>
      </c>
      <c r="I47">
        <v>3670.2</v>
      </c>
      <c r="J47" t="s">
        <v>106</v>
      </c>
      <c r="K47">
        <v>0</v>
      </c>
      <c r="L47" t="s">
        <v>106</v>
      </c>
      <c r="M47">
        <v>1.2</v>
      </c>
      <c r="N47">
        <v>696.6</v>
      </c>
      <c r="O47" t="s">
        <v>106</v>
      </c>
      <c r="P47">
        <v>1672.5</v>
      </c>
      <c r="Q47">
        <v>32.9</v>
      </c>
      <c r="R47">
        <v>161.6</v>
      </c>
      <c r="S47">
        <v>936.6</v>
      </c>
      <c r="T47">
        <v>7673.8</v>
      </c>
      <c r="U47" t="s">
        <v>106</v>
      </c>
      <c r="V47" t="s">
        <v>106</v>
      </c>
      <c r="W47" t="s">
        <v>106</v>
      </c>
      <c r="X47" t="s">
        <v>106</v>
      </c>
      <c r="Y47">
        <v>293.3</v>
      </c>
      <c r="Z47">
        <v>852.1</v>
      </c>
      <c r="AA47">
        <v>115.8</v>
      </c>
      <c r="AB47">
        <v>138.9</v>
      </c>
      <c r="AC47" t="s">
        <v>106</v>
      </c>
      <c r="AD47" t="s">
        <v>106</v>
      </c>
      <c r="AE47">
        <v>0.4</v>
      </c>
      <c r="AF47">
        <v>256</v>
      </c>
      <c r="AG47">
        <v>1997.2</v>
      </c>
      <c r="AH47">
        <v>82.8</v>
      </c>
      <c r="AI47">
        <v>19.7</v>
      </c>
      <c r="AJ47">
        <v>552.6</v>
      </c>
      <c r="AK47" t="s">
        <v>106</v>
      </c>
      <c r="AL47" t="s">
        <v>106</v>
      </c>
      <c r="AM47" t="s">
        <v>106</v>
      </c>
      <c r="AN47" t="s">
        <v>106</v>
      </c>
      <c r="AO47" t="s">
        <v>106</v>
      </c>
      <c r="AP47" t="s">
        <v>106</v>
      </c>
      <c r="AQ47" t="s">
        <v>106</v>
      </c>
      <c r="AR47">
        <v>1701.9</v>
      </c>
      <c r="AS47">
        <v>44.2</v>
      </c>
      <c r="AT47">
        <v>393.6</v>
      </c>
      <c r="AU47">
        <v>637.70000000000005</v>
      </c>
      <c r="AV47">
        <v>19.5</v>
      </c>
      <c r="AW47">
        <v>0.2</v>
      </c>
      <c r="AX47" t="s">
        <v>106</v>
      </c>
      <c r="AY47" t="s">
        <v>106</v>
      </c>
      <c r="AZ47" t="s">
        <v>106</v>
      </c>
      <c r="BA47" t="s">
        <v>106</v>
      </c>
      <c r="BB47" t="s">
        <v>106</v>
      </c>
      <c r="BC47" t="s">
        <v>106</v>
      </c>
      <c r="BD47">
        <v>38.799999999999997</v>
      </c>
      <c r="BE47" t="s">
        <v>106</v>
      </c>
      <c r="BF47">
        <v>1.3</v>
      </c>
      <c r="BG47" t="s">
        <v>106</v>
      </c>
      <c r="BH47" t="s">
        <v>106</v>
      </c>
      <c r="BI47" t="s">
        <v>106</v>
      </c>
      <c r="BJ47">
        <v>26373.9</v>
      </c>
      <c r="BK47">
        <v>3600.1</v>
      </c>
      <c r="BL47">
        <v>54645</v>
      </c>
      <c r="BM47">
        <v>4997.6000000000004</v>
      </c>
    </row>
    <row r="48" spans="1:65">
      <c r="D48" t="s">
        <v>151</v>
      </c>
      <c r="E48" t="s">
        <v>105</v>
      </c>
      <c r="F48" t="s">
        <v>106</v>
      </c>
      <c r="G48" t="s">
        <v>106</v>
      </c>
      <c r="H48" t="s">
        <v>106</v>
      </c>
      <c r="I48" t="s">
        <v>106</v>
      </c>
      <c r="J48" t="s">
        <v>106</v>
      </c>
      <c r="K48" t="s">
        <v>106</v>
      </c>
      <c r="L48" t="s">
        <v>106</v>
      </c>
      <c r="M48">
        <v>0.5</v>
      </c>
      <c r="N48" t="s">
        <v>106</v>
      </c>
      <c r="O48" t="s">
        <v>106</v>
      </c>
      <c r="P48" t="s">
        <v>106</v>
      </c>
      <c r="Q48" t="s">
        <v>106</v>
      </c>
      <c r="R48" t="s">
        <v>106</v>
      </c>
      <c r="S48" t="s">
        <v>106</v>
      </c>
      <c r="T48">
        <v>3.4</v>
      </c>
      <c r="U48" t="s">
        <v>106</v>
      </c>
      <c r="V48" t="s">
        <v>106</v>
      </c>
      <c r="W48" t="s">
        <v>106</v>
      </c>
      <c r="X48" t="s">
        <v>106</v>
      </c>
      <c r="Y48" t="s">
        <v>106</v>
      </c>
      <c r="Z48">
        <v>5.2</v>
      </c>
      <c r="AA48">
        <v>0.1</v>
      </c>
      <c r="AB48">
        <v>28.8</v>
      </c>
      <c r="AC48" t="s">
        <v>106</v>
      </c>
      <c r="AD48" t="s">
        <v>106</v>
      </c>
      <c r="AE48" t="s">
        <v>106</v>
      </c>
      <c r="AF48">
        <v>172.1</v>
      </c>
      <c r="AG48">
        <v>222.3</v>
      </c>
      <c r="AH48">
        <v>2.7</v>
      </c>
      <c r="AI48">
        <v>6.1</v>
      </c>
      <c r="AJ48">
        <v>13.1</v>
      </c>
      <c r="AK48" t="s">
        <v>106</v>
      </c>
      <c r="AL48" t="s">
        <v>106</v>
      </c>
      <c r="AM48" t="s">
        <v>106</v>
      </c>
      <c r="AN48" t="s">
        <v>106</v>
      </c>
      <c r="AO48" t="s">
        <v>106</v>
      </c>
      <c r="AP48" t="s">
        <v>106</v>
      </c>
      <c r="AQ48" t="s">
        <v>106</v>
      </c>
      <c r="AR48" t="s">
        <v>106</v>
      </c>
      <c r="AS48">
        <v>0.6</v>
      </c>
      <c r="AT48" t="s">
        <v>106</v>
      </c>
      <c r="AU48">
        <v>158.30000000000001</v>
      </c>
      <c r="AV48" t="s">
        <v>106</v>
      </c>
      <c r="AW48" t="s">
        <v>106</v>
      </c>
      <c r="AX48" t="s">
        <v>106</v>
      </c>
      <c r="AY48" t="s">
        <v>106</v>
      </c>
      <c r="AZ48" t="s">
        <v>106</v>
      </c>
      <c r="BA48" t="s">
        <v>106</v>
      </c>
      <c r="BB48" t="s">
        <v>106</v>
      </c>
      <c r="BC48" t="s">
        <v>106</v>
      </c>
      <c r="BD48">
        <v>33.799999999999997</v>
      </c>
      <c r="BE48" t="s">
        <v>106</v>
      </c>
      <c r="BF48" t="s">
        <v>106</v>
      </c>
      <c r="BG48" t="s">
        <v>106</v>
      </c>
      <c r="BH48" t="s">
        <v>106</v>
      </c>
      <c r="BI48" t="s">
        <v>106</v>
      </c>
      <c r="BJ48">
        <v>1392.1</v>
      </c>
      <c r="BK48" t="s">
        <v>106</v>
      </c>
      <c r="BL48">
        <v>2039</v>
      </c>
      <c r="BM48">
        <v>192.6</v>
      </c>
    </row>
    <row r="49" spans="3:65">
      <c r="D49" t="s">
        <v>152</v>
      </c>
      <c r="E49" t="s">
        <v>105</v>
      </c>
      <c r="F49" t="s">
        <v>106</v>
      </c>
      <c r="G49" t="s">
        <v>106</v>
      </c>
      <c r="H49" t="s">
        <v>106</v>
      </c>
      <c r="I49" t="s">
        <v>106</v>
      </c>
      <c r="J49" t="s">
        <v>106</v>
      </c>
      <c r="K49" t="s">
        <v>106</v>
      </c>
      <c r="L49" t="s">
        <v>106</v>
      </c>
      <c r="M49" t="s">
        <v>106</v>
      </c>
      <c r="N49" t="s">
        <v>106</v>
      </c>
      <c r="O49" t="s">
        <v>106</v>
      </c>
      <c r="P49" t="s">
        <v>106</v>
      </c>
      <c r="Q49" t="s">
        <v>106</v>
      </c>
      <c r="R49" t="s">
        <v>106</v>
      </c>
      <c r="S49" t="s">
        <v>106</v>
      </c>
      <c r="T49" t="s">
        <v>106</v>
      </c>
      <c r="U49" t="s">
        <v>106</v>
      </c>
      <c r="V49" t="s">
        <v>106</v>
      </c>
      <c r="W49" t="s">
        <v>106</v>
      </c>
      <c r="X49" t="s">
        <v>106</v>
      </c>
      <c r="Y49" t="s">
        <v>106</v>
      </c>
      <c r="Z49">
        <v>1.2</v>
      </c>
      <c r="AA49" t="s">
        <v>106</v>
      </c>
      <c r="AB49">
        <v>73.900000000000006</v>
      </c>
      <c r="AC49" t="s">
        <v>106</v>
      </c>
      <c r="AD49" t="s">
        <v>106</v>
      </c>
      <c r="AE49" t="s">
        <v>106</v>
      </c>
      <c r="AF49">
        <v>0</v>
      </c>
      <c r="AG49">
        <v>719.6</v>
      </c>
      <c r="AH49">
        <v>2.9</v>
      </c>
      <c r="AI49">
        <v>6.7</v>
      </c>
      <c r="AJ49">
        <v>4.2</v>
      </c>
      <c r="AK49" t="s">
        <v>106</v>
      </c>
      <c r="AL49" t="s">
        <v>106</v>
      </c>
      <c r="AM49" t="s">
        <v>106</v>
      </c>
      <c r="AN49" t="s">
        <v>106</v>
      </c>
      <c r="AO49" t="s">
        <v>106</v>
      </c>
      <c r="AP49" t="s">
        <v>106</v>
      </c>
      <c r="AQ49" t="s">
        <v>106</v>
      </c>
      <c r="AR49" t="s">
        <v>106</v>
      </c>
      <c r="AS49" t="s">
        <v>106</v>
      </c>
      <c r="AT49" t="s">
        <v>106</v>
      </c>
      <c r="AU49" t="s">
        <v>106</v>
      </c>
      <c r="AV49" t="s">
        <v>106</v>
      </c>
      <c r="AW49" t="s">
        <v>106</v>
      </c>
      <c r="AX49" t="s">
        <v>106</v>
      </c>
      <c r="AY49" t="s">
        <v>106</v>
      </c>
      <c r="AZ49" t="s">
        <v>106</v>
      </c>
      <c r="BA49" t="s">
        <v>106</v>
      </c>
      <c r="BB49" t="s">
        <v>106</v>
      </c>
      <c r="BC49" t="s">
        <v>106</v>
      </c>
      <c r="BD49" t="s">
        <v>106</v>
      </c>
      <c r="BE49" t="s">
        <v>106</v>
      </c>
      <c r="BF49" t="s">
        <v>106</v>
      </c>
      <c r="BG49" t="s">
        <v>106</v>
      </c>
      <c r="BH49" t="s">
        <v>106</v>
      </c>
      <c r="BI49" t="s">
        <v>106</v>
      </c>
      <c r="BJ49">
        <v>266.5</v>
      </c>
      <c r="BK49" t="s">
        <v>106</v>
      </c>
      <c r="BL49">
        <v>1074.9000000000001</v>
      </c>
      <c r="BM49" t="s">
        <v>106</v>
      </c>
    </row>
    <row r="50" spans="3:65">
      <c r="D50" t="s">
        <v>153</v>
      </c>
      <c r="E50" t="s">
        <v>105</v>
      </c>
      <c r="F50" t="s">
        <v>106</v>
      </c>
      <c r="G50" t="s">
        <v>106</v>
      </c>
      <c r="H50" t="s">
        <v>106</v>
      </c>
      <c r="I50" t="s">
        <v>106</v>
      </c>
      <c r="J50" t="s">
        <v>106</v>
      </c>
      <c r="K50" t="s">
        <v>106</v>
      </c>
      <c r="L50" t="s">
        <v>106</v>
      </c>
      <c r="M50" t="s">
        <v>106</v>
      </c>
      <c r="N50" t="s">
        <v>106</v>
      </c>
      <c r="O50" t="s">
        <v>106</v>
      </c>
      <c r="P50" t="s">
        <v>106</v>
      </c>
      <c r="Q50" t="s">
        <v>106</v>
      </c>
      <c r="R50" t="s">
        <v>106</v>
      </c>
      <c r="S50" t="s">
        <v>106</v>
      </c>
      <c r="T50" t="s">
        <v>106</v>
      </c>
      <c r="U50" t="s">
        <v>106</v>
      </c>
      <c r="V50" t="s">
        <v>106</v>
      </c>
      <c r="W50" t="s">
        <v>106</v>
      </c>
      <c r="X50" t="s">
        <v>106</v>
      </c>
      <c r="Y50" t="s">
        <v>106</v>
      </c>
      <c r="Z50">
        <v>1.9</v>
      </c>
      <c r="AA50">
        <v>0</v>
      </c>
      <c r="AB50">
        <v>0</v>
      </c>
      <c r="AC50" t="s">
        <v>106</v>
      </c>
      <c r="AD50" t="s">
        <v>106</v>
      </c>
      <c r="AE50" t="s">
        <v>106</v>
      </c>
      <c r="AF50">
        <v>0.7</v>
      </c>
      <c r="AG50">
        <v>29.9</v>
      </c>
      <c r="AH50">
        <v>3.1</v>
      </c>
      <c r="AI50">
        <v>0.5</v>
      </c>
      <c r="AJ50">
        <v>6.2</v>
      </c>
      <c r="AK50" t="s">
        <v>106</v>
      </c>
      <c r="AL50" t="s">
        <v>106</v>
      </c>
      <c r="AM50" t="s">
        <v>106</v>
      </c>
      <c r="AN50" t="s">
        <v>106</v>
      </c>
      <c r="AO50" t="s">
        <v>106</v>
      </c>
      <c r="AP50" t="s">
        <v>106</v>
      </c>
      <c r="AQ50" t="s">
        <v>106</v>
      </c>
      <c r="AR50" t="s">
        <v>106</v>
      </c>
      <c r="AS50" t="s">
        <v>106</v>
      </c>
      <c r="AT50" t="s">
        <v>106</v>
      </c>
      <c r="AU50" t="s">
        <v>106</v>
      </c>
      <c r="AV50">
        <v>4</v>
      </c>
      <c r="AW50" t="s">
        <v>106</v>
      </c>
      <c r="AX50" t="s">
        <v>106</v>
      </c>
      <c r="AY50" t="s">
        <v>106</v>
      </c>
      <c r="AZ50" t="s">
        <v>106</v>
      </c>
      <c r="BA50" t="s">
        <v>106</v>
      </c>
      <c r="BB50" t="s">
        <v>106</v>
      </c>
      <c r="BC50" t="s">
        <v>106</v>
      </c>
      <c r="BD50" t="s">
        <v>106</v>
      </c>
      <c r="BE50" t="s">
        <v>106</v>
      </c>
      <c r="BF50" t="s">
        <v>106</v>
      </c>
      <c r="BG50" t="s">
        <v>106</v>
      </c>
      <c r="BH50" t="s">
        <v>106</v>
      </c>
      <c r="BI50" t="s">
        <v>106</v>
      </c>
      <c r="BJ50">
        <v>151.30000000000001</v>
      </c>
      <c r="BK50" t="s">
        <v>106</v>
      </c>
      <c r="BL50">
        <v>197.6</v>
      </c>
      <c r="BM50">
        <v>4</v>
      </c>
    </row>
    <row r="51" spans="3:65">
      <c r="D51" t="s">
        <v>154</v>
      </c>
      <c r="E51" t="s">
        <v>105</v>
      </c>
      <c r="F51" t="s">
        <v>106</v>
      </c>
      <c r="G51">
        <v>2679.7</v>
      </c>
      <c r="H51" t="s">
        <v>106</v>
      </c>
      <c r="I51">
        <v>3670.2</v>
      </c>
      <c r="J51" t="s">
        <v>106</v>
      </c>
      <c r="K51" t="s">
        <v>106</v>
      </c>
      <c r="L51" t="s">
        <v>106</v>
      </c>
      <c r="M51">
        <v>0.8</v>
      </c>
      <c r="N51">
        <v>696.6</v>
      </c>
      <c r="O51" t="s">
        <v>106</v>
      </c>
      <c r="P51">
        <v>1672.5</v>
      </c>
      <c r="Q51">
        <v>32.9</v>
      </c>
      <c r="R51">
        <v>161.6</v>
      </c>
      <c r="S51">
        <v>936.6</v>
      </c>
      <c r="T51">
        <v>7670.3</v>
      </c>
      <c r="U51" t="s">
        <v>106</v>
      </c>
      <c r="V51" t="s">
        <v>106</v>
      </c>
      <c r="W51" t="s">
        <v>106</v>
      </c>
      <c r="X51" t="s">
        <v>106</v>
      </c>
      <c r="Y51">
        <v>293.3</v>
      </c>
      <c r="Z51">
        <v>835.8</v>
      </c>
      <c r="AA51">
        <v>115.7</v>
      </c>
      <c r="AB51">
        <v>28.6</v>
      </c>
      <c r="AC51" t="s">
        <v>106</v>
      </c>
      <c r="AD51" t="s">
        <v>106</v>
      </c>
      <c r="AE51">
        <v>0.4</v>
      </c>
      <c r="AF51">
        <v>55.4</v>
      </c>
      <c r="AG51">
        <v>433.9</v>
      </c>
      <c r="AH51">
        <v>37.299999999999997</v>
      </c>
      <c r="AI51">
        <v>6.4</v>
      </c>
      <c r="AJ51">
        <v>527.1</v>
      </c>
      <c r="AK51" t="s">
        <v>106</v>
      </c>
      <c r="AL51" t="s">
        <v>106</v>
      </c>
      <c r="AM51" t="s">
        <v>106</v>
      </c>
      <c r="AN51" t="s">
        <v>106</v>
      </c>
      <c r="AO51" t="s">
        <v>106</v>
      </c>
      <c r="AP51" t="s">
        <v>106</v>
      </c>
      <c r="AQ51" t="s">
        <v>106</v>
      </c>
      <c r="AR51">
        <v>1701.9</v>
      </c>
      <c r="AS51">
        <v>43.6</v>
      </c>
      <c r="AT51">
        <v>393.6</v>
      </c>
      <c r="AU51">
        <v>479.4</v>
      </c>
      <c r="AV51">
        <v>15.5</v>
      </c>
      <c r="AW51">
        <v>0.2</v>
      </c>
      <c r="AX51" t="s">
        <v>106</v>
      </c>
      <c r="AY51" t="s">
        <v>106</v>
      </c>
      <c r="AZ51" t="s">
        <v>106</v>
      </c>
      <c r="BA51" t="s">
        <v>106</v>
      </c>
      <c r="BB51" t="s">
        <v>106</v>
      </c>
      <c r="BC51" t="s">
        <v>106</v>
      </c>
      <c r="BD51">
        <v>5</v>
      </c>
      <c r="BE51" t="s">
        <v>106</v>
      </c>
      <c r="BF51">
        <v>1.3</v>
      </c>
      <c r="BG51" t="s">
        <v>106</v>
      </c>
      <c r="BH51" t="s">
        <v>106</v>
      </c>
      <c r="BI51" t="s">
        <v>106</v>
      </c>
      <c r="BJ51">
        <v>24564.1</v>
      </c>
      <c r="BK51">
        <v>3600.1</v>
      </c>
      <c r="BL51">
        <v>50659.9</v>
      </c>
      <c r="BM51">
        <v>4800.8999999999996</v>
      </c>
    </row>
    <row r="52" spans="3:65">
      <c r="E52" t="s">
        <v>155</v>
      </c>
      <c r="F52" t="s">
        <v>106</v>
      </c>
      <c r="G52" t="s">
        <v>106</v>
      </c>
      <c r="H52" t="s">
        <v>106</v>
      </c>
      <c r="I52" t="s">
        <v>106</v>
      </c>
      <c r="J52" t="s">
        <v>106</v>
      </c>
      <c r="K52" t="s">
        <v>106</v>
      </c>
      <c r="L52" t="s">
        <v>106</v>
      </c>
      <c r="M52" t="s">
        <v>106</v>
      </c>
      <c r="N52" t="s">
        <v>106</v>
      </c>
      <c r="O52" t="s">
        <v>106</v>
      </c>
      <c r="P52" t="s">
        <v>106</v>
      </c>
      <c r="Q52" t="s">
        <v>106</v>
      </c>
      <c r="R52" t="s">
        <v>106</v>
      </c>
      <c r="S52" t="s">
        <v>106</v>
      </c>
      <c r="T52">
        <v>912.9</v>
      </c>
      <c r="U52" t="s">
        <v>106</v>
      </c>
      <c r="V52" t="s">
        <v>106</v>
      </c>
      <c r="W52" t="s">
        <v>106</v>
      </c>
      <c r="X52" t="s">
        <v>106</v>
      </c>
      <c r="Y52" t="s">
        <v>106</v>
      </c>
      <c r="Z52">
        <v>21</v>
      </c>
      <c r="AA52">
        <v>0</v>
      </c>
      <c r="AB52">
        <v>0.1</v>
      </c>
      <c r="AC52" t="s">
        <v>106</v>
      </c>
      <c r="AD52" t="s">
        <v>106</v>
      </c>
      <c r="AE52" t="s">
        <v>106</v>
      </c>
      <c r="AF52">
        <v>7</v>
      </c>
      <c r="AG52">
        <v>3.1</v>
      </c>
      <c r="AH52">
        <v>0.1</v>
      </c>
      <c r="AI52">
        <v>0.4</v>
      </c>
      <c r="AJ52">
        <v>9.5</v>
      </c>
      <c r="AK52" t="s">
        <v>106</v>
      </c>
      <c r="AL52" t="s">
        <v>106</v>
      </c>
      <c r="AM52" t="s">
        <v>106</v>
      </c>
      <c r="AN52" t="s">
        <v>106</v>
      </c>
      <c r="AO52" t="s">
        <v>106</v>
      </c>
      <c r="AP52" t="s">
        <v>106</v>
      </c>
      <c r="AQ52" t="s">
        <v>106</v>
      </c>
      <c r="AR52">
        <v>6.6</v>
      </c>
      <c r="AS52" t="s">
        <v>106</v>
      </c>
      <c r="AT52">
        <v>34.200000000000003</v>
      </c>
      <c r="AU52">
        <v>6.9</v>
      </c>
      <c r="AV52">
        <v>6.1</v>
      </c>
      <c r="AW52" t="s">
        <v>106</v>
      </c>
      <c r="AX52" t="s">
        <v>106</v>
      </c>
      <c r="AY52" t="s">
        <v>106</v>
      </c>
      <c r="AZ52" t="s">
        <v>106</v>
      </c>
      <c r="BA52" t="s">
        <v>106</v>
      </c>
      <c r="BB52" t="s">
        <v>106</v>
      </c>
      <c r="BC52" t="s">
        <v>106</v>
      </c>
      <c r="BD52" t="s">
        <v>106</v>
      </c>
      <c r="BE52" t="s">
        <v>106</v>
      </c>
      <c r="BF52" t="s">
        <v>106</v>
      </c>
      <c r="BG52" t="s">
        <v>106</v>
      </c>
      <c r="BH52" t="s">
        <v>106</v>
      </c>
      <c r="BI52" t="s">
        <v>106</v>
      </c>
      <c r="BJ52">
        <v>1202.2</v>
      </c>
      <c r="BK52">
        <v>120.2</v>
      </c>
      <c r="BL52">
        <v>2330.4</v>
      </c>
      <c r="BM52">
        <v>53.9</v>
      </c>
    </row>
    <row r="53" spans="3:65">
      <c r="E53" t="s">
        <v>156</v>
      </c>
      <c r="F53" t="s">
        <v>106</v>
      </c>
      <c r="G53" t="s">
        <v>106</v>
      </c>
      <c r="H53" t="s">
        <v>106</v>
      </c>
      <c r="I53">
        <v>416.7</v>
      </c>
      <c r="J53" t="s">
        <v>106</v>
      </c>
      <c r="K53" t="s">
        <v>106</v>
      </c>
      <c r="L53" t="s">
        <v>106</v>
      </c>
      <c r="M53" t="s">
        <v>106</v>
      </c>
      <c r="N53" t="s">
        <v>106</v>
      </c>
      <c r="O53" t="s">
        <v>106</v>
      </c>
      <c r="P53" t="s">
        <v>106</v>
      </c>
      <c r="Q53" t="s">
        <v>106</v>
      </c>
      <c r="R53" t="s">
        <v>106</v>
      </c>
      <c r="S53" t="s">
        <v>106</v>
      </c>
      <c r="T53">
        <v>202.1</v>
      </c>
      <c r="U53" t="s">
        <v>106</v>
      </c>
      <c r="V53" t="s">
        <v>106</v>
      </c>
      <c r="W53" t="s">
        <v>106</v>
      </c>
      <c r="X53" t="s">
        <v>106</v>
      </c>
      <c r="Y53" t="s">
        <v>106</v>
      </c>
      <c r="Z53">
        <v>4</v>
      </c>
      <c r="AA53">
        <v>0.2</v>
      </c>
      <c r="AB53">
        <v>0.1</v>
      </c>
      <c r="AC53" t="s">
        <v>106</v>
      </c>
      <c r="AD53" t="s">
        <v>106</v>
      </c>
      <c r="AE53" t="s">
        <v>106</v>
      </c>
      <c r="AF53">
        <v>3.7</v>
      </c>
      <c r="AG53">
        <v>2</v>
      </c>
      <c r="AH53">
        <v>0.1</v>
      </c>
      <c r="AI53">
        <v>0.3</v>
      </c>
      <c r="AJ53">
        <v>9</v>
      </c>
      <c r="AK53" t="s">
        <v>106</v>
      </c>
      <c r="AL53" t="s">
        <v>106</v>
      </c>
      <c r="AM53" t="s">
        <v>106</v>
      </c>
      <c r="AN53" t="s">
        <v>106</v>
      </c>
      <c r="AO53" t="s">
        <v>106</v>
      </c>
      <c r="AP53" t="s">
        <v>106</v>
      </c>
      <c r="AQ53" t="s">
        <v>106</v>
      </c>
      <c r="AR53">
        <v>34.1</v>
      </c>
      <c r="AS53">
        <v>2.2999999999999998</v>
      </c>
      <c r="AT53">
        <v>22.7</v>
      </c>
      <c r="AU53">
        <v>28.2</v>
      </c>
      <c r="AV53" t="s">
        <v>106</v>
      </c>
      <c r="AW53" t="s">
        <v>106</v>
      </c>
      <c r="AX53" t="s">
        <v>106</v>
      </c>
      <c r="AY53" t="s">
        <v>106</v>
      </c>
      <c r="AZ53" t="s">
        <v>106</v>
      </c>
      <c r="BA53" t="s">
        <v>106</v>
      </c>
      <c r="BB53" t="s">
        <v>106</v>
      </c>
      <c r="BC53" t="s">
        <v>106</v>
      </c>
      <c r="BD53" t="s">
        <v>106</v>
      </c>
      <c r="BE53" t="s">
        <v>106</v>
      </c>
      <c r="BF53" t="s">
        <v>106</v>
      </c>
      <c r="BG53" t="s">
        <v>106</v>
      </c>
      <c r="BH53" t="s">
        <v>106</v>
      </c>
      <c r="BI53" t="s">
        <v>106</v>
      </c>
      <c r="BJ53">
        <v>799.9</v>
      </c>
      <c r="BK53">
        <v>229.1</v>
      </c>
      <c r="BL53">
        <v>1754.2</v>
      </c>
      <c r="BM53">
        <v>87.2</v>
      </c>
    </row>
    <row r="54" spans="3:65">
      <c r="E54" t="s">
        <v>157</v>
      </c>
      <c r="F54" t="s">
        <v>106</v>
      </c>
      <c r="G54" t="s">
        <v>106</v>
      </c>
      <c r="H54" t="s">
        <v>106</v>
      </c>
      <c r="I54" t="s">
        <v>106</v>
      </c>
      <c r="J54" t="s">
        <v>106</v>
      </c>
      <c r="K54" t="s">
        <v>106</v>
      </c>
      <c r="L54" t="s">
        <v>106</v>
      </c>
      <c r="M54" t="s">
        <v>106</v>
      </c>
      <c r="N54" t="s">
        <v>106</v>
      </c>
      <c r="O54" t="s">
        <v>106</v>
      </c>
      <c r="P54" t="s">
        <v>106</v>
      </c>
      <c r="Q54" t="s">
        <v>106</v>
      </c>
      <c r="R54" t="s">
        <v>106</v>
      </c>
      <c r="S54" t="s">
        <v>106</v>
      </c>
      <c r="T54">
        <v>31.7</v>
      </c>
      <c r="U54" t="s">
        <v>106</v>
      </c>
      <c r="V54" t="s">
        <v>106</v>
      </c>
      <c r="W54" t="s">
        <v>106</v>
      </c>
      <c r="X54" t="s">
        <v>106</v>
      </c>
      <c r="Y54" t="s">
        <v>106</v>
      </c>
      <c r="Z54">
        <v>0.3</v>
      </c>
      <c r="AA54" t="s">
        <v>106</v>
      </c>
      <c r="AB54">
        <v>0.2</v>
      </c>
      <c r="AC54" t="s">
        <v>106</v>
      </c>
      <c r="AD54" t="s">
        <v>106</v>
      </c>
      <c r="AE54" t="s">
        <v>106</v>
      </c>
      <c r="AF54">
        <v>0.8</v>
      </c>
      <c r="AG54">
        <v>3.7</v>
      </c>
      <c r="AH54" t="s">
        <v>106</v>
      </c>
      <c r="AI54" t="s">
        <v>106</v>
      </c>
      <c r="AJ54">
        <v>2</v>
      </c>
      <c r="AK54" t="s">
        <v>106</v>
      </c>
      <c r="AL54" t="s">
        <v>106</v>
      </c>
      <c r="AM54" t="s">
        <v>106</v>
      </c>
      <c r="AN54" t="s">
        <v>106</v>
      </c>
      <c r="AO54" t="s">
        <v>106</v>
      </c>
      <c r="AP54" t="s">
        <v>106</v>
      </c>
      <c r="AQ54" t="s">
        <v>106</v>
      </c>
      <c r="AR54" t="s">
        <v>106</v>
      </c>
      <c r="AS54" t="s">
        <v>106</v>
      </c>
      <c r="AT54">
        <v>2.2999999999999998</v>
      </c>
      <c r="AU54">
        <v>53.2</v>
      </c>
      <c r="AV54" t="s">
        <v>106</v>
      </c>
      <c r="AW54" t="s">
        <v>106</v>
      </c>
      <c r="AX54" t="s">
        <v>106</v>
      </c>
      <c r="AY54" t="s">
        <v>106</v>
      </c>
      <c r="AZ54" t="s">
        <v>106</v>
      </c>
      <c r="BA54" t="s">
        <v>106</v>
      </c>
      <c r="BB54" t="s">
        <v>106</v>
      </c>
      <c r="BC54" t="s">
        <v>106</v>
      </c>
      <c r="BD54" t="s">
        <v>106</v>
      </c>
      <c r="BE54" t="s">
        <v>106</v>
      </c>
      <c r="BF54" t="s">
        <v>106</v>
      </c>
      <c r="BG54" t="s">
        <v>106</v>
      </c>
      <c r="BH54" t="s">
        <v>106</v>
      </c>
      <c r="BI54" t="s">
        <v>106</v>
      </c>
      <c r="BJ54">
        <v>150.9</v>
      </c>
      <c r="BK54">
        <v>8.8000000000000007</v>
      </c>
      <c r="BL54">
        <v>253.9</v>
      </c>
      <c r="BM54">
        <v>55.5</v>
      </c>
    </row>
    <row r="55" spans="3:65">
      <c r="E55" t="s">
        <v>158</v>
      </c>
      <c r="F55" t="s">
        <v>106</v>
      </c>
      <c r="G55" t="s">
        <v>106</v>
      </c>
      <c r="H55" t="s">
        <v>106</v>
      </c>
      <c r="I55" t="s">
        <v>106</v>
      </c>
      <c r="J55" t="s">
        <v>106</v>
      </c>
      <c r="K55" t="s">
        <v>106</v>
      </c>
      <c r="L55" t="s">
        <v>106</v>
      </c>
      <c r="M55" t="s">
        <v>106</v>
      </c>
      <c r="N55" t="s">
        <v>106</v>
      </c>
      <c r="O55" t="s">
        <v>106</v>
      </c>
      <c r="P55" t="s">
        <v>106</v>
      </c>
      <c r="Q55" t="s">
        <v>106</v>
      </c>
      <c r="R55" t="s">
        <v>106</v>
      </c>
      <c r="S55" t="s">
        <v>106</v>
      </c>
      <c r="T55">
        <v>305.89999999999998</v>
      </c>
      <c r="U55" t="s">
        <v>106</v>
      </c>
      <c r="V55" t="s">
        <v>106</v>
      </c>
      <c r="W55" t="s">
        <v>106</v>
      </c>
      <c r="X55" t="s">
        <v>106</v>
      </c>
      <c r="Y55" t="s">
        <v>106</v>
      </c>
      <c r="Z55">
        <v>5.3</v>
      </c>
      <c r="AA55" t="s">
        <v>106</v>
      </c>
      <c r="AB55">
        <v>0.1</v>
      </c>
      <c r="AC55" t="s">
        <v>106</v>
      </c>
      <c r="AD55" t="s">
        <v>106</v>
      </c>
      <c r="AE55" t="s">
        <v>106</v>
      </c>
      <c r="AF55">
        <v>1</v>
      </c>
      <c r="AG55">
        <v>6.7</v>
      </c>
      <c r="AH55">
        <v>0.1</v>
      </c>
      <c r="AI55">
        <v>0.6</v>
      </c>
      <c r="AJ55">
        <v>9.3000000000000007</v>
      </c>
      <c r="AK55" t="s">
        <v>106</v>
      </c>
      <c r="AL55" t="s">
        <v>106</v>
      </c>
      <c r="AM55" t="s">
        <v>106</v>
      </c>
      <c r="AN55" t="s">
        <v>106</v>
      </c>
      <c r="AO55" t="s">
        <v>106</v>
      </c>
      <c r="AP55" t="s">
        <v>106</v>
      </c>
      <c r="AQ55" t="s">
        <v>106</v>
      </c>
      <c r="AR55">
        <v>259.10000000000002</v>
      </c>
      <c r="AS55">
        <v>15.8</v>
      </c>
      <c r="AT55">
        <v>169.9</v>
      </c>
      <c r="AU55">
        <v>14.8</v>
      </c>
      <c r="AV55">
        <v>4.2</v>
      </c>
      <c r="AW55" t="s">
        <v>106</v>
      </c>
      <c r="AX55" t="s">
        <v>106</v>
      </c>
      <c r="AY55" t="s">
        <v>106</v>
      </c>
      <c r="AZ55" t="s">
        <v>106</v>
      </c>
      <c r="BA55" t="s">
        <v>106</v>
      </c>
      <c r="BB55" t="s">
        <v>106</v>
      </c>
      <c r="BC55" t="s">
        <v>106</v>
      </c>
      <c r="BD55" t="s">
        <v>106</v>
      </c>
      <c r="BE55" t="s">
        <v>106</v>
      </c>
      <c r="BF55" t="s">
        <v>106</v>
      </c>
      <c r="BG55" t="s">
        <v>106</v>
      </c>
      <c r="BH55" t="s">
        <v>106</v>
      </c>
      <c r="BI55" t="s">
        <v>106</v>
      </c>
      <c r="BJ55">
        <v>821</v>
      </c>
      <c r="BK55">
        <v>275.39999999999998</v>
      </c>
      <c r="BL55">
        <v>1889.1</v>
      </c>
      <c r="BM55">
        <v>463.8</v>
      </c>
    </row>
    <row r="56" spans="3:65">
      <c r="E56" t="s">
        <v>159</v>
      </c>
      <c r="F56" t="s">
        <v>106</v>
      </c>
      <c r="G56" t="s">
        <v>106</v>
      </c>
      <c r="H56" t="s">
        <v>106</v>
      </c>
      <c r="I56">
        <v>657.5</v>
      </c>
      <c r="J56" t="s">
        <v>106</v>
      </c>
      <c r="K56" t="s">
        <v>106</v>
      </c>
      <c r="L56" t="s">
        <v>106</v>
      </c>
      <c r="M56" t="s">
        <v>106</v>
      </c>
      <c r="N56" t="s">
        <v>106</v>
      </c>
      <c r="O56" t="s">
        <v>106</v>
      </c>
      <c r="P56" t="s">
        <v>106</v>
      </c>
      <c r="Q56" t="s">
        <v>106</v>
      </c>
      <c r="R56" t="s">
        <v>106</v>
      </c>
      <c r="S56">
        <v>220.6</v>
      </c>
      <c r="T56">
        <v>1863.2</v>
      </c>
      <c r="U56" t="s">
        <v>106</v>
      </c>
      <c r="V56" t="s">
        <v>106</v>
      </c>
      <c r="W56" t="s">
        <v>106</v>
      </c>
      <c r="X56" t="s">
        <v>106</v>
      </c>
      <c r="Y56">
        <v>293.3</v>
      </c>
      <c r="Z56">
        <v>4.7</v>
      </c>
      <c r="AA56">
        <v>9.6</v>
      </c>
      <c r="AB56">
        <v>0.2</v>
      </c>
      <c r="AC56" t="s">
        <v>106</v>
      </c>
      <c r="AD56" t="s">
        <v>106</v>
      </c>
      <c r="AE56" t="s">
        <v>106</v>
      </c>
      <c r="AF56">
        <v>7.8</v>
      </c>
      <c r="AG56">
        <v>7.6</v>
      </c>
      <c r="AH56">
        <v>2</v>
      </c>
      <c r="AI56">
        <v>3.4</v>
      </c>
      <c r="AJ56">
        <v>180.6</v>
      </c>
      <c r="AK56" t="s">
        <v>106</v>
      </c>
      <c r="AL56" t="s">
        <v>106</v>
      </c>
      <c r="AM56" t="s">
        <v>106</v>
      </c>
      <c r="AN56" t="s">
        <v>106</v>
      </c>
      <c r="AO56" t="s">
        <v>106</v>
      </c>
      <c r="AP56" t="s">
        <v>106</v>
      </c>
      <c r="AQ56" t="s">
        <v>106</v>
      </c>
      <c r="AR56">
        <v>252.1</v>
      </c>
      <c r="AS56" t="s">
        <v>106</v>
      </c>
      <c r="AT56">
        <v>139</v>
      </c>
      <c r="AU56">
        <v>274.3</v>
      </c>
      <c r="AV56" t="s">
        <v>106</v>
      </c>
      <c r="AW56">
        <v>0.2</v>
      </c>
      <c r="AX56" t="s">
        <v>106</v>
      </c>
      <c r="AY56" t="s">
        <v>106</v>
      </c>
      <c r="AZ56" t="s">
        <v>106</v>
      </c>
      <c r="BA56" t="s">
        <v>106</v>
      </c>
      <c r="BB56" t="s">
        <v>106</v>
      </c>
      <c r="BC56" t="s">
        <v>106</v>
      </c>
      <c r="BD56" t="s">
        <v>106</v>
      </c>
      <c r="BE56" t="s">
        <v>106</v>
      </c>
      <c r="BF56" t="s">
        <v>106</v>
      </c>
      <c r="BG56" t="s">
        <v>106</v>
      </c>
      <c r="BH56" t="s">
        <v>106</v>
      </c>
      <c r="BI56" t="s">
        <v>106</v>
      </c>
      <c r="BJ56">
        <v>5237</v>
      </c>
      <c r="BK56">
        <v>2538.8000000000002</v>
      </c>
      <c r="BL56">
        <v>11691.8</v>
      </c>
      <c r="BM56">
        <v>958.9</v>
      </c>
    </row>
    <row r="57" spans="3:65">
      <c r="E57" t="s">
        <v>160</v>
      </c>
      <c r="F57" t="s">
        <v>106</v>
      </c>
      <c r="G57" t="s">
        <v>106</v>
      </c>
      <c r="H57" t="s">
        <v>106</v>
      </c>
      <c r="I57">
        <v>2053.6999999999998</v>
      </c>
      <c r="J57" t="s">
        <v>106</v>
      </c>
      <c r="K57" t="s">
        <v>106</v>
      </c>
      <c r="L57" t="s">
        <v>106</v>
      </c>
      <c r="M57" t="s">
        <v>106</v>
      </c>
      <c r="N57" t="s">
        <v>106</v>
      </c>
      <c r="O57" t="s">
        <v>106</v>
      </c>
      <c r="P57" t="s">
        <v>106</v>
      </c>
      <c r="Q57" t="s">
        <v>106</v>
      </c>
      <c r="R57" t="s">
        <v>106</v>
      </c>
      <c r="S57" t="s">
        <v>106</v>
      </c>
      <c r="T57">
        <v>532.20000000000005</v>
      </c>
      <c r="U57" t="s">
        <v>106</v>
      </c>
      <c r="V57" t="s">
        <v>106</v>
      </c>
      <c r="W57" t="s">
        <v>106</v>
      </c>
      <c r="X57" t="s">
        <v>106</v>
      </c>
      <c r="Y57" t="s">
        <v>106</v>
      </c>
      <c r="Z57">
        <v>26.7</v>
      </c>
      <c r="AA57">
        <v>0</v>
      </c>
      <c r="AB57">
        <v>0.8</v>
      </c>
      <c r="AC57" t="s">
        <v>106</v>
      </c>
      <c r="AD57" t="s">
        <v>106</v>
      </c>
      <c r="AE57" t="s">
        <v>106</v>
      </c>
      <c r="AF57">
        <v>0.9</v>
      </c>
      <c r="AG57">
        <v>144.19999999999999</v>
      </c>
      <c r="AH57">
        <v>3</v>
      </c>
      <c r="AI57">
        <v>0.1</v>
      </c>
      <c r="AJ57">
        <v>209.1</v>
      </c>
      <c r="AK57" t="s">
        <v>106</v>
      </c>
      <c r="AL57" t="s">
        <v>106</v>
      </c>
      <c r="AM57" t="s">
        <v>106</v>
      </c>
      <c r="AN57" t="s">
        <v>106</v>
      </c>
      <c r="AO57" t="s">
        <v>106</v>
      </c>
      <c r="AP57" t="s">
        <v>106</v>
      </c>
      <c r="AQ57" t="s">
        <v>106</v>
      </c>
      <c r="AR57">
        <v>991.2</v>
      </c>
      <c r="AS57" t="s">
        <v>106</v>
      </c>
      <c r="AT57" t="s">
        <v>106</v>
      </c>
      <c r="AU57" t="s">
        <v>106</v>
      </c>
      <c r="AV57" t="s">
        <v>106</v>
      </c>
      <c r="AW57" t="s">
        <v>106</v>
      </c>
      <c r="AX57" t="s">
        <v>106</v>
      </c>
      <c r="AY57" t="s">
        <v>106</v>
      </c>
      <c r="AZ57" t="s">
        <v>106</v>
      </c>
      <c r="BA57" t="s">
        <v>106</v>
      </c>
      <c r="BB57" t="s">
        <v>106</v>
      </c>
      <c r="BC57" t="s">
        <v>106</v>
      </c>
      <c r="BD57" t="s">
        <v>106</v>
      </c>
      <c r="BE57" t="s">
        <v>106</v>
      </c>
      <c r="BF57" t="s">
        <v>106</v>
      </c>
      <c r="BG57" t="s">
        <v>106</v>
      </c>
      <c r="BH57" t="s">
        <v>106</v>
      </c>
      <c r="BI57" t="s">
        <v>106</v>
      </c>
      <c r="BJ57">
        <v>1050.3</v>
      </c>
      <c r="BK57">
        <v>0.5</v>
      </c>
      <c r="BL57">
        <v>5012.8999999999996</v>
      </c>
      <c r="BM57">
        <v>991.2</v>
      </c>
    </row>
    <row r="58" spans="3:65">
      <c r="E58" t="s">
        <v>161</v>
      </c>
      <c r="F58" t="s">
        <v>106</v>
      </c>
      <c r="G58">
        <v>593.9</v>
      </c>
      <c r="H58" t="s">
        <v>106</v>
      </c>
      <c r="I58">
        <v>289.2</v>
      </c>
      <c r="J58" t="s">
        <v>106</v>
      </c>
      <c r="K58" t="s">
        <v>106</v>
      </c>
      <c r="L58" t="s">
        <v>106</v>
      </c>
      <c r="M58" t="s">
        <v>106</v>
      </c>
      <c r="N58">
        <v>696.6</v>
      </c>
      <c r="O58" t="s">
        <v>106</v>
      </c>
      <c r="P58">
        <v>1672.5</v>
      </c>
      <c r="Q58">
        <v>32.9</v>
      </c>
      <c r="R58">
        <v>161.6</v>
      </c>
      <c r="S58">
        <v>457.3</v>
      </c>
      <c r="T58">
        <v>1075.8</v>
      </c>
      <c r="U58" t="s">
        <v>106</v>
      </c>
      <c r="V58" t="s">
        <v>106</v>
      </c>
      <c r="W58" t="s">
        <v>106</v>
      </c>
      <c r="X58" t="s">
        <v>106</v>
      </c>
      <c r="Y58" t="s">
        <v>106</v>
      </c>
      <c r="Z58">
        <v>49.4</v>
      </c>
      <c r="AA58">
        <v>2.2999999999999998</v>
      </c>
      <c r="AB58" t="s">
        <v>106</v>
      </c>
      <c r="AC58" t="s">
        <v>106</v>
      </c>
      <c r="AD58" t="s">
        <v>106</v>
      </c>
      <c r="AE58" t="s">
        <v>106</v>
      </c>
      <c r="AF58">
        <v>1</v>
      </c>
      <c r="AG58">
        <v>2.7</v>
      </c>
      <c r="AH58">
        <v>0</v>
      </c>
      <c r="AI58">
        <v>0</v>
      </c>
      <c r="AJ58">
        <v>0</v>
      </c>
      <c r="AK58" t="s">
        <v>106</v>
      </c>
      <c r="AL58" t="s">
        <v>106</v>
      </c>
      <c r="AM58" t="s">
        <v>106</v>
      </c>
      <c r="AN58" t="s">
        <v>106</v>
      </c>
      <c r="AO58" t="s">
        <v>106</v>
      </c>
      <c r="AP58" t="s">
        <v>106</v>
      </c>
      <c r="AQ58" t="s">
        <v>106</v>
      </c>
      <c r="AR58" t="s">
        <v>106</v>
      </c>
      <c r="AS58" t="s">
        <v>106</v>
      </c>
      <c r="AT58" t="s">
        <v>106</v>
      </c>
      <c r="AU58">
        <v>3.3</v>
      </c>
      <c r="AV58" t="s">
        <v>106</v>
      </c>
      <c r="AW58" t="s">
        <v>106</v>
      </c>
      <c r="AX58" t="s">
        <v>106</v>
      </c>
      <c r="AY58" t="s">
        <v>106</v>
      </c>
      <c r="AZ58" t="s">
        <v>106</v>
      </c>
      <c r="BA58" t="s">
        <v>106</v>
      </c>
      <c r="BB58" t="s">
        <v>106</v>
      </c>
      <c r="BC58" t="s">
        <v>106</v>
      </c>
      <c r="BD58" t="s">
        <v>106</v>
      </c>
      <c r="BE58" t="s">
        <v>106</v>
      </c>
      <c r="BF58" t="s">
        <v>106</v>
      </c>
      <c r="BG58" t="s">
        <v>106</v>
      </c>
      <c r="BH58" t="s">
        <v>106</v>
      </c>
      <c r="BI58" t="s">
        <v>106</v>
      </c>
      <c r="BJ58">
        <v>4237.3</v>
      </c>
      <c r="BK58">
        <v>6.4</v>
      </c>
      <c r="BL58">
        <v>9282.2999999999993</v>
      </c>
      <c r="BM58">
        <v>1870.3</v>
      </c>
    </row>
    <row r="59" spans="3:65">
      <c r="E59" t="s">
        <v>162</v>
      </c>
      <c r="F59" t="s">
        <v>106</v>
      </c>
      <c r="G59">
        <v>170.8</v>
      </c>
      <c r="H59" t="s">
        <v>106</v>
      </c>
      <c r="I59">
        <v>253.1</v>
      </c>
      <c r="J59" t="s">
        <v>106</v>
      </c>
      <c r="K59" t="s">
        <v>106</v>
      </c>
      <c r="L59" t="s">
        <v>106</v>
      </c>
      <c r="M59" t="s">
        <v>106</v>
      </c>
      <c r="N59" t="s">
        <v>106</v>
      </c>
      <c r="O59" t="s">
        <v>106</v>
      </c>
      <c r="P59" t="s">
        <v>106</v>
      </c>
      <c r="Q59" t="s">
        <v>106</v>
      </c>
      <c r="R59" t="s">
        <v>106</v>
      </c>
      <c r="S59" t="s">
        <v>106</v>
      </c>
      <c r="T59">
        <v>498.8</v>
      </c>
      <c r="U59" t="s">
        <v>106</v>
      </c>
      <c r="V59" t="s">
        <v>106</v>
      </c>
      <c r="W59" t="s">
        <v>106</v>
      </c>
      <c r="X59" t="s">
        <v>106</v>
      </c>
      <c r="Y59" t="s">
        <v>106</v>
      </c>
      <c r="Z59">
        <v>17.7</v>
      </c>
      <c r="AA59">
        <v>0.1</v>
      </c>
      <c r="AB59" t="s">
        <v>106</v>
      </c>
      <c r="AC59" t="s">
        <v>106</v>
      </c>
      <c r="AD59" t="s">
        <v>106</v>
      </c>
      <c r="AE59" t="s">
        <v>106</v>
      </c>
      <c r="AF59">
        <v>0.1</v>
      </c>
      <c r="AG59">
        <v>3.1</v>
      </c>
      <c r="AH59">
        <v>0</v>
      </c>
      <c r="AI59">
        <v>0</v>
      </c>
      <c r="AJ59">
        <v>23.2</v>
      </c>
      <c r="AK59" t="s">
        <v>106</v>
      </c>
      <c r="AL59" t="s">
        <v>106</v>
      </c>
      <c r="AM59" t="s">
        <v>106</v>
      </c>
      <c r="AN59" t="s">
        <v>106</v>
      </c>
      <c r="AO59" t="s">
        <v>106</v>
      </c>
      <c r="AP59" t="s">
        <v>106</v>
      </c>
      <c r="AQ59" t="s">
        <v>106</v>
      </c>
      <c r="AR59" t="s">
        <v>106</v>
      </c>
      <c r="AS59" t="s">
        <v>106</v>
      </c>
      <c r="AT59" t="s">
        <v>106</v>
      </c>
      <c r="AU59" t="s">
        <v>106</v>
      </c>
      <c r="AV59" t="s">
        <v>106</v>
      </c>
      <c r="AW59" t="s">
        <v>106</v>
      </c>
      <c r="AX59" t="s">
        <v>106</v>
      </c>
      <c r="AY59" t="s">
        <v>106</v>
      </c>
      <c r="AZ59" t="s">
        <v>106</v>
      </c>
      <c r="BA59" t="s">
        <v>106</v>
      </c>
      <c r="BB59" t="s">
        <v>106</v>
      </c>
      <c r="BC59" t="s">
        <v>106</v>
      </c>
      <c r="BD59" t="s">
        <v>106</v>
      </c>
      <c r="BE59" t="s">
        <v>106</v>
      </c>
      <c r="BF59" t="s">
        <v>106</v>
      </c>
      <c r="BG59" t="s">
        <v>106</v>
      </c>
      <c r="BH59" t="s">
        <v>106</v>
      </c>
      <c r="BI59" t="s">
        <v>106</v>
      </c>
      <c r="BJ59">
        <v>920.9</v>
      </c>
      <c r="BK59">
        <v>73</v>
      </c>
      <c r="BL59">
        <v>1961</v>
      </c>
      <c r="BM59" t="s">
        <v>106</v>
      </c>
    </row>
    <row r="60" spans="3:65">
      <c r="E60" t="s">
        <v>163</v>
      </c>
      <c r="F60" t="s">
        <v>106</v>
      </c>
      <c r="G60" t="s">
        <v>106</v>
      </c>
      <c r="H60" t="s">
        <v>106</v>
      </c>
      <c r="I60" t="s">
        <v>106</v>
      </c>
      <c r="J60" t="s">
        <v>106</v>
      </c>
      <c r="K60" t="s">
        <v>106</v>
      </c>
      <c r="L60" t="s">
        <v>106</v>
      </c>
      <c r="M60" t="s">
        <v>106</v>
      </c>
      <c r="N60" t="s">
        <v>106</v>
      </c>
      <c r="O60" t="s">
        <v>106</v>
      </c>
      <c r="P60" t="s">
        <v>106</v>
      </c>
      <c r="Q60" t="s">
        <v>106</v>
      </c>
      <c r="R60" t="s">
        <v>106</v>
      </c>
      <c r="S60" t="s">
        <v>106</v>
      </c>
      <c r="T60">
        <v>1421.7</v>
      </c>
      <c r="U60" t="s">
        <v>106</v>
      </c>
      <c r="V60" t="s">
        <v>106</v>
      </c>
      <c r="W60" t="s">
        <v>106</v>
      </c>
      <c r="X60" t="s">
        <v>106</v>
      </c>
      <c r="Y60" t="s">
        <v>106</v>
      </c>
      <c r="Z60">
        <v>20.8</v>
      </c>
      <c r="AA60">
        <v>0.3</v>
      </c>
      <c r="AB60">
        <v>0.4</v>
      </c>
      <c r="AC60" t="s">
        <v>106</v>
      </c>
      <c r="AD60" t="s">
        <v>106</v>
      </c>
      <c r="AE60" t="s">
        <v>106</v>
      </c>
      <c r="AF60">
        <v>11</v>
      </c>
      <c r="AG60">
        <v>40.1</v>
      </c>
      <c r="AH60">
        <v>4.7</v>
      </c>
      <c r="AI60">
        <v>0.6</v>
      </c>
      <c r="AJ60">
        <v>2.8</v>
      </c>
      <c r="AK60" t="s">
        <v>106</v>
      </c>
      <c r="AL60" t="s">
        <v>106</v>
      </c>
      <c r="AM60" t="s">
        <v>106</v>
      </c>
      <c r="AN60" t="s">
        <v>106</v>
      </c>
      <c r="AO60" t="s">
        <v>106</v>
      </c>
      <c r="AP60" t="s">
        <v>106</v>
      </c>
      <c r="AQ60" t="s">
        <v>106</v>
      </c>
      <c r="AR60" t="s">
        <v>106</v>
      </c>
      <c r="AS60" t="s">
        <v>106</v>
      </c>
      <c r="AT60">
        <v>1.9</v>
      </c>
      <c r="AU60">
        <v>37.5</v>
      </c>
      <c r="AV60" t="s">
        <v>106</v>
      </c>
      <c r="AW60" t="s">
        <v>106</v>
      </c>
      <c r="AX60" t="s">
        <v>106</v>
      </c>
      <c r="AY60" t="s">
        <v>106</v>
      </c>
      <c r="AZ60" t="s">
        <v>106</v>
      </c>
      <c r="BA60" t="s">
        <v>106</v>
      </c>
      <c r="BB60" t="s">
        <v>106</v>
      </c>
      <c r="BC60" t="s">
        <v>106</v>
      </c>
      <c r="BD60" t="s">
        <v>106</v>
      </c>
      <c r="BE60" t="s">
        <v>106</v>
      </c>
      <c r="BF60" t="s">
        <v>106</v>
      </c>
      <c r="BG60" t="s">
        <v>106</v>
      </c>
      <c r="BH60" t="s">
        <v>106</v>
      </c>
      <c r="BI60" t="s">
        <v>106</v>
      </c>
      <c r="BJ60">
        <v>7869.7</v>
      </c>
      <c r="BK60">
        <v>299.89999999999998</v>
      </c>
      <c r="BL60">
        <v>9711.4</v>
      </c>
      <c r="BM60">
        <v>39.5</v>
      </c>
    </row>
    <row r="61" spans="3:65">
      <c r="E61" t="s">
        <v>164</v>
      </c>
      <c r="F61" t="s">
        <v>106</v>
      </c>
      <c r="G61" t="s">
        <v>106</v>
      </c>
      <c r="H61" t="s">
        <v>106</v>
      </c>
      <c r="I61" t="s">
        <v>106</v>
      </c>
      <c r="J61" t="s">
        <v>106</v>
      </c>
      <c r="K61" t="s">
        <v>106</v>
      </c>
      <c r="L61" t="s">
        <v>106</v>
      </c>
      <c r="M61" t="s">
        <v>106</v>
      </c>
      <c r="N61" t="s">
        <v>106</v>
      </c>
      <c r="O61" t="s">
        <v>106</v>
      </c>
      <c r="P61" t="s">
        <v>106</v>
      </c>
      <c r="Q61" t="s">
        <v>106</v>
      </c>
      <c r="R61" t="s">
        <v>106</v>
      </c>
      <c r="S61">
        <v>18.3</v>
      </c>
      <c r="T61">
        <v>672.7</v>
      </c>
      <c r="U61" t="s">
        <v>106</v>
      </c>
      <c r="V61" t="s">
        <v>106</v>
      </c>
      <c r="W61" t="s">
        <v>106</v>
      </c>
      <c r="X61" t="s">
        <v>106</v>
      </c>
      <c r="Y61" t="s">
        <v>106</v>
      </c>
      <c r="Z61">
        <v>29.6</v>
      </c>
      <c r="AA61">
        <v>1.5</v>
      </c>
      <c r="AB61">
        <v>22.8</v>
      </c>
      <c r="AC61" t="s">
        <v>106</v>
      </c>
      <c r="AD61" t="s">
        <v>106</v>
      </c>
      <c r="AE61" t="s">
        <v>106</v>
      </c>
      <c r="AF61">
        <v>0.9</v>
      </c>
      <c r="AG61">
        <v>94</v>
      </c>
      <c r="AH61">
        <v>25.5</v>
      </c>
      <c r="AI61">
        <v>0</v>
      </c>
      <c r="AJ61">
        <v>70.3</v>
      </c>
      <c r="AK61" t="s">
        <v>106</v>
      </c>
      <c r="AL61" t="s">
        <v>106</v>
      </c>
      <c r="AM61" t="s">
        <v>106</v>
      </c>
      <c r="AN61" t="s">
        <v>106</v>
      </c>
      <c r="AO61" t="s">
        <v>106</v>
      </c>
      <c r="AP61" t="s">
        <v>106</v>
      </c>
      <c r="AQ61" t="s">
        <v>106</v>
      </c>
      <c r="AR61">
        <v>4.3</v>
      </c>
      <c r="AS61" t="s">
        <v>106</v>
      </c>
      <c r="AT61">
        <v>9.6</v>
      </c>
      <c r="AU61" t="s">
        <v>106</v>
      </c>
      <c r="AV61" t="s">
        <v>106</v>
      </c>
      <c r="AW61" t="s">
        <v>106</v>
      </c>
      <c r="AX61" t="s">
        <v>106</v>
      </c>
      <c r="AY61" t="s">
        <v>106</v>
      </c>
      <c r="AZ61" t="s">
        <v>106</v>
      </c>
      <c r="BA61" t="s">
        <v>106</v>
      </c>
      <c r="BB61" t="s">
        <v>106</v>
      </c>
      <c r="BC61" t="s">
        <v>106</v>
      </c>
      <c r="BD61" t="s">
        <v>106</v>
      </c>
      <c r="BE61" t="s">
        <v>106</v>
      </c>
      <c r="BF61" t="s">
        <v>106</v>
      </c>
      <c r="BG61" t="s">
        <v>106</v>
      </c>
      <c r="BH61" t="s">
        <v>106</v>
      </c>
      <c r="BI61" t="s">
        <v>106</v>
      </c>
      <c r="BJ61">
        <v>1956.3</v>
      </c>
      <c r="BK61">
        <v>47.9</v>
      </c>
      <c r="BL61">
        <v>2953.5</v>
      </c>
      <c r="BM61">
        <v>13.9</v>
      </c>
    </row>
    <row r="62" spans="3:65">
      <c r="E62" t="s">
        <v>165</v>
      </c>
      <c r="F62" t="s">
        <v>106</v>
      </c>
      <c r="G62">
        <v>1914.9</v>
      </c>
      <c r="H62" t="s">
        <v>106</v>
      </c>
      <c r="I62" t="s">
        <v>106</v>
      </c>
      <c r="J62" t="s">
        <v>106</v>
      </c>
      <c r="K62" t="s">
        <v>106</v>
      </c>
      <c r="L62" t="s">
        <v>106</v>
      </c>
      <c r="M62">
        <v>0.8</v>
      </c>
      <c r="N62" t="s">
        <v>106</v>
      </c>
      <c r="O62" t="s">
        <v>106</v>
      </c>
      <c r="P62" t="s">
        <v>106</v>
      </c>
      <c r="Q62" t="s">
        <v>106</v>
      </c>
      <c r="R62" t="s">
        <v>106</v>
      </c>
      <c r="S62">
        <v>240.5</v>
      </c>
      <c r="T62">
        <v>153.30000000000001</v>
      </c>
      <c r="U62" t="s">
        <v>106</v>
      </c>
      <c r="V62" t="s">
        <v>106</v>
      </c>
      <c r="W62" t="s">
        <v>106</v>
      </c>
      <c r="X62" t="s">
        <v>106</v>
      </c>
      <c r="Y62" t="s">
        <v>106</v>
      </c>
      <c r="Z62">
        <v>656.5</v>
      </c>
      <c r="AA62">
        <v>101.6</v>
      </c>
      <c r="AB62">
        <v>3.9</v>
      </c>
      <c r="AC62" t="s">
        <v>106</v>
      </c>
      <c r="AD62" t="s">
        <v>106</v>
      </c>
      <c r="AE62">
        <v>0.4</v>
      </c>
      <c r="AF62">
        <v>21.3</v>
      </c>
      <c r="AG62">
        <v>126.8</v>
      </c>
      <c r="AH62">
        <v>1.8</v>
      </c>
      <c r="AI62">
        <v>0.9</v>
      </c>
      <c r="AJ62">
        <v>11.3</v>
      </c>
      <c r="AK62" t="s">
        <v>106</v>
      </c>
      <c r="AL62" t="s">
        <v>106</v>
      </c>
      <c r="AM62" t="s">
        <v>106</v>
      </c>
      <c r="AN62" t="s">
        <v>106</v>
      </c>
      <c r="AO62" t="s">
        <v>106</v>
      </c>
      <c r="AP62" t="s">
        <v>106</v>
      </c>
      <c r="AQ62" t="s">
        <v>106</v>
      </c>
      <c r="AR62">
        <v>154.5</v>
      </c>
      <c r="AS62">
        <v>25.6</v>
      </c>
      <c r="AT62">
        <v>13.9</v>
      </c>
      <c r="AU62">
        <v>61.2</v>
      </c>
      <c r="AV62">
        <v>5.2</v>
      </c>
      <c r="AW62" t="s">
        <v>106</v>
      </c>
      <c r="AX62" t="s">
        <v>106</v>
      </c>
      <c r="AY62" t="s">
        <v>106</v>
      </c>
      <c r="AZ62" t="s">
        <v>106</v>
      </c>
      <c r="BA62" t="s">
        <v>106</v>
      </c>
      <c r="BB62" t="s">
        <v>106</v>
      </c>
      <c r="BC62" t="s">
        <v>106</v>
      </c>
      <c r="BD62">
        <v>5</v>
      </c>
      <c r="BE62" t="s">
        <v>106</v>
      </c>
      <c r="BF62">
        <v>1.3</v>
      </c>
      <c r="BG62" t="s">
        <v>106</v>
      </c>
      <c r="BH62" t="s">
        <v>106</v>
      </c>
      <c r="BI62" t="s">
        <v>106</v>
      </c>
      <c r="BJ62">
        <v>318.7</v>
      </c>
      <c r="BK62">
        <v>0</v>
      </c>
      <c r="BL62">
        <v>3819.4</v>
      </c>
      <c r="BM62">
        <v>266.8</v>
      </c>
    </row>
    <row r="63" spans="3:65">
      <c r="D63" t="s">
        <v>166</v>
      </c>
      <c r="E63" t="s">
        <v>105</v>
      </c>
      <c r="F63" t="s">
        <v>106</v>
      </c>
      <c r="G63" t="s">
        <v>106</v>
      </c>
      <c r="H63" t="s">
        <v>106</v>
      </c>
      <c r="I63" t="s">
        <v>106</v>
      </c>
      <c r="J63" t="s">
        <v>106</v>
      </c>
      <c r="K63">
        <v>0</v>
      </c>
      <c r="L63" t="s">
        <v>106</v>
      </c>
      <c r="M63" t="s">
        <v>106</v>
      </c>
      <c r="N63" t="s">
        <v>106</v>
      </c>
      <c r="O63" t="s">
        <v>106</v>
      </c>
      <c r="P63" t="s">
        <v>106</v>
      </c>
      <c r="Q63" t="s">
        <v>106</v>
      </c>
      <c r="R63" t="s">
        <v>106</v>
      </c>
      <c r="S63" t="s">
        <v>106</v>
      </c>
      <c r="T63" t="s">
        <v>106</v>
      </c>
      <c r="U63" t="s">
        <v>106</v>
      </c>
      <c r="V63" t="s">
        <v>106</v>
      </c>
      <c r="W63" t="s">
        <v>106</v>
      </c>
      <c r="X63" t="s">
        <v>106</v>
      </c>
      <c r="Y63" t="s">
        <v>106</v>
      </c>
      <c r="Z63">
        <v>8.1</v>
      </c>
      <c r="AA63" t="s">
        <v>106</v>
      </c>
      <c r="AB63">
        <v>7.6</v>
      </c>
      <c r="AC63" t="s">
        <v>106</v>
      </c>
      <c r="AD63" t="s">
        <v>106</v>
      </c>
      <c r="AE63" t="s">
        <v>106</v>
      </c>
      <c r="AF63">
        <v>27.7</v>
      </c>
      <c r="AG63">
        <v>591.5</v>
      </c>
      <c r="AH63">
        <v>36.9</v>
      </c>
      <c r="AI63">
        <v>0</v>
      </c>
      <c r="AJ63">
        <v>1.9</v>
      </c>
      <c r="AK63" t="s">
        <v>106</v>
      </c>
      <c r="AL63" t="s">
        <v>106</v>
      </c>
      <c r="AM63" t="s">
        <v>106</v>
      </c>
      <c r="AN63" t="s">
        <v>106</v>
      </c>
      <c r="AO63" t="s">
        <v>106</v>
      </c>
      <c r="AP63" t="s">
        <v>106</v>
      </c>
      <c r="AQ63" t="s">
        <v>106</v>
      </c>
      <c r="AR63">
        <v>0</v>
      </c>
      <c r="AS63" t="s">
        <v>106</v>
      </c>
      <c r="AT63" t="s">
        <v>106</v>
      </c>
      <c r="AU63" t="s">
        <v>106</v>
      </c>
      <c r="AV63" t="s">
        <v>106</v>
      </c>
      <c r="AW63" t="s">
        <v>106</v>
      </c>
      <c r="AX63" t="s">
        <v>106</v>
      </c>
      <c r="AY63" t="s">
        <v>106</v>
      </c>
      <c r="AZ63" t="s">
        <v>106</v>
      </c>
      <c r="BA63" t="s">
        <v>106</v>
      </c>
      <c r="BB63" t="s">
        <v>106</v>
      </c>
      <c r="BC63" t="s">
        <v>106</v>
      </c>
      <c r="BD63" t="s">
        <v>106</v>
      </c>
      <c r="BE63" t="s">
        <v>106</v>
      </c>
      <c r="BF63" t="s">
        <v>106</v>
      </c>
      <c r="BG63" t="s">
        <v>106</v>
      </c>
      <c r="BH63" t="s">
        <v>106</v>
      </c>
      <c r="BI63" t="s">
        <v>106</v>
      </c>
      <c r="BJ63" t="s">
        <v>106</v>
      </c>
      <c r="BK63" t="s">
        <v>106</v>
      </c>
      <c r="BL63">
        <v>673.7</v>
      </c>
      <c r="BM63">
        <v>0</v>
      </c>
    </row>
    <row r="64" spans="3:65">
      <c r="C64" t="s">
        <v>167</v>
      </c>
      <c r="D64" t="s">
        <v>105</v>
      </c>
      <c r="E64" t="s">
        <v>105</v>
      </c>
      <c r="F64" t="s">
        <v>106</v>
      </c>
      <c r="G64" t="s">
        <v>106</v>
      </c>
      <c r="H64" t="s">
        <v>106</v>
      </c>
      <c r="I64" t="s">
        <v>106</v>
      </c>
      <c r="J64" t="s">
        <v>106</v>
      </c>
      <c r="K64" t="s">
        <v>106</v>
      </c>
      <c r="L64" t="s">
        <v>106</v>
      </c>
      <c r="M64" t="s">
        <v>106</v>
      </c>
      <c r="N64" t="s">
        <v>106</v>
      </c>
      <c r="O64" t="s">
        <v>106</v>
      </c>
      <c r="P64" t="s">
        <v>106</v>
      </c>
      <c r="Q64" t="s">
        <v>106</v>
      </c>
      <c r="R64" t="s">
        <v>106</v>
      </c>
      <c r="S64" t="s">
        <v>106</v>
      </c>
      <c r="T64">
        <v>1025.5</v>
      </c>
      <c r="U64" t="s">
        <v>106</v>
      </c>
      <c r="V64" t="s">
        <v>106</v>
      </c>
      <c r="W64" t="s">
        <v>106</v>
      </c>
      <c r="X64" t="s">
        <v>106</v>
      </c>
      <c r="Y64" t="s">
        <v>106</v>
      </c>
      <c r="Z64">
        <v>1.8</v>
      </c>
      <c r="AA64">
        <v>2997.5</v>
      </c>
      <c r="AB64">
        <v>10714.2</v>
      </c>
      <c r="AC64">
        <v>0.8</v>
      </c>
      <c r="AD64" t="s">
        <v>106</v>
      </c>
      <c r="AE64">
        <v>1668</v>
      </c>
      <c r="AF64">
        <v>4.8</v>
      </c>
      <c r="AG64">
        <v>18586.3</v>
      </c>
      <c r="AH64">
        <v>57.2</v>
      </c>
      <c r="AI64">
        <v>3.3</v>
      </c>
      <c r="AJ64">
        <v>203.7</v>
      </c>
      <c r="AK64" t="s">
        <v>106</v>
      </c>
      <c r="AL64" t="s">
        <v>106</v>
      </c>
      <c r="AM64" t="s">
        <v>106</v>
      </c>
      <c r="AN64" t="s">
        <v>106</v>
      </c>
      <c r="AO64" t="s">
        <v>106</v>
      </c>
      <c r="AP64" t="s">
        <v>106</v>
      </c>
      <c r="AQ64" t="s">
        <v>106</v>
      </c>
      <c r="AR64" t="s">
        <v>106</v>
      </c>
      <c r="AS64" t="s">
        <v>106</v>
      </c>
      <c r="AT64" t="s">
        <v>106</v>
      </c>
      <c r="AU64" t="s">
        <v>106</v>
      </c>
      <c r="AV64" t="s">
        <v>106</v>
      </c>
      <c r="AW64" t="s">
        <v>106</v>
      </c>
      <c r="AX64" t="s">
        <v>106</v>
      </c>
      <c r="AY64">
        <v>681.6</v>
      </c>
      <c r="AZ64" t="s">
        <v>106</v>
      </c>
      <c r="BA64" t="s">
        <v>106</v>
      </c>
      <c r="BB64" t="s">
        <v>106</v>
      </c>
      <c r="BC64" t="s">
        <v>106</v>
      </c>
      <c r="BD64" t="s">
        <v>106</v>
      </c>
      <c r="BE64" t="s">
        <v>106</v>
      </c>
      <c r="BF64" t="s">
        <v>106</v>
      </c>
      <c r="BG64" t="s">
        <v>106</v>
      </c>
      <c r="BH64" t="s">
        <v>106</v>
      </c>
      <c r="BI64" t="s">
        <v>106</v>
      </c>
      <c r="BJ64">
        <v>353.2</v>
      </c>
      <c r="BK64" t="s">
        <v>106</v>
      </c>
      <c r="BL64">
        <v>36297.9</v>
      </c>
      <c r="BM64">
        <v>681.6</v>
      </c>
    </row>
    <row r="65" spans="1:65">
      <c r="D65" t="s">
        <v>168</v>
      </c>
      <c r="E65" t="s">
        <v>105</v>
      </c>
      <c r="F65" t="s">
        <v>106</v>
      </c>
      <c r="G65" t="s">
        <v>106</v>
      </c>
      <c r="H65" t="s">
        <v>106</v>
      </c>
      <c r="I65" t="s">
        <v>106</v>
      </c>
      <c r="J65" t="s">
        <v>106</v>
      </c>
      <c r="K65" t="s">
        <v>106</v>
      </c>
      <c r="L65" t="s">
        <v>106</v>
      </c>
      <c r="M65" t="s">
        <v>106</v>
      </c>
      <c r="N65" t="s">
        <v>106</v>
      </c>
      <c r="O65" t="s">
        <v>106</v>
      </c>
      <c r="P65" t="s">
        <v>106</v>
      </c>
      <c r="Q65" t="s">
        <v>106</v>
      </c>
      <c r="R65" t="s">
        <v>106</v>
      </c>
      <c r="S65" t="s">
        <v>106</v>
      </c>
      <c r="T65" t="s">
        <v>106</v>
      </c>
      <c r="U65" t="s">
        <v>106</v>
      </c>
      <c r="V65" t="s">
        <v>106</v>
      </c>
      <c r="W65" t="s">
        <v>106</v>
      </c>
      <c r="X65" t="s">
        <v>106</v>
      </c>
      <c r="Y65" t="s">
        <v>106</v>
      </c>
      <c r="Z65">
        <v>0</v>
      </c>
      <c r="AA65" t="s">
        <v>106</v>
      </c>
      <c r="AB65" t="s">
        <v>106</v>
      </c>
      <c r="AC65" t="s">
        <v>106</v>
      </c>
      <c r="AD65" t="s">
        <v>106</v>
      </c>
      <c r="AE65" t="s">
        <v>106</v>
      </c>
      <c r="AF65" t="s">
        <v>106</v>
      </c>
      <c r="AG65">
        <v>63</v>
      </c>
      <c r="AH65" t="s">
        <v>106</v>
      </c>
      <c r="AI65" t="s">
        <v>106</v>
      </c>
      <c r="AJ65" t="s">
        <v>106</v>
      </c>
      <c r="AK65" t="s">
        <v>106</v>
      </c>
      <c r="AL65" t="s">
        <v>106</v>
      </c>
      <c r="AM65" t="s">
        <v>106</v>
      </c>
      <c r="AN65" t="s">
        <v>106</v>
      </c>
      <c r="AO65" t="s">
        <v>106</v>
      </c>
      <c r="AP65" t="s">
        <v>106</v>
      </c>
      <c r="AQ65" t="s">
        <v>106</v>
      </c>
      <c r="AR65" t="s">
        <v>106</v>
      </c>
      <c r="AS65" t="s">
        <v>106</v>
      </c>
      <c r="AT65" t="s">
        <v>106</v>
      </c>
      <c r="AU65" t="s">
        <v>106</v>
      </c>
      <c r="AV65" t="s">
        <v>106</v>
      </c>
      <c r="AW65" t="s">
        <v>106</v>
      </c>
      <c r="AX65" t="s">
        <v>106</v>
      </c>
      <c r="AY65" t="s">
        <v>106</v>
      </c>
      <c r="AZ65" t="s">
        <v>106</v>
      </c>
      <c r="BA65" t="s">
        <v>106</v>
      </c>
      <c r="BB65" t="s">
        <v>106</v>
      </c>
      <c r="BC65" t="s">
        <v>106</v>
      </c>
      <c r="BD65" t="s">
        <v>106</v>
      </c>
      <c r="BE65" t="s">
        <v>106</v>
      </c>
      <c r="BF65" t="s">
        <v>106</v>
      </c>
      <c r="BG65" t="s">
        <v>106</v>
      </c>
      <c r="BH65" t="s">
        <v>106</v>
      </c>
      <c r="BI65" t="s">
        <v>106</v>
      </c>
      <c r="BJ65">
        <v>235.3</v>
      </c>
      <c r="BK65" t="s">
        <v>106</v>
      </c>
      <c r="BL65">
        <v>298.3</v>
      </c>
      <c r="BM65" t="s">
        <v>106</v>
      </c>
    </row>
    <row r="66" spans="1:65">
      <c r="D66" t="s">
        <v>169</v>
      </c>
      <c r="E66" t="s">
        <v>105</v>
      </c>
      <c r="F66" t="s">
        <v>106</v>
      </c>
      <c r="G66" t="s">
        <v>106</v>
      </c>
      <c r="H66" t="s">
        <v>106</v>
      </c>
      <c r="I66" t="s">
        <v>106</v>
      </c>
      <c r="J66" t="s">
        <v>106</v>
      </c>
      <c r="K66" t="s">
        <v>106</v>
      </c>
      <c r="L66" t="s">
        <v>106</v>
      </c>
      <c r="M66" t="s">
        <v>106</v>
      </c>
      <c r="N66" t="s">
        <v>106</v>
      </c>
      <c r="O66" t="s">
        <v>106</v>
      </c>
      <c r="P66" t="s">
        <v>106</v>
      </c>
      <c r="Q66" t="s">
        <v>106</v>
      </c>
      <c r="R66" t="s">
        <v>106</v>
      </c>
      <c r="S66" t="s">
        <v>106</v>
      </c>
      <c r="T66">
        <v>1025.5</v>
      </c>
      <c r="U66" t="s">
        <v>106</v>
      </c>
      <c r="V66" t="s">
        <v>106</v>
      </c>
      <c r="W66" t="s">
        <v>106</v>
      </c>
      <c r="X66" t="s">
        <v>106</v>
      </c>
      <c r="Y66" t="s">
        <v>106</v>
      </c>
      <c r="Z66">
        <v>0.4</v>
      </c>
      <c r="AA66">
        <v>2997.5</v>
      </c>
      <c r="AB66">
        <v>10714.2</v>
      </c>
      <c r="AC66" t="s">
        <v>106</v>
      </c>
      <c r="AD66" t="s">
        <v>106</v>
      </c>
      <c r="AE66" t="s">
        <v>106</v>
      </c>
      <c r="AF66">
        <v>0.6</v>
      </c>
      <c r="AG66">
        <v>18325.5</v>
      </c>
      <c r="AH66">
        <v>0.5</v>
      </c>
      <c r="AI66">
        <v>0</v>
      </c>
      <c r="AJ66" t="s">
        <v>106</v>
      </c>
      <c r="AK66" t="s">
        <v>106</v>
      </c>
      <c r="AL66" t="s">
        <v>106</v>
      </c>
      <c r="AM66" t="s">
        <v>106</v>
      </c>
      <c r="AN66" t="s">
        <v>106</v>
      </c>
      <c r="AO66" t="s">
        <v>106</v>
      </c>
      <c r="AP66" t="s">
        <v>106</v>
      </c>
      <c r="AQ66" t="s">
        <v>106</v>
      </c>
      <c r="AR66" t="s">
        <v>106</v>
      </c>
      <c r="AS66" t="s">
        <v>106</v>
      </c>
      <c r="AT66" t="s">
        <v>106</v>
      </c>
      <c r="AU66" t="s">
        <v>106</v>
      </c>
      <c r="AV66" t="s">
        <v>106</v>
      </c>
      <c r="AW66" t="s">
        <v>106</v>
      </c>
      <c r="AX66" t="s">
        <v>106</v>
      </c>
      <c r="AY66">
        <v>681.6</v>
      </c>
      <c r="AZ66" t="s">
        <v>106</v>
      </c>
      <c r="BA66" t="s">
        <v>106</v>
      </c>
      <c r="BB66" t="s">
        <v>106</v>
      </c>
      <c r="BC66" t="s">
        <v>106</v>
      </c>
      <c r="BD66" t="s">
        <v>106</v>
      </c>
      <c r="BE66" t="s">
        <v>106</v>
      </c>
      <c r="BF66" t="s">
        <v>106</v>
      </c>
      <c r="BG66" t="s">
        <v>106</v>
      </c>
      <c r="BH66" t="s">
        <v>106</v>
      </c>
      <c r="BI66" t="s">
        <v>106</v>
      </c>
      <c r="BJ66">
        <v>118</v>
      </c>
      <c r="BK66" t="s">
        <v>106</v>
      </c>
      <c r="BL66">
        <v>33863.9</v>
      </c>
      <c r="BM66">
        <v>681.6</v>
      </c>
    </row>
    <row r="67" spans="1:65">
      <c r="D67" t="s">
        <v>170</v>
      </c>
      <c r="E67" t="s">
        <v>105</v>
      </c>
      <c r="F67" t="s">
        <v>106</v>
      </c>
      <c r="G67" t="s">
        <v>106</v>
      </c>
      <c r="H67" t="s">
        <v>106</v>
      </c>
      <c r="I67" t="s">
        <v>106</v>
      </c>
      <c r="J67" t="s">
        <v>106</v>
      </c>
      <c r="K67" t="s">
        <v>106</v>
      </c>
      <c r="L67" t="s">
        <v>106</v>
      </c>
      <c r="M67" t="s">
        <v>106</v>
      </c>
      <c r="N67" t="s">
        <v>106</v>
      </c>
      <c r="O67" t="s">
        <v>106</v>
      </c>
      <c r="P67" t="s">
        <v>106</v>
      </c>
      <c r="Q67" t="s">
        <v>106</v>
      </c>
      <c r="R67" t="s">
        <v>106</v>
      </c>
      <c r="S67" t="s">
        <v>106</v>
      </c>
      <c r="T67" t="s">
        <v>106</v>
      </c>
      <c r="U67" t="s">
        <v>106</v>
      </c>
      <c r="V67" t="s">
        <v>106</v>
      </c>
      <c r="W67" t="s">
        <v>106</v>
      </c>
      <c r="X67" t="s">
        <v>106</v>
      </c>
      <c r="Y67" t="s">
        <v>106</v>
      </c>
      <c r="Z67">
        <v>1</v>
      </c>
      <c r="AA67" t="s">
        <v>106</v>
      </c>
      <c r="AB67" t="s">
        <v>106</v>
      </c>
      <c r="AC67" t="s">
        <v>106</v>
      </c>
      <c r="AD67" t="s">
        <v>106</v>
      </c>
      <c r="AE67" t="s">
        <v>106</v>
      </c>
      <c r="AF67">
        <v>3.9</v>
      </c>
      <c r="AG67">
        <v>195.8</v>
      </c>
      <c r="AH67">
        <v>56.7</v>
      </c>
      <c r="AI67">
        <v>3.2</v>
      </c>
      <c r="AJ67">
        <v>203.7</v>
      </c>
      <c r="AK67" t="s">
        <v>106</v>
      </c>
      <c r="AL67" t="s">
        <v>106</v>
      </c>
      <c r="AM67" t="s">
        <v>106</v>
      </c>
      <c r="AN67" t="s">
        <v>106</v>
      </c>
      <c r="AO67" t="s">
        <v>106</v>
      </c>
      <c r="AP67" t="s">
        <v>106</v>
      </c>
      <c r="AQ67" t="s">
        <v>106</v>
      </c>
      <c r="AR67" t="s">
        <v>106</v>
      </c>
      <c r="AS67" t="s">
        <v>106</v>
      </c>
      <c r="AT67" t="s">
        <v>106</v>
      </c>
      <c r="AU67" t="s">
        <v>106</v>
      </c>
      <c r="AV67" t="s">
        <v>106</v>
      </c>
      <c r="AW67" t="s">
        <v>106</v>
      </c>
      <c r="AX67" t="s">
        <v>106</v>
      </c>
      <c r="AY67" t="s">
        <v>106</v>
      </c>
      <c r="AZ67" t="s">
        <v>106</v>
      </c>
      <c r="BA67" t="s">
        <v>106</v>
      </c>
      <c r="BB67" t="s">
        <v>106</v>
      </c>
      <c r="BC67" t="s">
        <v>106</v>
      </c>
      <c r="BD67" t="s">
        <v>106</v>
      </c>
      <c r="BE67" t="s">
        <v>106</v>
      </c>
      <c r="BF67" t="s">
        <v>106</v>
      </c>
      <c r="BG67" t="s">
        <v>106</v>
      </c>
      <c r="BH67" t="s">
        <v>106</v>
      </c>
      <c r="BI67" t="s">
        <v>106</v>
      </c>
      <c r="BJ67" t="s">
        <v>106</v>
      </c>
      <c r="BK67" t="s">
        <v>106</v>
      </c>
      <c r="BL67">
        <v>464.3</v>
      </c>
      <c r="BM67" t="s">
        <v>106</v>
      </c>
    </row>
    <row r="68" spans="1:65">
      <c r="D68" t="s">
        <v>171</v>
      </c>
      <c r="E68" t="s">
        <v>105</v>
      </c>
      <c r="F68" t="s">
        <v>106</v>
      </c>
      <c r="G68" t="s">
        <v>106</v>
      </c>
      <c r="H68" t="s">
        <v>106</v>
      </c>
      <c r="I68" t="s">
        <v>106</v>
      </c>
      <c r="J68" t="s">
        <v>106</v>
      </c>
      <c r="K68" t="s">
        <v>106</v>
      </c>
      <c r="L68" t="s">
        <v>106</v>
      </c>
      <c r="M68" t="s">
        <v>106</v>
      </c>
      <c r="N68" t="s">
        <v>106</v>
      </c>
      <c r="O68" t="s">
        <v>106</v>
      </c>
      <c r="P68" t="s">
        <v>106</v>
      </c>
      <c r="Q68" t="s">
        <v>106</v>
      </c>
      <c r="R68" t="s">
        <v>106</v>
      </c>
      <c r="S68" t="s">
        <v>106</v>
      </c>
      <c r="T68" t="s">
        <v>106</v>
      </c>
      <c r="U68" t="s">
        <v>106</v>
      </c>
      <c r="V68" t="s">
        <v>106</v>
      </c>
      <c r="W68" t="s">
        <v>106</v>
      </c>
      <c r="X68" t="s">
        <v>106</v>
      </c>
      <c r="Y68" t="s">
        <v>106</v>
      </c>
      <c r="Z68">
        <v>0.4</v>
      </c>
      <c r="AA68" t="s">
        <v>106</v>
      </c>
      <c r="AB68">
        <v>0</v>
      </c>
      <c r="AC68">
        <v>0.8</v>
      </c>
      <c r="AD68" t="s">
        <v>106</v>
      </c>
      <c r="AE68">
        <v>1668</v>
      </c>
      <c r="AF68">
        <v>0.2</v>
      </c>
      <c r="AG68">
        <v>2</v>
      </c>
      <c r="AH68" t="s">
        <v>106</v>
      </c>
      <c r="AI68" t="s">
        <v>106</v>
      </c>
      <c r="AJ68" t="s">
        <v>106</v>
      </c>
      <c r="AK68" t="s">
        <v>106</v>
      </c>
      <c r="AL68" t="s">
        <v>106</v>
      </c>
      <c r="AM68" t="s">
        <v>106</v>
      </c>
      <c r="AN68" t="s">
        <v>106</v>
      </c>
      <c r="AO68" t="s">
        <v>106</v>
      </c>
      <c r="AP68" t="s">
        <v>106</v>
      </c>
      <c r="AQ68" t="s">
        <v>106</v>
      </c>
      <c r="AR68" t="s">
        <v>106</v>
      </c>
      <c r="AS68" t="s">
        <v>106</v>
      </c>
      <c r="AT68" t="s">
        <v>106</v>
      </c>
      <c r="AU68" t="s">
        <v>106</v>
      </c>
      <c r="AV68" t="s">
        <v>106</v>
      </c>
      <c r="AW68" t="s">
        <v>106</v>
      </c>
      <c r="AX68" t="s">
        <v>106</v>
      </c>
      <c r="AY68" t="s">
        <v>106</v>
      </c>
      <c r="AZ68" t="s">
        <v>106</v>
      </c>
      <c r="BA68" t="s">
        <v>106</v>
      </c>
      <c r="BB68" t="s">
        <v>106</v>
      </c>
      <c r="BC68" t="s">
        <v>106</v>
      </c>
      <c r="BD68" t="s">
        <v>106</v>
      </c>
      <c r="BE68" t="s">
        <v>106</v>
      </c>
      <c r="BF68" t="s">
        <v>106</v>
      </c>
      <c r="BG68" t="s">
        <v>106</v>
      </c>
      <c r="BH68" t="s">
        <v>106</v>
      </c>
      <c r="BI68" t="s">
        <v>106</v>
      </c>
      <c r="BJ68" t="s">
        <v>106</v>
      </c>
      <c r="BK68" t="s">
        <v>106</v>
      </c>
      <c r="BL68">
        <v>1671.4</v>
      </c>
      <c r="BM68" t="s">
        <v>106</v>
      </c>
    </row>
    <row r="69" spans="1:65">
      <c r="C69" t="s">
        <v>172</v>
      </c>
      <c r="D69" t="s">
        <v>105</v>
      </c>
      <c r="E69" t="s">
        <v>105</v>
      </c>
      <c r="F69" t="s">
        <v>106</v>
      </c>
      <c r="G69" t="s">
        <v>106</v>
      </c>
      <c r="H69" t="s">
        <v>106</v>
      </c>
      <c r="I69" t="s">
        <v>106</v>
      </c>
      <c r="J69" t="s">
        <v>106</v>
      </c>
      <c r="K69" t="s">
        <v>106</v>
      </c>
      <c r="L69" t="s">
        <v>106</v>
      </c>
      <c r="M69">
        <v>193</v>
      </c>
      <c r="N69" t="s">
        <v>106</v>
      </c>
      <c r="O69" t="s">
        <v>106</v>
      </c>
      <c r="P69" t="s">
        <v>106</v>
      </c>
      <c r="Q69" t="s">
        <v>106</v>
      </c>
      <c r="R69" t="s">
        <v>106</v>
      </c>
      <c r="S69" t="s">
        <v>106</v>
      </c>
      <c r="T69">
        <v>11466.9</v>
      </c>
      <c r="U69" t="s">
        <v>106</v>
      </c>
      <c r="V69" t="s">
        <v>106</v>
      </c>
      <c r="W69" t="s">
        <v>106</v>
      </c>
      <c r="X69" t="s">
        <v>106</v>
      </c>
      <c r="Y69" t="s">
        <v>106</v>
      </c>
      <c r="Z69">
        <v>593.5</v>
      </c>
      <c r="AA69">
        <v>13.2</v>
      </c>
      <c r="AB69">
        <v>0.4</v>
      </c>
      <c r="AC69" t="s">
        <v>106</v>
      </c>
      <c r="AD69" t="s">
        <v>106</v>
      </c>
      <c r="AE69" t="s">
        <v>106</v>
      </c>
      <c r="AF69">
        <v>1407.9</v>
      </c>
      <c r="AG69">
        <v>1.5</v>
      </c>
      <c r="AH69">
        <v>1.2</v>
      </c>
      <c r="AI69">
        <v>0.3</v>
      </c>
      <c r="AJ69">
        <v>8.1</v>
      </c>
      <c r="AK69" t="s">
        <v>106</v>
      </c>
      <c r="AL69" t="s">
        <v>106</v>
      </c>
      <c r="AM69" t="s">
        <v>106</v>
      </c>
      <c r="AN69" t="s">
        <v>106</v>
      </c>
      <c r="AO69" t="s">
        <v>106</v>
      </c>
      <c r="AP69" t="s">
        <v>106</v>
      </c>
      <c r="AQ69" t="s">
        <v>106</v>
      </c>
      <c r="AR69" t="s">
        <v>106</v>
      </c>
      <c r="AS69" t="s">
        <v>106</v>
      </c>
      <c r="AT69" t="s">
        <v>106</v>
      </c>
      <c r="AU69">
        <v>127.4</v>
      </c>
      <c r="AV69" t="s">
        <v>106</v>
      </c>
      <c r="AW69" t="s">
        <v>106</v>
      </c>
      <c r="AX69" t="s">
        <v>106</v>
      </c>
      <c r="AY69" t="s">
        <v>106</v>
      </c>
      <c r="AZ69" t="s">
        <v>106</v>
      </c>
      <c r="BA69" t="s">
        <v>106</v>
      </c>
      <c r="BB69" t="s">
        <v>106</v>
      </c>
      <c r="BC69" t="s">
        <v>106</v>
      </c>
      <c r="BD69">
        <v>48.5</v>
      </c>
      <c r="BE69" t="s">
        <v>106</v>
      </c>
      <c r="BF69">
        <v>11.3</v>
      </c>
      <c r="BG69" t="s">
        <v>106</v>
      </c>
      <c r="BH69" t="s">
        <v>106</v>
      </c>
      <c r="BI69" t="s">
        <v>106</v>
      </c>
      <c r="BJ69">
        <v>6962.5</v>
      </c>
      <c r="BK69">
        <v>2494.9</v>
      </c>
      <c r="BL69">
        <v>23330.6</v>
      </c>
      <c r="BM69">
        <v>187.2</v>
      </c>
    </row>
    <row r="70" spans="1:65">
      <c r="C70" t="s">
        <v>173</v>
      </c>
      <c r="D70" t="s">
        <v>105</v>
      </c>
      <c r="E70" t="s">
        <v>105</v>
      </c>
      <c r="F70" t="s">
        <v>106</v>
      </c>
      <c r="G70" t="s">
        <v>106</v>
      </c>
      <c r="H70" t="s">
        <v>106</v>
      </c>
      <c r="I70" t="s">
        <v>106</v>
      </c>
      <c r="J70" t="s">
        <v>106</v>
      </c>
      <c r="K70" t="s">
        <v>106</v>
      </c>
      <c r="L70" t="s">
        <v>106</v>
      </c>
      <c r="M70">
        <v>1.3</v>
      </c>
      <c r="N70" t="s">
        <v>106</v>
      </c>
      <c r="O70" t="s">
        <v>106</v>
      </c>
      <c r="P70" t="s">
        <v>106</v>
      </c>
      <c r="Q70" t="s">
        <v>106</v>
      </c>
      <c r="R70" t="s">
        <v>106</v>
      </c>
      <c r="S70" t="s">
        <v>106</v>
      </c>
      <c r="T70">
        <v>3490.5</v>
      </c>
      <c r="U70" t="s">
        <v>106</v>
      </c>
      <c r="V70" t="s">
        <v>106</v>
      </c>
      <c r="W70" t="s">
        <v>106</v>
      </c>
      <c r="X70" t="s">
        <v>106</v>
      </c>
      <c r="Y70" t="s">
        <v>106</v>
      </c>
      <c r="Z70">
        <v>1202.5999999999999</v>
      </c>
      <c r="AA70">
        <v>83.8</v>
      </c>
      <c r="AB70">
        <v>7.1</v>
      </c>
      <c r="AC70">
        <v>0</v>
      </c>
      <c r="AD70" t="s">
        <v>106</v>
      </c>
      <c r="AE70">
        <v>7.4</v>
      </c>
      <c r="AF70">
        <v>410.8</v>
      </c>
      <c r="AG70">
        <v>369.7</v>
      </c>
      <c r="AH70">
        <v>2.8</v>
      </c>
      <c r="AI70">
        <v>1</v>
      </c>
      <c r="AJ70">
        <v>21.6</v>
      </c>
      <c r="AK70" t="s">
        <v>106</v>
      </c>
      <c r="AL70" t="s">
        <v>106</v>
      </c>
      <c r="AM70" t="s">
        <v>106</v>
      </c>
      <c r="AN70" t="s">
        <v>106</v>
      </c>
      <c r="AO70" t="s">
        <v>106</v>
      </c>
      <c r="AP70" t="s">
        <v>106</v>
      </c>
      <c r="AQ70" t="s">
        <v>106</v>
      </c>
      <c r="AR70">
        <v>35.299999999999997</v>
      </c>
      <c r="AS70">
        <v>14.3</v>
      </c>
      <c r="AT70">
        <v>38.799999999999997</v>
      </c>
      <c r="AU70">
        <v>42.1</v>
      </c>
      <c r="AV70" t="s">
        <v>106</v>
      </c>
      <c r="AW70" t="s">
        <v>106</v>
      </c>
      <c r="AX70" t="s">
        <v>106</v>
      </c>
      <c r="AY70" t="s">
        <v>106</v>
      </c>
      <c r="AZ70" t="s">
        <v>106</v>
      </c>
      <c r="BA70" t="s">
        <v>106</v>
      </c>
      <c r="BB70" t="s">
        <v>106</v>
      </c>
      <c r="BC70" t="s">
        <v>106</v>
      </c>
      <c r="BD70">
        <v>4.7</v>
      </c>
      <c r="BE70" t="s">
        <v>106</v>
      </c>
      <c r="BF70">
        <v>1.3</v>
      </c>
      <c r="BG70" t="s">
        <v>106</v>
      </c>
      <c r="BH70" t="s">
        <v>106</v>
      </c>
      <c r="BI70" t="s">
        <v>106</v>
      </c>
      <c r="BJ70">
        <v>12660</v>
      </c>
      <c r="BK70">
        <v>475.5</v>
      </c>
      <c r="BL70">
        <v>18870.8</v>
      </c>
      <c r="BM70">
        <v>136.5</v>
      </c>
    </row>
    <row r="71" spans="1:65">
      <c r="C71" t="s">
        <v>174</v>
      </c>
      <c r="D71" t="s">
        <v>105</v>
      </c>
      <c r="E71" t="s">
        <v>105</v>
      </c>
      <c r="F71" t="s">
        <v>106</v>
      </c>
      <c r="G71" t="s">
        <v>106</v>
      </c>
      <c r="H71" t="s">
        <v>106</v>
      </c>
      <c r="I71" t="s">
        <v>106</v>
      </c>
      <c r="J71" t="s">
        <v>106</v>
      </c>
      <c r="K71" t="s">
        <v>106</v>
      </c>
      <c r="L71" t="s">
        <v>106</v>
      </c>
      <c r="M71" t="s">
        <v>106</v>
      </c>
      <c r="N71" t="s">
        <v>106</v>
      </c>
      <c r="O71" t="s">
        <v>106</v>
      </c>
      <c r="P71" t="s">
        <v>106</v>
      </c>
      <c r="Q71" t="s">
        <v>106</v>
      </c>
      <c r="R71" t="s">
        <v>106</v>
      </c>
      <c r="S71" t="s">
        <v>106</v>
      </c>
      <c r="T71">
        <v>66.2</v>
      </c>
      <c r="U71" t="s">
        <v>106</v>
      </c>
      <c r="V71" t="s">
        <v>106</v>
      </c>
      <c r="W71" t="s">
        <v>106</v>
      </c>
      <c r="X71" t="s">
        <v>106</v>
      </c>
      <c r="Y71" t="s">
        <v>106</v>
      </c>
      <c r="Z71">
        <v>25.4</v>
      </c>
      <c r="AA71">
        <v>0.1</v>
      </c>
      <c r="AB71">
        <v>27.3</v>
      </c>
      <c r="AC71">
        <v>0.4</v>
      </c>
      <c r="AD71" t="s">
        <v>106</v>
      </c>
      <c r="AE71">
        <v>486.1</v>
      </c>
      <c r="AF71">
        <v>33.5</v>
      </c>
      <c r="AG71">
        <v>580.29999999999995</v>
      </c>
      <c r="AH71">
        <v>2.5</v>
      </c>
      <c r="AI71">
        <v>0.3</v>
      </c>
      <c r="AJ71">
        <v>3.2</v>
      </c>
      <c r="AK71" t="s">
        <v>106</v>
      </c>
      <c r="AL71" t="s">
        <v>106</v>
      </c>
      <c r="AM71" t="s">
        <v>106</v>
      </c>
      <c r="AN71" t="s">
        <v>106</v>
      </c>
      <c r="AO71" t="s">
        <v>106</v>
      </c>
      <c r="AP71" t="s">
        <v>106</v>
      </c>
      <c r="AQ71" t="s">
        <v>106</v>
      </c>
      <c r="AR71">
        <v>8.1</v>
      </c>
      <c r="AS71">
        <v>641.4</v>
      </c>
      <c r="AT71">
        <v>4.3</v>
      </c>
      <c r="AU71">
        <v>48.1</v>
      </c>
      <c r="AV71">
        <v>38.299999999999997</v>
      </c>
      <c r="AW71" t="s">
        <v>106</v>
      </c>
      <c r="AX71" t="s">
        <v>106</v>
      </c>
      <c r="AY71" t="s">
        <v>106</v>
      </c>
      <c r="AZ71" t="s">
        <v>106</v>
      </c>
      <c r="BA71" t="s">
        <v>106</v>
      </c>
      <c r="BB71" t="s">
        <v>106</v>
      </c>
      <c r="BC71" t="s">
        <v>106</v>
      </c>
      <c r="BD71">
        <v>187.7</v>
      </c>
      <c r="BE71" t="s">
        <v>106</v>
      </c>
      <c r="BF71">
        <v>11.1</v>
      </c>
      <c r="BG71" t="s">
        <v>106</v>
      </c>
      <c r="BH71" t="s">
        <v>106</v>
      </c>
      <c r="BI71" t="s">
        <v>106</v>
      </c>
      <c r="BJ71">
        <v>2837.5</v>
      </c>
      <c r="BK71">
        <v>79.099999999999994</v>
      </c>
      <c r="BL71">
        <v>5080.8999999999996</v>
      </c>
      <c r="BM71">
        <v>938.9</v>
      </c>
    </row>
    <row r="72" spans="1:65">
      <c r="B72" t="s">
        <v>175</v>
      </c>
      <c r="C72" t="s">
        <v>105</v>
      </c>
      <c r="D72" t="s">
        <v>105</v>
      </c>
      <c r="E72" t="s">
        <v>105</v>
      </c>
      <c r="F72" t="s">
        <v>106</v>
      </c>
      <c r="G72" t="s">
        <v>106</v>
      </c>
      <c r="H72" t="s">
        <v>106</v>
      </c>
      <c r="I72" t="s">
        <v>106</v>
      </c>
      <c r="J72" t="s">
        <v>106</v>
      </c>
      <c r="K72" t="s">
        <v>106</v>
      </c>
      <c r="L72">
        <v>27</v>
      </c>
      <c r="M72" t="s">
        <v>106</v>
      </c>
      <c r="N72" t="s">
        <v>106</v>
      </c>
      <c r="O72">
        <v>505.6</v>
      </c>
      <c r="P72" t="s">
        <v>106</v>
      </c>
      <c r="Q72" t="s">
        <v>106</v>
      </c>
      <c r="R72" t="s">
        <v>106</v>
      </c>
      <c r="S72">
        <v>750.1</v>
      </c>
      <c r="T72" t="s">
        <v>106</v>
      </c>
      <c r="U72" t="s">
        <v>106</v>
      </c>
      <c r="V72" t="s">
        <v>106</v>
      </c>
      <c r="W72" t="s">
        <v>106</v>
      </c>
      <c r="X72" t="s">
        <v>106</v>
      </c>
      <c r="Y72" t="s">
        <v>106</v>
      </c>
      <c r="Z72">
        <v>4767.8</v>
      </c>
      <c r="AA72">
        <v>808.3</v>
      </c>
      <c r="AB72" t="s">
        <v>106</v>
      </c>
      <c r="AC72" t="s">
        <v>106</v>
      </c>
      <c r="AD72" t="s">
        <v>106</v>
      </c>
      <c r="AE72" t="s">
        <v>106</v>
      </c>
      <c r="AF72" t="s">
        <v>106</v>
      </c>
      <c r="AG72" t="s">
        <v>106</v>
      </c>
      <c r="AH72" t="s">
        <v>106</v>
      </c>
      <c r="AI72" t="s">
        <v>106</v>
      </c>
      <c r="AJ72" t="s">
        <v>106</v>
      </c>
      <c r="AK72">
        <v>43578.7</v>
      </c>
      <c r="AL72">
        <v>174.7</v>
      </c>
      <c r="AM72">
        <v>1141</v>
      </c>
      <c r="AN72">
        <v>1338</v>
      </c>
      <c r="AO72">
        <v>23.9</v>
      </c>
      <c r="AP72">
        <v>489.8</v>
      </c>
      <c r="AQ72">
        <v>2710.1</v>
      </c>
      <c r="AR72" t="s">
        <v>106</v>
      </c>
      <c r="AS72" t="s">
        <v>106</v>
      </c>
      <c r="AT72" t="s">
        <v>106</v>
      </c>
      <c r="AU72" t="s">
        <v>106</v>
      </c>
      <c r="AV72" t="s">
        <v>106</v>
      </c>
      <c r="AW72" t="s">
        <v>106</v>
      </c>
      <c r="AX72" t="s">
        <v>106</v>
      </c>
      <c r="AY72" t="s">
        <v>106</v>
      </c>
      <c r="AZ72" t="s">
        <v>106</v>
      </c>
      <c r="BA72" t="s">
        <v>106</v>
      </c>
      <c r="BB72" t="s">
        <v>106</v>
      </c>
      <c r="BC72" t="s">
        <v>106</v>
      </c>
      <c r="BD72" t="s">
        <v>106</v>
      </c>
      <c r="BE72" t="s">
        <v>106</v>
      </c>
      <c r="BF72" t="s">
        <v>106</v>
      </c>
      <c r="BG72" t="s">
        <v>106</v>
      </c>
      <c r="BH72" t="s">
        <v>106</v>
      </c>
      <c r="BI72" t="s">
        <v>106</v>
      </c>
      <c r="BJ72" t="s">
        <v>106</v>
      </c>
      <c r="BK72" t="s">
        <v>106</v>
      </c>
      <c r="BL72">
        <v>56315.1</v>
      </c>
      <c r="BM72" t="s">
        <v>106</v>
      </c>
    </row>
    <row r="73" spans="1:65">
      <c r="C73" t="s">
        <v>176</v>
      </c>
      <c r="D73" t="s">
        <v>105</v>
      </c>
      <c r="E73" t="s">
        <v>105</v>
      </c>
      <c r="F73" t="s">
        <v>106</v>
      </c>
      <c r="G73" t="s">
        <v>106</v>
      </c>
      <c r="H73" t="s">
        <v>106</v>
      </c>
      <c r="I73" t="s">
        <v>106</v>
      </c>
      <c r="J73" t="s">
        <v>106</v>
      </c>
      <c r="K73" t="s">
        <v>106</v>
      </c>
      <c r="L73">
        <v>27</v>
      </c>
      <c r="M73" t="s">
        <v>106</v>
      </c>
      <c r="N73" t="s">
        <v>106</v>
      </c>
      <c r="O73">
        <v>505.6</v>
      </c>
      <c r="P73" t="s">
        <v>106</v>
      </c>
      <c r="Q73" t="s">
        <v>106</v>
      </c>
      <c r="R73" t="s">
        <v>106</v>
      </c>
      <c r="S73">
        <v>750.1</v>
      </c>
      <c r="T73" t="s">
        <v>106</v>
      </c>
      <c r="U73" t="s">
        <v>106</v>
      </c>
      <c r="V73" t="s">
        <v>106</v>
      </c>
      <c r="W73" t="s">
        <v>106</v>
      </c>
      <c r="X73" t="s">
        <v>106</v>
      </c>
      <c r="Y73" t="s">
        <v>106</v>
      </c>
      <c r="Z73">
        <v>4767.8</v>
      </c>
      <c r="AA73">
        <v>808.3</v>
      </c>
      <c r="AB73" t="s">
        <v>106</v>
      </c>
      <c r="AC73" t="s">
        <v>106</v>
      </c>
      <c r="AD73" t="s">
        <v>106</v>
      </c>
      <c r="AE73" t="s">
        <v>106</v>
      </c>
      <c r="AF73" t="s">
        <v>106</v>
      </c>
      <c r="AG73" t="s">
        <v>106</v>
      </c>
      <c r="AH73" t="s">
        <v>106</v>
      </c>
      <c r="AI73" t="s">
        <v>106</v>
      </c>
      <c r="AJ73" t="s">
        <v>106</v>
      </c>
      <c r="AK73">
        <v>43578.7</v>
      </c>
      <c r="AL73">
        <v>150.5</v>
      </c>
      <c r="AM73">
        <v>1141</v>
      </c>
      <c r="AN73">
        <v>1338</v>
      </c>
      <c r="AO73">
        <v>23.9</v>
      </c>
      <c r="AP73">
        <v>489.8</v>
      </c>
      <c r="AQ73">
        <v>2710.1</v>
      </c>
      <c r="AR73" t="s">
        <v>106</v>
      </c>
      <c r="AS73" t="s">
        <v>106</v>
      </c>
      <c r="AT73" t="s">
        <v>106</v>
      </c>
      <c r="AU73" t="s">
        <v>106</v>
      </c>
      <c r="AV73" t="s">
        <v>106</v>
      </c>
      <c r="AW73" t="s">
        <v>106</v>
      </c>
      <c r="AX73" t="s">
        <v>106</v>
      </c>
      <c r="AY73" t="s">
        <v>106</v>
      </c>
      <c r="AZ73" t="s">
        <v>106</v>
      </c>
      <c r="BA73" t="s">
        <v>106</v>
      </c>
      <c r="BB73" t="s">
        <v>106</v>
      </c>
      <c r="BC73" t="s">
        <v>106</v>
      </c>
      <c r="BD73" t="s">
        <v>106</v>
      </c>
      <c r="BE73" t="s">
        <v>106</v>
      </c>
      <c r="BF73" t="s">
        <v>106</v>
      </c>
      <c r="BG73" t="s">
        <v>106</v>
      </c>
      <c r="BH73" t="s">
        <v>106</v>
      </c>
      <c r="BI73" t="s">
        <v>106</v>
      </c>
      <c r="BJ73" t="s">
        <v>106</v>
      </c>
      <c r="BK73" t="s">
        <v>106</v>
      </c>
      <c r="BL73">
        <v>56290.9</v>
      </c>
      <c r="BM73" t="s">
        <v>106</v>
      </c>
    </row>
    <row r="74" spans="1:65">
      <c r="C74" t="s">
        <v>177</v>
      </c>
      <c r="D74" t="s">
        <v>105</v>
      </c>
      <c r="E74" t="s">
        <v>105</v>
      </c>
      <c r="F74" t="s">
        <v>106</v>
      </c>
      <c r="G74" t="s">
        <v>106</v>
      </c>
      <c r="H74" t="s">
        <v>106</v>
      </c>
      <c r="I74" t="s">
        <v>106</v>
      </c>
      <c r="J74" t="s">
        <v>106</v>
      </c>
      <c r="K74" t="s">
        <v>106</v>
      </c>
      <c r="L74" t="s">
        <v>106</v>
      </c>
      <c r="M74" t="s">
        <v>106</v>
      </c>
      <c r="N74" t="s">
        <v>106</v>
      </c>
      <c r="O74" t="s">
        <v>106</v>
      </c>
      <c r="P74" t="s">
        <v>106</v>
      </c>
      <c r="Q74" t="s">
        <v>106</v>
      </c>
      <c r="R74" t="s">
        <v>106</v>
      </c>
      <c r="S74" t="s">
        <v>106</v>
      </c>
      <c r="T74" t="s">
        <v>106</v>
      </c>
      <c r="U74" t="s">
        <v>106</v>
      </c>
      <c r="V74" t="s">
        <v>106</v>
      </c>
      <c r="W74" t="s">
        <v>106</v>
      </c>
      <c r="X74" t="s">
        <v>106</v>
      </c>
      <c r="Y74" t="s">
        <v>106</v>
      </c>
      <c r="Z74" t="s">
        <v>106</v>
      </c>
      <c r="AA74" t="s">
        <v>106</v>
      </c>
      <c r="AB74" t="s">
        <v>106</v>
      </c>
      <c r="AC74" t="s">
        <v>106</v>
      </c>
      <c r="AD74" t="s">
        <v>106</v>
      </c>
      <c r="AE74" t="s">
        <v>106</v>
      </c>
      <c r="AF74" t="s">
        <v>106</v>
      </c>
      <c r="AG74" t="s">
        <v>106</v>
      </c>
      <c r="AH74" t="s">
        <v>106</v>
      </c>
      <c r="AI74" t="s">
        <v>106</v>
      </c>
      <c r="AJ74" t="s">
        <v>106</v>
      </c>
      <c r="AK74" t="s">
        <v>106</v>
      </c>
      <c r="AL74">
        <v>0</v>
      </c>
      <c r="AM74" t="s">
        <v>106</v>
      </c>
      <c r="AN74" t="s">
        <v>106</v>
      </c>
      <c r="AO74" t="s">
        <v>106</v>
      </c>
      <c r="AP74" t="s">
        <v>106</v>
      </c>
      <c r="AQ74" t="s">
        <v>106</v>
      </c>
      <c r="AR74" t="s">
        <v>106</v>
      </c>
      <c r="AS74" t="s">
        <v>106</v>
      </c>
      <c r="AT74" t="s">
        <v>106</v>
      </c>
      <c r="AU74" t="s">
        <v>106</v>
      </c>
      <c r="AV74" t="s">
        <v>106</v>
      </c>
      <c r="AW74" t="s">
        <v>106</v>
      </c>
      <c r="AX74" t="s">
        <v>106</v>
      </c>
      <c r="AY74" t="s">
        <v>106</v>
      </c>
      <c r="AZ74" t="s">
        <v>106</v>
      </c>
      <c r="BA74" t="s">
        <v>106</v>
      </c>
      <c r="BB74" t="s">
        <v>106</v>
      </c>
      <c r="BC74" t="s">
        <v>106</v>
      </c>
      <c r="BD74" t="s">
        <v>106</v>
      </c>
      <c r="BE74" t="s">
        <v>106</v>
      </c>
      <c r="BF74" t="s">
        <v>106</v>
      </c>
      <c r="BG74" t="s">
        <v>106</v>
      </c>
      <c r="BH74" t="s">
        <v>106</v>
      </c>
      <c r="BI74" t="s">
        <v>106</v>
      </c>
      <c r="BJ74" t="s">
        <v>106</v>
      </c>
      <c r="BK74" t="s">
        <v>106</v>
      </c>
      <c r="BL74">
        <v>0</v>
      </c>
      <c r="BM74" t="s">
        <v>106</v>
      </c>
    </row>
    <row r="75" spans="1:65">
      <c r="C75" t="s">
        <v>178</v>
      </c>
      <c r="D75" t="s">
        <v>105</v>
      </c>
      <c r="E75" t="s">
        <v>105</v>
      </c>
      <c r="F75" t="s">
        <v>106</v>
      </c>
      <c r="G75" t="s">
        <v>106</v>
      </c>
      <c r="H75" t="s">
        <v>106</v>
      </c>
      <c r="I75" t="s">
        <v>106</v>
      </c>
      <c r="J75" t="s">
        <v>106</v>
      </c>
      <c r="K75" t="s">
        <v>106</v>
      </c>
      <c r="L75" t="s">
        <v>106</v>
      </c>
      <c r="M75" t="s">
        <v>106</v>
      </c>
      <c r="N75" t="s">
        <v>106</v>
      </c>
      <c r="O75" t="s">
        <v>106</v>
      </c>
      <c r="P75" t="s">
        <v>106</v>
      </c>
      <c r="Q75" t="s">
        <v>106</v>
      </c>
      <c r="R75" t="s">
        <v>106</v>
      </c>
      <c r="S75" t="s">
        <v>106</v>
      </c>
      <c r="T75" t="s">
        <v>106</v>
      </c>
      <c r="U75" t="s">
        <v>106</v>
      </c>
      <c r="V75" t="s">
        <v>106</v>
      </c>
      <c r="W75" t="s">
        <v>106</v>
      </c>
      <c r="X75" t="s">
        <v>106</v>
      </c>
      <c r="Y75" t="s">
        <v>106</v>
      </c>
      <c r="Z75" t="s">
        <v>106</v>
      </c>
      <c r="AA75" t="s">
        <v>106</v>
      </c>
      <c r="AB75" t="s">
        <v>106</v>
      </c>
      <c r="AC75" t="s">
        <v>106</v>
      </c>
      <c r="AD75" t="s">
        <v>106</v>
      </c>
      <c r="AE75" t="s">
        <v>106</v>
      </c>
      <c r="AF75" t="s">
        <v>106</v>
      </c>
      <c r="AG75" t="s">
        <v>106</v>
      </c>
      <c r="AH75" t="s">
        <v>106</v>
      </c>
      <c r="AI75" t="s">
        <v>106</v>
      </c>
      <c r="AJ75" t="s">
        <v>106</v>
      </c>
      <c r="AK75" t="s">
        <v>106</v>
      </c>
      <c r="AL75" t="s">
        <v>106</v>
      </c>
      <c r="AM75" t="s">
        <v>106</v>
      </c>
      <c r="AN75" t="s">
        <v>106</v>
      </c>
      <c r="AO75" t="s">
        <v>106</v>
      </c>
      <c r="AP75" t="s">
        <v>106</v>
      </c>
      <c r="AQ75" t="s">
        <v>106</v>
      </c>
      <c r="AR75" t="s">
        <v>106</v>
      </c>
      <c r="AS75" t="s">
        <v>106</v>
      </c>
      <c r="AT75" t="s">
        <v>106</v>
      </c>
      <c r="AU75" t="s">
        <v>106</v>
      </c>
      <c r="AV75" t="s">
        <v>106</v>
      </c>
      <c r="AW75" t="s">
        <v>106</v>
      </c>
      <c r="AX75" t="s">
        <v>106</v>
      </c>
      <c r="AY75" t="s">
        <v>106</v>
      </c>
      <c r="AZ75" t="s">
        <v>106</v>
      </c>
      <c r="BA75" t="s">
        <v>106</v>
      </c>
      <c r="BB75" t="s">
        <v>106</v>
      </c>
      <c r="BC75" t="s">
        <v>106</v>
      </c>
      <c r="BD75" t="s">
        <v>106</v>
      </c>
      <c r="BE75" t="s">
        <v>106</v>
      </c>
      <c r="BF75" t="s">
        <v>106</v>
      </c>
      <c r="BG75" t="s">
        <v>106</v>
      </c>
      <c r="BH75" t="s">
        <v>106</v>
      </c>
      <c r="BI75" t="s">
        <v>106</v>
      </c>
      <c r="BJ75" t="s">
        <v>106</v>
      </c>
      <c r="BK75" t="s">
        <v>106</v>
      </c>
      <c r="BL75" t="s">
        <v>106</v>
      </c>
      <c r="BM75" t="s">
        <v>106</v>
      </c>
    </row>
    <row r="76" spans="1:65">
      <c r="C76" t="s">
        <v>179</v>
      </c>
      <c r="D76" t="s">
        <v>105</v>
      </c>
      <c r="E76" t="s">
        <v>105</v>
      </c>
      <c r="F76" t="s">
        <v>106</v>
      </c>
      <c r="G76" t="s">
        <v>106</v>
      </c>
      <c r="H76" t="s">
        <v>106</v>
      </c>
      <c r="I76" t="s">
        <v>106</v>
      </c>
      <c r="J76" t="s">
        <v>106</v>
      </c>
      <c r="K76" t="s">
        <v>106</v>
      </c>
      <c r="L76" t="s">
        <v>106</v>
      </c>
      <c r="M76" t="s">
        <v>106</v>
      </c>
      <c r="N76" t="s">
        <v>106</v>
      </c>
      <c r="O76" t="s">
        <v>106</v>
      </c>
      <c r="P76" t="s">
        <v>106</v>
      </c>
      <c r="Q76" t="s">
        <v>106</v>
      </c>
      <c r="R76" t="s">
        <v>106</v>
      </c>
      <c r="S76" t="s">
        <v>106</v>
      </c>
      <c r="T76" t="s">
        <v>106</v>
      </c>
      <c r="U76" t="s">
        <v>106</v>
      </c>
      <c r="V76" t="s">
        <v>106</v>
      </c>
      <c r="W76" t="s">
        <v>106</v>
      </c>
      <c r="X76" t="s">
        <v>106</v>
      </c>
      <c r="Y76" t="s">
        <v>106</v>
      </c>
      <c r="Z76" t="s">
        <v>106</v>
      </c>
      <c r="AA76" t="s">
        <v>106</v>
      </c>
      <c r="AB76" t="s">
        <v>106</v>
      </c>
      <c r="AC76" t="s">
        <v>106</v>
      </c>
      <c r="AD76" t="s">
        <v>106</v>
      </c>
      <c r="AE76" t="s">
        <v>106</v>
      </c>
      <c r="AF76" t="s">
        <v>106</v>
      </c>
      <c r="AG76" t="s">
        <v>106</v>
      </c>
      <c r="AH76" t="s">
        <v>106</v>
      </c>
      <c r="AI76" t="s">
        <v>106</v>
      </c>
      <c r="AJ76" t="s">
        <v>106</v>
      </c>
      <c r="AK76" t="s">
        <v>106</v>
      </c>
      <c r="AL76">
        <v>24</v>
      </c>
      <c r="AM76" t="s">
        <v>106</v>
      </c>
      <c r="AN76" t="s">
        <v>106</v>
      </c>
      <c r="AO76" t="s">
        <v>106</v>
      </c>
      <c r="AP76" t="s">
        <v>106</v>
      </c>
      <c r="AQ76" t="s">
        <v>106</v>
      </c>
      <c r="AR76" t="s">
        <v>106</v>
      </c>
      <c r="AS76" t="s">
        <v>106</v>
      </c>
      <c r="AT76" t="s">
        <v>106</v>
      </c>
      <c r="AU76" t="s">
        <v>106</v>
      </c>
      <c r="AV76" t="s">
        <v>106</v>
      </c>
      <c r="AW76" t="s">
        <v>106</v>
      </c>
      <c r="AX76" t="s">
        <v>106</v>
      </c>
      <c r="AY76" t="s">
        <v>106</v>
      </c>
      <c r="AZ76" t="s">
        <v>106</v>
      </c>
      <c r="BA76" t="s">
        <v>106</v>
      </c>
      <c r="BB76" t="s">
        <v>106</v>
      </c>
      <c r="BC76" t="s">
        <v>106</v>
      </c>
      <c r="BD76" t="s">
        <v>106</v>
      </c>
      <c r="BE76" t="s">
        <v>106</v>
      </c>
      <c r="BF76" t="s">
        <v>106</v>
      </c>
      <c r="BG76" t="s">
        <v>106</v>
      </c>
      <c r="BH76" t="s">
        <v>106</v>
      </c>
      <c r="BI76" t="s">
        <v>106</v>
      </c>
      <c r="BJ76" t="s">
        <v>106</v>
      </c>
      <c r="BK76" t="s">
        <v>106</v>
      </c>
      <c r="BL76">
        <v>24</v>
      </c>
      <c r="BM76" t="s">
        <v>106</v>
      </c>
    </row>
    <row r="77" spans="1:65">
      <c r="C77" t="s">
        <v>180</v>
      </c>
      <c r="D77" t="s">
        <v>105</v>
      </c>
      <c r="E77" t="s">
        <v>105</v>
      </c>
      <c r="F77" t="s">
        <v>106</v>
      </c>
      <c r="G77" t="s">
        <v>106</v>
      </c>
      <c r="H77" t="s">
        <v>106</v>
      </c>
      <c r="I77" t="s">
        <v>106</v>
      </c>
      <c r="J77" t="s">
        <v>106</v>
      </c>
      <c r="K77" t="s">
        <v>106</v>
      </c>
      <c r="L77" t="s">
        <v>106</v>
      </c>
      <c r="M77" t="s">
        <v>106</v>
      </c>
      <c r="N77" t="s">
        <v>106</v>
      </c>
      <c r="O77" t="s">
        <v>106</v>
      </c>
      <c r="P77" t="s">
        <v>106</v>
      </c>
      <c r="Q77" t="s">
        <v>106</v>
      </c>
      <c r="R77" t="s">
        <v>106</v>
      </c>
      <c r="S77" t="s">
        <v>106</v>
      </c>
      <c r="T77" t="s">
        <v>106</v>
      </c>
      <c r="U77" t="s">
        <v>106</v>
      </c>
      <c r="V77" t="s">
        <v>106</v>
      </c>
      <c r="W77" t="s">
        <v>106</v>
      </c>
      <c r="X77" t="s">
        <v>106</v>
      </c>
      <c r="Y77" t="s">
        <v>106</v>
      </c>
      <c r="Z77" t="s">
        <v>106</v>
      </c>
      <c r="AA77" t="s">
        <v>106</v>
      </c>
      <c r="AB77" t="s">
        <v>106</v>
      </c>
      <c r="AC77" t="s">
        <v>106</v>
      </c>
      <c r="AD77" t="s">
        <v>106</v>
      </c>
      <c r="AE77" t="s">
        <v>106</v>
      </c>
      <c r="AF77" t="s">
        <v>106</v>
      </c>
      <c r="AG77" t="s">
        <v>106</v>
      </c>
      <c r="AH77" t="s">
        <v>106</v>
      </c>
      <c r="AI77" t="s">
        <v>106</v>
      </c>
      <c r="AJ77" t="s">
        <v>106</v>
      </c>
      <c r="AK77" t="s">
        <v>106</v>
      </c>
      <c r="AL77">
        <v>0.2</v>
      </c>
      <c r="AM77" t="s">
        <v>106</v>
      </c>
      <c r="AN77" t="s">
        <v>106</v>
      </c>
      <c r="AO77" t="s">
        <v>106</v>
      </c>
      <c r="AP77" t="s">
        <v>106</v>
      </c>
      <c r="AQ77" t="s">
        <v>106</v>
      </c>
      <c r="AR77" t="s">
        <v>106</v>
      </c>
      <c r="AS77" t="s">
        <v>106</v>
      </c>
      <c r="AT77" t="s">
        <v>106</v>
      </c>
      <c r="AU77" t="s">
        <v>106</v>
      </c>
      <c r="AV77" t="s">
        <v>106</v>
      </c>
      <c r="AW77" t="s">
        <v>106</v>
      </c>
      <c r="AX77" t="s">
        <v>106</v>
      </c>
      <c r="AY77" t="s">
        <v>106</v>
      </c>
      <c r="AZ77" t="s">
        <v>106</v>
      </c>
      <c r="BA77" t="s">
        <v>106</v>
      </c>
      <c r="BB77" t="s">
        <v>106</v>
      </c>
      <c r="BC77" t="s">
        <v>106</v>
      </c>
      <c r="BD77" t="s">
        <v>106</v>
      </c>
      <c r="BE77" t="s">
        <v>106</v>
      </c>
      <c r="BF77" t="s">
        <v>106</v>
      </c>
      <c r="BG77" t="s">
        <v>106</v>
      </c>
      <c r="BH77" t="s">
        <v>106</v>
      </c>
      <c r="BI77" t="s">
        <v>106</v>
      </c>
      <c r="BJ77" t="s">
        <v>106</v>
      </c>
      <c r="BK77" t="s">
        <v>106</v>
      </c>
      <c r="BL77">
        <v>0.2</v>
      </c>
      <c r="BM77" t="s">
        <v>106</v>
      </c>
    </row>
    <row r="78" spans="1:65">
      <c r="C78" t="s">
        <v>181</v>
      </c>
      <c r="D78" t="s">
        <v>105</v>
      </c>
      <c r="E78" t="s">
        <v>105</v>
      </c>
      <c r="F78" t="s">
        <v>106</v>
      </c>
      <c r="G78" t="s">
        <v>106</v>
      </c>
      <c r="H78" t="s">
        <v>106</v>
      </c>
      <c r="I78" t="s">
        <v>106</v>
      </c>
      <c r="J78" t="s">
        <v>106</v>
      </c>
      <c r="K78" t="s">
        <v>106</v>
      </c>
      <c r="L78" t="s">
        <v>106</v>
      </c>
      <c r="M78" t="s">
        <v>106</v>
      </c>
      <c r="N78" t="s">
        <v>106</v>
      </c>
      <c r="O78">
        <v>505.6</v>
      </c>
      <c r="P78" t="s">
        <v>106</v>
      </c>
      <c r="Q78" t="s">
        <v>106</v>
      </c>
      <c r="R78" t="s">
        <v>106</v>
      </c>
      <c r="S78">
        <v>95.1</v>
      </c>
      <c r="T78" t="s">
        <v>106</v>
      </c>
      <c r="U78" t="s">
        <v>106</v>
      </c>
      <c r="V78" t="s">
        <v>106</v>
      </c>
      <c r="W78" t="s">
        <v>106</v>
      </c>
      <c r="X78" t="s">
        <v>106</v>
      </c>
      <c r="Y78" t="s">
        <v>106</v>
      </c>
      <c r="Z78">
        <v>4767.8</v>
      </c>
      <c r="AA78">
        <v>808.3</v>
      </c>
      <c r="AB78" t="s">
        <v>106</v>
      </c>
      <c r="AC78" t="s">
        <v>106</v>
      </c>
      <c r="AD78" t="s">
        <v>106</v>
      </c>
      <c r="AE78" t="s">
        <v>106</v>
      </c>
      <c r="AF78" t="s">
        <v>106</v>
      </c>
      <c r="AG78" t="s">
        <v>106</v>
      </c>
      <c r="AH78" t="s">
        <v>106</v>
      </c>
      <c r="AI78" t="s">
        <v>106</v>
      </c>
      <c r="AJ78" t="s">
        <v>106</v>
      </c>
      <c r="AK78">
        <v>43578.7</v>
      </c>
      <c r="AL78" t="s">
        <v>106</v>
      </c>
      <c r="AM78" t="s">
        <v>106</v>
      </c>
      <c r="AN78" t="s">
        <v>106</v>
      </c>
      <c r="AO78" t="s">
        <v>106</v>
      </c>
      <c r="AP78" t="s">
        <v>106</v>
      </c>
      <c r="AQ78" t="s">
        <v>106</v>
      </c>
      <c r="AR78" t="s">
        <v>106</v>
      </c>
      <c r="AS78" t="s">
        <v>106</v>
      </c>
      <c r="AT78" t="s">
        <v>106</v>
      </c>
      <c r="AU78" t="s">
        <v>106</v>
      </c>
      <c r="AV78" t="s">
        <v>106</v>
      </c>
      <c r="AW78" t="s">
        <v>106</v>
      </c>
      <c r="AX78" t="s">
        <v>106</v>
      </c>
      <c r="AY78" t="s">
        <v>106</v>
      </c>
      <c r="AZ78" t="s">
        <v>106</v>
      </c>
      <c r="BA78" t="s">
        <v>106</v>
      </c>
      <c r="BB78" t="s">
        <v>106</v>
      </c>
      <c r="BC78" t="s">
        <v>106</v>
      </c>
      <c r="BD78" t="s">
        <v>106</v>
      </c>
      <c r="BE78" t="s">
        <v>106</v>
      </c>
      <c r="BF78" t="s">
        <v>106</v>
      </c>
      <c r="BG78" t="s">
        <v>106</v>
      </c>
      <c r="BH78" t="s">
        <v>106</v>
      </c>
      <c r="BI78" t="s">
        <v>106</v>
      </c>
      <c r="BJ78" t="s">
        <v>106</v>
      </c>
      <c r="BK78" t="s">
        <v>106</v>
      </c>
      <c r="BL78">
        <v>49755.6</v>
      </c>
      <c r="BM78" t="s">
        <v>106</v>
      </c>
    </row>
    <row r="79" spans="1:65">
      <c r="A79" t="s">
        <v>182</v>
      </c>
      <c r="B79" t="s">
        <v>105</v>
      </c>
      <c r="C79" t="s">
        <v>105</v>
      </c>
      <c r="D79" t="s">
        <v>105</v>
      </c>
      <c r="E79" t="s">
        <v>105</v>
      </c>
      <c r="F79">
        <v>740.6</v>
      </c>
      <c r="G79">
        <v>1106.8</v>
      </c>
      <c r="H79" t="s">
        <v>106</v>
      </c>
      <c r="I79">
        <v>192436.2</v>
      </c>
      <c r="J79">
        <v>4084.3</v>
      </c>
      <c r="K79" t="s">
        <v>106</v>
      </c>
      <c r="L79" t="s">
        <v>106</v>
      </c>
      <c r="M79" t="s">
        <v>106</v>
      </c>
      <c r="N79" t="s">
        <v>106</v>
      </c>
      <c r="O79" t="s">
        <v>106</v>
      </c>
      <c r="P79">
        <v>3403.3</v>
      </c>
      <c r="Q79">
        <v>13638.4</v>
      </c>
      <c r="R79">
        <v>7024</v>
      </c>
      <c r="S79">
        <v>169571.3</v>
      </c>
      <c r="T79">
        <v>1455.7</v>
      </c>
      <c r="U79" t="s">
        <v>106</v>
      </c>
      <c r="V79" t="s">
        <v>106</v>
      </c>
      <c r="W79" t="s">
        <v>106</v>
      </c>
      <c r="X79" t="s">
        <v>106</v>
      </c>
      <c r="Y79">
        <v>2581</v>
      </c>
      <c r="Z79">
        <v>135.69999999999999</v>
      </c>
      <c r="AA79" t="s">
        <v>106</v>
      </c>
      <c r="AB79" t="s">
        <v>106</v>
      </c>
      <c r="AC79" t="s">
        <v>106</v>
      </c>
      <c r="AD79" t="s">
        <v>106</v>
      </c>
      <c r="AE79" t="s">
        <v>106</v>
      </c>
      <c r="AF79">
        <v>151.5</v>
      </c>
      <c r="AG79">
        <v>1229.5999999999999</v>
      </c>
      <c r="AH79" t="s">
        <v>106</v>
      </c>
      <c r="AI79" t="s">
        <v>106</v>
      </c>
      <c r="AJ79">
        <v>951.5</v>
      </c>
      <c r="AK79" t="s">
        <v>106</v>
      </c>
      <c r="AL79" t="s">
        <v>106</v>
      </c>
      <c r="AM79" t="s">
        <v>106</v>
      </c>
      <c r="AN79" t="s">
        <v>106</v>
      </c>
      <c r="AO79" t="s">
        <v>106</v>
      </c>
      <c r="AP79" t="s">
        <v>106</v>
      </c>
      <c r="AQ79">
        <v>3268.9</v>
      </c>
      <c r="AR79">
        <v>473.6</v>
      </c>
      <c r="AS79">
        <v>419.1</v>
      </c>
      <c r="AT79">
        <v>321.89999999999998</v>
      </c>
      <c r="AU79">
        <v>9202.2000000000007</v>
      </c>
      <c r="AV79">
        <v>152.69999999999999</v>
      </c>
      <c r="AW79">
        <v>206.8</v>
      </c>
      <c r="AX79" t="s">
        <v>106</v>
      </c>
      <c r="AY79" t="s">
        <v>106</v>
      </c>
      <c r="AZ79">
        <v>1654.2</v>
      </c>
      <c r="BA79" t="s">
        <v>106</v>
      </c>
      <c r="BB79">
        <v>176054</v>
      </c>
      <c r="BC79">
        <v>3544.9</v>
      </c>
      <c r="BD79" t="s">
        <v>106</v>
      </c>
      <c r="BE79">
        <v>30726.3</v>
      </c>
      <c r="BF79" t="s">
        <v>106</v>
      </c>
      <c r="BG79">
        <v>423.8</v>
      </c>
      <c r="BH79">
        <v>3369.5</v>
      </c>
      <c r="BI79">
        <v>5409.6</v>
      </c>
      <c r="BJ79" t="s">
        <v>106</v>
      </c>
      <c r="BK79">
        <v>166.4</v>
      </c>
      <c r="BL79">
        <v>633903.80000000005</v>
      </c>
      <c r="BM79">
        <v>57869.4</v>
      </c>
    </row>
    <row r="80" spans="1:65">
      <c r="B80" t="s">
        <v>183</v>
      </c>
      <c r="C80" t="s">
        <v>105</v>
      </c>
      <c r="D80" t="s">
        <v>105</v>
      </c>
      <c r="E80" t="s">
        <v>105</v>
      </c>
      <c r="F80">
        <v>740.6</v>
      </c>
      <c r="G80">
        <v>1106.8</v>
      </c>
      <c r="H80" t="s">
        <v>106</v>
      </c>
      <c r="I80">
        <v>180705.1</v>
      </c>
      <c r="J80">
        <v>4084.3</v>
      </c>
      <c r="K80" t="s">
        <v>106</v>
      </c>
      <c r="L80" t="s">
        <v>106</v>
      </c>
      <c r="M80" t="s">
        <v>106</v>
      </c>
      <c r="N80" t="s">
        <v>106</v>
      </c>
      <c r="O80" t="s">
        <v>106</v>
      </c>
      <c r="P80" t="s">
        <v>106</v>
      </c>
      <c r="Q80" t="s">
        <v>106</v>
      </c>
      <c r="R80">
        <v>1964.8</v>
      </c>
      <c r="S80">
        <v>122022.3</v>
      </c>
      <c r="T80" t="s">
        <v>106</v>
      </c>
      <c r="U80" t="s">
        <v>106</v>
      </c>
      <c r="V80" t="s">
        <v>106</v>
      </c>
      <c r="W80" t="s">
        <v>106</v>
      </c>
      <c r="X80" t="s">
        <v>106</v>
      </c>
      <c r="Y80" t="s">
        <v>106</v>
      </c>
      <c r="Z80" t="s">
        <v>106</v>
      </c>
      <c r="AA80" t="s">
        <v>106</v>
      </c>
      <c r="AB80" t="s">
        <v>106</v>
      </c>
      <c r="AC80" t="s">
        <v>106</v>
      </c>
      <c r="AD80" t="s">
        <v>106</v>
      </c>
      <c r="AE80" t="s">
        <v>106</v>
      </c>
      <c r="AF80">
        <v>6.8</v>
      </c>
      <c r="AG80">
        <v>1229.5999999999999</v>
      </c>
      <c r="AH80" t="s">
        <v>106</v>
      </c>
      <c r="AI80" t="s">
        <v>106</v>
      </c>
      <c r="AJ80">
        <v>589.4</v>
      </c>
      <c r="AK80" t="s">
        <v>106</v>
      </c>
      <c r="AL80" t="s">
        <v>106</v>
      </c>
      <c r="AM80" t="s">
        <v>106</v>
      </c>
      <c r="AN80" t="s">
        <v>106</v>
      </c>
      <c r="AO80" t="s">
        <v>106</v>
      </c>
      <c r="AP80" t="s">
        <v>106</v>
      </c>
      <c r="AQ80" t="s">
        <v>106</v>
      </c>
      <c r="AR80">
        <v>353.1</v>
      </c>
      <c r="AS80">
        <v>133.1</v>
      </c>
      <c r="AT80">
        <v>229.7</v>
      </c>
      <c r="AU80">
        <v>5770.8</v>
      </c>
      <c r="AV80">
        <v>137.4</v>
      </c>
      <c r="AW80">
        <v>206.8</v>
      </c>
      <c r="AX80" t="s">
        <v>106</v>
      </c>
      <c r="AY80" t="s">
        <v>106</v>
      </c>
      <c r="AZ80">
        <v>1654.2</v>
      </c>
      <c r="BA80" t="s">
        <v>106</v>
      </c>
      <c r="BB80">
        <v>176054</v>
      </c>
      <c r="BC80">
        <v>3541.2</v>
      </c>
      <c r="BD80" t="s">
        <v>106</v>
      </c>
      <c r="BE80">
        <v>26974.5</v>
      </c>
      <c r="BF80" t="s">
        <v>106</v>
      </c>
      <c r="BG80">
        <v>423.8</v>
      </c>
      <c r="BH80">
        <v>3358.9</v>
      </c>
      <c r="BI80">
        <v>5329.7</v>
      </c>
      <c r="BJ80" t="s">
        <v>106</v>
      </c>
      <c r="BK80" t="s">
        <v>106</v>
      </c>
      <c r="BL80">
        <v>536616.6</v>
      </c>
      <c r="BM80">
        <v>50077.9</v>
      </c>
    </row>
    <row r="81" spans="1:65">
      <c r="B81" t="s">
        <v>184</v>
      </c>
      <c r="C81" t="s">
        <v>105</v>
      </c>
      <c r="D81" t="s">
        <v>105</v>
      </c>
      <c r="E81" t="s">
        <v>105</v>
      </c>
      <c r="F81" t="s">
        <v>106</v>
      </c>
      <c r="G81" t="s">
        <v>106</v>
      </c>
      <c r="H81" t="s">
        <v>106</v>
      </c>
      <c r="I81">
        <v>521.6</v>
      </c>
      <c r="J81" t="s">
        <v>106</v>
      </c>
      <c r="K81" t="s">
        <v>106</v>
      </c>
      <c r="L81" t="s">
        <v>106</v>
      </c>
      <c r="M81" t="s">
        <v>106</v>
      </c>
      <c r="N81" t="s">
        <v>106</v>
      </c>
      <c r="O81" t="s">
        <v>106</v>
      </c>
      <c r="P81">
        <v>3403.3</v>
      </c>
      <c r="Q81">
        <v>13638.4</v>
      </c>
      <c r="R81">
        <v>5059.2</v>
      </c>
      <c r="S81">
        <v>1466.4</v>
      </c>
      <c r="T81">
        <v>18.399999999999999</v>
      </c>
      <c r="U81" t="s">
        <v>106</v>
      </c>
      <c r="V81" t="s">
        <v>106</v>
      </c>
      <c r="W81" t="s">
        <v>106</v>
      </c>
      <c r="X81" t="s">
        <v>106</v>
      </c>
      <c r="Y81">
        <v>1619.4</v>
      </c>
      <c r="Z81" t="s">
        <v>106</v>
      </c>
      <c r="AA81" t="s">
        <v>106</v>
      </c>
      <c r="AB81" t="s">
        <v>106</v>
      </c>
      <c r="AC81" t="s">
        <v>106</v>
      </c>
      <c r="AD81" t="s">
        <v>106</v>
      </c>
      <c r="AE81" t="s">
        <v>106</v>
      </c>
      <c r="AF81" t="s">
        <v>106</v>
      </c>
      <c r="AG81">
        <v>0</v>
      </c>
      <c r="AH81" t="s">
        <v>106</v>
      </c>
      <c r="AI81" t="s">
        <v>106</v>
      </c>
      <c r="AJ81">
        <v>100.1</v>
      </c>
      <c r="AK81" t="s">
        <v>106</v>
      </c>
      <c r="AL81" t="s">
        <v>106</v>
      </c>
      <c r="AM81" t="s">
        <v>106</v>
      </c>
      <c r="AN81" t="s">
        <v>106</v>
      </c>
      <c r="AO81" t="s">
        <v>106</v>
      </c>
      <c r="AP81" t="s">
        <v>106</v>
      </c>
      <c r="AQ81" t="s">
        <v>106</v>
      </c>
      <c r="AR81">
        <v>104.1</v>
      </c>
      <c r="AS81">
        <v>15.3</v>
      </c>
      <c r="AT81" t="s">
        <v>106</v>
      </c>
      <c r="AU81">
        <v>194.5</v>
      </c>
      <c r="AV81">
        <v>10.3</v>
      </c>
      <c r="AW81" t="s">
        <v>106</v>
      </c>
      <c r="AX81" t="s">
        <v>106</v>
      </c>
      <c r="AY81" t="s">
        <v>106</v>
      </c>
      <c r="AZ81" t="s">
        <v>106</v>
      </c>
      <c r="BA81" t="s">
        <v>106</v>
      </c>
      <c r="BB81" t="s">
        <v>106</v>
      </c>
      <c r="BC81">
        <v>3.7</v>
      </c>
      <c r="BD81" t="s">
        <v>106</v>
      </c>
      <c r="BE81">
        <v>3751.8</v>
      </c>
      <c r="BF81" t="s">
        <v>106</v>
      </c>
      <c r="BG81" t="s">
        <v>106</v>
      </c>
      <c r="BH81">
        <v>10.6</v>
      </c>
      <c r="BI81">
        <v>79.900000000000006</v>
      </c>
      <c r="BJ81" t="s">
        <v>106</v>
      </c>
      <c r="BK81" t="s">
        <v>106</v>
      </c>
      <c r="BL81">
        <v>29997</v>
      </c>
      <c r="BM81">
        <v>4170.2</v>
      </c>
    </row>
    <row r="82" spans="1:65">
      <c r="B82" t="s">
        <v>185</v>
      </c>
      <c r="C82" t="s">
        <v>105</v>
      </c>
      <c r="D82" t="s">
        <v>105</v>
      </c>
      <c r="E82" t="s">
        <v>105</v>
      </c>
      <c r="F82" t="s">
        <v>106</v>
      </c>
      <c r="G82" t="s">
        <v>106</v>
      </c>
      <c r="H82" t="s">
        <v>106</v>
      </c>
      <c r="I82" t="s">
        <v>106</v>
      </c>
      <c r="J82" t="s">
        <v>106</v>
      </c>
      <c r="K82" t="s">
        <v>106</v>
      </c>
      <c r="L82" t="s">
        <v>106</v>
      </c>
      <c r="M82" t="s">
        <v>106</v>
      </c>
      <c r="N82" t="s">
        <v>106</v>
      </c>
      <c r="O82" t="s">
        <v>106</v>
      </c>
      <c r="P82" t="s">
        <v>106</v>
      </c>
      <c r="Q82" t="s">
        <v>106</v>
      </c>
      <c r="R82" t="s">
        <v>106</v>
      </c>
      <c r="S82">
        <v>41415.599999999999</v>
      </c>
      <c r="T82">
        <v>1224.9000000000001</v>
      </c>
      <c r="U82" t="s">
        <v>106</v>
      </c>
      <c r="V82" t="s">
        <v>106</v>
      </c>
      <c r="W82" t="s">
        <v>106</v>
      </c>
      <c r="X82" t="s">
        <v>106</v>
      </c>
      <c r="Y82" t="s">
        <v>106</v>
      </c>
      <c r="Z82" t="s">
        <v>106</v>
      </c>
      <c r="AA82" t="s">
        <v>106</v>
      </c>
      <c r="AB82" t="s">
        <v>106</v>
      </c>
      <c r="AC82" t="s">
        <v>106</v>
      </c>
      <c r="AD82" t="s">
        <v>106</v>
      </c>
      <c r="AE82" t="s">
        <v>106</v>
      </c>
      <c r="AF82">
        <v>144.69999999999999</v>
      </c>
      <c r="AG82" t="s">
        <v>106</v>
      </c>
      <c r="AH82" t="s">
        <v>106</v>
      </c>
      <c r="AI82" t="s">
        <v>106</v>
      </c>
      <c r="AJ82">
        <v>167.3</v>
      </c>
      <c r="AK82" t="s">
        <v>106</v>
      </c>
      <c r="AL82" t="s">
        <v>106</v>
      </c>
      <c r="AM82" t="s">
        <v>106</v>
      </c>
      <c r="AN82" t="s">
        <v>106</v>
      </c>
      <c r="AO82" t="s">
        <v>106</v>
      </c>
      <c r="AP82" t="s">
        <v>106</v>
      </c>
      <c r="AQ82" t="s">
        <v>106</v>
      </c>
      <c r="AR82">
        <v>2.4</v>
      </c>
      <c r="AS82">
        <v>198.1</v>
      </c>
      <c r="AT82">
        <v>25.4</v>
      </c>
      <c r="AU82">
        <v>6.2</v>
      </c>
      <c r="AV82" t="s">
        <v>106</v>
      </c>
      <c r="AW82" t="s">
        <v>106</v>
      </c>
      <c r="AX82" t="s">
        <v>106</v>
      </c>
      <c r="AY82" t="s">
        <v>106</v>
      </c>
      <c r="AZ82" t="s">
        <v>106</v>
      </c>
      <c r="BA82" t="s">
        <v>106</v>
      </c>
      <c r="BB82" t="s">
        <v>106</v>
      </c>
      <c r="BC82" t="s">
        <v>106</v>
      </c>
      <c r="BD82" t="s">
        <v>106</v>
      </c>
      <c r="BE82" t="s">
        <v>106</v>
      </c>
      <c r="BF82" t="s">
        <v>106</v>
      </c>
      <c r="BG82" t="s">
        <v>106</v>
      </c>
      <c r="BH82" t="s">
        <v>106</v>
      </c>
      <c r="BI82" t="s">
        <v>106</v>
      </c>
      <c r="BJ82" t="s">
        <v>106</v>
      </c>
      <c r="BK82" t="s">
        <v>106</v>
      </c>
      <c r="BL82">
        <v>43184.5</v>
      </c>
      <c r="BM82">
        <v>232.1</v>
      </c>
    </row>
    <row r="83" spans="1:65">
      <c r="B83" t="s">
        <v>186</v>
      </c>
      <c r="C83" t="s">
        <v>105</v>
      </c>
      <c r="D83" t="s">
        <v>105</v>
      </c>
      <c r="E83" t="s">
        <v>105</v>
      </c>
      <c r="F83" t="s">
        <v>106</v>
      </c>
      <c r="G83" t="s">
        <v>106</v>
      </c>
      <c r="H83" t="s">
        <v>106</v>
      </c>
      <c r="I83">
        <v>11209.5</v>
      </c>
      <c r="J83" t="s">
        <v>106</v>
      </c>
      <c r="K83" t="s">
        <v>106</v>
      </c>
      <c r="L83" t="s">
        <v>106</v>
      </c>
      <c r="M83" t="s">
        <v>106</v>
      </c>
      <c r="N83" t="s">
        <v>106</v>
      </c>
      <c r="O83" t="s">
        <v>106</v>
      </c>
      <c r="P83" t="s">
        <v>106</v>
      </c>
      <c r="Q83" t="s">
        <v>106</v>
      </c>
      <c r="R83" t="s">
        <v>106</v>
      </c>
      <c r="S83">
        <v>4667.1000000000004</v>
      </c>
      <c r="T83">
        <v>212.5</v>
      </c>
      <c r="U83" t="s">
        <v>106</v>
      </c>
      <c r="V83" t="s">
        <v>106</v>
      </c>
      <c r="W83" t="s">
        <v>106</v>
      </c>
      <c r="X83" t="s">
        <v>106</v>
      </c>
      <c r="Y83">
        <v>961.5</v>
      </c>
      <c r="Z83">
        <v>135.69999999999999</v>
      </c>
      <c r="AA83" t="s">
        <v>106</v>
      </c>
      <c r="AB83" t="s">
        <v>106</v>
      </c>
      <c r="AC83" t="s">
        <v>106</v>
      </c>
      <c r="AD83" t="s">
        <v>106</v>
      </c>
      <c r="AE83" t="s">
        <v>106</v>
      </c>
      <c r="AF83" t="s">
        <v>106</v>
      </c>
      <c r="AG83" t="s">
        <v>106</v>
      </c>
      <c r="AH83" t="s">
        <v>106</v>
      </c>
      <c r="AI83" t="s">
        <v>106</v>
      </c>
      <c r="AJ83">
        <v>94.8</v>
      </c>
      <c r="AK83" t="s">
        <v>106</v>
      </c>
      <c r="AL83" t="s">
        <v>106</v>
      </c>
      <c r="AM83" t="s">
        <v>106</v>
      </c>
      <c r="AN83" t="s">
        <v>106</v>
      </c>
      <c r="AO83" t="s">
        <v>106</v>
      </c>
      <c r="AP83" t="s">
        <v>106</v>
      </c>
      <c r="AQ83">
        <v>3268.9</v>
      </c>
      <c r="AR83">
        <v>14</v>
      </c>
      <c r="AS83">
        <v>72.599999999999994</v>
      </c>
      <c r="AT83">
        <v>66.8</v>
      </c>
      <c r="AU83">
        <v>2138.1999999999998</v>
      </c>
      <c r="AV83">
        <v>5.0999999999999996</v>
      </c>
      <c r="AW83" t="s">
        <v>106</v>
      </c>
      <c r="AX83" t="s">
        <v>106</v>
      </c>
      <c r="AY83" t="s">
        <v>106</v>
      </c>
      <c r="AZ83" t="s">
        <v>106</v>
      </c>
      <c r="BA83" t="s">
        <v>106</v>
      </c>
      <c r="BB83" t="s">
        <v>106</v>
      </c>
      <c r="BC83" t="s">
        <v>106</v>
      </c>
      <c r="BD83" t="s">
        <v>106</v>
      </c>
      <c r="BE83" t="s">
        <v>106</v>
      </c>
      <c r="BF83" t="s">
        <v>106</v>
      </c>
      <c r="BG83" t="s">
        <v>106</v>
      </c>
      <c r="BH83" t="s">
        <v>106</v>
      </c>
      <c r="BI83" t="s">
        <v>106</v>
      </c>
      <c r="BJ83" t="s">
        <v>106</v>
      </c>
      <c r="BK83" t="s">
        <v>106</v>
      </c>
      <c r="BL83">
        <v>22846.7</v>
      </c>
      <c r="BM83">
        <v>2296.8000000000002</v>
      </c>
    </row>
    <row r="84" spans="1:65">
      <c r="B84" t="s">
        <v>187</v>
      </c>
      <c r="C84" t="s">
        <v>105</v>
      </c>
      <c r="D84" t="s">
        <v>105</v>
      </c>
      <c r="E84" t="s">
        <v>105</v>
      </c>
      <c r="F84" t="s">
        <v>106</v>
      </c>
      <c r="G84" t="s">
        <v>106</v>
      </c>
      <c r="H84" t="s">
        <v>106</v>
      </c>
      <c r="I84" t="s">
        <v>106</v>
      </c>
      <c r="J84" t="s">
        <v>106</v>
      </c>
      <c r="K84" t="s">
        <v>106</v>
      </c>
      <c r="L84" t="s">
        <v>106</v>
      </c>
      <c r="M84" t="s">
        <v>106</v>
      </c>
      <c r="N84" t="s">
        <v>106</v>
      </c>
      <c r="O84" t="s">
        <v>106</v>
      </c>
      <c r="P84" t="s">
        <v>106</v>
      </c>
      <c r="Q84" t="s">
        <v>106</v>
      </c>
      <c r="R84" t="s">
        <v>106</v>
      </c>
      <c r="S84" t="s">
        <v>106</v>
      </c>
      <c r="T84" t="s">
        <v>106</v>
      </c>
      <c r="U84" t="s">
        <v>106</v>
      </c>
      <c r="V84" t="s">
        <v>106</v>
      </c>
      <c r="W84" t="s">
        <v>106</v>
      </c>
      <c r="X84" t="s">
        <v>106</v>
      </c>
      <c r="Y84" t="s">
        <v>106</v>
      </c>
      <c r="Z84" t="s">
        <v>106</v>
      </c>
      <c r="AA84" t="s">
        <v>106</v>
      </c>
      <c r="AB84" t="s">
        <v>106</v>
      </c>
      <c r="AC84" t="s">
        <v>106</v>
      </c>
      <c r="AD84" t="s">
        <v>106</v>
      </c>
      <c r="AE84" t="s">
        <v>106</v>
      </c>
      <c r="AF84" t="s">
        <v>106</v>
      </c>
      <c r="AG84" t="s">
        <v>106</v>
      </c>
      <c r="AH84" t="s">
        <v>106</v>
      </c>
      <c r="AI84" t="s">
        <v>106</v>
      </c>
      <c r="AJ84" t="s">
        <v>106</v>
      </c>
      <c r="AK84" t="s">
        <v>106</v>
      </c>
      <c r="AL84" t="s">
        <v>106</v>
      </c>
      <c r="AM84" t="s">
        <v>106</v>
      </c>
      <c r="AN84" t="s">
        <v>106</v>
      </c>
      <c r="AO84" t="s">
        <v>106</v>
      </c>
      <c r="AP84" t="s">
        <v>106</v>
      </c>
      <c r="AQ84" t="s">
        <v>106</v>
      </c>
      <c r="AR84" t="s">
        <v>106</v>
      </c>
      <c r="AS84" t="s">
        <v>106</v>
      </c>
      <c r="AT84" t="s">
        <v>106</v>
      </c>
      <c r="AU84" t="s">
        <v>106</v>
      </c>
      <c r="AV84" t="s">
        <v>106</v>
      </c>
      <c r="AW84" t="s">
        <v>106</v>
      </c>
      <c r="AX84" t="s">
        <v>106</v>
      </c>
      <c r="AY84" t="s">
        <v>106</v>
      </c>
      <c r="AZ84" t="s">
        <v>106</v>
      </c>
      <c r="BA84" t="s">
        <v>106</v>
      </c>
      <c r="BB84" t="s">
        <v>106</v>
      </c>
      <c r="BC84" t="s">
        <v>106</v>
      </c>
      <c r="BD84" t="s">
        <v>106</v>
      </c>
      <c r="BE84" t="s">
        <v>106</v>
      </c>
      <c r="BF84" t="s">
        <v>106</v>
      </c>
      <c r="BG84" t="s">
        <v>106</v>
      </c>
      <c r="BH84" t="s">
        <v>106</v>
      </c>
      <c r="BI84" t="s">
        <v>106</v>
      </c>
      <c r="BJ84" t="s">
        <v>106</v>
      </c>
      <c r="BK84">
        <v>166.4</v>
      </c>
      <c r="BL84">
        <v>166.4</v>
      </c>
      <c r="BM84" t="s">
        <v>106</v>
      </c>
    </row>
    <row r="85" spans="1:65">
      <c r="A85" t="s">
        <v>188</v>
      </c>
      <c r="B85" t="s">
        <v>105</v>
      </c>
      <c r="C85" t="s">
        <v>105</v>
      </c>
      <c r="D85" t="s">
        <v>105</v>
      </c>
      <c r="E85" t="s">
        <v>105</v>
      </c>
      <c r="F85" t="s">
        <v>106</v>
      </c>
      <c r="G85" t="s">
        <v>106</v>
      </c>
      <c r="H85" t="s">
        <v>106</v>
      </c>
      <c r="I85">
        <v>79030.3</v>
      </c>
      <c r="J85" t="s">
        <v>106</v>
      </c>
      <c r="K85" t="s">
        <v>106</v>
      </c>
      <c r="L85" t="s">
        <v>106</v>
      </c>
      <c r="M85" t="s">
        <v>106</v>
      </c>
      <c r="N85" t="s">
        <v>106</v>
      </c>
      <c r="O85" t="s">
        <v>106</v>
      </c>
      <c r="P85" t="s">
        <v>106</v>
      </c>
      <c r="Q85" t="s">
        <v>106</v>
      </c>
      <c r="R85" t="s">
        <v>106</v>
      </c>
      <c r="S85">
        <v>63160.1</v>
      </c>
      <c r="T85">
        <v>24275.7</v>
      </c>
      <c r="U85" t="s">
        <v>106</v>
      </c>
      <c r="V85" t="s">
        <v>106</v>
      </c>
      <c r="W85" t="s">
        <v>106</v>
      </c>
      <c r="X85" t="s">
        <v>106</v>
      </c>
      <c r="Y85">
        <v>20620.099999999999</v>
      </c>
      <c r="Z85">
        <v>3805.1</v>
      </c>
      <c r="AA85" t="s">
        <v>106</v>
      </c>
      <c r="AB85" t="s">
        <v>106</v>
      </c>
      <c r="AC85" t="s">
        <v>106</v>
      </c>
      <c r="AD85" t="s">
        <v>106</v>
      </c>
      <c r="AE85" t="s">
        <v>106</v>
      </c>
      <c r="AF85">
        <v>2462.4</v>
      </c>
      <c r="AG85">
        <v>20.3</v>
      </c>
      <c r="AH85" t="s">
        <v>106</v>
      </c>
      <c r="AI85" t="s">
        <v>106</v>
      </c>
      <c r="AJ85">
        <v>7417</v>
      </c>
      <c r="AK85" t="s">
        <v>106</v>
      </c>
      <c r="AL85" t="s">
        <v>106</v>
      </c>
      <c r="AM85" t="s">
        <v>106</v>
      </c>
      <c r="AN85" t="s">
        <v>106</v>
      </c>
      <c r="AO85" t="s">
        <v>106</v>
      </c>
      <c r="AP85" t="s">
        <v>106</v>
      </c>
      <c r="AQ85">
        <v>23193.5</v>
      </c>
      <c r="AR85">
        <v>3264</v>
      </c>
      <c r="AS85">
        <v>6497.2</v>
      </c>
      <c r="AT85">
        <v>5974.9</v>
      </c>
      <c r="AU85">
        <v>5436.3</v>
      </c>
      <c r="AV85">
        <v>114.6</v>
      </c>
      <c r="AW85">
        <v>1051</v>
      </c>
      <c r="AX85" t="s">
        <v>106</v>
      </c>
      <c r="AY85" t="s">
        <v>106</v>
      </c>
      <c r="AZ85" t="s">
        <v>106</v>
      </c>
      <c r="BA85" t="s">
        <v>106</v>
      </c>
      <c r="BB85" t="s">
        <v>106</v>
      </c>
      <c r="BC85" t="s">
        <v>106</v>
      </c>
      <c r="BD85" t="s">
        <v>106</v>
      </c>
      <c r="BE85" t="s">
        <v>106</v>
      </c>
      <c r="BF85" t="s">
        <v>106</v>
      </c>
      <c r="BG85" t="s">
        <v>106</v>
      </c>
      <c r="BH85" t="s">
        <v>106</v>
      </c>
      <c r="BI85" t="s">
        <v>106</v>
      </c>
      <c r="BJ85" t="s">
        <v>106</v>
      </c>
      <c r="BK85">
        <v>58245.1</v>
      </c>
      <c r="BL85">
        <v>304567.5</v>
      </c>
      <c r="BM85">
        <v>22338</v>
      </c>
    </row>
    <row r="86" spans="1:65">
      <c r="B86" t="s">
        <v>189</v>
      </c>
      <c r="C86" t="s">
        <v>105</v>
      </c>
      <c r="D86" t="s">
        <v>105</v>
      </c>
      <c r="E86" t="s">
        <v>105</v>
      </c>
      <c r="F86" t="s">
        <v>106</v>
      </c>
      <c r="G86" t="s">
        <v>106</v>
      </c>
      <c r="H86" t="s">
        <v>106</v>
      </c>
      <c r="I86" t="s">
        <v>106</v>
      </c>
      <c r="J86" t="s">
        <v>106</v>
      </c>
      <c r="K86" t="s">
        <v>106</v>
      </c>
      <c r="L86" t="s">
        <v>106</v>
      </c>
      <c r="M86" t="s">
        <v>106</v>
      </c>
      <c r="N86" t="s">
        <v>106</v>
      </c>
      <c r="O86" t="s">
        <v>106</v>
      </c>
      <c r="P86" t="s">
        <v>106</v>
      </c>
      <c r="Q86" t="s">
        <v>106</v>
      </c>
      <c r="R86" t="s">
        <v>106</v>
      </c>
      <c r="S86">
        <v>52767.3</v>
      </c>
      <c r="T86">
        <v>8901</v>
      </c>
      <c r="U86" t="s">
        <v>106</v>
      </c>
      <c r="V86" t="s">
        <v>106</v>
      </c>
      <c r="W86" t="s">
        <v>106</v>
      </c>
      <c r="X86" t="s">
        <v>106</v>
      </c>
      <c r="Y86" t="s">
        <v>106</v>
      </c>
      <c r="Z86" t="s">
        <v>106</v>
      </c>
      <c r="AA86" t="s">
        <v>106</v>
      </c>
      <c r="AB86" t="s">
        <v>106</v>
      </c>
      <c r="AC86" t="s">
        <v>106</v>
      </c>
      <c r="AD86" t="s">
        <v>106</v>
      </c>
      <c r="AE86" t="s">
        <v>106</v>
      </c>
      <c r="AF86">
        <v>1285.2</v>
      </c>
      <c r="AG86" t="s">
        <v>106</v>
      </c>
      <c r="AH86" t="s">
        <v>106</v>
      </c>
      <c r="AI86" t="s">
        <v>106</v>
      </c>
      <c r="AJ86">
        <v>1292.5999999999999</v>
      </c>
      <c r="AK86" t="s">
        <v>106</v>
      </c>
      <c r="AL86" t="s">
        <v>106</v>
      </c>
      <c r="AM86" t="s">
        <v>106</v>
      </c>
      <c r="AN86" t="s">
        <v>106</v>
      </c>
      <c r="AO86" t="s">
        <v>106</v>
      </c>
      <c r="AP86" t="s">
        <v>106</v>
      </c>
      <c r="AQ86" t="s">
        <v>106</v>
      </c>
      <c r="AR86">
        <v>169</v>
      </c>
      <c r="AS86">
        <v>5870.2</v>
      </c>
      <c r="AT86">
        <v>792.3</v>
      </c>
      <c r="AU86">
        <v>979.2</v>
      </c>
      <c r="AV86">
        <v>43.3</v>
      </c>
      <c r="AW86" t="s">
        <v>106</v>
      </c>
      <c r="AX86" t="s">
        <v>106</v>
      </c>
      <c r="AY86" t="s">
        <v>106</v>
      </c>
      <c r="AZ86" t="s">
        <v>106</v>
      </c>
      <c r="BA86" t="s">
        <v>106</v>
      </c>
      <c r="BB86" t="s">
        <v>106</v>
      </c>
      <c r="BC86" t="s">
        <v>106</v>
      </c>
      <c r="BD86" t="s">
        <v>106</v>
      </c>
      <c r="BE86" t="s">
        <v>106</v>
      </c>
      <c r="BF86" t="s">
        <v>106</v>
      </c>
      <c r="BG86" t="s">
        <v>106</v>
      </c>
      <c r="BH86" t="s">
        <v>106</v>
      </c>
      <c r="BI86" t="s">
        <v>106</v>
      </c>
      <c r="BJ86" t="s">
        <v>106</v>
      </c>
      <c r="BK86">
        <v>48761.3</v>
      </c>
      <c r="BL86">
        <v>120861.3</v>
      </c>
      <c r="BM86">
        <v>7854</v>
      </c>
    </row>
    <row r="87" spans="1:65">
      <c r="B87" t="s">
        <v>190</v>
      </c>
      <c r="C87" t="s">
        <v>105</v>
      </c>
      <c r="D87" t="s">
        <v>105</v>
      </c>
      <c r="E87" t="s">
        <v>105</v>
      </c>
      <c r="F87" t="s">
        <v>106</v>
      </c>
      <c r="G87" t="s">
        <v>106</v>
      </c>
      <c r="H87" t="s">
        <v>106</v>
      </c>
      <c r="I87">
        <v>79030.3</v>
      </c>
      <c r="J87" t="s">
        <v>106</v>
      </c>
      <c r="K87" t="s">
        <v>106</v>
      </c>
      <c r="L87" t="s">
        <v>106</v>
      </c>
      <c r="M87" t="s">
        <v>106</v>
      </c>
      <c r="N87" t="s">
        <v>106</v>
      </c>
      <c r="O87" t="s">
        <v>106</v>
      </c>
      <c r="P87" t="s">
        <v>106</v>
      </c>
      <c r="Q87" t="s">
        <v>106</v>
      </c>
      <c r="R87" t="s">
        <v>106</v>
      </c>
      <c r="S87">
        <v>9678.9</v>
      </c>
      <c r="T87">
        <v>3142.9</v>
      </c>
      <c r="U87" t="s">
        <v>106</v>
      </c>
      <c r="V87" t="s">
        <v>106</v>
      </c>
      <c r="W87" t="s">
        <v>106</v>
      </c>
      <c r="X87" t="s">
        <v>106</v>
      </c>
      <c r="Y87">
        <v>20620.099999999999</v>
      </c>
      <c r="Z87">
        <v>3560.6</v>
      </c>
      <c r="AA87" t="s">
        <v>106</v>
      </c>
      <c r="AB87" t="s">
        <v>106</v>
      </c>
      <c r="AC87" t="s">
        <v>106</v>
      </c>
      <c r="AD87" t="s">
        <v>106</v>
      </c>
      <c r="AE87" t="s">
        <v>106</v>
      </c>
      <c r="AF87" t="s">
        <v>106</v>
      </c>
      <c r="AG87" t="s">
        <v>106</v>
      </c>
      <c r="AH87" t="s">
        <v>106</v>
      </c>
      <c r="AI87" t="s">
        <v>106</v>
      </c>
      <c r="AJ87">
        <v>2050.4</v>
      </c>
      <c r="AK87" t="s">
        <v>106</v>
      </c>
      <c r="AL87" t="s">
        <v>106</v>
      </c>
      <c r="AM87" t="s">
        <v>106</v>
      </c>
      <c r="AN87" t="s">
        <v>106</v>
      </c>
      <c r="AO87" t="s">
        <v>106</v>
      </c>
      <c r="AP87" t="s">
        <v>106</v>
      </c>
      <c r="AQ87">
        <v>22591.9</v>
      </c>
      <c r="AR87" t="s">
        <v>106</v>
      </c>
      <c r="AS87" t="s">
        <v>106</v>
      </c>
      <c r="AT87">
        <v>3461.9</v>
      </c>
      <c r="AU87">
        <v>3889.4</v>
      </c>
      <c r="AV87" t="s">
        <v>106</v>
      </c>
      <c r="AW87">
        <v>34.6</v>
      </c>
      <c r="AX87" t="s">
        <v>106</v>
      </c>
      <c r="AY87" t="s">
        <v>106</v>
      </c>
      <c r="AZ87" t="s">
        <v>106</v>
      </c>
      <c r="BA87" t="s">
        <v>106</v>
      </c>
      <c r="BB87" t="s">
        <v>106</v>
      </c>
      <c r="BC87" t="s">
        <v>106</v>
      </c>
      <c r="BD87" t="s">
        <v>106</v>
      </c>
      <c r="BE87" t="s">
        <v>106</v>
      </c>
      <c r="BF87" t="s">
        <v>106</v>
      </c>
      <c r="BG87" t="s">
        <v>106</v>
      </c>
      <c r="BH87" t="s">
        <v>106</v>
      </c>
      <c r="BI87" t="s">
        <v>106</v>
      </c>
      <c r="BJ87" t="s">
        <v>106</v>
      </c>
      <c r="BK87">
        <v>6580.9</v>
      </c>
      <c r="BL87">
        <v>154641.9</v>
      </c>
      <c r="BM87">
        <v>7385.9</v>
      </c>
    </row>
    <row r="88" spans="1:65">
      <c r="B88" t="s">
        <v>191</v>
      </c>
      <c r="C88" t="s">
        <v>105</v>
      </c>
      <c r="D88" t="s">
        <v>105</v>
      </c>
      <c r="E88" t="s">
        <v>105</v>
      </c>
      <c r="F88" t="s">
        <v>106</v>
      </c>
      <c r="G88" t="s">
        <v>106</v>
      </c>
      <c r="H88" t="s">
        <v>106</v>
      </c>
      <c r="I88" t="s">
        <v>106</v>
      </c>
      <c r="J88" t="s">
        <v>106</v>
      </c>
      <c r="K88" t="s">
        <v>106</v>
      </c>
      <c r="L88" t="s">
        <v>106</v>
      </c>
      <c r="M88" t="s">
        <v>106</v>
      </c>
      <c r="N88" t="s">
        <v>106</v>
      </c>
      <c r="O88" t="s">
        <v>106</v>
      </c>
      <c r="P88" t="s">
        <v>106</v>
      </c>
      <c r="Q88" t="s">
        <v>106</v>
      </c>
      <c r="R88" t="s">
        <v>106</v>
      </c>
      <c r="S88">
        <v>683.1</v>
      </c>
      <c r="T88">
        <v>11317.4</v>
      </c>
      <c r="U88" t="s">
        <v>106</v>
      </c>
      <c r="V88" t="s">
        <v>106</v>
      </c>
      <c r="W88" t="s">
        <v>106</v>
      </c>
      <c r="X88" t="s">
        <v>106</v>
      </c>
      <c r="Y88" t="s">
        <v>106</v>
      </c>
      <c r="Z88" t="s">
        <v>106</v>
      </c>
      <c r="AA88" t="s">
        <v>106</v>
      </c>
      <c r="AB88" t="s">
        <v>106</v>
      </c>
      <c r="AC88" t="s">
        <v>106</v>
      </c>
      <c r="AD88" t="s">
        <v>106</v>
      </c>
      <c r="AE88" t="s">
        <v>106</v>
      </c>
      <c r="AF88" t="s">
        <v>106</v>
      </c>
      <c r="AG88">
        <v>15.4</v>
      </c>
      <c r="AH88" t="s">
        <v>106</v>
      </c>
      <c r="AI88" t="s">
        <v>106</v>
      </c>
      <c r="AJ88">
        <v>1135</v>
      </c>
      <c r="AK88" t="s">
        <v>106</v>
      </c>
      <c r="AL88" t="s">
        <v>106</v>
      </c>
      <c r="AM88" t="s">
        <v>106</v>
      </c>
      <c r="AN88" t="s">
        <v>106</v>
      </c>
      <c r="AO88" t="s">
        <v>106</v>
      </c>
      <c r="AP88" t="s">
        <v>106</v>
      </c>
      <c r="AQ88" t="s">
        <v>106</v>
      </c>
      <c r="AR88" t="s">
        <v>106</v>
      </c>
      <c r="AS88" t="s">
        <v>106</v>
      </c>
      <c r="AT88" t="s">
        <v>106</v>
      </c>
      <c r="AU88" t="s">
        <v>106</v>
      </c>
      <c r="AV88" t="s">
        <v>106</v>
      </c>
      <c r="AW88">
        <v>1016.5</v>
      </c>
      <c r="AX88" t="s">
        <v>106</v>
      </c>
      <c r="AY88" t="s">
        <v>106</v>
      </c>
      <c r="AZ88" t="s">
        <v>106</v>
      </c>
      <c r="BA88" t="s">
        <v>106</v>
      </c>
      <c r="BB88" t="s">
        <v>106</v>
      </c>
      <c r="BC88" t="s">
        <v>106</v>
      </c>
      <c r="BD88" t="s">
        <v>106</v>
      </c>
      <c r="BE88" t="s">
        <v>106</v>
      </c>
      <c r="BF88" t="s">
        <v>106</v>
      </c>
      <c r="BG88" t="s">
        <v>106</v>
      </c>
      <c r="BH88" t="s">
        <v>106</v>
      </c>
      <c r="BI88" t="s">
        <v>106</v>
      </c>
      <c r="BJ88" t="s">
        <v>106</v>
      </c>
      <c r="BK88" t="s">
        <v>106</v>
      </c>
      <c r="BL88">
        <v>14167.4</v>
      </c>
      <c r="BM88">
        <v>1016.5</v>
      </c>
    </row>
    <row r="89" spans="1:65">
      <c r="B89" t="s">
        <v>192</v>
      </c>
      <c r="C89" t="s">
        <v>105</v>
      </c>
      <c r="D89" t="s">
        <v>105</v>
      </c>
      <c r="E89" t="s">
        <v>105</v>
      </c>
      <c r="F89" t="s">
        <v>106</v>
      </c>
      <c r="G89" t="s">
        <v>106</v>
      </c>
      <c r="H89" t="s">
        <v>106</v>
      </c>
      <c r="I89" t="s">
        <v>106</v>
      </c>
      <c r="J89" t="s">
        <v>106</v>
      </c>
      <c r="K89" t="s">
        <v>106</v>
      </c>
      <c r="L89" t="s">
        <v>106</v>
      </c>
      <c r="M89" t="s">
        <v>106</v>
      </c>
      <c r="N89" t="s">
        <v>106</v>
      </c>
      <c r="O89" t="s">
        <v>106</v>
      </c>
      <c r="P89" t="s">
        <v>106</v>
      </c>
      <c r="Q89" t="s">
        <v>106</v>
      </c>
      <c r="R89" t="s">
        <v>106</v>
      </c>
      <c r="S89">
        <v>30.9</v>
      </c>
      <c r="T89">
        <v>914.4</v>
      </c>
      <c r="U89" t="s">
        <v>106</v>
      </c>
      <c r="V89" t="s">
        <v>106</v>
      </c>
      <c r="W89" t="s">
        <v>106</v>
      </c>
      <c r="X89" t="s">
        <v>106</v>
      </c>
      <c r="Y89" t="s">
        <v>106</v>
      </c>
      <c r="Z89">
        <v>244.5</v>
      </c>
      <c r="AA89" t="s">
        <v>106</v>
      </c>
      <c r="AB89" t="s">
        <v>106</v>
      </c>
      <c r="AC89" t="s">
        <v>106</v>
      </c>
      <c r="AD89" t="s">
        <v>106</v>
      </c>
      <c r="AE89" t="s">
        <v>106</v>
      </c>
      <c r="AF89">
        <v>1177.2</v>
      </c>
      <c r="AG89">
        <v>4.9000000000000004</v>
      </c>
      <c r="AH89" t="s">
        <v>106</v>
      </c>
      <c r="AI89" t="s">
        <v>106</v>
      </c>
      <c r="AJ89">
        <v>2939</v>
      </c>
      <c r="AK89" t="s">
        <v>106</v>
      </c>
      <c r="AL89" t="s">
        <v>106</v>
      </c>
      <c r="AM89" t="s">
        <v>106</v>
      </c>
      <c r="AN89" t="s">
        <v>106</v>
      </c>
      <c r="AO89" t="s">
        <v>106</v>
      </c>
      <c r="AP89" t="s">
        <v>106</v>
      </c>
      <c r="AQ89">
        <v>601.5</v>
      </c>
      <c r="AR89">
        <v>3095.1</v>
      </c>
      <c r="AS89" t="s">
        <v>106</v>
      </c>
      <c r="AT89">
        <v>1720.7</v>
      </c>
      <c r="AU89">
        <v>567.6</v>
      </c>
      <c r="AV89">
        <v>71.3</v>
      </c>
      <c r="AW89" t="s">
        <v>106</v>
      </c>
      <c r="AX89" t="s">
        <v>106</v>
      </c>
      <c r="AY89" t="s">
        <v>106</v>
      </c>
      <c r="AZ89" t="s">
        <v>106</v>
      </c>
      <c r="BA89" t="s">
        <v>106</v>
      </c>
      <c r="BB89" t="s">
        <v>106</v>
      </c>
      <c r="BC89" t="s">
        <v>106</v>
      </c>
      <c r="BD89" t="s">
        <v>106</v>
      </c>
      <c r="BE89" t="s">
        <v>106</v>
      </c>
      <c r="BF89" t="s">
        <v>106</v>
      </c>
      <c r="BG89" t="s">
        <v>106</v>
      </c>
      <c r="BH89" t="s">
        <v>106</v>
      </c>
      <c r="BI89" t="s">
        <v>106</v>
      </c>
      <c r="BJ89" t="s">
        <v>106</v>
      </c>
      <c r="BK89" t="s">
        <v>106</v>
      </c>
      <c r="BL89">
        <v>11367</v>
      </c>
      <c r="BM89">
        <v>5454.7</v>
      </c>
    </row>
    <row r="90" spans="1:65">
      <c r="B90" t="s">
        <v>193</v>
      </c>
      <c r="C90" t="s">
        <v>105</v>
      </c>
      <c r="D90" t="s">
        <v>105</v>
      </c>
      <c r="E90" t="s">
        <v>105</v>
      </c>
      <c r="F90" t="s">
        <v>106</v>
      </c>
      <c r="G90" t="s">
        <v>106</v>
      </c>
      <c r="H90" t="s">
        <v>106</v>
      </c>
      <c r="I90" t="s">
        <v>106</v>
      </c>
      <c r="J90" t="s">
        <v>106</v>
      </c>
      <c r="K90" t="s">
        <v>106</v>
      </c>
      <c r="L90" t="s">
        <v>106</v>
      </c>
      <c r="M90" t="s">
        <v>106</v>
      </c>
      <c r="N90" t="s">
        <v>106</v>
      </c>
      <c r="O90" t="s">
        <v>106</v>
      </c>
      <c r="P90" t="s">
        <v>106</v>
      </c>
      <c r="Q90" t="s">
        <v>106</v>
      </c>
      <c r="R90" t="s">
        <v>106</v>
      </c>
      <c r="S90" t="s">
        <v>106</v>
      </c>
      <c r="T90" t="s">
        <v>106</v>
      </c>
      <c r="U90" t="s">
        <v>106</v>
      </c>
      <c r="V90" t="s">
        <v>106</v>
      </c>
      <c r="W90" t="s">
        <v>106</v>
      </c>
      <c r="X90" t="s">
        <v>106</v>
      </c>
      <c r="Y90" t="s">
        <v>106</v>
      </c>
      <c r="Z90" t="s">
        <v>106</v>
      </c>
      <c r="AA90" t="s">
        <v>106</v>
      </c>
      <c r="AB90" t="s">
        <v>106</v>
      </c>
      <c r="AC90" t="s">
        <v>106</v>
      </c>
      <c r="AD90" t="s">
        <v>106</v>
      </c>
      <c r="AE90" t="s">
        <v>106</v>
      </c>
      <c r="AF90" t="s">
        <v>106</v>
      </c>
      <c r="AG90" t="s">
        <v>106</v>
      </c>
      <c r="AH90" t="s">
        <v>106</v>
      </c>
      <c r="AI90" t="s">
        <v>106</v>
      </c>
      <c r="AJ90" t="s">
        <v>106</v>
      </c>
      <c r="AK90" t="s">
        <v>106</v>
      </c>
      <c r="AL90" t="s">
        <v>106</v>
      </c>
      <c r="AM90" t="s">
        <v>106</v>
      </c>
      <c r="AN90" t="s">
        <v>106</v>
      </c>
      <c r="AO90" t="s">
        <v>106</v>
      </c>
      <c r="AP90" t="s">
        <v>106</v>
      </c>
      <c r="AQ90" t="s">
        <v>106</v>
      </c>
      <c r="AR90" t="s">
        <v>106</v>
      </c>
      <c r="AS90" t="s">
        <v>106</v>
      </c>
      <c r="AT90" t="s">
        <v>106</v>
      </c>
      <c r="AU90" t="s">
        <v>106</v>
      </c>
      <c r="AV90" t="s">
        <v>106</v>
      </c>
      <c r="AW90" t="s">
        <v>106</v>
      </c>
      <c r="AX90" t="s">
        <v>106</v>
      </c>
      <c r="AY90" t="s">
        <v>106</v>
      </c>
      <c r="AZ90" t="s">
        <v>106</v>
      </c>
      <c r="BA90" t="s">
        <v>106</v>
      </c>
      <c r="BB90" t="s">
        <v>106</v>
      </c>
      <c r="BC90" t="s">
        <v>106</v>
      </c>
      <c r="BD90" t="s">
        <v>106</v>
      </c>
      <c r="BE90" t="s">
        <v>106</v>
      </c>
      <c r="BF90" t="s">
        <v>106</v>
      </c>
      <c r="BG90" t="s">
        <v>106</v>
      </c>
      <c r="BH90" t="s">
        <v>106</v>
      </c>
      <c r="BI90" t="s">
        <v>106</v>
      </c>
      <c r="BJ90" t="s">
        <v>106</v>
      </c>
      <c r="BK90">
        <v>2902.9</v>
      </c>
      <c r="BL90">
        <v>2902.9</v>
      </c>
      <c r="BM90" t="s">
        <v>106</v>
      </c>
    </row>
    <row r="92" spans="1:65" ht="17">
      <c r="A92" s="3" t="s">
        <v>194</v>
      </c>
      <c r="F92" s="4" t="s">
        <v>8</v>
      </c>
      <c r="G92" s="4" t="s">
        <v>8</v>
      </c>
      <c r="H92" s="4" t="s">
        <v>8</v>
      </c>
      <c r="I92" s="4" t="s">
        <v>8</v>
      </c>
      <c r="J92" s="4" t="s">
        <v>8</v>
      </c>
      <c r="K92" s="4" t="s">
        <v>30</v>
      </c>
      <c r="L92" s="4" t="s">
        <v>8</v>
      </c>
      <c r="M92" s="4" t="s">
        <v>8</v>
      </c>
      <c r="N92" s="4" t="s">
        <v>8</v>
      </c>
      <c r="O92" s="4" t="s">
        <v>8</v>
      </c>
      <c r="P92" s="4" t="s">
        <v>8</v>
      </c>
      <c r="Q92" s="4" t="s">
        <v>8</v>
      </c>
      <c r="R92" s="4" t="s">
        <v>8</v>
      </c>
      <c r="S92" s="4" t="s">
        <v>10</v>
      </c>
      <c r="T92" s="4" t="s">
        <v>10</v>
      </c>
      <c r="U92" s="4" t="s">
        <v>31</v>
      </c>
      <c r="V92" s="4" t="s">
        <v>31</v>
      </c>
      <c r="W92" s="4" t="s">
        <v>31</v>
      </c>
      <c r="X92" s="4" t="s">
        <v>31</v>
      </c>
      <c r="Y92" s="4" t="s">
        <v>33</v>
      </c>
      <c r="Z92" s="4" t="s">
        <v>33</v>
      </c>
      <c r="AA92" s="4" t="s">
        <v>33</v>
      </c>
      <c r="AB92" s="4" t="s">
        <v>21</v>
      </c>
      <c r="AC92" s="4" t="s">
        <v>21</v>
      </c>
      <c r="AD92" s="4" t="s">
        <v>27</v>
      </c>
      <c r="AE92" s="4" t="s">
        <v>27</v>
      </c>
      <c r="AF92" s="4" t="s">
        <v>27</v>
      </c>
      <c r="AG92" s="4" t="s">
        <v>24</v>
      </c>
      <c r="AH92" s="4" t="s">
        <v>32</v>
      </c>
      <c r="AI92" s="4" t="s">
        <v>32</v>
      </c>
      <c r="AJ92" s="4" t="s">
        <v>32</v>
      </c>
      <c r="AK92" s="4" t="s">
        <v>33</v>
      </c>
      <c r="AL92" s="4" t="s">
        <v>24</v>
      </c>
      <c r="AM92" s="4" t="s">
        <v>32</v>
      </c>
      <c r="AN92" s="4" t="s">
        <v>24</v>
      </c>
      <c r="AO92" s="4" t="s">
        <v>32</v>
      </c>
      <c r="AP92" s="4" t="s">
        <v>24</v>
      </c>
      <c r="AQ92" s="4" t="s">
        <v>32</v>
      </c>
      <c r="AR92" s="4" t="s">
        <v>19</v>
      </c>
      <c r="AS92" s="4" t="s">
        <v>34</v>
      </c>
      <c r="AT92" s="4" t="s">
        <v>34</v>
      </c>
      <c r="AU92" s="4" t="s">
        <v>19</v>
      </c>
      <c r="AV92" s="4" t="s">
        <v>19</v>
      </c>
      <c r="AW92" s="4" t="s">
        <v>19</v>
      </c>
      <c r="AX92" s="4" t="s">
        <v>25</v>
      </c>
      <c r="AY92" s="4" t="s">
        <v>26</v>
      </c>
      <c r="AZ92" s="4" t="s">
        <v>19</v>
      </c>
      <c r="BA92" s="4" t="s">
        <v>19</v>
      </c>
      <c r="BB92" s="4" t="s">
        <v>12</v>
      </c>
      <c r="BC92" s="4" t="s">
        <v>14</v>
      </c>
      <c r="BD92" s="4" t="s">
        <v>29</v>
      </c>
      <c r="BE92" s="4" t="s">
        <v>18</v>
      </c>
      <c r="BF92" s="4" t="s">
        <v>18</v>
      </c>
      <c r="BG92" s="4"/>
      <c r="BH92" s="4" t="s">
        <v>16</v>
      </c>
      <c r="BI92" s="4"/>
      <c r="BJ92" s="4" t="s">
        <v>4</v>
      </c>
      <c r="BK92" s="4" t="s">
        <v>28</v>
      </c>
    </row>
    <row r="93" spans="1:65" ht="17">
      <c r="A93" s="3" t="s">
        <v>195</v>
      </c>
      <c r="F93" s="4">
        <f t="shared" ref="F93:X93" si="0">F3</f>
        <v>386.2</v>
      </c>
      <c r="G93" s="4" t="str">
        <f t="shared" si="0"/>
        <v>-</v>
      </c>
      <c r="H93" s="4" t="str">
        <f t="shared" si="0"/>
        <v>-</v>
      </c>
      <c r="I93" s="4" t="str">
        <f t="shared" si="0"/>
        <v>-</v>
      </c>
      <c r="J93" s="4" t="str">
        <f t="shared" si="0"/>
        <v>-</v>
      </c>
      <c r="K93" s="4" t="str">
        <f t="shared" si="0"/>
        <v>-</v>
      </c>
      <c r="L93" s="4" t="str">
        <f t="shared" si="0"/>
        <v>-</v>
      </c>
      <c r="M93" s="4" t="str">
        <f t="shared" si="0"/>
        <v>-</v>
      </c>
      <c r="N93" s="4" t="str">
        <f t="shared" si="0"/>
        <v>-</v>
      </c>
      <c r="O93" s="4" t="str">
        <f t="shared" si="0"/>
        <v>-</v>
      </c>
      <c r="P93" s="4" t="str">
        <f t="shared" si="0"/>
        <v>-</v>
      </c>
      <c r="Q93" s="4" t="str">
        <f t="shared" si="0"/>
        <v>-</v>
      </c>
      <c r="R93" s="4" t="str">
        <f t="shared" si="0"/>
        <v>-</v>
      </c>
      <c r="S93" s="4" t="str">
        <f t="shared" si="0"/>
        <v>-</v>
      </c>
      <c r="T93" s="4" t="str">
        <f t="shared" si="0"/>
        <v>-</v>
      </c>
      <c r="U93" s="4">
        <f t="shared" si="0"/>
        <v>2.5</v>
      </c>
      <c r="V93" s="4" t="str">
        <f t="shared" si="0"/>
        <v>-</v>
      </c>
      <c r="W93" s="4" t="str">
        <f t="shared" si="0"/>
        <v>-</v>
      </c>
      <c r="X93" s="4" t="str">
        <f t="shared" si="0"/>
        <v>-</v>
      </c>
      <c r="Y93" s="4">
        <f t="shared" ref="Y93:AQ93" si="1">Y27</f>
        <v>3519.1</v>
      </c>
      <c r="Z93" s="4">
        <f t="shared" si="1"/>
        <v>1424.7</v>
      </c>
      <c r="AA93" s="4">
        <f t="shared" si="1"/>
        <v>2101.6999999999998</v>
      </c>
      <c r="AB93" s="4">
        <f t="shared" si="1"/>
        <v>22651.1</v>
      </c>
      <c r="AC93" s="4" t="str">
        <f t="shared" si="1"/>
        <v>-</v>
      </c>
      <c r="AD93" s="4" t="str">
        <f t="shared" si="1"/>
        <v>-</v>
      </c>
      <c r="AE93" s="4">
        <f t="shared" si="1"/>
        <v>17031.900000000001</v>
      </c>
      <c r="AF93" s="4">
        <f t="shared" si="1"/>
        <v>6624.6</v>
      </c>
      <c r="AG93" s="4">
        <f t="shared" si="1"/>
        <v>52120.6</v>
      </c>
      <c r="AH93" s="4">
        <f t="shared" si="1"/>
        <v>148.6</v>
      </c>
      <c r="AI93" s="4">
        <f t="shared" si="1"/>
        <v>14.7</v>
      </c>
      <c r="AJ93" s="4">
        <f t="shared" si="1"/>
        <v>14666.6</v>
      </c>
      <c r="AK93" s="4">
        <f t="shared" si="1"/>
        <v>38604.800000000003</v>
      </c>
      <c r="AL93" s="4">
        <f t="shared" si="1"/>
        <v>421</v>
      </c>
      <c r="AM93" s="4">
        <f t="shared" si="1"/>
        <v>5096</v>
      </c>
      <c r="AN93" s="4">
        <f t="shared" si="1"/>
        <v>2791.2</v>
      </c>
      <c r="AO93" s="4">
        <f t="shared" si="1"/>
        <v>32.200000000000003</v>
      </c>
      <c r="AP93" s="4">
        <f t="shared" si="1"/>
        <v>496.2</v>
      </c>
      <c r="AQ93" s="4">
        <f t="shared" si="1"/>
        <v>6190.3</v>
      </c>
      <c r="AR93" s="4">
        <f t="shared" ref="AR93:BK93" si="2">AR3</f>
        <v>2153.4</v>
      </c>
      <c r="AS93" s="4">
        <f t="shared" si="2"/>
        <v>984.7</v>
      </c>
      <c r="AT93" s="4">
        <f t="shared" si="2"/>
        <v>742</v>
      </c>
      <c r="AU93" s="4">
        <f t="shared" si="2"/>
        <v>3166.3</v>
      </c>
      <c r="AV93" s="4">
        <f t="shared" si="2"/>
        <v>101.8</v>
      </c>
      <c r="AW93" s="4">
        <f t="shared" si="2"/>
        <v>69.400000000000006</v>
      </c>
      <c r="AX93" s="4" t="str">
        <f t="shared" si="2"/>
        <v>-</v>
      </c>
      <c r="AY93" s="4">
        <f t="shared" si="2"/>
        <v>681.1</v>
      </c>
      <c r="AZ93" s="4">
        <f t="shared" si="2"/>
        <v>352.3</v>
      </c>
      <c r="BA93" s="4" t="str">
        <f t="shared" si="2"/>
        <v>-</v>
      </c>
      <c r="BB93" s="4">
        <f t="shared" si="2"/>
        <v>37499.5</v>
      </c>
      <c r="BC93" s="4">
        <f t="shared" si="2"/>
        <v>755.1</v>
      </c>
      <c r="BD93" s="4">
        <f t="shared" si="2"/>
        <v>279.7</v>
      </c>
      <c r="BE93" s="4">
        <f t="shared" si="2"/>
        <v>6544.7</v>
      </c>
      <c r="BF93" s="4">
        <f t="shared" si="2"/>
        <v>25</v>
      </c>
      <c r="BG93" s="4">
        <f t="shared" si="2"/>
        <v>90.3</v>
      </c>
      <c r="BH93" s="4">
        <f t="shared" si="2"/>
        <v>717.7</v>
      </c>
      <c r="BI93" s="4" t="str">
        <f t="shared" si="2"/>
        <v>-</v>
      </c>
      <c r="BJ93" s="4" t="str">
        <f t="shared" si="2"/>
        <v>-</v>
      </c>
      <c r="BK93" s="4">
        <f t="shared" si="2"/>
        <v>69.3</v>
      </c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M93"/>
  <sheetViews>
    <sheetView workbookViewId="0">
      <pane xSplit="5" ySplit="2" topLeftCell="F3" activePane="bottomRight" state="frozen"/>
      <selection pane="topRight"/>
      <selection pane="bottomLeft"/>
      <selection pane="bottomRight"/>
    </sheetView>
  </sheetViews>
  <sheetFormatPr defaultRowHeight="14.5"/>
  <cols>
    <col min="1" max="1" width="14" customWidth="1"/>
  </cols>
  <sheetData>
    <row r="1" spans="1:6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199</v>
      </c>
      <c r="G1" t="s">
        <v>199</v>
      </c>
      <c r="H1" t="s">
        <v>199</v>
      </c>
      <c r="I1" t="s">
        <v>199</v>
      </c>
      <c r="J1" t="s">
        <v>199</v>
      </c>
      <c r="K1" t="s">
        <v>199</v>
      </c>
      <c r="L1" t="s">
        <v>199</v>
      </c>
      <c r="M1" t="s">
        <v>199</v>
      </c>
      <c r="N1" t="s">
        <v>199</v>
      </c>
      <c r="O1" t="s">
        <v>199</v>
      </c>
      <c r="P1" t="s">
        <v>199</v>
      </c>
      <c r="Q1" t="s">
        <v>199</v>
      </c>
      <c r="R1" t="s">
        <v>199</v>
      </c>
      <c r="S1" t="s">
        <v>199</v>
      </c>
      <c r="T1" t="s">
        <v>199</v>
      </c>
      <c r="U1" t="s">
        <v>199</v>
      </c>
      <c r="V1" t="s">
        <v>199</v>
      </c>
      <c r="W1" t="s">
        <v>199</v>
      </c>
      <c r="X1" t="s">
        <v>199</v>
      </c>
      <c r="Y1" t="s">
        <v>199</v>
      </c>
      <c r="Z1" t="s">
        <v>199</v>
      </c>
      <c r="AA1" t="s">
        <v>199</v>
      </c>
      <c r="AB1" t="s">
        <v>199</v>
      </c>
      <c r="AC1" t="s">
        <v>199</v>
      </c>
      <c r="AD1" t="s">
        <v>199</v>
      </c>
      <c r="AE1" t="s">
        <v>199</v>
      </c>
      <c r="AF1" t="s">
        <v>199</v>
      </c>
      <c r="AG1" t="s">
        <v>199</v>
      </c>
      <c r="AH1" t="s">
        <v>199</v>
      </c>
      <c r="AI1" t="s">
        <v>199</v>
      </c>
      <c r="AJ1" t="s">
        <v>199</v>
      </c>
      <c r="AK1" t="s">
        <v>199</v>
      </c>
      <c r="AL1" t="s">
        <v>199</v>
      </c>
      <c r="AM1" t="s">
        <v>199</v>
      </c>
      <c r="AN1" t="s">
        <v>199</v>
      </c>
      <c r="AO1" t="s">
        <v>199</v>
      </c>
      <c r="AP1" t="s">
        <v>199</v>
      </c>
      <c r="AQ1" t="s">
        <v>199</v>
      </c>
      <c r="AR1" t="s">
        <v>199</v>
      </c>
      <c r="AS1" t="s">
        <v>199</v>
      </c>
      <c r="AT1" t="s">
        <v>199</v>
      </c>
      <c r="AU1" t="s">
        <v>199</v>
      </c>
      <c r="AV1" t="s">
        <v>199</v>
      </c>
      <c r="AW1" t="s">
        <v>199</v>
      </c>
      <c r="AX1" t="s">
        <v>199</v>
      </c>
      <c r="AY1" t="s">
        <v>199</v>
      </c>
      <c r="AZ1" t="s">
        <v>199</v>
      </c>
      <c r="BA1" t="s">
        <v>199</v>
      </c>
      <c r="BB1" t="s">
        <v>199</v>
      </c>
      <c r="BC1" t="s">
        <v>199</v>
      </c>
      <c r="BD1" t="s">
        <v>199</v>
      </c>
      <c r="BE1" t="s">
        <v>199</v>
      </c>
      <c r="BF1" t="s">
        <v>199</v>
      </c>
      <c r="BG1" t="s">
        <v>199</v>
      </c>
      <c r="BH1" t="s">
        <v>199</v>
      </c>
      <c r="BI1" t="s">
        <v>199</v>
      </c>
      <c r="BJ1" t="s">
        <v>199</v>
      </c>
      <c r="BK1" t="s">
        <v>199</v>
      </c>
      <c r="BL1" t="s">
        <v>199</v>
      </c>
      <c r="BM1" t="s">
        <v>199</v>
      </c>
    </row>
    <row r="2" spans="1:6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76</v>
      </c>
      <c r="AM2" t="s">
        <v>77</v>
      </c>
      <c r="AN2" t="s">
        <v>78</v>
      </c>
      <c r="AO2" t="s">
        <v>79</v>
      </c>
      <c r="AP2" t="s">
        <v>80</v>
      </c>
      <c r="AQ2" t="s">
        <v>81</v>
      </c>
      <c r="AR2" t="s">
        <v>82</v>
      </c>
      <c r="AS2" t="s">
        <v>83</v>
      </c>
      <c r="AT2" t="s">
        <v>84</v>
      </c>
      <c r="AU2" t="s">
        <v>85</v>
      </c>
      <c r="AV2" t="s">
        <v>86</v>
      </c>
      <c r="AW2" t="s">
        <v>87</v>
      </c>
      <c r="AX2" t="s">
        <v>88</v>
      </c>
      <c r="AY2" t="s">
        <v>89</v>
      </c>
      <c r="AZ2" t="s">
        <v>90</v>
      </c>
      <c r="BA2" t="s">
        <v>91</v>
      </c>
      <c r="BB2" t="s">
        <v>92</v>
      </c>
      <c r="BC2" t="s">
        <v>93</v>
      </c>
      <c r="BD2" t="s">
        <v>94</v>
      </c>
      <c r="BE2" t="s">
        <v>95</v>
      </c>
      <c r="BF2" t="s">
        <v>96</v>
      </c>
      <c r="BG2" t="s">
        <v>97</v>
      </c>
      <c r="BH2" t="s">
        <v>98</v>
      </c>
      <c r="BI2" t="s">
        <v>99</v>
      </c>
      <c r="BJ2" t="s">
        <v>100</v>
      </c>
      <c r="BK2" t="s">
        <v>101</v>
      </c>
      <c r="BL2" t="s">
        <v>102</v>
      </c>
      <c r="BM2" t="s">
        <v>103</v>
      </c>
    </row>
    <row r="3" spans="1:65">
      <c r="A3" t="s">
        <v>104</v>
      </c>
      <c r="B3" t="s">
        <v>105</v>
      </c>
      <c r="C3" t="s">
        <v>105</v>
      </c>
      <c r="D3" t="s">
        <v>105</v>
      </c>
      <c r="E3" t="s">
        <v>105</v>
      </c>
      <c r="F3">
        <v>304.2</v>
      </c>
      <c r="G3" t="s">
        <v>106</v>
      </c>
      <c r="H3" t="s">
        <v>106</v>
      </c>
      <c r="I3" t="s">
        <v>106</v>
      </c>
      <c r="J3" t="s">
        <v>106</v>
      </c>
      <c r="K3" t="s">
        <v>106</v>
      </c>
      <c r="L3" t="s">
        <v>106</v>
      </c>
      <c r="M3" t="s">
        <v>106</v>
      </c>
      <c r="N3" t="s">
        <v>106</v>
      </c>
      <c r="O3" t="s">
        <v>106</v>
      </c>
      <c r="P3" t="s">
        <v>106</v>
      </c>
      <c r="Q3" t="s">
        <v>106</v>
      </c>
      <c r="R3" t="s">
        <v>106</v>
      </c>
      <c r="S3" t="s">
        <v>106</v>
      </c>
      <c r="T3" t="s">
        <v>106</v>
      </c>
      <c r="U3" t="s">
        <v>106</v>
      </c>
      <c r="V3" t="s">
        <v>106</v>
      </c>
      <c r="W3" t="s">
        <v>106</v>
      </c>
      <c r="X3" t="s">
        <v>106</v>
      </c>
      <c r="Y3" t="s">
        <v>106</v>
      </c>
      <c r="Z3" t="s">
        <v>106</v>
      </c>
      <c r="AA3" t="s">
        <v>106</v>
      </c>
      <c r="AB3" t="s">
        <v>106</v>
      </c>
      <c r="AC3" t="s">
        <v>106</v>
      </c>
      <c r="AD3" t="s">
        <v>106</v>
      </c>
      <c r="AE3" t="s">
        <v>106</v>
      </c>
      <c r="AF3" t="s">
        <v>106</v>
      </c>
      <c r="AG3" t="s">
        <v>106</v>
      </c>
      <c r="AH3" t="s">
        <v>106</v>
      </c>
      <c r="AI3" t="s">
        <v>106</v>
      </c>
      <c r="AJ3" t="s">
        <v>106</v>
      </c>
      <c r="AK3" t="s">
        <v>106</v>
      </c>
      <c r="AL3" t="s">
        <v>106</v>
      </c>
      <c r="AM3" t="s">
        <v>106</v>
      </c>
      <c r="AN3" t="s">
        <v>106</v>
      </c>
      <c r="AO3" t="s">
        <v>106</v>
      </c>
      <c r="AP3" t="s">
        <v>106</v>
      </c>
      <c r="AQ3" t="s">
        <v>106</v>
      </c>
      <c r="AR3">
        <v>2281.4</v>
      </c>
      <c r="AS3">
        <v>1084</v>
      </c>
      <c r="AT3">
        <v>1024</v>
      </c>
      <c r="AU3">
        <v>3782.2</v>
      </c>
      <c r="AV3">
        <v>118</v>
      </c>
      <c r="AW3">
        <v>61</v>
      </c>
      <c r="AX3" t="s">
        <v>106</v>
      </c>
      <c r="AY3">
        <v>696.1</v>
      </c>
      <c r="AZ3">
        <v>357.2</v>
      </c>
      <c r="BA3" t="s">
        <v>106</v>
      </c>
      <c r="BB3">
        <v>38445.199999999997</v>
      </c>
      <c r="BC3">
        <v>791.9</v>
      </c>
      <c r="BD3">
        <v>280.2</v>
      </c>
      <c r="BE3">
        <v>7079.4</v>
      </c>
      <c r="BF3">
        <v>24.4</v>
      </c>
      <c r="BG3">
        <v>93.2</v>
      </c>
      <c r="BH3">
        <v>722.5</v>
      </c>
      <c r="BI3" t="s">
        <v>106</v>
      </c>
      <c r="BJ3" t="s">
        <v>106</v>
      </c>
      <c r="BK3">
        <v>34.799999999999997</v>
      </c>
      <c r="BL3">
        <v>57179.8</v>
      </c>
      <c r="BM3">
        <v>18395.5</v>
      </c>
    </row>
    <row r="4" spans="1:65">
      <c r="A4" t="s">
        <v>107</v>
      </c>
      <c r="B4" t="s">
        <v>105</v>
      </c>
      <c r="C4" t="s">
        <v>105</v>
      </c>
      <c r="D4" t="s">
        <v>105</v>
      </c>
      <c r="E4" t="s">
        <v>105</v>
      </c>
      <c r="F4" t="s">
        <v>106</v>
      </c>
      <c r="G4">
        <v>2551.3000000000002</v>
      </c>
      <c r="H4">
        <v>15628.5</v>
      </c>
      <c r="I4">
        <v>53150.9</v>
      </c>
      <c r="J4">
        <v>930.5</v>
      </c>
      <c r="K4">
        <v>0.1</v>
      </c>
      <c r="L4">
        <v>17.7</v>
      </c>
      <c r="M4">
        <v>0.1</v>
      </c>
      <c r="N4">
        <v>154.6</v>
      </c>
      <c r="O4" t="s">
        <v>106</v>
      </c>
      <c r="P4" t="s">
        <v>106</v>
      </c>
      <c r="Q4" t="s">
        <v>106</v>
      </c>
      <c r="R4" t="s">
        <v>106</v>
      </c>
      <c r="S4">
        <v>57705.1</v>
      </c>
      <c r="T4" t="s">
        <v>106</v>
      </c>
      <c r="U4">
        <v>149836.4</v>
      </c>
      <c r="V4">
        <v>2281.6</v>
      </c>
      <c r="W4" t="s">
        <v>106</v>
      </c>
      <c r="X4">
        <v>48</v>
      </c>
      <c r="Y4" t="s">
        <v>106</v>
      </c>
      <c r="Z4">
        <v>7523.3</v>
      </c>
      <c r="AA4">
        <v>2252.4</v>
      </c>
      <c r="AB4">
        <v>99</v>
      </c>
      <c r="AC4">
        <v>0.4</v>
      </c>
      <c r="AD4" t="s">
        <v>106</v>
      </c>
      <c r="AE4">
        <v>41.8</v>
      </c>
      <c r="AF4">
        <v>3.1</v>
      </c>
      <c r="AG4" t="s">
        <v>106</v>
      </c>
      <c r="AH4" t="s">
        <v>106</v>
      </c>
      <c r="AI4" t="s">
        <v>106</v>
      </c>
      <c r="AJ4">
        <v>5000</v>
      </c>
      <c r="AK4">
        <v>29374.799999999999</v>
      </c>
      <c r="AL4">
        <v>0</v>
      </c>
      <c r="AM4">
        <v>145.4</v>
      </c>
      <c r="AN4">
        <v>8.6</v>
      </c>
      <c r="AO4" t="s">
        <v>106</v>
      </c>
      <c r="AP4" t="s">
        <v>106</v>
      </c>
      <c r="AQ4">
        <v>6.3</v>
      </c>
      <c r="AR4" t="s">
        <v>106</v>
      </c>
      <c r="AS4" t="s">
        <v>106</v>
      </c>
      <c r="AT4" t="s">
        <v>106</v>
      </c>
      <c r="AU4" t="s">
        <v>106</v>
      </c>
      <c r="AV4" t="s">
        <v>106</v>
      </c>
      <c r="AW4" t="s">
        <v>106</v>
      </c>
      <c r="AX4" t="s">
        <v>106</v>
      </c>
      <c r="AY4" t="s">
        <v>106</v>
      </c>
      <c r="AZ4" t="s">
        <v>106</v>
      </c>
      <c r="BA4" t="s">
        <v>106</v>
      </c>
      <c r="BB4" t="s">
        <v>106</v>
      </c>
      <c r="BC4" t="s">
        <v>106</v>
      </c>
      <c r="BD4" t="s">
        <v>106</v>
      </c>
      <c r="BE4" t="s">
        <v>106</v>
      </c>
      <c r="BF4" t="s">
        <v>106</v>
      </c>
      <c r="BG4" t="s">
        <v>106</v>
      </c>
      <c r="BH4" t="s">
        <v>106</v>
      </c>
      <c r="BI4" t="s">
        <v>106</v>
      </c>
      <c r="BJ4" t="s">
        <v>106</v>
      </c>
      <c r="BK4" t="s">
        <v>106</v>
      </c>
      <c r="BL4">
        <v>326759.8</v>
      </c>
      <c r="BM4" t="s">
        <v>106</v>
      </c>
    </row>
    <row r="5" spans="1:65">
      <c r="A5" t="s">
        <v>108</v>
      </c>
      <c r="B5" t="s">
        <v>105</v>
      </c>
      <c r="C5" t="s">
        <v>105</v>
      </c>
      <c r="D5" t="s">
        <v>105</v>
      </c>
      <c r="E5" t="s">
        <v>105</v>
      </c>
      <c r="F5" t="s">
        <v>106</v>
      </c>
      <c r="G5">
        <v>-0.2</v>
      </c>
      <c r="H5" t="s">
        <v>106</v>
      </c>
      <c r="I5" t="s">
        <v>106</v>
      </c>
      <c r="J5">
        <v>0</v>
      </c>
      <c r="K5" t="s">
        <v>106</v>
      </c>
      <c r="L5">
        <v>0</v>
      </c>
      <c r="M5">
        <v>0</v>
      </c>
      <c r="N5">
        <v>-0.1</v>
      </c>
      <c r="O5" t="s">
        <v>106</v>
      </c>
      <c r="P5" t="s">
        <v>106</v>
      </c>
      <c r="Q5" t="s">
        <v>106</v>
      </c>
      <c r="R5" t="s">
        <v>106</v>
      </c>
      <c r="S5" t="s">
        <v>106</v>
      </c>
      <c r="T5" t="s">
        <v>106</v>
      </c>
      <c r="U5" t="s">
        <v>106</v>
      </c>
      <c r="V5">
        <v>-429.2</v>
      </c>
      <c r="W5" t="s">
        <v>106</v>
      </c>
      <c r="X5">
        <v>-36.6</v>
      </c>
      <c r="Y5" t="s">
        <v>106</v>
      </c>
      <c r="Z5">
        <v>-34.1</v>
      </c>
      <c r="AA5">
        <v>-27.8</v>
      </c>
      <c r="AB5">
        <v>-12567.6</v>
      </c>
      <c r="AC5">
        <v>-23.2</v>
      </c>
      <c r="AD5" t="s">
        <v>106</v>
      </c>
      <c r="AE5">
        <v>-12843</v>
      </c>
      <c r="AF5">
        <v>-554.9</v>
      </c>
      <c r="AG5">
        <v>-28180.7</v>
      </c>
      <c r="AH5">
        <v>-4.2</v>
      </c>
      <c r="AI5" t="s">
        <v>106</v>
      </c>
      <c r="AJ5">
        <v>-969.2</v>
      </c>
      <c r="AK5">
        <v>-4879.8</v>
      </c>
      <c r="AL5">
        <v>-150.5</v>
      </c>
      <c r="AM5">
        <v>-3697</v>
      </c>
      <c r="AN5">
        <v>-1947.3</v>
      </c>
      <c r="AO5" t="s">
        <v>106</v>
      </c>
      <c r="AP5" t="s">
        <v>106</v>
      </c>
      <c r="AQ5">
        <v>-2412.1999999999998</v>
      </c>
      <c r="AR5" t="s">
        <v>106</v>
      </c>
      <c r="AS5" t="s">
        <v>106</v>
      </c>
      <c r="AT5" t="s">
        <v>106</v>
      </c>
      <c r="AU5" t="s">
        <v>106</v>
      </c>
      <c r="AV5" t="s">
        <v>106</v>
      </c>
      <c r="AW5" t="s">
        <v>106</v>
      </c>
      <c r="AX5" t="s">
        <v>106</v>
      </c>
      <c r="AY5" t="s">
        <v>106</v>
      </c>
      <c r="AZ5" t="s">
        <v>106</v>
      </c>
      <c r="BA5" t="s">
        <v>106</v>
      </c>
      <c r="BB5" t="s">
        <v>106</v>
      </c>
      <c r="BC5" t="s">
        <v>106</v>
      </c>
      <c r="BD5" t="s">
        <v>106</v>
      </c>
      <c r="BE5" t="s">
        <v>106</v>
      </c>
      <c r="BF5" t="s">
        <v>106</v>
      </c>
      <c r="BG5" t="s">
        <v>106</v>
      </c>
      <c r="BH5" t="s">
        <v>106</v>
      </c>
      <c r="BI5" t="s">
        <v>106</v>
      </c>
      <c r="BJ5" t="s">
        <v>106</v>
      </c>
      <c r="BK5" t="s">
        <v>106</v>
      </c>
      <c r="BL5">
        <v>-68757.7</v>
      </c>
      <c r="BM5" t="s">
        <v>106</v>
      </c>
    </row>
    <row r="6" spans="1:65">
      <c r="A6" t="s">
        <v>109</v>
      </c>
      <c r="B6" t="s">
        <v>105</v>
      </c>
      <c r="C6" t="s">
        <v>105</v>
      </c>
      <c r="D6" t="s">
        <v>105</v>
      </c>
      <c r="E6" t="s">
        <v>105</v>
      </c>
      <c r="F6" t="s">
        <v>106</v>
      </c>
      <c r="G6" t="s">
        <v>106</v>
      </c>
      <c r="H6" t="s">
        <v>106</v>
      </c>
      <c r="I6" t="s">
        <v>106</v>
      </c>
      <c r="J6" t="s">
        <v>106</v>
      </c>
      <c r="K6" t="s">
        <v>106</v>
      </c>
      <c r="L6" t="s">
        <v>106</v>
      </c>
      <c r="M6" t="s">
        <v>106</v>
      </c>
      <c r="N6" t="s">
        <v>106</v>
      </c>
      <c r="O6" t="s">
        <v>106</v>
      </c>
      <c r="P6" t="s">
        <v>106</v>
      </c>
      <c r="Q6" t="s">
        <v>106</v>
      </c>
      <c r="R6" t="s">
        <v>106</v>
      </c>
      <c r="S6">
        <v>-15.5</v>
      </c>
      <c r="T6" t="s">
        <v>106</v>
      </c>
      <c r="U6" t="s">
        <v>106</v>
      </c>
      <c r="V6" t="s">
        <v>106</v>
      </c>
      <c r="W6" t="s">
        <v>106</v>
      </c>
      <c r="X6" t="s">
        <v>106</v>
      </c>
      <c r="Y6" t="s">
        <v>106</v>
      </c>
      <c r="Z6">
        <v>0</v>
      </c>
      <c r="AA6" t="s">
        <v>106</v>
      </c>
      <c r="AB6">
        <v>0</v>
      </c>
      <c r="AC6" t="s">
        <v>106</v>
      </c>
      <c r="AD6" t="s">
        <v>106</v>
      </c>
      <c r="AE6" t="s">
        <v>106</v>
      </c>
      <c r="AF6" t="s">
        <v>106</v>
      </c>
      <c r="AG6">
        <v>-2030.4</v>
      </c>
      <c r="AH6">
        <v>-9.8000000000000007</v>
      </c>
      <c r="AI6">
        <v>-0.1</v>
      </c>
      <c r="AJ6">
        <v>-9188.6</v>
      </c>
      <c r="AK6" t="s">
        <v>106</v>
      </c>
      <c r="AL6">
        <v>0</v>
      </c>
      <c r="AM6" t="s">
        <v>106</v>
      </c>
      <c r="AN6" t="s">
        <v>106</v>
      </c>
      <c r="AO6" t="s">
        <v>106</v>
      </c>
      <c r="AP6" t="s">
        <v>106</v>
      </c>
      <c r="AQ6" t="s">
        <v>106</v>
      </c>
      <c r="AR6" t="s">
        <v>106</v>
      </c>
      <c r="AS6" t="s">
        <v>106</v>
      </c>
      <c r="AT6" t="s">
        <v>106</v>
      </c>
      <c r="AU6" t="s">
        <v>106</v>
      </c>
      <c r="AV6" t="s">
        <v>106</v>
      </c>
      <c r="AW6" t="s">
        <v>106</v>
      </c>
      <c r="AX6" t="s">
        <v>106</v>
      </c>
      <c r="AY6" t="s">
        <v>106</v>
      </c>
      <c r="AZ6" t="s">
        <v>106</v>
      </c>
      <c r="BA6" t="s">
        <v>106</v>
      </c>
      <c r="BB6" t="s">
        <v>106</v>
      </c>
      <c r="BC6" t="s">
        <v>106</v>
      </c>
      <c r="BD6" t="s">
        <v>106</v>
      </c>
      <c r="BE6" t="s">
        <v>106</v>
      </c>
      <c r="BF6" t="s">
        <v>106</v>
      </c>
      <c r="BG6" t="s">
        <v>106</v>
      </c>
      <c r="BH6" t="s">
        <v>106</v>
      </c>
      <c r="BI6" t="s">
        <v>106</v>
      </c>
      <c r="BJ6" t="s">
        <v>106</v>
      </c>
      <c r="BK6" t="s">
        <v>106</v>
      </c>
      <c r="BL6">
        <v>-11244.5</v>
      </c>
      <c r="BM6" t="s">
        <v>106</v>
      </c>
    </row>
    <row r="7" spans="1:65">
      <c r="A7" t="s">
        <v>110</v>
      </c>
      <c r="B7" t="s">
        <v>105</v>
      </c>
      <c r="C7" t="s">
        <v>105</v>
      </c>
      <c r="D7" t="s">
        <v>105</v>
      </c>
      <c r="E7" t="s">
        <v>105</v>
      </c>
      <c r="F7" t="s">
        <v>106</v>
      </c>
      <c r="G7" t="s">
        <v>106</v>
      </c>
      <c r="H7" t="s">
        <v>106</v>
      </c>
      <c r="I7" t="s">
        <v>106</v>
      </c>
      <c r="J7" t="s">
        <v>106</v>
      </c>
      <c r="K7" t="s">
        <v>106</v>
      </c>
      <c r="L7" t="s">
        <v>106</v>
      </c>
      <c r="M7" t="s">
        <v>106</v>
      </c>
      <c r="N7" t="s">
        <v>106</v>
      </c>
      <c r="O7" t="s">
        <v>106</v>
      </c>
      <c r="P7" t="s">
        <v>106</v>
      </c>
      <c r="Q7" t="s">
        <v>106</v>
      </c>
      <c r="R7" t="s">
        <v>106</v>
      </c>
      <c r="S7" t="s">
        <v>106</v>
      </c>
      <c r="T7" t="s">
        <v>106</v>
      </c>
      <c r="U7" t="s">
        <v>106</v>
      </c>
      <c r="V7" t="s">
        <v>106</v>
      </c>
      <c r="W7" t="s">
        <v>106</v>
      </c>
      <c r="X7" t="s">
        <v>106</v>
      </c>
      <c r="Y7" t="s">
        <v>106</v>
      </c>
      <c r="Z7" t="s">
        <v>106</v>
      </c>
      <c r="AA7" t="s">
        <v>106</v>
      </c>
      <c r="AB7" t="s">
        <v>106</v>
      </c>
      <c r="AC7" t="s">
        <v>106</v>
      </c>
      <c r="AD7" t="s">
        <v>106</v>
      </c>
      <c r="AE7">
        <v>-5582.3</v>
      </c>
      <c r="AF7" t="s">
        <v>106</v>
      </c>
      <c r="AG7">
        <v>-0.3</v>
      </c>
      <c r="AH7" t="s">
        <v>106</v>
      </c>
      <c r="AI7" t="s">
        <v>106</v>
      </c>
      <c r="AJ7" t="s">
        <v>106</v>
      </c>
      <c r="AK7" t="s">
        <v>106</v>
      </c>
      <c r="AL7" t="s">
        <v>106</v>
      </c>
      <c r="AM7" t="s">
        <v>106</v>
      </c>
      <c r="AN7" t="s">
        <v>106</v>
      </c>
      <c r="AO7" t="s">
        <v>106</v>
      </c>
      <c r="AP7" t="s">
        <v>106</v>
      </c>
      <c r="AQ7" t="s">
        <v>106</v>
      </c>
      <c r="AR7" t="s">
        <v>106</v>
      </c>
      <c r="AS7" t="s">
        <v>106</v>
      </c>
      <c r="AT7" t="s">
        <v>106</v>
      </c>
      <c r="AU7" t="s">
        <v>106</v>
      </c>
      <c r="AV7" t="s">
        <v>106</v>
      </c>
      <c r="AW7" t="s">
        <v>106</v>
      </c>
      <c r="AX7" t="s">
        <v>106</v>
      </c>
      <c r="AY7" t="s">
        <v>106</v>
      </c>
      <c r="AZ7" t="s">
        <v>106</v>
      </c>
      <c r="BA7" t="s">
        <v>106</v>
      </c>
      <c r="BB7" t="s">
        <v>106</v>
      </c>
      <c r="BC7" t="s">
        <v>106</v>
      </c>
      <c r="BD7" t="s">
        <v>106</v>
      </c>
      <c r="BE7" t="s">
        <v>106</v>
      </c>
      <c r="BF7" t="s">
        <v>106</v>
      </c>
      <c r="BG7" t="s">
        <v>106</v>
      </c>
      <c r="BH7" t="s">
        <v>106</v>
      </c>
      <c r="BI7" t="s">
        <v>106</v>
      </c>
      <c r="BJ7" t="s">
        <v>106</v>
      </c>
      <c r="BK7" t="s">
        <v>106</v>
      </c>
      <c r="BL7">
        <v>-5582.6</v>
      </c>
      <c r="BM7" t="s">
        <v>106</v>
      </c>
    </row>
    <row r="8" spans="1:65">
      <c r="A8" t="s">
        <v>111</v>
      </c>
      <c r="B8" t="s">
        <v>105</v>
      </c>
      <c r="C8" t="s">
        <v>105</v>
      </c>
      <c r="D8" t="s">
        <v>105</v>
      </c>
      <c r="E8" t="s">
        <v>105</v>
      </c>
      <c r="F8">
        <v>52.3</v>
      </c>
      <c r="G8" t="s">
        <v>106</v>
      </c>
      <c r="H8">
        <v>579.9</v>
      </c>
      <c r="I8">
        <v>137.80000000000001</v>
      </c>
      <c r="J8" t="s">
        <v>106</v>
      </c>
      <c r="K8" t="s">
        <v>106</v>
      </c>
      <c r="L8" t="s">
        <v>106</v>
      </c>
      <c r="M8" t="s">
        <v>106</v>
      </c>
      <c r="N8">
        <v>22.7</v>
      </c>
      <c r="O8" t="s">
        <v>106</v>
      </c>
      <c r="P8" t="s">
        <v>106</v>
      </c>
      <c r="Q8" t="s">
        <v>106</v>
      </c>
      <c r="R8" t="s">
        <v>106</v>
      </c>
      <c r="S8">
        <v>-972</v>
      </c>
      <c r="T8" t="s">
        <v>106</v>
      </c>
      <c r="U8">
        <v>541.4</v>
      </c>
      <c r="V8">
        <v>199.8</v>
      </c>
      <c r="W8">
        <v>0.3</v>
      </c>
      <c r="X8">
        <v>-3.6</v>
      </c>
      <c r="Y8" t="s">
        <v>106</v>
      </c>
      <c r="Z8">
        <v>-84.4</v>
      </c>
      <c r="AA8">
        <v>-66.2</v>
      </c>
      <c r="AB8">
        <v>-93.9</v>
      </c>
      <c r="AC8">
        <v>-0.7</v>
      </c>
      <c r="AD8" t="s">
        <v>106</v>
      </c>
      <c r="AE8">
        <v>-128.6</v>
      </c>
      <c r="AF8">
        <v>-97.4</v>
      </c>
      <c r="AG8">
        <v>-245</v>
      </c>
      <c r="AH8">
        <v>-12.6</v>
      </c>
      <c r="AI8">
        <v>1.7</v>
      </c>
      <c r="AJ8">
        <v>148.80000000000001</v>
      </c>
      <c r="AK8">
        <v>-199.7</v>
      </c>
      <c r="AL8">
        <v>-0.7</v>
      </c>
      <c r="AM8">
        <v>57.5</v>
      </c>
      <c r="AN8">
        <v>-6.8</v>
      </c>
      <c r="AO8">
        <v>-0.8</v>
      </c>
      <c r="AP8">
        <v>2.6</v>
      </c>
      <c r="AQ8">
        <v>-27.5</v>
      </c>
      <c r="AR8" t="s">
        <v>106</v>
      </c>
      <c r="AS8" t="s">
        <v>106</v>
      </c>
      <c r="AT8" t="s">
        <v>106</v>
      </c>
      <c r="AU8" t="s">
        <v>106</v>
      </c>
      <c r="AV8" t="s">
        <v>106</v>
      </c>
      <c r="AW8" t="s">
        <v>106</v>
      </c>
      <c r="AX8" t="s">
        <v>106</v>
      </c>
      <c r="AY8">
        <v>0.6</v>
      </c>
      <c r="AZ8" t="s">
        <v>106</v>
      </c>
      <c r="BA8" t="s">
        <v>106</v>
      </c>
      <c r="BB8" t="s">
        <v>106</v>
      </c>
      <c r="BC8" t="s">
        <v>106</v>
      </c>
      <c r="BD8" t="s">
        <v>106</v>
      </c>
      <c r="BE8" t="s">
        <v>106</v>
      </c>
      <c r="BF8" t="s">
        <v>106</v>
      </c>
      <c r="BG8" t="s">
        <v>106</v>
      </c>
      <c r="BH8" t="s">
        <v>106</v>
      </c>
      <c r="BI8" t="s">
        <v>106</v>
      </c>
      <c r="BJ8" t="s">
        <v>106</v>
      </c>
      <c r="BK8" t="s">
        <v>106</v>
      </c>
      <c r="BL8">
        <v>-194.4</v>
      </c>
      <c r="BM8">
        <v>0.6</v>
      </c>
    </row>
    <row r="9" spans="1:65">
      <c r="A9" t="s">
        <v>112</v>
      </c>
      <c r="B9" t="s">
        <v>105</v>
      </c>
      <c r="C9" t="s">
        <v>105</v>
      </c>
      <c r="D9" t="s">
        <v>105</v>
      </c>
      <c r="E9" t="s">
        <v>105</v>
      </c>
      <c r="F9">
        <v>356.5</v>
      </c>
      <c r="G9">
        <v>2551.1</v>
      </c>
      <c r="H9">
        <v>16208.4</v>
      </c>
      <c r="I9">
        <v>53288.7</v>
      </c>
      <c r="J9">
        <v>930.5</v>
      </c>
      <c r="K9">
        <v>0.1</v>
      </c>
      <c r="L9">
        <v>17.600000000000001</v>
      </c>
      <c r="M9">
        <v>0.1</v>
      </c>
      <c r="N9">
        <v>177.2</v>
      </c>
      <c r="O9" t="s">
        <v>106</v>
      </c>
      <c r="P9" t="s">
        <v>106</v>
      </c>
      <c r="Q9" t="s">
        <v>106</v>
      </c>
      <c r="R9" t="s">
        <v>106</v>
      </c>
      <c r="S9">
        <v>56717.599999999999</v>
      </c>
      <c r="T9" t="s">
        <v>106</v>
      </c>
      <c r="U9">
        <v>150377.79999999999</v>
      </c>
      <c r="V9">
        <v>2052.1999999999998</v>
      </c>
      <c r="W9">
        <v>0.3</v>
      </c>
      <c r="X9">
        <v>7.8</v>
      </c>
      <c r="Y9" t="s">
        <v>106</v>
      </c>
      <c r="Z9">
        <v>7404.9</v>
      </c>
      <c r="AA9">
        <v>2158.3000000000002</v>
      </c>
      <c r="AB9">
        <v>-12562.5</v>
      </c>
      <c r="AC9">
        <v>-23.5</v>
      </c>
      <c r="AD9" t="s">
        <v>106</v>
      </c>
      <c r="AE9">
        <v>-18512.2</v>
      </c>
      <c r="AF9">
        <v>-649.20000000000005</v>
      </c>
      <c r="AG9">
        <v>-30456.400000000001</v>
      </c>
      <c r="AH9">
        <v>-26.6</v>
      </c>
      <c r="AI9">
        <v>1.6</v>
      </c>
      <c r="AJ9">
        <v>-5008.8999999999996</v>
      </c>
      <c r="AK9">
        <v>24295.3</v>
      </c>
      <c r="AL9">
        <v>-151.19999999999999</v>
      </c>
      <c r="AM9">
        <v>-3494.2</v>
      </c>
      <c r="AN9">
        <v>-1945.5</v>
      </c>
      <c r="AO9">
        <v>-0.8</v>
      </c>
      <c r="AP9">
        <v>2.6</v>
      </c>
      <c r="AQ9">
        <v>-2433.4</v>
      </c>
      <c r="AR9">
        <v>2281.4</v>
      </c>
      <c r="AS9">
        <v>1084</v>
      </c>
      <c r="AT9">
        <v>1024</v>
      </c>
      <c r="AU9">
        <v>3782.2</v>
      </c>
      <c r="AV9">
        <v>118</v>
      </c>
      <c r="AW9">
        <v>61</v>
      </c>
      <c r="AX9" t="s">
        <v>106</v>
      </c>
      <c r="AY9">
        <v>696.7</v>
      </c>
      <c r="AZ9">
        <v>357.2</v>
      </c>
      <c r="BA9" t="s">
        <v>106</v>
      </c>
      <c r="BB9">
        <v>38445.199999999997</v>
      </c>
      <c r="BC9">
        <v>791.9</v>
      </c>
      <c r="BD9">
        <v>280.2</v>
      </c>
      <c r="BE9">
        <v>7079.4</v>
      </c>
      <c r="BF9">
        <v>24.4</v>
      </c>
      <c r="BG9">
        <v>93.2</v>
      </c>
      <c r="BH9">
        <v>722.5</v>
      </c>
      <c r="BI9" t="s">
        <v>106</v>
      </c>
      <c r="BJ9" t="s">
        <v>106</v>
      </c>
      <c r="BK9">
        <v>34.799999999999997</v>
      </c>
      <c r="BL9">
        <v>298160.40000000002</v>
      </c>
      <c r="BM9">
        <v>18396.099999999999</v>
      </c>
    </row>
    <row r="10" spans="1:65">
      <c r="A10" t="s">
        <v>113</v>
      </c>
      <c r="B10" t="s">
        <v>105</v>
      </c>
      <c r="C10" t="s">
        <v>105</v>
      </c>
      <c r="D10" t="s">
        <v>105</v>
      </c>
      <c r="E10" t="s">
        <v>105</v>
      </c>
      <c r="F10" t="s">
        <v>106</v>
      </c>
      <c r="G10" t="s">
        <v>106</v>
      </c>
      <c r="H10" t="s">
        <v>106</v>
      </c>
      <c r="I10" t="s">
        <v>106</v>
      </c>
      <c r="J10" t="s">
        <v>106</v>
      </c>
      <c r="K10" t="s">
        <v>106</v>
      </c>
      <c r="L10" t="s">
        <v>106</v>
      </c>
      <c r="M10" t="s">
        <v>106</v>
      </c>
      <c r="N10" t="s">
        <v>106</v>
      </c>
      <c r="O10" t="s">
        <v>106</v>
      </c>
      <c r="P10" t="s">
        <v>106</v>
      </c>
      <c r="Q10" t="s">
        <v>106</v>
      </c>
      <c r="R10" t="s">
        <v>106</v>
      </c>
      <c r="S10" t="s">
        <v>106</v>
      </c>
      <c r="T10" t="s">
        <v>106</v>
      </c>
      <c r="U10" t="s">
        <v>106</v>
      </c>
      <c r="V10">
        <v>24755.5</v>
      </c>
      <c r="W10" t="s">
        <v>106</v>
      </c>
      <c r="X10" t="s">
        <v>106</v>
      </c>
      <c r="Y10">
        <v>-13.3</v>
      </c>
      <c r="Z10">
        <v>-403.2</v>
      </c>
      <c r="AA10">
        <v>-74.400000000000006</v>
      </c>
      <c r="AB10">
        <v>388.2</v>
      </c>
      <c r="AC10">
        <v>25.4</v>
      </c>
      <c r="AD10" t="s">
        <v>106</v>
      </c>
      <c r="AE10">
        <v>524.79999999999995</v>
      </c>
      <c r="AF10">
        <v>-3729.1</v>
      </c>
      <c r="AG10">
        <v>1654.3</v>
      </c>
      <c r="AH10">
        <v>7.6</v>
      </c>
      <c r="AI10">
        <v>8</v>
      </c>
      <c r="AJ10">
        <v>-6077.3</v>
      </c>
      <c r="AK10">
        <v>-10198.200000000001</v>
      </c>
      <c r="AL10">
        <v>-84.7</v>
      </c>
      <c r="AM10">
        <v>-107.5</v>
      </c>
      <c r="AN10">
        <v>495</v>
      </c>
      <c r="AO10">
        <v>-3.9</v>
      </c>
      <c r="AP10" t="s">
        <v>106</v>
      </c>
      <c r="AQ10">
        <v>-59.2</v>
      </c>
      <c r="AR10" t="s">
        <v>106</v>
      </c>
      <c r="AS10" t="s">
        <v>106</v>
      </c>
      <c r="AT10" t="s">
        <v>106</v>
      </c>
      <c r="AU10" t="s">
        <v>106</v>
      </c>
      <c r="AV10" t="s">
        <v>106</v>
      </c>
      <c r="AW10" t="s">
        <v>106</v>
      </c>
      <c r="AX10" t="s">
        <v>106</v>
      </c>
      <c r="AY10" t="s">
        <v>106</v>
      </c>
      <c r="AZ10" t="s">
        <v>106</v>
      </c>
      <c r="BA10" t="s">
        <v>106</v>
      </c>
      <c r="BB10" t="s">
        <v>106</v>
      </c>
      <c r="BC10" t="s">
        <v>106</v>
      </c>
      <c r="BD10" t="s">
        <v>106</v>
      </c>
      <c r="BE10" t="s">
        <v>106</v>
      </c>
      <c r="BF10" t="s">
        <v>106</v>
      </c>
      <c r="BG10" t="s">
        <v>106</v>
      </c>
      <c r="BH10" t="s">
        <v>106</v>
      </c>
      <c r="BI10" t="s">
        <v>106</v>
      </c>
      <c r="BJ10" t="s">
        <v>106</v>
      </c>
      <c r="BK10" t="s">
        <v>106</v>
      </c>
      <c r="BL10">
        <v>7107.9</v>
      </c>
      <c r="BM10" t="s">
        <v>106</v>
      </c>
    </row>
    <row r="11" spans="1:65">
      <c r="A11" t="s">
        <v>114</v>
      </c>
      <c r="B11" t="s">
        <v>105</v>
      </c>
      <c r="C11" t="s">
        <v>105</v>
      </c>
      <c r="D11" t="s">
        <v>105</v>
      </c>
      <c r="E11" t="s">
        <v>105</v>
      </c>
      <c r="F11">
        <v>16</v>
      </c>
      <c r="G11">
        <v>0.2</v>
      </c>
      <c r="H11">
        <v>725.3</v>
      </c>
      <c r="I11">
        <v>-1277.4000000000001</v>
      </c>
      <c r="J11" t="s">
        <v>106</v>
      </c>
      <c r="K11" t="s">
        <v>106</v>
      </c>
      <c r="L11" t="s">
        <v>106</v>
      </c>
      <c r="M11" t="s">
        <v>106</v>
      </c>
      <c r="N11">
        <v>-2</v>
      </c>
      <c r="O11" t="s">
        <v>106</v>
      </c>
      <c r="P11" t="s">
        <v>106</v>
      </c>
      <c r="Q11" t="s">
        <v>106</v>
      </c>
      <c r="R11" t="s">
        <v>106</v>
      </c>
      <c r="S11">
        <v>727.3</v>
      </c>
      <c r="T11">
        <v>179.5</v>
      </c>
      <c r="U11">
        <v>-413.8</v>
      </c>
      <c r="V11">
        <v>-109.1</v>
      </c>
      <c r="W11">
        <v>-0.1</v>
      </c>
      <c r="X11">
        <v>-0.1</v>
      </c>
      <c r="Y11">
        <v>321.89999999999998</v>
      </c>
      <c r="Z11">
        <v>22.1</v>
      </c>
      <c r="AA11">
        <v>-0.8</v>
      </c>
      <c r="AB11">
        <v>31.1</v>
      </c>
      <c r="AC11">
        <v>0</v>
      </c>
      <c r="AD11" t="s">
        <v>106</v>
      </c>
      <c r="AE11">
        <v>-0.5</v>
      </c>
      <c r="AF11">
        <v>-1.2</v>
      </c>
      <c r="AG11">
        <v>29.4</v>
      </c>
      <c r="AH11">
        <v>-0.2</v>
      </c>
      <c r="AI11">
        <v>0</v>
      </c>
      <c r="AJ11">
        <v>-36.799999999999997</v>
      </c>
      <c r="AK11">
        <v>-27.7</v>
      </c>
      <c r="AL11">
        <v>-0.2</v>
      </c>
      <c r="AM11">
        <v>-5.8</v>
      </c>
      <c r="AN11">
        <v>18.899999999999999</v>
      </c>
      <c r="AO11">
        <v>0</v>
      </c>
      <c r="AP11">
        <v>0.1</v>
      </c>
      <c r="AQ11">
        <v>3.4</v>
      </c>
      <c r="AR11" t="s">
        <v>106</v>
      </c>
      <c r="AS11" t="s">
        <v>106</v>
      </c>
      <c r="AT11" t="s">
        <v>106</v>
      </c>
      <c r="AU11" t="s">
        <v>106</v>
      </c>
      <c r="AV11" t="s">
        <v>106</v>
      </c>
      <c r="AW11" t="s">
        <v>106</v>
      </c>
      <c r="AX11" t="s">
        <v>106</v>
      </c>
      <c r="AY11">
        <v>-0.3</v>
      </c>
      <c r="AZ11" t="s">
        <v>106</v>
      </c>
      <c r="BA11" t="s">
        <v>106</v>
      </c>
      <c r="BB11" t="s">
        <v>106</v>
      </c>
      <c r="BC11" t="s">
        <v>106</v>
      </c>
      <c r="BD11" t="s">
        <v>106</v>
      </c>
      <c r="BE11" t="s">
        <v>106</v>
      </c>
      <c r="BF11" t="s">
        <v>106</v>
      </c>
      <c r="BG11" t="s">
        <v>106</v>
      </c>
      <c r="BH11" t="s">
        <v>106</v>
      </c>
      <c r="BI11" t="s">
        <v>106</v>
      </c>
      <c r="BJ11" t="s">
        <v>106</v>
      </c>
      <c r="BK11" t="s">
        <v>106</v>
      </c>
      <c r="BL11">
        <v>199.2</v>
      </c>
      <c r="BM11">
        <v>-0.3</v>
      </c>
    </row>
    <row r="12" spans="1:65">
      <c r="A12" t="s">
        <v>115</v>
      </c>
      <c r="B12" t="s">
        <v>105</v>
      </c>
      <c r="C12" t="s">
        <v>105</v>
      </c>
      <c r="D12" t="s">
        <v>105</v>
      </c>
      <c r="E12" t="s">
        <v>105</v>
      </c>
      <c r="F12">
        <v>372.5</v>
      </c>
      <c r="G12">
        <v>2551.3000000000002</v>
      </c>
      <c r="H12">
        <v>16933.7</v>
      </c>
      <c r="I12">
        <v>52011.3</v>
      </c>
      <c r="J12">
        <v>930.5</v>
      </c>
      <c r="K12">
        <v>0.1</v>
      </c>
      <c r="L12">
        <v>17.600000000000001</v>
      </c>
      <c r="M12">
        <v>0.1</v>
      </c>
      <c r="N12">
        <v>175.2</v>
      </c>
      <c r="O12" t="s">
        <v>106</v>
      </c>
      <c r="P12" t="s">
        <v>106</v>
      </c>
      <c r="Q12" t="s">
        <v>106</v>
      </c>
      <c r="R12" t="s">
        <v>106</v>
      </c>
      <c r="S12">
        <v>57444.9</v>
      </c>
      <c r="T12">
        <v>179.5</v>
      </c>
      <c r="U12">
        <v>149963.9</v>
      </c>
      <c r="V12">
        <v>26698.6</v>
      </c>
      <c r="W12">
        <v>0.3</v>
      </c>
      <c r="X12">
        <v>7.7</v>
      </c>
      <c r="Y12">
        <v>308.60000000000002</v>
      </c>
      <c r="Z12">
        <v>7023.7</v>
      </c>
      <c r="AA12">
        <v>2083</v>
      </c>
      <c r="AB12">
        <v>-12143.2</v>
      </c>
      <c r="AC12">
        <v>1.9</v>
      </c>
      <c r="AD12" t="s">
        <v>106</v>
      </c>
      <c r="AE12">
        <v>-17987.900000000001</v>
      </c>
      <c r="AF12">
        <v>-4379.5</v>
      </c>
      <c r="AG12">
        <v>-28772.799999999999</v>
      </c>
      <c r="AH12">
        <v>-19.2</v>
      </c>
      <c r="AI12">
        <v>9.5</v>
      </c>
      <c r="AJ12">
        <v>-11123</v>
      </c>
      <c r="AK12">
        <v>14069.5</v>
      </c>
      <c r="AL12">
        <v>-236</v>
      </c>
      <c r="AM12">
        <v>-3607.5</v>
      </c>
      <c r="AN12">
        <v>-1431.6</v>
      </c>
      <c r="AO12">
        <v>-4.7</v>
      </c>
      <c r="AP12">
        <v>2.7</v>
      </c>
      <c r="AQ12">
        <v>-2489.1999999999998</v>
      </c>
      <c r="AR12">
        <v>2281.4</v>
      </c>
      <c r="AS12">
        <v>1084</v>
      </c>
      <c r="AT12">
        <v>1024</v>
      </c>
      <c r="AU12">
        <v>3782.2</v>
      </c>
      <c r="AV12">
        <v>118</v>
      </c>
      <c r="AW12">
        <v>61</v>
      </c>
      <c r="AX12" t="s">
        <v>106</v>
      </c>
      <c r="AY12">
        <v>696.4</v>
      </c>
      <c r="AZ12">
        <v>357.2</v>
      </c>
      <c r="BA12" t="s">
        <v>106</v>
      </c>
      <c r="BB12">
        <v>38445.199999999997</v>
      </c>
      <c r="BC12">
        <v>791.9</v>
      </c>
      <c r="BD12">
        <v>280.2</v>
      </c>
      <c r="BE12">
        <v>7079.4</v>
      </c>
      <c r="BF12">
        <v>24.4</v>
      </c>
      <c r="BG12">
        <v>93.2</v>
      </c>
      <c r="BH12">
        <v>722.5</v>
      </c>
      <c r="BI12" t="s">
        <v>106</v>
      </c>
      <c r="BJ12" t="s">
        <v>106</v>
      </c>
      <c r="BK12">
        <v>34.799999999999997</v>
      </c>
      <c r="BL12">
        <v>305467.5</v>
      </c>
      <c r="BM12">
        <v>18395.900000000001</v>
      </c>
    </row>
    <row r="13" spans="1:65">
      <c r="A13" t="s">
        <v>116</v>
      </c>
      <c r="B13" t="s">
        <v>105</v>
      </c>
      <c r="C13" t="s">
        <v>105</v>
      </c>
      <c r="D13" t="s">
        <v>105</v>
      </c>
      <c r="E13" t="s">
        <v>105</v>
      </c>
      <c r="F13">
        <v>-372.5</v>
      </c>
      <c r="G13">
        <v>-284.5</v>
      </c>
      <c r="H13">
        <v>-16933.7</v>
      </c>
      <c r="I13">
        <v>-48809.7</v>
      </c>
      <c r="J13">
        <v>-930.5</v>
      </c>
      <c r="K13" t="s">
        <v>106</v>
      </c>
      <c r="L13" t="s">
        <v>106</v>
      </c>
      <c r="M13">
        <v>179.8</v>
      </c>
      <c r="N13">
        <v>471.1</v>
      </c>
      <c r="O13">
        <v>516.20000000000005</v>
      </c>
      <c r="P13">
        <v>2673.7</v>
      </c>
      <c r="Q13">
        <v>2256.3000000000002</v>
      </c>
      <c r="R13">
        <v>216.7</v>
      </c>
      <c r="S13">
        <v>-53749</v>
      </c>
      <c r="T13">
        <v>22432.2</v>
      </c>
      <c r="U13">
        <v>-149963.9</v>
      </c>
      <c r="V13">
        <v>-26606.6</v>
      </c>
      <c r="W13">
        <v>-0.3</v>
      </c>
      <c r="X13">
        <v>-7.7</v>
      </c>
      <c r="Y13">
        <v>3064.7</v>
      </c>
      <c r="Z13">
        <v>-62.7</v>
      </c>
      <c r="AA13">
        <v>1943.1</v>
      </c>
      <c r="AB13">
        <v>23277.3</v>
      </c>
      <c r="AC13" t="s">
        <v>106</v>
      </c>
      <c r="AD13" t="s">
        <v>106</v>
      </c>
      <c r="AE13">
        <v>19305.7</v>
      </c>
      <c r="AF13">
        <v>6203.7</v>
      </c>
      <c r="AG13">
        <v>50345.7</v>
      </c>
      <c r="AH13">
        <v>147.1</v>
      </c>
      <c r="AI13">
        <v>9.9</v>
      </c>
      <c r="AJ13">
        <v>12026.1</v>
      </c>
      <c r="AK13">
        <v>27282.1</v>
      </c>
      <c r="AL13">
        <v>437.7</v>
      </c>
      <c r="AM13">
        <v>4845.8999999999996</v>
      </c>
      <c r="AN13">
        <v>2880.4</v>
      </c>
      <c r="AO13">
        <v>29.1</v>
      </c>
      <c r="AP13">
        <v>272.8</v>
      </c>
      <c r="AQ13">
        <v>4676.3</v>
      </c>
      <c r="AR13">
        <v>-450</v>
      </c>
      <c r="AS13">
        <v>-356</v>
      </c>
      <c r="AT13">
        <v>-542.5</v>
      </c>
      <c r="AU13">
        <v>-2978.6</v>
      </c>
      <c r="AV13">
        <v>-46.1</v>
      </c>
      <c r="AW13">
        <v>-58.8</v>
      </c>
      <c r="AX13" t="s">
        <v>106</v>
      </c>
      <c r="AY13" t="s">
        <v>106</v>
      </c>
      <c r="AZ13">
        <v>-357.2</v>
      </c>
      <c r="BA13" t="s">
        <v>106</v>
      </c>
      <c r="BB13">
        <v>-38445.199999999997</v>
      </c>
      <c r="BC13">
        <v>-791.9</v>
      </c>
      <c r="BD13" t="s">
        <v>106</v>
      </c>
      <c r="BE13">
        <v>-7079.4</v>
      </c>
      <c r="BF13" t="s">
        <v>106</v>
      </c>
      <c r="BG13">
        <v>-93.2</v>
      </c>
      <c r="BH13">
        <v>-722.5</v>
      </c>
      <c r="BI13" t="s">
        <v>106</v>
      </c>
      <c r="BJ13">
        <v>54190.5</v>
      </c>
      <c r="BK13">
        <v>6956.7</v>
      </c>
      <c r="BL13">
        <v>-103001.9</v>
      </c>
      <c r="BM13">
        <v>-13476.2</v>
      </c>
    </row>
    <row r="14" spans="1:65">
      <c r="B14" t="s">
        <v>117</v>
      </c>
      <c r="C14" t="s">
        <v>105</v>
      </c>
      <c r="D14" t="s">
        <v>105</v>
      </c>
      <c r="E14" t="s">
        <v>105</v>
      </c>
      <c r="F14">
        <v>-188.4</v>
      </c>
      <c r="G14">
        <v>-284.5</v>
      </c>
      <c r="H14" t="s">
        <v>106</v>
      </c>
      <c r="I14">
        <v>-40508.9</v>
      </c>
      <c r="J14">
        <v>-930.5</v>
      </c>
      <c r="K14" t="s">
        <v>106</v>
      </c>
      <c r="L14" t="s">
        <v>106</v>
      </c>
      <c r="M14" t="s">
        <v>106</v>
      </c>
      <c r="N14" t="s">
        <v>106</v>
      </c>
      <c r="O14" t="s">
        <v>106</v>
      </c>
      <c r="P14">
        <v>-621.6</v>
      </c>
      <c r="Q14">
        <v>-2742.2</v>
      </c>
      <c r="R14">
        <v>-1275.3</v>
      </c>
      <c r="S14">
        <v>-20299.5</v>
      </c>
      <c r="T14">
        <v>-4.3</v>
      </c>
      <c r="U14" t="s">
        <v>106</v>
      </c>
      <c r="V14" t="s">
        <v>106</v>
      </c>
      <c r="W14" t="s">
        <v>106</v>
      </c>
      <c r="X14" t="s">
        <v>106</v>
      </c>
      <c r="Y14">
        <v>-126.8</v>
      </c>
      <c r="Z14">
        <v>-12.7</v>
      </c>
      <c r="AA14">
        <v>-0.5</v>
      </c>
      <c r="AB14">
        <v>0</v>
      </c>
      <c r="AC14" t="s">
        <v>106</v>
      </c>
      <c r="AD14" t="s">
        <v>106</v>
      </c>
      <c r="AE14" t="s">
        <v>106</v>
      </c>
      <c r="AF14">
        <v>-232.7</v>
      </c>
      <c r="AG14">
        <v>-104.3</v>
      </c>
      <c r="AH14" t="s">
        <v>106</v>
      </c>
      <c r="AI14" t="s">
        <v>106</v>
      </c>
      <c r="AJ14">
        <v>-39.200000000000003</v>
      </c>
      <c r="AK14" t="s">
        <v>106</v>
      </c>
      <c r="AL14" t="s">
        <v>106</v>
      </c>
      <c r="AM14" t="s">
        <v>106</v>
      </c>
      <c r="AN14" t="s">
        <v>106</v>
      </c>
      <c r="AO14" t="s">
        <v>106</v>
      </c>
      <c r="AP14" t="s">
        <v>106</v>
      </c>
      <c r="AQ14" t="s">
        <v>106</v>
      </c>
      <c r="AR14">
        <v>-200.9</v>
      </c>
      <c r="AS14">
        <v>-133.4</v>
      </c>
      <c r="AT14">
        <v>-211</v>
      </c>
      <c r="AU14">
        <v>-2439.5</v>
      </c>
      <c r="AV14">
        <v>-36.5</v>
      </c>
      <c r="AW14">
        <v>-46.6</v>
      </c>
      <c r="AX14" t="s">
        <v>106</v>
      </c>
      <c r="AY14" t="s">
        <v>106</v>
      </c>
      <c r="AZ14">
        <v>-357.2</v>
      </c>
      <c r="BA14" t="s">
        <v>106</v>
      </c>
      <c r="BB14">
        <v>-38445.199999999997</v>
      </c>
      <c r="BC14">
        <v>-791.9</v>
      </c>
      <c r="BD14" t="s">
        <v>106</v>
      </c>
      <c r="BE14">
        <v>-7079.4</v>
      </c>
      <c r="BF14" t="s">
        <v>106</v>
      </c>
      <c r="BG14">
        <v>-93.2</v>
      </c>
      <c r="BH14">
        <v>-722.5</v>
      </c>
      <c r="BI14">
        <v>-1334.3</v>
      </c>
      <c r="BJ14">
        <v>48073.4</v>
      </c>
      <c r="BK14" t="s">
        <v>106</v>
      </c>
      <c r="BL14">
        <v>-71189.7</v>
      </c>
      <c r="BM14">
        <v>-13658.7</v>
      </c>
    </row>
    <row r="15" spans="1:65">
      <c r="C15" t="s">
        <v>118</v>
      </c>
      <c r="D15" t="s">
        <v>105</v>
      </c>
      <c r="E15" t="s">
        <v>105</v>
      </c>
      <c r="F15">
        <v>-188.4</v>
      </c>
      <c r="G15">
        <v>-284.5</v>
      </c>
      <c r="H15" t="s">
        <v>106</v>
      </c>
      <c r="I15">
        <v>-40402.699999999997</v>
      </c>
      <c r="J15">
        <v>-930.5</v>
      </c>
      <c r="K15" t="s">
        <v>106</v>
      </c>
      <c r="L15" t="s">
        <v>106</v>
      </c>
      <c r="M15" t="s">
        <v>106</v>
      </c>
      <c r="N15" t="s">
        <v>106</v>
      </c>
      <c r="O15" t="s">
        <v>106</v>
      </c>
      <c r="P15" t="s">
        <v>106</v>
      </c>
      <c r="Q15" t="s">
        <v>106</v>
      </c>
      <c r="R15">
        <v>-212.3</v>
      </c>
      <c r="S15">
        <v>-19794.8</v>
      </c>
      <c r="T15" t="s">
        <v>106</v>
      </c>
      <c r="U15" t="s">
        <v>106</v>
      </c>
      <c r="V15" t="s">
        <v>106</v>
      </c>
      <c r="W15" t="s">
        <v>106</v>
      </c>
      <c r="X15" t="s">
        <v>106</v>
      </c>
      <c r="Y15" t="s">
        <v>106</v>
      </c>
      <c r="Z15">
        <v>-12.7</v>
      </c>
      <c r="AA15">
        <v>-0.5</v>
      </c>
      <c r="AB15">
        <v>0</v>
      </c>
      <c r="AC15" t="s">
        <v>106</v>
      </c>
      <c r="AD15" t="s">
        <v>106</v>
      </c>
      <c r="AE15" t="s">
        <v>106</v>
      </c>
      <c r="AF15">
        <v>-232.7</v>
      </c>
      <c r="AG15">
        <v>-104.3</v>
      </c>
      <c r="AH15" t="s">
        <v>106</v>
      </c>
      <c r="AI15" t="s">
        <v>106</v>
      </c>
      <c r="AJ15">
        <v>-23.2</v>
      </c>
      <c r="AK15" t="s">
        <v>106</v>
      </c>
      <c r="AL15" t="s">
        <v>106</v>
      </c>
      <c r="AM15" t="s">
        <v>106</v>
      </c>
      <c r="AN15" t="s">
        <v>106</v>
      </c>
      <c r="AO15" t="s">
        <v>106</v>
      </c>
      <c r="AP15" t="s">
        <v>106</v>
      </c>
      <c r="AQ15" t="s">
        <v>106</v>
      </c>
      <c r="AR15">
        <v>-136.80000000000001</v>
      </c>
      <c r="AS15">
        <v>-66.5</v>
      </c>
      <c r="AT15">
        <v>-211</v>
      </c>
      <c r="AU15">
        <v>-1915.5</v>
      </c>
      <c r="AV15">
        <v>-28.4</v>
      </c>
      <c r="AW15">
        <v>-46.6</v>
      </c>
      <c r="AX15" t="s">
        <v>106</v>
      </c>
      <c r="AY15" t="s">
        <v>106</v>
      </c>
      <c r="AZ15">
        <v>-357.2</v>
      </c>
      <c r="BA15" t="s">
        <v>106</v>
      </c>
      <c r="BB15">
        <v>-38445.199999999997</v>
      </c>
      <c r="BC15">
        <v>-791.6</v>
      </c>
      <c r="BD15" t="s">
        <v>106</v>
      </c>
      <c r="BE15">
        <v>-6238.3</v>
      </c>
      <c r="BF15" t="s">
        <v>106</v>
      </c>
      <c r="BG15">
        <v>-93.2</v>
      </c>
      <c r="BH15">
        <v>-720.5</v>
      </c>
      <c r="BI15">
        <v>-1313</v>
      </c>
      <c r="BJ15">
        <v>45340.6</v>
      </c>
      <c r="BK15" t="s">
        <v>106</v>
      </c>
      <c r="BL15">
        <v>-67209.899999999994</v>
      </c>
      <c r="BM15">
        <v>-12130.8</v>
      </c>
    </row>
    <row r="16" spans="1:65">
      <c r="C16" t="s">
        <v>119</v>
      </c>
      <c r="D16" t="s">
        <v>105</v>
      </c>
      <c r="E16" t="s">
        <v>105</v>
      </c>
      <c r="F16" t="s">
        <v>106</v>
      </c>
      <c r="G16" t="s">
        <v>106</v>
      </c>
      <c r="H16" t="s">
        <v>106</v>
      </c>
      <c r="I16">
        <v>-106.2</v>
      </c>
      <c r="J16" t="s">
        <v>106</v>
      </c>
      <c r="K16" t="s">
        <v>106</v>
      </c>
      <c r="L16" t="s">
        <v>106</v>
      </c>
      <c r="M16" t="s">
        <v>106</v>
      </c>
      <c r="N16" t="s">
        <v>106</v>
      </c>
      <c r="O16" t="s">
        <v>106</v>
      </c>
      <c r="P16">
        <v>-621.6</v>
      </c>
      <c r="Q16">
        <v>-2742.2</v>
      </c>
      <c r="R16">
        <v>-1063</v>
      </c>
      <c r="S16">
        <v>-504.7</v>
      </c>
      <c r="T16">
        <v>-4.3</v>
      </c>
      <c r="U16" t="s">
        <v>106</v>
      </c>
      <c r="V16" t="s">
        <v>106</v>
      </c>
      <c r="W16" t="s">
        <v>106</v>
      </c>
      <c r="X16" t="s">
        <v>106</v>
      </c>
      <c r="Y16">
        <v>-126.8</v>
      </c>
      <c r="Z16" t="s">
        <v>106</v>
      </c>
      <c r="AA16" t="s">
        <v>106</v>
      </c>
      <c r="AB16" t="s">
        <v>106</v>
      </c>
      <c r="AC16" t="s">
        <v>106</v>
      </c>
      <c r="AD16" t="s">
        <v>106</v>
      </c>
      <c r="AE16" t="s">
        <v>106</v>
      </c>
      <c r="AF16" t="s">
        <v>106</v>
      </c>
      <c r="AG16" t="s">
        <v>106</v>
      </c>
      <c r="AH16" t="s">
        <v>106</v>
      </c>
      <c r="AI16" t="s">
        <v>106</v>
      </c>
      <c r="AJ16">
        <v>-15.9</v>
      </c>
      <c r="AK16" t="s">
        <v>106</v>
      </c>
      <c r="AL16" t="s">
        <v>106</v>
      </c>
      <c r="AM16" t="s">
        <v>106</v>
      </c>
      <c r="AN16" t="s">
        <v>106</v>
      </c>
      <c r="AO16" t="s">
        <v>106</v>
      </c>
      <c r="AP16" t="s">
        <v>106</v>
      </c>
      <c r="AQ16" t="s">
        <v>106</v>
      </c>
      <c r="AR16">
        <v>-64.099999999999994</v>
      </c>
      <c r="AS16">
        <v>-66.900000000000006</v>
      </c>
      <c r="AT16" t="s">
        <v>106</v>
      </c>
      <c r="AU16">
        <v>-524</v>
      </c>
      <c r="AV16">
        <v>-8.1999999999999993</v>
      </c>
      <c r="AW16" t="s">
        <v>106</v>
      </c>
      <c r="AX16" t="s">
        <v>106</v>
      </c>
      <c r="AY16" t="s">
        <v>106</v>
      </c>
      <c r="AZ16" t="s">
        <v>106</v>
      </c>
      <c r="BA16" t="s">
        <v>106</v>
      </c>
      <c r="BB16" t="s">
        <v>106</v>
      </c>
      <c r="BC16">
        <v>-0.3</v>
      </c>
      <c r="BD16" t="s">
        <v>106</v>
      </c>
      <c r="BE16">
        <v>-841</v>
      </c>
      <c r="BF16" t="s">
        <v>106</v>
      </c>
      <c r="BG16" t="s">
        <v>106</v>
      </c>
      <c r="BH16">
        <v>-2.1</v>
      </c>
      <c r="BI16">
        <v>-21.3</v>
      </c>
      <c r="BJ16">
        <v>2732.8</v>
      </c>
      <c r="BK16" t="s">
        <v>106</v>
      </c>
      <c r="BL16">
        <v>-3979.8</v>
      </c>
      <c r="BM16">
        <v>-1527.9</v>
      </c>
    </row>
    <row r="17" spans="1:65">
      <c r="B17" t="s">
        <v>120</v>
      </c>
      <c r="C17" t="s">
        <v>105</v>
      </c>
      <c r="D17" t="s">
        <v>105</v>
      </c>
      <c r="E17" t="s">
        <v>105</v>
      </c>
      <c r="F17" t="s">
        <v>106</v>
      </c>
      <c r="G17" t="s">
        <v>106</v>
      </c>
      <c r="H17" t="s">
        <v>106</v>
      </c>
      <c r="I17">
        <v>-3768.6</v>
      </c>
      <c r="J17" t="s">
        <v>106</v>
      </c>
      <c r="K17" t="s">
        <v>106</v>
      </c>
      <c r="L17" t="s">
        <v>106</v>
      </c>
      <c r="M17" t="s">
        <v>106</v>
      </c>
      <c r="N17" t="s">
        <v>106</v>
      </c>
      <c r="O17" t="s">
        <v>106</v>
      </c>
      <c r="P17" t="s">
        <v>106</v>
      </c>
      <c r="Q17" t="s">
        <v>106</v>
      </c>
      <c r="R17" t="s">
        <v>106</v>
      </c>
      <c r="S17">
        <v>-9700.1</v>
      </c>
      <c r="T17">
        <v>-426.2</v>
      </c>
      <c r="U17" t="s">
        <v>106</v>
      </c>
      <c r="V17" t="s">
        <v>106</v>
      </c>
      <c r="W17" t="s">
        <v>106</v>
      </c>
      <c r="X17" t="s">
        <v>106</v>
      </c>
      <c r="Y17">
        <v>-339.8</v>
      </c>
      <c r="Z17">
        <v>-114.8</v>
      </c>
      <c r="AA17" t="s">
        <v>106</v>
      </c>
      <c r="AB17" t="s">
        <v>106</v>
      </c>
      <c r="AC17" t="s">
        <v>106</v>
      </c>
      <c r="AD17" t="s">
        <v>106</v>
      </c>
      <c r="AE17" t="s">
        <v>106</v>
      </c>
      <c r="AF17">
        <v>-0.2</v>
      </c>
      <c r="AG17">
        <v>-0.1</v>
      </c>
      <c r="AH17" t="s">
        <v>106</v>
      </c>
      <c r="AI17" t="s">
        <v>106</v>
      </c>
      <c r="AJ17">
        <v>-50.8</v>
      </c>
      <c r="AK17" t="s">
        <v>106</v>
      </c>
      <c r="AL17" t="s">
        <v>106</v>
      </c>
      <c r="AM17" t="s">
        <v>106</v>
      </c>
      <c r="AN17" t="s">
        <v>106</v>
      </c>
      <c r="AO17" t="s">
        <v>106</v>
      </c>
      <c r="AP17">
        <v>-265.60000000000002</v>
      </c>
      <c r="AQ17">
        <v>-1184.2</v>
      </c>
      <c r="AR17">
        <v>-79.099999999999994</v>
      </c>
      <c r="AS17">
        <v>-222.6</v>
      </c>
      <c r="AT17">
        <v>-253.2</v>
      </c>
      <c r="AU17">
        <v>-518.4</v>
      </c>
      <c r="AV17">
        <v>-9.5</v>
      </c>
      <c r="AW17" t="s">
        <v>106</v>
      </c>
      <c r="AX17" t="s">
        <v>106</v>
      </c>
      <c r="AY17" t="s">
        <v>106</v>
      </c>
      <c r="AZ17" t="s">
        <v>106</v>
      </c>
      <c r="BA17" t="s">
        <v>106</v>
      </c>
      <c r="BB17" t="s">
        <v>106</v>
      </c>
      <c r="BC17" t="s">
        <v>106</v>
      </c>
      <c r="BD17" t="s">
        <v>106</v>
      </c>
      <c r="BE17" t="s">
        <v>106</v>
      </c>
      <c r="BF17" t="s">
        <v>106</v>
      </c>
      <c r="BG17" t="s">
        <v>106</v>
      </c>
      <c r="BH17" t="s">
        <v>106</v>
      </c>
      <c r="BI17" t="s">
        <v>106</v>
      </c>
      <c r="BJ17">
        <v>6103.2</v>
      </c>
      <c r="BK17">
        <v>6383</v>
      </c>
      <c r="BL17">
        <v>-4447</v>
      </c>
      <c r="BM17">
        <v>-1082.8</v>
      </c>
    </row>
    <row r="18" spans="1:65">
      <c r="C18" t="s">
        <v>121</v>
      </c>
      <c r="D18" t="s">
        <v>105</v>
      </c>
      <c r="E18" t="s">
        <v>105</v>
      </c>
      <c r="F18" t="s">
        <v>106</v>
      </c>
      <c r="G18" t="s">
        <v>106</v>
      </c>
      <c r="H18" t="s">
        <v>106</v>
      </c>
      <c r="I18" t="s">
        <v>106</v>
      </c>
      <c r="J18" t="s">
        <v>106</v>
      </c>
      <c r="K18" t="s">
        <v>106</v>
      </c>
      <c r="L18" t="s">
        <v>106</v>
      </c>
      <c r="M18" t="s">
        <v>106</v>
      </c>
      <c r="N18" t="s">
        <v>106</v>
      </c>
      <c r="O18" t="s">
        <v>106</v>
      </c>
      <c r="P18" t="s">
        <v>106</v>
      </c>
      <c r="Q18" t="s">
        <v>106</v>
      </c>
      <c r="R18" t="s">
        <v>106</v>
      </c>
      <c r="S18">
        <v>-8446.9</v>
      </c>
      <c r="T18">
        <v>-364.9</v>
      </c>
      <c r="U18" t="s">
        <v>106</v>
      </c>
      <c r="V18" t="s">
        <v>106</v>
      </c>
      <c r="W18" t="s">
        <v>106</v>
      </c>
      <c r="X18" t="s">
        <v>106</v>
      </c>
      <c r="Y18" t="s">
        <v>106</v>
      </c>
      <c r="Z18">
        <v>-31.9</v>
      </c>
      <c r="AA18" t="s">
        <v>106</v>
      </c>
      <c r="AB18" t="s">
        <v>106</v>
      </c>
      <c r="AC18" t="s">
        <v>106</v>
      </c>
      <c r="AD18" t="s">
        <v>106</v>
      </c>
      <c r="AE18" t="s">
        <v>106</v>
      </c>
      <c r="AF18" t="s">
        <v>106</v>
      </c>
      <c r="AG18">
        <v>0</v>
      </c>
      <c r="AH18" t="s">
        <v>106</v>
      </c>
      <c r="AI18" t="s">
        <v>106</v>
      </c>
      <c r="AJ18">
        <v>-31.5</v>
      </c>
      <c r="AK18" t="s">
        <v>106</v>
      </c>
      <c r="AL18" t="s">
        <v>106</v>
      </c>
      <c r="AM18" t="s">
        <v>106</v>
      </c>
      <c r="AN18" t="s">
        <v>106</v>
      </c>
      <c r="AO18" t="s">
        <v>106</v>
      </c>
      <c r="AP18" t="s">
        <v>106</v>
      </c>
      <c r="AQ18" t="s">
        <v>106</v>
      </c>
      <c r="AR18">
        <v>-77.3</v>
      </c>
      <c r="AS18">
        <v>-177.2</v>
      </c>
      <c r="AT18">
        <v>-133.5</v>
      </c>
      <c r="AU18">
        <v>-86.7</v>
      </c>
      <c r="AV18">
        <v>-7.7</v>
      </c>
      <c r="AW18" t="s">
        <v>106</v>
      </c>
      <c r="AX18" t="s">
        <v>106</v>
      </c>
      <c r="AY18" t="s">
        <v>106</v>
      </c>
      <c r="AZ18" t="s">
        <v>106</v>
      </c>
      <c r="BA18" t="s">
        <v>106</v>
      </c>
      <c r="BB18" t="s">
        <v>106</v>
      </c>
      <c r="BC18" t="s">
        <v>106</v>
      </c>
      <c r="BD18" t="s">
        <v>106</v>
      </c>
      <c r="BE18" t="s">
        <v>106</v>
      </c>
      <c r="BF18" t="s">
        <v>106</v>
      </c>
      <c r="BG18" t="s">
        <v>106</v>
      </c>
      <c r="BH18" t="s">
        <v>106</v>
      </c>
      <c r="BI18" t="s">
        <v>106</v>
      </c>
      <c r="BJ18">
        <v>3728</v>
      </c>
      <c r="BK18">
        <v>3061.1</v>
      </c>
      <c r="BL18">
        <v>-2568.6</v>
      </c>
      <c r="BM18">
        <v>-482.5</v>
      </c>
    </row>
    <row r="19" spans="1:65">
      <c r="C19" t="s">
        <v>122</v>
      </c>
      <c r="D19" t="s">
        <v>105</v>
      </c>
      <c r="E19" t="s">
        <v>105</v>
      </c>
      <c r="F19" t="s">
        <v>106</v>
      </c>
      <c r="G19" t="s">
        <v>106</v>
      </c>
      <c r="H19" t="s">
        <v>106</v>
      </c>
      <c r="I19">
        <v>-3768.6</v>
      </c>
      <c r="J19" t="s">
        <v>106</v>
      </c>
      <c r="K19" t="s">
        <v>106</v>
      </c>
      <c r="L19" t="s">
        <v>106</v>
      </c>
      <c r="M19" t="s">
        <v>106</v>
      </c>
      <c r="N19" t="s">
        <v>106</v>
      </c>
      <c r="O19" t="s">
        <v>106</v>
      </c>
      <c r="P19" t="s">
        <v>106</v>
      </c>
      <c r="Q19" t="s">
        <v>106</v>
      </c>
      <c r="R19" t="s">
        <v>106</v>
      </c>
      <c r="S19">
        <v>-1253.3</v>
      </c>
      <c r="T19">
        <v>-61.3</v>
      </c>
      <c r="U19" t="s">
        <v>106</v>
      </c>
      <c r="V19" t="s">
        <v>106</v>
      </c>
      <c r="W19" t="s">
        <v>106</v>
      </c>
      <c r="X19" t="s">
        <v>106</v>
      </c>
      <c r="Y19">
        <v>-339.8</v>
      </c>
      <c r="Z19">
        <v>-82.8</v>
      </c>
      <c r="AA19" t="s">
        <v>106</v>
      </c>
      <c r="AB19" t="s">
        <v>106</v>
      </c>
      <c r="AC19" t="s">
        <v>106</v>
      </c>
      <c r="AD19" t="s">
        <v>106</v>
      </c>
      <c r="AE19" t="s">
        <v>106</v>
      </c>
      <c r="AF19">
        <v>-0.2</v>
      </c>
      <c r="AG19">
        <v>0</v>
      </c>
      <c r="AH19" t="s">
        <v>106</v>
      </c>
      <c r="AI19" t="s">
        <v>106</v>
      </c>
      <c r="AJ19">
        <v>-19.3</v>
      </c>
      <c r="AK19" t="s">
        <v>106</v>
      </c>
      <c r="AL19" t="s">
        <v>106</v>
      </c>
      <c r="AM19" t="s">
        <v>106</v>
      </c>
      <c r="AN19" t="s">
        <v>106</v>
      </c>
      <c r="AO19" t="s">
        <v>106</v>
      </c>
      <c r="AP19">
        <v>-265.60000000000002</v>
      </c>
      <c r="AQ19">
        <v>-1184.2</v>
      </c>
      <c r="AR19">
        <v>-1.8</v>
      </c>
      <c r="AS19">
        <v>-45.3</v>
      </c>
      <c r="AT19">
        <v>-119.7</v>
      </c>
      <c r="AU19">
        <v>-431.7</v>
      </c>
      <c r="AV19">
        <v>-1.8</v>
      </c>
      <c r="AW19" t="s">
        <v>106</v>
      </c>
      <c r="AX19" t="s">
        <v>106</v>
      </c>
      <c r="AY19" t="s">
        <v>106</v>
      </c>
      <c r="AZ19" t="s">
        <v>106</v>
      </c>
      <c r="BA19" t="s">
        <v>106</v>
      </c>
      <c r="BB19" t="s">
        <v>106</v>
      </c>
      <c r="BC19" t="s">
        <v>106</v>
      </c>
      <c r="BD19" t="s">
        <v>106</v>
      </c>
      <c r="BE19" t="s">
        <v>106</v>
      </c>
      <c r="BF19" t="s">
        <v>106</v>
      </c>
      <c r="BG19" t="s">
        <v>106</v>
      </c>
      <c r="BH19" t="s">
        <v>106</v>
      </c>
      <c r="BI19" t="s">
        <v>106</v>
      </c>
      <c r="BJ19">
        <v>2375.1999999999998</v>
      </c>
      <c r="BK19">
        <v>3321.8</v>
      </c>
      <c r="BL19">
        <v>-1878.4</v>
      </c>
      <c r="BM19">
        <v>-600.29999999999995</v>
      </c>
    </row>
    <row r="20" spans="1:65">
      <c r="B20" t="s">
        <v>123</v>
      </c>
      <c r="C20" t="s">
        <v>105</v>
      </c>
      <c r="D20" t="s">
        <v>105</v>
      </c>
      <c r="E20" t="s">
        <v>105</v>
      </c>
      <c r="F20" t="s">
        <v>106</v>
      </c>
      <c r="G20" t="s">
        <v>106</v>
      </c>
      <c r="H20" t="s">
        <v>106</v>
      </c>
      <c r="I20" t="s">
        <v>106</v>
      </c>
      <c r="J20" t="s">
        <v>106</v>
      </c>
      <c r="K20" t="s">
        <v>106</v>
      </c>
      <c r="L20" t="s">
        <v>106</v>
      </c>
      <c r="M20" t="s">
        <v>106</v>
      </c>
      <c r="N20" t="s">
        <v>106</v>
      </c>
      <c r="O20" t="s">
        <v>106</v>
      </c>
      <c r="P20" t="s">
        <v>106</v>
      </c>
      <c r="Q20" t="s">
        <v>106</v>
      </c>
      <c r="R20" t="s">
        <v>106</v>
      </c>
      <c r="S20">
        <v>-37.1</v>
      </c>
      <c r="T20">
        <v>-187.6</v>
      </c>
      <c r="U20" t="s">
        <v>106</v>
      </c>
      <c r="V20" t="s">
        <v>106</v>
      </c>
      <c r="W20" t="s">
        <v>106</v>
      </c>
      <c r="X20" t="s">
        <v>106</v>
      </c>
      <c r="Y20" t="s">
        <v>106</v>
      </c>
      <c r="Z20">
        <v>-52.8</v>
      </c>
      <c r="AA20" t="s">
        <v>106</v>
      </c>
      <c r="AB20" t="s">
        <v>106</v>
      </c>
      <c r="AC20" t="s">
        <v>106</v>
      </c>
      <c r="AD20" t="s">
        <v>106</v>
      </c>
      <c r="AE20" t="s">
        <v>106</v>
      </c>
      <c r="AF20">
        <v>-1.2</v>
      </c>
      <c r="AG20" t="s">
        <v>106</v>
      </c>
      <c r="AH20" t="s">
        <v>106</v>
      </c>
      <c r="AI20" t="s">
        <v>106</v>
      </c>
      <c r="AJ20">
        <v>-228.6</v>
      </c>
      <c r="AK20" t="s">
        <v>106</v>
      </c>
      <c r="AL20" t="s">
        <v>106</v>
      </c>
      <c r="AM20" t="s">
        <v>106</v>
      </c>
      <c r="AN20" t="s">
        <v>106</v>
      </c>
      <c r="AO20" t="s">
        <v>106</v>
      </c>
      <c r="AP20" t="s">
        <v>106</v>
      </c>
      <c r="AQ20">
        <v>-188.4</v>
      </c>
      <c r="AR20">
        <v>-170.1</v>
      </c>
      <c r="AS20" t="s">
        <v>106</v>
      </c>
      <c r="AT20">
        <v>-78.3</v>
      </c>
      <c r="AU20">
        <v>-20.7</v>
      </c>
      <c r="AV20" t="s">
        <v>106</v>
      </c>
      <c r="AW20">
        <v>-12.2</v>
      </c>
      <c r="AX20" t="s">
        <v>106</v>
      </c>
      <c r="AY20" t="s">
        <v>106</v>
      </c>
      <c r="AZ20" t="s">
        <v>106</v>
      </c>
      <c r="BA20" t="s">
        <v>106</v>
      </c>
      <c r="BB20" t="s">
        <v>106</v>
      </c>
      <c r="BC20" t="s">
        <v>106</v>
      </c>
      <c r="BD20" t="s">
        <v>106</v>
      </c>
      <c r="BE20" t="s">
        <v>106</v>
      </c>
      <c r="BF20" t="s">
        <v>106</v>
      </c>
      <c r="BG20" t="s">
        <v>106</v>
      </c>
      <c r="BH20" t="s">
        <v>106</v>
      </c>
      <c r="BI20" t="s">
        <v>106</v>
      </c>
      <c r="BJ20" t="s">
        <v>106</v>
      </c>
      <c r="BK20">
        <v>608.6</v>
      </c>
      <c r="BL20">
        <v>-368.5</v>
      </c>
      <c r="BM20">
        <v>-281.3</v>
      </c>
    </row>
    <row r="21" spans="1:65">
      <c r="C21" t="s">
        <v>124</v>
      </c>
      <c r="D21" t="s">
        <v>105</v>
      </c>
      <c r="E21" t="s">
        <v>105</v>
      </c>
      <c r="F21" t="s">
        <v>106</v>
      </c>
      <c r="G21" t="s">
        <v>106</v>
      </c>
      <c r="H21" t="s">
        <v>106</v>
      </c>
      <c r="I21" t="s">
        <v>106</v>
      </c>
      <c r="J21" t="s">
        <v>106</v>
      </c>
      <c r="K21" t="s">
        <v>106</v>
      </c>
      <c r="L21" t="s">
        <v>106</v>
      </c>
      <c r="M21" t="s">
        <v>106</v>
      </c>
      <c r="N21" t="s">
        <v>106</v>
      </c>
      <c r="O21" t="s">
        <v>106</v>
      </c>
      <c r="P21" t="s">
        <v>106</v>
      </c>
      <c r="Q21" t="s">
        <v>106</v>
      </c>
      <c r="R21" t="s">
        <v>106</v>
      </c>
      <c r="S21">
        <v>-35</v>
      </c>
      <c r="T21">
        <v>-178.4</v>
      </c>
      <c r="U21" t="s">
        <v>106</v>
      </c>
      <c r="V21" t="s">
        <v>106</v>
      </c>
      <c r="W21" t="s">
        <v>106</v>
      </c>
      <c r="X21" t="s">
        <v>106</v>
      </c>
      <c r="Y21" t="s">
        <v>106</v>
      </c>
      <c r="Z21">
        <v>-40.299999999999997</v>
      </c>
      <c r="AA21" t="s">
        <v>106</v>
      </c>
      <c r="AB21" t="s">
        <v>106</v>
      </c>
      <c r="AC21" t="s">
        <v>106</v>
      </c>
      <c r="AD21" t="s">
        <v>106</v>
      </c>
      <c r="AE21" t="s">
        <v>106</v>
      </c>
      <c r="AF21">
        <v>-1.2</v>
      </c>
      <c r="AG21" t="s">
        <v>106</v>
      </c>
      <c r="AH21" t="s">
        <v>106</v>
      </c>
      <c r="AI21" t="s">
        <v>106</v>
      </c>
      <c r="AJ21">
        <v>-153</v>
      </c>
      <c r="AK21" t="s">
        <v>106</v>
      </c>
      <c r="AL21" t="s">
        <v>106</v>
      </c>
      <c r="AM21" t="s">
        <v>106</v>
      </c>
      <c r="AN21" t="s">
        <v>106</v>
      </c>
      <c r="AO21" t="s">
        <v>106</v>
      </c>
      <c r="AP21" t="s">
        <v>106</v>
      </c>
      <c r="AQ21" t="s">
        <v>106</v>
      </c>
      <c r="AR21" t="s">
        <v>106</v>
      </c>
      <c r="AS21" t="s">
        <v>106</v>
      </c>
      <c r="AT21" t="s">
        <v>106</v>
      </c>
      <c r="AU21" t="s">
        <v>106</v>
      </c>
      <c r="AV21" t="s">
        <v>106</v>
      </c>
      <c r="AW21">
        <v>-12.2</v>
      </c>
      <c r="AX21" t="s">
        <v>106</v>
      </c>
      <c r="AY21" t="s">
        <v>106</v>
      </c>
      <c r="AZ21" t="s">
        <v>106</v>
      </c>
      <c r="BA21" t="s">
        <v>106</v>
      </c>
      <c r="BB21" t="s">
        <v>106</v>
      </c>
      <c r="BC21" t="s">
        <v>106</v>
      </c>
      <c r="BD21" t="s">
        <v>106</v>
      </c>
      <c r="BE21" t="s">
        <v>106</v>
      </c>
      <c r="BF21" t="s">
        <v>106</v>
      </c>
      <c r="BG21" t="s">
        <v>106</v>
      </c>
      <c r="BH21" t="s">
        <v>106</v>
      </c>
      <c r="BI21" t="s">
        <v>106</v>
      </c>
      <c r="BJ21" t="s">
        <v>106</v>
      </c>
      <c r="BK21">
        <v>216.7</v>
      </c>
      <c r="BL21">
        <v>-203.3</v>
      </c>
      <c r="BM21">
        <v>-12.2</v>
      </c>
    </row>
    <row r="22" spans="1:65">
      <c r="C22" t="s">
        <v>125</v>
      </c>
      <c r="D22" t="s">
        <v>105</v>
      </c>
      <c r="E22" t="s">
        <v>105</v>
      </c>
      <c r="F22" t="s">
        <v>106</v>
      </c>
      <c r="G22" t="s">
        <v>106</v>
      </c>
      <c r="H22" t="s">
        <v>106</v>
      </c>
      <c r="I22" t="s">
        <v>106</v>
      </c>
      <c r="J22" t="s">
        <v>106</v>
      </c>
      <c r="K22" t="s">
        <v>106</v>
      </c>
      <c r="L22" t="s">
        <v>106</v>
      </c>
      <c r="M22" t="s">
        <v>106</v>
      </c>
      <c r="N22" t="s">
        <v>106</v>
      </c>
      <c r="O22" t="s">
        <v>106</v>
      </c>
      <c r="P22" t="s">
        <v>106</v>
      </c>
      <c r="Q22" t="s">
        <v>106</v>
      </c>
      <c r="R22" t="s">
        <v>106</v>
      </c>
      <c r="S22">
        <v>-2.1</v>
      </c>
      <c r="T22">
        <v>-9.1999999999999993</v>
      </c>
      <c r="U22" t="s">
        <v>106</v>
      </c>
      <c r="V22" t="s">
        <v>106</v>
      </c>
      <c r="W22" t="s">
        <v>106</v>
      </c>
      <c r="X22" t="s">
        <v>106</v>
      </c>
      <c r="Y22" t="s">
        <v>106</v>
      </c>
      <c r="Z22">
        <v>-12.5</v>
      </c>
      <c r="AA22" t="s">
        <v>106</v>
      </c>
      <c r="AB22" t="s">
        <v>106</v>
      </c>
      <c r="AC22" t="s">
        <v>106</v>
      </c>
      <c r="AD22" t="s">
        <v>106</v>
      </c>
      <c r="AE22" t="s">
        <v>106</v>
      </c>
      <c r="AF22" t="s">
        <v>106</v>
      </c>
      <c r="AG22" t="s">
        <v>106</v>
      </c>
      <c r="AH22" t="s">
        <v>106</v>
      </c>
      <c r="AI22" t="s">
        <v>106</v>
      </c>
      <c r="AJ22">
        <v>-75.7</v>
      </c>
      <c r="AK22" t="s">
        <v>106</v>
      </c>
      <c r="AL22" t="s">
        <v>106</v>
      </c>
      <c r="AM22" t="s">
        <v>106</v>
      </c>
      <c r="AN22" t="s">
        <v>106</v>
      </c>
      <c r="AO22" t="s">
        <v>106</v>
      </c>
      <c r="AP22" t="s">
        <v>106</v>
      </c>
      <c r="AQ22">
        <v>-188.4</v>
      </c>
      <c r="AR22">
        <v>-170.1</v>
      </c>
      <c r="AS22" t="s">
        <v>106</v>
      </c>
      <c r="AT22">
        <v>-78.3</v>
      </c>
      <c r="AU22">
        <v>-20.7</v>
      </c>
      <c r="AV22" t="s">
        <v>106</v>
      </c>
      <c r="AW22" t="s">
        <v>106</v>
      </c>
      <c r="AX22" t="s">
        <v>106</v>
      </c>
      <c r="AY22" t="s">
        <v>106</v>
      </c>
      <c r="AZ22" t="s">
        <v>106</v>
      </c>
      <c r="BA22" t="s">
        <v>106</v>
      </c>
      <c r="BB22" t="s">
        <v>106</v>
      </c>
      <c r="BC22" t="s">
        <v>106</v>
      </c>
      <c r="BD22" t="s">
        <v>106</v>
      </c>
      <c r="BE22" t="s">
        <v>106</v>
      </c>
      <c r="BF22" t="s">
        <v>106</v>
      </c>
      <c r="BG22" t="s">
        <v>106</v>
      </c>
      <c r="BH22" t="s">
        <v>106</v>
      </c>
      <c r="BI22" t="s">
        <v>106</v>
      </c>
      <c r="BJ22" t="s">
        <v>106</v>
      </c>
      <c r="BK22">
        <v>391.9</v>
      </c>
      <c r="BL22">
        <v>-165.2</v>
      </c>
      <c r="BM22">
        <v>-269.10000000000002</v>
      </c>
    </row>
    <row r="23" spans="1:65">
      <c r="B23" t="s">
        <v>126</v>
      </c>
      <c r="C23" t="s">
        <v>105</v>
      </c>
      <c r="D23" t="s">
        <v>105</v>
      </c>
      <c r="E23" t="s">
        <v>105</v>
      </c>
      <c r="F23" t="s">
        <v>106</v>
      </c>
      <c r="G23" t="s">
        <v>106</v>
      </c>
      <c r="H23" t="s">
        <v>106</v>
      </c>
      <c r="I23" t="s">
        <v>106</v>
      </c>
      <c r="J23" t="s">
        <v>106</v>
      </c>
      <c r="K23" t="s">
        <v>106</v>
      </c>
      <c r="L23" t="s">
        <v>106</v>
      </c>
      <c r="M23" t="s">
        <v>106</v>
      </c>
      <c r="N23" t="s">
        <v>106</v>
      </c>
      <c r="O23" t="s">
        <v>106</v>
      </c>
      <c r="P23" t="s">
        <v>106</v>
      </c>
      <c r="Q23" t="s">
        <v>106</v>
      </c>
      <c r="R23" t="s">
        <v>106</v>
      </c>
      <c r="S23" t="s">
        <v>106</v>
      </c>
      <c r="T23" t="s">
        <v>106</v>
      </c>
      <c r="U23" t="s">
        <v>106</v>
      </c>
      <c r="V23" t="s">
        <v>106</v>
      </c>
      <c r="W23" t="s">
        <v>106</v>
      </c>
      <c r="X23" t="s">
        <v>106</v>
      </c>
      <c r="Y23" t="s">
        <v>106</v>
      </c>
      <c r="Z23" t="s">
        <v>106</v>
      </c>
      <c r="AA23" t="s">
        <v>106</v>
      </c>
      <c r="AB23" t="s">
        <v>106</v>
      </c>
      <c r="AC23" t="s">
        <v>106</v>
      </c>
      <c r="AD23" t="s">
        <v>106</v>
      </c>
      <c r="AE23" t="s">
        <v>106</v>
      </c>
      <c r="AF23" t="s">
        <v>106</v>
      </c>
      <c r="AG23" t="s">
        <v>106</v>
      </c>
      <c r="AH23" t="s">
        <v>106</v>
      </c>
      <c r="AI23" t="s">
        <v>106</v>
      </c>
      <c r="AJ23" t="s">
        <v>106</v>
      </c>
      <c r="AK23" t="s">
        <v>106</v>
      </c>
      <c r="AL23" t="s">
        <v>106</v>
      </c>
      <c r="AM23" t="s">
        <v>106</v>
      </c>
      <c r="AN23" t="s">
        <v>106</v>
      </c>
      <c r="AO23" t="s">
        <v>106</v>
      </c>
      <c r="AP23" t="s">
        <v>106</v>
      </c>
      <c r="AQ23" t="s">
        <v>106</v>
      </c>
      <c r="AR23" t="s">
        <v>106</v>
      </c>
      <c r="AS23" t="s">
        <v>106</v>
      </c>
      <c r="AT23" t="s">
        <v>106</v>
      </c>
      <c r="AU23" t="s">
        <v>106</v>
      </c>
      <c r="AV23" t="s">
        <v>106</v>
      </c>
      <c r="AW23" t="s">
        <v>106</v>
      </c>
      <c r="AX23" t="s">
        <v>106</v>
      </c>
      <c r="AY23" t="s">
        <v>106</v>
      </c>
      <c r="AZ23" t="s">
        <v>106</v>
      </c>
      <c r="BA23" t="s">
        <v>106</v>
      </c>
      <c r="BB23" t="s">
        <v>106</v>
      </c>
      <c r="BC23" t="s">
        <v>106</v>
      </c>
      <c r="BD23" t="s">
        <v>106</v>
      </c>
      <c r="BE23" t="s">
        <v>106</v>
      </c>
      <c r="BF23" t="s">
        <v>106</v>
      </c>
      <c r="BG23" t="s">
        <v>106</v>
      </c>
      <c r="BH23" t="s">
        <v>106</v>
      </c>
      <c r="BI23" t="s">
        <v>106</v>
      </c>
      <c r="BJ23">
        <v>13.9</v>
      </c>
      <c r="BK23">
        <v>-34.799999999999997</v>
      </c>
      <c r="BL23">
        <v>-20.9</v>
      </c>
      <c r="BM23" t="s">
        <v>106</v>
      </c>
    </row>
    <row r="24" spans="1:65">
      <c r="B24" t="s">
        <v>127</v>
      </c>
      <c r="C24" t="s">
        <v>105</v>
      </c>
      <c r="D24" t="s">
        <v>105</v>
      </c>
      <c r="E24" t="s">
        <v>105</v>
      </c>
      <c r="F24" t="s">
        <v>106</v>
      </c>
      <c r="G24" t="s">
        <v>106</v>
      </c>
      <c r="H24">
        <v>-16024.7</v>
      </c>
      <c r="I24" t="s">
        <v>106</v>
      </c>
      <c r="J24" t="s">
        <v>106</v>
      </c>
      <c r="K24" t="s">
        <v>106</v>
      </c>
      <c r="L24" t="s">
        <v>106</v>
      </c>
      <c r="M24" t="s">
        <v>106</v>
      </c>
      <c r="N24">
        <v>10557.2</v>
      </c>
      <c r="O24">
        <v>516.20000000000005</v>
      </c>
      <c r="P24">
        <v>3295.3</v>
      </c>
      <c r="Q24" t="s">
        <v>106</v>
      </c>
      <c r="R24" t="s">
        <v>106</v>
      </c>
      <c r="S24" t="s">
        <v>106</v>
      </c>
      <c r="T24" t="s">
        <v>106</v>
      </c>
      <c r="U24" t="s">
        <v>106</v>
      </c>
      <c r="V24" t="s">
        <v>106</v>
      </c>
      <c r="W24" t="s">
        <v>106</v>
      </c>
      <c r="X24" t="s">
        <v>106</v>
      </c>
      <c r="Y24" t="s">
        <v>106</v>
      </c>
      <c r="Z24" t="s">
        <v>106</v>
      </c>
      <c r="AA24" t="s">
        <v>106</v>
      </c>
      <c r="AB24" t="s">
        <v>106</v>
      </c>
      <c r="AC24" t="s">
        <v>106</v>
      </c>
      <c r="AD24" t="s">
        <v>106</v>
      </c>
      <c r="AE24" t="s">
        <v>106</v>
      </c>
      <c r="AF24" t="s">
        <v>106</v>
      </c>
      <c r="AG24" t="s">
        <v>106</v>
      </c>
      <c r="AH24" t="s">
        <v>106</v>
      </c>
      <c r="AI24" t="s">
        <v>106</v>
      </c>
      <c r="AJ24" t="s">
        <v>106</v>
      </c>
      <c r="AK24" t="s">
        <v>106</v>
      </c>
      <c r="AL24" t="s">
        <v>106</v>
      </c>
      <c r="AM24" t="s">
        <v>106</v>
      </c>
      <c r="AN24" t="s">
        <v>106</v>
      </c>
      <c r="AO24" t="s">
        <v>106</v>
      </c>
      <c r="AP24" t="s">
        <v>106</v>
      </c>
      <c r="AQ24" t="s">
        <v>106</v>
      </c>
      <c r="AR24" t="s">
        <v>106</v>
      </c>
      <c r="AS24" t="s">
        <v>106</v>
      </c>
      <c r="AT24" t="s">
        <v>106</v>
      </c>
      <c r="AU24" t="s">
        <v>106</v>
      </c>
      <c r="AV24" t="s">
        <v>106</v>
      </c>
      <c r="AW24" t="s">
        <v>106</v>
      </c>
      <c r="AX24" t="s">
        <v>106</v>
      </c>
      <c r="AY24" t="s">
        <v>106</v>
      </c>
      <c r="AZ24" t="s">
        <v>106</v>
      </c>
      <c r="BA24" t="s">
        <v>106</v>
      </c>
      <c r="BB24" t="s">
        <v>106</v>
      </c>
      <c r="BC24" t="s">
        <v>106</v>
      </c>
      <c r="BD24" t="s">
        <v>106</v>
      </c>
      <c r="BE24" t="s">
        <v>106</v>
      </c>
      <c r="BF24" t="s">
        <v>106</v>
      </c>
      <c r="BG24" t="s">
        <v>106</v>
      </c>
      <c r="BH24" t="s">
        <v>106</v>
      </c>
      <c r="BI24" t="s">
        <v>106</v>
      </c>
      <c r="BJ24" t="s">
        <v>106</v>
      </c>
      <c r="BK24" t="s">
        <v>106</v>
      </c>
      <c r="BL24">
        <v>-1656.1</v>
      </c>
      <c r="BM24" t="s">
        <v>106</v>
      </c>
    </row>
    <row r="25" spans="1:65">
      <c r="B25" t="s">
        <v>128</v>
      </c>
      <c r="C25" t="s">
        <v>105</v>
      </c>
      <c r="D25" t="s">
        <v>105</v>
      </c>
      <c r="E25" t="s">
        <v>105</v>
      </c>
      <c r="F25" t="s">
        <v>106</v>
      </c>
      <c r="G25" t="s">
        <v>106</v>
      </c>
      <c r="H25">
        <v>-909</v>
      </c>
      <c r="I25">
        <v>-4361.7</v>
      </c>
      <c r="J25" t="s">
        <v>106</v>
      </c>
      <c r="K25" t="s">
        <v>106</v>
      </c>
      <c r="L25" t="s">
        <v>106</v>
      </c>
      <c r="M25" t="s">
        <v>106</v>
      </c>
      <c r="N25">
        <v>-10086.1</v>
      </c>
      <c r="O25" t="s">
        <v>106</v>
      </c>
      <c r="P25" t="s">
        <v>106</v>
      </c>
      <c r="Q25">
        <v>4998.3999999999996</v>
      </c>
      <c r="R25">
        <v>1279.7</v>
      </c>
      <c r="S25" t="s">
        <v>106</v>
      </c>
      <c r="T25" t="s">
        <v>106</v>
      </c>
      <c r="U25" t="s">
        <v>106</v>
      </c>
      <c r="V25" t="s">
        <v>106</v>
      </c>
      <c r="W25" t="s">
        <v>106</v>
      </c>
      <c r="X25" t="s">
        <v>106</v>
      </c>
      <c r="Y25" t="s">
        <v>106</v>
      </c>
      <c r="Z25" t="s">
        <v>106</v>
      </c>
      <c r="AA25" t="s">
        <v>106</v>
      </c>
      <c r="AB25" t="s">
        <v>106</v>
      </c>
      <c r="AC25" t="s">
        <v>106</v>
      </c>
      <c r="AD25" t="s">
        <v>106</v>
      </c>
      <c r="AE25" t="s">
        <v>106</v>
      </c>
      <c r="AF25" t="s">
        <v>106</v>
      </c>
      <c r="AG25" t="s">
        <v>106</v>
      </c>
      <c r="AH25" t="s">
        <v>106</v>
      </c>
      <c r="AI25" t="s">
        <v>106</v>
      </c>
      <c r="AJ25" t="s">
        <v>106</v>
      </c>
      <c r="AK25" t="s">
        <v>106</v>
      </c>
      <c r="AL25" t="s">
        <v>106</v>
      </c>
      <c r="AM25" t="s">
        <v>106</v>
      </c>
      <c r="AN25" t="s">
        <v>106</v>
      </c>
      <c r="AO25" t="s">
        <v>106</v>
      </c>
      <c r="AP25" t="s">
        <v>106</v>
      </c>
      <c r="AQ25" t="s">
        <v>106</v>
      </c>
      <c r="AR25" t="s">
        <v>106</v>
      </c>
      <c r="AS25" t="s">
        <v>106</v>
      </c>
      <c r="AT25" t="s">
        <v>106</v>
      </c>
      <c r="AU25" t="s">
        <v>106</v>
      </c>
      <c r="AV25" t="s">
        <v>106</v>
      </c>
      <c r="AW25" t="s">
        <v>106</v>
      </c>
      <c r="AX25" t="s">
        <v>106</v>
      </c>
      <c r="AY25" t="s">
        <v>106</v>
      </c>
      <c r="AZ25" t="s">
        <v>106</v>
      </c>
      <c r="BA25" t="s">
        <v>106</v>
      </c>
      <c r="BB25" t="s">
        <v>106</v>
      </c>
      <c r="BC25" t="s">
        <v>106</v>
      </c>
      <c r="BD25" t="s">
        <v>106</v>
      </c>
      <c r="BE25" t="s">
        <v>106</v>
      </c>
      <c r="BF25" t="s">
        <v>106</v>
      </c>
      <c r="BG25" t="s">
        <v>106</v>
      </c>
      <c r="BH25" t="s">
        <v>106</v>
      </c>
      <c r="BI25" t="s">
        <v>106</v>
      </c>
      <c r="BJ25" t="s">
        <v>106</v>
      </c>
      <c r="BK25" t="s">
        <v>106</v>
      </c>
      <c r="BL25">
        <v>-9078.6</v>
      </c>
      <c r="BM25" t="s">
        <v>106</v>
      </c>
    </row>
    <row r="26" spans="1:65">
      <c r="B26" t="s">
        <v>129</v>
      </c>
      <c r="C26" t="s">
        <v>105</v>
      </c>
      <c r="D26" t="s">
        <v>105</v>
      </c>
      <c r="E26" t="s">
        <v>105</v>
      </c>
      <c r="F26">
        <v>-184.1</v>
      </c>
      <c r="G26" t="s">
        <v>106</v>
      </c>
      <c r="H26" t="s">
        <v>106</v>
      </c>
      <c r="I26" t="s">
        <v>106</v>
      </c>
      <c r="J26" t="s">
        <v>106</v>
      </c>
      <c r="K26" t="s">
        <v>106</v>
      </c>
      <c r="L26" t="s">
        <v>106</v>
      </c>
      <c r="M26">
        <v>179.8</v>
      </c>
      <c r="N26" t="s">
        <v>106</v>
      </c>
      <c r="O26" t="s">
        <v>106</v>
      </c>
      <c r="P26" t="s">
        <v>106</v>
      </c>
      <c r="Q26" t="s">
        <v>106</v>
      </c>
      <c r="R26" t="s">
        <v>106</v>
      </c>
      <c r="S26" t="s">
        <v>106</v>
      </c>
      <c r="T26" t="s">
        <v>106</v>
      </c>
      <c r="U26" t="s">
        <v>106</v>
      </c>
      <c r="V26" t="s">
        <v>106</v>
      </c>
      <c r="W26" t="s">
        <v>106</v>
      </c>
      <c r="X26" t="s">
        <v>106</v>
      </c>
      <c r="Y26" t="s">
        <v>106</v>
      </c>
      <c r="Z26" t="s">
        <v>106</v>
      </c>
      <c r="AA26" t="s">
        <v>106</v>
      </c>
      <c r="AB26" t="s">
        <v>106</v>
      </c>
      <c r="AC26" t="s">
        <v>106</v>
      </c>
      <c r="AD26" t="s">
        <v>106</v>
      </c>
      <c r="AE26" t="s">
        <v>106</v>
      </c>
      <c r="AF26" t="s">
        <v>106</v>
      </c>
      <c r="AG26" t="s">
        <v>106</v>
      </c>
      <c r="AH26" t="s">
        <v>106</v>
      </c>
      <c r="AI26" t="s">
        <v>106</v>
      </c>
      <c r="AJ26" t="s">
        <v>106</v>
      </c>
      <c r="AK26" t="s">
        <v>106</v>
      </c>
      <c r="AL26" t="s">
        <v>106</v>
      </c>
      <c r="AM26" t="s">
        <v>106</v>
      </c>
      <c r="AN26" t="s">
        <v>106</v>
      </c>
      <c r="AO26" t="s">
        <v>106</v>
      </c>
      <c r="AP26" t="s">
        <v>106</v>
      </c>
      <c r="AQ26" t="s">
        <v>106</v>
      </c>
      <c r="AR26" t="s">
        <v>106</v>
      </c>
      <c r="AS26" t="s">
        <v>106</v>
      </c>
      <c r="AT26" t="s">
        <v>106</v>
      </c>
      <c r="AU26" t="s">
        <v>106</v>
      </c>
      <c r="AV26" t="s">
        <v>106</v>
      </c>
      <c r="AW26" t="s">
        <v>106</v>
      </c>
      <c r="AX26" t="s">
        <v>106</v>
      </c>
      <c r="AY26" t="s">
        <v>106</v>
      </c>
      <c r="AZ26" t="s">
        <v>106</v>
      </c>
      <c r="BA26" t="s">
        <v>106</v>
      </c>
      <c r="BB26" t="s">
        <v>106</v>
      </c>
      <c r="BC26" t="s">
        <v>106</v>
      </c>
      <c r="BD26" t="s">
        <v>106</v>
      </c>
      <c r="BE26" t="s">
        <v>106</v>
      </c>
      <c r="BF26" t="s">
        <v>106</v>
      </c>
      <c r="BG26" t="s">
        <v>106</v>
      </c>
      <c r="BH26" t="s">
        <v>106</v>
      </c>
      <c r="BI26" t="s">
        <v>106</v>
      </c>
      <c r="BJ26" t="s">
        <v>106</v>
      </c>
      <c r="BK26" t="s">
        <v>106</v>
      </c>
      <c r="BL26">
        <v>-4.3</v>
      </c>
      <c r="BM26" t="s">
        <v>106</v>
      </c>
    </row>
    <row r="27" spans="1:65">
      <c r="B27" t="s">
        <v>130</v>
      </c>
      <c r="C27" t="s">
        <v>105</v>
      </c>
      <c r="D27" t="s">
        <v>105</v>
      </c>
      <c r="E27" t="s">
        <v>105</v>
      </c>
      <c r="F27" t="s">
        <v>106</v>
      </c>
      <c r="G27" t="s">
        <v>106</v>
      </c>
      <c r="H27" t="s">
        <v>106</v>
      </c>
      <c r="I27" t="s">
        <v>106</v>
      </c>
      <c r="J27" t="s">
        <v>106</v>
      </c>
      <c r="K27" t="s">
        <v>106</v>
      </c>
      <c r="L27" t="s">
        <v>106</v>
      </c>
      <c r="M27" t="s">
        <v>106</v>
      </c>
      <c r="N27" t="s">
        <v>106</v>
      </c>
      <c r="O27" t="s">
        <v>106</v>
      </c>
      <c r="P27" t="s">
        <v>106</v>
      </c>
      <c r="Q27" t="s">
        <v>106</v>
      </c>
      <c r="R27" t="s">
        <v>106</v>
      </c>
      <c r="S27" t="s">
        <v>106</v>
      </c>
      <c r="T27" t="s">
        <v>106</v>
      </c>
      <c r="U27">
        <v>-149963.9</v>
      </c>
      <c r="V27">
        <v>-46487.5</v>
      </c>
      <c r="W27">
        <v>-0.3</v>
      </c>
      <c r="X27">
        <v>149.1</v>
      </c>
      <c r="Y27">
        <v>3590.9</v>
      </c>
      <c r="Z27">
        <v>1419.5</v>
      </c>
      <c r="AA27">
        <v>2212.1</v>
      </c>
      <c r="AB27">
        <v>23277.3</v>
      </c>
      <c r="AC27" t="s">
        <v>106</v>
      </c>
      <c r="AD27" t="s">
        <v>106</v>
      </c>
      <c r="AE27">
        <v>19305.7</v>
      </c>
      <c r="AF27">
        <v>6437.8</v>
      </c>
      <c r="AG27">
        <v>50450.1</v>
      </c>
      <c r="AH27">
        <v>147.1</v>
      </c>
      <c r="AI27">
        <v>9.9</v>
      </c>
      <c r="AJ27">
        <v>12344.8</v>
      </c>
      <c r="AK27">
        <v>38540.5</v>
      </c>
      <c r="AL27">
        <v>437.7</v>
      </c>
      <c r="AM27">
        <v>4845.8999999999996</v>
      </c>
      <c r="AN27">
        <v>2880.4</v>
      </c>
      <c r="AO27">
        <v>29.1</v>
      </c>
      <c r="AP27">
        <v>538.4</v>
      </c>
      <c r="AQ27">
        <v>6048.9</v>
      </c>
      <c r="AR27" t="s">
        <v>106</v>
      </c>
      <c r="AS27" t="s">
        <v>106</v>
      </c>
      <c r="AT27" t="s">
        <v>106</v>
      </c>
      <c r="AU27" t="s">
        <v>106</v>
      </c>
      <c r="AV27" t="s">
        <v>106</v>
      </c>
      <c r="AW27" t="s">
        <v>106</v>
      </c>
      <c r="AX27" t="s">
        <v>106</v>
      </c>
      <c r="AY27" t="s">
        <v>106</v>
      </c>
      <c r="AZ27" t="s">
        <v>106</v>
      </c>
      <c r="BA27" t="s">
        <v>106</v>
      </c>
      <c r="BB27" t="s">
        <v>106</v>
      </c>
      <c r="BC27" t="s">
        <v>106</v>
      </c>
      <c r="BD27" t="s">
        <v>106</v>
      </c>
      <c r="BE27" t="s">
        <v>106</v>
      </c>
      <c r="BF27" t="s">
        <v>106</v>
      </c>
      <c r="BG27" t="s">
        <v>106</v>
      </c>
      <c r="BH27" t="s">
        <v>106</v>
      </c>
      <c r="BI27" t="s">
        <v>106</v>
      </c>
      <c r="BJ27" t="s">
        <v>106</v>
      </c>
      <c r="BK27" t="s">
        <v>106</v>
      </c>
      <c r="BL27">
        <v>-23786.6</v>
      </c>
      <c r="BM27" t="s">
        <v>106</v>
      </c>
    </row>
    <row r="28" spans="1:65">
      <c r="B28" t="s">
        <v>131</v>
      </c>
      <c r="C28" t="s">
        <v>105</v>
      </c>
      <c r="D28" t="s">
        <v>105</v>
      </c>
      <c r="E28" t="s">
        <v>105</v>
      </c>
      <c r="F28" t="s">
        <v>106</v>
      </c>
      <c r="G28" t="s">
        <v>106</v>
      </c>
      <c r="H28" t="s">
        <v>106</v>
      </c>
      <c r="I28" t="s">
        <v>106</v>
      </c>
      <c r="J28" t="s">
        <v>106</v>
      </c>
      <c r="K28" t="s">
        <v>106</v>
      </c>
      <c r="L28" t="s">
        <v>106</v>
      </c>
      <c r="M28" t="s">
        <v>106</v>
      </c>
      <c r="N28" t="s">
        <v>106</v>
      </c>
      <c r="O28" t="s">
        <v>106</v>
      </c>
      <c r="P28" t="s">
        <v>106</v>
      </c>
      <c r="Q28" t="s">
        <v>106</v>
      </c>
      <c r="R28" t="s">
        <v>106</v>
      </c>
      <c r="S28" t="s">
        <v>106</v>
      </c>
      <c r="T28" t="s">
        <v>106</v>
      </c>
      <c r="U28" t="s">
        <v>106</v>
      </c>
      <c r="V28">
        <v>19880.900000000001</v>
      </c>
      <c r="W28" t="s">
        <v>106</v>
      </c>
      <c r="X28">
        <v>-156.80000000000001</v>
      </c>
      <c r="Y28">
        <v>-59.6</v>
      </c>
      <c r="Z28">
        <v>-1042.8</v>
      </c>
      <c r="AA28">
        <v>-268.5</v>
      </c>
      <c r="AB28" t="s">
        <v>106</v>
      </c>
      <c r="AC28" t="s">
        <v>106</v>
      </c>
      <c r="AD28" t="s">
        <v>106</v>
      </c>
      <c r="AE28" t="s">
        <v>106</v>
      </c>
      <c r="AF28" t="s">
        <v>106</v>
      </c>
      <c r="AG28" t="s">
        <v>106</v>
      </c>
      <c r="AH28" t="s">
        <v>106</v>
      </c>
      <c r="AI28" t="s">
        <v>106</v>
      </c>
      <c r="AJ28" t="s">
        <v>106</v>
      </c>
      <c r="AK28">
        <v>-11258.4</v>
      </c>
      <c r="AL28" t="s">
        <v>106</v>
      </c>
      <c r="AM28" t="s">
        <v>106</v>
      </c>
      <c r="AN28" t="s">
        <v>106</v>
      </c>
      <c r="AO28" t="s">
        <v>106</v>
      </c>
      <c r="AP28" t="s">
        <v>106</v>
      </c>
      <c r="AQ28" t="s">
        <v>106</v>
      </c>
      <c r="AR28" t="s">
        <v>106</v>
      </c>
      <c r="AS28" t="s">
        <v>106</v>
      </c>
      <c r="AT28" t="s">
        <v>106</v>
      </c>
      <c r="AU28" t="s">
        <v>106</v>
      </c>
      <c r="AV28" t="s">
        <v>106</v>
      </c>
      <c r="AW28" t="s">
        <v>106</v>
      </c>
      <c r="AX28" t="s">
        <v>106</v>
      </c>
      <c r="AY28" t="s">
        <v>106</v>
      </c>
      <c r="AZ28" t="s">
        <v>106</v>
      </c>
      <c r="BA28" t="s">
        <v>106</v>
      </c>
      <c r="BB28" t="s">
        <v>106</v>
      </c>
      <c r="BC28" t="s">
        <v>106</v>
      </c>
      <c r="BD28" t="s">
        <v>106</v>
      </c>
      <c r="BE28" t="s">
        <v>106</v>
      </c>
      <c r="BF28" t="s">
        <v>106</v>
      </c>
      <c r="BG28" t="s">
        <v>106</v>
      </c>
      <c r="BH28" t="s">
        <v>106</v>
      </c>
      <c r="BI28" t="s">
        <v>106</v>
      </c>
      <c r="BJ28" t="s">
        <v>106</v>
      </c>
      <c r="BK28" t="s">
        <v>106</v>
      </c>
      <c r="BL28">
        <v>7094.8</v>
      </c>
      <c r="BM28" t="s">
        <v>106</v>
      </c>
    </row>
    <row r="29" spans="1:65">
      <c r="B29" t="s">
        <v>132</v>
      </c>
      <c r="C29" t="s">
        <v>105</v>
      </c>
      <c r="D29" t="s">
        <v>105</v>
      </c>
      <c r="E29" t="s">
        <v>105</v>
      </c>
      <c r="F29" t="s">
        <v>106</v>
      </c>
      <c r="G29" t="s">
        <v>106</v>
      </c>
      <c r="H29" t="s">
        <v>106</v>
      </c>
      <c r="I29" t="s">
        <v>106</v>
      </c>
      <c r="J29" t="s">
        <v>106</v>
      </c>
      <c r="K29" t="s">
        <v>106</v>
      </c>
      <c r="L29" t="s">
        <v>106</v>
      </c>
      <c r="M29" t="s">
        <v>106</v>
      </c>
      <c r="N29" t="s">
        <v>106</v>
      </c>
      <c r="O29" t="s">
        <v>106</v>
      </c>
      <c r="P29" t="s">
        <v>106</v>
      </c>
      <c r="Q29" t="s">
        <v>106</v>
      </c>
      <c r="R29" t="s">
        <v>106</v>
      </c>
      <c r="S29">
        <v>-23712.2</v>
      </c>
      <c r="T29">
        <v>23971.5</v>
      </c>
      <c r="U29" t="s">
        <v>106</v>
      </c>
      <c r="V29" t="s">
        <v>106</v>
      </c>
      <c r="W29" t="s">
        <v>106</v>
      </c>
      <c r="X29" t="s">
        <v>106</v>
      </c>
      <c r="Y29" t="s">
        <v>106</v>
      </c>
      <c r="Z29">
        <v>-259.2</v>
      </c>
      <c r="AA29" t="s">
        <v>106</v>
      </c>
      <c r="AB29" t="s">
        <v>106</v>
      </c>
      <c r="AC29" t="s">
        <v>106</v>
      </c>
      <c r="AD29" t="s">
        <v>106</v>
      </c>
      <c r="AE29" t="s">
        <v>106</v>
      </c>
      <c r="AF29" t="s">
        <v>106</v>
      </c>
      <c r="AG29" t="s">
        <v>106</v>
      </c>
      <c r="AH29" t="s">
        <v>106</v>
      </c>
      <c r="AI29" t="s">
        <v>106</v>
      </c>
      <c r="AJ29" t="s">
        <v>106</v>
      </c>
      <c r="AK29" t="s">
        <v>106</v>
      </c>
      <c r="AL29" t="s">
        <v>106</v>
      </c>
      <c r="AM29" t="s">
        <v>106</v>
      </c>
      <c r="AN29" t="s">
        <v>106</v>
      </c>
      <c r="AO29" t="s">
        <v>106</v>
      </c>
      <c r="AP29" t="s">
        <v>106</v>
      </c>
      <c r="AQ29" t="s">
        <v>106</v>
      </c>
      <c r="AR29" t="s">
        <v>106</v>
      </c>
      <c r="AS29" t="s">
        <v>106</v>
      </c>
      <c r="AT29" t="s">
        <v>106</v>
      </c>
      <c r="AU29" t="s">
        <v>106</v>
      </c>
      <c r="AV29" t="s">
        <v>106</v>
      </c>
      <c r="AW29" t="s">
        <v>106</v>
      </c>
      <c r="AX29" t="s">
        <v>106</v>
      </c>
      <c r="AY29" t="s">
        <v>106</v>
      </c>
      <c r="AZ29" t="s">
        <v>106</v>
      </c>
      <c r="BA29" t="s">
        <v>106</v>
      </c>
      <c r="BB29" t="s">
        <v>106</v>
      </c>
      <c r="BC29" t="s">
        <v>106</v>
      </c>
      <c r="BD29" t="s">
        <v>106</v>
      </c>
      <c r="BE29" t="s">
        <v>106</v>
      </c>
      <c r="BF29" t="s">
        <v>106</v>
      </c>
      <c r="BG29" t="s">
        <v>106</v>
      </c>
      <c r="BH29" t="s">
        <v>106</v>
      </c>
      <c r="BI29" t="s">
        <v>106</v>
      </c>
      <c r="BJ29" t="s">
        <v>106</v>
      </c>
      <c r="BK29" t="s">
        <v>106</v>
      </c>
      <c r="BL29">
        <v>0</v>
      </c>
      <c r="BM29" t="s">
        <v>106</v>
      </c>
    </row>
    <row r="30" spans="1:65">
      <c r="B30" t="s">
        <v>133</v>
      </c>
      <c r="C30" t="s">
        <v>105</v>
      </c>
      <c r="D30" t="s">
        <v>105</v>
      </c>
      <c r="E30" t="s">
        <v>105</v>
      </c>
      <c r="F30" t="s">
        <v>106</v>
      </c>
      <c r="G30" t="s">
        <v>106</v>
      </c>
      <c r="H30" t="s">
        <v>106</v>
      </c>
      <c r="I30">
        <v>-170.6</v>
      </c>
      <c r="J30" t="s">
        <v>106</v>
      </c>
      <c r="K30" t="s">
        <v>106</v>
      </c>
      <c r="L30" t="s">
        <v>106</v>
      </c>
      <c r="M30" t="s">
        <v>106</v>
      </c>
      <c r="N30" t="s">
        <v>106</v>
      </c>
      <c r="O30" t="s">
        <v>106</v>
      </c>
      <c r="P30" t="s">
        <v>106</v>
      </c>
      <c r="Q30" t="s">
        <v>106</v>
      </c>
      <c r="R30">
        <v>212.3</v>
      </c>
      <c r="S30" t="s">
        <v>106</v>
      </c>
      <c r="T30" t="s">
        <v>106</v>
      </c>
      <c r="U30" t="s">
        <v>106</v>
      </c>
      <c r="V30" t="s">
        <v>106</v>
      </c>
      <c r="W30" t="s">
        <v>106</v>
      </c>
      <c r="X30" t="s">
        <v>106</v>
      </c>
      <c r="Y30" t="s">
        <v>106</v>
      </c>
      <c r="Z30" t="s">
        <v>106</v>
      </c>
      <c r="AA30" t="s">
        <v>106</v>
      </c>
      <c r="AB30" t="s">
        <v>106</v>
      </c>
      <c r="AC30" t="s">
        <v>106</v>
      </c>
      <c r="AD30" t="s">
        <v>106</v>
      </c>
      <c r="AE30" t="s">
        <v>106</v>
      </c>
      <c r="AF30" t="s">
        <v>106</v>
      </c>
      <c r="AG30" t="s">
        <v>106</v>
      </c>
      <c r="AH30" t="s">
        <v>106</v>
      </c>
      <c r="AI30" t="s">
        <v>106</v>
      </c>
      <c r="AJ30" t="s">
        <v>106</v>
      </c>
      <c r="AK30" t="s">
        <v>106</v>
      </c>
      <c r="AL30" t="s">
        <v>106</v>
      </c>
      <c r="AM30" t="s">
        <v>106</v>
      </c>
      <c r="AN30" t="s">
        <v>106</v>
      </c>
      <c r="AO30" t="s">
        <v>106</v>
      </c>
      <c r="AP30" t="s">
        <v>106</v>
      </c>
      <c r="AQ30" t="s">
        <v>106</v>
      </c>
      <c r="AR30" t="s">
        <v>106</v>
      </c>
      <c r="AS30" t="s">
        <v>106</v>
      </c>
      <c r="AT30" t="s">
        <v>106</v>
      </c>
      <c r="AU30" t="s">
        <v>106</v>
      </c>
      <c r="AV30" t="s">
        <v>106</v>
      </c>
      <c r="AW30" t="s">
        <v>106</v>
      </c>
      <c r="AX30" t="s">
        <v>106</v>
      </c>
      <c r="AY30" t="s">
        <v>106</v>
      </c>
      <c r="AZ30" t="s">
        <v>106</v>
      </c>
      <c r="BA30" t="s">
        <v>106</v>
      </c>
      <c r="BB30" t="s">
        <v>106</v>
      </c>
      <c r="BC30" t="s">
        <v>106</v>
      </c>
      <c r="BD30" t="s">
        <v>106</v>
      </c>
      <c r="BE30" t="s">
        <v>106</v>
      </c>
      <c r="BF30" t="s">
        <v>106</v>
      </c>
      <c r="BG30" t="s">
        <v>106</v>
      </c>
      <c r="BH30" t="s">
        <v>106</v>
      </c>
      <c r="BI30" t="s">
        <v>106</v>
      </c>
      <c r="BJ30" t="s">
        <v>106</v>
      </c>
      <c r="BK30" t="s">
        <v>106</v>
      </c>
      <c r="BL30">
        <v>41.7</v>
      </c>
      <c r="BM30">
        <v>212.3</v>
      </c>
    </row>
    <row r="31" spans="1:65">
      <c r="B31" t="s">
        <v>134</v>
      </c>
      <c r="C31" t="s">
        <v>105</v>
      </c>
      <c r="D31" t="s">
        <v>105</v>
      </c>
      <c r="E31" t="s">
        <v>105</v>
      </c>
      <c r="F31" t="s">
        <v>106</v>
      </c>
      <c r="G31" t="s">
        <v>106</v>
      </c>
      <c r="H31" t="s">
        <v>106</v>
      </c>
      <c r="I31" t="s">
        <v>106</v>
      </c>
      <c r="J31" t="s">
        <v>106</v>
      </c>
      <c r="K31" t="s">
        <v>106</v>
      </c>
      <c r="L31" t="s">
        <v>106</v>
      </c>
      <c r="M31" t="s">
        <v>106</v>
      </c>
      <c r="N31" t="s">
        <v>106</v>
      </c>
      <c r="O31" t="s">
        <v>106</v>
      </c>
      <c r="P31" t="s">
        <v>106</v>
      </c>
      <c r="Q31" t="s">
        <v>106</v>
      </c>
      <c r="R31" t="s">
        <v>106</v>
      </c>
      <c r="S31" t="s">
        <v>106</v>
      </c>
      <c r="T31">
        <v>-921.1</v>
      </c>
      <c r="U31" t="s">
        <v>106</v>
      </c>
      <c r="V31" t="s">
        <v>106</v>
      </c>
      <c r="W31" t="s">
        <v>106</v>
      </c>
      <c r="X31" t="s">
        <v>106</v>
      </c>
      <c r="Y31" t="s">
        <v>106</v>
      </c>
      <c r="Z31" t="s">
        <v>106</v>
      </c>
      <c r="AA31" t="s">
        <v>106</v>
      </c>
      <c r="AB31" t="s">
        <v>106</v>
      </c>
      <c r="AC31" t="s">
        <v>106</v>
      </c>
      <c r="AD31" t="s">
        <v>106</v>
      </c>
      <c r="AE31" t="s">
        <v>106</v>
      </c>
      <c r="AF31" t="s">
        <v>106</v>
      </c>
      <c r="AG31" t="s">
        <v>106</v>
      </c>
      <c r="AH31" t="s">
        <v>106</v>
      </c>
      <c r="AI31" t="s">
        <v>106</v>
      </c>
      <c r="AJ31" t="s">
        <v>106</v>
      </c>
      <c r="AK31" t="s">
        <v>106</v>
      </c>
      <c r="AL31" t="s">
        <v>106</v>
      </c>
      <c r="AM31" t="s">
        <v>106</v>
      </c>
      <c r="AN31" t="s">
        <v>106</v>
      </c>
      <c r="AO31" t="s">
        <v>106</v>
      </c>
      <c r="AP31" t="s">
        <v>106</v>
      </c>
      <c r="AQ31" t="s">
        <v>106</v>
      </c>
      <c r="AR31" t="s">
        <v>106</v>
      </c>
      <c r="AS31" t="s">
        <v>106</v>
      </c>
      <c r="AT31" t="s">
        <v>106</v>
      </c>
      <c r="AU31" t="s">
        <v>106</v>
      </c>
      <c r="AV31" t="s">
        <v>106</v>
      </c>
      <c r="AW31" t="s">
        <v>106</v>
      </c>
      <c r="AX31" t="s">
        <v>106</v>
      </c>
      <c r="AY31" t="s">
        <v>106</v>
      </c>
      <c r="AZ31" t="s">
        <v>106</v>
      </c>
      <c r="BA31" t="s">
        <v>106</v>
      </c>
      <c r="BB31" t="s">
        <v>106</v>
      </c>
      <c r="BC31" t="s">
        <v>106</v>
      </c>
      <c r="BD31" t="s">
        <v>106</v>
      </c>
      <c r="BE31" t="s">
        <v>106</v>
      </c>
      <c r="BF31" t="s">
        <v>106</v>
      </c>
      <c r="BG31" t="s">
        <v>106</v>
      </c>
      <c r="BH31" t="s">
        <v>106</v>
      </c>
      <c r="BI31">
        <v>1334.3</v>
      </c>
      <c r="BJ31" t="s">
        <v>106</v>
      </c>
      <c r="BK31" t="s">
        <v>106</v>
      </c>
      <c r="BL31">
        <v>413.2</v>
      </c>
      <c r="BM31">
        <v>1334.3</v>
      </c>
    </row>
    <row r="32" spans="1:65">
      <c r="A32" t="s">
        <v>135</v>
      </c>
      <c r="B32" t="s">
        <v>105</v>
      </c>
      <c r="C32" t="s">
        <v>105</v>
      </c>
      <c r="D32" t="s">
        <v>105</v>
      </c>
      <c r="E32" t="s">
        <v>105</v>
      </c>
      <c r="F32" t="s">
        <v>106</v>
      </c>
      <c r="G32" t="s">
        <v>106</v>
      </c>
      <c r="H32" t="s">
        <v>106</v>
      </c>
      <c r="I32" t="s">
        <v>106</v>
      </c>
      <c r="J32" t="s">
        <v>106</v>
      </c>
      <c r="K32" t="s">
        <v>106</v>
      </c>
      <c r="L32" t="s">
        <v>106</v>
      </c>
      <c r="M32" t="s">
        <v>106</v>
      </c>
      <c r="N32" t="s">
        <v>106</v>
      </c>
      <c r="O32" t="s">
        <v>106</v>
      </c>
      <c r="P32">
        <v>-931.6</v>
      </c>
      <c r="Q32">
        <v>-2214.5</v>
      </c>
      <c r="R32">
        <v>-33.9</v>
      </c>
      <c r="S32">
        <v>-1511.3</v>
      </c>
      <c r="T32">
        <v>-581.6</v>
      </c>
      <c r="U32" t="s">
        <v>106</v>
      </c>
      <c r="V32">
        <v>-91.9</v>
      </c>
      <c r="W32" t="s">
        <v>106</v>
      </c>
      <c r="X32" t="s">
        <v>106</v>
      </c>
      <c r="Y32">
        <v>-2932</v>
      </c>
      <c r="Z32">
        <v>-227.5</v>
      </c>
      <c r="AA32">
        <v>-16.5</v>
      </c>
      <c r="AB32">
        <v>-0.3</v>
      </c>
      <c r="AC32" t="s">
        <v>106</v>
      </c>
      <c r="AD32" t="s">
        <v>106</v>
      </c>
      <c r="AE32">
        <v>-0.4</v>
      </c>
      <c r="AF32">
        <v>-2.5</v>
      </c>
      <c r="AG32">
        <v>-354.2</v>
      </c>
      <c r="AH32">
        <v>0</v>
      </c>
      <c r="AI32">
        <v>0</v>
      </c>
      <c r="AJ32">
        <v>-15.9</v>
      </c>
      <c r="AK32" t="s">
        <v>106</v>
      </c>
      <c r="AL32" t="s">
        <v>106</v>
      </c>
      <c r="AM32" t="s">
        <v>106</v>
      </c>
      <c r="AN32" t="s">
        <v>106</v>
      </c>
      <c r="AO32" t="s">
        <v>106</v>
      </c>
      <c r="AP32" t="s">
        <v>106</v>
      </c>
      <c r="AQ32" t="s">
        <v>106</v>
      </c>
      <c r="AR32" t="s">
        <v>106</v>
      </c>
      <c r="AS32" t="s">
        <v>106</v>
      </c>
      <c r="AT32" t="s">
        <v>106</v>
      </c>
      <c r="AU32" t="s">
        <v>106</v>
      </c>
      <c r="AV32" t="s">
        <v>106</v>
      </c>
      <c r="AW32" t="s">
        <v>106</v>
      </c>
      <c r="AX32" t="s">
        <v>106</v>
      </c>
      <c r="AY32" t="s">
        <v>106</v>
      </c>
      <c r="AZ32" t="s">
        <v>106</v>
      </c>
      <c r="BA32" t="s">
        <v>106</v>
      </c>
      <c r="BB32" t="s">
        <v>106</v>
      </c>
      <c r="BC32" t="s">
        <v>106</v>
      </c>
      <c r="BD32" t="s">
        <v>106</v>
      </c>
      <c r="BE32" t="s">
        <v>106</v>
      </c>
      <c r="BF32" t="s">
        <v>106</v>
      </c>
      <c r="BG32" t="s">
        <v>106</v>
      </c>
      <c r="BH32" t="s">
        <v>106</v>
      </c>
      <c r="BI32" t="s">
        <v>106</v>
      </c>
      <c r="BJ32">
        <v>-3180.5</v>
      </c>
      <c r="BK32">
        <v>-177.7</v>
      </c>
      <c r="BL32">
        <v>-12272.4</v>
      </c>
      <c r="BM32" t="s">
        <v>106</v>
      </c>
    </row>
    <row r="33" spans="1:65">
      <c r="B33" t="s">
        <v>136</v>
      </c>
      <c r="C33" t="s">
        <v>105</v>
      </c>
      <c r="D33" t="s">
        <v>105</v>
      </c>
      <c r="E33" t="s">
        <v>105</v>
      </c>
      <c r="F33" t="s">
        <v>106</v>
      </c>
      <c r="G33" t="s">
        <v>106</v>
      </c>
      <c r="H33" t="s">
        <v>106</v>
      </c>
      <c r="I33" t="s">
        <v>106</v>
      </c>
      <c r="J33" t="s">
        <v>106</v>
      </c>
      <c r="K33" t="s">
        <v>106</v>
      </c>
      <c r="L33" t="s">
        <v>106</v>
      </c>
      <c r="M33" t="s">
        <v>106</v>
      </c>
      <c r="N33" t="s">
        <v>106</v>
      </c>
      <c r="O33" t="s">
        <v>106</v>
      </c>
      <c r="P33" t="s">
        <v>106</v>
      </c>
      <c r="Q33" t="s">
        <v>106</v>
      </c>
      <c r="R33" t="s">
        <v>106</v>
      </c>
      <c r="S33" t="s">
        <v>106</v>
      </c>
      <c r="T33" t="s">
        <v>106</v>
      </c>
      <c r="U33" t="s">
        <v>106</v>
      </c>
      <c r="V33" t="s">
        <v>106</v>
      </c>
      <c r="W33" t="s">
        <v>106</v>
      </c>
      <c r="X33" t="s">
        <v>106</v>
      </c>
      <c r="Y33" t="s">
        <v>106</v>
      </c>
      <c r="Z33" t="s">
        <v>106</v>
      </c>
      <c r="AA33" t="s">
        <v>106</v>
      </c>
      <c r="AB33">
        <v>0</v>
      </c>
      <c r="AC33" t="s">
        <v>106</v>
      </c>
      <c r="AD33" t="s">
        <v>106</v>
      </c>
      <c r="AE33" t="s">
        <v>106</v>
      </c>
      <c r="AF33">
        <v>-0.2</v>
      </c>
      <c r="AG33">
        <v>-13.9</v>
      </c>
      <c r="AH33" t="s">
        <v>106</v>
      </c>
      <c r="AI33" t="s">
        <v>106</v>
      </c>
      <c r="AJ33">
        <v>-0.4</v>
      </c>
      <c r="AK33" t="s">
        <v>106</v>
      </c>
      <c r="AL33" t="s">
        <v>106</v>
      </c>
      <c r="AM33" t="s">
        <v>106</v>
      </c>
      <c r="AN33" t="s">
        <v>106</v>
      </c>
      <c r="AO33" t="s">
        <v>106</v>
      </c>
      <c r="AP33" t="s">
        <v>106</v>
      </c>
      <c r="AQ33" t="s">
        <v>106</v>
      </c>
      <c r="AR33" t="s">
        <v>106</v>
      </c>
      <c r="AS33" t="s">
        <v>106</v>
      </c>
      <c r="AT33" t="s">
        <v>106</v>
      </c>
      <c r="AU33" t="s">
        <v>106</v>
      </c>
      <c r="AV33" t="s">
        <v>106</v>
      </c>
      <c r="AW33" t="s">
        <v>106</v>
      </c>
      <c r="AX33" t="s">
        <v>106</v>
      </c>
      <c r="AY33" t="s">
        <v>106</v>
      </c>
      <c r="AZ33" t="s">
        <v>106</v>
      </c>
      <c r="BA33" t="s">
        <v>106</v>
      </c>
      <c r="BB33" t="s">
        <v>106</v>
      </c>
      <c r="BC33" t="s">
        <v>106</v>
      </c>
      <c r="BD33" t="s">
        <v>106</v>
      </c>
      <c r="BE33" t="s">
        <v>106</v>
      </c>
      <c r="BF33" t="s">
        <v>106</v>
      </c>
      <c r="BG33" t="s">
        <v>106</v>
      </c>
      <c r="BH33" t="s">
        <v>106</v>
      </c>
      <c r="BI33" t="s">
        <v>106</v>
      </c>
      <c r="BJ33" t="s">
        <v>106</v>
      </c>
      <c r="BK33" t="s">
        <v>106</v>
      </c>
      <c r="BL33">
        <v>-14.5</v>
      </c>
      <c r="BM33" t="s">
        <v>106</v>
      </c>
    </row>
    <row r="34" spans="1:65">
      <c r="B34" t="s">
        <v>137</v>
      </c>
      <c r="C34" t="s">
        <v>105</v>
      </c>
      <c r="D34" t="s">
        <v>105</v>
      </c>
      <c r="E34" t="s">
        <v>105</v>
      </c>
      <c r="F34" t="s">
        <v>106</v>
      </c>
      <c r="G34" t="s">
        <v>106</v>
      </c>
      <c r="H34" t="s">
        <v>106</v>
      </c>
      <c r="I34" t="s">
        <v>106</v>
      </c>
      <c r="J34" t="s">
        <v>106</v>
      </c>
      <c r="K34" t="s">
        <v>106</v>
      </c>
      <c r="L34" t="s">
        <v>106</v>
      </c>
      <c r="M34" t="s">
        <v>106</v>
      </c>
      <c r="N34" t="s">
        <v>106</v>
      </c>
      <c r="O34" t="s">
        <v>106</v>
      </c>
      <c r="P34" t="s">
        <v>106</v>
      </c>
      <c r="Q34" t="s">
        <v>106</v>
      </c>
      <c r="R34" t="s">
        <v>106</v>
      </c>
      <c r="S34" t="s">
        <v>106</v>
      </c>
      <c r="T34" t="s">
        <v>106</v>
      </c>
      <c r="U34" t="s">
        <v>106</v>
      </c>
      <c r="V34" t="s">
        <v>106</v>
      </c>
      <c r="W34" t="s">
        <v>106</v>
      </c>
      <c r="X34" t="s">
        <v>106</v>
      </c>
      <c r="Y34" t="s">
        <v>106</v>
      </c>
      <c r="Z34" t="s">
        <v>106</v>
      </c>
      <c r="AA34" t="s">
        <v>106</v>
      </c>
      <c r="AB34" t="s">
        <v>106</v>
      </c>
      <c r="AC34" t="s">
        <v>106</v>
      </c>
      <c r="AD34" t="s">
        <v>106</v>
      </c>
      <c r="AE34" t="s">
        <v>106</v>
      </c>
      <c r="AF34" t="s">
        <v>106</v>
      </c>
      <c r="AG34" t="s">
        <v>106</v>
      </c>
      <c r="AH34" t="s">
        <v>106</v>
      </c>
      <c r="AI34" t="s">
        <v>106</v>
      </c>
      <c r="AJ34" t="s">
        <v>106</v>
      </c>
      <c r="AK34" t="s">
        <v>106</v>
      </c>
      <c r="AL34" t="s">
        <v>106</v>
      </c>
      <c r="AM34" t="s">
        <v>106</v>
      </c>
      <c r="AN34" t="s">
        <v>106</v>
      </c>
      <c r="AO34" t="s">
        <v>106</v>
      </c>
      <c r="AP34" t="s">
        <v>106</v>
      </c>
      <c r="AQ34" t="s">
        <v>106</v>
      </c>
      <c r="AR34" t="s">
        <v>106</v>
      </c>
      <c r="AS34" t="s">
        <v>106</v>
      </c>
      <c r="AT34" t="s">
        <v>106</v>
      </c>
      <c r="AU34" t="s">
        <v>106</v>
      </c>
      <c r="AV34" t="s">
        <v>106</v>
      </c>
      <c r="AW34" t="s">
        <v>106</v>
      </c>
      <c r="AX34" t="s">
        <v>106</v>
      </c>
      <c r="AY34" t="s">
        <v>106</v>
      </c>
      <c r="AZ34" t="s">
        <v>106</v>
      </c>
      <c r="BA34" t="s">
        <v>106</v>
      </c>
      <c r="BB34" t="s">
        <v>106</v>
      </c>
      <c r="BC34" t="s">
        <v>106</v>
      </c>
      <c r="BD34" t="s">
        <v>106</v>
      </c>
      <c r="BE34" t="s">
        <v>106</v>
      </c>
      <c r="BF34" t="s">
        <v>106</v>
      </c>
      <c r="BG34" t="s">
        <v>106</v>
      </c>
      <c r="BH34" t="s">
        <v>106</v>
      </c>
      <c r="BI34" t="s">
        <v>106</v>
      </c>
      <c r="BJ34" t="s">
        <v>106</v>
      </c>
      <c r="BK34" t="s">
        <v>106</v>
      </c>
      <c r="BL34" t="s">
        <v>106</v>
      </c>
      <c r="BM34" t="s">
        <v>106</v>
      </c>
    </row>
    <row r="35" spans="1:65">
      <c r="B35" t="s">
        <v>138</v>
      </c>
      <c r="C35" t="s">
        <v>105</v>
      </c>
      <c r="D35" t="s">
        <v>105</v>
      </c>
      <c r="E35" t="s">
        <v>105</v>
      </c>
      <c r="F35" t="s">
        <v>106</v>
      </c>
      <c r="G35" t="s">
        <v>106</v>
      </c>
      <c r="H35" t="s">
        <v>106</v>
      </c>
      <c r="I35" t="s">
        <v>106</v>
      </c>
      <c r="J35" t="s">
        <v>106</v>
      </c>
      <c r="K35" t="s">
        <v>106</v>
      </c>
      <c r="L35" t="s">
        <v>106</v>
      </c>
      <c r="M35" t="s">
        <v>106</v>
      </c>
      <c r="N35" t="s">
        <v>106</v>
      </c>
      <c r="O35" t="s">
        <v>106</v>
      </c>
      <c r="P35" t="s">
        <v>106</v>
      </c>
      <c r="Q35" t="s">
        <v>106</v>
      </c>
      <c r="R35" t="s">
        <v>106</v>
      </c>
      <c r="S35" t="s">
        <v>106</v>
      </c>
      <c r="T35" t="s">
        <v>106</v>
      </c>
      <c r="U35" t="s">
        <v>106</v>
      </c>
      <c r="V35" t="s">
        <v>106</v>
      </c>
      <c r="W35" t="s">
        <v>106</v>
      </c>
      <c r="X35" t="s">
        <v>106</v>
      </c>
      <c r="Y35" t="s">
        <v>106</v>
      </c>
      <c r="Z35" t="s">
        <v>106</v>
      </c>
      <c r="AA35" t="s">
        <v>106</v>
      </c>
      <c r="AB35" t="s">
        <v>106</v>
      </c>
      <c r="AC35" t="s">
        <v>106</v>
      </c>
      <c r="AD35" t="s">
        <v>106</v>
      </c>
      <c r="AE35" t="s">
        <v>106</v>
      </c>
      <c r="AF35" t="s">
        <v>106</v>
      </c>
      <c r="AG35" t="s">
        <v>106</v>
      </c>
      <c r="AH35" t="s">
        <v>106</v>
      </c>
      <c r="AI35" t="s">
        <v>106</v>
      </c>
      <c r="AJ35" t="s">
        <v>106</v>
      </c>
      <c r="AK35" t="s">
        <v>106</v>
      </c>
      <c r="AL35" t="s">
        <v>106</v>
      </c>
      <c r="AM35" t="s">
        <v>106</v>
      </c>
      <c r="AN35" t="s">
        <v>106</v>
      </c>
      <c r="AO35" t="s">
        <v>106</v>
      </c>
      <c r="AP35" t="s">
        <v>106</v>
      </c>
      <c r="AQ35" t="s">
        <v>106</v>
      </c>
      <c r="AR35" t="s">
        <v>106</v>
      </c>
      <c r="AS35" t="s">
        <v>106</v>
      </c>
      <c r="AT35" t="s">
        <v>106</v>
      </c>
      <c r="AU35" t="s">
        <v>106</v>
      </c>
      <c r="AV35" t="s">
        <v>106</v>
      </c>
      <c r="AW35" t="s">
        <v>106</v>
      </c>
      <c r="AX35" t="s">
        <v>106</v>
      </c>
      <c r="AY35" t="s">
        <v>106</v>
      </c>
      <c r="AZ35" t="s">
        <v>106</v>
      </c>
      <c r="BA35" t="s">
        <v>106</v>
      </c>
      <c r="BB35" t="s">
        <v>106</v>
      </c>
      <c r="BC35" t="s">
        <v>106</v>
      </c>
      <c r="BD35" t="s">
        <v>106</v>
      </c>
      <c r="BE35" t="s">
        <v>106</v>
      </c>
      <c r="BF35" t="s">
        <v>106</v>
      </c>
      <c r="BG35" t="s">
        <v>106</v>
      </c>
      <c r="BH35" t="s">
        <v>106</v>
      </c>
      <c r="BI35" t="s">
        <v>106</v>
      </c>
      <c r="BJ35">
        <v>-1804</v>
      </c>
      <c r="BK35" t="s">
        <v>106</v>
      </c>
      <c r="BL35">
        <v>-1804</v>
      </c>
      <c r="BM35" t="s">
        <v>106</v>
      </c>
    </row>
    <row r="36" spans="1:65">
      <c r="B36" t="s">
        <v>139</v>
      </c>
      <c r="C36" t="s">
        <v>105</v>
      </c>
      <c r="D36" t="s">
        <v>105</v>
      </c>
      <c r="E36" t="s">
        <v>105</v>
      </c>
      <c r="F36" t="s">
        <v>106</v>
      </c>
      <c r="G36" t="s">
        <v>106</v>
      </c>
      <c r="H36" t="s">
        <v>106</v>
      </c>
      <c r="I36" t="s">
        <v>106</v>
      </c>
      <c r="J36" t="s">
        <v>106</v>
      </c>
      <c r="K36" t="s">
        <v>106</v>
      </c>
      <c r="L36" t="s">
        <v>106</v>
      </c>
      <c r="M36" t="s">
        <v>106</v>
      </c>
      <c r="N36" t="s">
        <v>106</v>
      </c>
      <c r="O36" t="s">
        <v>106</v>
      </c>
      <c r="P36" t="s">
        <v>106</v>
      </c>
      <c r="Q36" t="s">
        <v>106</v>
      </c>
      <c r="R36" t="s">
        <v>106</v>
      </c>
      <c r="S36" t="s">
        <v>106</v>
      </c>
      <c r="T36" t="s">
        <v>106</v>
      </c>
      <c r="U36" t="s">
        <v>106</v>
      </c>
      <c r="V36" t="s">
        <v>106</v>
      </c>
      <c r="W36" t="s">
        <v>106</v>
      </c>
      <c r="X36" t="s">
        <v>106</v>
      </c>
      <c r="Y36" t="s">
        <v>106</v>
      </c>
      <c r="Z36" t="s">
        <v>106</v>
      </c>
      <c r="AA36" t="s">
        <v>106</v>
      </c>
      <c r="AB36" t="s">
        <v>106</v>
      </c>
      <c r="AC36" t="s">
        <v>106</v>
      </c>
      <c r="AD36" t="s">
        <v>106</v>
      </c>
      <c r="AE36" t="s">
        <v>106</v>
      </c>
      <c r="AF36" t="s">
        <v>106</v>
      </c>
      <c r="AG36" t="s">
        <v>106</v>
      </c>
      <c r="AH36" t="s">
        <v>106</v>
      </c>
      <c r="AI36" t="s">
        <v>106</v>
      </c>
      <c r="AJ36" t="s">
        <v>106</v>
      </c>
      <c r="AK36" t="s">
        <v>106</v>
      </c>
      <c r="AL36" t="s">
        <v>106</v>
      </c>
      <c r="AM36" t="s">
        <v>106</v>
      </c>
      <c r="AN36" t="s">
        <v>106</v>
      </c>
      <c r="AO36" t="s">
        <v>106</v>
      </c>
      <c r="AP36" t="s">
        <v>106</v>
      </c>
      <c r="AQ36" t="s">
        <v>106</v>
      </c>
      <c r="AR36" t="s">
        <v>106</v>
      </c>
      <c r="AS36" t="s">
        <v>106</v>
      </c>
      <c r="AT36" t="s">
        <v>106</v>
      </c>
      <c r="AU36" t="s">
        <v>106</v>
      </c>
      <c r="AV36" t="s">
        <v>106</v>
      </c>
      <c r="AW36" t="s">
        <v>106</v>
      </c>
      <c r="AX36" t="s">
        <v>106</v>
      </c>
      <c r="AY36" t="s">
        <v>106</v>
      </c>
      <c r="AZ36" t="s">
        <v>106</v>
      </c>
      <c r="BA36" t="s">
        <v>106</v>
      </c>
      <c r="BB36" t="s">
        <v>106</v>
      </c>
      <c r="BC36" t="s">
        <v>106</v>
      </c>
      <c r="BD36" t="s">
        <v>106</v>
      </c>
      <c r="BE36" t="s">
        <v>106</v>
      </c>
      <c r="BF36" t="s">
        <v>106</v>
      </c>
      <c r="BG36" t="s">
        <v>106</v>
      </c>
      <c r="BH36" t="s">
        <v>106</v>
      </c>
      <c r="BI36" t="s">
        <v>106</v>
      </c>
      <c r="BJ36">
        <v>-98.1</v>
      </c>
      <c r="BK36" t="s">
        <v>106</v>
      </c>
      <c r="BL36">
        <v>-98.1</v>
      </c>
      <c r="BM36" t="s">
        <v>106</v>
      </c>
    </row>
    <row r="37" spans="1:65">
      <c r="B37" t="s">
        <v>140</v>
      </c>
      <c r="C37" t="s">
        <v>105</v>
      </c>
      <c r="D37" t="s">
        <v>105</v>
      </c>
      <c r="E37" t="s">
        <v>105</v>
      </c>
      <c r="F37" t="s">
        <v>106</v>
      </c>
      <c r="G37" t="s">
        <v>106</v>
      </c>
      <c r="H37" t="s">
        <v>106</v>
      </c>
      <c r="I37" t="s">
        <v>106</v>
      </c>
      <c r="J37" t="s">
        <v>106</v>
      </c>
      <c r="K37" t="s">
        <v>106</v>
      </c>
      <c r="L37" t="s">
        <v>106</v>
      </c>
      <c r="M37" t="s">
        <v>106</v>
      </c>
      <c r="N37" t="s">
        <v>106</v>
      </c>
      <c r="O37" t="s">
        <v>106</v>
      </c>
      <c r="P37">
        <v>-327.39999999999998</v>
      </c>
      <c r="Q37">
        <v>-1074.4000000000001</v>
      </c>
      <c r="R37">
        <v>-17.7</v>
      </c>
      <c r="S37" t="s">
        <v>106</v>
      </c>
      <c r="T37" t="s">
        <v>106</v>
      </c>
      <c r="U37" t="s">
        <v>106</v>
      </c>
      <c r="V37" t="s">
        <v>106</v>
      </c>
      <c r="W37" t="s">
        <v>106</v>
      </c>
      <c r="X37" t="s">
        <v>106</v>
      </c>
      <c r="Y37" t="s">
        <v>106</v>
      </c>
      <c r="Z37" t="s">
        <v>106</v>
      </c>
      <c r="AA37" t="s">
        <v>106</v>
      </c>
      <c r="AB37" t="s">
        <v>106</v>
      </c>
      <c r="AC37" t="s">
        <v>106</v>
      </c>
      <c r="AD37" t="s">
        <v>106</v>
      </c>
      <c r="AE37" t="s">
        <v>106</v>
      </c>
      <c r="AF37" t="s">
        <v>106</v>
      </c>
      <c r="AG37" t="s">
        <v>106</v>
      </c>
      <c r="AH37" t="s">
        <v>106</v>
      </c>
      <c r="AI37" t="s">
        <v>106</v>
      </c>
      <c r="AJ37" t="s">
        <v>106</v>
      </c>
      <c r="AK37" t="s">
        <v>106</v>
      </c>
      <c r="AL37" t="s">
        <v>106</v>
      </c>
      <c r="AM37" t="s">
        <v>106</v>
      </c>
      <c r="AN37" t="s">
        <v>106</v>
      </c>
      <c r="AO37" t="s">
        <v>106</v>
      </c>
      <c r="AP37" t="s">
        <v>106</v>
      </c>
      <c r="AQ37" t="s">
        <v>106</v>
      </c>
      <c r="AR37" t="s">
        <v>106</v>
      </c>
      <c r="AS37" t="s">
        <v>106</v>
      </c>
      <c r="AT37" t="s">
        <v>106</v>
      </c>
      <c r="AU37" t="s">
        <v>106</v>
      </c>
      <c r="AV37" t="s">
        <v>106</v>
      </c>
      <c r="AW37" t="s">
        <v>106</v>
      </c>
      <c r="AX37" t="s">
        <v>106</v>
      </c>
      <c r="AY37" t="s">
        <v>106</v>
      </c>
      <c r="AZ37" t="s">
        <v>106</v>
      </c>
      <c r="BA37" t="s">
        <v>106</v>
      </c>
      <c r="BB37" t="s">
        <v>106</v>
      </c>
      <c r="BC37" t="s">
        <v>106</v>
      </c>
      <c r="BD37" t="s">
        <v>106</v>
      </c>
      <c r="BE37" t="s">
        <v>106</v>
      </c>
      <c r="BF37" t="s">
        <v>106</v>
      </c>
      <c r="BG37" t="s">
        <v>106</v>
      </c>
      <c r="BH37" t="s">
        <v>106</v>
      </c>
      <c r="BI37" t="s">
        <v>106</v>
      </c>
      <c r="BJ37" t="s">
        <v>106</v>
      </c>
      <c r="BK37" t="s">
        <v>106</v>
      </c>
      <c r="BL37">
        <v>-1419.5</v>
      </c>
      <c r="BM37" t="s">
        <v>106</v>
      </c>
    </row>
    <row r="38" spans="1:65">
      <c r="B38" t="s">
        <v>141</v>
      </c>
      <c r="C38" t="s">
        <v>105</v>
      </c>
      <c r="D38" t="s">
        <v>105</v>
      </c>
      <c r="E38" t="s">
        <v>105</v>
      </c>
      <c r="F38" t="s">
        <v>106</v>
      </c>
      <c r="G38" t="s">
        <v>106</v>
      </c>
      <c r="H38" t="s">
        <v>106</v>
      </c>
      <c r="I38" t="s">
        <v>106</v>
      </c>
      <c r="J38" t="s">
        <v>106</v>
      </c>
      <c r="K38" t="s">
        <v>106</v>
      </c>
      <c r="L38" t="s">
        <v>106</v>
      </c>
      <c r="M38" t="s">
        <v>106</v>
      </c>
      <c r="N38" t="s">
        <v>106</v>
      </c>
      <c r="O38" t="s">
        <v>106</v>
      </c>
      <c r="P38">
        <v>-604.20000000000005</v>
      </c>
      <c r="Q38">
        <v>-1140.2</v>
      </c>
      <c r="R38">
        <v>-16.2</v>
      </c>
      <c r="S38" t="s">
        <v>106</v>
      </c>
      <c r="T38" t="s">
        <v>106</v>
      </c>
      <c r="U38" t="s">
        <v>106</v>
      </c>
      <c r="V38" t="s">
        <v>106</v>
      </c>
      <c r="W38" t="s">
        <v>106</v>
      </c>
      <c r="X38" t="s">
        <v>106</v>
      </c>
      <c r="Y38" t="s">
        <v>106</v>
      </c>
      <c r="Z38" t="s">
        <v>106</v>
      </c>
      <c r="AA38" t="s">
        <v>106</v>
      </c>
      <c r="AB38" t="s">
        <v>106</v>
      </c>
      <c r="AC38" t="s">
        <v>106</v>
      </c>
      <c r="AD38" t="s">
        <v>106</v>
      </c>
      <c r="AE38" t="s">
        <v>106</v>
      </c>
      <c r="AF38" t="s">
        <v>106</v>
      </c>
      <c r="AG38" t="s">
        <v>106</v>
      </c>
      <c r="AH38" t="s">
        <v>106</v>
      </c>
      <c r="AI38" t="s">
        <v>106</v>
      </c>
      <c r="AJ38" t="s">
        <v>106</v>
      </c>
      <c r="AK38" t="s">
        <v>106</v>
      </c>
      <c r="AL38" t="s">
        <v>106</v>
      </c>
      <c r="AM38" t="s">
        <v>106</v>
      </c>
      <c r="AN38" t="s">
        <v>106</v>
      </c>
      <c r="AO38" t="s">
        <v>106</v>
      </c>
      <c r="AP38" t="s">
        <v>106</v>
      </c>
      <c r="AQ38" t="s">
        <v>106</v>
      </c>
      <c r="AR38" t="s">
        <v>106</v>
      </c>
      <c r="AS38" t="s">
        <v>106</v>
      </c>
      <c r="AT38" t="s">
        <v>106</v>
      </c>
      <c r="AU38" t="s">
        <v>106</v>
      </c>
      <c r="AV38" t="s">
        <v>106</v>
      </c>
      <c r="AW38" t="s">
        <v>106</v>
      </c>
      <c r="AX38" t="s">
        <v>106</v>
      </c>
      <c r="AY38" t="s">
        <v>106</v>
      </c>
      <c r="AZ38" t="s">
        <v>106</v>
      </c>
      <c r="BA38" t="s">
        <v>106</v>
      </c>
      <c r="BB38" t="s">
        <v>106</v>
      </c>
      <c r="BC38" t="s">
        <v>106</v>
      </c>
      <c r="BD38" t="s">
        <v>106</v>
      </c>
      <c r="BE38" t="s">
        <v>106</v>
      </c>
      <c r="BF38" t="s">
        <v>106</v>
      </c>
      <c r="BG38" t="s">
        <v>106</v>
      </c>
      <c r="BH38" t="s">
        <v>106</v>
      </c>
      <c r="BI38" t="s">
        <v>106</v>
      </c>
      <c r="BJ38" t="s">
        <v>106</v>
      </c>
      <c r="BK38" t="s">
        <v>106</v>
      </c>
      <c r="BL38">
        <v>-1760.6</v>
      </c>
      <c r="BM38" t="s">
        <v>106</v>
      </c>
    </row>
    <row r="39" spans="1:65">
      <c r="B39" t="s">
        <v>142</v>
      </c>
      <c r="C39" t="s">
        <v>105</v>
      </c>
      <c r="D39" t="s">
        <v>105</v>
      </c>
      <c r="E39" t="s">
        <v>105</v>
      </c>
      <c r="F39" t="s">
        <v>106</v>
      </c>
      <c r="G39" t="s">
        <v>106</v>
      </c>
      <c r="H39" t="s">
        <v>106</v>
      </c>
      <c r="I39" t="s">
        <v>106</v>
      </c>
      <c r="J39" t="s">
        <v>106</v>
      </c>
      <c r="K39" t="s">
        <v>106</v>
      </c>
      <c r="L39" t="s">
        <v>106</v>
      </c>
      <c r="M39" t="s">
        <v>106</v>
      </c>
      <c r="N39" t="s">
        <v>106</v>
      </c>
      <c r="O39" t="s">
        <v>106</v>
      </c>
      <c r="P39" t="s">
        <v>106</v>
      </c>
      <c r="Q39" t="s">
        <v>106</v>
      </c>
      <c r="R39" t="s">
        <v>106</v>
      </c>
      <c r="S39" t="s">
        <v>106</v>
      </c>
      <c r="T39" t="s">
        <v>106</v>
      </c>
      <c r="U39" t="s">
        <v>106</v>
      </c>
      <c r="V39" t="s">
        <v>106</v>
      </c>
      <c r="W39" t="s">
        <v>106</v>
      </c>
      <c r="X39" t="s">
        <v>106</v>
      </c>
      <c r="Y39" t="s">
        <v>106</v>
      </c>
      <c r="Z39" t="s">
        <v>106</v>
      </c>
      <c r="AA39" t="s">
        <v>106</v>
      </c>
      <c r="AB39" t="s">
        <v>106</v>
      </c>
      <c r="AC39" t="s">
        <v>106</v>
      </c>
      <c r="AD39" t="s">
        <v>106</v>
      </c>
      <c r="AE39" t="s">
        <v>106</v>
      </c>
      <c r="AF39" t="s">
        <v>106</v>
      </c>
      <c r="AG39" t="s">
        <v>106</v>
      </c>
      <c r="AH39" t="s">
        <v>106</v>
      </c>
      <c r="AI39" t="s">
        <v>106</v>
      </c>
      <c r="AJ39" t="s">
        <v>106</v>
      </c>
      <c r="AK39" t="s">
        <v>106</v>
      </c>
      <c r="AL39" t="s">
        <v>106</v>
      </c>
      <c r="AM39" t="s">
        <v>106</v>
      </c>
      <c r="AN39" t="s">
        <v>106</v>
      </c>
      <c r="AO39" t="s">
        <v>106</v>
      </c>
      <c r="AP39" t="s">
        <v>106</v>
      </c>
      <c r="AQ39" t="s">
        <v>106</v>
      </c>
      <c r="AR39" t="s">
        <v>106</v>
      </c>
      <c r="AS39" t="s">
        <v>106</v>
      </c>
      <c r="AT39" t="s">
        <v>106</v>
      </c>
      <c r="AU39" t="s">
        <v>106</v>
      </c>
      <c r="AV39" t="s">
        <v>106</v>
      </c>
      <c r="AW39" t="s">
        <v>106</v>
      </c>
      <c r="AX39" t="s">
        <v>106</v>
      </c>
      <c r="AY39" t="s">
        <v>106</v>
      </c>
      <c r="AZ39" t="s">
        <v>106</v>
      </c>
      <c r="BA39" t="s">
        <v>106</v>
      </c>
      <c r="BB39" t="s">
        <v>106</v>
      </c>
      <c r="BC39" t="s">
        <v>106</v>
      </c>
      <c r="BD39" t="s">
        <v>106</v>
      </c>
      <c r="BE39" t="s">
        <v>106</v>
      </c>
      <c r="BF39" t="s">
        <v>106</v>
      </c>
      <c r="BG39" t="s">
        <v>106</v>
      </c>
      <c r="BH39" t="s">
        <v>106</v>
      </c>
      <c r="BI39" t="s">
        <v>106</v>
      </c>
      <c r="BJ39" t="s">
        <v>106</v>
      </c>
      <c r="BK39" t="s">
        <v>106</v>
      </c>
      <c r="BL39" t="s">
        <v>106</v>
      </c>
      <c r="BM39" t="s">
        <v>106</v>
      </c>
    </row>
    <row r="40" spans="1:65">
      <c r="B40" t="s">
        <v>143</v>
      </c>
      <c r="C40" t="s">
        <v>105</v>
      </c>
      <c r="D40" t="s">
        <v>105</v>
      </c>
      <c r="E40" t="s">
        <v>105</v>
      </c>
      <c r="F40" t="s">
        <v>106</v>
      </c>
      <c r="G40" t="s">
        <v>106</v>
      </c>
      <c r="H40" t="s">
        <v>106</v>
      </c>
      <c r="I40" t="s">
        <v>106</v>
      </c>
      <c r="J40" t="s">
        <v>106</v>
      </c>
      <c r="K40" t="s">
        <v>106</v>
      </c>
      <c r="L40" t="s">
        <v>106</v>
      </c>
      <c r="M40" t="s">
        <v>106</v>
      </c>
      <c r="N40" t="s">
        <v>106</v>
      </c>
      <c r="O40" t="s">
        <v>106</v>
      </c>
      <c r="P40" t="s">
        <v>106</v>
      </c>
      <c r="Q40" t="s">
        <v>106</v>
      </c>
      <c r="R40" t="s">
        <v>106</v>
      </c>
      <c r="S40">
        <v>-1412.1</v>
      </c>
      <c r="T40">
        <v>-581.6</v>
      </c>
      <c r="U40" t="s">
        <v>106</v>
      </c>
      <c r="V40">
        <v>-91.9</v>
      </c>
      <c r="W40" t="s">
        <v>106</v>
      </c>
      <c r="X40" t="s">
        <v>106</v>
      </c>
      <c r="Y40">
        <v>-2897.6</v>
      </c>
      <c r="Z40">
        <v>-123.4</v>
      </c>
      <c r="AA40">
        <v>-9.9</v>
      </c>
      <c r="AB40">
        <v>-0.2</v>
      </c>
      <c r="AC40" t="s">
        <v>106</v>
      </c>
      <c r="AD40" t="s">
        <v>106</v>
      </c>
      <c r="AE40" t="s">
        <v>106</v>
      </c>
      <c r="AF40">
        <v>-0.1</v>
      </c>
      <c r="AG40">
        <v>-1.3</v>
      </c>
      <c r="AH40" t="s">
        <v>106</v>
      </c>
      <c r="AI40" t="s">
        <v>106</v>
      </c>
      <c r="AJ40">
        <v>-9.5</v>
      </c>
      <c r="AK40" t="s">
        <v>106</v>
      </c>
      <c r="AL40" t="s">
        <v>106</v>
      </c>
      <c r="AM40" t="s">
        <v>106</v>
      </c>
      <c r="AN40" t="s">
        <v>106</v>
      </c>
      <c r="AO40" t="s">
        <v>106</v>
      </c>
      <c r="AP40" t="s">
        <v>106</v>
      </c>
      <c r="AQ40" t="s">
        <v>106</v>
      </c>
      <c r="AR40" t="s">
        <v>106</v>
      </c>
      <c r="AS40" t="s">
        <v>106</v>
      </c>
      <c r="AT40" t="s">
        <v>106</v>
      </c>
      <c r="AU40" t="s">
        <v>106</v>
      </c>
      <c r="AV40" t="s">
        <v>106</v>
      </c>
      <c r="AW40" t="s">
        <v>106</v>
      </c>
      <c r="AX40" t="s">
        <v>106</v>
      </c>
      <c r="AY40" t="s">
        <v>106</v>
      </c>
      <c r="AZ40" t="s">
        <v>106</v>
      </c>
      <c r="BA40" t="s">
        <v>106</v>
      </c>
      <c r="BB40" t="s">
        <v>106</v>
      </c>
      <c r="BC40" t="s">
        <v>106</v>
      </c>
      <c r="BD40" t="s">
        <v>106</v>
      </c>
      <c r="BE40" t="s">
        <v>106</v>
      </c>
      <c r="BF40" t="s">
        <v>106</v>
      </c>
      <c r="BG40" t="s">
        <v>106</v>
      </c>
      <c r="BH40" t="s">
        <v>106</v>
      </c>
      <c r="BI40" t="s">
        <v>106</v>
      </c>
      <c r="BJ40">
        <v>-1271.7</v>
      </c>
      <c r="BK40">
        <v>-177.7</v>
      </c>
      <c r="BL40">
        <v>-6577</v>
      </c>
      <c r="BM40" t="s">
        <v>106</v>
      </c>
    </row>
    <row r="41" spans="1:65">
      <c r="B41" t="s">
        <v>144</v>
      </c>
      <c r="C41" t="s">
        <v>105</v>
      </c>
      <c r="D41" t="s">
        <v>105</v>
      </c>
      <c r="E41" t="s">
        <v>105</v>
      </c>
      <c r="F41" t="s">
        <v>106</v>
      </c>
      <c r="G41" t="s">
        <v>106</v>
      </c>
      <c r="H41" t="s">
        <v>106</v>
      </c>
      <c r="I41" t="s">
        <v>106</v>
      </c>
      <c r="J41" t="s">
        <v>106</v>
      </c>
      <c r="K41" t="s">
        <v>106</v>
      </c>
      <c r="L41" t="s">
        <v>106</v>
      </c>
      <c r="M41" t="s">
        <v>106</v>
      </c>
      <c r="N41" t="s">
        <v>106</v>
      </c>
      <c r="O41" t="s">
        <v>106</v>
      </c>
      <c r="P41" t="s">
        <v>106</v>
      </c>
      <c r="Q41" t="s">
        <v>106</v>
      </c>
      <c r="R41" t="s">
        <v>106</v>
      </c>
      <c r="S41">
        <v>-99.2</v>
      </c>
      <c r="T41" t="s">
        <v>106</v>
      </c>
      <c r="U41" t="s">
        <v>106</v>
      </c>
      <c r="V41" t="s">
        <v>106</v>
      </c>
      <c r="W41" t="s">
        <v>106</v>
      </c>
      <c r="X41" t="s">
        <v>106</v>
      </c>
      <c r="Y41">
        <v>-16.8</v>
      </c>
      <c r="Z41">
        <v>-93.7</v>
      </c>
      <c r="AA41">
        <v>-6.5</v>
      </c>
      <c r="AB41">
        <v>0</v>
      </c>
      <c r="AC41" t="s">
        <v>106</v>
      </c>
      <c r="AD41" t="s">
        <v>106</v>
      </c>
      <c r="AE41" t="s">
        <v>106</v>
      </c>
      <c r="AF41" t="s">
        <v>106</v>
      </c>
      <c r="AG41">
        <v>0</v>
      </c>
      <c r="AH41" t="s">
        <v>106</v>
      </c>
      <c r="AI41" t="s">
        <v>106</v>
      </c>
      <c r="AJ41">
        <v>-1</v>
      </c>
      <c r="AK41" t="s">
        <v>106</v>
      </c>
      <c r="AL41" t="s">
        <v>106</v>
      </c>
      <c r="AM41" t="s">
        <v>106</v>
      </c>
      <c r="AN41" t="s">
        <v>106</v>
      </c>
      <c r="AO41" t="s">
        <v>106</v>
      </c>
      <c r="AP41" t="s">
        <v>106</v>
      </c>
      <c r="AQ41" t="s">
        <v>106</v>
      </c>
      <c r="AR41" t="s">
        <v>106</v>
      </c>
      <c r="AS41" t="s">
        <v>106</v>
      </c>
      <c r="AT41" t="s">
        <v>106</v>
      </c>
      <c r="AU41" t="s">
        <v>106</v>
      </c>
      <c r="AV41" t="s">
        <v>106</v>
      </c>
      <c r="AW41" t="s">
        <v>106</v>
      </c>
      <c r="AX41" t="s">
        <v>106</v>
      </c>
      <c r="AY41" t="s">
        <v>106</v>
      </c>
      <c r="AZ41" t="s">
        <v>106</v>
      </c>
      <c r="BA41" t="s">
        <v>106</v>
      </c>
      <c r="BB41" t="s">
        <v>106</v>
      </c>
      <c r="BC41" t="s">
        <v>106</v>
      </c>
      <c r="BD41" t="s">
        <v>106</v>
      </c>
      <c r="BE41" t="s">
        <v>106</v>
      </c>
      <c r="BF41" t="s">
        <v>106</v>
      </c>
      <c r="BG41" t="s">
        <v>106</v>
      </c>
      <c r="BH41" t="s">
        <v>106</v>
      </c>
      <c r="BI41" t="s">
        <v>106</v>
      </c>
      <c r="BJ41" t="s">
        <v>106</v>
      </c>
      <c r="BK41" t="s">
        <v>106</v>
      </c>
      <c r="BL41">
        <v>-217.2</v>
      </c>
      <c r="BM41" t="s">
        <v>106</v>
      </c>
    </row>
    <row r="42" spans="1:65">
      <c r="B42" t="s">
        <v>145</v>
      </c>
      <c r="C42" t="s">
        <v>105</v>
      </c>
      <c r="D42" t="s">
        <v>105</v>
      </c>
      <c r="E42" t="s">
        <v>105</v>
      </c>
      <c r="F42" t="s">
        <v>106</v>
      </c>
      <c r="G42" t="s">
        <v>106</v>
      </c>
      <c r="H42" t="s">
        <v>106</v>
      </c>
      <c r="I42" t="s">
        <v>106</v>
      </c>
      <c r="J42" t="s">
        <v>106</v>
      </c>
      <c r="K42" t="s">
        <v>106</v>
      </c>
      <c r="L42" t="s">
        <v>106</v>
      </c>
      <c r="M42" t="s">
        <v>106</v>
      </c>
      <c r="N42" t="s">
        <v>106</v>
      </c>
      <c r="O42" t="s">
        <v>106</v>
      </c>
      <c r="P42" t="s">
        <v>106</v>
      </c>
      <c r="Q42" t="s">
        <v>106</v>
      </c>
      <c r="R42" t="s">
        <v>106</v>
      </c>
      <c r="S42" t="s">
        <v>106</v>
      </c>
      <c r="T42" t="s">
        <v>106</v>
      </c>
      <c r="U42" t="s">
        <v>106</v>
      </c>
      <c r="V42" t="s">
        <v>106</v>
      </c>
      <c r="W42" t="s">
        <v>106</v>
      </c>
      <c r="X42" t="s">
        <v>106</v>
      </c>
      <c r="Y42" t="s">
        <v>106</v>
      </c>
      <c r="Z42" t="s">
        <v>106</v>
      </c>
      <c r="AA42" t="s">
        <v>106</v>
      </c>
      <c r="AB42" t="s">
        <v>106</v>
      </c>
      <c r="AC42" t="s">
        <v>106</v>
      </c>
      <c r="AD42" t="s">
        <v>106</v>
      </c>
      <c r="AE42" t="s">
        <v>106</v>
      </c>
      <c r="AF42" t="s">
        <v>106</v>
      </c>
      <c r="AG42" t="s">
        <v>106</v>
      </c>
      <c r="AH42" t="s">
        <v>106</v>
      </c>
      <c r="AI42" t="s">
        <v>106</v>
      </c>
      <c r="AJ42" t="s">
        <v>106</v>
      </c>
      <c r="AK42" t="s">
        <v>106</v>
      </c>
      <c r="AL42" t="s">
        <v>106</v>
      </c>
      <c r="AM42" t="s">
        <v>106</v>
      </c>
      <c r="AN42" t="s">
        <v>106</v>
      </c>
      <c r="AO42" t="s">
        <v>106</v>
      </c>
      <c r="AP42" t="s">
        <v>106</v>
      </c>
      <c r="AQ42" t="s">
        <v>106</v>
      </c>
      <c r="AR42" t="s">
        <v>106</v>
      </c>
      <c r="AS42" t="s">
        <v>106</v>
      </c>
      <c r="AT42" t="s">
        <v>106</v>
      </c>
      <c r="AU42" t="s">
        <v>106</v>
      </c>
      <c r="AV42" t="s">
        <v>106</v>
      </c>
      <c r="AW42" t="s">
        <v>106</v>
      </c>
      <c r="AX42" t="s">
        <v>106</v>
      </c>
      <c r="AY42" t="s">
        <v>106</v>
      </c>
      <c r="AZ42" t="s">
        <v>106</v>
      </c>
      <c r="BA42" t="s">
        <v>106</v>
      </c>
      <c r="BB42" t="s">
        <v>106</v>
      </c>
      <c r="BC42" t="s">
        <v>106</v>
      </c>
      <c r="BD42" t="s">
        <v>106</v>
      </c>
      <c r="BE42" t="s">
        <v>106</v>
      </c>
      <c r="BF42" t="s">
        <v>106</v>
      </c>
      <c r="BG42" t="s">
        <v>106</v>
      </c>
      <c r="BH42" t="s">
        <v>106</v>
      </c>
      <c r="BI42" t="s">
        <v>106</v>
      </c>
      <c r="BJ42" t="s">
        <v>106</v>
      </c>
      <c r="BK42" t="s">
        <v>106</v>
      </c>
      <c r="BL42" t="s">
        <v>106</v>
      </c>
      <c r="BM42" t="s">
        <v>106</v>
      </c>
    </row>
    <row r="43" spans="1:65">
      <c r="B43" t="s">
        <v>146</v>
      </c>
      <c r="C43" t="s">
        <v>105</v>
      </c>
      <c r="D43" t="s">
        <v>105</v>
      </c>
      <c r="E43" t="s">
        <v>105</v>
      </c>
      <c r="F43" t="s">
        <v>106</v>
      </c>
      <c r="G43" t="s">
        <v>106</v>
      </c>
      <c r="H43" t="s">
        <v>106</v>
      </c>
      <c r="I43" t="s">
        <v>106</v>
      </c>
      <c r="J43" t="s">
        <v>106</v>
      </c>
      <c r="K43" t="s">
        <v>106</v>
      </c>
      <c r="L43" t="s">
        <v>106</v>
      </c>
      <c r="M43" t="s">
        <v>106</v>
      </c>
      <c r="N43" t="s">
        <v>106</v>
      </c>
      <c r="O43" t="s">
        <v>106</v>
      </c>
      <c r="P43" t="s">
        <v>106</v>
      </c>
      <c r="Q43" t="s">
        <v>106</v>
      </c>
      <c r="R43" t="s">
        <v>106</v>
      </c>
      <c r="S43" t="s">
        <v>106</v>
      </c>
      <c r="T43" t="s">
        <v>106</v>
      </c>
      <c r="U43" t="s">
        <v>106</v>
      </c>
      <c r="V43" t="s">
        <v>106</v>
      </c>
      <c r="W43" t="s">
        <v>106</v>
      </c>
      <c r="X43" t="s">
        <v>106</v>
      </c>
      <c r="Y43">
        <v>-17.600000000000001</v>
      </c>
      <c r="Z43">
        <v>-10.4</v>
      </c>
      <c r="AA43">
        <v>-0.1</v>
      </c>
      <c r="AB43" t="s">
        <v>106</v>
      </c>
      <c r="AC43" t="s">
        <v>106</v>
      </c>
      <c r="AD43" t="s">
        <v>106</v>
      </c>
      <c r="AE43">
        <v>-0.4</v>
      </c>
      <c r="AF43">
        <v>-2.2000000000000002</v>
      </c>
      <c r="AG43">
        <v>-339.1</v>
      </c>
      <c r="AH43">
        <v>0</v>
      </c>
      <c r="AI43">
        <v>0</v>
      </c>
      <c r="AJ43">
        <v>-5.0999999999999996</v>
      </c>
      <c r="AK43" t="s">
        <v>106</v>
      </c>
      <c r="AL43" t="s">
        <v>106</v>
      </c>
      <c r="AM43" t="s">
        <v>106</v>
      </c>
      <c r="AN43" t="s">
        <v>106</v>
      </c>
      <c r="AO43" t="s">
        <v>106</v>
      </c>
      <c r="AP43" t="s">
        <v>106</v>
      </c>
      <c r="AQ43" t="s">
        <v>106</v>
      </c>
      <c r="AR43" t="s">
        <v>106</v>
      </c>
      <c r="AS43" t="s">
        <v>106</v>
      </c>
      <c r="AT43" t="s">
        <v>106</v>
      </c>
      <c r="AU43" t="s">
        <v>106</v>
      </c>
      <c r="AV43" t="s">
        <v>106</v>
      </c>
      <c r="AW43" t="s">
        <v>106</v>
      </c>
      <c r="AX43" t="s">
        <v>106</v>
      </c>
      <c r="AY43" t="s">
        <v>106</v>
      </c>
      <c r="AZ43" t="s">
        <v>106</v>
      </c>
      <c r="BA43" t="s">
        <v>106</v>
      </c>
      <c r="BB43" t="s">
        <v>106</v>
      </c>
      <c r="BC43" t="s">
        <v>106</v>
      </c>
      <c r="BD43" t="s">
        <v>106</v>
      </c>
      <c r="BE43" t="s">
        <v>106</v>
      </c>
      <c r="BF43" t="s">
        <v>106</v>
      </c>
      <c r="BG43" t="s">
        <v>106</v>
      </c>
      <c r="BH43" t="s">
        <v>106</v>
      </c>
      <c r="BI43" t="s">
        <v>106</v>
      </c>
      <c r="BJ43">
        <v>-6.7</v>
      </c>
      <c r="BK43" t="s">
        <v>106</v>
      </c>
      <c r="BL43">
        <v>-381.6</v>
      </c>
      <c r="BM43" t="s">
        <v>106</v>
      </c>
    </row>
    <row r="44" spans="1:65">
      <c r="A44" t="s">
        <v>147</v>
      </c>
      <c r="B44" t="s">
        <v>105</v>
      </c>
      <c r="C44" t="s">
        <v>105</v>
      </c>
      <c r="D44" t="s">
        <v>105</v>
      </c>
      <c r="E44" t="s">
        <v>105</v>
      </c>
      <c r="F44" t="s">
        <v>106</v>
      </c>
      <c r="G44" t="s">
        <v>106</v>
      </c>
      <c r="H44" t="s">
        <v>106</v>
      </c>
      <c r="I44" t="s">
        <v>106</v>
      </c>
      <c r="J44" t="s">
        <v>106</v>
      </c>
      <c r="K44" t="s">
        <v>106</v>
      </c>
      <c r="L44" t="s">
        <v>106</v>
      </c>
      <c r="M44" t="s">
        <v>106</v>
      </c>
      <c r="N44" t="s">
        <v>106</v>
      </c>
      <c r="O44" t="s">
        <v>106</v>
      </c>
      <c r="P44" t="s">
        <v>106</v>
      </c>
      <c r="Q44" t="s">
        <v>106</v>
      </c>
      <c r="R44" t="s">
        <v>106</v>
      </c>
      <c r="S44">
        <v>9.6</v>
      </c>
      <c r="T44" t="s">
        <v>106</v>
      </c>
      <c r="U44" t="s">
        <v>106</v>
      </c>
      <c r="V44" t="s">
        <v>106</v>
      </c>
      <c r="W44" t="s">
        <v>106</v>
      </c>
      <c r="X44" t="s">
        <v>106</v>
      </c>
      <c r="Y44" t="s">
        <v>106</v>
      </c>
      <c r="Z44" t="s">
        <v>106</v>
      </c>
      <c r="AA44" t="s">
        <v>106</v>
      </c>
      <c r="AB44" t="s">
        <v>106</v>
      </c>
      <c r="AC44" t="s">
        <v>106</v>
      </c>
      <c r="AD44" t="s">
        <v>106</v>
      </c>
      <c r="AE44" t="s">
        <v>106</v>
      </c>
      <c r="AF44" t="s">
        <v>106</v>
      </c>
      <c r="AG44" t="s">
        <v>106</v>
      </c>
      <c r="AH44" t="s">
        <v>106</v>
      </c>
      <c r="AI44" t="s">
        <v>106</v>
      </c>
      <c r="AJ44" t="s">
        <v>106</v>
      </c>
      <c r="AK44" t="s">
        <v>106</v>
      </c>
      <c r="AL44" t="s">
        <v>106</v>
      </c>
      <c r="AM44" t="s">
        <v>106</v>
      </c>
      <c r="AN44" t="s">
        <v>106</v>
      </c>
      <c r="AO44" t="s">
        <v>106</v>
      </c>
      <c r="AP44" t="s">
        <v>106</v>
      </c>
      <c r="AQ44" t="s">
        <v>106</v>
      </c>
      <c r="AR44" t="s">
        <v>106</v>
      </c>
      <c r="AS44" t="s">
        <v>106</v>
      </c>
      <c r="AT44" t="s">
        <v>106</v>
      </c>
      <c r="AU44" t="s">
        <v>106</v>
      </c>
      <c r="AV44" t="s">
        <v>106</v>
      </c>
      <c r="AW44" t="s">
        <v>106</v>
      </c>
      <c r="AX44" t="s">
        <v>106</v>
      </c>
      <c r="AY44" t="s">
        <v>106</v>
      </c>
      <c r="AZ44" t="s">
        <v>106</v>
      </c>
      <c r="BA44" t="s">
        <v>106</v>
      </c>
      <c r="BB44" t="s">
        <v>106</v>
      </c>
      <c r="BC44" t="s">
        <v>106</v>
      </c>
      <c r="BD44" t="s">
        <v>106</v>
      </c>
      <c r="BE44" t="s">
        <v>106</v>
      </c>
      <c r="BF44" t="s">
        <v>106</v>
      </c>
      <c r="BG44" t="s">
        <v>106</v>
      </c>
      <c r="BH44" t="s">
        <v>106</v>
      </c>
      <c r="BI44" t="s">
        <v>106</v>
      </c>
      <c r="BJ44">
        <v>-1498.3</v>
      </c>
      <c r="BK44">
        <v>-578.4</v>
      </c>
      <c r="BL44">
        <v>-2067.1</v>
      </c>
      <c r="BM44" t="s">
        <v>106</v>
      </c>
    </row>
    <row r="45" spans="1:65">
      <c r="A45" t="s">
        <v>148</v>
      </c>
      <c r="B45" t="s">
        <v>105</v>
      </c>
      <c r="C45" t="s">
        <v>105</v>
      </c>
      <c r="D45" t="s">
        <v>105</v>
      </c>
      <c r="E45" t="s">
        <v>105</v>
      </c>
      <c r="F45" t="s">
        <v>106</v>
      </c>
      <c r="G45">
        <v>2266.6999999999998</v>
      </c>
      <c r="H45" t="s">
        <v>106</v>
      </c>
      <c r="I45">
        <v>3201.6</v>
      </c>
      <c r="J45" t="s">
        <v>106</v>
      </c>
      <c r="K45">
        <v>0.1</v>
      </c>
      <c r="L45">
        <v>17.600000000000001</v>
      </c>
      <c r="M45">
        <v>179.9</v>
      </c>
      <c r="N45">
        <v>646.29999999999995</v>
      </c>
      <c r="O45">
        <v>516.20000000000005</v>
      </c>
      <c r="P45">
        <v>1742.1</v>
      </c>
      <c r="Q45">
        <v>41.7</v>
      </c>
      <c r="R45">
        <v>182.8</v>
      </c>
      <c r="S45">
        <v>2194.3000000000002</v>
      </c>
      <c r="T45">
        <v>22030.1</v>
      </c>
      <c r="U45" t="s">
        <v>106</v>
      </c>
      <c r="V45" t="s">
        <v>106</v>
      </c>
      <c r="W45" t="s">
        <v>106</v>
      </c>
      <c r="X45" t="s">
        <v>106</v>
      </c>
      <c r="Y45">
        <v>441.3</v>
      </c>
      <c r="Z45">
        <v>6733.5</v>
      </c>
      <c r="AA45">
        <v>4009.6</v>
      </c>
      <c r="AB45">
        <v>11133.8</v>
      </c>
      <c r="AC45">
        <v>1.9</v>
      </c>
      <c r="AD45" t="s">
        <v>106</v>
      </c>
      <c r="AE45">
        <v>1317.4</v>
      </c>
      <c r="AF45">
        <v>1821.7</v>
      </c>
      <c r="AG45">
        <v>21218.7</v>
      </c>
      <c r="AH45">
        <v>127.9</v>
      </c>
      <c r="AI45">
        <v>19.399999999999999</v>
      </c>
      <c r="AJ45">
        <v>887.2</v>
      </c>
      <c r="AK45">
        <v>41351.599999999999</v>
      </c>
      <c r="AL45">
        <v>201.7</v>
      </c>
      <c r="AM45">
        <v>1238.5</v>
      </c>
      <c r="AN45">
        <v>1448.8</v>
      </c>
      <c r="AO45">
        <v>24.4</v>
      </c>
      <c r="AP45">
        <v>275.5</v>
      </c>
      <c r="AQ45">
        <v>2187.1</v>
      </c>
      <c r="AR45">
        <v>1831.4</v>
      </c>
      <c r="AS45">
        <v>728</v>
      </c>
      <c r="AT45">
        <v>481.4</v>
      </c>
      <c r="AU45">
        <v>803.6</v>
      </c>
      <c r="AV45">
        <v>72</v>
      </c>
      <c r="AW45">
        <v>2.2000000000000002</v>
      </c>
      <c r="AX45" t="s">
        <v>106</v>
      </c>
      <c r="AY45">
        <v>696.4</v>
      </c>
      <c r="AZ45" t="s">
        <v>106</v>
      </c>
      <c r="BA45" t="s">
        <v>106</v>
      </c>
      <c r="BB45" t="s">
        <v>106</v>
      </c>
      <c r="BC45" t="s">
        <v>106</v>
      </c>
      <c r="BD45">
        <v>280.2</v>
      </c>
      <c r="BE45" t="s">
        <v>106</v>
      </c>
      <c r="BF45">
        <v>24.4</v>
      </c>
      <c r="BG45" t="s">
        <v>106</v>
      </c>
      <c r="BH45" t="s">
        <v>106</v>
      </c>
      <c r="BI45" t="s">
        <v>106</v>
      </c>
      <c r="BJ45">
        <v>49511.7</v>
      </c>
      <c r="BK45">
        <v>6235.4</v>
      </c>
      <c r="BL45">
        <v>188126</v>
      </c>
      <c r="BM45">
        <v>4919.7</v>
      </c>
    </row>
    <row r="46" spans="1:65">
      <c r="B46" t="s">
        <v>149</v>
      </c>
      <c r="C46" t="s">
        <v>105</v>
      </c>
      <c r="D46" t="s">
        <v>105</v>
      </c>
      <c r="E46" t="s">
        <v>105</v>
      </c>
      <c r="F46" t="s">
        <v>106</v>
      </c>
      <c r="G46">
        <v>2266.6999999999998</v>
      </c>
      <c r="H46" t="s">
        <v>106</v>
      </c>
      <c r="I46">
        <v>3201.6</v>
      </c>
      <c r="J46" t="s">
        <v>106</v>
      </c>
      <c r="K46">
        <v>0.1</v>
      </c>
      <c r="L46" t="s">
        <v>106</v>
      </c>
      <c r="M46">
        <v>179.9</v>
      </c>
      <c r="N46">
        <v>646.29999999999995</v>
      </c>
      <c r="O46" t="s">
        <v>106</v>
      </c>
      <c r="P46">
        <v>1742.1</v>
      </c>
      <c r="Q46">
        <v>41.7</v>
      </c>
      <c r="R46">
        <v>182.8</v>
      </c>
      <c r="S46">
        <v>1192.7</v>
      </c>
      <c r="T46">
        <v>22030.1</v>
      </c>
      <c r="U46" t="s">
        <v>106</v>
      </c>
      <c r="V46" t="s">
        <v>106</v>
      </c>
      <c r="W46" t="s">
        <v>106</v>
      </c>
      <c r="X46" t="s">
        <v>106</v>
      </c>
      <c r="Y46">
        <v>441.3</v>
      </c>
      <c r="Z46">
        <v>2903.2</v>
      </c>
      <c r="AA46">
        <v>3051.2</v>
      </c>
      <c r="AB46">
        <v>11133.8</v>
      </c>
      <c r="AC46">
        <v>1.9</v>
      </c>
      <c r="AD46" t="s">
        <v>106</v>
      </c>
      <c r="AE46">
        <v>1317.4</v>
      </c>
      <c r="AF46">
        <v>1821.7</v>
      </c>
      <c r="AG46">
        <v>21218.7</v>
      </c>
      <c r="AH46">
        <v>127.9</v>
      </c>
      <c r="AI46">
        <v>19.399999999999999</v>
      </c>
      <c r="AJ46">
        <v>887.2</v>
      </c>
      <c r="AK46" t="s">
        <v>106</v>
      </c>
      <c r="AL46" t="s">
        <v>106</v>
      </c>
      <c r="AM46" t="s">
        <v>106</v>
      </c>
      <c r="AN46" t="s">
        <v>106</v>
      </c>
      <c r="AO46" t="s">
        <v>106</v>
      </c>
      <c r="AP46" t="s">
        <v>106</v>
      </c>
      <c r="AQ46" t="s">
        <v>106</v>
      </c>
      <c r="AR46">
        <v>1831.4</v>
      </c>
      <c r="AS46">
        <v>728</v>
      </c>
      <c r="AT46">
        <v>481.4</v>
      </c>
      <c r="AU46">
        <v>803.6</v>
      </c>
      <c r="AV46">
        <v>72</v>
      </c>
      <c r="AW46">
        <v>2.2000000000000002</v>
      </c>
      <c r="AX46" t="s">
        <v>106</v>
      </c>
      <c r="AY46">
        <v>696.4</v>
      </c>
      <c r="AZ46" t="s">
        <v>106</v>
      </c>
      <c r="BA46" t="s">
        <v>106</v>
      </c>
      <c r="BB46" t="s">
        <v>106</v>
      </c>
      <c r="BC46" t="s">
        <v>106</v>
      </c>
      <c r="BD46">
        <v>280.2</v>
      </c>
      <c r="BE46" t="s">
        <v>106</v>
      </c>
      <c r="BF46">
        <v>24.4</v>
      </c>
      <c r="BG46" t="s">
        <v>106</v>
      </c>
      <c r="BH46" t="s">
        <v>106</v>
      </c>
      <c r="BI46" t="s">
        <v>106</v>
      </c>
      <c r="BJ46">
        <v>49511.7</v>
      </c>
      <c r="BK46">
        <v>6235.4</v>
      </c>
      <c r="BL46">
        <v>135074.5</v>
      </c>
      <c r="BM46">
        <v>4919.7</v>
      </c>
    </row>
    <row r="47" spans="1:65">
      <c r="C47" t="s">
        <v>150</v>
      </c>
      <c r="D47" t="s">
        <v>105</v>
      </c>
      <c r="E47" t="s">
        <v>105</v>
      </c>
      <c r="F47" t="s">
        <v>106</v>
      </c>
      <c r="G47">
        <v>2266.6999999999998</v>
      </c>
      <c r="H47" t="s">
        <v>106</v>
      </c>
      <c r="I47">
        <v>3201.6</v>
      </c>
      <c r="J47" t="s">
        <v>106</v>
      </c>
      <c r="K47">
        <v>0.1</v>
      </c>
      <c r="L47" t="s">
        <v>106</v>
      </c>
      <c r="M47">
        <v>1.1000000000000001</v>
      </c>
      <c r="N47">
        <v>646.29999999999995</v>
      </c>
      <c r="O47" t="s">
        <v>106</v>
      </c>
      <c r="P47">
        <v>1742.1</v>
      </c>
      <c r="Q47">
        <v>41.7</v>
      </c>
      <c r="R47">
        <v>182.8</v>
      </c>
      <c r="S47">
        <v>1192.7</v>
      </c>
      <c r="T47">
        <v>7127.8</v>
      </c>
      <c r="U47" t="s">
        <v>106</v>
      </c>
      <c r="V47" t="s">
        <v>106</v>
      </c>
      <c r="W47" t="s">
        <v>106</v>
      </c>
      <c r="X47" t="s">
        <v>106</v>
      </c>
      <c r="Y47">
        <v>441.3</v>
      </c>
      <c r="Z47">
        <v>1099.0999999999999</v>
      </c>
      <c r="AA47">
        <v>106.2</v>
      </c>
      <c r="AB47">
        <v>136.69999999999999</v>
      </c>
      <c r="AC47" t="s">
        <v>106</v>
      </c>
      <c r="AD47" t="s">
        <v>106</v>
      </c>
      <c r="AE47">
        <v>0.9</v>
      </c>
      <c r="AF47">
        <v>239.1</v>
      </c>
      <c r="AG47">
        <v>1978.2</v>
      </c>
      <c r="AH47">
        <v>63</v>
      </c>
      <c r="AI47">
        <v>15.5</v>
      </c>
      <c r="AJ47">
        <v>626.9</v>
      </c>
      <c r="AK47" t="s">
        <v>106</v>
      </c>
      <c r="AL47" t="s">
        <v>106</v>
      </c>
      <c r="AM47" t="s">
        <v>106</v>
      </c>
      <c r="AN47" t="s">
        <v>106</v>
      </c>
      <c r="AO47" t="s">
        <v>106</v>
      </c>
      <c r="AP47" t="s">
        <v>106</v>
      </c>
      <c r="AQ47" t="s">
        <v>106</v>
      </c>
      <c r="AR47">
        <v>1787.6</v>
      </c>
      <c r="AS47">
        <v>79.900000000000006</v>
      </c>
      <c r="AT47">
        <v>365.9</v>
      </c>
      <c r="AU47">
        <v>468.6</v>
      </c>
      <c r="AV47">
        <v>24</v>
      </c>
      <c r="AW47">
        <v>2.2000000000000002</v>
      </c>
      <c r="AX47" t="s">
        <v>106</v>
      </c>
      <c r="AY47" t="s">
        <v>106</v>
      </c>
      <c r="AZ47" t="s">
        <v>106</v>
      </c>
      <c r="BA47" t="s">
        <v>106</v>
      </c>
      <c r="BB47" t="s">
        <v>106</v>
      </c>
      <c r="BC47" t="s">
        <v>106</v>
      </c>
      <c r="BD47">
        <v>38.6</v>
      </c>
      <c r="BE47" t="s">
        <v>106</v>
      </c>
      <c r="BF47">
        <v>1.3</v>
      </c>
      <c r="BG47" t="s">
        <v>106</v>
      </c>
      <c r="BH47" t="s">
        <v>106</v>
      </c>
      <c r="BI47" t="s">
        <v>106</v>
      </c>
      <c r="BJ47">
        <v>26328.5</v>
      </c>
      <c r="BK47">
        <v>3282.3</v>
      </c>
      <c r="BL47">
        <v>53488.800000000003</v>
      </c>
      <c r="BM47">
        <v>2768.1</v>
      </c>
    </row>
    <row r="48" spans="1:65">
      <c r="D48" t="s">
        <v>151</v>
      </c>
      <c r="E48" t="s">
        <v>105</v>
      </c>
      <c r="F48" t="s">
        <v>106</v>
      </c>
      <c r="G48" t="s">
        <v>106</v>
      </c>
      <c r="H48" t="s">
        <v>106</v>
      </c>
      <c r="I48" t="s">
        <v>106</v>
      </c>
      <c r="J48" t="s">
        <v>106</v>
      </c>
      <c r="K48" t="s">
        <v>106</v>
      </c>
      <c r="L48" t="s">
        <v>106</v>
      </c>
      <c r="M48">
        <v>0.4</v>
      </c>
      <c r="N48" t="s">
        <v>106</v>
      </c>
      <c r="O48" t="s">
        <v>106</v>
      </c>
      <c r="P48" t="s">
        <v>106</v>
      </c>
      <c r="Q48" t="s">
        <v>106</v>
      </c>
      <c r="R48" t="s">
        <v>106</v>
      </c>
      <c r="S48" t="s">
        <v>106</v>
      </c>
      <c r="T48">
        <v>3.7</v>
      </c>
      <c r="U48" t="s">
        <v>106</v>
      </c>
      <c r="V48" t="s">
        <v>106</v>
      </c>
      <c r="W48" t="s">
        <v>106</v>
      </c>
      <c r="X48" t="s">
        <v>106</v>
      </c>
      <c r="Y48" t="s">
        <v>106</v>
      </c>
      <c r="Z48">
        <v>4.8</v>
      </c>
      <c r="AA48">
        <v>0.1</v>
      </c>
      <c r="AB48">
        <v>27.6</v>
      </c>
      <c r="AC48" t="s">
        <v>106</v>
      </c>
      <c r="AD48" t="s">
        <v>106</v>
      </c>
      <c r="AE48" t="s">
        <v>106</v>
      </c>
      <c r="AF48">
        <v>140.69999999999999</v>
      </c>
      <c r="AG48">
        <v>209.1</v>
      </c>
      <c r="AH48">
        <v>2.8</v>
      </c>
      <c r="AI48">
        <v>5.4</v>
      </c>
      <c r="AJ48">
        <v>14</v>
      </c>
      <c r="AK48" t="s">
        <v>106</v>
      </c>
      <c r="AL48" t="s">
        <v>106</v>
      </c>
      <c r="AM48" t="s">
        <v>106</v>
      </c>
      <c r="AN48" t="s">
        <v>106</v>
      </c>
      <c r="AO48" t="s">
        <v>106</v>
      </c>
      <c r="AP48" t="s">
        <v>106</v>
      </c>
      <c r="AQ48" t="s">
        <v>106</v>
      </c>
      <c r="AR48" t="s">
        <v>106</v>
      </c>
      <c r="AS48">
        <v>0.6</v>
      </c>
      <c r="AT48" t="s">
        <v>106</v>
      </c>
      <c r="AU48">
        <v>209.9</v>
      </c>
      <c r="AV48" t="s">
        <v>106</v>
      </c>
      <c r="AW48" t="s">
        <v>106</v>
      </c>
      <c r="AX48" t="s">
        <v>106</v>
      </c>
      <c r="AY48" t="s">
        <v>106</v>
      </c>
      <c r="AZ48" t="s">
        <v>106</v>
      </c>
      <c r="BA48" t="s">
        <v>106</v>
      </c>
      <c r="BB48" t="s">
        <v>106</v>
      </c>
      <c r="BC48" t="s">
        <v>106</v>
      </c>
      <c r="BD48">
        <v>33.5</v>
      </c>
      <c r="BE48" t="s">
        <v>106</v>
      </c>
      <c r="BF48" t="s">
        <v>106</v>
      </c>
      <c r="BG48" t="s">
        <v>106</v>
      </c>
      <c r="BH48" t="s">
        <v>106</v>
      </c>
      <c r="BI48" t="s">
        <v>106</v>
      </c>
      <c r="BJ48">
        <v>1357.9</v>
      </c>
      <c r="BK48" t="s">
        <v>106</v>
      </c>
      <c r="BL48">
        <v>2010.7</v>
      </c>
      <c r="BM48">
        <v>244.1</v>
      </c>
    </row>
    <row r="49" spans="3:65">
      <c r="D49" t="s">
        <v>152</v>
      </c>
      <c r="E49" t="s">
        <v>105</v>
      </c>
      <c r="F49" t="s">
        <v>106</v>
      </c>
      <c r="G49" t="s">
        <v>106</v>
      </c>
      <c r="H49" t="s">
        <v>106</v>
      </c>
      <c r="I49" t="s">
        <v>106</v>
      </c>
      <c r="J49" t="s">
        <v>106</v>
      </c>
      <c r="K49" t="s">
        <v>106</v>
      </c>
      <c r="L49" t="s">
        <v>106</v>
      </c>
      <c r="M49" t="s">
        <v>106</v>
      </c>
      <c r="N49" t="s">
        <v>106</v>
      </c>
      <c r="O49" t="s">
        <v>106</v>
      </c>
      <c r="P49" t="s">
        <v>106</v>
      </c>
      <c r="Q49" t="s">
        <v>106</v>
      </c>
      <c r="R49" t="s">
        <v>106</v>
      </c>
      <c r="S49" t="s">
        <v>106</v>
      </c>
      <c r="T49" t="s">
        <v>106</v>
      </c>
      <c r="U49" t="s">
        <v>106</v>
      </c>
      <c r="V49" t="s">
        <v>106</v>
      </c>
      <c r="W49" t="s">
        <v>106</v>
      </c>
      <c r="X49" t="s">
        <v>106</v>
      </c>
      <c r="Y49" t="s">
        <v>106</v>
      </c>
      <c r="Z49">
        <v>1.2</v>
      </c>
      <c r="AA49" t="s">
        <v>106</v>
      </c>
      <c r="AB49">
        <v>70.900000000000006</v>
      </c>
      <c r="AC49" t="s">
        <v>106</v>
      </c>
      <c r="AD49" t="s">
        <v>106</v>
      </c>
      <c r="AE49" t="s">
        <v>106</v>
      </c>
      <c r="AF49" t="s">
        <v>106</v>
      </c>
      <c r="AG49">
        <v>732.6</v>
      </c>
      <c r="AH49">
        <v>2.2999999999999998</v>
      </c>
      <c r="AI49">
        <v>3.6</v>
      </c>
      <c r="AJ49">
        <v>4.0999999999999996</v>
      </c>
      <c r="AK49" t="s">
        <v>106</v>
      </c>
      <c r="AL49" t="s">
        <v>106</v>
      </c>
      <c r="AM49" t="s">
        <v>106</v>
      </c>
      <c r="AN49" t="s">
        <v>106</v>
      </c>
      <c r="AO49" t="s">
        <v>106</v>
      </c>
      <c r="AP49" t="s">
        <v>106</v>
      </c>
      <c r="AQ49" t="s">
        <v>106</v>
      </c>
      <c r="AR49" t="s">
        <v>106</v>
      </c>
      <c r="AS49" t="s">
        <v>106</v>
      </c>
      <c r="AT49" t="s">
        <v>106</v>
      </c>
      <c r="AU49" t="s">
        <v>106</v>
      </c>
      <c r="AV49" t="s">
        <v>106</v>
      </c>
      <c r="AW49" t="s">
        <v>106</v>
      </c>
      <c r="AX49" t="s">
        <v>106</v>
      </c>
      <c r="AY49" t="s">
        <v>106</v>
      </c>
      <c r="AZ49" t="s">
        <v>106</v>
      </c>
      <c r="BA49" t="s">
        <v>106</v>
      </c>
      <c r="BB49" t="s">
        <v>106</v>
      </c>
      <c r="BC49" t="s">
        <v>106</v>
      </c>
      <c r="BD49" t="s">
        <v>106</v>
      </c>
      <c r="BE49" t="s">
        <v>106</v>
      </c>
      <c r="BF49" t="s">
        <v>106</v>
      </c>
      <c r="BG49" t="s">
        <v>106</v>
      </c>
      <c r="BH49" t="s">
        <v>106</v>
      </c>
      <c r="BI49" t="s">
        <v>106</v>
      </c>
      <c r="BJ49">
        <v>256.89999999999998</v>
      </c>
      <c r="BK49" t="s">
        <v>106</v>
      </c>
      <c r="BL49">
        <v>1071.7</v>
      </c>
      <c r="BM49" t="s">
        <v>106</v>
      </c>
    </row>
    <row r="50" spans="3:65">
      <c r="D50" t="s">
        <v>153</v>
      </c>
      <c r="E50" t="s">
        <v>105</v>
      </c>
      <c r="F50" t="s">
        <v>106</v>
      </c>
      <c r="G50" t="s">
        <v>106</v>
      </c>
      <c r="H50" t="s">
        <v>106</v>
      </c>
      <c r="I50" t="s">
        <v>106</v>
      </c>
      <c r="J50" t="s">
        <v>106</v>
      </c>
      <c r="K50" t="s">
        <v>106</v>
      </c>
      <c r="L50" t="s">
        <v>106</v>
      </c>
      <c r="M50" t="s">
        <v>106</v>
      </c>
      <c r="N50" t="s">
        <v>106</v>
      </c>
      <c r="O50" t="s">
        <v>106</v>
      </c>
      <c r="P50" t="s">
        <v>106</v>
      </c>
      <c r="Q50" t="s">
        <v>106</v>
      </c>
      <c r="R50" t="s">
        <v>106</v>
      </c>
      <c r="S50" t="s">
        <v>106</v>
      </c>
      <c r="T50" t="s">
        <v>106</v>
      </c>
      <c r="U50" t="s">
        <v>106</v>
      </c>
      <c r="V50" t="s">
        <v>106</v>
      </c>
      <c r="W50" t="s">
        <v>106</v>
      </c>
      <c r="X50" t="s">
        <v>106</v>
      </c>
      <c r="Y50" t="s">
        <v>106</v>
      </c>
      <c r="Z50">
        <v>1.9</v>
      </c>
      <c r="AA50">
        <v>0</v>
      </c>
      <c r="AB50">
        <v>0</v>
      </c>
      <c r="AC50" t="s">
        <v>106</v>
      </c>
      <c r="AD50" t="s">
        <v>106</v>
      </c>
      <c r="AE50" t="s">
        <v>106</v>
      </c>
      <c r="AF50">
        <v>0.4</v>
      </c>
      <c r="AG50">
        <v>28.6</v>
      </c>
      <c r="AH50">
        <v>1.3</v>
      </c>
      <c r="AI50">
        <v>0.2</v>
      </c>
      <c r="AJ50">
        <v>4.5999999999999996</v>
      </c>
      <c r="AK50" t="s">
        <v>106</v>
      </c>
      <c r="AL50" t="s">
        <v>106</v>
      </c>
      <c r="AM50" t="s">
        <v>106</v>
      </c>
      <c r="AN50" t="s">
        <v>106</v>
      </c>
      <c r="AO50" t="s">
        <v>106</v>
      </c>
      <c r="AP50" t="s">
        <v>106</v>
      </c>
      <c r="AQ50" t="s">
        <v>106</v>
      </c>
      <c r="AR50" t="s">
        <v>106</v>
      </c>
      <c r="AS50" t="s">
        <v>106</v>
      </c>
      <c r="AT50" t="s">
        <v>106</v>
      </c>
      <c r="AU50" t="s">
        <v>106</v>
      </c>
      <c r="AV50">
        <v>4.3</v>
      </c>
      <c r="AW50" t="s">
        <v>106</v>
      </c>
      <c r="AX50" t="s">
        <v>106</v>
      </c>
      <c r="AY50" t="s">
        <v>106</v>
      </c>
      <c r="AZ50" t="s">
        <v>106</v>
      </c>
      <c r="BA50" t="s">
        <v>106</v>
      </c>
      <c r="BB50" t="s">
        <v>106</v>
      </c>
      <c r="BC50" t="s">
        <v>106</v>
      </c>
      <c r="BD50" t="s">
        <v>106</v>
      </c>
      <c r="BE50" t="s">
        <v>106</v>
      </c>
      <c r="BF50" t="s">
        <v>106</v>
      </c>
      <c r="BG50" t="s">
        <v>106</v>
      </c>
      <c r="BH50" t="s">
        <v>106</v>
      </c>
      <c r="BI50" t="s">
        <v>106</v>
      </c>
      <c r="BJ50">
        <v>147</v>
      </c>
      <c r="BK50" t="s">
        <v>106</v>
      </c>
      <c r="BL50">
        <v>188.4</v>
      </c>
      <c r="BM50">
        <v>4.3</v>
      </c>
    </row>
    <row r="51" spans="3:65">
      <c r="D51" t="s">
        <v>154</v>
      </c>
      <c r="E51" t="s">
        <v>105</v>
      </c>
      <c r="F51" t="s">
        <v>106</v>
      </c>
      <c r="G51">
        <v>2266.6999999999998</v>
      </c>
      <c r="H51" t="s">
        <v>106</v>
      </c>
      <c r="I51">
        <v>3201.6</v>
      </c>
      <c r="J51" t="s">
        <v>106</v>
      </c>
      <c r="K51" t="s">
        <v>106</v>
      </c>
      <c r="L51" t="s">
        <v>106</v>
      </c>
      <c r="M51">
        <v>0.7</v>
      </c>
      <c r="N51">
        <v>646.29999999999995</v>
      </c>
      <c r="O51" t="s">
        <v>106</v>
      </c>
      <c r="P51">
        <v>1742.1</v>
      </c>
      <c r="Q51">
        <v>41.7</v>
      </c>
      <c r="R51">
        <v>182.8</v>
      </c>
      <c r="S51">
        <v>1192.7</v>
      </c>
      <c r="T51">
        <v>7124.1</v>
      </c>
      <c r="U51" t="s">
        <v>106</v>
      </c>
      <c r="V51" t="s">
        <v>106</v>
      </c>
      <c r="W51" t="s">
        <v>106</v>
      </c>
      <c r="X51" t="s">
        <v>106</v>
      </c>
      <c r="Y51">
        <v>441.3</v>
      </c>
      <c r="Z51">
        <v>1082.8</v>
      </c>
      <c r="AA51">
        <v>106.1</v>
      </c>
      <c r="AB51">
        <v>30.8</v>
      </c>
      <c r="AC51" t="s">
        <v>106</v>
      </c>
      <c r="AD51" t="s">
        <v>106</v>
      </c>
      <c r="AE51">
        <v>0.9</v>
      </c>
      <c r="AF51">
        <v>74</v>
      </c>
      <c r="AG51">
        <v>446.6</v>
      </c>
      <c r="AH51">
        <v>39.299999999999997</v>
      </c>
      <c r="AI51">
        <v>6.2</v>
      </c>
      <c r="AJ51">
        <v>601.5</v>
      </c>
      <c r="AK51" t="s">
        <v>106</v>
      </c>
      <c r="AL51" t="s">
        <v>106</v>
      </c>
      <c r="AM51" t="s">
        <v>106</v>
      </c>
      <c r="AN51" t="s">
        <v>106</v>
      </c>
      <c r="AO51" t="s">
        <v>106</v>
      </c>
      <c r="AP51" t="s">
        <v>106</v>
      </c>
      <c r="AQ51" t="s">
        <v>106</v>
      </c>
      <c r="AR51">
        <v>1787.6</v>
      </c>
      <c r="AS51">
        <v>79.3</v>
      </c>
      <c r="AT51">
        <v>365.9</v>
      </c>
      <c r="AU51">
        <v>258.7</v>
      </c>
      <c r="AV51">
        <v>19.7</v>
      </c>
      <c r="AW51">
        <v>2.2000000000000002</v>
      </c>
      <c r="AX51" t="s">
        <v>106</v>
      </c>
      <c r="AY51" t="s">
        <v>106</v>
      </c>
      <c r="AZ51" t="s">
        <v>106</v>
      </c>
      <c r="BA51" t="s">
        <v>106</v>
      </c>
      <c r="BB51" t="s">
        <v>106</v>
      </c>
      <c r="BC51" t="s">
        <v>106</v>
      </c>
      <c r="BD51">
        <v>5.0999999999999996</v>
      </c>
      <c r="BE51" t="s">
        <v>106</v>
      </c>
      <c r="BF51">
        <v>1.3</v>
      </c>
      <c r="BG51" t="s">
        <v>106</v>
      </c>
      <c r="BH51" t="s">
        <v>106</v>
      </c>
      <c r="BI51" t="s">
        <v>106</v>
      </c>
      <c r="BJ51">
        <v>24566.6</v>
      </c>
      <c r="BK51">
        <v>3282.3</v>
      </c>
      <c r="BL51">
        <v>49596.800000000003</v>
      </c>
      <c r="BM51">
        <v>2519.6999999999998</v>
      </c>
    </row>
    <row r="52" spans="3:65">
      <c r="E52" t="s">
        <v>155</v>
      </c>
      <c r="F52" t="s">
        <v>106</v>
      </c>
      <c r="G52" t="s">
        <v>106</v>
      </c>
      <c r="H52" t="s">
        <v>106</v>
      </c>
      <c r="I52" t="s">
        <v>106</v>
      </c>
      <c r="J52" t="s">
        <v>106</v>
      </c>
      <c r="K52" t="s">
        <v>106</v>
      </c>
      <c r="L52" t="s">
        <v>106</v>
      </c>
      <c r="M52" t="s">
        <v>106</v>
      </c>
      <c r="N52" t="s">
        <v>106</v>
      </c>
      <c r="O52" t="s">
        <v>106</v>
      </c>
      <c r="P52" t="s">
        <v>106</v>
      </c>
      <c r="Q52" t="s">
        <v>106</v>
      </c>
      <c r="R52" t="s">
        <v>106</v>
      </c>
      <c r="S52" t="s">
        <v>106</v>
      </c>
      <c r="T52">
        <v>872.5</v>
      </c>
      <c r="U52" t="s">
        <v>106</v>
      </c>
      <c r="V52" t="s">
        <v>106</v>
      </c>
      <c r="W52" t="s">
        <v>106</v>
      </c>
      <c r="X52" t="s">
        <v>106</v>
      </c>
      <c r="Y52" t="s">
        <v>106</v>
      </c>
      <c r="Z52">
        <v>20.7</v>
      </c>
      <c r="AA52">
        <v>0</v>
      </c>
      <c r="AB52">
        <v>0.1</v>
      </c>
      <c r="AC52" t="s">
        <v>106</v>
      </c>
      <c r="AD52" t="s">
        <v>106</v>
      </c>
      <c r="AE52" t="s">
        <v>106</v>
      </c>
      <c r="AF52">
        <v>4.7</v>
      </c>
      <c r="AG52">
        <v>3.1</v>
      </c>
      <c r="AH52">
        <v>0.1</v>
      </c>
      <c r="AI52">
        <v>0.2</v>
      </c>
      <c r="AJ52">
        <v>11.4</v>
      </c>
      <c r="AK52" t="s">
        <v>106</v>
      </c>
      <c r="AL52" t="s">
        <v>106</v>
      </c>
      <c r="AM52" t="s">
        <v>106</v>
      </c>
      <c r="AN52" t="s">
        <v>106</v>
      </c>
      <c r="AO52" t="s">
        <v>106</v>
      </c>
      <c r="AP52" t="s">
        <v>106</v>
      </c>
      <c r="AQ52" t="s">
        <v>106</v>
      </c>
      <c r="AR52">
        <v>5.4</v>
      </c>
      <c r="AS52" t="s">
        <v>106</v>
      </c>
      <c r="AT52">
        <v>17.5</v>
      </c>
      <c r="AU52">
        <v>10</v>
      </c>
      <c r="AV52">
        <v>6.9</v>
      </c>
      <c r="AW52" t="s">
        <v>106</v>
      </c>
      <c r="AX52" t="s">
        <v>106</v>
      </c>
      <c r="AY52" t="s">
        <v>106</v>
      </c>
      <c r="AZ52" t="s">
        <v>106</v>
      </c>
      <c r="BA52" t="s">
        <v>106</v>
      </c>
      <c r="BB52" t="s">
        <v>106</v>
      </c>
      <c r="BC52" t="s">
        <v>106</v>
      </c>
      <c r="BD52" t="s">
        <v>106</v>
      </c>
      <c r="BE52" t="s">
        <v>106</v>
      </c>
      <c r="BF52" t="s">
        <v>106</v>
      </c>
      <c r="BG52" t="s">
        <v>106</v>
      </c>
      <c r="BH52" t="s">
        <v>106</v>
      </c>
      <c r="BI52" t="s">
        <v>106</v>
      </c>
      <c r="BJ52">
        <v>1209.7</v>
      </c>
      <c r="BK52">
        <v>107.6</v>
      </c>
      <c r="BL52">
        <v>2269.8000000000002</v>
      </c>
      <c r="BM52">
        <v>39.799999999999997</v>
      </c>
    </row>
    <row r="53" spans="3:65">
      <c r="E53" t="s">
        <v>156</v>
      </c>
      <c r="F53" t="s">
        <v>106</v>
      </c>
      <c r="G53" t="s">
        <v>106</v>
      </c>
      <c r="H53" t="s">
        <v>106</v>
      </c>
      <c r="I53">
        <v>391.3</v>
      </c>
      <c r="J53" t="s">
        <v>106</v>
      </c>
      <c r="K53" t="s">
        <v>106</v>
      </c>
      <c r="L53" t="s">
        <v>106</v>
      </c>
      <c r="M53" t="s">
        <v>106</v>
      </c>
      <c r="N53" t="s">
        <v>106</v>
      </c>
      <c r="O53" t="s">
        <v>106</v>
      </c>
      <c r="P53" t="s">
        <v>106</v>
      </c>
      <c r="Q53" t="s">
        <v>106</v>
      </c>
      <c r="R53" t="s">
        <v>106</v>
      </c>
      <c r="S53" t="s">
        <v>106</v>
      </c>
      <c r="T53">
        <v>172.7</v>
      </c>
      <c r="U53" t="s">
        <v>106</v>
      </c>
      <c r="V53" t="s">
        <v>106</v>
      </c>
      <c r="W53" t="s">
        <v>106</v>
      </c>
      <c r="X53" t="s">
        <v>106</v>
      </c>
      <c r="Y53" t="s">
        <v>106</v>
      </c>
      <c r="Z53">
        <v>4</v>
      </c>
      <c r="AA53">
        <v>0.2</v>
      </c>
      <c r="AB53">
        <v>0</v>
      </c>
      <c r="AC53" t="s">
        <v>106</v>
      </c>
      <c r="AD53" t="s">
        <v>106</v>
      </c>
      <c r="AE53" t="s">
        <v>106</v>
      </c>
      <c r="AF53">
        <v>2.2000000000000002</v>
      </c>
      <c r="AG53">
        <v>2</v>
      </c>
      <c r="AH53">
        <v>0.1</v>
      </c>
      <c r="AI53">
        <v>0.3</v>
      </c>
      <c r="AJ53">
        <v>5</v>
      </c>
      <c r="AK53" t="s">
        <v>106</v>
      </c>
      <c r="AL53" t="s">
        <v>106</v>
      </c>
      <c r="AM53" t="s">
        <v>106</v>
      </c>
      <c r="AN53" t="s">
        <v>106</v>
      </c>
      <c r="AO53" t="s">
        <v>106</v>
      </c>
      <c r="AP53" t="s">
        <v>106</v>
      </c>
      <c r="AQ53" t="s">
        <v>106</v>
      </c>
      <c r="AR53">
        <v>30.6</v>
      </c>
      <c r="AS53">
        <v>2.2999999999999998</v>
      </c>
      <c r="AT53">
        <v>34.299999999999997</v>
      </c>
      <c r="AU53">
        <v>11.1</v>
      </c>
      <c r="AV53" t="s">
        <v>106</v>
      </c>
      <c r="AW53" t="s">
        <v>106</v>
      </c>
      <c r="AX53" t="s">
        <v>106</v>
      </c>
      <c r="AY53" t="s">
        <v>106</v>
      </c>
      <c r="AZ53" t="s">
        <v>106</v>
      </c>
      <c r="BA53" t="s">
        <v>106</v>
      </c>
      <c r="BB53" t="s">
        <v>106</v>
      </c>
      <c r="BC53" t="s">
        <v>106</v>
      </c>
      <c r="BD53" t="s">
        <v>106</v>
      </c>
      <c r="BE53" t="s">
        <v>106</v>
      </c>
      <c r="BF53" t="s">
        <v>106</v>
      </c>
      <c r="BG53" t="s">
        <v>106</v>
      </c>
      <c r="BH53" t="s">
        <v>106</v>
      </c>
      <c r="BI53" t="s">
        <v>106</v>
      </c>
      <c r="BJ53">
        <v>724.9</v>
      </c>
      <c r="BK53">
        <v>216.3</v>
      </c>
      <c r="BL53">
        <v>1597.3</v>
      </c>
      <c r="BM53">
        <v>78.3</v>
      </c>
    </row>
    <row r="54" spans="3:65">
      <c r="E54" t="s">
        <v>157</v>
      </c>
      <c r="F54" t="s">
        <v>106</v>
      </c>
      <c r="G54" t="s">
        <v>106</v>
      </c>
      <c r="H54" t="s">
        <v>106</v>
      </c>
      <c r="I54" t="s">
        <v>106</v>
      </c>
      <c r="J54" t="s">
        <v>106</v>
      </c>
      <c r="K54" t="s">
        <v>106</v>
      </c>
      <c r="L54" t="s">
        <v>106</v>
      </c>
      <c r="M54" t="s">
        <v>106</v>
      </c>
      <c r="N54" t="s">
        <v>106</v>
      </c>
      <c r="O54" t="s">
        <v>106</v>
      </c>
      <c r="P54" t="s">
        <v>106</v>
      </c>
      <c r="Q54" t="s">
        <v>106</v>
      </c>
      <c r="R54" t="s">
        <v>106</v>
      </c>
      <c r="S54" t="s">
        <v>106</v>
      </c>
      <c r="T54">
        <v>29</v>
      </c>
      <c r="U54" t="s">
        <v>106</v>
      </c>
      <c r="V54" t="s">
        <v>106</v>
      </c>
      <c r="W54" t="s">
        <v>106</v>
      </c>
      <c r="X54" t="s">
        <v>106</v>
      </c>
      <c r="Y54" t="s">
        <v>106</v>
      </c>
      <c r="Z54">
        <v>0.3</v>
      </c>
      <c r="AA54" t="s">
        <v>106</v>
      </c>
      <c r="AB54">
        <v>0.2</v>
      </c>
      <c r="AC54" t="s">
        <v>106</v>
      </c>
      <c r="AD54" t="s">
        <v>106</v>
      </c>
      <c r="AE54" t="s">
        <v>106</v>
      </c>
      <c r="AF54">
        <v>0.5</v>
      </c>
      <c r="AG54">
        <v>3.6</v>
      </c>
      <c r="AH54" t="s">
        <v>106</v>
      </c>
      <c r="AI54" t="s">
        <v>106</v>
      </c>
      <c r="AJ54">
        <v>1.7</v>
      </c>
      <c r="AK54" t="s">
        <v>106</v>
      </c>
      <c r="AL54" t="s">
        <v>106</v>
      </c>
      <c r="AM54" t="s">
        <v>106</v>
      </c>
      <c r="AN54" t="s">
        <v>106</v>
      </c>
      <c r="AO54" t="s">
        <v>106</v>
      </c>
      <c r="AP54" t="s">
        <v>106</v>
      </c>
      <c r="AQ54" t="s">
        <v>106</v>
      </c>
      <c r="AR54" t="s">
        <v>106</v>
      </c>
      <c r="AS54" t="s">
        <v>106</v>
      </c>
      <c r="AT54" t="s">
        <v>106</v>
      </c>
      <c r="AU54">
        <v>37.799999999999997</v>
      </c>
      <c r="AV54" t="s">
        <v>106</v>
      </c>
      <c r="AW54" t="s">
        <v>106</v>
      </c>
      <c r="AX54" t="s">
        <v>106</v>
      </c>
      <c r="AY54" t="s">
        <v>106</v>
      </c>
      <c r="AZ54" t="s">
        <v>106</v>
      </c>
      <c r="BA54" t="s">
        <v>106</v>
      </c>
      <c r="BB54" t="s">
        <v>106</v>
      </c>
      <c r="BC54" t="s">
        <v>106</v>
      </c>
      <c r="BD54" t="s">
        <v>106</v>
      </c>
      <c r="BE54" t="s">
        <v>106</v>
      </c>
      <c r="BF54" t="s">
        <v>106</v>
      </c>
      <c r="BG54" t="s">
        <v>106</v>
      </c>
      <c r="BH54" t="s">
        <v>106</v>
      </c>
      <c r="BI54" t="s">
        <v>106</v>
      </c>
      <c r="BJ54">
        <v>141.69999999999999</v>
      </c>
      <c r="BK54">
        <v>7.9</v>
      </c>
      <c r="BL54">
        <v>222.8</v>
      </c>
      <c r="BM54">
        <v>37.799999999999997</v>
      </c>
    </row>
    <row r="55" spans="3:65">
      <c r="E55" t="s">
        <v>158</v>
      </c>
      <c r="F55" t="s">
        <v>106</v>
      </c>
      <c r="G55" t="s">
        <v>106</v>
      </c>
      <c r="H55" t="s">
        <v>106</v>
      </c>
      <c r="I55" t="s">
        <v>106</v>
      </c>
      <c r="J55" t="s">
        <v>106</v>
      </c>
      <c r="K55" t="s">
        <v>106</v>
      </c>
      <c r="L55" t="s">
        <v>106</v>
      </c>
      <c r="M55" t="s">
        <v>106</v>
      </c>
      <c r="N55" t="s">
        <v>106</v>
      </c>
      <c r="O55" t="s">
        <v>106</v>
      </c>
      <c r="P55" t="s">
        <v>106</v>
      </c>
      <c r="Q55" t="s">
        <v>106</v>
      </c>
      <c r="R55" t="s">
        <v>106</v>
      </c>
      <c r="S55" t="s">
        <v>106</v>
      </c>
      <c r="T55">
        <v>282.10000000000002</v>
      </c>
      <c r="U55" t="s">
        <v>106</v>
      </c>
      <c r="V55" t="s">
        <v>106</v>
      </c>
      <c r="W55" t="s">
        <v>106</v>
      </c>
      <c r="X55" t="s">
        <v>106</v>
      </c>
      <c r="Y55" t="s">
        <v>106</v>
      </c>
      <c r="Z55">
        <v>5.3</v>
      </c>
      <c r="AA55" t="s">
        <v>106</v>
      </c>
      <c r="AB55">
        <v>0.1</v>
      </c>
      <c r="AC55" t="s">
        <v>106</v>
      </c>
      <c r="AD55" t="s">
        <v>106</v>
      </c>
      <c r="AE55" t="s">
        <v>106</v>
      </c>
      <c r="AF55">
        <v>0.7</v>
      </c>
      <c r="AG55">
        <v>6.1</v>
      </c>
      <c r="AH55">
        <v>0.1</v>
      </c>
      <c r="AI55">
        <v>0.4</v>
      </c>
      <c r="AJ55">
        <v>9.6</v>
      </c>
      <c r="AK55" t="s">
        <v>106</v>
      </c>
      <c r="AL55" t="s">
        <v>106</v>
      </c>
      <c r="AM55" t="s">
        <v>106</v>
      </c>
      <c r="AN55" t="s">
        <v>106</v>
      </c>
      <c r="AO55" t="s">
        <v>106</v>
      </c>
      <c r="AP55" t="s">
        <v>106</v>
      </c>
      <c r="AQ55" t="s">
        <v>106</v>
      </c>
      <c r="AR55">
        <v>230.7</v>
      </c>
      <c r="AS55">
        <v>10.9</v>
      </c>
      <c r="AT55">
        <v>224.4</v>
      </c>
      <c r="AU55">
        <v>16.5</v>
      </c>
      <c r="AV55">
        <v>2.9</v>
      </c>
      <c r="AW55" t="s">
        <v>106</v>
      </c>
      <c r="AX55" t="s">
        <v>106</v>
      </c>
      <c r="AY55" t="s">
        <v>106</v>
      </c>
      <c r="AZ55" t="s">
        <v>106</v>
      </c>
      <c r="BA55" t="s">
        <v>106</v>
      </c>
      <c r="BB55" t="s">
        <v>106</v>
      </c>
      <c r="BC55" t="s">
        <v>106</v>
      </c>
      <c r="BD55" t="s">
        <v>106</v>
      </c>
      <c r="BE55" t="s">
        <v>106</v>
      </c>
      <c r="BF55" t="s">
        <v>106</v>
      </c>
      <c r="BG55" t="s">
        <v>106</v>
      </c>
      <c r="BH55" t="s">
        <v>106</v>
      </c>
      <c r="BI55" t="s">
        <v>106</v>
      </c>
      <c r="BJ55">
        <v>789.2</v>
      </c>
      <c r="BK55">
        <v>220.4</v>
      </c>
      <c r="BL55">
        <v>1799.4</v>
      </c>
      <c r="BM55">
        <v>485.4</v>
      </c>
    </row>
    <row r="56" spans="3:65">
      <c r="E56" t="s">
        <v>159</v>
      </c>
      <c r="F56" t="s">
        <v>106</v>
      </c>
      <c r="G56" t="s">
        <v>106</v>
      </c>
      <c r="H56" t="s">
        <v>106</v>
      </c>
      <c r="I56">
        <v>642.79999999999995</v>
      </c>
      <c r="J56" t="s">
        <v>106</v>
      </c>
      <c r="K56" t="s">
        <v>106</v>
      </c>
      <c r="L56" t="s">
        <v>106</v>
      </c>
      <c r="M56" t="s">
        <v>106</v>
      </c>
      <c r="N56" t="s">
        <v>106</v>
      </c>
      <c r="O56" t="s">
        <v>106</v>
      </c>
      <c r="P56" t="s">
        <v>106</v>
      </c>
      <c r="Q56" t="s">
        <v>106</v>
      </c>
      <c r="R56" t="s">
        <v>106</v>
      </c>
      <c r="S56">
        <v>93.1</v>
      </c>
      <c r="T56">
        <v>1552.9</v>
      </c>
      <c r="U56" t="s">
        <v>106</v>
      </c>
      <c r="V56" t="s">
        <v>106</v>
      </c>
      <c r="W56" t="s">
        <v>106</v>
      </c>
      <c r="X56" t="s">
        <v>106</v>
      </c>
      <c r="Y56">
        <v>441.3</v>
      </c>
      <c r="Z56">
        <v>232.7</v>
      </c>
      <c r="AA56">
        <v>8</v>
      </c>
      <c r="AB56">
        <v>0.1</v>
      </c>
      <c r="AC56" t="s">
        <v>106</v>
      </c>
      <c r="AD56" t="s">
        <v>106</v>
      </c>
      <c r="AE56" t="s">
        <v>106</v>
      </c>
      <c r="AF56">
        <v>8.8000000000000007</v>
      </c>
      <c r="AG56">
        <v>8.3000000000000007</v>
      </c>
      <c r="AH56">
        <v>2</v>
      </c>
      <c r="AI56">
        <v>2.6</v>
      </c>
      <c r="AJ56">
        <v>213.8</v>
      </c>
      <c r="AK56" t="s">
        <v>106</v>
      </c>
      <c r="AL56" t="s">
        <v>106</v>
      </c>
      <c r="AM56" t="s">
        <v>106</v>
      </c>
      <c r="AN56" t="s">
        <v>106</v>
      </c>
      <c r="AO56" t="s">
        <v>106</v>
      </c>
      <c r="AP56" t="s">
        <v>106</v>
      </c>
      <c r="AQ56" t="s">
        <v>106</v>
      </c>
      <c r="AR56">
        <v>82.1</v>
      </c>
      <c r="AS56" t="s">
        <v>106</v>
      </c>
      <c r="AT56">
        <v>69.8</v>
      </c>
      <c r="AU56">
        <v>12.1</v>
      </c>
      <c r="AV56">
        <v>1.7</v>
      </c>
      <c r="AW56">
        <v>2.2000000000000002</v>
      </c>
      <c r="AX56" t="s">
        <v>106</v>
      </c>
      <c r="AY56" t="s">
        <v>106</v>
      </c>
      <c r="AZ56" t="s">
        <v>106</v>
      </c>
      <c r="BA56" t="s">
        <v>106</v>
      </c>
      <c r="BB56" t="s">
        <v>106</v>
      </c>
      <c r="BC56" t="s">
        <v>106</v>
      </c>
      <c r="BD56" t="s">
        <v>106</v>
      </c>
      <c r="BE56" t="s">
        <v>106</v>
      </c>
      <c r="BF56" t="s">
        <v>106</v>
      </c>
      <c r="BG56" t="s">
        <v>106</v>
      </c>
      <c r="BH56" t="s">
        <v>106</v>
      </c>
      <c r="BI56" t="s">
        <v>106</v>
      </c>
      <c r="BJ56">
        <v>5225.1000000000004</v>
      </c>
      <c r="BK56">
        <v>2364.9</v>
      </c>
      <c r="BL56">
        <v>10964.4</v>
      </c>
      <c r="BM56">
        <v>168</v>
      </c>
    </row>
    <row r="57" spans="3:65">
      <c r="E57" t="s">
        <v>160</v>
      </c>
      <c r="F57" t="s">
        <v>106</v>
      </c>
      <c r="G57" t="s">
        <v>106</v>
      </c>
      <c r="H57" t="s">
        <v>106</v>
      </c>
      <c r="I57">
        <v>1951.4</v>
      </c>
      <c r="J57" t="s">
        <v>106</v>
      </c>
      <c r="K57" t="s">
        <v>106</v>
      </c>
      <c r="L57" t="s">
        <v>106</v>
      </c>
      <c r="M57" t="s">
        <v>106</v>
      </c>
      <c r="N57" t="s">
        <v>106</v>
      </c>
      <c r="O57" t="s">
        <v>106</v>
      </c>
      <c r="P57" t="s">
        <v>106</v>
      </c>
      <c r="Q57" t="s">
        <v>106</v>
      </c>
      <c r="R57" t="s">
        <v>106</v>
      </c>
      <c r="S57" t="s">
        <v>106</v>
      </c>
      <c r="T57">
        <v>491.3</v>
      </c>
      <c r="U57" t="s">
        <v>106</v>
      </c>
      <c r="V57" t="s">
        <v>106</v>
      </c>
      <c r="W57" t="s">
        <v>106</v>
      </c>
      <c r="X57" t="s">
        <v>106</v>
      </c>
      <c r="Y57" t="s">
        <v>106</v>
      </c>
      <c r="Z57">
        <v>28.8</v>
      </c>
      <c r="AA57">
        <v>0</v>
      </c>
      <c r="AB57">
        <v>0.7</v>
      </c>
      <c r="AC57" t="s">
        <v>106</v>
      </c>
      <c r="AD57" t="s">
        <v>106</v>
      </c>
      <c r="AE57" t="s">
        <v>106</v>
      </c>
      <c r="AF57">
        <v>1.2</v>
      </c>
      <c r="AG57">
        <v>143</v>
      </c>
      <c r="AH57">
        <v>3.3</v>
      </c>
      <c r="AI57">
        <v>0.7</v>
      </c>
      <c r="AJ57">
        <v>234.5</v>
      </c>
      <c r="AK57" t="s">
        <v>106</v>
      </c>
      <c r="AL57" t="s">
        <v>106</v>
      </c>
      <c r="AM57" t="s">
        <v>106</v>
      </c>
      <c r="AN57" t="s">
        <v>106</v>
      </c>
      <c r="AO57" t="s">
        <v>106</v>
      </c>
      <c r="AP57" t="s">
        <v>106</v>
      </c>
      <c r="AQ57" t="s">
        <v>106</v>
      </c>
      <c r="AR57">
        <v>1251.5999999999999</v>
      </c>
      <c r="AS57" t="s">
        <v>106</v>
      </c>
      <c r="AT57" t="s">
        <v>106</v>
      </c>
      <c r="AU57" t="s">
        <v>106</v>
      </c>
      <c r="AV57" t="s">
        <v>106</v>
      </c>
      <c r="AW57" t="s">
        <v>106</v>
      </c>
      <c r="AX57" t="s">
        <v>106</v>
      </c>
      <c r="AY57" t="s">
        <v>106</v>
      </c>
      <c r="AZ57" t="s">
        <v>106</v>
      </c>
      <c r="BA57" t="s">
        <v>106</v>
      </c>
      <c r="BB57" t="s">
        <v>106</v>
      </c>
      <c r="BC57" t="s">
        <v>106</v>
      </c>
      <c r="BD57" t="s">
        <v>106</v>
      </c>
      <c r="BE57" t="s">
        <v>106</v>
      </c>
      <c r="BF57" t="s">
        <v>106</v>
      </c>
      <c r="BG57" t="s">
        <v>106</v>
      </c>
      <c r="BH57" t="s">
        <v>106</v>
      </c>
      <c r="BI57" t="s">
        <v>106</v>
      </c>
      <c r="BJ57">
        <v>1019.3</v>
      </c>
      <c r="BK57">
        <v>0.3</v>
      </c>
      <c r="BL57">
        <v>5126.1000000000004</v>
      </c>
      <c r="BM57">
        <v>1251.5999999999999</v>
      </c>
    </row>
    <row r="58" spans="3:65">
      <c r="E58" t="s">
        <v>161</v>
      </c>
      <c r="F58" t="s">
        <v>106</v>
      </c>
      <c r="G58">
        <v>617.1</v>
      </c>
      <c r="H58" t="s">
        <v>106</v>
      </c>
      <c r="I58" t="s">
        <v>106</v>
      </c>
      <c r="J58" t="s">
        <v>106</v>
      </c>
      <c r="K58" t="s">
        <v>106</v>
      </c>
      <c r="L58" t="s">
        <v>106</v>
      </c>
      <c r="M58" t="s">
        <v>106</v>
      </c>
      <c r="N58">
        <v>646.29999999999995</v>
      </c>
      <c r="O58" t="s">
        <v>106</v>
      </c>
      <c r="P58">
        <v>1742.1</v>
      </c>
      <c r="Q58">
        <v>41.7</v>
      </c>
      <c r="R58">
        <v>182.8</v>
      </c>
      <c r="S58">
        <v>552.6</v>
      </c>
      <c r="T58">
        <v>1087.3</v>
      </c>
      <c r="U58" t="s">
        <v>106</v>
      </c>
      <c r="V58" t="s">
        <v>106</v>
      </c>
      <c r="W58" t="s">
        <v>106</v>
      </c>
      <c r="X58" t="s">
        <v>106</v>
      </c>
      <c r="Y58" t="s">
        <v>106</v>
      </c>
      <c r="Z58">
        <v>52.1</v>
      </c>
      <c r="AA58">
        <v>2</v>
      </c>
      <c r="AB58" t="s">
        <v>106</v>
      </c>
      <c r="AC58" t="s">
        <v>106</v>
      </c>
      <c r="AD58" t="s">
        <v>106</v>
      </c>
      <c r="AE58" t="s">
        <v>106</v>
      </c>
      <c r="AF58">
        <v>0.5</v>
      </c>
      <c r="AG58">
        <v>2.8</v>
      </c>
      <c r="AH58">
        <v>0</v>
      </c>
      <c r="AI58">
        <v>0</v>
      </c>
      <c r="AJ58">
        <v>0.1</v>
      </c>
      <c r="AK58" t="s">
        <v>106</v>
      </c>
      <c r="AL58" t="s">
        <v>106</v>
      </c>
      <c r="AM58" t="s">
        <v>106</v>
      </c>
      <c r="AN58" t="s">
        <v>106</v>
      </c>
      <c r="AO58" t="s">
        <v>106</v>
      </c>
      <c r="AP58" t="s">
        <v>106</v>
      </c>
      <c r="AQ58" t="s">
        <v>106</v>
      </c>
      <c r="AR58">
        <v>7.3</v>
      </c>
      <c r="AS58" t="s">
        <v>106</v>
      </c>
      <c r="AT58" t="s">
        <v>106</v>
      </c>
      <c r="AU58">
        <v>10.9</v>
      </c>
      <c r="AV58" t="s">
        <v>106</v>
      </c>
      <c r="AW58" t="s">
        <v>106</v>
      </c>
      <c r="AX58" t="s">
        <v>106</v>
      </c>
      <c r="AY58" t="s">
        <v>106</v>
      </c>
      <c r="AZ58" t="s">
        <v>106</v>
      </c>
      <c r="BA58" t="s">
        <v>106</v>
      </c>
      <c r="BB58" t="s">
        <v>106</v>
      </c>
      <c r="BC58" t="s">
        <v>106</v>
      </c>
      <c r="BD58" t="s">
        <v>106</v>
      </c>
      <c r="BE58" t="s">
        <v>106</v>
      </c>
      <c r="BF58" t="s">
        <v>106</v>
      </c>
      <c r="BG58" t="s">
        <v>106</v>
      </c>
      <c r="BH58" t="s">
        <v>106</v>
      </c>
      <c r="BI58" t="s">
        <v>106</v>
      </c>
      <c r="BJ58">
        <v>4079.1</v>
      </c>
      <c r="BK58">
        <v>5.6</v>
      </c>
      <c r="BL58">
        <v>9030.2999999999993</v>
      </c>
      <c r="BM58">
        <v>18.100000000000001</v>
      </c>
    </row>
    <row r="59" spans="3:65">
      <c r="E59" t="s">
        <v>162</v>
      </c>
      <c r="F59" t="s">
        <v>106</v>
      </c>
      <c r="G59">
        <v>176.3</v>
      </c>
      <c r="H59" t="s">
        <v>106</v>
      </c>
      <c r="I59">
        <v>216</v>
      </c>
      <c r="J59" t="s">
        <v>106</v>
      </c>
      <c r="K59" t="s">
        <v>106</v>
      </c>
      <c r="L59" t="s">
        <v>106</v>
      </c>
      <c r="M59" t="s">
        <v>106</v>
      </c>
      <c r="N59" t="s">
        <v>106</v>
      </c>
      <c r="O59" t="s">
        <v>106</v>
      </c>
      <c r="P59" t="s">
        <v>106</v>
      </c>
      <c r="Q59" t="s">
        <v>106</v>
      </c>
      <c r="R59" t="s">
        <v>106</v>
      </c>
      <c r="S59">
        <v>185.3</v>
      </c>
      <c r="T59">
        <v>483.5</v>
      </c>
      <c r="U59" t="s">
        <v>106</v>
      </c>
      <c r="V59" t="s">
        <v>106</v>
      </c>
      <c r="W59" t="s">
        <v>106</v>
      </c>
      <c r="X59" t="s">
        <v>106</v>
      </c>
      <c r="Y59" t="s">
        <v>106</v>
      </c>
      <c r="Z59">
        <v>12.6</v>
      </c>
      <c r="AA59">
        <v>0.1</v>
      </c>
      <c r="AB59" t="s">
        <v>106</v>
      </c>
      <c r="AC59" t="s">
        <v>106</v>
      </c>
      <c r="AD59" t="s">
        <v>106</v>
      </c>
      <c r="AE59" t="s">
        <v>106</v>
      </c>
      <c r="AF59" t="s">
        <v>106</v>
      </c>
      <c r="AG59">
        <v>3.2</v>
      </c>
      <c r="AH59">
        <v>0.1</v>
      </c>
      <c r="AI59">
        <v>0</v>
      </c>
      <c r="AJ59">
        <v>30.8</v>
      </c>
      <c r="AK59" t="s">
        <v>106</v>
      </c>
      <c r="AL59" t="s">
        <v>106</v>
      </c>
      <c r="AM59" t="s">
        <v>106</v>
      </c>
      <c r="AN59" t="s">
        <v>106</v>
      </c>
      <c r="AO59" t="s">
        <v>106</v>
      </c>
      <c r="AP59" t="s">
        <v>106</v>
      </c>
      <c r="AQ59" t="s">
        <v>106</v>
      </c>
      <c r="AR59" t="s">
        <v>106</v>
      </c>
      <c r="AS59" t="s">
        <v>106</v>
      </c>
      <c r="AT59" t="s">
        <v>106</v>
      </c>
      <c r="AU59" t="s">
        <v>106</v>
      </c>
      <c r="AV59" t="s">
        <v>106</v>
      </c>
      <c r="AW59" t="s">
        <v>106</v>
      </c>
      <c r="AX59" t="s">
        <v>106</v>
      </c>
      <c r="AY59" t="s">
        <v>106</v>
      </c>
      <c r="AZ59" t="s">
        <v>106</v>
      </c>
      <c r="BA59" t="s">
        <v>106</v>
      </c>
      <c r="BB59" t="s">
        <v>106</v>
      </c>
      <c r="BC59" t="s">
        <v>106</v>
      </c>
      <c r="BD59" t="s">
        <v>106</v>
      </c>
      <c r="BE59" t="s">
        <v>106</v>
      </c>
      <c r="BF59" t="s">
        <v>106</v>
      </c>
      <c r="BG59" t="s">
        <v>106</v>
      </c>
      <c r="BH59" t="s">
        <v>106</v>
      </c>
      <c r="BI59" t="s">
        <v>106</v>
      </c>
      <c r="BJ59">
        <v>991.4</v>
      </c>
      <c r="BK59">
        <v>38.1</v>
      </c>
      <c r="BL59">
        <v>2137.3000000000002</v>
      </c>
      <c r="BM59" t="s">
        <v>106</v>
      </c>
    </row>
    <row r="60" spans="3:65">
      <c r="E60" t="s">
        <v>163</v>
      </c>
      <c r="F60" t="s">
        <v>106</v>
      </c>
      <c r="G60" t="s">
        <v>106</v>
      </c>
      <c r="H60" t="s">
        <v>106</v>
      </c>
      <c r="I60" t="s">
        <v>106</v>
      </c>
      <c r="J60" t="s">
        <v>106</v>
      </c>
      <c r="K60" t="s">
        <v>106</v>
      </c>
      <c r="L60" t="s">
        <v>106</v>
      </c>
      <c r="M60" t="s">
        <v>106</v>
      </c>
      <c r="N60" t="s">
        <v>106</v>
      </c>
      <c r="O60" t="s">
        <v>106</v>
      </c>
      <c r="P60" t="s">
        <v>106</v>
      </c>
      <c r="Q60" t="s">
        <v>106</v>
      </c>
      <c r="R60" t="s">
        <v>106</v>
      </c>
      <c r="S60">
        <v>92.5</v>
      </c>
      <c r="T60">
        <v>1377.2</v>
      </c>
      <c r="U60" t="s">
        <v>106</v>
      </c>
      <c r="V60" t="s">
        <v>106</v>
      </c>
      <c r="W60" t="s">
        <v>106</v>
      </c>
      <c r="X60" t="s">
        <v>106</v>
      </c>
      <c r="Y60" t="s">
        <v>106</v>
      </c>
      <c r="Z60">
        <v>18.5</v>
      </c>
      <c r="AA60">
        <v>0</v>
      </c>
      <c r="AB60">
        <v>0.3</v>
      </c>
      <c r="AC60" t="s">
        <v>106</v>
      </c>
      <c r="AD60" t="s">
        <v>106</v>
      </c>
      <c r="AE60" t="s">
        <v>106</v>
      </c>
      <c r="AF60">
        <v>9.4</v>
      </c>
      <c r="AG60">
        <v>40.4</v>
      </c>
      <c r="AH60">
        <v>4.7</v>
      </c>
      <c r="AI60">
        <v>1.3</v>
      </c>
      <c r="AJ60">
        <v>3</v>
      </c>
      <c r="AK60" t="s">
        <v>106</v>
      </c>
      <c r="AL60" t="s">
        <v>106</v>
      </c>
      <c r="AM60" t="s">
        <v>106</v>
      </c>
      <c r="AN60" t="s">
        <v>106</v>
      </c>
      <c r="AO60" t="s">
        <v>106</v>
      </c>
      <c r="AP60" t="s">
        <v>106</v>
      </c>
      <c r="AQ60" t="s">
        <v>106</v>
      </c>
      <c r="AR60" t="s">
        <v>106</v>
      </c>
      <c r="AS60" t="s">
        <v>106</v>
      </c>
      <c r="AT60">
        <v>2.8</v>
      </c>
      <c r="AU60">
        <v>124.5</v>
      </c>
      <c r="AV60" t="s">
        <v>106</v>
      </c>
      <c r="AW60" t="s">
        <v>106</v>
      </c>
      <c r="AX60" t="s">
        <v>106</v>
      </c>
      <c r="AY60" t="s">
        <v>106</v>
      </c>
      <c r="AZ60" t="s">
        <v>106</v>
      </c>
      <c r="BA60" t="s">
        <v>106</v>
      </c>
      <c r="BB60" t="s">
        <v>106</v>
      </c>
      <c r="BC60" t="s">
        <v>106</v>
      </c>
      <c r="BD60" t="s">
        <v>106</v>
      </c>
      <c r="BE60" t="s">
        <v>106</v>
      </c>
      <c r="BF60" t="s">
        <v>106</v>
      </c>
      <c r="BG60" t="s">
        <v>106</v>
      </c>
      <c r="BH60" t="s">
        <v>106</v>
      </c>
      <c r="BI60" t="s">
        <v>106</v>
      </c>
      <c r="BJ60">
        <v>8043.1</v>
      </c>
      <c r="BK60">
        <v>274.5</v>
      </c>
      <c r="BL60">
        <v>9992.2999999999993</v>
      </c>
      <c r="BM60">
        <v>127.3</v>
      </c>
    </row>
    <row r="61" spans="3:65">
      <c r="E61" t="s">
        <v>164</v>
      </c>
      <c r="F61" t="s">
        <v>106</v>
      </c>
      <c r="G61" t="s">
        <v>106</v>
      </c>
      <c r="H61" t="s">
        <v>106</v>
      </c>
      <c r="I61" t="s">
        <v>106</v>
      </c>
      <c r="J61" t="s">
        <v>106</v>
      </c>
      <c r="K61" t="s">
        <v>106</v>
      </c>
      <c r="L61" t="s">
        <v>106</v>
      </c>
      <c r="M61" t="s">
        <v>106</v>
      </c>
      <c r="N61" t="s">
        <v>106</v>
      </c>
      <c r="O61" t="s">
        <v>106</v>
      </c>
      <c r="P61" t="s">
        <v>106</v>
      </c>
      <c r="Q61" t="s">
        <v>106</v>
      </c>
      <c r="R61" t="s">
        <v>106</v>
      </c>
      <c r="S61">
        <v>34.1</v>
      </c>
      <c r="T61">
        <v>648.6</v>
      </c>
      <c r="U61" t="s">
        <v>106</v>
      </c>
      <c r="V61" t="s">
        <v>106</v>
      </c>
      <c r="W61" t="s">
        <v>106</v>
      </c>
      <c r="X61" t="s">
        <v>106</v>
      </c>
      <c r="Y61" t="s">
        <v>106</v>
      </c>
      <c r="Z61">
        <v>47.8</v>
      </c>
      <c r="AA61">
        <v>1.5</v>
      </c>
      <c r="AB61">
        <v>25</v>
      </c>
      <c r="AC61" t="s">
        <v>106</v>
      </c>
      <c r="AD61" t="s">
        <v>106</v>
      </c>
      <c r="AE61">
        <v>0.4</v>
      </c>
      <c r="AF61">
        <v>5.5</v>
      </c>
      <c r="AG61">
        <v>113.2</v>
      </c>
      <c r="AH61">
        <v>27.2</v>
      </c>
      <c r="AI61">
        <v>0</v>
      </c>
      <c r="AJ61">
        <v>82.4</v>
      </c>
      <c r="AK61" t="s">
        <v>106</v>
      </c>
      <c r="AL61" t="s">
        <v>106</v>
      </c>
      <c r="AM61" t="s">
        <v>106</v>
      </c>
      <c r="AN61" t="s">
        <v>106</v>
      </c>
      <c r="AO61" t="s">
        <v>106</v>
      </c>
      <c r="AP61" t="s">
        <v>106</v>
      </c>
      <c r="AQ61" t="s">
        <v>106</v>
      </c>
      <c r="AR61" t="s">
        <v>106</v>
      </c>
      <c r="AS61" t="s">
        <v>106</v>
      </c>
      <c r="AT61">
        <v>2.8</v>
      </c>
      <c r="AU61" t="s">
        <v>106</v>
      </c>
      <c r="AV61" t="s">
        <v>106</v>
      </c>
      <c r="AW61" t="s">
        <v>106</v>
      </c>
      <c r="AX61" t="s">
        <v>106</v>
      </c>
      <c r="AY61" t="s">
        <v>106</v>
      </c>
      <c r="AZ61" t="s">
        <v>106</v>
      </c>
      <c r="BA61" t="s">
        <v>106</v>
      </c>
      <c r="BB61" t="s">
        <v>106</v>
      </c>
      <c r="BC61" t="s">
        <v>106</v>
      </c>
      <c r="BD61" t="s">
        <v>106</v>
      </c>
      <c r="BE61" t="s">
        <v>106</v>
      </c>
      <c r="BF61" t="s">
        <v>106</v>
      </c>
      <c r="BG61" t="s">
        <v>106</v>
      </c>
      <c r="BH61" t="s">
        <v>106</v>
      </c>
      <c r="BI61" t="s">
        <v>106</v>
      </c>
      <c r="BJ61">
        <v>2034.5</v>
      </c>
      <c r="BK61">
        <v>46.7</v>
      </c>
      <c r="BL61">
        <v>3069.8</v>
      </c>
      <c r="BM61">
        <v>2.8</v>
      </c>
    </row>
    <row r="62" spans="3:65">
      <c r="E62" t="s">
        <v>165</v>
      </c>
      <c r="F62" t="s">
        <v>106</v>
      </c>
      <c r="G62">
        <v>1473.3</v>
      </c>
      <c r="H62" t="s">
        <v>106</v>
      </c>
      <c r="I62" t="s">
        <v>106</v>
      </c>
      <c r="J62" t="s">
        <v>106</v>
      </c>
      <c r="K62" t="s">
        <v>106</v>
      </c>
      <c r="L62" t="s">
        <v>106</v>
      </c>
      <c r="M62">
        <v>0.7</v>
      </c>
      <c r="N62" t="s">
        <v>106</v>
      </c>
      <c r="O62" t="s">
        <v>106</v>
      </c>
      <c r="P62" t="s">
        <v>106</v>
      </c>
      <c r="Q62" t="s">
        <v>106</v>
      </c>
      <c r="R62" t="s">
        <v>106</v>
      </c>
      <c r="S62">
        <v>235.1</v>
      </c>
      <c r="T62">
        <v>127.2</v>
      </c>
      <c r="U62" t="s">
        <v>106</v>
      </c>
      <c r="V62" t="s">
        <v>106</v>
      </c>
      <c r="W62" t="s">
        <v>106</v>
      </c>
      <c r="X62" t="s">
        <v>106</v>
      </c>
      <c r="Y62" t="s">
        <v>106</v>
      </c>
      <c r="Z62">
        <v>660.1</v>
      </c>
      <c r="AA62">
        <v>94.2</v>
      </c>
      <c r="AB62">
        <v>4.3</v>
      </c>
      <c r="AC62" t="s">
        <v>106</v>
      </c>
      <c r="AD62" t="s">
        <v>106</v>
      </c>
      <c r="AE62">
        <v>0.5</v>
      </c>
      <c r="AF62">
        <v>40.4</v>
      </c>
      <c r="AG62">
        <v>120.9</v>
      </c>
      <c r="AH62">
        <v>1.6</v>
      </c>
      <c r="AI62">
        <v>0.6</v>
      </c>
      <c r="AJ62">
        <v>9.1</v>
      </c>
      <c r="AK62" t="s">
        <v>106</v>
      </c>
      <c r="AL62" t="s">
        <v>106</v>
      </c>
      <c r="AM62" t="s">
        <v>106</v>
      </c>
      <c r="AN62" t="s">
        <v>106</v>
      </c>
      <c r="AO62" t="s">
        <v>106</v>
      </c>
      <c r="AP62" t="s">
        <v>106</v>
      </c>
      <c r="AQ62" t="s">
        <v>106</v>
      </c>
      <c r="AR62">
        <v>179.8</v>
      </c>
      <c r="AS62">
        <v>66.099999999999994</v>
      </c>
      <c r="AT62">
        <v>14.3</v>
      </c>
      <c r="AU62">
        <v>35.9</v>
      </c>
      <c r="AV62">
        <v>8.1999999999999993</v>
      </c>
      <c r="AW62" t="s">
        <v>106</v>
      </c>
      <c r="AX62" t="s">
        <v>106</v>
      </c>
      <c r="AY62" t="s">
        <v>106</v>
      </c>
      <c r="AZ62" t="s">
        <v>106</v>
      </c>
      <c r="BA62" t="s">
        <v>106</v>
      </c>
      <c r="BB62" t="s">
        <v>106</v>
      </c>
      <c r="BC62" t="s">
        <v>106</v>
      </c>
      <c r="BD62">
        <v>5.0999999999999996</v>
      </c>
      <c r="BE62" t="s">
        <v>106</v>
      </c>
      <c r="BF62">
        <v>1.3</v>
      </c>
      <c r="BG62" t="s">
        <v>106</v>
      </c>
      <c r="BH62" t="s">
        <v>106</v>
      </c>
      <c r="BI62" t="s">
        <v>106</v>
      </c>
      <c r="BJ62">
        <v>308.60000000000002</v>
      </c>
      <c r="BK62">
        <v>0</v>
      </c>
      <c r="BL62">
        <v>3387.4</v>
      </c>
      <c r="BM62">
        <v>310.7</v>
      </c>
    </row>
    <row r="63" spans="3:65">
      <c r="D63" t="s">
        <v>166</v>
      </c>
      <c r="E63" t="s">
        <v>105</v>
      </c>
      <c r="F63" t="s">
        <v>106</v>
      </c>
      <c r="G63" t="s">
        <v>106</v>
      </c>
      <c r="H63" t="s">
        <v>106</v>
      </c>
      <c r="I63" t="s">
        <v>106</v>
      </c>
      <c r="J63" t="s">
        <v>106</v>
      </c>
      <c r="K63">
        <v>0.1</v>
      </c>
      <c r="L63" t="s">
        <v>106</v>
      </c>
      <c r="M63" t="s">
        <v>106</v>
      </c>
      <c r="N63" t="s">
        <v>106</v>
      </c>
      <c r="O63" t="s">
        <v>106</v>
      </c>
      <c r="P63" t="s">
        <v>106</v>
      </c>
      <c r="Q63" t="s">
        <v>106</v>
      </c>
      <c r="R63" t="s">
        <v>106</v>
      </c>
      <c r="S63" t="s">
        <v>106</v>
      </c>
      <c r="T63" t="s">
        <v>106</v>
      </c>
      <c r="U63" t="s">
        <v>106</v>
      </c>
      <c r="V63" t="s">
        <v>106</v>
      </c>
      <c r="W63" t="s">
        <v>106</v>
      </c>
      <c r="X63" t="s">
        <v>106</v>
      </c>
      <c r="Y63" t="s">
        <v>106</v>
      </c>
      <c r="Z63">
        <v>8.5</v>
      </c>
      <c r="AA63" t="s">
        <v>106</v>
      </c>
      <c r="AB63">
        <v>7.4</v>
      </c>
      <c r="AC63" t="s">
        <v>106</v>
      </c>
      <c r="AD63" t="s">
        <v>106</v>
      </c>
      <c r="AE63" t="s">
        <v>106</v>
      </c>
      <c r="AF63">
        <v>24</v>
      </c>
      <c r="AG63">
        <v>561.20000000000005</v>
      </c>
      <c r="AH63">
        <v>17.3</v>
      </c>
      <c r="AI63">
        <v>0.1</v>
      </c>
      <c r="AJ63">
        <v>2.7</v>
      </c>
      <c r="AK63" t="s">
        <v>106</v>
      </c>
      <c r="AL63" t="s">
        <v>106</v>
      </c>
      <c r="AM63" t="s">
        <v>106</v>
      </c>
      <c r="AN63" t="s">
        <v>106</v>
      </c>
      <c r="AO63" t="s">
        <v>106</v>
      </c>
      <c r="AP63" t="s">
        <v>106</v>
      </c>
      <c r="AQ63" t="s">
        <v>106</v>
      </c>
      <c r="AR63" t="s">
        <v>106</v>
      </c>
      <c r="AS63" t="s">
        <v>106</v>
      </c>
      <c r="AT63" t="s">
        <v>106</v>
      </c>
      <c r="AU63" t="s">
        <v>106</v>
      </c>
      <c r="AV63" t="s">
        <v>106</v>
      </c>
      <c r="AW63" t="s">
        <v>106</v>
      </c>
      <c r="AX63" t="s">
        <v>106</v>
      </c>
      <c r="AY63" t="s">
        <v>106</v>
      </c>
      <c r="AZ63" t="s">
        <v>106</v>
      </c>
      <c r="BA63" t="s">
        <v>106</v>
      </c>
      <c r="BB63" t="s">
        <v>106</v>
      </c>
      <c r="BC63" t="s">
        <v>106</v>
      </c>
      <c r="BD63" t="s">
        <v>106</v>
      </c>
      <c r="BE63" t="s">
        <v>106</v>
      </c>
      <c r="BF63" t="s">
        <v>106</v>
      </c>
      <c r="BG63" t="s">
        <v>106</v>
      </c>
      <c r="BH63" t="s">
        <v>106</v>
      </c>
      <c r="BI63" t="s">
        <v>106</v>
      </c>
      <c r="BJ63" t="s">
        <v>106</v>
      </c>
      <c r="BK63" t="s">
        <v>106</v>
      </c>
      <c r="BL63">
        <v>621.20000000000005</v>
      </c>
      <c r="BM63" t="s">
        <v>106</v>
      </c>
    </row>
    <row r="64" spans="3:65">
      <c r="C64" t="s">
        <v>167</v>
      </c>
      <c r="D64" t="s">
        <v>105</v>
      </c>
      <c r="E64" t="s">
        <v>105</v>
      </c>
      <c r="F64" t="s">
        <v>106</v>
      </c>
      <c r="G64" t="s">
        <v>106</v>
      </c>
      <c r="H64" t="s">
        <v>106</v>
      </c>
      <c r="I64" t="s">
        <v>106</v>
      </c>
      <c r="J64" t="s">
        <v>106</v>
      </c>
      <c r="K64" t="s">
        <v>106</v>
      </c>
      <c r="L64" t="s">
        <v>106</v>
      </c>
      <c r="M64" t="s">
        <v>106</v>
      </c>
      <c r="N64" t="s">
        <v>106</v>
      </c>
      <c r="O64" t="s">
        <v>106</v>
      </c>
      <c r="P64" t="s">
        <v>106</v>
      </c>
      <c r="Q64" t="s">
        <v>106</v>
      </c>
      <c r="R64" t="s">
        <v>106</v>
      </c>
      <c r="S64" t="s">
        <v>106</v>
      </c>
      <c r="T64">
        <v>987.8</v>
      </c>
      <c r="U64" t="s">
        <v>106</v>
      </c>
      <c r="V64" t="s">
        <v>106</v>
      </c>
      <c r="W64" t="s">
        <v>106</v>
      </c>
      <c r="X64" t="s">
        <v>106</v>
      </c>
      <c r="Y64" t="s">
        <v>106</v>
      </c>
      <c r="Z64">
        <v>1.8</v>
      </c>
      <c r="AA64">
        <v>2852.6</v>
      </c>
      <c r="AB64">
        <v>10961.2</v>
      </c>
      <c r="AC64">
        <v>1.3</v>
      </c>
      <c r="AD64" t="s">
        <v>106</v>
      </c>
      <c r="AE64">
        <v>891.3</v>
      </c>
      <c r="AF64">
        <v>0.7</v>
      </c>
      <c r="AG64">
        <v>18243.5</v>
      </c>
      <c r="AH64">
        <v>57.5</v>
      </c>
      <c r="AI64">
        <v>2.6</v>
      </c>
      <c r="AJ64">
        <v>213.7</v>
      </c>
      <c r="AK64" t="s">
        <v>106</v>
      </c>
      <c r="AL64" t="s">
        <v>106</v>
      </c>
      <c r="AM64" t="s">
        <v>106</v>
      </c>
      <c r="AN64" t="s">
        <v>106</v>
      </c>
      <c r="AO64" t="s">
        <v>106</v>
      </c>
      <c r="AP64" t="s">
        <v>106</v>
      </c>
      <c r="AQ64" t="s">
        <v>106</v>
      </c>
      <c r="AR64" t="s">
        <v>106</v>
      </c>
      <c r="AS64" t="s">
        <v>106</v>
      </c>
      <c r="AT64" t="s">
        <v>106</v>
      </c>
      <c r="AU64" t="s">
        <v>106</v>
      </c>
      <c r="AV64" t="s">
        <v>106</v>
      </c>
      <c r="AW64" t="s">
        <v>106</v>
      </c>
      <c r="AX64" t="s">
        <v>106</v>
      </c>
      <c r="AY64">
        <v>696.4</v>
      </c>
      <c r="AZ64" t="s">
        <v>106</v>
      </c>
      <c r="BA64" t="s">
        <v>106</v>
      </c>
      <c r="BB64" t="s">
        <v>106</v>
      </c>
      <c r="BC64" t="s">
        <v>106</v>
      </c>
      <c r="BD64" t="s">
        <v>106</v>
      </c>
      <c r="BE64" t="s">
        <v>106</v>
      </c>
      <c r="BF64" t="s">
        <v>106</v>
      </c>
      <c r="BG64" t="s">
        <v>106</v>
      </c>
      <c r="BH64" t="s">
        <v>106</v>
      </c>
      <c r="BI64" t="s">
        <v>106</v>
      </c>
      <c r="BJ64">
        <v>423.9</v>
      </c>
      <c r="BK64" t="s">
        <v>106</v>
      </c>
      <c r="BL64">
        <v>35334.199999999997</v>
      </c>
      <c r="BM64">
        <v>696.4</v>
      </c>
    </row>
    <row r="65" spans="1:65">
      <c r="D65" t="s">
        <v>168</v>
      </c>
      <c r="E65" t="s">
        <v>105</v>
      </c>
      <c r="F65" t="s">
        <v>106</v>
      </c>
      <c r="G65" t="s">
        <v>106</v>
      </c>
      <c r="H65" t="s">
        <v>106</v>
      </c>
      <c r="I65" t="s">
        <v>106</v>
      </c>
      <c r="J65" t="s">
        <v>106</v>
      </c>
      <c r="K65" t="s">
        <v>106</v>
      </c>
      <c r="L65" t="s">
        <v>106</v>
      </c>
      <c r="M65" t="s">
        <v>106</v>
      </c>
      <c r="N65" t="s">
        <v>106</v>
      </c>
      <c r="O65" t="s">
        <v>106</v>
      </c>
      <c r="P65" t="s">
        <v>106</v>
      </c>
      <c r="Q65" t="s">
        <v>106</v>
      </c>
      <c r="R65" t="s">
        <v>106</v>
      </c>
      <c r="S65" t="s">
        <v>106</v>
      </c>
      <c r="T65" t="s">
        <v>106</v>
      </c>
      <c r="U65" t="s">
        <v>106</v>
      </c>
      <c r="V65" t="s">
        <v>106</v>
      </c>
      <c r="W65" t="s">
        <v>106</v>
      </c>
      <c r="X65" t="s">
        <v>106</v>
      </c>
      <c r="Y65" t="s">
        <v>106</v>
      </c>
      <c r="Z65">
        <v>0</v>
      </c>
      <c r="AA65" t="s">
        <v>106</v>
      </c>
      <c r="AB65" t="s">
        <v>106</v>
      </c>
      <c r="AC65" t="s">
        <v>106</v>
      </c>
      <c r="AD65" t="s">
        <v>106</v>
      </c>
      <c r="AE65" t="s">
        <v>106</v>
      </c>
      <c r="AF65" t="s">
        <v>106</v>
      </c>
      <c r="AG65">
        <v>57.5</v>
      </c>
      <c r="AH65" t="s">
        <v>106</v>
      </c>
      <c r="AI65" t="s">
        <v>106</v>
      </c>
      <c r="AJ65" t="s">
        <v>106</v>
      </c>
      <c r="AK65" t="s">
        <v>106</v>
      </c>
      <c r="AL65" t="s">
        <v>106</v>
      </c>
      <c r="AM65" t="s">
        <v>106</v>
      </c>
      <c r="AN65" t="s">
        <v>106</v>
      </c>
      <c r="AO65" t="s">
        <v>106</v>
      </c>
      <c r="AP65" t="s">
        <v>106</v>
      </c>
      <c r="AQ65" t="s">
        <v>106</v>
      </c>
      <c r="AR65" t="s">
        <v>106</v>
      </c>
      <c r="AS65" t="s">
        <v>106</v>
      </c>
      <c r="AT65" t="s">
        <v>106</v>
      </c>
      <c r="AU65" t="s">
        <v>106</v>
      </c>
      <c r="AV65" t="s">
        <v>106</v>
      </c>
      <c r="AW65" t="s">
        <v>106</v>
      </c>
      <c r="AX65" t="s">
        <v>106</v>
      </c>
      <c r="AY65" t="s">
        <v>106</v>
      </c>
      <c r="AZ65" t="s">
        <v>106</v>
      </c>
      <c r="BA65" t="s">
        <v>106</v>
      </c>
      <c r="BB65" t="s">
        <v>106</v>
      </c>
      <c r="BC65" t="s">
        <v>106</v>
      </c>
      <c r="BD65" t="s">
        <v>106</v>
      </c>
      <c r="BE65" t="s">
        <v>106</v>
      </c>
      <c r="BF65" t="s">
        <v>106</v>
      </c>
      <c r="BG65" t="s">
        <v>106</v>
      </c>
      <c r="BH65" t="s">
        <v>106</v>
      </c>
      <c r="BI65" t="s">
        <v>106</v>
      </c>
      <c r="BJ65">
        <v>237.8</v>
      </c>
      <c r="BK65" t="s">
        <v>106</v>
      </c>
      <c r="BL65">
        <v>295.39999999999998</v>
      </c>
      <c r="BM65" t="s">
        <v>106</v>
      </c>
    </row>
    <row r="66" spans="1:65">
      <c r="D66" t="s">
        <v>169</v>
      </c>
      <c r="E66" t="s">
        <v>105</v>
      </c>
      <c r="F66" t="s">
        <v>106</v>
      </c>
      <c r="G66" t="s">
        <v>106</v>
      </c>
      <c r="H66" t="s">
        <v>106</v>
      </c>
      <c r="I66" t="s">
        <v>106</v>
      </c>
      <c r="J66" t="s">
        <v>106</v>
      </c>
      <c r="K66" t="s">
        <v>106</v>
      </c>
      <c r="L66" t="s">
        <v>106</v>
      </c>
      <c r="M66" t="s">
        <v>106</v>
      </c>
      <c r="N66" t="s">
        <v>106</v>
      </c>
      <c r="O66" t="s">
        <v>106</v>
      </c>
      <c r="P66" t="s">
        <v>106</v>
      </c>
      <c r="Q66" t="s">
        <v>106</v>
      </c>
      <c r="R66" t="s">
        <v>106</v>
      </c>
      <c r="S66" t="s">
        <v>106</v>
      </c>
      <c r="T66">
        <v>987.8</v>
      </c>
      <c r="U66" t="s">
        <v>106</v>
      </c>
      <c r="V66" t="s">
        <v>106</v>
      </c>
      <c r="W66" t="s">
        <v>106</v>
      </c>
      <c r="X66" t="s">
        <v>106</v>
      </c>
      <c r="Y66" t="s">
        <v>106</v>
      </c>
      <c r="Z66">
        <v>0.4</v>
      </c>
      <c r="AA66">
        <v>2852.6</v>
      </c>
      <c r="AB66">
        <v>10961.1</v>
      </c>
      <c r="AC66" t="s">
        <v>106</v>
      </c>
      <c r="AD66" t="s">
        <v>106</v>
      </c>
      <c r="AE66" t="s">
        <v>106</v>
      </c>
      <c r="AF66">
        <v>0.5</v>
      </c>
      <c r="AG66">
        <v>17996.5</v>
      </c>
      <c r="AH66">
        <v>0</v>
      </c>
      <c r="AI66">
        <v>0</v>
      </c>
      <c r="AJ66">
        <v>0</v>
      </c>
      <c r="AK66" t="s">
        <v>106</v>
      </c>
      <c r="AL66" t="s">
        <v>106</v>
      </c>
      <c r="AM66" t="s">
        <v>106</v>
      </c>
      <c r="AN66" t="s">
        <v>106</v>
      </c>
      <c r="AO66" t="s">
        <v>106</v>
      </c>
      <c r="AP66" t="s">
        <v>106</v>
      </c>
      <c r="AQ66" t="s">
        <v>106</v>
      </c>
      <c r="AR66" t="s">
        <v>106</v>
      </c>
      <c r="AS66" t="s">
        <v>106</v>
      </c>
      <c r="AT66" t="s">
        <v>106</v>
      </c>
      <c r="AU66" t="s">
        <v>106</v>
      </c>
      <c r="AV66" t="s">
        <v>106</v>
      </c>
      <c r="AW66" t="s">
        <v>106</v>
      </c>
      <c r="AX66" t="s">
        <v>106</v>
      </c>
      <c r="AY66">
        <v>696.4</v>
      </c>
      <c r="AZ66" t="s">
        <v>106</v>
      </c>
      <c r="BA66" t="s">
        <v>106</v>
      </c>
      <c r="BB66" t="s">
        <v>106</v>
      </c>
      <c r="BC66" t="s">
        <v>106</v>
      </c>
      <c r="BD66" t="s">
        <v>106</v>
      </c>
      <c r="BE66" t="s">
        <v>106</v>
      </c>
      <c r="BF66" t="s">
        <v>106</v>
      </c>
      <c r="BG66" t="s">
        <v>106</v>
      </c>
      <c r="BH66" t="s">
        <v>106</v>
      </c>
      <c r="BI66" t="s">
        <v>106</v>
      </c>
      <c r="BJ66">
        <v>186</v>
      </c>
      <c r="BK66" t="s">
        <v>106</v>
      </c>
      <c r="BL66">
        <v>33681.5</v>
      </c>
      <c r="BM66">
        <v>696.4</v>
      </c>
    </row>
    <row r="67" spans="1:65">
      <c r="D67" t="s">
        <v>170</v>
      </c>
      <c r="E67" t="s">
        <v>105</v>
      </c>
      <c r="F67" t="s">
        <v>106</v>
      </c>
      <c r="G67" t="s">
        <v>106</v>
      </c>
      <c r="H67" t="s">
        <v>106</v>
      </c>
      <c r="I67" t="s">
        <v>106</v>
      </c>
      <c r="J67" t="s">
        <v>106</v>
      </c>
      <c r="K67" t="s">
        <v>106</v>
      </c>
      <c r="L67" t="s">
        <v>106</v>
      </c>
      <c r="M67" t="s">
        <v>106</v>
      </c>
      <c r="N67" t="s">
        <v>106</v>
      </c>
      <c r="O67" t="s">
        <v>106</v>
      </c>
      <c r="P67" t="s">
        <v>106</v>
      </c>
      <c r="Q67" t="s">
        <v>106</v>
      </c>
      <c r="R67" t="s">
        <v>106</v>
      </c>
      <c r="S67" t="s">
        <v>106</v>
      </c>
      <c r="T67" t="s">
        <v>106</v>
      </c>
      <c r="U67" t="s">
        <v>106</v>
      </c>
      <c r="V67" t="s">
        <v>106</v>
      </c>
      <c r="W67" t="s">
        <v>106</v>
      </c>
      <c r="X67" t="s">
        <v>106</v>
      </c>
      <c r="Y67" t="s">
        <v>106</v>
      </c>
      <c r="Z67">
        <v>1</v>
      </c>
      <c r="AA67" t="s">
        <v>106</v>
      </c>
      <c r="AB67" t="s">
        <v>106</v>
      </c>
      <c r="AC67" t="s">
        <v>106</v>
      </c>
      <c r="AD67" t="s">
        <v>106</v>
      </c>
      <c r="AE67" t="s">
        <v>106</v>
      </c>
      <c r="AF67">
        <v>0</v>
      </c>
      <c r="AG67">
        <v>184.9</v>
      </c>
      <c r="AH67">
        <v>57.5</v>
      </c>
      <c r="AI67">
        <v>2.6</v>
      </c>
      <c r="AJ67">
        <v>213.7</v>
      </c>
      <c r="AK67" t="s">
        <v>106</v>
      </c>
      <c r="AL67" t="s">
        <v>106</v>
      </c>
      <c r="AM67" t="s">
        <v>106</v>
      </c>
      <c r="AN67" t="s">
        <v>106</v>
      </c>
      <c r="AO67" t="s">
        <v>106</v>
      </c>
      <c r="AP67" t="s">
        <v>106</v>
      </c>
      <c r="AQ67" t="s">
        <v>106</v>
      </c>
      <c r="AR67" t="s">
        <v>106</v>
      </c>
      <c r="AS67" t="s">
        <v>106</v>
      </c>
      <c r="AT67" t="s">
        <v>106</v>
      </c>
      <c r="AU67" t="s">
        <v>106</v>
      </c>
      <c r="AV67" t="s">
        <v>106</v>
      </c>
      <c r="AW67" t="s">
        <v>106</v>
      </c>
      <c r="AX67" t="s">
        <v>106</v>
      </c>
      <c r="AY67" t="s">
        <v>106</v>
      </c>
      <c r="AZ67" t="s">
        <v>106</v>
      </c>
      <c r="BA67" t="s">
        <v>106</v>
      </c>
      <c r="BB67" t="s">
        <v>106</v>
      </c>
      <c r="BC67" t="s">
        <v>106</v>
      </c>
      <c r="BD67" t="s">
        <v>106</v>
      </c>
      <c r="BE67" t="s">
        <v>106</v>
      </c>
      <c r="BF67" t="s">
        <v>106</v>
      </c>
      <c r="BG67" t="s">
        <v>106</v>
      </c>
      <c r="BH67" t="s">
        <v>106</v>
      </c>
      <c r="BI67" t="s">
        <v>106</v>
      </c>
      <c r="BJ67" t="s">
        <v>106</v>
      </c>
      <c r="BK67" t="s">
        <v>106</v>
      </c>
      <c r="BL67">
        <v>459.6</v>
      </c>
      <c r="BM67" t="s">
        <v>106</v>
      </c>
    </row>
    <row r="68" spans="1:65">
      <c r="D68" t="s">
        <v>171</v>
      </c>
      <c r="E68" t="s">
        <v>105</v>
      </c>
      <c r="F68" t="s">
        <v>106</v>
      </c>
      <c r="G68" t="s">
        <v>106</v>
      </c>
      <c r="H68" t="s">
        <v>106</v>
      </c>
      <c r="I68" t="s">
        <v>106</v>
      </c>
      <c r="J68" t="s">
        <v>106</v>
      </c>
      <c r="K68" t="s">
        <v>106</v>
      </c>
      <c r="L68" t="s">
        <v>106</v>
      </c>
      <c r="M68" t="s">
        <v>106</v>
      </c>
      <c r="N68" t="s">
        <v>106</v>
      </c>
      <c r="O68" t="s">
        <v>106</v>
      </c>
      <c r="P68" t="s">
        <v>106</v>
      </c>
      <c r="Q68" t="s">
        <v>106</v>
      </c>
      <c r="R68" t="s">
        <v>106</v>
      </c>
      <c r="S68" t="s">
        <v>106</v>
      </c>
      <c r="T68" t="s">
        <v>106</v>
      </c>
      <c r="U68" t="s">
        <v>106</v>
      </c>
      <c r="V68" t="s">
        <v>106</v>
      </c>
      <c r="W68" t="s">
        <v>106</v>
      </c>
      <c r="X68" t="s">
        <v>106</v>
      </c>
      <c r="Y68" t="s">
        <v>106</v>
      </c>
      <c r="Z68">
        <v>0.4</v>
      </c>
      <c r="AA68" t="s">
        <v>106</v>
      </c>
      <c r="AB68">
        <v>0</v>
      </c>
      <c r="AC68">
        <v>1.3</v>
      </c>
      <c r="AD68" t="s">
        <v>106</v>
      </c>
      <c r="AE68">
        <v>891.3</v>
      </c>
      <c r="AF68">
        <v>0.2</v>
      </c>
      <c r="AG68">
        <v>4.5999999999999996</v>
      </c>
      <c r="AH68" t="s">
        <v>106</v>
      </c>
      <c r="AI68" t="s">
        <v>106</v>
      </c>
      <c r="AJ68" t="s">
        <v>106</v>
      </c>
      <c r="AK68" t="s">
        <v>106</v>
      </c>
      <c r="AL68" t="s">
        <v>106</v>
      </c>
      <c r="AM68" t="s">
        <v>106</v>
      </c>
      <c r="AN68" t="s">
        <v>106</v>
      </c>
      <c r="AO68" t="s">
        <v>106</v>
      </c>
      <c r="AP68" t="s">
        <v>106</v>
      </c>
      <c r="AQ68" t="s">
        <v>106</v>
      </c>
      <c r="AR68" t="s">
        <v>106</v>
      </c>
      <c r="AS68" t="s">
        <v>106</v>
      </c>
      <c r="AT68" t="s">
        <v>106</v>
      </c>
      <c r="AU68" t="s">
        <v>106</v>
      </c>
      <c r="AV68" t="s">
        <v>106</v>
      </c>
      <c r="AW68" t="s">
        <v>106</v>
      </c>
      <c r="AX68" t="s">
        <v>106</v>
      </c>
      <c r="AY68" t="s">
        <v>106</v>
      </c>
      <c r="AZ68" t="s">
        <v>106</v>
      </c>
      <c r="BA68" t="s">
        <v>106</v>
      </c>
      <c r="BB68" t="s">
        <v>106</v>
      </c>
      <c r="BC68" t="s">
        <v>106</v>
      </c>
      <c r="BD68" t="s">
        <v>106</v>
      </c>
      <c r="BE68" t="s">
        <v>106</v>
      </c>
      <c r="BF68" t="s">
        <v>106</v>
      </c>
      <c r="BG68" t="s">
        <v>106</v>
      </c>
      <c r="BH68" t="s">
        <v>106</v>
      </c>
      <c r="BI68" t="s">
        <v>106</v>
      </c>
      <c r="BJ68" t="s">
        <v>106</v>
      </c>
      <c r="BK68" t="s">
        <v>106</v>
      </c>
      <c r="BL68">
        <v>897.8</v>
      </c>
      <c r="BM68" t="s">
        <v>106</v>
      </c>
    </row>
    <row r="69" spans="1:65">
      <c r="C69" t="s">
        <v>172</v>
      </c>
      <c r="D69" t="s">
        <v>105</v>
      </c>
      <c r="E69" t="s">
        <v>105</v>
      </c>
      <c r="F69" t="s">
        <v>106</v>
      </c>
      <c r="G69" t="s">
        <v>106</v>
      </c>
      <c r="H69" t="s">
        <v>106</v>
      </c>
      <c r="I69" t="s">
        <v>106</v>
      </c>
      <c r="J69" t="s">
        <v>106</v>
      </c>
      <c r="K69" t="s">
        <v>106</v>
      </c>
      <c r="L69" t="s">
        <v>106</v>
      </c>
      <c r="M69">
        <v>177.6</v>
      </c>
      <c r="N69" t="s">
        <v>106</v>
      </c>
      <c r="O69" t="s">
        <v>106</v>
      </c>
      <c r="P69" t="s">
        <v>106</v>
      </c>
      <c r="Q69" t="s">
        <v>106</v>
      </c>
      <c r="R69" t="s">
        <v>106</v>
      </c>
      <c r="S69" t="s">
        <v>106</v>
      </c>
      <c r="T69">
        <v>10389.5</v>
      </c>
      <c r="U69" t="s">
        <v>106</v>
      </c>
      <c r="V69" t="s">
        <v>106</v>
      </c>
      <c r="W69" t="s">
        <v>106</v>
      </c>
      <c r="X69" t="s">
        <v>106</v>
      </c>
      <c r="Y69" t="s">
        <v>106</v>
      </c>
      <c r="Z69">
        <v>590.29999999999995</v>
      </c>
      <c r="AA69">
        <v>12.5</v>
      </c>
      <c r="AB69">
        <v>0.4</v>
      </c>
      <c r="AC69" t="s">
        <v>106</v>
      </c>
      <c r="AD69" t="s">
        <v>106</v>
      </c>
      <c r="AE69" t="s">
        <v>106</v>
      </c>
      <c r="AF69">
        <v>1222.8</v>
      </c>
      <c r="AG69">
        <v>1.3</v>
      </c>
      <c r="AH69">
        <v>0.9</v>
      </c>
      <c r="AI69">
        <v>0.3</v>
      </c>
      <c r="AJ69">
        <v>3.1</v>
      </c>
      <c r="AK69" t="s">
        <v>106</v>
      </c>
      <c r="AL69" t="s">
        <v>106</v>
      </c>
      <c r="AM69" t="s">
        <v>106</v>
      </c>
      <c r="AN69" t="s">
        <v>106</v>
      </c>
      <c r="AO69" t="s">
        <v>106</v>
      </c>
      <c r="AP69" t="s">
        <v>106</v>
      </c>
      <c r="AQ69" t="s">
        <v>106</v>
      </c>
      <c r="AR69">
        <v>1.7</v>
      </c>
      <c r="AS69" t="s">
        <v>106</v>
      </c>
      <c r="AT69" t="s">
        <v>106</v>
      </c>
      <c r="AU69">
        <v>127.8</v>
      </c>
      <c r="AV69" t="s">
        <v>106</v>
      </c>
      <c r="AW69" t="s">
        <v>106</v>
      </c>
      <c r="AX69" t="s">
        <v>106</v>
      </c>
      <c r="AY69" t="s">
        <v>106</v>
      </c>
      <c r="AZ69" t="s">
        <v>106</v>
      </c>
      <c r="BA69" t="s">
        <v>106</v>
      </c>
      <c r="BB69" t="s">
        <v>106</v>
      </c>
      <c r="BC69" t="s">
        <v>106</v>
      </c>
      <c r="BD69">
        <v>49.1</v>
      </c>
      <c r="BE69" t="s">
        <v>106</v>
      </c>
      <c r="BF69">
        <v>11.4</v>
      </c>
      <c r="BG69" t="s">
        <v>106</v>
      </c>
      <c r="BH69" t="s">
        <v>106</v>
      </c>
      <c r="BI69" t="s">
        <v>106</v>
      </c>
      <c r="BJ69">
        <v>7089.1</v>
      </c>
      <c r="BK69">
        <v>2387.9</v>
      </c>
      <c r="BL69">
        <v>22065.5</v>
      </c>
      <c r="BM69">
        <v>189.9</v>
      </c>
    </row>
    <row r="70" spans="1:65">
      <c r="C70" t="s">
        <v>173</v>
      </c>
      <c r="D70" t="s">
        <v>105</v>
      </c>
      <c r="E70" t="s">
        <v>105</v>
      </c>
      <c r="F70" t="s">
        <v>106</v>
      </c>
      <c r="G70" t="s">
        <v>106</v>
      </c>
      <c r="H70" t="s">
        <v>106</v>
      </c>
      <c r="I70" t="s">
        <v>106</v>
      </c>
      <c r="J70" t="s">
        <v>106</v>
      </c>
      <c r="K70" t="s">
        <v>106</v>
      </c>
      <c r="L70" t="s">
        <v>106</v>
      </c>
      <c r="M70">
        <v>1.2</v>
      </c>
      <c r="N70" t="s">
        <v>106</v>
      </c>
      <c r="O70" t="s">
        <v>106</v>
      </c>
      <c r="P70" t="s">
        <v>106</v>
      </c>
      <c r="Q70" t="s">
        <v>106</v>
      </c>
      <c r="R70" t="s">
        <v>106</v>
      </c>
      <c r="S70" t="s">
        <v>106</v>
      </c>
      <c r="T70">
        <v>3465.1</v>
      </c>
      <c r="U70" t="s">
        <v>106</v>
      </c>
      <c r="V70" t="s">
        <v>106</v>
      </c>
      <c r="W70" t="s">
        <v>106</v>
      </c>
      <c r="X70" t="s">
        <v>106</v>
      </c>
      <c r="Y70" t="s">
        <v>106</v>
      </c>
      <c r="Z70">
        <v>1186.8</v>
      </c>
      <c r="AA70">
        <v>79.7</v>
      </c>
      <c r="AB70">
        <v>7.6</v>
      </c>
      <c r="AC70">
        <v>0</v>
      </c>
      <c r="AD70" t="s">
        <v>106</v>
      </c>
      <c r="AE70">
        <v>8.6999999999999993</v>
      </c>
      <c r="AF70">
        <v>330</v>
      </c>
      <c r="AG70">
        <v>353.2</v>
      </c>
      <c r="AH70">
        <v>2.7</v>
      </c>
      <c r="AI70">
        <v>0.8</v>
      </c>
      <c r="AJ70">
        <v>42.1</v>
      </c>
      <c r="AK70" t="s">
        <v>106</v>
      </c>
      <c r="AL70" t="s">
        <v>106</v>
      </c>
      <c r="AM70" t="s">
        <v>106</v>
      </c>
      <c r="AN70" t="s">
        <v>106</v>
      </c>
      <c r="AO70" t="s">
        <v>106</v>
      </c>
      <c r="AP70" t="s">
        <v>106</v>
      </c>
      <c r="AQ70" t="s">
        <v>106</v>
      </c>
      <c r="AR70">
        <v>26.4</v>
      </c>
      <c r="AS70">
        <v>17</v>
      </c>
      <c r="AT70">
        <v>31.9</v>
      </c>
      <c r="AU70">
        <v>158.69999999999999</v>
      </c>
      <c r="AV70" t="s">
        <v>106</v>
      </c>
      <c r="AW70" t="s">
        <v>106</v>
      </c>
      <c r="AX70" t="s">
        <v>106</v>
      </c>
      <c r="AY70" t="s">
        <v>106</v>
      </c>
      <c r="AZ70" t="s">
        <v>106</v>
      </c>
      <c r="BA70" t="s">
        <v>106</v>
      </c>
      <c r="BB70" t="s">
        <v>106</v>
      </c>
      <c r="BC70" t="s">
        <v>106</v>
      </c>
      <c r="BD70">
        <v>4.5999999999999996</v>
      </c>
      <c r="BE70" t="s">
        <v>106</v>
      </c>
      <c r="BF70">
        <v>1.2</v>
      </c>
      <c r="BG70" t="s">
        <v>106</v>
      </c>
      <c r="BH70" t="s">
        <v>106</v>
      </c>
      <c r="BI70" t="s">
        <v>106</v>
      </c>
      <c r="BJ70">
        <v>12782.6</v>
      </c>
      <c r="BK70">
        <v>486.3</v>
      </c>
      <c r="BL70">
        <v>18986.599999999999</v>
      </c>
      <c r="BM70">
        <v>239.8</v>
      </c>
    </row>
    <row r="71" spans="1:65">
      <c r="C71" t="s">
        <v>174</v>
      </c>
      <c r="D71" t="s">
        <v>105</v>
      </c>
      <c r="E71" t="s">
        <v>105</v>
      </c>
      <c r="F71" t="s">
        <v>106</v>
      </c>
      <c r="G71" t="s">
        <v>106</v>
      </c>
      <c r="H71" t="s">
        <v>106</v>
      </c>
      <c r="I71" t="s">
        <v>106</v>
      </c>
      <c r="J71" t="s">
        <v>106</v>
      </c>
      <c r="K71" t="s">
        <v>106</v>
      </c>
      <c r="L71" t="s">
        <v>106</v>
      </c>
      <c r="M71" t="s">
        <v>106</v>
      </c>
      <c r="N71" t="s">
        <v>106</v>
      </c>
      <c r="O71" t="s">
        <v>106</v>
      </c>
      <c r="P71" t="s">
        <v>106</v>
      </c>
      <c r="Q71" t="s">
        <v>106</v>
      </c>
      <c r="R71" t="s">
        <v>106</v>
      </c>
      <c r="S71" t="s">
        <v>106</v>
      </c>
      <c r="T71">
        <v>59.8</v>
      </c>
      <c r="U71" t="s">
        <v>106</v>
      </c>
      <c r="V71" t="s">
        <v>106</v>
      </c>
      <c r="W71" t="s">
        <v>106</v>
      </c>
      <c r="X71" t="s">
        <v>106</v>
      </c>
      <c r="Y71" t="s">
        <v>106</v>
      </c>
      <c r="Z71">
        <v>25.2</v>
      </c>
      <c r="AA71">
        <v>0.1</v>
      </c>
      <c r="AB71">
        <v>28</v>
      </c>
      <c r="AC71">
        <v>0.6</v>
      </c>
      <c r="AD71" t="s">
        <v>106</v>
      </c>
      <c r="AE71">
        <v>416.5</v>
      </c>
      <c r="AF71">
        <v>29.1</v>
      </c>
      <c r="AG71">
        <v>642.5</v>
      </c>
      <c r="AH71">
        <v>3.9</v>
      </c>
      <c r="AI71">
        <v>0.2</v>
      </c>
      <c r="AJ71">
        <v>1.4</v>
      </c>
      <c r="AK71" t="s">
        <v>106</v>
      </c>
      <c r="AL71" t="s">
        <v>106</v>
      </c>
      <c r="AM71" t="s">
        <v>106</v>
      </c>
      <c r="AN71" t="s">
        <v>106</v>
      </c>
      <c r="AO71" t="s">
        <v>106</v>
      </c>
      <c r="AP71" t="s">
        <v>106</v>
      </c>
      <c r="AQ71" t="s">
        <v>106</v>
      </c>
      <c r="AR71">
        <v>15.7</v>
      </c>
      <c r="AS71">
        <v>631.1</v>
      </c>
      <c r="AT71">
        <v>83.6</v>
      </c>
      <c r="AU71">
        <v>48.5</v>
      </c>
      <c r="AV71">
        <v>48</v>
      </c>
      <c r="AW71" t="s">
        <v>106</v>
      </c>
      <c r="AX71" t="s">
        <v>106</v>
      </c>
      <c r="AY71" t="s">
        <v>106</v>
      </c>
      <c r="AZ71" t="s">
        <v>106</v>
      </c>
      <c r="BA71" t="s">
        <v>106</v>
      </c>
      <c r="BB71" t="s">
        <v>106</v>
      </c>
      <c r="BC71" t="s">
        <v>106</v>
      </c>
      <c r="BD71">
        <v>187.9</v>
      </c>
      <c r="BE71" t="s">
        <v>106</v>
      </c>
      <c r="BF71">
        <v>10.6</v>
      </c>
      <c r="BG71" t="s">
        <v>106</v>
      </c>
      <c r="BH71" t="s">
        <v>106</v>
      </c>
      <c r="BI71" t="s">
        <v>106</v>
      </c>
      <c r="BJ71">
        <v>2887.5</v>
      </c>
      <c r="BK71">
        <v>79</v>
      </c>
      <c r="BL71">
        <v>5199.3</v>
      </c>
      <c r="BM71">
        <v>1025.4000000000001</v>
      </c>
    </row>
    <row r="72" spans="1:65">
      <c r="B72" t="s">
        <v>175</v>
      </c>
      <c r="C72" t="s">
        <v>105</v>
      </c>
      <c r="D72" t="s">
        <v>105</v>
      </c>
      <c r="E72" t="s">
        <v>105</v>
      </c>
      <c r="F72" t="s">
        <v>106</v>
      </c>
      <c r="G72" t="s">
        <v>106</v>
      </c>
      <c r="H72" t="s">
        <v>106</v>
      </c>
      <c r="I72" t="s">
        <v>106</v>
      </c>
      <c r="J72" t="s">
        <v>106</v>
      </c>
      <c r="K72" t="s">
        <v>106</v>
      </c>
      <c r="L72">
        <v>17.600000000000001</v>
      </c>
      <c r="M72" t="s">
        <v>106</v>
      </c>
      <c r="N72" t="s">
        <v>106</v>
      </c>
      <c r="O72">
        <v>516.20000000000005</v>
      </c>
      <c r="P72" t="s">
        <v>106</v>
      </c>
      <c r="Q72" t="s">
        <v>106</v>
      </c>
      <c r="R72" t="s">
        <v>106</v>
      </c>
      <c r="S72">
        <v>1001.5</v>
      </c>
      <c r="T72" t="s">
        <v>106</v>
      </c>
      <c r="U72" t="s">
        <v>106</v>
      </c>
      <c r="V72" t="s">
        <v>106</v>
      </c>
      <c r="W72" t="s">
        <v>106</v>
      </c>
      <c r="X72" t="s">
        <v>106</v>
      </c>
      <c r="Y72" t="s">
        <v>106</v>
      </c>
      <c r="Z72">
        <v>3830.3</v>
      </c>
      <c r="AA72">
        <v>958.5</v>
      </c>
      <c r="AB72" t="s">
        <v>106</v>
      </c>
      <c r="AC72" t="s">
        <v>106</v>
      </c>
      <c r="AD72" t="s">
        <v>106</v>
      </c>
      <c r="AE72" t="s">
        <v>106</v>
      </c>
      <c r="AF72" t="s">
        <v>106</v>
      </c>
      <c r="AG72" t="s">
        <v>106</v>
      </c>
      <c r="AH72" t="s">
        <v>106</v>
      </c>
      <c r="AI72" t="s">
        <v>106</v>
      </c>
      <c r="AJ72" t="s">
        <v>106</v>
      </c>
      <c r="AK72">
        <v>41351.599999999999</v>
      </c>
      <c r="AL72">
        <v>201.7</v>
      </c>
      <c r="AM72">
        <v>1238.5</v>
      </c>
      <c r="AN72">
        <v>1448.8</v>
      </c>
      <c r="AO72">
        <v>24.4</v>
      </c>
      <c r="AP72">
        <v>275.5</v>
      </c>
      <c r="AQ72">
        <v>2187.1</v>
      </c>
      <c r="AR72" t="s">
        <v>106</v>
      </c>
      <c r="AS72" t="s">
        <v>106</v>
      </c>
      <c r="AT72" t="s">
        <v>106</v>
      </c>
      <c r="AU72" t="s">
        <v>106</v>
      </c>
      <c r="AV72" t="s">
        <v>106</v>
      </c>
      <c r="AW72" t="s">
        <v>106</v>
      </c>
      <c r="AX72" t="s">
        <v>106</v>
      </c>
      <c r="AY72" t="s">
        <v>106</v>
      </c>
      <c r="AZ72" t="s">
        <v>106</v>
      </c>
      <c r="BA72" t="s">
        <v>106</v>
      </c>
      <c r="BB72" t="s">
        <v>106</v>
      </c>
      <c r="BC72" t="s">
        <v>106</v>
      </c>
      <c r="BD72" t="s">
        <v>106</v>
      </c>
      <c r="BE72" t="s">
        <v>106</v>
      </c>
      <c r="BF72" t="s">
        <v>106</v>
      </c>
      <c r="BG72" t="s">
        <v>106</v>
      </c>
      <c r="BH72" t="s">
        <v>106</v>
      </c>
      <c r="BI72" t="s">
        <v>106</v>
      </c>
      <c r="BJ72" t="s">
        <v>106</v>
      </c>
      <c r="BK72" t="s">
        <v>106</v>
      </c>
      <c r="BL72">
        <v>53051.6</v>
      </c>
      <c r="BM72" t="s">
        <v>106</v>
      </c>
    </row>
    <row r="73" spans="1:65">
      <c r="C73" t="s">
        <v>176</v>
      </c>
      <c r="D73" t="s">
        <v>105</v>
      </c>
      <c r="E73" t="s">
        <v>105</v>
      </c>
      <c r="F73" t="s">
        <v>106</v>
      </c>
      <c r="G73" t="s">
        <v>106</v>
      </c>
      <c r="H73" t="s">
        <v>106</v>
      </c>
      <c r="I73" t="s">
        <v>106</v>
      </c>
      <c r="J73" t="s">
        <v>106</v>
      </c>
      <c r="K73" t="s">
        <v>106</v>
      </c>
      <c r="L73">
        <v>17.600000000000001</v>
      </c>
      <c r="M73" t="s">
        <v>106</v>
      </c>
      <c r="N73" t="s">
        <v>106</v>
      </c>
      <c r="O73">
        <v>516.20000000000005</v>
      </c>
      <c r="P73" t="s">
        <v>106</v>
      </c>
      <c r="Q73" t="s">
        <v>106</v>
      </c>
      <c r="R73" t="s">
        <v>106</v>
      </c>
      <c r="S73">
        <v>1001.5</v>
      </c>
      <c r="T73" t="s">
        <v>106</v>
      </c>
      <c r="U73" t="s">
        <v>106</v>
      </c>
      <c r="V73" t="s">
        <v>106</v>
      </c>
      <c r="W73" t="s">
        <v>106</v>
      </c>
      <c r="X73" t="s">
        <v>106</v>
      </c>
      <c r="Y73" t="s">
        <v>106</v>
      </c>
      <c r="Z73">
        <v>3830.3</v>
      </c>
      <c r="AA73">
        <v>958.5</v>
      </c>
      <c r="AB73" t="s">
        <v>106</v>
      </c>
      <c r="AC73" t="s">
        <v>106</v>
      </c>
      <c r="AD73" t="s">
        <v>106</v>
      </c>
      <c r="AE73" t="s">
        <v>106</v>
      </c>
      <c r="AF73" t="s">
        <v>106</v>
      </c>
      <c r="AG73" t="s">
        <v>106</v>
      </c>
      <c r="AH73" t="s">
        <v>106</v>
      </c>
      <c r="AI73" t="s">
        <v>106</v>
      </c>
      <c r="AJ73" t="s">
        <v>106</v>
      </c>
      <c r="AK73">
        <v>41351.599999999999</v>
      </c>
      <c r="AL73">
        <v>172.2</v>
      </c>
      <c r="AM73">
        <v>1238.5</v>
      </c>
      <c r="AN73">
        <v>1448.8</v>
      </c>
      <c r="AO73">
        <v>24.4</v>
      </c>
      <c r="AP73">
        <v>275.5</v>
      </c>
      <c r="AQ73">
        <v>2182.4</v>
      </c>
      <c r="AR73" t="s">
        <v>106</v>
      </c>
      <c r="AS73" t="s">
        <v>106</v>
      </c>
      <c r="AT73" t="s">
        <v>106</v>
      </c>
      <c r="AU73" t="s">
        <v>106</v>
      </c>
      <c r="AV73" t="s">
        <v>106</v>
      </c>
      <c r="AW73" t="s">
        <v>106</v>
      </c>
      <c r="AX73" t="s">
        <v>106</v>
      </c>
      <c r="AY73" t="s">
        <v>106</v>
      </c>
      <c r="AZ73" t="s">
        <v>106</v>
      </c>
      <c r="BA73" t="s">
        <v>106</v>
      </c>
      <c r="BB73" t="s">
        <v>106</v>
      </c>
      <c r="BC73" t="s">
        <v>106</v>
      </c>
      <c r="BD73" t="s">
        <v>106</v>
      </c>
      <c r="BE73" t="s">
        <v>106</v>
      </c>
      <c r="BF73" t="s">
        <v>106</v>
      </c>
      <c r="BG73" t="s">
        <v>106</v>
      </c>
      <c r="BH73" t="s">
        <v>106</v>
      </c>
      <c r="BI73" t="s">
        <v>106</v>
      </c>
      <c r="BJ73" t="s">
        <v>106</v>
      </c>
      <c r="BK73" t="s">
        <v>106</v>
      </c>
      <c r="BL73">
        <v>53017.4</v>
      </c>
      <c r="BM73" t="s">
        <v>106</v>
      </c>
    </row>
    <row r="74" spans="1:65">
      <c r="C74" t="s">
        <v>177</v>
      </c>
      <c r="D74" t="s">
        <v>105</v>
      </c>
      <c r="E74" t="s">
        <v>105</v>
      </c>
      <c r="F74" t="s">
        <v>106</v>
      </c>
      <c r="G74" t="s">
        <v>106</v>
      </c>
      <c r="H74" t="s">
        <v>106</v>
      </c>
      <c r="I74" t="s">
        <v>106</v>
      </c>
      <c r="J74" t="s">
        <v>106</v>
      </c>
      <c r="K74" t="s">
        <v>106</v>
      </c>
      <c r="L74" t="s">
        <v>106</v>
      </c>
      <c r="M74" t="s">
        <v>106</v>
      </c>
      <c r="N74" t="s">
        <v>106</v>
      </c>
      <c r="O74" t="s">
        <v>106</v>
      </c>
      <c r="P74" t="s">
        <v>106</v>
      </c>
      <c r="Q74" t="s">
        <v>106</v>
      </c>
      <c r="R74" t="s">
        <v>106</v>
      </c>
      <c r="S74" t="s">
        <v>106</v>
      </c>
      <c r="T74" t="s">
        <v>106</v>
      </c>
      <c r="U74" t="s">
        <v>106</v>
      </c>
      <c r="V74" t="s">
        <v>106</v>
      </c>
      <c r="W74" t="s">
        <v>106</v>
      </c>
      <c r="X74" t="s">
        <v>106</v>
      </c>
      <c r="Y74" t="s">
        <v>106</v>
      </c>
      <c r="Z74" t="s">
        <v>106</v>
      </c>
      <c r="AA74" t="s">
        <v>106</v>
      </c>
      <c r="AB74" t="s">
        <v>106</v>
      </c>
      <c r="AC74" t="s">
        <v>106</v>
      </c>
      <c r="AD74" t="s">
        <v>106</v>
      </c>
      <c r="AE74" t="s">
        <v>106</v>
      </c>
      <c r="AF74" t="s">
        <v>106</v>
      </c>
      <c r="AG74" t="s">
        <v>106</v>
      </c>
      <c r="AH74" t="s">
        <v>106</v>
      </c>
      <c r="AI74" t="s">
        <v>106</v>
      </c>
      <c r="AJ74" t="s">
        <v>106</v>
      </c>
      <c r="AK74" t="s">
        <v>106</v>
      </c>
      <c r="AL74">
        <v>0</v>
      </c>
      <c r="AM74" t="s">
        <v>106</v>
      </c>
      <c r="AN74" t="s">
        <v>106</v>
      </c>
      <c r="AO74" t="s">
        <v>106</v>
      </c>
      <c r="AP74" t="s">
        <v>106</v>
      </c>
      <c r="AQ74" t="s">
        <v>106</v>
      </c>
      <c r="AR74" t="s">
        <v>106</v>
      </c>
      <c r="AS74" t="s">
        <v>106</v>
      </c>
      <c r="AT74" t="s">
        <v>106</v>
      </c>
      <c r="AU74" t="s">
        <v>106</v>
      </c>
      <c r="AV74" t="s">
        <v>106</v>
      </c>
      <c r="AW74" t="s">
        <v>106</v>
      </c>
      <c r="AX74" t="s">
        <v>106</v>
      </c>
      <c r="AY74" t="s">
        <v>106</v>
      </c>
      <c r="AZ74" t="s">
        <v>106</v>
      </c>
      <c r="BA74" t="s">
        <v>106</v>
      </c>
      <c r="BB74" t="s">
        <v>106</v>
      </c>
      <c r="BC74" t="s">
        <v>106</v>
      </c>
      <c r="BD74" t="s">
        <v>106</v>
      </c>
      <c r="BE74" t="s">
        <v>106</v>
      </c>
      <c r="BF74" t="s">
        <v>106</v>
      </c>
      <c r="BG74" t="s">
        <v>106</v>
      </c>
      <c r="BH74" t="s">
        <v>106</v>
      </c>
      <c r="BI74" t="s">
        <v>106</v>
      </c>
      <c r="BJ74" t="s">
        <v>106</v>
      </c>
      <c r="BK74" t="s">
        <v>106</v>
      </c>
      <c r="BL74">
        <v>0</v>
      </c>
      <c r="BM74" t="s">
        <v>106</v>
      </c>
    </row>
    <row r="75" spans="1:65">
      <c r="C75" t="s">
        <v>178</v>
      </c>
      <c r="D75" t="s">
        <v>105</v>
      </c>
      <c r="E75" t="s">
        <v>105</v>
      </c>
      <c r="F75" t="s">
        <v>106</v>
      </c>
      <c r="G75" t="s">
        <v>106</v>
      </c>
      <c r="H75" t="s">
        <v>106</v>
      </c>
      <c r="I75" t="s">
        <v>106</v>
      </c>
      <c r="J75" t="s">
        <v>106</v>
      </c>
      <c r="K75" t="s">
        <v>106</v>
      </c>
      <c r="L75" t="s">
        <v>106</v>
      </c>
      <c r="M75" t="s">
        <v>106</v>
      </c>
      <c r="N75" t="s">
        <v>106</v>
      </c>
      <c r="O75" t="s">
        <v>106</v>
      </c>
      <c r="P75" t="s">
        <v>106</v>
      </c>
      <c r="Q75" t="s">
        <v>106</v>
      </c>
      <c r="R75" t="s">
        <v>106</v>
      </c>
      <c r="S75" t="s">
        <v>106</v>
      </c>
      <c r="T75" t="s">
        <v>106</v>
      </c>
      <c r="U75" t="s">
        <v>106</v>
      </c>
      <c r="V75" t="s">
        <v>106</v>
      </c>
      <c r="W75" t="s">
        <v>106</v>
      </c>
      <c r="X75" t="s">
        <v>106</v>
      </c>
      <c r="Y75" t="s">
        <v>106</v>
      </c>
      <c r="Z75" t="s">
        <v>106</v>
      </c>
      <c r="AA75" t="s">
        <v>106</v>
      </c>
      <c r="AB75" t="s">
        <v>106</v>
      </c>
      <c r="AC75" t="s">
        <v>106</v>
      </c>
      <c r="AD75" t="s">
        <v>106</v>
      </c>
      <c r="AE75" t="s">
        <v>106</v>
      </c>
      <c r="AF75" t="s">
        <v>106</v>
      </c>
      <c r="AG75" t="s">
        <v>106</v>
      </c>
      <c r="AH75" t="s">
        <v>106</v>
      </c>
      <c r="AI75" t="s">
        <v>106</v>
      </c>
      <c r="AJ75" t="s">
        <v>106</v>
      </c>
      <c r="AK75" t="s">
        <v>106</v>
      </c>
      <c r="AL75" t="s">
        <v>106</v>
      </c>
      <c r="AM75" t="s">
        <v>106</v>
      </c>
      <c r="AN75" t="s">
        <v>106</v>
      </c>
      <c r="AO75" t="s">
        <v>106</v>
      </c>
      <c r="AP75" t="s">
        <v>106</v>
      </c>
      <c r="AQ75" t="s">
        <v>106</v>
      </c>
      <c r="AR75" t="s">
        <v>106</v>
      </c>
      <c r="AS75" t="s">
        <v>106</v>
      </c>
      <c r="AT75" t="s">
        <v>106</v>
      </c>
      <c r="AU75" t="s">
        <v>106</v>
      </c>
      <c r="AV75" t="s">
        <v>106</v>
      </c>
      <c r="AW75" t="s">
        <v>106</v>
      </c>
      <c r="AX75" t="s">
        <v>106</v>
      </c>
      <c r="AY75" t="s">
        <v>106</v>
      </c>
      <c r="AZ75" t="s">
        <v>106</v>
      </c>
      <c r="BA75" t="s">
        <v>106</v>
      </c>
      <c r="BB75" t="s">
        <v>106</v>
      </c>
      <c r="BC75" t="s">
        <v>106</v>
      </c>
      <c r="BD75" t="s">
        <v>106</v>
      </c>
      <c r="BE75" t="s">
        <v>106</v>
      </c>
      <c r="BF75" t="s">
        <v>106</v>
      </c>
      <c r="BG75" t="s">
        <v>106</v>
      </c>
      <c r="BH75" t="s">
        <v>106</v>
      </c>
      <c r="BI75" t="s">
        <v>106</v>
      </c>
      <c r="BJ75" t="s">
        <v>106</v>
      </c>
      <c r="BK75" t="s">
        <v>106</v>
      </c>
      <c r="BL75" t="s">
        <v>106</v>
      </c>
      <c r="BM75" t="s">
        <v>106</v>
      </c>
    </row>
    <row r="76" spans="1:65">
      <c r="C76" t="s">
        <v>179</v>
      </c>
      <c r="D76" t="s">
        <v>105</v>
      </c>
      <c r="E76" t="s">
        <v>105</v>
      </c>
      <c r="F76" t="s">
        <v>106</v>
      </c>
      <c r="G76" t="s">
        <v>106</v>
      </c>
      <c r="H76" t="s">
        <v>106</v>
      </c>
      <c r="I76" t="s">
        <v>106</v>
      </c>
      <c r="J76" t="s">
        <v>106</v>
      </c>
      <c r="K76" t="s">
        <v>106</v>
      </c>
      <c r="L76" t="s">
        <v>106</v>
      </c>
      <c r="M76" t="s">
        <v>106</v>
      </c>
      <c r="N76" t="s">
        <v>106</v>
      </c>
      <c r="O76" t="s">
        <v>106</v>
      </c>
      <c r="P76" t="s">
        <v>106</v>
      </c>
      <c r="Q76" t="s">
        <v>106</v>
      </c>
      <c r="R76" t="s">
        <v>106</v>
      </c>
      <c r="S76" t="s">
        <v>106</v>
      </c>
      <c r="T76" t="s">
        <v>106</v>
      </c>
      <c r="U76" t="s">
        <v>106</v>
      </c>
      <c r="V76" t="s">
        <v>106</v>
      </c>
      <c r="W76" t="s">
        <v>106</v>
      </c>
      <c r="X76" t="s">
        <v>106</v>
      </c>
      <c r="Y76" t="s">
        <v>106</v>
      </c>
      <c r="Z76" t="s">
        <v>106</v>
      </c>
      <c r="AA76" t="s">
        <v>106</v>
      </c>
      <c r="AB76" t="s">
        <v>106</v>
      </c>
      <c r="AC76" t="s">
        <v>106</v>
      </c>
      <c r="AD76" t="s">
        <v>106</v>
      </c>
      <c r="AE76" t="s">
        <v>106</v>
      </c>
      <c r="AF76" t="s">
        <v>106</v>
      </c>
      <c r="AG76" t="s">
        <v>106</v>
      </c>
      <c r="AH76" t="s">
        <v>106</v>
      </c>
      <c r="AI76" t="s">
        <v>106</v>
      </c>
      <c r="AJ76" t="s">
        <v>106</v>
      </c>
      <c r="AK76" t="s">
        <v>106</v>
      </c>
      <c r="AL76">
        <v>29.2</v>
      </c>
      <c r="AM76" t="s">
        <v>106</v>
      </c>
      <c r="AN76" t="s">
        <v>106</v>
      </c>
      <c r="AO76" t="s">
        <v>106</v>
      </c>
      <c r="AP76" t="s">
        <v>106</v>
      </c>
      <c r="AQ76">
        <v>4.7</v>
      </c>
      <c r="AR76" t="s">
        <v>106</v>
      </c>
      <c r="AS76" t="s">
        <v>106</v>
      </c>
      <c r="AT76" t="s">
        <v>106</v>
      </c>
      <c r="AU76" t="s">
        <v>106</v>
      </c>
      <c r="AV76" t="s">
        <v>106</v>
      </c>
      <c r="AW76" t="s">
        <v>106</v>
      </c>
      <c r="AX76" t="s">
        <v>106</v>
      </c>
      <c r="AY76" t="s">
        <v>106</v>
      </c>
      <c r="AZ76" t="s">
        <v>106</v>
      </c>
      <c r="BA76" t="s">
        <v>106</v>
      </c>
      <c r="BB76" t="s">
        <v>106</v>
      </c>
      <c r="BC76" t="s">
        <v>106</v>
      </c>
      <c r="BD76" t="s">
        <v>106</v>
      </c>
      <c r="BE76" t="s">
        <v>106</v>
      </c>
      <c r="BF76" t="s">
        <v>106</v>
      </c>
      <c r="BG76" t="s">
        <v>106</v>
      </c>
      <c r="BH76" t="s">
        <v>106</v>
      </c>
      <c r="BI76" t="s">
        <v>106</v>
      </c>
      <c r="BJ76" t="s">
        <v>106</v>
      </c>
      <c r="BK76" t="s">
        <v>106</v>
      </c>
      <c r="BL76">
        <v>33.9</v>
      </c>
      <c r="BM76" t="s">
        <v>106</v>
      </c>
    </row>
    <row r="77" spans="1:65">
      <c r="C77" t="s">
        <v>180</v>
      </c>
      <c r="D77" t="s">
        <v>105</v>
      </c>
      <c r="E77" t="s">
        <v>105</v>
      </c>
      <c r="F77" t="s">
        <v>106</v>
      </c>
      <c r="G77" t="s">
        <v>106</v>
      </c>
      <c r="H77" t="s">
        <v>106</v>
      </c>
      <c r="I77" t="s">
        <v>106</v>
      </c>
      <c r="J77" t="s">
        <v>106</v>
      </c>
      <c r="K77" t="s">
        <v>106</v>
      </c>
      <c r="L77" t="s">
        <v>106</v>
      </c>
      <c r="M77" t="s">
        <v>106</v>
      </c>
      <c r="N77" t="s">
        <v>106</v>
      </c>
      <c r="O77" t="s">
        <v>106</v>
      </c>
      <c r="P77" t="s">
        <v>106</v>
      </c>
      <c r="Q77" t="s">
        <v>106</v>
      </c>
      <c r="R77" t="s">
        <v>106</v>
      </c>
      <c r="S77" t="s">
        <v>106</v>
      </c>
      <c r="T77" t="s">
        <v>106</v>
      </c>
      <c r="U77" t="s">
        <v>106</v>
      </c>
      <c r="V77" t="s">
        <v>106</v>
      </c>
      <c r="W77" t="s">
        <v>106</v>
      </c>
      <c r="X77" t="s">
        <v>106</v>
      </c>
      <c r="Y77" t="s">
        <v>106</v>
      </c>
      <c r="Z77" t="s">
        <v>106</v>
      </c>
      <c r="AA77" t="s">
        <v>106</v>
      </c>
      <c r="AB77" t="s">
        <v>106</v>
      </c>
      <c r="AC77" t="s">
        <v>106</v>
      </c>
      <c r="AD77" t="s">
        <v>106</v>
      </c>
      <c r="AE77" t="s">
        <v>106</v>
      </c>
      <c r="AF77" t="s">
        <v>106</v>
      </c>
      <c r="AG77" t="s">
        <v>106</v>
      </c>
      <c r="AH77" t="s">
        <v>106</v>
      </c>
      <c r="AI77" t="s">
        <v>106</v>
      </c>
      <c r="AJ77" t="s">
        <v>106</v>
      </c>
      <c r="AK77" t="s">
        <v>106</v>
      </c>
      <c r="AL77">
        <v>0.3</v>
      </c>
      <c r="AM77" t="s">
        <v>106</v>
      </c>
      <c r="AN77" t="s">
        <v>106</v>
      </c>
      <c r="AO77" t="s">
        <v>106</v>
      </c>
      <c r="AP77" t="s">
        <v>106</v>
      </c>
      <c r="AQ77" t="s">
        <v>106</v>
      </c>
      <c r="AR77" t="s">
        <v>106</v>
      </c>
      <c r="AS77" t="s">
        <v>106</v>
      </c>
      <c r="AT77" t="s">
        <v>106</v>
      </c>
      <c r="AU77" t="s">
        <v>106</v>
      </c>
      <c r="AV77" t="s">
        <v>106</v>
      </c>
      <c r="AW77" t="s">
        <v>106</v>
      </c>
      <c r="AX77" t="s">
        <v>106</v>
      </c>
      <c r="AY77" t="s">
        <v>106</v>
      </c>
      <c r="AZ77" t="s">
        <v>106</v>
      </c>
      <c r="BA77" t="s">
        <v>106</v>
      </c>
      <c r="BB77" t="s">
        <v>106</v>
      </c>
      <c r="BC77" t="s">
        <v>106</v>
      </c>
      <c r="BD77" t="s">
        <v>106</v>
      </c>
      <c r="BE77" t="s">
        <v>106</v>
      </c>
      <c r="BF77" t="s">
        <v>106</v>
      </c>
      <c r="BG77" t="s">
        <v>106</v>
      </c>
      <c r="BH77" t="s">
        <v>106</v>
      </c>
      <c r="BI77" t="s">
        <v>106</v>
      </c>
      <c r="BJ77" t="s">
        <v>106</v>
      </c>
      <c r="BK77" t="s">
        <v>106</v>
      </c>
      <c r="BL77">
        <v>0.3</v>
      </c>
      <c r="BM77" t="s">
        <v>106</v>
      </c>
    </row>
    <row r="78" spans="1:65">
      <c r="C78" t="s">
        <v>181</v>
      </c>
      <c r="D78" t="s">
        <v>105</v>
      </c>
      <c r="E78" t="s">
        <v>105</v>
      </c>
      <c r="F78" t="s">
        <v>106</v>
      </c>
      <c r="G78" t="s">
        <v>106</v>
      </c>
      <c r="H78" t="s">
        <v>106</v>
      </c>
      <c r="I78" t="s">
        <v>106</v>
      </c>
      <c r="J78" t="s">
        <v>106</v>
      </c>
      <c r="K78" t="s">
        <v>106</v>
      </c>
      <c r="L78" t="s">
        <v>106</v>
      </c>
      <c r="M78" t="s">
        <v>106</v>
      </c>
      <c r="N78" t="s">
        <v>106</v>
      </c>
      <c r="O78">
        <v>516.20000000000005</v>
      </c>
      <c r="P78" t="s">
        <v>106</v>
      </c>
      <c r="Q78" t="s">
        <v>106</v>
      </c>
      <c r="R78" t="s">
        <v>106</v>
      </c>
      <c r="S78">
        <v>107.6</v>
      </c>
      <c r="T78" t="s">
        <v>106</v>
      </c>
      <c r="U78" t="s">
        <v>106</v>
      </c>
      <c r="V78" t="s">
        <v>106</v>
      </c>
      <c r="W78" t="s">
        <v>106</v>
      </c>
      <c r="X78" t="s">
        <v>106</v>
      </c>
      <c r="Y78" t="s">
        <v>106</v>
      </c>
      <c r="Z78">
        <v>3830.3</v>
      </c>
      <c r="AA78">
        <v>958.5</v>
      </c>
      <c r="AB78" t="s">
        <v>106</v>
      </c>
      <c r="AC78" t="s">
        <v>106</v>
      </c>
      <c r="AD78" t="s">
        <v>106</v>
      </c>
      <c r="AE78" t="s">
        <v>106</v>
      </c>
      <c r="AF78" t="s">
        <v>106</v>
      </c>
      <c r="AG78" t="s">
        <v>106</v>
      </c>
      <c r="AH78" t="s">
        <v>106</v>
      </c>
      <c r="AI78" t="s">
        <v>106</v>
      </c>
      <c r="AJ78" t="s">
        <v>106</v>
      </c>
      <c r="AK78">
        <v>41351.599999999999</v>
      </c>
      <c r="AL78" t="s">
        <v>106</v>
      </c>
      <c r="AM78" t="s">
        <v>106</v>
      </c>
      <c r="AN78" t="s">
        <v>106</v>
      </c>
      <c r="AO78" t="s">
        <v>106</v>
      </c>
      <c r="AP78" t="s">
        <v>106</v>
      </c>
      <c r="AQ78" t="s">
        <v>106</v>
      </c>
      <c r="AR78" t="s">
        <v>106</v>
      </c>
      <c r="AS78" t="s">
        <v>106</v>
      </c>
      <c r="AT78" t="s">
        <v>106</v>
      </c>
      <c r="AU78" t="s">
        <v>106</v>
      </c>
      <c r="AV78" t="s">
        <v>106</v>
      </c>
      <c r="AW78" t="s">
        <v>106</v>
      </c>
      <c r="AX78" t="s">
        <v>106</v>
      </c>
      <c r="AY78" t="s">
        <v>106</v>
      </c>
      <c r="AZ78" t="s">
        <v>106</v>
      </c>
      <c r="BA78" t="s">
        <v>106</v>
      </c>
      <c r="BB78" t="s">
        <v>106</v>
      </c>
      <c r="BC78" t="s">
        <v>106</v>
      </c>
      <c r="BD78" t="s">
        <v>106</v>
      </c>
      <c r="BE78" t="s">
        <v>106</v>
      </c>
      <c r="BF78" t="s">
        <v>106</v>
      </c>
      <c r="BG78" t="s">
        <v>106</v>
      </c>
      <c r="BH78" t="s">
        <v>106</v>
      </c>
      <c r="BI78" t="s">
        <v>106</v>
      </c>
      <c r="BJ78" t="s">
        <v>106</v>
      </c>
      <c r="BK78" t="s">
        <v>106</v>
      </c>
      <c r="BL78">
        <v>46764.1</v>
      </c>
      <c r="BM78" t="s">
        <v>106</v>
      </c>
    </row>
    <row r="79" spans="1:65">
      <c r="A79" t="s">
        <v>182</v>
      </c>
      <c r="B79" t="s">
        <v>105</v>
      </c>
      <c r="C79" t="s">
        <v>105</v>
      </c>
      <c r="D79" t="s">
        <v>105</v>
      </c>
      <c r="E79" t="s">
        <v>105</v>
      </c>
      <c r="F79">
        <v>735.6</v>
      </c>
      <c r="G79">
        <v>1110.9000000000001</v>
      </c>
      <c r="H79" t="s">
        <v>106</v>
      </c>
      <c r="I79">
        <v>184524.79999999999</v>
      </c>
      <c r="J79">
        <v>3825.3</v>
      </c>
      <c r="K79" t="s">
        <v>106</v>
      </c>
      <c r="L79" t="s">
        <v>106</v>
      </c>
      <c r="M79" t="s">
        <v>106</v>
      </c>
      <c r="N79" t="s">
        <v>106</v>
      </c>
      <c r="O79" t="s">
        <v>106</v>
      </c>
      <c r="P79">
        <v>3214.3</v>
      </c>
      <c r="Q79">
        <v>13763.8</v>
      </c>
      <c r="R79">
        <v>6258.8</v>
      </c>
      <c r="S79">
        <v>165290.20000000001</v>
      </c>
      <c r="T79">
        <v>913.5</v>
      </c>
      <c r="U79" t="s">
        <v>106</v>
      </c>
      <c r="V79" t="s">
        <v>106</v>
      </c>
      <c r="W79" t="s">
        <v>106</v>
      </c>
      <c r="X79" t="s">
        <v>106</v>
      </c>
      <c r="Y79">
        <v>2415.5</v>
      </c>
      <c r="Z79">
        <v>122.9</v>
      </c>
      <c r="AA79" t="s">
        <v>106</v>
      </c>
      <c r="AB79" t="s">
        <v>106</v>
      </c>
      <c r="AC79" t="s">
        <v>106</v>
      </c>
      <c r="AD79" t="s">
        <v>106</v>
      </c>
      <c r="AE79" t="s">
        <v>106</v>
      </c>
      <c r="AF79">
        <v>31</v>
      </c>
      <c r="AG79">
        <v>1191.5</v>
      </c>
      <c r="AH79" t="s">
        <v>106</v>
      </c>
      <c r="AI79" t="s">
        <v>106</v>
      </c>
      <c r="AJ79">
        <v>385.8</v>
      </c>
      <c r="AK79" t="s">
        <v>106</v>
      </c>
      <c r="AL79" t="s">
        <v>106</v>
      </c>
      <c r="AM79" t="s">
        <v>106</v>
      </c>
      <c r="AN79" t="s">
        <v>106</v>
      </c>
      <c r="AO79" t="s">
        <v>106</v>
      </c>
      <c r="AP79">
        <v>141.4</v>
      </c>
      <c r="AQ79">
        <v>4074.5</v>
      </c>
      <c r="AR79">
        <v>375.9</v>
      </c>
      <c r="AS79">
        <v>537.1</v>
      </c>
      <c r="AT79">
        <v>487.4</v>
      </c>
      <c r="AU79">
        <v>10956.7</v>
      </c>
      <c r="AV79">
        <v>160.6</v>
      </c>
      <c r="AW79">
        <v>218.7</v>
      </c>
      <c r="AX79" t="s">
        <v>106</v>
      </c>
      <c r="AY79" t="s">
        <v>106</v>
      </c>
      <c r="AZ79">
        <v>1677.1</v>
      </c>
      <c r="BA79" t="s">
        <v>106</v>
      </c>
      <c r="BB79">
        <v>180494.1</v>
      </c>
      <c r="BC79">
        <v>3718</v>
      </c>
      <c r="BD79" t="s">
        <v>106</v>
      </c>
      <c r="BE79">
        <v>33246.199999999997</v>
      </c>
      <c r="BF79" t="s">
        <v>106</v>
      </c>
      <c r="BG79">
        <v>437.6</v>
      </c>
      <c r="BH79">
        <v>3393.5</v>
      </c>
      <c r="BI79">
        <v>6257.3</v>
      </c>
      <c r="BJ79" t="s">
        <v>106</v>
      </c>
      <c r="BK79">
        <v>161.9</v>
      </c>
      <c r="BL79">
        <v>630121.80000000005</v>
      </c>
      <c r="BM79">
        <v>62462.6</v>
      </c>
    </row>
    <row r="80" spans="1:65">
      <c r="B80" t="s">
        <v>183</v>
      </c>
      <c r="C80" t="s">
        <v>105</v>
      </c>
      <c r="D80" t="s">
        <v>105</v>
      </c>
      <c r="E80" t="s">
        <v>105</v>
      </c>
      <c r="F80">
        <v>735.6</v>
      </c>
      <c r="G80">
        <v>1110.9000000000001</v>
      </c>
      <c r="H80" t="s">
        <v>106</v>
      </c>
      <c r="I80">
        <v>173636.3</v>
      </c>
      <c r="J80">
        <v>3825.3</v>
      </c>
      <c r="K80" t="s">
        <v>106</v>
      </c>
      <c r="L80" t="s">
        <v>106</v>
      </c>
      <c r="M80" t="s">
        <v>106</v>
      </c>
      <c r="N80" t="s">
        <v>106</v>
      </c>
      <c r="O80" t="s">
        <v>106</v>
      </c>
      <c r="P80" t="s">
        <v>106</v>
      </c>
      <c r="Q80" t="s">
        <v>106</v>
      </c>
      <c r="R80">
        <v>996.5</v>
      </c>
      <c r="S80">
        <v>112848.9</v>
      </c>
      <c r="T80" t="s">
        <v>106</v>
      </c>
      <c r="U80" t="s">
        <v>106</v>
      </c>
      <c r="V80" t="s">
        <v>106</v>
      </c>
      <c r="W80" t="s">
        <v>106</v>
      </c>
      <c r="X80" t="s">
        <v>106</v>
      </c>
      <c r="Y80" t="s">
        <v>106</v>
      </c>
      <c r="Z80" t="s">
        <v>106</v>
      </c>
      <c r="AA80" t="s">
        <v>106</v>
      </c>
      <c r="AB80" t="s">
        <v>106</v>
      </c>
      <c r="AC80" t="s">
        <v>106</v>
      </c>
      <c r="AD80" t="s">
        <v>106</v>
      </c>
      <c r="AE80" t="s">
        <v>106</v>
      </c>
      <c r="AF80">
        <v>28.1</v>
      </c>
      <c r="AG80">
        <v>1190.2</v>
      </c>
      <c r="AH80" t="s">
        <v>106</v>
      </c>
      <c r="AI80" t="s">
        <v>106</v>
      </c>
      <c r="AJ80">
        <v>33.700000000000003</v>
      </c>
      <c r="AK80" t="s">
        <v>106</v>
      </c>
      <c r="AL80" t="s">
        <v>106</v>
      </c>
      <c r="AM80" t="s">
        <v>106</v>
      </c>
      <c r="AN80" t="s">
        <v>106</v>
      </c>
      <c r="AO80" t="s">
        <v>106</v>
      </c>
      <c r="AP80" t="s">
        <v>106</v>
      </c>
      <c r="AQ80" t="s">
        <v>106</v>
      </c>
      <c r="AR80">
        <v>313.5</v>
      </c>
      <c r="AS80">
        <v>116.7</v>
      </c>
      <c r="AT80">
        <v>227.4</v>
      </c>
      <c r="AU80">
        <v>6668.2</v>
      </c>
      <c r="AV80">
        <v>94.5</v>
      </c>
      <c r="AW80">
        <v>218.7</v>
      </c>
      <c r="AX80" t="s">
        <v>106</v>
      </c>
      <c r="AY80" t="s">
        <v>106</v>
      </c>
      <c r="AZ80">
        <v>1677.1</v>
      </c>
      <c r="BA80" t="s">
        <v>106</v>
      </c>
      <c r="BB80">
        <v>180494.1</v>
      </c>
      <c r="BC80">
        <v>3716.4</v>
      </c>
      <c r="BD80" t="s">
        <v>106</v>
      </c>
      <c r="BE80">
        <v>29297.8</v>
      </c>
      <c r="BF80" t="s">
        <v>106</v>
      </c>
      <c r="BG80">
        <v>437.6</v>
      </c>
      <c r="BH80">
        <v>3383.8</v>
      </c>
      <c r="BI80">
        <v>6164.5</v>
      </c>
      <c r="BJ80" t="s">
        <v>106</v>
      </c>
      <c r="BK80" t="s">
        <v>106</v>
      </c>
      <c r="BL80">
        <v>527215.9</v>
      </c>
      <c r="BM80">
        <v>53312.7</v>
      </c>
    </row>
    <row r="81" spans="1:65">
      <c r="B81" t="s">
        <v>184</v>
      </c>
      <c r="C81" t="s">
        <v>105</v>
      </c>
      <c r="D81" t="s">
        <v>105</v>
      </c>
      <c r="E81" t="s">
        <v>105</v>
      </c>
      <c r="F81" t="s">
        <v>106</v>
      </c>
      <c r="G81" t="s">
        <v>106</v>
      </c>
      <c r="H81" t="s">
        <v>106</v>
      </c>
      <c r="I81">
        <v>505.4</v>
      </c>
      <c r="J81" t="s">
        <v>106</v>
      </c>
      <c r="K81" t="s">
        <v>106</v>
      </c>
      <c r="L81" t="s">
        <v>106</v>
      </c>
      <c r="M81" t="s">
        <v>106</v>
      </c>
      <c r="N81" t="s">
        <v>106</v>
      </c>
      <c r="O81" t="s">
        <v>106</v>
      </c>
      <c r="P81">
        <v>3214.3</v>
      </c>
      <c r="Q81">
        <v>13763.8</v>
      </c>
      <c r="R81">
        <v>5262.3</v>
      </c>
      <c r="S81">
        <v>2409.4</v>
      </c>
      <c r="T81">
        <v>20.5</v>
      </c>
      <c r="U81" t="s">
        <v>106</v>
      </c>
      <c r="V81" t="s">
        <v>106</v>
      </c>
      <c r="W81" t="s">
        <v>106</v>
      </c>
      <c r="X81" t="s">
        <v>106</v>
      </c>
      <c r="Y81">
        <v>604.4</v>
      </c>
      <c r="Z81" t="s">
        <v>106</v>
      </c>
      <c r="AA81" t="s">
        <v>106</v>
      </c>
      <c r="AB81" t="s">
        <v>106</v>
      </c>
      <c r="AC81" t="s">
        <v>106</v>
      </c>
      <c r="AD81" t="s">
        <v>106</v>
      </c>
      <c r="AE81" t="s">
        <v>106</v>
      </c>
      <c r="AF81" t="s">
        <v>106</v>
      </c>
      <c r="AG81" t="s">
        <v>106</v>
      </c>
      <c r="AH81" t="s">
        <v>106</v>
      </c>
      <c r="AI81" t="s">
        <v>106</v>
      </c>
      <c r="AJ81">
        <v>76</v>
      </c>
      <c r="AK81" t="s">
        <v>106</v>
      </c>
      <c r="AL81" t="s">
        <v>106</v>
      </c>
      <c r="AM81" t="s">
        <v>106</v>
      </c>
      <c r="AN81" t="s">
        <v>106</v>
      </c>
      <c r="AO81" t="s">
        <v>106</v>
      </c>
      <c r="AP81" t="s">
        <v>106</v>
      </c>
      <c r="AQ81" t="s">
        <v>106</v>
      </c>
      <c r="AR81">
        <v>9.9</v>
      </c>
      <c r="AS81">
        <v>33.9</v>
      </c>
      <c r="AT81" t="s">
        <v>106</v>
      </c>
      <c r="AU81">
        <v>1806.9</v>
      </c>
      <c r="AV81">
        <v>17.3</v>
      </c>
      <c r="AW81" t="s">
        <v>106</v>
      </c>
      <c r="AX81" t="s">
        <v>106</v>
      </c>
      <c r="AY81" t="s">
        <v>106</v>
      </c>
      <c r="AZ81" t="s">
        <v>106</v>
      </c>
      <c r="BA81" t="s">
        <v>106</v>
      </c>
      <c r="BB81" t="s">
        <v>106</v>
      </c>
      <c r="BC81">
        <v>1.6</v>
      </c>
      <c r="BD81" t="s">
        <v>106</v>
      </c>
      <c r="BE81">
        <v>3948.4</v>
      </c>
      <c r="BF81" t="s">
        <v>106</v>
      </c>
      <c r="BG81" t="s">
        <v>106</v>
      </c>
      <c r="BH81">
        <v>9.6999999999999993</v>
      </c>
      <c r="BI81">
        <v>92.9</v>
      </c>
      <c r="BJ81" t="s">
        <v>106</v>
      </c>
      <c r="BK81" t="s">
        <v>106</v>
      </c>
      <c r="BL81">
        <v>31776.6</v>
      </c>
      <c r="BM81">
        <v>5920.6</v>
      </c>
    </row>
    <row r="82" spans="1:65">
      <c r="B82" t="s">
        <v>185</v>
      </c>
      <c r="C82" t="s">
        <v>105</v>
      </c>
      <c r="D82" t="s">
        <v>105</v>
      </c>
      <c r="E82" t="s">
        <v>105</v>
      </c>
      <c r="F82" t="s">
        <v>106</v>
      </c>
      <c r="G82" t="s">
        <v>106</v>
      </c>
      <c r="H82" t="s">
        <v>106</v>
      </c>
      <c r="I82" t="s">
        <v>106</v>
      </c>
      <c r="J82" t="s">
        <v>106</v>
      </c>
      <c r="K82" t="s">
        <v>106</v>
      </c>
      <c r="L82" t="s">
        <v>106</v>
      </c>
      <c r="M82" t="s">
        <v>106</v>
      </c>
      <c r="N82" t="s">
        <v>106</v>
      </c>
      <c r="O82" t="s">
        <v>106</v>
      </c>
      <c r="P82" t="s">
        <v>106</v>
      </c>
      <c r="Q82" t="s">
        <v>106</v>
      </c>
      <c r="R82" t="s">
        <v>106</v>
      </c>
      <c r="S82">
        <v>41945.7</v>
      </c>
      <c r="T82">
        <v>750.6</v>
      </c>
      <c r="U82" t="s">
        <v>106</v>
      </c>
      <c r="V82" t="s">
        <v>106</v>
      </c>
      <c r="W82" t="s">
        <v>106</v>
      </c>
      <c r="X82" t="s">
        <v>106</v>
      </c>
      <c r="Y82" t="s">
        <v>106</v>
      </c>
      <c r="Z82" t="s">
        <v>106</v>
      </c>
      <c r="AA82" t="s">
        <v>106</v>
      </c>
      <c r="AB82" t="s">
        <v>106</v>
      </c>
      <c r="AC82" t="s">
        <v>106</v>
      </c>
      <c r="AD82" t="s">
        <v>106</v>
      </c>
      <c r="AE82" t="s">
        <v>106</v>
      </c>
      <c r="AF82">
        <v>2</v>
      </c>
      <c r="AG82">
        <v>1.3</v>
      </c>
      <c r="AH82" t="s">
        <v>106</v>
      </c>
      <c r="AI82" t="s">
        <v>106</v>
      </c>
      <c r="AJ82">
        <v>240.6</v>
      </c>
      <c r="AK82" t="s">
        <v>106</v>
      </c>
      <c r="AL82" t="s">
        <v>106</v>
      </c>
      <c r="AM82" t="s">
        <v>106</v>
      </c>
      <c r="AN82" t="s">
        <v>106</v>
      </c>
      <c r="AO82" t="s">
        <v>106</v>
      </c>
      <c r="AP82" t="s">
        <v>106</v>
      </c>
      <c r="AQ82" t="s">
        <v>106</v>
      </c>
      <c r="AR82">
        <v>51</v>
      </c>
      <c r="AS82">
        <v>213.1</v>
      </c>
      <c r="AT82">
        <v>77.5</v>
      </c>
      <c r="AU82">
        <v>26.8</v>
      </c>
      <c r="AV82">
        <v>40.1</v>
      </c>
      <c r="AW82" t="s">
        <v>106</v>
      </c>
      <c r="AX82" t="s">
        <v>106</v>
      </c>
      <c r="AY82" t="s">
        <v>106</v>
      </c>
      <c r="AZ82" t="s">
        <v>106</v>
      </c>
      <c r="BA82" t="s">
        <v>106</v>
      </c>
      <c r="BB82" t="s">
        <v>106</v>
      </c>
      <c r="BC82" t="s">
        <v>106</v>
      </c>
      <c r="BD82" t="s">
        <v>106</v>
      </c>
      <c r="BE82" t="s">
        <v>106</v>
      </c>
      <c r="BF82" t="s">
        <v>106</v>
      </c>
      <c r="BG82" t="s">
        <v>106</v>
      </c>
      <c r="BH82" t="s">
        <v>106</v>
      </c>
      <c r="BI82" t="s">
        <v>106</v>
      </c>
      <c r="BJ82" t="s">
        <v>106</v>
      </c>
      <c r="BK82" t="s">
        <v>106</v>
      </c>
      <c r="BL82">
        <v>43348.7</v>
      </c>
      <c r="BM82">
        <v>408.5</v>
      </c>
    </row>
    <row r="83" spans="1:65">
      <c r="B83" t="s">
        <v>186</v>
      </c>
      <c r="C83" t="s">
        <v>105</v>
      </c>
      <c r="D83" t="s">
        <v>105</v>
      </c>
      <c r="E83" t="s">
        <v>105</v>
      </c>
      <c r="F83" t="s">
        <v>106</v>
      </c>
      <c r="G83" t="s">
        <v>106</v>
      </c>
      <c r="H83" t="s">
        <v>106</v>
      </c>
      <c r="I83">
        <v>10383.200000000001</v>
      </c>
      <c r="J83" t="s">
        <v>106</v>
      </c>
      <c r="K83" t="s">
        <v>106</v>
      </c>
      <c r="L83" t="s">
        <v>106</v>
      </c>
      <c r="M83" t="s">
        <v>106</v>
      </c>
      <c r="N83" t="s">
        <v>106</v>
      </c>
      <c r="O83" t="s">
        <v>106</v>
      </c>
      <c r="P83" t="s">
        <v>106</v>
      </c>
      <c r="Q83" t="s">
        <v>106</v>
      </c>
      <c r="R83" t="s">
        <v>106</v>
      </c>
      <c r="S83">
        <v>8086.2</v>
      </c>
      <c r="T83">
        <v>142.4</v>
      </c>
      <c r="U83" t="s">
        <v>106</v>
      </c>
      <c r="V83" t="s">
        <v>106</v>
      </c>
      <c r="W83" t="s">
        <v>106</v>
      </c>
      <c r="X83" t="s">
        <v>106</v>
      </c>
      <c r="Y83">
        <v>1811.1</v>
      </c>
      <c r="Z83">
        <v>122.9</v>
      </c>
      <c r="AA83" t="s">
        <v>106</v>
      </c>
      <c r="AB83" t="s">
        <v>106</v>
      </c>
      <c r="AC83" t="s">
        <v>106</v>
      </c>
      <c r="AD83" t="s">
        <v>106</v>
      </c>
      <c r="AE83" t="s">
        <v>106</v>
      </c>
      <c r="AF83">
        <v>0.8</v>
      </c>
      <c r="AG83">
        <v>0</v>
      </c>
      <c r="AH83" t="s">
        <v>106</v>
      </c>
      <c r="AI83" t="s">
        <v>106</v>
      </c>
      <c r="AJ83">
        <v>35.5</v>
      </c>
      <c r="AK83" t="s">
        <v>106</v>
      </c>
      <c r="AL83" t="s">
        <v>106</v>
      </c>
      <c r="AM83" t="s">
        <v>106</v>
      </c>
      <c r="AN83" t="s">
        <v>106</v>
      </c>
      <c r="AO83" t="s">
        <v>106</v>
      </c>
      <c r="AP83">
        <v>141.4</v>
      </c>
      <c r="AQ83">
        <v>4074.5</v>
      </c>
      <c r="AR83">
        <v>1.4</v>
      </c>
      <c r="AS83">
        <v>173.4</v>
      </c>
      <c r="AT83">
        <v>182.5</v>
      </c>
      <c r="AU83">
        <v>2454.8000000000002</v>
      </c>
      <c r="AV83">
        <v>8.6999999999999993</v>
      </c>
      <c r="AW83" t="s">
        <v>106</v>
      </c>
      <c r="AX83" t="s">
        <v>106</v>
      </c>
      <c r="AY83" t="s">
        <v>106</v>
      </c>
      <c r="AZ83" t="s">
        <v>106</v>
      </c>
      <c r="BA83" t="s">
        <v>106</v>
      </c>
      <c r="BB83" t="s">
        <v>106</v>
      </c>
      <c r="BC83" t="s">
        <v>106</v>
      </c>
      <c r="BD83" t="s">
        <v>106</v>
      </c>
      <c r="BE83" t="s">
        <v>106</v>
      </c>
      <c r="BF83" t="s">
        <v>106</v>
      </c>
      <c r="BG83" t="s">
        <v>106</v>
      </c>
      <c r="BH83" t="s">
        <v>106</v>
      </c>
      <c r="BI83" t="s">
        <v>106</v>
      </c>
      <c r="BJ83" t="s">
        <v>106</v>
      </c>
      <c r="BK83" t="s">
        <v>106</v>
      </c>
      <c r="BL83">
        <v>27618.799999999999</v>
      </c>
      <c r="BM83">
        <v>2820.8</v>
      </c>
    </row>
    <row r="84" spans="1:65">
      <c r="B84" t="s">
        <v>187</v>
      </c>
      <c r="C84" t="s">
        <v>105</v>
      </c>
      <c r="D84" t="s">
        <v>105</v>
      </c>
      <c r="E84" t="s">
        <v>105</v>
      </c>
      <c r="F84" t="s">
        <v>106</v>
      </c>
      <c r="G84" t="s">
        <v>106</v>
      </c>
      <c r="H84" t="s">
        <v>106</v>
      </c>
      <c r="I84" t="s">
        <v>106</v>
      </c>
      <c r="J84" t="s">
        <v>106</v>
      </c>
      <c r="K84" t="s">
        <v>106</v>
      </c>
      <c r="L84" t="s">
        <v>106</v>
      </c>
      <c r="M84" t="s">
        <v>106</v>
      </c>
      <c r="N84" t="s">
        <v>106</v>
      </c>
      <c r="O84" t="s">
        <v>106</v>
      </c>
      <c r="P84" t="s">
        <v>106</v>
      </c>
      <c r="Q84" t="s">
        <v>106</v>
      </c>
      <c r="R84" t="s">
        <v>106</v>
      </c>
      <c r="S84" t="s">
        <v>106</v>
      </c>
      <c r="T84" t="s">
        <v>106</v>
      </c>
      <c r="U84" t="s">
        <v>106</v>
      </c>
      <c r="V84" t="s">
        <v>106</v>
      </c>
      <c r="W84" t="s">
        <v>106</v>
      </c>
      <c r="X84" t="s">
        <v>106</v>
      </c>
      <c r="Y84" t="s">
        <v>106</v>
      </c>
      <c r="Z84" t="s">
        <v>106</v>
      </c>
      <c r="AA84" t="s">
        <v>106</v>
      </c>
      <c r="AB84" t="s">
        <v>106</v>
      </c>
      <c r="AC84" t="s">
        <v>106</v>
      </c>
      <c r="AD84" t="s">
        <v>106</v>
      </c>
      <c r="AE84" t="s">
        <v>106</v>
      </c>
      <c r="AF84" t="s">
        <v>106</v>
      </c>
      <c r="AG84" t="s">
        <v>106</v>
      </c>
      <c r="AH84" t="s">
        <v>106</v>
      </c>
      <c r="AI84" t="s">
        <v>106</v>
      </c>
      <c r="AJ84" t="s">
        <v>106</v>
      </c>
      <c r="AK84" t="s">
        <v>106</v>
      </c>
      <c r="AL84" t="s">
        <v>106</v>
      </c>
      <c r="AM84" t="s">
        <v>106</v>
      </c>
      <c r="AN84" t="s">
        <v>106</v>
      </c>
      <c r="AO84" t="s">
        <v>106</v>
      </c>
      <c r="AP84" t="s">
        <v>106</v>
      </c>
      <c r="AQ84" t="s">
        <v>106</v>
      </c>
      <c r="AR84" t="s">
        <v>106</v>
      </c>
      <c r="AS84" t="s">
        <v>106</v>
      </c>
      <c r="AT84" t="s">
        <v>106</v>
      </c>
      <c r="AU84" t="s">
        <v>106</v>
      </c>
      <c r="AV84" t="s">
        <v>106</v>
      </c>
      <c r="AW84" t="s">
        <v>106</v>
      </c>
      <c r="AX84" t="s">
        <v>106</v>
      </c>
      <c r="AY84" t="s">
        <v>106</v>
      </c>
      <c r="AZ84" t="s">
        <v>106</v>
      </c>
      <c r="BA84" t="s">
        <v>106</v>
      </c>
      <c r="BB84" t="s">
        <v>106</v>
      </c>
      <c r="BC84" t="s">
        <v>106</v>
      </c>
      <c r="BD84" t="s">
        <v>106</v>
      </c>
      <c r="BE84" t="s">
        <v>106</v>
      </c>
      <c r="BF84" t="s">
        <v>106</v>
      </c>
      <c r="BG84" t="s">
        <v>106</v>
      </c>
      <c r="BH84" t="s">
        <v>106</v>
      </c>
      <c r="BI84" t="s">
        <v>106</v>
      </c>
      <c r="BJ84" t="s">
        <v>106</v>
      </c>
      <c r="BK84">
        <v>161.9</v>
      </c>
      <c r="BL84">
        <v>161.9</v>
      </c>
      <c r="BM84" t="s">
        <v>106</v>
      </c>
    </row>
    <row r="85" spans="1:65">
      <c r="A85" t="s">
        <v>188</v>
      </c>
      <c r="B85" t="s">
        <v>105</v>
      </c>
      <c r="C85" t="s">
        <v>105</v>
      </c>
      <c r="D85" t="s">
        <v>105</v>
      </c>
      <c r="E85" t="s">
        <v>105</v>
      </c>
      <c r="F85" t="s">
        <v>106</v>
      </c>
      <c r="G85" t="s">
        <v>106</v>
      </c>
      <c r="H85" t="s">
        <v>106</v>
      </c>
      <c r="I85">
        <v>74466.3</v>
      </c>
      <c r="J85" t="s">
        <v>106</v>
      </c>
      <c r="K85" t="s">
        <v>106</v>
      </c>
      <c r="L85" t="s">
        <v>106</v>
      </c>
      <c r="M85" t="s">
        <v>106</v>
      </c>
      <c r="N85" t="s">
        <v>106</v>
      </c>
      <c r="O85" t="s">
        <v>106</v>
      </c>
      <c r="P85" t="s">
        <v>106</v>
      </c>
      <c r="Q85" t="s">
        <v>106</v>
      </c>
      <c r="R85" t="s">
        <v>106</v>
      </c>
      <c r="S85">
        <v>61287.6</v>
      </c>
      <c r="T85">
        <v>17945.2</v>
      </c>
      <c r="U85" t="s">
        <v>106</v>
      </c>
      <c r="V85" t="s">
        <v>106</v>
      </c>
      <c r="W85" t="s">
        <v>106</v>
      </c>
      <c r="X85" t="s">
        <v>106</v>
      </c>
      <c r="Y85">
        <v>3998.9</v>
      </c>
      <c r="Z85">
        <v>3225.8</v>
      </c>
      <c r="AA85" t="s">
        <v>106</v>
      </c>
      <c r="AB85" t="s">
        <v>106</v>
      </c>
      <c r="AC85" t="s">
        <v>106</v>
      </c>
      <c r="AD85" t="s">
        <v>106</v>
      </c>
      <c r="AE85" t="s">
        <v>106</v>
      </c>
      <c r="AF85">
        <v>40.700000000000003</v>
      </c>
      <c r="AG85">
        <v>28.3</v>
      </c>
      <c r="AH85" t="s">
        <v>106</v>
      </c>
      <c r="AI85" t="s">
        <v>106</v>
      </c>
      <c r="AJ85">
        <v>7685.6</v>
      </c>
      <c r="AK85" t="s">
        <v>106</v>
      </c>
      <c r="AL85" t="s">
        <v>106</v>
      </c>
      <c r="AM85" t="s">
        <v>106</v>
      </c>
      <c r="AN85" t="s">
        <v>106</v>
      </c>
      <c r="AO85" t="s">
        <v>106</v>
      </c>
      <c r="AP85">
        <v>9501.2000000000007</v>
      </c>
      <c r="AQ85">
        <v>29080.2</v>
      </c>
      <c r="AR85">
        <v>4877.3</v>
      </c>
      <c r="AS85">
        <v>7147.2</v>
      </c>
      <c r="AT85">
        <v>8891.7000000000007</v>
      </c>
      <c r="AU85">
        <v>6192.5</v>
      </c>
      <c r="AV85">
        <v>308.10000000000002</v>
      </c>
      <c r="AW85">
        <v>509.6</v>
      </c>
      <c r="AX85" t="s">
        <v>106</v>
      </c>
      <c r="AY85" t="s">
        <v>106</v>
      </c>
      <c r="AZ85" t="s">
        <v>106</v>
      </c>
      <c r="BA85" t="s">
        <v>106</v>
      </c>
      <c r="BB85" t="s">
        <v>106</v>
      </c>
      <c r="BC85" t="s">
        <v>106</v>
      </c>
      <c r="BD85" t="s">
        <v>106</v>
      </c>
      <c r="BE85" t="s">
        <v>106</v>
      </c>
      <c r="BF85" t="s">
        <v>106</v>
      </c>
      <c r="BG85" t="s">
        <v>106</v>
      </c>
      <c r="BH85" t="s">
        <v>106</v>
      </c>
      <c r="BI85" t="s">
        <v>106</v>
      </c>
      <c r="BJ85" t="s">
        <v>106</v>
      </c>
      <c r="BK85">
        <v>59000.2</v>
      </c>
      <c r="BL85">
        <v>294186.3</v>
      </c>
      <c r="BM85">
        <v>27926.400000000001</v>
      </c>
    </row>
    <row r="86" spans="1:65">
      <c r="B86" t="s">
        <v>189</v>
      </c>
      <c r="C86" t="s">
        <v>105</v>
      </c>
      <c r="D86" t="s">
        <v>105</v>
      </c>
      <c r="E86" t="s">
        <v>105</v>
      </c>
      <c r="F86" t="s">
        <v>106</v>
      </c>
      <c r="G86" t="s">
        <v>106</v>
      </c>
      <c r="H86" t="s">
        <v>106</v>
      </c>
      <c r="I86" t="s">
        <v>106</v>
      </c>
      <c r="J86" t="s">
        <v>106</v>
      </c>
      <c r="K86" t="s">
        <v>106</v>
      </c>
      <c r="L86" t="s">
        <v>106</v>
      </c>
      <c r="M86" t="s">
        <v>106</v>
      </c>
      <c r="N86" t="s">
        <v>106</v>
      </c>
      <c r="O86" t="s">
        <v>106</v>
      </c>
      <c r="P86" t="s">
        <v>106</v>
      </c>
      <c r="Q86" t="s">
        <v>106</v>
      </c>
      <c r="R86" t="s">
        <v>106</v>
      </c>
      <c r="S86">
        <v>52333.7</v>
      </c>
      <c r="T86">
        <v>7848.1</v>
      </c>
      <c r="U86" t="s">
        <v>106</v>
      </c>
      <c r="V86" t="s">
        <v>106</v>
      </c>
      <c r="W86" t="s">
        <v>106</v>
      </c>
      <c r="X86" t="s">
        <v>106</v>
      </c>
      <c r="Y86" t="s">
        <v>106</v>
      </c>
      <c r="Z86" t="s">
        <v>106</v>
      </c>
      <c r="AA86" t="s">
        <v>106</v>
      </c>
      <c r="AB86" t="s">
        <v>106</v>
      </c>
      <c r="AC86" t="s">
        <v>106</v>
      </c>
      <c r="AD86" t="s">
        <v>106</v>
      </c>
      <c r="AE86" t="s">
        <v>106</v>
      </c>
      <c r="AF86">
        <v>34.1</v>
      </c>
      <c r="AG86">
        <v>26.7</v>
      </c>
      <c r="AH86" t="s">
        <v>106</v>
      </c>
      <c r="AI86" t="s">
        <v>106</v>
      </c>
      <c r="AJ86">
        <v>3702.8</v>
      </c>
      <c r="AK86" t="s">
        <v>106</v>
      </c>
      <c r="AL86" t="s">
        <v>106</v>
      </c>
      <c r="AM86" t="s">
        <v>106</v>
      </c>
      <c r="AN86" t="s">
        <v>106</v>
      </c>
      <c r="AO86" t="s">
        <v>106</v>
      </c>
      <c r="AP86" t="s">
        <v>106</v>
      </c>
      <c r="AQ86" t="s">
        <v>106</v>
      </c>
      <c r="AR86">
        <v>2043.1</v>
      </c>
      <c r="AS86">
        <v>5684.1</v>
      </c>
      <c r="AT86">
        <v>3564.7</v>
      </c>
      <c r="AU86">
        <v>1603.6</v>
      </c>
      <c r="AV86">
        <v>300.10000000000002</v>
      </c>
      <c r="AW86" t="s">
        <v>106</v>
      </c>
      <c r="AX86" t="s">
        <v>106</v>
      </c>
      <c r="AY86" t="s">
        <v>106</v>
      </c>
      <c r="AZ86" t="s">
        <v>106</v>
      </c>
      <c r="BA86" t="s">
        <v>106</v>
      </c>
      <c r="BB86" t="s">
        <v>106</v>
      </c>
      <c r="BC86" t="s">
        <v>106</v>
      </c>
      <c r="BD86" t="s">
        <v>106</v>
      </c>
      <c r="BE86" t="s">
        <v>106</v>
      </c>
      <c r="BF86" t="s">
        <v>106</v>
      </c>
      <c r="BG86" t="s">
        <v>106</v>
      </c>
      <c r="BH86" t="s">
        <v>106</v>
      </c>
      <c r="BI86" t="s">
        <v>106</v>
      </c>
      <c r="BJ86" t="s">
        <v>106</v>
      </c>
      <c r="BK86">
        <v>51022.8</v>
      </c>
      <c r="BL86">
        <v>128164</v>
      </c>
      <c r="BM86">
        <v>13195.7</v>
      </c>
    </row>
    <row r="87" spans="1:65">
      <c r="B87" t="s">
        <v>190</v>
      </c>
      <c r="C87" t="s">
        <v>105</v>
      </c>
      <c r="D87" t="s">
        <v>105</v>
      </c>
      <c r="E87" t="s">
        <v>105</v>
      </c>
      <c r="F87" t="s">
        <v>106</v>
      </c>
      <c r="G87" t="s">
        <v>106</v>
      </c>
      <c r="H87" t="s">
        <v>106</v>
      </c>
      <c r="I87">
        <v>74466.3</v>
      </c>
      <c r="J87" t="s">
        <v>106</v>
      </c>
      <c r="K87" t="s">
        <v>106</v>
      </c>
      <c r="L87" t="s">
        <v>106</v>
      </c>
      <c r="M87" t="s">
        <v>106</v>
      </c>
      <c r="N87" t="s">
        <v>106</v>
      </c>
      <c r="O87" t="s">
        <v>106</v>
      </c>
      <c r="P87" t="s">
        <v>106</v>
      </c>
      <c r="Q87" t="s">
        <v>106</v>
      </c>
      <c r="R87" t="s">
        <v>106</v>
      </c>
      <c r="S87">
        <v>7556.9</v>
      </c>
      <c r="T87">
        <v>3301.3</v>
      </c>
      <c r="U87" t="s">
        <v>106</v>
      </c>
      <c r="V87" t="s">
        <v>106</v>
      </c>
      <c r="W87" t="s">
        <v>106</v>
      </c>
      <c r="X87" t="s">
        <v>106</v>
      </c>
      <c r="Y87">
        <v>3998.9</v>
      </c>
      <c r="Z87">
        <v>2757.4</v>
      </c>
      <c r="AA87" t="s">
        <v>106</v>
      </c>
      <c r="AB87" t="s">
        <v>106</v>
      </c>
      <c r="AC87" t="s">
        <v>106</v>
      </c>
      <c r="AD87" t="s">
        <v>106</v>
      </c>
      <c r="AE87" t="s">
        <v>106</v>
      </c>
      <c r="AF87">
        <v>3.7</v>
      </c>
      <c r="AG87">
        <v>1.7</v>
      </c>
      <c r="AH87" t="s">
        <v>106</v>
      </c>
      <c r="AI87" t="s">
        <v>106</v>
      </c>
      <c r="AJ87">
        <v>746.5</v>
      </c>
      <c r="AK87" t="s">
        <v>106</v>
      </c>
      <c r="AL87" t="s">
        <v>106</v>
      </c>
      <c r="AM87" t="s">
        <v>106</v>
      </c>
      <c r="AN87" t="s">
        <v>106</v>
      </c>
      <c r="AO87" t="s">
        <v>106</v>
      </c>
      <c r="AP87">
        <v>9501.2000000000007</v>
      </c>
      <c r="AQ87">
        <v>22086.3</v>
      </c>
      <c r="AR87" t="s">
        <v>106</v>
      </c>
      <c r="AS87">
        <v>1463.1</v>
      </c>
      <c r="AT87">
        <v>2668.4</v>
      </c>
      <c r="AU87">
        <v>4006.5</v>
      </c>
      <c r="AV87" t="s">
        <v>106</v>
      </c>
      <c r="AW87" t="s">
        <v>106</v>
      </c>
      <c r="AX87" t="s">
        <v>106</v>
      </c>
      <c r="AY87" t="s">
        <v>106</v>
      </c>
      <c r="AZ87" t="s">
        <v>106</v>
      </c>
      <c r="BA87" t="s">
        <v>106</v>
      </c>
      <c r="BB87" t="s">
        <v>106</v>
      </c>
      <c r="BC87" t="s">
        <v>106</v>
      </c>
      <c r="BD87" t="s">
        <v>106</v>
      </c>
      <c r="BE87" t="s">
        <v>106</v>
      </c>
      <c r="BF87" t="s">
        <v>106</v>
      </c>
      <c r="BG87" t="s">
        <v>106</v>
      </c>
      <c r="BH87" t="s">
        <v>106</v>
      </c>
      <c r="BI87" t="s">
        <v>106</v>
      </c>
      <c r="BJ87" t="s">
        <v>106</v>
      </c>
      <c r="BK87">
        <v>6520.3</v>
      </c>
      <c r="BL87">
        <v>139078.6</v>
      </c>
      <c r="BM87">
        <v>8138.1</v>
      </c>
    </row>
    <row r="88" spans="1:65">
      <c r="B88" t="s">
        <v>191</v>
      </c>
      <c r="C88" t="s">
        <v>105</v>
      </c>
      <c r="D88" t="s">
        <v>105</v>
      </c>
      <c r="E88" t="s">
        <v>105</v>
      </c>
      <c r="F88" t="s">
        <v>106</v>
      </c>
      <c r="G88" t="s">
        <v>106</v>
      </c>
      <c r="H88" t="s">
        <v>106</v>
      </c>
      <c r="I88" t="s">
        <v>106</v>
      </c>
      <c r="J88" t="s">
        <v>106</v>
      </c>
      <c r="K88" t="s">
        <v>106</v>
      </c>
      <c r="L88" t="s">
        <v>106</v>
      </c>
      <c r="M88" t="s">
        <v>106</v>
      </c>
      <c r="N88" t="s">
        <v>106</v>
      </c>
      <c r="O88" t="s">
        <v>106</v>
      </c>
      <c r="P88" t="s">
        <v>106</v>
      </c>
      <c r="Q88" t="s">
        <v>106</v>
      </c>
      <c r="R88" t="s">
        <v>106</v>
      </c>
      <c r="S88">
        <v>1317.1</v>
      </c>
      <c r="T88">
        <v>6409.9</v>
      </c>
      <c r="U88" t="s">
        <v>106</v>
      </c>
      <c r="V88" t="s">
        <v>106</v>
      </c>
      <c r="W88" t="s">
        <v>106</v>
      </c>
      <c r="X88" t="s">
        <v>106</v>
      </c>
      <c r="Y88" t="s">
        <v>106</v>
      </c>
      <c r="Z88" t="s">
        <v>106</v>
      </c>
      <c r="AA88" t="s">
        <v>106</v>
      </c>
      <c r="AB88" t="s">
        <v>106</v>
      </c>
      <c r="AC88" t="s">
        <v>106</v>
      </c>
      <c r="AD88" t="s">
        <v>106</v>
      </c>
      <c r="AE88" t="s">
        <v>106</v>
      </c>
      <c r="AF88">
        <v>2.9</v>
      </c>
      <c r="AG88" t="s">
        <v>106</v>
      </c>
      <c r="AH88" t="s">
        <v>106</v>
      </c>
      <c r="AI88" t="s">
        <v>106</v>
      </c>
      <c r="AJ88">
        <v>833.3</v>
      </c>
      <c r="AK88" t="s">
        <v>106</v>
      </c>
      <c r="AL88" t="s">
        <v>106</v>
      </c>
      <c r="AM88" t="s">
        <v>106</v>
      </c>
      <c r="AN88" t="s">
        <v>106</v>
      </c>
      <c r="AO88" t="s">
        <v>106</v>
      </c>
      <c r="AP88" t="s">
        <v>106</v>
      </c>
      <c r="AQ88" t="s">
        <v>106</v>
      </c>
      <c r="AR88" t="s">
        <v>106</v>
      </c>
      <c r="AS88" t="s">
        <v>106</v>
      </c>
      <c r="AT88" t="s">
        <v>106</v>
      </c>
      <c r="AU88" t="s">
        <v>106</v>
      </c>
      <c r="AV88" t="s">
        <v>106</v>
      </c>
      <c r="AW88">
        <v>509.6</v>
      </c>
      <c r="AX88" t="s">
        <v>106</v>
      </c>
      <c r="AY88" t="s">
        <v>106</v>
      </c>
      <c r="AZ88" t="s">
        <v>106</v>
      </c>
      <c r="BA88" t="s">
        <v>106</v>
      </c>
      <c r="BB88" t="s">
        <v>106</v>
      </c>
      <c r="BC88" t="s">
        <v>106</v>
      </c>
      <c r="BD88" t="s">
        <v>106</v>
      </c>
      <c r="BE88" t="s">
        <v>106</v>
      </c>
      <c r="BF88" t="s">
        <v>106</v>
      </c>
      <c r="BG88" t="s">
        <v>106</v>
      </c>
      <c r="BH88" t="s">
        <v>106</v>
      </c>
      <c r="BI88" t="s">
        <v>106</v>
      </c>
      <c r="BJ88" t="s">
        <v>106</v>
      </c>
      <c r="BK88" t="s">
        <v>106</v>
      </c>
      <c r="BL88">
        <v>9072.7000000000007</v>
      </c>
      <c r="BM88">
        <v>509.6</v>
      </c>
    </row>
    <row r="89" spans="1:65">
      <c r="B89" t="s">
        <v>192</v>
      </c>
      <c r="C89" t="s">
        <v>105</v>
      </c>
      <c r="D89" t="s">
        <v>105</v>
      </c>
      <c r="E89" t="s">
        <v>105</v>
      </c>
      <c r="F89" t="s">
        <v>106</v>
      </c>
      <c r="G89" t="s">
        <v>106</v>
      </c>
      <c r="H89" t="s">
        <v>106</v>
      </c>
      <c r="I89" t="s">
        <v>106</v>
      </c>
      <c r="J89" t="s">
        <v>106</v>
      </c>
      <c r="K89" t="s">
        <v>106</v>
      </c>
      <c r="L89" t="s">
        <v>106</v>
      </c>
      <c r="M89" t="s">
        <v>106</v>
      </c>
      <c r="N89" t="s">
        <v>106</v>
      </c>
      <c r="O89" t="s">
        <v>106</v>
      </c>
      <c r="P89" t="s">
        <v>106</v>
      </c>
      <c r="Q89" t="s">
        <v>106</v>
      </c>
      <c r="R89" t="s">
        <v>106</v>
      </c>
      <c r="S89">
        <v>79.900000000000006</v>
      </c>
      <c r="T89">
        <v>385.8</v>
      </c>
      <c r="U89" t="s">
        <v>106</v>
      </c>
      <c r="V89" t="s">
        <v>106</v>
      </c>
      <c r="W89" t="s">
        <v>106</v>
      </c>
      <c r="X89" t="s">
        <v>106</v>
      </c>
      <c r="Y89" t="s">
        <v>106</v>
      </c>
      <c r="Z89">
        <v>468.4</v>
      </c>
      <c r="AA89" t="s">
        <v>106</v>
      </c>
      <c r="AB89" t="s">
        <v>106</v>
      </c>
      <c r="AC89" t="s">
        <v>106</v>
      </c>
      <c r="AD89" t="s">
        <v>106</v>
      </c>
      <c r="AE89" t="s">
        <v>106</v>
      </c>
      <c r="AF89" t="s">
        <v>106</v>
      </c>
      <c r="AG89" t="s">
        <v>106</v>
      </c>
      <c r="AH89" t="s">
        <v>106</v>
      </c>
      <c r="AI89" t="s">
        <v>106</v>
      </c>
      <c r="AJ89">
        <v>2403</v>
      </c>
      <c r="AK89" t="s">
        <v>106</v>
      </c>
      <c r="AL89" t="s">
        <v>106</v>
      </c>
      <c r="AM89" t="s">
        <v>106</v>
      </c>
      <c r="AN89" t="s">
        <v>106</v>
      </c>
      <c r="AO89" t="s">
        <v>106</v>
      </c>
      <c r="AP89" t="s">
        <v>106</v>
      </c>
      <c r="AQ89">
        <v>6993.9</v>
      </c>
      <c r="AR89">
        <v>2834.2</v>
      </c>
      <c r="AS89" t="s">
        <v>106</v>
      </c>
      <c r="AT89">
        <v>2658.5</v>
      </c>
      <c r="AU89">
        <v>582.4</v>
      </c>
      <c r="AV89" t="s">
        <v>106</v>
      </c>
      <c r="AW89" t="s">
        <v>106</v>
      </c>
      <c r="AX89" t="s">
        <v>106</v>
      </c>
      <c r="AY89" t="s">
        <v>106</v>
      </c>
      <c r="AZ89" t="s">
        <v>106</v>
      </c>
      <c r="BA89" t="s">
        <v>106</v>
      </c>
      <c r="BB89" t="s">
        <v>106</v>
      </c>
      <c r="BC89" t="s">
        <v>106</v>
      </c>
      <c r="BD89" t="s">
        <v>106</v>
      </c>
      <c r="BE89" t="s">
        <v>106</v>
      </c>
      <c r="BF89" t="s">
        <v>106</v>
      </c>
      <c r="BG89" t="s">
        <v>106</v>
      </c>
      <c r="BH89" t="s">
        <v>106</v>
      </c>
      <c r="BI89" t="s">
        <v>106</v>
      </c>
      <c r="BJ89" t="s">
        <v>106</v>
      </c>
      <c r="BK89" t="s">
        <v>106</v>
      </c>
      <c r="BL89">
        <v>16406.099999999999</v>
      </c>
      <c r="BM89">
        <v>6075.1</v>
      </c>
    </row>
    <row r="90" spans="1:65">
      <c r="B90" t="s">
        <v>193</v>
      </c>
      <c r="C90" t="s">
        <v>105</v>
      </c>
      <c r="D90" t="s">
        <v>105</v>
      </c>
      <c r="E90" t="s">
        <v>105</v>
      </c>
      <c r="F90" t="s">
        <v>106</v>
      </c>
      <c r="G90" t="s">
        <v>106</v>
      </c>
      <c r="H90" t="s">
        <v>106</v>
      </c>
      <c r="I90" t="s">
        <v>106</v>
      </c>
      <c r="J90" t="s">
        <v>106</v>
      </c>
      <c r="K90" t="s">
        <v>106</v>
      </c>
      <c r="L90" t="s">
        <v>106</v>
      </c>
      <c r="M90" t="s">
        <v>106</v>
      </c>
      <c r="N90" t="s">
        <v>106</v>
      </c>
      <c r="O90" t="s">
        <v>106</v>
      </c>
      <c r="P90" t="s">
        <v>106</v>
      </c>
      <c r="Q90" t="s">
        <v>106</v>
      </c>
      <c r="R90" t="s">
        <v>106</v>
      </c>
      <c r="S90" t="s">
        <v>106</v>
      </c>
      <c r="T90" t="s">
        <v>106</v>
      </c>
      <c r="U90" t="s">
        <v>106</v>
      </c>
      <c r="V90" t="s">
        <v>106</v>
      </c>
      <c r="W90" t="s">
        <v>106</v>
      </c>
      <c r="X90" t="s">
        <v>106</v>
      </c>
      <c r="Y90" t="s">
        <v>106</v>
      </c>
      <c r="Z90" t="s">
        <v>106</v>
      </c>
      <c r="AA90" t="s">
        <v>106</v>
      </c>
      <c r="AB90" t="s">
        <v>106</v>
      </c>
      <c r="AC90" t="s">
        <v>106</v>
      </c>
      <c r="AD90" t="s">
        <v>106</v>
      </c>
      <c r="AE90" t="s">
        <v>106</v>
      </c>
      <c r="AF90" t="s">
        <v>106</v>
      </c>
      <c r="AG90" t="s">
        <v>106</v>
      </c>
      <c r="AH90" t="s">
        <v>106</v>
      </c>
      <c r="AI90" t="s">
        <v>106</v>
      </c>
      <c r="AJ90" t="s">
        <v>106</v>
      </c>
      <c r="AK90" t="s">
        <v>106</v>
      </c>
      <c r="AL90" t="s">
        <v>106</v>
      </c>
      <c r="AM90" t="s">
        <v>106</v>
      </c>
      <c r="AN90" t="s">
        <v>106</v>
      </c>
      <c r="AO90" t="s">
        <v>106</v>
      </c>
      <c r="AP90" t="s">
        <v>106</v>
      </c>
      <c r="AQ90" t="s">
        <v>106</v>
      </c>
      <c r="AR90" t="s">
        <v>106</v>
      </c>
      <c r="AS90" t="s">
        <v>106</v>
      </c>
      <c r="AT90" t="s">
        <v>106</v>
      </c>
      <c r="AU90" t="s">
        <v>106</v>
      </c>
      <c r="AV90" t="s">
        <v>106</v>
      </c>
      <c r="AW90" t="s">
        <v>106</v>
      </c>
      <c r="AX90" t="s">
        <v>106</v>
      </c>
      <c r="AY90" t="s">
        <v>106</v>
      </c>
      <c r="AZ90" t="s">
        <v>106</v>
      </c>
      <c r="BA90" t="s">
        <v>106</v>
      </c>
      <c r="BB90" t="s">
        <v>106</v>
      </c>
      <c r="BC90" t="s">
        <v>106</v>
      </c>
      <c r="BD90" t="s">
        <v>106</v>
      </c>
      <c r="BE90" t="s">
        <v>106</v>
      </c>
      <c r="BF90" t="s">
        <v>106</v>
      </c>
      <c r="BG90" t="s">
        <v>106</v>
      </c>
      <c r="BH90" t="s">
        <v>106</v>
      </c>
      <c r="BI90" t="s">
        <v>106</v>
      </c>
      <c r="BJ90" t="s">
        <v>106</v>
      </c>
      <c r="BK90">
        <v>1457</v>
      </c>
      <c r="BL90">
        <v>1457</v>
      </c>
      <c r="BM90" t="s">
        <v>106</v>
      </c>
    </row>
    <row r="92" spans="1:65" ht="17">
      <c r="A92" s="3" t="s">
        <v>194</v>
      </c>
      <c r="F92" s="4" t="s">
        <v>8</v>
      </c>
      <c r="G92" s="4" t="s">
        <v>8</v>
      </c>
      <c r="H92" s="4" t="s">
        <v>8</v>
      </c>
      <c r="I92" s="4" t="s">
        <v>8</v>
      </c>
      <c r="J92" s="4" t="s">
        <v>8</v>
      </c>
      <c r="K92" s="4" t="s">
        <v>30</v>
      </c>
      <c r="L92" s="4" t="s">
        <v>8</v>
      </c>
      <c r="M92" s="4" t="s">
        <v>8</v>
      </c>
      <c r="N92" s="4" t="s">
        <v>8</v>
      </c>
      <c r="O92" s="4" t="s">
        <v>8</v>
      </c>
      <c r="P92" s="4" t="s">
        <v>8</v>
      </c>
      <c r="Q92" s="4" t="s">
        <v>8</v>
      </c>
      <c r="R92" s="4" t="s">
        <v>8</v>
      </c>
      <c r="S92" s="4" t="s">
        <v>10</v>
      </c>
      <c r="T92" s="4" t="s">
        <v>10</v>
      </c>
      <c r="U92" s="4" t="s">
        <v>31</v>
      </c>
      <c r="V92" s="4" t="s">
        <v>31</v>
      </c>
      <c r="W92" s="4" t="s">
        <v>31</v>
      </c>
      <c r="X92" s="4" t="s">
        <v>31</v>
      </c>
      <c r="Y92" s="4" t="s">
        <v>33</v>
      </c>
      <c r="Z92" s="4" t="s">
        <v>33</v>
      </c>
      <c r="AA92" s="4" t="s">
        <v>33</v>
      </c>
      <c r="AB92" s="4" t="s">
        <v>21</v>
      </c>
      <c r="AC92" s="4" t="s">
        <v>21</v>
      </c>
      <c r="AD92" s="4" t="s">
        <v>27</v>
      </c>
      <c r="AE92" s="4" t="s">
        <v>27</v>
      </c>
      <c r="AF92" s="4" t="s">
        <v>27</v>
      </c>
      <c r="AG92" s="4" t="s">
        <v>24</v>
      </c>
      <c r="AH92" s="4" t="s">
        <v>32</v>
      </c>
      <c r="AI92" s="4" t="s">
        <v>32</v>
      </c>
      <c r="AJ92" s="4" t="s">
        <v>32</v>
      </c>
      <c r="AK92" s="4" t="s">
        <v>33</v>
      </c>
      <c r="AL92" s="4" t="s">
        <v>24</v>
      </c>
      <c r="AM92" s="4" t="s">
        <v>32</v>
      </c>
      <c r="AN92" s="4" t="s">
        <v>24</v>
      </c>
      <c r="AO92" s="4" t="s">
        <v>32</v>
      </c>
      <c r="AP92" s="4" t="s">
        <v>24</v>
      </c>
      <c r="AQ92" s="4" t="s">
        <v>32</v>
      </c>
      <c r="AR92" s="4" t="s">
        <v>19</v>
      </c>
      <c r="AS92" s="4" t="s">
        <v>34</v>
      </c>
      <c r="AT92" s="4" t="s">
        <v>34</v>
      </c>
      <c r="AU92" s="4" t="s">
        <v>19</v>
      </c>
      <c r="AV92" s="4" t="s">
        <v>19</v>
      </c>
      <c r="AW92" s="4" t="s">
        <v>19</v>
      </c>
      <c r="AX92" s="4" t="s">
        <v>25</v>
      </c>
      <c r="AY92" s="4" t="s">
        <v>26</v>
      </c>
      <c r="AZ92" s="4" t="s">
        <v>19</v>
      </c>
      <c r="BA92" s="4" t="s">
        <v>19</v>
      </c>
      <c r="BB92" s="4" t="s">
        <v>12</v>
      </c>
      <c r="BC92" s="4" t="s">
        <v>14</v>
      </c>
      <c r="BD92" s="4" t="s">
        <v>29</v>
      </c>
      <c r="BE92" s="4" t="s">
        <v>18</v>
      </c>
      <c r="BF92" s="4" t="s">
        <v>18</v>
      </c>
      <c r="BG92" s="4"/>
      <c r="BH92" s="4" t="s">
        <v>16</v>
      </c>
      <c r="BI92" s="4"/>
      <c r="BJ92" s="4" t="s">
        <v>4</v>
      </c>
      <c r="BK92" s="4" t="s">
        <v>28</v>
      </c>
    </row>
    <row r="93" spans="1:65" ht="17">
      <c r="A93" s="3" t="s">
        <v>195</v>
      </c>
      <c r="F93" s="4">
        <f t="shared" ref="F93:X93" si="0">F3</f>
        <v>304.2</v>
      </c>
      <c r="G93" s="4" t="str">
        <f t="shared" si="0"/>
        <v>-</v>
      </c>
      <c r="H93" s="4" t="str">
        <f t="shared" si="0"/>
        <v>-</v>
      </c>
      <c r="I93" s="4" t="str">
        <f t="shared" si="0"/>
        <v>-</v>
      </c>
      <c r="J93" s="4" t="str">
        <f t="shared" si="0"/>
        <v>-</v>
      </c>
      <c r="K93" s="4" t="str">
        <f t="shared" si="0"/>
        <v>-</v>
      </c>
      <c r="L93" s="4" t="str">
        <f t="shared" si="0"/>
        <v>-</v>
      </c>
      <c r="M93" s="4" t="str">
        <f t="shared" si="0"/>
        <v>-</v>
      </c>
      <c r="N93" s="4" t="str">
        <f t="shared" si="0"/>
        <v>-</v>
      </c>
      <c r="O93" s="4" t="str">
        <f t="shared" si="0"/>
        <v>-</v>
      </c>
      <c r="P93" s="4" t="str">
        <f t="shared" si="0"/>
        <v>-</v>
      </c>
      <c r="Q93" s="4" t="str">
        <f t="shared" si="0"/>
        <v>-</v>
      </c>
      <c r="R93" s="4" t="str">
        <f t="shared" si="0"/>
        <v>-</v>
      </c>
      <c r="S93" s="4" t="str">
        <f t="shared" si="0"/>
        <v>-</v>
      </c>
      <c r="T93" s="4" t="str">
        <f t="shared" si="0"/>
        <v>-</v>
      </c>
      <c r="U93" s="4" t="str">
        <f t="shared" si="0"/>
        <v>-</v>
      </c>
      <c r="V93" s="4" t="str">
        <f t="shared" si="0"/>
        <v>-</v>
      </c>
      <c r="W93" s="4" t="str">
        <f t="shared" si="0"/>
        <v>-</v>
      </c>
      <c r="X93" s="4" t="str">
        <f t="shared" si="0"/>
        <v>-</v>
      </c>
      <c r="Y93" s="4">
        <f t="shared" ref="Y93:AQ93" si="1">Y27</f>
        <v>3590.9</v>
      </c>
      <c r="Z93" s="4">
        <f t="shared" si="1"/>
        <v>1419.5</v>
      </c>
      <c r="AA93" s="4">
        <f t="shared" si="1"/>
        <v>2212.1</v>
      </c>
      <c r="AB93" s="4">
        <f t="shared" si="1"/>
        <v>23277.3</v>
      </c>
      <c r="AC93" s="4" t="str">
        <f t="shared" si="1"/>
        <v>-</v>
      </c>
      <c r="AD93" s="4" t="str">
        <f t="shared" si="1"/>
        <v>-</v>
      </c>
      <c r="AE93" s="4">
        <f t="shared" si="1"/>
        <v>19305.7</v>
      </c>
      <c r="AF93" s="4">
        <f t="shared" si="1"/>
        <v>6437.8</v>
      </c>
      <c r="AG93" s="4">
        <f t="shared" si="1"/>
        <v>50450.1</v>
      </c>
      <c r="AH93" s="4">
        <f t="shared" si="1"/>
        <v>147.1</v>
      </c>
      <c r="AI93" s="4">
        <f t="shared" si="1"/>
        <v>9.9</v>
      </c>
      <c r="AJ93" s="4">
        <f t="shared" si="1"/>
        <v>12344.8</v>
      </c>
      <c r="AK93" s="4">
        <f t="shared" si="1"/>
        <v>38540.5</v>
      </c>
      <c r="AL93" s="4">
        <f t="shared" si="1"/>
        <v>437.7</v>
      </c>
      <c r="AM93" s="4">
        <f t="shared" si="1"/>
        <v>4845.8999999999996</v>
      </c>
      <c r="AN93" s="4">
        <f t="shared" si="1"/>
        <v>2880.4</v>
      </c>
      <c r="AO93" s="4">
        <f t="shared" si="1"/>
        <v>29.1</v>
      </c>
      <c r="AP93" s="4">
        <f t="shared" si="1"/>
        <v>538.4</v>
      </c>
      <c r="AQ93" s="4">
        <f t="shared" si="1"/>
        <v>6048.9</v>
      </c>
      <c r="AR93" s="4">
        <f t="shared" ref="AR93:BK93" si="2">AR3</f>
        <v>2281.4</v>
      </c>
      <c r="AS93" s="4">
        <f t="shared" si="2"/>
        <v>1084</v>
      </c>
      <c r="AT93" s="4">
        <f t="shared" si="2"/>
        <v>1024</v>
      </c>
      <c r="AU93" s="4">
        <f t="shared" si="2"/>
        <v>3782.2</v>
      </c>
      <c r="AV93" s="4">
        <f t="shared" si="2"/>
        <v>118</v>
      </c>
      <c r="AW93" s="4">
        <f t="shared" si="2"/>
        <v>61</v>
      </c>
      <c r="AX93" s="4" t="str">
        <f t="shared" si="2"/>
        <v>-</v>
      </c>
      <c r="AY93" s="4">
        <f t="shared" si="2"/>
        <v>696.1</v>
      </c>
      <c r="AZ93" s="4">
        <f t="shared" si="2"/>
        <v>357.2</v>
      </c>
      <c r="BA93" s="4" t="str">
        <f t="shared" si="2"/>
        <v>-</v>
      </c>
      <c r="BB93" s="4">
        <f t="shared" si="2"/>
        <v>38445.199999999997</v>
      </c>
      <c r="BC93" s="4">
        <f t="shared" si="2"/>
        <v>791.9</v>
      </c>
      <c r="BD93" s="4">
        <f t="shared" si="2"/>
        <v>280.2</v>
      </c>
      <c r="BE93" s="4">
        <f t="shared" si="2"/>
        <v>7079.4</v>
      </c>
      <c r="BF93" s="4">
        <f t="shared" si="2"/>
        <v>24.4</v>
      </c>
      <c r="BG93" s="4">
        <f t="shared" si="2"/>
        <v>93.2</v>
      </c>
      <c r="BH93" s="4">
        <f t="shared" si="2"/>
        <v>722.5</v>
      </c>
      <c r="BI93" s="4" t="str">
        <f t="shared" si="2"/>
        <v>-</v>
      </c>
      <c r="BJ93" s="4" t="str">
        <f t="shared" si="2"/>
        <v>-</v>
      </c>
      <c r="BK93" s="4">
        <f t="shared" si="2"/>
        <v>34.799999999999997</v>
      </c>
    </row>
  </sheetData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11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5"/>
  <cols>
    <col min="1" max="1" width="16" customWidth="1"/>
  </cols>
  <sheetData>
    <row r="1" spans="1:33" ht="17">
      <c r="A1" s="1" t="s">
        <v>200</v>
      </c>
    </row>
    <row r="3" spans="1:33" ht="17">
      <c r="A3" s="2" t="s">
        <v>201</v>
      </c>
      <c r="B3" s="2" t="s">
        <v>199</v>
      </c>
      <c r="C3" s="2" t="s">
        <v>202</v>
      </c>
      <c r="D3" s="2" t="s">
        <v>203</v>
      </c>
      <c r="E3" s="2" t="s">
        <v>204</v>
      </c>
      <c r="F3" s="2"/>
      <c r="G3" s="2" t="s">
        <v>205</v>
      </c>
      <c r="H3" s="2" t="s">
        <v>206</v>
      </c>
      <c r="I3" s="2" t="s">
        <v>207</v>
      </c>
      <c r="J3" s="2" t="s">
        <v>208</v>
      </c>
      <c r="K3" s="2" t="s">
        <v>209</v>
      </c>
      <c r="L3" s="2" t="s">
        <v>210</v>
      </c>
      <c r="M3" s="2" t="s">
        <v>202</v>
      </c>
      <c r="N3" s="2" t="s">
        <v>211</v>
      </c>
      <c r="O3" s="2" t="s">
        <v>212</v>
      </c>
      <c r="P3" s="2" t="s">
        <v>213</v>
      </c>
      <c r="Q3" s="2" t="s">
        <v>214</v>
      </c>
      <c r="R3" s="2" t="s">
        <v>215</v>
      </c>
      <c r="S3" s="2" t="s">
        <v>216</v>
      </c>
      <c r="T3" s="2" t="s">
        <v>217</v>
      </c>
      <c r="U3" s="2" t="s">
        <v>218</v>
      </c>
      <c r="V3" s="2" t="s">
        <v>219</v>
      </c>
      <c r="W3" s="2" t="s">
        <v>203</v>
      </c>
      <c r="X3" s="2" t="s">
        <v>220</v>
      </c>
      <c r="Y3" s="2" t="s">
        <v>221</v>
      </c>
      <c r="Z3" s="2" t="s">
        <v>222</v>
      </c>
      <c r="AA3" s="2" t="s">
        <v>223</v>
      </c>
      <c r="AB3" s="2" t="s">
        <v>224</v>
      </c>
      <c r="AC3" s="2" t="s">
        <v>225</v>
      </c>
      <c r="AD3" s="2" t="s">
        <v>226</v>
      </c>
      <c r="AE3" s="2" t="s">
        <v>227</v>
      </c>
      <c r="AF3" s="2" t="s">
        <v>228</v>
      </c>
      <c r="AG3" s="2" t="s">
        <v>204</v>
      </c>
    </row>
    <row r="4" spans="1:33">
      <c r="A4" t="s">
        <v>23</v>
      </c>
      <c r="B4">
        <v>100.959</v>
      </c>
      <c r="C4">
        <v>101.44</v>
      </c>
      <c r="D4">
        <v>98.915000000000006</v>
      </c>
      <c r="E4">
        <v>92.283000000000001</v>
      </c>
      <c r="G4" s="5">
        <f t="shared" ref="G4:G10" si="0">($B4+($C4-$B4)*(2024-2023)/7)/$B4</f>
        <v>1.0006806157520804</v>
      </c>
      <c r="H4" s="5">
        <f t="shared" ref="H4:H10" si="1">($B4+($C4-$B4)*(2025-2023)/7)/$B4</f>
        <v>1.0013612315041609</v>
      </c>
      <c r="I4" s="5">
        <f t="shared" ref="I4:I10" si="2">($B4+($C4-$B4)*(2026-2023)/7)/$B4</f>
        <v>1.0020418472562411</v>
      </c>
      <c r="J4" s="5">
        <f t="shared" ref="J4:J10" si="3">($B4+($C4-$B4)*(2027-2023)/7)/$B4</f>
        <v>1.0027224630083216</v>
      </c>
      <c r="K4" s="5">
        <f t="shared" ref="K4:K10" si="4">($B4+($C4-$B4)*(2028-2023)/7)/$B4</f>
        <v>1.003403078760402</v>
      </c>
      <c r="L4" s="5">
        <f t="shared" ref="L4:L10" si="5">($B4+($C4-$B4)*(2029-2023)/7)/$B4</f>
        <v>1.0040836945124825</v>
      </c>
      <c r="M4" s="5">
        <f t="shared" ref="M4:M10" si="6">$C4/$B4</f>
        <v>1.0047643102645627</v>
      </c>
      <c r="N4" s="5">
        <f t="shared" ref="N4:N10" si="7">($C4+($D4-$C4)*(2031-2030)/10)/$B4</f>
        <v>1.0022632950009409</v>
      </c>
      <c r="O4" s="5">
        <f t="shared" ref="O4:O10" si="8">($C4+($D4-$C4)*(2032-2030)/10)/$B4</f>
        <v>0.99976227973731913</v>
      </c>
      <c r="P4" s="5">
        <f t="shared" ref="P4:P10" si="9">($C4+($D4-$C4)*(2033-2030)/10)/$B4</f>
        <v>0.99726126447369723</v>
      </c>
      <c r="Q4" s="5">
        <f t="shared" ref="Q4:Q10" si="10">($C4+($D4-$C4)*(2034-2030)/10)/$B4</f>
        <v>0.99476024921007544</v>
      </c>
      <c r="R4" s="5">
        <f t="shared" ref="R4:R10" si="11">($C4+($D4-$C4)*(2035-2030)/10)/$B4</f>
        <v>0.99225923394645354</v>
      </c>
      <c r="S4" s="5">
        <f t="shared" ref="S4:S10" si="12">($C4+($D4-$C4)*(2036-2030)/10)/$B4</f>
        <v>0.98975821868283154</v>
      </c>
      <c r="T4" s="5">
        <f t="shared" ref="T4:T10" si="13">($C4+($D4-$C4)*(2037-2030)/10)/$B4</f>
        <v>0.98725720341920975</v>
      </c>
      <c r="U4" s="5">
        <f t="shared" ref="U4:U10" si="14">($C4+($D4-$C4)*(2038-2030)/10)/$B4</f>
        <v>0.98475618815558785</v>
      </c>
      <c r="V4" s="5">
        <f t="shared" ref="V4:V10" si="15">($C4+($D4-$C4)*(2039-2030)/10)/$B4</f>
        <v>0.98225517289196607</v>
      </c>
      <c r="W4" s="5">
        <f t="shared" ref="W4:W10" si="16">$D4/$B4</f>
        <v>0.97975415762834417</v>
      </c>
      <c r="X4" s="5">
        <f t="shared" ref="X4:X10" si="17">($D4+($E4-$D4)*(2041-2040)/10)/$B4</f>
        <v>0.97318515436959563</v>
      </c>
      <c r="Y4" s="5">
        <f t="shared" ref="Y4:Y10" si="18">($D4+($E4-$D4)*(2042-2040)/10)/$B4</f>
        <v>0.96661615111084698</v>
      </c>
      <c r="Z4" s="5">
        <f t="shared" ref="Z4:Z10" si="19">($D4+($E4-$D4)*(2043-2040)/10)/$B4</f>
        <v>0.96004714785209844</v>
      </c>
      <c r="AA4" s="5">
        <f t="shared" ref="AA4:AA10" si="20">($D4+($E4-$D4)*(2044-2040)/10)/$B4</f>
        <v>0.95347814459334979</v>
      </c>
      <c r="AB4" s="5">
        <f t="shared" ref="AB4:AB10" si="21">($D4+($E4-$D4)*(2045-2040)/10)/$B4</f>
        <v>0.94690914133460113</v>
      </c>
      <c r="AC4" s="5">
        <f t="shared" ref="AC4:AC10" si="22">($D4+($E4-$D4)*(2046-2040)/10)/$B4</f>
        <v>0.94034013807585259</v>
      </c>
      <c r="AD4" s="5">
        <f t="shared" ref="AD4:AD10" si="23">($D4+($E4-$D4)*(2047-2040)/10)/$B4</f>
        <v>0.93377113481710394</v>
      </c>
      <c r="AE4" s="5">
        <f t="shared" ref="AE4:AE10" si="24">($D4+($E4-$D4)*(2048-2040)/10)/$B4</f>
        <v>0.9272021315583554</v>
      </c>
      <c r="AF4" s="5">
        <f t="shared" ref="AF4:AF10" si="25">($D4+($E4-$D4)*(2049-2040)/10)/$B4</f>
        <v>0.92063312829960675</v>
      </c>
      <c r="AG4" s="5">
        <f t="shared" ref="AG4:AG10" si="26">$E4/$B4</f>
        <v>0.9140641250408581</v>
      </c>
    </row>
    <row r="5" spans="1:33">
      <c r="A5" t="s">
        <v>9</v>
      </c>
      <c r="B5">
        <v>72.83</v>
      </c>
      <c r="C5">
        <v>62.511000000000003</v>
      </c>
      <c r="D5">
        <v>48.624000000000002</v>
      </c>
      <c r="E5">
        <v>34.670999999999999</v>
      </c>
      <c r="G5" s="5">
        <f t="shared" si="0"/>
        <v>0.97975912594888304</v>
      </c>
      <c r="H5" s="5">
        <f t="shared" si="1"/>
        <v>0.95951825189776585</v>
      </c>
      <c r="I5" s="5">
        <f t="shared" si="2"/>
        <v>0.93927737784664878</v>
      </c>
      <c r="J5" s="5">
        <f t="shared" si="3"/>
        <v>0.91903650379553181</v>
      </c>
      <c r="K5" s="5">
        <f t="shared" si="4"/>
        <v>0.89879562974441463</v>
      </c>
      <c r="L5" s="5">
        <f t="shared" si="5"/>
        <v>0.87855475569329755</v>
      </c>
      <c r="M5" s="5">
        <f t="shared" si="6"/>
        <v>0.85831388164218048</v>
      </c>
      <c r="N5" s="5">
        <f t="shared" si="7"/>
        <v>0.8392461897569683</v>
      </c>
      <c r="O5" s="5">
        <f t="shared" si="8"/>
        <v>0.82017849787175623</v>
      </c>
      <c r="P5" s="5">
        <f t="shared" si="9"/>
        <v>0.80111080598654405</v>
      </c>
      <c r="Q5" s="5">
        <f t="shared" si="10"/>
        <v>0.78204311410133187</v>
      </c>
      <c r="R5" s="5">
        <f t="shared" si="11"/>
        <v>0.7629754222161198</v>
      </c>
      <c r="S5" s="5">
        <f t="shared" si="12"/>
        <v>0.74390773033090762</v>
      </c>
      <c r="T5" s="5">
        <f t="shared" si="13"/>
        <v>0.72484003844569556</v>
      </c>
      <c r="U5" s="5">
        <f t="shared" si="14"/>
        <v>0.70577234656048338</v>
      </c>
      <c r="V5" s="5">
        <f t="shared" si="15"/>
        <v>0.6867046546752712</v>
      </c>
      <c r="W5" s="5">
        <f t="shared" si="16"/>
        <v>0.66763696279005913</v>
      </c>
      <c r="X5" s="5">
        <f t="shared" si="17"/>
        <v>0.64847864890841689</v>
      </c>
      <c r="Y5" s="5">
        <f t="shared" si="18"/>
        <v>0.62932033502677476</v>
      </c>
      <c r="Z5" s="5">
        <f t="shared" si="19"/>
        <v>0.61016202114513252</v>
      </c>
      <c r="AA5" s="5">
        <f t="shared" si="20"/>
        <v>0.59100370726349039</v>
      </c>
      <c r="AB5" s="5">
        <f t="shared" si="21"/>
        <v>0.57184539338184814</v>
      </c>
      <c r="AC5" s="5">
        <f t="shared" si="22"/>
        <v>0.55268707950020601</v>
      </c>
      <c r="AD5" s="5">
        <f t="shared" si="23"/>
        <v>0.53352876561856377</v>
      </c>
      <c r="AE5" s="5">
        <f t="shared" si="24"/>
        <v>0.51437045173692164</v>
      </c>
      <c r="AF5" s="5">
        <f t="shared" si="25"/>
        <v>0.4952121378552794</v>
      </c>
      <c r="AG5" s="5">
        <f t="shared" si="26"/>
        <v>0.47605382397363721</v>
      </c>
    </row>
    <row r="6" spans="1:33">
      <c r="A6" t="s">
        <v>11</v>
      </c>
      <c r="B6">
        <v>58.070999999999998</v>
      </c>
      <c r="C6">
        <v>71.078999999999994</v>
      </c>
      <c r="D6">
        <v>82.756</v>
      </c>
      <c r="E6">
        <v>85.528000000000006</v>
      </c>
      <c r="G6" s="5">
        <f t="shared" si="0"/>
        <v>1.0320002361641045</v>
      </c>
      <c r="H6" s="5">
        <f t="shared" si="1"/>
        <v>1.064000472328209</v>
      </c>
      <c r="I6" s="5">
        <f t="shared" si="2"/>
        <v>1.0960007084923136</v>
      </c>
      <c r="J6" s="5">
        <f t="shared" si="3"/>
        <v>1.1280009446564181</v>
      </c>
      <c r="K6" s="5">
        <f t="shared" si="4"/>
        <v>1.1600011808205226</v>
      </c>
      <c r="L6" s="5">
        <f t="shared" si="5"/>
        <v>1.1920014169846271</v>
      </c>
      <c r="M6" s="5">
        <f t="shared" si="6"/>
        <v>1.2240016531487317</v>
      </c>
      <c r="N6" s="5">
        <f t="shared" si="7"/>
        <v>1.2441097966282653</v>
      </c>
      <c r="O6" s="5">
        <f t="shared" si="8"/>
        <v>1.2642179401077991</v>
      </c>
      <c r="P6" s="5">
        <f t="shared" si="9"/>
        <v>1.2843260835873327</v>
      </c>
      <c r="Q6" s="5">
        <f t="shared" si="10"/>
        <v>1.3044342270668663</v>
      </c>
      <c r="R6" s="5">
        <f t="shared" si="11"/>
        <v>1.3245423705463999</v>
      </c>
      <c r="S6" s="5">
        <f t="shared" si="12"/>
        <v>1.3446505140259337</v>
      </c>
      <c r="T6" s="5">
        <f t="shared" si="13"/>
        <v>1.3647586575054675</v>
      </c>
      <c r="U6" s="5">
        <f t="shared" si="14"/>
        <v>1.3848668009850011</v>
      </c>
      <c r="V6" s="5">
        <f t="shared" si="15"/>
        <v>1.404974944464535</v>
      </c>
      <c r="W6" s="5">
        <f t="shared" si="16"/>
        <v>1.4250830879440686</v>
      </c>
      <c r="X6" s="5">
        <f t="shared" si="17"/>
        <v>1.4298565549069242</v>
      </c>
      <c r="Y6" s="5">
        <f t="shared" si="18"/>
        <v>1.4346300218697803</v>
      </c>
      <c r="Z6" s="5">
        <f t="shared" si="19"/>
        <v>1.4394034888326361</v>
      </c>
      <c r="AA6" s="5">
        <f t="shared" si="20"/>
        <v>1.4441769557954918</v>
      </c>
      <c r="AB6" s="5">
        <f t="shared" si="21"/>
        <v>1.4489504227583476</v>
      </c>
      <c r="AC6" s="5">
        <f t="shared" si="22"/>
        <v>1.4537238897212035</v>
      </c>
      <c r="AD6" s="5">
        <f t="shared" si="23"/>
        <v>1.4584973566840593</v>
      </c>
      <c r="AE6" s="5">
        <f t="shared" si="24"/>
        <v>1.4632708236469152</v>
      </c>
      <c r="AF6" s="5">
        <f t="shared" si="25"/>
        <v>1.4680442906097708</v>
      </c>
      <c r="AG6" s="5">
        <f t="shared" si="26"/>
        <v>1.4728177575726267</v>
      </c>
    </row>
    <row r="7" spans="1:33">
      <c r="A7" t="s">
        <v>13</v>
      </c>
      <c r="B7">
        <v>180.494</v>
      </c>
      <c r="C7">
        <v>203.404</v>
      </c>
      <c r="D7">
        <v>175.12299999999999</v>
      </c>
      <c r="E7">
        <v>153.37299999999999</v>
      </c>
      <c r="G7" s="5">
        <f t="shared" si="0"/>
        <v>1.0181327752881377</v>
      </c>
      <c r="H7" s="5">
        <f t="shared" si="1"/>
        <v>1.0362655505762757</v>
      </c>
      <c r="I7" s="5">
        <f t="shared" si="2"/>
        <v>1.0543983258644134</v>
      </c>
      <c r="J7" s="5">
        <f t="shared" si="3"/>
        <v>1.0725311011525511</v>
      </c>
      <c r="K7" s="5">
        <f t="shared" si="4"/>
        <v>1.0906638764406889</v>
      </c>
      <c r="L7" s="5">
        <f t="shared" si="5"/>
        <v>1.1087966517288268</v>
      </c>
      <c r="M7" s="5">
        <f t="shared" si="6"/>
        <v>1.1269294270169645</v>
      </c>
      <c r="N7" s="5">
        <f t="shared" si="7"/>
        <v>1.111260762130597</v>
      </c>
      <c r="O7" s="5">
        <f t="shared" si="8"/>
        <v>1.0955920972442297</v>
      </c>
      <c r="P7" s="5">
        <f t="shared" si="9"/>
        <v>1.0799234323578624</v>
      </c>
      <c r="Q7" s="5">
        <f t="shared" si="10"/>
        <v>1.0642547674714948</v>
      </c>
      <c r="R7" s="5">
        <f t="shared" si="11"/>
        <v>1.0485861025851275</v>
      </c>
      <c r="S7" s="5">
        <f t="shared" si="12"/>
        <v>1.03291743769876</v>
      </c>
      <c r="T7" s="5">
        <f t="shared" si="13"/>
        <v>1.0172487728123925</v>
      </c>
      <c r="U7" s="5">
        <f t="shared" si="14"/>
        <v>1.0015801079260254</v>
      </c>
      <c r="V7" s="5">
        <f t="shared" si="15"/>
        <v>0.98591144303965783</v>
      </c>
      <c r="W7" s="5">
        <f t="shared" si="16"/>
        <v>0.97024277815329041</v>
      </c>
      <c r="X7" s="5">
        <f t="shared" si="17"/>
        <v>0.95819251609471767</v>
      </c>
      <c r="Y7" s="5">
        <f t="shared" si="18"/>
        <v>0.94614225403614527</v>
      </c>
      <c r="Z7" s="5">
        <f t="shared" si="19"/>
        <v>0.93409199197757253</v>
      </c>
      <c r="AA7" s="5">
        <f t="shared" si="20"/>
        <v>0.92204172991900013</v>
      </c>
      <c r="AB7" s="5">
        <f t="shared" si="21"/>
        <v>0.90999146786042739</v>
      </c>
      <c r="AC7" s="5">
        <f t="shared" si="22"/>
        <v>0.89794120580185477</v>
      </c>
      <c r="AD7" s="5">
        <f t="shared" si="23"/>
        <v>0.88589094374328226</v>
      </c>
      <c r="AE7" s="5">
        <f t="shared" si="24"/>
        <v>0.87384068168470963</v>
      </c>
      <c r="AF7" s="5">
        <f t="shared" si="25"/>
        <v>0.86179041962613712</v>
      </c>
      <c r="AG7" s="5">
        <f t="shared" si="26"/>
        <v>0.84974015756756449</v>
      </c>
    </row>
    <row r="8" spans="1:33">
      <c r="A8" t="s">
        <v>15</v>
      </c>
      <c r="B8">
        <v>7.5</v>
      </c>
      <c r="C8">
        <v>7.6470000000000002</v>
      </c>
      <c r="D8">
        <v>9.3130000000000006</v>
      </c>
      <c r="E8">
        <v>9.2870000000000008</v>
      </c>
      <c r="G8" s="5">
        <f t="shared" si="0"/>
        <v>1.0027999999999999</v>
      </c>
      <c r="H8" s="5">
        <f t="shared" si="1"/>
        <v>1.0056</v>
      </c>
      <c r="I8" s="5">
        <f t="shared" si="2"/>
        <v>1.0084</v>
      </c>
      <c r="J8" s="5">
        <f t="shared" si="3"/>
        <v>1.0112000000000001</v>
      </c>
      <c r="K8" s="5">
        <f t="shared" si="4"/>
        <v>1.014</v>
      </c>
      <c r="L8" s="5">
        <f t="shared" si="5"/>
        <v>1.0168000000000001</v>
      </c>
      <c r="M8" s="5">
        <f t="shared" si="6"/>
        <v>1.0196000000000001</v>
      </c>
      <c r="N8" s="5">
        <f t="shared" si="7"/>
        <v>1.0418133333333333</v>
      </c>
      <c r="O8" s="5">
        <f t="shared" si="8"/>
        <v>1.0640266666666667</v>
      </c>
      <c r="P8" s="5">
        <f t="shared" si="9"/>
        <v>1.0862400000000001</v>
      </c>
      <c r="Q8" s="5">
        <f t="shared" si="10"/>
        <v>1.1084533333333333</v>
      </c>
      <c r="R8" s="5">
        <f t="shared" si="11"/>
        <v>1.1306666666666667</v>
      </c>
      <c r="S8" s="5">
        <f t="shared" si="12"/>
        <v>1.1528800000000001</v>
      </c>
      <c r="T8" s="5">
        <f t="shared" si="13"/>
        <v>1.1750933333333333</v>
      </c>
      <c r="U8" s="5">
        <f t="shared" si="14"/>
        <v>1.1973066666666667</v>
      </c>
      <c r="V8" s="5">
        <f t="shared" si="15"/>
        <v>1.2195199999999999</v>
      </c>
      <c r="W8" s="5">
        <f t="shared" si="16"/>
        <v>1.2417333333333334</v>
      </c>
      <c r="X8" s="5">
        <f t="shared" si="17"/>
        <v>1.2413866666666669</v>
      </c>
      <c r="Y8" s="5">
        <f t="shared" si="18"/>
        <v>1.2410400000000001</v>
      </c>
      <c r="Z8" s="5">
        <f t="shared" si="19"/>
        <v>1.2406933333333334</v>
      </c>
      <c r="AA8" s="5">
        <f t="shared" si="20"/>
        <v>1.2403466666666667</v>
      </c>
      <c r="AB8" s="5">
        <f t="shared" si="21"/>
        <v>1.24</v>
      </c>
      <c r="AC8" s="5">
        <f t="shared" si="22"/>
        <v>1.2396533333333335</v>
      </c>
      <c r="AD8" s="5">
        <f t="shared" si="23"/>
        <v>1.2393066666666668</v>
      </c>
      <c r="AE8" s="5">
        <f t="shared" si="24"/>
        <v>1.2389600000000001</v>
      </c>
      <c r="AF8" s="5">
        <f t="shared" si="25"/>
        <v>1.2386133333333333</v>
      </c>
      <c r="AG8" s="5">
        <f t="shared" si="26"/>
        <v>1.2382666666666668</v>
      </c>
    </row>
    <row r="9" spans="1:33">
      <c r="A9" t="s">
        <v>17</v>
      </c>
      <c r="B9">
        <v>33.107999999999997</v>
      </c>
      <c r="C9">
        <v>86.031000000000006</v>
      </c>
      <c r="D9">
        <v>156.07300000000001</v>
      </c>
      <c r="E9">
        <v>204.679</v>
      </c>
      <c r="G9" s="5">
        <f t="shared" si="0"/>
        <v>1.2283565474033036</v>
      </c>
      <c r="H9" s="5">
        <f t="shared" si="1"/>
        <v>1.4567130948066072</v>
      </c>
      <c r="I9" s="5">
        <f t="shared" si="2"/>
        <v>1.6850696422099105</v>
      </c>
      <c r="J9" s="5">
        <f t="shared" si="3"/>
        <v>1.9134261896132141</v>
      </c>
      <c r="K9" s="5">
        <f t="shared" si="4"/>
        <v>2.1417827370165177</v>
      </c>
      <c r="L9" s="5">
        <f t="shared" si="5"/>
        <v>2.370139284419821</v>
      </c>
      <c r="M9" s="5">
        <f t="shared" si="6"/>
        <v>2.5984958318231248</v>
      </c>
      <c r="N9" s="5">
        <f t="shared" si="7"/>
        <v>2.810051951190045</v>
      </c>
      <c r="O9" s="5">
        <f t="shared" si="8"/>
        <v>3.0216080705569652</v>
      </c>
      <c r="P9" s="5">
        <f t="shared" si="9"/>
        <v>3.2331641899238859</v>
      </c>
      <c r="Q9" s="5">
        <f t="shared" si="10"/>
        <v>3.4447203092908065</v>
      </c>
      <c r="R9" s="5">
        <f t="shared" si="11"/>
        <v>3.6562764286577267</v>
      </c>
      <c r="S9" s="5">
        <f t="shared" si="12"/>
        <v>3.8678325480246465</v>
      </c>
      <c r="T9" s="5">
        <f t="shared" si="13"/>
        <v>4.0793886673915676</v>
      </c>
      <c r="U9" s="5">
        <f t="shared" si="14"/>
        <v>4.2909447867584882</v>
      </c>
      <c r="V9" s="5">
        <f t="shared" si="15"/>
        <v>4.5025009061254089</v>
      </c>
      <c r="W9" s="5">
        <f t="shared" si="16"/>
        <v>4.7140570254923286</v>
      </c>
      <c r="X9" s="5">
        <f t="shared" si="17"/>
        <v>4.8608674640570264</v>
      </c>
      <c r="Y9" s="5">
        <f t="shared" si="18"/>
        <v>5.0076779026217242</v>
      </c>
      <c r="Z9" s="5">
        <f t="shared" si="19"/>
        <v>5.1544883411864202</v>
      </c>
      <c r="AA9" s="5">
        <f t="shared" si="20"/>
        <v>5.301298779751118</v>
      </c>
      <c r="AB9" s="5">
        <f t="shared" si="21"/>
        <v>5.4481092183158157</v>
      </c>
      <c r="AC9" s="5">
        <f t="shared" si="22"/>
        <v>5.5949196568805135</v>
      </c>
      <c r="AD9" s="5">
        <f t="shared" si="23"/>
        <v>5.7417300954452095</v>
      </c>
      <c r="AE9" s="5">
        <f t="shared" si="24"/>
        <v>5.8885405340099082</v>
      </c>
      <c r="AF9" s="5">
        <f t="shared" si="25"/>
        <v>6.0353509725746051</v>
      </c>
      <c r="AG9" s="5">
        <f t="shared" si="26"/>
        <v>6.182161411139302</v>
      </c>
    </row>
    <row r="10" spans="1:33">
      <c r="A10" t="s">
        <v>20</v>
      </c>
      <c r="B10">
        <v>15.744</v>
      </c>
      <c r="C10">
        <v>30.606000000000002</v>
      </c>
      <c r="D10">
        <v>50.110999999999997</v>
      </c>
      <c r="E10">
        <v>61.427</v>
      </c>
      <c r="G10" s="5">
        <f t="shared" si="0"/>
        <v>1.1348540940766549</v>
      </c>
      <c r="H10" s="5">
        <f t="shared" si="1"/>
        <v>1.2697081881533101</v>
      </c>
      <c r="I10" s="5">
        <f t="shared" si="2"/>
        <v>1.404562282229965</v>
      </c>
      <c r="J10" s="5">
        <f t="shared" si="3"/>
        <v>1.5394163763066204</v>
      </c>
      <c r="K10" s="5">
        <f t="shared" si="4"/>
        <v>1.6742704703832754</v>
      </c>
      <c r="L10" s="5">
        <f t="shared" si="5"/>
        <v>1.8091245644599303</v>
      </c>
      <c r="M10" s="5">
        <f t="shared" si="6"/>
        <v>1.9439786585365855</v>
      </c>
      <c r="N10" s="5">
        <f t="shared" si="7"/>
        <v>2.0678671239837398</v>
      </c>
      <c r="O10" s="5">
        <f t="shared" si="8"/>
        <v>2.191755589430894</v>
      </c>
      <c r="P10" s="5">
        <f t="shared" si="9"/>
        <v>2.315644054878049</v>
      </c>
      <c r="Q10" s="5">
        <f t="shared" si="10"/>
        <v>2.4395325203252032</v>
      </c>
      <c r="R10" s="5">
        <f t="shared" si="11"/>
        <v>2.5634209857723578</v>
      </c>
      <c r="S10" s="5">
        <f t="shared" si="12"/>
        <v>2.6873094512195119</v>
      </c>
      <c r="T10" s="5">
        <f t="shared" si="13"/>
        <v>2.811197916666667</v>
      </c>
      <c r="U10" s="5">
        <f t="shared" si="14"/>
        <v>2.9350863821138207</v>
      </c>
      <c r="V10" s="5">
        <f t="shared" si="15"/>
        <v>3.0589748475609757</v>
      </c>
      <c r="W10" s="5">
        <f t="shared" si="16"/>
        <v>3.1828633130081299</v>
      </c>
      <c r="X10" s="5">
        <f t="shared" si="17"/>
        <v>3.2547383130081298</v>
      </c>
      <c r="Y10" s="5">
        <f t="shared" si="18"/>
        <v>3.3266133130081297</v>
      </c>
      <c r="Z10" s="5">
        <f t="shared" si="19"/>
        <v>3.39848831300813</v>
      </c>
      <c r="AA10" s="5">
        <f t="shared" si="20"/>
        <v>3.4703633130081299</v>
      </c>
      <c r="AB10" s="5">
        <f t="shared" si="21"/>
        <v>3.5422383130081299</v>
      </c>
      <c r="AC10" s="5">
        <f t="shared" si="22"/>
        <v>3.6141133130081298</v>
      </c>
      <c r="AD10" s="5">
        <f t="shared" si="23"/>
        <v>3.6859883130081297</v>
      </c>
      <c r="AE10" s="5">
        <f t="shared" si="24"/>
        <v>3.7578633130081296</v>
      </c>
      <c r="AF10" s="5">
        <f t="shared" si="25"/>
        <v>3.8297383130081304</v>
      </c>
      <c r="AG10" s="5">
        <f t="shared" si="26"/>
        <v>3.9016133130081303</v>
      </c>
    </row>
    <row r="11" spans="1:33">
      <c r="A11" t="s">
        <v>229</v>
      </c>
      <c r="B11">
        <v>4.0000000000000001E-3</v>
      </c>
      <c r="C11">
        <v>1.2190000000000001</v>
      </c>
      <c r="D11">
        <v>4.5110000000000001</v>
      </c>
      <c r="E11">
        <v>6.18</v>
      </c>
      <c r="G11" s="6">
        <f>$B11+($C11-$B11)*(2024-2023)/7</f>
        <v>0.17757142857142857</v>
      </c>
      <c r="H11" s="6">
        <f>$B11+($C11-$B11)*(2025-2023)/7</f>
        <v>0.35114285714285715</v>
      </c>
      <c r="I11" s="6">
        <f>$B11+($C11-$B11)*(2026-2023)/7</f>
        <v>0.5247142857142858</v>
      </c>
      <c r="J11" s="6">
        <f>$B11+($C11-$B11)*(2027-2023)/7</f>
        <v>0.69828571428571429</v>
      </c>
      <c r="K11" s="6">
        <f>$B11+($C11-$B11)*(2028-2023)/7</f>
        <v>0.87185714285714289</v>
      </c>
      <c r="L11" s="6">
        <f>$B11+($C11-$B11)*(2029-2023)/7</f>
        <v>1.0454285714285716</v>
      </c>
      <c r="M11" s="6">
        <f>$C11</f>
        <v>1.2190000000000001</v>
      </c>
      <c r="N11" s="6">
        <f>$C11+($D11-$C11)*(2031-2030)/10</f>
        <v>1.5482</v>
      </c>
      <c r="O11" s="6">
        <f>$C11+($D11-$C11)*(2032-2030)/10</f>
        <v>1.8774000000000002</v>
      </c>
      <c r="P11" s="6">
        <f>$C11+($D11-$C11)*(2033-2030)/10</f>
        <v>2.2065999999999999</v>
      </c>
      <c r="Q11" s="6">
        <f>$C11+($D11-$C11)*(2034-2030)/10</f>
        <v>2.5358000000000001</v>
      </c>
      <c r="R11" s="6">
        <f>$C11+($D11-$C11)*(2035-2030)/10</f>
        <v>2.8650000000000002</v>
      </c>
      <c r="S11" s="6">
        <f>$C11+($D11-$C11)*(2036-2030)/10</f>
        <v>3.1941999999999999</v>
      </c>
      <c r="T11" s="6">
        <f>$C11+($D11-$C11)*(2037-2030)/10</f>
        <v>3.5233999999999996</v>
      </c>
      <c r="U11" s="6">
        <f>$C11+($D11-$C11)*(2038-2030)/10</f>
        <v>3.8525999999999998</v>
      </c>
      <c r="V11" s="6">
        <f>$C11+($D11-$C11)*(2039-2030)/10</f>
        <v>4.1818</v>
      </c>
      <c r="W11" s="6">
        <f>$D11</f>
        <v>4.5110000000000001</v>
      </c>
      <c r="X11" s="6">
        <f>$D11+($E11-$D11)*(2041-2040)/10</f>
        <v>4.6779000000000002</v>
      </c>
      <c r="Y11" s="6">
        <f>$D11+($E11-$D11)*(2042-2040)/10</f>
        <v>4.8448000000000002</v>
      </c>
      <c r="Z11" s="6">
        <f>$D11+($E11-$D11)*(2043-2040)/10</f>
        <v>5.0117000000000003</v>
      </c>
      <c r="AA11" s="6">
        <f>$D11+($E11-$D11)*(2044-2040)/10</f>
        <v>5.1786000000000003</v>
      </c>
      <c r="AB11" s="6">
        <f>$D11+($E11-$D11)*(2045-2040)/10</f>
        <v>5.3455000000000004</v>
      </c>
      <c r="AC11" s="6">
        <f>$D11+($E11-$D11)*(2046-2040)/10</f>
        <v>5.5123999999999995</v>
      </c>
      <c r="AD11" s="6">
        <f>$D11+($E11-$D11)*(2047-2040)/10</f>
        <v>5.6792999999999996</v>
      </c>
      <c r="AE11" s="6">
        <f>$D11+($E11-$D11)*(2048-2040)/10</f>
        <v>5.8461999999999996</v>
      </c>
      <c r="AF11" s="6">
        <f>$D11+($E11-$D11)*(2049-2040)/10</f>
        <v>6.0130999999999997</v>
      </c>
      <c r="AG11" s="6">
        <f>$E11</f>
        <v>6.18</v>
      </c>
    </row>
  </sheetData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G22"/>
  <sheetViews>
    <sheetView workbookViewId="0">
      <pane xSplit="1" ySplit="1" topLeftCell="B2" activePane="bottomRight" state="frozen"/>
      <selection activeCell="I29" sqref="I29"/>
      <selection pane="topRight" activeCell="I29" sqref="I29"/>
      <selection pane="bottomLeft" activeCell="I29" sqref="I29"/>
      <selection pane="bottomRight" activeCell="E4" sqref="E4"/>
    </sheetView>
  </sheetViews>
  <sheetFormatPr defaultRowHeight="14.5"/>
  <cols>
    <col min="1" max="1" width="36" customWidth="1"/>
  </cols>
  <sheetData>
    <row r="1" spans="1:33" ht="17">
      <c r="A1" s="2" t="s">
        <v>230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  <c r="Q1" s="2">
        <v>2034</v>
      </c>
      <c r="R1" s="2">
        <v>2035</v>
      </c>
      <c r="S1" s="2">
        <v>2036</v>
      </c>
      <c r="T1" s="2">
        <v>2037</v>
      </c>
      <c r="U1" s="2">
        <v>2038</v>
      </c>
      <c r="V1" s="2">
        <v>2039</v>
      </c>
      <c r="W1" s="2">
        <v>2040</v>
      </c>
      <c r="X1" s="2">
        <v>2041</v>
      </c>
      <c r="Y1" s="2">
        <v>2042</v>
      </c>
      <c r="Z1" s="2">
        <v>2043</v>
      </c>
      <c r="AA1" s="2">
        <v>2044</v>
      </c>
      <c r="AB1" s="2">
        <v>2045</v>
      </c>
      <c r="AC1" s="2">
        <v>2046</v>
      </c>
      <c r="AD1" s="2">
        <v>2047</v>
      </c>
      <c r="AE1" s="2">
        <v>2048</v>
      </c>
      <c r="AF1" s="2">
        <v>2049</v>
      </c>
      <c r="AG1" s="2">
        <v>2050</v>
      </c>
    </row>
    <row r="2" spans="1:33">
      <c r="A2" t="s">
        <v>4</v>
      </c>
      <c r="B2" s="4">
        <f>SUMIF(EB_2019!$F$92:$BK$92,$A2,EB_2019!$F$93:$BK$93)*39656668310</f>
        <v>0</v>
      </c>
      <c r="C2" s="4">
        <f>SUMIF(EB_2020!$F$92:$BK$92,$A2,EB_2020!$F$93:$BK$93)*39656668310</f>
        <v>0</v>
      </c>
      <c r="D2" s="4">
        <f>SUMIF(EB_2021!$F$92:$BK$92,$A2,EB_2021!$F$93:$BK$93)*39656668310</f>
        <v>0</v>
      </c>
      <c r="E2" s="4">
        <f>SUMIF(EB_2022!$F$92:$BK$92,$A2,EB_2022!$F$93:$BK$93)*39656668310</f>
        <v>0</v>
      </c>
      <c r="F2" s="4">
        <f>SUMIF(EB_2023!$F$92:$BK$92,$A2,EB_2023!$F$93:$BK$93)*39656668310</f>
        <v>0</v>
      </c>
      <c r="G2" s="5">
        <f t="shared" ref="G2:AG2" si="0">$F2</f>
        <v>0</v>
      </c>
      <c r="H2" s="5">
        <f t="shared" si="0"/>
        <v>0</v>
      </c>
      <c r="I2" s="5">
        <f t="shared" si="0"/>
        <v>0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  <c r="Q2" s="5">
        <f t="shared" si="0"/>
        <v>0</v>
      </c>
      <c r="R2" s="5">
        <f t="shared" si="0"/>
        <v>0</v>
      </c>
      <c r="S2" s="5">
        <f t="shared" si="0"/>
        <v>0</v>
      </c>
      <c r="T2" s="5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</row>
    <row r="3" spans="1:33">
      <c r="A3" t="s">
        <v>8</v>
      </c>
      <c r="B3" s="4">
        <f>SUMIF(EB_2019!$F$92:$BK$92,$A3,EB_2019!$F$93:$BK$93)*39656668310</f>
        <v>20331973842537</v>
      </c>
      <c r="C3" s="4">
        <f>SUMIF(EB_2020!$F$92:$BK$92,$A3,EB_2020!$F$93:$BK$93)*39656668310</f>
        <v>19114514125420</v>
      </c>
      <c r="D3" s="4">
        <f>SUMIF(EB_2021!$F$92:$BK$92,$A3,EB_2021!$F$93:$BK$93)*39656668310</f>
        <v>16846152698088</v>
      </c>
      <c r="E3" s="4">
        <f>SUMIF(EB_2022!$F$92:$BK$92,$A3,EB_2022!$F$93:$BK$93)*39656668310</f>
        <v>15315405301322</v>
      </c>
      <c r="F3" s="4">
        <f>SUMIF(EB_2023!$F$92:$BK$92,$A3,EB_2023!$F$93:$BK$93)*39656668310</f>
        <v>12063558499902</v>
      </c>
      <c r="G3" s="5">
        <f>$F3*KEEI_trend!G5</f>
        <v>11819381531697.201</v>
      </c>
      <c r="H3" s="5">
        <f>$F3*KEEI_trend!H5</f>
        <v>11575204563492.402</v>
      </c>
      <c r="I3" s="5">
        <f>$F3*KEEI_trend!I5</f>
        <v>11331027595287.602</v>
      </c>
      <c r="J3" s="5">
        <f>$F3*KEEI_trend!J5</f>
        <v>11086850627082.805</v>
      </c>
      <c r="K3" s="5">
        <f>$F3*KEEI_trend!K5</f>
        <v>10842673658878.004</v>
      </c>
      <c r="L3" s="5">
        <f>$F3*KEEI_trend!L5</f>
        <v>10598496690673.205</v>
      </c>
      <c r="M3" s="5">
        <f>$F3*KEEI_trend!M5</f>
        <v>10354319722468.406</v>
      </c>
      <c r="N3" s="5">
        <f>$F3*KEEI_trend!N5</f>
        <v>10124295505953.041</v>
      </c>
      <c r="O3" s="5">
        <f>$F3*KEEI_trend!O5</f>
        <v>9894271289437.6797</v>
      </c>
      <c r="P3" s="5">
        <f>$F3*KEEI_trend!P5</f>
        <v>9664247072922.3164</v>
      </c>
      <c r="Q3" s="5">
        <f>$F3*KEEI_trend!Q5</f>
        <v>9434222856406.9512</v>
      </c>
      <c r="R3" s="5">
        <f>$F3*KEEI_trend!R5</f>
        <v>9204198639891.5898</v>
      </c>
      <c r="S3" s="5">
        <f>$F3*KEEI_trend!S5</f>
        <v>8974174423376.2246</v>
      </c>
      <c r="T3" s="5">
        <f>$F3*KEEI_trend!T5</f>
        <v>8744150206860.8633</v>
      </c>
      <c r="U3" s="5">
        <f>$F3*KEEI_trend!U5</f>
        <v>8514125990345.499</v>
      </c>
      <c r="V3" s="5">
        <f>$F3*KEEI_trend!V5</f>
        <v>8284101773830.1357</v>
      </c>
      <c r="W3" s="5">
        <f>$F3*KEEI_trend!W5</f>
        <v>8054077557314.7734</v>
      </c>
      <c r="X3" s="5">
        <f>$F3*KEEI_trend!X5</f>
        <v>7822960117044.0977</v>
      </c>
      <c r="Y3" s="5">
        <f>$F3*KEEI_trend!Y5</f>
        <v>7591842676773.4229</v>
      </c>
      <c r="Z3" s="5">
        <f>$F3*KEEI_trend!Z5</f>
        <v>7360725236502.7471</v>
      </c>
      <c r="AA3" s="5">
        <f>$F3*KEEI_trend!AA5</f>
        <v>7129607796232.0732</v>
      </c>
      <c r="AB3" s="5">
        <f>$F3*KEEI_trend!AB5</f>
        <v>6898490355961.3975</v>
      </c>
      <c r="AC3" s="5">
        <f>$F3*KEEI_trend!AC5</f>
        <v>6667372915690.7227</v>
      </c>
      <c r="AD3" s="5">
        <f>$F3*KEEI_trend!AD5</f>
        <v>6436255475420.0469</v>
      </c>
      <c r="AE3" s="5">
        <f>$F3*KEEI_trend!AE5</f>
        <v>6205138035149.3721</v>
      </c>
      <c r="AF3" s="5">
        <f>$F3*KEEI_trend!AF5</f>
        <v>5974020594878.6973</v>
      </c>
      <c r="AG3" s="5">
        <f>$F3*KEEI_trend!AG5</f>
        <v>5742903154608.0215</v>
      </c>
    </row>
    <row r="4" spans="1:33">
      <c r="A4" t="s">
        <v>10</v>
      </c>
      <c r="B4" s="4">
        <f>SUMIF(EB_2019!$F$92:$BK$92,$A4,EB_2019!$F$93:$BK$93)*39656668310</f>
        <v>10271077092290</v>
      </c>
      <c r="C4" s="4">
        <f>SUMIF(EB_2020!$F$92:$BK$92,$A4,EB_2020!$F$93:$BK$93)*39656668310</f>
        <v>7336483637350</v>
      </c>
      <c r="D4" s="4">
        <f>SUMIF(EB_2021!$F$92:$BK$92,$A4,EB_2021!$F$93:$BK$93)*39656668310</f>
        <v>2181116757050</v>
      </c>
      <c r="E4" s="4">
        <f>SUMIF(EB_2022!$F$92:$BK$92,$A4,EB_2022!$F$93:$BK$93)*39656668310</f>
        <v>0</v>
      </c>
      <c r="F4" s="4">
        <f>SUMIF(EB_2023!$F$92:$BK$92,$A4,EB_2023!$F$93:$BK$93)*39656668310</f>
        <v>0</v>
      </c>
      <c r="G4" s="5">
        <f>$F4*KEEI_trend!G6</f>
        <v>0</v>
      </c>
      <c r="H4" s="5">
        <f>$F4*KEEI_trend!H6</f>
        <v>0</v>
      </c>
      <c r="I4" s="5">
        <f>$F4*KEEI_trend!I6</f>
        <v>0</v>
      </c>
      <c r="J4" s="5">
        <f>$F4*KEEI_trend!J6</f>
        <v>0</v>
      </c>
      <c r="K4" s="5">
        <f>$F4*KEEI_trend!K6</f>
        <v>0</v>
      </c>
      <c r="L4" s="5">
        <f>$F4*KEEI_trend!L6</f>
        <v>0</v>
      </c>
      <c r="M4" s="5">
        <f>$F4*KEEI_trend!M6</f>
        <v>0</v>
      </c>
      <c r="N4" s="5">
        <f>$F4*KEEI_trend!N6</f>
        <v>0</v>
      </c>
      <c r="O4" s="5">
        <f>$F4*KEEI_trend!O6</f>
        <v>0</v>
      </c>
      <c r="P4" s="5">
        <f>$F4*KEEI_trend!P6</f>
        <v>0</v>
      </c>
      <c r="Q4" s="5">
        <f>$F4*KEEI_trend!Q6</f>
        <v>0</v>
      </c>
      <c r="R4" s="5">
        <f>$F4*KEEI_trend!R6</f>
        <v>0</v>
      </c>
      <c r="S4" s="5">
        <f>$F4*KEEI_trend!S6</f>
        <v>0</v>
      </c>
      <c r="T4" s="5">
        <f>$F4*KEEI_trend!T6</f>
        <v>0</v>
      </c>
      <c r="U4" s="5">
        <f>$F4*KEEI_trend!U6</f>
        <v>0</v>
      </c>
      <c r="V4" s="5">
        <f>$F4*KEEI_trend!V6</f>
        <v>0</v>
      </c>
      <c r="W4" s="5">
        <f>$F4*KEEI_trend!W6</f>
        <v>0</v>
      </c>
      <c r="X4" s="5">
        <f>$F4*KEEI_trend!X6</f>
        <v>0</v>
      </c>
      <c r="Y4" s="5">
        <f>$F4*KEEI_trend!Y6</f>
        <v>0</v>
      </c>
      <c r="Z4" s="5">
        <f>$F4*KEEI_trend!Z6</f>
        <v>0</v>
      </c>
      <c r="AA4" s="5">
        <f>$F4*KEEI_trend!AA6</f>
        <v>0</v>
      </c>
      <c r="AB4" s="5">
        <f>$F4*KEEI_trend!AB6</f>
        <v>0</v>
      </c>
      <c r="AC4" s="5">
        <f>$F4*KEEI_trend!AC6</f>
        <v>0</v>
      </c>
      <c r="AD4" s="5">
        <f>$F4*KEEI_trend!AD6</f>
        <v>0</v>
      </c>
      <c r="AE4" s="5">
        <f>$F4*KEEI_trend!AE6</f>
        <v>0</v>
      </c>
      <c r="AF4" s="5">
        <f>$F4*KEEI_trend!AF6</f>
        <v>0</v>
      </c>
      <c r="AG4" s="5">
        <f>$F4*KEEI_trend!AG6</f>
        <v>0</v>
      </c>
    </row>
    <row r="5" spans="1:33">
      <c r="A5" t="s">
        <v>12</v>
      </c>
      <c r="B5" s="4">
        <f>SUMIF(EB_2019!$F$92:$BK$92,$A5,EB_2019!$F$93:$BK$93)*39656668310</f>
        <v>1232481663072828</v>
      </c>
      <c r="C5" s="4">
        <f>SUMIF(EB_2020!$F$92:$BK$92,$A5,EB_2020!$F$93:$BK$93)*39656668310</f>
        <v>1353049831735721</v>
      </c>
      <c r="D5" s="4">
        <f>SUMIF(EB_2021!$F$92:$BK$92,$A5,EB_2021!$F$93:$BK$93)*39656668310</f>
        <v>1334732416643332</v>
      </c>
      <c r="E5" s="4">
        <f>SUMIF(EB_2022!$F$92:$BK$92,$A5,EB_2022!$F$93:$BK$93)*39656668310</f>
        <v>1487105233290845</v>
      </c>
      <c r="F5" s="4">
        <f>SUMIF(EB_2023!$F$92:$BK$92,$A5,EB_2023!$F$93:$BK$93)*39656668310</f>
        <v>1524608544511612</v>
      </c>
      <c r="G5" s="5">
        <f>$F5*KEEI_trend!G7</f>
        <v>1552253928651615.8</v>
      </c>
      <c r="H5" s="5">
        <f>$F5*KEEI_trend!H7</f>
        <v>1579899312791620</v>
      </c>
      <c r="I5" s="5">
        <f>$F5*KEEI_trend!I7</f>
        <v>1607544696931623.8</v>
      </c>
      <c r="J5" s="5">
        <f>$F5*KEEI_trend!J7</f>
        <v>1635190081071627.5</v>
      </c>
      <c r="K5" s="5">
        <f>$F5*KEEI_trend!K7</f>
        <v>1662835465211631.3</v>
      </c>
      <c r="L5" s="5">
        <f>$F5*KEEI_trend!L7</f>
        <v>1690480849351635.5</v>
      </c>
      <c r="M5" s="5">
        <f>$F5*KEEI_trend!M7</f>
        <v>1718126233491639.3</v>
      </c>
      <c r="N5" s="5">
        <f>$F5*KEEI_trend!N7</f>
        <v>1694237653124794.3</v>
      </c>
      <c r="O5" s="5">
        <f>$F5*KEEI_trend!O7</f>
        <v>1670349072757949.5</v>
      </c>
      <c r="P5" s="5">
        <f>$F5*KEEI_trend!P7</f>
        <v>1646460492391104.8</v>
      </c>
      <c r="Q5" s="5">
        <f>$F5*KEEI_trend!Q7</f>
        <v>1622571912024259.8</v>
      </c>
      <c r="R5" s="5">
        <f>$F5*KEEI_trend!R7</f>
        <v>1598683331657415.3</v>
      </c>
      <c r="S5" s="5">
        <f>$F5*KEEI_trend!S7</f>
        <v>1574794751290570.3</v>
      </c>
      <c r="T5" s="5">
        <f>$F5*KEEI_trend!T7</f>
        <v>1550906170923725</v>
      </c>
      <c r="U5" s="5">
        <f>$F5*KEEI_trend!U7</f>
        <v>1527017590556880.8</v>
      </c>
      <c r="V5" s="5">
        <f>$F5*KEEI_trend!V7</f>
        <v>1503129010190035.8</v>
      </c>
      <c r="W5" s="5">
        <f>$F5*KEEI_trend!W7</f>
        <v>1479240429823191</v>
      </c>
      <c r="X5" s="5">
        <f>$F5*KEEI_trend!X7</f>
        <v>1460868497325086.8</v>
      </c>
      <c r="Y5" s="5">
        <f>$F5*KEEI_trend!Y7</f>
        <v>1442496564826983.3</v>
      </c>
      <c r="Z5" s="5">
        <f>$F5*KEEI_trend!Z7</f>
        <v>1424124632328879.3</v>
      </c>
      <c r="AA5" s="5">
        <f>$F5*KEEI_trend!AA7</f>
        <v>1405752699830775.8</v>
      </c>
      <c r="AB5" s="5">
        <f>$F5*KEEI_trend!AB7</f>
        <v>1387380767332671.5</v>
      </c>
      <c r="AC5" s="5">
        <f>$F5*KEEI_trend!AC7</f>
        <v>1369008834834567.8</v>
      </c>
      <c r="AD5" s="5">
        <f>$F5*KEEI_trend!AD7</f>
        <v>1350636902336464</v>
      </c>
      <c r="AE5" s="5">
        <f>$F5*KEEI_trend!AE7</f>
        <v>1332264969838360</v>
      </c>
      <c r="AF5" s="5">
        <f>$F5*KEEI_trend!AF7</f>
        <v>1313893037340256.3</v>
      </c>
      <c r="AG5" s="5">
        <f>$F5*KEEI_trend!AG7</f>
        <v>1295521104842152.3</v>
      </c>
    </row>
    <row r="6" spans="1:33">
      <c r="A6" t="s">
        <v>14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</row>
    <row r="7" spans="1:33">
      <c r="A7" t="s">
        <v>16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</row>
    <row r="8" spans="1:33">
      <c r="A8" t="s">
        <v>18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</row>
    <row r="9" spans="1:33">
      <c r="A9" t="s">
        <v>19</v>
      </c>
      <c r="B9" s="4">
        <f>SUMIF(EB_2019!$F$92:$BK$92,$A9,EB_2019!$F$93:$BK$93)*39656668310</f>
        <v>209069955330320</v>
      </c>
      <c r="C9" s="4">
        <f>SUMIF(EB_2020!$F$92:$BK$92,$A9,EB_2020!$F$93:$BK$93)*39656668310</f>
        <v>201864338698393</v>
      </c>
      <c r="D9" s="4">
        <f>SUMIF(EB_2021!$F$92:$BK$92,$A9,EB_2021!$F$93:$BK$93)*39656668310</f>
        <v>225464022009674.03</v>
      </c>
      <c r="E9" s="4">
        <f>SUMIF(EB_2022!$F$92:$BK$92,$A9,EB_2022!$F$93:$BK$93)*39656668310</f>
        <v>231721844268992.03</v>
      </c>
      <c r="F9" s="4">
        <f>SUMIF(EB_2023!$F$92:$BK$92,$A9,EB_2023!$F$93:$BK$93)*39656668310</f>
        <v>261726079512338</v>
      </c>
      <c r="G9" s="5">
        <f>$F9*KEEI_trend!G10</f>
        <v>297020912861208.88</v>
      </c>
      <c r="H9" s="5">
        <f>$F9*KEEI_trend!H10</f>
        <v>332315746210079.88</v>
      </c>
      <c r="I9" s="5">
        <f>$F9*KEEI_trend!I10</f>
        <v>367610579558950.75</v>
      </c>
      <c r="J9" s="5">
        <f>$F9*KEEI_trend!J10</f>
        <v>402905412907821.75</v>
      </c>
      <c r="K9" s="5">
        <f>$F9*KEEI_trend!K10</f>
        <v>438200246256692.69</v>
      </c>
      <c r="L9" s="5">
        <f>$F9*KEEI_trend!L10</f>
        <v>473495079605563.56</v>
      </c>
      <c r="M9" s="5">
        <f>$F9*KEEI_trend!M10</f>
        <v>508789912954434.5</v>
      </c>
      <c r="N9" s="5">
        <f>$F9*KEEI_trend!N10</f>
        <v>541214755312718</v>
      </c>
      <c r="O9" s="5">
        <f>$F9*KEEI_trend!O10</f>
        <v>573639597671001.38</v>
      </c>
      <c r="P9" s="5">
        <f>$F9*KEEI_trend!P10</f>
        <v>606064440029285</v>
      </c>
      <c r="Q9" s="5">
        <f>$F9*KEEI_trend!Q10</f>
        <v>638489282387568.5</v>
      </c>
      <c r="R9" s="5">
        <f>$F9*KEEI_trend!R10</f>
        <v>670914124745852</v>
      </c>
      <c r="S9" s="5">
        <f>$F9*KEEI_trend!S10</f>
        <v>703338967104135.38</v>
      </c>
      <c r="T9" s="5">
        <f>$F9*KEEI_trend!T10</f>
        <v>735763809462419</v>
      </c>
      <c r="U9" s="5">
        <f>$F9*KEEI_trend!U10</f>
        <v>768188651820702.25</v>
      </c>
      <c r="V9" s="5">
        <f>$F9*KEEI_trend!V10</f>
        <v>800613494178986</v>
      </c>
      <c r="W9" s="5">
        <f>$F9*KEEI_trend!W10</f>
        <v>833038336537269.38</v>
      </c>
      <c r="X9" s="5">
        <f>$F9*KEEI_trend!X10</f>
        <v>851849898502218.63</v>
      </c>
      <c r="Y9" s="5">
        <f>$F9*KEEI_trend!Y10</f>
        <v>870661460467167.88</v>
      </c>
      <c r="Z9" s="5">
        <f>$F9*KEEI_trend!Z10</f>
        <v>889473022432117.25</v>
      </c>
      <c r="AA9" s="5">
        <f>$F9*KEEI_trend!AA10</f>
        <v>908284584397066.5</v>
      </c>
      <c r="AB9" s="5">
        <f>$F9*KEEI_trend!AB10</f>
        <v>927096146362015.88</v>
      </c>
      <c r="AC9" s="5">
        <f>$F9*KEEI_trend!AC10</f>
        <v>945907708326965.13</v>
      </c>
      <c r="AD9" s="5">
        <f>$F9*KEEI_trend!AD10</f>
        <v>964719270291914.38</v>
      </c>
      <c r="AE9" s="5">
        <f>$F9*KEEI_trend!AE10</f>
        <v>983530832256863.63</v>
      </c>
      <c r="AF9" s="5">
        <f>$F9*KEEI_trend!AF10</f>
        <v>1002342394221813.1</v>
      </c>
      <c r="AG9" s="5">
        <f>$F9*KEEI_trend!AG10</f>
        <v>1021153956186762.4</v>
      </c>
    </row>
    <row r="10" spans="1:33">
      <c r="A10" t="s">
        <v>21</v>
      </c>
      <c r="B10" s="4">
        <f>SUMIF(EB_2019!$F$92:$BK$92,$A10,EB_2019!$F$93:$BK$93)*39656668310</f>
        <v>839016131434670</v>
      </c>
      <c r="C10" s="4">
        <f>SUMIF(EB_2020!$F$92:$BK$92,$A10,EB_2020!$F$93:$BK$93)*39656668310</f>
        <v>745533467227507</v>
      </c>
      <c r="D10" s="4">
        <f>SUMIF(EB_2021!$F$92:$BK$92,$A10,EB_2021!$F$93:$BK$93)*39656668310</f>
        <v>880175787473619</v>
      </c>
      <c r="E10" s="4">
        <f>SUMIF(EB_2022!$F$92:$BK$92,$A10,EB_2022!$F$93:$BK$93)*39656668310</f>
        <v>898267159556641</v>
      </c>
      <c r="F10" s="4">
        <f>SUMIF(EB_2023!$F$92:$BK$92,$A10,EB_2023!$F$93:$BK$93)*39656668310</f>
        <v>923100165252363</v>
      </c>
      <c r="G10" s="5">
        <f>$F10*KEEI_trend!G4</f>
        <v>923728441765581.88</v>
      </c>
      <c r="H10" s="5">
        <f>$F10*KEEI_trend!H4</f>
        <v>924356718278800.63</v>
      </c>
      <c r="I10" s="5">
        <f>$F10*KEEI_trend!I4</f>
        <v>924984994792019.25</v>
      </c>
      <c r="J10" s="5">
        <f>$F10*KEEI_trend!J4</f>
        <v>925613271305238.13</v>
      </c>
      <c r="K10" s="5">
        <f>$F10*KEEI_trend!K4</f>
        <v>926241547818456.88</v>
      </c>
      <c r="L10" s="5">
        <f>$F10*KEEI_trend!L4</f>
        <v>926869824331675.75</v>
      </c>
      <c r="M10" s="5">
        <f>$F10*KEEI_trend!M4</f>
        <v>927498100844894.38</v>
      </c>
      <c r="N10" s="5">
        <f>$F10*KEEI_trend!N4</f>
        <v>925189413241746.38</v>
      </c>
      <c r="O10" s="5">
        <f>$F10*KEEI_trend!O4</f>
        <v>922880725638598.5</v>
      </c>
      <c r="P10" s="5">
        <f>$F10*KEEI_trend!P4</f>
        <v>920572038035450.38</v>
      </c>
      <c r="Q10" s="5">
        <f>$F10*KEEI_trend!Q4</f>
        <v>918263350432302.5</v>
      </c>
      <c r="R10" s="5">
        <f>$F10*KEEI_trend!R4</f>
        <v>915954662829154.38</v>
      </c>
      <c r="S10" s="5">
        <f>$F10*KEEI_trend!S4</f>
        <v>913645975226006.25</v>
      </c>
      <c r="T10" s="5">
        <f>$F10*KEEI_trend!T4</f>
        <v>911337287622858.25</v>
      </c>
      <c r="U10" s="5">
        <f>$F10*KEEI_trend!U4</f>
        <v>909028600019710.25</v>
      </c>
      <c r="V10" s="5">
        <f>$F10*KEEI_trend!V4</f>
        <v>906719912416562.25</v>
      </c>
      <c r="W10" s="5">
        <f>$F10*KEEI_trend!W4</f>
        <v>904411224813414.25</v>
      </c>
      <c r="X10" s="5">
        <f>$F10*KEEI_trend!X4</f>
        <v>898347376819720.13</v>
      </c>
      <c r="Y10" s="5">
        <f>$F10*KEEI_trend!Y4</f>
        <v>892283528826025.88</v>
      </c>
      <c r="Z10" s="5">
        <f>$F10*KEEI_trend!Z4</f>
        <v>886219680832331.88</v>
      </c>
      <c r="AA10" s="5">
        <f>$F10*KEEI_trend!AA4</f>
        <v>880155832838637.63</v>
      </c>
      <c r="AB10" s="5">
        <f>$F10*KEEI_trend!AB4</f>
        <v>874091984844943.5</v>
      </c>
      <c r="AC10" s="5">
        <f>$F10*KEEI_trend!AC4</f>
        <v>868028136851249.38</v>
      </c>
      <c r="AD10" s="5">
        <f>$F10*KEEI_trend!AD4</f>
        <v>861964288857555.13</v>
      </c>
      <c r="AE10" s="5">
        <f>$F10*KEEI_trend!AE4</f>
        <v>855900440863861.13</v>
      </c>
      <c r="AF10" s="5">
        <f>$F10*KEEI_trend!AF4</f>
        <v>849836592870166.88</v>
      </c>
      <c r="AG10" s="5">
        <f>$F10*KEEI_trend!AG4</f>
        <v>843772744876472.75</v>
      </c>
    </row>
    <row r="11" spans="1:33">
      <c r="A11" t="s">
        <v>24</v>
      </c>
      <c r="B11" s="4">
        <f>SUMIF(EB_2019!$F$92:$BK$92,$A11,EB_2019!$F$93:$BK$93)*39656668310</f>
        <v>2335825351460972</v>
      </c>
      <c r="C11" s="4">
        <f>SUMIF(EB_2020!$F$92:$BK$92,$A11,EB_2020!$F$93:$BK$93)*39656668310</f>
        <v>2221066884705494</v>
      </c>
      <c r="D11" s="4">
        <f>SUMIF(EB_2021!$F$92:$BK$92,$A11,EB_2021!$F$93:$BK$93)*39656668310</f>
        <v>2069939287442915</v>
      </c>
      <c r="E11" s="4">
        <f>SUMIF(EB_2022!$F$92:$BK$92,$A11,EB_2022!$F$93:$BK$93)*39656668310</f>
        <v>2213992135078989.8</v>
      </c>
      <c r="F11" s="4">
        <f>SUMIF(EB_2023!$F$92:$BK$92,$A11,EB_2023!$F$93:$BK$93)*39656668310</f>
        <v>2153618823243846</v>
      </c>
      <c r="G11" s="5">
        <f>$F11*KEEI_trend!G4</f>
        <v>2155084610138922.8</v>
      </c>
      <c r="H11" s="5">
        <f>$F11*KEEI_trend!H4</f>
        <v>2156550397033999.5</v>
      </c>
      <c r="I11" s="5">
        <f>$F11*KEEI_trend!I4</f>
        <v>2158016183929075.8</v>
      </c>
      <c r="J11" s="5">
        <f>$F11*KEEI_trend!J4</f>
        <v>2159481970824152.5</v>
      </c>
      <c r="K11" s="5">
        <f>$F11*KEEI_trend!K4</f>
        <v>2160947757719229.3</v>
      </c>
      <c r="L11" s="5">
        <f>$F11*KEEI_trend!L4</f>
        <v>2162413544614305.8</v>
      </c>
      <c r="M11" s="5">
        <f>$F11*KEEI_trend!M4</f>
        <v>2163879331509382</v>
      </c>
      <c r="N11" s="5">
        <f>$F11*KEEI_trend!N4</f>
        <v>2158493097960426</v>
      </c>
      <c r="O11" s="5">
        <f>$F11*KEEI_trend!O4</f>
        <v>2153106864411470</v>
      </c>
      <c r="P11" s="5">
        <f>$F11*KEEI_trend!P4</f>
        <v>2147720630862513.8</v>
      </c>
      <c r="Q11" s="5">
        <f>$F11*KEEI_trend!Q4</f>
        <v>2142334397313557.8</v>
      </c>
      <c r="R11" s="5">
        <f>$F11*KEEI_trend!R4</f>
        <v>2136948163764601.3</v>
      </c>
      <c r="S11" s="5">
        <f>$F11*KEEI_trend!S4</f>
        <v>2131561930215644.8</v>
      </c>
      <c r="T11" s="5">
        <f>$F11*KEEI_trend!T4</f>
        <v>2126175696666688.8</v>
      </c>
      <c r="U11" s="5">
        <f>$F11*KEEI_trend!U4</f>
        <v>2120789463117732.5</v>
      </c>
      <c r="V11" s="5">
        <f>$F11*KEEI_trend!V4</f>
        <v>2115403229568776.5</v>
      </c>
      <c r="W11" s="5">
        <f>$F11*KEEI_trend!W4</f>
        <v>2110016996019820.3</v>
      </c>
      <c r="X11" s="5">
        <f>$F11*KEEI_trend!X4</f>
        <v>2095869866951829.3</v>
      </c>
      <c r="Y11" s="5">
        <f>$F11*KEEI_trend!Y4</f>
        <v>2081722737883838</v>
      </c>
      <c r="Z11" s="5">
        <f>$F11*KEEI_trend!Z4</f>
        <v>2067575608815846.8</v>
      </c>
      <c r="AA11" s="5">
        <f>$F11*KEEI_trend!AA4</f>
        <v>2053428479747855.5</v>
      </c>
      <c r="AB11" s="5">
        <f>$F11*KEEI_trend!AB4</f>
        <v>2039281350679864.3</v>
      </c>
      <c r="AC11" s="5">
        <f>$F11*KEEI_trend!AC4</f>
        <v>2025134221611873.3</v>
      </c>
      <c r="AD11" s="5">
        <f>$F11*KEEI_trend!AD4</f>
        <v>2010987092543882</v>
      </c>
      <c r="AE11" s="5">
        <f>$F11*KEEI_trend!AE4</f>
        <v>1996839963475891</v>
      </c>
      <c r="AF11" s="5">
        <f>$F11*KEEI_trend!AF4</f>
        <v>1982692834407899.8</v>
      </c>
      <c r="AG11" s="5">
        <f>$F11*KEEI_trend!AG4</f>
        <v>1968545705339908.5</v>
      </c>
    </row>
    <row r="12" spans="1:33">
      <c r="A12" t="s">
        <v>25</v>
      </c>
      <c r="B12" s="4">
        <f>SUMIF(EB_2019!$F$92:$BK$92,$A12,EB_2019!$F$93:$BK$93)*39656668310</f>
        <v>0</v>
      </c>
      <c r="C12" s="4">
        <f>SUMIF(EB_2020!$F$92:$BK$92,$A12,EB_2020!$F$93:$BK$93)*39656668310</f>
        <v>0</v>
      </c>
      <c r="D12" s="4">
        <f>SUMIF(EB_2021!$F$92:$BK$92,$A12,EB_2021!$F$93:$BK$93)*39656668310</f>
        <v>0</v>
      </c>
      <c r="E12" s="4">
        <f>SUMIF(EB_2022!$F$92:$BK$92,$A12,EB_2022!$F$93:$BK$93)*39656668310</f>
        <v>0</v>
      </c>
      <c r="F12" s="4">
        <f>SUMIF(EB_2023!$F$92:$BK$92,$A12,EB_2023!$F$93:$BK$93)*39656668310</f>
        <v>0</v>
      </c>
      <c r="G12" s="5">
        <f>$F12*KEEI_trend!G10</f>
        <v>0</v>
      </c>
      <c r="H12" s="5">
        <f>$F12*KEEI_trend!H10</f>
        <v>0</v>
      </c>
      <c r="I12" s="5">
        <f>$F12*KEEI_trend!I10</f>
        <v>0</v>
      </c>
      <c r="J12" s="5">
        <f>$F12*KEEI_trend!J10</f>
        <v>0</v>
      </c>
      <c r="K12" s="5">
        <f>$F12*KEEI_trend!K10</f>
        <v>0</v>
      </c>
      <c r="L12" s="5">
        <f>$F12*KEEI_trend!L10</f>
        <v>0</v>
      </c>
      <c r="M12" s="5">
        <f>$F12*KEEI_trend!M10</f>
        <v>0</v>
      </c>
      <c r="N12" s="5">
        <f>$F12*KEEI_trend!N10</f>
        <v>0</v>
      </c>
      <c r="O12" s="5">
        <f>$F12*KEEI_trend!O10</f>
        <v>0</v>
      </c>
      <c r="P12" s="5">
        <f>$F12*KEEI_trend!P10</f>
        <v>0</v>
      </c>
      <c r="Q12" s="5">
        <f>$F12*KEEI_trend!Q10</f>
        <v>0</v>
      </c>
      <c r="R12" s="5">
        <f>$F12*KEEI_trend!R10</f>
        <v>0</v>
      </c>
      <c r="S12" s="5">
        <f>$F12*KEEI_trend!S10</f>
        <v>0</v>
      </c>
      <c r="T12" s="5">
        <f>$F12*KEEI_trend!T10</f>
        <v>0</v>
      </c>
      <c r="U12" s="5">
        <f>$F12*KEEI_trend!U10</f>
        <v>0</v>
      </c>
      <c r="V12" s="5">
        <f>$F12*KEEI_trend!V10</f>
        <v>0</v>
      </c>
      <c r="W12" s="5">
        <f>$F12*KEEI_trend!W10</f>
        <v>0</v>
      </c>
      <c r="X12" s="5">
        <f>$F12*KEEI_trend!X10</f>
        <v>0</v>
      </c>
      <c r="Y12" s="5">
        <f>$F12*KEEI_trend!Y10</f>
        <v>0</v>
      </c>
      <c r="Z12" s="5">
        <f>$F12*KEEI_trend!Z10</f>
        <v>0</v>
      </c>
      <c r="AA12" s="5">
        <f>$F12*KEEI_trend!AA10</f>
        <v>0</v>
      </c>
      <c r="AB12" s="5">
        <f>$F12*KEEI_trend!AB10</f>
        <v>0</v>
      </c>
      <c r="AC12" s="5">
        <f>$F12*KEEI_trend!AC10</f>
        <v>0</v>
      </c>
      <c r="AD12" s="5">
        <f>$F12*KEEI_trend!AD10</f>
        <v>0</v>
      </c>
      <c r="AE12" s="5">
        <f>$F12*KEEI_trend!AE10</f>
        <v>0</v>
      </c>
      <c r="AF12" s="5">
        <f>$F12*KEEI_trend!AF10</f>
        <v>0</v>
      </c>
      <c r="AG12" s="5">
        <f>$F12*KEEI_trend!AG10</f>
        <v>0</v>
      </c>
    </row>
    <row r="13" spans="1:33">
      <c r="A13" t="s">
        <v>26</v>
      </c>
      <c r="B13" s="4">
        <f>SUMIF(EB_2019!$F$92:$BK$92,$A13,EB_2019!$F$93:$BK$93)*39656668310</f>
        <v>27275856463618</v>
      </c>
      <c r="C13" s="4">
        <f>SUMIF(EB_2020!$F$92:$BK$92,$A13,EB_2020!$F$93:$BK$93)*39656668310</f>
        <v>27525693473971</v>
      </c>
      <c r="D13" s="4">
        <f>SUMIF(EB_2021!$F$92:$BK$92,$A13,EB_2021!$F$93:$BK$93)*39656668310</f>
        <v>27938122824395</v>
      </c>
      <c r="E13" s="4">
        <f>SUMIF(EB_2022!$F$92:$BK$92,$A13,EB_2022!$F$93:$BK$93)*39656668310</f>
        <v>27010156785941</v>
      </c>
      <c r="F13" s="4">
        <f>SUMIF(EB_2023!$F$92:$BK$92,$A13,EB_2023!$F$93:$BK$93)*39656668310</f>
        <v>27605006810591</v>
      </c>
      <c r="G13" s="5">
        <f>$F13*KEEI_trend!G10</f>
        <v>31327654996013.141</v>
      </c>
      <c r="H13" s="5">
        <f>$F13*KEEI_trend!H10</f>
        <v>35050303181435.285</v>
      </c>
      <c r="I13" s="5">
        <f>$F13*KEEI_trend!I10</f>
        <v>38772951366857.422</v>
      </c>
      <c r="J13" s="5">
        <f>$F13*KEEI_trend!J10</f>
        <v>42495599552279.578</v>
      </c>
      <c r="K13" s="5">
        <f>$F13*KEEI_trend!K10</f>
        <v>46218247737701.711</v>
      </c>
      <c r="L13" s="5">
        <f>$F13*KEEI_trend!L10</f>
        <v>49940895923123.852</v>
      </c>
      <c r="M13" s="5">
        <f>$F13*KEEI_trend!M10</f>
        <v>53663544108546</v>
      </c>
      <c r="N13" s="5">
        <f>$F13*KEEI_trend!N10</f>
        <v>57083486040968.359</v>
      </c>
      <c r="O13" s="5">
        <f>$F13*KEEI_trend!O10</f>
        <v>60503427973390.719</v>
      </c>
      <c r="P13" s="5">
        <f>$F13*KEEI_trend!P10</f>
        <v>63923369905813.102</v>
      </c>
      <c r="Q13" s="5">
        <f>$F13*KEEI_trend!Q10</f>
        <v>67343311838235.461</v>
      </c>
      <c r="R13" s="5">
        <f>$F13*KEEI_trend!R10</f>
        <v>70763253770657.828</v>
      </c>
      <c r="S13" s="5">
        <f>$F13*KEEI_trend!S10</f>
        <v>74183195703080.188</v>
      </c>
      <c r="T13" s="5">
        <f>$F13*KEEI_trend!T10</f>
        <v>77603137635502.578</v>
      </c>
      <c r="U13" s="5">
        <f>$F13*KEEI_trend!U10</f>
        <v>81023079567924.922</v>
      </c>
      <c r="V13" s="5">
        <f>$F13*KEEI_trend!V10</f>
        <v>84443021500347.297</v>
      </c>
      <c r="W13" s="5">
        <f>$F13*KEEI_trend!W10</f>
        <v>87862963432769.656</v>
      </c>
      <c r="X13" s="5">
        <f>$F13*KEEI_trend!X10</f>
        <v>89847073297280.891</v>
      </c>
      <c r="Y13" s="5">
        <f>$F13*KEEI_trend!Y10</f>
        <v>91831183161792.109</v>
      </c>
      <c r="Z13" s="5">
        <f>$F13*KEEI_trend!Z10</f>
        <v>93815293026303.344</v>
      </c>
      <c r="AA13" s="5">
        <f>$F13*KEEI_trend!AA10</f>
        <v>95799402890814.578</v>
      </c>
      <c r="AB13" s="5">
        <f>$F13*KEEI_trend!AB10</f>
        <v>97783512755325.797</v>
      </c>
      <c r="AC13" s="5">
        <f>$F13*KEEI_trend!AC10</f>
        <v>99767622619837.031</v>
      </c>
      <c r="AD13" s="5">
        <f>$F13*KEEI_trend!AD10</f>
        <v>101751732484348.25</v>
      </c>
      <c r="AE13" s="5">
        <f>$F13*KEEI_trend!AE10</f>
        <v>103735842348859.47</v>
      </c>
      <c r="AF13" s="5">
        <f>$F13*KEEI_trend!AF10</f>
        <v>105719952213370.72</v>
      </c>
      <c r="AG13" s="5">
        <f>$F13*KEEI_trend!AG10</f>
        <v>107704062077881.95</v>
      </c>
    </row>
    <row r="14" spans="1:33">
      <c r="A14" t="s">
        <v>27</v>
      </c>
      <c r="B14" s="4">
        <f>SUMIF(EB_2019!$F$92:$BK$92,$A14,EB_2019!$F$93:$BK$93)*39656668310</f>
        <v>1057119875806008</v>
      </c>
      <c r="C14" s="4">
        <f>SUMIF(EB_2020!$F$92:$BK$92,$A14,EB_2020!$F$93:$BK$93)*39656668310</f>
        <v>864404330486732</v>
      </c>
      <c r="D14" s="4">
        <f>SUMIF(EB_2021!$F$92:$BK$92,$A14,EB_2021!$F$93:$BK$93)*39656668310</f>
        <v>831017381436543</v>
      </c>
      <c r="E14" s="4">
        <f>SUMIF(EB_2022!$F$92:$BK$92,$A14,EB_2022!$F$93:$BK$93)*39656668310</f>
        <v>938137973875515</v>
      </c>
      <c r="F14" s="4">
        <f>SUMIF(EB_2023!$F$92:$BK$92,$A14,EB_2023!$F$93:$BK$93)*39656668310</f>
        <v>1020901440638485</v>
      </c>
      <c r="G14" s="5">
        <f>$F14*KEEI_trend!G4</f>
        <v>1021596282240305.1</v>
      </c>
      <c r="H14" s="5">
        <f>$F14*KEEI_trend!H4</f>
        <v>1022291123842125.4</v>
      </c>
      <c r="I14" s="5">
        <f>$F14*KEEI_trend!I4</f>
        <v>1022985965443945.3</v>
      </c>
      <c r="J14" s="5">
        <f>$F14*KEEI_trend!J4</f>
        <v>1023680807045765.5</v>
      </c>
      <c r="K14" s="5">
        <f>$F14*KEEI_trend!K4</f>
        <v>1024375648647585.6</v>
      </c>
      <c r="L14" s="5">
        <f>$F14*KEEI_trend!L4</f>
        <v>1025070490249405.9</v>
      </c>
      <c r="M14" s="5">
        <f>$F14*KEEI_trend!M4</f>
        <v>1025765331851225.8</v>
      </c>
      <c r="N14" s="5">
        <f>$F14*KEEI_trend!N4</f>
        <v>1023212041765535.5</v>
      </c>
      <c r="O14" s="5">
        <f>$F14*KEEI_trend!O4</f>
        <v>1020658751679845.1</v>
      </c>
      <c r="P14" s="5">
        <f>$F14*KEEI_trend!P4</f>
        <v>1018105461594154.8</v>
      </c>
      <c r="Q14" s="5">
        <f>$F14*KEEI_trend!Q4</f>
        <v>1015552171508464.4</v>
      </c>
      <c r="R14" s="5">
        <f>$F14*KEEI_trend!R4</f>
        <v>1012998881422774</v>
      </c>
      <c r="S14" s="5">
        <f>$F14*KEEI_trend!S4</f>
        <v>1010445591337083.4</v>
      </c>
      <c r="T14" s="5">
        <f>$F14*KEEI_trend!T4</f>
        <v>1007892301251393.1</v>
      </c>
      <c r="U14" s="5">
        <f>$F14*KEEI_trend!U4</f>
        <v>1005339011165702.6</v>
      </c>
      <c r="V14" s="5">
        <f>$F14*KEEI_trend!V4</f>
        <v>1002785721080012.4</v>
      </c>
      <c r="W14" s="5">
        <f>$F14*KEEI_trend!W4</f>
        <v>1000232430994321.9</v>
      </c>
      <c r="X14" s="5">
        <f>$F14*KEEI_trend!X4</f>
        <v>993526126103906.63</v>
      </c>
      <c r="Y14" s="5">
        <f>$F14*KEEI_trend!Y4</f>
        <v>986819821213491.25</v>
      </c>
      <c r="Z14" s="5">
        <f>$F14*KEEI_trend!Z4</f>
        <v>980113516323075.88</v>
      </c>
      <c r="AA14" s="5">
        <f>$F14*KEEI_trend!AA4</f>
        <v>973407211432660.5</v>
      </c>
      <c r="AB14" s="5">
        <f>$F14*KEEI_trend!AB4</f>
        <v>966700906542245.13</v>
      </c>
      <c r="AC14" s="5">
        <f>$F14*KEEI_trend!AC4</f>
        <v>959994601651829.88</v>
      </c>
      <c r="AD14" s="5">
        <f>$F14*KEEI_trend!AD4</f>
        <v>953288296761414.38</v>
      </c>
      <c r="AE14" s="5">
        <f>$F14*KEEI_trend!AE4</f>
        <v>946581991870999.13</v>
      </c>
      <c r="AF14" s="5">
        <f>$F14*KEEI_trend!AF4</f>
        <v>939875686980583.75</v>
      </c>
      <c r="AG14" s="5">
        <f>$F14*KEEI_trend!AG4</f>
        <v>933169382090168.38</v>
      </c>
    </row>
    <row r="15" spans="1:33">
      <c r="A15" t="s">
        <v>28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</row>
    <row r="16" spans="1:33">
      <c r="A16" t="s">
        <v>29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</row>
    <row r="17" spans="1:33">
      <c r="A17" t="s">
        <v>30</v>
      </c>
      <c r="B17" s="4">
        <f>SUMIF(EB_2019!$F$92:$BK$92,$A17,EB_2019!$F$93:$BK$93)*39656668310</f>
        <v>0</v>
      </c>
      <c r="C17" s="4">
        <f>SUMIF(EB_2020!$F$92:$BK$92,$A17,EB_2020!$F$93:$BK$93)*39656668310</f>
        <v>0</v>
      </c>
      <c r="D17" s="4">
        <f>SUMIF(EB_2021!$F$92:$BK$92,$A17,EB_2021!$F$93:$BK$93)*39656668310</f>
        <v>0</v>
      </c>
      <c r="E17" s="4">
        <f>SUMIF(EB_2022!$F$92:$BK$92,$A17,EB_2022!$F$93:$BK$93)*39656668310</f>
        <v>0</v>
      </c>
      <c r="F17" s="4">
        <f>SUMIF(EB_2023!$F$92:$BK$92,$A17,EB_2023!$F$93:$BK$93)*39656668310</f>
        <v>0</v>
      </c>
      <c r="G17" s="5">
        <f>$F17*KEEI_trend!G5</f>
        <v>0</v>
      </c>
      <c r="H17" s="5">
        <f>$F17*KEEI_trend!H5</f>
        <v>0</v>
      </c>
      <c r="I17" s="5">
        <f>$F17*KEEI_trend!I5</f>
        <v>0</v>
      </c>
      <c r="J17" s="5">
        <f>$F17*KEEI_trend!J5</f>
        <v>0</v>
      </c>
      <c r="K17" s="5">
        <f>$F17*KEEI_trend!K5</f>
        <v>0</v>
      </c>
      <c r="L17" s="5">
        <f>$F17*KEEI_trend!L5</f>
        <v>0</v>
      </c>
      <c r="M17" s="5">
        <f>$F17*KEEI_trend!M5</f>
        <v>0</v>
      </c>
      <c r="N17" s="5">
        <f>$F17*KEEI_trend!N5</f>
        <v>0</v>
      </c>
      <c r="O17" s="5">
        <f>$F17*KEEI_trend!O5</f>
        <v>0</v>
      </c>
      <c r="P17" s="5">
        <f>$F17*KEEI_trend!P5</f>
        <v>0</v>
      </c>
      <c r="Q17" s="5">
        <f>$F17*KEEI_trend!Q5</f>
        <v>0</v>
      </c>
      <c r="R17" s="5">
        <f>$F17*KEEI_trend!R5</f>
        <v>0</v>
      </c>
      <c r="S17" s="5">
        <f>$F17*KEEI_trend!S5</f>
        <v>0</v>
      </c>
      <c r="T17" s="5">
        <f>$F17*KEEI_trend!T5</f>
        <v>0</v>
      </c>
      <c r="U17" s="5">
        <f>$F17*KEEI_trend!U5</f>
        <v>0</v>
      </c>
      <c r="V17" s="5">
        <f>$F17*KEEI_trend!V5</f>
        <v>0</v>
      </c>
      <c r="W17" s="5">
        <f>$F17*KEEI_trend!W5</f>
        <v>0</v>
      </c>
      <c r="X17" s="5">
        <f>$F17*KEEI_trend!X5</f>
        <v>0</v>
      </c>
      <c r="Y17" s="5">
        <f>$F17*KEEI_trend!Y5</f>
        <v>0</v>
      </c>
      <c r="Z17" s="5">
        <f>$F17*KEEI_trend!Z5</f>
        <v>0</v>
      </c>
      <c r="AA17" s="5">
        <f>$F17*KEEI_trend!AA5</f>
        <v>0</v>
      </c>
      <c r="AB17" s="5">
        <f>$F17*KEEI_trend!AB5</f>
        <v>0</v>
      </c>
      <c r="AC17" s="5">
        <f>$F17*KEEI_trend!AC5</f>
        <v>0</v>
      </c>
      <c r="AD17" s="5">
        <f>$F17*KEEI_trend!AD5</f>
        <v>0</v>
      </c>
      <c r="AE17" s="5">
        <f>$F17*KEEI_trend!AE5</f>
        <v>0</v>
      </c>
      <c r="AF17" s="5">
        <f>$F17*KEEI_trend!AF5</f>
        <v>0</v>
      </c>
      <c r="AG17" s="5">
        <f>$F17*KEEI_trend!AG5</f>
        <v>0</v>
      </c>
    </row>
    <row r="18" spans="1:33">
      <c r="A18" t="s">
        <v>31</v>
      </c>
      <c r="B18" s="4">
        <f>SUMIF(EB_2019!$F$92:$BK$92,$A18,EB_2019!$F$93:$BK$93)*39656668310</f>
        <v>900206370637</v>
      </c>
      <c r="C18" s="4">
        <f>SUMIF(EB_2020!$F$92:$BK$92,$A18,EB_2020!$F$93:$BK$93)*39656668310</f>
        <v>598815691481</v>
      </c>
      <c r="D18" s="4">
        <f>SUMIF(EB_2021!$F$92:$BK$92,$A18,EB_2021!$F$93:$BK$93)*39656668310</f>
        <v>206214675212</v>
      </c>
      <c r="E18" s="4">
        <f>SUMIF(EB_2022!$F$92:$BK$92,$A18,EB_2022!$F$93:$BK$93)*39656668310</f>
        <v>99141670775</v>
      </c>
      <c r="F18" s="4">
        <f>SUMIF(EB_2023!$F$92:$BK$92,$A18,EB_2023!$F$93:$BK$93)*39656668310</f>
        <v>0</v>
      </c>
      <c r="G18" s="5">
        <f>$F18*KEEI_trend!G4</f>
        <v>0</v>
      </c>
      <c r="H18" s="5">
        <f>$F18*KEEI_trend!H4</f>
        <v>0</v>
      </c>
      <c r="I18" s="5">
        <f>$F18*KEEI_trend!I4</f>
        <v>0</v>
      </c>
      <c r="J18" s="5">
        <f>$F18*KEEI_trend!J4</f>
        <v>0</v>
      </c>
      <c r="K18" s="5">
        <f>$F18*KEEI_trend!K4</f>
        <v>0</v>
      </c>
      <c r="L18" s="5">
        <f>$F18*KEEI_trend!L4</f>
        <v>0</v>
      </c>
      <c r="M18" s="5">
        <f>$F18*KEEI_trend!M4</f>
        <v>0</v>
      </c>
      <c r="N18" s="5">
        <f>$F18*KEEI_trend!N4</f>
        <v>0</v>
      </c>
      <c r="O18" s="5">
        <f>$F18*KEEI_trend!O4</f>
        <v>0</v>
      </c>
      <c r="P18" s="5">
        <f>$F18*KEEI_trend!P4</f>
        <v>0</v>
      </c>
      <c r="Q18" s="5">
        <f>$F18*KEEI_trend!Q4</f>
        <v>0</v>
      </c>
      <c r="R18" s="5">
        <f>$F18*KEEI_trend!R4</f>
        <v>0</v>
      </c>
      <c r="S18" s="5">
        <f>$F18*KEEI_trend!S4</f>
        <v>0</v>
      </c>
      <c r="T18" s="5">
        <f>$F18*KEEI_trend!T4</f>
        <v>0</v>
      </c>
      <c r="U18" s="5">
        <f>$F18*KEEI_trend!U4</f>
        <v>0</v>
      </c>
      <c r="V18" s="5">
        <f>$F18*KEEI_trend!V4</f>
        <v>0</v>
      </c>
      <c r="W18" s="5">
        <f>$F18*KEEI_trend!W4</f>
        <v>0</v>
      </c>
      <c r="X18" s="5">
        <f>$F18*KEEI_trend!X4</f>
        <v>0</v>
      </c>
      <c r="Y18" s="5">
        <f>$F18*KEEI_trend!Y4</f>
        <v>0</v>
      </c>
      <c r="Z18" s="5">
        <f>$F18*KEEI_trend!Z4</f>
        <v>0</v>
      </c>
      <c r="AA18" s="5">
        <f>$F18*KEEI_trend!AA4</f>
        <v>0</v>
      </c>
      <c r="AB18" s="5">
        <f>$F18*KEEI_trend!AB4</f>
        <v>0</v>
      </c>
      <c r="AC18" s="5">
        <f>$F18*KEEI_trend!AC4</f>
        <v>0</v>
      </c>
      <c r="AD18" s="5">
        <f>$F18*KEEI_trend!AD4</f>
        <v>0</v>
      </c>
      <c r="AE18" s="5">
        <f>$F18*KEEI_trend!AE4</f>
        <v>0</v>
      </c>
      <c r="AF18" s="5">
        <f>$F18*KEEI_trend!AF4</f>
        <v>0</v>
      </c>
      <c r="AG18" s="5">
        <f>$F18*KEEI_trend!AG4</f>
        <v>0</v>
      </c>
    </row>
    <row r="19" spans="1:33">
      <c r="A19" t="s">
        <v>32</v>
      </c>
      <c r="B19" s="4">
        <f>SUMIF(EB_2019!$F$92:$BK$92,$A19,EB_2019!$F$93:$BK$93)*39656668310</f>
        <v>642370610285873</v>
      </c>
      <c r="C19" s="4">
        <f>SUMIF(EB_2020!$F$92:$BK$92,$A19,EB_2020!$F$93:$BK$93)*39656668310</f>
        <v>792019013820489</v>
      </c>
      <c r="D19" s="4">
        <f>SUMIF(EB_2021!$F$92:$BK$92,$A19,EB_2021!$F$93:$BK$93)*39656668310</f>
        <v>894543398402332</v>
      </c>
      <c r="E19" s="4">
        <f>SUMIF(EB_2022!$F$92:$BK$92,$A19,EB_2022!$F$93:$BK$93)*39656668310</f>
        <v>1036958425637204</v>
      </c>
      <c r="F19" s="4">
        <f>SUMIF(EB_2023!$F$92:$BK$92,$A19,EB_2023!$F$93:$BK$93)*39656668310</f>
        <v>928985214829566.88</v>
      </c>
      <c r="G19" s="5">
        <f>$F19*KEEI_trend!G4</f>
        <v>929617496800229.75</v>
      </c>
      <c r="H19" s="5">
        <f>$F19*KEEI_trend!H4</f>
        <v>930249778770892.5</v>
      </c>
      <c r="I19" s="5">
        <f>$F19*KEEI_trend!I4</f>
        <v>930882060741555.25</v>
      </c>
      <c r="J19" s="5">
        <f>$F19*KEEI_trend!J4</f>
        <v>931514342712218</v>
      </c>
      <c r="K19" s="5">
        <f>$F19*KEEI_trend!K4</f>
        <v>932146624682880.88</v>
      </c>
      <c r="L19" s="5">
        <f>$F19*KEEI_trend!L4</f>
        <v>932778906653543.75</v>
      </c>
      <c r="M19" s="5">
        <f>$F19*KEEI_trend!M4</f>
        <v>933411188624206.38</v>
      </c>
      <c r="N19" s="5">
        <f>$F19*KEEI_trend!N4</f>
        <v>931087782422238.63</v>
      </c>
      <c r="O19" s="5">
        <f>$F19*KEEI_trend!O4</f>
        <v>928764376220271</v>
      </c>
      <c r="P19" s="5">
        <f>$F19*KEEI_trend!P4</f>
        <v>926440970018303.13</v>
      </c>
      <c r="Q19" s="5">
        <f>$F19*KEEI_trend!Q4</f>
        <v>924117563816335.38</v>
      </c>
      <c r="R19" s="5">
        <f>$F19*KEEI_trend!R4</f>
        <v>921794157614367.63</v>
      </c>
      <c r="S19" s="5">
        <f>$F19*KEEI_trend!S4</f>
        <v>919470751412399.63</v>
      </c>
      <c r="T19" s="5">
        <f>$F19*KEEI_trend!T4</f>
        <v>917147345210432</v>
      </c>
      <c r="U19" s="5">
        <f>$F19*KEEI_trend!U4</f>
        <v>914823939008464.13</v>
      </c>
      <c r="V19" s="5">
        <f>$F19*KEEI_trend!V4</f>
        <v>912500532806496.5</v>
      </c>
      <c r="W19" s="5">
        <f>$F19*KEEI_trend!W4</f>
        <v>910177126604528.63</v>
      </c>
      <c r="X19" s="5">
        <f>$F19*KEEI_trend!X4</f>
        <v>904074619700984</v>
      </c>
      <c r="Y19" s="5">
        <f>$F19*KEEI_trend!Y4</f>
        <v>897972112797439.25</v>
      </c>
      <c r="Z19" s="5">
        <f>$F19*KEEI_trend!Z4</f>
        <v>891869605893894.63</v>
      </c>
      <c r="AA19" s="5">
        <f>$F19*KEEI_trend!AA4</f>
        <v>885767098990349.88</v>
      </c>
      <c r="AB19" s="5">
        <f>$F19*KEEI_trend!AB4</f>
        <v>879664592086805.13</v>
      </c>
      <c r="AC19" s="5">
        <f>$F19*KEEI_trend!AC4</f>
        <v>873562085183260.5</v>
      </c>
      <c r="AD19" s="5">
        <f>$F19*KEEI_trend!AD4</f>
        <v>867459578279715.75</v>
      </c>
      <c r="AE19" s="5">
        <f>$F19*KEEI_trend!AE4</f>
        <v>861357071376171.13</v>
      </c>
      <c r="AF19" s="5">
        <f>$F19*KEEI_trend!AF4</f>
        <v>855254564472626.38</v>
      </c>
      <c r="AG19" s="5">
        <f>$F19*KEEI_trend!AG4</f>
        <v>849152057569081.63</v>
      </c>
    </row>
    <row r="20" spans="1:33">
      <c r="A20" t="s">
        <v>33</v>
      </c>
      <c r="B20" s="4">
        <f>SUMIF(EB_2019!$F$92:$BK$92,$A20,EB_2019!$F$93:$BK$93)*39656668310</f>
        <v>1896853792937089</v>
      </c>
      <c r="C20" s="4">
        <f>SUMIF(EB_2020!$F$92:$BK$92,$A20,EB_2020!$F$93:$BK$93)*39656668310</f>
        <v>1727103424236134</v>
      </c>
      <c r="D20" s="4">
        <f>SUMIF(EB_2021!$F$92:$BK$92,$A20,EB_2021!$F$93:$BK$93)*39656668310</f>
        <v>1730735975053330</v>
      </c>
      <c r="E20" s="4">
        <f>SUMIF(EB_2022!$F$92:$BK$92,$A20,EB_2022!$F$93:$BK$93)*39656668310</f>
        <v>1810338805351993</v>
      </c>
      <c r="F20" s="4">
        <f>SUMIF(EB_2023!$F$92:$BK$92,$A20,EB_2023!$F$93:$BK$93)*39656668310</f>
        <v>1814808111870530</v>
      </c>
      <c r="G20" s="5">
        <f>$F20*KEEI_trend!G4</f>
        <v>1816043298858472.5</v>
      </c>
      <c r="H20" s="5">
        <f>$F20*KEEI_trend!H4</f>
        <v>1817278485846415</v>
      </c>
      <c r="I20" s="5">
        <f>$F20*KEEI_trend!I4</f>
        <v>1818513672834357</v>
      </c>
      <c r="J20" s="5">
        <f>$F20*KEEI_trend!J4</f>
        <v>1819748859822299.5</v>
      </c>
      <c r="K20" s="5">
        <f>$F20*KEEI_trend!K4</f>
        <v>1820984046810242</v>
      </c>
      <c r="L20" s="5">
        <f>$F20*KEEI_trend!L4</f>
        <v>1822219233798184.3</v>
      </c>
      <c r="M20" s="5">
        <f>$F20*KEEI_trend!M4</f>
        <v>1823454420786126.5</v>
      </c>
      <c r="N20" s="5">
        <f>$F20*KEEI_trend!N4</f>
        <v>1818915557997793.5</v>
      </c>
      <c r="O20" s="5">
        <f>$F20*KEEI_trend!O4</f>
        <v>1814376695209460.8</v>
      </c>
      <c r="P20" s="5">
        <f>$F20*KEEI_trend!P4</f>
        <v>1809837832421127.8</v>
      </c>
      <c r="Q20" s="5">
        <f>$F20*KEEI_trend!Q4</f>
        <v>1805298969632795</v>
      </c>
      <c r="R20" s="5">
        <f>$F20*KEEI_trend!R4</f>
        <v>1800760106844461.8</v>
      </c>
      <c r="S20" s="5">
        <f>$F20*KEEI_trend!S4</f>
        <v>1796221244056128.8</v>
      </c>
      <c r="T20" s="5">
        <f>$F20*KEEI_trend!T4</f>
        <v>1791682381267795.8</v>
      </c>
      <c r="U20" s="5">
        <f>$F20*KEEI_trend!U4</f>
        <v>1787143518479462.8</v>
      </c>
      <c r="V20" s="5">
        <f>$F20*KEEI_trend!V4</f>
        <v>1782604655691130</v>
      </c>
      <c r="W20" s="5">
        <f>$F20*KEEI_trend!W4</f>
        <v>1778065792902797</v>
      </c>
      <c r="X20" s="5">
        <f>$F20*KEEI_trend!X4</f>
        <v>1766144312501916</v>
      </c>
      <c r="Y20" s="5">
        <f>$F20*KEEI_trend!Y4</f>
        <v>1754222832101035</v>
      </c>
      <c r="Z20" s="5">
        <f>$F20*KEEI_trend!Z4</f>
        <v>1742301351700154.3</v>
      </c>
      <c r="AA20" s="5">
        <f>$F20*KEEI_trend!AA4</f>
        <v>1730379871299273.3</v>
      </c>
      <c r="AB20" s="5">
        <f>$F20*KEEI_trend!AB4</f>
        <v>1718458390898392.3</v>
      </c>
      <c r="AC20" s="5">
        <f>$F20*KEEI_trend!AC4</f>
        <v>1706536910497511.5</v>
      </c>
      <c r="AD20" s="5">
        <f>$F20*KEEI_trend!AD4</f>
        <v>1694615430096630.5</v>
      </c>
      <c r="AE20" s="5">
        <f>$F20*KEEI_trend!AE4</f>
        <v>1682693949695749.8</v>
      </c>
      <c r="AF20" s="5">
        <f>$F20*KEEI_trend!AF4</f>
        <v>1670772469294868.8</v>
      </c>
      <c r="AG20" s="5">
        <f>$F20*KEEI_trend!AG4</f>
        <v>1658850988893987.8</v>
      </c>
    </row>
    <row r="21" spans="1:33">
      <c r="A21" t="s">
        <v>34</v>
      </c>
      <c r="B21" s="4">
        <f>SUMIF(EB_2019!$F$92:$BK$92,$A21,EB_2019!$F$93:$BK$93)*39656668310</f>
        <v>65195562701640</v>
      </c>
      <c r="C21" s="4">
        <f>SUMIF(EB_2020!$F$92:$BK$92,$A21,EB_2020!$F$93:$BK$93)*39656668310</f>
        <v>67162533449816</v>
      </c>
      <c r="D21" s="4">
        <f>SUMIF(EB_2021!$F$92:$BK$92,$A21,EB_2021!$F$93:$BK$93)*39656668310</f>
        <v>65941108065868</v>
      </c>
      <c r="E21" s="4">
        <f>SUMIF(EB_2022!$F$92:$BK$92,$A21,EB_2022!$F$93:$BK$93)*39656668310</f>
        <v>68475169170877</v>
      </c>
      <c r="F21" s="4">
        <f>SUMIF(EB_2023!$F$92:$BK$92,$A21,EB_2023!$F$93:$BK$93)*39656668310</f>
        <v>83596256797480</v>
      </c>
      <c r="G21" s="5">
        <f>$F21*KEEI_trend!G10</f>
        <v>94869554276103.578</v>
      </c>
      <c r="H21" s="5">
        <f>$F21*KEEI_trend!H10</f>
        <v>106142851754727.17</v>
      </c>
      <c r="I21" s="5">
        <f>$F21*KEEI_trend!I10</f>
        <v>117416149233350.73</v>
      </c>
      <c r="J21" s="5">
        <f>$F21*KEEI_trend!J10</f>
        <v>128689446711974.34</v>
      </c>
      <c r="K21" s="5">
        <f>$F21*KEEI_trend!K10</f>
        <v>139962744190597.92</v>
      </c>
      <c r="L21" s="5">
        <f>$F21*KEEI_trend!L10</f>
        <v>151236041669221.5</v>
      </c>
      <c r="M21" s="5">
        <f>$F21*KEEI_trend!M10</f>
        <v>162509339147845.09</v>
      </c>
      <c r="N21" s="5">
        <f>$F21*KEEI_trend!N10</f>
        <v>172865951119611.13</v>
      </c>
      <c r="O21" s="5">
        <f>$F21*KEEI_trend!O10</f>
        <v>183222563091377.16</v>
      </c>
      <c r="P21" s="5">
        <f>$F21*KEEI_trend!P10</f>
        <v>193579175063143.25</v>
      </c>
      <c r="Q21" s="5">
        <f>$F21*KEEI_trend!Q10</f>
        <v>203935787034909.28</v>
      </c>
      <c r="R21" s="5">
        <f>$F21*KEEI_trend!R10</f>
        <v>214292399006675.34</v>
      </c>
      <c r="S21" s="5">
        <f>$F21*KEEI_trend!S10</f>
        <v>224649010978441.38</v>
      </c>
      <c r="T21" s="5">
        <f>$F21*KEEI_trend!T10</f>
        <v>235005622950207.47</v>
      </c>
      <c r="U21" s="5">
        <f>$F21*KEEI_trend!U10</f>
        <v>245362234921973.47</v>
      </c>
      <c r="V21" s="5">
        <f>$F21*KEEI_trend!V10</f>
        <v>255718846893739.56</v>
      </c>
      <c r="W21" s="5">
        <f>$F21*KEEI_trend!W10</f>
        <v>266075458865505.59</v>
      </c>
      <c r="X21" s="5">
        <f>$F21*KEEI_trend!X10</f>
        <v>272083939822824.47</v>
      </c>
      <c r="Y21" s="5">
        <f>$F21*KEEI_trend!Y10</f>
        <v>278092420780143.31</v>
      </c>
      <c r="Z21" s="5">
        <f>$F21*KEEI_trend!Z10</f>
        <v>284100901737462.25</v>
      </c>
      <c r="AA21" s="5">
        <f>$F21*KEEI_trend!AA10</f>
        <v>290109382694781.13</v>
      </c>
      <c r="AB21" s="5">
        <f>$F21*KEEI_trend!AB10</f>
        <v>296117863652099.94</v>
      </c>
      <c r="AC21" s="5">
        <f>$F21*KEEI_trend!AC10</f>
        <v>302126344609418.81</v>
      </c>
      <c r="AD21" s="5">
        <f>$F21*KEEI_trend!AD10</f>
        <v>308134825566737.69</v>
      </c>
      <c r="AE21" s="5">
        <f>$F21*KEEI_trend!AE10</f>
        <v>314143306524056.56</v>
      </c>
      <c r="AF21" s="5">
        <f>$F21*KEEI_trend!AF10</f>
        <v>320151787481375.5</v>
      </c>
      <c r="AG21" s="5">
        <f>$F21*KEEI_trend!AG10</f>
        <v>326160268438694.38</v>
      </c>
    </row>
    <row r="22" spans="1:33">
      <c r="A22" t="s">
        <v>35</v>
      </c>
      <c r="B22" s="4">
        <f>SUMIF(EB_2019!$F$92:$BK$92,$A22,EB_2019!$F$93:$BK$93)*39656668310</f>
        <v>0</v>
      </c>
      <c r="C22" s="4">
        <f>SUMIF(EB_2020!$F$92:$BK$92,$A22,EB_2020!$F$93:$BK$93)*39656668310</f>
        <v>0</v>
      </c>
      <c r="D22" s="4">
        <f>SUMIF(EB_2021!$F$92:$BK$92,$A22,EB_2021!$F$93:$BK$93)*39656668310</f>
        <v>0</v>
      </c>
      <c r="E22" s="4">
        <f>SUMIF(EB_2022!$F$92:$BK$92,$A22,EB_2022!$F$93:$BK$93)*39656668310</f>
        <v>0</v>
      </c>
      <c r="F22" s="4">
        <f>SUMIF(EB_2023!$F$92:$BK$92,$A22,EB_2023!$F$93:$BK$93)*39656668310</f>
        <v>0</v>
      </c>
      <c r="G22" s="5">
        <f>KEEI_trend!G11*39656668310000</f>
        <v>7041891244190</v>
      </c>
      <c r="H22" s="5">
        <f>KEEI_trend!H11*39656668310000</f>
        <v>13925155815140</v>
      </c>
      <c r="I22" s="5">
        <f>KEEI_trend!I11*39656668310000</f>
        <v>20808420386090.004</v>
      </c>
      <c r="J22" s="5">
        <f>KEEI_trend!J11*39656668310000</f>
        <v>27691684957040</v>
      </c>
      <c r="K22" s="5">
        <f>KEEI_trend!K11*39656668310000</f>
        <v>34574949527990</v>
      </c>
      <c r="L22" s="5">
        <f>KEEI_trend!L11*39656668310000</f>
        <v>41458214098940.008</v>
      </c>
      <c r="M22" s="5">
        <f>KEEI_trend!M11*39656668310000</f>
        <v>48341478669890</v>
      </c>
      <c r="N22" s="5">
        <f>KEEI_trend!N11*39656668310000</f>
        <v>61396453877542</v>
      </c>
      <c r="O22" s="5">
        <f>KEEI_trend!O11*39656668310000</f>
        <v>74451429085194</v>
      </c>
      <c r="P22" s="5">
        <f>KEEI_trend!P11*39656668310000</f>
        <v>87506404292846</v>
      </c>
      <c r="Q22" s="5">
        <f>KEEI_trend!Q11*39656668310000</f>
        <v>100561379500498</v>
      </c>
      <c r="R22" s="5">
        <f>KEEI_trend!R11*39656668310000</f>
        <v>113616354708150.02</v>
      </c>
      <c r="S22" s="5">
        <f>KEEI_trend!S11*39656668310000</f>
        <v>126671329915802</v>
      </c>
      <c r="T22" s="5">
        <f>KEEI_trend!T11*39656668310000</f>
        <v>139726305123453.98</v>
      </c>
      <c r="U22" s="5">
        <f>KEEI_trend!U11*39656668310000</f>
        <v>152781280331106</v>
      </c>
      <c r="V22" s="5">
        <f>KEEI_trend!V11*39656668310000</f>
        <v>165836255538758</v>
      </c>
      <c r="W22" s="5">
        <f>KEEI_trend!W11*39656668310000</f>
        <v>178891230746410</v>
      </c>
      <c r="X22" s="5">
        <f>KEEI_trend!X11*39656668310000</f>
        <v>185509928687349</v>
      </c>
      <c r="Y22" s="5">
        <f>KEEI_trend!Y11*39656668310000</f>
        <v>192128626628288</v>
      </c>
      <c r="Z22" s="5">
        <f>KEEI_trend!Z11*39656668310000</f>
        <v>198747324569227</v>
      </c>
      <c r="AA22" s="5">
        <f>KEEI_trend!AA11*39656668310000</f>
        <v>205366022510166</v>
      </c>
      <c r="AB22" s="5">
        <f>KEEI_trend!AB11*39656668310000</f>
        <v>211984720451105</v>
      </c>
      <c r="AC22" s="5">
        <f>KEEI_trend!AC11*39656668310000</f>
        <v>218603418392043.97</v>
      </c>
      <c r="AD22" s="5">
        <f>KEEI_trend!AD11*39656668310000</f>
        <v>225222116332982.97</v>
      </c>
      <c r="AE22" s="5">
        <f>KEEI_trend!AE11*39656668310000</f>
        <v>231840814273922</v>
      </c>
      <c r="AF22" s="5">
        <f>KEEI_trend!AF11*39656668310000</f>
        <v>238459512214861</v>
      </c>
      <c r="AG22" s="5">
        <f>KEEI_trend!AG11*39656668310000</f>
        <v>245078210155800</v>
      </c>
    </row>
  </sheetData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G22"/>
  <sheetViews>
    <sheetView workbookViewId="0">
      <pane xSplit="1" ySplit="1" topLeftCell="B2" activePane="bottomRight" state="frozen"/>
      <selection activeCell="I29" sqref="I29"/>
      <selection pane="topRight" activeCell="I29" sqref="I29"/>
      <selection pane="bottomLeft" activeCell="I29" sqref="I29"/>
      <selection pane="bottomRight" activeCell="AA43" sqref="AA43"/>
    </sheetView>
  </sheetViews>
  <sheetFormatPr defaultRowHeight="14.5"/>
  <cols>
    <col min="1" max="1" width="36" customWidth="1"/>
  </cols>
  <sheetData>
    <row r="1" spans="1:33" ht="17">
      <c r="A1" s="2" t="s">
        <v>230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  <c r="Q1" s="2">
        <v>2034</v>
      </c>
      <c r="R1" s="2">
        <v>2035</v>
      </c>
      <c r="S1" s="2">
        <v>2036</v>
      </c>
      <c r="T1" s="2">
        <v>2037</v>
      </c>
      <c r="U1" s="2">
        <v>2038</v>
      </c>
      <c r="V1" s="2">
        <v>2039</v>
      </c>
      <c r="W1" s="2">
        <v>2040</v>
      </c>
      <c r="X1" s="2">
        <v>2041</v>
      </c>
      <c r="Y1" s="2">
        <v>2042</v>
      </c>
      <c r="Z1" s="2">
        <v>2043</v>
      </c>
      <c r="AA1" s="2">
        <v>2044</v>
      </c>
      <c r="AB1" s="2">
        <v>2045</v>
      </c>
      <c r="AC1" s="2">
        <v>2046</v>
      </c>
      <c r="AD1" s="2">
        <v>2047</v>
      </c>
      <c r="AE1" s="2">
        <v>2048</v>
      </c>
      <c r="AF1" s="2">
        <v>2049</v>
      </c>
      <c r="AG1" s="2">
        <v>2050</v>
      </c>
    </row>
    <row r="2" spans="1:33">
      <c r="A2" t="s">
        <v>4</v>
      </c>
      <c r="B2" s="4">
        <f>SUMIF(EB_2019!$F$92:$BK$92,$A2,EB_2019!$F$4:$BK$4)*39656668310</f>
        <v>0</v>
      </c>
      <c r="C2" s="4">
        <f>SUMIF(EB_2020!$F$92:$BK$92,$A2,EB_2020!$F$4:$BK$4)*39656668310</f>
        <v>0</v>
      </c>
      <c r="D2" s="4">
        <f>SUMIF(EB_2021!$F$92:$BK$92,$A2,EB_2021!$F$4:$BK$4)*39656668310</f>
        <v>0</v>
      </c>
      <c r="E2" s="4">
        <f>SUMIF(EB_2022!$F$92:$BK$92,$A2,EB_2022!$F$4:$BK$4)*39656668310</f>
        <v>0</v>
      </c>
      <c r="F2" s="4">
        <f>SUMIF(EB_2023!$F$92:$BK$92,$A2,EB_2023!$F$4:$BK$4)*39656668310</f>
        <v>0</v>
      </c>
      <c r="G2" s="5">
        <f t="shared" ref="G2:AG2" si="0">$F2</f>
        <v>0</v>
      </c>
      <c r="H2" s="5">
        <f t="shared" si="0"/>
        <v>0</v>
      </c>
      <c r="I2" s="5">
        <f t="shared" si="0"/>
        <v>0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  <c r="Q2" s="5">
        <f t="shared" si="0"/>
        <v>0</v>
      </c>
      <c r="R2" s="5">
        <f t="shared" si="0"/>
        <v>0</v>
      </c>
      <c r="S2" s="5">
        <f t="shared" si="0"/>
        <v>0</v>
      </c>
      <c r="T2" s="5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</row>
    <row r="3" spans="1:33">
      <c r="A3" t="s">
        <v>8</v>
      </c>
      <c r="B3" s="4">
        <f>SUMIF(EB_2019!$F$92:$BK$92,$A3,EB_2019!$F$4:$BK$4)*39656668310</f>
        <v>3394035785645505</v>
      </c>
      <c r="C3" s="4">
        <f>SUMIF(EB_2020!$F$92:$BK$92,$A3,EB_2020!$F$4:$BK$4)*39656668310</f>
        <v>2969300971044912</v>
      </c>
      <c r="D3" s="4">
        <f>SUMIF(EB_2021!$F$92:$BK$92,$A3,EB_2021!$F$4:$BK$4)*39656668310</f>
        <v>3020711875841996</v>
      </c>
      <c r="E3" s="4">
        <f>SUMIF(EB_2022!$F$92:$BK$92,$A3,EB_2022!$F$4:$BK$4)*39656668310</f>
        <v>3005713723887154</v>
      </c>
      <c r="F3" s="4">
        <f>SUMIF(EB_2023!$F$92:$BK$92,$A3,EB_2023!$F$4:$BK$4)*39656668310</f>
        <v>2872475249699216</v>
      </c>
      <c r="G3" s="5">
        <f>$F3*KEEI_trend!G5</f>
        <v>2814333839955103.5</v>
      </c>
      <c r="H3" s="5">
        <f>$F3*KEEI_trend!H5</f>
        <v>2756192430210990</v>
      </c>
      <c r="I3" s="5">
        <f>$F3*KEEI_trend!I5</f>
        <v>2698051020466877.5</v>
      </c>
      <c r="J3" s="5">
        <f>$F3*KEEI_trend!J5</f>
        <v>2639909610722764.5</v>
      </c>
      <c r="K3" s="5">
        <f>$F3*KEEI_trend!K5</f>
        <v>2581768200978651.5</v>
      </c>
      <c r="L3" s="5">
        <f>$F3*KEEI_trend!L5</f>
        <v>2523626791234538.5</v>
      </c>
      <c r="M3" s="5">
        <f>$F3*KEEI_trend!M5</f>
        <v>2465485381490425.5</v>
      </c>
      <c r="N3" s="5">
        <f>$F3*KEEI_trend!N5</f>
        <v>2410713908481263</v>
      </c>
      <c r="O3" s="5">
        <f>$F3*KEEI_trend!O5</f>
        <v>2355942435472101</v>
      </c>
      <c r="P3" s="5">
        <f>$F3*KEEI_trend!P5</f>
        <v>2301170962462938.5</v>
      </c>
      <c r="Q3" s="5">
        <f>$F3*KEEI_trend!Q5</f>
        <v>2246399489453775.8</v>
      </c>
      <c r="R3" s="5">
        <f>$F3*KEEI_trend!R5</f>
        <v>2191628016444613.5</v>
      </c>
      <c r="S3" s="5">
        <f>$F3*KEEI_trend!S5</f>
        <v>2136856543435451</v>
      </c>
      <c r="T3" s="5">
        <f>$F3*KEEI_trend!T5</f>
        <v>2082085070426288.8</v>
      </c>
      <c r="U3" s="5">
        <f>$F3*KEEI_trend!U5</f>
        <v>2027313597417126</v>
      </c>
      <c r="V3" s="5">
        <f>$F3*KEEI_trend!V5</f>
        <v>1972542124407963.5</v>
      </c>
      <c r="W3" s="5">
        <f>$F3*KEEI_trend!W5</f>
        <v>1917770651398801.3</v>
      </c>
      <c r="X3" s="5">
        <f>$F3*KEEI_trend!X5</f>
        <v>1862738868947815</v>
      </c>
      <c r="Y3" s="5">
        <f>$F3*KEEI_trend!Y5</f>
        <v>1807707086496829</v>
      </c>
      <c r="Z3" s="5">
        <f>$F3*KEEI_trend!Z5</f>
        <v>1752675304045842.8</v>
      </c>
      <c r="AA3" s="5">
        <f>$F3*KEEI_trend!AA5</f>
        <v>1697643521594857</v>
      </c>
      <c r="AB3" s="5">
        <f>$F3*KEEI_trend!AB5</f>
        <v>1642611739143870.8</v>
      </c>
      <c r="AC3" s="5">
        <f>$F3*KEEI_trend!AC5</f>
        <v>1587579956692884.8</v>
      </c>
      <c r="AD3" s="5">
        <f>$F3*KEEI_trend!AD5</f>
        <v>1532548174241898.5</v>
      </c>
      <c r="AE3" s="5">
        <f>$F3*KEEI_trend!AE5</f>
        <v>1477516391790912.5</v>
      </c>
      <c r="AF3" s="5">
        <f>$F3*KEEI_trend!AF5</f>
        <v>1422484609339926.3</v>
      </c>
      <c r="AG3" s="5">
        <f>$F3*KEEI_trend!AG5</f>
        <v>1367452826888940.3</v>
      </c>
    </row>
    <row r="4" spans="1:33">
      <c r="A4" t="s">
        <v>10</v>
      </c>
      <c r="B4" s="4">
        <f>SUMIF(EB_2019!$F$92:$BK$92,$A4,EB_2019!$F$4:$BK$4)*39656668310</f>
        <v>2110420814453763</v>
      </c>
      <c r="C4" s="4">
        <f>SUMIF(EB_2020!$F$92:$BK$92,$A4,EB_2020!$F$4:$BK$4)*39656668310</f>
        <v>2070744317809608</v>
      </c>
      <c r="D4" s="4">
        <f>SUMIF(EB_2021!$F$92:$BK$92,$A4,EB_2021!$F$4:$BK$4)*39656668310</f>
        <v>2378884561911970</v>
      </c>
      <c r="E4" s="4">
        <f>SUMIF(EB_2022!$F$92:$BK$92,$A4,EB_2022!$F$4:$BK$4)*39656668310</f>
        <v>2406505431389885</v>
      </c>
      <c r="F4" s="4">
        <f>SUMIF(EB_2023!$F$92:$BK$92,$A4,EB_2023!$F$4:$BK$4)*39656668310</f>
        <v>2288392010495381</v>
      </c>
      <c r="G4" s="5">
        <f>$F4*KEEI_trend!G6</f>
        <v>2361621095267283</v>
      </c>
      <c r="H4" s="5">
        <f>$F4*KEEI_trend!H6</f>
        <v>2434850180039185.5</v>
      </c>
      <c r="I4" s="5">
        <f>$F4*KEEI_trend!I6</f>
        <v>2508079264811087.5</v>
      </c>
      <c r="J4" s="5">
        <f>$F4*KEEI_trend!J6</f>
        <v>2581308349582989.5</v>
      </c>
      <c r="K4" s="5">
        <f>$F4*KEEI_trend!K6</f>
        <v>2654537434354891.5</v>
      </c>
      <c r="L4" s="5">
        <f>$F4*KEEI_trend!L6</f>
        <v>2727766519126794</v>
      </c>
      <c r="M4" s="5">
        <f>$F4*KEEI_trend!M6</f>
        <v>2800995603898696</v>
      </c>
      <c r="N4" s="5">
        <f>$F4*KEEI_trend!N6</f>
        <v>2847010918783155.5</v>
      </c>
      <c r="O4" s="5">
        <f>$F4*KEEI_trend!O6</f>
        <v>2893026233667615.5</v>
      </c>
      <c r="P4" s="5">
        <f>$F4*KEEI_trend!P6</f>
        <v>2939041548552075</v>
      </c>
      <c r="Q4" s="5">
        <f>$F4*KEEI_trend!Q6</f>
        <v>2985056863436534.5</v>
      </c>
      <c r="R4" s="5">
        <f>$F4*KEEI_trend!R6</f>
        <v>3031072178320994</v>
      </c>
      <c r="S4" s="5">
        <f>$F4*KEEI_trend!S6</f>
        <v>3077087493205454</v>
      </c>
      <c r="T4" s="5">
        <f>$F4*KEEI_trend!T6</f>
        <v>3123102808089914</v>
      </c>
      <c r="U4" s="5">
        <f>$F4*KEEI_trend!U6</f>
        <v>3169118122974373.5</v>
      </c>
      <c r="V4" s="5">
        <f>$F4*KEEI_trend!V6</f>
        <v>3215133437858833.5</v>
      </c>
      <c r="W4" s="5">
        <f>$F4*KEEI_trend!W6</f>
        <v>3261148752743293</v>
      </c>
      <c r="X4" s="5">
        <f>$F4*KEEI_trend!X6</f>
        <v>3272072316403455.5</v>
      </c>
      <c r="Y4" s="5">
        <f>$F4*KEEI_trend!Y6</f>
        <v>3282995880063619</v>
      </c>
      <c r="Z4" s="5">
        <f>$F4*KEEI_trend!Z6</f>
        <v>3293919443723782</v>
      </c>
      <c r="AA4" s="5">
        <f>$F4*KEEI_trend!AA6</f>
        <v>3304843007383944.5</v>
      </c>
      <c r="AB4" s="5">
        <f>$F4*KEEI_trend!AB6</f>
        <v>3315766571044107.5</v>
      </c>
      <c r="AC4" s="5">
        <f>$F4*KEEI_trend!AC6</f>
        <v>3326690134704270.5</v>
      </c>
      <c r="AD4" s="5">
        <f>$F4*KEEI_trend!AD6</f>
        <v>3337613698364433.5</v>
      </c>
      <c r="AE4" s="5">
        <f>$F4*KEEI_trend!AE6</f>
        <v>3348537262024596.5</v>
      </c>
      <c r="AF4" s="5">
        <f>$F4*KEEI_trend!AF6</f>
        <v>3359460825684759</v>
      </c>
      <c r="AG4" s="5">
        <f>$F4*KEEI_trend!AG6</f>
        <v>3370384389344922</v>
      </c>
    </row>
    <row r="5" spans="1:33">
      <c r="A5" t="s">
        <v>12</v>
      </c>
      <c r="B5" s="4">
        <f>SUMIF(EB_2019!$F$92:$BK$92,$A5,EB_2019!$F$4:$BK$4)*39656668310</f>
        <v>0</v>
      </c>
      <c r="C5" s="4">
        <f>SUMIF(EB_2020!$F$92:$BK$92,$A5,EB_2020!$F$4:$BK$4)*39656668310</f>
        <v>0</v>
      </c>
      <c r="D5" s="4">
        <f>SUMIF(EB_2021!$F$92:$BK$92,$A5,EB_2021!$F$4:$BK$4)*39656668310</f>
        <v>0</v>
      </c>
      <c r="E5" s="4">
        <f>SUMIF(EB_2022!$F$92:$BK$92,$A5,EB_2022!$F$4:$BK$4)*39656668310</f>
        <v>0</v>
      </c>
      <c r="F5" s="4">
        <f>SUMIF(EB_2023!$F$92:$BK$92,$A5,EB_2023!$F$4:$BK$4)*39656668310</f>
        <v>0</v>
      </c>
      <c r="G5" s="5">
        <f>$F5*KEEI_trend!G7</f>
        <v>0</v>
      </c>
      <c r="H5" s="5">
        <f>$F5*KEEI_trend!H7</f>
        <v>0</v>
      </c>
      <c r="I5" s="5">
        <f>$F5*KEEI_trend!I7</f>
        <v>0</v>
      </c>
      <c r="J5" s="5">
        <f>$F5*KEEI_trend!J7</f>
        <v>0</v>
      </c>
      <c r="K5" s="5">
        <f>$F5*KEEI_trend!K7</f>
        <v>0</v>
      </c>
      <c r="L5" s="5">
        <f>$F5*KEEI_trend!L7</f>
        <v>0</v>
      </c>
      <c r="M5" s="5">
        <f>$F5*KEEI_trend!M7</f>
        <v>0</v>
      </c>
      <c r="N5" s="5">
        <f>$F5*KEEI_trend!N7</f>
        <v>0</v>
      </c>
      <c r="O5" s="5">
        <f>$F5*KEEI_trend!O7</f>
        <v>0</v>
      </c>
      <c r="P5" s="5">
        <f>$F5*KEEI_trend!P7</f>
        <v>0</v>
      </c>
      <c r="Q5" s="5">
        <f>$F5*KEEI_trend!Q7</f>
        <v>0</v>
      </c>
      <c r="R5" s="5">
        <f>$F5*KEEI_trend!R7</f>
        <v>0</v>
      </c>
      <c r="S5" s="5">
        <f>$F5*KEEI_trend!S7</f>
        <v>0</v>
      </c>
      <c r="T5" s="5">
        <f>$F5*KEEI_trend!T7</f>
        <v>0</v>
      </c>
      <c r="U5" s="5">
        <f>$F5*KEEI_trend!U7</f>
        <v>0</v>
      </c>
      <c r="V5" s="5">
        <f>$F5*KEEI_trend!V7</f>
        <v>0</v>
      </c>
      <c r="W5" s="5">
        <f>$F5*KEEI_trend!W7</f>
        <v>0</v>
      </c>
      <c r="X5" s="5">
        <f>$F5*KEEI_trend!X7</f>
        <v>0</v>
      </c>
      <c r="Y5" s="5">
        <f>$F5*KEEI_trend!Y7</f>
        <v>0</v>
      </c>
      <c r="Z5" s="5">
        <f>$F5*KEEI_trend!Z7</f>
        <v>0</v>
      </c>
      <c r="AA5" s="5">
        <f>$F5*KEEI_trend!AA7</f>
        <v>0</v>
      </c>
      <c r="AB5" s="5">
        <f>$F5*KEEI_trend!AB7</f>
        <v>0</v>
      </c>
      <c r="AC5" s="5">
        <f>$F5*KEEI_trend!AC7</f>
        <v>0</v>
      </c>
      <c r="AD5" s="5">
        <f>$F5*KEEI_trend!AD7</f>
        <v>0</v>
      </c>
      <c r="AE5" s="5">
        <f>$F5*KEEI_trend!AE7</f>
        <v>0</v>
      </c>
      <c r="AF5" s="5">
        <f>$F5*KEEI_trend!AF7</f>
        <v>0</v>
      </c>
      <c r="AG5" s="5">
        <f>$F5*KEEI_trend!AG7</f>
        <v>0</v>
      </c>
    </row>
    <row r="6" spans="1:33">
      <c r="A6" t="s">
        <v>14</v>
      </c>
      <c r="B6" s="4">
        <f>SUMIF(EB_2019!$F$92:$BK$92,$A6,EB_2019!$F$4:$BK$4)*39656668310</f>
        <v>0</v>
      </c>
      <c r="C6" s="4">
        <f>SUMIF(EB_2020!$F$92:$BK$92,$A6,EB_2020!$F$4:$BK$4)*39656668310</f>
        <v>0</v>
      </c>
      <c r="D6" s="4">
        <f>SUMIF(EB_2021!$F$92:$BK$92,$A6,EB_2021!$F$4:$BK$4)*39656668310</f>
        <v>0</v>
      </c>
      <c r="E6" s="4">
        <f>SUMIF(EB_2022!$F$92:$BK$92,$A6,EB_2022!$F$4:$BK$4)*39656668310</f>
        <v>0</v>
      </c>
      <c r="F6" s="4">
        <f>SUMIF(EB_2023!$F$92:$BK$92,$A6,EB_2023!$F$4:$BK$4)*39656668310</f>
        <v>0</v>
      </c>
      <c r="G6" s="5">
        <f>$F6*KEEI_trend!G8</f>
        <v>0</v>
      </c>
      <c r="H6" s="5">
        <f>$F6*KEEI_trend!H8</f>
        <v>0</v>
      </c>
      <c r="I6" s="5">
        <f>$F6*KEEI_trend!I8</f>
        <v>0</v>
      </c>
      <c r="J6" s="5">
        <f>$F6*KEEI_trend!J8</f>
        <v>0</v>
      </c>
      <c r="K6" s="5">
        <f>$F6*KEEI_trend!K8</f>
        <v>0</v>
      </c>
      <c r="L6" s="5">
        <f>$F6*KEEI_trend!L8</f>
        <v>0</v>
      </c>
      <c r="M6" s="5">
        <f>$F6*KEEI_trend!M8</f>
        <v>0</v>
      </c>
      <c r="N6" s="5">
        <f>$F6*KEEI_trend!N8</f>
        <v>0</v>
      </c>
      <c r="O6" s="5">
        <f>$F6*KEEI_trend!O8</f>
        <v>0</v>
      </c>
      <c r="P6" s="5">
        <f>$F6*KEEI_trend!P8</f>
        <v>0</v>
      </c>
      <c r="Q6" s="5">
        <f>$F6*KEEI_trend!Q8</f>
        <v>0</v>
      </c>
      <c r="R6" s="5">
        <f>$F6*KEEI_trend!R8</f>
        <v>0</v>
      </c>
      <c r="S6" s="5">
        <f>$F6*KEEI_trend!S8</f>
        <v>0</v>
      </c>
      <c r="T6" s="5">
        <f>$F6*KEEI_trend!T8</f>
        <v>0</v>
      </c>
      <c r="U6" s="5">
        <f>$F6*KEEI_trend!U8</f>
        <v>0</v>
      </c>
      <c r="V6" s="5">
        <f>$F6*KEEI_trend!V8</f>
        <v>0</v>
      </c>
      <c r="W6" s="5">
        <f>$F6*KEEI_trend!W8</f>
        <v>0</v>
      </c>
      <c r="X6" s="5">
        <f>$F6*KEEI_trend!X8</f>
        <v>0</v>
      </c>
      <c r="Y6" s="5">
        <f>$F6*KEEI_trend!Y8</f>
        <v>0</v>
      </c>
      <c r="Z6" s="5">
        <f>$F6*KEEI_trend!Z8</f>
        <v>0</v>
      </c>
      <c r="AA6" s="5">
        <f>$F6*KEEI_trend!AA8</f>
        <v>0</v>
      </c>
      <c r="AB6" s="5">
        <f>$F6*KEEI_trend!AB8</f>
        <v>0</v>
      </c>
      <c r="AC6" s="5">
        <f>$F6*KEEI_trend!AC8</f>
        <v>0</v>
      </c>
      <c r="AD6" s="5">
        <f>$F6*KEEI_trend!AD8</f>
        <v>0</v>
      </c>
      <c r="AE6" s="5">
        <f>$F6*KEEI_trend!AE8</f>
        <v>0</v>
      </c>
      <c r="AF6" s="5">
        <f>$F6*KEEI_trend!AF8</f>
        <v>0</v>
      </c>
      <c r="AG6" s="5">
        <f>$F6*KEEI_trend!AG8</f>
        <v>0</v>
      </c>
    </row>
    <row r="7" spans="1:33">
      <c r="A7" t="s">
        <v>16</v>
      </c>
      <c r="B7" s="4">
        <f>SUMIF(EB_2019!$F$92:$BK$92,$A7,EB_2019!$F$4:$BK$4)*39656668310</f>
        <v>0</v>
      </c>
      <c r="C7" s="4">
        <f>SUMIF(EB_2020!$F$92:$BK$92,$A7,EB_2020!$F$4:$BK$4)*39656668310</f>
        <v>0</v>
      </c>
      <c r="D7" s="4">
        <f>SUMIF(EB_2021!$F$92:$BK$92,$A7,EB_2021!$F$4:$BK$4)*39656668310</f>
        <v>0</v>
      </c>
      <c r="E7" s="4">
        <f>SUMIF(EB_2022!$F$92:$BK$92,$A7,EB_2022!$F$4:$BK$4)*39656668310</f>
        <v>0</v>
      </c>
      <c r="F7" s="4">
        <f>SUMIF(EB_2023!$F$92:$BK$92,$A7,EB_2023!$F$4:$BK$4)*39656668310</f>
        <v>0</v>
      </c>
      <c r="G7" s="5">
        <f>$F7*KEEI_trend!G9</f>
        <v>0</v>
      </c>
      <c r="H7" s="5">
        <f>$F7*KEEI_trend!H9</f>
        <v>0</v>
      </c>
      <c r="I7" s="5">
        <f>$F7*KEEI_trend!I9</f>
        <v>0</v>
      </c>
      <c r="J7" s="5">
        <f>$F7*KEEI_trend!J9</f>
        <v>0</v>
      </c>
      <c r="K7" s="5">
        <f>$F7*KEEI_trend!K9</f>
        <v>0</v>
      </c>
      <c r="L7" s="5">
        <f>$F7*KEEI_trend!L9</f>
        <v>0</v>
      </c>
      <c r="M7" s="5">
        <f>$F7*KEEI_trend!M9</f>
        <v>0</v>
      </c>
      <c r="N7" s="5">
        <f>$F7*KEEI_trend!N9</f>
        <v>0</v>
      </c>
      <c r="O7" s="5">
        <f>$F7*KEEI_trend!O9</f>
        <v>0</v>
      </c>
      <c r="P7" s="5">
        <f>$F7*KEEI_trend!P9</f>
        <v>0</v>
      </c>
      <c r="Q7" s="5">
        <f>$F7*KEEI_trend!Q9</f>
        <v>0</v>
      </c>
      <c r="R7" s="5">
        <f>$F7*KEEI_trend!R9</f>
        <v>0</v>
      </c>
      <c r="S7" s="5">
        <f>$F7*KEEI_trend!S9</f>
        <v>0</v>
      </c>
      <c r="T7" s="5">
        <f>$F7*KEEI_trend!T9</f>
        <v>0</v>
      </c>
      <c r="U7" s="5">
        <f>$F7*KEEI_trend!U9</f>
        <v>0</v>
      </c>
      <c r="V7" s="5">
        <f>$F7*KEEI_trend!V9</f>
        <v>0</v>
      </c>
      <c r="W7" s="5">
        <f>$F7*KEEI_trend!W9</f>
        <v>0</v>
      </c>
      <c r="X7" s="5">
        <f>$F7*KEEI_trend!X9</f>
        <v>0</v>
      </c>
      <c r="Y7" s="5">
        <f>$F7*KEEI_trend!Y9</f>
        <v>0</v>
      </c>
      <c r="Z7" s="5">
        <f>$F7*KEEI_trend!Z9</f>
        <v>0</v>
      </c>
      <c r="AA7" s="5">
        <f>$F7*KEEI_trend!AA9</f>
        <v>0</v>
      </c>
      <c r="AB7" s="5">
        <f>$F7*KEEI_trend!AB9</f>
        <v>0</v>
      </c>
      <c r="AC7" s="5">
        <f>$F7*KEEI_trend!AC9</f>
        <v>0</v>
      </c>
      <c r="AD7" s="5">
        <f>$F7*KEEI_trend!AD9</f>
        <v>0</v>
      </c>
      <c r="AE7" s="5">
        <f>$F7*KEEI_trend!AE9</f>
        <v>0</v>
      </c>
      <c r="AF7" s="5">
        <f>$F7*KEEI_trend!AF9</f>
        <v>0</v>
      </c>
      <c r="AG7" s="5">
        <f>$F7*KEEI_trend!AG9</f>
        <v>0</v>
      </c>
    </row>
    <row r="8" spans="1:33">
      <c r="A8" t="s">
        <v>18</v>
      </c>
      <c r="B8" s="4">
        <f>SUMIF(EB_2019!$F$92:$BK$92,$A8,EB_2019!$F$4:$BK$4)*39656668310</f>
        <v>0</v>
      </c>
      <c r="C8" s="4">
        <f>SUMIF(EB_2020!$F$92:$BK$92,$A8,EB_2020!$F$4:$BK$4)*39656668310</f>
        <v>0</v>
      </c>
      <c r="D8" s="4">
        <f>SUMIF(EB_2021!$F$92:$BK$92,$A8,EB_2021!$F$4:$BK$4)*39656668310</f>
        <v>0</v>
      </c>
      <c r="E8" s="4">
        <f>SUMIF(EB_2022!$F$92:$BK$92,$A8,EB_2022!$F$4:$BK$4)*39656668310</f>
        <v>0</v>
      </c>
      <c r="F8" s="4">
        <f>SUMIF(EB_2023!$F$92:$BK$92,$A8,EB_2023!$F$4:$BK$4)*39656668310</f>
        <v>0</v>
      </c>
      <c r="G8" s="5">
        <f>$F8*KEEI_trend!G9</f>
        <v>0</v>
      </c>
      <c r="H8" s="5">
        <f>$F8*KEEI_trend!H9</f>
        <v>0</v>
      </c>
      <c r="I8" s="5">
        <f>$F8*KEEI_trend!I9</f>
        <v>0</v>
      </c>
      <c r="J8" s="5">
        <f>$F8*KEEI_trend!J9</f>
        <v>0</v>
      </c>
      <c r="K8" s="5">
        <f>$F8*KEEI_trend!K9</f>
        <v>0</v>
      </c>
      <c r="L8" s="5">
        <f>$F8*KEEI_trend!L9</f>
        <v>0</v>
      </c>
      <c r="M8" s="5">
        <f>$F8*KEEI_trend!M9</f>
        <v>0</v>
      </c>
      <c r="N8" s="5">
        <f>$F8*KEEI_trend!N9</f>
        <v>0</v>
      </c>
      <c r="O8" s="5">
        <f>$F8*KEEI_trend!O9</f>
        <v>0</v>
      </c>
      <c r="P8" s="5">
        <f>$F8*KEEI_trend!P9</f>
        <v>0</v>
      </c>
      <c r="Q8" s="5">
        <f>$F8*KEEI_trend!Q9</f>
        <v>0</v>
      </c>
      <c r="R8" s="5">
        <f>$F8*KEEI_trend!R9</f>
        <v>0</v>
      </c>
      <c r="S8" s="5">
        <f>$F8*KEEI_trend!S9</f>
        <v>0</v>
      </c>
      <c r="T8" s="5">
        <f>$F8*KEEI_trend!T9</f>
        <v>0</v>
      </c>
      <c r="U8" s="5">
        <f>$F8*KEEI_trend!U9</f>
        <v>0</v>
      </c>
      <c r="V8" s="5">
        <f>$F8*KEEI_trend!V9</f>
        <v>0</v>
      </c>
      <c r="W8" s="5">
        <f>$F8*KEEI_trend!W9</f>
        <v>0</v>
      </c>
      <c r="X8" s="5">
        <f>$F8*KEEI_trend!X9</f>
        <v>0</v>
      </c>
      <c r="Y8" s="5">
        <f>$F8*KEEI_trend!Y9</f>
        <v>0</v>
      </c>
      <c r="Z8" s="5">
        <f>$F8*KEEI_trend!Z9</f>
        <v>0</v>
      </c>
      <c r="AA8" s="5">
        <f>$F8*KEEI_trend!AA9</f>
        <v>0</v>
      </c>
      <c r="AB8" s="5">
        <f>$F8*KEEI_trend!AB9</f>
        <v>0</v>
      </c>
      <c r="AC8" s="5">
        <f>$F8*KEEI_trend!AC9</f>
        <v>0</v>
      </c>
      <c r="AD8" s="5">
        <f>$F8*KEEI_trend!AD9</f>
        <v>0</v>
      </c>
      <c r="AE8" s="5">
        <f>$F8*KEEI_trend!AE9</f>
        <v>0</v>
      </c>
      <c r="AF8" s="5">
        <f>$F8*KEEI_trend!AF9</f>
        <v>0</v>
      </c>
      <c r="AG8" s="5">
        <f>$F8*KEEI_trend!AG9</f>
        <v>0</v>
      </c>
    </row>
    <row r="9" spans="1:33">
      <c r="A9" t="s">
        <v>19</v>
      </c>
      <c r="B9" s="4">
        <f>SUMIF(EB_2019!$F$92:$BK$92,$A9,EB_2019!$F$4:$BK$4)*39656668310</f>
        <v>0</v>
      </c>
      <c r="C9" s="4">
        <f>SUMIF(EB_2020!$F$92:$BK$92,$A9,EB_2020!$F$4:$BK$4)*39656668310</f>
        <v>0</v>
      </c>
      <c r="D9" s="4">
        <f>SUMIF(EB_2021!$F$92:$BK$92,$A9,EB_2021!$F$4:$BK$4)*39656668310</f>
        <v>0</v>
      </c>
      <c r="E9" s="4">
        <f>SUMIF(EB_2022!$F$92:$BK$92,$A9,EB_2022!$F$4:$BK$4)*39656668310</f>
        <v>0</v>
      </c>
      <c r="F9" s="4">
        <f>SUMIF(EB_2023!$F$92:$BK$92,$A9,EB_2023!$F$4:$BK$4)*39656668310</f>
        <v>0</v>
      </c>
      <c r="G9" s="5">
        <f>$F9*KEEI_trend!G10</f>
        <v>0</v>
      </c>
      <c r="H9" s="5">
        <f>$F9*KEEI_trend!H10</f>
        <v>0</v>
      </c>
      <c r="I9" s="5">
        <f>$F9*KEEI_trend!I10</f>
        <v>0</v>
      </c>
      <c r="J9" s="5">
        <f>$F9*KEEI_trend!J10</f>
        <v>0</v>
      </c>
      <c r="K9" s="5">
        <f>$F9*KEEI_trend!K10</f>
        <v>0</v>
      </c>
      <c r="L9" s="5">
        <f>$F9*KEEI_trend!L10</f>
        <v>0</v>
      </c>
      <c r="M9" s="5">
        <f>$F9*KEEI_trend!M10</f>
        <v>0</v>
      </c>
      <c r="N9" s="5">
        <f>$F9*KEEI_trend!N10</f>
        <v>0</v>
      </c>
      <c r="O9" s="5">
        <f>$F9*KEEI_trend!O10</f>
        <v>0</v>
      </c>
      <c r="P9" s="5">
        <f>$F9*KEEI_trend!P10</f>
        <v>0</v>
      </c>
      <c r="Q9" s="5">
        <f>$F9*KEEI_trend!Q10</f>
        <v>0</v>
      </c>
      <c r="R9" s="5">
        <f>$F9*KEEI_trend!R10</f>
        <v>0</v>
      </c>
      <c r="S9" s="5">
        <f>$F9*KEEI_trend!S10</f>
        <v>0</v>
      </c>
      <c r="T9" s="5">
        <f>$F9*KEEI_trend!T10</f>
        <v>0</v>
      </c>
      <c r="U9" s="5">
        <f>$F9*KEEI_trend!U10</f>
        <v>0</v>
      </c>
      <c r="V9" s="5">
        <f>$F9*KEEI_trend!V10</f>
        <v>0</v>
      </c>
      <c r="W9" s="5">
        <f>$F9*KEEI_trend!W10</f>
        <v>0</v>
      </c>
      <c r="X9" s="5">
        <f>$F9*KEEI_trend!X10</f>
        <v>0</v>
      </c>
      <c r="Y9" s="5">
        <f>$F9*KEEI_trend!Y10</f>
        <v>0</v>
      </c>
      <c r="Z9" s="5">
        <f>$F9*KEEI_trend!Z10</f>
        <v>0</v>
      </c>
      <c r="AA9" s="5">
        <f>$F9*KEEI_trend!AA10</f>
        <v>0</v>
      </c>
      <c r="AB9" s="5">
        <f>$F9*KEEI_trend!AB10</f>
        <v>0</v>
      </c>
      <c r="AC9" s="5">
        <f>$F9*KEEI_trend!AC10</f>
        <v>0</v>
      </c>
      <c r="AD9" s="5">
        <f>$F9*KEEI_trend!AD10</f>
        <v>0</v>
      </c>
      <c r="AE9" s="5">
        <f>$F9*KEEI_trend!AE10</f>
        <v>0</v>
      </c>
      <c r="AF9" s="5">
        <f>$F9*KEEI_trend!AF10</f>
        <v>0</v>
      </c>
      <c r="AG9" s="5">
        <f>$F9*KEEI_trend!AG10</f>
        <v>0</v>
      </c>
    </row>
    <row r="10" spans="1:33">
      <c r="A10" t="s">
        <v>21</v>
      </c>
      <c r="B10" s="4">
        <f>SUMIF(EB_2019!$F$92:$BK$92,$A10,EB_2019!$F$4:$BK$4)*39656668310</f>
        <v>662266360777</v>
      </c>
      <c r="C10" s="4">
        <f>SUMIF(EB_2020!$F$92:$BK$92,$A10,EB_2020!$F$4:$BK$4)*39656668310</f>
        <v>27759667817</v>
      </c>
      <c r="D10" s="4">
        <f>SUMIF(EB_2021!$F$92:$BK$92,$A10,EB_2021!$F$4:$BK$4)*39656668310</f>
        <v>1499022062118.0002</v>
      </c>
      <c r="E10" s="4">
        <f>SUMIF(EB_2022!$F$92:$BK$92,$A10,EB_2022!$F$4:$BK$4)*39656668310</f>
        <v>428292017748</v>
      </c>
      <c r="F10" s="4">
        <f>SUMIF(EB_2023!$F$92:$BK$92,$A10,EB_2023!$F$4:$BK$4)*39656668310</f>
        <v>3941872830014</v>
      </c>
      <c r="G10" s="5">
        <f>$F10*KEEI_trend!G4</f>
        <v>3944555730754.8057</v>
      </c>
      <c r="H10" s="5">
        <f>$F10*KEEI_trend!H4</f>
        <v>3947238631495.6108</v>
      </c>
      <c r="I10" s="5">
        <f>$F10*KEEI_trend!I4</f>
        <v>3949921532236.4155</v>
      </c>
      <c r="J10" s="5">
        <f>$F10*KEEI_trend!J4</f>
        <v>3952604432977.2212</v>
      </c>
      <c r="K10" s="5">
        <f>$F10*KEEI_trend!K4</f>
        <v>3955287333718.0264</v>
      </c>
      <c r="L10" s="5">
        <f>$F10*KEEI_trend!L4</f>
        <v>3957970234458.832</v>
      </c>
      <c r="M10" s="5">
        <f>$F10*KEEI_trend!M4</f>
        <v>3960653135199.6367</v>
      </c>
      <c r="N10" s="5">
        <f>$F10*KEEI_trend!N4</f>
        <v>3950794451084.5156</v>
      </c>
      <c r="O10" s="5">
        <f>$F10*KEEI_trend!O4</f>
        <v>3940935766969.3945</v>
      </c>
      <c r="P10" s="5">
        <f>$F10*KEEI_trend!P4</f>
        <v>3931077082854.2729</v>
      </c>
      <c r="Q10" s="5">
        <f>$F10*KEEI_trend!Q4</f>
        <v>3921218398739.1519</v>
      </c>
      <c r="R10" s="5">
        <f>$F10*KEEI_trend!R4</f>
        <v>3911359714624.0308</v>
      </c>
      <c r="S10" s="5">
        <f>$F10*KEEI_trend!S4</f>
        <v>3901501030508.9087</v>
      </c>
      <c r="T10" s="5">
        <f>$F10*KEEI_trend!T4</f>
        <v>3891642346393.7876</v>
      </c>
      <c r="U10" s="5">
        <f>$F10*KEEI_trend!U4</f>
        <v>3881783662278.666</v>
      </c>
      <c r="V10" s="5">
        <f>$F10*KEEI_trend!V4</f>
        <v>3871924978163.5449</v>
      </c>
      <c r="W10" s="5">
        <f>$F10*KEEI_trend!W4</f>
        <v>3862066294048.4238</v>
      </c>
      <c r="X10" s="5">
        <f>$F10*KEEI_trend!X4</f>
        <v>3836172118582.4893</v>
      </c>
      <c r="Y10" s="5">
        <f>$F10*KEEI_trend!Y4</f>
        <v>3810277943116.5547</v>
      </c>
      <c r="Z10" s="5">
        <f>$F10*KEEI_trend!Z4</f>
        <v>3784383767650.6201</v>
      </c>
      <c r="AA10" s="5">
        <f>$F10*KEEI_trend!AA4</f>
        <v>3758489592184.6855</v>
      </c>
      <c r="AB10" s="5">
        <f>$F10*KEEI_trend!AB4</f>
        <v>3732595416718.751</v>
      </c>
      <c r="AC10" s="5">
        <f>$F10*KEEI_trend!AC4</f>
        <v>3706701241252.8164</v>
      </c>
      <c r="AD10" s="5">
        <f>$F10*KEEI_trend!AD4</f>
        <v>3680807065786.8818</v>
      </c>
      <c r="AE10" s="5">
        <f>$F10*KEEI_trend!AE4</f>
        <v>3654912890320.9478</v>
      </c>
      <c r="AF10" s="5">
        <f>$F10*KEEI_trend!AF4</f>
        <v>3629018714855.0127</v>
      </c>
      <c r="AG10" s="5">
        <f>$F10*KEEI_trend!AG4</f>
        <v>3603124539389.0781</v>
      </c>
    </row>
    <row r="11" spans="1:33">
      <c r="A11" t="s">
        <v>24</v>
      </c>
      <c r="B11" s="4">
        <f>SUMIF(EB_2019!$F$92:$BK$92,$A11,EB_2019!$F$4:$BK$4)*39656668310</f>
        <v>801064699862</v>
      </c>
      <c r="C11" s="4">
        <f>SUMIF(EB_2020!$F$92:$BK$92,$A11,EB_2020!$F$4:$BK$4)*39656668310</f>
        <v>2871142785643.9995</v>
      </c>
      <c r="D11" s="4">
        <f>SUMIF(EB_2021!$F$92:$BK$92,$A11,EB_2021!$F$4:$BK$4)*39656668310</f>
        <v>21255974214160</v>
      </c>
      <c r="E11" s="4">
        <f>SUMIF(EB_2022!$F$92:$BK$92,$A11,EB_2022!$F$4:$BK$4)*39656668310</f>
        <v>5242611550582</v>
      </c>
      <c r="F11" s="4">
        <f>SUMIF(EB_2023!$F$92:$BK$92,$A11,EB_2023!$F$4:$BK$4)*39656668310</f>
        <v>341047347466</v>
      </c>
      <c r="G11" s="5">
        <f>$F11*KEEI_trend!G4</f>
        <v>341279469662.89063</v>
      </c>
      <c r="H11" s="5">
        <f>$F11*KEEI_trend!H4</f>
        <v>341511591859.78125</v>
      </c>
      <c r="I11" s="5">
        <f>$F11*KEEI_trend!I4</f>
        <v>341743714056.67175</v>
      </c>
      <c r="J11" s="5">
        <f>$F11*KEEI_trend!J4</f>
        <v>341975836253.56238</v>
      </c>
      <c r="K11" s="5">
        <f>$F11*KEEI_trend!K4</f>
        <v>342207958450.453</v>
      </c>
      <c r="L11" s="5">
        <f>$F11*KEEI_trend!L4</f>
        <v>342440080647.34363</v>
      </c>
      <c r="M11" s="5">
        <f>$F11*KEEI_trend!M4</f>
        <v>342672202844.23413</v>
      </c>
      <c r="N11" s="5">
        <f>$F11*KEEI_trend!N4</f>
        <v>341819238222.60394</v>
      </c>
      <c r="O11" s="5">
        <f>$F11*KEEI_trend!O4</f>
        <v>340966273600.97375</v>
      </c>
      <c r="P11" s="5">
        <f>$F11*KEEI_trend!P4</f>
        <v>340113308979.34357</v>
      </c>
      <c r="Q11" s="5">
        <f>$F11*KEEI_trend!Q4</f>
        <v>339260344357.71338</v>
      </c>
      <c r="R11" s="5">
        <f>$F11*KEEI_trend!R4</f>
        <v>338407379736.08313</v>
      </c>
      <c r="S11" s="5">
        <f>$F11*KEEI_trend!S4</f>
        <v>337554415114.45288</v>
      </c>
      <c r="T11" s="5">
        <f>$F11*KEEI_trend!T4</f>
        <v>336701450492.82269</v>
      </c>
      <c r="U11" s="5">
        <f>$F11*KEEI_trend!U4</f>
        <v>335848485871.19244</v>
      </c>
      <c r="V11" s="5">
        <f>$F11*KEEI_trend!V4</f>
        <v>334995521249.56226</v>
      </c>
      <c r="W11" s="5">
        <f>$F11*KEEI_trend!W4</f>
        <v>334142556627.93201</v>
      </c>
      <c r="X11" s="5">
        <f>$F11*KEEI_trend!X4</f>
        <v>331902215491.04034</v>
      </c>
      <c r="Y11" s="5">
        <f>$F11*KEEI_trend!Y4</f>
        <v>329661874354.14862</v>
      </c>
      <c r="Z11" s="5">
        <f>$F11*KEEI_trend!Z4</f>
        <v>327421533217.2569</v>
      </c>
      <c r="AA11" s="5">
        <f>$F11*KEEI_trend!AA4</f>
        <v>325181192080.36517</v>
      </c>
      <c r="AB11" s="5">
        <f>$F11*KEEI_trend!AB4</f>
        <v>322940850943.47339</v>
      </c>
      <c r="AC11" s="5">
        <f>$F11*KEEI_trend!AC4</f>
        <v>320700509806.58173</v>
      </c>
      <c r="AD11" s="5">
        <f>$F11*KEEI_trend!AD4</f>
        <v>318460168669.69</v>
      </c>
      <c r="AE11" s="5">
        <f>$F11*KEEI_trend!AE4</f>
        <v>316219827532.79828</v>
      </c>
      <c r="AF11" s="5">
        <f>$F11*KEEI_trend!AF4</f>
        <v>313979486395.90656</v>
      </c>
      <c r="AG11" s="5">
        <f>$F11*KEEI_trend!AG4</f>
        <v>311739145259.01483</v>
      </c>
    </row>
    <row r="12" spans="1:33">
      <c r="A12" t="s">
        <v>25</v>
      </c>
      <c r="B12" s="4">
        <f>SUMIF(EB_2019!$F$92:$BK$92,$A12,EB_2019!$F$4:$BK$4)*39656668310</f>
        <v>0</v>
      </c>
      <c r="C12" s="4">
        <f>SUMIF(EB_2020!$F$92:$BK$92,$A12,EB_2020!$F$4:$BK$4)*39656668310</f>
        <v>0</v>
      </c>
      <c r="D12" s="4">
        <f>SUMIF(EB_2021!$F$92:$BK$92,$A12,EB_2021!$F$4:$BK$4)*39656668310</f>
        <v>0</v>
      </c>
      <c r="E12" s="4">
        <f>SUMIF(EB_2022!$F$92:$BK$92,$A12,EB_2022!$F$4:$BK$4)*39656668310</f>
        <v>0</v>
      </c>
      <c r="F12" s="4">
        <f>SUMIF(EB_2023!$F$92:$BK$92,$A12,EB_2023!$F$4:$BK$4)*39656668310</f>
        <v>0</v>
      </c>
      <c r="G12" s="5">
        <f>$F12*KEEI_trend!G10</f>
        <v>0</v>
      </c>
      <c r="H12" s="5">
        <f>$F12*KEEI_trend!H10</f>
        <v>0</v>
      </c>
      <c r="I12" s="5">
        <f>$F12*KEEI_trend!I10</f>
        <v>0</v>
      </c>
      <c r="J12" s="5">
        <f>$F12*KEEI_trend!J10</f>
        <v>0</v>
      </c>
      <c r="K12" s="5">
        <f>$F12*KEEI_trend!K10</f>
        <v>0</v>
      </c>
      <c r="L12" s="5">
        <f>$F12*KEEI_trend!L10</f>
        <v>0</v>
      </c>
      <c r="M12" s="5">
        <f>$F12*KEEI_trend!M10</f>
        <v>0</v>
      </c>
      <c r="N12" s="5">
        <f>$F12*KEEI_trend!N10</f>
        <v>0</v>
      </c>
      <c r="O12" s="5">
        <f>$F12*KEEI_trend!O10</f>
        <v>0</v>
      </c>
      <c r="P12" s="5">
        <f>$F12*KEEI_trend!P10</f>
        <v>0</v>
      </c>
      <c r="Q12" s="5">
        <f>$F12*KEEI_trend!Q10</f>
        <v>0</v>
      </c>
      <c r="R12" s="5">
        <f>$F12*KEEI_trend!R10</f>
        <v>0</v>
      </c>
      <c r="S12" s="5">
        <f>$F12*KEEI_trend!S10</f>
        <v>0</v>
      </c>
      <c r="T12" s="5">
        <f>$F12*KEEI_trend!T10</f>
        <v>0</v>
      </c>
      <c r="U12" s="5">
        <f>$F12*KEEI_trend!U10</f>
        <v>0</v>
      </c>
      <c r="V12" s="5">
        <f>$F12*KEEI_trend!V10</f>
        <v>0</v>
      </c>
      <c r="W12" s="5">
        <f>$F12*KEEI_trend!W10</f>
        <v>0</v>
      </c>
      <c r="X12" s="5">
        <f>$F12*KEEI_trend!X10</f>
        <v>0</v>
      </c>
      <c r="Y12" s="5">
        <f>$F12*KEEI_trend!Y10</f>
        <v>0</v>
      </c>
      <c r="Z12" s="5">
        <f>$F12*KEEI_trend!Z10</f>
        <v>0</v>
      </c>
      <c r="AA12" s="5">
        <f>$F12*KEEI_trend!AA10</f>
        <v>0</v>
      </c>
      <c r="AB12" s="5">
        <f>$F12*KEEI_trend!AB10</f>
        <v>0</v>
      </c>
      <c r="AC12" s="5">
        <f>$F12*KEEI_trend!AC10</f>
        <v>0</v>
      </c>
      <c r="AD12" s="5">
        <f>$F12*KEEI_trend!AD10</f>
        <v>0</v>
      </c>
      <c r="AE12" s="5">
        <f>$F12*KEEI_trend!AE10</f>
        <v>0</v>
      </c>
      <c r="AF12" s="5">
        <f>$F12*KEEI_trend!AF10</f>
        <v>0</v>
      </c>
      <c r="AG12" s="5">
        <f>$F12*KEEI_trend!AG10</f>
        <v>0</v>
      </c>
    </row>
    <row r="13" spans="1:33">
      <c r="A13" t="s">
        <v>26</v>
      </c>
      <c r="B13" s="4">
        <f>SUMIF(EB_2019!$F$92:$BK$92,$A13,EB_2019!$F$4:$BK$4)*39656668310</f>
        <v>0</v>
      </c>
      <c r="C13" s="4">
        <f>SUMIF(EB_2020!$F$92:$BK$92,$A13,EB_2020!$F$4:$BK$4)*39656668310</f>
        <v>0</v>
      </c>
      <c r="D13" s="4">
        <f>SUMIF(EB_2021!$F$92:$BK$92,$A13,EB_2021!$F$4:$BK$4)*39656668310</f>
        <v>0</v>
      </c>
      <c r="E13" s="4">
        <f>SUMIF(EB_2022!$F$92:$BK$92,$A13,EB_2022!$F$4:$BK$4)*39656668310</f>
        <v>0</v>
      </c>
      <c r="F13" s="4">
        <f>SUMIF(EB_2023!$F$92:$BK$92,$A13,EB_2023!$F$4:$BK$4)*39656668310</f>
        <v>0</v>
      </c>
      <c r="G13" s="5">
        <f>$F13*KEEI_trend!G10</f>
        <v>0</v>
      </c>
      <c r="H13" s="5">
        <f>$F13*KEEI_trend!H10</f>
        <v>0</v>
      </c>
      <c r="I13" s="5">
        <f>$F13*KEEI_trend!I10</f>
        <v>0</v>
      </c>
      <c r="J13" s="5">
        <f>$F13*KEEI_trend!J10</f>
        <v>0</v>
      </c>
      <c r="K13" s="5">
        <f>$F13*KEEI_trend!K10</f>
        <v>0</v>
      </c>
      <c r="L13" s="5">
        <f>$F13*KEEI_trend!L10</f>
        <v>0</v>
      </c>
      <c r="M13" s="5">
        <f>$F13*KEEI_trend!M10</f>
        <v>0</v>
      </c>
      <c r="N13" s="5">
        <f>$F13*KEEI_trend!N10</f>
        <v>0</v>
      </c>
      <c r="O13" s="5">
        <f>$F13*KEEI_trend!O10</f>
        <v>0</v>
      </c>
      <c r="P13" s="5">
        <f>$F13*KEEI_trend!P10</f>
        <v>0</v>
      </c>
      <c r="Q13" s="5">
        <f>$F13*KEEI_trend!Q10</f>
        <v>0</v>
      </c>
      <c r="R13" s="5">
        <f>$F13*KEEI_trend!R10</f>
        <v>0</v>
      </c>
      <c r="S13" s="5">
        <f>$F13*KEEI_trend!S10</f>
        <v>0</v>
      </c>
      <c r="T13" s="5">
        <f>$F13*KEEI_trend!T10</f>
        <v>0</v>
      </c>
      <c r="U13" s="5">
        <f>$F13*KEEI_trend!U10</f>
        <v>0</v>
      </c>
      <c r="V13" s="5">
        <f>$F13*KEEI_trend!V10</f>
        <v>0</v>
      </c>
      <c r="W13" s="5">
        <f>$F13*KEEI_trend!W10</f>
        <v>0</v>
      </c>
      <c r="X13" s="5">
        <f>$F13*KEEI_trend!X10</f>
        <v>0</v>
      </c>
      <c r="Y13" s="5">
        <f>$F13*KEEI_trend!Y10</f>
        <v>0</v>
      </c>
      <c r="Z13" s="5">
        <f>$F13*KEEI_trend!Z10</f>
        <v>0</v>
      </c>
      <c r="AA13" s="5">
        <f>$F13*KEEI_trend!AA10</f>
        <v>0</v>
      </c>
      <c r="AB13" s="5">
        <f>$F13*KEEI_trend!AB10</f>
        <v>0</v>
      </c>
      <c r="AC13" s="5">
        <f>$F13*KEEI_trend!AC10</f>
        <v>0</v>
      </c>
      <c r="AD13" s="5">
        <f>$F13*KEEI_trend!AD10</f>
        <v>0</v>
      </c>
      <c r="AE13" s="5">
        <f>$F13*KEEI_trend!AE10</f>
        <v>0</v>
      </c>
      <c r="AF13" s="5">
        <f>$F13*KEEI_trend!AF10</f>
        <v>0</v>
      </c>
      <c r="AG13" s="5">
        <f>$F13*KEEI_trend!AG10</f>
        <v>0</v>
      </c>
    </row>
    <row r="14" spans="1:33">
      <c r="A14" t="s">
        <v>27</v>
      </c>
      <c r="B14" s="4">
        <f>SUMIF(EB_2019!$F$92:$BK$92,$A14,EB_2019!$F$4:$BK$4)*39656668310</f>
        <v>194317674719</v>
      </c>
      <c r="C14" s="4">
        <f>SUMIF(EB_2020!$F$92:$BK$92,$A14,EB_2020!$F$4:$BK$4)*39656668310</f>
        <v>444154685072</v>
      </c>
      <c r="D14" s="4">
        <f>SUMIF(EB_2021!$F$92:$BK$92,$A14,EB_2021!$F$4:$BK$4)*39656668310</f>
        <v>1193665716131</v>
      </c>
      <c r="E14" s="4">
        <f>SUMIF(EB_2022!$F$92:$BK$92,$A14,EB_2022!$F$4:$BK$4)*39656668310</f>
        <v>206214675212</v>
      </c>
      <c r="F14" s="4">
        <f>SUMIF(EB_2023!$F$92:$BK$92,$A14,EB_2023!$F$4:$BK$4)*39656668310</f>
        <v>1780584407119</v>
      </c>
      <c r="G14" s="5">
        <f>$F14*KEEI_trend!G4</f>
        <v>1781796300914.394</v>
      </c>
      <c r="H14" s="5">
        <f>$F14*KEEI_trend!H4</f>
        <v>1783008194709.7881</v>
      </c>
      <c r="I14" s="5">
        <f>$F14*KEEI_trend!I4</f>
        <v>1784220088505.1816</v>
      </c>
      <c r="J14" s="5">
        <f>$F14*KEEI_trend!J4</f>
        <v>1785431982300.5757</v>
      </c>
      <c r="K14" s="5">
        <f>$F14*KEEI_trend!K4</f>
        <v>1786643876095.9697</v>
      </c>
      <c r="L14" s="5">
        <f>$F14*KEEI_trend!L4</f>
        <v>1787855769891.3638</v>
      </c>
      <c r="M14" s="5">
        <f>$F14*KEEI_trend!M4</f>
        <v>1789067663686.7573</v>
      </c>
      <c r="N14" s="5">
        <f>$F14*KEEI_trend!N4</f>
        <v>1784614394906.3857</v>
      </c>
      <c r="O14" s="5">
        <f>$F14*KEEI_trend!O4</f>
        <v>1780161126126.0142</v>
      </c>
      <c r="P14" s="5">
        <f>$F14*KEEI_trend!P4</f>
        <v>1775707857345.6423</v>
      </c>
      <c r="Q14" s="5">
        <f>$F14*KEEI_trend!Q4</f>
        <v>1771254588565.2708</v>
      </c>
      <c r="R14" s="5">
        <f>$F14*KEEI_trend!R4</f>
        <v>1766801319784.8992</v>
      </c>
      <c r="S14" s="5">
        <f>$F14*KEEI_trend!S4</f>
        <v>1762348051004.5271</v>
      </c>
      <c r="T14" s="5">
        <f>$F14*KEEI_trend!T4</f>
        <v>1757894782224.1555</v>
      </c>
      <c r="U14" s="5">
        <f>$F14*KEEI_trend!U4</f>
        <v>1753441513443.7837</v>
      </c>
      <c r="V14" s="5">
        <f>$F14*KEEI_trend!V4</f>
        <v>1748988244663.4124</v>
      </c>
      <c r="W14" s="5">
        <f>$F14*KEEI_trend!W4</f>
        <v>1744534975883.0405</v>
      </c>
      <c r="X14" s="5">
        <f>$F14*KEEI_trend!X4</f>
        <v>1732838311110.199</v>
      </c>
      <c r="Y14" s="5">
        <f>$F14*KEEI_trend!Y4</f>
        <v>1721141646337.3572</v>
      </c>
      <c r="Z14" s="5">
        <f>$F14*KEEI_trend!Z4</f>
        <v>1709444981564.5156</v>
      </c>
      <c r="AA14" s="5">
        <f>$F14*KEEI_trend!AA4</f>
        <v>1697748316791.6738</v>
      </c>
      <c r="AB14" s="5">
        <f>$F14*KEEI_trend!AB4</f>
        <v>1686051652018.832</v>
      </c>
      <c r="AC14" s="5">
        <f>$F14*KEEI_trend!AC4</f>
        <v>1674354987245.9905</v>
      </c>
      <c r="AD14" s="5">
        <f>$F14*KEEI_trend!AD4</f>
        <v>1662658322473.1489</v>
      </c>
      <c r="AE14" s="5">
        <f>$F14*KEEI_trend!AE4</f>
        <v>1650961657700.3074</v>
      </c>
      <c r="AF14" s="5">
        <f>$F14*KEEI_trend!AF4</f>
        <v>1639264992927.4656</v>
      </c>
      <c r="AG14" s="5">
        <f>$F14*KEEI_trend!AG4</f>
        <v>1627568328154.6238</v>
      </c>
    </row>
    <row r="15" spans="1:33">
      <c r="A15" t="s">
        <v>28</v>
      </c>
      <c r="B15" s="4">
        <f>SUMIF(EB_2019!$F$92:$BK$92,$A15,EB_2019!$F$4:$BK$4)*39656668310</f>
        <v>0</v>
      </c>
      <c r="C15" s="4">
        <f>SUMIF(EB_2020!$F$92:$BK$92,$A15,EB_2020!$F$4:$BK$4)*39656668310</f>
        <v>0</v>
      </c>
      <c r="D15" s="4">
        <f>SUMIF(EB_2021!$F$92:$BK$92,$A15,EB_2021!$F$4:$BK$4)*39656668310</f>
        <v>0</v>
      </c>
      <c r="E15" s="4">
        <f>SUMIF(EB_2022!$F$92:$BK$92,$A15,EB_2022!$F$4:$BK$4)*39656668310</f>
        <v>0</v>
      </c>
      <c r="F15" s="4">
        <f>SUMIF(EB_2023!$F$92:$BK$92,$A15,EB_2023!$F$4:$BK$4)*39656668310</f>
        <v>0</v>
      </c>
      <c r="G15" s="5">
        <f t="shared" ref="G15:AG15" si="1">$F15</f>
        <v>0</v>
      </c>
      <c r="H15" s="5">
        <f t="shared" si="1"/>
        <v>0</v>
      </c>
      <c r="I15" s="5">
        <f t="shared" si="1"/>
        <v>0</v>
      </c>
      <c r="J15" s="5">
        <f t="shared" si="1"/>
        <v>0</v>
      </c>
      <c r="K15" s="5">
        <f t="shared" si="1"/>
        <v>0</v>
      </c>
      <c r="L15" s="5">
        <f t="shared" si="1"/>
        <v>0</v>
      </c>
      <c r="M15" s="5">
        <f t="shared" si="1"/>
        <v>0</v>
      </c>
      <c r="N15" s="5">
        <f t="shared" si="1"/>
        <v>0</v>
      </c>
      <c r="O15" s="5">
        <f t="shared" si="1"/>
        <v>0</v>
      </c>
      <c r="P15" s="5">
        <f t="shared" si="1"/>
        <v>0</v>
      </c>
      <c r="Q15" s="5">
        <f t="shared" si="1"/>
        <v>0</v>
      </c>
      <c r="R15" s="5">
        <f t="shared" si="1"/>
        <v>0</v>
      </c>
      <c r="S15" s="5">
        <f t="shared" si="1"/>
        <v>0</v>
      </c>
      <c r="T15" s="5">
        <f t="shared" si="1"/>
        <v>0</v>
      </c>
      <c r="U15" s="5">
        <f t="shared" si="1"/>
        <v>0</v>
      </c>
      <c r="V15" s="5">
        <f t="shared" si="1"/>
        <v>0</v>
      </c>
      <c r="W15" s="5">
        <f t="shared" si="1"/>
        <v>0</v>
      </c>
      <c r="X15" s="5">
        <f t="shared" si="1"/>
        <v>0</v>
      </c>
      <c r="Y15" s="5">
        <f t="shared" si="1"/>
        <v>0</v>
      </c>
      <c r="Z15" s="5">
        <f t="shared" si="1"/>
        <v>0</v>
      </c>
      <c r="AA15" s="5">
        <f t="shared" si="1"/>
        <v>0</v>
      </c>
      <c r="AB15" s="5">
        <f t="shared" si="1"/>
        <v>0</v>
      </c>
      <c r="AC15" s="5">
        <f t="shared" si="1"/>
        <v>0</v>
      </c>
      <c r="AD15" s="5">
        <f t="shared" si="1"/>
        <v>0</v>
      </c>
      <c r="AE15" s="5">
        <f t="shared" si="1"/>
        <v>0</v>
      </c>
      <c r="AF15" s="5">
        <f t="shared" si="1"/>
        <v>0</v>
      </c>
      <c r="AG15" s="5">
        <f t="shared" si="1"/>
        <v>0</v>
      </c>
    </row>
    <row r="16" spans="1:33">
      <c r="A16" t="s">
        <v>29</v>
      </c>
      <c r="B16" s="4">
        <f>SUMIF(EB_2019!$F$92:$BK$92,$A16,EB_2019!$F$4:$BK$4)*39656668310</f>
        <v>0</v>
      </c>
      <c r="C16" s="4">
        <f>SUMIF(EB_2020!$F$92:$BK$92,$A16,EB_2020!$F$4:$BK$4)*39656668310</f>
        <v>0</v>
      </c>
      <c r="D16" s="4">
        <f>SUMIF(EB_2021!$F$92:$BK$92,$A16,EB_2021!$F$4:$BK$4)*39656668310</f>
        <v>0</v>
      </c>
      <c r="E16" s="4">
        <f>SUMIF(EB_2022!$F$92:$BK$92,$A16,EB_2022!$F$4:$BK$4)*39656668310</f>
        <v>0</v>
      </c>
      <c r="F16" s="4">
        <f>SUMIF(EB_2023!$F$92:$BK$92,$A16,EB_2023!$F$4:$BK$4)*39656668310</f>
        <v>0</v>
      </c>
      <c r="G16" s="5">
        <f>$F16*KEEI_trend!G10</f>
        <v>0</v>
      </c>
      <c r="H16" s="5">
        <f>$F16*KEEI_trend!H10</f>
        <v>0</v>
      </c>
      <c r="I16" s="5">
        <f>$F16*KEEI_trend!I10</f>
        <v>0</v>
      </c>
      <c r="J16" s="5">
        <f>$F16*KEEI_trend!J10</f>
        <v>0</v>
      </c>
      <c r="K16" s="5">
        <f>$F16*KEEI_trend!K10</f>
        <v>0</v>
      </c>
      <c r="L16" s="5">
        <f>$F16*KEEI_trend!L10</f>
        <v>0</v>
      </c>
      <c r="M16" s="5">
        <f>$F16*KEEI_trend!M10</f>
        <v>0</v>
      </c>
      <c r="N16" s="5">
        <f>$F16*KEEI_trend!N10</f>
        <v>0</v>
      </c>
      <c r="O16" s="5">
        <f>$F16*KEEI_trend!O10</f>
        <v>0</v>
      </c>
      <c r="P16" s="5">
        <f>$F16*KEEI_trend!P10</f>
        <v>0</v>
      </c>
      <c r="Q16" s="5">
        <f>$F16*KEEI_trend!Q10</f>
        <v>0</v>
      </c>
      <c r="R16" s="5">
        <f>$F16*KEEI_trend!R10</f>
        <v>0</v>
      </c>
      <c r="S16" s="5">
        <f>$F16*KEEI_trend!S10</f>
        <v>0</v>
      </c>
      <c r="T16" s="5">
        <f>$F16*KEEI_trend!T10</f>
        <v>0</v>
      </c>
      <c r="U16" s="5">
        <f>$F16*KEEI_trend!U10</f>
        <v>0</v>
      </c>
      <c r="V16" s="5">
        <f>$F16*KEEI_trend!V10</f>
        <v>0</v>
      </c>
      <c r="W16" s="5">
        <f>$F16*KEEI_trend!W10</f>
        <v>0</v>
      </c>
      <c r="X16" s="5">
        <f>$F16*KEEI_trend!X10</f>
        <v>0</v>
      </c>
      <c r="Y16" s="5">
        <f>$F16*KEEI_trend!Y10</f>
        <v>0</v>
      </c>
      <c r="Z16" s="5">
        <f>$F16*KEEI_trend!Z10</f>
        <v>0</v>
      </c>
      <c r="AA16" s="5">
        <f>$F16*KEEI_trend!AA10</f>
        <v>0</v>
      </c>
      <c r="AB16" s="5">
        <f>$F16*KEEI_trend!AB10</f>
        <v>0</v>
      </c>
      <c r="AC16" s="5">
        <f>$F16*KEEI_trend!AC10</f>
        <v>0</v>
      </c>
      <c r="AD16" s="5">
        <f>$F16*KEEI_trend!AD10</f>
        <v>0</v>
      </c>
      <c r="AE16" s="5">
        <f>$F16*KEEI_trend!AE10</f>
        <v>0</v>
      </c>
      <c r="AF16" s="5">
        <f>$F16*KEEI_trend!AF10</f>
        <v>0</v>
      </c>
      <c r="AG16" s="5">
        <f>$F16*KEEI_trend!AG10</f>
        <v>0</v>
      </c>
    </row>
    <row r="17" spans="1:33">
      <c r="A17" t="s">
        <v>30</v>
      </c>
      <c r="B17" s="4">
        <f>SUMIF(EB_2019!$F$92:$BK$92,$A17,EB_2019!$F$4:$BK$4)*39656668310</f>
        <v>0</v>
      </c>
      <c r="C17" s="4">
        <f>SUMIF(EB_2020!$F$92:$BK$92,$A17,EB_2020!$F$4:$BK$4)*39656668310</f>
        <v>0</v>
      </c>
      <c r="D17" s="4">
        <f>SUMIF(EB_2021!$F$92:$BK$92,$A17,EB_2021!$F$4:$BK$4)*39656668310</f>
        <v>0</v>
      </c>
      <c r="E17" s="4">
        <f>SUMIF(EB_2022!$F$92:$BK$92,$A17,EB_2022!$F$4:$BK$4)*39656668310</f>
        <v>0</v>
      </c>
      <c r="F17" s="4">
        <f>SUMIF(EB_2023!$F$92:$BK$92,$A17,EB_2023!$F$4:$BK$4)*39656668310</f>
        <v>3965666831</v>
      </c>
      <c r="G17" s="5">
        <f>$F17*KEEI_trend!G5</f>
        <v>3885398268.1450367</v>
      </c>
      <c r="H17" s="5">
        <f>$F17*KEEI_trend!H5</f>
        <v>3805129705.2900729</v>
      </c>
      <c r="I17" s="5">
        <f>$F17*KEEI_trend!I5</f>
        <v>3724861142.4351091</v>
      </c>
      <c r="J17" s="5">
        <f>$F17*KEEI_trend!J5</f>
        <v>3644592579.5801463</v>
      </c>
      <c r="K17" s="5">
        <f>$F17*KEEI_trend!K5</f>
        <v>3564324016.7251821</v>
      </c>
      <c r="L17" s="5">
        <f>$F17*KEEI_trend!L5</f>
        <v>3484055453.8702183</v>
      </c>
      <c r="M17" s="5">
        <f>$F17*KEEI_trend!M5</f>
        <v>3403786891.015255</v>
      </c>
      <c r="N17" s="5">
        <f>$F17*KEEI_trend!N5</f>
        <v>3328170777.762341</v>
      </c>
      <c r="O17" s="5">
        <f>$F17*KEEI_trend!O5</f>
        <v>3252554664.5094275</v>
      </c>
      <c r="P17" s="5">
        <f>$F17*KEEI_trend!P5</f>
        <v>3176938551.2565141</v>
      </c>
      <c r="Q17" s="5">
        <f>$F17*KEEI_trend!Q5</f>
        <v>3101322438.0036001</v>
      </c>
      <c r="R17" s="5">
        <f>$F17*KEEI_trend!R5</f>
        <v>3025706324.7506866</v>
      </c>
      <c r="S17" s="5">
        <f>$F17*KEEI_trend!S5</f>
        <v>2950090211.4977732</v>
      </c>
      <c r="T17" s="5">
        <f>$F17*KEEI_trend!T5</f>
        <v>2874474098.2448597</v>
      </c>
      <c r="U17" s="5">
        <f>$F17*KEEI_trend!U5</f>
        <v>2798857984.9919457</v>
      </c>
      <c r="V17" s="5">
        <f>$F17*KEEI_trend!V5</f>
        <v>2723241871.7390323</v>
      </c>
      <c r="W17" s="5">
        <f>$F17*KEEI_trend!W5</f>
        <v>2647625758.4861188</v>
      </c>
      <c r="X17" s="5">
        <f>$F17*KEEI_trend!X5</f>
        <v>2571650268.5878034</v>
      </c>
      <c r="Y17" s="5">
        <f>$F17*KEEI_trend!Y5</f>
        <v>2495674778.6894879</v>
      </c>
      <c r="Z17" s="5">
        <f>$F17*KEEI_trend!Z5</f>
        <v>2419699288.7911725</v>
      </c>
      <c r="AA17" s="5">
        <f>$F17*KEEI_trend!AA5</f>
        <v>2343723798.8928576</v>
      </c>
      <c r="AB17" s="5">
        <f>$F17*KEEI_trend!AB5</f>
        <v>2267748308.9945421</v>
      </c>
      <c r="AC17" s="5">
        <f>$F17*KEEI_trend!AC5</f>
        <v>2191772819.0962272</v>
      </c>
      <c r="AD17" s="5">
        <f>$F17*KEEI_trend!AD5</f>
        <v>2115797329.1979115</v>
      </c>
      <c r="AE17" s="5">
        <f>$F17*KEEI_trend!AE5</f>
        <v>2039821839.2995965</v>
      </c>
      <c r="AF17" s="5">
        <f>$F17*KEEI_trend!AF5</f>
        <v>1963846349.4012809</v>
      </c>
      <c r="AG17" s="5">
        <f>$F17*KEEI_trend!AG5</f>
        <v>1887870859.5029657</v>
      </c>
    </row>
    <row r="18" spans="1:33">
      <c r="A18" t="s">
        <v>31</v>
      </c>
      <c r="B18" s="4">
        <f>SUMIF(EB_2019!$F$92:$BK$92,$A18,EB_2019!$F$4:$BK$4)*39656668310</f>
        <v>6263984905573375</v>
      </c>
      <c r="C18" s="4">
        <f>SUMIF(EB_2020!$F$92:$BK$92,$A18,EB_2020!$F$4:$BK$4)*39656668310</f>
        <v>5753908940769660</v>
      </c>
      <c r="D18" s="4">
        <f>SUMIF(EB_2021!$F$92:$BK$92,$A18,EB_2021!$F$4:$BK$4)*39656668310</f>
        <v>5684493908559836</v>
      </c>
      <c r="E18" s="4">
        <f>SUMIF(EB_2022!$F$92:$BK$92,$A18,EB_2022!$F$4:$BK$4)*39656668310</f>
        <v>6213791460493407</v>
      </c>
      <c r="F18" s="4">
        <f>SUMIF(EB_2023!$F$92:$BK$92,$A18,EB_2023!$F$4:$BK$4)*39656668310</f>
        <v>6034396590059460</v>
      </c>
      <c r="G18" s="5">
        <f>$F18*KEEI_trend!G4</f>
        <v>6038503695432955</v>
      </c>
      <c r="H18" s="5">
        <f>$F18*KEEI_trend!H4</f>
        <v>6042610800806450</v>
      </c>
      <c r="I18" s="5">
        <f>$F18*KEEI_trend!I4</f>
        <v>6046717906179944</v>
      </c>
      <c r="J18" s="5">
        <f>$F18*KEEI_trend!J4</f>
        <v>6050825011553439</v>
      </c>
      <c r="K18" s="5">
        <f>$F18*KEEI_trend!K4</f>
        <v>6054932116926934</v>
      </c>
      <c r="L18" s="5">
        <f>$F18*KEEI_trend!L4</f>
        <v>6059039222300429</v>
      </c>
      <c r="M18" s="5">
        <f>$F18*KEEI_trend!M4</f>
        <v>6063146327673922</v>
      </c>
      <c r="N18" s="5">
        <f>$F18*KEEI_trend!N4</f>
        <v>6048054209695436</v>
      </c>
      <c r="O18" s="5">
        <f>$F18*KEEI_trend!O4</f>
        <v>6032962091716950</v>
      </c>
      <c r="P18" s="5">
        <f>$F18*KEEI_trend!P4</f>
        <v>6017869973738464</v>
      </c>
      <c r="Q18" s="5">
        <f>$F18*KEEI_trend!Q4</f>
        <v>6002777855759978</v>
      </c>
      <c r="R18" s="5">
        <f>$F18*KEEI_trend!R4</f>
        <v>5987685737781491</v>
      </c>
      <c r="S18" s="5">
        <f>$F18*KEEI_trend!S4</f>
        <v>5972593619803004</v>
      </c>
      <c r="T18" s="5">
        <f>$F18*KEEI_trend!T4</f>
        <v>5957501501824518</v>
      </c>
      <c r="U18" s="5">
        <f>$F18*KEEI_trend!U4</f>
        <v>5942409383846031</v>
      </c>
      <c r="V18" s="5">
        <f>$F18*KEEI_trend!V4</f>
        <v>5927317265867545</v>
      </c>
      <c r="W18" s="5">
        <f>$F18*KEEI_trend!W4</f>
        <v>5912225147889059</v>
      </c>
      <c r="X18" s="5">
        <f>$F18*KEEI_trend!X4</f>
        <v>5872585177024377</v>
      </c>
      <c r="Y18" s="5">
        <f>$F18*KEEI_trend!Y4</f>
        <v>5832945206159695</v>
      </c>
      <c r="Z18" s="5">
        <f>$F18*KEEI_trend!Z4</f>
        <v>5793305235295013</v>
      </c>
      <c r="AA18" s="5">
        <f>$F18*KEEI_trend!AA4</f>
        <v>5753665264430331</v>
      </c>
      <c r="AB18" s="5">
        <f>$F18*KEEI_trend!AB4</f>
        <v>5714025293565648</v>
      </c>
      <c r="AC18" s="5">
        <f>$F18*KEEI_trend!AC4</f>
        <v>5674385322700967</v>
      </c>
      <c r="AD18" s="5">
        <f>$F18*KEEI_trend!AD4</f>
        <v>5634745351836284</v>
      </c>
      <c r="AE18" s="5">
        <f>$F18*KEEI_trend!AE4</f>
        <v>5595105380971603</v>
      </c>
      <c r="AF18" s="5">
        <f>$F18*KEEI_trend!AF4</f>
        <v>5555465410106920</v>
      </c>
      <c r="AG18" s="5">
        <f>$F18*KEEI_trend!AG4</f>
        <v>5515825439242238</v>
      </c>
    </row>
    <row r="19" spans="1:33">
      <c r="A19" t="s">
        <v>32</v>
      </c>
      <c r="B19" s="4">
        <f>SUMIF(EB_2019!$F$92:$BK$92,$A19,EB_2019!$F$4:$BK$4)*39656668310</f>
        <v>198790946904367.97</v>
      </c>
      <c r="C19" s="4">
        <f>SUMIF(EB_2020!$F$92:$BK$92,$A19,EB_2020!$F$4:$BK$4)*39656668310</f>
        <v>187032744750453</v>
      </c>
      <c r="D19" s="4">
        <f>SUMIF(EB_2021!$F$92:$BK$92,$A19,EB_2021!$F$4:$BK$4)*39656668310</f>
        <v>239819735937894</v>
      </c>
      <c r="E19" s="4">
        <f>SUMIF(EB_2022!$F$92:$BK$92,$A19,EB_2022!$F$4:$BK$4)*39656668310</f>
        <v>140440125153034</v>
      </c>
      <c r="F19" s="4">
        <f>SUMIF(EB_2023!$F$92:$BK$92,$A19,EB_2023!$F$4:$BK$4)*39656668310</f>
        <v>204299258132627</v>
      </c>
      <c r="G19" s="5">
        <f>$F19*KEEI_trend!G4</f>
        <v>204438307425850.41</v>
      </c>
      <c r="H19" s="5">
        <f>$F19*KEEI_trend!H4</f>
        <v>204577356719073.84</v>
      </c>
      <c r="I19" s="5">
        <f>$F19*KEEI_trend!I4</f>
        <v>204716406012297.19</v>
      </c>
      <c r="J19" s="5">
        <f>$F19*KEEI_trend!J4</f>
        <v>204855455305520.63</v>
      </c>
      <c r="K19" s="5">
        <f>$F19*KEEI_trend!K4</f>
        <v>204994504598744.03</v>
      </c>
      <c r="L19" s="5">
        <f>$F19*KEEI_trend!L4</f>
        <v>205133553891967.44</v>
      </c>
      <c r="M19" s="5">
        <f>$F19*KEEI_trend!M4</f>
        <v>205272603185190.81</v>
      </c>
      <c r="N19" s="5">
        <f>$F19*KEEI_trend!N4</f>
        <v>204761647622254.5</v>
      </c>
      <c r="O19" s="5">
        <f>$F19*KEEI_trend!O4</f>
        <v>204250692059318.22</v>
      </c>
      <c r="P19" s="5">
        <f>$F19*KEEI_trend!P4</f>
        <v>203739736496381.88</v>
      </c>
      <c r="Q19" s="5">
        <f>$F19*KEEI_trend!Q4</f>
        <v>203228780933445.56</v>
      </c>
      <c r="R19" s="5">
        <f>$F19*KEEI_trend!R4</f>
        <v>202717825370509.25</v>
      </c>
      <c r="S19" s="5">
        <f>$F19*KEEI_trend!S4</f>
        <v>202206869807572.88</v>
      </c>
      <c r="T19" s="5">
        <f>$F19*KEEI_trend!T4</f>
        <v>201695914244636.56</v>
      </c>
      <c r="U19" s="5">
        <f>$F19*KEEI_trend!U4</f>
        <v>201184958681700.25</v>
      </c>
      <c r="V19" s="5">
        <f>$F19*KEEI_trend!V4</f>
        <v>200674003118763.94</v>
      </c>
      <c r="W19" s="5">
        <f>$F19*KEEI_trend!W4</f>
        <v>200163047555827.59</v>
      </c>
      <c r="X19" s="5">
        <f>$F19*KEEI_trend!X4</f>
        <v>198821005063394.47</v>
      </c>
      <c r="Y19" s="5">
        <f>$F19*KEEI_trend!Y4</f>
        <v>197478962570961.31</v>
      </c>
      <c r="Z19" s="5">
        <f>$F19*KEEI_trend!Z4</f>
        <v>196136920078528.19</v>
      </c>
      <c r="AA19" s="5">
        <f>$F19*KEEI_trend!AA4</f>
        <v>194794877586095.03</v>
      </c>
      <c r="AB19" s="5">
        <f>$F19*KEEI_trend!AB4</f>
        <v>193452835093661.88</v>
      </c>
      <c r="AC19" s="5">
        <f>$F19*KEEI_trend!AC4</f>
        <v>192110792601228.72</v>
      </c>
      <c r="AD19" s="5">
        <f>$F19*KEEI_trend!AD4</f>
        <v>190768750108795.56</v>
      </c>
      <c r="AE19" s="5">
        <f>$F19*KEEI_trend!AE4</f>
        <v>189426707616362.44</v>
      </c>
      <c r="AF19" s="5">
        <f>$F19*KEEI_trend!AF4</f>
        <v>188084665123929.28</v>
      </c>
      <c r="AG19" s="5">
        <f>$F19*KEEI_trend!AG4</f>
        <v>186742622631496.13</v>
      </c>
    </row>
    <row r="20" spans="1:33">
      <c r="A20" t="s">
        <v>33</v>
      </c>
      <c r="B20" s="4">
        <f>SUMIF(EB_2019!$F$92:$BK$92,$A20,EB_2019!$F$4:$BK$4)*39656668310</f>
        <v>1470703235277828.8</v>
      </c>
      <c r="C20" s="4">
        <f>SUMIF(EB_2020!$F$92:$BK$92,$A20,EB_2020!$F$4:$BK$4)*39656668310</f>
        <v>1448685853032117</v>
      </c>
      <c r="D20" s="4">
        <f>SUMIF(EB_2021!$F$92:$BK$92,$A20,EB_2021!$F$4:$BK$4)*39656668310</f>
        <v>1614335722229818</v>
      </c>
      <c r="E20" s="4">
        <f>SUMIF(EB_2022!$F$92:$BK$92,$A20,EB_2022!$F$4:$BK$4)*39656668310</f>
        <v>1569856803053322</v>
      </c>
      <c r="F20" s="4">
        <f>SUMIF(EB_2023!$F$92:$BK$92,$A20,EB_2023!$F$4:$BK$4)*39656668310</f>
        <v>1552578392670655</v>
      </c>
      <c r="G20" s="5">
        <f>$F20*KEEI_trend!G4</f>
        <v>1553635101981046.5</v>
      </c>
      <c r="H20" s="5">
        <f>$F20*KEEI_trend!H4</f>
        <v>1554691811291437.8</v>
      </c>
      <c r="I20" s="5">
        <f>$F20*KEEI_trend!I4</f>
        <v>1555748520601828.8</v>
      </c>
      <c r="J20" s="5">
        <f>$F20*KEEI_trend!J4</f>
        <v>1556805229912220.3</v>
      </c>
      <c r="K20" s="5">
        <f>$F20*KEEI_trend!K4</f>
        <v>1557861939222611.5</v>
      </c>
      <c r="L20" s="5">
        <f>$F20*KEEI_trend!L4</f>
        <v>1558918648533003</v>
      </c>
      <c r="M20" s="5">
        <f>$F20*KEEI_trend!M4</f>
        <v>1559975357843394</v>
      </c>
      <c r="N20" s="5">
        <f>$F20*KEEI_trend!N4</f>
        <v>1556092335585355.3</v>
      </c>
      <c r="O20" s="5">
        <f>$F20*KEEI_trend!O4</f>
        <v>1552209313327316.8</v>
      </c>
      <c r="P20" s="5">
        <f>$F20*KEEI_trend!P4</f>
        <v>1548326291069277.8</v>
      </c>
      <c r="Q20" s="5">
        <f>$F20*KEEI_trend!Q4</f>
        <v>1544443268811239.3</v>
      </c>
      <c r="R20" s="5">
        <f>$F20*KEEI_trend!R4</f>
        <v>1540560246553200.3</v>
      </c>
      <c r="S20" s="5">
        <f>$F20*KEEI_trend!S4</f>
        <v>1536677224295161.3</v>
      </c>
      <c r="T20" s="5">
        <f>$F20*KEEI_trend!T4</f>
        <v>1532794202037122.5</v>
      </c>
      <c r="U20" s="5">
        <f>$F20*KEEI_trend!U4</f>
        <v>1528911179779083.8</v>
      </c>
      <c r="V20" s="5">
        <f>$F20*KEEI_trend!V4</f>
        <v>1525028157521045</v>
      </c>
      <c r="W20" s="5">
        <f>$F20*KEEI_trend!W4</f>
        <v>1521145135263006.3</v>
      </c>
      <c r="X20" s="5">
        <f>$F20*KEEI_trend!X4</f>
        <v>1510946242742090</v>
      </c>
      <c r="Y20" s="5">
        <f>$F20*KEEI_trend!Y4</f>
        <v>1500747350221173.8</v>
      </c>
      <c r="Z20" s="5">
        <f>$F20*KEEI_trend!Z4</f>
        <v>1490548457700257.8</v>
      </c>
      <c r="AA20" s="5">
        <f>$F20*KEEI_trend!AA4</f>
        <v>1480349565179341.5</v>
      </c>
      <c r="AB20" s="5">
        <f>$F20*KEEI_trend!AB4</f>
        <v>1470150672658425</v>
      </c>
      <c r="AC20" s="5">
        <f>$F20*KEEI_trend!AC4</f>
        <v>1459951780137509</v>
      </c>
      <c r="AD20" s="5">
        <f>$F20*KEEI_trend!AD4</f>
        <v>1449752887616592.8</v>
      </c>
      <c r="AE20" s="5">
        <f>$F20*KEEI_trend!AE4</f>
        <v>1439553995095676.8</v>
      </c>
      <c r="AF20" s="5">
        <f>$F20*KEEI_trend!AF4</f>
        <v>1429355102574760.3</v>
      </c>
      <c r="AG20" s="5">
        <f>$F20*KEEI_trend!AG4</f>
        <v>1419156210053844</v>
      </c>
    </row>
    <row r="21" spans="1:33">
      <c r="A21" t="s">
        <v>34</v>
      </c>
      <c r="B21" s="4">
        <f>SUMIF(EB_2019!$F$92:$BK$92,$A21,EB_2019!$F$4:$BK$4)*39656668310</f>
        <v>0</v>
      </c>
      <c r="C21" s="4">
        <f>SUMIF(EB_2020!$F$92:$BK$92,$A21,EB_2020!$F$4:$BK$4)*39656668310</f>
        <v>0</v>
      </c>
      <c r="D21" s="4">
        <f>SUMIF(EB_2021!$F$92:$BK$92,$A21,EB_2021!$F$4:$BK$4)*39656668310</f>
        <v>0</v>
      </c>
      <c r="E21" s="4">
        <f>SUMIF(EB_2022!$F$92:$BK$92,$A21,EB_2022!$F$4:$BK$4)*39656668310</f>
        <v>0</v>
      </c>
      <c r="F21" s="4">
        <f>SUMIF(EB_2023!$F$92:$BK$92,$A21,EB_2023!$F$4:$BK$4)*39656668310</f>
        <v>0</v>
      </c>
      <c r="G21" s="5">
        <f>$F21*KEEI_trend!G10</f>
        <v>0</v>
      </c>
      <c r="H21" s="5">
        <f>$F21*KEEI_trend!H10</f>
        <v>0</v>
      </c>
      <c r="I21" s="5">
        <f>$F21*KEEI_trend!I10</f>
        <v>0</v>
      </c>
      <c r="J21" s="5">
        <f>$F21*KEEI_trend!J10</f>
        <v>0</v>
      </c>
      <c r="K21" s="5">
        <f>$F21*KEEI_trend!K10</f>
        <v>0</v>
      </c>
      <c r="L21" s="5">
        <f>$F21*KEEI_trend!L10</f>
        <v>0</v>
      </c>
      <c r="M21" s="5">
        <f>$F21*KEEI_trend!M10</f>
        <v>0</v>
      </c>
      <c r="N21" s="5">
        <f>$F21*KEEI_trend!N10</f>
        <v>0</v>
      </c>
      <c r="O21" s="5">
        <f>$F21*KEEI_trend!O10</f>
        <v>0</v>
      </c>
      <c r="P21" s="5">
        <f>$F21*KEEI_trend!P10</f>
        <v>0</v>
      </c>
      <c r="Q21" s="5">
        <f>$F21*KEEI_trend!Q10</f>
        <v>0</v>
      </c>
      <c r="R21" s="5">
        <f>$F21*KEEI_trend!R10</f>
        <v>0</v>
      </c>
      <c r="S21" s="5">
        <f>$F21*KEEI_trend!S10</f>
        <v>0</v>
      </c>
      <c r="T21" s="5">
        <f>$F21*KEEI_trend!T10</f>
        <v>0</v>
      </c>
      <c r="U21" s="5">
        <f>$F21*KEEI_trend!U10</f>
        <v>0</v>
      </c>
      <c r="V21" s="5">
        <f>$F21*KEEI_trend!V10</f>
        <v>0</v>
      </c>
      <c r="W21" s="5">
        <f>$F21*KEEI_trend!W10</f>
        <v>0</v>
      </c>
      <c r="X21" s="5">
        <f>$F21*KEEI_trend!X10</f>
        <v>0</v>
      </c>
      <c r="Y21" s="5">
        <f>$F21*KEEI_trend!Y10</f>
        <v>0</v>
      </c>
      <c r="Z21" s="5">
        <f>$F21*KEEI_trend!Z10</f>
        <v>0</v>
      </c>
      <c r="AA21" s="5">
        <f>$F21*KEEI_trend!AA10</f>
        <v>0</v>
      </c>
      <c r="AB21" s="5">
        <f>$F21*KEEI_trend!AB10</f>
        <v>0</v>
      </c>
      <c r="AC21" s="5">
        <f>$F21*KEEI_trend!AC10</f>
        <v>0</v>
      </c>
      <c r="AD21" s="5">
        <f>$F21*KEEI_trend!AD10</f>
        <v>0</v>
      </c>
      <c r="AE21" s="5">
        <f>$F21*KEEI_trend!AE10</f>
        <v>0</v>
      </c>
      <c r="AF21" s="5">
        <f>$F21*KEEI_trend!AF10</f>
        <v>0</v>
      </c>
      <c r="AG21" s="5">
        <f>$F21*KEEI_trend!AG10</f>
        <v>0</v>
      </c>
    </row>
    <row r="22" spans="1:33">
      <c r="A22" t="s">
        <v>35</v>
      </c>
      <c r="B22" s="4">
        <f>SUMIF(EB_2019!$F$92:$BK$92,$A22,EB_2019!$F$4:$BK$4)*39656668310</f>
        <v>0</v>
      </c>
      <c r="C22" s="4">
        <f>SUMIF(EB_2020!$F$92:$BK$92,$A22,EB_2020!$F$4:$BK$4)*39656668310</f>
        <v>0</v>
      </c>
      <c r="D22" s="4">
        <f>SUMIF(EB_2021!$F$92:$BK$92,$A22,EB_2021!$F$4:$BK$4)*39656668310</f>
        <v>0</v>
      </c>
      <c r="E22" s="4">
        <f>SUMIF(EB_2022!$F$92:$BK$92,$A22,EB_2022!$F$4:$BK$4)*39656668310</f>
        <v>0</v>
      </c>
      <c r="F22" s="4">
        <f>SUMIF(EB_2023!$F$92:$BK$92,$A22,EB_2023!$F$4:$BK$4)*39656668310</f>
        <v>0</v>
      </c>
      <c r="G22" s="5">
        <f>0</f>
        <v>0</v>
      </c>
      <c r="H22" s="5">
        <f>0</f>
        <v>0</v>
      </c>
      <c r="I22" s="5">
        <f>0</f>
        <v>0</v>
      </c>
      <c r="J22" s="5">
        <f>0</f>
        <v>0</v>
      </c>
      <c r="K22" s="5">
        <f>0</f>
        <v>0</v>
      </c>
      <c r="L22" s="5">
        <f>0</f>
        <v>0</v>
      </c>
      <c r="M22" s="5">
        <f>0</f>
        <v>0</v>
      </c>
      <c r="N22" s="5">
        <f>0</f>
        <v>0</v>
      </c>
      <c r="O22" s="5">
        <f>0</f>
        <v>0</v>
      </c>
      <c r="P22" s="5">
        <f>0</f>
        <v>0</v>
      </c>
      <c r="Q22" s="5">
        <f>0</f>
        <v>0</v>
      </c>
      <c r="R22" s="5">
        <f>0</f>
        <v>0</v>
      </c>
      <c r="S22" s="5">
        <f>0</f>
        <v>0</v>
      </c>
      <c r="T22" s="5">
        <f>0</f>
        <v>0</v>
      </c>
      <c r="U22" s="5">
        <f>0</f>
        <v>0</v>
      </c>
      <c r="V22" s="5">
        <f>0</f>
        <v>0</v>
      </c>
      <c r="W22" s="5">
        <f>0</f>
        <v>0</v>
      </c>
      <c r="X22" s="5">
        <f>0</f>
        <v>0</v>
      </c>
      <c r="Y22" s="5">
        <f>0</f>
        <v>0</v>
      </c>
      <c r="Z22" s="5">
        <f>0</f>
        <v>0</v>
      </c>
      <c r="AA22" s="5">
        <f>0</f>
        <v>0</v>
      </c>
      <c r="AB22" s="5">
        <f>0</f>
        <v>0</v>
      </c>
      <c r="AC22" s="5">
        <f>0</f>
        <v>0</v>
      </c>
      <c r="AD22" s="5">
        <f>0</f>
        <v>0</v>
      </c>
      <c r="AE22" s="5">
        <f>0</f>
        <v>0</v>
      </c>
      <c r="AF22" s="5">
        <f>0</f>
        <v>0</v>
      </c>
      <c r="AG22" s="5">
        <f>0</f>
        <v>0</v>
      </c>
    </row>
  </sheetData>
  <phoneticPr fontId="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AG22"/>
  <sheetViews>
    <sheetView tabSelected="1" workbookViewId="0">
      <pane xSplit="1" ySplit="1" topLeftCell="B2" activePane="bottomRight" state="frozen"/>
      <selection activeCell="I29" sqref="I29"/>
      <selection pane="topRight" activeCell="I29" sqref="I29"/>
      <selection pane="bottomLeft" activeCell="I29" sqref="I29"/>
      <selection pane="bottomRight" activeCell="H35" sqref="H35"/>
    </sheetView>
  </sheetViews>
  <sheetFormatPr defaultRowHeight="14.5"/>
  <cols>
    <col min="1" max="1" width="36" customWidth="1"/>
  </cols>
  <sheetData>
    <row r="1" spans="1:33" ht="17">
      <c r="A1" s="2" t="s">
        <v>230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  <c r="Q1" s="2">
        <v>2034</v>
      </c>
      <c r="R1" s="2">
        <v>2035</v>
      </c>
      <c r="S1" s="2">
        <v>2036</v>
      </c>
      <c r="T1" s="2">
        <v>2037</v>
      </c>
      <c r="U1" s="2">
        <v>2038</v>
      </c>
      <c r="V1" s="2">
        <v>2039</v>
      </c>
      <c r="W1" s="2">
        <v>2040</v>
      </c>
      <c r="X1" s="2">
        <v>2041</v>
      </c>
      <c r="Y1" s="2">
        <v>2042</v>
      </c>
      <c r="Z1" s="2">
        <v>2043</v>
      </c>
      <c r="AA1" s="2">
        <v>2044</v>
      </c>
      <c r="AB1" s="2">
        <v>2045</v>
      </c>
      <c r="AC1" s="2">
        <v>2046</v>
      </c>
      <c r="AD1" s="2">
        <v>2047</v>
      </c>
      <c r="AE1" s="2">
        <v>2048</v>
      </c>
      <c r="AF1" s="2">
        <v>2049</v>
      </c>
      <c r="AG1" s="2">
        <v>2050</v>
      </c>
    </row>
    <row r="2" spans="1:33">
      <c r="A2" t="s">
        <v>4</v>
      </c>
      <c r="B2" s="4">
        <f>-SUMIF(EB_2019!$F$92:$BK$92,$A2,EB_2019!$F$5:$BK$5)*39656668310</f>
        <v>0</v>
      </c>
      <c r="C2" s="4">
        <f>-SUMIF(EB_2020!$F$92:$BK$92,$A2,EB_2020!$F$5:$BK$5)*39656668310</f>
        <v>0</v>
      </c>
      <c r="D2" s="4">
        <f>-SUMIF(EB_2021!$F$92:$BK$92,$A2,EB_2021!$F$5:$BK$5)*39656668310</f>
        <v>0</v>
      </c>
      <c r="E2" s="4">
        <f>-SUMIF(EB_2022!$F$92:$BK$92,$A2,EB_2022!$F$5:$BK$5)*39656668310</f>
        <v>0</v>
      </c>
      <c r="F2" s="4">
        <f>-SUMIF(EB_2023!$F$92:$BK$92,$A2,EB_2023!$F$5:$BK$5)*39656668310</f>
        <v>0</v>
      </c>
      <c r="G2" s="5">
        <f t="shared" ref="G2:AG2" si="0">$F2</f>
        <v>0</v>
      </c>
      <c r="H2" s="5">
        <f t="shared" si="0"/>
        <v>0</v>
      </c>
      <c r="I2" s="5">
        <f t="shared" si="0"/>
        <v>0</v>
      </c>
      <c r="J2" s="5">
        <f t="shared" si="0"/>
        <v>0</v>
      </c>
      <c r="K2" s="5">
        <f t="shared" si="0"/>
        <v>0</v>
      </c>
      <c r="L2" s="5">
        <f t="shared" si="0"/>
        <v>0</v>
      </c>
      <c r="M2" s="5">
        <f t="shared" si="0"/>
        <v>0</v>
      </c>
      <c r="N2" s="5">
        <f t="shared" si="0"/>
        <v>0</v>
      </c>
      <c r="O2" s="5">
        <f t="shared" si="0"/>
        <v>0</v>
      </c>
      <c r="P2" s="5">
        <f t="shared" si="0"/>
        <v>0</v>
      </c>
      <c r="Q2" s="5">
        <f t="shared" si="0"/>
        <v>0</v>
      </c>
      <c r="R2" s="5">
        <f t="shared" si="0"/>
        <v>0</v>
      </c>
      <c r="S2" s="5">
        <f t="shared" si="0"/>
        <v>0</v>
      </c>
      <c r="T2" s="5">
        <f t="shared" si="0"/>
        <v>0</v>
      </c>
      <c r="U2" s="5">
        <f t="shared" si="0"/>
        <v>0</v>
      </c>
      <c r="V2" s="5">
        <f t="shared" si="0"/>
        <v>0</v>
      </c>
      <c r="W2" s="5">
        <f t="shared" si="0"/>
        <v>0</v>
      </c>
      <c r="X2" s="5">
        <f t="shared" si="0"/>
        <v>0</v>
      </c>
      <c r="Y2" s="5">
        <f t="shared" si="0"/>
        <v>0</v>
      </c>
      <c r="Z2" s="5">
        <f t="shared" si="0"/>
        <v>0</v>
      </c>
      <c r="AA2" s="5">
        <f t="shared" si="0"/>
        <v>0</v>
      </c>
      <c r="AB2" s="5">
        <f t="shared" si="0"/>
        <v>0</v>
      </c>
      <c r="AC2" s="5">
        <f t="shared" si="0"/>
        <v>0</v>
      </c>
      <c r="AD2" s="5">
        <f t="shared" si="0"/>
        <v>0</v>
      </c>
      <c r="AE2" s="5">
        <f t="shared" si="0"/>
        <v>0</v>
      </c>
      <c r="AF2" s="5">
        <f t="shared" si="0"/>
        <v>0</v>
      </c>
      <c r="AG2" s="5">
        <f t="shared" si="0"/>
        <v>0</v>
      </c>
    </row>
    <row r="3" spans="1:33">
      <c r="A3" t="s">
        <v>8</v>
      </c>
      <c r="B3" s="4">
        <f>-SUMIF(EB_2019!$F$92:$BK$92,$A3,EB_2019!$F$5:$BK$5)*39656668310</f>
        <v>471914352888.99994</v>
      </c>
      <c r="C3" s="4">
        <f>-SUMIF(EB_2020!$F$92:$BK$92,$A3,EB_2020!$F$5:$BK$5)*39656668310</f>
        <v>4378096181423.9995</v>
      </c>
      <c r="D3" s="4">
        <f>-SUMIF(EB_2021!$F$92:$BK$92,$A3,EB_2021!$F$5:$BK$5)*39656668310</f>
        <v>8597565689607.999</v>
      </c>
      <c r="E3" s="4">
        <f>-SUMIF(EB_2022!$F$92:$BK$92,$A3,EB_2022!$F$5:$BK$5)*39656668310</f>
        <v>773305032045</v>
      </c>
      <c r="F3" s="4">
        <f>-SUMIF(EB_2023!$F$92:$BK$92,$A3,EB_2023!$F$5:$BK$5)*39656668310</f>
        <v>11897000493.000002</v>
      </c>
      <c r="G3" s="5">
        <f>$F3*KEEI_trend!G5</f>
        <v>11656194804.435112</v>
      </c>
      <c r="H3" s="5">
        <f>$F3*KEEI_trend!H5</f>
        <v>11415389115.87022</v>
      </c>
      <c r="I3" s="5">
        <f>$F3*KEEI_trend!I5</f>
        <v>11174583427.30533</v>
      </c>
      <c r="J3" s="5">
        <f>$F3*KEEI_trend!J5</f>
        <v>10933777738.74044</v>
      </c>
      <c r="K3" s="5">
        <f>$F3*KEEI_trend!K5</f>
        <v>10692972050.175549</v>
      </c>
      <c r="L3" s="5">
        <f>$F3*KEEI_trend!L5</f>
        <v>10452166361.610657</v>
      </c>
      <c r="M3" s="5">
        <f>$F3*KEEI_trend!M5</f>
        <v>10211360673.045767</v>
      </c>
      <c r="N3" s="5">
        <f>$F3*KEEI_trend!N5</f>
        <v>9984512333.2870255</v>
      </c>
      <c r="O3" s="5">
        <f>$F3*KEEI_trend!O5</f>
        <v>9757663993.5282841</v>
      </c>
      <c r="P3" s="5">
        <f>$F3*KEEI_trend!P5</f>
        <v>9530815653.7695427</v>
      </c>
      <c r="Q3" s="5">
        <f>$F3*KEEI_trend!Q5</f>
        <v>9303967314.0108013</v>
      </c>
      <c r="R3" s="5">
        <f>$F3*KEEI_trend!R5</f>
        <v>9077118974.2520618</v>
      </c>
      <c r="S3" s="5">
        <f>$F3*KEEI_trend!S5</f>
        <v>8850270634.4933205</v>
      </c>
      <c r="T3" s="5">
        <f>$F3*KEEI_trend!T5</f>
        <v>8623422294.734581</v>
      </c>
      <c r="U3" s="5">
        <f>$F3*KEEI_trend!U5</f>
        <v>8396573954.9758387</v>
      </c>
      <c r="V3" s="5">
        <f>$F3*KEEI_trend!V5</f>
        <v>8169725615.2170973</v>
      </c>
      <c r="W3" s="5">
        <f>$F3*KEEI_trend!W5</f>
        <v>7942877275.4583578</v>
      </c>
      <c r="X3" s="5">
        <f>$F3*KEEI_trend!X5</f>
        <v>7714950805.7634106</v>
      </c>
      <c r="Y3" s="5">
        <f>$F3*KEEI_trend!Y5</f>
        <v>7487024336.0684652</v>
      </c>
      <c r="Z3" s="5">
        <f>$F3*KEEI_trend!Z5</f>
        <v>7259097866.3735189</v>
      </c>
      <c r="AA3" s="5">
        <f>$F3*KEEI_trend!AA5</f>
        <v>7031171396.6785736</v>
      </c>
      <c r="AB3" s="5">
        <f>$F3*KEEI_trend!AB5</f>
        <v>6803244926.9836273</v>
      </c>
      <c r="AC3" s="5">
        <f>$F3*KEEI_trend!AC5</f>
        <v>6575318457.288682</v>
      </c>
      <c r="AD3" s="5">
        <f>$F3*KEEI_trend!AD5</f>
        <v>6347391987.5937357</v>
      </c>
      <c r="AE3" s="5">
        <f>$F3*KEEI_trend!AE5</f>
        <v>6119465517.8987904</v>
      </c>
      <c r="AF3" s="5">
        <f>$F3*KEEI_trend!AF5</f>
        <v>5891539048.2038441</v>
      </c>
      <c r="AG3" s="5">
        <f>$F3*KEEI_trend!AG5</f>
        <v>5663612578.5088978</v>
      </c>
    </row>
    <row r="4" spans="1:33">
      <c r="A4" t="s">
        <v>10</v>
      </c>
      <c r="B4" s="4">
        <f>-SUMIF(EB_2019!$F$92:$BK$92,$A4,EB_2019!$F$5:$BK$5)*39656668310</f>
        <v>0</v>
      </c>
      <c r="C4" s="4">
        <f>-SUMIF(EB_2020!$F$92:$BK$92,$A4,EB_2020!$F$5:$BK$5)*39656668310</f>
        <v>0</v>
      </c>
      <c r="D4" s="4">
        <f>-SUMIF(EB_2021!$F$92:$BK$92,$A4,EB_2021!$F$5:$BK$5)*39656668310</f>
        <v>0</v>
      </c>
      <c r="E4" s="4">
        <f>-SUMIF(EB_2022!$F$92:$BK$92,$A4,EB_2022!$F$5:$BK$5)*39656668310</f>
        <v>0</v>
      </c>
      <c r="F4" s="4">
        <f>-SUMIF(EB_2023!$F$92:$BK$92,$A4,EB_2023!$F$5:$BK$5)*39656668310</f>
        <v>0</v>
      </c>
      <c r="G4" s="5">
        <f>$F4*KEEI_trend!G6</f>
        <v>0</v>
      </c>
      <c r="H4" s="5">
        <f>$F4*KEEI_trend!H6</f>
        <v>0</v>
      </c>
      <c r="I4" s="5">
        <f>$F4*KEEI_trend!I6</f>
        <v>0</v>
      </c>
      <c r="J4" s="5">
        <f>$F4*KEEI_trend!J6</f>
        <v>0</v>
      </c>
      <c r="K4" s="5">
        <f>$F4*KEEI_trend!K6</f>
        <v>0</v>
      </c>
      <c r="L4" s="5">
        <f>$F4*KEEI_trend!L6</f>
        <v>0</v>
      </c>
      <c r="M4" s="5">
        <f>$F4*KEEI_trend!M6</f>
        <v>0</v>
      </c>
      <c r="N4" s="5">
        <f>$F4*KEEI_trend!N6</f>
        <v>0</v>
      </c>
      <c r="O4" s="5">
        <f>$F4*KEEI_trend!O6</f>
        <v>0</v>
      </c>
      <c r="P4" s="5">
        <f>$F4*KEEI_trend!P6</f>
        <v>0</v>
      </c>
      <c r="Q4" s="5">
        <f>$F4*KEEI_trend!Q6</f>
        <v>0</v>
      </c>
      <c r="R4" s="5">
        <f>$F4*KEEI_trend!R6</f>
        <v>0</v>
      </c>
      <c r="S4" s="5">
        <f>$F4*KEEI_trend!S6</f>
        <v>0</v>
      </c>
      <c r="T4" s="5">
        <f>$F4*KEEI_trend!T6</f>
        <v>0</v>
      </c>
      <c r="U4" s="5">
        <f>$F4*KEEI_trend!U6</f>
        <v>0</v>
      </c>
      <c r="V4" s="5">
        <f>$F4*KEEI_trend!V6</f>
        <v>0</v>
      </c>
      <c r="W4" s="5">
        <f>$F4*KEEI_trend!W6</f>
        <v>0</v>
      </c>
      <c r="X4" s="5">
        <f>$F4*KEEI_trend!X6</f>
        <v>0</v>
      </c>
      <c r="Y4" s="5">
        <f>$F4*KEEI_trend!Y6</f>
        <v>0</v>
      </c>
      <c r="Z4" s="5">
        <f>$F4*KEEI_trend!Z6</f>
        <v>0</v>
      </c>
      <c r="AA4" s="5">
        <f>$F4*KEEI_trend!AA6</f>
        <v>0</v>
      </c>
      <c r="AB4" s="5">
        <f>$F4*KEEI_trend!AB6</f>
        <v>0</v>
      </c>
      <c r="AC4" s="5">
        <f>$F4*KEEI_trend!AC6</f>
        <v>0</v>
      </c>
      <c r="AD4" s="5">
        <f>$F4*KEEI_trend!AD6</f>
        <v>0</v>
      </c>
      <c r="AE4" s="5">
        <f>$F4*KEEI_trend!AE6</f>
        <v>0</v>
      </c>
      <c r="AF4" s="5">
        <f>$F4*KEEI_trend!AF6</f>
        <v>0</v>
      </c>
      <c r="AG4" s="5">
        <f>$F4*KEEI_trend!AG6</f>
        <v>0</v>
      </c>
    </row>
    <row r="5" spans="1:33">
      <c r="A5" t="s">
        <v>12</v>
      </c>
      <c r="B5" s="4">
        <f>-SUMIF(EB_2019!$F$92:$BK$92,$A5,EB_2019!$F$5:$BK$5)*39656668310</f>
        <v>0</v>
      </c>
      <c r="C5" s="4">
        <f>-SUMIF(EB_2020!$F$92:$BK$92,$A5,EB_2020!$F$5:$BK$5)*39656668310</f>
        <v>0</v>
      </c>
      <c r="D5" s="4">
        <f>-SUMIF(EB_2021!$F$92:$BK$92,$A5,EB_2021!$F$5:$BK$5)*39656668310</f>
        <v>0</v>
      </c>
      <c r="E5" s="4">
        <f>-SUMIF(EB_2022!$F$92:$BK$92,$A5,EB_2022!$F$5:$BK$5)*39656668310</f>
        <v>0</v>
      </c>
      <c r="F5" s="4">
        <f>-SUMIF(EB_2023!$F$92:$BK$92,$A5,EB_2023!$F$5:$BK$5)*39656668310</f>
        <v>0</v>
      </c>
      <c r="G5" s="5">
        <f>$F5*KEEI_trend!G7</f>
        <v>0</v>
      </c>
      <c r="H5" s="5">
        <f>$F5*KEEI_trend!H7</f>
        <v>0</v>
      </c>
      <c r="I5" s="5">
        <f>$F5*KEEI_trend!I7</f>
        <v>0</v>
      </c>
      <c r="J5" s="5">
        <f>$F5*KEEI_trend!J7</f>
        <v>0</v>
      </c>
      <c r="K5" s="5">
        <f>$F5*KEEI_trend!K7</f>
        <v>0</v>
      </c>
      <c r="L5" s="5">
        <f>$F5*KEEI_trend!L7</f>
        <v>0</v>
      </c>
      <c r="M5" s="5">
        <f>$F5*KEEI_trend!M7</f>
        <v>0</v>
      </c>
      <c r="N5" s="5">
        <f>$F5*KEEI_trend!N7</f>
        <v>0</v>
      </c>
      <c r="O5" s="5">
        <f>$F5*KEEI_trend!O7</f>
        <v>0</v>
      </c>
      <c r="P5" s="5">
        <f>$F5*KEEI_trend!P7</f>
        <v>0</v>
      </c>
      <c r="Q5" s="5">
        <f>$F5*KEEI_trend!Q7</f>
        <v>0</v>
      </c>
      <c r="R5" s="5">
        <f>$F5*KEEI_trend!R7</f>
        <v>0</v>
      </c>
      <c r="S5" s="5">
        <f>$F5*KEEI_trend!S7</f>
        <v>0</v>
      </c>
      <c r="T5" s="5">
        <f>$F5*KEEI_trend!T7</f>
        <v>0</v>
      </c>
      <c r="U5" s="5">
        <f>$F5*KEEI_trend!U7</f>
        <v>0</v>
      </c>
      <c r="V5" s="5">
        <f>$F5*KEEI_trend!V7</f>
        <v>0</v>
      </c>
      <c r="W5" s="5">
        <f>$F5*KEEI_trend!W7</f>
        <v>0</v>
      </c>
      <c r="X5" s="5">
        <f>$F5*KEEI_trend!X7</f>
        <v>0</v>
      </c>
      <c r="Y5" s="5">
        <f>$F5*KEEI_trend!Y7</f>
        <v>0</v>
      </c>
      <c r="Z5" s="5">
        <f>$F5*KEEI_trend!Z7</f>
        <v>0</v>
      </c>
      <c r="AA5" s="5">
        <f>$F5*KEEI_trend!AA7</f>
        <v>0</v>
      </c>
      <c r="AB5" s="5">
        <f>$F5*KEEI_trend!AB7</f>
        <v>0</v>
      </c>
      <c r="AC5" s="5">
        <f>$F5*KEEI_trend!AC7</f>
        <v>0</v>
      </c>
      <c r="AD5" s="5">
        <f>$F5*KEEI_trend!AD7</f>
        <v>0</v>
      </c>
      <c r="AE5" s="5">
        <f>$F5*KEEI_trend!AE7</f>
        <v>0</v>
      </c>
      <c r="AF5" s="5">
        <f>$F5*KEEI_trend!AF7</f>
        <v>0</v>
      </c>
      <c r="AG5" s="5">
        <f>$F5*KEEI_trend!AG7</f>
        <v>0</v>
      </c>
    </row>
    <row r="6" spans="1:33">
      <c r="A6" t="s">
        <v>14</v>
      </c>
      <c r="B6" s="4">
        <f>-SUMIF(EB_2019!$F$92:$BK$92,$A6,EB_2019!$F$5:$BK$5)*39656668310</f>
        <v>0</v>
      </c>
      <c r="C6" s="4">
        <f>-SUMIF(EB_2020!$F$92:$BK$92,$A6,EB_2020!$F$5:$BK$5)*39656668310</f>
        <v>0</v>
      </c>
      <c r="D6" s="4">
        <f>-SUMIF(EB_2021!$F$92:$BK$92,$A6,EB_2021!$F$5:$BK$5)*39656668310</f>
        <v>0</v>
      </c>
      <c r="E6" s="4">
        <f>-SUMIF(EB_2022!$F$92:$BK$92,$A6,EB_2022!$F$5:$BK$5)*39656668310</f>
        <v>0</v>
      </c>
      <c r="F6" s="4">
        <f>-SUMIF(EB_2023!$F$92:$BK$92,$A6,EB_2023!$F$5:$BK$5)*39656668310</f>
        <v>0</v>
      </c>
      <c r="G6" s="5">
        <f>$F6*KEEI_trend!G8</f>
        <v>0</v>
      </c>
      <c r="H6" s="5">
        <f>$F6*KEEI_trend!H8</f>
        <v>0</v>
      </c>
      <c r="I6" s="5">
        <f>$F6*KEEI_trend!I8</f>
        <v>0</v>
      </c>
      <c r="J6" s="5">
        <f>$F6*KEEI_trend!J8</f>
        <v>0</v>
      </c>
      <c r="K6" s="5">
        <f>$F6*KEEI_trend!K8</f>
        <v>0</v>
      </c>
      <c r="L6" s="5">
        <f>$F6*KEEI_trend!L8</f>
        <v>0</v>
      </c>
      <c r="M6" s="5">
        <f>$F6*KEEI_trend!M8</f>
        <v>0</v>
      </c>
      <c r="N6" s="5">
        <f>$F6*KEEI_trend!N8</f>
        <v>0</v>
      </c>
      <c r="O6" s="5">
        <f>$F6*KEEI_trend!O8</f>
        <v>0</v>
      </c>
      <c r="P6" s="5">
        <f>$F6*KEEI_trend!P8</f>
        <v>0</v>
      </c>
      <c r="Q6" s="5">
        <f>$F6*KEEI_trend!Q8</f>
        <v>0</v>
      </c>
      <c r="R6" s="5">
        <f>$F6*KEEI_trend!R8</f>
        <v>0</v>
      </c>
      <c r="S6" s="5">
        <f>$F6*KEEI_trend!S8</f>
        <v>0</v>
      </c>
      <c r="T6" s="5">
        <f>$F6*KEEI_trend!T8</f>
        <v>0</v>
      </c>
      <c r="U6" s="5">
        <f>$F6*KEEI_trend!U8</f>
        <v>0</v>
      </c>
      <c r="V6" s="5">
        <f>$F6*KEEI_trend!V8</f>
        <v>0</v>
      </c>
      <c r="W6" s="5">
        <f>$F6*KEEI_trend!W8</f>
        <v>0</v>
      </c>
      <c r="X6" s="5">
        <f>$F6*KEEI_trend!X8</f>
        <v>0</v>
      </c>
      <c r="Y6" s="5">
        <f>$F6*KEEI_trend!Y8</f>
        <v>0</v>
      </c>
      <c r="Z6" s="5">
        <f>$F6*KEEI_trend!Z8</f>
        <v>0</v>
      </c>
      <c r="AA6" s="5">
        <f>$F6*KEEI_trend!AA8</f>
        <v>0</v>
      </c>
      <c r="AB6" s="5">
        <f>$F6*KEEI_trend!AB8</f>
        <v>0</v>
      </c>
      <c r="AC6" s="5">
        <f>$F6*KEEI_trend!AC8</f>
        <v>0</v>
      </c>
      <c r="AD6" s="5">
        <f>$F6*KEEI_trend!AD8</f>
        <v>0</v>
      </c>
      <c r="AE6" s="5">
        <f>$F6*KEEI_trend!AE8</f>
        <v>0</v>
      </c>
      <c r="AF6" s="5">
        <f>$F6*KEEI_trend!AF8</f>
        <v>0</v>
      </c>
      <c r="AG6" s="5">
        <f>$F6*KEEI_trend!AG8</f>
        <v>0</v>
      </c>
    </row>
    <row r="7" spans="1:33">
      <c r="A7" t="s">
        <v>16</v>
      </c>
      <c r="B7" s="4">
        <f>-SUMIF(EB_2019!$F$92:$BK$92,$A7,EB_2019!$F$5:$BK$5)*39656668310</f>
        <v>0</v>
      </c>
      <c r="C7" s="4">
        <f>-SUMIF(EB_2020!$F$92:$BK$92,$A7,EB_2020!$F$5:$BK$5)*39656668310</f>
        <v>0</v>
      </c>
      <c r="D7" s="4">
        <f>-SUMIF(EB_2021!$F$92:$BK$92,$A7,EB_2021!$F$5:$BK$5)*39656668310</f>
        <v>0</v>
      </c>
      <c r="E7" s="4">
        <f>-SUMIF(EB_2022!$F$92:$BK$92,$A7,EB_2022!$F$5:$BK$5)*39656668310</f>
        <v>0</v>
      </c>
      <c r="F7" s="4">
        <f>-SUMIF(EB_2023!$F$92:$BK$92,$A7,EB_2023!$F$5:$BK$5)*39656668310</f>
        <v>0</v>
      </c>
      <c r="G7" s="5">
        <f>$F7*KEEI_trend!G9</f>
        <v>0</v>
      </c>
      <c r="H7" s="5">
        <f>$F7*KEEI_trend!H9</f>
        <v>0</v>
      </c>
      <c r="I7" s="5">
        <f>$F7*KEEI_trend!I9</f>
        <v>0</v>
      </c>
      <c r="J7" s="5">
        <f>$F7*KEEI_trend!J9</f>
        <v>0</v>
      </c>
      <c r="K7" s="5">
        <f>$F7*KEEI_trend!K9</f>
        <v>0</v>
      </c>
      <c r="L7" s="5">
        <f>$F7*KEEI_trend!L9</f>
        <v>0</v>
      </c>
      <c r="M7" s="5">
        <f>$F7*KEEI_trend!M9</f>
        <v>0</v>
      </c>
      <c r="N7" s="5">
        <f>$F7*KEEI_trend!N9</f>
        <v>0</v>
      </c>
      <c r="O7" s="5">
        <f>$F7*KEEI_trend!O9</f>
        <v>0</v>
      </c>
      <c r="P7" s="5">
        <f>$F7*KEEI_trend!P9</f>
        <v>0</v>
      </c>
      <c r="Q7" s="5">
        <f>$F7*KEEI_trend!Q9</f>
        <v>0</v>
      </c>
      <c r="R7" s="5">
        <f>$F7*KEEI_trend!R9</f>
        <v>0</v>
      </c>
      <c r="S7" s="5">
        <f>$F7*KEEI_trend!S9</f>
        <v>0</v>
      </c>
      <c r="T7" s="5">
        <f>$F7*KEEI_trend!T9</f>
        <v>0</v>
      </c>
      <c r="U7" s="5">
        <f>$F7*KEEI_trend!U9</f>
        <v>0</v>
      </c>
      <c r="V7" s="5">
        <f>$F7*KEEI_trend!V9</f>
        <v>0</v>
      </c>
      <c r="W7" s="5">
        <f>$F7*KEEI_trend!W9</f>
        <v>0</v>
      </c>
      <c r="X7" s="5">
        <f>$F7*KEEI_trend!X9</f>
        <v>0</v>
      </c>
      <c r="Y7" s="5">
        <f>$F7*KEEI_trend!Y9</f>
        <v>0</v>
      </c>
      <c r="Z7" s="5">
        <f>$F7*KEEI_trend!Z9</f>
        <v>0</v>
      </c>
      <c r="AA7" s="5">
        <f>$F7*KEEI_trend!AA9</f>
        <v>0</v>
      </c>
      <c r="AB7" s="5">
        <f>$F7*KEEI_trend!AB9</f>
        <v>0</v>
      </c>
      <c r="AC7" s="5">
        <f>$F7*KEEI_trend!AC9</f>
        <v>0</v>
      </c>
      <c r="AD7" s="5">
        <f>$F7*KEEI_trend!AD9</f>
        <v>0</v>
      </c>
      <c r="AE7" s="5">
        <f>$F7*KEEI_trend!AE9</f>
        <v>0</v>
      </c>
      <c r="AF7" s="5">
        <f>$F7*KEEI_trend!AF9</f>
        <v>0</v>
      </c>
      <c r="AG7" s="5">
        <f>$F7*KEEI_trend!AG9</f>
        <v>0</v>
      </c>
    </row>
    <row r="8" spans="1:33">
      <c r="A8" t="s">
        <v>18</v>
      </c>
      <c r="B8" s="4">
        <f>-SUMIF(EB_2019!$F$92:$BK$92,$A8,EB_2019!$F$5:$BK$5)*39656668310</f>
        <v>0</v>
      </c>
      <c r="C8" s="4">
        <f>-SUMIF(EB_2020!$F$92:$BK$92,$A8,EB_2020!$F$5:$BK$5)*39656668310</f>
        <v>0</v>
      </c>
      <c r="D8" s="4">
        <f>-SUMIF(EB_2021!$F$92:$BK$92,$A8,EB_2021!$F$5:$BK$5)*39656668310</f>
        <v>0</v>
      </c>
      <c r="E8" s="4">
        <f>-SUMIF(EB_2022!$F$92:$BK$92,$A8,EB_2022!$F$5:$BK$5)*39656668310</f>
        <v>0</v>
      </c>
      <c r="F8" s="4">
        <f>-SUMIF(EB_2023!$F$92:$BK$92,$A8,EB_2023!$F$5:$BK$5)*39656668310</f>
        <v>0</v>
      </c>
      <c r="G8" s="5">
        <f>$F8*KEEI_trend!G9</f>
        <v>0</v>
      </c>
      <c r="H8" s="5">
        <f>$F8*KEEI_trend!H9</f>
        <v>0</v>
      </c>
      <c r="I8" s="5">
        <f>$F8*KEEI_trend!I9</f>
        <v>0</v>
      </c>
      <c r="J8" s="5">
        <f>$F8*KEEI_trend!J9</f>
        <v>0</v>
      </c>
      <c r="K8" s="5">
        <f>$F8*KEEI_trend!K9</f>
        <v>0</v>
      </c>
      <c r="L8" s="5">
        <f>$F8*KEEI_trend!L9</f>
        <v>0</v>
      </c>
      <c r="M8" s="5">
        <f>$F8*KEEI_trend!M9</f>
        <v>0</v>
      </c>
      <c r="N8" s="5">
        <f>$F8*KEEI_trend!N9</f>
        <v>0</v>
      </c>
      <c r="O8" s="5">
        <f>$F8*KEEI_trend!O9</f>
        <v>0</v>
      </c>
      <c r="P8" s="5">
        <f>$F8*KEEI_trend!P9</f>
        <v>0</v>
      </c>
      <c r="Q8" s="5">
        <f>$F8*KEEI_trend!Q9</f>
        <v>0</v>
      </c>
      <c r="R8" s="5">
        <f>$F8*KEEI_trend!R9</f>
        <v>0</v>
      </c>
      <c r="S8" s="5">
        <f>$F8*KEEI_trend!S9</f>
        <v>0</v>
      </c>
      <c r="T8" s="5">
        <f>$F8*KEEI_trend!T9</f>
        <v>0</v>
      </c>
      <c r="U8" s="5">
        <f>$F8*KEEI_trend!U9</f>
        <v>0</v>
      </c>
      <c r="V8" s="5">
        <f>$F8*KEEI_trend!V9</f>
        <v>0</v>
      </c>
      <c r="W8" s="5">
        <f>$F8*KEEI_trend!W9</f>
        <v>0</v>
      </c>
      <c r="X8" s="5">
        <f>$F8*KEEI_trend!X9</f>
        <v>0</v>
      </c>
      <c r="Y8" s="5">
        <f>$F8*KEEI_trend!Y9</f>
        <v>0</v>
      </c>
      <c r="Z8" s="5">
        <f>$F8*KEEI_trend!Z9</f>
        <v>0</v>
      </c>
      <c r="AA8" s="5">
        <f>$F8*KEEI_trend!AA9</f>
        <v>0</v>
      </c>
      <c r="AB8" s="5">
        <f>$F8*KEEI_trend!AB9</f>
        <v>0</v>
      </c>
      <c r="AC8" s="5">
        <f>$F8*KEEI_trend!AC9</f>
        <v>0</v>
      </c>
      <c r="AD8" s="5">
        <f>$F8*KEEI_trend!AD9</f>
        <v>0</v>
      </c>
      <c r="AE8" s="5">
        <f>$F8*KEEI_trend!AE9</f>
        <v>0</v>
      </c>
      <c r="AF8" s="5">
        <f>$F8*KEEI_trend!AF9</f>
        <v>0</v>
      </c>
      <c r="AG8" s="5">
        <f>$F8*KEEI_trend!AG9</f>
        <v>0</v>
      </c>
    </row>
    <row r="9" spans="1:33">
      <c r="A9" t="s">
        <v>19</v>
      </c>
      <c r="B9" s="4">
        <f>-SUMIF(EB_2019!$F$92:$BK$92,$A9,EB_2019!$F$5:$BK$5)*39656668310</f>
        <v>0</v>
      </c>
      <c r="C9" s="4">
        <f>-SUMIF(EB_2020!$F$92:$BK$92,$A9,EB_2020!$F$5:$BK$5)*39656668310</f>
        <v>0</v>
      </c>
      <c r="D9" s="4">
        <f>-SUMIF(EB_2021!$F$92:$BK$92,$A9,EB_2021!$F$5:$BK$5)*39656668310</f>
        <v>0</v>
      </c>
      <c r="E9" s="4">
        <f>-SUMIF(EB_2022!$F$92:$BK$92,$A9,EB_2022!$F$5:$BK$5)*39656668310</f>
        <v>0</v>
      </c>
      <c r="F9" s="4">
        <f>-SUMIF(EB_2023!$F$92:$BK$92,$A9,EB_2023!$F$5:$BK$5)*39656668310</f>
        <v>0</v>
      </c>
      <c r="G9" s="5">
        <f>$F9*KEEI_trend!G10</f>
        <v>0</v>
      </c>
      <c r="H9" s="5">
        <f>$F9*KEEI_trend!H10</f>
        <v>0</v>
      </c>
      <c r="I9" s="5">
        <f>$F9*KEEI_trend!I10</f>
        <v>0</v>
      </c>
      <c r="J9" s="5">
        <f>$F9*KEEI_trend!J10</f>
        <v>0</v>
      </c>
      <c r="K9" s="5">
        <f>$F9*KEEI_trend!K10</f>
        <v>0</v>
      </c>
      <c r="L9" s="5">
        <f>$F9*KEEI_trend!L10</f>
        <v>0</v>
      </c>
      <c r="M9" s="5">
        <f>$F9*KEEI_trend!M10</f>
        <v>0</v>
      </c>
      <c r="N9" s="5">
        <f>$F9*KEEI_trend!N10</f>
        <v>0</v>
      </c>
      <c r="O9" s="5">
        <f>$F9*KEEI_trend!O10</f>
        <v>0</v>
      </c>
      <c r="P9" s="5">
        <f>$F9*KEEI_trend!P10</f>
        <v>0</v>
      </c>
      <c r="Q9" s="5">
        <f>$F9*KEEI_trend!Q10</f>
        <v>0</v>
      </c>
      <c r="R9" s="5">
        <f>$F9*KEEI_trend!R10</f>
        <v>0</v>
      </c>
      <c r="S9" s="5">
        <f>$F9*KEEI_trend!S10</f>
        <v>0</v>
      </c>
      <c r="T9" s="5">
        <f>$F9*KEEI_trend!T10</f>
        <v>0</v>
      </c>
      <c r="U9" s="5">
        <f>$F9*KEEI_trend!U10</f>
        <v>0</v>
      </c>
      <c r="V9" s="5">
        <f>$F9*KEEI_trend!V10</f>
        <v>0</v>
      </c>
      <c r="W9" s="5">
        <f>$F9*KEEI_trend!W10</f>
        <v>0</v>
      </c>
      <c r="X9" s="5">
        <f>$F9*KEEI_trend!X10</f>
        <v>0</v>
      </c>
      <c r="Y9" s="5">
        <f>$F9*KEEI_trend!Y10</f>
        <v>0</v>
      </c>
      <c r="Z9" s="5">
        <f>$F9*KEEI_trend!Z10</f>
        <v>0</v>
      </c>
      <c r="AA9" s="5">
        <f>$F9*KEEI_trend!AA10</f>
        <v>0</v>
      </c>
      <c r="AB9" s="5">
        <f>$F9*KEEI_trend!AB10</f>
        <v>0</v>
      </c>
      <c r="AC9" s="5">
        <f>$F9*KEEI_trend!AC10</f>
        <v>0</v>
      </c>
      <c r="AD9" s="5">
        <f>$F9*KEEI_trend!AD10</f>
        <v>0</v>
      </c>
      <c r="AE9" s="5">
        <f>$F9*KEEI_trend!AE10</f>
        <v>0</v>
      </c>
      <c r="AF9" s="5">
        <f>$F9*KEEI_trend!AF10</f>
        <v>0</v>
      </c>
      <c r="AG9" s="5">
        <f>$F9*KEEI_trend!AG10</f>
        <v>0</v>
      </c>
    </row>
    <row r="10" spans="1:33">
      <c r="A10" t="s">
        <v>21</v>
      </c>
      <c r="B10" s="4">
        <f>-SUMIF(EB_2019!$F$92:$BK$92,$A10,EB_2019!$F$5:$BK$5)*39656668310</f>
        <v>433721015639639</v>
      </c>
      <c r="C10" s="4">
        <f>-SUMIF(EB_2020!$F$92:$BK$92,$A10,EB_2020!$F$5:$BK$5)*39656668310</f>
        <v>365745520489468.06</v>
      </c>
      <c r="D10" s="4">
        <f>-SUMIF(EB_2021!$F$92:$BK$92,$A10,EB_2021!$F$5:$BK$5)*39656668310</f>
        <v>485120023436230</v>
      </c>
      <c r="E10" s="4">
        <f>-SUMIF(EB_2022!$F$92:$BK$92,$A10,EB_2022!$F$5:$BK$5)*39656668310</f>
        <v>490834549339701</v>
      </c>
      <c r="F10" s="4">
        <f>-SUMIF(EB_2023!$F$92:$BK$92,$A10,EB_2023!$F$5:$BK$5)*39656668310</f>
        <v>499309179357548.06</v>
      </c>
      <c r="G10" s="5">
        <f>$F10*KEEI_trend!G4</f>
        <v>499649017050177.19</v>
      </c>
      <c r="H10" s="5">
        <f>$F10*KEEI_trend!H4</f>
        <v>499988854742806.25</v>
      </c>
      <c r="I10" s="5">
        <f>$F10*KEEI_trend!I4</f>
        <v>500328692435435.25</v>
      </c>
      <c r="J10" s="5">
        <f>$F10*KEEI_trend!J4</f>
        <v>500668530128064.38</v>
      </c>
      <c r="K10" s="5">
        <f>$F10*KEEI_trend!K4</f>
        <v>501008367820693.5</v>
      </c>
      <c r="L10" s="5">
        <f>$F10*KEEI_trend!L4</f>
        <v>501348205513322.63</v>
      </c>
      <c r="M10" s="5">
        <f>$F10*KEEI_trend!M4</f>
        <v>501688043205951.63</v>
      </c>
      <c r="N10" s="5">
        <f>$F10*KEEI_trend!N4</f>
        <v>500439263327111.94</v>
      </c>
      <c r="O10" s="5">
        <f>$F10*KEEI_trend!O4</f>
        <v>499190483448272.19</v>
      </c>
      <c r="P10" s="5">
        <f>$F10*KEEI_trend!P4</f>
        <v>497941703569432.44</v>
      </c>
      <c r="Q10" s="5">
        <f>$F10*KEEI_trend!Q4</f>
        <v>496692923690592.75</v>
      </c>
      <c r="R10" s="5">
        <f>$F10*KEEI_trend!R4</f>
        <v>495444143811753</v>
      </c>
      <c r="S10" s="5">
        <f>$F10*KEEI_trend!S4</f>
        <v>494195363932913.19</v>
      </c>
      <c r="T10" s="5">
        <f>$F10*KEEI_trend!T4</f>
        <v>492946584054073.5</v>
      </c>
      <c r="U10" s="5">
        <f>$F10*KEEI_trend!U4</f>
        <v>491697804175233.75</v>
      </c>
      <c r="V10" s="5">
        <f>$F10*KEEI_trend!V4</f>
        <v>490449024296394.06</v>
      </c>
      <c r="W10" s="5">
        <f>$F10*KEEI_trend!W4</f>
        <v>489200244417554.31</v>
      </c>
      <c r="X10" s="5">
        <f>$F10*KEEI_trend!X4</f>
        <v>485920280791231.5</v>
      </c>
      <c r="Y10" s="5">
        <f>$F10*KEEI_trend!Y4</f>
        <v>482640317164908.69</v>
      </c>
      <c r="Z10" s="5">
        <f>$F10*KEEI_trend!Z4</f>
        <v>479360353538585.88</v>
      </c>
      <c r="AA10" s="5">
        <f>$F10*KEEI_trend!AA4</f>
        <v>476080389912263.06</v>
      </c>
      <c r="AB10" s="5">
        <f>$F10*KEEI_trend!AB4</f>
        <v>472800426285940.19</v>
      </c>
      <c r="AC10" s="5">
        <f>$F10*KEEI_trend!AC4</f>
        <v>469520462659617.38</v>
      </c>
      <c r="AD10" s="5">
        <f>$F10*KEEI_trend!AD4</f>
        <v>466240499033294.56</v>
      </c>
      <c r="AE10" s="5">
        <f>$F10*KEEI_trend!AE4</f>
        <v>462960535406971.75</v>
      </c>
      <c r="AF10" s="5">
        <f>$F10*KEEI_trend!AF4</f>
        <v>459680571780648.88</v>
      </c>
      <c r="AG10" s="5">
        <f>$F10*KEEI_trend!AG4</f>
        <v>456400608154326.06</v>
      </c>
    </row>
    <row r="11" spans="1:33">
      <c r="A11" t="s">
        <v>24</v>
      </c>
      <c r="B11" s="4">
        <f>-SUMIF(EB_2019!$F$92:$BK$92,$A11,EB_2019!$F$5:$BK$5)*39656668310</f>
        <v>1249557824447114</v>
      </c>
      <c r="C11" s="4">
        <f>-SUMIF(EB_2020!$F$92:$BK$92,$A11,EB_2020!$F$5:$BK$5)*39656668310</f>
        <v>1274529628481921</v>
      </c>
      <c r="D11" s="4">
        <f>-SUMIF(EB_2021!$F$92:$BK$92,$A11,EB_2021!$F$5:$BK$5)*39656668310</f>
        <v>1131626824226836</v>
      </c>
      <c r="E11" s="4">
        <f>-SUMIF(EB_2022!$F$92:$BK$92,$A11,EB_2022!$F$5:$BK$5)*39656668310</f>
        <v>1250319232478666</v>
      </c>
      <c r="F11" s="4">
        <f>-SUMIF(EB_2023!$F$92:$BK$92,$A11,EB_2023!$F$5:$BK$5)*39656668310</f>
        <v>1200744431424335</v>
      </c>
      <c r="G11" s="5">
        <f>$F11*KEEI_trend!G4</f>
        <v>1201561676998585.3</v>
      </c>
      <c r="H11" s="5">
        <f>$F11*KEEI_trend!H4</f>
        <v>1202378922572835.5</v>
      </c>
      <c r="I11" s="5">
        <f>$F11*KEEI_trend!I4</f>
        <v>1203196168147085.5</v>
      </c>
      <c r="J11" s="5">
        <f>$F11*KEEI_trend!J4</f>
        <v>1204013413721335.8</v>
      </c>
      <c r="K11" s="5">
        <f>$F11*KEEI_trend!K4</f>
        <v>1204830659295586.3</v>
      </c>
      <c r="L11" s="5">
        <f>$F11*KEEI_trend!L4</f>
        <v>1205647904869836.5</v>
      </c>
      <c r="M11" s="5">
        <f>$F11*KEEI_trend!M4</f>
        <v>1206465150444086.5</v>
      </c>
      <c r="N11" s="5">
        <f>$F11*KEEI_trend!N4</f>
        <v>1203462070293385.3</v>
      </c>
      <c r="O11" s="5">
        <f>$F11*KEEI_trend!O4</f>
        <v>1200458990142684.3</v>
      </c>
      <c r="P11" s="5">
        <f>$F11*KEEI_trend!P4</f>
        <v>1197455909991983</v>
      </c>
      <c r="Q11" s="5">
        <f>$F11*KEEI_trend!Q4</f>
        <v>1194452829841281.8</v>
      </c>
      <c r="R11" s="5">
        <f>$F11*KEEI_trend!R4</f>
        <v>1191449749690580.5</v>
      </c>
      <c r="S11" s="5">
        <f>$F11*KEEI_trend!S4</f>
        <v>1188446669539879.3</v>
      </c>
      <c r="T11" s="5">
        <f>$F11*KEEI_trend!T4</f>
        <v>1185443589389178</v>
      </c>
      <c r="U11" s="5">
        <f>$F11*KEEI_trend!U4</f>
        <v>1182440509238476.8</v>
      </c>
      <c r="V11" s="5">
        <f>$F11*KEEI_trend!V4</f>
        <v>1179437429087775.8</v>
      </c>
      <c r="W11" s="5">
        <f>$F11*KEEI_trend!W4</f>
        <v>1176434348937074.5</v>
      </c>
      <c r="X11" s="5">
        <f>$F11*KEEI_trend!X4</f>
        <v>1168546654854123.8</v>
      </c>
      <c r="Y11" s="5">
        <f>$F11*KEEI_trend!Y4</f>
        <v>1160658960771173</v>
      </c>
      <c r="Z11" s="5">
        <f>$F11*KEEI_trend!Z4</f>
        <v>1152771266688222.5</v>
      </c>
      <c r="AA11" s="5">
        <f>$F11*KEEI_trend!AA4</f>
        <v>1144883572605271.8</v>
      </c>
      <c r="AB11" s="5">
        <f>$F11*KEEI_trend!AB4</f>
        <v>1136995878522321</v>
      </c>
      <c r="AC11" s="5">
        <f>$F11*KEEI_trend!AC4</f>
        <v>1129108184439370.3</v>
      </c>
      <c r="AD11" s="5">
        <f>$F11*KEEI_trend!AD4</f>
        <v>1121220490356419.5</v>
      </c>
      <c r="AE11" s="5">
        <f>$F11*KEEI_trend!AE4</f>
        <v>1113332796273468.9</v>
      </c>
      <c r="AF11" s="5">
        <f>$F11*KEEI_trend!AF4</f>
        <v>1105445102190518.1</v>
      </c>
      <c r="AG11" s="5">
        <f>$F11*KEEI_trend!AG4</f>
        <v>1097557408107567.4</v>
      </c>
    </row>
    <row r="12" spans="1:33">
      <c r="A12" t="s">
        <v>25</v>
      </c>
      <c r="B12" s="4">
        <f>-SUMIF(EB_2019!$F$92:$BK$92,$A12,EB_2019!$F$5:$BK$5)*39656668310</f>
        <v>0</v>
      </c>
      <c r="C12" s="4">
        <f>-SUMIF(EB_2020!$F$92:$BK$92,$A12,EB_2020!$F$5:$BK$5)*39656668310</f>
        <v>0</v>
      </c>
      <c r="D12" s="4">
        <f>-SUMIF(EB_2021!$F$92:$BK$92,$A12,EB_2021!$F$5:$BK$5)*39656668310</f>
        <v>0</v>
      </c>
      <c r="E12" s="4">
        <f>-SUMIF(EB_2022!$F$92:$BK$92,$A12,EB_2022!$F$5:$BK$5)*39656668310</f>
        <v>0</v>
      </c>
      <c r="F12" s="4">
        <f>-SUMIF(EB_2023!$F$92:$BK$92,$A12,EB_2023!$F$5:$BK$5)*39656668310</f>
        <v>0</v>
      </c>
      <c r="G12" s="5">
        <f>$F12*KEEI_trend!G10</f>
        <v>0</v>
      </c>
      <c r="H12" s="5">
        <f>$F12*KEEI_trend!H10</f>
        <v>0</v>
      </c>
      <c r="I12" s="5">
        <f>$F12*KEEI_trend!I10</f>
        <v>0</v>
      </c>
      <c r="J12" s="5">
        <f>$F12*KEEI_trend!J10</f>
        <v>0</v>
      </c>
      <c r="K12" s="5">
        <f>$F12*KEEI_trend!K10</f>
        <v>0</v>
      </c>
      <c r="L12" s="5">
        <f>$F12*KEEI_trend!L10</f>
        <v>0</v>
      </c>
      <c r="M12" s="5">
        <f>$F12*KEEI_trend!M10</f>
        <v>0</v>
      </c>
      <c r="N12" s="5">
        <f>$F12*KEEI_trend!N10</f>
        <v>0</v>
      </c>
      <c r="O12" s="5">
        <f>$F12*KEEI_trend!O10</f>
        <v>0</v>
      </c>
      <c r="P12" s="5">
        <f>$F12*KEEI_trend!P10</f>
        <v>0</v>
      </c>
      <c r="Q12" s="5">
        <f>$F12*KEEI_trend!Q10</f>
        <v>0</v>
      </c>
      <c r="R12" s="5">
        <f>$F12*KEEI_trend!R10</f>
        <v>0</v>
      </c>
      <c r="S12" s="5">
        <f>$F12*KEEI_trend!S10</f>
        <v>0</v>
      </c>
      <c r="T12" s="5">
        <f>$F12*KEEI_trend!T10</f>
        <v>0</v>
      </c>
      <c r="U12" s="5">
        <f>$F12*KEEI_trend!U10</f>
        <v>0</v>
      </c>
      <c r="V12" s="5">
        <f>$F12*KEEI_trend!V10</f>
        <v>0</v>
      </c>
      <c r="W12" s="5">
        <f>$F12*KEEI_trend!W10</f>
        <v>0</v>
      </c>
      <c r="X12" s="5">
        <f>$F12*KEEI_trend!X10</f>
        <v>0</v>
      </c>
      <c r="Y12" s="5">
        <f>$F12*KEEI_trend!Y10</f>
        <v>0</v>
      </c>
      <c r="Z12" s="5">
        <f>$F12*KEEI_trend!Z10</f>
        <v>0</v>
      </c>
      <c r="AA12" s="5">
        <f>$F12*KEEI_trend!AA10</f>
        <v>0</v>
      </c>
      <c r="AB12" s="5">
        <f>$F12*KEEI_trend!AB10</f>
        <v>0</v>
      </c>
      <c r="AC12" s="5">
        <f>$F12*KEEI_trend!AC10</f>
        <v>0</v>
      </c>
      <c r="AD12" s="5">
        <f>$F12*KEEI_trend!AD10</f>
        <v>0</v>
      </c>
      <c r="AE12" s="5">
        <f>$F12*KEEI_trend!AE10</f>
        <v>0</v>
      </c>
      <c r="AF12" s="5">
        <f>$F12*KEEI_trend!AF10</f>
        <v>0</v>
      </c>
      <c r="AG12" s="5">
        <f>$F12*KEEI_trend!AG10</f>
        <v>0</v>
      </c>
    </row>
    <row r="13" spans="1:33">
      <c r="A13" t="s">
        <v>26</v>
      </c>
      <c r="B13" s="4">
        <f>-SUMIF(EB_2019!$F$92:$BK$92,$A13,EB_2019!$F$5:$BK$5)*39656668310</f>
        <v>0</v>
      </c>
      <c r="C13" s="4">
        <f>-SUMIF(EB_2020!$F$92:$BK$92,$A13,EB_2020!$F$5:$BK$5)*39656668310</f>
        <v>0</v>
      </c>
      <c r="D13" s="4">
        <f>-SUMIF(EB_2021!$F$92:$BK$92,$A13,EB_2021!$F$5:$BK$5)*39656668310</f>
        <v>0</v>
      </c>
      <c r="E13" s="4">
        <f>-SUMIF(EB_2022!$F$92:$BK$92,$A13,EB_2022!$F$5:$BK$5)*39656668310</f>
        <v>0</v>
      </c>
      <c r="F13" s="4">
        <f>-SUMIF(EB_2023!$F$92:$BK$92,$A13,EB_2023!$F$5:$BK$5)*39656668310</f>
        <v>0</v>
      </c>
      <c r="G13" s="5">
        <f>$F13*KEEI_trend!G10</f>
        <v>0</v>
      </c>
      <c r="H13" s="5">
        <f>$F13*KEEI_trend!H10</f>
        <v>0</v>
      </c>
      <c r="I13" s="5">
        <f>$F13*KEEI_trend!I10</f>
        <v>0</v>
      </c>
      <c r="J13" s="5">
        <f>$F13*KEEI_trend!J10</f>
        <v>0</v>
      </c>
      <c r="K13" s="5">
        <f>$F13*KEEI_trend!K10</f>
        <v>0</v>
      </c>
      <c r="L13" s="5">
        <f>$F13*KEEI_trend!L10</f>
        <v>0</v>
      </c>
      <c r="M13" s="5">
        <f>$F13*KEEI_trend!M10</f>
        <v>0</v>
      </c>
      <c r="N13" s="5">
        <f>$F13*KEEI_trend!N10</f>
        <v>0</v>
      </c>
      <c r="O13" s="5">
        <f>$F13*KEEI_trend!O10</f>
        <v>0</v>
      </c>
      <c r="P13" s="5">
        <f>$F13*KEEI_trend!P10</f>
        <v>0</v>
      </c>
      <c r="Q13" s="5">
        <f>$F13*KEEI_trend!Q10</f>
        <v>0</v>
      </c>
      <c r="R13" s="5">
        <f>$F13*KEEI_trend!R10</f>
        <v>0</v>
      </c>
      <c r="S13" s="5">
        <f>$F13*KEEI_trend!S10</f>
        <v>0</v>
      </c>
      <c r="T13" s="5">
        <f>$F13*KEEI_trend!T10</f>
        <v>0</v>
      </c>
      <c r="U13" s="5">
        <f>$F13*KEEI_trend!U10</f>
        <v>0</v>
      </c>
      <c r="V13" s="5">
        <f>$F13*KEEI_trend!V10</f>
        <v>0</v>
      </c>
      <c r="W13" s="5">
        <f>$F13*KEEI_trend!W10</f>
        <v>0</v>
      </c>
      <c r="X13" s="5">
        <f>$F13*KEEI_trend!X10</f>
        <v>0</v>
      </c>
      <c r="Y13" s="5">
        <f>$F13*KEEI_trend!Y10</f>
        <v>0</v>
      </c>
      <c r="Z13" s="5">
        <f>$F13*KEEI_trend!Z10</f>
        <v>0</v>
      </c>
      <c r="AA13" s="5">
        <f>$F13*KEEI_trend!AA10</f>
        <v>0</v>
      </c>
      <c r="AB13" s="5">
        <f>$F13*KEEI_trend!AB10</f>
        <v>0</v>
      </c>
      <c r="AC13" s="5">
        <f>$F13*KEEI_trend!AC10</f>
        <v>0</v>
      </c>
      <c r="AD13" s="5">
        <f>$F13*KEEI_trend!AD10</f>
        <v>0</v>
      </c>
      <c r="AE13" s="5">
        <f>$F13*KEEI_trend!AE10</f>
        <v>0</v>
      </c>
      <c r="AF13" s="5">
        <f>$F13*KEEI_trend!AF10</f>
        <v>0</v>
      </c>
      <c r="AG13" s="5">
        <f>$F13*KEEI_trend!AG10</f>
        <v>0</v>
      </c>
    </row>
    <row r="14" spans="1:33">
      <c r="A14" t="s">
        <v>27</v>
      </c>
      <c r="B14" s="4">
        <f>-SUMIF(EB_2019!$F$92:$BK$92,$A14,EB_2019!$F$5:$BK$5)*39656668310</f>
        <v>653450683411687</v>
      </c>
      <c r="C14" s="4">
        <f>-SUMIF(EB_2020!$F$92:$BK$92,$A14,EB_2020!$F$5:$BK$5)*39656668310</f>
        <v>486904573510180</v>
      </c>
      <c r="D14" s="4">
        <f>-SUMIF(EB_2021!$F$92:$BK$92,$A14,EB_2021!$F$5:$BK$5)*39656668310</f>
        <v>402729329355374</v>
      </c>
      <c r="E14" s="4">
        <f>-SUMIF(EB_2022!$F$92:$BK$92,$A14,EB_2022!$F$5:$BK$5)*39656668310</f>
        <v>498607256328461</v>
      </c>
      <c r="F14" s="4">
        <f>-SUMIF(EB_2023!$F$92:$BK$92,$A14,EB_2023!$F$5:$BK$5)*39656668310</f>
        <v>531316076350549</v>
      </c>
      <c r="G14" s="5">
        <f>$F14*KEEI_trend!G4</f>
        <v>531677698441446.75</v>
      </c>
      <c r="H14" s="5">
        <f>$F14*KEEI_trend!H4</f>
        <v>532039320532344.5</v>
      </c>
      <c r="I14" s="5">
        <f>$F14*KEEI_trend!I4</f>
        <v>532400942623242.19</v>
      </c>
      <c r="J14" s="5">
        <f>$F14*KEEI_trend!J4</f>
        <v>532762564714139.94</v>
      </c>
      <c r="K14" s="5">
        <f>$F14*KEEI_trend!K4</f>
        <v>533124186805037.69</v>
      </c>
      <c r="L14" s="5">
        <f>$F14*KEEI_trend!L4</f>
        <v>533485808895935.44</v>
      </c>
      <c r="M14" s="5">
        <f>$F14*KEEI_trend!M4</f>
        <v>533847430986833.13</v>
      </c>
      <c r="N14" s="5">
        <f>$F14*KEEI_trend!N4</f>
        <v>532518601370072.75</v>
      </c>
      <c r="O14" s="5">
        <f>$F14*KEEI_trend!O4</f>
        <v>531189771753312.38</v>
      </c>
      <c r="P14" s="5">
        <f>$F14*KEEI_trend!P4</f>
        <v>529860942136551.94</v>
      </c>
      <c r="Q14" s="5">
        <f>$F14*KEEI_trend!Q4</f>
        <v>528532112519791.63</v>
      </c>
      <c r="R14" s="5">
        <f>$F14*KEEI_trend!R4</f>
        <v>527203282903031.19</v>
      </c>
      <c r="S14" s="5">
        <f>$F14*KEEI_trend!S4</f>
        <v>525874453286270.69</v>
      </c>
      <c r="T14" s="5">
        <f>$F14*KEEI_trend!T4</f>
        <v>524545623669510.31</v>
      </c>
      <c r="U14" s="5">
        <f>$F14*KEEI_trend!U4</f>
        <v>523216794052749.94</v>
      </c>
      <c r="V14" s="5">
        <f>$F14*KEEI_trend!V4</f>
        <v>521887964435989.56</v>
      </c>
      <c r="W14" s="5">
        <f>$F14*KEEI_trend!W4</f>
        <v>520559134819229.13</v>
      </c>
      <c r="X14" s="5">
        <f>$F14*KEEI_trend!X4</f>
        <v>517068917782256.88</v>
      </c>
      <c r="Y14" s="5">
        <f>$F14*KEEI_trend!Y4</f>
        <v>513578700745284.56</v>
      </c>
      <c r="Z14" s="5">
        <f>$F14*KEEI_trend!Z4</f>
        <v>510088483708312.31</v>
      </c>
      <c r="AA14" s="5">
        <f>$F14*KEEI_trend!AA4</f>
        <v>506598266671340.06</v>
      </c>
      <c r="AB14" s="5">
        <f>$F14*KEEI_trend!AB4</f>
        <v>503108049634367.75</v>
      </c>
      <c r="AC14" s="5">
        <f>$F14*KEEI_trend!AC4</f>
        <v>499617832597395.5</v>
      </c>
      <c r="AD14" s="5">
        <f>$F14*KEEI_trend!AD4</f>
        <v>496127615560423.19</v>
      </c>
      <c r="AE14" s="5">
        <f>$F14*KEEI_trend!AE4</f>
        <v>492637398523450.94</v>
      </c>
      <c r="AF14" s="5">
        <f>$F14*KEEI_trend!AF4</f>
        <v>489147181486478.63</v>
      </c>
      <c r="AG14" s="5">
        <f>$F14*KEEI_trend!AG4</f>
        <v>485656964449506.31</v>
      </c>
    </row>
    <row r="15" spans="1:33">
      <c r="A15" t="s">
        <v>28</v>
      </c>
      <c r="B15" s="4">
        <f>-SUMIF(EB_2019!$F$92:$BK$92,$A15,EB_2019!$F$5:$BK$5)*39656668310</f>
        <v>0</v>
      </c>
      <c r="C15" s="4">
        <f>-SUMIF(EB_2020!$F$92:$BK$92,$A15,EB_2020!$F$5:$BK$5)*39656668310</f>
        <v>0</v>
      </c>
      <c r="D15" s="4">
        <f>-SUMIF(EB_2021!$F$92:$BK$92,$A15,EB_2021!$F$5:$BK$5)*39656668310</f>
        <v>0</v>
      </c>
      <c r="E15" s="4">
        <f>-SUMIF(EB_2022!$F$92:$BK$92,$A15,EB_2022!$F$5:$BK$5)*39656668310</f>
        <v>0</v>
      </c>
      <c r="F15" s="4">
        <f>-SUMIF(EB_2023!$F$92:$BK$92,$A15,EB_2023!$F$5:$BK$5)*39656668310</f>
        <v>0</v>
      </c>
      <c r="G15" s="5">
        <f t="shared" ref="G15:AG15" si="1">$F15</f>
        <v>0</v>
      </c>
      <c r="H15" s="5">
        <f t="shared" si="1"/>
        <v>0</v>
      </c>
      <c r="I15" s="5">
        <f t="shared" si="1"/>
        <v>0</v>
      </c>
      <c r="J15" s="5">
        <f t="shared" si="1"/>
        <v>0</v>
      </c>
      <c r="K15" s="5">
        <f t="shared" si="1"/>
        <v>0</v>
      </c>
      <c r="L15" s="5">
        <f t="shared" si="1"/>
        <v>0</v>
      </c>
      <c r="M15" s="5">
        <f t="shared" si="1"/>
        <v>0</v>
      </c>
      <c r="N15" s="5">
        <f t="shared" si="1"/>
        <v>0</v>
      </c>
      <c r="O15" s="5">
        <f t="shared" si="1"/>
        <v>0</v>
      </c>
      <c r="P15" s="5">
        <f t="shared" si="1"/>
        <v>0</v>
      </c>
      <c r="Q15" s="5">
        <f t="shared" si="1"/>
        <v>0</v>
      </c>
      <c r="R15" s="5">
        <f t="shared" si="1"/>
        <v>0</v>
      </c>
      <c r="S15" s="5">
        <f t="shared" si="1"/>
        <v>0</v>
      </c>
      <c r="T15" s="5">
        <f t="shared" si="1"/>
        <v>0</v>
      </c>
      <c r="U15" s="5">
        <f t="shared" si="1"/>
        <v>0</v>
      </c>
      <c r="V15" s="5">
        <f t="shared" si="1"/>
        <v>0</v>
      </c>
      <c r="W15" s="5">
        <f t="shared" si="1"/>
        <v>0</v>
      </c>
      <c r="X15" s="5">
        <f t="shared" si="1"/>
        <v>0</v>
      </c>
      <c r="Y15" s="5">
        <f t="shared" si="1"/>
        <v>0</v>
      </c>
      <c r="Z15" s="5">
        <f t="shared" si="1"/>
        <v>0</v>
      </c>
      <c r="AA15" s="5">
        <f t="shared" si="1"/>
        <v>0</v>
      </c>
      <c r="AB15" s="5">
        <f t="shared" si="1"/>
        <v>0</v>
      </c>
      <c r="AC15" s="5">
        <f t="shared" si="1"/>
        <v>0</v>
      </c>
      <c r="AD15" s="5">
        <f t="shared" si="1"/>
        <v>0</v>
      </c>
      <c r="AE15" s="5">
        <f t="shared" si="1"/>
        <v>0</v>
      </c>
      <c r="AF15" s="5">
        <f t="shared" si="1"/>
        <v>0</v>
      </c>
      <c r="AG15" s="5">
        <f t="shared" si="1"/>
        <v>0</v>
      </c>
    </row>
    <row r="16" spans="1:33">
      <c r="A16" t="s">
        <v>29</v>
      </c>
      <c r="B16" s="4">
        <f>-SUMIF(EB_2019!$F$92:$BK$92,$A16,EB_2019!$F$5:$BK$5)*39656668310</f>
        <v>0</v>
      </c>
      <c r="C16" s="4">
        <f>-SUMIF(EB_2020!$F$92:$BK$92,$A16,EB_2020!$F$5:$BK$5)*39656668310</f>
        <v>0</v>
      </c>
      <c r="D16" s="4">
        <f>-SUMIF(EB_2021!$F$92:$BK$92,$A16,EB_2021!$F$5:$BK$5)*39656668310</f>
        <v>0</v>
      </c>
      <c r="E16" s="4">
        <f>-SUMIF(EB_2022!$F$92:$BK$92,$A16,EB_2022!$F$5:$BK$5)*39656668310</f>
        <v>0</v>
      </c>
      <c r="F16" s="4">
        <f>-SUMIF(EB_2023!$F$92:$BK$92,$A16,EB_2023!$F$5:$BK$5)*39656668310</f>
        <v>0</v>
      </c>
      <c r="G16" s="5">
        <f>$F16*KEEI_trend!G10</f>
        <v>0</v>
      </c>
      <c r="H16" s="5">
        <f>$F16*KEEI_trend!H10</f>
        <v>0</v>
      </c>
      <c r="I16" s="5">
        <f>$F16*KEEI_trend!I10</f>
        <v>0</v>
      </c>
      <c r="J16" s="5">
        <f>$F16*KEEI_trend!J10</f>
        <v>0</v>
      </c>
      <c r="K16" s="5">
        <f>$F16*KEEI_trend!K10</f>
        <v>0</v>
      </c>
      <c r="L16" s="5">
        <f>$F16*KEEI_trend!L10</f>
        <v>0</v>
      </c>
      <c r="M16" s="5">
        <f>$F16*KEEI_trend!M10</f>
        <v>0</v>
      </c>
      <c r="N16" s="5">
        <f>$F16*KEEI_trend!N10</f>
        <v>0</v>
      </c>
      <c r="O16" s="5">
        <f>$F16*KEEI_trend!O10</f>
        <v>0</v>
      </c>
      <c r="P16" s="5">
        <f>$F16*KEEI_trend!P10</f>
        <v>0</v>
      </c>
      <c r="Q16" s="5">
        <f>$F16*KEEI_trend!Q10</f>
        <v>0</v>
      </c>
      <c r="R16" s="5">
        <f>$F16*KEEI_trend!R10</f>
        <v>0</v>
      </c>
      <c r="S16" s="5">
        <f>$F16*KEEI_trend!S10</f>
        <v>0</v>
      </c>
      <c r="T16" s="5">
        <f>$F16*KEEI_trend!T10</f>
        <v>0</v>
      </c>
      <c r="U16" s="5">
        <f>$F16*KEEI_trend!U10</f>
        <v>0</v>
      </c>
      <c r="V16" s="5">
        <f>$F16*KEEI_trend!V10</f>
        <v>0</v>
      </c>
      <c r="W16" s="5">
        <f>$F16*KEEI_trend!W10</f>
        <v>0</v>
      </c>
      <c r="X16" s="5">
        <f>$F16*KEEI_trend!X10</f>
        <v>0</v>
      </c>
      <c r="Y16" s="5">
        <f>$F16*KEEI_trend!Y10</f>
        <v>0</v>
      </c>
      <c r="Z16" s="5">
        <f>$F16*KEEI_trend!Z10</f>
        <v>0</v>
      </c>
      <c r="AA16" s="5">
        <f>$F16*KEEI_trend!AA10</f>
        <v>0</v>
      </c>
      <c r="AB16" s="5">
        <f>$F16*KEEI_trend!AB10</f>
        <v>0</v>
      </c>
      <c r="AC16" s="5">
        <f>$F16*KEEI_trend!AC10</f>
        <v>0</v>
      </c>
      <c r="AD16" s="5">
        <f>$F16*KEEI_trend!AD10</f>
        <v>0</v>
      </c>
      <c r="AE16" s="5">
        <f>$F16*KEEI_trend!AE10</f>
        <v>0</v>
      </c>
      <c r="AF16" s="5">
        <f>$F16*KEEI_trend!AF10</f>
        <v>0</v>
      </c>
      <c r="AG16" s="5">
        <f>$F16*KEEI_trend!AG10</f>
        <v>0</v>
      </c>
    </row>
    <row r="17" spans="1:33">
      <c r="A17" t="s">
        <v>30</v>
      </c>
      <c r="B17" s="4">
        <f>-SUMIF(EB_2019!$F$92:$BK$92,$A17,EB_2019!$F$5:$BK$5)*39656668310</f>
        <v>0</v>
      </c>
      <c r="C17" s="4">
        <f>-SUMIF(EB_2020!$F$92:$BK$92,$A17,EB_2020!$F$5:$BK$5)*39656668310</f>
        <v>0</v>
      </c>
      <c r="D17" s="4">
        <f>-SUMIF(EB_2021!$F$92:$BK$92,$A17,EB_2021!$F$5:$BK$5)*39656668310</f>
        <v>0</v>
      </c>
      <c r="E17" s="4">
        <f>-SUMIF(EB_2022!$F$92:$BK$92,$A17,EB_2022!$F$5:$BK$5)*39656668310</f>
        <v>0</v>
      </c>
      <c r="F17" s="4">
        <f>-SUMIF(EB_2023!$F$92:$BK$92,$A17,EB_2023!$F$5:$BK$5)*39656668310</f>
        <v>0</v>
      </c>
      <c r="G17" s="5">
        <f>$F17*KEEI_trend!G5</f>
        <v>0</v>
      </c>
      <c r="H17" s="5">
        <f>$F17*KEEI_trend!H5</f>
        <v>0</v>
      </c>
      <c r="I17" s="5">
        <f>$F17*KEEI_trend!I5</f>
        <v>0</v>
      </c>
      <c r="J17" s="5">
        <f>$F17*KEEI_trend!J5</f>
        <v>0</v>
      </c>
      <c r="K17" s="5">
        <f>$F17*KEEI_trend!K5</f>
        <v>0</v>
      </c>
      <c r="L17" s="5">
        <f>$F17*KEEI_trend!L5</f>
        <v>0</v>
      </c>
      <c r="M17" s="5">
        <f>$F17*KEEI_trend!M5</f>
        <v>0</v>
      </c>
      <c r="N17" s="5">
        <f>$F17*KEEI_trend!N5</f>
        <v>0</v>
      </c>
      <c r="O17" s="5">
        <f>$F17*KEEI_trend!O5</f>
        <v>0</v>
      </c>
      <c r="P17" s="5">
        <f>$F17*KEEI_trend!P5</f>
        <v>0</v>
      </c>
      <c r="Q17" s="5">
        <f>$F17*KEEI_trend!Q5</f>
        <v>0</v>
      </c>
      <c r="R17" s="5">
        <f>$F17*KEEI_trend!R5</f>
        <v>0</v>
      </c>
      <c r="S17" s="5">
        <f>$F17*KEEI_trend!S5</f>
        <v>0</v>
      </c>
      <c r="T17" s="5">
        <f>$F17*KEEI_trend!T5</f>
        <v>0</v>
      </c>
      <c r="U17" s="5">
        <f>$F17*KEEI_trend!U5</f>
        <v>0</v>
      </c>
      <c r="V17" s="5">
        <f>$F17*KEEI_trend!V5</f>
        <v>0</v>
      </c>
      <c r="W17" s="5">
        <f>$F17*KEEI_trend!W5</f>
        <v>0</v>
      </c>
      <c r="X17" s="5">
        <f>$F17*KEEI_trend!X5</f>
        <v>0</v>
      </c>
      <c r="Y17" s="5">
        <f>$F17*KEEI_trend!Y5</f>
        <v>0</v>
      </c>
      <c r="Z17" s="5">
        <f>$F17*KEEI_trend!Z5</f>
        <v>0</v>
      </c>
      <c r="AA17" s="5">
        <f>$F17*KEEI_trend!AA5</f>
        <v>0</v>
      </c>
      <c r="AB17" s="5">
        <f>$F17*KEEI_trend!AB5</f>
        <v>0</v>
      </c>
      <c r="AC17" s="5">
        <f>$F17*KEEI_trend!AC5</f>
        <v>0</v>
      </c>
      <c r="AD17" s="5">
        <f>$F17*KEEI_trend!AD5</f>
        <v>0</v>
      </c>
      <c r="AE17" s="5">
        <f>$F17*KEEI_trend!AE5</f>
        <v>0</v>
      </c>
      <c r="AF17" s="5">
        <f>$F17*KEEI_trend!AF5</f>
        <v>0</v>
      </c>
      <c r="AG17" s="5">
        <f>$F17*KEEI_trend!AG5</f>
        <v>0</v>
      </c>
    </row>
    <row r="18" spans="1:33">
      <c r="A18" t="s">
        <v>31</v>
      </c>
      <c r="B18" s="4">
        <f>-SUMIF(EB_2019!$F$92:$BK$92,$A18,EB_2019!$F$5:$BK$5)*39656668310</f>
        <v>5476585893611</v>
      </c>
      <c r="C18" s="4">
        <f>-SUMIF(EB_2020!$F$92:$BK$92,$A18,EB_2020!$F$5:$BK$5)*39656668310</f>
        <v>3164602131138</v>
      </c>
      <c r="D18" s="4">
        <f>-SUMIF(EB_2021!$F$92:$BK$92,$A18,EB_2021!$F$5:$BK$5)*39656668310</f>
        <v>12801172530468</v>
      </c>
      <c r="E18" s="4">
        <f>-SUMIF(EB_2022!$F$92:$BK$92,$A18,EB_2022!$F$5:$BK$5)*39656668310</f>
        <v>13138254211103</v>
      </c>
      <c r="F18" s="4">
        <f>-SUMIF(EB_2023!$F$92:$BK$92,$A18,EB_2023!$F$5:$BK$5)*39656668310</f>
        <v>18472076098798</v>
      </c>
      <c r="G18" s="5">
        <f>$F18*KEEI_trend!G4</f>
        <v>18484648484764.469</v>
      </c>
      <c r="H18" s="5">
        <f>$F18*KEEI_trend!H4</f>
        <v>18497220870730.941</v>
      </c>
      <c r="I18" s="5">
        <f>$F18*KEEI_trend!I4</f>
        <v>18509793256697.406</v>
      </c>
      <c r="J18" s="5">
        <f>$F18*KEEI_trend!J4</f>
        <v>18522365642663.879</v>
      </c>
      <c r="K18" s="5">
        <f>$F18*KEEI_trend!K4</f>
        <v>18534938028630.348</v>
      </c>
      <c r="L18" s="5">
        <f>$F18*KEEI_trend!L4</f>
        <v>18547510414596.82</v>
      </c>
      <c r="M18" s="5">
        <f>$F18*KEEI_trend!M4</f>
        <v>18560082800563.285</v>
      </c>
      <c r="N18" s="5">
        <f>$F18*KEEI_trend!N4</f>
        <v>18513883856289.41</v>
      </c>
      <c r="O18" s="5">
        <f>$F18*KEEI_trend!O4</f>
        <v>18467684912015.531</v>
      </c>
      <c r="P18" s="5">
        <f>$F18*KEEI_trend!P4</f>
        <v>18421485967741.652</v>
      </c>
      <c r="Q18" s="5">
        <f>$F18*KEEI_trend!Q4</f>
        <v>18375287023467.777</v>
      </c>
      <c r="R18" s="5">
        <f>$F18*KEEI_trend!R4</f>
        <v>18329088079193.898</v>
      </c>
      <c r="S18" s="5">
        <f>$F18*KEEI_trend!S4</f>
        <v>18282889134920.016</v>
      </c>
      <c r="T18" s="5">
        <f>$F18*KEEI_trend!T4</f>
        <v>18236690190646.141</v>
      </c>
      <c r="U18" s="5">
        <f>$F18*KEEI_trend!U4</f>
        <v>18190491246372.262</v>
      </c>
      <c r="V18" s="5">
        <f>$F18*KEEI_trend!V4</f>
        <v>18144292302098.383</v>
      </c>
      <c r="W18" s="5">
        <f>$F18*KEEI_trend!W4</f>
        <v>18098093357824.504</v>
      </c>
      <c r="X18" s="5">
        <f>$F18*KEEI_trend!X4</f>
        <v>17976750229735.648</v>
      </c>
      <c r="Y18" s="5">
        <f>$F18*KEEI_trend!Y4</f>
        <v>17855407101646.793</v>
      </c>
      <c r="Z18" s="5">
        <f>$F18*KEEI_trend!Z4</f>
        <v>17734063973557.938</v>
      </c>
      <c r="AA18" s="5">
        <f>$F18*KEEI_trend!AA4</f>
        <v>17612720845469.078</v>
      </c>
      <c r="AB18" s="5">
        <f>$F18*KEEI_trend!AB4</f>
        <v>17491377717380.223</v>
      </c>
      <c r="AC18" s="5">
        <f>$F18*KEEI_trend!AC4</f>
        <v>17370034589291.367</v>
      </c>
      <c r="AD18" s="5">
        <f>$F18*KEEI_trend!AD4</f>
        <v>17248691461202.51</v>
      </c>
      <c r="AE18" s="5">
        <f>$F18*KEEI_trend!AE4</f>
        <v>17127348333113.656</v>
      </c>
      <c r="AF18" s="5">
        <f>$F18*KEEI_trend!AF4</f>
        <v>17006005205024.799</v>
      </c>
      <c r="AG18" s="5">
        <f>$F18*KEEI_trend!AG4</f>
        <v>16884662076935.941</v>
      </c>
    </row>
    <row r="19" spans="1:33">
      <c r="A19" t="s">
        <v>32</v>
      </c>
      <c r="B19" s="4">
        <f>-SUMIF(EB_2019!$F$92:$BK$92,$A19,EB_2019!$F$5:$BK$5)*39656668310</f>
        <v>280360747951207.03</v>
      </c>
      <c r="C19" s="4">
        <f>-SUMIF(EB_2020!$F$92:$BK$92,$A19,EB_2020!$F$5:$BK$5)*39656668310</f>
        <v>257022798650772</v>
      </c>
      <c r="D19" s="4">
        <f>-SUMIF(EB_2021!$F$92:$BK$92,$A19,EB_2021!$F$5:$BK$5)*39656668310</f>
        <v>268265464116657.03</v>
      </c>
      <c r="E19" s="4">
        <f>-SUMIF(EB_2022!$F$92:$BK$92,$A19,EB_2022!$F$5:$BK$5)*39656668310</f>
        <v>328503943279547</v>
      </c>
      <c r="F19" s="4">
        <f>-SUMIF(EB_2023!$F$92:$BK$92,$A19,EB_2023!$F$5:$BK$5)*39656668310</f>
        <v>280872318972405.97</v>
      </c>
      <c r="G19" s="5">
        <f>$F19*KEEI_trend!G4</f>
        <v>281063485097021.94</v>
      </c>
      <c r="H19" s="5">
        <f>$F19*KEEI_trend!H4</f>
        <v>281254651221637.94</v>
      </c>
      <c r="I19" s="5">
        <f>$F19*KEEI_trend!I4</f>
        <v>281445817346253.84</v>
      </c>
      <c r="J19" s="5">
        <f>$F19*KEEI_trend!J4</f>
        <v>281636983470869.81</v>
      </c>
      <c r="K19" s="5">
        <f>$F19*KEEI_trend!K4</f>
        <v>281828149595485.81</v>
      </c>
      <c r="L19" s="5">
        <f>$F19*KEEI_trend!L4</f>
        <v>282019315720101.81</v>
      </c>
      <c r="M19" s="5">
        <f>$F19*KEEI_trend!M4</f>
        <v>282210481844717.75</v>
      </c>
      <c r="N19" s="5">
        <f>$F19*KEEI_trend!N4</f>
        <v>281508015887838.88</v>
      </c>
      <c r="O19" s="5">
        <f>$F19*KEEI_trend!O4</f>
        <v>280805549930960.06</v>
      </c>
      <c r="P19" s="5">
        <f>$F19*KEEI_trend!P4</f>
        <v>280103083974081.19</v>
      </c>
      <c r="Q19" s="5">
        <f>$F19*KEEI_trend!Q4</f>
        <v>279400618017202.38</v>
      </c>
      <c r="R19" s="5">
        <f>$F19*KEEI_trend!R4</f>
        <v>278698152060323.5</v>
      </c>
      <c r="S19" s="5">
        <f>$F19*KEEI_trend!S4</f>
        <v>277995686103444.59</v>
      </c>
      <c r="T19" s="5">
        <f>$F19*KEEI_trend!T4</f>
        <v>277293220146565.75</v>
      </c>
      <c r="U19" s="5">
        <f>$F19*KEEI_trend!U4</f>
        <v>276590754189686.91</v>
      </c>
      <c r="V19" s="5">
        <f>$F19*KEEI_trend!V4</f>
        <v>275888288232808.06</v>
      </c>
      <c r="W19" s="5">
        <f>$F19*KEEI_trend!W4</f>
        <v>275185822275929.19</v>
      </c>
      <c r="X19" s="5">
        <f>$F19*KEEI_trend!X4</f>
        <v>273340771097307.22</v>
      </c>
      <c r="Y19" s="5">
        <f>$F19*KEEI_trend!Y4</f>
        <v>271495719918685.19</v>
      </c>
      <c r="Z19" s="5">
        <f>$F19*KEEI_trend!Z4</f>
        <v>269650668740063.19</v>
      </c>
      <c r="AA19" s="5">
        <f>$F19*KEEI_trend!AA4</f>
        <v>267805617561441.16</v>
      </c>
      <c r="AB19" s="5">
        <f>$F19*KEEI_trend!AB4</f>
        <v>265960566382819.13</v>
      </c>
      <c r="AC19" s="5">
        <f>$F19*KEEI_trend!AC4</f>
        <v>264115515204197.16</v>
      </c>
      <c r="AD19" s="5">
        <f>$F19*KEEI_trend!AD4</f>
        <v>262270464025575.13</v>
      </c>
      <c r="AE19" s="5">
        <f>$F19*KEEI_trend!AE4</f>
        <v>260425412846953.13</v>
      </c>
      <c r="AF19" s="5">
        <f>$F19*KEEI_trend!AF4</f>
        <v>258580361668331.09</v>
      </c>
      <c r="AG19" s="5">
        <f>$F19*KEEI_trend!AG4</f>
        <v>256735310489709.06</v>
      </c>
    </row>
    <row r="20" spans="1:33">
      <c r="A20" t="s">
        <v>33</v>
      </c>
      <c r="B20" s="4">
        <f>-SUMIF(EB_2019!$F$92:$BK$92,$A20,EB_2019!$F$5:$BK$5)*39656668310</f>
        <v>253029372151955</v>
      </c>
      <c r="C20" s="4">
        <f>-SUMIF(EB_2020!$F$92:$BK$92,$A20,EB_2020!$F$5:$BK$5)*39656668310</f>
        <v>201713643358815</v>
      </c>
      <c r="D20" s="4">
        <f>-SUMIF(EB_2021!$F$92:$BK$92,$A20,EB_2021!$F$5:$BK$5)*39656668310</f>
        <v>164416546813260</v>
      </c>
      <c r="E20" s="4">
        <f>-SUMIF(EB_2022!$F$92:$BK$92,$A20,EB_2022!$F$5:$BK$5)*39656668310</f>
        <v>167533560942425.97</v>
      </c>
      <c r="F20" s="4">
        <f>-SUMIF(EB_2023!$F$92:$BK$92,$A20,EB_2023!$F$5:$BK$5)*39656668310</f>
        <v>195971357787527</v>
      </c>
      <c r="G20" s="5">
        <f>$F20*KEEI_trend!G4</f>
        <v>196104738980593.78</v>
      </c>
      <c r="H20" s="5">
        <f>$F20*KEEI_trend!H4</f>
        <v>196238120173660.56</v>
      </c>
      <c r="I20" s="5">
        <f>$F20*KEEI_trend!I4</f>
        <v>196371501366727.31</v>
      </c>
      <c r="J20" s="5">
        <f>$F20*KEEI_trend!J4</f>
        <v>196504882559794.09</v>
      </c>
      <c r="K20" s="5">
        <f>$F20*KEEI_trend!K4</f>
        <v>196638263752860.88</v>
      </c>
      <c r="L20" s="5">
        <f>$F20*KEEI_trend!L4</f>
        <v>196771644945927.66</v>
      </c>
      <c r="M20" s="5">
        <f>$F20*KEEI_trend!M4</f>
        <v>196905026138994.41</v>
      </c>
      <c r="N20" s="5">
        <f>$F20*KEEI_trend!N4</f>
        <v>196414898781935.13</v>
      </c>
      <c r="O20" s="5">
        <f>$F20*KEEI_trend!O4</f>
        <v>195924771424875.81</v>
      </c>
      <c r="P20" s="5">
        <f>$F20*KEEI_trend!P4</f>
        <v>195434644067816.5</v>
      </c>
      <c r="Q20" s="5">
        <f>$F20*KEEI_trend!Q4</f>
        <v>194944516710757.22</v>
      </c>
      <c r="R20" s="5">
        <f>$F20*KEEI_trend!R4</f>
        <v>194454389353697.91</v>
      </c>
      <c r="S20" s="5">
        <f>$F20*KEEI_trend!S4</f>
        <v>193964261996638.56</v>
      </c>
      <c r="T20" s="5">
        <f>$F20*KEEI_trend!T4</f>
        <v>193474134639579.28</v>
      </c>
      <c r="U20" s="5">
        <f>$F20*KEEI_trend!U4</f>
        <v>192984007282519.97</v>
      </c>
      <c r="V20" s="5">
        <f>$F20*KEEI_trend!V4</f>
        <v>192493879925460.69</v>
      </c>
      <c r="W20" s="5">
        <f>$F20*KEEI_trend!W4</f>
        <v>192003752568401.38</v>
      </c>
      <c r="X20" s="5">
        <f>$F20*KEEI_trend!X4</f>
        <v>190716416080473.72</v>
      </c>
      <c r="Y20" s="5">
        <f>$F20*KEEI_trend!Y4</f>
        <v>189429079592546.06</v>
      </c>
      <c r="Z20" s="5">
        <f>$F20*KEEI_trend!Z4</f>
        <v>188141743104618.41</v>
      </c>
      <c r="AA20" s="5">
        <f>$F20*KEEI_trend!AA4</f>
        <v>186854406616690.75</v>
      </c>
      <c r="AB20" s="5">
        <f>$F20*KEEI_trend!AB4</f>
        <v>185567070128763.09</v>
      </c>
      <c r="AC20" s="5">
        <f>$F20*KEEI_trend!AC4</f>
        <v>184279733640835.44</v>
      </c>
      <c r="AD20" s="5">
        <f>$F20*KEEI_trend!AD4</f>
        <v>182992397152907.78</v>
      </c>
      <c r="AE20" s="5">
        <f>$F20*KEEI_trend!AE4</f>
        <v>181705060664980.16</v>
      </c>
      <c r="AF20" s="5">
        <f>$F20*KEEI_trend!AF4</f>
        <v>180417724177052.47</v>
      </c>
      <c r="AG20" s="5">
        <f>$F20*KEEI_trend!AG4</f>
        <v>179130387689124.81</v>
      </c>
    </row>
    <row r="21" spans="1:33">
      <c r="A21" t="s">
        <v>34</v>
      </c>
      <c r="B21" s="4">
        <f>-SUMIF(EB_2019!$F$92:$BK$92,$A21,EB_2019!$F$5:$BK$5)*39656668310</f>
        <v>0</v>
      </c>
      <c r="C21" s="4">
        <f>-SUMIF(EB_2020!$F$92:$BK$92,$A21,EB_2020!$F$5:$BK$5)*39656668310</f>
        <v>0</v>
      </c>
      <c r="D21" s="4">
        <f>-SUMIF(EB_2021!$F$92:$BK$92,$A21,EB_2021!$F$5:$BK$5)*39656668310</f>
        <v>0</v>
      </c>
      <c r="E21" s="4">
        <f>-SUMIF(EB_2022!$F$92:$BK$92,$A21,EB_2022!$F$5:$BK$5)*39656668310</f>
        <v>0</v>
      </c>
      <c r="F21" s="4">
        <f>-SUMIF(EB_2023!$F$92:$BK$92,$A21,EB_2023!$F$5:$BK$5)*39656668310</f>
        <v>0</v>
      </c>
      <c r="G21" s="5">
        <f>$F21*KEEI_trend!G10</f>
        <v>0</v>
      </c>
      <c r="H21" s="5">
        <f>$F21*KEEI_trend!H10</f>
        <v>0</v>
      </c>
      <c r="I21" s="5">
        <f>$F21*KEEI_trend!I10</f>
        <v>0</v>
      </c>
      <c r="J21" s="5">
        <f>$F21*KEEI_trend!J10</f>
        <v>0</v>
      </c>
      <c r="K21" s="5">
        <f>$F21*KEEI_trend!K10</f>
        <v>0</v>
      </c>
      <c r="L21" s="5">
        <f>$F21*KEEI_trend!L10</f>
        <v>0</v>
      </c>
      <c r="M21" s="5">
        <f>$F21*KEEI_trend!M10</f>
        <v>0</v>
      </c>
      <c r="N21" s="5">
        <f>$F21*KEEI_trend!N10</f>
        <v>0</v>
      </c>
      <c r="O21" s="5">
        <f>$F21*KEEI_trend!O10</f>
        <v>0</v>
      </c>
      <c r="P21" s="5">
        <f>$F21*KEEI_trend!P10</f>
        <v>0</v>
      </c>
      <c r="Q21" s="5">
        <f>$F21*KEEI_trend!Q10</f>
        <v>0</v>
      </c>
      <c r="R21" s="5">
        <f>$F21*KEEI_trend!R10</f>
        <v>0</v>
      </c>
      <c r="S21" s="5">
        <f>$F21*KEEI_trend!S10</f>
        <v>0</v>
      </c>
      <c r="T21" s="5">
        <f>$F21*KEEI_trend!T10</f>
        <v>0</v>
      </c>
      <c r="U21" s="5">
        <f>$F21*KEEI_trend!U10</f>
        <v>0</v>
      </c>
      <c r="V21" s="5">
        <f>$F21*KEEI_trend!V10</f>
        <v>0</v>
      </c>
      <c r="W21" s="5">
        <f>$F21*KEEI_trend!W10</f>
        <v>0</v>
      </c>
      <c r="X21" s="5">
        <f>$F21*KEEI_trend!X10</f>
        <v>0</v>
      </c>
      <c r="Y21" s="5">
        <f>$F21*KEEI_trend!Y10</f>
        <v>0</v>
      </c>
      <c r="Z21" s="5">
        <f>$F21*KEEI_trend!Z10</f>
        <v>0</v>
      </c>
      <c r="AA21" s="5">
        <f>$F21*KEEI_trend!AA10</f>
        <v>0</v>
      </c>
      <c r="AB21" s="5">
        <f>$F21*KEEI_trend!AB10</f>
        <v>0</v>
      </c>
      <c r="AC21" s="5">
        <f>$F21*KEEI_trend!AC10</f>
        <v>0</v>
      </c>
      <c r="AD21" s="5">
        <f>$F21*KEEI_trend!AD10</f>
        <v>0</v>
      </c>
      <c r="AE21" s="5">
        <f>$F21*KEEI_trend!AE10</f>
        <v>0</v>
      </c>
      <c r="AF21" s="5">
        <f>$F21*KEEI_trend!AF10</f>
        <v>0</v>
      </c>
      <c r="AG21" s="5">
        <f>$F21*KEEI_trend!AG10</f>
        <v>0</v>
      </c>
    </row>
    <row r="22" spans="1:33">
      <c r="A22" t="s">
        <v>35</v>
      </c>
      <c r="B22" s="4">
        <f>-SUMIF(EB_2019!$F$92:$BK$92,$A22,EB_2019!$F$5:$BK$5)*39656668310</f>
        <v>0</v>
      </c>
      <c r="C22" s="4">
        <f>-SUMIF(EB_2020!$F$92:$BK$92,$A22,EB_2020!$F$5:$BK$5)*39656668310</f>
        <v>0</v>
      </c>
      <c r="D22" s="4">
        <f>-SUMIF(EB_2021!$F$92:$BK$92,$A22,EB_2021!$F$5:$BK$5)*39656668310</f>
        <v>0</v>
      </c>
      <c r="E22" s="4">
        <f>-SUMIF(EB_2022!$F$92:$BK$92,$A22,EB_2022!$F$5:$BK$5)*39656668310</f>
        <v>0</v>
      </c>
      <c r="F22" s="4">
        <f>-SUMIF(EB_2023!$F$92:$BK$92,$A22,EB_2023!$F$5:$BK$5)*39656668310</f>
        <v>0</v>
      </c>
      <c r="G22" s="5">
        <f>0</f>
        <v>0</v>
      </c>
      <c r="H22" s="5">
        <f>0</f>
        <v>0</v>
      </c>
      <c r="I22" s="5">
        <f>0</f>
        <v>0</v>
      </c>
      <c r="J22" s="5">
        <f>0</f>
        <v>0</v>
      </c>
      <c r="K22" s="5">
        <f>0</f>
        <v>0</v>
      </c>
      <c r="L22" s="5">
        <f>0</f>
        <v>0</v>
      </c>
      <c r="M22" s="5">
        <f>0</f>
        <v>0</v>
      </c>
      <c r="N22" s="5">
        <f>0</f>
        <v>0</v>
      </c>
      <c r="O22" s="5">
        <f>0</f>
        <v>0</v>
      </c>
      <c r="P22" s="5">
        <f>0</f>
        <v>0</v>
      </c>
      <c r="Q22" s="5">
        <f>0</f>
        <v>0</v>
      </c>
      <c r="R22" s="5">
        <f>0</f>
        <v>0</v>
      </c>
      <c r="S22" s="5">
        <f>0</f>
        <v>0</v>
      </c>
      <c r="T22" s="5">
        <f>0</f>
        <v>0</v>
      </c>
      <c r="U22" s="5">
        <f>0</f>
        <v>0</v>
      </c>
      <c r="V22" s="5">
        <f>0</f>
        <v>0</v>
      </c>
      <c r="W22" s="5">
        <f>0</f>
        <v>0</v>
      </c>
      <c r="X22" s="5">
        <f>0</f>
        <v>0</v>
      </c>
      <c r="Y22" s="5">
        <f>0</f>
        <v>0</v>
      </c>
      <c r="Z22" s="5">
        <f>0</f>
        <v>0</v>
      </c>
      <c r="AA22" s="5">
        <f>0</f>
        <v>0</v>
      </c>
      <c r="AB22" s="5">
        <f>0</f>
        <v>0</v>
      </c>
      <c r="AC22" s="5">
        <f>0</f>
        <v>0</v>
      </c>
      <c r="AD22" s="5">
        <f>0</f>
        <v>0</v>
      </c>
      <c r="AE22" s="5">
        <f>0</f>
        <v>0</v>
      </c>
      <c r="AF22" s="5">
        <f>0</f>
        <v>0</v>
      </c>
      <c r="AG22" s="5">
        <f>0</f>
        <v>0</v>
      </c>
    </row>
  </sheetData>
  <phoneticPr fontId="4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7350D42B0D95040ACC873ED5DCB146E" ma:contentTypeVersion="10" ma:contentTypeDescription="새 문서를 만듭니다." ma:contentTypeScope="" ma:versionID="c2e4f52adf7af47ba555973ff8cbcabe">
  <xsd:schema xmlns:xsd="http://www.w3.org/2001/XMLSchema" xmlns:xs="http://www.w3.org/2001/XMLSchema" xmlns:p="http://schemas.microsoft.com/office/2006/metadata/properties" xmlns:ns2="688c5d3b-a76a-458b-b159-91c2a1154680" targetNamespace="http://schemas.microsoft.com/office/2006/metadata/properties" ma:root="true" ma:fieldsID="502e33886199ad3dabc1cc93359c84e5" ns2:_="">
    <xsd:import namespace="688c5d3b-a76a-458b-b159-91c2a11546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8c5d3b-a76a-458b-b159-91c2a1154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eca5b831-c3dc-41cf-bd85-218b82cecb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8c5d3b-a76a-458b-b159-91c2a115468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2F4AD79-CF3D-497F-B39A-80C89AB63C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1B892C-325E-479A-93B6-0151A7AB1E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8c5d3b-a76a-458b-b159-91c2a11546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CCB331-8F7F-4696-9C3D-EDF713081F66}">
  <ds:schemaRefs>
    <ds:schemaRef ds:uri="http://schemas.microsoft.com/office/2006/metadata/properties"/>
    <ds:schemaRef ds:uri="http://schemas.microsoft.com/office/infopath/2007/PartnerControls"/>
    <ds:schemaRef ds:uri="688c5d3b-a76a-458b-b159-91c2a115468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mapping</vt:lpstr>
      <vt:lpstr>EB_2019</vt:lpstr>
      <vt:lpstr>EB_2020</vt:lpstr>
      <vt:lpstr>EB_2021</vt:lpstr>
      <vt:lpstr>EB_2022</vt:lpstr>
      <vt:lpstr>EB_2023</vt:lpstr>
      <vt:lpstr>KEEI_trend</vt:lpstr>
      <vt:lpstr>BFPIaE-production</vt:lpstr>
      <vt:lpstr>BFPIaE-imports</vt:lpstr>
      <vt:lpstr>BFPIaE-exports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 Francis Swint</cp:lastModifiedBy>
  <dcterms:created xsi:type="dcterms:W3CDTF">2026-05-26T03:08:29Z</dcterms:created>
  <dcterms:modified xsi:type="dcterms:W3CDTF">2026-07-09T12:54:16Z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0x01010027350D42B0D95040ACC873ED5DCB146E</vt:lpwstr>
  </property>
</Properties>
</file>