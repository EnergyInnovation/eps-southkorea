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ExternalSharing-PolicyExternal2/Shared Documents/Policy - Modeling and Analysis External/South Korea EPS/New Files_June/"/>
    </mc:Choice>
  </mc:AlternateContent>
  <xr:revisionPtr revIDLastSave="6" documentId="8_{EF93AED8-F671-474A-B63A-B8AD5DF67178}" xr6:coauthVersionLast="47" xr6:coauthVersionMax="47" xr10:uidLastSave="{347C16A7-B1E4-43F3-B59A-098355CD6AA9}"/>
  <bookViews>
    <workbookView xWindow="-19305" yWindow="-4650" windowWidth="19410" windowHeight="20985" tabRatio="862" firstSheet="14" activeTab="19" xr2:uid="{00000000-000D-0000-FFFF-FFFF00000000}"/>
  </bookViews>
  <sheets>
    <sheet name="About" sheetId="1" r:id="rId1"/>
    <sheet name="에너지원별 발전량" sheetId="2" r:id="rId2"/>
    <sheet name="발전사별 설비용량" sheetId="3" r:id="rId3"/>
    <sheet name="Subsidies Paid" sheetId="4" r:id="rId4"/>
    <sheet name="LCOE" sheetId="5" r:id="rId5"/>
    <sheet name="Cal-CAPEX (정리)" sheetId="22" r:id="rId6"/>
    <sheet name="Sheet1" sheetId="7" state="hidden" r:id="rId7"/>
    <sheet name="BSpUECB_세액공제액" sheetId="8" r:id="rId8"/>
    <sheet name="BS-BSfTFpEUP" sheetId="9" r:id="rId9"/>
    <sheet name="BS-BSfTFpEUP-transportation" sheetId="10" r:id="rId10"/>
    <sheet name="BS-BSfTFpEUP-electricity" sheetId="11" r:id="rId11"/>
    <sheet name="BS-BSfTFpEUP-res-bldgs" sheetId="12" r:id="rId12"/>
    <sheet name="BS-BSfTFpEUP-com-bldgs" sheetId="13" r:id="rId13"/>
    <sheet name="BS-BSfTFpEUP-industry" sheetId="14" r:id="rId14"/>
    <sheet name="BS-BSfTFpEUP-dist-heat-hydgn" sheetId="15" r:id="rId15"/>
    <sheet name="BS-BSfTFpEUP-geoeng" sheetId="16" r:id="rId16"/>
    <sheet name="BS-BSpUEO" sheetId="20" r:id="rId17"/>
    <sheet name="BS-BSpUEOfEP" sheetId="17" r:id="rId18"/>
    <sheet name="BS-BSpUECB" sheetId="18" r:id="rId19"/>
    <sheet name="BS-DoSpUEO" sheetId="19" r:id="rId20"/>
  </sheets>
  <externalReferences>
    <externalReference r:id="rId21"/>
  </externalReferences>
  <definedNames>
    <definedName name="dollars_2018_to_2012">About!$A$122</definedName>
    <definedName name="dollars_2020_2012" localSheetId="7">About!#REF!</definedName>
    <definedName name="dollars_2020_2012">About!#REF!</definedName>
    <definedName name="dollars_2021_2012">About!$A$118</definedName>
    <definedName name="dollars_2022_2012">#REF!</definedName>
    <definedName name="lignite_multiplier">'[1]Hard Coal and Lig Multipliers'!$N$15</definedName>
    <definedName name="nonlignite_multiplier">'[1]Hard Coal and Lig Multipliers'!$N$16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2Lw0N/Pz+hfw2UoOL3T0Q8tfBHeDNMkLVSbb4LG7+o8="/>
    </ext>
  </extLst>
</workbook>
</file>

<file path=xl/calcChain.xml><?xml version="1.0" encoding="utf-8"?>
<calcChain xmlns="http://schemas.openxmlformats.org/spreadsheetml/2006/main">
  <c r="F10" i="4" l="1"/>
  <c r="E10" i="4"/>
  <c r="F3" i="4"/>
  <c r="E3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27" i="4"/>
  <c r="E18" i="4" a="1"/>
  <c r="E18" i="4" s="1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D30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B32" i="8"/>
  <c r="B33" i="8"/>
  <c r="B34" i="8"/>
  <c r="B35" i="8"/>
  <c r="B36" i="8"/>
  <c r="B37" i="8"/>
  <c r="B29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B8" i="8"/>
  <c r="B9" i="8"/>
  <c r="B10" i="8"/>
  <c r="B11" i="8"/>
  <c r="B12" i="8"/>
  <c r="B13" i="8"/>
  <c r="B5" i="8"/>
  <c r="B73" i="22"/>
  <c r="C73" i="22" s="1"/>
  <c r="D73" i="22" s="1"/>
  <c r="E73" i="22" s="1"/>
  <c r="F73" i="22" s="1"/>
  <c r="G73" i="22" s="1"/>
  <c r="H73" i="22" s="1"/>
  <c r="I73" i="22" s="1"/>
  <c r="J73" i="22" s="1"/>
  <c r="K73" i="22" s="1"/>
  <c r="L73" i="22" s="1"/>
  <c r="M73" i="22" s="1"/>
  <c r="N73" i="22" s="1"/>
  <c r="O73" i="22" s="1"/>
  <c r="P73" i="22" s="1"/>
  <c r="Q73" i="22" s="1"/>
  <c r="R73" i="22" s="1"/>
  <c r="S73" i="22" s="1"/>
  <c r="T73" i="22" s="1"/>
  <c r="U73" i="22" s="1"/>
  <c r="V73" i="22" s="1"/>
  <c r="W73" i="22" s="1"/>
  <c r="X73" i="22" s="1"/>
  <c r="Y73" i="22" s="1"/>
  <c r="Z73" i="22" s="1"/>
  <c r="AA73" i="22" s="1"/>
  <c r="AB73" i="22" s="1"/>
  <c r="AC73" i="22" s="1"/>
  <c r="AD73" i="22" s="1"/>
  <c r="AE73" i="22" s="1"/>
  <c r="AF73" i="22" s="1"/>
  <c r="B72" i="22"/>
  <c r="C72" i="22" s="1"/>
  <c r="D72" i="22" s="1"/>
  <c r="E72" i="22" s="1"/>
  <c r="F72" i="22" s="1"/>
  <c r="G72" i="22" s="1"/>
  <c r="H72" i="22" s="1"/>
  <c r="I72" i="22" s="1"/>
  <c r="J72" i="22" s="1"/>
  <c r="K72" i="22" s="1"/>
  <c r="L72" i="22" s="1"/>
  <c r="M72" i="22" s="1"/>
  <c r="N72" i="22" s="1"/>
  <c r="O72" i="22" s="1"/>
  <c r="P72" i="22" s="1"/>
  <c r="Q72" i="22" s="1"/>
  <c r="R72" i="22" s="1"/>
  <c r="S72" i="22" s="1"/>
  <c r="T72" i="22" s="1"/>
  <c r="U72" i="22" s="1"/>
  <c r="V72" i="22" s="1"/>
  <c r="W72" i="22" s="1"/>
  <c r="X72" i="22" s="1"/>
  <c r="Y72" i="22" s="1"/>
  <c r="Z72" i="22" s="1"/>
  <c r="AA72" i="22" s="1"/>
  <c r="AB72" i="22" s="1"/>
  <c r="AC72" i="22" s="1"/>
  <c r="AD72" i="22" s="1"/>
  <c r="AE72" i="22" s="1"/>
  <c r="AF72" i="22" s="1"/>
  <c r="D19" i="22"/>
  <c r="D20" i="22"/>
  <c r="D18" i="22"/>
  <c r="G70" i="22"/>
  <c r="G30" i="8" s="1"/>
  <c r="J40" i="22"/>
  <c r="K40" i="22"/>
  <c r="L40" i="22"/>
  <c r="M40" i="22"/>
  <c r="K39" i="22"/>
  <c r="L39" i="22"/>
  <c r="M39" i="22"/>
  <c r="J39" i="22"/>
  <c r="F40" i="22"/>
  <c r="D70" i="22" s="1"/>
  <c r="D6" i="8" s="1"/>
  <c r="G40" i="22"/>
  <c r="E70" i="22" s="1"/>
  <c r="E6" i="8" s="1"/>
  <c r="H40" i="22"/>
  <c r="E40" i="22"/>
  <c r="C70" i="22" s="1"/>
  <c r="C6" i="8" s="1"/>
  <c r="F39" i="22"/>
  <c r="G39" i="22"/>
  <c r="H39" i="22"/>
  <c r="E39" i="22"/>
  <c r="B67" i="22"/>
  <c r="I70" i="22" s="1"/>
  <c r="I30" i="8" s="1"/>
  <c r="E30" i="8" l="1"/>
  <c r="C30" i="8"/>
  <c r="F70" i="22"/>
  <c r="I6" i="8"/>
  <c r="K69" i="22"/>
  <c r="H69" i="22"/>
  <c r="J69" i="22"/>
  <c r="G6" i="8"/>
  <c r="H70" i="22"/>
  <c r="G20" i="22"/>
  <c r="B69" i="22"/>
  <c r="L69" i="22"/>
  <c r="C69" i="22"/>
  <c r="F69" i="22"/>
  <c r="E69" i="22"/>
  <c r="D69" i="22"/>
  <c r="G69" i="22"/>
  <c r="I69" i="22"/>
  <c r="K70" i="22"/>
  <c r="G19" i="22"/>
  <c r="J70" i="22"/>
  <c r="G18" i="22"/>
  <c r="B70" i="22"/>
  <c r="L70" i="22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X62" i="8"/>
  <c r="Y62" i="8" s="1"/>
  <c r="Z62" i="8" s="1"/>
  <c r="AA62" i="8" s="1"/>
  <c r="AB62" i="8" s="1"/>
  <c r="AC62" i="8" s="1"/>
  <c r="AD62" i="8" s="1"/>
  <c r="AE62" i="8" s="1"/>
  <c r="AF62" i="8" s="1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W58" i="8"/>
  <c r="X58" i="8" s="1"/>
  <c r="Y58" i="8" s="1"/>
  <c r="Z58" i="8" s="1"/>
  <c r="AA58" i="8" s="1"/>
  <c r="AB58" i="8" s="1"/>
  <c r="AC58" i="8" s="1"/>
  <c r="AD58" i="8" s="1"/>
  <c r="AE58" i="8" s="1"/>
  <c r="AF58" i="8" s="1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W57" i="8"/>
  <c r="X57" i="8" s="1"/>
  <c r="Y57" i="8" s="1"/>
  <c r="Z57" i="8" s="1"/>
  <c r="AA57" i="8" s="1"/>
  <c r="AB57" i="8" s="1"/>
  <c r="AC57" i="8" s="1"/>
  <c r="AD57" i="8" s="1"/>
  <c r="AE57" i="8" s="1"/>
  <c r="AF57" i="8" s="1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W56" i="8"/>
  <c r="X56" i="8" s="1"/>
  <c r="Y56" i="8" s="1"/>
  <c r="Z56" i="8" s="1"/>
  <c r="AA56" i="8" s="1"/>
  <c r="AB56" i="8" s="1"/>
  <c r="AC56" i="8" s="1"/>
  <c r="AD56" i="8" s="1"/>
  <c r="AE56" i="8" s="1"/>
  <c r="AF56" i="8" s="1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W55" i="8"/>
  <c r="X55" i="8" s="1"/>
  <c r="Y55" i="8" s="1"/>
  <c r="Z55" i="8" s="1"/>
  <c r="AA55" i="8" s="1"/>
  <c r="AB55" i="8" s="1"/>
  <c r="AC55" i="8" s="1"/>
  <c r="AD55" i="8" s="1"/>
  <c r="AE55" i="8" s="1"/>
  <c r="AF55" i="8" s="1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W49" i="8"/>
  <c r="X49" i="8" s="1"/>
  <c r="Y49" i="8" s="1"/>
  <c r="Z49" i="8" s="1"/>
  <c r="AA49" i="8" s="1"/>
  <c r="AB49" i="8" s="1"/>
  <c r="AC49" i="8" s="1"/>
  <c r="AD49" i="8" s="1"/>
  <c r="AE49" i="8" s="1"/>
  <c r="AF49" i="8" s="1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W48" i="8"/>
  <c r="X48" i="8" s="1"/>
  <c r="Y48" i="8" s="1"/>
  <c r="Z48" i="8" s="1"/>
  <c r="AA48" i="8" s="1"/>
  <c r="AB48" i="8" s="1"/>
  <c r="AC48" i="8" s="1"/>
  <c r="AD48" i="8" s="1"/>
  <c r="AE48" i="8" s="1"/>
  <c r="AF48" i="8" s="1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W47" i="8"/>
  <c r="X47" i="8" s="1"/>
  <c r="Y47" i="8" s="1"/>
  <c r="Z47" i="8" s="1"/>
  <c r="AA47" i="8" s="1"/>
  <c r="AB47" i="8" s="1"/>
  <c r="AC47" i="8" s="1"/>
  <c r="AD47" i="8" s="1"/>
  <c r="AE47" i="8" s="1"/>
  <c r="AF47" i="8" s="1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Q53" i="8"/>
  <c r="B26" i="5"/>
  <c r="B25" i="5"/>
  <c r="D5" i="5"/>
  <c r="D4" i="5"/>
  <c r="D3" i="5"/>
  <c r="E13" i="4"/>
  <c r="E12" i="4"/>
  <c r="G12" i="4" s="1"/>
  <c r="G3" i="4"/>
  <c r="B7" i="8" l="1"/>
  <c r="B31" i="8"/>
  <c r="L31" i="8"/>
  <c r="L7" i="8"/>
  <c r="H30" i="8"/>
  <c r="H6" i="8"/>
  <c r="G31" i="8"/>
  <c r="G7" i="8"/>
  <c r="E7" i="8"/>
  <c r="E31" i="8"/>
  <c r="C31" i="8"/>
  <c r="C7" i="8"/>
  <c r="J7" i="8"/>
  <c r="J31" i="8"/>
  <c r="F7" i="8"/>
  <c r="F31" i="8"/>
  <c r="B6" i="8"/>
  <c r="B30" i="8"/>
  <c r="K31" i="8"/>
  <c r="K7" i="8"/>
  <c r="L30" i="8"/>
  <c r="L6" i="8"/>
  <c r="D31" i="8"/>
  <c r="D7" i="8"/>
  <c r="J30" i="8"/>
  <c r="J6" i="8"/>
  <c r="F6" i="8"/>
  <c r="F30" i="8"/>
  <c r="I31" i="8"/>
  <c r="I7" i="8"/>
  <c r="H31" i="8"/>
  <c r="H7" i="8"/>
  <c r="K61" i="8"/>
  <c r="K30" i="8"/>
  <c r="K6" i="8"/>
  <c r="B29" i="22"/>
  <c r="O40" i="22" s="1"/>
  <c r="P53" i="8"/>
  <c r="Q61" i="8"/>
  <c r="R61" i="8"/>
  <c r="R53" i="8"/>
  <c r="N60" i="8"/>
  <c r="S61" i="8"/>
  <c r="S53" i="8"/>
  <c r="O60" i="8"/>
  <c r="B61" i="8"/>
  <c r="T61" i="8"/>
  <c r="B30" i="22"/>
  <c r="C41" i="22" s="1"/>
  <c r="D41" i="22" s="1"/>
  <c r="B53" i="8"/>
  <c r="T53" i="8"/>
  <c r="P60" i="8"/>
  <c r="C61" i="8"/>
  <c r="U61" i="8"/>
  <c r="C53" i="8"/>
  <c r="U53" i="8"/>
  <c r="H53" i="8"/>
  <c r="I53" i="8"/>
  <c r="L61" i="8"/>
  <c r="L53" i="8"/>
  <c r="F60" i="8"/>
  <c r="R60" i="8"/>
  <c r="M53" i="8"/>
  <c r="I60" i="8"/>
  <c r="N61" i="8"/>
  <c r="B28" i="22"/>
  <c r="O39" i="22" s="1"/>
  <c r="N53" i="8"/>
  <c r="J60" i="8"/>
  <c r="O61" i="8"/>
  <c r="O53" i="8"/>
  <c r="K60" i="8"/>
  <c r="P61" i="8"/>
  <c r="M60" i="8"/>
  <c r="L60" i="8"/>
  <c r="D53" i="8"/>
  <c r="V53" i="8"/>
  <c r="V61" i="8"/>
  <c r="E53" i="8"/>
  <c r="Q60" i="8"/>
  <c r="D61" i="8"/>
  <c r="W61" i="8"/>
  <c r="X61" i="8" s="1"/>
  <c r="Y61" i="8" s="1"/>
  <c r="Z61" i="8" s="1"/>
  <c r="AA61" i="8" s="1"/>
  <c r="AB61" i="8" s="1"/>
  <c r="AC61" i="8" s="1"/>
  <c r="AD61" i="8" s="1"/>
  <c r="AE61" i="8" s="1"/>
  <c r="AF61" i="8" s="1"/>
  <c r="S60" i="8"/>
  <c r="F61" i="8"/>
  <c r="W53" i="8"/>
  <c r="X53" i="8" s="1"/>
  <c r="Y53" i="8" s="1"/>
  <c r="Z53" i="8" s="1"/>
  <c r="AA53" i="8" s="1"/>
  <c r="AB53" i="8" s="1"/>
  <c r="AC53" i="8" s="1"/>
  <c r="AD53" i="8" s="1"/>
  <c r="AE53" i="8" s="1"/>
  <c r="AF53" i="8" s="1"/>
  <c r="B60" i="8"/>
  <c r="T60" i="8"/>
  <c r="G61" i="8"/>
  <c r="E60" i="8"/>
  <c r="E61" i="8"/>
  <c r="M61" i="8"/>
  <c r="S54" i="8"/>
  <c r="S10" i="18" s="1"/>
  <c r="C60" i="8"/>
  <c r="U60" i="8"/>
  <c r="F53" i="8"/>
  <c r="D60" i="8"/>
  <c r="V60" i="8"/>
  <c r="I61" i="8"/>
  <c r="G53" i="8"/>
  <c r="W60" i="8"/>
  <c r="X60" i="8" s="1"/>
  <c r="Y60" i="8" s="1"/>
  <c r="Z60" i="8" s="1"/>
  <c r="AA60" i="8" s="1"/>
  <c r="AB60" i="8" s="1"/>
  <c r="AC60" i="8" s="1"/>
  <c r="AD60" i="8" s="1"/>
  <c r="AE60" i="8" s="1"/>
  <c r="AF60" i="8" s="1"/>
  <c r="H60" i="8"/>
  <c r="G60" i="8"/>
  <c r="G13" i="4"/>
  <c r="B14" i="20" s="1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H61" i="8"/>
  <c r="J53" i="8"/>
  <c r="K53" i="8"/>
  <c r="J61" i="8"/>
  <c r="E41" i="22" l="1"/>
  <c r="B71" i="22"/>
  <c r="P40" i="22"/>
  <c r="M70" i="22"/>
  <c r="M69" i="22"/>
  <c r="P39" i="22"/>
  <c r="G50" i="8"/>
  <c r="F6" i="18" s="1"/>
  <c r="H50" i="8"/>
  <c r="G6" i="18" s="1"/>
  <c r="C54" i="8"/>
  <c r="C10" i="18" s="1"/>
  <c r="R50" i="8"/>
  <c r="Q6" i="18" s="1"/>
  <c r="Q50" i="8"/>
  <c r="P6" i="18" s="1"/>
  <c r="I50" i="8"/>
  <c r="H6" i="18" s="1"/>
  <c r="W54" i="8"/>
  <c r="W10" i="18" s="1"/>
  <c r="E54" i="8"/>
  <c r="E10" i="18" s="1"/>
  <c r="Q54" i="8"/>
  <c r="Q10" i="18" s="1"/>
  <c r="D54" i="8"/>
  <c r="D10" i="18" s="1"/>
  <c r="R54" i="8"/>
  <c r="R10" i="18" s="1"/>
  <c r="K50" i="8"/>
  <c r="J6" i="18" s="1"/>
  <c r="E50" i="8"/>
  <c r="D6" i="18" s="1"/>
  <c r="J54" i="8"/>
  <c r="J10" i="18" s="1"/>
  <c r="W50" i="8"/>
  <c r="X50" i="8" s="1"/>
  <c r="P50" i="8"/>
  <c r="O6" i="18" s="1"/>
  <c r="O50" i="8"/>
  <c r="N6" i="18" s="1"/>
  <c r="C50" i="8"/>
  <c r="B6" i="18" s="1"/>
  <c r="N50" i="8"/>
  <c r="M6" i="18" s="1"/>
  <c r="L50" i="8"/>
  <c r="K6" i="18" s="1"/>
  <c r="O54" i="8"/>
  <c r="O10" i="18" s="1"/>
  <c r="U50" i="8"/>
  <c r="T6" i="18" s="1"/>
  <c r="T50" i="8"/>
  <c r="S6" i="18" s="1"/>
  <c r="P54" i="8"/>
  <c r="P10" i="18" s="1"/>
  <c r="G18" i="4" a="1"/>
  <c r="G18" i="4" s="1"/>
  <c r="G17" i="4" s="1" a="1"/>
  <c r="G17" i="4" s="1"/>
  <c r="F18" i="4" a="1"/>
  <c r="F18" i="4" s="1"/>
  <c r="F17" i="4" s="1" a="1"/>
  <c r="F17" i="4" s="1"/>
  <c r="N18" i="4" a="1"/>
  <c r="N18" i="4" s="1"/>
  <c r="N17" i="4" s="1" a="1"/>
  <c r="N17" i="4" s="1"/>
  <c r="B2" i="17" s="1"/>
  <c r="B14" i="17" s="1"/>
  <c r="E17" i="4" a="1"/>
  <c r="E17" i="4" s="1"/>
  <c r="M18" i="4" a="1"/>
  <c r="M18" i="4" s="1"/>
  <c r="M17" i="4" s="1" a="1"/>
  <c r="M17" i="4" s="1"/>
  <c r="L18" i="4" a="1"/>
  <c r="L18" i="4" s="1"/>
  <c r="L17" i="4" s="1" a="1"/>
  <c r="L17" i="4" s="1"/>
  <c r="K18" i="4" a="1"/>
  <c r="K18" i="4" s="1"/>
  <c r="K17" i="4" s="1" a="1"/>
  <c r="K17" i="4" s="1"/>
  <c r="J18" i="4" a="1"/>
  <c r="J18" i="4" s="1"/>
  <c r="J17" i="4" s="1" a="1"/>
  <c r="J17" i="4" s="1"/>
  <c r="I18" i="4" a="1"/>
  <c r="I18" i="4" s="1"/>
  <c r="I17" i="4" s="1" a="1"/>
  <c r="I17" i="4" s="1"/>
  <c r="H18" i="4" a="1"/>
  <c r="H18" i="4" s="1"/>
  <c r="H17" i="4" s="1" a="1"/>
  <c r="H17" i="4" s="1"/>
  <c r="B50" i="8"/>
  <c r="N54" i="8"/>
  <c r="N10" i="18" s="1"/>
  <c r="F54" i="8"/>
  <c r="F10" i="18" s="1"/>
  <c r="M54" i="8"/>
  <c r="M10" i="18" s="1"/>
  <c r="B54" i="8"/>
  <c r="B10" i="18" s="1"/>
  <c r="G54" i="8"/>
  <c r="G10" i="18" s="1"/>
  <c r="M50" i="8"/>
  <c r="L6" i="18" s="1"/>
  <c r="F50" i="8"/>
  <c r="E6" i="18" s="1"/>
  <c r="I54" i="8"/>
  <c r="I10" i="18" s="1"/>
  <c r="L54" i="8"/>
  <c r="L10" i="18" s="1"/>
  <c r="V54" i="8"/>
  <c r="V10" i="18" s="1"/>
  <c r="V50" i="8"/>
  <c r="U6" i="18" s="1"/>
  <c r="K54" i="8"/>
  <c r="K10" i="18" s="1"/>
  <c r="J50" i="8"/>
  <c r="I6" i="18" s="1"/>
  <c r="D50" i="8"/>
  <c r="C6" i="18" s="1"/>
  <c r="S50" i="8"/>
  <c r="R6" i="18" s="1"/>
  <c r="U54" i="8"/>
  <c r="U10" i="18" s="1"/>
  <c r="H54" i="8"/>
  <c r="H10" i="18" s="1"/>
  <c r="T54" i="8"/>
  <c r="T10" i="18" s="1"/>
  <c r="M7" i="8" l="1"/>
  <c r="M31" i="8"/>
  <c r="M30" i="8"/>
  <c r="M6" i="8"/>
  <c r="B38" i="8"/>
  <c r="B14" i="8"/>
  <c r="X54" i="8"/>
  <c r="X10" i="18" s="1"/>
  <c r="V6" i="18"/>
  <c r="F41" i="22"/>
  <c r="C71" i="22"/>
  <c r="Q40" i="22"/>
  <c r="N70" i="22"/>
  <c r="N69" i="22"/>
  <c r="Q39" i="22"/>
  <c r="C14" i="17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C2" i="17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Y50" i="8"/>
  <c r="W6" i="18"/>
  <c r="Y54" i="8" l="1"/>
  <c r="Y10" i="18" s="1"/>
  <c r="N7" i="8"/>
  <c r="N31" i="8"/>
  <c r="N30" i="8"/>
  <c r="N6" i="8"/>
  <c r="C38" i="8"/>
  <c r="C14" i="8"/>
  <c r="G41" i="22"/>
  <c r="D71" i="22"/>
  <c r="R40" i="22"/>
  <c r="O70" i="22"/>
  <c r="R39" i="22"/>
  <c r="O69" i="22"/>
  <c r="Z50" i="8"/>
  <c r="X6" i="18"/>
  <c r="Z54" i="8" l="1"/>
  <c r="Z10" i="18" s="1"/>
  <c r="O31" i="8"/>
  <c r="O7" i="8"/>
  <c r="O30" i="8"/>
  <c r="O6" i="8"/>
  <c r="D38" i="8"/>
  <c r="D14" i="8"/>
  <c r="H41" i="22"/>
  <c r="E71" i="22"/>
  <c r="S40" i="22"/>
  <c r="P70" i="22"/>
  <c r="S39" i="22"/>
  <c r="P69" i="22"/>
  <c r="Y6" i="18"/>
  <c r="AA50" i="8"/>
  <c r="AA54" i="8" l="1"/>
  <c r="AB54" i="8" s="1"/>
  <c r="P31" i="8"/>
  <c r="P7" i="8"/>
  <c r="P30" i="8"/>
  <c r="P6" i="8"/>
  <c r="E38" i="8"/>
  <c r="E14" i="8"/>
  <c r="F71" i="22"/>
  <c r="I41" i="22"/>
  <c r="T40" i="22"/>
  <c r="Q70" i="22"/>
  <c r="T39" i="22"/>
  <c r="Q69" i="22"/>
  <c r="C51" i="8"/>
  <c r="B7" i="18" s="1"/>
  <c r="F51" i="8"/>
  <c r="E7" i="18" s="1"/>
  <c r="E51" i="8"/>
  <c r="D7" i="18" s="1"/>
  <c r="D51" i="8"/>
  <c r="C7" i="18" s="1"/>
  <c r="B51" i="8"/>
  <c r="AB50" i="8"/>
  <c r="Z6" i="18"/>
  <c r="Q31" i="8" l="1"/>
  <c r="Q7" i="8"/>
  <c r="Q30" i="8"/>
  <c r="Q6" i="8"/>
  <c r="F38" i="8"/>
  <c r="F14" i="8"/>
  <c r="AA10" i="18"/>
  <c r="J41" i="22"/>
  <c r="G71" i="22"/>
  <c r="U40" i="22"/>
  <c r="R70" i="22"/>
  <c r="U39" i="22"/>
  <c r="R69" i="22"/>
  <c r="E52" i="8"/>
  <c r="D8" i="18" s="1"/>
  <c r="C52" i="8"/>
  <c r="B8" i="18" s="1"/>
  <c r="B52" i="8"/>
  <c r="F52" i="8"/>
  <c r="E8" i="18" s="1"/>
  <c r="D52" i="8"/>
  <c r="C8" i="18" s="1"/>
  <c r="G52" i="8"/>
  <c r="F8" i="18" s="1"/>
  <c r="G51" i="8"/>
  <c r="F7" i="18" s="1"/>
  <c r="AB10" i="18"/>
  <c r="AC54" i="8"/>
  <c r="AC50" i="8"/>
  <c r="AA6" i="18"/>
  <c r="R31" i="8" l="1"/>
  <c r="R7" i="8"/>
  <c r="R30" i="8"/>
  <c r="R6" i="8"/>
  <c r="G38" i="8"/>
  <c r="G14" i="8"/>
  <c r="K41" i="22"/>
  <c r="H71" i="22"/>
  <c r="V40" i="22"/>
  <c r="S70" i="22"/>
  <c r="V39" i="22"/>
  <c r="S69" i="22"/>
  <c r="H52" i="8"/>
  <c r="G8" i="18" s="1"/>
  <c r="AC10" i="18"/>
  <c r="AD54" i="8"/>
  <c r="AD50" i="8"/>
  <c r="AB6" i="18"/>
  <c r="S30" i="8" l="1"/>
  <c r="S6" i="8"/>
  <c r="H38" i="8"/>
  <c r="H14" i="8"/>
  <c r="S31" i="8"/>
  <c r="S7" i="8"/>
  <c r="L41" i="22"/>
  <c r="I71" i="22"/>
  <c r="W40" i="22"/>
  <c r="T70" i="22"/>
  <c r="W39" i="22"/>
  <c r="T69" i="22"/>
  <c r="H51" i="8"/>
  <c r="G7" i="18" s="1"/>
  <c r="I52" i="8"/>
  <c r="H8" i="18" s="1"/>
  <c r="I51" i="8"/>
  <c r="H7" i="18" s="1"/>
  <c r="AE50" i="8"/>
  <c r="AC6" i="18"/>
  <c r="AD10" i="18"/>
  <c r="AE54" i="8"/>
  <c r="T31" i="8" l="1"/>
  <c r="T7" i="8"/>
  <c r="T6" i="8"/>
  <c r="T30" i="8"/>
  <c r="I38" i="8"/>
  <c r="I14" i="8"/>
  <c r="M41" i="22"/>
  <c r="J71" i="22"/>
  <c r="X40" i="22"/>
  <c r="U70" i="22"/>
  <c r="X39" i="22"/>
  <c r="U69" i="22"/>
  <c r="J51" i="8"/>
  <c r="I7" i="18" s="1"/>
  <c r="J52" i="8"/>
  <c r="I8" i="18" s="1"/>
  <c r="AE10" i="18"/>
  <c r="AF54" i="8"/>
  <c r="AF50" i="8"/>
  <c r="AE6" i="18" s="1"/>
  <c r="AD6" i="18"/>
  <c r="U7" i="8" l="1"/>
  <c r="U31" i="8"/>
  <c r="U30" i="8"/>
  <c r="U6" i="8"/>
  <c r="J38" i="8"/>
  <c r="J14" i="8"/>
  <c r="N41" i="22"/>
  <c r="K71" i="22"/>
  <c r="Y40" i="22"/>
  <c r="V70" i="22"/>
  <c r="Y39" i="22"/>
  <c r="V69" i="22"/>
  <c r="K51" i="8"/>
  <c r="J7" i="18" s="1"/>
  <c r="V31" i="8" l="1"/>
  <c r="V7" i="8"/>
  <c r="V6" i="8"/>
  <c r="V30" i="8"/>
  <c r="K38" i="8"/>
  <c r="K14" i="8"/>
  <c r="O41" i="22"/>
  <c r="L71" i="22"/>
  <c r="Z40" i="22"/>
  <c r="W70" i="22"/>
  <c r="Z39" i="22"/>
  <c r="W69" i="22"/>
  <c r="K52" i="8"/>
  <c r="J8" i="18" s="1"/>
  <c r="L51" i="8"/>
  <c r="K7" i="18" s="1"/>
  <c r="W31" i="8" l="1"/>
  <c r="W7" i="8"/>
  <c r="W6" i="8"/>
  <c r="W30" i="8"/>
  <c r="L38" i="8"/>
  <c r="L14" i="8"/>
  <c r="P41" i="22"/>
  <c r="M71" i="22"/>
  <c r="AA40" i="22"/>
  <c r="X70" i="22"/>
  <c r="AA39" i="22"/>
  <c r="X69" i="22"/>
  <c r="M51" i="8"/>
  <c r="L7" i="18" s="1"/>
  <c r="L52" i="8"/>
  <c r="K8" i="18" s="1"/>
  <c r="X31" i="8" l="1"/>
  <c r="X7" i="8"/>
  <c r="X6" i="8"/>
  <c r="X30" i="8"/>
  <c r="M38" i="8"/>
  <c r="M14" i="8"/>
  <c r="Q41" i="22"/>
  <c r="N71" i="22"/>
  <c r="AB40" i="22"/>
  <c r="Y70" i="22"/>
  <c r="AB39" i="22"/>
  <c r="Y69" i="22"/>
  <c r="N52" i="8"/>
  <c r="M8" i="18" s="1"/>
  <c r="B59" i="8"/>
  <c r="B15" i="18" s="1"/>
  <c r="C59" i="8"/>
  <c r="C15" i="18" s="1"/>
  <c r="N51" i="8"/>
  <c r="M7" i="18" s="1"/>
  <c r="M52" i="8"/>
  <c r="L8" i="18" s="1"/>
  <c r="Y6" i="8" l="1"/>
  <c r="Y30" i="8"/>
  <c r="Y31" i="8"/>
  <c r="Y7" i="8"/>
  <c r="N14" i="8"/>
  <c r="N38" i="8"/>
  <c r="R41" i="22"/>
  <c r="O71" i="22"/>
  <c r="AC40" i="22"/>
  <c r="Z70" i="22"/>
  <c r="AC39" i="22"/>
  <c r="Z69" i="22"/>
  <c r="O51" i="8"/>
  <c r="N7" i="18" s="1"/>
  <c r="O52" i="8"/>
  <c r="N8" i="18" s="1"/>
  <c r="D59" i="8"/>
  <c r="D15" i="18" s="1"/>
  <c r="Z7" i="8" l="1"/>
  <c r="Z31" i="8"/>
  <c r="Z6" i="8"/>
  <c r="Z30" i="8"/>
  <c r="O14" i="8"/>
  <c r="O38" i="8"/>
  <c r="S41" i="22"/>
  <c r="P71" i="22"/>
  <c r="AD40" i="22"/>
  <c r="AA70" i="22"/>
  <c r="AD39" i="22"/>
  <c r="AA69" i="22"/>
  <c r="P52" i="8"/>
  <c r="O8" i="18" s="1"/>
  <c r="P51" i="8"/>
  <c r="O7" i="18" s="1"/>
  <c r="AA7" i="8" l="1"/>
  <c r="AA31" i="8"/>
  <c r="AA30" i="8"/>
  <c r="AA6" i="8"/>
  <c r="P14" i="8"/>
  <c r="P38" i="8"/>
  <c r="T41" i="22"/>
  <c r="Q71" i="22"/>
  <c r="AE40" i="22"/>
  <c r="AB70" i="22"/>
  <c r="AE39" i="22"/>
  <c r="AB69" i="22"/>
  <c r="E59" i="8"/>
  <c r="E15" i="18" s="1"/>
  <c r="Q52" i="8"/>
  <c r="P8" i="18" s="1"/>
  <c r="F59" i="8"/>
  <c r="F15" i="18" s="1"/>
  <c r="Q51" i="8"/>
  <c r="P7" i="18" s="1"/>
  <c r="AB7" i="8" l="1"/>
  <c r="AB31" i="8"/>
  <c r="AB30" i="8"/>
  <c r="AB6" i="8"/>
  <c r="Q14" i="8"/>
  <c r="Q38" i="8"/>
  <c r="U41" i="22"/>
  <c r="R71" i="22"/>
  <c r="AF40" i="22"/>
  <c r="AC70" i="22"/>
  <c r="AF39" i="22"/>
  <c r="AC69" i="22"/>
  <c r="G59" i="8"/>
  <c r="G15" i="18" s="1"/>
  <c r="R51" i="8"/>
  <c r="Q7" i="18" s="1"/>
  <c r="R52" i="8"/>
  <c r="Q8" i="18" s="1"/>
  <c r="AC7" i="8" l="1"/>
  <c r="AC31" i="8"/>
  <c r="R14" i="8"/>
  <c r="R38" i="8"/>
  <c r="AC30" i="8"/>
  <c r="AC6" i="8"/>
  <c r="V41" i="22"/>
  <c r="S71" i="22"/>
  <c r="AG40" i="22"/>
  <c r="AD70" i="22"/>
  <c r="AG39" i="22"/>
  <c r="AD69" i="22"/>
  <c r="S52" i="8"/>
  <c r="R8" i="18" s="1"/>
  <c r="S51" i="8"/>
  <c r="R7" i="18" s="1"/>
  <c r="S14" i="8" l="1"/>
  <c r="S38" i="8"/>
  <c r="AD7" i="8"/>
  <c r="AD31" i="8"/>
  <c r="AD30" i="8"/>
  <c r="AD6" i="8"/>
  <c r="W41" i="22"/>
  <c r="T71" i="22"/>
  <c r="AH40" i="22"/>
  <c r="AF70" i="22" s="1"/>
  <c r="AE70" i="22"/>
  <c r="AH39" i="22"/>
  <c r="AF69" i="22" s="1"/>
  <c r="AE69" i="22"/>
  <c r="H59" i="8"/>
  <c r="H15" i="18" s="1"/>
  <c r="T51" i="8"/>
  <c r="S7" i="18" s="1"/>
  <c r="T52" i="8"/>
  <c r="S8" i="18" s="1"/>
  <c r="AE7" i="8" l="1"/>
  <c r="AE31" i="8"/>
  <c r="AF7" i="8"/>
  <c r="AF31" i="8"/>
  <c r="AE30" i="8"/>
  <c r="AE6" i="8"/>
  <c r="AF30" i="8"/>
  <c r="AF6" i="8"/>
  <c r="T14" i="8"/>
  <c r="T38" i="8"/>
  <c r="X41" i="22"/>
  <c r="U71" i="22"/>
  <c r="U52" i="8"/>
  <c r="T8" i="18" s="1"/>
  <c r="U51" i="8"/>
  <c r="T7" i="18" s="1"/>
  <c r="I59" i="8"/>
  <c r="I15" i="18" s="1"/>
  <c r="U38" i="8" l="1"/>
  <c r="U14" i="8"/>
  <c r="Y41" i="22"/>
  <c r="V71" i="22"/>
  <c r="V51" i="8"/>
  <c r="U7" i="18" s="1"/>
  <c r="K59" i="8"/>
  <c r="K15" i="18" s="1"/>
  <c r="J59" i="8"/>
  <c r="J15" i="18" s="1"/>
  <c r="V38" i="8" l="1"/>
  <c r="V14" i="8"/>
  <c r="Z41" i="22"/>
  <c r="W71" i="22"/>
  <c r="W51" i="8"/>
  <c r="V52" i="8"/>
  <c r="U8" i="18" s="1"/>
  <c r="W52" i="8"/>
  <c r="W38" i="8" l="1"/>
  <c r="W14" i="8"/>
  <c r="AA41" i="22"/>
  <c r="X71" i="22"/>
  <c r="X52" i="8"/>
  <c r="V8" i="18"/>
  <c r="X51" i="8"/>
  <c r="V7" i="18"/>
  <c r="L59" i="8"/>
  <c r="L15" i="18" s="1"/>
  <c r="X38" i="8" l="1"/>
  <c r="X14" i="8"/>
  <c r="AB41" i="22"/>
  <c r="Y71" i="22"/>
  <c r="Y51" i="8"/>
  <c r="W7" i="18"/>
  <c r="M59" i="8"/>
  <c r="M15" i="18" s="1"/>
  <c r="Y52" i="8"/>
  <c r="W8" i="18"/>
  <c r="Y38" i="8" l="1"/>
  <c r="Y14" i="8"/>
  <c r="AC41" i="22"/>
  <c r="Z71" i="22"/>
  <c r="X8" i="18"/>
  <c r="Z52" i="8"/>
  <c r="Z51" i="8"/>
  <c r="X7" i="18"/>
  <c r="N59" i="8"/>
  <c r="N15" i="18" s="1"/>
  <c r="Z38" i="8" l="1"/>
  <c r="Z14" i="8"/>
  <c r="AD41" i="22"/>
  <c r="AA71" i="22"/>
  <c r="P59" i="8"/>
  <c r="P15" i="18" s="1"/>
  <c r="AA52" i="8"/>
  <c r="Y8" i="18"/>
  <c r="AA51" i="8"/>
  <c r="Y7" i="18"/>
  <c r="O59" i="8"/>
  <c r="O15" i="18" s="1"/>
  <c r="AA38" i="8" l="1"/>
  <c r="AA14" i="8"/>
  <c r="AE41" i="22"/>
  <c r="AB71" i="22"/>
  <c r="AB51" i="8"/>
  <c r="Z7" i="18"/>
  <c r="AB52" i="8"/>
  <c r="Z8" i="18"/>
  <c r="Q59" i="8"/>
  <c r="Q15" i="18" s="1"/>
  <c r="AB38" i="8" l="1"/>
  <c r="AB14" i="8"/>
  <c r="AF41" i="22"/>
  <c r="AC71" i="22"/>
  <c r="AC52" i="8"/>
  <c r="AA8" i="18"/>
  <c r="AC51" i="8"/>
  <c r="AA7" i="18"/>
  <c r="R59" i="8"/>
  <c r="R15" i="18" s="1"/>
  <c r="AC38" i="8" l="1"/>
  <c r="AC14" i="8"/>
  <c r="AG41" i="22"/>
  <c r="AD71" i="22"/>
  <c r="AD51" i="8"/>
  <c r="AB7" i="18"/>
  <c r="AB8" i="18"/>
  <c r="AD52" i="8"/>
  <c r="S59" i="8"/>
  <c r="S15" i="18" s="1"/>
  <c r="AD38" i="8" l="1"/>
  <c r="AD14" i="8"/>
  <c r="AH41" i="22"/>
  <c r="AF71" i="22" s="1"/>
  <c r="AE71" i="22"/>
  <c r="AE52" i="8"/>
  <c r="AC8" i="18"/>
  <c r="T59" i="8"/>
  <c r="T15" i="18" s="1"/>
  <c r="AE51" i="8"/>
  <c r="AC7" i="18"/>
  <c r="AE38" i="8" l="1"/>
  <c r="AE14" i="8"/>
  <c r="AF38" i="8"/>
  <c r="AF14" i="8"/>
  <c r="AD7" i="18"/>
  <c r="AF51" i="8"/>
  <c r="AE7" i="18" s="1"/>
  <c r="AF52" i="8"/>
  <c r="AE8" i="18" s="1"/>
  <c r="AD8" i="18"/>
  <c r="V59" i="8" l="1"/>
  <c r="V15" i="18" s="1"/>
  <c r="U59" i="8"/>
  <c r="U15" i="18" s="1"/>
  <c r="W59" i="8" l="1"/>
  <c r="W15" i="18" l="1"/>
  <c r="X59" i="8"/>
  <c r="X15" i="18" l="1"/>
  <c r="Y59" i="8"/>
  <c r="Z59" i="8" l="1"/>
  <c r="Y15" i="18"/>
  <c r="Z15" i="18" l="1"/>
  <c r="AA59" i="8"/>
  <c r="AA15" i="18" l="1"/>
  <c r="AB59" i="8"/>
  <c r="AC59" i="8" l="1"/>
  <c r="AB15" i="18"/>
  <c r="AC15" i="18" l="1"/>
  <c r="AD59" i="8"/>
  <c r="AD15" i="18" l="1"/>
  <c r="AE59" i="8"/>
  <c r="AE15" i="18" l="1"/>
  <c r="AF59" i="8"/>
</calcChain>
</file>

<file path=xl/sharedStrings.xml><?xml version="1.0" encoding="utf-8"?>
<sst xmlns="http://schemas.openxmlformats.org/spreadsheetml/2006/main" count="1088" uniqueCount="339">
  <si>
    <t>BS BAU Subsidy for Thermal Fuels per Energy Unit Produced</t>
  </si>
  <si>
    <t>BS BAU Subsidy per Unit Electricity Output</t>
  </si>
  <si>
    <t>BS BAU Subsidy per Unit Electricity Capacity Built</t>
  </si>
  <si>
    <t>BS Duration of Subsidies per Unit Electricity Output</t>
  </si>
  <si>
    <t>Source:</t>
  </si>
  <si>
    <t>Fine dust project evaluation</t>
  </si>
  <si>
    <t>NABO</t>
  </si>
  <si>
    <t>Domestic emission reduction: industry</t>
  </si>
  <si>
    <t>https://www.nabo.go.kr/system/common/JSPservlet/download.jsp?fCode=33315609&amp;fSHC=&amp;fName=%EB%AF%B8%EC%84%B8%EB%A8%BC%EC%A7%80+%EB%8C%80%EC%9D%91+%EC%82%AC%EC%97%85+%EB%B6%84%EC%84%9D.pdf&amp;fMime=application/pdf&amp;fBid=19&amp;flag=bluenet</t>
  </si>
  <si>
    <t>page 49, 61</t>
  </si>
  <si>
    <t>Generation share of coal</t>
  </si>
  <si>
    <t>Index Korea</t>
  </si>
  <si>
    <t>Generation share by source</t>
  </si>
  <si>
    <t>https://www.index.go.kr/potal/main/EachDtlPageDetail.do?idx_cd=1339</t>
  </si>
  <si>
    <t>KOSIS</t>
  </si>
  <si>
    <t>Generation capacity by company</t>
  </si>
  <si>
    <t>https://kosis.kr/statHtml/statHtml.do?orgId=388&amp;tblId=TX_38803_A000A</t>
  </si>
  <si>
    <t>Cost of PV, hydro, wind and bioenergy in 2010-2019</t>
  </si>
  <si>
    <t>IRENA</t>
  </si>
  <si>
    <t>Global weighted average total installed costs</t>
  </si>
  <si>
    <t>https://www.irena.org/Statistics/View-Data-by-Topic/Costs/Global-Trends</t>
  </si>
  <si>
    <t>Installation cost of PV and wind in 2025 for estimating CAGR</t>
  </si>
  <si>
    <t>The Power to change: solar and wind cost reduction potential to 2025</t>
  </si>
  <si>
    <t>https://www.irena.org/-/media/Files/IRENA/Agency/Publication/2016/IRENA_Power_to_Change_2016.pdf</t>
  </si>
  <si>
    <t>Page 10</t>
  </si>
  <si>
    <t>Installation cost of renewables in 2030 and 2050 for estimating CAGR</t>
  </si>
  <si>
    <t>Price prediction of solar photovoltaic in 2030 and 2050</t>
  </si>
  <si>
    <t>Future of solar photovoltaic</t>
  </si>
  <si>
    <t>https://irena.org/-/media/Files/IRENA/Agency/Publication/2019/Nov/IRENA_Future_of_Solar_PV_2019.pdf</t>
  </si>
  <si>
    <t>Page 27</t>
  </si>
  <si>
    <t>Price prediction of onshore and offshore wind in 2030 and 2050</t>
  </si>
  <si>
    <t>Future of wind</t>
  </si>
  <si>
    <t>https://www.irena.org/-/media/files/irena/agency/publication/2019/oct/irena_future_of_wind_2019.pdf</t>
  </si>
  <si>
    <t>Page 32, 48</t>
  </si>
  <si>
    <t>Projecting installation cost and LCOE of solar PV and onshore wind</t>
  </si>
  <si>
    <t>KEEI</t>
  </si>
  <si>
    <t>Projecting CAPEX of solar PV, and projecting LCOE of solar PV and wind (2020 est.)</t>
  </si>
  <si>
    <t>Page 120, 121</t>
  </si>
  <si>
    <t>Projecting installation cost and LCOE of  offshore wind</t>
  </si>
  <si>
    <t>Offshore wind CAPEX breakdown in 2018, and LCOE trend between 2018 and 2030 in South Korea</t>
  </si>
  <si>
    <t>https://signal.sedaily.com/Common/FileDownload?fileName=%EC%84%B8%EA%B3%84_%EC%9E%AC%EC%83%9D%EC%97%90%EB%84%88%EC%A7%80_%EC%9E%90%EA%B5%AD%EC%82%B0_%EB%B6%80%ED%92%88%EC%82%AC%EC%9A%A9%EC%9A%94%EA%B1%B4_%EC%A0%95%EC%B1%85%EC%97%90_%EB%8C%80%ED%95%9C_%EB%8C%80%EC%9D%91%EB%B0%A9%EC%95%88_%EC%97%B0%EA%B5%AC.pdf&amp;fullPath=/Service/Branch/Signal/Report/2020/04/17/%EC%84%B8%EA%B3%84_%EC%9E%AC%EC%83%9D%EC%97%90%EB%84%88%EC%A7%80_%EC%9E%90%EA%B5%AD%EC%82%B0_%EB%B6%80%ED%92%88%EC%82%AC%EC%9A%A9%EC%9A%94%EA%B1%B4_%EC%A0%95%EC%B1%85%EC%97%90_%EB%8C%80%ED%95%9C_%EB%8C%80%EC%9D%91%EB%B0%A9%EC%95%88_%EC%97%B0%EA%B5%AC.pdf</t>
  </si>
  <si>
    <t>Page 79, 80</t>
  </si>
  <si>
    <t>Tax credit for investment in new and renewable energy manufacturing facilities</t>
  </si>
  <si>
    <t>Integrated Investment Tax Credit (Article 24)</t>
  </si>
  <si>
    <t>https://glaw.scourt.go.kr/wsjo/lawod/sjo192.do?lawodNm=%EC%A1%B0%EC%84%B8%ED%8A%B9%EB%A1%80%EC%A0%9C%ED%95%9C%EB%B2%95&amp;jomunNo=24&amp;jomunGajiNo=</t>
  </si>
  <si>
    <t>Notes</t>
  </si>
  <si>
    <t>Korea's dependence on fuel imports is 94%, so fuel production is limited.</t>
  </si>
  <si>
    <t>https://kosis.kr/statHtml/statHtml.do?orgId=339&amp;tblId=DT_339001_001&amp;conn_path=I2</t>
  </si>
  <si>
    <t>BS-BSpUECB</t>
  </si>
  <si>
    <t>There are errors that may occur in the subsidy for power generation facilities (BS-BSpUECB)</t>
  </si>
  <si>
    <t>The tax credit for domestic renewable energy facilities can be explained in two ways.</t>
  </si>
  <si>
    <t>1. Tax deducted by applying a specific ratio (ex, 1, 3, 7%) to the facility investment cost.</t>
  </si>
  <si>
    <t>2. Profit and loss * Tax deducted by applying a specific ratio to the tax to which corporate tax has been applied</t>
  </si>
  <si>
    <t>The data in the data sheet was calculated based on 1. For this reason, the subsidy received by small power generators supported by the scheme 2 may be distorted.</t>
  </si>
  <si>
    <t>For example, in the case of a large-scale power plant, profit and loss for the period is high enough to receive tax credit benefits under 1</t>
  </si>
  <si>
    <t>However, in the case of small-scale power generation operators, the profit or loss is small, so they cannot receive a tax credit for power generation facilities. So, they get a tax deduction based on 2.</t>
  </si>
  <si>
    <t>To reduce errors, the results tab was drawn up using the fact that investment tax credits can be deducted over 10 years.</t>
  </si>
  <si>
    <t>In addition, there is a minimum tax, so even if you receive benefits, a power company cannot pay less than the minimum tax, but the minimum tax was not applied.</t>
  </si>
  <si>
    <t>1MW</t>
  </si>
  <si>
    <t>kW</t>
  </si>
  <si>
    <t>통계표명:</t>
  </si>
  <si>
    <t>에너지원별 발전량 현황</t>
  </si>
  <si>
    <t>단위:</t>
  </si>
  <si>
    <t>GWh, %</t>
  </si>
  <si>
    <t/>
  </si>
  <si>
    <t>계</t>
  </si>
  <si>
    <t>원자력</t>
  </si>
  <si>
    <t>석탄</t>
  </si>
  <si>
    <t>가스</t>
  </si>
  <si>
    <t>신재생</t>
  </si>
  <si>
    <t>유류</t>
  </si>
  <si>
    <t>양수</t>
  </si>
  <si>
    <t>기타</t>
  </si>
  <si>
    <t>발전량</t>
  </si>
  <si>
    <t>-</t>
  </si>
  <si>
    <t>비중</t>
  </si>
  <si>
    <t>용도및회사별(1)</t>
  </si>
  <si>
    <t>용도및회사별(2)</t>
  </si>
  <si>
    <t>2020</t>
  </si>
  <si>
    <t>합계</t>
  </si>
  <si>
    <t>기력</t>
  </si>
  <si>
    <t>복합화력</t>
  </si>
  <si>
    <t>내연력</t>
  </si>
  <si>
    <t>집단에너지</t>
  </si>
  <si>
    <t>소계</t>
  </si>
  <si>
    <t>유연탄</t>
  </si>
  <si>
    <t>무연탄</t>
  </si>
  <si>
    <t>중유</t>
  </si>
  <si>
    <t>LNG</t>
  </si>
  <si>
    <t>경유</t>
  </si>
  <si>
    <t>수력</t>
  </si>
  <si>
    <t>태양광</t>
  </si>
  <si>
    <t>풍력</t>
  </si>
  <si>
    <t>사업용발전설비</t>
  </si>
  <si>
    <t>한국전력㈜</t>
  </si>
  <si>
    <t>한수원㈜</t>
  </si>
  <si>
    <t>남동발전㈜</t>
  </si>
  <si>
    <t>중부발전㈜</t>
  </si>
  <si>
    <t>서부발전㈜</t>
  </si>
  <si>
    <t>남부발전㈜</t>
  </si>
  <si>
    <t>동서발전㈜</t>
  </si>
  <si>
    <t>포스코에너지㈜</t>
  </si>
  <si>
    <t>GS EPS㈜</t>
  </si>
  <si>
    <t>지역난방공사</t>
  </si>
  <si>
    <t>씨지앤</t>
  </si>
  <si>
    <t>동두천드림파워㈜</t>
  </si>
  <si>
    <t>파주에너지서비스</t>
  </si>
  <si>
    <t>포천파워㈜</t>
  </si>
  <si>
    <t>GS 파워㈜</t>
  </si>
  <si>
    <t>수자원공사</t>
  </si>
  <si>
    <t>㈜GS동해전력</t>
  </si>
  <si>
    <t>구역전기설비</t>
  </si>
  <si>
    <t>Model Energy Source</t>
  </si>
  <si>
    <t>Subsidy Name</t>
  </si>
  <si>
    <t>Fuel/Electricity</t>
  </si>
  <si>
    <t>Unit</t>
  </si>
  <si>
    <t>biomass</t>
  </si>
  <si>
    <t>no Subsidy</t>
  </si>
  <si>
    <t>Electricity</t>
  </si>
  <si>
    <t>coal</t>
  </si>
  <si>
    <t>Amortization of air pollution control facilities</t>
  </si>
  <si>
    <t>$</t>
  </si>
  <si>
    <t>hydro</t>
  </si>
  <si>
    <t>nuclear</t>
  </si>
  <si>
    <t>Special rules for nuclear decommissioning costs</t>
  </si>
  <si>
    <t>solar pv</t>
  </si>
  <si>
    <t>offshore wind</t>
  </si>
  <si>
    <t>onshore wind</t>
  </si>
  <si>
    <t>geothermal</t>
  </si>
  <si>
    <t>발전사별 설비용량</t>
  </si>
  <si>
    <t>설비비율</t>
  </si>
  <si>
    <t>무연탄, 유연탄 별 발전기여도(추정)(MWh)</t>
  </si>
  <si>
    <t>구분</t>
  </si>
  <si>
    <t>굴뚝자동측정기기 예산, 석탄지원금으로 할당</t>
  </si>
  <si>
    <t>대기오염물질 총량관리대상 사업장은 굴뚝자동측정기기 설치가 의무 사항이고, 이를 예산을 통해 설치유도 및 운영지원을 하고 있다.</t>
  </si>
  <si>
    <t>무연탄과 유연탄 발전이 합쳐진 지원 예산 현황 자료를 발전기여도를 통해 분할하였다.</t>
  </si>
  <si>
    <t>LCOE전망(won/kWh)</t>
  </si>
  <si>
    <t>CAGR</t>
  </si>
  <si>
    <t>=&gt;태양광 CAGR만 현물가격 감소에 반영</t>
  </si>
  <si>
    <t>전원구성 전망 확인 후 offshore과 산술평균수치를 적용할지 생각중</t>
  </si>
  <si>
    <t>solar pv, onshore wind</t>
  </si>
  <si>
    <t>URL:</t>
  </si>
  <si>
    <t>https://home.kepco.co.kr/kepco/KR/ntcob/ntcobView.do?pageIndex=1&amp;boardSeq=21049282&amp;boardCd=BRD_000516&amp;menuCd=FN3113</t>
  </si>
  <si>
    <t>=&gt; 사회적 관점 선택</t>
  </si>
  <si>
    <t>중소기업</t>
  </si>
  <si>
    <t>중견기업</t>
  </si>
  <si>
    <t>내국법인(내국인)</t>
  </si>
  <si>
    <t>한국 에너지 구성비(비율, 수입량, 수입의존도, 수입액) 정리</t>
  </si>
  <si>
    <t>page 4~</t>
  </si>
  <si>
    <t>구성비</t>
  </si>
  <si>
    <t>석탄(Coal)</t>
  </si>
  <si>
    <t>석유(Petroleum)</t>
  </si>
  <si>
    <t>천연가스(LNG)</t>
  </si>
  <si>
    <t>수력(Hydro)</t>
  </si>
  <si>
    <t>원자력(Nuclear)</t>
  </si>
  <si>
    <t>신재생(Renewables)</t>
  </si>
  <si>
    <t>1,000 ton</t>
  </si>
  <si>
    <t>수입량</t>
  </si>
  <si>
    <t>무연탄(Anthracite)</t>
  </si>
  <si>
    <t>유연탄(Bituminous)</t>
  </si>
  <si>
    <t>기타석탄(Others)</t>
  </si>
  <si>
    <t>원유(Crude Oil)</t>
  </si>
  <si>
    <t>석유제품(Petroleum Products)</t>
  </si>
  <si>
    <t>원자력 연료(Uranium)</t>
  </si>
  <si>
    <t>수출량</t>
  </si>
  <si>
    <t>Million USD(CIF)</t>
  </si>
  <si>
    <t>수입액</t>
  </si>
  <si>
    <t>나프타(Naphtha)</t>
  </si>
  <si>
    <t>LPG</t>
  </si>
  <si>
    <t>1차에너지 공급구조</t>
  </si>
  <si>
    <t>생산</t>
  </si>
  <si>
    <t>1000 ton</t>
  </si>
  <si>
    <t>=&gt; 무연탄 지원금을 찾아보자</t>
  </si>
  <si>
    <t>GWh</t>
  </si>
  <si>
    <t>1000 toe</t>
  </si>
  <si>
    <t>수입</t>
  </si>
  <si>
    <t>1000 bbl</t>
  </si>
  <si>
    <t>Year</t>
  </si>
  <si>
    <t>hard coal ($/MW)</t>
  </si>
  <si>
    <t>natural gas nonpeaker ($/MW)</t>
  </si>
  <si>
    <t>nuclear ($/MW)</t>
  </si>
  <si>
    <t>hydro ($/MW)</t>
  </si>
  <si>
    <t>onshore wind ($/MW)</t>
  </si>
  <si>
    <t>solar PV ($/MW)</t>
  </si>
  <si>
    <t>solar thermal ($/MW)</t>
  </si>
  <si>
    <t>biomass ($/MW)</t>
  </si>
  <si>
    <t>geothermal ($/MW)</t>
  </si>
  <si>
    <t>petroleum ($/MW)</t>
  </si>
  <si>
    <t>natural gas peaker ($/MW)</t>
  </si>
  <si>
    <t>lignite ($/MW)</t>
  </si>
  <si>
    <t>offshore wind ($/MW)</t>
  </si>
  <si>
    <t>crude oil ($/MWh)</t>
  </si>
  <si>
    <t>heavy or residual fuel oil ($/MWh)</t>
  </si>
  <si>
    <t>municipal solid waste ($/MWh)</t>
  </si>
  <si>
    <t>세액공제의 이월공제기간이 10년인 것을 적용한 데이터</t>
  </si>
  <si>
    <t>[CAPEX($/MW)</t>
  </si>
  <si>
    <t>[보조금 비율(BS-BSpUECB]</t>
  </si>
  <si>
    <t>d</t>
  </si>
  <si>
    <t>electricity</t>
  </si>
  <si>
    <t>hard coal ($/BTU)</t>
  </si>
  <si>
    <t>natural gas ($/BTU)</t>
  </si>
  <si>
    <t>wind</t>
  </si>
  <si>
    <t>solar</t>
  </si>
  <si>
    <t>biomass ($/BTU)</t>
  </si>
  <si>
    <t>petroleum gasoline ($/BTU)</t>
  </si>
  <si>
    <t>petroleum diesel ($/BTU)</t>
  </si>
  <si>
    <t>biofuel gasoline</t>
  </si>
  <si>
    <t>biofuel diesel</t>
  </si>
  <si>
    <t>jet fuel ($/BTU)</t>
  </si>
  <si>
    <t>heat</t>
  </si>
  <si>
    <t>lignite ($/BTU)</t>
  </si>
  <si>
    <t>crude oil</t>
  </si>
  <si>
    <t>heavy fuel oil</t>
  </si>
  <si>
    <t>LPG propane or butane</t>
  </si>
  <si>
    <t>municipal solid waste</t>
  </si>
  <si>
    <t>hydrogen</t>
  </si>
  <si>
    <t>crude oil ($/BTU)</t>
  </si>
  <si>
    <t>heavy fuel oil ($/BTU)</t>
  </si>
  <si>
    <t>hydrogen ($/BTU)</t>
  </si>
  <si>
    <t>hard coal</t>
  </si>
  <si>
    <t>natural gas steam turbine</t>
  </si>
  <si>
    <t>natural gas combined cycle</t>
  </si>
  <si>
    <t>solar PV</t>
  </si>
  <si>
    <t>solar thermal</t>
  </si>
  <si>
    <t>petroleum</t>
  </si>
  <si>
    <t>natural gas peaker</t>
  </si>
  <si>
    <t>lignite</t>
  </si>
  <si>
    <t>heavy or residual fuel oil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</si>
  <si>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</si>
  <si>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</si>
  <si>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</si>
  <si>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</si>
  <si>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</si>
  <si>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</si>
  <si>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</si>
  <si>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% of capital costs</t>
  </si>
  <si>
    <t>Most of the domestically produced fuel is anthracite coal; however, no upstream Thermal Fuel Subsidy exists for its production.</t>
  </si>
  <si>
    <t>As data suitable for EPS model inputs on nuclear power plant decommissioning costs in Korea was not publicly available, the value was set to 0 KRW.</t>
  </si>
  <si>
    <t>Subsidies paid for automatic stack monitoring equipment were allocated to BSpUEO by dividing them across anthracite and bituminous coal generation capacity.</t>
  </si>
  <si>
    <t>https://www.keei.re.kr/board.es?mid=a10101020000&amp;bid=0001&amp;act=view&amp;list_no=82053&amp;cg_code=C01&amp;act=view&amp;list_no=82053</t>
    <phoneticPr fontId="12" type="noConversion"/>
  </si>
  <si>
    <t>Cal-CAPEX 계산 정리 (계산 순서대로)</t>
  </si>
  <si>
    <t>원본: Cal-CAPEX 시트 기반 / 단위: $/kW (IRENA), 원/kW (한국 CAPEX)</t>
  </si>
  <si>
    <t>【 STEP 1 】 IRENA 글로벌 신재생에너지 설치단가 원본 데이터 ($/kW)</t>
  </si>
  <si>
    <t>에너지원</t>
  </si>
  <si>
    <t>설명</t>
  </si>
  <si>
    <t>태양광 (Solar PV)</t>
  </si>
  <si>
    <t>2010→2018 지속 하락</t>
  </si>
  <si>
    <t>육상풍력 (Onshore Wind)</t>
  </si>
  <si>
    <t>완만한 하락 추세</t>
  </si>
  <si>
    <t>해상풍력 (Offshore Wind)</t>
  </si>
  <si>
    <t>기준연도: 2018 ($4,245)</t>
  </si>
  <si>
    <t>수력 (Hydro)</t>
  </si>
  <si>
    <t>2019가격 고정 (비용상승+수요감소 상충가정)</t>
  </si>
  <si>
    <t>바이오 (Bio)</t>
  </si>
  <si>
    <t>2010-2019 평균가 고정 (규칙성 없음)</t>
  </si>
  <si>
    <t>► 실제 적용 기간: Solar PV / Onshore Wind → 2025−2050, Offshore Wind → 2018−2050</t>
  </si>
  <si>
    <t>CAGR (연평균 감소율)</t>
  </si>
  <si>
    <t>적용기간</t>
  </si>
  <si>
    <t>산정공식</t>
  </si>
  <si>
    <t>2025년 이후 적용</t>
  </si>
  <si>
    <t>= (2050년값 / 2025년값)^(1/연수) - 1</t>
  </si>
  <si>
    <t>2018년 이후 적용</t>
  </si>
  <si>
    <t>= (2050년값 / 2018년값)^(1/연수) - 1</t>
  </si>
  <si>
    <t>⚠️  수력/바이오: CAGR 미사용 (IRENA 데이터 고정)</t>
  </si>
  <si>
    <t>2030 min</t>
  </si>
  <si>
    <t>2030 max</t>
  </si>
  <si>
    <t>2030 적용값</t>
  </si>
  <si>
    <t>2050 min</t>
  </si>
  <si>
    <t>2050 max</t>
  </si>
  <si>
    <t>2050 적용값</t>
  </si>
  <si>
    <t>= min + (max - min) xd7 30%</t>
  </si>
  <si>
    <t>= min + |min - max| xd7 30%</t>
  </si>
  <si>
    <t>⚠️  사용 비율 30%는 사용자가정. 노란 배경이 키 변수</t>
  </si>
  <si>
    <t>【 STEP 4 】 한국 신재에너지 CAPEX 연도별 추정 (원/kW)</t>
  </si>
  <si>
    <t>► 파란색 셀 = 추정치(공식계산) / 흰색 셀 = 고정입력값 / 노란 배경 = 키 가정값 (2030, 2050 목표)</t>
  </si>
  <si>
    <t>► 단위: 원/kW</t>
  </si>
  <si>
    <t>2019년가격 고정 (1,709 $/kW)</t>
  </si>
  <si>
    <t>2010-2019 평균가 고정 (2,289 $/kW)</t>
  </si>
  <si>
    <t>▶ 구간별 추정 방식 요약</t>
  </si>
  <si>
    <t>구간</t>
  </si>
  <si>
    <t>기간</t>
  </si>
  <si>
    <t>태양광 / 육상풍력</t>
  </si>
  <si>
    <t>해상풍력</t>
  </si>
  <si>
    <t>구간 1 (실적)</t>
  </si>
  <si>
    <t>2020~2025</t>
  </si>
  <si>
    <t>한국 실측 CAPEX 기반 선형 보간 (5년 동안 일정 하락)</t>
  </si>
  <si>
    <t>2018 기준데이터에 CAGR (−2.6%/년) 적용</t>
  </si>
  <si>
    <t>구간 2 (연계)</t>
  </si>
  <si>
    <t>2026~2030</t>
  </si>
  <si>
    <t>IRENA 실적 기반 선형 감소 (1단계와 연계)</t>
  </si>
  <si>
    <t>CAGR 연속 적용</t>
  </si>
  <si>
    <t>구간 3 (장기)</t>
  </si>
  <si>
    <t>2031~2050</t>
  </si>
  <si>
    <t>CAGR 적용 (전년 xd7 (1 + CAGR))</t>
  </si>
  <si>
    <t>【 STEP 5 】 한국 CAPEX USD 환산 ($/kW)</t>
  </si>
  <si>
    <t>► 환산 공식: 원/kW xf7 1,000 xf7 환율(About시트 B92)</t>
  </si>
  <si>
    <t>► 예시: 태양광 2020 = 1,513원/kW xf7 1,000 xf7 1,180 = 1.28 $/kW</t>
  </si>
  <si>
    <t>환산 환율 (About시트)</t>
  </si>
  <si>
    <t>【 STEP 6 】 세액공제율 (조세특례제한법 제25조 2연)</t>
  </si>
  <si>
    <t>► CAPEX에 대한 세액공제 참고용 모수 (실제 적용 시 BSpUECB 시트 활용)</t>
  </si>
  <si>
    <t>기업 구분</t>
  </si>
  <si>
    <t>세액공제율</t>
  </si>
  <si>
    <t>■ 범레</t>
  </si>
  <si>
    <t>파란 텍스트</t>
  </si>
  <si>
    <t>= 공식으로 계산된 추정치 (Cal-CAPEX 시트에서 직접 참조)</t>
  </si>
  <si>
    <t>흰 배경 셀</t>
  </si>
  <si>
    <t>= 키 입력값 (2025년 실측 기준값)</t>
  </si>
  <si>
    <t>노란 배경 셀</t>
  </si>
  <si>
    <t>= 2030/2050 목표값 (IRENA 시나리오 기반 가정)</t>
  </si>
  <si>
    <t>노란 CAGR 비율에 근거</t>
  </si>
  <si>
    <t>= 사용자가 조정 가능한 키 변수 (30%, E35 셀)</t>
  </si>
  <si>
    <t>■ 계산 흐름 요약</t>
  </si>
  <si>
    <t>STEP 1 → IRENA 글로벌 데이터 ($/kW, 2010-2018)</t>
  </si>
  <si>
    <t>STEP 2 → IRENA 기반 CAGR 추정 (연평균 감소율)</t>
  </si>
  <si>
    <t>STEP 3 → 2030/2050 목표 CAPEX 가정 (min/max 범위 연구 기반)</t>
  </si>
  <si>
    <t>STEP 4 → 한국 원/kW CAPEX 2020-2050 연도별 추정 (수력/바이오는 IRENA 고정)</t>
  </si>
  <si>
    <t>STEP 5 → 원/kW xf7 1,000 xf7 환율 → $/kW USD 환산</t>
  </si>
  <si>
    <t>STEP 6 → 세액공제율 (BSpUECB 시트 활용)</t>
  </si>
  <si>
    <r>
      <rPr>
        <b/>
        <sz val="12"/>
        <color rgb="FFFFFFFF"/>
        <rFont val="맑은 고딕"/>
        <family val="3"/>
        <charset val="129"/>
      </rPr>
      <t>【</t>
    </r>
    <r>
      <rPr>
        <b/>
        <sz val="12"/>
        <color rgb="FFFFFFFF"/>
        <rFont val="Calibri"/>
        <family val="2"/>
        <scheme val="minor"/>
      </rPr>
      <t xml:space="preserve"> STEP 2 </t>
    </r>
    <r>
      <rPr>
        <b/>
        <sz val="12"/>
        <color rgb="FFFFFFFF"/>
        <rFont val="맑은 고딕"/>
        <family val="3"/>
        <charset val="129"/>
      </rPr>
      <t>】</t>
    </r>
    <r>
      <rPr>
        <b/>
        <sz val="12"/>
        <color rgb="FFFFFFFF"/>
        <rFont val="Calibri"/>
        <family val="2"/>
        <scheme val="minor"/>
      </rPr>
      <t xml:space="preserve"> 2030 / 2050</t>
    </r>
    <r>
      <rPr>
        <b/>
        <sz val="12"/>
        <color rgb="FFFFFFFF"/>
        <rFont val="맑은 고딕"/>
        <family val="3"/>
        <charset val="129"/>
      </rPr>
      <t>년</t>
    </r>
    <r>
      <rPr>
        <b/>
        <sz val="12"/>
        <color rgb="FFFFFFFF"/>
        <rFont val="Calibri"/>
        <family val="2"/>
        <scheme val="minor"/>
      </rPr>
      <t xml:space="preserve"> CAPEX </t>
    </r>
    <r>
      <rPr>
        <b/>
        <sz val="12"/>
        <color rgb="FFFFFFFF"/>
        <rFont val="맑은 고딕"/>
        <family val="3"/>
        <charset val="129"/>
      </rPr>
      <t>목표값</t>
    </r>
    <r>
      <rPr>
        <b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맑은 고딕"/>
        <family val="3"/>
        <charset val="129"/>
      </rPr>
      <t>가정</t>
    </r>
    <r>
      <rPr>
        <b/>
        <sz val="12"/>
        <color rgb="FFFFFFFF"/>
        <rFont val="Calibri"/>
        <family val="2"/>
        <scheme val="minor"/>
      </rPr>
      <t xml:space="preserve"> ($/kW)</t>
    </r>
    <phoneticPr fontId="12" type="noConversion"/>
  </si>
  <si>
    <r>
      <rPr>
        <b/>
        <sz val="12"/>
        <color rgb="FFFFFFFF"/>
        <rFont val="맑은 고딕"/>
        <family val="3"/>
        <charset val="129"/>
      </rPr>
      <t>【</t>
    </r>
    <r>
      <rPr>
        <b/>
        <sz val="12"/>
        <color rgb="FFFFFFFF"/>
        <rFont val="Calibri"/>
        <family val="2"/>
        <scheme val="minor"/>
      </rPr>
      <t xml:space="preserve"> STEP 3 </t>
    </r>
    <r>
      <rPr>
        <b/>
        <sz val="12"/>
        <color rgb="FFFFFFFF"/>
        <rFont val="맑은 고딕"/>
        <family val="3"/>
        <charset val="129"/>
      </rPr>
      <t>】</t>
    </r>
    <r>
      <rPr>
        <b/>
        <sz val="12"/>
        <color rgb="FFFFFFFF"/>
        <rFont val="Calibri"/>
        <family val="2"/>
        <scheme val="minor"/>
      </rPr>
      <t xml:space="preserve"> CAGR (</t>
    </r>
    <r>
      <rPr>
        <b/>
        <sz val="12"/>
        <color rgb="FFFFFFFF"/>
        <rFont val="맑은 고딕"/>
        <family val="3"/>
        <charset val="129"/>
      </rPr>
      <t>연평균성장률</t>
    </r>
    <r>
      <rPr>
        <b/>
        <sz val="12"/>
        <color rgb="FFFFFFFF"/>
        <rFont val="Calibri"/>
        <family val="2"/>
        <scheme val="minor"/>
      </rPr>
      <t xml:space="preserve">) </t>
    </r>
    <r>
      <rPr>
        <b/>
        <sz val="12"/>
        <color rgb="FFFFFFFF"/>
        <rFont val="맑은 고딕"/>
        <family val="3"/>
        <charset val="129"/>
      </rPr>
      <t>계산</t>
    </r>
    <r>
      <rPr>
        <b/>
        <sz val="12"/>
        <color rgb="FFFFFFFF"/>
        <rFont val="Calibri"/>
        <family val="2"/>
        <scheme val="minor"/>
      </rPr>
      <t xml:space="preserve"> - IRENA </t>
    </r>
    <r>
      <rPr>
        <b/>
        <sz val="12"/>
        <color rgb="FFFFFFFF"/>
        <rFont val="맑은 고딕"/>
        <family val="3"/>
        <charset val="129"/>
      </rPr>
      <t>글로벌</t>
    </r>
    <r>
      <rPr>
        <b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맑은 고딕"/>
        <family val="3"/>
        <charset val="129"/>
      </rPr>
      <t>데이터</t>
    </r>
    <r>
      <rPr>
        <b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맑은 고딕"/>
        <family val="3"/>
        <charset val="129"/>
      </rPr>
      <t>기반</t>
    </r>
    <phoneticPr fontId="12" type="noConversion"/>
  </si>
  <si>
    <r>
      <rPr>
        <i/>
        <sz val="10"/>
        <color rgb="FF595959"/>
        <rFont val="Segoe UI Symbol"/>
        <family val="2"/>
      </rPr>
      <t>►</t>
    </r>
    <r>
      <rPr>
        <i/>
        <sz val="10"/>
        <color rgb="FF595959"/>
        <rFont val="Calibri"/>
        <family val="2"/>
        <scheme val="minor"/>
      </rPr>
      <t xml:space="preserve"> min/max </t>
    </r>
    <r>
      <rPr>
        <i/>
        <sz val="10"/>
        <color rgb="FF595959"/>
        <rFont val="맑은 고딕"/>
        <family val="3"/>
        <charset val="129"/>
      </rPr>
      <t>범위를</t>
    </r>
    <r>
      <rPr>
        <i/>
        <sz val="10"/>
        <color rgb="FF595959"/>
        <rFont val="Calibri"/>
        <family val="2"/>
        <scheme val="minor"/>
      </rPr>
      <t xml:space="preserve"> </t>
    </r>
    <r>
      <rPr>
        <i/>
        <sz val="10"/>
        <color rgb="FF595959"/>
        <rFont val="맑은 고딕"/>
        <family val="3"/>
        <charset val="129"/>
      </rPr>
      <t>이용하여</t>
    </r>
    <r>
      <rPr>
        <i/>
        <sz val="10"/>
        <color rgb="FF595959"/>
        <rFont val="Calibri"/>
        <family val="2"/>
        <scheme val="minor"/>
      </rPr>
      <t xml:space="preserve"> IRENA </t>
    </r>
    <r>
      <rPr>
        <i/>
        <sz val="10"/>
        <color rgb="FF595959"/>
        <rFont val="맑은 고딕"/>
        <family val="3"/>
        <charset val="129"/>
      </rPr>
      <t>시나리오</t>
    </r>
    <r>
      <rPr>
        <i/>
        <sz val="10"/>
        <color rgb="FF595959"/>
        <rFont val="Calibri"/>
        <family val="2"/>
        <scheme val="minor"/>
      </rPr>
      <t xml:space="preserve"> </t>
    </r>
    <r>
      <rPr>
        <i/>
        <sz val="10"/>
        <color rgb="FF595959"/>
        <rFont val="맑은 고딕"/>
        <family val="3"/>
        <charset val="129"/>
      </rPr>
      <t>중압값</t>
    </r>
    <r>
      <rPr>
        <i/>
        <sz val="10"/>
        <color rgb="FF595959"/>
        <rFont val="Calibri"/>
        <family val="2"/>
        <scheme val="minor"/>
      </rPr>
      <t xml:space="preserve"> </t>
    </r>
    <r>
      <rPr>
        <i/>
        <sz val="10"/>
        <color rgb="FF595959"/>
        <rFont val="맑은 고딕"/>
        <family val="3"/>
        <charset val="129"/>
      </rPr>
      <t>적용</t>
    </r>
    <r>
      <rPr>
        <i/>
        <sz val="10"/>
        <color rgb="FF595959"/>
        <rFont val="Calibri"/>
        <family val="2"/>
        <scheme val="minor"/>
      </rPr>
      <t xml:space="preserve"> (</t>
    </r>
    <r>
      <rPr>
        <i/>
        <sz val="10"/>
        <color rgb="FF595959"/>
        <rFont val="맑은 고딕"/>
        <family val="3"/>
        <charset val="129"/>
      </rPr>
      <t>비율</t>
    </r>
    <r>
      <rPr>
        <i/>
        <sz val="10"/>
        <color rgb="FF595959"/>
        <rFont val="Calibri"/>
        <family val="2"/>
        <scheme val="minor"/>
      </rPr>
      <t xml:space="preserve"> 30% </t>
    </r>
    <r>
      <rPr>
        <i/>
        <sz val="10"/>
        <color rgb="FF595959"/>
        <rFont val="맑은 고딕"/>
        <family val="3"/>
        <charset val="129"/>
      </rPr>
      <t>위치</t>
    </r>
    <r>
      <rPr>
        <i/>
        <sz val="10"/>
        <color rgb="FF595959"/>
        <rFont val="Calibri"/>
        <family val="2"/>
        <scheme val="minor"/>
      </rPr>
      <t>)</t>
    </r>
    <phoneticPr fontId="12" type="noConversion"/>
  </si>
  <si>
    <t>`</t>
    <phoneticPr fontId="12" type="noConversion"/>
  </si>
  <si>
    <t>2012 평균 환율</t>
    <phoneticPr fontId="12" type="noConversion"/>
  </si>
  <si>
    <t>시점</t>
  </si>
  <si>
    <t>전국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</si>
  <si>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</si>
  <si>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</si>
  <si>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</si>
  <si>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</si>
  <si>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</si>
  <si>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</si>
  <si>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</si>
  <si>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</si>
  <si>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</si>
  <si>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</si>
  <si>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</si>
  <si>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</si>
  <si>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</si>
  <si>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r>
      <t>[</t>
    </r>
    <r>
      <rPr>
        <sz val="11"/>
        <color theme="1"/>
        <rFont val="맑은 고딕"/>
        <family val="3"/>
        <charset val="129"/>
      </rPr>
      <t>참고</t>
    </r>
    <r>
      <rPr>
        <sz val="11"/>
        <color theme="1"/>
        <rFont val="Calibri"/>
        <family val="3"/>
      </rPr>
      <t xml:space="preserve">] </t>
    </r>
    <r>
      <rPr>
        <sz val="11"/>
        <color theme="1"/>
        <rFont val="맑은 고딕"/>
        <family val="3"/>
        <charset val="129"/>
      </rPr>
      <t>소비자물가지수(</t>
    </r>
    <r>
      <rPr>
        <sz val="11"/>
        <color theme="1"/>
        <rFont val="Calibri"/>
        <family val="3"/>
      </rPr>
      <t>CPI)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</si>
</sst>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0.E+00"/>
    <numFmt numFmtId="166" formatCode="#,##0_ "/>
    <numFmt numFmtId="167" formatCode="0.000"/>
    <numFmt numFmtId="171" formatCode="#,##0.0_ "/>
    <numFmt numFmtId="172" formatCode="0.000%"/>
    <numFmt numFmtId="173" formatCode="#,##0.000"/>
  </numFmts>
  <fonts count="3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u/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i/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E7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FFFFFF"/>
      <name val="Calibri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i/>
      <sz val="10"/>
      <color rgb="FF595959"/>
      <name val="Calibri"/>
      <family val="3"/>
      <charset val="129"/>
      <scheme val="minor"/>
    </font>
    <font>
      <i/>
      <sz val="10"/>
      <color rgb="FF595959"/>
      <name val="Segoe UI Symbol"/>
      <family val="2"/>
    </font>
    <font>
      <i/>
      <sz val="10"/>
      <color rgb="FF59595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</font>
  </fonts>
  <fills count="1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6" fillId="0" borderId="0" xfId="0" applyFont="1"/>
    <xf numFmtId="0" fontId="7" fillId="3" borderId="4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5" borderId="4" xfId="0" applyFont="1" applyFill="1" applyBorder="1"/>
    <xf numFmtId="0" fontId="2" fillId="6" borderId="9" xfId="0" applyFont="1" applyFill="1" applyBorder="1"/>
    <xf numFmtId="3" fontId="2" fillId="0" borderId="4" xfId="0" applyNumberFormat="1" applyFont="1" applyBorder="1" applyAlignment="1">
      <alignment horizontal="right"/>
    </xf>
    <xf numFmtId="0" fontId="2" fillId="6" borderId="10" xfId="0" applyFont="1" applyFill="1" applyBorder="1"/>
    <xf numFmtId="0" fontId="2" fillId="6" borderId="4" xfId="0" applyFont="1" applyFill="1" applyBorder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7" borderId="1" xfId="0" applyFont="1" applyFill="1" applyBorder="1"/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166" fontId="2" fillId="0" borderId="0" xfId="0" applyNumberFormat="1" applyFont="1"/>
    <xf numFmtId="166" fontId="2" fillId="0" borderId="11" xfId="0" applyNumberFormat="1" applyFont="1" applyBorder="1"/>
    <xf numFmtId="1" fontId="2" fillId="0" borderId="0" xfId="0" applyNumberFormat="1" applyFont="1"/>
    <xf numFmtId="11" fontId="2" fillId="0" borderId="0" xfId="0" applyNumberFormat="1" applyFont="1"/>
    <xf numFmtId="0" fontId="10" fillId="0" borderId="0" xfId="0" applyFont="1" applyAlignment="1">
      <alignment vertical="center"/>
    </xf>
    <xf numFmtId="167" fontId="2" fillId="0" borderId="0" xfId="0" applyNumberFormat="1" applyFont="1"/>
    <xf numFmtId="0" fontId="13" fillId="0" borderId="0" xfId="2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8" fillId="10" borderId="0" xfId="0" applyFont="1" applyFill="1" applyAlignment="1">
      <alignment horizontal="center"/>
    </xf>
    <xf numFmtId="0" fontId="19" fillId="0" borderId="0" xfId="0" applyFont="1"/>
    <xf numFmtId="171" fontId="0" fillId="0" borderId="0" xfId="0" applyNumberFormat="1"/>
    <xf numFmtId="0" fontId="20" fillId="0" borderId="0" xfId="0" applyFont="1"/>
    <xf numFmtId="0" fontId="21" fillId="0" borderId="0" xfId="0" applyFont="1"/>
    <xf numFmtId="171" fontId="21" fillId="0" borderId="0" xfId="0" applyNumberFormat="1" applyFont="1"/>
    <xf numFmtId="172" fontId="0" fillId="0" borderId="0" xfId="0" applyNumberFormat="1"/>
    <xf numFmtId="0" fontId="15" fillId="0" borderId="0" xfId="0" quotePrefix="1" applyFont="1"/>
    <xf numFmtId="0" fontId="20" fillId="0" borderId="0" xfId="0" quotePrefix="1" applyFont="1"/>
    <xf numFmtId="0" fontId="22" fillId="0" borderId="0" xfId="0" applyFont="1"/>
    <xf numFmtId="0" fontId="18" fillId="11" borderId="0" xfId="0" applyFont="1" applyFill="1" applyAlignment="1">
      <alignment horizontal="center"/>
    </xf>
    <xf numFmtId="166" fontId="0" fillId="0" borderId="0" xfId="0" applyNumberFormat="1"/>
    <xf numFmtId="171" fontId="0" fillId="11" borderId="0" xfId="0" applyNumberFormat="1" applyFill="1"/>
    <xf numFmtId="0" fontId="23" fillId="0" borderId="0" xfId="0" applyFont="1"/>
    <xf numFmtId="0" fontId="24" fillId="0" borderId="0" xfId="0" applyFont="1"/>
    <xf numFmtId="0" fontId="18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14" borderId="0" xfId="0" applyFill="1"/>
    <xf numFmtId="0" fontId="0" fillId="15" borderId="0" xfId="0" applyFill="1"/>
    <xf numFmtId="0" fontId="27" fillId="0" borderId="0" xfId="0" quotePrefix="1" applyFont="1"/>
    <xf numFmtId="164" fontId="0" fillId="0" borderId="0" xfId="1" applyFont="1" applyAlignment="1"/>
    <xf numFmtId="164" fontId="19" fillId="0" borderId="0" xfId="1" applyFont="1" applyAlignment="1"/>
    <xf numFmtId="164" fontId="23" fillId="15" borderId="0" xfId="1" applyFont="1" applyFill="1" applyAlignment="1"/>
    <xf numFmtId="164" fontId="23" fillId="0" borderId="0" xfId="1" applyFont="1" applyAlignment="1"/>
    <xf numFmtId="0" fontId="0" fillId="16" borderId="12" xfId="0" applyFill="1" applyBorder="1" applyAlignment="1">
      <alignment vertical="center"/>
    </xf>
    <xf numFmtId="0" fontId="0" fillId="17" borderId="12" xfId="0" applyFill="1" applyBorder="1"/>
    <xf numFmtId="0" fontId="0" fillId="18" borderId="13" xfId="0" applyFill="1" applyBorder="1"/>
    <xf numFmtId="173" fontId="0" fillId="0" borderId="12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0" fontId="0" fillId="18" borderId="12" xfId="0" applyFill="1" applyBorder="1"/>
    <xf numFmtId="164" fontId="9" fillId="0" borderId="0" xfId="1" applyFont="1" applyAlignment="1">
      <alignment horizontal="left"/>
    </xf>
    <xf numFmtId="164" fontId="2" fillId="0" borderId="0" xfId="1" applyFont="1" applyAlignment="1">
      <alignment horizontal="left"/>
    </xf>
    <xf numFmtId="164" fontId="2" fillId="7" borderId="1" xfId="1" applyFont="1" applyFill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7" fillId="3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2" fillId="4" borderId="5" xfId="0" applyFont="1" applyFill="1" applyBorder="1" applyAlignment="1">
      <alignment vertical="center"/>
    </xf>
    <xf numFmtId="0" fontId="8" fillId="0" borderId="8" xfId="0" applyFont="1" applyBorder="1"/>
    <xf numFmtId="0" fontId="2" fillId="5" borderId="2" xfId="0" applyFont="1" applyFill="1" applyBorder="1"/>
    <xf numFmtId="0" fontId="8" fillId="0" borderId="7" xfId="0" applyFont="1" applyBorder="1"/>
    <xf numFmtId="0" fontId="16" fillId="0" borderId="0" xfId="0" applyFont="1"/>
    <xf numFmtId="0" fontId="17" fillId="9" borderId="0" xfId="0" applyFont="1" applyFill="1"/>
    <xf numFmtId="0" fontId="26" fillId="12" borderId="0" xfId="0" applyFont="1" applyFill="1"/>
    <xf numFmtId="0" fontId="18" fillId="12" borderId="0" xfId="0" applyFont="1" applyFill="1"/>
    <xf numFmtId="0" fontId="25" fillId="12" borderId="0" xfId="0" applyFont="1" applyFill="1"/>
    <xf numFmtId="0" fontId="14" fillId="8" borderId="0" xfId="0" applyFont="1" applyFill="1"/>
    <xf numFmtId="0" fontId="28" fillId="9" borderId="0" xfId="0" applyFont="1" applyFill="1"/>
    <xf numFmtId="0" fontId="30" fillId="0" borderId="0" xfId="0" applyFont="1"/>
    <xf numFmtId="0" fontId="2" fillId="0" borderId="0" xfId="1" applyNumberFormat="1" applyFont="1" applyAlignment="1"/>
    <xf numFmtId="0" fontId="2" fillId="0" borderId="0" xfId="0" applyNumberFormat="1" applyFo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1104900</xdr:colOff>
      <xdr:row>10</xdr:row>
      <xdr:rowOff>28575</xdr:rowOff>
    </xdr:from>
    <xdr:ext cx="4333875" cy="1362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6</xdr:row>
      <xdr:rowOff>200025</xdr:rowOff>
    </xdr:from>
    <xdr:ext cx="4619625" cy="3200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</xdr:row>
      <xdr:rowOff>66675</xdr:rowOff>
    </xdr:from>
    <xdr:ext cx="4695825" cy="28098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29</xdr:row>
      <xdr:rowOff>114300</xdr:rowOff>
    </xdr:from>
    <xdr:ext cx="3724275" cy="33909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49</xdr:row>
      <xdr:rowOff>171451</xdr:rowOff>
    </xdr:from>
    <xdr:ext cx="4762500" cy="2238374"/>
    <xdr:pic>
      <xdr:nvPicPr>
        <xdr:cNvPr id="2" name="image5.png">
          <a:extLst>
            <a:ext uri="{FF2B5EF4-FFF2-40B4-BE49-F238E27FC236}">
              <a16:creationId xmlns:a16="http://schemas.microsoft.com/office/drawing/2014/main" id="{C856C7D2-5733-41E1-8F46-97FDE1D2DF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95925" y="12325351"/>
          <a:ext cx="4762500" cy="223837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495301</xdr:colOff>
      <xdr:row>49</xdr:row>
      <xdr:rowOff>104775</xdr:rowOff>
    </xdr:from>
    <xdr:to>
      <xdr:col>3</xdr:col>
      <xdr:colOff>783834</xdr:colOff>
      <xdr:row>62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071DBF6-6C4B-4CF5-A32D-C58F80266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1" y="12258675"/>
          <a:ext cx="4736708" cy="2505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eganMahajan/Documents/eps-us-analysis/InputData/fuels/BFPaT/BAU%20Fuel%20Prices%20and%20Taxes.xlsx" TargetMode="External"/><Relationship Id="rId1" Type="http://schemas.openxmlformats.org/officeDocument/2006/relationships/externalLinkPath" Target="/Users/MeganMahajan/Documents/eps-us-analysi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AEO 2023 Table 2"/>
      <sheetName val="AEO 2022 Table 2"/>
      <sheetName val="Gas Futures"/>
      <sheetName val="Henry Hub Historicals"/>
      <sheetName val="NG Sector Price Historicals"/>
      <sheetName val="Historical Monthly Gas Cons"/>
      <sheetName val="NG Calcs"/>
      <sheetName val="AEO 2023 Table 3"/>
      <sheetName val="AEO 2022 Table 3"/>
      <sheetName val="AEO 2023 Table 12"/>
      <sheetName val="AEO 2022 Table 12"/>
      <sheetName val="AEO 2023 Table 57"/>
      <sheetName val="AEO 2022 Table 57"/>
      <sheetName val="AEO Table 57"/>
      <sheetName val="STEO"/>
      <sheetName val="Hard Coal and Lig Multipliers"/>
      <sheetName val="Hydrogen"/>
      <sheetName val="Transp Charging"/>
      <sheetName val="Other Fuels"/>
      <sheetName val="Inflation Reduction Act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3292A3-2002-40F9-BA95-F83F36FF103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770b754-e086-4f4b-b493-296da2faf16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law.scourt.go.kr/wsjo/lawod/sjo192.do?lawodNm=%EC%A1%B0%EC%84%B8%ED%8A%B9%EB%A1%80%EC%A0%9C%ED%95%9C%EB%B2%95&amp;jomunNo=24&amp;jomunGajiNo=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kosis.kr/statHtml/statHtml.do?orgId=388&amp;tblId=TX_38803_A000A" TargetMode="External"/><Relationship Id="rId7" Type="http://schemas.openxmlformats.org/officeDocument/2006/relationships/hyperlink" Target="https://www.irena.org/-/media/files/irena/agency/publication/2019/oct/irena_future_of_wind_2019.pdf" TargetMode="External"/><Relationship Id="rId12" Type="http://schemas.openxmlformats.org/officeDocument/2006/relationships/hyperlink" Target="https://www.keei.re.kr/board.es?mid=a10101020000&amp;bid=0001&amp;act=view&amp;list_no=82053&amp;cg_code=C01&amp;act=view&amp;list_no=82053" TargetMode="External"/><Relationship Id="rId2" Type="http://schemas.openxmlformats.org/officeDocument/2006/relationships/hyperlink" Target="https://www.index.go.kr/potal/main/EachDtlPageDetail.do?idx_cd=1339" TargetMode="External"/><Relationship Id="rId1" Type="http://schemas.openxmlformats.org/officeDocument/2006/relationships/hyperlink" Target="https://www.nabo.go.kr/system/common/JSPservlet/download.jsp?fCode=33315609&amp;fSHC=&amp;fName=%EB%AF%B8%EC%84%B8%EB%A8%BC%EC%A7%80+%EB%8C%80%EC%9D%91+%EC%82%AC%EC%97%85+%EB%B6%84%EC%84%9D.pdf&amp;fMime=application/pdf&amp;fBid=19&amp;flag=bluenet" TargetMode="External"/><Relationship Id="rId6" Type="http://schemas.openxmlformats.org/officeDocument/2006/relationships/hyperlink" Target="https://irena.org/-/media/Files/IRENA/Agency/Publication/2019/Nov/IRENA_Future_of_Solar_PV_2019.pdf" TargetMode="External"/><Relationship Id="rId11" Type="http://schemas.openxmlformats.org/officeDocument/2006/relationships/hyperlink" Target="https://www.greentechmedia.com/articles/read/solar-and-wind-tax-credit-extensions-energy-rd-package-in-spending-bill-before-congress" TargetMode="External"/><Relationship Id="rId5" Type="http://schemas.openxmlformats.org/officeDocument/2006/relationships/hyperlink" Target="https://www.irena.org/-/media/Files/IRENA/Agency/Publication/2016/IRENA_Power_to_Change_2016.pdf" TargetMode="External"/><Relationship Id="rId10" Type="http://schemas.openxmlformats.org/officeDocument/2006/relationships/hyperlink" Target="https://kosis.kr/statHtml/statHtml.do?orgId=339&amp;tblId=DT_339001_001&amp;conn_path=I2" TargetMode="External"/><Relationship Id="rId4" Type="http://schemas.openxmlformats.org/officeDocument/2006/relationships/hyperlink" Target="https://www.irena.org/Statistics/View-Data-by-Topic/Costs/Global-Trends" TargetMode="External"/><Relationship Id="rId9" Type="http://schemas.openxmlformats.org/officeDocument/2006/relationships/hyperlink" Target="https://www.jct.gov/publications.html?func=download&amp;id=4663&amp;chk=4663&amp;no_html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52" workbookViewId="0">
      <selection activeCell="F92" sqref="F92"/>
    </sheetView>
  </sheetViews>
  <sheetFormatPr defaultColWidth="14.453125" defaultRowHeight="15" customHeight="1"/>
  <cols>
    <col min="1" max="1" width="13" customWidth="1"/>
    <col min="2" max="2" width="20.453125" customWidth="1"/>
    <col min="3" max="3" width="26.453125" customWidth="1"/>
    <col min="4" max="26" width="9" customWidth="1"/>
  </cols>
  <sheetData>
    <row r="1" spans="1:26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3" t="s">
        <v>4</v>
      </c>
      <c r="B6" s="4" t="s">
        <v>5</v>
      </c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3"/>
      <c r="B7" s="6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3"/>
      <c r="B8" s="6">
        <v>2019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3"/>
      <c r="B9" s="6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3"/>
      <c r="B10" s="7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3"/>
      <c r="B11" s="6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>
      <c r="A12" s="3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3"/>
      <c r="B13" s="4" t="s">
        <v>10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3"/>
      <c r="B14" s="6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3"/>
      <c r="B15" s="6">
        <v>2021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3"/>
      <c r="B16" s="6" t="s">
        <v>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3"/>
      <c r="B17" s="7" t="s">
        <v>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3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3"/>
      <c r="B19" s="6" t="s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3"/>
      <c r="B20" s="6">
        <v>2020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3"/>
      <c r="B21" s="6" t="s">
        <v>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3"/>
      <c r="B22" s="7" t="s">
        <v>16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3"/>
      <c r="B24" s="4" t="s">
        <v>17</v>
      </c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>
      <c r="A25" s="3"/>
      <c r="B25" s="6" t="s">
        <v>18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>
      <c r="A26" s="3"/>
      <c r="B26" s="6">
        <v>2019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>
      <c r="A27" s="3"/>
      <c r="B27" s="6" t="s">
        <v>19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3"/>
      <c r="B28" s="7" t="s">
        <v>20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3"/>
      <c r="B29" s="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3"/>
      <c r="B30" s="4" t="s">
        <v>21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2"/>
      <c r="B31" s="6" t="s">
        <v>18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>
      <c r="A32" s="2"/>
      <c r="B32" s="6">
        <v>2019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>
      <c r="A33" s="3"/>
      <c r="B33" s="6" t="s">
        <v>22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>
      <c r="A34" s="3"/>
      <c r="B34" s="7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>
      <c r="A35" s="3"/>
      <c r="B35" s="6" t="s">
        <v>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>
      <c r="A36" s="3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3"/>
      <c r="B37" s="4" t="s">
        <v>25</v>
      </c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>
      <c r="A38" s="3"/>
      <c r="B38" s="6" t="s">
        <v>26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>
      <c r="A39" s="2"/>
      <c r="B39" s="6" t="s">
        <v>18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>
      <c r="A40" s="2"/>
      <c r="B40" s="6">
        <v>2019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>
      <c r="A41" s="3"/>
      <c r="B41" s="6" t="s">
        <v>27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>
      <c r="A42" s="3"/>
      <c r="B42" s="7" t="s">
        <v>28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3"/>
      <c r="B43" s="6" t="s">
        <v>29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3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3"/>
      <c r="B45" s="6" t="s">
        <v>30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>
      <c r="A46" s="3"/>
      <c r="B46" s="2" t="s">
        <v>31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>
      <c r="A47" s="3"/>
      <c r="B47" s="7" t="s">
        <v>32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3"/>
      <c r="B48" s="6" t="s">
        <v>33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3"/>
      <c r="B50" s="4" t="s">
        <v>34</v>
      </c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3"/>
      <c r="B51" s="6" t="s">
        <v>35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>
      <c r="A52" s="3"/>
      <c r="B52" s="6">
        <v>2020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>
      <c r="A53" s="3"/>
      <c r="B53" s="8" t="s">
        <v>36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>
      <c r="A54" s="3"/>
      <c r="B54" s="42" t="s">
        <v>239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>
      <c r="A55" s="3"/>
      <c r="B55" s="6" t="s">
        <v>37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>
      <c r="A57" s="3"/>
      <c r="B57" s="4" t="s">
        <v>38</v>
      </c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3"/>
      <c r="B58" s="6" t="s">
        <v>35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>
      <c r="A59" s="3"/>
      <c r="B59" s="6">
        <v>2019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>
      <c r="A60" s="3"/>
      <c r="B60" s="8" t="s">
        <v>39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>
      <c r="A61" s="3"/>
      <c r="B61" s="6" t="s">
        <v>40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3"/>
      <c r="B62" s="6" t="s">
        <v>41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>
      <c r="A64" s="3"/>
      <c r="B64" s="9" t="s">
        <v>42</v>
      </c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>
      <c r="A65" s="3"/>
      <c r="B65" s="2" t="s">
        <v>43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>
      <c r="A66" s="3"/>
      <c r="B66" s="10" t="s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3" t="s">
        <v>45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>
      <c r="A70" s="2" t="s">
        <v>46</v>
      </c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>
      <c r="A71" s="10" t="s">
        <v>47</v>
      </c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>
      <c r="A72" s="2" t="s">
        <v>236</v>
      </c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>
      <c r="A73" s="2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>
      <c r="A74" s="2" t="s">
        <v>237</v>
      </c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>
      <c r="A75" s="2" t="s">
        <v>238</v>
      </c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>
      <c r="A77" s="3" t="s">
        <v>48</v>
      </c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>
      <c r="A78" s="2" t="s">
        <v>49</v>
      </c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>
      <c r="A79" s="2" t="s">
        <v>50</v>
      </c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>
      <c r="A80" s="2" t="s">
        <v>51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>
      <c r="A81" s="2" t="s">
        <v>52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>
      <c r="A82" s="2" t="s">
        <v>53</v>
      </c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>
      <c r="A83" s="2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>
      <c r="A84" s="2" t="s">
        <v>54</v>
      </c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2" t="s">
        <v>55</v>
      </c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>
      <c r="A86" s="2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>
      <c r="A87" s="2" t="s">
        <v>56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>
      <c r="A89" s="2" t="s">
        <v>57</v>
      </c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>
      <c r="A90" s="2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>
      <c r="A91" s="2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>
      <c r="A92" s="12" t="s">
        <v>322</v>
      </c>
      <c r="B92" s="2">
        <v>1126.8800000000001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12" t="s">
        <v>58</v>
      </c>
      <c r="B93" s="2">
        <v>1000</v>
      </c>
      <c r="C93" s="2" t="s">
        <v>59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>
      <c r="A95" s="13"/>
      <c r="B95" s="13"/>
      <c r="C95" s="13"/>
      <c r="D95" s="13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>
      <c r="A96" s="14"/>
      <c r="B96" s="15"/>
      <c r="C96" s="15"/>
      <c r="D96" s="15"/>
      <c r="E96" s="1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>
      <c r="A97" s="14"/>
      <c r="B97" s="15"/>
      <c r="C97" s="15"/>
      <c r="D97" s="15"/>
      <c r="E97" s="1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>
      <c r="A98" s="14"/>
      <c r="B98" s="15"/>
      <c r="C98" s="15"/>
      <c r="D98" s="15"/>
      <c r="E98" s="1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>
      <c r="A99" s="14"/>
      <c r="B99" s="15"/>
      <c r="C99" s="15"/>
      <c r="D99" s="15"/>
      <c r="E99" s="1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>
      <c r="A100" s="14"/>
      <c r="B100" s="15"/>
      <c r="C100" s="15"/>
      <c r="D100" s="15"/>
      <c r="E100" s="1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>
      <c r="A101" s="14"/>
      <c r="B101" s="15"/>
      <c r="C101" s="14"/>
      <c r="D101" s="15"/>
      <c r="E101" s="1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>
      <c r="A102" s="14"/>
      <c r="B102" s="15"/>
      <c r="C102" s="14"/>
      <c r="D102" s="15"/>
      <c r="E102" s="1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>
      <c r="A103" s="14"/>
      <c r="B103" s="15"/>
      <c r="C103" s="15"/>
      <c r="D103" s="15"/>
      <c r="E103" s="1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>
      <c r="A104" s="14"/>
      <c r="B104" s="15"/>
      <c r="C104" s="14"/>
      <c r="D104" s="15"/>
      <c r="E104" s="1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>
      <c r="A105" s="14"/>
      <c r="B105" s="15"/>
      <c r="C105" s="14"/>
      <c r="D105" s="15"/>
      <c r="E105" s="1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>
      <c r="A129" s="2"/>
      <c r="B129" s="1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2" type="noConversion"/>
  <hyperlinks>
    <hyperlink ref="B10" r:id="rId1" xr:uid="{00000000-0004-0000-0000-000000000000}"/>
    <hyperlink ref="B17" r:id="rId2" xr:uid="{00000000-0004-0000-0000-000001000000}"/>
    <hyperlink ref="B22" r:id="rId3" xr:uid="{00000000-0004-0000-0000-000002000000}"/>
    <hyperlink ref="B28" r:id="rId4" xr:uid="{00000000-0004-0000-0000-000003000000}"/>
    <hyperlink ref="B34" r:id="rId5" xr:uid="{00000000-0004-0000-0000-000004000000}"/>
    <hyperlink ref="B42" r:id="rId6" xr:uid="{00000000-0004-0000-0000-000005000000}"/>
    <hyperlink ref="B47" r:id="rId7" xr:uid="{00000000-0004-0000-0000-000006000000}"/>
    <hyperlink ref="B66" r:id="rId8" xr:uid="{00000000-0004-0000-0000-000007000000}"/>
    <hyperlink ref="B70" r:id="rId9" display="https://www.jct.gov/publications.html?func=download&amp;id=4663&amp;chk=4663&amp;no_html=1" xr:uid="{00000000-0004-0000-0000-000008000000}"/>
    <hyperlink ref="A71" r:id="rId10" xr:uid="{00000000-0004-0000-0000-000009000000}"/>
    <hyperlink ref="B129" r:id="rId11" location=":~:text=According%20to%20a%20summary%20shared,would%20have%20under%20existing%20law." display="https://www.greentechmedia.com/articles/read/solar-and-wind-tax-credit-extensions-energy-rd-package-in-spending-bill-before-congress - :~:text=According%20to%20a%20summary%20shared,would%20have%20under%20existing%20law." xr:uid="{00000000-0004-0000-0000-00000A000000}"/>
    <hyperlink ref="B54" r:id="rId12" xr:uid="{FD881628-89D8-4297-8BF1-660647D49173}"/>
  </hyperlinks>
  <pageMargins left="0.7" right="0.7" top="0.75" bottom="0.75" header="0" footer="0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53125" defaultRowHeight="15" customHeight="1"/>
  <cols>
    <col min="1" max="1" width="14" customWidth="1"/>
    <col min="2" max="2" width="12.453125" customWidth="1"/>
    <col min="3" max="6" width="13.54296875" customWidth="1"/>
    <col min="7" max="8" width="12.54296875" customWidth="1"/>
    <col min="9" max="10" width="11.81640625" customWidth="1"/>
    <col min="11" max="26" width="8.81640625" customWidth="1"/>
  </cols>
  <sheetData>
    <row r="1" spans="1:10" ht="19.5" customHeight="1">
      <c r="A1" s="16" t="s">
        <v>60</v>
      </c>
      <c r="B1" s="17" t="s">
        <v>61</v>
      </c>
    </row>
    <row r="2" spans="1:10" ht="19.5" customHeight="1">
      <c r="A2" s="16" t="s">
        <v>62</v>
      </c>
      <c r="B2" s="17" t="s">
        <v>63</v>
      </c>
    </row>
    <row r="3" spans="1:10" ht="19.5" customHeight="1">
      <c r="A3" s="81" t="s">
        <v>64</v>
      </c>
      <c r="B3" s="82"/>
      <c r="C3" s="18" t="s">
        <v>65</v>
      </c>
      <c r="D3" s="18" t="s">
        <v>66</v>
      </c>
      <c r="E3" s="18" t="s">
        <v>67</v>
      </c>
      <c r="F3" s="18" t="s">
        <v>68</v>
      </c>
      <c r="G3" s="18" t="s">
        <v>69</v>
      </c>
      <c r="H3" s="18" t="s">
        <v>70</v>
      </c>
      <c r="I3" s="18" t="s">
        <v>71</v>
      </c>
      <c r="J3" s="18" t="s">
        <v>72</v>
      </c>
    </row>
    <row r="4" spans="1:10" ht="19.5" customHeight="1">
      <c r="A4" s="79">
        <v>2011</v>
      </c>
      <c r="B4" s="18" t="s">
        <v>73</v>
      </c>
      <c r="C4" s="19">
        <v>496893</v>
      </c>
      <c r="D4" s="19">
        <v>154723</v>
      </c>
      <c r="E4" s="19">
        <v>202856</v>
      </c>
      <c r="F4" s="19">
        <v>112646</v>
      </c>
      <c r="G4" s="19">
        <v>12190</v>
      </c>
      <c r="H4" s="19">
        <v>11245</v>
      </c>
      <c r="I4" s="19">
        <v>3233</v>
      </c>
      <c r="J4" s="20" t="s">
        <v>74</v>
      </c>
    </row>
    <row r="5" spans="1:10" ht="19.5" customHeight="1">
      <c r="A5" s="80"/>
      <c r="B5" s="18" t="s">
        <v>75</v>
      </c>
      <c r="C5" s="20">
        <v>100</v>
      </c>
      <c r="D5" s="20">
        <v>31.1</v>
      </c>
      <c r="E5" s="20">
        <v>40.799999999999997</v>
      </c>
      <c r="F5" s="20">
        <v>22.7</v>
      </c>
      <c r="G5" s="20">
        <v>2.5</v>
      </c>
      <c r="H5" s="20">
        <v>2.2999999999999998</v>
      </c>
      <c r="I5" s="20">
        <v>0.7</v>
      </c>
      <c r="J5" s="20" t="s">
        <v>74</v>
      </c>
    </row>
    <row r="6" spans="1:10" ht="19.5" customHeight="1">
      <c r="A6" s="79">
        <v>2012</v>
      </c>
      <c r="B6" s="18" t="s">
        <v>73</v>
      </c>
      <c r="C6" s="19">
        <v>509574</v>
      </c>
      <c r="D6" s="19">
        <v>150327</v>
      </c>
      <c r="E6" s="19">
        <v>202191</v>
      </c>
      <c r="F6" s="19">
        <v>125285</v>
      </c>
      <c r="G6" s="19">
        <v>12587</v>
      </c>
      <c r="H6" s="19">
        <v>15501</v>
      </c>
      <c r="I6" s="19">
        <v>3683</v>
      </c>
      <c r="J6" s="20" t="s">
        <v>74</v>
      </c>
    </row>
    <row r="7" spans="1:10" ht="19.5" customHeight="1">
      <c r="A7" s="80"/>
      <c r="B7" s="18" t="s">
        <v>75</v>
      </c>
      <c r="C7" s="20">
        <v>100</v>
      </c>
      <c r="D7" s="20">
        <v>29.5</v>
      </c>
      <c r="E7" s="20">
        <v>39.700000000000003</v>
      </c>
      <c r="F7" s="20">
        <v>24.6</v>
      </c>
      <c r="G7" s="20">
        <v>2.5</v>
      </c>
      <c r="H7" s="20">
        <v>3</v>
      </c>
      <c r="I7" s="20">
        <v>0.7</v>
      </c>
      <c r="J7" s="20" t="s">
        <v>74</v>
      </c>
    </row>
    <row r="8" spans="1:10" ht="19.5" customHeight="1">
      <c r="A8" s="79">
        <v>2013</v>
      </c>
      <c r="B8" s="18" t="s">
        <v>73</v>
      </c>
      <c r="C8" s="19">
        <v>517148</v>
      </c>
      <c r="D8" s="19">
        <v>138784</v>
      </c>
      <c r="E8" s="19">
        <v>204196</v>
      </c>
      <c r="F8" s="19">
        <v>139783</v>
      </c>
      <c r="G8" s="19">
        <v>14449</v>
      </c>
      <c r="H8" s="19">
        <v>15832</v>
      </c>
      <c r="I8" s="19">
        <v>4105</v>
      </c>
      <c r="J8" s="20" t="s">
        <v>74</v>
      </c>
    </row>
    <row r="9" spans="1:10" ht="19.5" customHeight="1">
      <c r="A9" s="80"/>
      <c r="B9" s="18" t="s">
        <v>75</v>
      </c>
      <c r="C9" s="20">
        <v>100</v>
      </c>
      <c r="D9" s="20">
        <v>26.8</v>
      </c>
      <c r="E9" s="20">
        <v>39.5</v>
      </c>
      <c r="F9" s="20">
        <v>27</v>
      </c>
      <c r="G9" s="20">
        <v>2.8</v>
      </c>
      <c r="H9" s="20">
        <v>3.1</v>
      </c>
      <c r="I9" s="20">
        <v>0.8</v>
      </c>
      <c r="J9" s="20" t="s">
        <v>74</v>
      </c>
    </row>
    <row r="10" spans="1:10" ht="19.5" customHeight="1">
      <c r="A10" s="79">
        <v>2014</v>
      </c>
      <c r="B10" s="18" t="s">
        <v>73</v>
      </c>
      <c r="C10" s="19">
        <v>521971</v>
      </c>
      <c r="D10" s="19">
        <v>156407</v>
      </c>
      <c r="E10" s="19">
        <v>207214</v>
      </c>
      <c r="F10" s="19">
        <v>127472</v>
      </c>
      <c r="G10" s="19">
        <v>17447</v>
      </c>
      <c r="H10" s="19">
        <v>8364</v>
      </c>
      <c r="I10" s="19">
        <v>5068</v>
      </c>
      <c r="J10" s="20" t="s">
        <v>74</v>
      </c>
    </row>
    <row r="11" spans="1:10" ht="19.5" customHeight="1">
      <c r="A11" s="80"/>
      <c r="B11" s="18" t="s">
        <v>75</v>
      </c>
      <c r="C11" s="20">
        <v>100</v>
      </c>
      <c r="D11" s="20">
        <v>30</v>
      </c>
      <c r="E11" s="20">
        <v>39.700000000000003</v>
      </c>
      <c r="F11" s="20">
        <v>24.4</v>
      </c>
      <c r="G11" s="20">
        <v>3.3</v>
      </c>
      <c r="H11" s="20">
        <v>1.6</v>
      </c>
      <c r="I11" s="20">
        <v>1</v>
      </c>
      <c r="J11" s="20" t="s">
        <v>74</v>
      </c>
    </row>
    <row r="12" spans="1:10" ht="19.5" customHeight="1">
      <c r="A12" s="79">
        <v>2015</v>
      </c>
      <c r="B12" s="18" t="s">
        <v>73</v>
      </c>
      <c r="C12" s="19">
        <v>528091</v>
      </c>
      <c r="D12" s="19">
        <v>164762</v>
      </c>
      <c r="E12" s="19">
        <v>211393</v>
      </c>
      <c r="F12" s="19">
        <v>118695</v>
      </c>
      <c r="G12" s="19">
        <v>19464</v>
      </c>
      <c r="H12" s="19">
        <v>10127</v>
      </c>
      <c r="I12" s="19">
        <v>3650</v>
      </c>
      <c r="J12" s="20" t="s">
        <v>74</v>
      </c>
    </row>
    <row r="13" spans="1:10" ht="19.5" customHeight="1">
      <c r="A13" s="80"/>
      <c r="B13" s="18" t="s">
        <v>75</v>
      </c>
      <c r="C13" s="20">
        <v>100</v>
      </c>
      <c r="D13" s="20">
        <v>31.2</v>
      </c>
      <c r="E13" s="20">
        <v>40</v>
      </c>
      <c r="F13" s="20">
        <v>22.5</v>
      </c>
      <c r="G13" s="20">
        <v>3.7</v>
      </c>
      <c r="H13" s="20">
        <v>1.9</v>
      </c>
      <c r="I13" s="20">
        <v>0.7</v>
      </c>
      <c r="J13" s="20" t="s">
        <v>74</v>
      </c>
    </row>
    <row r="14" spans="1:10" ht="19.5" customHeight="1">
      <c r="A14" s="79">
        <v>2016</v>
      </c>
      <c r="B14" s="18" t="s">
        <v>73</v>
      </c>
      <c r="C14" s="19">
        <v>540441</v>
      </c>
      <c r="D14" s="19">
        <v>161995</v>
      </c>
      <c r="E14" s="19">
        <v>213803</v>
      </c>
      <c r="F14" s="19">
        <v>121018</v>
      </c>
      <c r="G14" s="19">
        <v>25836</v>
      </c>
      <c r="H14" s="19">
        <v>14001</v>
      </c>
      <c r="I14" s="19">
        <v>3787</v>
      </c>
      <c r="J14" s="20" t="s">
        <v>74</v>
      </c>
    </row>
    <row r="15" spans="1:10" ht="19.5" customHeight="1">
      <c r="A15" s="80"/>
      <c r="B15" s="18" t="s">
        <v>75</v>
      </c>
      <c r="C15" s="20">
        <v>100</v>
      </c>
      <c r="D15" s="20">
        <v>30</v>
      </c>
      <c r="E15" s="20">
        <v>39.6</v>
      </c>
      <c r="F15" s="20">
        <v>22.4</v>
      </c>
      <c r="G15" s="20">
        <v>4.8</v>
      </c>
      <c r="H15" s="20">
        <v>2.6</v>
      </c>
      <c r="I15" s="20">
        <v>0.7</v>
      </c>
      <c r="J15" s="20" t="s">
        <v>74</v>
      </c>
    </row>
    <row r="16" spans="1:10" ht="19.5" customHeight="1">
      <c r="A16" s="79">
        <v>2017</v>
      </c>
      <c r="B16" s="18" t="s">
        <v>73</v>
      </c>
      <c r="C16" s="19">
        <v>553530</v>
      </c>
      <c r="D16" s="19">
        <v>148427</v>
      </c>
      <c r="E16" s="19">
        <v>238799</v>
      </c>
      <c r="F16" s="19">
        <v>126039</v>
      </c>
      <c r="G16" s="19">
        <v>30817</v>
      </c>
      <c r="H16" s="19">
        <v>5263</v>
      </c>
      <c r="I16" s="19">
        <v>4186</v>
      </c>
      <c r="J16" s="20" t="s">
        <v>74</v>
      </c>
    </row>
    <row r="17" spans="1:10" ht="19.5" customHeight="1">
      <c r="A17" s="80"/>
      <c r="B17" s="18" t="s">
        <v>75</v>
      </c>
      <c r="C17" s="20">
        <v>100</v>
      </c>
      <c r="D17" s="20">
        <v>26.8</v>
      </c>
      <c r="E17" s="20">
        <v>43.1</v>
      </c>
      <c r="F17" s="20">
        <v>22.8</v>
      </c>
      <c r="G17" s="20">
        <v>5.6</v>
      </c>
      <c r="H17" s="20">
        <v>1</v>
      </c>
      <c r="I17" s="20">
        <v>0.8</v>
      </c>
      <c r="J17" s="20" t="s">
        <v>74</v>
      </c>
    </row>
    <row r="18" spans="1:10" ht="19.5" customHeight="1">
      <c r="A18" s="79">
        <v>2018</v>
      </c>
      <c r="B18" s="18" t="s">
        <v>73</v>
      </c>
      <c r="C18" s="19">
        <v>570647</v>
      </c>
      <c r="D18" s="19">
        <v>133505</v>
      </c>
      <c r="E18" s="19">
        <v>238967</v>
      </c>
      <c r="F18" s="19">
        <v>152924</v>
      </c>
      <c r="G18" s="19">
        <v>35598</v>
      </c>
      <c r="H18" s="19">
        <v>5740</v>
      </c>
      <c r="I18" s="19">
        <v>3911</v>
      </c>
      <c r="J18" s="20">
        <v>0</v>
      </c>
    </row>
    <row r="19" spans="1:10" ht="19.5" customHeight="1">
      <c r="A19" s="80"/>
      <c r="B19" s="18" t="s">
        <v>75</v>
      </c>
      <c r="C19" s="20">
        <v>100</v>
      </c>
      <c r="D19" s="20">
        <v>23.4</v>
      </c>
      <c r="E19" s="20">
        <v>41.9</v>
      </c>
      <c r="F19" s="20">
        <v>26.8</v>
      </c>
      <c r="G19" s="20">
        <v>6.2</v>
      </c>
      <c r="H19" s="20">
        <v>1</v>
      </c>
      <c r="I19" s="20">
        <v>0.7</v>
      </c>
      <c r="J19" s="20">
        <v>0</v>
      </c>
    </row>
    <row r="20" spans="1:10" ht="19.5" customHeight="1">
      <c r="A20" s="79">
        <v>2019</v>
      </c>
      <c r="B20" s="18" t="s">
        <v>73</v>
      </c>
      <c r="C20" s="19">
        <v>563040</v>
      </c>
      <c r="D20" s="19">
        <v>145910</v>
      </c>
      <c r="E20" s="19">
        <v>227384</v>
      </c>
      <c r="F20" s="19">
        <v>144355</v>
      </c>
      <c r="G20" s="19">
        <v>36392</v>
      </c>
      <c r="H20" s="19">
        <v>3292</v>
      </c>
      <c r="I20" s="19">
        <v>3458</v>
      </c>
      <c r="J20" s="19">
        <v>2249</v>
      </c>
    </row>
    <row r="21" spans="1:10" ht="19.5" customHeight="1">
      <c r="A21" s="80"/>
      <c r="B21" s="18" t="s">
        <v>75</v>
      </c>
      <c r="C21" s="20">
        <v>100</v>
      </c>
      <c r="D21" s="20">
        <v>25.9</v>
      </c>
      <c r="E21" s="20">
        <v>40.4</v>
      </c>
      <c r="F21" s="20">
        <v>25.6</v>
      </c>
      <c r="G21" s="20">
        <v>6.5</v>
      </c>
      <c r="H21" s="20">
        <v>0.6</v>
      </c>
      <c r="I21" s="20">
        <v>0.6</v>
      </c>
      <c r="J21" s="20">
        <v>0.4</v>
      </c>
    </row>
    <row r="22" spans="1:10" ht="19.5" customHeight="1">
      <c r="A22" s="79">
        <v>2020</v>
      </c>
      <c r="B22" s="18" t="s">
        <v>73</v>
      </c>
      <c r="C22" s="19">
        <v>552162</v>
      </c>
      <c r="D22" s="19">
        <v>160184</v>
      </c>
      <c r="E22" s="19">
        <v>196333</v>
      </c>
      <c r="F22" s="19">
        <v>145911</v>
      </c>
      <c r="G22" s="19">
        <v>36527</v>
      </c>
      <c r="H22" s="19">
        <v>2255</v>
      </c>
      <c r="I22" s="19">
        <v>3271</v>
      </c>
      <c r="J22" s="19">
        <v>7681</v>
      </c>
    </row>
    <row r="23" spans="1:10" ht="19.5" customHeight="1">
      <c r="A23" s="80"/>
      <c r="B23" s="18" t="s">
        <v>75</v>
      </c>
      <c r="C23" s="20">
        <v>100</v>
      </c>
      <c r="D23" s="20">
        <v>29</v>
      </c>
      <c r="E23" s="20">
        <v>35.6</v>
      </c>
      <c r="F23" s="20">
        <v>26.4</v>
      </c>
      <c r="G23" s="20">
        <v>6.6</v>
      </c>
      <c r="H23" s="20">
        <v>0.4</v>
      </c>
      <c r="I23" s="20">
        <v>0.6</v>
      </c>
      <c r="J23" s="20">
        <v>1.4</v>
      </c>
    </row>
    <row r="24" spans="1:10" ht="19.5" customHeight="1">
      <c r="A24" s="16"/>
    </row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1">
    <mergeCell ref="A16:A17"/>
    <mergeCell ref="A18:A19"/>
    <mergeCell ref="A20:A21"/>
    <mergeCell ref="A22:A23"/>
    <mergeCell ref="A3:B3"/>
    <mergeCell ref="A4:A5"/>
    <mergeCell ref="A6:A7"/>
    <mergeCell ref="A8:A9"/>
    <mergeCell ref="A10:A11"/>
    <mergeCell ref="A12:A13"/>
    <mergeCell ref="A14:A15"/>
  </mergeCells>
  <phoneticPr fontId="12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sqref="A1:A3"/>
    </sheetView>
  </sheetViews>
  <sheetFormatPr defaultColWidth="14.453125" defaultRowHeight="15" customHeight="1"/>
  <cols>
    <col min="1" max="1" width="14.54296875" customWidth="1"/>
    <col min="2" max="2" width="15.54296875" customWidth="1"/>
    <col min="3" max="3" width="21.1796875" customWidth="1"/>
    <col min="4" max="6" width="18.54296875" customWidth="1"/>
    <col min="7" max="7" width="14.1796875" customWidth="1"/>
    <col min="8" max="9" width="16.453125" customWidth="1"/>
    <col min="10" max="10" width="18.54296875" customWidth="1"/>
    <col min="11" max="11" width="14.1796875" customWidth="1"/>
    <col min="12" max="12" width="18.54296875" customWidth="1"/>
    <col min="13" max="13" width="14.1796875" customWidth="1"/>
    <col min="14" max="15" width="11.54296875" customWidth="1"/>
    <col min="16" max="17" width="16.453125" customWidth="1"/>
    <col min="18" max="18" width="14.1796875" customWidth="1"/>
    <col min="19" max="19" width="16.453125" customWidth="1"/>
    <col min="20" max="20" width="11.54296875" customWidth="1"/>
    <col min="21" max="21" width="16.453125" customWidth="1"/>
    <col min="22" max="22" width="18.54296875" customWidth="1"/>
    <col min="23" max="23" width="16.453125" customWidth="1"/>
    <col min="24" max="24" width="18.54296875" customWidth="1"/>
    <col min="25" max="26" width="16.453125" customWidth="1"/>
    <col min="27" max="27" width="14.1796875" customWidth="1"/>
  </cols>
  <sheetData>
    <row r="1" spans="1:27" ht="19.5" customHeight="1">
      <c r="A1" s="83" t="s">
        <v>76</v>
      </c>
      <c r="B1" s="83" t="s">
        <v>77</v>
      </c>
      <c r="C1" s="85" t="s">
        <v>78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2"/>
    </row>
    <row r="2" spans="1:27" ht="19.5" customHeight="1">
      <c r="A2" s="84"/>
      <c r="B2" s="84"/>
      <c r="C2" s="21" t="s">
        <v>79</v>
      </c>
      <c r="D2" s="21" t="s">
        <v>66</v>
      </c>
      <c r="E2" s="85" t="s">
        <v>80</v>
      </c>
      <c r="F2" s="86"/>
      <c r="G2" s="86"/>
      <c r="H2" s="86"/>
      <c r="I2" s="82"/>
      <c r="J2" s="85" t="s">
        <v>81</v>
      </c>
      <c r="K2" s="86"/>
      <c r="L2" s="82"/>
      <c r="M2" s="85" t="s">
        <v>82</v>
      </c>
      <c r="N2" s="86"/>
      <c r="O2" s="82"/>
      <c r="P2" s="85" t="s">
        <v>83</v>
      </c>
      <c r="Q2" s="86"/>
      <c r="R2" s="86"/>
      <c r="S2" s="86"/>
      <c r="T2" s="82"/>
      <c r="U2" s="21" t="s">
        <v>71</v>
      </c>
      <c r="V2" s="85" t="s">
        <v>69</v>
      </c>
      <c r="W2" s="86"/>
      <c r="X2" s="86"/>
      <c r="Y2" s="86"/>
      <c r="Z2" s="82"/>
      <c r="AA2" s="21" t="s">
        <v>72</v>
      </c>
    </row>
    <row r="3" spans="1:27" ht="19.5" customHeight="1">
      <c r="A3" s="80"/>
      <c r="B3" s="80"/>
      <c r="C3" s="21" t="s">
        <v>84</v>
      </c>
      <c r="D3" s="21" t="s">
        <v>84</v>
      </c>
      <c r="E3" s="21" t="s">
        <v>84</v>
      </c>
      <c r="F3" s="21" t="s">
        <v>85</v>
      </c>
      <c r="G3" s="21" t="s">
        <v>86</v>
      </c>
      <c r="H3" s="21" t="s">
        <v>87</v>
      </c>
      <c r="I3" s="21" t="s">
        <v>88</v>
      </c>
      <c r="J3" s="21" t="s">
        <v>84</v>
      </c>
      <c r="K3" s="21" t="s">
        <v>89</v>
      </c>
      <c r="L3" s="21" t="s">
        <v>88</v>
      </c>
      <c r="M3" s="21" t="s">
        <v>84</v>
      </c>
      <c r="N3" s="21" t="s">
        <v>87</v>
      </c>
      <c r="O3" s="21" t="s">
        <v>89</v>
      </c>
      <c r="P3" s="21" t="s">
        <v>84</v>
      </c>
      <c r="Q3" s="21" t="s">
        <v>85</v>
      </c>
      <c r="R3" s="21" t="s">
        <v>70</v>
      </c>
      <c r="S3" s="21" t="s">
        <v>88</v>
      </c>
      <c r="T3" s="21" t="s">
        <v>72</v>
      </c>
      <c r="U3" s="21" t="s">
        <v>84</v>
      </c>
      <c r="V3" s="21" t="s">
        <v>84</v>
      </c>
      <c r="W3" s="21" t="s">
        <v>90</v>
      </c>
      <c r="X3" s="21" t="s">
        <v>91</v>
      </c>
      <c r="Y3" s="21" t="s">
        <v>92</v>
      </c>
      <c r="Z3" s="21" t="s">
        <v>72</v>
      </c>
      <c r="AA3" s="21" t="s">
        <v>84</v>
      </c>
    </row>
    <row r="4" spans="1:27" ht="19.5" customHeight="1">
      <c r="A4" s="22" t="s">
        <v>79</v>
      </c>
      <c r="B4" s="22" t="s">
        <v>84</v>
      </c>
      <c r="C4" s="23">
        <v>130978873</v>
      </c>
      <c r="D4" s="23">
        <v>23250000</v>
      </c>
      <c r="E4" s="23">
        <v>37950658</v>
      </c>
      <c r="F4" s="23">
        <v>34950658</v>
      </c>
      <c r="G4" s="23">
        <v>400000</v>
      </c>
      <c r="H4" s="23">
        <v>1200000</v>
      </c>
      <c r="I4" s="23">
        <v>1400000</v>
      </c>
      <c r="J4" s="23">
        <v>33012852</v>
      </c>
      <c r="K4" s="23">
        <v>612045</v>
      </c>
      <c r="L4" s="23">
        <v>32400807</v>
      </c>
      <c r="M4" s="23">
        <v>175680</v>
      </c>
      <c r="N4" s="23">
        <v>80000</v>
      </c>
      <c r="O4" s="23">
        <v>95680</v>
      </c>
      <c r="P4" s="23">
        <v>9190984</v>
      </c>
      <c r="Q4" s="23">
        <v>1502724</v>
      </c>
      <c r="R4" s="23">
        <v>259300</v>
      </c>
      <c r="S4" s="23">
        <v>7368960</v>
      </c>
      <c r="T4" s="23">
        <v>60000</v>
      </c>
      <c r="U4" s="23">
        <v>4700000</v>
      </c>
      <c r="V4" s="23">
        <v>20544895</v>
      </c>
      <c r="W4" s="23">
        <v>1805768</v>
      </c>
      <c r="X4" s="23">
        <v>14574793</v>
      </c>
      <c r="Y4" s="23">
        <v>1635802</v>
      </c>
      <c r="Z4" s="23">
        <v>2528532</v>
      </c>
      <c r="AA4" s="23">
        <v>366204</v>
      </c>
    </row>
    <row r="5" spans="1:27" ht="19.5" customHeight="1">
      <c r="A5" s="22" t="s">
        <v>93</v>
      </c>
      <c r="B5" s="22" t="s">
        <v>84</v>
      </c>
      <c r="C5" s="23">
        <v>129191273</v>
      </c>
      <c r="D5" s="23">
        <v>23250000</v>
      </c>
      <c r="E5" s="23">
        <v>37950658</v>
      </c>
      <c r="F5" s="23">
        <v>34950658</v>
      </c>
      <c r="G5" s="23">
        <v>400000</v>
      </c>
      <c r="H5" s="23">
        <v>1200000</v>
      </c>
      <c r="I5" s="23">
        <v>1400000</v>
      </c>
      <c r="J5" s="23">
        <v>33012852</v>
      </c>
      <c r="K5" s="23">
        <v>612045</v>
      </c>
      <c r="L5" s="23">
        <v>32400807</v>
      </c>
      <c r="M5" s="23">
        <v>175680</v>
      </c>
      <c r="N5" s="23">
        <v>80000</v>
      </c>
      <c r="O5" s="23">
        <v>95680</v>
      </c>
      <c r="P5" s="23">
        <v>9190984</v>
      </c>
      <c r="Q5" s="23">
        <v>1502724</v>
      </c>
      <c r="R5" s="23">
        <v>259300</v>
      </c>
      <c r="S5" s="23">
        <v>7368960</v>
      </c>
      <c r="T5" s="23">
        <v>60000</v>
      </c>
      <c r="U5" s="23">
        <v>4700000</v>
      </c>
      <c r="V5" s="23">
        <v>20544895</v>
      </c>
      <c r="W5" s="23">
        <v>1805768</v>
      </c>
      <c r="X5" s="23">
        <v>14574793</v>
      </c>
      <c r="Y5" s="23">
        <v>1635802</v>
      </c>
      <c r="Z5" s="23">
        <v>2528532</v>
      </c>
      <c r="AA5" s="23">
        <v>366204</v>
      </c>
    </row>
    <row r="6" spans="1:27" ht="19.5" customHeight="1">
      <c r="A6" s="24" t="s">
        <v>64</v>
      </c>
      <c r="B6" s="22" t="s">
        <v>94</v>
      </c>
      <c r="C6" s="23">
        <v>97103</v>
      </c>
      <c r="D6" s="23" t="s">
        <v>74</v>
      </c>
      <c r="E6" s="23" t="s">
        <v>74</v>
      </c>
      <c r="F6" s="23" t="s">
        <v>74</v>
      </c>
      <c r="G6" s="23" t="s">
        <v>74</v>
      </c>
      <c r="H6" s="23" t="s">
        <v>74</v>
      </c>
      <c r="I6" s="23" t="s">
        <v>74</v>
      </c>
      <c r="J6" s="23" t="s">
        <v>74</v>
      </c>
      <c r="K6" s="23" t="s">
        <v>74</v>
      </c>
      <c r="L6" s="23" t="s">
        <v>74</v>
      </c>
      <c r="M6" s="23">
        <v>95680</v>
      </c>
      <c r="N6" s="23" t="s">
        <v>74</v>
      </c>
      <c r="O6" s="23">
        <v>95680</v>
      </c>
      <c r="P6" s="23" t="s">
        <v>74</v>
      </c>
      <c r="Q6" s="23" t="s">
        <v>74</v>
      </c>
      <c r="R6" s="23" t="s">
        <v>74</v>
      </c>
      <c r="S6" s="23" t="s">
        <v>74</v>
      </c>
      <c r="T6" s="23" t="s">
        <v>74</v>
      </c>
      <c r="U6" s="23" t="s">
        <v>74</v>
      </c>
      <c r="V6" s="23">
        <v>1423</v>
      </c>
      <c r="W6" s="23">
        <v>700</v>
      </c>
      <c r="X6" s="23">
        <v>723</v>
      </c>
      <c r="Y6" s="23" t="s">
        <v>74</v>
      </c>
      <c r="Z6" s="23" t="s">
        <v>74</v>
      </c>
      <c r="AA6" s="23" t="s">
        <v>74</v>
      </c>
    </row>
    <row r="7" spans="1:27" ht="19.5" customHeight="1">
      <c r="A7" s="24" t="s">
        <v>64</v>
      </c>
      <c r="B7" s="22" t="s">
        <v>95</v>
      </c>
      <c r="C7" s="23">
        <v>28600394</v>
      </c>
      <c r="D7" s="23">
        <v>23250000</v>
      </c>
      <c r="E7" s="23" t="s">
        <v>74</v>
      </c>
      <c r="F7" s="23" t="s">
        <v>74</v>
      </c>
      <c r="G7" s="23" t="s">
        <v>74</v>
      </c>
      <c r="H7" s="23" t="s">
        <v>74</v>
      </c>
      <c r="I7" s="23" t="s">
        <v>74</v>
      </c>
      <c r="J7" s="23" t="s">
        <v>74</v>
      </c>
      <c r="K7" s="23" t="s">
        <v>74</v>
      </c>
      <c r="L7" s="23" t="s">
        <v>74</v>
      </c>
      <c r="M7" s="23" t="s">
        <v>74</v>
      </c>
      <c r="N7" s="23" t="s">
        <v>74</v>
      </c>
      <c r="O7" s="23" t="s">
        <v>74</v>
      </c>
      <c r="P7" s="23" t="s">
        <v>74</v>
      </c>
      <c r="Q7" s="23" t="s">
        <v>74</v>
      </c>
      <c r="R7" s="23" t="s">
        <v>74</v>
      </c>
      <c r="S7" s="23" t="s">
        <v>74</v>
      </c>
      <c r="T7" s="23" t="s">
        <v>74</v>
      </c>
      <c r="U7" s="23">
        <v>4700000</v>
      </c>
      <c r="V7" s="23">
        <v>650394</v>
      </c>
      <c r="W7" s="23">
        <v>606800</v>
      </c>
      <c r="X7" s="23">
        <v>42844</v>
      </c>
      <c r="Y7" s="23">
        <v>750</v>
      </c>
      <c r="Z7" s="23" t="s">
        <v>74</v>
      </c>
      <c r="AA7" s="23" t="s">
        <v>74</v>
      </c>
    </row>
    <row r="8" spans="1:27" ht="19.5" customHeight="1">
      <c r="A8" s="24" t="s">
        <v>64</v>
      </c>
      <c r="B8" s="22" t="s">
        <v>96</v>
      </c>
      <c r="C8" s="23">
        <v>10398395</v>
      </c>
      <c r="D8" s="23" t="s">
        <v>74</v>
      </c>
      <c r="E8" s="23">
        <v>8988600</v>
      </c>
      <c r="F8" s="23">
        <v>8988600</v>
      </c>
      <c r="G8" s="23" t="s">
        <v>74</v>
      </c>
      <c r="H8" s="23" t="s">
        <v>74</v>
      </c>
      <c r="I8" s="23" t="s">
        <v>74</v>
      </c>
      <c r="J8" s="23">
        <v>922064</v>
      </c>
      <c r="K8" s="23" t="s">
        <v>74</v>
      </c>
      <c r="L8" s="23">
        <v>922064</v>
      </c>
      <c r="M8" s="23" t="s">
        <v>74</v>
      </c>
      <c r="N8" s="23" t="s">
        <v>74</v>
      </c>
      <c r="O8" s="23" t="s">
        <v>74</v>
      </c>
      <c r="P8" s="23" t="s">
        <v>74</v>
      </c>
      <c r="Q8" s="23" t="s">
        <v>74</v>
      </c>
      <c r="R8" s="23" t="s">
        <v>74</v>
      </c>
      <c r="S8" s="23" t="s">
        <v>74</v>
      </c>
      <c r="T8" s="23" t="s">
        <v>74</v>
      </c>
      <c r="U8" s="23" t="s">
        <v>74</v>
      </c>
      <c r="V8" s="23">
        <v>487731</v>
      </c>
      <c r="W8" s="23">
        <v>18599</v>
      </c>
      <c r="X8" s="23">
        <v>33922</v>
      </c>
      <c r="Y8" s="23">
        <v>58300</v>
      </c>
      <c r="Z8" s="23">
        <v>376910</v>
      </c>
      <c r="AA8" s="23" t="s">
        <v>74</v>
      </c>
    </row>
    <row r="9" spans="1:27" ht="19.5" customHeight="1">
      <c r="A9" s="24" t="s">
        <v>64</v>
      </c>
      <c r="B9" s="22" t="s">
        <v>97</v>
      </c>
      <c r="C9" s="23">
        <v>10726134</v>
      </c>
      <c r="D9" s="23" t="s">
        <v>74</v>
      </c>
      <c r="E9" s="23">
        <v>6088058</v>
      </c>
      <c r="F9" s="23">
        <v>6088058</v>
      </c>
      <c r="G9" s="23" t="s">
        <v>74</v>
      </c>
      <c r="H9" s="23" t="s">
        <v>74</v>
      </c>
      <c r="I9" s="23" t="s">
        <v>74</v>
      </c>
      <c r="J9" s="23">
        <v>3779527</v>
      </c>
      <c r="K9" s="23" t="s">
        <v>74</v>
      </c>
      <c r="L9" s="23">
        <v>3779527</v>
      </c>
      <c r="M9" s="23">
        <v>80000</v>
      </c>
      <c r="N9" s="23">
        <v>80000</v>
      </c>
      <c r="O9" s="23" t="s">
        <v>74</v>
      </c>
      <c r="P9" s="23">
        <v>530441</v>
      </c>
      <c r="Q9" s="23" t="s">
        <v>74</v>
      </c>
      <c r="R9" s="23" t="s">
        <v>74</v>
      </c>
      <c r="S9" s="23">
        <v>530441</v>
      </c>
      <c r="T9" s="23" t="s">
        <v>74</v>
      </c>
      <c r="U9" s="23" t="s">
        <v>74</v>
      </c>
      <c r="V9" s="23">
        <v>238108</v>
      </c>
      <c r="W9" s="23">
        <v>12500</v>
      </c>
      <c r="X9" s="23">
        <v>15008</v>
      </c>
      <c r="Y9" s="23">
        <v>26000</v>
      </c>
      <c r="Z9" s="23">
        <v>184600</v>
      </c>
      <c r="AA9" s="23">
        <v>10000</v>
      </c>
    </row>
    <row r="10" spans="1:27" ht="19.5" customHeight="1">
      <c r="A10" s="24" t="s">
        <v>64</v>
      </c>
      <c r="B10" s="22" t="s">
        <v>98</v>
      </c>
      <c r="C10" s="23">
        <v>11361489</v>
      </c>
      <c r="D10" s="23" t="s">
        <v>74</v>
      </c>
      <c r="E10" s="23">
        <v>7500000</v>
      </c>
      <c r="F10" s="23">
        <v>6100000</v>
      </c>
      <c r="G10" s="23" t="s">
        <v>74</v>
      </c>
      <c r="H10" s="23" t="s">
        <v>74</v>
      </c>
      <c r="I10" s="23">
        <v>1400000</v>
      </c>
      <c r="J10" s="23">
        <v>3386900</v>
      </c>
      <c r="K10" s="23" t="s">
        <v>74</v>
      </c>
      <c r="L10" s="23">
        <v>3386900</v>
      </c>
      <c r="M10" s="23" t="s">
        <v>74</v>
      </c>
      <c r="N10" s="23" t="s">
        <v>74</v>
      </c>
      <c r="O10" s="23" t="s">
        <v>74</v>
      </c>
      <c r="P10" s="23" t="s">
        <v>74</v>
      </c>
      <c r="Q10" s="23" t="s">
        <v>74</v>
      </c>
      <c r="R10" s="23" t="s">
        <v>74</v>
      </c>
      <c r="S10" s="23" t="s">
        <v>74</v>
      </c>
      <c r="T10" s="23" t="s">
        <v>74</v>
      </c>
      <c r="U10" s="23" t="s">
        <v>74</v>
      </c>
      <c r="V10" s="23">
        <v>474589</v>
      </c>
      <c r="W10" s="23">
        <v>2200</v>
      </c>
      <c r="X10" s="23">
        <v>48099</v>
      </c>
      <c r="Y10" s="23">
        <v>16000</v>
      </c>
      <c r="Z10" s="23">
        <v>408290</v>
      </c>
      <c r="AA10" s="23" t="s">
        <v>74</v>
      </c>
    </row>
    <row r="11" spans="1:27" ht="19.5" customHeight="1">
      <c r="A11" s="24" t="s">
        <v>64</v>
      </c>
      <c r="B11" s="22" t="s">
        <v>99</v>
      </c>
      <c r="C11" s="23">
        <v>11431991</v>
      </c>
      <c r="D11" s="23" t="s">
        <v>74</v>
      </c>
      <c r="E11" s="23">
        <v>6044000</v>
      </c>
      <c r="F11" s="23">
        <v>6044000</v>
      </c>
      <c r="G11" s="23" t="s">
        <v>74</v>
      </c>
      <c r="H11" s="23" t="s">
        <v>74</v>
      </c>
      <c r="I11" s="23" t="s">
        <v>74</v>
      </c>
      <c r="J11" s="23">
        <v>5060845</v>
      </c>
      <c r="K11" s="23">
        <v>146245</v>
      </c>
      <c r="L11" s="23">
        <v>4914600</v>
      </c>
      <c r="M11" s="23" t="s">
        <v>74</v>
      </c>
      <c r="N11" s="23" t="s">
        <v>74</v>
      </c>
      <c r="O11" s="23" t="s">
        <v>74</v>
      </c>
      <c r="P11" s="23" t="s">
        <v>74</v>
      </c>
      <c r="Q11" s="23" t="s">
        <v>74</v>
      </c>
      <c r="R11" s="23" t="s">
        <v>74</v>
      </c>
      <c r="S11" s="23" t="s">
        <v>74</v>
      </c>
      <c r="T11" s="23" t="s">
        <v>74</v>
      </c>
      <c r="U11" s="23" t="s">
        <v>74</v>
      </c>
      <c r="V11" s="23">
        <v>327146</v>
      </c>
      <c r="W11" s="23">
        <v>2810</v>
      </c>
      <c r="X11" s="23">
        <v>26116</v>
      </c>
      <c r="Y11" s="23">
        <v>39500</v>
      </c>
      <c r="Z11" s="23">
        <v>258720</v>
      </c>
      <c r="AA11" s="23" t="s">
        <v>74</v>
      </c>
    </row>
    <row r="12" spans="1:27" ht="19.5" customHeight="1">
      <c r="A12" s="24" t="s">
        <v>64</v>
      </c>
      <c r="B12" s="22" t="s">
        <v>100</v>
      </c>
      <c r="C12" s="23">
        <v>11238189</v>
      </c>
      <c r="D12" s="23" t="s">
        <v>74</v>
      </c>
      <c r="E12" s="23">
        <v>8140000</v>
      </c>
      <c r="F12" s="23">
        <v>6540000</v>
      </c>
      <c r="G12" s="23">
        <v>400000</v>
      </c>
      <c r="H12" s="23">
        <v>1200000</v>
      </c>
      <c r="I12" s="23" t="s">
        <v>74</v>
      </c>
      <c r="J12" s="23">
        <v>2971900</v>
      </c>
      <c r="K12" s="23" t="s">
        <v>74</v>
      </c>
      <c r="L12" s="23">
        <v>2971900</v>
      </c>
      <c r="M12" s="23" t="s">
        <v>74</v>
      </c>
      <c r="N12" s="23" t="s">
        <v>74</v>
      </c>
      <c r="O12" s="23" t="s">
        <v>74</v>
      </c>
      <c r="P12" s="23" t="s">
        <v>74</v>
      </c>
      <c r="Q12" s="23" t="s">
        <v>74</v>
      </c>
      <c r="R12" s="23" t="s">
        <v>74</v>
      </c>
      <c r="S12" s="23" t="s">
        <v>74</v>
      </c>
      <c r="T12" s="23" t="s">
        <v>74</v>
      </c>
      <c r="U12" s="23" t="s">
        <v>74</v>
      </c>
      <c r="V12" s="23">
        <v>126289</v>
      </c>
      <c r="W12" s="23">
        <v>8198</v>
      </c>
      <c r="X12" s="23">
        <v>48811</v>
      </c>
      <c r="Y12" s="23">
        <v>3000</v>
      </c>
      <c r="Z12" s="23">
        <v>66280</v>
      </c>
      <c r="AA12" s="23" t="s">
        <v>74</v>
      </c>
    </row>
    <row r="13" spans="1:27" ht="19.5" customHeight="1">
      <c r="A13" s="24" t="s">
        <v>64</v>
      </c>
      <c r="B13" s="22" t="s">
        <v>101</v>
      </c>
      <c r="C13" s="23">
        <v>3197669</v>
      </c>
      <c r="D13" s="23" t="s">
        <v>74</v>
      </c>
      <c r="E13" s="23" t="s">
        <v>74</v>
      </c>
      <c r="F13" s="23" t="s">
        <v>74</v>
      </c>
      <c r="G13" s="23" t="s">
        <v>74</v>
      </c>
      <c r="H13" s="23" t="s">
        <v>74</v>
      </c>
      <c r="I13" s="23" t="s">
        <v>74</v>
      </c>
      <c r="J13" s="23">
        <v>3176000</v>
      </c>
      <c r="K13" s="23" t="s">
        <v>74</v>
      </c>
      <c r="L13" s="23">
        <v>3176000</v>
      </c>
      <c r="M13" s="23" t="s">
        <v>74</v>
      </c>
      <c r="N13" s="23" t="s">
        <v>74</v>
      </c>
      <c r="O13" s="23" t="s">
        <v>74</v>
      </c>
      <c r="P13" s="23" t="s">
        <v>74</v>
      </c>
      <c r="Q13" s="23" t="s">
        <v>74</v>
      </c>
      <c r="R13" s="23" t="s">
        <v>74</v>
      </c>
      <c r="S13" s="23" t="s">
        <v>74</v>
      </c>
      <c r="T13" s="23" t="s">
        <v>74</v>
      </c>
      <c r="U13" s="23" t="s">
        <v>74</v>
      </c>
      <c r="V13" s="23">
        <v>21669</v>
      </c>
      <c r="W13" s="23" t="s">
        <v>74</v>
      </c>
      <c r="X13" s="23">
        <v>14469</v>
      </c>
      <c r="Y13" s="23" t="s">
        <v>74</v>
      </c>
      <c r="Z13" s="23">
        <v>7200</v>
      </c>
      <c r="AA13" s="23" t="s">
        <v>74</v>
      </c>
    </row>
    <row r="14" spans="1:27" ht="19.5" customHeight="1">
      <c r="A14" s="24" t="s">
        <v>64</v>
      </c>
      <c r="B14" s="22" t="s">
        <v>102</v>
      </c>
      <c r="C14" s="23">
        <v>2467084</v>
      </c>
      <c r="D14" s="23" t="s">
        <v>74</v>
      </c>
      <c r="E14" s="23" t="s">
        <v>74</v>
      </c>
      <c r="F14" s="23" t="s">
        <v>74</v>
      </c>
      <c r="G14" s="23" t="s">
        <v>74</v>
      </c>
      <c r="H14" s="23" t="s">
        <v>74</v>
      </c>
      <c r="I14" s="23" t="s">
        <v>74</v>
      </c>
      <c r="J14" s="23">
        <v>2261750</v>
      </c>
      <c r="K14" s="23" t="s">
        <v>74</v>
      </c>
      <c r="L14" s="23">
        <v>2261750</v>
      </c>
      <c r="M14" s="23" t="s">
        <v>74</v>
      </c>
      <c r="N14" s="23" t="s">
        <v>74</v>
      </c>
      <c r="O14" s="23" t="s">
        <v>74</v>
      </c>
      <c r="P14" s="23" t="s">
        <v>74</v>
      </c>
      <c r="Q14" s="23" t="s">
        <v>74</v>
      </c>
      <c r="R14" s="23" t="s">
        <v>74</v>
      </c>
      <c r="S14" s="23" t="s">
        <v>74</v>
      </c>
      <c r="T14" s="23" t="s">
        <v>74</v>
      </c>
      <c r="U14" s="23" t="s">
        <v>74</v>
      </c>
      <c r="V14" s="23">
        <v>205334</v>
      </c>
      <c r="W14" s="23" t="s">
        <v>74</v>
      </c>
      <c r="X14" s="23">
        <v>334</v>
      </c>
      <c r="Y14" s="23" t="s">
        <v>74</v>
      </c>
      <c r="Z14" s="23">
        <v>205000</v>
      </c>
      <c r="AA14" s="23" t="s">
        <v>74</v>
      </c>
    </row>
    <row r="15" spans="1:27" ht="19.5" customHeight="1">
      <c r="A15" s="24" t="s">
        <v>64</v>
      </c>
      <c r="B15" s="22" t="s">
        <v>103</v>
      </c>
      <c r="C15" s="23">
        <v>2280523</v>
      </c>
      <c r="D15" s="23" t="s">
        <v>74</v>
      </c>
      <c r="E15" s="23" t="s">
        <v>74</v>
      </c>
      <c r="F15" s="23" t="s">
        <v>74</v>
      </c>
      <c r="G15" s="23" t="s">
        <v>74</v>
      </c>
      <c r="H15" s="23" t="s">
        <v>74</v>
      </c>
      <c r="I15" s="23" t="s">
        <v>74</v>
      </c>
      <c r="J15" s="23" t="s">
        <v>74</v>
      </c>
      <c r="K15" s="23" t="s">
        <v>74</v>
      </c>
      <c r="L15" s="23" t="s">
        <v>74</v>
      </c>
      <c r="M15" s="23" t="s">
        <v>74</v>
      </c>
      <c r="N15" s="23" t="s">
        <v>74</v>
      </c>
      <c r="O15" s="23" t="s">
        <v>74</v>
      </c>
      <c r="P15" s="23">
        <v>2220162</v>
      </c>
      <c r="Q15" s="23" t="s">
        <v>74</v>
      </c>
      <c r="R15" s="23">
        <v>145000</v>
      </c>
      <c r="S15" s="23">
        <v>2075162</v>
      </c>
      <c r="T15" s="23" t="s">
        <v>74</v>
      </c>
      <c r="U15" s="23" t="s">
        <v>74</v>
      </c>
      <c r="V15" s="23">
        <v>19921</v>
      </c>
      <c r="W15" s="23" t="s">
        <v>74</v>
      </c>
      <c r="X15" s="23">
        <v>2421</v>
      </c>
      <c r="Y15" s="23" t="s">
        <v>74</v>
      </c>
      <c r="Z15" s="23">
        <v>17500</v>
      </c>
      <c r="AA15" s="23">
        <v>40440</v>
      </c>
    </row>
    <row r="16" spans="1:27" ht="19.5" customHeight="1">
      <c r="A16" s="24" t="s">
        <v>64</v>
      </c>
      <c r="B16" s="22" t="s">
        <v>104</v>
      </c>
      <c r="C16" s="23">
        <v>1980900</v>
      </c>
      <c r="D16" s="23" t="s">
        <v>74</v>
      </c>
      <c r="E16" s="23" t="s">
        <v>74</v>
      </c>
      <c r="F16" s="23" t="s">
        <v>74</v>
      </c>
      <c r="G16" s="23" t="s">
        <v>74</v>
      </c>
      <c r="H16" s="23" t="s">
        <v>74</v>
      </c>
      <c r="I16" s="23" t="s">
        <v>74</v>
      </c>
      <c r="J16" s="23">
        <v>1855500</v>
      </c>
      <c r="K16" s="23">
        <v>465800</v>
      </c>
      <c r="L16" s="23">
        <v>1389700</v>
      </c>
      <c r="M16" s="23" t="s">
        <v>74</v>
      </c>
      <c r="N16" s="23" t="s">
        <v>74</v>
      </c>
      <c r="O16" s="23" t="s">
        <v>74</v>
      </c>
      <c r="P16" s="23" t="s">
        <v>74</v>
      </c>
      <c r="Q16" s="23" t="s">
        <v>74</v>
      </c>
      <c r="R16" s="23" t="s">
        <v>74</v>
      </c>
      <c r="S16" s="23" t="s">
        <v>74</v>
      </c>
      <c r="T16" s="23" t="s">
        <v>74</v>
      </c>
      <c r="U16" s="23" t="s">
        <v>74</v>
      </c>
      <c r="V16" s="23">
        <v>125400</v>
      </c>
      <c r="W16" s="23" t="s">
        <v>74</v>
      </c>
      <c r="X16" s="23" t="s">
        <v>74</v>
      </c>
      <c r="Y16" s="23" t="s">
        <v>74</v>
      </c>
      <c r="Z16" s="23">
        <v>125400</v>
      </c>
      <c r="AA16" s="23" t="s">
        <v>74</v>
      </c>
    </row>
    <row r="17" spans="1:27" ht="19.5" customHeight="1">
      <c r="A17" s="24" t="s">
        <v>64</v>
      </c>
      <c r="B17" s="22" t="s">
        <v>105</v>
      </c>
      <c r="C17" s="23">
        <v>1718662</v>
      </c>
      <c r="D17" s="23" t="s">
        <v>74</v>
      </c>
      <c r="E17" s="23" t="s">
        <v>74</v>
      </c>
      <c r="F17" s="23" t="s">
        <v>74</v>
      </c>
      <c r="G17" s="23" t="s">
        <v>74</v>
      </c>
      <c r="H17" s="23" t="s">
        <v>74</v>
      </c>
      <c r="I17" s="23" t="s">
        <v>74</v>
      </c>
      <c r="J17" s="23">
        <v>1716800</v>
      </c>
      <c r="K17" s="23" t="s">
        <v>74</v>
      </c>
      <c r="L17" s="23">
        <v>1716800</v>
      </c>
      <c r="M17" s="23" t="s">
        <v>74</v>
      </c>
      <c r="N17" s="23" t="s">
        <v>74</v>
      </c>
      <c r="O17" s="23" t="s">
        <v>74</v>
      </c>
      <c r="P17" s="23" t="s">
        <v>74</v>
      </c>
      <c r="Q17" s="23" t="s">
        <v>74</v>
      </c>
      <c r="R17" s="23" t="s">
        <v>74</v>
      </c>
      <c r="S17" s="23" t="s">
        <v>74</v>
      </c>
      <c r="T17" s="23" t="s">
        <v>74</v>
      </c>
      <c r="U17" s="23" t="s">
        <v>74</v>
      </c>
      <c r="V17" s="23">
        <v>1862</v>
      </c>
      <c r="W17" s="23" t="s">
        <v>74</v>
      </c>
      <c r="X17" s="23">
        <v>1862</v>
      </c>
      <c r="Y17" s="23" t="s">
        <v>74</v>
      </c>
      <c r="Z17" s="23" t="s">
        <v>74</v>
      </c>
      <c r="AA17" s="23" t="s">
        <v>74</v>
      </c>
    </row>
    <row r="18" spans="1:27" ht="19.5" customHeight="1">
      <c r="A18" s="24" t="s">
        <v>64</v>
      </c>
      <c r="B18" s="22" t="s">
        <v>106</v>
      </c>
      <c r="C18" s="23">
        <v>1715000</v>
      </c>
      <c r="D18" s="23" t="s">
        <v>74</v>
      </c>
      <c r="E18" s="23" t="s">
        <v>74</v>
      </c>
      <c r="F18" s="23" t="s">
        <v>74</v>
      </c>
      <c r="G18" s="23" t="s">
        <v>74</v>
      </c>
      <c r="H18" s="23" t="s">
        <v>74</v>
      </c>
      <c r="I18" s="23" t="s">
        <v>74</v>
      </c>
      <c r="J18" s="23">
        <v>1695200</v>
      </c>
      <c r="K18" s="23" t="s">
        <v>74</v>
      </c>
      <c r="L18" s="23">
        <v>1695200</v>
      </c>
      <c r="M18" s="23" t="s">
        <v>74</v>
      </c>
      <c r="N18" s="23" t="s">
        <v>74</v>
      </c>
      <c r="O18" s="23" t="s">
        <v>74</v>
      </c>
      <c r="P18" s="23" t="s">
        <v>74</v>
      </c>
      <c r="Q18" s="23" t="s">
        <v>74</v>
      </c>
      <c r="R18" s="23" t="s">
        <v>74</v>
      </c>
      <c r="S18" s="23" t="s">
        <v>74</v>
      </c>
      <c r="T18" s="23" t="s">
        <v>74</v>
      </c>
      <c r="U18" s="23" t="s">
        <v>74</v>
      </c>
      <c r="V18" s="23">
        <v>19800</v>
      </c>
      <c r="W18" s="23" t="s">
        <v>74</v>
      </c>
      <c r="X18" s="23" t="s">
        <v>74</v>
      </c>
      <c r="Y18" s="23" t="s">
        <v>74</v>
      </c>
      <c r="Z18" s="23">
        <v>19800</v>
      </c>
      <c r="AA18" s="23" t="s">
        <v>74</v>
      </c>
    </row>
    <row r="19" spans="1:27" ht="19.5" customHeight="1">
      <c r="A19" s="24" t="s">
        <v>64</v>
      </c>
      <c r="B19" s="22" t="s">
        <v>107</v>
      </c>
      <c r="C19" s="23">
        <v>1450664</v>
      </c>
      <c r="D19" s="23" t="s">
        <v>74</v>
      </c>
      <c r="E19" s="23" t="s">
        <v>74</v>
      </c>
      <c r="F19" s="23" t="s">
        <v>74</v>
      </c>
      <c r="G19" s="23" t="s">
        <v>74</v>
      </c>
      <c r="H19" s="23" t="s">
        <v>74</v>
      </c>
      <c r="I19" s="23" t="s">
        <v>74</v>
      </c>
      <c r="J19" s="23">
        <v>1450000</v>
      </c>
      <c r="K19" s="23" t="s">
        <v>74</v>
      </c>
      <c r="L19" s="23">
        <v>1450000</v>
      </c>
      <c r="M19" s="23" t="s">
        <v>74</v>
      </c>
      <c r="N19" s="23" t="s">
        <v>74</v>
      </c>
      <c r="O19" s="23" t="s">
        <v>74</v>
      </c>
      <c r="P19" s="23" t="s">
        <v>74</v>
      </c>
      <c r="Q19" s="23" t="s">
        <v>74</v>
      </c>
      <c r="R19" s="23" t="s">
        <v>74</v>
      </c>
      <c r="S19" s="23" t="s">
        <v>74</v>
      </c>
      <c r="T19" s="23" t="s">
        <v>74</v>
      </c>
      <c r="U19" s="23" t="s">
        <v>74</v>
      </c>
      <c r="V19" s="23">
        <v>664</v>
      </c>
      <c r="W19" s="23" t="s">
        <v>74</v>
      </c>
      <c r="X19" s="23">
        <v>664</v>
      </c>
      <c r="Y19" s="23" t="s">
        <v>74</v>
      </c>
      <c r="Z19" s="23" t="s">
        <v>74</v>
      </c>
      <c r="AA19" s="23" t="s">
        <v>74</v>
      </c>
    </row>
    <row r="20" spans="1:27" ht="19.5" customHeight="1">
      <c r="A20" s="24" t="s">
        <v>64</v>
      </c>
      <c r="B20" s="22" t="s">
        <v>108</v>
      </c>
      <c r="C20" s="23">
        <v>1409147</v>
      </c>
      <c r="D20" s="23" t="s">
        <v>74</v>
      </c>
      <c r="E20" s="23" t="s">
        <v>74</v>
      </c>
      <c r="F20" s="23" t="s">
        <v>74</v>
      </c>
      <c r="G20" s="23" t="s">
        <v>74</v>
      </c>
      <c r="H20" s="23" t="s">
        <v>74</v>
      </c>
      <c r="I20" s="23" t="s">
        <v>74</v>
      </c>
      <c r="J20" s="23" t="s">
        <v>74</v>
      </c>
      <c r="K20" s="23" t="s">
        <v>74</v>
      </c>
      <c r="L20" s="23" t="s">
        <v>74</v>
      </c>
      <c r="M20" s="23" t="s">
        <v>74</v>
      </c>
      <c r="N20" s="23" t="s">
        <v>74</v>
      </c>
      <c r="O20" s="23" t="s">
        <v>74</v>
      </c>
      <c r="P20" s="23">
        <v>1381690</v>
      </c>
      <c r="Q20" s="23" t="s">
        <v>74</v>
      </c>
      <c r="R20" s="23" t="s">
        <v>74</v>
      </c>
      <c r="S20" s="23">
        <v>1381690</v>
      </c>
      <c r="T20" s="23" t="s">
        <v>74</v>
      </c>
      <c r="U20" s="23" t="s">
        <v>74</v>
      </c>
      <c r="V20" s="23">
        <v>27457</v>
      </c>
      <c r="W20" s="23">
        <v>1030</v>
      </c>
      <c r="X20" s="23">
        <v>4017</v>
      </c>
      <c r="Y20" s="23">
        <v>7050</v>
      </c>
      <c r="Z20" s="23">
        <v>15360</v>
      </c>
      <c r="AA20" s="23" t="s">
        <v>74</v>
      </c>
    </row>
    <row r="21" spans="1:27" ht="19.5" customHeight="1">
      <c r="A21" s="24" t="s">
        <v>64</v>
      </c>
      <c r="B21" s="22" t="s">
        <v>109</v>
      </c>
      <c r="C21" s="23">
        <v>1366584</v>
      </c>
      <c r="D21" s="23" t="s">
        <v>74</v>
      </c>
      <c r="E21" s="23" t="s">
        <v>74</v>
      </c>
      <c r="F21" s="23" t="s">
        <v>74</v>
      </c>
      <c r="G21" s="23" t="s">
        <v>74</v>
      </c>
      <c r="H21" s="23" t="s">
        <v>74</v>
      </c>
      <c r="I21" s="23" t="s">
        <v>74</v>
      </c>
      <c r="J21" s="23" t="s">
        <v>74</v>
      </c>
      <c r="K21" s="23" t="s">
        <v>74</v>
      </c>
      <c r="L21" s="23" t="s">
        <v>74</v>
      </c>
      <c r="M21" s="23" t="s">
        <v>74</v>
      </c>
      <c r="N21" s="23" t="s">
        <v>74</v>
      </c>
      <c r="O21" s="23" t="s">
        <v>74</v>
      </c>
      <c r="P21" s="23" t="s">
        <v>74</v>
      </c>
      <c r="Q21" s="23" t="s">
        <v>74</v>
      </c>
      <c r="R21" s="23" t="s">
        <v>74</v>
      </c>
      <c r="S21" s="23" t="s">
        <v>74</v>
      </c>
      <c r="T21" s="23" t="s">
        <v>74</v>
      </c>
      <c r="U21" s="23" t="s">
        <v>74</v>
      </c>
      <c r="V21" s="23">
        <v>1366584</v>
      </c>
      <c r="W21" s="23">
        <v>1089657</v>
      </c>
      <c r="X21" s="23">
        <v>14927</v>
      </c>
      <c r="Y21" s="23">
        <v>8000</v>
      </c>
      <c r="Z21" s="23">
        <v>254000</v>
      </c>
      <c r="AA21" s="23" t="s">
        <v>74</v>
      </c>
    </row>
    <row r="22" spans="1:27" ht="19.5" customHeight="1">
      <c r="A22" s="24" t="s">
        <v>64</v>
      </c>
      <c r="B22" s="22" t="s">
        <v>110</v>
      </c>
      <c r="C22" s="23">
        <v>1200101</v>
      </c>
      <c r="D22" s="23" t="s">
        <v>74</v>
      </c>
      <c r="E22" s="23">
        <v>1190000</v>
      </c>
      <c r="F22" s="23">
        <v>1190000</v>
      </c>
      <c r="G22" s="23" t="s">
        <v>74</v>
      </c>
      <c r="H22" s="23" t="s">
        <v>74</v>
      </c>
      <c r="I22" s="23" t="s">
        <v>74</v>
      </c>
      <c r="J22" s="23" t="s">
        <v>74</v>
      </c>
      <c r="K22" s="23" t="s">
        <v>74</v>
      </c>
      <c r="L22" s="23" t="s">
        <v>74</v>
      </c>
      <c r="M22" s="23" t="s">
        <v>74</v>
      </c>
      <c r="N22" s="23" t="s">
        <v>74</v>
      </c>
      <c r="O22" s="23" t="s">
        <v>74</v>
      </c>
      <c r="P22" s="23" t="s">
        <v>74</v>
      </c>
      <c r="Q22" s="23" t="s">
        <v>74</v>
      </c>
      <c r="R22" s="23" t="s">
        <v>74</v>
      </c>
      <c r="S22" s="23" t="s">
        <v>74</v>
      </c>
      <c r="T22" s="23" t="s">
        <v>74</v>
      </c>
      <c r="U22" s="23" t="s">
        <v>74</v>
      </c>
      <c r="V22" s="23">
        <v>10101</v>
      </c>
      <c r="W22" s="23">
        <v>5000</v>
      </c>
      <c r="X22" s="23">
        <v>5101</v>
      </c>
      <c r="Y22" s="23" t="s">
        <v>74</v>
      </c>
      <c r="Z22" s="23" t="s">
        <v>74</v>
      </c>
      <c r="AA22" s="23" t="s">
        <v>74</v>
      </c>
    </row>
    <row r="23" spans="1:27" ht="19.5" customHeight="1">
      <c r="A23" s="24" t="s">
        <v>64</v>
      </c>
      <c r="B23" s="22" t="s">
        <v>72</v>
      </c>
      <c r="C23" s="23">
        <v>26551244</v>
      </c>
      <c r="D23" s="23" t="s">
        <v>74</v>
      </c>
      <c r="E23" s="23" t="s">
        <v>74</v>
      </c>
      <c r="F23" s="23" t="s">
        <v>74</v>
      </c>
      <c r="G23" s="23" t="s">
        <v>74</v>
      </c>
      <c r="H23" s="23" t="s">
        <v>74</v>
      </c>
      <c r="I23" s="23" t="s">
        <v>74</v>
      </c>
      <c r="J23" s="23">
        <v>4736366</v>
      </c>
      <c r="K23" s="23" t="s">
        <v>74</v>
      </c>
      <c r="L23" s="23">
        <v>4736366</v>
      </c>
      <c r="M23" s="23" t="s">
        <v>74</v>
      </c>
      <c r="N23" s="23" t="s">
        <v>74</v>
      </c>
      <c r="O23" s="23" t="s">
        <v>74</v>
      </c>
      <c r="P23" s="23">
        <v>5058691</v>
      </c>
      <c r="Q23" s="23">
        <v>1502724</v>
      </c>
      <c r="R23" s="23">
        <v>114300</v>
      </c>
      <c r="S23" s="23">
        <v>3381667</v>
      </c>
      <c r="T23" s="23">
        <v>60000</v>
      </c>
      <c r="U23" s="23" t="s">
        <v>74</v>
      </c>
      <c r="V23" s="23">
        <v>16440423</v>
      </c>
      <c r="W23" s="23">
        <v>58274</v>
      </c>
      <c r="X23" s="23">
        <v>14315474</v>
      </c>
      <c r="Y23" s="23">
        <v>1477202</v>
      </c>
      <c r="Z23" s="23">
        <v>589472</v>
      </c>
      <c r="AA23" s="23">
        <v>315764</v>
      </c>
    </row>
    <row r="24" spans="1:27" ht="19.5" customHeight="1">
      <c r="A24" s="25" t="s">
        <v>111</v>
      </c>
      <c r="B24" s="25" t="s">
        <v>84</v>
      </c>
      <c r="C24" s="23">
        <v>1787600</v>
      </c>
      <c r="D24" s="23" t="s">
        <v>74</v>
      </c>
      <c r="E24" s="23" t="s">
        <v>74</v>
      </c>
      <c r="F24" s="23" t="s">
        <v>74</v>
      </c>
      <c r="G24" s="23" t="s">
        <v>74</v>
      </c>
      <c r="H24" s="23" t="s">
        <v>74</v>
      </c>
      <c r="I24" s="23" t="s">
        <v>74</v>
      </c>
      <c r="J24" s="23" t="s">
        <v>74</v>
      </c>
      <c r="K24" s="23" t="s">
        <v>74</v>
      </c>
      <c r="L24" s="23" t="s">
        <v>74</v>
      </c>
      <c r="M24" s="23" t="s">
        <v>74</v>
      </c>
      <c r="N24" s="23" t="s">
        <v>74</v>
      </c>
      <c r="O24" s="23" t="s">
        <v>74</v>
      </c>
      <c r="P24" s="23" t="s">
        <v>74</v>
      </c>
      <c r="Q24" s="23" t="s">
        <v>74</v>
      </c>
      <c r="R24" s="23" t="s">
        <v>74</v>
      </c>
      <c r="S24" s="23" t="s">
        <v>74</v>
      </c>
      <c r="T24" s="23" t="s">
        <v>74</v>
      </c>
      <c r="U24" s="23" t="s">
        <v>74</v>
      </c>
      <c r="V24" s="23" t="s">
        <v>74</v>
      </c>
      <c r="W24" s="23" t="s">
        <v>74</v>
      </c>
      <c r="X24" s="23" t="s">
        <v>74</v>
      </c>
      <c r="Y24" s="23" t="s">
        <v>74</v>
      </c>
      <c r="Z24" s="23" t="s">
        <v>74</v>
      </c>
      <c r="AA24" s="23" t="s">
        <v>74</v>
      </c>
    </row>
    <row r="25" spans="1:27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8">
    <mergeCell ref="A1:A3"/>
    <mergeCell ref="B1:B3"/>
    <mergeCell ref="C1:AA1"/>
    <mergeCell ref="E2:I2"/>
    <mergeCell ref="J2:L2"/>
    <mergeCell ref="M2:O2"/>
    <mergeCell ref="P2:T2"/>
    <mergeCell ref="V2:Z2"/>
  </mergeCells>
  <phoneticPr fontId="12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0"/>
  <sheetViews>
    <sheetView workbookViewId="0">
      <selection activeCell="I24" sqref="I24"/>
    </sheetView>
  </sheetViews>
  <sheetFormatPr defaultColWidth="14.453125" defaultRowHeight="15" customHeight="1"/>
  <cols>
    <col min="1" max="1" width="22.453125" customWidth="1"/>
    <col min="2" max="2" width="42.54296875" customWidth="1"/>
    <col min="3" max="3" width="17.453125" customWidth="1"/>
    <col min="4" max="4" width="21.54296875" customWidth="1"/>
    <col min="5" max="5" width="15.7265625" bestFit="1" customWidth="1"/>
    <col min="6" max="6" width="13.1796875" customWidth="1"/>
    <col min="7" max="7" width="16" customWidth="1"/>
    <col min="8" max="17" width="10.54296875" customWidth="1"/>
    <col min="18" max="37" width="9.1796875" customWidth="1"/>
  </cols>
  <sheetData>
    <row r="1" spans="1:37" ht="16.5" customHeight="1">
      <c r="A1" s="1" t="s">
        <v>112</v>
      </c>
      <c r="B1" s="1" t="s">
        <v>113</v>
      </c>
      <c r="C1" s="1" t="s">
        <v>114</v>
      </c>
      <c r="D1" s="1" t="s">
        <v>115</v>
      </c>
      <c r="E1" s="26">
        <v>2018</v>
      </c>
      <c r="F1" s="26">
        <v>2019</v>
      </c>
      <c r="G1" s="26">
        <v>2020</v>
      </c>
      <c r="H1" s="26">
        <v>2021</v>
      </c>
      <c r="I1" s="26">
        <v>2022</v>
      </c>
      <c r="J1" s="26">
        <v>2023</v>
      </c>
      <c r="K1" s="26">
        <v>2024</v>
      </c>
      <c r="L1" s="26">
        <v>2025</v>
      </c>
      <c r="M1" s="26">
        <v>2026</v>
      </c>
      <c r="N1" s="26">
        <v>2027</v>
      </c>
      <c r="O1" s="26">
        <v>2028</v>
      </c>
      <c r="P1" s="26">
        <v>2029</v>
      </c>
      <c r="Q1" s="26">
        <v>2030</v>
      </c>
      <c r="R1" s="26">
        <v>2031</v>
      </c>
      <c r="S1" s="26">
        <v>2032</v>
      </c>
      <c r="T1" s="26">
        <v>2033</v>
      </c>
      <c r="U1" s="26">
        <v>2034</v>
      </c>
      <c r="V1" s="26">
        <v>2035</v>
      </c>
      <c r="W1" s="26">
        <v>2036</v>
      </c>
      <c r="X1" s="26">
        <v>2037</v>
      </c>
      <c r="Y1" s="26">
        <v>2038</v>
      </c>
      <c r="Z1" s="26">
        <v>2039</v>
      </c>
      <c r="AA1" s="26">
        <v>2040</v>
      </c>
      <c r="AB1" s="26">
        <v>2041</v>
      </c>
      <c r="AC1" s="26">
        <v>2042</v>
      </c>
      <c r="AD1" s="26">
        <v>2043</v>
      </c>
      <c r="AE1" s="26">
        <v>2044</v>
      </c>
      <c r="AF1" s="26">
        <v>2045</v>
      </c>
      <c r="AG1" s="26">
        <v>2046</v>
      </c>
      <c r="AH1" s="26">
        <v>2047</v>
      </c>
      <c r="AI1" s="26">
        <v>2048</v>
      </c>
      <c r="AJ1" s="26">
        <v>2049</v>
      </c>
      <c r="AK1" s="26">
        <v>2050</v>
      </c>
    </row>
    <row r="2" spans="1:37" ht="16.5" customHeight="1">
      <c r="A2" s="17" t="s">
        <v>116</v>
      </c>
      <c r="B2" s="17" t="s">
        <v>117</v>
      </c>
      <c r="C2" s="17" t="s">
        <v>118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</row>
    <row r="3" spans="1:37" ht="16.5" customHeight="1">
      <c r="A3" s="28" t="s">
        <v>119</v>
      </c>
      <c r="B3" s="17" t="s">
        <v>120</v>
      </c>
      <c r="C3" s="17" t="s">
        <v>118</v>
      </c>
      <c r="D3" s="17" t="s">
        <v>121</v>
      </c>
      <c r="E3" s="76">
        <f>1070*10^6/About!$B$92*$B$27/$B$33</f>
        <v>879847.58930330444</v>
      </c>
      <c r="F3" s="77">
        <f>19528*10^6/About!$B$92*$B$27/$B$34</f>
        <v>15996283.065098794</v>
      </c>
      <c r="G3" s="78">
        <f>F3</f>
        <v>15996283.065098794</v>
      </c>
      <c r="H3" s="8"/>
      <c r="I3" s="8"/>
      <c r="J3" s="8"/>
      <c r="K3" s="8"/>
      <c r="L3" s="8"/>
      <c r="M3" s="8"/>
      <c r="N3" s="8"/>
      <c r="O3" s="8"/>
      <c r="P3" s="8"/>
      <c r="Q3" s="8"/>
    </row>
    <row r="4" spans="1:37" ht="16.5" customHeight="1">
      <c r="A4" s="17" t="s">
        <v>122</v>
      </c>
      <c r="B4" s="17" t="s">
        <v>117</v>
      </c>
      <c r="C4" s="17" t="s">
        <v>118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</row>
    <row r="5" spans="1:37" ht="16.5" customHeight="1">
      <c r="A5" s="17" t="s">
        <v>123</v>
      </c>
      <c r="B5" s="29" t="s">
        <v>124</v>
      </c>
      <c r="C5" s="17" t="s">
        <v>118</v>
      </c>
      <c r="D5" s="17" t="s">
        <v>121</v>
      </c>
      <c r="E5" s="2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37" ht="16.5" customHeight="1">
      <c r="A6" s="17" t="s">
        <v>125</v>
      </c>
      <c r="B6" s="17" t="s">
        <v>117</v>
      </c>
      <c r="C6" s="17" t="s">
        <v>118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</row>
    <row r="7" spans="1:37" ht="16.5" customHeight="1">
      <c r="A7" s="17" t="s">
        <v>126</v>
      </c>
      <c r="B7" s="17" t="s">
        <v>117</v>
      </c>
      <c r="C7" s="17" t="s">
        <v>118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</row>
    <row r="8" spans="1:37" ht="16.5" customHeight="1">
      <c r="A8" s="17" t="s">
        <v>127</v>
      </c>
      <c r="B8" s="17" t="s">
        <v>117</v>
      </c>
      <c r="C8" s="17" t="s">
        <v>118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</row>
    <row r="9" spans="1:37" ht="16.5" customHeight="1">
      <c r="A9" s="30" t="s">
        <v>128</v>
      </c>
      <c r="B9" s="17" t="s">
        <v>117</v>
      </c>
      <c r="C9" s="30" t="s">
        <v>118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</row>
    <row r="10" spans="1:37" ht="16.5" customHeight="1">
      <c r="E10" s="17">
        <f>1070*10^6/About!$B$92</f>
        <v>949524.35041885555</v>
      </c>
      <c r="F10" s="17">
        <f>1952*10^6/About!$B$92</f>
        <v>1732216.385063183</v>
      </c>
    </row>
    <row r="11" spans="1:37" ht="16.5" customHeight="1">
      <c r="D11" s="1" t="s">
        <v>129</v>
      </c>
      <c r="G11" s="1" t="s">
        <v>130</v>
      </c>
    </row>
    <row r="12" spans="1:37" ht="16.5" customHeight="1">
      <c r="D12" s="17" t="s">
        <v>85</v>
      </c>
      <c r="E12" s="31">
        <f>'발전사별 설비용량'!F5</f>
        <v>34950658</v>
      </c>
      <c r="F12" s="17" t="s">
        <v>59</v>
      </c>
      <c r="G12" s="32">
        <f t="shared" ref="G12:G13" si="0">E12/SUM($E$12:$E$13)</f>
        <v>0.98868479336367654</v>
      </c>
    </row>
    <row r="13" spans="1:37" ht="16.5" customHeight="1">
      <c r="D13" s="17" t="s">
        <v>86</v>
      </c>
      <c r="E13" s="31">
        <f>'발전사별 설비용량'!G5</f>
        <v>400000</v>
      </c>
      <c r="F13" s="17" t="s">
        <v>59</v>
      </c>
      <c r="G13" s="32">
        <f t="shared" si="0"/>
        <v>1.1315206636323431E-2</v>
      </c>
    </row>
    <row r="14" spans="1:37" ht="16.5" customHeight="1"/>
    <row r="15" spans="1:37" ht="16.5" customHeight="1">
      <c r="D15" s="1" t="s">
        <v>131</v>
      </c>
    </row>
    <row r="16" spans="1:37" ht="16.5" customHeight="1">
      <c r="D16" s="1" t="s">
        <v>132</v>
      </c>
      <c r="E16" s="26">
        <v>2011</v>
      </c>
      <c r="F16" s="26">
        <v>2012</v>
      </c>
      <c r="G16" s="26">
        <v>2013</v>
      </c>
      <c r="H16" s="26">
        <v>2014</v>
      </c>
      <c r="I16" s="26">
        <v>2015</v>
      </c>
      <c r="J16" s="26">
        <v>2016</v>
      </c>
      <c r="K16" s="26">
        <v>2017</v>
      </c>
      <c r="L16" s="26">
        <v>2018</v>
      </c>
      <c r="M16" s="26">
        <v>2019</v>
      </c>
      <c r="N16" s="26">
        <v>2020</v>
      </c>
    </row>
    <row r="17" spans="1:14" ht="16.5" customHeight="1">
      <c r="D17" s="17" t="s">
        <v>85</v>
      </c>
      <c r="E17" s="33">
        <f t="array" ref="E17">(INDEX('에너지원별 발전량'!$E$4:$E$23,MATCH('Subsidies Paid'!E16,'에너지원별 발전량'!$A$4:$A$23,0)))*10^3-E18</f>
        <v>200560642.44258198</v>
      </c>
      <c r="F17" s="33">
        <f t="array" ref="F17">(INDEX('에너지원별 발전량'!$E$4:$E$23,MATCH('Subsidies Paid'!F16,'에너지원별 발전량'!$A$4:$A$23,0)))*10^3-F18</f>
        <v>199903167.05499512</v>
      </c>
      <c r="G17" s="33">
        <f t="array" ref="G17">(INDEX('에너지원별 발전량'!$E$4:$E$23,MATCH('Subsidies Paid'!G16,'에너지원별 발전량'!$A$4:$A$23,0)))*10^3-G18</f>
        <v>201885480.0656893</v>
      </c>
      <c r="H17" s="33">
        <f t="array" ref="H17">(INDEX('에너지원별 발전량'!$E$4:$E$23,MATCH('Subsidies Paid'!H16,'에너지원별 발전량'!$A$4:$A$23,0)))*10^3-H18</f>
        <v>204869330.77206087</v>
      </c>
      <c r="I17" s="33">
        <f t="array" ref="I17">(INDEX('에너지원별 발전량'!$E$4:$E$23,MATCH('Subsidies Paid'!I16,'에너지원별 발전량'!$A$4:$A$23,0)))*10^3-I18</f>
        <v>209001044.52352768</v>
      </c>
      <c r="J17" s="33">
        <f t="array" ref="J17">(INDEX('에너지원별 발전량'!$E$4:$E$23,MATCH('Subsidies Paid'!J16,'에너지원별 발전량'!$A$4:$A$23,0)))*10^3-J18</f>
        <v>211383774.87553415</v>
      </c>
      <c r="K17" s="33">
        <f t="array" ref="K17">(INDEX('에너지원별 발전량'!$E$4:$E$23,MATCH('Subsidies Paid'!K16,'에너지원별 발전량'!$A$4:$A$23,0)))*10^3-K18</f>
        <v>236096939.97045261</v>
      </c>
      <c r="L17" s="33">
        <f t="array" ref="L17">(INDEX('에너지원별 발전량'!$E$4:$E$23,MATCH('Subsidies Paid'!L16,'에너지원별 발전량'!$A$4:$A$23,0)))*10^3-L18</f>
        <v>236263039.01573771</v>
      </c>
      <c r="M17" s="33">
        <f t="array" ref="M17">(INDEX('에너지원별 발전량'!$E$4:$E$23,MATCH('Subsidies Paid'!M16,'에너지원별 발전량'!$A$4:$A$23,0)))*10^3-M18</f>
        <v>224811103.05420622</v>
      </c>
      <c r="N17" s="33">
        <f t="array" ref="N17">(INDEX('에너지원별 발전량'!$E$4:$E$23,MATCH('Subsidies Paid'!N16,'에너지원별 발전량'!$A$4:$A$23,0)))*10^3-N18</f>
        <v>194111451.53547072</v>
      </c>
    </row>
    <row r="18" spans="1:14" ht="16.5" customHeight="1">
      <c r="B18" s="17" t="s">
        <v>133</v>
      </c>
      <c r="D18" s="17" t="s">
        <v>86</v>
      </c>
      <c r="E18" s="33">
        <f t="array" ref="E18">($G$13*INDEX('에너지원별 발전량'!$E$4:$E$23,MATCH('Subsidies Paid'!E16,'에너지원별 발전량'!$A$4:$A$23,0)))*10^3</f>
        <v>2295357.557418026</v>
      </c>
      <c r="F18" s="33">
        <f t="array" ref="F18">($G$13*INDEX('에너지원별 발전량'!$E$4:$E$23,MATCH('Subsidies Paid'!F16,'에너지원별 발전량'!$A$4:$A$23,0)))*10^3</f>
        <v>2287832.9450048711</v>
      </c>
      <c r="G18" s="33">
        <f t="array" ref="G18">($G$13*INDEX('에너지원별 발전량'!$E$4:$E$23,MATCH('Subsidies Paid'!G16,'에너지원별 발전량'!$A$4:$A$23,0)))*10^3</f>
        <v>2310519.9343106993</v>
      </c>
      <c r="H18" s="33">
        <f t="array" ref="H18">($G$13*INDEX('에너지원별 발전량'!$E$4:$E$23,MATCH('Subsidies Paid'!H16,'에너지원별 발전량'!$A$4:$A$23,0)))*10^3</f>
        <v>2344669.2279391238</v>
      </c>
      <c r="I18" s="33">
        <f t="array" ref="I18">($G$13*INDEX('에너지원별 발전량'!$E$4:$E$23,MATCH('Subsidies Paid'!I16,'에너지원별 발전량'!$A$4:$A$23,0)))*10^3</f>
        <v>2391955.4764723191</v>
      </c>
      <c r="J18" s="33">
        <f t="array" ref="J18">($G$13*INDEX('에너지원별 발전량'!$E$4:$E$23,MATCH('Subsidies Paid'!J16,'에너지원별 발전량'!$A$4:$A$23,0)))*10^3</f>
        <v>2419225.1244658586</v>
      </c>
      <c r="K18" s="33">
        <f t="array" ref="K18">($G$13*INDEX('에너지원별 발전량'!$E$4:$E$23,MATCH('Subsidies Paid'!K16,'에너지원별 발전량'!$A$4:$A$23,0)))*10^3</f>
        <v>2702060.0295473994</v>
      </c>
      <c r="L18" s="33">
        <f t="array" ref="L18">($G$13*INDEX('에너지원별 발전량'!$E$4:$E$23,MATCH('Subsidies Paid'!L16,'에너지원별 발전량'!$A$4:$A$23,0)))*10^3</f>
        <v>2703960.9842623011</v>
      </c>
      <c r="M18" s="33">
        <f t="array" ref="M18">($G$13*INDEX('에너지원별 발전량'!$E$4:$E$23,MATCH('Subsidies Paid'!M16,'에너지원별 발전량'!$A$4:$A$23,0)))*10^3</f>
        <v>2572896.945793767</v>
      </c>
      <c r="N18" s="33">
        <f t="array" ref="N18">($G$13*INDEX('에너지원별 발전량'!$E$4:$E$23,MATCH('Subsidies Paid'!N16,'에너지원별 발전량'!$A$4:$A$23,0)))*10^3</f>
        <v>2221548.464529288</v>
      </c>
    </row>
    <row r="19" spans="1:14" ht="16.5" customHeight="1"/>
    <row r="20" spans="1:14" ht="16.5" customHeight="1">
      <c r="A20" s="1" t="s">
        <v>45</v>
      </c>
    </row>
    <row r="21" spans="1:14" ht="16.5" customHeight="1">
      <c r="A21" s="17" t="s">
        <v>134</v>
      </c>
    </row>
    <row r="22" spans="1:14" ht="16.5" customHeight="1">
      <c r="A22" s="30" t="s">
        <v>135</v>
      </c>
    </row>
    <row r="23" spans="1:14" ht="16.5" customHeight="1"/>
    <row r="24" spans="1:14" ht="16.5" customHeight="1"/>
    <row r="25" spans="1:14" ht="16.5" customHeight="1">
      <c r="A25" s="17" t="s">
        <v>338</v>
      </c>
    </row>
    <row r="26" spans="1:14" ht="16.5" customHeight="1">
      <c r="A26" s="70" t="s">
        <v>323</v>
      </c>
      <c r="B26" s="71" t="s">
        <v>324</v>
      </c>
    </row>
    <row r="27" spans="1:14" ht="16.5" customHeight="1">
      <c r="A27" s="72" t="s">
        <v>325</v>
      </c>
      <c r="B27" s="73">
        <v>91.814999999999998</v>
      </c>
      <c r="C27">
        <f>B27/$B$27</f>
        <v>1</v>
      </c>
    </row>
    <row r="28" spans="1:14" ht="16.5" customHeight="1">
      <c r="A28" s="72" t="s">
        <v>326</v>
      </c>
      <c r="B28" s="73">
        <v>93.01</v>
      </c>
      <c r="C28">
        <f t="shared" ref="C28:C40" si="1">B28/$B$27</f>
        <v>1.0130153025104831</v>
      </c>
    </row>
    <row r="29" spans="1:14" ht="16.5" customHeight="1">
      <c r="A29" s="72" t="s">
        <v>327</v>
      </c>
      <c r="B29" s="73">
        <v>94.195999999999998</v>
      </c>
      <c r="C29">
        <f t="shared" si="1"/>
        <v>1.0259325818221423</v>
      </c>
    </row>
    <row r="30" spans="1:14" ht="16.5" customHeight="1">
      <c r="A30" s="72" t="s">
        <v>328</v>
      </c>
      <c r="B30" s="73">
        <v>94.861000000000004</v>
      </c>
      <c r="C30">
        <f t="shared" si="1"/>
        <v>1.0331754070685619</v>
      </c>
    </row>
    <row r="31" spans="1:14" ht="16.5" customHeight="1">
      <c r="A31" s="72" t="s">
        <v>329</v>
      </c>
      <c r="B31" s="73">
        <v>95.783000000000001</v>
      </c>
      <c r="C31">
        <f t="shared" si="1"/>
        <v>1.0432173392147253</v>
      </c>
    </row>
    <row r="32" spans="1:14" ht="16.5" customHeight="1">
      <c r="A32" s="72" t="s">
        <v>330</v>
      </c>
      <c r="B32" s="73">
        <v>97.644999999999996</v>
      </c>
      <c r="C32">
        <f t="shared" si="1"/>
        <v>1.0634972499046997</v>
      </c>
    </row>
    <row r="33" spans="1:3" ht="16.5" customHeight="1">
      <c r="A33" s="72" t="s">
        <v>331</v>
      </c>
      <c r="B33" s="73">
        <v>99.085999999999999</v>
      </c>
      <c r="C33">
        <f t="shared" si="1"/>
        <v>1.0791918531830311</v>
      </c>
    </row>
    <row r="34" spans="1:3" ht="16.5" customHeight="1">
      <c r="A34" s="72" t="s">
        <v>332</v>
      </c>
      <c r="B34" s="73">
        <v>99.465999999999994</v>
      </c>
      <c r="C34">
        <f t="shared" si="1"/>
        <v>1.0833306104666993</v>
      </c>
    </row>
    <row r="35" spans="1:3" ht="16.5" customHeight="1">
      <c r="A35" s="72" t="s">
        <v>78</v>
      </c>
      <c r="B35" s="74">
        <v>100</v>
      </c>
      <c r="C35">
        <f t="shared" si="1"/>
        <v>1.0891466535969068</v>
      </c>
    </row>
    <row r="36" spans="1:3" ht="16.5" customHeight="1">
      <c r="A36" s="72" t="s">
        <v>333</v>
      </c>
      <c r="B36" s="74">
        <v>102.5</v>
      </c>
      <c r="C36">
        <f t="shared" si="1"/>
        <v>1.1163753199368296</v>
      </c>
    </row>
    <row r="37" spans="1:3" ht="16.5" customHeight="1">
      <c r="A37" s="72" t="s">
        <v>334</v>
      </c>
      <c r="B37" s="74">
        <v>107.72</v>
      </c>
      <c r="C37">
        <f t="shared" si="1"/>
        <v>1.173228775254588</v>
      </c>
    </row>
    <row r="38" spans="1:3" ht="16.5" customHeight="1">
      <c r="A38" s="72" t="s">
        <v>335</v>
      </c>
      <c r="B38" s="74">
        <v>111.59</v>
      </c>
      <c r="C38">
        <f t="shared" si="1"/>
        <v>1.2153787507487883</v>
      </c>
    </row>
    <row r="39" spans="1:3" ht="16.5" customHeight="1">
      <c r="A39" s="72" t="s">
        <v>336</v>
      </c>
      <c r="B39" s="74">
        <v>114.18</v>
      </c>
      <c r="C39">
        <f t="shared" si="1"/>
        <v>1.2435876490769484</v>
      </c>
    </row>
    <row r="40" spans="1:3" ht="16.5" customHeight="1">
      <c r="A40" s="75" t="s">
        <v>337</v>
      </c>
      <c r="B40" s="74">
        <v>116.61</v>
      </c>
      <c r="C40">
        <f t="shared" si="1"/>
        <v>1.2700539127593531</v>
      </c>
    </row>
    <row r="41" spans="1:3" ht="16.5" customHeight="1"/>
    <row r="42" spans="1:3" ht="16.5" customHeight="1"/>
    <row r="43" spans="1:3" ht="16.5" customHeight="1"/>
    <row r="44" spans="1:3" ht="16.5" customHeight="1"/>
    <row r="45" spans="1:3" ht="16.5" customHeight="1"/>
    <row r="46" spans="1:3" ht="16.5" customHeight="1"/>
    <row r="47" spans="1:3" ht="16.5" customHeight="1"/>
    <row r="48" spans="1: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9" workbookViewId="0"/>
  </sheetViews>
  <sheetFormatPr defaultColWidth="14.453125" defaultRowHeight="15" customHeight="1"/>
  <cols>
    <col min="1" max="26" width="8.81640625" customWidth="1"/>
  </cols>
  <sheetData>
    <row r="1" spans="1:9" ht="16.5" customHeight="1">
      <c r="A1" s="1" t="s">
        <v>136</v>
      </c>
    </row>
    <row r="2" spans="1:9" ht="16.5" customHeight="1">
      <c r="B2" s="34">
        <v>2020</v>
      </c>
      <c r="C2" s="34">
        <v>2030</v>
      </c>
      <c r="D2" s="34" t="s">
        <v>137</v>
      </c>
    </row>
    <row r="3" spans="1:9" ht="16.5" customHeight="1">
      <c r="A3" s="17" t="s">
        <v>125</v>
      </c>
      <c r="B3" s="17">
        <v>133.30000000000001</v>
      </c>
      <c r="C3" s="17">
        <v>106.2</v>
      </c>
      <c r="D3" s="29">
        <f t="shared" ref="D3:D5" si="0">(C3/B3-1)/10</f>
        <v>-2.0330082520630167E-2</v>
      </c>
      <c r="E3" s="35" t="s">
        <v>138</v>
      </c>
      <c r="I3" s="17" t="s">
        <v>139</v>
      </c>
    </row>
    <row r="4" spans="1:9" ht="16.5" customHeight="1">
      <c r="A4" s="17" t="s">
        <v>127</v>
      </c>
      <c r="B4" s="17">
        <v>131.6</v>
      </c>
      <c r="C4" s="17">
        <v>122.7</v>
      </c>
      <c r="D4" s="17">
        <f t="shared" si="0"/>
        <v>-6.7629179331306962E-3</v>
      </c>
      <c r="E4" s="30"/>
    </row>
    <row r="5" spans="1:9" ht="16.5" customHeight="1">
      <c r="A5" s="17" t="s">
        <v>126</v>
      </c>
      <c r="B5" s="17">
        <v>215</v>
      </c>
      <c r="C5" s="17">
        <v>155</v>
      </c>
      <c r="D5" s="17">
        <f t="shared" si="0"/>
        <v>-2.7906976744186053E-2</v>
      </c>
      <c r="E5" s="30"/>
    </row>
    <row r="6" spans="1:9" ht="16.5" customHeight="1"/>
    <row r="7" spans="1:9" ht="16.5" customHeight="1">
      <c r="A7" s="1" t="s">
        <v>45</v>
      </c>
    </row>
    <row r="8" spans="1:9" ht="16.5" customHeight="1">
      <c r="A8" s="1" t="s">
        <v>140</v>
      </c>
    </row>
    <row r="9" spans="1:9" ht="16.5" customHeight="1"/>
    <row r="10" spans="1:9" ht="16.5" customHeight="1"/>
    <row r="11" spans="1:9" ht="16.5" customHeight="1"/>
    <row r="12" spans="1:9" ht="16.5" customHeight="1"/>
    <row r="13" spans="1:9" ht="16.5" customHeight="1"/>
    <row r="14" spans="1:9" ht="16.5" customHeight="1"/>
    <row r="15" spans="1:9" ht="16.5" customHeight="1"/>
    <row r="16" spans="1:9" ht="16.5" customHeight="1"/>
    <row r="17" spans="1:3" ht="16.5" customHeight="1"/>
    <row r="18" spans="1:3" ht="16.5" customHeight="1"/>
    <row r="19" spans="1:3" ht="16.5" customHeight="1"/>
    <row r="20" spans="1:3" ht="16.5" customHeight="1"/>
    <row r="21" spans="1:3" ht="16.5" customHeight="1"/>
    <row r="22" spans="1:3" ht="16.5" customHeight="1"/>
    <row r="23" spans="1:3" ht="16.5" customHeight="1">
      <c r="A23" s="16" t="s">
        <v>141</v>
      </c>
      <c r="B23" s="17" t="s">
        <v>142</v>
      </c>
    </row>
    <row r="24" spans="1:3" ht="16.5" customHeight="1"/>
    <row r="25" spans="1:3" ht="16.5" customHeight="1">
      <c r="A25" s="17" t="s">
        <v>125</v>
      </c>
      <c r="B25" s="17">
        <f>106*About!$B$92/1000</f>
        <v>119.44928000000002</v>
      </c>
      <c r="C25" s="35" t="s">
        <v>143</v>
      </c>
    </row>
    <row r="26" spans="1:3" ht="16.5" customHeight="1">
      <c r="A26" s="17" t="s">
        <v>127</v>
      </c>
      <c r="B26" s="17">
        <f>105*About!$B$92/1000</f>
        <v>118.3224</v>
      </c>
      <c r="C26" s="35" t="s">
        <v>143</v>
      </c>
    </row>
    <row r="27" spans="1:3" ht="16.5" customHeight="1"/>
    <row r="28" spans="1:3" ht="16.5" customHeight="1"/>
    <row r="29" spans="1:3" ht="16.5" customHeight="1">
      <c r="A29" s="1" t="s">
        <v>126</v>
      </c>
    </row>
    <row r="30" spans="1:3" ht="16.5" customHeight="1"/>
    <row r="31" spans="1:3" ht="16.5" customHeight="1"/>
    <row r="32" spans="1: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F66F-2C62-4979-8065-F0D7229FC3EA}">
  <sheetPr>
    <tabColor rgb="FF2E75B6"/>
  </sheetPr>
  <dimension ref="A1:AH95"/>
  <sheetViews>
    <sheetView workbookViewId="0">
      <selection activeCell="A13" sqref="A13"/>
    </sheetView>
  </sheetViews>
  <sheetFormatPr defaultRowHeight="14.5"/>
  <cols>
    <col min="1" max="1" width="38.1796875" customWidth="1"/>
    <col min="2" max="6" width="14.26953125" customWidth="1"/>
    <col min="7" max="7" width="13.1796875" bestFit="1" customWidth="1"/>
    <col min="8" max="11" width="26.7265625" customWidth="1"/>
    <col min="12" max="32" width="14.26953125" customWidth="1"/>
  </cols>
  <sheetData>
    <row r="1" spans="1:12" ht="30" customHeight="1">
      <c r="A1" s="92" t="s">
        <v>240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2">
      <c r="A2" s="44" t="s">
        <v>241</v>
      </c>
    </row>
    <row r="4" spans="1:12" ht="22" customHeight="1">
      <c r="A4" s="88" t="s">
        <v>242</v>
      </c>
      <c r="B4" s="88"/>
      <c r="C4" s="88"/>
      <c r="D4" s="88"/>
      <c r="E4" s="88"/>
      <c r="F4" s="88"/>
      <c r="G4" s="88"/>
      <c r="H4" s="88"/>
      <c r="I4" s="88"/>
      <c r="J4" s="88"/>
      <c r="K4" s="88"/>
    </row>
    <row r="5" spans="1:12">
      <c r="A5" s="94" t="s">
        <v>321</v>
      </c>
      <c r="B5" s="87"/>
      <c r="C5" s="87"/>
      <c r="D5" s="87"/>
      <c r="E5" s="87"/>
      <c r="F5" s="87"/>
      <c r="G5" s="87"/>
      <c r="H5" s="87"/>
      <c r="I5" s="87"/>
      <c r="J5" s="87"/>
      <c r="K5" s="87"/>
    </row>
    <row r="7" spans="1:12">
      <c r="A7" s="45" t="s">
        <v>243</v>
      </c>
      <c r="B7" s="45">
        <v>2010</v>
      </c>
      <c r="C7" s="45">
        <v>2011</v>
      </c>
      <c r="D7" s="45">
        <v>2012</v>
      </c>
      <c r="E7" s="45">
        <v>2013</v>
      </c>
      <c r="F7" s="45">
        <v>2014</v>
      </c>
      <c r="G7" s="45">
        <v>2015</v>
      </c>
      <c r="H7" s="45">
        <v>2016</v>
      </c>
      <c r="I7" s="45">
        <v>2017</v>
      </c>
      <c r="J7" s="45">
        <v>2018</v>
      </c>
      <c r="K7" s="45">
        <v>2019</v>
      </c>
      <c r="L7" s="45" t="s">
        <v>244</v>
      </c>
    </row>
    <row r="8" spans="1:12" ht="17">
      <c r="A8" s="46" t="s">
        <v>245</v>
      </c>
      <c r="B8" s="47">
        <v>4702.3620000000001</v>
      </c>
      <c r="C8" s="47">
        <v>3936.326</v>
      </c>
      <c r="D8" s="47">
        <v>2984.701</v>
      </c>
      <c r="E8" s="47">
        <v>2615.2890000000002</v>
      </c>
      <c r="F8" s="47">
        <v>2362.9659999999999</v>
      </c>
      <c r="G8" s="47">
        <v>1800.941</v>
      </c>
      <c r="H8" s="47">
        <v>1637.269</v>
      </c>
      <c r="I8" s="47">
        <v>1414.6780000000001</v>
      </c>
      <c r="J8" s="47">
        <v>1208.364</v>
      </c>
      <c r="K8" s="36">
        <v>994.69500000000005</v>
      </c>
      <c r="L8" s="48" t="s">
        <v>246</v>
      </c>
    </row>
    <row r="9" spans="1:12" ht="17">
      <c r="A9" s="46" t="s">
        <v>247</v>
      </c>
      <c r="B9" s="47">
        <v>1949</v>
      </c>
      <c r="C9" s="47">
        <v>1939</v>
      </c>
      <c r="D9" s="47">
        <v>1972</v>
      </c>
      <c r="E9" s="47">
        <v>1828</v>
      </c>
      <c r="F9" s="47">
        <v>1781</v>
      </c>
      <c r="G9" s="47">
        <v>1642</v>
      </c>
      <c r="H9" s="47">
        <v>1635</v>
      </c>
      <c r="I9" s="47">
        <v>1628</v>
      </c>
      <c r="J9" s="47">
        <v>1549</v>
      </c>
      <c r="K9" s="36">
        <v>1473</v>
      </c>
      <c r="L9" s="48" t="s">
        <v>248</v>
      </c>
    </row>
    <row r="10" spans="1:12" ht="17">
      <c r="A10" s="46" t="s">
        <v>249</v>
      </c>
      <c r="B10" s="47">
        <v>4650</v>
      </c>
      <c r="C10" s="47">
        <v>5326</v>
      </c>
      <c r="D10" s="47">
        <v>4741</v>
      </c>
      <c r="E10" s="47">
        <v>5738</v>
      </c>
      <c r="F10" s="47">
        <v>5245</v>
      </c>
      <c r="G10" s="47">
        <v>5260</v>
      </c>
      <c r="H10" s="47">
        <v>4280</v>
      </c>
      <c r="I10" s="47">
        <v>4683</v>
      </c>
      <c r="J10" s="47">
        <v>4245</v>
      </c>
      <c r="K10" s="36">
        <v>3800</v>
      </c>
      <c r="L10" s="48" t="s">
        <v>250</v>
      </c>
    </row>
    <row r="11" spans="1:12" ht="17">
      <c r="A11" s="49" t="s">
        <v>251</v>
      </c>
      <c r="B11" s="50">
        <v>1234.26</v>
      </c>
      <c r="C11" s="50">
        <v>1210.0830000000001</v>
      </c>
      <c r="D11" s="50">
        <v>1286.921</v>
      </c>
      <c r="E11" s="50">
        <v>1517.231</v>
      </c>
      <c r="F11" s="50">
        <v>1587.4649999999999</v>
      </c>
      <c r="G11" s="50">
        <v>1452.069</v>
      </c>
      <c r="H11" s="50">
        <v>1839.2370000000001</v>
      </c>
      <c r="I11" s="50">
        <v>1768.749</v>
      </c>
      <c r="J11" s="50">
        <v>1455.857</v>
      </c>
      <c r="K11" s="36">
        <v>1709.289</v>
      </c>
      <c r="L11" s="48" t="s">
        <v>252</v>
      </c>
    </row>
    <row r="12" spans="1:12" ht="17.5" thickBot="1">
      <c r="A12" s="49" t="s">
        <v>253</v>
      </c>
      <c r="B12" s="50">
        <v>2588.0990000000002</v>
      </c>
      <c r="C12" s="50">
        <v>1301.9880000000001</v>
      </c>
      <c r="D12" s="50">
        <v>1494.864</v>
      </c>
      <c r="E12" s="50">
        <v>3027.7849999999999</v>
      </c>
      <c r="F12" s="50">
        <v>2982.498</v>
      </c>
      <c r="G12" s="50">
        <v>2591.8130000000001</v>
      </c>
      <c r="H12" s="50">
        <v>2175.08</v>
      </c>
      <c r="I12" s="50">
        <v>2897.3020000000001</v>
      </c>
      <c r="J12" s="50">
        <v>1693.367</v>
      </c>
      <c r="K12" s="37">
        <v>2140.643</v>
      </c>
      <c r="L12" s="48" t="s">
        <v>254</v>
      </c>
    </row>
    <row r="14" spans="1:12" ht="22" customHeight="1">
      <c r="A14" s="93" t="s">
        <v>318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spans="1:12" ht="16">
      <c r="A15" s="87" t="s">
        <v>320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</row>
    <row r="17" spans="1:11">
      <c r="A17" s="45" t="s">
        <v>243</v>
      </c>
      <c r="B17" s="45" t="s">
        <v>264</v>
      </c>
      <c r="C17" s="45" t="s">
        <v>265</v>
      </c>
      <c r="D17" s="55" t="s">
        <v>266</v>
      </c>
      <c r="E17" s="45" t="s">
        <v>267</v>
      </c>
      <c r="F17" s="45" t="s">
        <v>268</v>
      </c>
      <c r="G17" s="55" t="s">
        <v>269</v>
      </c>
      <c r="H17" s="45" t="s">
        <v>258</v>
      </c>
    </row>
    <row r="18" spans="1:11">
      <c r="A18" s="46" t="s">
        <v>245</v>
      </c>
      <c r="B18" s="56">
        <v>340</v>
      </c>
      <c r="C18" s="56">
        <v>834</v>
      </c>
      <c r="D18" s="57">
        <f>B18+(C18-B18)*0.3</f>
        <v>488.2</v>
      </c>
      <c r="E18" s="56">
        <v>165</v>
      </c>
      <c r="F18" s="56">
        <v>481</v>
      </c>
      <c r="G18" s="57">
        <f>E18+(F18-E18)*0.3</f>
        <v>259.8</v>
      </c>
      <c r="H18" s="53" t="s">
        <v>270</v>
      </c>
    </row>
    <row r="19" spans="1:11">
      <c r="A19" s="46" t="s">
        <v>247</v>
      </c>
      <c r="B19" s="56">
        <v>800</v>
      </c>
      <c r="C19" s="56">
        <v>1350</v>
      </c>
      <c r="D19" s="57">
        <f t="shared" ref="D19:D20" si="0">B19+(C19-B19)*0.3</f>
        <v>965</v>
      </c>
      <c r="E19" s="56">
        <v>650</v>
      </c>
      <c r="F19" s="56">
        <v>1000</v>
      </c>
      <c r="G19" s="57">
        <f t="shared" ref="G19:G20" si="1">E19+(F19-E19)*0.3</f>
        <v>755</v>
      </c>
      <c r="H19" s="53" t="s">
        <v>271</v>
      </c>
    </row>
    <row r="20" spans="1:11">
      <c r="A20" s="46" t="s">
        <v>249</v>
      </c>
      <c r="B20" s="56">
        <v>1700</v>
      </c>
      <c r="C20" s="56">
        <v>3200</v>
      </c>
      <c r="D20" s="57">
        <f t="shared" si="0"/>
        <v>2150</v>
      </c>
      <c r="E20" s="56">
        <v>1400</v>
      </c>
      <c r="F20" s="56">
        <v>2800</v>
      </c>
      <c r="G20" s="57">
        <f t="shared" si="1"/>
        <v>1820</v>
      </c>
      <c r="H20" s="53" t="s">
        <v>271</v>
      </c>
    </row>
    <row r="22" spans="1:11">
      <c r="A22" s="54" t="s">
        <v>272</v>
      </c>
    </row>
    <row r="23" spans="1:11">
      <c r="A23" s="54"/>
    </row>
    <row r="24" spans="1:11" ht="22" customHeight="1">
      <c r="A24" s="93" t="s">
        <v>319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</row>
    <row r="25" spans="1:11">
      <c r="A25" s="87" t="s">
        <v>255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</row>
    <row r="27" spans="1:11">
      <c r="A27" s="45" t="s">
        <v>243</v>
      </c>
      <c r="B27" s="45" t="s">
        <v>256</v>
      </c>
      <c r="C27" s="45" t="s">
        <v>257</v>
      </c>
      <c r="D27" s="45" t="s">
        <v>258</v>
      </c>
    </row>
    <row r="28" spans="1:11">
      <c r="A28" s="46" t="s">
        <v>245</v>
      </c>
      <c r="B28" s="51">
        <f>(G18/D18)^(1/(50-30))-1</f>
        <v>-3.1048434830778016E-2</v>
      </c>
      <c r="C28" s="43" t="s">
        <v>259</v>
      </c>
      <c r="D28" s="53" t="s">
        <v>260</v>
      </c>
    </row>
    <row r="29" spans="1:11">
      <c r="A29" s="46" t="s">
        <v>247</v>
      </c>
      <c r="B29" s="51">
        <f t="shared" ref="B29" si="2">(G19/D19)^(1/(50-30))-1</f>
        <v>-1.2195541780732455E-2</v>
      </c>
      <c r="C29" s="43" t="s">
        <v>259</v>
      </c>
      <c r="D29" s="53" t="s">
        <v>260</v>
      </c>
    </row>
    <row r="30" spans="1:11">
      <c r="A30" s="46" t="s">
        <v>249</v>
      </c>
      <c r="B30" s="51">
        <f>(G20/J10)^(1/(50-18))-1</f>
        <v>-2.6118641430034839E-2</v>
      </c>
      <c r="C30" s="43" t="s">
        <v>261</v>
      </c>
      <c r="D30" s="53" t="s">
        <v>262</v>
      </c>
    </row>
    <row r="32" spans="1:11">
      <c r="A32" s="54" t="s">
        <v>263</v>
      </c>
    </row>
    <row r="34" spans="1:34" ht="22" customHeight="1">
      <c r="A34" s="88" t="s">
        <v>273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</row>
    <row r="35" spans="1:34">
      <c r="A35" s="87" t="s">
        <v>274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</row>
    <row r="36" spans="1:34">
      <c r="A36" s="87" t="s">
        <v>275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</row>
    <row r="38" spans="1:34">
      <c r="A38" s="45" t="s">
        <v>243</v>
      </c>
      <c r="B38" s="45">
        <v>2018</v>
      </c>
      <c r="C38" s="45">
        <v>2019</v>
      </c>
      <c r="D38" s="45">
        <v>2020</v>
      </c>
      <c r="E38" s="45">
        <v>2021</v>
      </c>
      <c r="F38" s="45">
        <v>2022</v>
      </c>
      <c r="G38" s="45">
        <v>2023</v>
      </c>
      <c r="H38" s="45">
        <v>2024</v>
      </c>
      <c r="I38" s="45">
        <v>2025</v>
      </c>
      <c r="J38" s="45">
        <v>2026</v>
      </c>
      <c r="K38" s="45">
        <v>2027</v>
      </c>
      <c r="L38" s="45">
        <v>2028</v>
      </c>
      <c r="M38" s="45">
        <v>2029</v>
      </c>
      <c r="N38" s="45">
        <v>2030</v>
      </c>
      <c r="O38" s="45">
        <v>2031</v>
      </c>
      <c r="P38" s="45">
        <v>2032</v>
      </c>
      <c r="Q38" s="45">
        <v>2033</v>
      </c>
      <c r="R38" s="45">
        <v>2034</v>
      </c>
      <c r="S38" s="45">
        <v>2035</v>
      </c>
      <c r="T38" s="45">
        <v>2036</v>
      </c>
      <c r="U38" s="45">
        <v>2037</v>
      </c>
      <c r="V38" s="45">
        <v>2038</v>
      </c>
      <c r="W38" s="45">
        <v>2039</v>
      </c>
      <c r="X38" s="45">
        <v>2040</v>
      </c>
      <c r="Y38" s="45">
        <v>2041</v>
      </c>
      <c r="Z38" s="45">
        <v>2042</v>
      </c>
      <c r="AA38" s="45">
        <v>2043</v>
      </c>
      <c r="AB38" s="45">
        <v>2044</v>
      </c>
      <c r="AC38" s="45">
        <v>2045</v>
      </c>
      <c r="AD38" s="45">
        <v>2046</v>
      </c>
      <c r="AE38" s="45">
        <v>2047</v>
      </c>
      <c r="AF38" s="45">
        <v>2048</v>
      </c>
      <c r="AG38" s="45">
        <v>2049</v>
      </c>
      <c r="AH38" s="45">
        <v>2050</v>
      </c>
    </row>
    <row r="39" spans="1:34">
      <c r="A39" s="46" t="s">
        <v>245</v>
      </c>
      <c r="B39" s="46"/>
      <c r="C39" s="67"/>
      <c r="D39" s="68">
        <v>1513.3</v>
      </c>
      <c r="E39" s="69">
        <f>_xlfn.FORECAST.LINEAR(E$38,CHOOSE({1,2},$D$39,$I$39),CHOOSE({1,2},$D$38,$I$38))</f>
        <v>1456.4199999999983</v>
      </c>
      <c r="F39" s="69">
        <f>_xlfn.FORECAST.LINEAR(F$38,CHOOSE({1,2},$D$39,$I$39),CHOOSE({1,2},$D$38,$I$38))</f>
        <v>1399.5400000000081</v>
      </c>
      <c r="G39" s="69">
        <f>_xlfn.FORECAST.LINEAR(G$38,CHOOSE({1,2},$D$39,$I$39),CHOOSE({1,2},$D$38,$I$38))</f>
        <v>1342.6600000000035</v>
      </c>
      <c r="H39" s="69">
        <f>_xlfn.FORECAST.LINEAR(H$38,CHOOSE({1,2},$D$39,$I$39),CHOOSE({1,2},$D$38,$I$38))</f>
        <v>1285.7799999999988</v>
      </c>
      <c r="I39" s="68">
        <v>1228.9000000000001</v>
      </c>
      <c r="J39" s="69">
        <f>_xlfn.FORECAST.LINEAR(J$38,CHOOSE({1,2},$I39,$N39), CHOOSE({1,2}, $I$38,$N$38))</f>
        <v>1194.1399999999994</v>
      </c>
      <c r="K39" s="69">
        <f>_xlfn.FORECAST.LINEAR(K$38,CHOOSE({1,2},$I39,$N39), CHOOSE({1,2}, $I$38,$N$38))</f>
        <v>1159.3800000000047</v>
      </c>
      <c r="L39" s="69">
        <f>_xlfn.FORECAST.LINEAR(L$38,CHOOSE({1,2},$I39,$N39), CHOOSE({1,2}, $I$38,$N$38))</f>
        <v>1124.6199999999953</v>
      </c>
      <c r="M39" s="69">
        <f>_xlfn.FORECAST.LINEAR(M$38,CHOOSE({1,2},$I39,$N39), CHOOSE({1,2}, $I$38,$N$38))</f>
        <v>1089.8600000000006</v>
      </c>
      <c r="N39" s="68">
        <v>1055.0999999999999</v>
      </c>
      <c r="O39" s="69">
        <f>N39*(1+$B$28)</f>
        <v>1022.340796410046</v>
      </c>
      <c r="P39" s="69">
        <f t="shared" ref="P39:AH39" si="3">O39*(1+$B$28)</f>
        <v>990.59871481786297</v>
      </c>
      <c r="Q39" s="69">
        <f t="shared" si="3"/>
        <v>959.84217517738807</v>
      </c>
      <c r="R39" s="69">
        <f t="shared" si="3"/>
        <v>930.04057795356073</v>
      </c>
      <c r="S39" s="69">
        <f t="shared" si="3"/>
        <v>901.16427367899053</v>
      </c>
      <c r="T39" s="69">
        <f t="shared" si="3"/>
        <v>873.18453345584294</v>
      </c>
      <c r="U39" s="69">
        <f t="shared" si="3"/>
        <v>846.0735203735959</v>
      </c>
      <c r="V39" s="69">
        <f t="shared" si="3"/>
        <v>819.80426181422933</v>
      </c>
      <c r="W39" s="69">
        <f t="shared" si="3"/>
        <v>794.35062261729615</v>
      </c>
      <c r="X39" s="69">
        <f t="shared" si="3"/>
        <v>769.68727907817504</v>
      </c>
      <c r="Y39" s="69">
        <f t="shared" si="3"/>
        <v>745.78969375363749</v>
      </c>
      <c r="Z39" s="69">
        <f t="shared" si="3"/>
        <v>722.63409104966183</v>
      </c>
      <c r="AA39" s="69">
        <f t="shared" si="3"/>
        <v>700.1974335672079</v>
      </c>
      <c r="AB39" s="69">
        <f t="shared" si="3"/>
        <v>678.45739918241838</v>
      </c>
      <c r="AC39" s="69">
        <f t="shared" si="3"/>
        <v>657.3923588384439</v>
      </c>
      <c r="AD39" s="69">
        <f t="shared" si="3"/>
        <v>636.98135502679702</v>
      </c>
      <c r="AE39" s="69">
        <f t="shared" si="3"/>
        <v>617.20408093682681</v>
      </c>
      <c r="AF39" s="69">
        <f t="shared" si="3"/>
        <v>598.04086025256947</v>
      </c>
      <c r="AG39" s="69">
        <f t="shared" si="3"/>
        <v>579.4726275768752</v>
      </c>
      <c r="AH39" s="69">
        <f t="shared" si="3"/>
        <v>561.48090946333491</v>
      </c>
    </row>
    <row r="40" spans="1:34">
      <c r="A40" t="s">
        <v>247</v>
      </c>
      <c r="C40" s="66"/>
      <c r="D40" s="68">
        <v>2522.4</v>
      </c>
      <c r="E40" s="69">
        <f>_xlfn.FORECAST.LINEAR(E$38,CHOOSE({1,2},$D$40,$I$40),CHOOSE({1,2},$D$38,$I$38))</f>
        <v>2481.8999999999942</v>
      </c>
      <c r="F40" s="69">
        <f>_xlfn.FORECAST.LINEAR(F$38,CHOOSE({1,2},$D$40,$I$40),CHOOSE({1,2},$D$38,$I$38))</f>
        <v>2441.3999999999942</v>
      </c>
      <c r="G40" s="69">
        <f>_xlfn.FORECAST.LINEAR(G$38,CHOOSE({1,2},$D$40,$I$40),CHOOSE({1,2},$D$38,$I$38))</f>
        <v>2400.8999999999942</v>
      </c>
      <c r="H40" s="69">
        <f>_xlfn.FORECAST.LINEAR(H$38,CHOOSE({1,2},$D$40,$I$40),CHOOSE({1,2},$D$38,$I$38))</f>
        <v>2360.3999999999942</v>
      </c>
      <c r="I40" s="68">
        <v>2319.9</v>
      </c>
      <c r="J40" s="69">
        <f>_xlfn.FORECAST.LINEAR(J$38,CHOOSE({1,2},$I40,$N40), CHOOSE({1,2}, $I$38,$N$38))</f>
        <v>2296.4000000000015</v>
      </c>
      <c r="K40" s="69">
        <f>_xlfn.FORECAST.LINEAR(K$38,CHOOSE({1,2},$I40,$N40), CHOOSE({1,2}, $I$38,$N$38))</f>
        <v>2272.9000000000015</v>
      </c>
      <c r="L40" s="69">
        <f>_xlfn.FORECAST.LINEAR(L$38,CHOOSE({1,2},$I40,$N40), CHOOSE({1,2}, $I$38,$N$38))</f>
        <v>2249.4000000000015</v>
      </c>
      <c r="M40" s="69">
        <f>_xlfn.FORECAST.LINEAR(M$38,CHOOSE({1,2},$I40,$N40), CHOOSE({1,2}, $I$38,$N$38))</f>
        <v>2225.9000000000015</v>
      </c>
      <c r="N40" s="68">
        <v>2202.4</v>
      </c>
      <c r="O40" s="69">
        <f>N40*(1+$B$29)</f>
        <v>2175.5405387821147</v>
      </c>
      <c r="P40" s="69">
        <f t="shared" ref="P40:AH40" si="4">O40*(1+$B$29)</f>
        <v>2149.0086432457201</v>
      </c>
      <c r="Q40" s="69">
        <f t="shared" si="4"/>
        <v>2122.8003185498619</v>
      </c>
      <c r="R40" s="69">
        <f t="shared" si="4"/>
        <v>2096.9116185728349</v>
      </c>
      <c r="S40" s="69">
        <f t="shared" si="4"/>
        <v>2071.3386453180265</v>
      </c>
      <c r="T40" s="69">
        <f t="shared" si="4"/>
        <v>2046.0775483270047</v>
      </c>
      <c r="U40" s="69">
        <f t="shared" si="4"/>
        <v>2021.1245240997641</v>
      </c>
      <c r="V40" s="69">
        <f t="shared" si="4"/>
        <v>1996.4758155220425</v>
      </c>
      <c r="W40" s="69">
        <f t="shared" si="4"/>
        <v>1972.1277112996215</v>
      </c>
      <c r="X40" s="69">
        <f t="shared" si="4"/>
        <v>1948.0765453995268</v>
      </c>
      <c r="Y40" s="69">
        <f t="shared" si="4"/>
        <v>1924.3186964980418</v>
      </c>
      <c r="Z40" s="69">
        <f t="shared" si="4"/>
        <v>1900.8505874354553</v>
      </c>
      <c r="AA40" s="69">
        <f t="shared" si="4"/>
        <v>1877.6686846774564</v>
      </c>
      <c r="AB40" s="69">
        <f t="shared" si="4"/>
        <v>1854.7694977830995</v>
      </c>
      <c r="AC40" s="69">
        <f t="shared" si="4"/>
        <v>1832.1495788792577</v>
      </c>
      <c r="AD40" s="69">
        <f t="shared" si="4"/>
        <v>1809.8055221414843</v>
      </c>
      <c r="AE40" s="69">
        <f t="shared" si="4"/>
        <v>1787.7339632812075</v>
      </c>
      <c r="AF40" s="69">
        <f t="shared" si="4"/>
        <v>1765.931579039177</v>
      </c>
      <c r="AG40" s="69">
        <f t="shared" si="4"/>
        <v>1744.3950866850898</v>
      </c>
      <c r="AH40" s="69">
        <f t="shared" si="4"/>
        <v>1723.1212435233174</v>
      </c>
    </row>
    <row r="41" spans="1:34">
      <c r="A41" t="s">
        <v>249</v>
      </c>
      <c r="B41" s="64">
        <v>5730</v>
      </c>
      <c r="C41" s="66">
        <f>B41*(1+$B$30)</f>
        <v>5580.3401846059005</v>
      </c>
      <c r="D41" s="66">
        <f t="shared" ref="D41:AH41" si="5">C41*(1+$B$30)</f>
        <v>5434.5892802665649</v>
      </c>
      <c r="E41" s="66">
        <f t="shared" si="5"/>
        <v>5292.6451915357711</v>
      </c>
      <c r="F41" s="66">
        <f t="shared" si="5"/>
        <v>5154.4084895616506</v>
      </c>
      <c r="G41" s="66">
        <f t="shared" si="5"/>
        <v>5019.7823424388625</v>
      </c>
      <c r="H41" s="66">
        <f t="shared" si="5"/>
        <v>4888.6724473798813</v>
      </c>
      <c r="I41" s="66">
        <f t="shared" si="5"/>
        <v>4760.9869646578754</v>
      </c>
      <c r="J41" s="66">
        <f t="shared" si="5"/>
        <v>4636.6364532749067</v>
      </c>
      <c r="K41" s="66">
        <f t="shared" si="5"/>
        <v>4515.5338083103907</v>
      </c>
      <c r="L41" s="66">
        <f t="shared" si="5"/>
        <v>4397.5941999059323</v>
      </c>
      <c r="M41" s="66">
        <f t="shared" si="5"/>
        <v>4282.7350138437887</v>
      </c>
      <c r="N41" s="66">
        <f t="shared" si="5"/>
        <v>4170.8757936773472</v>
      </c>
      <c r="O41" s="66">
        <f t="shared" si="5"/>
        <v>4061.9381843730766</v>
      </c>
      <c r="P41" s="66">
        <f t="shared" si="5"/>
        <v>3955.8458774244696</v>
      </c>
      <c r="Q41" s="66">
        <f t="shared" si="5"/>
        <v>3852.5245573995385</v>
      </c>
      <c r="R41" s="66">
        <f t="shared" si="5"/>
        <v>3751.9018498844162</v>
      </c>
      <c r="S41" s="66">
        <f t="shared" si="5"/>
        <v>3653.9072707866007</v>
      </c>
      <c r="T41" s="66">
        <f t="shared" si="5"/>
        <v>3558.4721769623284</v>
      </c>
      <c r="U41" s="66">
        <f t="shared" si="5"/>
        <v>3465.529718133494</v>
      </c>
      <c r="V41" s="66">
        <f t="shared" si="5"/>
        <v>3375.0147900604356</v>
      </c>
      <c r="W41" s="66">
        <f t="shared" si="5"/>
        <v>3286.8639889377828</v>
      </c>
      <c r="X41" s="66">
        <f t="shared" si="5"/>
        <v>3201.015566981423</v>
      </c>
      <c r="Y41" s="66">
        <f t="shared" si="5"/>
        <v>3117.4093891754756</v>
      </c>
      <c r="Z41" s="66">
        <f t="shared" si="5"/>
        <v>3035.9868911489775</v>
      </c>
      <c r="AA41" s="66">
        <f t="shared" si="5"/>
        <v>2956.6910381527709</v>
      </c>
      <c r="AB41" s="66">
        <f t="shared" si="5"/>
        <v>2879.466285107861</v>
      </c>
      <c r="AC41" s="66">
        <f t="shared" si="5"/>
        <v>2804.2585376972543</v>
      </c>
      <c r="AD41" s="66">
        <f t="shared" si="5"/>
        <v>2731.0151144740257</v>
      </c>
      <c r="AE41" s="66">
        <f t="shared" si="5"/>
        <v>2659.6847099590732</v>
      </c>
      <c r="AF41" s="66">
        <f t="shared" si="5"/>
        <v>2590.217358702706</v>
      </c>
      <c r="AG41" s="66">
        <f t="shared" si="5"/>
        <v>2522.5644002848981</v>
      </c>
      <c r="AH41" s="66">
        <f t="shared" si="5"/>
        <v>2456.6784452296861</v>
      </c>
    </row>
    <row r="45" spans="1:34">
      <c r="A45" s="91" t="s">
        <v>278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</row>
    <row r="46" spans="1:34">
      <c r="A46" s="60" t="s">
        <v>279</v>
      </c>
      <c r="B46" s="60" t="s">
        <v>280</v>
      </c>
      <c r="C46" s="60" t="s">
        <v>281</v>
      </c>
      <c r="D46" s="60" t="s">
        <v>282</v>
      </c>
    </row>
    <row r="47" spans="1:34">
      <c r="A47" s="46" t="s">
        <v>283</v>
      </c>
      <c r="B47" s="61" t="s">
        <v>284</v>
      </c>
      <c r="C47" s="43" t="s">
        <v>285</v>
      </c>
      <c r="D47" s="43" t="s">
        <v>286</v>
      </c>
    </row>
    <row r="48" spans="1:34">
      <c r="A48" s="46" t="s">
        <v>287</v>
      </c>
      <c r="B48" s="61" t="s">
        <v>288</v>
      </c>
      <c r="C48" s="43" t="s">
        <v>289</v>
      </c>
      <c r="D48" s="43" t="s">
        <v>290</v>
      </c>
    </row>
    <row r="49" spans="1:11">
      <c r="A49" s="46" t="s">
        <v>291</v>
      </c>
      <c r="B49" s="61" t="s">
        <v>292</v>
      </c>
      <c r="C49" s="43" t="s">
        <v>293</v>
      </c>
      <c r="D49" s="43" t="s">
        <v>290</v>
      </c>
    </row>
    <row r="64" spans="1:11" ht="22" customHeight="1">
      <c r="A64" s="88" t="s">
        <v>294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</row>
    <row r="65" spans="1:33">
      <c r="A65" s="87" t="s">
        <v>295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</row>
    <row r="66" spans="1:33">
      <c r="A66" s="87" t="s">
        <v>296</v>
      </c>
      <c r="B66" s="87"/>
      <c r="C66" s="87"/>
      <c r="D66" s="87"/>
      <c r="E66" s="87"/>
      <c r="F66" s="87"/>
      <c r="G66" s="87"/>
      <c r="H66" s="87"/>
      <c r="I66" s="87"/>
      <c r="J66" s="87"/>
      <c r="K66" s="87"/>
    </row>
    <row r="67" spans="1:33">
      <c r="A67" s="45" t="s">
        <v>297</v>
      </c>
      <c r="B67">
        <f>About!$B$92</f>
        <v>1126.8800000000001</v>
      </c>
    </row>
    <row r="68" spans="1:33">
      <c r="A68" s="45" t="s">
        <v>243</v>
      </c>
      <c r="B68" s="45">
        <v>2020</v>
      </c>
      <c r="C68" s="45">
        <v>2021</v>
      </c>
      <c r="D68" s="45">
        <v>2022</v>
      </c>
      <c r="E68" s="45">
        <v>2023</v>
      </c>
      <c r="F68" s="45">
        <v>2024</v>
      </c>
      <c r="G68" s="45">
        <v>2025</v>
      </c>
      <c r="H68" s="45">
        <v>2026</v>
      </c>
      <c r="I68" s="45">
        <v>2027</v>
      </c>
      <c r="J68" s="45">
        <v>2028</v>
      </c>
      <c r="K68" s="45">
        <v>2029</v>
      </c>
      <c r="L68" s="45">
        <v>2030</v>
      </c>
      <c r="M68" s="45">
        <v>2031</v>
      </c>
      <c r="N68" s="45">
        <v>2032</v>
      </c>
      <c r="O68" s="45">
        <v>2033</v>
      </c>
      <c r="P68" s="45">
        <v>2034</v>
      </c>
      <c r="Q68" s="45">
        <v>2035</v>
      </c>
      <c r="R68" s="45">
        <v>2036</v>
      </c>
      <c r="S68" s="45">
        <v>2037</v>
      </c>
      <c r="T68" s="45">
        <v>2038</v>
      </c>
      <c r="U68" s="45">
        <v>2039</v>
      </c>
      <c r="V68" s="45">
        <v>2040</v>
      </c>
      <c r="W68" s="45">
        <v>2041</v>
      </c>
      <c r="X68" s="45">
        <v>2042</v>
      </c>
      <c r="Y68" s="45">
        <v>2043</v>
      </c>
      <c r="Z68" s="45">
        <v>2044</v>
      </c>
      <c r="AA68" s="45">
        <v>2045</v>
      </c>
      <c r="AB68" s="45">
        <v>2046</v>
      </c>
      <c r="AC68" s="45">
        <v>2047</v>
      </c>
      <c r="AD68" s="45">
        <v>2048</v>
      </c>
      <c r="AE68" s="45">
        <v>2049</v>
      </c>
      <c r="AF68" s="45">
        <v>2050</v>
      </c>
    </row>
    <row r="69" spans="1:33">
      <c r="A69" s="17" t="s">
        <v>183</v>
      </c>
      <c r="B69" s="66">
        <f>D39/$B$67*1000</f>
        <v>1342.9114013914523</v>
      </c>
      <c r="C69" s="66">
        <f t="shared" ref="C69:AF71" si="6">E39/$B$67*1000</f>
        <v>1292.4357518103066</v>
      </c>
      <c r="D69" s="66">
        <f t="shared" si="6"/>
        <v>1241.9601022291708</v>
      </c>
      <c r="E69" s="66">
        <f t="shared" si="6"/>
        <v>1191.4844526480224</v>
      </c>
      <c r="F69" s="66">
        <f t="shared" si="6"/>
        <v>1141.0088030668737</v>
      </c>
      <c r="G69" s="66">
        <f t="shared" si="6"/>
        <v>1090.5331534857305</v>
      </c>
      <c r="H69" s="66">
        <f t="shared" si="6"/>
        <v>1059.6869231861417</v>
      </c>
      <c r="I69" s="66">
        <f t="shared" si="6"/>
        <v>1028.8406928865581</v>
      </c>
      <c r="J69" s="66">
        <f t="shared" si="6"/>
        <v>997.99446258696162</v>
      </c>
      <c r="K69" s="66">
        <f t="shared" si="6"/>
        <v>967.14823228737805</v>
      </c>
      <c r="L69" s="66">
        <f t="shared" si="6"/>
        <v>936.30200198778914</v>
      </c>
      <c r="M69" s="66">
        <f t="shared" si="6"/>
        <v>907.23129029714426</v>
      </c>
      <c r="N69" s="66">
        <f t="shared" si="6"/>
        <v>879.06317870391069</v>
      </c>
      <c r="O69" s="66">
        <f t="shared" si="6"/>
        <v>851.76964288778572</v>
      </c>
      <c r="P69" s="66">
        <f t="shared" si="6"/>
        <v>825.32352863974927</v>
      </c>
      <c r="Q69" s="66">
        <f t="shared" si="6"/>
        <v>799.69852484647026</v>
      </c>
      <c r="R69" s="66">
        <f t="shared" si="6"/>
        <v>774.86913731350523</v>
      </c>
      <c r="S69" s="66">
        <f t="shared" si="6"/>
        <v>750.81066340124585</v>
      </c>
      <c r="T69" s="66">
        <f t="shared" si="6"/>
        <v>727.4991674483789</v>
      </c>
      <c r="U69" s="66">
        <f t="shared" si="6"/>
        <v>704.91145695841271</v>
      </c>
      <c r="V69" s="66">
        <f t="shared" si="6"/>
        <v>683.02505952557055</v>
      </c>
      <c r="W69" s="66">
        <f t="shared" si="6"/>
        <v>661.81820047710255</v>
      </c>
      <c r="X69" s="66">
        <f t="shared" si="6"/>
        <v>641.26978120976662</v>
      </c>
      <c r="Y69" s="66">
        <f t="shared" si="6"/>
        <v>621.35935819892779</v>
      </c>
      <c r="Z69" s="66">
        <f t="shared" si="6"/>
        <v>602.06712265939427</v>
      </c>
      <c r="AA69" s="66">
        <f t="shared" si="6"/>
        <v>583.37388083775011</v>
      </c>
      <c r="AB69" s="66">
        <f t="shared" si="6"/>
        <v>565.26103491658114</v>
      </c>
      <c r="AC69" s="66">
        <f t="shared" si="6"/>
        <v>547.71056451159552</v>
      </c>
      <c r="AD69" s="66">
        <f t="shared" si="6"/>
        <v>530.70500874322852</v>
      </c>
      <c r="AE69" s="66">
        <f t="shared" si="6"/>
        <v>514.22744886489704</v>
      </c>
      <c r="AF69" s="66">
        <f t="shared" si="6"/>
        <v>498.26149143061804</v>
      </c>
    </row>
    <row r="70" spans="1:33">
      <c r="A70" s="17" t="s">
        <v>182</v>
      </c>
      <c r="B70" s="66">
        <f t="shared" ref="B70:B71" si="7">D40/$B$67*1000</f>
        <v>2238.3927303705805</v>
      </c>
      <c r="C70" s="66">
        <f t="shared" si="6"/>
        <v>2202.452790004254</v>
      </c>
      <c r="D70" s="66">
        <f t="shared" si="6"/>
        <v>2166.512849637933</v>
      </c>
      <c r="E70" s="66">
        <f t="shared" si="6"/>
        <v>2130.5729092716115</v>
      </c>
      <c r="F70" s="66">
        <f t="shared" si="6"/>
        <v>2094.6329689052905</v>
      </c>
      <c r="G70" s="66">
        <f t="shared" si="6"/>
        <v>2058.6930285389744</v>
      </c>
      <c r="H70" s="66">
        <f t="shared" si="6"/>
        <v>2037.8389890671599</v>
      </c>
      <c r="I70" s="66">
        <f t="shared" si="6"/>
        <v>2016.984949595344</v>
      </c>
      <c r="J70" s="66">
        <f t="shared" si="6"/>
        <v>1996.1309101235281</v>
      </c>
      <c r="K70" s="66">
        <f t="shared" si="6"/>
        <v>1975.276870651712</v>
      </c>
      <c r="L70" s="66">
        <f t="shared" si="6"/>
        <v>1954.4228311798947</v>
      </c>
      <c r="M70" s="66">
        <f t="shared" si="6"/>
        <v>1930.5875858850227</v>
      </c>
      <c r="N70" s="66">
        <f t="shared" si="6"/>
        <v>1907.0430243199985</v>
      </c>
      <c r="O70" s="66">
        <f t="shared" si="6"/>
        <v>1883.7856014392498</v>
      </c>
      <c r="P70" s="66">
        <f t="shared" si="6"/>
        <v>1860.811815430955</v>
      </c>
      <c r="Q70" s="66">
        <f t="shared" si="6"/>
        <v>1838.1182071897861</v>
      </c>
      <c r="R70" s="66">
        <f t="shared" si="6"/>
        <v>1815.7013597960781</v>
      </c>
      <c r="S70" s="66">
        <f t="shared" si="6"/>
        <v>1793.5578980013524</v>
      </c>
      <c r="T70" s="66">
        <f t="shared" si="6"/>
        <v>1771.684487720114</v>
      </c>
      <c r="U70" s="66">
        <f t="shared" si="6"/>
        <v>1750.0778355278478</v>
      </c>
      <c r="V70" s="66">
        <f t="shared" si="6"/>
        <v>1728.7346881651345</v>
      </c>
      <c r="W70" s="66">
        <f t="shared" si="6"/>
        <v>1707.6518320478149</v>
      </c>
      <c r="X70" s="66">
        <f t="shared" si="6"/>
        <v>1686.8260927831313</v>
      </c>
      <c r="Y70" s="66">
        <f t="shared" si="6"/>
        <v>1666.2543346917651</v>
      </c>
      <c r="Z70" s="66">
        <f t="shared" si="6"/>
        <v>1645.9334603357049</v>
      </c>
      <c r="AA70" s="66">
        <f t="shared" si="6"/>
        <v>1625.8604100518755</v>
      </c>
      <c r="AB70" s="66">
        <f t="shared" si="6"/>
        <v>1606.032161491449</v>
      </c>
      <c r="AC70" s="66">
        <f t="shared" si="6"/>
        <v>1586.44572916478</v>
      </c>
      <c r="AD70" s="66">
        <f t="shared" si="6"/>
        <v>1567.0981639918864</v>
      </c>
      <c r="AE70" s="66">
        <f t="shared" si="6"/>
        <v>1547.9865528584139</v>
      </c>
      <c r="AF70" s="66">
        <f t="shared" si="6"/>
        <v>1529.1080181770174</v>
      </c>
    </row>
    <row r="71" spans="1:33">
      <c r="A71" s="17" t="s">
        <v>190</v>
      </c>
      <c r="B71" s="66">
        <f t="shared" si="7"/>
        <v>4822.6867814377438</v>
      </c>
      <c r="C71" s="66">
        <f t="shared" si="6"/>
        <v>4696.7247546640019</v>
      </c>
      <c r="D71" s="66">
        <f t="shared" si="6"/>
        <v>4574.052684901365</v>
      </c>
      <c r="E71" s="66">
        <f t="shared" si="6"/>
        <v>4454.5846429423382</v>
      </c>
      <c r="F71" s="66">
        <f t="shared" si="6"/>
        <v>4338.2369439335871</v>
      </c>
      <c r="G71" s="66">
        <f t="shared" si="6"/>
        <v>4224.9280887564555</v>
      </c>
      <c r="H71" s="66">
        <f t="shared" si="6"/>
        <v>4114.5787069385442</v>
      </c>
      <c r="I71" s="66">
        <f t="shared" si="6"/>
        <v>4007.111501056359</v>
      </c>
      <c r="J71" s="66">
        <f t="shared" si="6"/>
        <v>3902.4511925901002</v>
      </c>
      <c r="K71" s="66">
        <f t="shared" si="6"/>
        <v>3800.5244691926277</v>
      </c>
      <c r="L71" s="66">
        <f t="shared" si="6"/>
        <v>3701.2599333357116</v>
      </c>
      <c r="M71" s="66">
        <f t="shared" si="6"/>
        <v>3604.5880522975617</v>
      </c>
      <c r="N71" s="66">
        <f t="shared" si="6"/>
        <v>3510.441109456614</v>
      </c>
      <c r="O71" s="66">
        <f t="shared" si="6"/>
        <v>3418.7531568574632</v>
      </c>
      <c r="P71" s="66">
        <f t="shared" si="6"/>
        <v>3329.4599690157033</v>
      </c>
      <c r="Q71" s="66">
        <f t="shared" si="6"/>
        <v>3242.4989979293273</v>
      </c>
      <c r="R71" s="66">
        <f t="shared" si="6"/>
        <v>3157.8093292651638</v>
      </c>
      <c r="S71" s="66">
        <f t="shared" si="6"/>
        <v>3075.3316396896685</v>
      </c>
      <c r="T71" s="66">
        <f t="shared" si="6"/>
        <v>2995.0081553141731</v>
      </c>
      <c r="U71" s="66">
        <f t="shared" si="6"/>
        <v>2916.782611225492</v>
      </c>
      <c r="V71" s="66">
        <f t="shared" si="6"/>
        <v>2840.6002120735329</v>
      </c>
      <c r="W71" s="66">
        <f t="shared" si="6"/>
        <v>2766.4075936883037</v>
      </c>
      <c r="X71" s="66">
        <f t="shared" si="6"/>
        <v>2694.152785699433</v>
      </c>
      <c r="Y71" s="66">
        <f t="shared" si="6"/>
        <v>2623.78517513202</v>
      </c>
      <c r="Z71" s="66">
        <f t="shared" si="6"/>
        <v>2555.2554709533056</v>
      </c>
      <c r="AA71" s="66">
        <f t="shared" si="6"/>
        <v>2488.5156695453411</v>
      </c>
      <c r="AB71" s="66">
        <f t="shared" si="6"/>
        <v>2423.5190210794631</v>
      </c>
      <c r="AC71" s="66">
        <f t="shared" si="6"/>
        <v>2360.2199967690194</v>
      </c>
      <c r="AD71" s="66">
        <f t="shared" si="6"/>
        <v>2298.5742569774116</v>
      </c>
      <c r="AE71" s="66">
        <f t="shared" si="6"/>
        <v>2238.53862015911</v>
      </c>
      <c r="AF71" s="66">
        <f t="shared" si="6"/>
        <v>2180.0710326118897</v>
      </c>
    </row>
    <row r="72" spans="1:33">
      <c r="A72" s="17" t="s">
        <v>181</v>
      </c>
      <c r="B72" s="66">
        <f>K11</f>
        <v>1709.289</v>
      </c>
      <c r="C72" s="66">
        <f>B72</f>
        <v>1709.289</v>
      </c>
      <c r="D72" s="66">
        <f t="shared" ref="D72:AF72" si="8">C72</f>
        <v>1709.289</v>
      </c>
      <c r="E72" s="66">
        <f t="shared" si="8"/>
        <v>1709.289</v>
      </c>
      <c r="F72" s="66">
        <f t="shared" si="8"/>
        <v>1709.289</v>
      </c>
      <c r="G72" s="66">
        <f t="shared" si="8"/>
        <v>1709.289</v>
      </c>
      <c r="H72" s="66">
        <f t="shared" si="8"/>
        <v>1709.289</v>
      </c>
      <c r="I72" s="66">
        <f t="shared" si="8"/>
        <v>1709.289</v>
      </c>
      <c r="J72" s="66">
        <f t="shared" si="8"/>
        <v>1709.289</v>
      </c>
      <c r="K72" s="66">
        <f t="shared" si="8"/>
        <v>1709.289</v>
      </c>
      <c r="L72" s="66">
        <f t="shared" si="8"/>
        <v>1709.289</v>
      </c>
      <c r="M72" s="66">
        <f t="shared" si="8"/>
        <v>1709.289</v>
      </c>
      <c r="N72" s="66">
        <f t="shared" si="8"/>
        <v>1709.289</v>
      </c>
      <c r="O72" s="66">
        <f t="shared" si="8"/>
        <v>1709.289</v>
      </c>
      <c r="P72" s="66">
        <f t="shared" si="8"/>
        <v>1709.289</v>
      </c>
      <c r="Q72" s="66">
        <f t="shared" si="8"/>
        <v>1709.289</v>
      </c>
      <c r="R72" s="66">
        <f t="shared" si="8"/>
        <v>1709.289</v>
      </c>
      <c r="S72" s="66">
        <f t="shared" si="8"/>
        <v>1709.289</v>
      </c>
      <c r="T72" s="66">
        <f t="shared" si="8"/>
        <v>1709.289</v>
      </c>
      <c r="U72" s="66">
        <f t="shared" si="8"/>
        <v>1709.289</v>
      </c>
      <c r="V72" s="66">
        <f t="shared" si="8"/>
        <v>1709.289</v>
      </c>
      <c r="W72" s="66">
        <f t="shared" si="8"/>
        <v>1709.289</v>
      </c>
      <c r="X72" s="66">
        <f t="shared" si="8"/>
        <v>1709.289</v>
      </c>
      <c r="Y72" s="66">
        <f t="shared" si="8"/>
        <v>1709.289</v>
      </c>
      <c r="Z72" s="66">
        <f t="shared" si="8"/>
        <v>1709.289</v>
      </c>
      <c r="AA72" s="66">
        <f t="shared" si="8"/>
        <v>1709.289</v>
      </c>
      <c r="AB72" s="66">
        <f t="shared" si="8"/>
        <v>1709.289</v>
      </c>
      <c r="AC72" s="66">
        <f t="shared" si="8"/>
        <v>1709.289</v>
      </c>
      <c r="AD72" s="66">
        <f t="shared" si="8"/>
        <v>1709.289</v>
      </c>
      <c r="AE72" s="66">
        <f t="shared" si="8"/>
        <v>1709.289</v>
      </c>
      <c r="AF72" s="66">
        <f t="shared" si="8"/>
        <v>1709.289</v>
      </c>
      <c r="AG72" s="59" t="s">
        <v>276</v>
      </c>
    </row>
    <row r="73" spans="1:33">
      <c r="A73" s="17" t="s">
        <v>185</v>
      </c>
      <c r="B73" s="66">
        <f>AVERAGE(B12:K12)</f>
        <v>2289.3438999999998</v>
      </c>
      <c r="C73" s="66">
        <f>B73</f>
        <v>2289.3438999999998</v>
      </c>
      <c r="D73" s="66">
        <f t="shared" ref="D73:AF73" si="9">C73</f>
        <v>2289.3438999999998</v>
      </c>
      <c r="E73" s="66">
        <f t="shared" si="9"/>
        <v>2289.3438999999998</v>
      </c>
      <c r="F73" s="66">
        <f t="shared" si="9"/>
        <v>2289.3438999999998</v>
      </c>
      <c r="G73" s="66">
        <f t="shared" si="9"/>
        <v>2289.3438999999998</v>
      </c>
      <c r="H73" s="66">
        <f t="shared" si="9"/>
        <v>2289.3438999999998</v>
      </c>
      <c r="I73" s="66">
        <f t="shared" si="9"/>
        <v>2289.3438999999998</v>
      </c>
      <c r="J73" s="66">
        <f t="shared" si="9"/>
        <v>2289.3438999999998</v>
      </c>
      <c r="K73" s="66">
        <f t="shared" si="9"/>
        <v>2289.3438999999998</v>
      </c>
      <c r="L73" s="66">
        <f t="shared" si="9"/>
        <v>2289.3438999999998</v>
      </c>
      <c r="M73" s="66">
        <f t="shared" si="9"/>
        <v>2289.3438999999998</v>
      </c>
      <c r="N73" s="66">
        <f t="shared" si="9"/>
        <v>2289.3438999999998</v>
      </c>
      <c r="O73" s="66">
        <f t="shared" si="9"/>
        <v>2289.3438999999998</v>
      </c>
      <c r="P73" s="66">
        <f t="shared" si="9"/>
        <v>2289.3438999999998</v>
      </c>
      <c r="Q73" s="66">
        <f t="shared" si="9"/>
        <v>2289.3438999999998</v>
      </c>
      <c r="R73" s="66">
        <f t="shared" si="9"/>
        <v>2289.3438999999998</v>
      </c>
      <c r="S73" s="66">
        <f t="shared" si="9"/>
        <v>2289.3438999999998</v>
      </c>
      <c r="T73" s="66">
        <f t="shared" si="9"/>
        <v>2289.3438999999998</v>
      </c>
      <c r="U73" s="66">
        <f t="shared" si="9"/>
        <v>2289.3438999999998</v>
      </c>
      <c r="V73" s="66">
        <f t="shared" si="9"/>
        <v>2289.3438999999998</v>
      </c>
      <c r="W73" s="66">
        <f t="shared" si="9"/>
        <v>2289.3438999999998</v>
      </c>
      <c r="X73" s="66">
        <f t="shared" si="9"/>
        <v>2289.3438999999998</v>
      </c>
      <c r="Y73" s="66">
        <f t="shared" si="9"/>
        <v>2289.3438999999998</v>
      </c>
      <c r="Z73" s="66">
        <f t="shared" si="9"/>
        <v>2289.3438999999998</v>
      </c>
      <c r="AA73" s="66">
        <f t="shared" si="9"/>
        <v>2289.3438999999998</v>
      </c>
      <c r="AB73" s="66">
        <f t="shared" si="9"/>
        <v>2289.3438999999998</v>
      </c>
      <c r="AC73" s="66">
        <f t="shared" si="9"/>
        <v>2289.3438999999998</v>
      </c>
      <c r="AD73" s="66">
        <f t="shared" si="9"/>
        <v>2289.3438999999998</v>
      </c>
      <c r="AE73" s="66">
        <f t="shared" si="9"/>
        <v>2289.3438999999998</v>
      </c>
      <c r="AF73" s="66">
        <f t="shared" si="9"/>
        <v>2289.3438999999998</v>
      </c>
      <c r="AG73" s="59" t="s">
        <v>277</v>
      </c>
    </row>
    <row r="74" spans="1:33" ht="22" customHeight="1">
      <c r="A74" s="88" t="s">
        <v>298</v>
      </c>
      <c r="B74" s="88"/>
      <c r="C74" s="88"/>
      <c r="D74" s="88"/>
      <c r="E74" s="88"/>
      <c r="F74" s="88"/>
      <c r="G74" s="88"/>
      <c r="H74" s="88"/>
      <c r="I74" s="88"/>
      <c r="J74" s="88"/>
      <c r="K74" s="88"/>
    </row>
    <row r="75" spans="1:33">
      <c r="A75" s="87" t="s">
        <v>299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</row>
    <row r="77" spans="1:33">
      <c r="A77" s="45" t="s">
        <v>300</v>
      </c>
      <c r="B77" s="45" t="s">
        <v>301</v>
      </c>
    </row>
    <row r="78" spans="1:33">
      <c r="A78" s="46" t="s">
        <v>144</v>
      </c>
      <c r="B78" s="62">
        <v>7.0000000000000007E-2</v>
      </c>
    </row>
    <row r="79" spans="1:33">
      <c r="A79" s="46" t="s">
        <v>145</v>
      </c>
      <c r="B79" s="62">
        <v>0.03</v>
      </c>
    </row>
    <row r="80" spans="1:33">
      <c r="A80" s="46" t="s">
        <v>146</v>
      </c>
      <c r="B80" s="62">
        <v>0.01</v>
      </c>
    </row>
    <row r="83" spans="1:11">
      <c r="A83" s="89" t="s">
        <v>302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</row>
    <row r="84" spans="1:11">
      <c r="A84" s="58" t="s">
        <v>303</v>
      </c>
      <c r="B84" s="52" t="s">
        <v>304</v>
      </c>
    </row>
    <row r="85" spans="1:11">
      <c r="A85" t="s">
        <v>305</v>
      </c>
      <c r="B85" s="52" t="s">
        <v>306</v>
      </c>
    </row>
    <row r="86" spans="1:11">
      <c r="A86" s="63" t="s">
        <v>307</v>
      </c>
      <c r="B86" s="52" t="s">
        <v>308</v>
      </c>
    </row>
    <row r="87" spans="1:11">
      <c r="A87" s="64" t="s">
        <v>309</v>
      </c>
      <c r="B87" s="65" t="s">
        <v>310</v>
      </c>
    </row>
    <row r="89" spans="1:11">
      <c r="A89" s="90" t="s">
        <v>311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</row>
    <row r="90" spans="1:11">
      <c r="A90" s="43" t="s">
        <v>312</v>
      </c>
    </row>
    <row r="91" spans="1:11">
      <c r="A91" s="43" t="s">
        <v>313</v>
      </c>
    </row>
    <row r="92" spans="1:11">
      <c r="A92" s="43" t="s">
        <v>314</v>
      </c>
    </row>
    <row r="93" spans="1:11">
      <c r="A93" s="43" t="s">
        <v>315</v>
      </c>
    </row>
    <row r="94" spans="1:11">
      <c r="A94" s="43" t="s">
        <v>316</v>
      </c>
    </row>
    <row r="95" spans="1:11">
      <c r="A95" s="43" t="s">
        <v>317</v>
      </c>
    </row>
  </sheetData>
  <mergeCells count="18">
    <mergeCell ref="A45:K45"/>
    <mergeCell ref="A65:K65"/>
    <mergeCell ref="A1:K1"/>
    <mergeCell ref="A4:K4"/>
    <mergeCell ref="A24:K24"/>
    <mergeCell ref="A14:K14"/>
    <mergeCell ref="A34:K34"/>
    <mergeCell ref="A64:K64"/>
    <mergeCell ref="A5:K5"/>
    <mergeCell ref="A25:K25"/>
    <mergeCell ref="A15:K15"/>
    <mergeCell ref="A35:K35"/>
    <mergeCell ref="A36:K36"/>
    <mergeCell ref="A66:K66"/>
    <mergeCell ref="A75:K75"/>
    <mergeCell ref="A74:K74"/>
    <mergeCell ref="A83:K83"/>
    <mergeCell ref="A89:K89"/>
  </mergeCells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53125" defaultRowHeight="15" customHeight="1"/>
  <cols>
    <col min="1" max="2" width="8.81640625" customWidth="1"/>
    <col min="3" max="3" width="28.81640625" customWidth="1"/>
    <col min="4" max="26" width="8.81640625" customWidth="1"/>
  </cols>
  <sheetData>
    <row r="1" spans="1:6" ht="16.5" customHeight="1">
      <c r="A1" s="17" t="s">
        <v>147</v>
      </c>
    </row>
    <row r="2" spans="1:6" ht="16.5" customHeight="1">
      <c r="C2" s="17" t="s">
        <v>148</v>
      </c>
    </row>
    <row r="3" spans="1:6" ht="16.5" customHeight="1"/>
    <row r="4" spans="1:6" ht="16.5" customHeight="1">
      <c r="C4" s="1" t="s">
        <v>149</v>
      </c>
      <c r="D4" s="17">
        <v>2016</v>
      </c>
      <c r="E4" s="17">
        <v>2017</v>
      </c>
      <c r="F4" s="17">
        <v>2018</v>
      </c>
    </row>
    <row r="5" spans="1:6" ht="16.5" customHeight="1">
      <c r="C5" s="17" t="s">
        <v>150</v>
      </c>
      <c r="D5" s="17">
        <v>27.7</v>
      </c>
      <c r="E5" s="17">
        <v>28.5</v>
      </c>
      <c r="F5" s="17">
        <v>28.2</v>
      </c>
    </row>
    <row r="6" spans="1:6" ht="16.5" customHeight="1">
      <c r="C6" s="17" t="s">
        <v>151</v>
      </c>
      <c r="D6" s="17">
        <v>40</v>
      </c>
      <c r="E6" s="17">
        <v>39.5</v>
      </c>
      <c r="F6" s="17">
        <v>38.5</v>
      </c>
    </row>
    <row r="7" spans="1:6" ht="16.5" customHeight="1">
      <c r="C7" s="17" t="s">
        <v>152</v>
      </c>
      <c r="D7" s="17">
        <v>15.5</v>
      </c>
      <c r="E7" s="17">
        <v>15.7</v>
      </c>
      <c r="F7" s="17">
        <v>18</v>
      </c>
    </row>
    <row r="8" spans="1:6" ht="16.5" customHeight="1">
      <c r="C8" s="17" t="s">
        <v>153</v>
      </c>
      <c r="D8" s="17">
        <v>0.5</v>
      </c>
      <c r="E8" s="17">
        <v>0.5</v>
      </c>
      <c r="F8" s="17">
        <v>0.5</v>
      </c>
    </row>
    <row r="9" spans="1:6" ht="16.5" customHeight="1">
      <c r="C9" s="17" t="s">
        <v>154</v>
      </c>
      <c r="D9" s="17">
        <v>11.6</v>
      </c>
      <c r="E9" s="17">
        <v>10.5</v>
      </c>
      <c r="F9" s="17">
        <v>9.1999999999999993</v>
      </c>
    </row>
    <row r="10" spans="1:6" ht="16.5" customHeight="1">
      <c r="C10" s="17" t="s">
        <v>155</v>
      </c>
      <c r="D10" s="17">
        <v>4.5999999999999996</v>
      </c>
      <c r="E10" s="17">
        <v>5.2</v>
      </c>
      <c r="F10" s="17">
        <v>5.6</v>
      </c>
    </row>
    <row r="11" spans="1:6" ht="16.5" customHeight="1"/>
    <row r="12" spans="1:6" ht="16.5" customHeight="1">
      <c r="F12" s="17" t="s">
        <v>156</v>
      </c>
    </row>
    <row r="13" spans="1:6" ht="16.5" customHeight="1">
      <c r="C13" s="1" t="s">
        <v>157</v>
      </c>
      <c r="D13" s="17">
        <v>2016</v>
      </c>
      <c r="E13" s="17">
        <v>2017</v>
      </c>
      <c r="F13" s="17">
        <v>2018</v>
      </c>
    </row>
    <row r="14" spans="1:6" ht="16.5" customHeight="1">
      <c r="C14" s="17" t="s">
        <v>158</v>
      </c>
      <c r="D14" s="17">
        <v>9424</v>
      </c>
      <c r="E14" s="17">
        <v>7003</v>
      </c>
      <c r="F14" s="17">
        <v>8126</v>
      </c>
    </row>
    <row r="15" spans="1:6" ht="16.5" customHeight="1">
      <c r="C15" s="17" t="s">
        <v>159</v>
      </c>
      <c r="D15" s="17">
        <v>118468</v>
      </c>
      <c r="E15" s="17">
        <v>131464</v>
      </c>
      <c r="F15" s="17">
        <v>131520</v>
      </c>
    </row>
    <row r="16" spans="1:6" ht="16.5" customHeight="1">
      <c r="C16" s="17" t="s">
        <v>160</v>
      </c>
      <c r="D16" s="17">
        <v>7038</v>
      </c>
      <c r="E16" s="17">
        <v>10210</v>
      </c>
      <c r="F16" s="17">
        <v>9450</v>
      </c>
    </row>
    <row r="17" spans="3:6" ht="16.5" customHeight="1">
      <c r="C17" s="17" t="s">
        <v>161</v>
      </c>
      <c r="D17" s="17">
        <v>1078119</v>
      </c>
      <c r="E17" s="17">
        <v>1118167</v>
      </c>
      <c r="F17" s="17">
        <v>1116281</v>
      </c>
    </row>
    <row r="18" spans="3:6" ht="16.5" customHeight="1">
      <c r="C18" s="17" t="s">
        <v>162</v>
      </c>
      <c r="D18" s="17">
        <v>334608</v>
      </c>
      <c r="E18" s="17">
        <v>314487</v>
      </c>
      <c r="F18" s="17">
        <v>341628</v>
      </c>
    </row>
    <row r="19" spans="3:6" ht="16.5" customHeight="1">
      <c r="C19" s="17" t="s">
        <v>152</v>
      </c>
      <c r="D19" s="17">
        <v>33453</v>
      </c>
      <c r="E19" s="17">
        <v>37537</v>
      </c>
      <c r="F19" s="17">
        <v>44015</v>
      </c>
    </row>
    <row r="20" spans="3:6" ht="16.5" customHeight="1">
      <c r="C20" s="17" t="s">
        <v>163</v>
      </c>
      <c r="D20" s="17">
        <v>752</v>
      </c>
      <c r="E20" s="17">
        <v>1012</v>
      </c>
      <c r="F20" s="17">
        <v>723</v>
      </c>
    </row>
    <row r="21" spans="3:6" ht="16.5" customHeight="1"/>
    <row r="22" spans="3:6" ht="16.5" customHeight="1">
      <c r="C22" s="1" t="s">
        <v>164</v>
      </c>
      <c r="D22" s="17">
        <v>2016</v>
      </c>
      <c r="E22" s="17">
        <v>2017</v>
      </c>
      <c r="F22" s="17">
        <v>2018</v>
      </c>
    </row>
    <row r="23" spans="3:6" ht="16.5" customHeight="1">
      <c r="C23" s="17" t="s">
        <v>162</v>
      </c>
      <c r="D23" s="17">
        <v>487716</v>
      </c>
      <c r="E23" s="17">
        <v>509113</v>
      </c>
      <c r="F23" s="17">
        <v>531563</v>
      </c>
    </row>
    <row r="24" spans="3:6" ht="16.5" customHeight="1"/>
    <row r="25" spans="3:6" ht="16.5" customHeight="1">
      <c r="F25" s="17" t="s">
        <v>165</v>
      </c>
    </row>
    <row r="26" spans="3:6" ht="16.5" customHeight="1">
      <c r="C26" s="1" t="s">
        <v>166</v>
      </c>
      <c r="D26" s="17">
        <v>2016</v>
      </c>
      <c r="E26" s="17">
        <v>2017</v>
      </c>
      <c r="F26" s="17">
        <v>2018</v>
      </c>
    </row>
    <row r="27" spans="3:6" ht="16.5" customHeight="1">
      <c r="C27" s="17" t="s">
        <v>158</v>
      </c>
      <c r="D27" s="17">
        <v>759</v>
      </c>
      <c r="E27" s="17">
        <v>933</v>
      </c>
      <c r="F27" s="17">
        <v>1199</v>
      </c>
    </row>
    <row r="28" spans="3:6" ht="16.5" customHeight="1">
      <c r="C28" s="17" t="s">
        <v>159</v>
      </c>
      <c r="D28" s="17">
        <v>8168</v>
      </c>
      <c r="E28" s="17">
        <v>13481</v>
      </c>
      <c r="F28" s="17">
        <v>14668</v>
      </c>
    </row>
    <row r="29" spans="3:6" ht="16.5" customHeight="1">
      <c r="C29" s="17" t="s">
        <v>160</v>
      </c>
      <c r="D29" s="17">
        <v>383</v>
      </c>
      <c r="E29" s="17">
        <v>765</v>
      </c>
      <c r="F29" s="17">
        <v>835</v>
      </c>
    </row>
    <row r="30" spans="3:6" ht="16.5" customHeight="1">
      <c r="C30" s="17" t="s">
        <v>161</v>
      </c>
      <c r="D30" s="17">
        <v>44295</v>
      </c>
      <c r="E30" s="17">
        <v>59603</v>
      </c>
      <c r="F30" s="17">
        <v>80393</v>
      </c>
    </row>
    <row r="31" spans="3:6" ht="16.5" customHeight="1">
      <c r="C31" s="17" t="s">
        <v>167</v>
      </c>
      <c r="D31" s="17">
        <v>8933</v>
      </c>
      <c r="E31" s="17">
        <v>10899</v>
      </c>
      <c r="F31" s="17">
        <v>15671</v>
      </c>
    </row>
    <row r="32" spans="3:6" ht="16.5" customHeight="1">
      <c r="C32" s="17" t="s">
        <v>168</v>
      </c>
      <c r="D32" s="17">
        <v>2576</v>
      </c>
      <c r="E32" s="17">
        <v>2959</v>
      </c>
      <c r="F32" s="17">
        <v>3665</v>
      </c>
    </row>
    <row r="33" spans="3:8" ht="16.5" customHeight="1">
      <c r="C33" s="17" t="s">
        <v>152</v>
      </c>
      <c r="D33" s="17">
        <v>12170</v>
      </c>
      <c r="E33" s="17">
        <v>15616</v>
      </c>
      <c r="F33" s="17">
        <v>23189</v>
      </c>
    </row>
    <row r="34" spans="3:8" ht="16.5" customHeight="1">
      <c r="C34" s="17" t="s">
        <v>163</v>
      </c>
      <c r="D34" s="17">
        <v>589</v>
      </c>
      <c r="E34" s="17">
        <v>991</v>
      </c>
      <c r="F34" s="17">
        <v>576</v>
      </c>
    </row>
    <row r="35" spans="3:8" ht="16.5" customHeight="1"/>
    <row r="36" spans="3:8" ht="16.5" customHeight="1">
      <c r="C36" s="1" t="s">
        <v>169</v>
      </c>
    </row>
    <row r="37" spans="3:8" ht="16.5" customHeight="1"/>
    <row r="38" spans="3:8" ht="16.5" customHeight="1">
      <c r="C38" s="1" t="s">
        <v>170</v>
      </c>
      <c r="D38" s="17">
        <v>2016</v>
      </c>
      <c r="E38" s="17">
        <v>2017</v>
      </c>
      <c r="F38" s="17">
        <v>2018</v>
      </c>
    </row>
    <row r="39" spans="3:8" ht="16.5" customHeight="1">
      <c r="C39" s="17" t="s">
        <v>158</v>
      </c>
      <c r="D39" s="17">
        <v>1373</v>
      </c>
      <c r="E39" s="17">
        <v>1244</v>
      </c>
      <c r="F39" s="17">
        <v>1099</v>
      </c>
      <c r="G39" s="17" t="s">
        <v>171</v>
      </c>
      <c r="H39" s="35" t="s">
        <v>172</v>
      </c>
    </row>
    <row r="40" spans="3:8" ht="16.5" customHeight="1">
      <c r="C40" s="17" t="s">
        <v>152</v>
      </c>
      <c r="D40" s="17">
        <v>118</v>
      </c>
      <c r="E40" s="17">
        <v>261</v>
      </c>
      <c r="F40" s="17">
        <v>234</v>
      </c>
      <c r="G40" s="17" t="s">
        <v>171</v>
      </c>
    </row>
    <row r="41" spans="3:8" ht="16.5" customHeight="1">
      <c r="C41" s="17" t="s">
        <v>153</v>
      </c>
      <c r="D41" s="17">
        <v>6634</v>
      </c>
      <c r="E41" s="17">
        <v>6995</v>
      </c>
      <c r="F41" s="17">
        <v>7270</v>
      </c>
      <c r="G41" s="17" t="s">
        <v>173</v>
      </c>
    </row>
    <row r="42" spans="3:8" ht="16.5" customHeight="1">
      <c r="C42" s="17" t="s">
        <v>155</v>
      </c>
      <c r="D42" s="17">
        <v>13575</v>
      </c>
      <c r="E42" s="17">
        <v>15848</v>
      </c>
      <c r="F42" s="17">
        <v>17119</v>
      </c>
      <c r="G42" s="17" t="s">
        <v>174</v>
      </c>
    </row>
    <row r="43" spans="3:8" ht="16.5" customHeight="1"/>
    <row r="44" spans="3:8" ht="16.5" customHeight="1"/>
    <row r="45" spans="3:8" ht="16.5" customHeight="1">
      <c r="C45" s="1" t="s">
        <v>175</v>
      </c>
      <c r="D45" s="17">
        <v>2016</v>
      </c>
      <c r="E45" s="17">
        <v>2017</v>
      </c>
      <c r="F45" s="17">
        <v>2018</v>
      </c>
    </row>
    <row r="46" spans="3:8" ht="16.5" customHeight="1">
      <c r="C46" s="17" t="s">
        <v>150</v>
      </c>
      <c r="D46" s="17">
        <v>127936</v>
      </c>
      <c r="E46" s="17">
        <v>138506</v>
      </c>
      <c r="F46" s="17">
        <v>139876</v>
      </c>
      <c r="G46" s="17" t="s">
        <v>171</v>
      </c>
    </row>
    <row r="47" spans="3:8" ht="16.5" customHeight="1">
      <c r="C47" s="17" t="s">
        <v>151</v>
      </c>
      <c r="D47" s="17">
        <v>921082</v>
      </c>
      <c r="E47" s="17">
        <v>937095</v>
      </c>
      <c r="F47" s="17">
        <v>931787</v>
      </c>
      <c r="G47" s="17" t="s">
        <v>176</v>
      </c>
    </row>
    <row r="48" spans="3:8" ht="16.5" customHeight="1">
      <c r="C48" s="17" t="s">
        <v>154</v>
      </c>
      <c r="D48" s="17">
        <v>161995</v>
      </c>
      <c r="E48" s="17">
        <v>148427</v>
      </c>
      <c r="F48" s="17">
        <v>133505</v>
      </c>
      <c r="G48" s="17" t="s">
        <v>173</v>
      </c>
    </row>
    <row r="49" spans="3:7" ht="16.5" customHeight="1">
      <c r="C49" s="17" t="s">
        <v>152</v>
      </c>
      <c r="D49" s="17">
        <v>34788</v>
      </c>
      <c r="E49" s="17">
        <v>36138</v>
      </c>
      <c r="F49" s="17">
        <v>42051</v>
      </c>
      <c r="G49" s="17" t="s">
        <v>171</v>
      </c>
    </row>
    <row r="50" spans="3:7" ht="16.5" customHeight="1"/>
    <row r="51" spans="3:7" ht="16.5" customHeight="1"/>
    <row r="52" spans="3:7" ht="16.5" customHeight="1"/>
    <row r="53" spans="3:7" ht="16.5" customHeight="1"/>
    <row r="54" spans="3:7" ht="16.5" customHeight="1"/>
    <row r="55" spans="3:7" ht="16.5" customHeight="1"/>
    <row r="56" spans="3:7" ht="16.5" customHeight="1"/>
    <row r="57" spans="3:7" ht="16.5" customHeight="1"/>
    <row r="58" spans="3:7" ht="16.5" customHeight="1"/>
    <row r="59" spans="3:7" ht="16.5" customHeight="1"/>
    <row r="60" spans="3:7" ht="16.5" customHeight="1"/>
    <row r="61" spans="3:7" ht="16.5" customHeight="1"/>
    <row r="62" spans="3:7" ht="16.5" customHeight="1"/>
    <row r="63" spans="3:7" ht="16.5" customHeight="1"/>
    <row r="64" spans="3: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00"/>
  <sheetViews>
    <sheetView workbookViewId="0">
      <selection activeCell="B50" sqref="B50"/>
    </sheetView>
  </sheetViews>
  <sheetFormatPr defaultColWidth="14.453125" defaultRowHeight="15" customHeight="1"/>
  <cols>
    <col min="1" max="1" width="32.54296875" customWidth="1"/>
    <col min="2" max="34" width="9" customWidth="1"/>
  </cols>
  <sheetData>
    <row r="1" spans="1:34" ht="16.5" customHeight="1">
      <c r="A1" s="17" t="s">
        <v>177</v>
      </c>
      <c r="B1" s="17">
        <v>2020</v>
      </c>
      <c r="C1" s="17">
        <v>2021</v>
      </c>
      <c r="D1" s="17">
        <v>2022</v>
      </c>
      <c r="E1" s="17">
        <v>2023</v>
      </c>
      <c r="F1" s="17">
        <v>2024</v>
      </c>
      <c r="G1" s="17">
        <v>2025</v>
      </c>
      <c r="H1" s="17">
        <v>2026</v>
      </c>
      <c r="I1" s="17">
        <v>2027</v>
      </c>
      <c r="J1" s="17">
        <v>2028</v>
      </c>
      <c r="K1" s="17">
        <v>2029</v>
      </c>
      <c r="L1" s="17">
        <v>2030</v>
      </c>
      <c r="M1" s="17">
        <v>2031</v>
      </c>
      <c r="N1" s="17">
        <v>2032</v>
      </c>
      <c r="O1" s="17">
        <v>2033</v>
      </c>
      <c r="P1" s="17">
        <v>2034</v>
      </c>
      <c r="Q1" s="17">
        <v>2035</v>
      </c>
      <c r="R1" s="17">
        <v>2036</v>
      </c>
      <c r="S1" s="17">
        <v>2037</v>
      </c>
      <c r="T1" s="17">
        <v>2038</v>
      </c>
      <c r="U1" s="17">
        <v>2039</v>
      </c>
      <c r="V1" s="17">
        <v>2040</v>
      </c>
      <c r="W1" s="17">
        <v>2041</v>
      </c>
      <c r="X1" s="17">
        <v>2042</v>
      </c>
      <c r="Y1" s="17">
        <v>2043</v>
      </c>
      <c r="Z1" s="17">
        <v>2044</v>
      </c>
      <c r="AA1" s="17">
        <v>2045</v>
      </c>
      <c r="AB1" s="17">
        <v>2046</v>
      </c>
      <c r="AC1" s="17">
        <v>2047</v>
      </c>
      <c r="AD1" s="17">
        <v>2048</v>
      </c>
      <c r="AE1" s="17">
        <v>2049</v>
      </c>
      <c r="AF1" s="17">
        <v>2050</v>
      </c>
    </row>
    <row r="2" spans="1:34" ht="16.5" customHeight="1">
      <c r="A2" s="17" t="s">
        <v>178</v>
      </c>
      <c r="B2" s="38">
        <v>0</v>
      </c>
      <c r="C2" s="38">
        <v>0</v>
      </c>
      <c r="D2" s="38">
        <v>0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0</v>
      </c>
      <c r="N2" s="38">
        <v>0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0</v>
      </c>
      <c r="W2" s="38">
        <v>0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/>
      <c r="AH2" s="38"/>
    </row>
    <row r="3" spans="1:34" ht="16.5" customHeight="1">
      <c r="A3" s="17" t="s">
        <v>179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/>
      <c r="AH3" s="38"/>
    </row>
    <row r="4" spans="1:34" ht="16.5" customHeight="1">
      <c r="A4" s="17" t="s">
        <v>180</v>
      </c>
      <c r="B4" s="38">
        <v>0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/>
      <c r="AH4" s="38"/>
    </row>
    <row r="5" spans="1:34" ht="16.5" customHeight="1">
      <c r="A5" s="17" t="s">
        <v>181</v>
      </c>
      <c r="B5" s="38">
        <f>IFERROR(INDEX('Cal-CAPEX (정리)'!$B$69:$AF$73,MATCH(BSpUECB_세액공제액!$A5,'Cal-CAPEX (정리)'!$A$69:$A$73,0),MATCH(BSpUECB_세액공제액!B$1,'Cal-CAPEX (정리)'!$B$68:$AF$68,0))*About!$B$93*'Cal-CAPEX (정리)'!$B$79/10,0)</f>
        <v>5127.8670000000002</v>
      </c>
      <c r="C5" s="38">
        <f>IFERROR(INDEX('Cal-CAPEX (정리)'!$B$69:$AF$73,MATCH(BSpUECB_세액공제액!$A5,'Cal-CAPEX (정리)'!$A$69:$A$73,0),MATCH(BSpUECB_세액공제액!C$1,'Cal-CAPEX (정리)'!$B$68:$AF$68,0))*About!$B$93*'Cal-CAPEX (정리)'!$B$79/10,0)</f>
        <v>5127.8670000000002</v>
      </c>
      <c r="D5" s="38">
        <f>IFERROR(INDEX('Cal-CAPEX (정리)'!$B$69:$AF$73,MATCH(BSpUECB_세액공제액!$A5,'Cal-CAPEX (정리)'!$A$69:$A$73,0),MATCH(BSpUECB_세액공제액!D$1,'Cal-CAPEX (정리)'!$B$68:$AF$68,0))*About!$B$93*'Cal-CAPEX (정리)'!$B$79/10,0)</f>
        <v>5127.8670000000002</v>
      </c>
      <c r="E5" s="38">
        <f>IFERROR(INDEX('Cal-CAPEX (정리)'!$B$69:$AF$73,MATCH(BSpUECB_세액공제액!$A5,'Cal-CAPEX (정리)'!$A$69:$A$73,0),MATCH(BSpUECB_세액공제액!E$1,'Cal-CAPEX (정리)'!$B$68:$AF$68,0))*About!$B$93*'Cal-CAPEX (정리)'!$B$79/10,0)</f>
        <v>5127.8670000000002</v>
      </c>
      <c r="F5" s="38">
        <f>IFERROR(INDEX('Cal-CAPEX (정리)'!$B$69:$AF$73,MATCH(BSpUECB_세액공제액!$A5,'Cal-CAPEX (정리)'!$A$69:$A$73,0),MATCH(BSpUECB_세액공제액!F$1,'Cal-CAPEX (정리)'!$B$68:$AF$68,0))*About!$B$93*'Cal-CAPEX (정리)'!$B$79/10,0)</f>
        <v>5127.8670000000002</v>
      </c>
      <c r="G5" s="38">
        <f>IFERROR(INDEX('Cal-CAPEX (정리)'!$B$69:$AF$73,MATCH(BSpUECB_세액공제액!$A5,'Cal-CAPEX (정리)'!$A$69:$A$73,0),MATCH(BSpUECB_세액공제액!G$1,'Cal-CAPEX (정리)'!$B$68:$AF$68,0))*About!$B$93*'Cal-CAPEX (정리)'!$B$79/10,0)</f>
        <v>5127.8670000000002</v>
      </c>
      <c r="H5" s="38">
        <f>IFERROR(INDEX('Cal-CAPEX (정리)'!$B$69:$AF$73,MATCH(BSpUECB_세액공제액!$A5,'Cal-CAPEX (정리)'!$A$69:$A$73,0),MATCH(BSpUECB_세액공제액!H$1,'Cal-CAPEX (정리)'!$B$68:$AF$68,0))*About!$B$93*'Cal-CAPEX (정리)'!$B$79/10,0)</f>
        <v>5127.8670000000002</v>
      </c>
      <c r="I5" s="38">
        <f>IFERROR(INDEX('Cal-CAPEX (정리)'!$B$69:$AF$73,MATCH(BSpUECB_세액공제액!$A5,'Cal-CAPEX (정리)'!$A$69:$A$73,0),MATCH(BSpUECB_세액공제액!I$1,'Cal-CAPEX (정리)'!$B$68:$AF$68,0))*About!$B$93*'Cal-CAPEX (정리)'!$B$79/10,0)</f>
        <v>5127.8670000000002</v>
      </c>
      <c r="J5" s="38">
        <f>IFERROR(INDEX('Cal-CAPEX (정리)'!$B$69:$AF$73,MATCH(BSpUECB_세액공제액!$A5,'Cal-CAPEX (정리)'!$A$69:$A$73,0),MATCH(BSpUECB_세액공제액!J$1,'Cal-CAPEX (정리)'!$B$68:$AF$68,0))*About!$B$93*'Cal-CAPEX (정리)'!$B$79/10,0)</f>
        <v>5127.8670000000002</v>
      </c>
      <c r="K5" s="38">
        <f>IFERROR(INDEX('Cal-CAPEX (정리)'!$B$69:$AF$73,MATCH(BSpUECB_세액공제액!$A5,'Cal-CAPEX (정리)'!$A$69:$A$73,0),MATCH(BSpUECB_세액공제액!K$1,'Cal-CAPEX (정리)'!$B$68:$AF$68,0))*About!$B$93*'Cal-CAPEX (정리)'!$B$79/10,0)</f>
        <v>5127.8670000000002</v>
      </c>
      <c r="L5" s="38">
        <f>IFERROR(INDEX('Cal-CAPEX (정리)'!$B$69:$AF$73,MATCH(BSpUECB_세액공제액!$A5,'Cal-CAPEX (정리)'!$A$69:$A$73,0),MATCH(BSpUECB_세액공제액!L$1,'Cal-CAPEX (정리)'!$B$68:$AF$68,0))*About!$B$93*'Cal-CAPEX (정리)'!$B$79/10,0)</f>
        <v>5127.8670000000002</v>
      </c>
      <c r="M5" s="38">
        <f>IFERROR(INDEX('Cal-CAPEX (정리)'!$B$69:$AF$73,MATCH(BSpUECB_세액공제액!$A5,'Cal-CAPEX (정리)'!$A$69:$A$73,0),MATCH(BSpUECB_세액공제액!M$1,'Cal-CAPEX (정리)'!$B$68:$AF$68,0))*About!$B$93*'Cal-CAPEX (정리)'!$B$79/10,0)</f>
        <v>5127.8670000000002</v>
      </c>
      <c r="N5" s="38">
        <f>IFERROR(INDEX('Cal-CAPEX (정리)'!$B$69:$AF$73,MATCH(BSpUECB_세액공제액!$A5,'Cal-CAPEX (정리)'!$A$69:$A$73,0),MATCH(BSpUECB_세액공제액!N$1,'Cal-CAPEX (정리)'!$B$68:$AF$68,0))*About!$B$93*'Cal-CAPEX (정리)'!$B$79/10,0)</f>
        <v>5127.8670000000002</v>
      </c>
      <c r="O5" s="38">
        <f>IFERROR(INDEX('Cal-CAPEX (정리)'!$B$69:$AF$73,MATCH(BSpUECB_세액공제액!$A5,'Cal-CAPEX (정리)'!$A$69:$A$73,0),MATCH(BSpUECB_세액공제액!O$1,'Cal-CAPEX (정리)'!$B$68:$AF$68,0))*About!$B$93*'Cal-CAPEX (정리)'!$B$79/10,0)</f>
        <v>5127.8670000000002</v>
      </c>
      <c r="P5" s="38">
        <f>IFERROR(INDEX('Cal-CAPEX (정리)'!$B$69:$AF$73,MATCH(BSpUECB_세액공제액!$A5,'Cal-CAPEX (정리)'!$A$69:$A$73,0),MATCH(BSpUECB_세액공제액!P$1,'Cal-CAPEX (정리)'!$B$68:$AF$68,0))*About!$B$93*'Cal-CAPEX (정리)'!$B$79/10,0)</f>
        <v>5127.8670000000002</v>
      </c>
      <c r="Q5" s="38">
        <f>IFERROR(INDEX('Cal-CAPEX (정리)'!$B$69:$AF$73,MATCH(BSpUECB_세액공제액!$A5,'Cal-CAPEX (정리)'!$A$69:$A$73,0),MATCH(BSpUECB_세액공제액!Q$1,'Cal-CAPEX (정리)'!$B$68:$AF$68,0))*About!$B$93*'Cal-CAPEX (정리)'!$B$79/10,0)</f>
        <v>5127.8670000000002</v>
      </c>
      <c r="R5" s="38">
        <f>IFERROR(INDEX('Cal-CAPEX (정리)'!$B$69:$AF$73,MATCH(BSpUECB_세액공제액!$A5,'Cal-CAPEX (정리)'!$A$69:$A$73,0),MATCH(BSpUECB_세액공제액!R$1,'Cal-CAPEX (정리)'!$B$68:$AF$68,0))*About!$B$93*'Cal-CAPEX (정리)'!$B$79/10,0)</f>
        <v>5127.8670000000002</v>
      </c>
      <c r="S5" s="38">
        <f>IFERROR(INDEX('Cal-CAPEX (정리)'!$B$69:$AF$73,MATCH(BSpUECB_세액공제액!$A5,'Cal-CAPEX (정리)'!$A$69:$A$73,0),MATCH(BSpUECB_세액공제액!S$1,'Cal-CAPEX (정리)'!$B$68:$AF$68,0))*About!$B$93*'Cal-CAPEX (정리)'!$B$79/10,0)</f>
        <v>5127.8670000000002</v>
      </c>
      <c r="T5" s="38">
        <f>IFERROR(INDEX('Cal-CAPEX (정리)'!$B$69:$AF$73,MATCH(BSpUECB_세액공제액!$A5,'Cal-CAPEX (정리)'!$A$69:$A$73,0),MATCH(BSpUECB_세액공제액!T$1,'Cal-CAPEX (정리)'!$B$68:$AF$68,0))*About!$B$93*'Cal-CAPEX (정리)'!$B$79/10,0)</f>
        <v>5127.8670000000002</v>
      </c>
      <c r="U5" s="38">
        <f>IFERROR(INDEX('Cal-CAPEX (정리)'!$B$69:$AF$73,MATCH(BSpUECB_세액공제액!$A5,'Cal-CAPEX (정리)'!$A$69:$A$73,0),MATCH(BSpUECB_세액공제액!U$1,'Cal-CAPEX (정리)'!$B$68:$AF$68,0))*About!$B$93*'Cal-CAPEX (정리)'!$B$79/10,0)</f>
        <v>5127.8670000000002</v>
      </c>
      <c r="V5" s="38">
        <f>IFERROR(INDEX('Cal-CAPEX (정리)'!$B$69:$AF$73,MATCH(BSpUECB_세액공제액!$A5,'Cal-CAPEX (정리)'!$A$69:$A$73,0),MATCH(BSpUECB_세액공제액!V$1,'Cal-CAPEX (정리)'!$B$68:$AF$68,0))*About!$B$93*'Cal-CAPEX (정리)'!$B$79/10,0)</f>
        <v>5127.8670000000002</v>
      </c>
      <c r="W5" s="38">
        <f>IFERROR(INDEX('Cal-CAPEX (정리)'!$B$69:$AF$73,MATCH(BSpUECB_세액공제액!$A5,'Cal-CAPEX (정리)'!$A$69:$A$73,0),MATCH(BSpUECB_세액공제액!W$1,'Cal-CAPEX (정리)'!$B$68:$AF$68,0))*About!$B$93*'Cal-CAPEX (정리)'!$B$79/10,0)</f>
        <v>5127.8670000000002</v>
      </c>
      <c r="X5" s="38">
        <f>IFERROR(INDEX('Cal-CAPEX (정리)'!$B$69:$AF$73,MATCH(BSpUECB_세액공제액!$A5,'Cal-CAPEX (정리)'!$A$69:$A$73,0),MATCH(BSpUECB_세액공제액!X$1,'Cal-CAPEX (정리)'!$B$68:$AF$68,0))*About!$B$93*'Cal-CAPEX (정리)'!$B$79/10,0)</f>
        <v>5127.8670000000002</v>
      </c>
      <c r="Y5" s="38">
        <f>IFERROR(INDEX('Cal-CAPEX (정리)'!$B$69:$AF$73,MATCH(BSpUECB_세액공제액!$A5,'Cal-CAPEX (정리)'!$A$69:$A$73,0),MATCH(BSpUECB_세액공제액!Y$1,'Cal-CAPEX (정리)'!$B$68:$AF$68,0))*About!$B$93*'Cal-CAPEX (정리)'!$B$79/10,0)</f>
        <v>5127.8670000000002</v>
      </c>
      <c r="Z5" s="38">
        <f>IFERROR(INDEX('Cal-CAPEX (정리)'!$B$69:$AF$73,MATCH(BSpUECB_세액공제액!$A5,'Cal-CAPEX (정리)'!$A$69:$A$73,0),MATCH(BSpUECB_세액공제액!Z$1,'Cal-CAPEX (정리)'!$B$68:$AF$68,0))*About!$B$93*'Cal-CAPEX (정리)'!$B$79/10,0)</f>
        <v>5127.8670000000002</v>
      </c>
      <c r="AA5" s="38">
        <f>IFERROR(INDEX('Cal-CAPEX (정리)'!$B$69:$AF$73,MATCH(BSpUECB_세액공제액!$A5,'Cal-CAPEX (정리)'!$A$69:$A$73,0),MATCH(BSpUECB_세액공제액!AA$1,'Cal-CAPEX (정리)'!$B$68:$AF$68,0))*About!$B$93*'Cal-CAPEX (정리)'!$B$79/10,0)</f>
        <v>5127.8670000000002</v>
      </c>
      <c r="AB5" s="38">
        <f>IFERROR(INDEX('Cal-CAPEX (정리)'!$B$69:$AF$73,MATCH(BSpUECB_세액공제액!$A5,'Cal-CAPEX (정리)'!$A$69:$A$73,0),MATCH(BSpUECB_세액공제액!AB$1,'Cal-CAPEX (정리)'!$B$68:$AF$68,0))*About!$B$93*'Cal-CAPEX (정리)'!$B$79/10,0)</f>
        <v>5127.8670000000002</v>
      </c>
      <c r="AC5" s="38">
        <f>IFERROR(INDEX('Cal-CAPEX (정리)'!$B$69:$AF$73,MATCH(BSpUECB_세액공제액!$A5,'Cal-CAPEX (정리)'!$A$69:$A$73,0),MATCH(BSpUECB_세액공제액!AC$1,'Cal-CAPEX (정리)'!$B$68:$AF$68,0))*About!$B$93*'Cal-CAPEX (정리)'!$B$79/10,0)</f>
        <v>5127.8670000000002</v>
      </c>
      <c r="AD5" s="38">
        <f>IFERROR(INDEX('Cal-CAPEX (정리)'!$B$69:$AF$73,MATCH(BSpUECB_세액공제액!$A5,'Cal-CAPEX (정리)'!$A$69:$A$73,0),MATCH(BSpUECB_세액공제액!AD$1,'Cal-CAPEX (정리)'!$B$68:$AF$68,0))*About!$B$93*'Cal-CAPEX (정리)'!$B$79/10,0)</f>
        <v>5127.8670000000002</v>
      </c>
      <c r="AE5" s="38">
        <f>IFERROR(INDEX('Cal-CAPEX (정리)'!$B$69:$AF$73,MATCH(BSpUECB_세액공제액!$A5,'Cal-CAPEX (정리)'!$A$69:$A$73,0),MATCH(BSpUECB_세액공제액!AE$1,'Cal-CAPEX (정리)'!$B$68:$AF$68,0))*About!$B$93*'Cal-CAPEX (정리)'!$B$79/10,0)</f>
        <v>5127.8670000000002</v>
      </c>
      <c r="AF5" s="38">
        <f>IFERROR(INDEX('Cal-CAPEX (정리)'!$B$69:$AF$73,MATCH(BSpUECB_세액공제액!$A5,'Cal-CAPEX (정리)'!$A$69:$A$73,0),MATCH(BSpUECB_세액공제액!AF$1,'Cal-CAPEX (정리)'!$B$68:$AF$68,0))*About!$B$93*'Cal-CAPEX (정리)'!$B$79/10,0)</f>
        <v>5127.8670000000002</v>
      </c>
      <c r="AG5" s="38"/>
      <c r="AH5" s="38"/>
    </row>
    <row r="6" spans="1:34" ht="16.5" customHeight="1">
      <c r="A6" s="17" t="s">
        <v>182</v>
      </c>
      <c r="B6" s="38">
        <f>IFERROR(INDEX('Cal-CAPEX (정리)'!$B$69:$AF$73,MATCH(BSpUECB_세액공제액!$A6,'Cal-CAPEX (정리)'!$A$69:$A$73,0),MATCH(BSpUECB_세액공제액!B$1,'Cal-CAPEX (정리)'!$B$68:$AF$68,0))*About!$B$93*'Cal-CAPEX (정리)'!$B$79/10,0)</f>
        <v>6715.1781911117414</v>
      </c>
      <c r="C6" s="38">
        <f>IFERROR(INDEX('Cal-CAPEX (정리)'!$B$69:$AF$73,MATCH(BSpUECB_세액공제액!$A6,'Cal-CAPEX (정리)'!$A$69:$A$73,0),MATCH(BSpUECB_세액공제액!C$1,'Cal-CAPEX (정리)'!$B$68:$AF$68,0))*About!$B$93*'Cal-CAPEX (정리)'!$B$79/10,0)</f>
        <v>6607.358370012761</v>
      </c>
      <c r="D6" s="38">
        <f>IFERROR(INDEX('Cal-CAPEX (정리)'!$B$69:$AF$73,MATCH(BSpUECB_세액공제액!$A6,'Cal-CAPEX (정리)'!$A$69:$A$73,0),MATCH(BSpUECB_세액공제액!D$1,'Cal-CAPEX (정리)'!$B$68:$AF$68,0))*About!$B$93*'Cal-CAPEX (정리)'!$B$79/10,0)</f>
        <v>6499.5385489137989</v>
      </c>
      <c r="E6" s="38">
        <f>IFERROR(INDEX('Cal-CAPEX (정리)'!$B$69:$AF$73,MATCH(BSpUECB_세액공제액!$A6,'Cal-CAPEX (정리)'!$A$69:$A$73,0),MATCH(BSpUECB_세액공제액!E$1,'Cal-CAPEX (정리)'!$B$68:$AF$68,0))*About!$B$93*'Cal-CAPEX (정리)'!$B$79/10,0)</f>
        <v>6391.718727814834</v>
      </c>
      <c r="F6" s="38">
        <f>IFERROR(INDEX('Cal-CAPEX (정리)'!$B$69:$AF$73,MATCH(BSpUECB_세액공제액!$A6,'Cal-CAPEX (정리)'!$A$69:$A$73,0),MATCH(BSpUECB_세액공제액!F$1,'Cal-CAPEX (정리)'!$B$68:$AF$68,0))*About!$B$93*'Cal-CAPEX (정리)'!$B$79/10,0)</f>
        <v>6283.8989067158709</v>
      </c>
      <c r="G6" s="38">
        <f>IFERROR(INDEX('Cal-CAPEX (정리)'!$B$69:$AF$73,MATCH(BSpUECB_세액공제액!$A6,'Cal-CAPEX (정리)'!$A$69:$A$73,0),MATCH(BSpUECB_세액공제액!G$1,'Cal-CAPEX (정리)'!$B$68:$AF$68,0))*About!$B$93*'Cal-CAPEX (정리)'!$B$79/10,0)</f>
        <v>6176.0790856169233</v>
      </c>
      <c r="H6" s="38">
        <f>IFERROR(INDEX('Cal-CAPEX (정리)'!$B$69:$AF$73,MATCH(BSpUECB_세액공제액!$A6,'Cal-CAPEX (정리)'!$A$69:$A$73,0),MATCH(BSpUECB_세액공제액!H$1,'Cal-CAPEX (정리)'!$B$68:$AF$68,0))*About!$B$93*'Cal-CAPEX (정리)'!$B$79/10,0)</f>
        <v>6113.5169672014799</v>
      </c>
      <c r="I6" s="38">
        <f>IFERROR(INDEX('Cal-CAPEX (정리)'!$B$69:$AF$73,MATCH(BSpUECB_세액공제액!$A6,'Cal-CAPEX (정리)'!$A$69:$A$73,0),MATCH(BSpUECB_세액공제액!I$1,'Cal-CAPEX (정리)'!$B$68:$AF$68,0))*About!$B$93*'Cal-CAPEX (정리)'!$B$79/10,0)</f>
        <v>6050.954848786032</v>
      </c>
      <c r="J6" s="38">
        <f>IFERROR(INDEX('Cal-CAPEX (정리)'!$B$69:$AF$73,MATCH(BSpUECB_세액공제액!$A6,'Cal-CAPEX (정리)'!$A$69:$A$73,0),MATCH(BSpUECB_세액공제액!J$1,'Cal-CAPEX (정리)'!$B$68:$AF$68,0))*About!$B$93*'Cal-CAPEX (정리)'!$B$79/10,0)</f>
        <v>5988.3927303705841</v>
      </c>
      <c r="K6" s="38">
        <f>IFERROR(INDEX('Cal-CAPEX (정리)'!$B$69:$AF$73,MATCH(BSpUECB_세액공제액!$A6,'Cal-CAPEX (정리)'!$A$69:$A$73,0),MATCH(BSpUECB_세액공제액!K$1,'Cal-CAPEX (정리)'!$B$68:$AF$68,0))*About!$B$93*'Cal-CAPEX (정리)'!$B$79/10,0)</f>
        <v>5925.8306119551362</v>
      </c>
      <c r="L6" s="38">
        <f>IFERROR(INDEX('Cal-CAPEX (정리)'!$B$69:$AF$73,MATCH(BSpUECB_세액공제액!$A6,'Cal-CAPEX (정리)'!$A$69:$A$73,0),MATCH(BSpUECB_세액공제액!L$1,'Cal-CAPEX (정리)'!$B$68:$AF$68,0))*About!$B$93*'Cal-CAPEX (정리)'!$B$79/10,0)</f>
        <v>5863.2684935396846</v>
      </c>
      <c r="M6" s="38">
        <f>IFERROR(INDEX('Cal-CAPEX (정리)'!$B$69:$AF$73,MATCH(BSpUECB_세액공제액!$A6,'Cal-CAPEX (정리)'!$A$69:$A$73,0),MATCH(BSpUECB_세액공제액!M$1,'Cal-CAPEX (정리)'!$B$68:$AF$68,0))*About!$B$93*'Cal-CAPEX (정리)'!$B$79/10,0)</f>
        <v>5791.7627576550676</v>
      </c>
      <c r="N6" s="38">
        <f>IFERROR(INDEX('Cal-CAPEX (정리)'!$B$69:$AF$73,MATCH(BSpUECB_세액공제액!$A6,'Cal-CAPEX (정리)'!$A$69:$A$73,0),MATCH(BSpUECB_세액공제액!N$1,'Cal-CAPEX (정리)'!$B$68:$AF$68,0))*About!$B$93*'Cal-CAPEX (정리)'!$B$79/10,0)</f>
        <v>5721.129072959995</v>
      </c>
      <c r="O6" s="38">
        <f>IFERROR(INDEX('Cal-CAPEX (정리)'!$B$69:$AF$73,MATCH(BSpUECB_세액공제액!$A6,'Cal-CAPEX (정리)'!$A$69:$A$73,0),MATCH(BSpUECB_세액공제액!O$1,'Cal-CAPEX (정리)'!$B$68:$AF$68,0))*About!$B$93*'Cal-CAPEX (정리)'!$B$79/10,0)</f>
        <v>5651.3568043177493</v>
      </c>
      <c r="P6" s="38">
        <f>IFERROR(INDEX('Cal-CAPEX (정리)'!$B$69:$AF$73,MATCH(BSpUECB_세액공제액!$A6,'Cal-CAPEX (정리)'!$A$69:$A$73,0),MATCH(BSpUECB_세액공제액!P$1,'Cal-CAPEX (정리)'!$B$68:$AF$68,0))*About!$B$93*'Cal-CAPEX (정리)'!$B$79/10,0)</f>
        <v>5582.435446292865</v>
      </c>
      <c r="Q6" s="38">
        <f>IFERROR(INDEX('Cal-CAPEX (정리)'!$B$69:$AF$73,MATCH(BSpUECB_세액공제액!$A6,'Cal-CAPEX (정리)'!$A$69:$A$73,0),MATCH(BSpUECB_세액공제액!Q$1,'Cal-CAPEX (정리)'!$B$68:$AF$68,0))*About!$B$93*'Cal-CAPEX (정리)'!$B$79/10,0)</f>
        <v>5514.3546215693577</v>
      </c>
      <c r="R6" s="38">
        <f>IFERROR(INDEX('Cal-CAPEX (정리)'!$B$69:$AF$73,MATCH(BSpUECB_세액공제액!$A6,'Cal-CAPEX (정리)'!$A$69:$A$73,0),MATCH(BSpUECB_세액공제액!R$1,'Cal-CAPEX (정리)'!$B$68:$AF$68,0))*About!$B$93*'Cal-CAPEX (정리)'!$B$79/10,0)</f>
        <v>5447.1040793882339</v>
      </c>
      <c r="S6" s="38">
        <f>IFERROR(INDEX('Cal-CAPEX (정리)'!$B$69:$AF$73,MATCH(BSpUECB_세액공제액!$A6,'Cal-CAPEX (정리)'!$A$69:$A$73,0),MATCH(BSpUECB_세액공제액!S$1,'Cal-CAPEX (정리)'!$B$68:$AF$68,0))*About!$B$93*'Cal-CAPEX (정리)'!$B$79/10,0)</f>
        <v>5380.6736940040564</v>
      </c>
      <c r="T6" s="38">
        <f>IFERROR(INDEX('Cal-CAPEX (정리)'!$B$69:$AF$73,MATCH(BSpUECB_세액공제액!$A6,'Cal-CAPEX (정리)'!$A$69:$A$73,0),MATCH(BSpUECB_세액공제액!T$1,'Cal-CAPEX (정리)'!$B$68:$AF$68,0))*About!$B$93*'Cal-CAPEX (정리)'!$B$79/10,0)</f>
        <v>5315.0534631603423</v>
      </c>
      <c r="U6" s="38">
        <f>IFERROR(INDEX('Cal-CAPEX (정리)'!$B$69:$AF$73,MATCH(BSpUECB_세액공제액!$A6,'Cal-CAPEX (정리)'!$A$69:$A$73,0),MATCH(BSpUECB_세액공제액!U$1,'Cal-CAPEX (정리)'!$B$68:$AF$68,0))*About!$B$93*'Cal-CAPEX (정리)'!$B$79/10,0)</f>
        <v>5250.2335065835432</v>
      </c>
      <c r="V6" s="38">
        <f>IFERROR(INDEX('Cal-CAPEX (정리)'!$B$69:$AF$73,MATCH(BSpUECB_세액공제액!$A6,'Cal-CAPEX (정리)'!$A$69:$A$73,0),MATCH(BSpUECB_세액공제액!V$1,'Cal-CAPEX (정리)'!$B$68:$AF$68,0))*About!$B$93*'Cal-CAPEX (정리)'!$B$79/10,0)</f>
        <v>5186.2040644954031</v>
      </c>
      <c r="W6" s="38">
        <f>IFERROR(INDEX('Cal-CAPEX (정리)'!$B$69:$AF$73,MATCH(BSpUECB_세액공제액!$A6,'Cal-CAPEX (정리)'!$A$69:$A$73,0),MATCH(BSpUECB_세액공제액!W$1,'Cal-CAPEX (정리)'!$B$68:$AF$68,0))*About!$B$93*'Cal-CAPEX (정리)'!$B$79/10,0)</f>
        <v>5122.9554961434451</v>
      </c>
      <c r="X6" s="38">
        <f>IFERROR(INDEX('Cal-CAPEX (정리)'!$B$69:$AF$73,MATCH(BSpUECB_세액공제액!$A6,'Cal-CAPEX (정리)'!$A$69:$A$73,0),MATCH(BSpUECB_세액공제액!X$1,'Cal-CAPEX (정리)'!$B$68:$AF$68,0))*About!$B$93*'Cal-CAPEX (정리)'!$B$79/10,0)</f>
        <v>5060.4782783493938</v>
      </c>
      <c r="Y6" s="38">
        <f>IFERROR(INDEX('Cal-CAPEX (정리)'!$B$69:$AF$73,MATCH(BSpUECB_세액공제액!$A6,'Cal-CAPEX (정리)'!$A$69:$A$73,0),MATCH(BSpUECB_세액공제액!Y$1,'Cal-CAPEX (정리)'!$B$68:$AF$68,0))*About!$B$93*'Cal-CAPEX (정리)'!$B$79/10,0)</f>
        <v>4998.7630040752947</v>
      </c>
      <c r="Z6" s="38">
        <f>IFERROR(INDEX('Cal-CAPEX (정리)'!$B$69:$AF$73,MATCH(BSpUECB_세액공제액!$A6,'Cal-CAPEX (정리)'!$A$69:$A$73,0),MATCH(BSpUECB_세액공제액!Z$1,'Cal-CAPEX (정리)'!$B$68:$AF$68,0))*About!$B$93*'Cal-CAPEX (정리)'!$B$79/10,0)</f>
        <v>4937.800381007115</v>
      </c>
      <c r="AA6" s="38">
        <f>IFERROR(INDEX('Cal-CAPEX (정리)'!$B$69:$AF$73,MATCH(BSpUECB_세액공제액!$A6,'Cal-CAPEX (정리)'!$A$69:$A$73,0),MATCH(BSpUECB_세액공제액!AA$1,'Cal-CAPEX (정리)'!$B$68:$AF$68,0))*About!$B$93*'Cal-CAPEX (정리)'!$B$79/10,0)</f>
        <v>4877.5812301556271</v>
      </c>
      <c r="AB6" s="38">
        <f>IFERROR(INDEX('Cal-CAPEX (정리)'!$B$69:$AF$73,MATCH(BSpUECB_세액공제액!$A6,'Cal-CAPEX (정리)'!$A$69:$A$73,0),MATCH(BSpUECB_세액공제액!AB$1,'Cal-CAPEX (정리)'!$B$68:$AF$68,0))*About!$B$93*'Cal-CAPEX (정리)'!$B$79/10,0)</f>
        <v>4818.0964844743467</v>
      </c>
      <c r="AC6" s="38">
        <f>IFERROR(INDEX('Cal-CAPEX (정리)'!$B$69:$AF$73,MATCH(BSpUECB_세액공제액!$A6,'Cal-CAPEX (정리)'!$A$69:$A$73,0),MATCH(BSpUECB_세액공제액!AC$1,'Cal-CAPEX (정리)'!$B$68:$AF$68,0))*About!$B$93*'Cal-CAPEX (정리)'!$B$79/10,0)</f>
        <v>4759.3371874943405</v>
      </c>
      <c r="AD6" s="38">
        <f>IFERROR(INDEX('Cal-CAPEX (정리)'!$B$69:$AF$73,MATCH(BSpUECB_세액공제액!$A6,'Cal-CAPEX (정리)'!$A$69:$A$73,0),MATCH(BSpUECB_세액공제액!AD$1,'Cal-CAPEX (정리)'!$B$68:$AF$68,0))*About!$B$93*'Cal-CAPEX (정리)'!$B$79/10,0)</f>
        <v>4701.2944919756592</v>
      </c>
      <c r="AE6" s="38">
        <f>IFERROR(INDEX('Cal-CAPEX (정리)'!$B$69:$AF$73,MATCH(BSpUECB_세액공제액!$A6,'Cal-CAPEX (정리)'!$A$69:$A$73,0),MATCH(BSpUECB_세액공제액!AE$1,'Cal-CAPEX (정리)'!$B$68:$AF$68,0))*About!$B$93*'Cal-CAPEX (정리)'!$B$79/10,0)</f>
        <v>4643.9596585752415</v>
      </c>
      <c r="AF6" s="38">
        <f>IFERROR(INDEX('Cal-CAPEX (정리)'!$B$69:$AF$73,MATCH(BSpUECB_세액공제액!$A6,'Cal-CAPEX (정리)'!$A$69:$A$73,0),MATCH(BSpUECB_세액공제액!AF$1,'Cal-CAPEX (정리)'!$B$68:$AF$68,0))*About!$B$93*'Cal-CAPEX (정리)'!$B$79/10,0)</f>
        <v>4587.3240545310518</v>
      </c>
      <c r="AG6" s="38"/>
      <c r="AH6" s="38"/>
    </row>
    <row r="7" spans="1:34" ht="16.5" customHeight="1">
      <c r="A7" s="17" t="s">
        <v>183</v>
      </c>
      <c r="B7" s="38">
        <f>IFERROR(INDEX('Cal-CAPEX (정리)'!$B$69:$AF$73,MATCH(BSpUECB_세액공제액!$A7,'Cal-CAPEX (정리)'!$A$69:$A$73,0),MATCH(BSpUECB_세액공제액!B$1,'Cal-CAPEX (정리)'!$B$68:$AF$68,0))*About!$B$93*'Cal-CAPEX (정리)'!$B$79/10,0)</f>
        <v>4028.7342041743564</v>
      </c>
      <c r="C7" s="38">
        <f>IFERROR(INDEX('Cal-CAPEX (정리)'!$B$69:$AF$73,MATCH(BSpUECB_세액공제액!$A7,'Cal-CAPEX (정리)'!$A$69:$A$73,0),MATCH(BSpUECB_세액공제액!C$1,'Cal-CAPEX (정리)'!$B$68:$AF$68,0))*About!$B$93*'Cal-CAPEX (정리)'!$B$79/10,0)</f>
        <v>3877.3072554309192</v>
      </c>
      <c r="D7" s="38">
        <f>IFERROR(INDEX('Cal-CAPEX (정리)'!$B$69:$AF$73,MATCH(BSpUECB_세액공제액!$A7,'Cal-CAPEX (정리)'!$A$69:$A$73,0),MATCH(BSpUECB_세액공제액!D$1,'Cal-CAPEX (정리)'!$B$68:$AF$68,0))*About!$B$93*'Cal-CAPEX (정리)'!$B$79/10,0)</f>
        <v>3725.8803066875125</v>
      </c>
      <c r="E7" s="38">
        <f>IFERROR(INDEX('Cal-CAPEX (정리)'!$B$69:$AF$73,MATCH(BSpUECB_세액공제액!$A7,'Cal-CAPEX (정리)'!$A$69:$A$73,0),MATCH(BSpUECB_세액공제액!E$1,'Cal-CAPEX (정리)'!$B$68:$AF$68,0))*About!$B$93*'Cal-CAPEX (정리)'!$B$79/10,0)</f>
        <v>3574.4533579440672</v>
      </c>
      <c r="F7" s="38">
        <f>IFERROR(INDEX('Cal-CAPEX (정리)'!$B$69:$AF$73,MATCH(BSpUECB_세액공제액!$A7,'Cal-CAPEX (정리)'!$A$69:$A$73,0),MATCH(BSpUECB_세액공제액!F$1,'Cal-CAPEX (정리)'!$B$68:$AF$68,0))*About!$B$93*'Cal-CAPEX (정리)'!$B$79/10,0)</f>
        <v>3423.0264092006209</v>
      </c>
      <c r="G7" s="38">
        <f>IFERROR(INDEX('Cal-CAPEX (정리)'!$B$69:$AF$73,MATCH(BSpUECB_세액공제액!$A7,'Cal-CAPEX (정리)'!$A$69:$A$73,0),MATCH(BSpUECB_세액공제액!G$1,'Cal-CAPEX (정리)'!$B$68:$AF$68,0))*About!$B$93*'Cal-CAPEX (정리)'!$B$79/10,0)</f>
        <v>3271.5994604571915</v>
      </c>
      <c r="H7" s="38">
        <f>IFERROR(INDEX('Cal-CAPEX (정리)'!$B$69:$AF$73,MATCH(BSpUECB_세액공제액!$A7,'Cal-CAPEX (정리)'!$A$69:$A$73,0),MATCH(BSpUECB_세액공제액!H$1,'Cal-CAPEX (정리)'!$B$68:$AF$68,0))*About!$B$93*'Cal-CAPEX (정리)'!$B$79/10,0)</f>
        <v>3179.0607695584249</v>
      </c>
      <c r="I7" s="38">
        <f>IFERROR(INDEX('Cal-CAPEX (정리)'!$B$69:$AF$73,MATCH(BSpUECB_세액공제액!$A7,'Cal-CAPEX (정리)'!$A$69:$A$73,0),MATCH(BSpUECB_세액공제액!I$1,'Cal-CAPEX (정리)'!$B$68:$AF$68,0))*About!$B$93*'Cal-CAPEX (정리)'!$B$79/10,0)</f>
        <v>3086.5220786596742</v>
      </c>
      <c r="J7" s="38">
        <f>IFERROR(INDEX('Cal-CAPEX (정리)'!$B$69:$AF$73,MATCH(BSpUECB_세액공제액!$A7,'Cal-CAPEX (정리)'!$A$69:$A$73,0),MATCH(BSpUECB_세액공제액!J$1,'Cal-CAPEX (정리)'!$B$68:$AF$68,0))*About!$B$93*'Cal-CAPEX (정리)'!$B$79/10,0)</f>
        <v>2993.9833877608844</v>
      </c>
      <c r="K7" s="38">
        <f>IFERROR(INDEX('Cal-CAPEX (정리)'!$B$69:$AF$73,MATCH(BSpUECB_세액공제액!$A7,'Cal-CAPEX (정리)'!$A$69:$A$73,0),MATCH(BSpUECB_세액공제액!K$1,'Cal-CAPEX (정리)'!$B$68:$AF$68,0))*About!$B$93*'Cal-CAPEX (정리)'!$B$79/10,0)</f>
        <v>2901.4446968621342</v>
      </c>
      <c r="L7" s="38">
        <f>IFERROR(INDEX('Cal-CAPEX (정리)'!$B$69:$AF$73,MATCH(BSpUECB_세액공제액!$A7,'Cal-CAPEX (정리)'!$A$69:$A$73,0),MATCH(BSpUECB_세액공제액!L$1,'Cal-CAPEX (정리)'!$B$68:$AF$68,0))*About!$B$93*'Cal-CAPEX (정리)'!$B$79/10,0)</f>
        <v>2808.9060059633675</v>
      </c>
      <c r="M7" s="38">
        <f>IFERROR(INDEX('Cal-CAPEX (정리)'!$B$69:$AF$73,MATCH(BSpUECB_세액공제액!$A7,'Cal-CAPEX (정리)'!$A$69:$A$73,0),MATCH(BSpUECB_세액공제액!M$1,'Cal-CAPEX (정리)'!$B$68:$AF$68,0))*About!$B$93*'Cal-CAPEX (정리)'!$B$79/10,0)</f>
        <v>2721.6938708914322</v>
      </c>
      <c r="N7" s="38">
        <f>IFERROR(INDEX('Cal-CAPEX (정리)'!$B$69:$AF$73,MATCH(BSpUECB_세액공제액!$A7,'Cal-CAPEX (정리)'!$A$69:$A$73,0),MATCH(BSpUECB_세액공제액!N$1,'Cal-CAPEX (정리)'!$B$68:$AF$68,0))*About!$B$93*'Cal-CAPEX (정리)'!$B$79/10,0)</f>
        <v>2637.1895361117322</v>
      </c>
      <c r="O7" s="38">
        <f>IFERROR(INDEX('Cal-CAPEX (정리)'!$B$69:$AF$73,MATCH(BSpUECB_세액공제액!$A7,'Cal-CAPEX (정리)'!$A$69:$A$73,0),MATCH(BSpUECB_세액공제액!O$1,'Cal-CAPEX (정리)'!$B$68:$AF$68,0))*About!$B$93*'Cal-CAPEX (정리)'!$B$79/10,0)</f>
        <v>2555.3089286633572</v>
      </c>
      <c r="P7" s="38">
        <f>IFERROR(INDEX('Cal-CAPEX (정리)'!$B$69:$AF$73,MATCH(BSpUECB_세액공제액!$A7,'Cal-CAPEX (정리)'!$A$69:$A$73,0),MATCH(BSpUECB_세액공제액!P$1,'Cal-CAPEX (정리)'!$B$68:$AF$68,0))*About!$B$93*'Cal-CAPEX (정리)'!$B$79/10,0)</f>
        <v>2475.9705859192477</v>
      </c>
      <c r="Q7" s="38">
        <f>IFERROR(INDEX('Cal-CAPEX (정리)'!$B$69:$AF$73,MATCH(BSpUECB_세액공제액!$A7,'Cal-CAPEX (정리)'!$A$69:$A$73,0),MATCH(BSpUECB_세액공제액!Q$1,'Cal-CAPEX (정리)'!$B$68:$AF$68,0))*About!$B$93*'Cal-CAPEX (정리)'!$B$79/10,0)</f>
        <v>2399.0955745394103</v>
      </c>
      <c r="R7" s="38">
        <f>IFERROR(INDEX('Cal-CAPEX (정리)'!$B$69:$AF$73,MATCH(BSpUECB_세액공제액!$A7,'Cal-CAPEX (정리)'!$A$69:$A$73,0),MATCH(BSpUECB_세액공제액!R$1,'Cal-CAPEX (정리)'!$B$68:$AF$68,0))*About!$B$93*'Cal-CAPEX (정리)'!$B$79/10,0)</f>
        <v>2324.6074119405157</v>
      </c>
      <c r="S7" s="38">
        <f>IFERROR(INDEX('Cal-CAPEX (정리)'!$B$69:$AF$73,MATCH(BSpUECB_세액공제액!$A7,'Cal-CAPEX (정리)'!$A$69:$A$73,0),MATCH(BSpUECB_세액공제액!S$1,'Cal-CAPEX (정리)'!$B$68:$AF$68,0))*About!$B$93*'Cal-CAPEX (정리)'!$B$79/10,0)</f>
        <v>2252.4319902037378</v>
      </c>
      <c r="T7" s="38">
        <f>IFERROR(INDEX('Cal-CAPEX (정리)'!$B$69:$AF$73,MATCH(BSpUECB_세액공제액!$A7,'Cal-CAPEX (정리)'!$A$69:$A$73,0),MATCH(BSpUECB_세액공제액!T$1,'Cal-CAPEX (정리)'!$B$68:$AF$68,0))*About!$B$93*'Cal-CAPEX (정리)'!$B$79/10,0)</f>
        <v>2182.4975023451366</v>
      </c>
      <c r="U7" s="38">
        <f>IFERROR(INDEX('Cal-CAPEX (정리)'!$B$69:$AF$73,MATCH(BSpUECB_세액공제액!$A7,'Cal-CAPEX (정리)'!$A$69:$A$73,0),MATCH(BSpUECB_세액공제액!U$1,'Cal-CAPEX (정리)'!$B$68:$AF$68,0))*About!$B$93*'Cal-CAPEX (정리)'!$B$79/10,0)</f>
        <v>2114.7343708752378</v>
      </c>
      <c r="V7" s="38">
        <f>IFERROR(INDEX('Cal-CAPEX (정리)'!$B$69:$AF$73,MATCH(BSpUECB_세액공제액!$A7,'Cal-CAPEX (정리)'!$A$69:$A$73,0),MATCH(BSpUECB_세액공제액!V$1,'Cal-CAPEX (정리)'!$B$68:$AF$68,0))*About!$B$93*'Cal-CAPEX (정리)'!$B$79/10,0)</f>
        <v>2049.0751785767116</v>
      </c>
      <c r="W7" s="38">
        <f>IFERROR(INDEX('Cal-CAPEX (정리)'!$B$69:$AF$73,MATCH(BSpUECB_세액공제액!$A7,'Cal-CAPEX (정리)'!$A$69:$A$73,0),MATCH(BSpUECB_세액공제액!W$1,'Cal-CAPEX (정리)'!$B$68:$AF$68,0))*About!$B$93*'Cal-CAPEX (정리)'!$B$79/10,0)</f>
        <v>1985.4546014313078</v>
      </c>
      <c r="X7" s="38">
        <f>IFERROR(INDEX('Cal-CAPEX (정리)'!$B$69:$AF$73,MATCH(BSpUECB_세액공제액!$A7,'Cal-CAPEX (정리)'!$A$69:$A$73,0),MATCH(BSpUECB_세액공제액!X$1,'Cal-CAPEX (정리)'!$B$68:$AF$68,0))*About!$B$93*'Cal-CAPEX (정리)'!$B$79/10,0)</f>
        <v>1923.8093436292997</v>
      </c>
      <c r="Y7" s="38">
        <f>IFERROR(INDEX('Cal-CAPEX (정리)'!$B$69:$AF$73,MATCH(BSpUECB_세액공제액!$A7,'Cal-CAPEX (정리)'!$A$69:$A$73,0),MATCH(BSpUECB_세액공제액!Y$1,'Cal-CAPEX (정리)'!$B$68:$AF$68,0))*About!$B$93*'Cal-CAPEX (정리)'!$B$79/10,0)</f>
        <v>1864.0780745967834</v>
      </c>
      <c r="Z7" s="38">
        <f>IFERROR(INDEX('Cal-CAPEX (정리)'!$B$69:$AF$73,MATCH(BSpUECB_세액공제액!$A7,'Cal-CAPEX (정리)'!$A$69:$A$73,0),MATCH(BSpUECB_세액공제액!Z$1,'Cal-CAPEX (정리)'!$B$68:$AF$68,0))*About!$B$93*'Cal-CAPEX (정리)'!$B$79/10,0)</f>
        <v>1806.2013679781826</v>
      </c>
      <c r="AA7" s="38">
        <f>IFERROR(INDEX('Cal-CAPEX (정리)'!$B$69:$AF$73,MATCH(BSpUECB_세액공제액!$A7,'Cal-CAPEX (정리)'!$A$69:$A$73,0),MATCH(BSpUECB_세액공제액!AA$1,'Cal-CAPEX (정리)'!$B$68:$AF$68,0))*About!$B$93*'Cal-CAPEX (정리)'!$B$79/10,0)</f>
        <v>1750.1216425132504</v>
      </c>
      <c r="AB7" s="38">
        <f>IFERROR(INDEX('Cal-CAPEX (정리)'!$B$69:$AF$73,MATCH(BSpUECB_세액공제액!$A7,'Cal-CAPEX (정리)'!$A$69:$A$73,0),MATCH(BSpUECB_세액공제액!AB$1,'Cal-CAPEX (정리)'!$B$68:$AF$68,0))*About!$B$93*'Cal-CAPEX (정리)'!$B$79/10,0)</f>
        <v>1695.7831047497432</v>
      </c>
      <c r="AC7" s="38">
        <f>IFERROR(INDEX('Cal-CAPEX (정리)'!$B$69:$AF$73,MATCH(BSpUECB_세액공제액!$A7,'Cal-CAPEX (정리)'!$A$69:$A$73,0),MATCH(BSpUECB_세액공제액!AC$1,'Cal-CAPEX (정리)'!$B$68:$AF$68,0))*About!$B$93*'Cal-CAPEX (정리)'!$B$79/10,0)</f>
        <v>1643.1316935347866</v>
      </c>
      <c r="AD7" s="38">
        <f>IFERROR(INDEX('Cal-CAPEX (정리)'!$B$69:$AF$73,MATCH(BSpUECB_세액공제액!$A7,'Cal-CAPEX (정리)'!$A$69:$A$73,0),MATCH(BSpUECB_세액공제액!AD$1,'Cal-CAPEX (정리)'!$B$68:$AF$68,0))*About!$B$93*'Cal-CAPEX (정리)'!$B$79/10,0)</f>
        <v>1592.1150262296856</v>
      </c>
      <c r="AE7" s="38">
        <f>IFERROR(INDEX('Cal-CAPEX (정리)'!$B$69:$AF$73,MATCH(BSpUECB_세액공제액!$A7,'Cal-CAPEX (정리)'!$A$69:$A$73,0),MATCH(BSpUECB_세액공제액!AE$1,'Cal-CAPEX (정리)'!$B$68:$AF$68,0))*About!$B$93*'Cal-CAPEX (정리)'!$B$79/10,0)</f>
        <v>1542.6823465946909</v>
      </c>
      <c r="AF7" s="38">
        <f>IFERROR(INDEX('Cal-CAPEX (정리)'!$B$69:$AF$73,MATCH(BSpUECB_세액공제액!$A7,'Cal-CAPEX (정리)'!$A$69:$A$73,0),MATCH(BSpUECB_세액공제액!AF$1,'Cal-CAPEX (정리)'!$B$68:$AF$68,0))*About!$B$93*'Cal-CAPEX (정리)'!$B$79/10,0)</f>
        <v>1494.7844742918539</v>
      </c>
      <c r="AG7" s="38"/>
      <c r="AH7" s="38"/>
    </row>
    <row r="8" spans="1:34" ht="16.5" customHeight="1">
      <c r="A8" s="17" t="s">
        <v>184</v>
      </c>
      <c r="B8" s="38">
        <f>IFERROR(INDEX('Cal-CAPEX (정리)'!$B$69:$AF$73,MATCH(BSpUECB_세액공제액!$A8,'Cal-CAPEX (정리)'!$A$69:$A$73,0),MATCH(BSpUECB_세액공제액!B$1,'Cal-CAPEX (정리)'!$B$68:$AF$68,0))*About!$B$93*'Cal-CAPEX (정리)'!$B$79/10,0)</f>
        <v>0</v>
      </c>
      <c r="C8" s="38">
        <f>IFERROR(INDEX('Cal-CAPEX (정리)'!$B$69:$AF$73,MATCH(BSpUECB_세액공제액!$A8,'Cal-CAPEX (정리)'!$A$69:$A$73,0),MATCH(BSpUECB_세액공제액!C$1,'Cal-CAPEX (정리)'!$B$68:$AF$68,0))*About!$B$93*'Cal-CAPEX (정리)'!$B$79/10,0)</f>
        <v>0</v>
      </c>
      <c r="D8" s="38">
        <f>IFERROR(INDEX('Cal-CAPEX (정리)'!$B$69:$AF$73,MATCH(BSpUECB_세액공제액!$A8,'Cal-CAPEX (정리)'!$A$69:$A$73,0),MATCH(BSpUECB_세액공제액!D$1,'Cal-CAPEX (정리)'!$B$68:$AF$68,0))*About!$B$93*'Cal-CAPEX (정리)'!$B$79/10,0)</f>
        <v>0</v>
      </c>
      <c r="E8" s="38">
        <f>IFERROR(INDEX('Cal-CAPEX (정리)'!$B$69:$AF$73,MATCH(BSpUECB_세액공제액!$A8,'Cal-CAPEX (정리)'!$A$69:$A$73,0),MATCH(BSpUECB_세액공제액!E$1,'Cal-CAPEX (정리)'!$B$68:$AF$68,0))*About!$B$93*'Cal-CAPEX (정리)'!$B$79/10,0)</f>
        <v>0</v>
      </c>
      <c r="F8" s="38">
        <f>IFERROR(INDEX('Cal-CAPEX (정리)'!$B$69:$AF$73,MATCH(BSpUECB_세액공제액!$A8,'Cal-CAPEX (정리)'!$A$69:$A$73,0),MATCH(BSpUECB_세액공제액!F$1,'Cal-CAPEX (정리)'!$B$68:$AF$68,0))*About!$B$93*'Cal-CAPEX (정리)'!$B$79/10,0)</f>
        <v>0</v>
      </c>
      <c r="G8" s="38">
        <f>IFERROR(INDEX('Cal-CAPEX (정리)'!$B$69:$AF$73,MATCH(BSpUECB_세액공제액!$A8,'Cal-CAPEX (정리)'!$A$69:$A$73,0),MATCH(BSpUECB_세액공제액!G$1,'Cal-CAPEX (정리)'!$B$68:$AF$68,0))*About!$B$93*'Cal-CAPEX (정리)'!$B$79/10,0)</f>
        <v>0</v>
      </c>
      <c r="H8" s="38">
        <f>IFERROR(INDEX('Cal-CAPEX (정리)'!$B$69:$AF$73,MATCH(BSpUECB_세액공제액!$A8,'Cal-CAPEX (정리)'!$A$69:$A$73,0),MATCH(BSpUECB_세액공제액!H$1,'Cal-CAPEX (정리)'!$B$68:$AF$68,0))*About!$B$93*'Cal-CAPEX (정리)'!$B$79/10,0)</f>
        <v>0</v>
      </c>
      <c r="I8" s="38">
        <f>IFERROR(INDEX('Cal-CAPEX (정리)'!$B$69:$AF$73,MATCH(BSpUECB_세액공제액!$A8,'Cal-CAPEX (정리)'!$A$69:$A$73,0),MATCH(BSpUECB_세액공제액!I$1,'Cal-CAPEX (정리)'!$B$68:$AF$68,0))*About!$B$93*'Cal-CAPEX (정리)'!$B$79/10,0)</f>
        <v>0</v>
      </c>
      <c r="J8" s="38">
        <f>IFERROR(INDEX('Cal-CAPEX (정리)'!$B$69:$AF$73,MATCH(BSpUECB_세액공제액!$A8,'Cal-CAPEX (정리)'!$A$69:$A$73,0),MATCH(BSpUECB_세액공제액!J$1,'Cal-CAPEX (정리)'!$B$68:$AF$68,0))*About!$B$93*'Cal-CAPEX (정리)'!$B$79/10,0)</f>
        <v>0</v>
      </c>
      <c r="K8" s="38">
        <f>IFERROR(INDEX('Cal-CAPEX (정리)'!$B$69:$AF$73,MATCH(BSpUECB_세액공제액!$A8,'Cal-CAPEX (정리)'!$A$69:$A$73,0),MATCH(BSpUECB_세액공제액!K$1,'Cal-CAPEX (정리)'!$B$68:$AF$68,0))*About!$B$93*'Cal-CAPEX (정리)'!$B$79/10,0)</f>
        <v>0</v>
      </c>
      <c r="L8" s="38">
        <f>IFERROR(INDEX('Cal-CAPEX (정리)'!$B$69:$AF$73,MATCH(BSpUECB_세액공제액!$A8,'Cal-CAPEX (정리)'!$A$69:$A$73,0),MATCH(BSpUECB_세액공제액!L$1,'Cal-CAPEX (정리)'!$B$68:$AF$68,0))*About!$B$93*'Cal-CAPEX (정리)'!$B$79/10,0)</f>
        <v>0</v>
      </c>
      <c r="M8" s="38">
        <f>IFERROR(INDEX('Cal-CAPEX (정리)'!$B$69:$AF$73,MATCH(BSpUECB_세액공제액!$A8,'Cal-CAPEX (정리)'!$A$69:$A$73,0),MATCH(BSpUECB_세액공제액!M$1,'Cal-CAPEX (정리)'!$B$68:$AF$68,0))*About!$B$93*'Cal-CAPEX (정리)'!$B$79/10,0)</f>
        <v>0</v>
      </c>
      <c r="N8" s="38">
        <f>IFERROR(INDEX('Cal-CAPEX (정리)'!$B$69:$AF$73,MATCH(BSpUECB_세액공제액!$A8,'Cal-CAPEX (정리)'!$A$69:$A$73,0),MATCH(BSpUECB_세액공제액!N$1,'Cal-CAPEX (정리)'!$B$68:$AF$68,0))*About!$B$93*'Cal-CAPEX (정리)'!$B$79/10,0)</f>
        <v>0</v>
      </c>
      <c r="O8" s="38">
        <f>IFERROR(INDEX('Cal-CAPEX (정리)'!$B$69:$AF$73,MATCH(BSpUECB_세액공제액!$A8,'Cal-CAPEX (정리)'!$A$69:$A$73,0),MATCH(BSpUECB_세액공제액!O$1,'Cal-CAPEX (정리)'!$B$68:$AF$68,0))*About!$B$93*'Cal-CAPEX (정리)'!$B$79/10,0)</f>
        <v>0</v>
      </c>
      <c r="P8" s="38">
        <f>IFERROR(INDEX('Cal-CAPEX (정리)'!$B$69:$AF$73,MATCH(BSpUECB_세액공제액!$A8,'Cal-CAPEX (정리)'!$A$69:$A$73,0),MATCH(BSpUECB_세액공제액!P$1,'Cal-CAPEX (정리)'!$B$68:$AF$68,0))*About!$B$93*'Cal-CAPEX (정리)'!$B$79/10,0)</f>
        <v>0</v>
      </c>
      <c r="Q8" s="38">
        <f>IFERROR(INDEX('Cal-CAPEX (정리)'!$B$69:$AF$73,MATCH(BSpUECB_세액공제액!$A8,'Cal-CAPEX (정리)'!$A$69:$A$73,0),MATCH(BSpUECB_세액공제액!Q$1,'Cal-CAPEX (정리)'!$B$68:$AF$68,0))*About!$B$93*'Cal-CAPEX (정리)'!$B$79/10,0)</f>
        <v>0</v>
      </c>
      <c r="R8" s="38">
        <f>IFERROR(INDEX('Cal-CAPEX (정리)'!$B$69:$AF$73,MATCH(BSpUECB_세액공제액!$A8,'Cal-CAPEX (정리)'!$A$69:$A$73,0),MATCH(BSpUECB_세액공제액!R$1,'Cal-CAPEX (정리)'!$B$68:$AF$68,0))*About!$B$93*'Cal-CAPEX (정리)'!$B$79/10,0)</f>
        <v>0</v>
      </c>
      <c r="S8" s="38">
        <f>IFERROR(INDEX('Cal-CAPEX (정리)'!$B$69:$AF$73,MATCH(BSpUECB_세액공제액!$A8,'Cal-CAPEX (정리)'!$A$69:$A$73,0),MATCH(BSpUECB_세액공제액!S$1,'Cal-CAPEX (정리)'!$B$68:$AF$68,0))*About!$B$93*'Cal-CAPEX (정리)'!$B$79/10,0)</f>
        <v>0</v>
      </c>
      <c r="T8" s="38">
        <f>IFERROR(INDEX('Cal-CAPEX (정리)'!$B$69:$AF$73,MATCH(BSpUECB_세액공제액!$A8,'Cal-CAPEX (정리)'!$A$69:$A$73,0),MATCH(BSpUECB_세액공제액!T$1,'Cal-CAPEX (정리)'!$B$68:$AF$68,0))*About!$B$93*'Cal-CAPEX (정리)'!$B$79/10,0)</f>
        <v>0</v>
      </c>
      <c r="U8" s="38">
        <f>IFERROR(INDEX('Cal-CAPEX (정리)'!$B$69:$AF$73,MATCH(BSpUECB_세액공제액!$A8,'Cal-CAPEX (정리)'!$A$69:$A$73,0),MATCH(BSpUECB_세액공제액!U$1,'Cal-CAPEX (정리)'!$B$68:$AF$68,0))*About!$B$93*'Cal-CAPEX (정리)'!$B$79/10,0)</f>
        <v>0</v>
      </c>
      <c r="V8" s="38">
        <f>IFERROR(INDEX('Cal-CAPEX (정리)'!$B$69:$AF$73,MATCH(BSpUECB_세액공제액!$A8,'Cal-CAPEX (정리)'!$A$69:$A$73,0),MATCH(BSpUECB_세액공제액!V$1,'Cal-CAPEX (정리)'!$B$68:$AF$68,0))*About!$B$93*'Cal-CAPEX (정리)'!$B$79/10,0)</f>
        <v>0</v>
      </c>
      <c r="W8" s="38">
        <f>IFERROR(INDEX('Cal-CAPEX (정리)'!$B$69:$AF$73,MATCH(BSpUECB_세액공제액!$A8,'Cal-CAPEX (정리)'!$A$69:$A$73,0),MATCH(BSpUECB_세액공제액!W$1,'Cal-CAPEX (정리)'!$B$68:$AF$68,0))*About!$B$93*'Cal-CAPEX (정리)'!$B$79/10,0)</f>
        <v>0</v>
      </c>
      <c r="X8" s="38">
        <f>IFERROR(INDEX('Cal-CAPEX (정리)'!$B$69:$AF$73,MATCH(BSpUECB_세액공제액!$A8,'Cal-CAPEX (정리)'!$A$69:$A$73,0),MATCH(BSpUECB_세액공제액!X$1,'Cal-CAPEX (정리)'!$B$68:$AF$68,0))*About!$B$93*'Cal-CAPEX (정리)'!$B$79/10,0)</f>
        <v>0</v>
      </c>
      <c r="Y8" s="38">
        <f>IFERROR(INDEX('Cal-CAPEX (정리)'!$B$69:$AF$73,MATCH(BSpUECB_세액공제액!$A8,'Cal-CAPEX (정리)'!$A$69:$A$73,0),MATCH(BSpUECB_세액공제액!Y$1,'Cal-CAPEX (정리)'!$B$68:$AF$68,0))*About!$B$93*'Cal-CAPEX (정리)'!$B$79/10,0)</f>
        <v>0</v>
      </c>
      <c r="Z8" s="38">
        <f>IFERROR(INDEX('Cal-CAPEX (정리)'!$B$69:$AF$73,MATCH(BSpUECB_세액공제액!$A8,'Cal-CAPEX (정리)'!$A$69:$A$73,0),MATCH(BSpUECB_세액공제액!Z$1,'Cal-CAPEX (정리)'!$B$68:$AF$68,0))*About!$B$93*'Cal-CAPEX (정리)'!$B$79/10,0)</f>
        <v>0</v>
      </c>
      <c r="AA8" s="38">
        <f>IFERROR(INDEX('Cal-CAPEX (정리)'!$B$69:$AF$73,MATCH(BSpUECB_세액공제액!$A8,'Cal-CAPEX (정리)'!$A$69:$A$73,0),MATCH(BSpUECB_세액공제액!AA$1,'Cal-CAPEX (정리)'!$B$68:$AF$68,0))*About!$B$93*'Cal-CAPEX (정리)'!$B$79/10,0)</f>
        <v>0</v>
      </c>
      <c r="AB8" s="38">
        <f>IFERROR(INDEX('Cal-CAPEX (정리)'!$B$69:$AF$73,MATCH(BSpUECB_세액공제액!$A8,'Cal-CAPEX (정리)'!$A$69:$A$73,0),MATCH(BSpUECB_세액공제액!AB$1,'Cal-CAPEX (정리)'!$B$68:$AF$68,0))*About!$B$93*'Cal-CAPEX (정리)'!$B$79/10,0)</f>
        <v>0</v>
      </c>
      <c r="AC8" s="38">
        <f>IFERROR(INDEX('Cal-CAPEX (정리)'!$B$69:$AF$73,MATCH(BSpUECB_세액공제액!$A8,'Cal-CAPEX (정리)'!$A$69:$A$73,0),MATCH(BSpUECB_세액공제액!AC$1,'Cal-CAPEX (정리)'!$B$68:$AF$68,0))*About!$B$93*'Cal-CAPEX (정리)'!$B$79/10,0)</f>
        <v>0</v>
      </c>
      <c r="AD8" s="38">
        <f>IFERROR(INDEX('Cal-CAPEX (정리)'!$B$69:$AF$73,MATCH(BSpUECB_세액공제액!$A8,'Cal-CAPEX (정리)'!$A$69:$A$73,0),MATCH(BSpUECB_세액공제액!AD$1,'Cal-CAPEX (정리)'!$B$68:$AF$68,0))*About!$B$93*'Cal-CAPEX (정리)'!$B$79/10,0)</f>
        <v>0</v>
      </c>
      <c r="AE8" s="38">
        <f>IFERROR(INDEX('Cal-CAPEX (정리)'!$B$69:$AF$73,MATCH(BSpUECB_세액공제액!$A8,'Cal-CAPEX (정리)'!$A$69:$A$73,0),MATCH(BSpUECB_세액공제액!AE$1,'Cal-CAPEX (정리)'!$B$68:$AF$68,0))*About!$B$93*'Cal-CAPEX (정리)'!$B$79/10,0)</f>
        <v>0</v>
      </c>
      <c r="AF8" s="38">
        <f>IFERROR(INDEX('Cal-CAPEX (정리)'!$B$69:$AF$73,MATCH(BSpUECB_세액공제액!$A8,'Cal-CAPEX (정리)'!$A$69:$A$73,0),MATCH(BSpUECB_세액공제액!AF$1,'Cal-CAPEX (정리)'!$B$68:$AF$68,0))*About!$B$93*'Cal-CAPEX (정리)'!$B$79/10,0)</f>
        <v>0</v>
      </c>
      <c r="AG8" s="38"/>
      <c r="AH8" s="38"/>
    </row>
    <row r="9" spans="1:34" ht="16.5" customHeight="1">
      <c r="A9" s="17" t="s">
        <v>185</v>
      </c>
      <c r="B9" s="38">
        <f>IFERROR(INDEX('Cal-CAPEX (정리)'!$B$69:$AF$73,MATCH(BSpUECB_세액공제액!$A9,'Cal-CAPEX (정리)'!$A$69:$A$73,0),MATCH(BSpUECB_세액공제액!B$1,'Cal-CAPEX (정리)'!$B$68:$AF$68,0))*About!$B$93*'Cal-CAPEX (정리)'!$B$79/10,0)</f>
        <v>6868.0316999999995</v>
      </c>
      <c r="C9" s="38">
        <f>IFERROR(INDEX('Cal-CAPEX (정리)'!$B$69:$AF$73,MATCH(BSpUECB_세액공제액!$A9,'Cal-CAPEX (정리)'!$A$69:$A$73,0),MATCH(BSpUECB_세액공제액!C$1,'Cal-CAPEX (정리)'!$B$68:$AF$68,0))*About!$B$93*'Cal-CAPEX (정리)'!$B$79/10,0)</f>
        <v>6868.0316999999995</v>
      </c>
      <c r="D9" s="38">
        <f>IFERROR(INDEX('Cal-CAPEX (정리)'!$B$69:$AF$73,MATCH(BSpUECB_세액공제액!$A9,'Cal-CAPEX (정리)'!$A$69:$A$73,0),MATCH(BSpUECB_세액공제액!D$1,'Cal-CAPEX (정리)'!$B$68:$AF$68,0))*About!$B$93*'Cal-CAPEX (정리)'!$B$79/10,0)</f>
        <v>6868.0316999999995</v>
      </c>
      <c r="E9" s="38">
        <f>IFERROR(INDEX('Cal-CAPEX (정리)'!$B$69:$AF$73,MATCH(BSpUECB_세액공제액!$A9,'Cal-CAPEX (정리)'!$A$69:$A$73,0),MATCH(BSpUECB_세액공제액!E$1,'Cal-CAPEX (정리)'!$B$68:$AF$68,0))*About!$B$93*'Cal-CAPEX (정리)'!$B$79/10,0)</f>
        <v>6868.0316999999995</v>
      </c>
      <c r="F9" s="38">
        <f>IFERROR(INDEX('Cal-CAPEX (정리)'!$B$69:$AF$73,MATCH(BSpUECB_세액공제액!$A9,'Cal-CAPEX (정리)'!$A$69:$A$73,0),MATCH(BSpUECB_세액공제액!F$1,'Cal-CAPEX (정리)'!$B$68:$AF$68,0))*About!$B$93*'Cal-CAPEX (정리)'!$B$79/10,0)</f>
        <v>6868.0316999999995</v>
      </c>
      <c r="G9" s="38">
        <f>IFERROR(INDEX('Cal-CAPEX (정리)'!$B$69:$AF$73,MATCH(BSpUECB_세액공제액!$A9,'Cal-CAPEX (정리)'!$A$69:$A$73,0),MATCH(BSpUECB_세액공제액!G$1,'Cal-CAPEX (정리)'!$B$68:$AF$68,0))*About!$B$93*'Cal-CAPEX (정리)'!$B$79/10,0)</f>
        <v>6868.0316999999995</v>
      </c>
      <c r="H9" s="38">
        <f>IFERROR(INDEX('Cal-CAPEX (정리)'!$B$69:$AF$73,MATCH(BSpUECB_세액공제액!$A9,'Cal-CAPEX (정리)'!$A$69:$A$73,0),MATCH(BSpUECB_세액공제액!H$1,'Cal-CAPEX (정리)'!$B$68:$AF$68,0))*About!$B$93*'Cal-CAPEX (정리)'!$B$79/10,0)</f>
        <v>6868.0316999999995</v>
      </c>
      <c r="I9" s="38">
        <f>IFERROR(INDEX('Cal-CAPEX (정리)'!$B$69:$AF$73,MATCH(BSpUECB_세액공제액!$A9,'Cal-CAPEX (정리)'!$A$69:$A$73,0),MATCH(BSpUECB_세액공제액!I$1,'Cal-CAPEX (정리)'!$B$68:$AF$68,0))*About!$B$93*'Cal-CAPEX (정리)'!$B$79/10,0)</f>
        <v>6868.0316999999995</v>
      </c>
      <c r="J9" s="38">
        <f>IFERROR(INDEX('Cal-CAPEX (정리)'!$B$69:$AF$73,MATCH(BSpUECB_세액공제액!$A9,'Cal-CAPEX (정리)'!$A$69:$A$73,0),MATCH(BSpUECB_세액공제액!J$1,'Cal-CAPEX (정리)'!$B$68:$AF$68,0))*About!$B$93*'Cal-CAPEX (정리)'!$B$79/10,0)</f>
        <v>6868.0316999999995</v>
      </c>
      <c r="K9" s="38">
        <f>IFERROR(INDEX('Cal-CAPEX (정리)'!$B$69:$AF$73,MATCH(BSpUECB_세액공제액!$A9,'Cal-CAPEX (정리)'!$A$69:$A$73,0),MATCH(BSpUECB_세액공제액!K$1,'Cal-CAPEX (정리)'!$B$68:$AF$68,0))*About!$B$93*'Cal-CAPEX (정리)'!$B$79/10,0)</f>
        <v>6868.0316999999995</v>
      </c>
      <c r="L9" s="38">
        <f>IFERROR(INDEX('Cal-CAPEX (정리)'!$B$69:$AF$73,MATCH(BSpUECB_세액공제액!$A9,'Cal-CAPEX (정리)'!$A$69:$A$73,0),MATCH(BSpUECB_세액공제액!L$1,'Cal-CAPEX (정리)'!$B$68:$AF$68,0))*About!$B$93*'Cal-CAPEX (정리)'!$B$79/10,0)</f>
        <v>6868.0316999999995</v>
      </c>
      <c r="M9" s="38">
        <f>IFERROR(INDEX('Cal-CAPEX (정리)'!$B$69:$AF$73,MATCH(BSpUECB_세액공제액!$A9,'Cal-CAPEX (정리)'!$A$69:$A$73,0),MATCH(BSpUECB_세액공제액!M$1,'Cal-CAPEX (정리)'!$B$68:$AF$68,0))*About!$B$93*'Cal-CAPEX (정리)'!$B$79/10,0)</f>
        <v>6868.0316999999995</v>
      </c>
      <c r="N9" s="38">
        <f>IFERROR(INDEX('Cal-CAPEX (정리)'!$B$69:$AF$73,MATCH(BSpUECB_세액공제액!$A9,'Cal-CAPEX (정리)'!$A$69:$A$73,0),MATCH(BSpUECB_세액공제액!N$1,'Cal-CAPEX (정리)'!$B$68:$AF$68,0))*About!$B$93*'Cal-CAPEX (정리)'!$B$79/10,0)</f>
        <v>6868.0316999999995</v>
      </c>
      <c r="O9" s="38">
        <f>IFERROR(INDEX('Cal-CAPEX (정리)'!$B$69:$AF$73,MATCH(BSpUECB_세액공제액!$A9,'Cal-CAPEX (정리)'!$A$69:$A$73,0),MATCH(BSpUECB_세액공제액!O$1,'Cal-CAPEX (정리)'!$B$68:$AF$68,0))*About!$B$93*'Cal-CAPEX (정리)'!$B$79/10,0)</f>
        <v>6868.0316999999995</v>
      </c>
      <c r="P9" s="38">
        <f>IFERROR(INDEX('Cal-CAPEX (정리)'!$B$69:$AF$73,MATCH(BSpUECB_세액공제액!$A9,'Cal-CAPEX (정리)'!$A$69:$A$73,0),MATCH(BSpUECB_세액공제액!P$1,'Cal-CAPEX (정리)'!$B$68:$AF$68,0))*About!$B$93*'Cal-CAPEX (정리)'!$B$79/10,0)</f>
        <v>6868.0316999999995</v>
      </c>
      <c r="Q9" s="38">
        <f>IFERROR(INDEX('Cal-CAPEX (정리)'!$B$69:$AF$73,MATCH(BSpUECB_세액공제액!$A9,'Cal-CAPEX (정리)'!$A$69:$A$73,0),MATCH(BSpUECB_세액공제액!Q$1,'Cal-CAPEX (정리)'!$B$68:$AF$68,0))*About!$B$93*'Cal-CAPEX (정리)'!$B$79/10,0)</f>
        <v>6868.0316999999995</v>
      </c>
      <c r="R9" s="38">
        <f>IFERROR(INDEX('Cal-CAPEX (정리)'!$B$69:$AF$73,MATCH(BSpUECB_세액공제액!$A9,'Cal-CAPEX (정리)'!$A$69:$A$73,0),MATCH(BSpUECB_세액공제액!R$1,'Cal-CAPEX (정리)'!$B$68:$AF$68,0))*About!$B$93*'Cal-CAPEX (정리)'!$B$79/10,0)</f>
        <v>6868.0316999999995</v>
      </c>
      <c r="S9" s="38">
        <f>IFERROR(INDEX('Cal-CAPEX (정리)'!$B$69:$AF$73,MATCH(BSpUECB_세액공제액!$A9,'Cal-CAPEX (정리)'!$A$69:$A$73,0),MATCH(BSpUECB_세액공제액!S$1,'Cal-CAPEX (정리)'!$B$68:$AF$68,0))*About!$B$93*'Cal-CAPEX (정리)'!$B$79/10,0)</f>
        <v>6868.0316999999995</v>
      </c>
      <c r="T9" s="38">
        <f>IFERROR(INDEX('Cal-CAPEX (정리)'!$B$69:$AF$73,MATCH(BSpUECB_세액공제액!$A9,'Cal-CAPEX (정리)'!$A$69:$A$73,0),MATCH(BSpUECB_세액공제액!T$1,'Cal-CAPEX (정리)'!$B$68:$AF$68,0))*About!$B$93*'Cal-CAPEX (정리)'!$B$79/10,0)</f>
        <v>6868.0316999999995</v>
      </c>
      <c r="U9" s="38">
        <f>IFERROR(INDEX('Cal-CAPEX (정리)'!$B$69:$AF$73,MATCH(BSpUECB_세액공제액!$A9,'Cal-CAPEX (정리)'!$A$69:$A$73,0),MATCH(BSpUECB_세액공제액!U$1,'Cal-CAPEX (정리)'!$B$68:$AF$68,0))*About!$B$93*'Cal-CAPEX (정리)'!$B$79/10,0)</f>
        <v>6868.0316999999995</v>
      </c>
      <c r="V9" s="38">
        <f>IFERROR(INDEX('Cal-CAPEX (정리)'!$B$69:$AF$73,MATCH(BSpUECB_세액공제액!$A9,'Cal-CAPEX (정리)'!$A$69:$A$73,0),MATCH(BSpUECB_세액공제액!V$1,'Cal-CAPEX (정리)'!$B$68:$AF$68,0))*About!$B$93*'Cal-CAPEX (정리)'!$B$79/10,0)</f>
        <v>6868.0316999999995</v>
      </c>
      <c r="W9" s="38">
        <f>IFERROR(INDEX('Cal-CAPEX (정리)'!$B$69:$AF$73,MATCH(BSpUECB_세액공제액!$A9,'Cal-CAPEX (정리)'!$A$69:$A$73,0),MATCH(BSpUECB_세액공제액!W$1,'Cal-CAPEX (정리)'!$B$68:$AF$68,0))*About!$B$93*'Cal-CAPEX (정리)'!$B$79/10,0)</f>
        <v>6868.0316999999995</v>
      </c>
      <c r="X9" s="38">
        <f>IFERROR(INDEX('Cal-CAPEX (정리)'!$B$69:$AF$73,MATCH(BSpUECB_세액공제액!$A9,'Cal-CAPEX (정리)'!$A$69:$A$73,0),MATCH(BSpUECB_세액공제액!X$1,'Cal-CAPEX (정리)'!$B$68:$AF$68,0))*About!$B$93*'Cal-CAPEX (정리)'!$B$79/10,0)</f>
        <v>6868.0316999999995</v>
      </c>
      <c r="Y9" s="38">
        <f>IFERROR(INDEX('Cal-CAPEX (정리)'!$B$69:$AF$73,MATCH(BSpUECB_세액공제액!$A9,'Cal-CAPEX (정리)'!$A$69:$A$73,0),MATCH(BSpUECB_세액공제액!Y$1,'Cal-CAPEX (정리)'!$B$68:$AF$68,0))*About!$B$93*'Cal-CAPEX (정리)'!$B$79/10,0)</f>
        <v>6868.0316999999995</v>
      </c>
      <c r="Z9" s="38">
        <f>IFERROR(INDEX('Cal-CAPEX (정리)'!$B$69:$AF$73,MATCH(BSpUECB_세액공제액!$A9,'Cal-CAPEX (정리)'!$A$69:$A$73,0),MATCH(BSpUECB_세액공제액!Z$1,'Cal-CAPEX (정리)'!$B$68:$AF$68,0))*About!$B$93*'Cal-CAPEX (정리)'!$B$79/10,0)</f>
        <v>6868.0316999999995</v>
      </c>
      <c r="AA9" s="38">
        <f>IFERROR(INDEX('Cal-CAPEX (정리)'!$B$69:$AF$73,MATCH(BSpUECB_세액공제액!$A9,'Cal-CAPEX (정리)'!$A$69:$A$73,0),MATCH(BSpUECB_세액공제액!AA$1,'Cal-CAPEX (정리)'!$B$68:$AF$68,0))*About!$B$93*'Cal-CAPEX (정리)'!$B$79/10,0)</f>
        <v>6868.0316999999995</v>
      </c>
      <c r="AB9" s="38">
        <f>IFERROR(INDEX('Cal-CAPEX (정리)'!$B$69:$AF$73,MATCH(BSpUECB_세액공제액!$A9,'Cal-CAPEX (정리)'!$A$69:$A$73,0),MATCH(BSpUECB_세액공제액!AB$1,'Cal-CAPEX (정리)'!$B$68:$AF$68,0))*About!$B$93*'Cal-CAPEX (정리)'!$B$79/10,0)</f>
        <v>6868.0316999999995</v>
      </c>
      <c r="AC9" s="38">
        <f>IFERROR(INDEX('Cal-CAPEX (정리)'!$B$69:$AF$73,MATCH(BSpUECB_세액공제액!$A9,'Cal-CAPEX (정리)'!$A$69:$A$73,0),MATCH(BSpUECB_세액공제액!AC$1,'Cal-CAPEX (정리)'!$B$68:$AF$68,0))*About!$B$93*'Cal-CAPEX (정리)'!$B$79/10,0)</f>
        <v>6868.0316999999995</v>
      </c>
      <c r="AD9" s="38">
        <f>IFERROR(INDEX('Cal-CAPEX (정리)'!$B$69:$AF$73,MATCH(BSpUECB_세액공제액!$A9,'Cal-CAPEX (정리)'!$A$69:$A$73,0),MATCH(BSpUECB_세액공제액!AD$1,'Cal-CAPEX (정리)'!$B$68:$AF$68,0))*About!$B$93*'Cal-CAPEX (정리)'!$B$79/10,0)</f>
        <v>6868.0316999999995</v>
      </c>
      <c r="AE9" s="38">
        <f>IFERROR(INDEX('Cal-CAPEX (정리)'!$B$69:$AF$73,MATCH(BSpUECB_세액공제액!$A9,'Cal-CAPEX (정리)'!$A$69:$A$73,0),MATCH(BSpUECB_세액공제액!AE$1,'Cal-CAPEX (정리)'!$B$68:$AF$68,0))*About!$B$93*'Cal-CAPEX (정리)'!$B$79/10,0)</f>
        <v>6868.0316999999995</v>
      </c>
      <c r="AF9" s="38">
        <f>IFERROR(INDEX('Cal-CAPEX (정리)'!$B$69:$AF$73,MATCH(BSpUECB_세액공제액!$A9,'Cal-CAPEX (정리)'!$A$69:$A$73,0),MATCH(BSpUECB_세액공제액!AF$1,'Cal-CAPEX (정리)'!$B$68:$AF$68,0))*About!$B$93*'Cal-CAPEX (정리)'!$B$79/10,0)</f>
        <v>6868.0316999999995</v>
      </c>
      <c r="AG9" s="38"/>
      <c r="AH9" s="38"/>
    </row>
    <row r="10" spans="1:34" ht="16.5" customHeight="1">
      <c r="A10" s="17" t="s">
        <v>186</v>
      </c>
      <c r="B10" s="38">
        <f>IFERROR(INDEX('Cal-CAPEX (정리)'!$B$69:$AF$73,MATCH(BSpUECB_세액공제액!$A10,'Cal-CAPEX (정리)'!$A$69:$A$73,0),MATCH(BSpUECB_세액공제액!B$1,'Cal-CAPEX (정리)'!$B$68:$AF$68,0))*About!$B$93*'Cal-CAPEX (정리)'!$B$79/10,0)</f>
        <v>0</v>
      </c>
      <c r="C10" s="38">
        <f>IFERROR(INDEX('Cal-CAPEX (정리)'!$B$69:$AF$73,MATCH(BSpUECB_세액공제액!$A10,'Cal-CAPEX (정리)'!$A$69:$A$73,0),MATCH(BSpUECB_세액공제액!C$1,'Cal-CAPEX (정리)'!$B$68:$AF$68,0))*About!$B$93*'Cal-CAPEX (정리)'!$B$79/10,0)</f>
        <v>0</v>
      </c>
      <c r="D10" s="38">
        <f>IFERROR(INDEX('Cal-CAPEX (정리)'!$B$69:$AF$73,MATCH(BSpUECB_세액공제액!$A10,'Cal-CAPEX (정리)'!$A$69:$A$73,0),MATCH(BSpUECB_세액공제액!D$1,'Cal-CAPEX (정리)'!$B$68:$AF$68,0))*About!$B$93*'Cal-CAPEX (정리)'!$B$79/10,0)</f>
        <v>0</v>
      </c>
      <c r="E10" s="38">
        <f>IFERROR(INDEX('Cal-CAPEX (정리)'!$B$69:$AF$73,MATCH(BSpUECB_세액공제액!$A10,'Cal-CAPEX (정리)'!$A$69:$A$73,0),MATCH(BSpUECB_세액공제액!E$1,'Cal-CAPEX (정리)'!$B$68:$AF$68,0))*About!$B$93*'Cal-CAPEX (정리)'!$B$79/10,0)</f>
        <v>0</v>
      </c>
      <c r="F10" s="38">
        <f>IFERROR(INDEX('Cal-CAPEX (정리)'!$B$69:$AF$73,MATCH(BSpUECB_세액공제액!$A10,'Cal-CAPEX (정리)'!$A$69:$A$73,0),MATCH(BSpUECB_세액공제액!F$1,'Cal-CAPEX (정리)'!$B$68:$AF$68,0))*About!$B$93*'Cal-CAPEX (정리)'!$B$79/10,0)</f>
        <v>0</v>
      </c>
      <c r="G10" s="38">
        <f>IFERROR(INDEX('Cal-CAPEX (정리)'!$B$69:$AF$73,MATCH(BSpUECB_세액공제액!$A10,'Cal-CAPEX (정리)'!$A$69:$A$73,0),MATCH(BSpUECB_세액공제액!G$1,'Cal-CAPEX (정리)'!$B$68:$AF$68,0))*About!$B$93*'Cal-CAPEX (정리)'!$B$79/10,0)</f>
        <v>0</v>
      </c>
      <c r="H10" s="38">
        <f>IFERROR(INDEX('Cal-CAPEX (정리)'!$B$69:$AF$73,MATCH(BSpUECB_세액공제액!$A10,'Cal-CAPEX (정리)'!$A$69:$A$73,0),MATCH(BSpUECB_세액공제액!H$1,'Cal-CAPEX (정리)'!$B$68:$AF$68,0))*About!$B$93*'Cal-CAPEX (정리)'!$B$79/10,0)</f>
        <v>0</v>
      </c>
      <c r="I10" s="38">
        <f>IFERROR(INDEX('Cal-CAPEX (정리)'!$B$69:$AF$73,MATCH(BSpUECB_세액공제액!$A10,'Cal-CAPEX (정리)'!$A$69:$A$73,0),MATCH(BSpUECB_세액공제액!I$1,'Cal-CAPEX (정리)'!$B$68:$AF$68,0))*About!$B$93*'Cal-CAPEX (정리)'!$B$79/10,0)</f>
        <v>0</v>
      </c>
      <c r="J10" s="38">
        <f>IFERROR(INDEX('Cal-CAPEX (정리)'!$B$69:$AF$73,MATCH(BSpUECB_세액공제액!$A10,'Cal-CAPEX (정리)'!$A$69:$A$73,0),MATCH(BSpUECB_세액공제액!J$1,'Cal-CAPEX (정리)'!$B$68:$AF$68,0))*About!$B$93*'Cal-CAPEX (정리)'!$B$79/10,0)</f>
        <v>0</v>
      </c>
      <c r="K10" s="38">
        <f>IFERROR(INDEX('Cal-CAPEX (정리)'!$B$69:$AF$73,MATCH(BSpUECB_세액공제액!$A10,'Cal-CAPEX (정리)'!$A$69:$A$73,0),MATCH(BSpUECB_세액공제액!K$1,'Cal-CAPEX (정리)'!$B$68:$AF$68,0))*About!$B$93*'Cal-CAPEX (정리)'!$B$79/10,0)</f>
        <v>0</v>
      </c>
      <c r="L10" s="38">
        <f>IFERROR(INDEX('Cal-CAPEX (정리)'!$B$69:$AF$73,MATCH(BSpUECB_세액공제액!$A10,'Cal-CAPEX (정리)'!$A$69:$A$73,0),MATCH(BSpUECB_세액공제액!L$1,'Cal-CAPEX (정리)'!$B$68:$AF$68,0))*About!$B$93*'Cal-CAPEX (정리)'!$B$79/10,0)</f>
        <v>0</v>
      </c>
      <c r="M10" s="38">
        <f>IFERROR(INDEX('Cal-CAPEX (정리)'!$B$69:$AF$73,MATCH(BSpUECB_세액공제액!$A10,'Cal-CAPEX (정리)'!$A$69:$A$73,0),MATCH(BSpUECB_세액공제액!M$1,'Cal-CAPEX (정리)'!$B$68:$AF$68,0))*About!$B$93*'Cal-CAPEX (정리)'!$B$79/10,0)</f>
        <v>0</v>
      </c>
      <c r="N10" s="38">
        <f>IFERROR(INDEX('Cal-CAPEX (정리)'!$B$69:$AF$73,MATCH(BSpUECB_세액공제액!$A10,'Cal-CAPEX (정리)'!$A$69:$A$73,0),MATCH(BSpUECB_세액공제액!N$1,'Cal-CAPEX (정리)'!$B$68:$AF$68,0))*About!$B$93*'Cal-CAPEX (정리)'!$B$79/10,0)</f>
        <v>0</v>
      </c>
      <c r="O10" s="38">
        <f>IFERROR(INDEX('Cal-CAPEX (정리)'!$B$69:$AF$73,MATCH(BSpUECB_세액공제액!$A10,'Cal-CAPEX (정리)'!$A$69:$A$73,0),MATCH(BSpUECB_세액공제액!O$1,'Cal-CAPEX (정리)'!$B$68:$AF$68,0))*About!$B$93*'Cal-CAPEX (정리)'!$B$79/10,0)</f>
        <v>0</v>
      </c>
      <c r="P10" s="38">
        <f>IFERROR(INDEX('Cal-CAPEX (정리)'!$B$69:$AF$73,MATCH(BSpUECB_세액공제액!$A10,'Cal-CAPEX (정리)'!$A$69:$A$73,0),MATCH(BSpUECB_세액공제액!P$1,'Cal-CAPEX (정리)'!$B$68:$AF$68,0))*About!$B$93*'Cal-CAPEX (정리)'!$B$79/10,0)</f>
        <v>0</v>
      </c>
      <c r="Q10" s="38">
        <f>IFERROR(INDEX('Cal-CAPEX (정리)'!$B$69:$AF$73,MATCH(BSpUECB_세액공제액!$A10,'Cal-CAPEX (정리)'!$A$69:$A$73,0),MATCH(BSpUECB_세액공제액!Q$1,'Cal-CAPEX (정리)'!$B$68:$AF$68,0))*About!$B$93*'Cal-CAPEX (정리)'!$B$79/10,0)</f>
        <v>0</v>
      </c>
      <c r="R10" s="38">
        <f>IFERROR(INDEX('Cal-CAPEX (정리)'!$B$69:$AF$73,MATCH(BSpUECB_세액공제액!$A10,'Cal-CAPEX (정리)'!$A$69:$A$73,0),MATCH(BSpUECB_세액공제액!R$1,'Cal-CAPEX (정리)'!$B$68:$AF$68,0))*About!$B$93*'Cal-CAPEX (정리)'!$B$79/10,0)</f>
        <v>0</v>
      </c>
      <c r="S10" s="38">
        <f>IFERROR(INDEX('Cal-CAPEX (정리)'!$B$69:$AF$73,MATCH(BSpUECB_세액공제액!$A10,'Cal-CAPEX (정리)'!$A$69:$A$73,0),MATCH(BSpUECB_세액공제액!S$1,'Cal-CAPEX (정리)'!$B$68:$AF$68,0))*About!$B$93*'Cal-CAPEX (정리)'!$B$79/10,0)</f>
        <v>0</v>
      </c>
      <c r="T10" s="38">
        <f>IFERROR(INDEX('Cal-CAPEX (정리)'!$B$69:$AF$73,MATCH(BSpUECB_세액공제액!$A10,'Cal-CAPEX (정리)'!$A$69:$A$73,0),MATCH(BSpUECB_세액공제액!T$1,'Cal-CAPEX (정리)'!$B$68:$AF$68,0))*About!$B$93*'Cal-CAPEX (정리)'!$B$79/10,0)</f>
        <v>0</v>
      </c>
      <c r="U10" s="38">
        <f>IFERROR(INDEX('Cal-CAPEX (정리)'!$B$69:$AF$73,MATCH(BSpUECB_세액공제액!$A10,'Cal-CAPEX (정리)'!$A$69:$A$73,0),MATCH(BSpUECB_세액공제액!U$1,'Cal-CAPEX (정리)'!$B$68:$AF$68,0))*About!$B$93*'Cal-CAPEX (정리)'!$B$79/10,0)</f>
        <v>0</v>
      </c>
      <c r="V10" s="38">
        <f>IFERROR(INDEX('Cal-CAPEX (정리)'!$B$69:$AF$73,MATCH(BSpUECB_세액공제액!$A10,'Cal-CAPEX (정리)'!$A$69:$A$73,0),MATCH(BSpUECB_세액공제액!V$1,'Cal-CAPEX (정리)'!$B$68:$AF$68,0))*About!$B$93*'Cal-CAPEX (정리)'!$B$79/10,0)</f>
        <v>0</v>
      </c>
      <c r="W10" s="38">
        <f>IFERROR(INDEX('Cal-CAPEX (정리)'!$B$69:$AF$73,MATCH(BSpUECB_세액공제액!$A10,'Cal-CAPEX (정리)'!$A$69:$A$73,0),MATCH(BSpUECB_세액공제액!W$1,'Cal-CAPEX (정리)'!$B$68:$AF$68,0))*About!$B$93*'Cal-CAPEX (정리)'!$B$79/10,0)</f>
        <v>0</v>
      </c>
      <c r="X10" s="38">
        <f>IFERROR(INDEX('Cal-CAPEX (정리)'!$B$69:$AF$73,MATCH(BSpUECB_세액공제액!$A10,'Cal-CAPEX (정리)'!$A$69:$A$73,0),MATCH(BSpUECB_세액공제액!X$1,'Cal-CAPEX (정리)'!$B$68:$AF$68,0))*About!$B$93*'Cal-CAPEX (정리)'!$B$79/10,0)</f>
        <v>0</v>
      </c>
      <c r="Y10" s="38">
        <f>IFERROR(INDEX('Cal-CAPEX (정리)'!$B$69:$AF$73,MATCH(BSpUECB_세액공제액!$A10,'Cal-CAPEX (정리)'!$A$69:$A$73,0),MATCH(BSpUECB_세액공제액!Y$1,'Cal-CAPEX (정리)'!$B$68:$AF$68,0))*About!$B$93*'Cal-CAPEX (정리)'!$B$79/10,0)</f>
        <v>0</v>
      </c>
      <c r="Z10" s="38">
        <f>IFERROR(INDEX('Cal-CAPEX (정리)'!$B$69:$AF$73,MATCH(BSpUECB_세액공제액!$A10,'Cal-CAPEX (정리)'!$A$69:$A$73,0),MATCH(BSpUECB_세액공제액!Z$1,'Cal-CAPEX (정리)'!$B$68:$AF$68,0))*About!$B$93*'Cal-CAPEX (정리)'!$B$79/10,0)</f>
        <v>0</v>
      </c>
      <c r="AA10" s="38">
        <f>IFERROR(INDEX('Cal-CAPEX (정리)'!$B$69:$AF$73,MATCH(BSpUECB_세액공제액!$A10,'Cal-CAPEX (정리)'!$A$69:$A$73,0),MATCH(BSpUECB_세액공제액!AA$1,'Cal-CAPEX (정리)'!$B$68:$AF$68,0))*About!$B$93*'Cal-CAPEX (정리)'!$B$79/10,0)</f>
        <v>0</v>
      </c>
      <c r="AB10" s="38">
        <f>IFERROR(INDEX('Cal-CAPEX (정리)'!$B$69:$AF$73,MATCH(BSpUECB_세액공제액!$A10,'Cal-CAPEX (정리)'!$A$69:$A$73,0),MATCH(BSpUECB_세액공제액!AB$1,'Cal-CAPEX (정리)'!$B$68:$AF$68,0))*About!$B$93*'Cal-CAPEX (정리)'!$B$79/10,0)</f>
        <v>0</v>
      </c>
      <c r="AC10" s="38">
        <f>IFERROR(INDEX('Cal-CAPEX (정리)'!$B$69:$AF$73,MATCH(BSpUECB_세액공제액!$A10,'Cal-CAPEX (정리)'!$A$69:$A$73,0),MATCH(BSpUECB_세액공제액!AC$1,'Cal-CAPEX (정리)'!$B$68:$AF$68,0))*About!$B$93*'Cal-CAPEX (정리)'!$B$79/10,0)</f>
        <v>0</v>
      </c>
      <c r="AD10" s="38">
        <f>IFERROR(INDEX('Cal-CAPEX (정리)'!$B$69:$AF$73,MATCH(BSpUECB_세액공제액!$A10,'Cal-CAPEX (정리)'!$A$69:$A$73,0),MATCH(BSpUECB_세액공제액!AD$1,'Cal-CAPEX (정리)'!$B$68:$AF$68,0))*About!$B$93*'Cal-CAPEX (정리)'!$B$79/10,0)</f>
        <v>0</v>
      </c>
      <c r="AE10" s="38">
        <f>IFERROR(INDEX('Cal-CAPEX (정리)'!$B$69:$AF$73,MATCH(BSpUECB_세액공제액!$A10,'Cal-CAPEX (정리)'!$A$69:$A$73,0),MATCH(BSpUECB_세액공제액!AE$1,'Cal-CAPEX (정리)'!$B$68:$AF$68,0))*About!$B$93*'Cal-CAPEX (정리)'!$B$79/10,0)</f>
        <v>0</v>
      </c>
      <c r="AF10" s="38">
        <f>IFERROR(INDEX('Cal-CAPEX (정리)'!$B$69:$AF$73,MATCH(BSpUECB_세액공제액!$A10,'Cal-CAPEX (정리)'!$A$69:$A$73,0),MATCH(BSpUECB_세액공제액!AF$1,'Cal-CAPEX (정리)'!$B$68:$AF$68,0))*About!$B$93*'Cal-CAPEX (정리)'!$B$79/10,0)</f>
        <v>0</v>
      </c>
      <c r="AG10" s="38"/>
      <c r="AH10" s="38"/>
    </row>
    <row r="11" spans="1:34" ht="16.5" customHeight="1">
      <c r="A11" s="17" t="s">
        <v>187</v>
      </c>
      <c r="B11" s="38">
        <f>IFERROR(INDEX('Cal-CAPEX (정리)'!$B$69:$AF$73,MATCH(BSpUECB_세액공제액!$A11,'Cal-CAPEX (정리)'!$A$69:$A$73,0),MATCH(BSpUECB_세액공제액!B$1,'Cal-CAPEX (정리)'!$B$68:$AF$68,0))*About!$B$93*'Cal-CAPEX (정리)'!$B$79/10,0)</f>
        <v>0</v>
      </c>
      <c r="C11" s="38">
        <f>IFERROR(INDEX('Cal-CAPEX (정리)'!$B$69:$AF$73,MATCH(BSpUECB_세액공제액!$A11,'Cal-CAPEX (정리)'!$A$69:$A$73,0),MATCH(BSpUECB_세액공제액!C$1,'Cal-CAPEX (정리)'!$B$68:$AF$68,0))*About!$B$93*'Cal-CAPEX (정리)'!$B$79/10,0)</f>
        <v>0</v>
      </c>
      <c r="D11" s="38">
        <f>IFERROR(INDEX('Cal-CAPEX (정리)'!$B$69:$AF$73,MATCH(BSpUECB_세액공제액!$A11,'Cal-CAPEX (정리)'!$A$69:$A$73,0),MATCH(BSpUECB_세액공제액!D$1,'Cal-CAPEX (정리)'!$B$68:$AF$68,0))*About!$B$93*'Cal-CAPEX (정리)'!$B$79/10,0)</f>
        <v>0</v>
      </c>
      <c r="E11" s="38">
        <f>IFERROR(INDEX('Cal-CAPEX (정리)'!$B$69:$AF$73,MATCH(BSpUECB_세액공제액!$A11,'Cal-CAPEX (정리)'!$A$69:$A$73,0),MATCH(BSpUECB_세액공제액!E$1,'Cal-CAPEX (정리)'!$B$68:$AF$68,0))*About!$B$93*'Cal-CAPEX (정리)'!$B$79/10,0)</f>
        <v>0</v>
      </c>
      <c r="F11" s="38">
        <f>IFERROR(INDEX('Cal-CAPEX (정리)'!$B$69:$AF$73,MATCH(BSpUECB_세액공제액!$A11,'Cal-CAPEX (정리)'!$A$69:$A$73,0),MATCH(BSpUECB_세액공제액!F$1,'Cal-CAPEX (정리)'!$B$68:$AF$68,0))*About!$B$93*'Cal-CAPEX (정리)'!$B$79/10,0)</f>
        <v>0</v>
      </c>
      <c r="G11" s="38">
        <f>IFERROR(INDEX('Cal-CAPEX (정리)'!$B$69:$AF$73,MATCH(BSpUECB_세액공제액!$A11,'Cal-CAPEX (정리)'!$A$69:$A$73,0),MATCH(BSpUECB_세액공제액!G$1,'Cal-CAPEX (정리)'!$B$68:$AF$68,0))*About!$B$93*'Cal-CAPEX (정리)'!$B$79/10,0)</f>
        <v>0</v>
      </c>
      <c r="H11" s="38">
        <f>IFERROR(INDEX('Cal-CAPEX (정리)'!$B$69:$AF$73,MATCH(BSpUECB_세액공제액!$A11,'Cal-CAPEX (정리)'!$A$69:$A$73,0),MATCH(BSpUECB_세액공제액!H$1,'Cal-CAPEX (정리)'!$B$68:$AF$68,0))*About!$B$93*'Cal-CAPEX (정리)'!$B$79/10,0)</f>
        <v>0</v>
      </c>
      <c r="I11" s="38">
        <f>IFERROR(INDEX('Cal-CAPEX (정리)'!$B$69:$AF$73,MATCH(BSpUECB_세액공제액!$A11,'Cal-CAPEX (정리)'!$A$69:$A$73,0),MATCH(BSpUECB_세액공제액!I$1,'Cal-CAPEX (정리)'!$B$68:$AF$68,0))*About!$B$93*'Cal-CAPEX (정리)'!$B$79/10,0)</f>
        <v>0</v>
      </c>
      <c r="J11" s="38">
        <f>IFERROR(INDEX('Cal-CAPEX (정리)'!$B$69:$AF$73,MATCH(BSpUECB_세액공제액!$A11,'Cal-CAPEX (정리)'!$A$69:$A$73,0),MATCH(BSpUECB_세액공제액!J$1,'Cal-CAPEX (정리)'!$B$68:$AF$68,0))*About!$B$93*'Cal-CAPEX (정리)'!$B$79/10,0)</f>
        <v>0</v>
      </c>
      <c r="K11" s="38">
        <f>IFERROR(INDEX('Cal-CAPEX (정리)'!$B$69:$AF$73,MATCH(BSpUECB_세액공제액!$A11,'Cal-CAPEX (정리)'!$A$69:$A$73,0),MATCH(BSpUECB_세액공제액!K$1,'Cal-CAPEX (정리)'!$B$68:$AF$68,0))*About!$B$93*'Cal-CAPEX (정리)'!$B$79/10,0)</f>
        <v>0</v>
      </c>
      <c r="L11" s="38">
        <f>IFERROR(INDEX('Cal-CAPEX (정리)'!$B$69:$AF$73,MATCH(BSpUECB_세액공제액!$A11,'Cal-CAPEX (정리)'!$A$69:$A$73,0),MATCH(BSpUECB_세액공제액!L$1,'Cal-CAPEX (정리)'!$B$68:$AF$68,0))*About!$B$93*'Cal-CAPEX (정리)'!$B$79/10,0)</f>
        <v>0</v>
      </c>
      <c r="M11" s="38">
        <f>IFERROR(INDEX('Cal-CAPEX (정리)'!$B$69:$AF$73,MATCH(BSpUECB_세액공제액!$A11,'Cal-CAPEX (정리)'!$A$69:$A$73,0),MATCH(BSpUECB_세액공제액!M$1,'Cal-CAPEX (정리)'!$B$68:$AF$68,0))*About!$B$93*'Cal-CAPEX (정리)'!$B$79/10,0)</f>
        <v>0</v>
      </c>
      <c r="N11" s="38">
        <f>IFERROR(INDEX('Cal-CAPEX (정리)'!$B$69:$AF$73,MATCH(BSpUECB_세액공제액!$A11,'Cal-CAPEX (정리)'!$A$69:$A$73,0),MATCH(BSpUECB_세액공제액!N$1,'Cal-CAPEX (정리)'!$B$68:$AF$68,0))*About!$B$93*'Cal-CAPEX (정리)'!$B$79/10,0)</f>
        <v>0</v>
      </c>
      <c r="O11" s="38">
        <f>IFERROR(INDEX('Cal-CAPEX (정리)'!$B$69:$AF$73,MATCH(BSpUECB_세액공제액!$A11,'Cal-CAPEX (정리)'!$A$69:$A$73,0),MATCH(BSpUECB_세액공제액!O$1,'Cal-CAPEX (정리)'!$B$68:$AF$68,0))*About!$B$93*'Cal-CAPEX (정리)'!$B$79/10,0)</f>
        <v>0</v>
      </c>
      <c r="P11" s="38">
        <f>IFERROR(INDEX('Cal-CAPEX (정리)'!$B$69:$AF$73,MATCH(BSpUECB_세액공제액!$A11,'Cal-CAPEX (정리)'!$A$69:$A$73,0),MATCH(BSpUECB_세액공제액!P$1,'Cal-CAPEX (정리)'!$B$68:$AF$68,0))*About!$B$93*'Cal-CAPEX (정리)'!$B$79/10,0)</f>
        <v>0</v>
      </c>
      <c r="Q11" s="38">
        <f>IFERROR(INDEX('Cal-CAPEX (정리)'!$B$69:$AF$73,MATCH(BSpUECB_세액공제액!$A11,'Cal-CAPEX (정리)'!$A$69:$A$73,0),MATCH(BSpUECB_세액공제액!Q$1,'Cal-CAPEX (정리)'!$B$68:$AF$68,0))*About!$B$93*'Cal-CAPEX (정리)'!$B$79/10,0)</f>
        <v>0</v>
      </c>
      <c r="R11" s="38">
        <f>IFERROR(INDEX('Cal-CAPEX (정리)'!$B$69:$AF$73,MATCH(BSpUECB_세액공제액!$A11,'Cal-CAPEX (정리)'!$A$69:$A$73,0),MATCH(BSpUECB_세액공제액!R$1,'Cal-CAPEX (정리)'!$B$68:$AF$68,0))*About!$B$93*'Cal-CAPEX (정리)'!$B$79/10,0)</f>
        <v>0</v>
      </c>
      <c r="S11" s="38">
        <f>IFERROR(INDEX('Cal-CAPEX (정리)'!$B$69:$AF$73,MATCH(BSpUECB_세액공제액!$A11,'Cal-CAPEX (정리)'!$A$69:$A$73,0),MATCH(BSpUECB_세액공제액!S$1,'Cal-CAPEX (정리)'!$B$68:$AF$68,0))*About!$B$93*'Cal-CAPEX (정리)'!$B$79/10,0)</f>
        <v>0</v>
      </c>
      <c r="T11" s="38">
        <f>IFERROR(INDEX('Cal-CAPEX (정리)'!$B$69:$AF$73,MATCH(BSpUECB_세액공제액!$A11,'Cal-CAPEX (정리)'!$A$69:$A$73,0),MATCH(BSpUECB_세액공제액!T$1,'Cal-CAPEX (정리)'!$B$68:$AF$68,0))*About!$B$93*'Cal-CAPEX (정리)'!$B$79/10,0)</f>
        <v>0</v>
      </c>
      <c r="U11" s="38">
        <f>IFERROR(INDEX('Cal-CAPEX (정리)'!$B$69:$AF$73,MATCH(BSpUECB_세액공제액!$A11,'Cal-CAPEX (정리)'!$A$69:$A$73,0),MATCH(BSpUECB_세액공제액!U$1,'Cal-CAPEX (정리)'!$B$68:$AF$68,0))*About!$B$93*'Cal-CAPEX (정리)'!$B$79/10,0)</f>
        <v>0</v>
      </c>
      <c r="V11" s="38">
        <f>IFERROR(INDEX('Cal-CAPEX (정리)'!$B$69:$AF$73,MATCH(BSpUECB_세액공제액!$A11,'Cal-CAPEX (정리)'!$A$69:$A$73,0),MATCH(BSpUECB_세액공제액!V$1,'Cal-CAPEX (정리)'!$B$68:$AF$68,0))*About!$B$93*'Cal-CAPEX (정리)'!$B$79/10,0)</f>
        <v>0</v>
      </c>
      <c r="W11" s="38">
        <f>IFERROR(INDEX('Cal-CAPEX (정리)'!$B$69:$AF$73,MATCH(BSpUECB_세액공제액!$A11,'Cal-CAPEX (정리)'!$A$69:$A$73,0),MATCH(BSpUECB_세액공제액!W$1,'Cal-CAPEX (정리)'!$B$68:$AF$68,0))*About!$B$93*'Cal-CAPEX (정리)'!$B$79/10,0)</f>
        <v>0</v>
      </c>
      <c r="X11" s="38">
        <f>IFERROR(INDEX('Cal-CAPEX (정리)'!$B$69:$AF$73,MATCH(BSpUECB_세액공제액!$A11,'Cal-CAPEX (정리)'!$A$69:$A$73,0),MATCH(BSpUECB_세액공제액!X$1,'Cal-CAPEX (정리)'!$B$68:$AF$68,0))*About!$B$93*'Cal-CAPEX (정리)'!$B$79/10,0)</f>
        <v>0</v>
      </c>
      <c r="Y11" s="38">
        <f>IFERROR(INDEX('Cal-CAPEX (정리)'!$B$69:$AF$73,MATCH(BSpUECB_세액공제액!$A11,'Cal-CAPEX (정리)'!$A$69:$A$73,0),MATCH(BSpUECB_세액공제액!Y$1,'Cal-CAPEX (정리)'!$B$68:$AF$68,0))*About!$B$93*'Cal-CAPEX (정리)'!$B$79/10,0)</f>
        <v>0</v>
      </c>
      <c r="Z11" s="38">
        <f>IFERROR(INDEX('Cal-CAPEX (정리)'!$B$69:$AF$73,MATCH(BSpUECB_세액공제액!$A11,'Cal-CAPEX (정리)'!$A$69:$A$73,0),MATCH(BSpUECB_세액공제액!Z$1,'Cal-CAPEX (정리)'!$B$68:$AF$68,0))*About!$B$93*'Cal-CAPEX (정리)'!$B$79/10,0)</f>
        <v>0</v>
      </c>
      <c r="AA11" s="38">
        <f>IFERROR(INDEX('Cal-CAPEX (정리)'!$B$69:$AF$73,MATCH(BSpUECB_세액공제액!$A11,'Cal-CAPEX (정리)'!$A$69:$A$73,0),MATCH(BSpUECB_세액공제액!AA$1,'Cal-CAPEX (정리)'!$B$68:$AF$68,0))*About!$B$93*'Cal-CAPEX (정리)'!$B$79/10,0)</f>
        <v>0</v>
      </c>
      <c r="AB11" s="38">
        <f>IFERROR(INDEX('Cal-CAPEX (정리)'!$B$69:$AF$73,MATCH(BSpUECB_세액공제액!$A11,'Cal-CAPEX (정리)'!$A$69:$A$73,0),MATCH(BSpUECB_세액공제액!AB$1,'Cal-CAPEX (정리)'!$B$68:$AF$68,0))*About!$B$93*'Cal-CAPEX (정리)'!$B$79/10,0)</f>
        <v>0</v>
      </c>
      <c r="AC11" s="38">
        <f>IFERROR(INDEX('Cal-CAPEX (정리)'!$B$69:$AF$73,MATCH(BSpUECB_세액공제액!$A11,'Cal-CAPEX (정리)'!$A$69:$A$73,0),MATCH(BSpUECB_세액공제액!AC$1,'Cal-CAPEX (정리)'!$B$68:$AF$68,0))*About!$B$93*'Cal-CAPEX (정리)'!$B$79/10,0)</f>
        <v>0</v>
      </c>
      <c r="AD11" s="38">
        <f>IFERROR(INDEX('Cal-CAPEX (정리)'!$B$69:$AF$73,MATCH(BSpUECB_세액공제액!$A11,'Cal-CAPEX (정리)'!$A$69:$A$73,0),MATCH(BSpUECB_세액공제액!AD$1,'Cal-CAPEX (정리)'!$B$68:$AF$68,0))*About!$B$93*'Cal-CAPEX (정리)'!$B$79/10,0)</f>
        <v>0</v>
      </c>
      <c r="AE11" s="38">
        <f>IFERROR(INDEX('Cal-CAPEX (정리)'!$B$69:$AF$73,MATCH(BSpUECB_세액공제액!$A11,'Cal-CAPEX (정리)'!$A$69:$A$73,0),MATCH(BSpUECB_세액공제액!AE$1,'Cal-CAPEX (정리)'!$B$68:$AF$68,0))*About!$B$93*'Cal-CAPEX (정리)'!$B$79/10,0)</f>
        <v>0</v>
      </c>
      <c r="AF11" s="38">
        <f>IFERROR(INDEX('Cal-CAPEX (정리)'!$B$69:$AF$73,MATCH(BSpUECB_세액공제액!$A11,'Cal-CAPEX (정리)'!$A$69:$A$73,0),MATCH(BSpUECB_세액공제액!AF$1,'Cal-CAPEX (정리)'!$B$68:$AF$68,0))*About!$B$93*'Cal-CAPEX (정리)'!$B$79/10,0)</f>
        <v>0</v>
      </c>
      <c r="AG11" s="38"/>
      <c r="AH11" s="38"/>
    </row>
    <row r="12" spans="1:34" ht="16.5" customHeight="1">
      <c r="A12" s="17" t="s">
        <v>188</v>
      </c>
      <c r="B12" s="38">
        <f>IFERROR(INDEX('Cal-CAPEX (정리)'!$B$69:$AF$73,MATCH(BSpUECB_세액공제액!$A12,'Cal-CAPEX (정리)'!$A$69:$A$73,0),MATCH(BSpUECB_세액공제액!B$1,'Cal-CAPEX (정리)'!$B$68:$AF$68,0))*About!$B$93*'Cal-CAPEX (정리)'!$B$79/10,0)</f>
        <v>0</v>
      </c>
      <c r="C12" s="38">
        <f>IFERROR(INDEX('Cal-CAPEX (정리)'!$B$69:$AF$73,MATCH(BSpUECB_세액공제액!$A12,'Cal-CAPEX (정리)'!$A$69:$A$73,0),MATCH(BSpUECB_세액공제액!C$1,'Cal-CAPEX (정리)'!$B$68:$AF$68,0))*About!$B$93*'Cal-CAPEX (정리)'!$B$79/10,0)</f>
        <v>0</v>
      </c>
      <c r="D12" s="38">
        <f>IFERROR(INDEX('Cal-CAPEX (정리)'!$B$69:$AF$73,MATCH(BSpUECB_세액공제액!$A12,'Cal-CAPEX (정리)'!$A$69:$A$73,0),MATCH(BSpUECB_세액공제액!D$1,'Cal-CAPEX (정리)'!$B$68:$AF$68,0))*About!$B$93*'Cal-CAPEX (정리)'!$B$79/10,0)</f>
        <v>0</v>
      </c>
      <c r="E12" s="38">
        <f>IFERROR(INDEX('Cal-CAPEX (정리)'!$B$69:$AF$73,MATCH(BSpUECB_세액공제액!$A12,'Cal-CAPEX (정리)'!$A$69:$A$73,0),MATCH(BSpUECB_세액공제액!E$1,'Cal-CAPEX (정리)'!$B$68:$AF$68,0))*About!$B$93*'Cal-CAPEX (정리)'!$B$79/10,0)</f>
        <v>0</v>
      </c>
      <c r="F12" s="38">
        <f>IFERROR(INDEX('Cal-CAPEX (정리)'!$B$69:$AF$73,MATCH(BSpUECB_세액공제액!$A12,'Cal-CAPEX (정리)'!$A$69:$A$73,0),MATCH(BSpUECB_세액공제액!F$1,'Cal-CAPEX (정리)'!$B$68:$AF$68,0))*About!$B$93*'Cal-CAPEX (정리)'!$B$79/10,0)</f>
        <v>0</v>
      </c>
      <c r="G12" s="38">
        <f>IFERROR(INDEX('Cal-CAPEX (정리)'!$B$69:$AF$73,MATCH(BSpUECB_세액공제액!$A12,'Cal-CAPEX (정리)'!$A$69:$A$73,0),MATCH(BSpUECB_세액공제액!G$1,'Cal-CAPEX (정리)'!$B$68:$AF$68,0))*About!$B$93*'Cal-CAPEX (정리)'!$B$79/10,0)</f>
        <v>0</v>
      </c>
      <c r="H12" s="38">
        <f>IFERROR(INDEX('Cal-CAPEX (정리)'!$B$69:$AF$73,MATCH(BSpUECB_세액공제액!$A12,'Cal-CAPEX (정리)'!$A$69:$A$73,0),MATCH(BSpUECB_세액공제액!H$1,'Cal-CAPEX (정리)'!$B$68:$AF$68,0))*About!$B$93*'Cal-CAPEX (정리)'!$B$79/10,0)</f>
        <v>0</v>
      </c>
      <c r="I12" s="38">
        <f>IFERROR(INDEX('Cal-CAPEX (정리)'!$B$69:$AF$73,MATCH(BSpUECB_세액공제액!$A12,'Cal-CAPEX (정리)'!$A$69:$A$73,0),MATCH(BSpUECB_세액공제액!I$1,'Cal-CAPEX (정리)'!$B$68:$AF$68,0))*About!$B$93*'Cal-CAPEX (정리)'!$B$79/10,0)</f>
        <v>0</v>
      </c>
      <c r="J12" s="38">
        <f>IFERROR(INDEX('Cal-CAPEX (정리)'!$B$69:$AF$73,MATCH(BSpUECB_세액공제액!$A12,'Cal-CAPEX (정리)'!$A$69:$A$73,0),MATCH(BSpUECB_세액공제액!J$1,'Cal-CAPEX (정리)'!$B$68:$AF$68,0))*About!$B$93*'Cal-CAPEX (정리)'!$B$79/10,0)</f>
        <v>0</v>
      </c>
      <c r="K12" s="38">
        <f>IFERROR(INDEX('Cal-CAPEX (정리)'!$B$69:$AF$73,MATCH(BSpUECB_세액공제액!$A12,'Cal-CAPEX (정리)'!$A$69:$A$73,0),MATCH(BSpUECB_세액공제액!K$1,'Cal-CAPEX (정리)'!$B$68:$AF$68,0))*About!$B$93*'Cal-CAPEX (정리)'!$B$79/10,0)</f>
        <v>0</v>
      </c>
      <c r="L12" s="38">
        <f>IFERROR(INDEX('Cal-CAPEX (정리)'!$B$69:$AF$73,MATCH(BSpUECB_세액공제액!$A12,'Cal-CAPEX (정리)'!$A$69:$A$73,0),MATCH(BSpUECB_세액공제액!L$1,'Cal-CAPEX (정리)'!$B$68:$AF$68,0))*About!$B$93*'Cal-CAPEX (정리)'!$B$79/10,0)</f>
        <v>0</v>
      </c>
      <c r="M12" s="38">
        <f>IFERROR(INDEX('Cal-CAPEX (정리)'!$B$69:$AF$73,MATCH(BSpUECB_세액공제액!$A12,'Cal-CAPEX (정리)'!$A$69:$A$73,0),MATCH(BSpUECB_세액공제액!M$1,'Cal-CAPEX (정리)'!$B$68:$AF$68,0))*About!$B$93*'Cal-CAPEX (정리)'!$B$79/10,0)</f>
        <v>0</v>
      </c>
      <c r="N12" s="38">
        <f>IFERROR(INDEX('Cal-CAPEX (정리)'!$B$69:$AF$73,MATCH(BSpUECB_세액공제액!$A12,'Cal-CAPEX (정리)'!$A$69:$A$73,0),MATCH(BSpUECB_세액공제액!N$1,'Cal-CAPEX (정리)'!$B$68:$AF$68,0))*About!$B$93*'Cal-CAPEX (정리)'!$B$79/10,0)</f>
        <v>0</v>
      </c>
      <c r="O12" s="38">
        <f>IFERROR(INDEX('Cal-CAPEX (정리)'!$B$69:$AF$73,MATCH(BSpUECB_세액공제액!$A12,'Cal-CAPEX (정리)'!$A$69:$A$73,0),MATCH(BSpUECB_세액공제액!O$1,'Cal-CAPEX (정리)'!$B$68:$AF$68,0))*About!$B$93*'Cal-CAPEX (정리)'!$B$79/10,0)</f>
        <v>0</v>
      </c>
      <c r="P12" s="38">
        <f>IFERROR(INDEX('Cal-CAPEX (정리)'!$B$69:$AF$73,MATCH(BSpUECB_세액공제액!$A12,'Cal-CAPEX (정리)'!$A$69:$A$73,0),MATCH(BSpUECB_세액공제액!P$1,'Cal-CAPEX (정리)'!$B$68:$AF$68,0))*About!$B$93*'Cal-CAPEX (정리)'!$B$79/10,0)</f>
        <v>0</v>
      </c>
      <c r="Q12" s="38">
        <f>IFERROR(INDEX('Cal-CAPEX (정리)'!$B$69:$AF$73,MATCH(BSpUECB_세액공제액!$A12,'Cal-CAPEX (정리)'!$A$69:$A$73,0),MATCH(BSpUECB_세액공제액!Q$1,'Cal-CAPEX (정리)'!$B$68:$AF$68,0))*About!$B$93*'Cal-CAPEX (정리)'!$B$79/10,0)</f>
        <v>0</v>
      </c>
      <c r="R12" s="38">
        <f>IFERROR(INDEX('Cal-CAPEX (정리)'!$B$69:$AF$73,MATCH(BSpUECB_세액공제액!$A12,'Cal-CAPEX (정리)'!$A$69:$A$73,0),MATCH(BSpUECB_세액공제액!R$1,'Cal-CAPEX (정리)'!$B$68:$AF$68,0))*About!$B$93*'Cal-CAPEX (정리)'!$B$79/10,0)</f>
        <v>0</v>
      </c>
      <c r="S12" s="38">
        <f>IFERROR(INDEX('Cal-CAPEX (정리)'!$B$69:$AF$73,MATCH(BSpUECB_세액공제액!$A12,'Cal-CAPEX (정리)'!$A$69:$A$73,0),MATCH(BSpUECB_세액공제액!S$1,'Cal-CAPEX (정리)'!$B$68:$AF$68,0))*About!$B$93*'Cal-CAPEX (정리)'!$B$79/10,0)</f>
        <v>0</v>
      </c>
      <c r="T12" s="38">
        <f>IFERROR(INDEX('Cal-CAPEX (정리)'!$B$69:$AF$73,MATCH(BSpUECB_세액공제액!$A12,'Cal-CAPEX (정리)'!$A$69:$A$73,0),MATCH(BSpUECB_세액공제액!T$1,'Cal-CAPEX (정리)'!$B$68:$AF$68,0))*About!$B$93*'Cal-CAPEX (정리)'!$B$79/10,0)</f>
        <v>0</v>
      </c>
      <c r="U12" s="38">
        <f>IFERROR(INDEX('Cal-CAPEX (정리)'!$B$69:$AF$73,MATCH(BSpUECB_세액공제액!$A12,'Cal-CAPEX (정리)'!$A$69:$A$73,0),MATCH(BSpUECB_세액공제액!U$1,'Cal-CAPEX (정리)'!$B$68:$AF$68,0))*About!$B$93*'Cal-CAPEX (정리)'!$B$79/10,0)</f>
        <v>0</v>
      </c>
      <c r="V12" s="38">
        <f>IFERROR(INDEX('Cal-CAPEX (정리)'!$B$69:$AF$73,MATCH(BSpUECB_세액공제액!$A12,'Cal-CAPEX (정리)'!$A$69:$A$73,0),MATCH(BSpUECB_세액공제액!V$1,'Cal-CAPEX (정리)'!$B$68:$AF$68,0))*About!$B$93*'Cal-CAPEX (정리)'!$B$79/10,0)</f>
        <v>0</v>
      </c>
      <c r="W12" s="38">
        <f>IFERROR(INDEX('Cal-CAPEX (정리)'!$B$69:$AF$73,MATCH(BSpUECB_세액공제액!$A12,'Cal-CAPEX (정리)'!$A$69:$A$73,0),MATCH(BSpUECB_세액공제액!W$1,'Cal-CAPEX (정리)'!$B$68:$AF$68,0))*About!$B$93*'Cal-CAPEX (정리)'!$B$79/10,0)</f>
        <v>0</v>
      </c>
      <c r="X12" s="38">
        <f>IFERROR(INDEX('Cal-CAPEX (정리)'!$B$69:$AF$73,MATCH(BSpUECB_세액공제액!$A12,'Cal-CAPEX (정리)'!$A$69:$A$73,0),MATCH(BSpUECB_세액공제액!X$1,'Cal-CAPEX (정리)'!$B$68:$AF$68,0))*About!$B$93*'Cal-CAPEX (정리)'!$B$79/10,0)</f>
        <v>0</v>
      </c>
      <c r="Y12" s="38">
        <f>IFERROR(INDEX('Cal-CAPEX (정리)'!$B$69:$AF$73,MATCH(BSpUECB_세액공제액!$A12,'Cal-CAPEX (정리)'!$A$69:$A$73,0),MATCH(BSpUECB_세액공제액!Y$1,'Cal-CAPEX (정리)'!$B$68:$AF$68,0))*About!$B$93*'Cal-CAPEX (정리)'!$B$79/10,0)</f>
        <v>0</v>
      </c>
      <c r="Z12" s="38">
        <f>IFERROR(INDEX('Cal-CAPEX (정리)'!$B$69:$AF$73,MATCH(BSpUECB_세액공제액!$A12,'Cal-CAPEX (정리)'!$A$69:$A$73,0),MATCH(BSpUECB_세액공제액!Z$1,'Cal-CAPEX (정리)'!$B$68:$AF$68,0))*About!$B$93*'Cal-CAPEX (정리)'!$B$79/10,0)</f>
        <v>0</v>
      </c>
      <c r="AA12" s="38">
        <f>IFERROR(INDEX('Cal-CAPEX (정리)'!$B$69:$AF$73,MATCH(BSpUECB_세액공제액!$A12,'Cal-CAPEX (정리)'!$A$69:$A$73,0),MATCH(BSpUECB_세액공제액!AA$1,'Cal-CAPEX (정리)'!$B$68:$AF$68,0))*About!$B$93*'Cal-CAPEX (정리)'!$B$79/10,0)</f>
        <v>0</v>
      </c>
      <c r="AB12" s="38">
        <f>IFERROR(INDEX('Cal-CAPEX (정리)'!$B$69:$AF$73,MATCH(BSpUECB_세액공제액!$A12,'Cal-CAPEX (정리)'!$A$69:$A$73,0),MATCH(BSpUECB_세액공제액!AB$1,'Cal-CAPEX (정리)'!$B$68:$AF$68,0))*About!$B$93*'Cal-CAPEX (정리)'!$B$79/10,0)</f>
        <v>0</v>
      </c>
      <c r="AC12" s="38">
        <f>IFERROR(INDEX('Cal-CAPEX (정리)'!$B$69:$AF$73,MATCH(BSpUECB_세액공제액!$A12,'Cal-CAPEX (정리)'!$A$69:$A$73,0),MATCH(BSpUECB_세액공제액!AC$1,'Cal-CAPEX (정리)'!$B$68:$AF$68,0))*About!$B$93*'Cal-CAPEX (정리)'!$B$79/10,0)</f>
        <v>0</v>
      </c>
      <c r="AD12" s="38">
        <f>IFERROR(INDEX('Cal-CAPEX (정리)'!$B$69:$AF$73,MATCH(BSpUECB_세액공제액!$A12,'Cal-CAPEX (정리)'!$A$69:$A$73,0),MATCH(BSpUECB_세액공제액!AD$1,'Cal-CAPEX (정리)'!$B$68:$AF$68,0))*About!$B$93*'Cal-CAPEX (정리)'!$B$79/10,0)</f>
        <v>0</v>
      </c>
      <c r="AE12" s="38">
        <f>IFERROR(INDEX('Cal-CAPEX (정리)'!$B$69:$AF$73,MATCH(BSpUECB_세액공제액!$A12,'Cal-CAPEX (정리)'!$A$69:$A$73,0),MATCH(BSpUECB_세액공제액!AE$1,'Cal-CAPEX (정리)'!$B$68:$AF$68,0))*About!$B$93*'Cal-CAPEX (정리)'!$B$79/10,0)</f>
        <v>0</v>
      </c>
      <c r="AF12" s="38">
        <f>IFERROR(INDEX('Cal-CAPEX (정리)'!$B$69:$AF$73,MATCH(BSpUECB_세액공제액!$A12,'Cal-CAPEX (정리)'!$A$69:$A$73,0),MATCH(BSpUECB_세액공제액!AF$1,'Cal-CAPEX (정리)'!$B$68:$AF$68,0))*About!$B$93*'Cal-CAPEX (정리)'!$B$79/10,0)</f>
        <v>0</v>
      </c>
      <c r="AG12" s="38"/>
      <c r="AH12" s="38"/>
    </row>
    <row r="13" spans="1:34" ht="16.5" customHeight="1">
      <c r="A13" s="17" t="s">
        <v>189</v>
      </c>
      <c r="B13" s="38">
        <f>IFERROR(INDEX('Cal-CAPEX (정리)'!$B$69:$AF$73,MATCH(BSpUECB_세액공제액!$A13,'Cal-CAPEX (정리)'!$A$69:$A$73,0),MATCH(BSpUECB_세액공제액!B$1,'Cal-CAPEX (정리)'!$B$68:$AF$68,0))*About!$B$93*'Cal-CAPEX (정리)'!$B$79/10,0)</f>
        <v>0</v>
      </c>
      <c r="C13" s="38">
        <f>IFERROR(INDEX('Cal-CAPEX (정리)'!$B$69:$AF$73,MATCH(BSpUECB_세액공제액!$A13,'Cal-CAPEX (정리)'!$A$69:$A$73,0),MATCH(BSpUECB_세액공제액!C$1,'Cal-CAPEX (정리)'!$B$68:$AF$68,0))*About!$B$93*'Cal-CAPEX (정리)'!$B$79/10,0)</f>
        <v>0</v>
      </c>
      <c r="D13" s="38">
        <f>IFERROR(INDEX('Cal-CAPEX (정리)'!$B$69:$AF$73,MATCH(BSpUECB_세액공제액!$A13,'Cal-CAPEX (정리)'!$A$69:$A$73,0),MATCH(BSpUECB_세액공제액!D$1,'Cal-CAPEX (정리)'!$B$68:$AF$68,0))*About!$B$93*'Cal-CAPEX (정리)'!$B$79/10,0)</f>
        <v>0</v>
      </c>
      <c r="E13" s="38">
        <f>IFERROR(INDEX('Cal-CAPEX (정리)'!$B$69:$AF$73,MATCH(BSpUECB_세액공제액!$A13,'Cal-CAPEX (정리)'!$A$69:$A$73,0),MATCH(BSpUECB_세액공제액!E$1,'Cal-CAPEX (정리)'!$B$68:$AF$68,0))*About!$B$93*'Cal-CAPEX (정리)'!$B$79/10,0)</f>
        <v>0</v>
      </c>
      <c r="F13" s="38">
        <f>IFERROR(INDEX('Cal-CAPEX (정리)'!$B$69:$AF$73,MATCH(BSpUECB_세액공제액!$A13,'Cal-CAPEX (정리)'!$A$69:$A$73,0),MATCH(BSpUECB_세액공제액!F$1,'Cal-CAPEX (정리)'!$B$68:$AF$68,0))*About!$B$93*'Cal-CAPEX (정리)'!$B$79/10,0)</f>
        <v>0</v>
      </c>
      <c r="G13" s="38">
        <f>IFERROR(INDEX('Cal-CAPEX (정리)'!$B$69:$AF$73,MATCH(BSpUECB_세액공제액!$A13,'Cal-CAPEX (정리)'!$A$69:$A$73,0),MATCH(BSpUECB_세액공제액!G$1,'Cal-CAPEX (정리)'!$B$68:$AF$68,0))*About!$B$93*'Cal-CAPEX (정리)'!$B$79/10,0)</f>
        <v>0</v>
      </c>
      <c r="H13" s="38">
        <f>IFERROR(INDEX('Cal-CAPEX (정리)'!$B$69:$AF$73,MATCH(BSpUECB_세액공제액!$A13,'Cal-CAPEX (정리)'!$A$69:$A$73,0),MATCH(BSpUECB_세액공제액!H$1,'Cal-CAPEX (정리)'!$B$68:$AF$68,0))*About!$B$93*'Cal-CAPEX (정리)'!$B$79/10,0)</f>
        <v>0</v>
      </c>
      <c r="I13" s="38">
        <f>IFERROR(INDEX('Cal-CAPEX (정리)'!$B$69:$AF$73,MATCH(BSpUECB_세액공제액!$A13,'Cal-CAPEX (정리)'!$A$69:$A$73,0),MATCH(BSpUECB_세액공제액!I$1,'Cal-CAPEX (정리)'!$B$68:$AF$68,0))*About!$B$93*'Cal-CAPEX (정리)'!$B$79/10,0)</f>
        <v>0</v>
      </c>
      <c r="J13" s="38">
        <f>IFERROR(INDEX('Cal-CAPEX (정리)'!$B$69:$AF$73,MATCH(BSpUECB_세액공제액!$A13,'Cal-CAPEX (정리)'!$A$69:$A$73,0),MATCH(BSpUECB_세액공제액!J$1,'Cal-CAPEX (정리)'!$B$68:$AF$68,0))*About!$B$93*'Cal-CAPEX (정리)'!$B$79/10,0)</f>
        <v>0</v>
      </c>
      <c r="K13" s="38">
        <f>IFERROR(INDEX('Cal-CAPEX (정리)'!$B$69:$AF$73,MATCH(BSpUECB_세액공제액!$A13,'Cal-CAPEX (정리)'!$A$69:$A$73,0),MATCH(BSpUECB_세액공제액!K$1,'Cal-CAPEX (정리)'!$B$68:$AF$68,0))*About!$B$93*'Cal-CAPEX (정리)'!$B$79/10,0)</f>
        <v>0</v>
      </c>
      <c r="L13" s="38">
        <f>IFERROR(INDEX('Cal-CAPEX (정리)'!$B$69:$AF$73,MATCH(BSpUECB_세액공제액!$A13,'Cal-CAPEX (정리)'!$A$69:$A$73,0),MATCH(BSpUECB_세액공제액!L$1,'Cal-CAPEX (정리)'!$B$68:$AF$68,0))*About!$B$93*'Cal-CAPEX (정리)'!$B$79/10,0)</f>
        <v>0</v>
      </c>
      <c r="M13" s="38">
        <f>IFERROR(INDEX('Cal-CAPEX (정리)'!$B$69:$AF$73,MATCH(BSpUECB_세액공제액!$A13,'Cal-CAPEX (정리)'!$A$69:$A$73,0),MATCH(BSpUECB_세액공제액!M$1,'Cal-CAPEX (정리)'!$B$68:$AF$68,0))*About!$B$93*'Cal-CAPEX (정리)'!$B$79/10,0)</f>
        <v>0</v>
      </c>
      <c r="N13" s="38">
        <f>IFERROR(INDEX('Cal-CAPEX (정리)'!$B$69:$AF$73,MATCH(BSpUECB_세액공제액!$A13,'Cal-CAPEX (정리)'!$A$69:$A$73,0),MATCH(BSpUECB_세액공제액!N$1,'Cal-CAPEX (정리)'!$B$68:$AF$68,0))*About!$B$93*'Cal-CAPEX (정리)'!$B$79/10,0)</f>
        <v>0</v>
      </c>
      <c r="O13" s="38">
        <f>IFERROR(INDEX('Cal-CAPEX (정리)'!$B$69:$AF$73,MATCH(BSpUECB_세액공제액!$A13,'Cal-CAPEX (정리)'!$A$69:$A$73,0),MATCH(BSpUECB_세액공제액!O$1,'Cal-CAPEX (정리)'!$B$68:$AF$68,0))*About!$B$93*'Cal-CAPEX (정리)'!$B$79/10,0)</f>
        <v>0</v>
      </c>
      <c r="P13" s="38">
        <f>IFERROR(INDEX('Cal-CAPEX (정리)'!$B$69:$AF$73,MATCH(BSpUECB_세액공제액!$A13,'Cal-CAPEX (정리)'!$A$69:$A$73,0),MATCH(BSpUECB_세액공제액!P$1,'Cal-CAPEX (정리)'!$B$68:$AF$68,0))*About!$B$93*'Cal-CAPEX (정리)'!$B$79/10,0)</f>
        <v>0</v>
      </c>
      <c r="Q13" s="38">
        <f>IFERROR(INDEX('Cal-CAPEX (정리)'!$B$69:$AF$73,MATCH(BSpUECB_세액공제액!$A13,'Cal-CAPEX (정리)'!$A$69:$A$73,0),MATCH(BSpUECB_세액공제액!Q$1,'Cal-CAPEX (정리)'!$B$68:$AF$68,0))*About!$B$93*'Cal-CAPEX (정리)'!$B$79/10,0)</f>
        <v>0</v>
      </c>
      <c r="R13" s="38">
        <f>IFERROR(INDEX('Cal-CAPEX (정리)'!$B$69:$AF$73,MATCH(BSpUECB_세액공제액!$A13,'Cal-CAPEX (정리)'!$A$69:$A$73,0),MATCH(BSpUECB_세액공제액!R$1,'Cal-CAPEX (정리)'!$B$68:$AF$68,0))*About!$B$93*'Cal-CAPEX (정리)'!$B$79/10,0)</f>
        <v>0</v>
      </c>
      <c r="S13" s="38">
        <f>IFERROR(INDEX('Cal-CAPEX (정리)'!$B$69:$AF$73,MATCH(BSpUECB_세액공제액!$A13,'Cal-CAPEX (정리)'!$A$69:$A$73,0),MATCH(BSpUECB_세액공제액!S$1,'Cal-CAPEX (정리)'!$B$68:$AF$68,0))*About!$B$93*'Cal-CAPEX (정리)'!$B$79/10,0)</f>
        <v>0</v>
      </c>
      <c r="T13" s="38">
        <f>IFERROR(INDEX('Cal-CAPEX (정리)'!$B$69:$AF$73,MATCH(BSpUECB_세액공제액!$A13,'Cal-CAPEX (정리)'!$A$69:$A$73,0),MATCH(BSpUECB_세액공제액!T$1,'Cal-CAPEX (정리)'!$B$68:$AF$68,0))*About!$B$93*'Cal-CAPEX (정리)'!$B$79/10,0)</f>
        <v>0</v>
      </c>
      <c r="U13" s="38">
        <f>IFERROR(INDEX('Cal-CAPEX (정리)'!$B$69:$AF$73,MATCH(BSpUECB_세액공제액!$A13,'Cal-CAPEX (정리)'!$A$69:$A$73,0),MATCH(BSpUECB_세액공제액!U$1,'Cal-CAPEX (정리)'!$B$68:$AF$68,0))*About!$B$93*'Cal-CAPEX (정리)'!$B$79/10,0)</f>
        <v>0</v>
      </c>
      <c r="V13" s="38">
        <f>IFERROR(INDEX('Cal-CAPEX (정리)'!$B$69:$AF$73,MATCH(BSpUECB_세액공제액!$A13,'Cal-CAPEX (정리)'!$A$69:$A$73,0),MATCH(BSpUECB_세액공제액!V$1,'Cal-CAPEX (정리)'!$B$68:$AF$68,0))*About!$B$93*'Cal-CAPEX (정리)'!$B$79/10,0)</f>
        <v>0</v>
      </c>
      <c r="W13" s="38">
        <f>IFERROR(INDEX('Cal-CAPEX (정리)'!$B$69:$AF$73,MATCH(BSpUECB_세액공제액!$A13,'Cal-CAPEX (정리)'!$A$69:$A$73,0),MATCH(BSpUECB_세액공제액!W$1,'Cal-CAPEX (정리)'!$B$68:$AF$68,0))*About!$B$93*'Cal-CAPEX (정리)'!$B$79/10,0)</f>
        <v>0</v>
      </c>
      <c r="X13" s="38">
        <f>IFERROR(INDEX('Cal-CAPEX (정리)'!$B$69:$AF$73,MATCH(BSpUECB_세액공제액!$A13,'Cal-CAPEX (정리)'!$A$69:$A$73,0),MATCH(BSpUECB_세액공제액!X$1,'Cal-CAPEX (정리)'!$B$68:$AF$68,0))*About!$B$93*'Cal-CAPEX (정리)'!$B$79/10,0)</f>
        <v>0</v>
      </c>
      <c r="Y13" s="38">
        <f>IFERROR(INDEX('Cal-CAPEX (정리)'!$B$69:$AF$73,MATCH(BSpUECB_세액공제액!$A13,'Cal-CAPEX (정리)'!$A$69:$A$73,0),MATCH(BSpUECB_세액공제액!Y$1,'Cal-CAPEX (정리)'!$B$68:$AF$68,0))*About!$B$93*'Cal-CAPEX (정리)'!$B$79/10,0)</f>
        <v>0</v>
      </c>
      <c r="Z13" s="38">
        <f>IFERROR(INDEX('Cal-CAPEX (정리)'!$B$69:$AF$73,MATCH(BSpUECB_세액공제액!$A13,'Cal-CAPEX (정리)'!$A$69:$A$73,0),MATCH(BSpUECB_세액공제액!Z$1,'Cal-CAPEX (정리)'!$B$68:$AF$68,0))*About!$B$93*'Cal-CAPEX (정리)'!$B$79/10,0)</f>
        <v>0</v>
      </c>
      <c r="AA13" s="38">
        <f>IFERROR(INDEX('Cal-CAPEX (정리)'!$B$69:$AF$73,MATCH(BSpUECB_세액공제액!$A13,'Cal-CAPEX (정리)'!$A$69:$A$73,0),MATCH(BSpUECB_세액공제액!AA$1,'Cal-CAPEX (정리)'!$B$68:$AF$68,0))*About!$B$93*'Cal-CAPEX (정리)'!$B$79/10,0)</f>
        <v>0</v>
      </c>
      <c r="AB13" s="38">
        <f>IFERROR(INDEX('Cal-CAPEX (정리)'!$B$69:$AF$73,MATCH(BSpUECB_세액공제액!$A13,'Cal-CAPEX (정리)'!$A$69:$A$73,0),MATCH(BSpUECB_세액공제액!AB$1,'Cal-CAPEX (정리)'!$B$68:$AF$68,0))*About!$B$93*'Cal-CAPEX (정리)'!$B$79/10,0)</f>
        <v>0</v>
      </c>
      <c r="AC13" s="38">
        <f>IFERROR(INDEX('Cal-CAPEX (정리)'!$B$69:$AF$73,MATCH(BSpUECB_세액공제액!$A13,'Cal-CAPEX (정리)'!$A$69:$A$73,0),MATCH(BSpUECB_세액공제액!AC$1,'Cal-CAPEX (정리)'!$B$68:$AF$68,0))*About!$B$93*'Cal-CAPEX (정리)'!$B$79/10,0)</f>
        <v>0</v>
      </c>
      <c r="AD13" s="38">
        <f>IFERROR(INDEX('Cal-CAPEX (정리)'!$B$69:$AF$73,MATCH(BSpUECB_세액공제액!$A13,'Cal-CAPEX (정리)'!$A$69:$A$73,0),MATCH(BSpUECB_세액공제액!AD$1,'Cal-CAPEX (정리)'!$B$68:$AF$68,0))*About!$B$93*'Cal-CAPEX (정리)'!$B$79/10,0)</f>
        <v>0</v>
      </c>
      <c r="AE13" s="38">
        <f>IFERROR(INDEX('Cal-CAPEX (정리)'!$B$69:$AF$73,MATCH(BSpUECB_세액공제액!$A13,'Cal-CAPEX (정리)'!$A$69:$A$73,0),MATCH(BSpUECB_세액공제액!AE$1,'Cal-CAPEX (정리)'!$B$68:$AF$68,0))*About!$B$93*'Cal-CAPEX (정리)'!$B$79/10,0)</f>
        <v>0</v>
      </c>
      <c r="AF13" s="38">
        <f>IFERROR(INDEX('Cal-CAPEX (정리)'!$B$69:$AF$73,MATCH(BSpUECB_세액공제액!$A13,'Cal-CAPEX (정리)'!$A$69:$A$73,0),MATCH(BSpUECB_세액공제액!AF$1,'Cal-CAPEX (정리)'!$B$68:$AF$68,0))*About!$B$93*'Cal-CAPEX (정리)'!$B$79/10,0)</f>
        <v>0</v>
      </c>
      <c r="AG13" s="38"/>
      <c r="AH13" s="38"/>
    </row>
    <row r="14" spans="1:34" ht="16.5" customHeight="1">
      <c r="A14" s="17" t="s">
        <v>190</v>
      </c>
      <c r="B14" s="38">
        <f>IFERROR(INDEX('Cal-CAPEX (정리)'!$B$69:$AF$73,MATCH(BSpUECB_세액공제액!$A14,'Cal-CAPEX (정리)'!$A$69:$A$73,0),MATCH(BSpUECB_세액공제액!B$1,'Cal-CAPEX (정리)'!$B$68:$AF$68,0))*About!$B$93*'Cal-CAPEX (정리)'!$B$79/10,0)</f>
        <v>14468.060344313231</v>
      </c>
      <c r="C14" s="38">
        <f>IFERROR(INDEX('Cal-CAPEX (정리)'!$B$69:$AF$73,MATCH(BSpUECB_세액공제액!$A14,'Cal-CAPEX (정리)'!$A$69:$A$73,0),MATCH(BSpUECB_세액공제액!C$1,'Cal-CAPEX (정리)'!$B$68:$AF$68,0))*About!$B$93*'Cal-CAPEX (정리)'!$B$79/10,0)</f>
        <v>14090.174263992007</v>
      </c>
      <c r="D14" s="38">
        <f>IFERROR(INDEX('Cal-CAPEX (정리)'!$B$69:$AF$73,MATCH(BSpUECB_세액공제액!$A14,'Cal-CAPEX (정리)'!$A$69:$A$73,0),MATCH(BSpUECB_세액공제액!D$1,'Cal-CAPEX (정리)'!$B$68:$AF$68,0))*About!$B$93*'Cal-CAPEX (정리)'!$B$79/10,0)</f>
        <v>13722.158054704094</v>
      </c>
      <c r="E14" s="38">
        <f>IFERROR(INDEX('Cal-CAPEX (정리)'!$B$69:$AF$73,MATCH(BSpUECB_세액공제액!$A14,'Cal-CAPEX (정리)'!$A$69:$A$73,0),MATCH(BSpUECB_세액공제액!E$1,'Cal-CAPEX (정리)'!$B$68:$AF$68,0))*About!$B$93*'Cal-CAPEX (정리)'!$B$79/10,0)</f>
        <v>13363.753928827015</v>
      </c>
      <c r="F14" s="38">
        <f>IFERROR(INDEX('Cal-CAPEX (정리)'!$B$69:$AF$73,MATCH(BSpUECB_세액공제액!$A14,'Cal-CAPEX (정리)'!$A$69:$A$73,0),MATCH(BSpUECB_세액공제액!F$1,'Cal-CAPEX (정리)'!$B$68:$AF$68,0))*About!$B$93*'Cal-CAPEX (정리)'!$B$79/10,0)</f>
        <v>13014.710831800763</v>
      </c>
      <c r="G14" s="38">
        <f>IFERROR(INDEX('Cal-CAPEX (정리)'!$B$69:$AF$73,MATCH(BSpUECB_세액공제액!$A14,'Cal-CAPEX (정리)'!$A$69:$A$73,0),MATCH(BSpUECB_세액공제액!G$1,'Cal-CAPEX (정리)'!$B$68:$AF$68,0))*About!$B$93*'Cal-CAPEX (정리)'!$B$79/10,0)</f>
        <v>12674.784266269364</v>
      </c>
      <c r="H14" s="38">
        <f>IFERROR(INDEX('Cal-CAPEX (정리)'!$B$69:$AF$73,MATCH(BSpUECB_세액공제액!$A14,'Cal-CAPEX (정리)'!$A$69:$A$73,0),MATCH(BSpUECB_세액공제액!H$1,'Cal-CAPEX (정리)'!$B$68:$AF$68,0))*About!$B$93*'Cal-CAPEX (정리)'!$B$79/10,0)</f>
        <v>12343.736120815633</v>
      </c>
      <c r="I14" s="38">
        <f>IFERROR(INDEX('Cal-CAPEX (정리)'!$B$69:$AF$73,MATCH(BSpUECB_세액공제액!$A14,'Cal-CAPEX (정리)'!$A$69:$A$73,0),MATCH(BSpUECB_세액공제액!I$1,'Cal-CAPEX (정리)'!$B$68:$AF$68,0))*About!$B$93*'Cal-CAPEX (정리)'!$B$79/10,0)</f>
        <v>12021.334503169077</v>
      </c>
      <c r="J14" s="38">
        <f>IFERROR(INDEX('Cal-CAPEX (정리)'!$B$69:$AF$73,MATCH(BSpUECB_세액공제액!$A14,'Cal-CAPEX (정리)'!$A$69:$A$73,0),MATCH(BSpUECB_세액공제액!J$1,'Cal-CAPEX (정리)'!$B$68:$AF$68,0))*About!$B$93*'Cal-CAPEX (정리)'!$B$79/10,0)</f>
        <v>11707.3535777703</v>
      </c>
      <c r="K14" s="38">
        <f>IFERROR(INDEX('Cal-CAPEX (정리)'!$B$69:$AF$73,MATCH(BSpUECB_세액공제액!$A14,'Cal-CAPEX (정리)'!$A$69:$A$73,0),MATCH(BSpUECB_세액공제액!K$1,'Cal-CAPEX (정리)'!$B$68:$AF$68,0))*About!$B$93*'Cal-CAPEX (정리)'!$B$79/10,0)</f>
        <v>11401.573407577884</v>
      </c>
      <c r="L14" s="38">
        <f>IFERROR(INDEX('Cal-CAPEX (정리)'!$B$69:$AF$73,MATCH(BSpUECB_세액공제액!$A14,'Cal-CAPEX (정리)'!$A$69:$A$73,0),MATCH(BSpUECB_세액공제액!L$1,'Cal-CAPEX (정리)'!$B$68:$AF$68,0))*About!$B$93*'Cal-CAPEX (정리)'!$B$79/10,0)</f>
        <v>11103.779800007134</v>
      </c>
      <c r="M14" s="38">
        <f>IFERROR(INDEX('Cal-CAPEX (정리)'!$B$69:$AF$73,MATCH(BSpUECB_세액공제액!$A14,'Cal-CAPEX (정리)'!$A$69:$A$73,0),MATCH(BSpUECB_세액공제액!M$1,'Cal-CAPEX (정리)'!$B$68:$AF$68,0))*About!$B$93*'Cal-CAPEX (정리)'!$B$79/10,0)</f>
        <v>10813.764156892685</v>
      </c>
      <c r="N14" s="38">
        <f>IFERROR(INDEX('Cal-CAPEX (정리)'!$B$69:$AF$73,MATCH(BSpUECB_세액공제액!$A14,'Cal-CAPEX (정리)'!$A$69:$A$73,0),MATCH(BSpUECB_세액공제액!N$1,'Cal-CAPEX (정리)'!$B$68:$AF$68,0))*About!$B$93*'Cal-CAPEX (정리)'!$B$79/10,0)</f>
        <v>10531.323328369841</v>
      </c>
      <c r="O14" s="38">
        <f>IFERROR(INDEX('Cal-CAPEX (정리)'!$B$69:$AF$73,MATCH(BSpUECB_세액공제액!$A14,'Cal-CAPEX (정리)'!$A$69:$A$73,0),MATCH(BSpUECB_세액공제액!O$1,'Cal-CAPEX (정리)'!$B$68:$AF$68,0))*About!$B$93*'Cal-CAPEX (정리)'!$B$79/10,0)</f>
        <v>10256.259470572388</v>
      </c>
      <c r="P14" s="38">
        <f>IFERROR(INDEX('Cal-CAPEX (정리)'!$B$69:$AF$73,MATCH(BSpUECB_세액공제액!$A14,'Cal-CAPEX (정리)'!$A$69:$A$73,0),MATCH(BSpUECB_세액공제액!P$1,'Cal-CAPEX (정리)'!$B$68:$AF$68,0))*About!$B$93*'Cal-CAPEX (정리)'!$B$79/10,0)</f>
        <v>9988.3799070471105</v>
      </c>
      <c r="Q14" s="38">
        <f>IFERROR(INDEX('Cal-CAPEX (정리)'!$B$69:$AF$73,MATCH(BSpUECB_세액공제액!$A14,'Cal-CAPEX (정리)'!$A$69:$A$73,0),MATCH(BSpUECB_세액공제액!Q$1,'Cal-CAPEX (정리)'!$B$68:$AF$68,0))*About!$B$93*'Cal-CAPEX (정리)'!$B$79/10,0)</f>
        <v>9727.4969937879814</v>
      </c>
      <c r="R14" s="38">
        <f>IFERROR(INDEX('Cal-CAPEX (정리)'!$B$69:$AF$73,MATCH(BSpUECB_세액공제액!$A14,'Cal-CAPEX (정리)'!$A$69:$A$73,0),MATCH(BSpUECB_세액공제액!R$1,'Cal-CAPEX (정리)'!$B$68:$AF$68,0))*About!$B$93*'Cal-CAPEX (정리)'!$B$79/10,0)</f>
        <v>9473.4279877954905</v>
      </c>
      <c r="S14" s="38">
        <f>IFERROR(INDEX('Cal-CAPEX (정리)'!$B$69:$AF$73,MATCH(BSpUECB_세액공제액!$A14,'Cal-CAPEX (정리)'!$A$69:$A$73,0),MATCH(BSpUECB_세액공제액!S$1,'Cal-CAPEX (정리)'!$B$68:$AF$68,0))*About!$B$93*'Cal-CAPEX (정리)'!$B$79/10,0)</f>
        <v>9225.9949190690058</v>
      </c>
      <c r="T14" s="38">
        <f>IFERROR(INDEX('Cal-CAPEX (정리)'!$B$69:$AF$73,MATCH(BSpUECB_세액공제액!$A14,'Cal-CAPEX (정리)'!$A$69:$A$73,0),MATCH(BSpUECB_세액공제액!T$1,'Cal-CAPEX (정리)'!$B$68:$AF$68,0))*About!$B$93*'Cal-CAPEX (정리)'!$B$79/10,0)</f>
        <v>8985.0244659425189</v>
      </c>
      <c r="U14" s="38">
        <f>IFERROR(INDEX('Cal-CAPEX (정리)'!$B$69:$AF$73,MATCH(BSpUECB_세액공제액!$A14,'Cal-CAPEX (정리)'!$A$69:$A$73,0),MATCH(BSpUECB_세액공제액!U$1,'Cal-CAPEX (정리)'!$B$68:$AF$68,0))*About!$B$93*'Cal-CAPEX (정리)'!$B$79/10,0)</f>
        <v>8750.3478336764747</v>
      </c>
      <c r="V14" s="38">
        <f>IFERROR(INDEX('Cal-CAPEX (정리)'!$B$69:$AF$73,MATCH(BSpUECB_세액공제액!$A14,'Cal-CAPEX (정리)'!$A$69:$A$73,0),MATCH(BSpUECB_세액공제액!V$1,'Cal-CAPEX (정리)'!$B$68:$AF$68,0))*About!$B$93*'Cal-CAPEX (정리)'!$B$79/10,0)</f>
        <v>8521.8006362205979</v>
      </c>
      <c r="W14" s="38">
        <f>IFERROR(INDEX('Cal-CAPEX (정리)'!$B$69:$AF$73,MATCH(BSpUECB_세액공제액!$A14,'Cal-CAPEX (정리)'!$A$69:$A$73,0),MATCH(BSpUECB_세액공제액!W$1,'Cal-CAPEX (정리)'!$B$68:$AF$68,0))*About!$B$93*'Cal-CAPEX (정리)'!$B$79/10,0)</f>
        <v>8299.2227810649092</v>
      </c>
      <c r="X14" s="38">
        <f>IFERROR(INDEX('Cal-CAPEX (정리)'!$B$69:$AF$73,MATCH(BSpUECB_세액공제액!$A14,'Cal-CAPEX (정리)'!$A$69:$A$73,0),MATCH(BSpUECB_세액공제액!X$1,'Cal-CAPEX (정리)'!$B$68:$AF$68,0))*About!$B$93*'Cal-CAPEX (정리)'!$B$79/10,0)</f>
        <v>8082.4583570982995</v>
      </c>
      <c r="Y14" s="38">
        <f>IFERROR(INDEX('Cal-CAPEX (정리)'!$B$69:$AF$73,MATCH(BSpUECB_세액공제액!$A14,'Cal-CAPEX (정리)'!$A$69:$A$73,0),MATCH(BSpUECB_세액공제액!Y$1,'Cal-CAPEX (정리)'!$B$68:$AF$68,0))*About!$B$93*'Cal-CAPEX (정리)'!$B$79/10,0)</f>
        <v>7871.3555253960603</v>
      </c>
      <c r="Z14" s="38">
        <f>IFERROR(INDEX('Cal-CAPEX (정리)'!$B$69:$AF$73,MATCH(BSpUECB_세액공제액!$A14,'Cal-CAPEX (정리)'!$A$69:$A$73,0),MATCH(BSpUECB_세액공제액!Z$1,'Cal-CAPEX (정리)'!$B$68:$AF$68,0))*About!$B$93*'Cal-CAPEX (정리)'!$B$79/10,0)</f>
        <v>7665.7664128599163</v>
      </c>
      <c r="AA14" s="38">
        <f>IFERROR(INDEX('Cal-CAPEX (정리)'!$B$69:$AF$73,MATCH(BSpUECB_세액공제액!$A14,'Cal-CAPEX (정리)'!$A$69:$A$73,0),MATCH(BSpUECB_세액공제액!AA$1,'Cal-CAPEX (정리)'!$B$68:$AF$68,0))*About!$B$93*'Cal-CAPEX (정리)'!$B$79/10,0)</f>
        <v>7465.5470086360237</v>
      </c>
      <c r="AB14" s="38">
        <f>IFERROR(INDEX('Cal-CAPEX (정리)'!$B$69:$AF$73,MATCH(BSpUECB_세액공제액!$A14,'Cal-CAPEX (정리)'!$A$69:$A$73,0),MATCH(BSpUECB_세액공제액!AB$1,'Cal-CAPEX (정리)'!$B$68:$AF$68,0))*About!$B$93*'Cal-CAPEX (정리)'!$B$79/10,0)</f>
        <v>7270.5570632383879</v>
      </c>
      <c r="AC14" s="38">
        <f>IFERROR(INDEX('Cal-CAPEX (정리)'!$B$69:$AF$73,MATCH(BSpUECB_세액공제액!$A14,'Cal-CAPEX (정리)'!$A$69:$A$73,0),MATCH(BSpUECB_세액공제액!AC$1,'Cal-CAPEX (정리)'!$B$68:$AF$68,0))*About!$B$93*'Cal-CAPEX (정리)'!$B$79/10,0)</f>
        <v>7080.6599903070583</v>
      </c>
      <c r="AD14" s="38">
        <f>IFERROR(INDEX('Cal-CAPEX (정리)'!$B$69:$AF$73,MATCH(BSpUECB_세액공제액!$A14,'Cal-CAPEX (정리)'!$A$69:$A$73,0),MATCH(BSpUECB_세액공제액!AD$1,'Cal-CAPEX (정리)'!$B$68:$AF$68,0))*About!$B$93*'Cal-CAPEX (정리)'!$B$79/10,0)</f>
        <v>6895.7227709322342</v>
      </c>
      <c r="AE14" s="38">
        <f>IFERROR(INDEX('Cal-CAPEX (정리)'!$B$69:$AF$73,MATCH(BSpUECB_세액공제액!$A14,'Cal-CAPEX (정리)'!$A$69:$A$73,0),MATCH(BSpUECB_세액공제액!AE$1,'Cal-CAPEX (정리)'!$B$68:$AF$68,0))*About!$B$93*'Cal-CAPEX (정리)'!$B$79/10,0)</f>
        <v>6715.61586047733</v>
      </c>
      <c r="AF14" s="38">
        <f>IFERROR(INDEX('Cal-CAPEX (정리)'!$B$69:$AF$73,MATCH(BSpUECB_세액공제액!$A14,'Cal-CAPEX (정리)'!$A$69:$A$73,0),MATCH(BSpUECB_세액공제액!AF$1,'Cal-CAPEX (정리)'!$B$68:$AF$68,0))*About!$B$93*'Cal-CAPEX (정리)'!$B$79/10,0)</f>
        <v>6540.213097835669</v>
      </c>
      <c r="AG14" s="38"/>
      <c r="AH14" s="38"/>
    </row>
    <row r="15" spans="1:34" ht="16.5" customHeight="1">
      <c r="A15" s="17" t="s">
        <v>191</v>
      </c>
      <c r="B15" s="38">
        <v>0</v>
      </c>
      <c r="C15" s="38">
        <f t="shared" ref="C15:AF15" si="0">C11</f>
        <v>0</v>
      </c>
      <c r="D15" s="38">
        <f t="shared" si="0"/>
        <v>0</v>
      </c>
      <c r="E15" s="38">
        <f t="shared" si="0"/>
        <v>0</v>
      </c>
      <c r="F15" s="38">
        <f t="shared" si="0"/>
        <v>0</v>
      </c>
      <c r="G15" s="38">
        <f t="shared" si="0"/>
        <v>0</v>
      </c>
      <c r="H15" s="38">
        <f t="shared" si="0"/>
        <v>0</v>
      </c>
      <c r="I15" s="38">
        <f t="shared" si="0"/>
        <v>0</v>
      </c>
      <c r="J15" s="38">
        <f t="shared" si="0"/>
        <v>0</v>
      </c>
      <c r="K15" s="38">
        <f t="shared" si="0"/>
        <v>0</v>
      </c>
      <c r="L15" s="38">
        <f t="shared" si="0"/>
        <v>0</v>
      </c>
      <c r="M15" s="38">
        <f t="shared" si="0"/>
        <v>0</v>
      </c>
      <c r="N15" s="38">
        <f t="shared" si="0"/>
        <v>0</v>
      </c>
      <c r="O15" s="38">
        <f t="shared" si="0"/>
        <v>0</v>
      </c>
      <c r="P15" s="38">
        <f t="shared" si="0"/>
        <v>0</v>
      </c>
      <c r="Q15" s="38">
        <f t="shared" si="0"/>
        <v>0</v>
      </c>
      <c r="R15" s="38">
        <f t="shared" si="0"/>
        <v>0</v>
      </c>
      <c r="S15" s="38">
        <f t="shared" si="0"/>
        <v>0</v>
      </c>
      <c r="T15" s="38">
        <f t="shared" si="0"/>
        <v>0</v>
      </c>
      <c r="U15" s="38">
        <f t="shared" si="0"/>
        <v>0</v>
      </c>
      <c r="V15" s="38">
        <f t="shared" si="0"/>
        <v>0</v>
      </c>
      <c r="W15" s="38">
        <f t="shared" si="0"/>
        <v>0</v>
      </c>
      <c r="X15" s="38">
        <f t="shared" si="0"/>
        <v>0</v>
      </c>
      <c r="Y15" s="38">
        <f t="shared" si="0"/>
        <v>0</v>
      </c>
      <c r="Z15" s="38">
        <f t="shared" si="0"/>
        <v>0</v>
      </c>
      <c r="AA15" s="38">
        <f t="shared" si="0"/>
        <v>0</v>
      </c>
      <c r="AB15" s="38">
        <f t="shared" si="0"/>
        <v>0</v>
      </c>
      <c r="AC15" s="38">
        <f t="shared" si="0"/>
        <v>0</v>
      </c>
      <c r="AD15" s="38">
        <f t="shared" si="0"/>
        <v>0</v>
      </c>
      <c r="AE15" s="38">
        <f t="shared" si="0"/>
        <v>0</v>
      </c>
      <c r="AF15" s="38">
        <f t="shared" si="0"/>
        <v>0</v>
      </c>
      <c r="AG15" s="38"/>
      <c r="AH15" s="38"/>
    </row>
    <row r="16" spans="1:34" ht="16.5" customHeight="1">
      <c r="A16" s="17" t="s">
        <v>192</v>
      </c>
      <c r="B16" s="38">
        <v>0</v>
      </c>
      <c r="C16" s="38">
        <f t="shared" ref="C16:AF16" si="1">C11</f>
        <v>0</v>
      </c>
      <c r="D16" s="38">
        <f t="shared" si="1"/>
        <v>0</v>
      </c>
      <c r="E16" s="38">
        <f t="shared" si="1"/>
        <v>0</v>
      </c>
      <c r="F16" s="38">
        <f t="shared" si="1"/>
        <v>0</v>
      </c>
      <c r="G16" s="38">
        <f t="shared" si="1"/>
        <v>0</v>
      </c>
      <c r="H16" s="38">
        <f t="shared" si="1"/>
        <v>0</v>
      </c>
      <c r="I16" s="38">
        <f t="shared" si="1"/>
        <v>0</v>
      </c>
      <c r="J16" s="38">
        <f t="shared" si="1"/>
        <v>0</v>
      </c>
      <c r="K16" s="38">
        <f t="shared" si="1"/>
        <v>0</v>
      </c>
      <c r="L16" s="38">
        <f t="shared" si="1"/>
        <v>0</v>
      </c>
      <c r="M16" s="38">
        <f t="shared" si="1"/>
        <v>0</v>
      </c>
      <c r="N16" s="38">
        <f t="shared" si="1"/>
        <v>0</v>
      </c>
      <c r="O16" s="38">
        <f t="shared" si="1"/>
        <v>0</v>
      </c>
      <c r="P16" s="38">
        <f t="shared" si="1"/>
        <v>0</v>
      </c>
      <c r="Q16" s="38">
        <f t="shared" si="1"/>
        <v>0</v>
      </c>
      <c r="R16" s="38">
        <f t="shared" si="1"/>
        <v>0</v>
      </c>
      <c r="S16" s="38">
        <f t="shared" si="1"/>
        <v>0</v>
      </c>
      <c r="T16" s="38">
        <f t="shared" si="1"/>
        <v>0</v>
      </c>
      <c r="U16" s="38">
        <f t="shared" si="1"/>
        <v>0</v>
      </c>
      <c r="V16" s="38">
        <f t="shared" si="1"/>
        <v>0</v>
      </c>
      <c r="W16" s="38">
        <f t="shared" si="1"/>
        <v>0</v>
      </c>
      <c r="X16" s="38">
        <f t="shared" si="1"/>
        <v>0</v>
      </c>
      <c r="Y16" s="38">
        <f t="shared" si="1"/>
        <v>0</v>
      </c>
      <c r="Z16" s="38">
        <f t="shared" si="1"/>
        <v>0</v>
      </c>
      <c r="AA16" s="38">
        <f t="shared" si="1"/>
        <v>0</v>
      </c>
      <c r="AB16" s="38">
        <f t="shared" si="1"/>
        <v>0</v>
      </c>
      <c r="AC16" s="38">
        <f t="shared" si="1"/>
        <v>0</v>
      </c>
      <c r="AD16" s="38">
        <f t="shared" si="1"/>
        <v>0</v>
      </c>
      <c r="AE16" s="38">
        <f t="shared" si="1"/>
        <v>0</v>
      </c>
      <c r="AF16" s="38">
        <f t="shared" si="1"/>
        <v>0</v>
      </c>
      <c r="AG16" s="38"/>
      <c r="AH16" s="38"/>
    </row>
    <row r="17" spans="1:34" ht="16.5" customHeight="1">
      <c r="A17" s="17" t="s">
        <v>193</v>
      </c>
      <c r="B17" s="38">
        <v>0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38"/>
      <c r="AH17" s="38"/>
    </row>
    <row r="18" spans="1:34" ht="16.5" customHeight="1"/>
    <row r="19" spans="1:34" ht="16.5" customHeight="1">
      <c r="A19" s="1" t="s">
        <v>45</v>
      </c>
    </row>
    <row r="20" spans="1:34" ht="16.5" customHeight="1">
      <c r="A20" s="17" t="s">
        <v>194</v>
      </c>
    </row>
    <row r="21" spans="1:34" ht="16.5" customHeight="1"/>
    <row r="22" spans="1:34" ht="16.5" customHeight="1"/>
    <row r="23" spans="1:34" ht="16.5" customHeight="1">
      <c r="A23" s="17" t="s">
        <v>195</v>
      </c>
    </row>
    <row r="24" spans="1:34" ht="16.5" customHeight="1"/>
    <row r="25" spans="1:34" ht="16.5" customHeight="1">
      <c r="A25" s="17" t="s">
        <v>177</v>
      </c>
      <c r="B25" s="17">
        <v>2020</v>
      </c>
      <c r="C25" s="17">
        <v>2021</v>
      </c>
      <c r="D25" s="17">
        <v>2022</v>
      </c>
      <c r="E25" s="17">
        <v>2023</v>
      </c>
      <c r="F25" s="17">
        <v>2024</v>
      </c>
      <c r="G25" s="17">
        <v>2025</v>
      </c>
      <c r="H25" s="17">
        <v>2026</v>
      </c>
      <c r="I25" s="17">
        <v>2027</v>
      </c>
      <c r="J25" s="17">
        <v>2028</v>
      </c>
      <c r="K25" s="17">
        <v>2029</v>
      </c>
      <c r="L25" s="17">
        <v>2030</v>
      </c>
      <c r="M25" s="17">
        <v>2031</v>
      </c>
      <c r="N25" s="17">
        <v>2032</v>
      </c>
      <c r="O25" s="17">
        <v>2033</v>
      </c>
      <c r="P25" s="17">
        <v>2034</v>
      </c>
      <c r="Q25" s="17">
        <v>2035</v>
      </c>
      <c r="R25" s="17">
        <v>2036</v>
      </c>
      <c r="S25" s="17">
        <v>2037</v>
      </c>
      <c r="T25" s="17">
        <v>2038</v>
      </c>
      <c r="U25" s="17">
        <v>2039</v>
      </c>
      <c r="V25" s="17">
        <v>2040</v>
      </c>
      <c r="W25" s="17">
        <v>2041</v>
      </c>
      <c r="X25" s="17">
        <v>2042</v>
      </c>
      <c r="Y25" s="17">
        <v>2043</v>
      </c>
      <c r="Z25" s="17">
        <v>2044</v>
      </c>
      <c r="AA25" s="17">
        <v>2045</v>
      </c>
      <c r="AB25" s="17">
        <v>2046</v>
      </c>
      <c r="AC25" s="17">
        <v>2047</v>
      </c>
      <c r="AD25" s="17">
        <v>2048</v>
      </c>
      <c r="AE25" s="17">
        <v>2049</v>
      </c>
      <c r="AF25" s="17">
        <v>2050</v>
      </c>
    </row>
    <row r="26" spans="1:34" ht="16.5" customHeight="1">
      <c r="A26" s="17" t="s">
        <v>178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4" ht="16.5" customHeight="1">
      <c r="A27" s="17" t="s">
        <v>179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4" ht="16.5" customHeight="1">
      <c r="A28" s="17" t="s">
        <v>180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4" ht="16.5" customHeight="1">
      <c r="A29" s="29" t="s">
        <v>181</v>
      </c>
      <c r="B29" s="38">
        <f>IFERROR(INDEX('Cal-CAPEX (정리)'!$B$69:$AF$73,MATCH(BSpUECB_세액공제액!$A29,'Cal-CAPEX (정리)'!$A$69:$A$73,0),MATCH(BSpUECB_세액공제액!B$25,'Cal-CAPEX (정리)'!$B$68:$AF$68,0))*About!$B$93,0)</f>
        <v>1709289</v>
      </c>
      <c r="C29" s="38">
        <f>IFERROR(INDEX('Cal-CAPEX (정리)'!$B$69:$AF$73,MATCH(BSpUECB_세액공제액!$A29,'Cal-CAPEX (정리)'!$A$69:$A$73,0),MATCH(BSpUECB_세액공제액!C$25,'Cal-CAPEX (정리)'!$B$68:$AF$68,0))*About!$B$93,0)</f>
        <v>1709289</v>
      </c>
      <c r="D29" s="38">
        <f>IFERROR(INDEX('Cal-CAPEX (정리)'!$B$69:$AF$73,MATCH(BSpUECB_세액공제액!$A29,'Cal-CAPEX (정리)'!$A$69:$A$73,0),MATCH(BSpUECB_세액공제액!D$25,'Cal-CAPEX (정리)'!$B$68:$AF$68,0))*About!$B$93,0)</f>
        <v>1709289</v>
      </c>
      <c r="E29" s="38">
        <f>IFERROR(INDEX('Cal-CAPEX (정리)'!$B$69:$AF$73,MATCH(BSpUECB_세액공제액!$A29,'Cal-CAPEX (정리)'!$A$69:$A$73,0),MATCH(BSpUECB_세액공제액!E$25,'Cal-CAPEX (정리)'!$B$68:$AF$68,0))*About!$B$93,0)</f>
        <v>1709289</v>
      </c>
      <c r="F29" s="38">
        <f>IFERROR(INDEX('Cal-CAPEX (정리)'!$B$69:$AF$73,MATCH(BSpUECB_세액공제액!$A29,'Cal-CAPEX (정리)'!$A$69:$A$73,0),MATCH(BSpUECB_세액공제액!F$25,'Cal-CAPEX (정리)'!$B$68:$AF$68,0))*About!$B$93,0)</f>
        <v>1709289</v>
      </c>
      <c r="G29" s="38">
        <f>IFERROR(INDEX('Cal-CAPEX (정리)'!$B$69:$AF$73,MATCH(BSpUECB_세액공제액!$A29,'Cal-CAPEX (정리)'!$A$69:$A$73,0),MATCH(BSpUECB_세액공제액!G$25,'Cal-CAPEX (정리)'!$B$68:$AF$68,0))*About!$B$93,0)</f>
        <v>1709289</v>
      </c>
      <c r="H29" s="38">
        <f>IFERROR(INDEX('Cal-CAPEX (정리)'!$B$69:$AF$73,MATCH(BSpUECB_세액공제액!$A29,'Cal-CAPEX (정리)'!$A$69:$A$73,0),MATCH(BSpUECB_세액공제액!H$25,'Cal-CAPEX (정리)'!$B$68:$AF$68,0))*About!$B$93,0)</f>
        <v>1709289</v>
      </c>
      <c r="I29" s="38">
        <f>IFERROR(INDEX('Cal-CAPEX (정리)'!$B$69:$AF$73,MATCH(BSpUECB_세액공제액!$A29,'Cal-CAPEX (정리)'!$A$69:$A$73,0),MATCH(BSpUECB_세액공제액!I$25,'Cal-CAPEX (정리)'!$B$68:$AF$68,0))*About!$B$93,0)</f>
        <v>1709289</v>
      </c>
      <c r="J29" s="38">
        <f>IFERROR(INDEX('Cal-CAPEX (정리)'!$B$69:$AF$73,MATCH(BSpUECB_세액공제액!$A29,'Cal-CAPEX (정리)'!$A$69:$A$73,0),MATCH(BSpUECB_세액공제액!J$25,'Cal-CAPEX (정리)'!$B$68:$AF$68,0))*About!$B$93,0)</f>
        <v>1709289</v>
      </c>
      <c r="K29" s="38">
        <f>IFERROR(INDEX('Cal-CAPEX (정리)'!$B$69:$AF$73,MATCH(BSpUECB_세액공제액!$A29,'Cal-CAPEX (정리)'!$A$69:$A$73,0),MATCH(BSpUECB_세액공제액!K$25,'Cal-CAPEX (정리)'!$B$68:$AF$68,0))*About!$B$93,0)</f>
        <v>1709289</v>
      </c>
      <c r="L29" s="38">
        <f>IFERROR(INDEX('Cal-CAPEX (정리)'!$B$69:$AF$73,MATCH(BSpUECB_세액공제액!$A29,'Cal-CAPEX (정리)'!$A$69:$A$73,0),MATCH(BSpUECB_세액공제액!L$25,'Cal-CAPEX (정리)'!$B$68:$AF$68,0))*About!$B$93,0)</f>
        <v>1709289</v>
      </c>
      <c r="M29" s="38">
        <f>IFERROR(INDEX('Cal-CAPEX (정리)'!$B$69:$AF$73,MATCH(BSpUECB_세액공제액!$A29,'Cal-CAPEX (정리)'!$A$69:$A$73,0),MATCH(BSpUECB_세액공제액!M$25,'Cal-CAPEX (정리)'!$B$68:$AF$68,0))*About!$B$93,0)</f>
        <v>1709289</v>
      </c>
      <c r="N29" s="38">
        <f>IFERROR(INDEX('Cal-CAPEX (정리)'!$B$69:$AF$73,MATCH(BSpUECB_세액공제액!$A29,'Cal-CAPEX (정리)'!$A$69:$A$73,0),MATCH(BSpUECB_세액공제액!N$25,'Cal-CAPEX (정리)'!$B$68:$AF$68,0))*About!$B$93,0)</f>
        <v>1709289</v>
      </c>
      <c r="O29" s="38">
        <f>IFERROR(INDEX('Cal-CAPEX (정리)'!$B$69:$AF$73,MATCH(BSpUECB_세액공제액!$A29,'Cal-CAPEX (정리)'!$A$69:$A$73,0),MATCH(BSpUECB_세액공제액!O$25,'Cal-CAPEX (정리)'!$B$68:$AF$68,0))*About!$B$93,0)</f>
        <v>1709289</v>
      </c>
      <c r="P29" s="38">
        <f>IFERROR(INDEX('Cal-CAPEX (정리)'!$B$69:$AF$73,MATCH(BSpUECB_세액공제액!$A29,'Cal-CAPEX (정리)'!$A$69:$A$73,0),MATCH(BSpUECB_세액공제액!P$25,'Cal-CAPEX (정리)'!$B$68:$AF$68,0))*About!$B$93,0)</f>
        <v>1709289</v>
      </c>
      <c r="Q29" s="38">
        <f>IFERROR(INDEX('Cal-CAPEX (정리)'!$B$69:$AF$73,MATCH(BSpUECB_세액공제액!$A29,'Cal-CAPEX (정리)'!$A$69:$A$73,0),MATCH(BSpUECB_세액공제액!Q$25,'Cal-CAPEX (정리)'!$B$68:$AF$68,0))*About!$B$93,0)</f>
        <v>1709289</v>
      </c>
      <c r="R29" s="38">
        <f>IFERROR(INDEX('Cal-CAPEX (정리)'!$B$69:$AF$73,MATCH(BSpUECB_세액공제액!$A29,'Cal-CAPEX (정리)'!$A$69:$A$73,0),MATCH(BSpUECB_세액공제액!R$25,'Cal-CAPEX (정리)'!$B$68:$AF$68,0))*About!$B$93,0)</f>
        <v>1709289</v>
      </c>
      <c r="S29" s="38">
        <f>IFERROR(INDEX('Cal-CAPEX (정리)'!$B$69:$AF$73,MATCH(BSpUECB_세액공제액!$A29,'Cal-CAPEX (정리)'!$A$69:$A$73,0),MATCH(BSpUECB_세액공제액!S$25,'Cal-CAPEX (정리)'!$B$68:$AF$68,0))*About!$B$93,0)</f>
        <v>1709289</v>
      </c>
      <c r="T29" s="38">
        <f>IFERROR(INDEX('Cal-CAPEX (정리)'!$B$69:$AF$73,MATCH(BSpUECB_세액공제액!$A29,'Cal-CAPEX (정리)'!$A$69:$A$73,0),MATCH(BSpUECB_세액공제액!T$25,'Cal-CAPEX (정리)'!$B$68:$AF$68,0))*About!$B$93,0)</f>
        <v>1709289</v>
      </c>
      <c r="U29" s="38">
        <f>IFERROR(INDEX('Cal-CAPEX (정리)'!$B$69:$AF$73,MATCH(BSpUECB_세액공제액!$A29,'Cal-CAPEX (정리)'!$A$69:$A$73,0),MATCH(BSpUECB_세액공제액!U$25,'Cal-CAPEX (정리)'!$B$68:$AF$68,0))*About!$B$93,0)</f>
        <v>1709289</v>
      </c>
      <c r="V29" s="38">
        <f>IFERROR(INDEX('Cal-CAPEX (정리)'!$B$69:$AF$73,MATCH(BSpUECB_세액공제액!$A29,'Cal-CAPEX (정리)'!$A$69:$A$73,0),MATCH(BSpUECB_세액공제액!V$25,'Cal-CAPEX (정리)'!$B$68:$AF$68,0))*About!$B$93,0)</f>
        <v>1709289</v>
      </c>
      <c r="W29" s="38">
        <f>IFERROR(INDEX('Cal-CAPEX (정리)'!$B$69:$AF$73,MATCH(BSpUECB_세액공제액!$A29,'Cal-CAPEX (정리)'!$A$69:$A$73,0),MATCH(BSpUECB_세액공제액!W$25,'Cal-CAPEX (정리)'!$B$68:$AF$68,0))*About!$B$93,0)</f>
        <v>1709289</v>
      </c>
      <c r="X29" s="38">
        <f>IFERROR(INDEX('Cal-CAPEX (정리)'!$B$69:$AF$73,MATCH(BSpUECB_세액공제액!$A29,'Cal-CAPEX (정리)'!$A$69:$A$73,0),MATCH(BSpUECB_세액공제액!X$25,'Cal-CAPEX (정리)'!$B$68:$AF$68,0))*About!$B$93,0)</f>
        <v>1709289</v>
      </c>
      <c r="Y29" s="38">
        <f>IFERROR(INDEX('Cal-CAPEX (정리)'!$B$69:$AF$73,MATCH(BSpUECB_세액공제액!$A29,'Cal-CAPEX (정리)'!$A$69:$A$73,0),MATCH(BSpUECB_세액공제액!Y$25,'Cal-CAPEX (정리)'!$B$68:$AF$68,0))*About!$B$93,0)</f>
        <v>1709289</v>
      </c>
      <c r="Z29" s="38">
        <f>IFERROR(INDEX('Cal-CAPEX (정리)'!$B$69:$AF$73,MATCH(BSpUECB_세액공제액!$A29,'Cal-CAPEX (정리)'!$A$69:$A$73,0),MATCH(BSpUECB_세액공제액!Z$25,'Cal-CAPEX (정리)'!$B$68:$AF$68,0))*About!$B$93,0)</f>
        <v>1709289</v>
      </c>
      <c r="AA29" s="38">
        <f>IFERROR(INDEX('Cal-CAPEX (정리)'!$B$69:$AF$73,MATCH(BSpUECB_세액공제액!$A29,'Cal-CAPEX (정리)'!$A$69:$A$73,0),MATCH(BSpUECB_세액공제액!AA$25,'Cal-CAPEX (정리)'!$B$68:$AF$68,0))*About!$B$93,0)</f>
        <v>1709289</v>
      </c>
      <c r="AB29" s="38">
        <f>IFERROR(INDEX('Cal-CAPEX (정리)'!$B$69:$AF$73,MATCH(BSpUECB_세액공제액!$A29,'Cal-CAPEX (정리)'!$A$69:$A$73,0),MATCH(BSpUECB_세액공제액!AB$25,'Cal-CAPEX (정리)'!$B$68:$AF$68,0))*About!$B$93,0)</f>
        <v>1709289</v>
      </c>
      <c r="AC29" s="38">
        <f>IFERROR(INDEX('Cal-CAPEX (정리)'!$B$69:$AF$73,MATCH(BSpUECB_세액공제액!$A29,'Cal-CAPEX (정리)'!$A$69:$A$73,0),MATCH(BSpUECB_세액공제액!AC$25,'Cal-CAPEX (정리)'!$B$68:$AF$68,0))*About!$B$93,0)</f>
        <v>1709289</v>
      </c>
      <c r="AD29" s="38">
        <f>IFERROR(INDEX('Cal-CAPEX (정리)'!$B$69:$AF$73,MATCH(BSpUECB_세액공제액!$A29,'Cal-CAPEX (정리)'!$A$69:$A$73,0),MATCH(BSpUECB_세액공제액!AD$25,'Cal-CAPEX (정리)'!$B$68:$AF$68,0))*About!$B$93,0)</f>
        <v>1709289</v>
      </c>
      <c r="AE29" s="38">
        <f>IFERROR(INDEX('Cal-CAPEX (정리)'!$B$69:$AF$73,MATCH(BSpUECB_세액공제액!$A29,'Cal-CAPEX (정리)'!$A$69:$A$73,0),MATCH(BSpUECB_세액공제액!AE$25,'Cal-CAPEX (정리)'!$B$68:$AF$68,0))*About!$B$93,0)</f>
        <v>1709289</v>
      </c>
      <c r="AF29" s="38">
        <f>IFERROR(INDEX('Cal-CAPEX (정리)'!$B$69:$AF$73,MATCH(BSpUECB_세액공제액!$A29,'Cal-CAPEX (정리)'!$A$69:$A$73,0),MATCH(BSpUECB_세액공제액!AF$25,'Cal-CAPEX (정리)'!$B$68:$AF$68,0))*About!$B$93,0)</f>
        <v>1709289</v>
      </c>
    </row>
    <row r="30" spans="1:34" ht="16.5" customHeight="1">
      <c r="A30" s="29" t="s">
        <v>182</v>
      </c>
      <c r="B30" s="38">
        <f>IFERROR(INDEX('Cal-CAPEX (정리)'!$B$69:$AF$73,MATCH(BSpUECB_세액공제액!$A30,'Cal-CAPEX (정리)'!$A$69:$A$73,0),MATCH(BSpUECB_세액공제액!B$25,'Cal-CAPEX (정리)'!$B$68:$AF$68,0))*About!$B$93,0)</f>
        <v>2238392.7303705807</v>
      </c>
      <c r="C30" s="38">
        <f>IFERROR(INDEX('Cal-CAPEX (정리)'!$B$69:$AF$73,MATCH(BSpUECB_세액공제액!$A30,'Cal-CAPEX (정리)'!$A$69:$A$73,0),MATCH(BSpUECB_세액공제액!C$25,'Cal-CAPEX (정리)'!$B$68:$AF$68,0))*About!$B$93,0)</f>
        <v>2202452.7900042539</v>
      </c>
      <c r="D30" s="38">
        <f>IFERROR(INDEX('Cal-CAPEX (정리)'!$B$69:$AF$73,MATCH(BSpUECB_세액공제액!$A30,'Cal-CAPEX (정리)'!$A$69:$A$73,0),MATCH(BSpUECB_세액공제액!D$25,'Cal-CAPEX (정리)'!$B$68:$AF$68,0))*About!$B$93,0)</f>
        <v>2166512.8496379331</v>
      </c>
      <c r="E30" s="38">
        <f>IFERROR(INDEX('Cal-CAPEX (정리)'!$B$69:$AF$73,MATCH(BSpUECB_세액공제액!$A30,'Cal-CAPEX (정리)'!$A$69:$A$73,0),MATCH(BSpUECB_세액공제액!E$25,'Cal-CAPEX (정리)'!$B$68:$AF$68,0))*About!$B$93,0)</f>
        <v>2130572.9092716114</v>
      </c>
      <c r="F30" s="38">
        <f>IFERROR(INDEX('Cal-CAPEX (정리)'!$B$69:$AF$73,MATCH(BSpUECB_세액공제액!$A30,'Cal-CAPEX (정리)'!$A$69:$A$73,0),MATCH(BSpUECB_세액공제액!F$25,'Cal-CAPEX (정리)'!$B$68:$AF$68,0))*About!$B$93,0)</f>
        <v>2094632.9689052904</v>
      </c>
      <c r="G30" s="38">
        <f>IFERROR(INDEX('Cal-CAPEX (정리)'!$B$69:$AF$73,MATCH(BSpUECB_세액공제액!$A30,'Cal-CAPEX (정리)'!$A$69:$A$73,0),MATCH(BSpUECB_세액공제액!G$25,'Cal-CAPEX (정리)'!$B$68:$AF$68,0))*About!$B$93,0)</f>
        <v>2058693.0285389745</v>
      </c>
      <c r="H30" s="38">
        <f>IFERROR(INDEX('Cal-CAPEX (정리)'!$B$69:$AF$73,MATCH(BSpUECB_세액공제액!$A30,'Cal-CAPEX (정리)'!$A$69:$A$73,0),MATCH(BSpUECB_세액공제액!H$25,'Cal-CAPEX (정리)'!$B$68:$AF$68,0))*About!$B$93,0)</f>
        <v>2037838.9890671598</v>
      </c>
      <c r="I30" s="38">
        <f>IFERROR(INDEX('Cal-CAPEX (정리)'!$B$69:$AF$73,MATCH(BSpUECB_세액공제액!$A30,'Cal-CAPEX (정리)'!$A$69:$A$73,0),MATCH(BSpUECB_세액공제액!I$25,'Cal-CAPEX (정리)'!$B$68:$AF$68,0))*About!$B$93,0)</f>
        <v>2016984.949595344</v>
      </c>
      <c r="J30" s="38">
        <f>IFERROR(INDEX('Cal-CAPEX (정리)'!$B$69:$AF$73,MATCH(BSpUECB_세액공제액!$A30,'Cal-CAPEX (정리)'!$A$69:$A$73,0),MATCH(BSpUECB_세액공제액!J$25,'Cal-CAPEX (정리)'!$B$68:$AF$68,0))*About!$B$93,0)</f>
        <v>1996130.9101235282</v>
      </c>
      <c r="K30" s="38">
        <f>IFERROR(INDEX('Cal-CAPEX (정리)'!$B$69:$AF$73,MATCH(BSpUECB_세액공제액!$A30,'Cal-CAPEX (정리)'!$A$69:$A$73,0),MATCH(BSpUECB_세액공제액!K$25,'Cal-CAPEX (정리)'!$B$68:$AF$68,0))*About!$B$93,0)</f>
        <v>1975276.8706517119</v>
      </c>
      <c r="L30" s="38">
        <f>IFERROR(INDEX('Cal-CAPEX (정리)'!$B$69:$AF$73,MATCH(BSpUECB_세액공제액!$A30,'Cal-CAPEX (정리)'!$A$69:$A$73,0),MATCH(BSpUECB_세액공제액!L$25,'Cal-CAPEX (정리)'!$B$68:$AF$68,0))*About!$B$93,0)</f>
        <v>1954422.8311798947</v>
      </c>
      <c r="M30" s="38">
        <f>IFERROR(INDEX('Cal-CAPEX (정리)'!$B$69:$AF$73,MATCH(BSpUECB_세액공제액!$A30,'Cal-CAPEX (정리)'!$A$69:$A$73,0),MATCH(BSpUECB_세액공제액!M$25,'Cal-CAPEX (정리)'!$B$68:$AF$68,0))*About!$B$93,0)</f>
        <v>1930587.5858850228</v>
      </c>
      <c r="N30" s="38">
        <f>IFERROR(INDEX('Cal-CAPEX (정리)'!$B$69:$AF$73,MATCH(BSpUECB_세액공제액!$A30,'Cal-CAPEX (정리)'!$A$69:$A$73,0),MATCH(BSpUECB_세액공제액!N$25,'Cal-CAPEX (정리)'!$B$68:$AF$68,0))*About!$B$93,0)</f>
        <v>1907043.0243199985</v>
      </c>
      <c r="O30" s="38">
        <f>IFERROR(INDEX('Cal-CAPEX (정리)'!$B$69:$AF$73,MATCH(BSpUECB_세액공제액!$A30,'Cal-CAPEX (정리)'!$A$69:$A$73,0),MATCH(BSpUECB_세액공제액!O$25,'Cal-CAPEX (정리)'!$B$68:$AF$68,0))*About!$B$93,0)</f>
        <v>1883785.6014392499</v>
      </c>
      <c r="P30" s="38">
        <f>IFERROR(INDEX('Cal-CAPEX (정리)'!$B$69:$AF$73,MATCH(BSpUECB_세액공제액!$A30,'Cal-CAPEX (정리)'!$A$69:$A$73,0),MATCH(BSpUECB_세액공제액!P$25,'Cal-CAPEX (정리)'!$B$68:$AF$68,0))*About!$B$93,0)</f>
        <v>1860811.815430955</v>
      </c>
      <c r="Q30" s="38">
        <f>IFERROR(INDEX('Cal-CAPEX (정리)'!$B$69:$AF$73,MATCH(BSpUECB_세액공제액!$A30,'Cal-CAPEX (정리)'!$A$69:$A$73,0),MATCH(BSpUECB_세액공제액!Q$25,'Cal-CAPEX (정리)'!$B$68:$AF$68,0))*About!$B$93,0)</f>
        <v>1838118.207189786</v>
      </c>
      <c r="R30" s="38">
        <f>IFERROR(INDEX('Cal-CAPEX (정리)'!$B$69:$AF$73,MATCH(BSpUECB_세액공제액!$A30,'Cal-CAPEX (정리)'!$A$69:$A$73,0),MATCH(BSpUECB_세액공제액!R$25,'Cal-CAPEX (정리)'!$B$68:$AF$68,0))*About!$B$93,0)</f>
        <v>1815701.3597960782</v>
      </c>
      <c r="S30" s="38">
        <f>IFERROR(INDEX('Cal-CAPEX (정리)'!$B$69:$AF$73,MATCH(BSpUECB_세액공제액!$A30,'Cal-CAPEX (정리)'!$A$69:$A$73,0),MATCH(BSpUECB_세액공제액!S$25,'Cal-CAPEX (정리)'!$B$68:$AF$68,0))*About!$B$93,0)</f>
        <v>1793557.8980013523</v>
      </c>
      <c r="T30" s="38">
        <f>IFERROR(INDEX('Cal-CAPEX (정리)'!$B$69:$AF$73,MATCH(BSpUECB_세액공제액!$A30,'Cal-CAPEX (정리)'!$A$69:$A$73,0),MATCH(BSpUECB_세액공제액!T$25,'Cal-CAPEX (정리)'!$B$68:$AF$68,0))*About!$B$93,0)</f>
        <v>1771684.4877201139</v>
      </c>
      <c r="U30" s="38">
        <f>IFERROR(INDEX('Cal-CAPEX (정리)'!$B$69:$AF$73,MATCH(BSpUECB_세액공제액!$A30,'Cal-CAPEX (정리)'!$A$69:$A$73,0),MATCH(BSpUECB_세액공제액!U$25,'Cal-CAPEX (정리)'!$B$68:$AF$68,0))*About!$B$93,0)</f>
        <v>1750077.8355278478</v>
      </c>
      <c r="V30" s="38">
        <f>IFERROR(INDEX('Cal-CAPEX (정리)'!$B$69:$AF$73,MATCH(BSpUECB_세액공제액!$A30,'Cal-CAPEX (정리)'!$A$69:$A$73,0),MATCH(BSpUECB_세액공제액!V$25,'Cal-CAPEX (정리)'!$B$68:$AF$68,0))*About!$B$93,0)</f>
        <v>1728734.6881651345</v>
      </c>
      <c r="W30" s="38">
        <f>IFERROR(INDEX('Cal-CAPEX (정리)'!$B$69:$AF$73,MATCH(BSpUECB_세액공제액!$A30,'Cal-CAPEX (정리)'!$A$69:$A$73,0),MATCH(BSpUECB_세액공제액!W$25,'Cal-CAPEX (정리)'!$B$68:$AF$68,0))*About!$B$93,0)</f>
        <v>1707651.832047815</v>
      </c>
      <c r="X30" s="38">
        <f>IFERROR(INDEX('Cal-CAPEX (정리)'!$B$69:$AF$73,MATCH(BSpUECB_세액공제액!$A30,'Cal-CAPEX (정리)'!$A$69:$A$73,0),MATCH(BSpUECB_세액공제액!X$25,'Cal-CAPEX (정리)'!$B$68:$AF$68,0))*About!$B$93,0)</f>
        <v>1686826.0927831314</v>
      </c>
      <c r="Y30" s="38">
        <f>IFERROR(INDEX('Cal-CAPEX (정리)'!$B$69:$AF$73,MATCH(BSpUECB_세액공제액!$A30,'Cal-CAPEX (정리)'!$A$69:$A$73,0),MATCH(BSpUECB_세액공제액!Y$25,'Cal-CAPEX (정리)'!$B$68:$AF$68,0))*About!$B$93,0)</f>
        <v>1666254.334691765</v>
      </c>
      <c r="Z30" s="38">
        <f>IFERROR(INDEX('Cal-CAPEX (정리)'!$B$69:$AF$73,MATCH(BSpUECB_세액공제액!$A30,'Cal-CAPEX (정리)'!$A$69:$A$73,0),MATCH(BSpUECB_세액공제액!Z$25,'Cal-CAPEX (정리)'!$B$68:$AF$68,0))*About!$B$93,0)</f>
        <v>1645933.460335705</v>
      </c>
      <c r="AA30" s="38">
        <f>IFERROR(INDEX('Cal-CAPEX (정리)'!$B$69:$AF$73,MATCH(BSpUECB_세액공제액!$A30,'Cal-CAPEX (정리)'!$A$69:$A$73,0),MATCH(BSpUECB_세액공제액!AA$25,'Cal-CAPEX (정리)'!$B$68:$AF$68,0))*About!$B$93,0)</f>
        <v>1625860.4100518755</v>
      </c>
      <c r="AB30" s="38">
        <f>IFERROR(INDEX('Cal-CAPEX (정리)'!$B$69:$AF$73,MATCH(BSpUECB_세액공제액!$A30,'Cal-CAPEX (정리)'!$A$69:$A$73,0),MATCH(BSpUECB_세액공제액!AB$25,'Cal-CAPEX (정리)'!$B$68:$AF$68,0))*About!$B$93,0)</f>
        <v>1606032.161491449</v>
      </c>
      <c r="AC30" s="38">
        <f>IFERROR(INDEX('Cal-CAPEX (정리)'!$B$69:$AF$73,MATCH(BSpUECB_세액공제액!$A30,'Cal-CAPEX (정리)'!$A$69:$A$73,0),MATCH(BSpUECB_세액공제액!AC$25,'Cal-CAPEX (정리)'!$B$68:$AF$68,0))*About!$B$93,0)</f>
        <v>1586445.7291647801</v>
      </c>
      <c r="AD30" s="38">
        <f>IFERROR(INDEX('Cal-CAPEX (정리)'!$B$69:$AF$73,MATCH(BSpUECB_세액공제액!$A30,'Cal-CAPEX (정리)'!$A$69:$A$73,0),MATCH(BSpUECB_세액공제액!AD$25,'Cal-CAPEX (정리)'!$B$68:$AF$68,0))*About!$B$93,0)</f>
        <v>1567098.1639918864</v>
      </c>
      <c r="AE30" s="38">
        <f>IFERROR(INDEX('Cal-CAPEX (정리)'!$B$69:$AF$73,MATCH(BSpUECB_세액공제액!$A30,'Cal-CAPEX (정리)'!$A$69:$A$73,0),MATCH(BSpUECB_세액공제액!AE$25,'Cal-CAPEX (정리)'!$B$68:$AF$68,0))*About!$B$93,0)</f>
        <v>1547986.5528584139</v>
      </c>
      <c r="AF30" s="38">
        <f>IFERROR(INDEX('Cal-CAPEX (정리)'!$B$69:$AF$73,MATCH(BSpUECB_세액공제액!$A30,'Cal-CAPEX (정리)'!$A$69:$A$73,0),MATCH(BSpUECB_세액공제액!AF$25,'Cal-CAPEX (정리)'!$B$68:$AF$68,0))*About!$B$93,0)</f>
        <v>1529108.0181770173</v>
      </c>
    </row>
    <row r="31" spans="1:34" ht="16.5" customHeight="1">
      <c r="A31" s="29" t="s">
        <v>183</v>
      </c>
      <c r="B31" s="38">
        <f>IFERROR(INDEX('Cal-CAPEX (정리)'!$B$69:$AF$73,MATCH(BSpUECB_세액공제액!$A31,'Cal-CAPEX (정리)'!$A$69:$A$73,0),MATCH(BSpUECB_세액공제액!B$25,'Cal-CAPEX (정리)'!$B$68:$AF$68,0))*About!$B$93,0)</f>
        <v>1342911.4013914522</v>
      </c>
      <c r="C31" s="38">
        <f>IFERROR(INDEX('Cal-CAPEX (정리)'!$B$69:$AF$73,MATCH(BSpUECB_세액공제액!$A31,'Cal-CAPEX (정리)'!$A$69:$A$73,0),MATCH(BSpUECB_세액공제액!C$25,'Cal-CAPEX (정리)'!$B$68:$AF$68,0))*About!$B$93,0)</f>
        <v>1292435.7518103065</v>
      </c>
      <c r="D31" s="38">
        <f>IFERROR(INDEX('Cal-CAPEX (정리)'!$B$69:$AF$73,MATCH(BSpUECB_세액공제액!$A31,'Cal-CAPEX (정리)'!$A$69:$A$73,0),MATCH(BSpUECB_세액공제액!D$25,'Cal-CAPEX (정리)'!$B$68:$AF$68,0))*About!$B$93,0)</f>
        <v>1241960.1022291707</v>
      </c>
      <c r="E31" s="38">
        <f>IFERROR(INDEX('Cal-CAPEX (정리)'!$B$69:$AF$73,MATCH(BSpUECB_세액공제액!$A31,'Cal-CAPEX (정리)'!$A$69:$A$73,0),MATCH(BSpUECB_세액공제액!E$25,'Cal-CAPEX (정리)'!$B$68:$AF$68,0))*About!$B$93,0)</f>
        <v>1191484.4526480224</v>
      </c>
      <c r="F31" s="38">
        <f>IFERROR(INDEX('Cal-CAPEX (정리)'!$B$69:$AF$73,MATCH(BSpUECB_세액공제액!$A31,'Cal-CAPEX (정리)'!$A$69:$A$73,0),MATCH(BSpUECB_세액공제액!F$25,'Cal-CAPEX (정리)'!$B$68:$AF$68,0))*About!$B$93,0)</f>
        <v>1141008.8030668737</v>
      </c>
      <c r="G31" s="38">
        <f>IFERROR(INDEX('Cal-CAPEX (정리)'!$B$69:$AF$73,MATCH(BSpUECB_세액공제액!$A31,'Cal-CAPEX (정리)'!$A$69:$A$73,0),MATCH(BSpUECB_세액공제액!G$25,'Cal-CAPEX (정리)'!$B$68:$AF$68,0))*About!$B$93,0)</f>
        <v>1090533.1534857305</v>
      </c>
      <c r="H31" s="38">
        <f>IFERROR(INDEX('Cal-CAPEX (정리)'!$B$69:$AF$73,MATCH(BSpUECB_세액공제액!$A31,'Cal-CAPEX (정리)'!$A$69:$A$73,0),MATCH(BSpUECB_세액공제액!H$25,'Cal-CAPEX (정리)'!$B$68:$AF$68,0))*About!$B$93,0)</f>
        <v>1059686.9231861418</v>
      </c>
      <c r="I31" s="38">
        <f>IFERROR(INDEX('Cal-CAPEX (정리)'!$B$69:$AF$73,MATCH(BSpUECB_세액공제액!$A31,'Cal-CAPEX (정리)'!$A$69:$A$73,0),MATCH(BSpUECB_세액공제액!I$25,'Cal-CAPEX (정리)'!$B$68:$AF$68,0))*About!$B$93,0)</f>
        <v>1028840.6928865581</v>
      </c>
      <c r="J31" s="38">
        <f>IFERROR(INDEX('Cal-CAPEX (정리)'!$B$69:$AF$73,MATCH(BSpUECB_세액공제액!$A31,'Cal-CAPEX (정리)'!$A$69:$A$73,0),MATCH(BSpUECB_세액공제액!J$25,'Cal-CAPEX (정리)'!$B$68:$AF$68,0))*About!$B$93,0)</f>
        <v>997994.46258696157</v>
      </c>
      <c r="K31" s="38">
        <f>IFERROR(INDEX('Cal-CAPEX (정리)'!$B$69:$AF$73,MATCH(BSpUECB_세액공제액!$A31,'Cal-CAPEX (정리)'!$A$69:$A$73,0),MATCH(BSpUECB_세액공제액!K$25,'Cal-CAPEX (정리)'!$B$68:$AF$68,0))*About!$B$93,0)</f>
        <v>967148.23228737805</v>
      </c>
      <c r="L31" s="38">
        <f>IFERROR(INDEX('Cal-CAPEX (정리)'!$B$69:$AF$73,MATCH(BSpUECB_세액공제액!$A31,'Cal-CAPEX (정리)'!$A$69:$A$73,0),MATCH(BSpUECB_세액공제액!L$25,'Cal-CAPEX (정리)'!$B$68:$AF$68,0))*About!$B$93,0)</f>
        <v>936302.00198778918</v>
      </c>
      <c r="M31" s="38">
        <f>IFERROR(INDEX('Cal-CAPEX (정리)'!$B$69:$AF$73,MATCH(BSpUECB_세액공제액!$A31,'Cal-CAPEX (정리)'!$A$69:$A$73,0),MATCH(BSpUECB_세액공제액!M$25,'Cal-CAPEX (정리)'!$B$68:$AF$68,0))*About!$B$93,0)</f>
        <v>907231.29029714421</v>
      </c>
      <c r="N31" s="38">
        <f>IFERROR(INDEX('Cal-CAPEX (정리)'!$B$69:$AF$73,MATCH(BSpUECB_세액공제액!$A31,'Cal-CAPEX (정리)'!$A$69:$A$73,0),MATCH(BSpUECB_세액공제액!N$25,'Cal-CAPEX (정리)'!$B$68:$AF$68,0))*About!$B$93,0)</f>
        <v>879063.17870391067</v>
      </c>
      <c r="O31" s="38">
        <f>IFERROR(INDEX('Cal-CAPEX (정리)'!$B$69:$AF$73,MATCH(BSpUECB_세액공제액!$A31,'Cal-CAPEX (정리)'!$A$69:$A$73,0),MATCH(BSpUECB_세액공제액!O$25,'Cal-CAPEX (정리)'!$B$68:$AF$68,0))*About!$B$93,0)</f>
        <v>851769.64288778568</v>
      </c>
      <c r="P31" s="38">
        <f>IFERROR(INDEX('Cal-CAPEX (정리)'!$B$69:$AF$73,MATCH(BSpUECB_세액공제액!$A31,'Cal-CAPEX (정리)'!$A$69:$A$73,0),MATCH(BSpUECB_세액공제액!P$25,'Cal-CAPEX (정리)'!$B$68:$AF$68,0))*About!$B$93,0)</f>
        <v>825323.52863974927</v>
      </c>
      <c r="Q31" s="38">
        <f>IFERROR(INDEX('Cal-CAPEX (정리)'!$B$69:$AF$73,MATCH(BSpUECB_세액공제액!$A31,'Cal-CAPEX (정리)'!$A$69:$A$73,0),MATCH(BSpUECB_세액공제액!Q$25,'Cal-CAPEX (정리)'!$B$68:$AF$68,0))*About!$B$93,0)</f>
        <v>799698.52484647022</v>
      </c>
      <c r="R31" s="38">
        <f>IFERROR(INDEX('Cal-CAPEX (정리)'!$B$69:$AF$73,MATCH(BSpUECB_세액공제액!$A31,'Cal-CAPEX (정리)'!$A$69:$A$73,0),MATCH(BSpUECB_세액공제액!R$25,'Cal-CAPEX (정리)'!$B$68:$AF$68,0))*About!$B$93,0)</f>
        <v>774869.13731350529</v>
      </c>
      <c r="S31" s="38">
        <f>IFERROR(INDEX('Cal-CAPEX (정리)'!$B$69:$AF$73,MATCH(BSpUECB_세액공제액!$A31,'Cal-CAPEX (정리)'!$A$69:$A$73,0),MATCH(BSpUECB_세액공제액!S$25,'Cal-CAPEX (정리)'!$B$68:$AF$68,0))*About!$B$93,0)</f>
        <v>750810.66340124584</v>
      </c>
      <c r="T31" s="38">
        <f>IFERROR(INDEX('Cal-CAPEX (정리)'!$B$69:$AF$73,MATCH(BSpUECB_세액공제액!$A31,'Cal-CAPEX (정리)'!$A$69:$A$73,0),MATCH(BSpUECB_세액공제액!T$25,'Cal-CAPEX (정리)'!$B$68:$AF$68,0))*About!$B$93,0)</f>
        <v>727499.16744837887</v>
      </c>
      <c r="U31" s="38">
        <f>IFERROR(INDEX('Cal-CAPEX (정리)'!$B$69:$AF$73,MATCH(BSpUECB_세액공제액!$A31,'Cal-CAPEX (정리)'!$A$69:$A$73,0),MATCH(BSpUECB_세액공제액!U$25,'Cal-CAPEX (정리)'!$B$68:$AF$68,0))*About!$B$93,0)</f>
        <v>704911.45695841266</v>
      </c>
      <c r="V31" s="38">
        <f>IFERROR(INDEX('Cal-CAPEX (정리)'!$B$69:$AF$73,MATCH(BSpUECB_세액공제액!$A31,'Cal-CAPEX (정리)'!$A$69:$A$73,0),MATCH(BSpUECB_세액공제액!V$25,'Cal-CAPEX (정리)'!$B$68:$AF$68,0))*About!$B$93,0)</f>
        <v>683025.0595255706</v>
      </c>
      <c r="W31" s="38">
        <f>IFERROR(INDEX('Cal-CAPEX (정리)'!$B$69:$AF$73,MATCH(BSpUECB_세액공제액!$A31,'Cal-CAPEX (정리)'!$A$69:$A$73,0),MATCH(BSpUECB_세액공제액!W$25,'Cal-CAPEX (정리)'!$B$68:$AF$68,0))*About!$B$93,0)</f>
        <v>661818.20047710254</v>
      </c>
      <c r="X31" s="38">
        <f>IFERROR(INDEX('Cal-CAPEX (정리)'!$B$69:$AF$73,MATCH(BSpUECB_세액공제액!$A31,'Cal-CAPEX (정리)'!$A$69:$A$73,0),MATCH(BSpUECB_세액공제액!X$25,'Cal-CAPEX (정리)'!$B$68:$AF$68,0))*About!$B$93,0)</f>
        <v>641269.78120976663</v>
      </c>
      <c r="Y31" s="38">
        <f>IFERROR(INDEX('Cal-CAPEX (정리)'!$B$69:$AF$73,MATCH(BSpUECB_세액공제액!$A31,'Cal-CAPEX (정리)'!$A$69:$A$73,0),MATCH(BSpUECB_세액공제액!Y$25,'Cal-CAPEX (정리)'!$B$68:$AF$68,0))*About!$B$93,0)</f>
        <v>621359.35819892783</v>
      </c>
      <c r="Z31" s="38">
        <f>IFERROR(INDEX('Cal-CAPEX (정리)'!$B$69:$AF$73,MATCH(BSpUECB_세액공제액!$A31,'Cal-CAPEX (정리)'!$A$69:$A$73,0),MATCH(BSpUECB_세액공제액!Z$25,'Cal-CAPEX (정리)'!$B$68:$AF$68,0))*About!$B$93,0)</f>
        <v>602067.12265939428</v>
      </c>
      <c r="AA31" s="38">
        <f>IFERROR(INDEX('Cal-CAPEX (정리)'!$B$69:$AF$73,MATCH(BSpUECB_세액공제액!$A31,'Cal-CAPEX (정리)'!$A$69:$A$73,0),MATCH(BSpUECB_세액공제액!AA$25,'Cal-CAPEX (정리)'!$B$68:$AF$68,0))*About!$B$93,0)</f>
        <v>583373.88083775016</v>
      </c>
      <c r="AB31" s="38">
        <f>IFERROR(INDEX('Cal-CAPEX (정리)'!$B$69:$AF$73,MATCH(BSpUECB_세액공제액!$A31,'Cal-CAPEX (정리)'!$A$69:$A$73,0),MATCH(BSpUECB_세액공제액!AB$25,'Cal-CAPEX (정리)'!$B$68:$AF$68,0))*About!$B$93,0)</f>
        <v>565261.03491658112</v>
      </c>
      <c r="AC31" s="38">
        <f>IFERROR(INDEX('Cal-CAPEX (정리)'!$B$69:$AF$73,MATCH(BSpUECB_세액공제액!$A31,'Cal-CAPEX (정리)'!$A$69:$A$73,0),MATCH(BSpUECB_세액공제액!AC$25,'Cal-CAPEX (정리)'!$B$68:$AF$68,0))*About!$B$93,0)</f>
        <v>547710.56451159553</v>
      </c>
      <c r="AD31" s="38">
        <f>IFERROR(INDEX('Cal-CAPEX (정리)'!$B$69:$AF$73,MATCH(BSpUECB_세액공제액!$A31,'Cal-CAPEX (정리)'!$A$69:$A$73,0),MATCH(BSpUECB_세액공제액!AD$25,'Cal-CAPEX (정리)'!$B$68:$AF$68,0))*About!$B$93,0)</f>
        <v>530705.00874322851</v>
      </c>
      <c r="AE31" s="38">
        <f>IFERROR(INDEX('Cal-CAPEX (정리)'!$B$69:$AF$73,MATCH(BSpUECB_세액공제액!$A31,'Cal-CAPEX (정리)'!$A$69:$A$73,0),MATCH(BSpUECB_세액공제액!AE$25,'Cal-CAPEX (정리)'!$B$68:$AF$68,0))*About!$B$93,0)</f>
        <v>514227.44886489701</v>
      </c>
      <c r="AF31" s="38">
        <f>IFERROR(INDEX('Cal-CAPEX (정리)'!$B$69:$AF$73,MATCH(BSpUECB_세액공제액!$A31,'Cal-CAPEX (정리)'!$A$69:$A$73,0),MATCH(BSpUECB_세액공제액!AF$25,'Cal-CAPEX (정리)'!$B$68:$AF$68,0))*About!$B$93,0)</f>
        <v>498261.49143061804</v>
      </c>
    </row>
    <row r="32" spans="1:34" ht="16.5" customHeight="1">
      <c r="A32" s="17" t="s">
        <v>184</v>
      </c>
      <c r="B32" s="38">
        <f>IFERROR(INDEX('Cal-CAPEX (정리)'!$B$69:$AF$73,MATCH(BSpUECB_세액공제액!$A32,'Cal-CAPEX (정리)'!$A$69:$A$73,0),MATCH(BSpUECB_세액공제액!B$25,'Cal-CAPEX (정리)'!$B$68:$AF$68,0))*About!$B$93,0)</f>
        <v>0</v>
      </c>
      <c r="C32" s="38">
        <f>IFERROR(INDEX('Cal-CAPEX (정리)'!$B$69:$AF$73,MATCH(BSpUECB_세액공제액!$A32,'Cal-CAPEX (정리)'!$A$69:$A$73,0),MATCH(BSpUECB_세액공제액!C$25,'Cal-CAPEX (정리)'!$B$68:$AF$68,0))*About!$B$93,0)</f>
        <v>0</v>
      </c>
      <c r="D32" s="38">
        <f>IFERROR(INDEX('Cal-CAPEX (정리)'!$B$69:$AF$73,MATCH(BSpUECB_세액공제액!$A32,'Cal-CAPEX (정리)'!$A$69:$A$73,0),MATCH(BSpUECB_세액공제액!D$25,'Cal-CAPEX (정리)'!$B$68:$AF$68,0))*About!$B$93,0)</f>
        <v>0</v>
      </c>
      <c r="E32" s="38">
        <f>IFERROR(INDEX('Cal-CAPEX (정리)'!$B$69:$AF$73,MATCH(BSpUECB_세액공제액!$A32,'Cal-CAPEX (정리)'!$A$69:$A$73,0),MATCH(BSpUECB_세액공제액!E$25,'Cal-CAPEX (정리)'!$B$68:$AF$68,0))*About!$B$93,0)</f>
        <v>0</v>
      </c>
      <c r="F32" s="38">
        <f>IFERROR(INDEX('Cal-CAPEX (정리)'!$B$69:$AF$73,MATCH(BSpUECB_세액공제액!$A32,'Cal-CAPEX (정리)'!$A$69:$A$73,0),MATCH(BSpUECB_세액공제액!F$25,'Cal-CAPEX (정리)'!$B$68:$AF$68,0))*About!$B$93,0)</f>
        <v>0</v>
      </c>
      <c r="G32" s="38">
        <f>IFERROR(INDEX('Cal-CAPEX (정리)'!$B$69:$AF$73,MATCH(BSpUECB_세액공제액!$A32,'Cal-CAPEX (정리)'!$A$69:$A$73,0),MATCH(BSpUECB_세액공제액!G$25,'Cal-CAPEX (정리)'!$B$68:$AF$68,0))*About!$B$93,0)</f>
        <v>0</v>
      </c>
      <c r="H32" s="38">
        <f>IFERROR(INDEX('Cal-CAPEX (정리)'!$B$69:$AF$73,MATCH(BSpUECB_세액공제액!$A32,'Cal-CAPEX (정리)'!$A$69:$A$73,0),MATCH(BSpUECB_세액공제액!H$25,'Cal-CAPEX (정리)'!$B$68:$AF$68,0))*About!$B$93,0)</f>
        <v>0</v>
      </c>
      <c r="I32" s="38">
        <f>IFERROR(INDEX('Cal-CAPEX (정리)'!$B$69:$AF$73,MATCH(BSpUECB_세액공제액!$A32,'Cal-CAPEX (정리)'!$A$69:$A$73,0),MATCH(BSpUECB_세액공제액!I$25,'Cal-CAPEX (정리)'!$B$68:$AF$68,0))*About!$B$93,0)</f>
        <v>0</v>
      </c>
      <c r="J32" s="38">
        <f>IFERROR(INDEX('Cal-CAPEX (정리)'!$B$69:$AF$73,MATCH(BSpUECB_세액공제액!$A32,'Cal-CAPEX (정리)'!$A$69:$A$73,0),MATCH(BSpUECB_세액공제액!J$25,'Cal-CAPEX (정리)'!$B$68:$AF$68,0))*About!$B$93,0)</f>
        <v>0</v>
      </c>
      <c r="K32" s="38">
        <f>IFERROR(INDEX('Cal-CAPEX (정리)'!$B$69:$AF$73,MATCH(BSpUECB_세액공제액!$A32,'Cal-CAPEX (정리)'!$A$69:$A$73,0),MATCH(BSpUECB_세액공제액!K$25,'Cal-CAPEX (정리)'!$B$68:$AF$68,0))*About!$B$93,0)</f>
        <v>0</v>
      </c>
      <c r="L32" s="38">
        <f>IFERROR(INDEX('Cal-CAPEX (정리)'!$B$69:$AF$73,MATCH(BSpUECB_세액공제액!$A32,'Cal-CAPEX (정리)'!$A$69:$A$73,0),MATCH(BSpUECB_세액공제액!L$25,'Cal-CAPEX (정리)'!$B$68:$AF$68,0))*About!$B$93,0)</f>
        <v>0</v>
      </c>
      <c r="M32" s="38">
        <f>IFERROR(INDEX('Cal-CAPEX (정리)'!$B$69:$AF$73,MATCH(BSpUECB_세액공제액!$A32,'Cal-CAPEX (정리)'!$A$69:$A$73,0),MATCH(BSpUECB_세액공제액!M$25,'Cal-CAPEX (정리)'!$B$68:$AF$68,0))*About!$B$93,0)</f>
        <v>0</v>
      </c>
      <c r="N32" s="38">
        <f>IFERROR(INDEX('Cal-CAPEX (정리)'!$B$69:$AF$73,MATCH(BSpUECB_세액공제액!$A32,'Cal-CAPEX (정리)'!$A$69:$A$73,0),MATCH(BSpUECB_세액공제액!N$25,'Cal-CAPEX (정리)'!$B$68:$AF$68,0))*About!$B$93,0)</f>
        <v>0</v>
      </c>
      <c r="O32" s="38">
        <f>IFERROR(INDEX('Cal-CAPEX (정리)'!$B$69:$AF$73,MATCH(BSpUECB_세액공제액!$A32,'Cal-CAPEX (정리)'!$A$69:$A$73,0),MATCH(BSpUECB_세액공제액!O$25,'Cal-CAPEX (정리)'!$B$68:$AF$68,0))*About!$B$93,0)</f>
        <v>0</v>
      </c>
      <c r="P32" s="38">
        <f>IFERROR(INDEX('Cal-CAPEX (정리)'!$B$69:$AF$73,MATCH(BSpUECB_세액공제액!$A32,'Cal-CAPEX (정리)'!$A$69:$A$73,0),MATCH(BSpUECB_세액공제액!P$25,'Cal-CAPEX (정리)'!$B$68:$AF$68,0))*About!$B$93,0)</f>
        <v>0</v>
      </c>
      <c r="Q32" s="38">
        <f>IFERROR(INDEX('Cal-CAPEX (정리)'!$B$69:$AF$73,MATCH(BSpUECB_세액공제액!$A32,'Cal-CAPEX (정리)'!$A$69:$A$73,0),MATCH(BSpUECB_세액공제액!Q$25,'Cal-CAPEX (정리)'!$B$68:$AF$68,0))*About!$B$93,0)</f>
        <v>0</v>
      </c>
      <c r="R32" s="38">
        <f>IFERROR(INDEX('Cal-CAPEX (정리)'!$B$69:$AF$73,MATCH(BSpUECB_세액공제액!$A32,'Cal-CAPEX (정리)'!$A$69:$A$73,0),MATCH(BSpUECB_세액공제액!R$25,'Cal-CAPEX (정리)'!$B$68:$AF$68,0))*About!$B$93,0)</f>
        <v>0</v>
      </c>
      <c r="S32" s="38">
        <f>IFERROR(INDEX('Cal-CAPEX (정리)'!$B$69:$AF$73,MATCH(BSpUECB_세액공제액!$A32,'Cal-CAPEX (정리)'!$A$69:$A$73,0),MATCH(BSpUECB_세액공제액!S$25,'Cal-CAPEX (정리)'!$B$68:$AF$68,0))*About!$B$93,0)</f>
        <v>0</v>
      </c>
      <c r="T32" s="38">
        <f>IFERROR(INDEX('Cal-CAPEX (정리)'!$B$69:$AF$73,MATCH(BSpUECB_세액공제액!$A32,'Cal-CAPEX (정리)'!$A$69:$A$73,0),MATCH(BSpUECB_세액공제액!T$25,'Cal-CAPEX (정리)'!$B$68:$AF$68,0))*About!$B$93,0)</f>
        <v>0</v>
      </c>
      <c r="U32" s="38">
        <f>IFERROR(INDEX('Cal-CAPEX (정리)'!$B$69:$AF$73,MATCH(BSpUECB_세액공제액!$A32,'Cal-CAPEX (정리)'!$A$69:$A$73,0),MATCH(BSpUECB_세액공제액!U$25,'Cal-CAPEX (정리)'!$B$68:$AF$68,0))*About!$B$93,0)</f>
        <v>0</v>
      </c>
      <c r="V32" s="38">
        <f>IFERROR(INDEX('Cal-CAPEX (정리)'!$B$69:$AF$73,MATCH(BSpUECB_세액공제액!$A32,'Cal-CAPEX (정리)'!$A$69:$A$73,0),MATCH(BSpUECB_세액공제액!V$25,'Cal-CAPEX (정리)'!$B$68:$AF$68,0))*About!$B$93,0)</f>
        <v>0</v>
      </c>
      <c r="W32" s="38">
        <f>IFERROR(INDEX('Cal-CAPEX (정리)'!$B$69:$AF$73,MATCH(BSpUECB_세액공제액!$A32,'Cal-CAPEX (정리)'!$A$69:$A$73,0),MATCH(BSpUECB_세액공제액!W$25,'Cal-CAPEX (정리)'!$B$68:$AF$68,0))*About!$B$93,0)</f>
        <v>0</v>
      </c>
      <c r="X32" s="38">
        <f>IFERROR(INDEX('Cal-CAPEX (정리)'!$B$69:$AF$73,MATCH(BSpUECB_세액공제액!$A32,'Cal-CAPEX (정리)'!$A$69:$A$73,0),MATCH(BSpUECB_세액공제액!X$25,'Cal-CAPEX (정리)'!$B$68:$AF$68,0))*About!$B$93,0)</f>
        <v>0</v>
      </c>
      <c r="Y32" s="38">
        <f>IFERROR(INDEX('Cal-CAPEX (정리)'!$B$69:$AF$73,MATCH(BSpUECB_세액공제액!$A32,'Cal-CAPEX (정리)'!$A$69:$A$73,0),MATCH(BSpUECB_세액공제액!Y$25,'Cal-CAPEX (정리)'!$B$68:$AF$68,0))*About!$B$93,0)</f>
        <v>0</v>
      </c>
      <c r="Z32" s="38">
        <f>IFERROR(INDEX('Cal-CAPEX (정리)'!$B$69:$AF$73,MATCH(BSpUECB_세액공제액!$A32,'Cal-CAPEX (정리)'!$A$69:$A$73,0),MATCH(BSpUECB_세액공제액!Z$25,'Cal-CAPEX (정리)'!$B$68:$AF$68,0))*About!$B$93,0)</f>
        <v>0</v>
      </c>
      <c r="AA32" s="38">
        <f>IFERROR(INDEX('Cal-CAPEX (정리)'!$B$69:$AF$73,MATCH(BSpUECB_세액공제액!$A32,'Cal-CAPEX (정리)'!$A$69:$A$73,0),MATCH(BSpUECB_세액공제액!AA$25,'Cal-CAPEX (정리)'!$B$68:$AF$68,0))*About!$B$93,0)</f>
        <v>0</v>
      </c>
      <c r="AB32" s="38">
        <f>IFERROR(INDEX('Cal-CAPEX (정리)'!$B$69:$AF$73,MATCH(BSpUECB_세액공제액!$A32,'Cal-CAPEX (정리)'!$A$69:$A$73,0),MATCH(BSpUECB_세액공제액!AB$25,'Cal-CAPEX (정리)'!$B$68:$AF$68,0))*About!$B$93,0)</f>
        <v>0</v>
      </c>
      <c r="AC32" s="38">
        <f>IFERROR(INDEX('Cal-CAPEX (정리)'!$B$69:$AF$73,MATCH(BSpUECB_세액공제액!$A32,'Cal-CAPEX (정리)'!$A$69:$A$73,0),MATCH(BSpUECB_세액공제액!AC$25,'Cal-CAPEX (정리)'!$B$68:$AF$68,0))*About!$B$93,0)</f>
        <v>0</v>
      </c>
      <c r="AD32" s="38">
        <f>IFERROR(INDEX('Cal-CAPEX (정리)'!$B$69:$AF$73,MATCH(BSpUECB_세액공제액!$A32,'Cal-CAPEX (정리)'!$A$69:$A$73,0),MATCH(BSpUECB_세액공제액!AD$25,'Cal-CAPEX (정리)'!$B$68:$AF$68,0))*About!$B$93,0)</f>
        <v>0</v>
      </c>
      <c r="AE32" s="38">
        <f>IFERROR(INDEX('Cal-CAPEX (정리)'!$B$69:$AF$73,MATCH(BSpUECB_세액공제액!$A32,'Cal-CAPEX (정리)'!$A$69:$A$73,0),MATCH(BSpUECB_세액공제액!AE$25,'Cal-CAPEX (정리)'!$B$68:$AF$68,0))*About!$B$93,0)</f>
        <v>0</v>
      </c>
      <c r="AF32" s="38">
        <f>IFERROR(INDEX('Cal-CAPEX (정리)'!$B$69:$AF$73,MATCH(BSpUECB_세액공제액!$A32,'Cal-CAPEX (정리)'!$A$69:$A$73,0),MATCH(BSpUECB_세액공제액!AF$25,'Cal-CAPEX (정리)'!$B$68:$AF$68,0))*About!$B$93,0)</f>
        <v>0</v>
      </c>
    </row>
    <row r="33" spans="1:32" ht="16.5" customHeight="1">
      <c r="A33" s="29" t="s">
        <v>185</v>
      </c>
      <c r="B33" s="38">
        <f>IFERROR(INDEX('Cal-CAPEX (정리)'!$B$69:$AF$73,MATCH(BSpUECB_세액공제액!$A33,'Cal-CAPEX (정리)'!$A$69:$A$73,0),MATCH(BSpUECB_세액공제액!B$25,'Cal-CAPEX (정리)'!$B$68:$AF$68,0))*About!$B$93,0)</f>
        <v>2289343.9</v>
      </c>
      <c r="C33" s="38">
        <f>IFERROR(INDEX('Cal-CAPEX (정리)'!$B$69:$AF$73,MATCH(BSpUECB_세액공제액!$A33,'Cal-CAPEX (정리)'!$A$69:$A$73,0),MATCH(BSpUECB_세액공제액!C$25,'Cal-CAPEX (정리)'!$B$68:$AF$68,0))*About!$B$93,0)</f>
        <v>2289343.9</v>
      </c>
      <c r="D33" s="38">
        <f>IFERROR(INDEX('Cal-CAPEX (정리)'!$B$69:$AF$73,MATCH(BSpUECB_세액공제액!$A33,'Cal-CAPEX (정리)'!$A$69:$A$73,0),MATCH(BSpUECB_세액공제액!D$25,'Cal-CAPEX (정리)'!$B$68:$AF$68,0))*About!$B$93,0)</f>
        <v>2289343.9</v>
      </c>
      <c r="E33" s="38">
        <f>IFERROR(INDEX('Cal-CAPEX (정리)'!$B$69:$AF$73,MATCH(BSpUECB_세액공제액!$A33,'Cal-CAPEX (정리)'!$A$69:$A$73,0),MATCH(BSpUECB_세액공제액!E$25,'Cal-CAPEX (정리)'!$B$68:$AF$68,0))*About!$B$93,0)</f>
        <v>2289343.9</v>
      </c>
      <c r="F33" s="38">
        <f>IFERROR(INDEX('Cal-CAPEX (정리)'!$B$69:$AF$73,MATCH(BSpUECB_세액공제액!$A33,'Cal-CAPEX (정리)'!$A$69:$A$73,0),MATCH(BSpUECB_세액공제액!F$25,'Cal-CAPEX (정리)'!$B$68:$AF$68,0))*About!$B$93,0)</f>
        <v>2289343.9</v>
      </c>
      <c r="G33" s="38">
        <f>IFERROR(INDEX('Cal-CAPEX (정리)'!$B$69:$AF$73,MATCH(BSpUECB_세액공제액!$A33,'Cal-CAPEX (정리)'!$A$69:$A$73,0),MATCH(BSpUECB_세액공제액!G$25,'Cal-CAPEX (정리)'!$B$68:$AF$68,0))*About!$B$93,0)</f>
        <v>2289343.9</v>
      </c>
      <c r="H33" s="38">
        <f>IFERROR(INDEX('Cal-CAPEX (정리)'!$B$69:$AF$73,MATCH(BSpUECB_세액공제액!$A33,'Cal-CAPEX (정리)'!$A$69:$A$73,0),MATCH(BSpUECB_세액공제액!H$25,'Cal-CAPEX (정리)'!$B$68:$AF$68,0))*About!$B$93,0)</f>
        <v>2289343.9</v>
      </c>
      <c r="I33" s="38">
        <f>IFERROR(INDEX('Cal-CAPEX (정리)'!$B$69:$AF$73,MATCH(BSpUECB_세액공제액!$A33,'Cal-CAPEX (정리)'!$A$69:$A$73,0),MATCH(BSpUECB_세액공제액!I$25,'Cal-CAPEX (정리)'!$B$68:$AF$68,0))*About!$B$93,0)</f>
        <v>2289343.9</v>
      </c>
      <c r="J33" s="38">
        <f>IFERROR(INDEX('Cal-CAPEX (정리)'!$B$69:$AF$73,MATCH(BSpUECB_세액공제액!$A33,'Cal-CAPEX (정리)'!$A$69:$A$73,0),MATCH(BSpUECB_세액공제액!J$25,'Cal-CAPEX (정리)'!$B$68:$AF$68,0))*About!$B$93,0)</f>
        <v>2289343.9</v>
      </c>
      <c r="K33" s="38">
        <f>IFERROR(INDEX('Cal-CAPEX (정리)'!$B$69:$AF$73,MATCH(BSpUECB_세액공제액!$A33,'Cal-CAPEX (정리)'!$A$69:$A$73,0),MATCH(BSpUECB_세액공제액!K$25,'Cal-CAPEX (정리)'!$B$68:$AF$68,0))*About!$B$93,0)</f>
        <v>2289343.9</v>
      </c>
      <c r="L33" s="38">
        <f>IFERROR(INDEX('Cal-CAPEX (정리)'!$B$69:$AF$73,MATCH(BSpUECB_세액공제액!$A33,'Cal-CAPEX (정리)'!$A$69:$A$73,0),MATCH(BSpUECB_세액공제액!L$25,'Cal-CAPEX (정리)'!$B$68:$AF$68,0))*About!$B$93,0)</f>
        <v>2289343.9</v>
      </c>
      <c r="M33" s="38">
        <f>IFERROR(INDEX('Cal-CAPEX (정리)'!$B$69:$AF$73,MATCH(BSpUECB_세액공제액!$A33,'Cal-CAPEX (정리)'!$A$69:$A$73,0),MATCH(BSpUECB_세액공제액!M$25,'Cal-CAPEX (정리)'!$B$68:$AF$68,0))*About!$B$93,0)</f>
        <v>2289343.9</v>
      </c>
      <c r="N33" s="38">
        <f>IFERROR(INDEX('Cal-CAPEX (정리)'!$B$69:$AF$73,MATCH(BSpUECB_세액공제액!$A33,'Cal-CAPEX (정리)'!$A$69:$A$73,0),MATCH(BSpUECB_세액공제액!N$25,'Cal-CAPEX (정리)'!$B$68:$AF$68,0))*About!$B$93,0)</f>
        <v>2289343.9</v>
      </c>
      <c r="O33" s="38">
        <f>IFERROR(INDEX('Cal-CAPEX (정리)'!$B$69:$AF$73,MATCH(BSpUECB_세액공제액!$A33,'Cal-CAPEX (정리)'!$A$69:$A$73,0),MATCH(BSpUECB_세액공제액!O$25,'Cal-CAPEX (정리)'!$B$68:$AF$68,0))*About!$B$93,0)</f>
        <v>2289343.9</v>
      </c>
      <c r="P33" s="38">
        <f>IFERROR(INDEX('Cal-CAPEX (정리)'!$B$69:$AF$73,MATCH(BSpUECB_세액공제액!$A33,'Cal-CAPEX (정리)'!$A$69:$A$73,0),MATCH(BSpUECB_세액공제액!P$25,'Cal-CAPEX (정리)'!$B$68:$AF$68,0))*About!$B$93,0)</f>
        <v>2289343.9</v>
      </c>
      <c r="Q33" s="38">
        <f>IFERROR(INDEX('Cal-CAPEX (정리)'!$B$69:$AF$73,MATCH(BSpUECB_세액공제액!$A33,'Cal-CAPEX (정리)'!$A$69:$A$73,0),MATCH(BSpUECB_세액공제액!Q$25,'Cal-CAPEX (정리)'!$B$68:$AF$68,0))*About!$B$93,0)</f>
        <v>2289343.9</v>
      </c>
      <c r="R33" s="38">
        <f>IFERROR(INDEX('Cal-CAPEX (정리)'!$B$69:$AF$73,MATCH(BSpUECB_세액공제액!$A33,'Cal-CAPEX (정리)'!$A$69:$A$73,0),MATCH(BSpUECB_세액공제액!R$25,'Cal-CAPEX (정리)'!$B$68:$AF$68,0))*About!$B$93,0)</f>
        <v>2289343.9</v>
      </c>
      <c r="S33" s="38">
        <f>IFERROR(INDEX('Cal-CAPEX (정리)'!$B$69:$AF$73,MATCH(BSpUECB_세액공제액!$A33,'Cal-CAPEX (정리)'!$A$69:$A$73,0),MATCH(BSpUECB_세액공제액!S$25,'Cal-CAPEX (정리)'!$B$68:$AF$68,0))*About!$B$93,0)</f>
        <v>2289343.9</v>
      </c>
      <c r="T33" s="38">
        <f>IFERROR(INDEX('Cal-CAPEX (정리)'!$B$69:$AF$73,MATCH(BSpUECB_세액공제액!$A33,'Cal-CAPEX (정리)'!$A$69:$A$73,0),MATCH(BSpUECB_세액공제액!T$25,'Cal-CAPEX (정리)'!$B$68:$AF$68,0))*About!$B$93,0)</f>
        <v>2289343.9</v>
      </c>
      <c r="U33" s="38">
        <f>IFERROR(INDEX('Cal-CAPEX (정리)'!$B$69:$AF$73,MATCH(BSpUECB_세액공제액!$A33,'Cal-CAPEX (정리)'!$A$69:$A$73,0),MATCH(BSpUECB_세액공제액!U$25,'Cal-CAPEX (정리)'!$B$68:$AF$68,0))*About!$B$93,0)</f>
        <v>2289343.9</v>
      </c>
      <c r="V33" s="38">
        <f>IFERROR(INDEX('Cal-CAPEX (정리)'!$B$69:$AF$73,MATCH(BSpUECB_세액공제액!$A33,'Cal-CAPEX (정리)'!$A$69:$A$73,0),MATCH(BSpUECB_세액공제액!V$25,'Cal-CAPEX (정리)'!$B$68:$AF$68,0))*About!$B$93,0)</f>
        <v>2289343.9</v>
      </c>
      <c r="W33" s="38">
        <f>IFERROR(INDEX('Cal-CAPEX (정리)'!$B$69:$AF$73,MATCH(BSpUECB_세액공제액!$A33,'Cal-CAPEX (정리)'!$A$69:$A$73,0),MATCH(BSpUECB_세액공제액!W$25,'Cal-CAPEX (정리)'!$B$68:$AF$68,0))*About!$B$93,0)</f>
        <v>2289343.9</v>
      </c>
      <c r="X33" s="38">
        <f>IFERROR(INDEX('Cal-CAPEX (정리)'!$B$69:$AF$73,MATCH(BSpUECB_세액공제액!$A33,'Cal-CAPEX (정리)'!$A$69:$A$73,0),MATCH(BSpUECB_세액공제액!X$25,'Cal-CAPEX (정리)'!$B$68:$AF$68,0))*About!$B$93,0)</f>
        <v>2289343.9</v>
      </c>
      <c r="Y33" s="38">
        <f>IFERROR(INDEX('Cal-CAPEX (정리)'!$B$69:$AF$73,MATCH(BSpUECB_세액공제액!$A33,'Cal-CAPEX (정리)'!$A$69:$A$73,0),MATCH(BSpUECB_세액공제액!Y$25,'Cal-CAPEX (정리)'!$B$68:$AF$68,0))*About!$B$93,0)</f>
        <v>2289343.9</v>
      </c>
      <c r="Z33" s="38">
        <f>IFERROR(INDEX('Cal-CAPEX (정리)'!$B$69:$AF$73,MATCH(BSpUECB_세액공제액!$A33,'Cal-CAPEX (정리)'!$A$69:$A$73,0),MATCH(BSpUECB_세액공제액!Z$25,'Cal-CAPEX (정리)'!$B$68:$AF$68,0))*About!$B$93,0)</f>
        <v>2289343.9</v>
      </c>
      <c r="AA33" s="38">
        <f>IFERROR(INDEX('Cal-CAPEX (정리)'!$B$69:$AF$73,MATCH(BSpUECB_세액공제액!$A33,'Cal-CAPEX (정리)'!$A$69:$A$73,0),MATCH(BSpUECB_세액공제액!AA$25,'Cal-CAPEX (정리)'!$B$68:$AF$68,0))*About!$B$93,0)</f>
        <v>2289343.9</v>
      </c>
      <c r="AB33" s="38">
        <f>IFERROR(INDEX('Cal-CAPEX (정리)'!$B$69:$AF$73,MATCH(BSpUECB_세액공제액!$A33,'Cal-CAPEX (정리)'!$A$69:$A$73,0),MATCH(BSpUECB_세액공제액!AB$25,'Cal-CAPEX (정리)'!$B$68:$AF$68,0))*About!$B$93,0)</f>
        <v>2289343.9</v>
      </c>
      <c r="AC33" s="38">
        <f>IFERROR(INDEX('Cal-CAPEX (정리)'!$B$69:$AF$73,MATCH(BSpUECB_세액공제액!$A33,'Cal-CAPEX (정리)'!$A$69:$A$73,0),MATCH(BSpUECB_세액공제액!AC$25,'Cal-CAPEX (정리)'!$B$68:$AF$68,0))*About!$B$93,0)</f>
        <v>2289343.9</v>
      </c>
      <c r="AD33" s="38">
        <f>IFERROR(INDEX('Cal-CAPEX (정리)'!$B$69:$AF$73,MATCH(BSpUECB_세액공제액!$A33,'Cal-CAPEX (정리)'!$A$69:$A$73,0),MATCH(BSpUECB_세액공제액!AD$25,'Cal-CAPEX (정리)'!$B$68:$AF$68,0))*About!$B$93,0)</f>
        <v>2289343.9</v>
      </c>
      <c r="AE33" s="38">
        <f>IFERROR(INDEX('Cal-CAPEX (정리)'!$B$69:$AF$73,MATCH(BSpUECB_세액공제액!$A33,'Cal-CAPEX (정리)'!$A$69:$A$73,0),MATCH(BSpUECB_세액공제액!AE$25,'Cal-CAPEX (정리)'!$B$68:$AF$68,0))*About!$B$93,0)</f>
        <v>2289343.9</v>
      </c>
      <c r="AF33" s="38">
        <f>IFERROR(INDEX('Cal-CAPEX (정리)'!$B$69:$AF$73,MATCH(BSpUECB_세액공제액!$A33,'Cal-CAPEX (정리)'!$A$69:$A$73,0),MATCH(BSpUECB_세액공제액!AF$25,'Cal-CAPEX (정리)'!$B$68:$AF$68,0))*About!$B$93,0)</f>
        <v>2289343.9</v>
      </c>
    </row>
    <row r="34" spans="1:32" ht="16.5" customHeight="1">
      <c r="A34" s="17" t="s">
        <v>186</v>
      </c>
      <c r="B34" s="38">
        <f>IFERROR(INDEX('Cal-CAPEX (정리)'!$B$69:$AF$73,MATCH(BSpUECB_세액공제액!$A34,'Cal-CAPEX (정리)'!$A$69:$A$73,0),MATCH(BSpUECB_세액공제액!B$25,'Cal-CAPEX (정리)'!$B$68:$AF$68,0))*About!$B$93,0)</f>
        <v>0</v>
      </c>
      <c r="C34" s="38">
        <f>IFERROR(INDEX('Cal-CAPEX (정리)'!$B$69:$AF$73,MATCH(BSpUECB_세액공제액!$A34,'Cal-CAPEX (정리)'!$A$69:$A$73,0),MATCH(BSpUECB_세액공제액!C$25,'Cal-CAPEX (정리)'!$B$68:$AF$68,0))*About!$B$93,0)</f>
        <v>0</v>
      </c>
      <c r="D34" s="38">
        <f>IFERROR(INDEX('Cal-CAPEX (정리)'!$B$69:$AF$73,MATCH(BSpUECB_세액공제액!$A34,'Cal-CAPEX (정리)'!$A$69:$A$73,0),MATCH(BSpUECB_세액공제액!D$25,'Cal-CAPEX (정리)'!$B$68:$AF$68,0))*About!$B$93,0)</f>
        <v>0</v>
      </c>
      <c r="E34" s="38">
        <f>IFERROR(INDEX('Cal-CAPEX (정리)'!$B$69:$AF$73,MATCH(BSpUECB_세액공제액!$A34,'Cal-CAPEX (정리)'!$A$69:$A$73,0),MATCH(BSpUECB_세액공제액!E$25,'Cal-CAPEX (정리)'!$B$68:$AF$68,0))*About!$B$93,0)</f>
        <v>0</v>
      </c>
      <c r="F34" s="38">
        <f>IFERROR(INDEX('Cal-CAPEX (정리)'!$B$69:$AF$73,MATCH(BSpUECB_세액공제액!$A34,'Cal-CAPEX (정리)'!$A$69:$A$73,0),MATCH(BSpUECB_세액공제액!F$25,'Cal-CAPEX (정리)'!$B$68:$AF$68,0))*About!$B$93,0)</f>
        <v>0</v>
      </c>
      <c r="G34" s="38">
        <f>IFERROR(INDEX('Cal-CAPEX (정리)'!$B$69:$AF$73,MATCH(BSpUECB_세액공제액!$A34,'Cal-CAPEX (정리)'!$A$69:$A$73,0),MATCH(BSpUECB_세액공제액!G$25,'Cal-CAPEX (정리)'!$B$68:$AF$68,0))*About!$B$93,0)</f>
        <v>0</v>
      </c>
      <c r="H34" s="38">
        <f>IFERROR(INDEX('Cal-CAPEX (정리)'!$B$69:$AF$73,MATCH(BSpUECB_세액공제액!$A34,'Cal-CAPEX (정리)'!$A$69:$A$73,0),MATCH(BSpUECB_세액공제액!H$25,'Cal-CAPEX (정리)'!$B$68:$AF$68,0))*About!$B$93,0)</f>
        <v>0</v>
      </c>
      <c r="I34" s="38">
        <f>IFERROR(INDEX('Cal-CAPEX (정리)'!$B$69:$AF$73,MATCH(BSpUECB_세액공제액!$A34,'Cal-CAPEX (정리)'!$A$69:$A$73,0),MATCH(BSpUECB_세액공제액!I$25,'Cal-CAPEX (정리)'!$B$68:$AF$68,0))*About!$B$93,0)</f>
        <v>0</v>
      </c>
      <c r="J34" s="38">
        <f>IFERROR(INDEX('Cal-CAPEX (정리)'!$B$69:$AF$73,MATCH(BSpUECB_세액공제액!$A34,'Cal-CAPEX (정리)'!$A$69:$A$73,0),MATCH(BSpUECB_세액공제액!J$25,'Cal-CAPEX (정리)'!$B$68:$AF$68,0))*About!$B$93,0)</f>
        <v>0</v>
      </c>
      <c r="K34" s="38">
        <f>IFERROR(INDEX('Cal-CAPEX (정리)'!$B$69:$AF$73,MATCH(BSpUECB_세액공제액!$A34,'Cal-CAPEX (정리)'!$A$69:$A$73,0),MATCH(BSpUECB_세액공제액!K$25,'Cal-CAPEX (정리)'!$B$68:$AF$68,0))*About!$B$93,0)</f>
        <v>0</v>
      </c>
      <c r="L34" s="38">
        <f>IFERROR(INDEX('Cal-CAPEX (정리)'!$B$69:$AF$73,MATCH(BSpUECB_세액공제액!$A34,'Cal-CAPEX (정리)'!$A$69:$A$73,0),MATCH(BSpUECB_세액공제액!L$25,'Cal-CAPEX (정리)'!$B$68:$AF$68,0))*About!$B$93,0)</f>
        <v>0</v>
      </c>
      <c r="M34" s="38">
        <f>IFERROR(INDEX('Cal-CAPEX (정리)'!$B$69:$AF$73,MATCH(BSpUECB_세액공제액!$A34,'Cal-CAPEX (정리)'!$A$69:$A$73,0),MATCH(BSpUECB_세액공제액!M$25,'Cal-CAPEX (정리)'!$B$68:$AF$68,0))*About!$B$93,0)</f>
        <v>0</v>
      </c>
      <c r="N34" s="38">
        <f>IFERROR(INDEX('Cal-CAPEX (정리)'!$B$69:$AF$73,MATCH(BSpUECB_세액공제액!$A34,'Cal-CAPEX (정리)'!$A$69:$A$73,0),MATCH(BSpUECB_세액공제액!N$25,'Cal-CAPEX (정리)'!$B$68:$AF$68,0))*About!$B$93,0)</f>
        <v>0</v>
      </c>
      <c r="O34" s="38">
        <f>IFERROR(INDEX('Cal-CAPEX (정리)'!$B$69:$AF$73,MATCH(BSpUECB_세액공제액!$A34,'Cal-CAPEX (정리)'!$A$69:$A$73,0),MATCH(BSpUECB_세액공제액!O$25,'Cal-CAPEX (정리)'!$B$68:$AF$68,0))*About!$B$93,0)</f>
        <v>0</v>
      </c>
      <c r="P34" s="38">
        <f>IFERROR(INDEX('Cal-CAPEX (정리)'!$B$69:$AF$73,MATCH(BSpUECB_세액공제액!$A34,'Cal-CAPEX (정리)'!$A$69:$A$73,0),MATCH(BSpUECB_세액공제액!P$25,'Cal-CAPEX (정리)'!$B$68:$AF$68,0))*About!$B$93,0)</f>
        <v>0</v>
      </c>
      <c r="Q34" s="38">
        <f>IFERROR(INDEX('Cal-CAPEX (정리)'!$B$69:$AF$73,MATCH(BSpUECB_세액공제액!$A34,'Cal-CAPEX (정리)'!$A$69:$A$73,0),MATCH(BSpUECB_세액공제액!Q$25,'Cal-CAPEX (정리)'!$B$68:$AF$68,0))*About!$B$93,0)</f>
        <v>0</v>
      </c>
      <c r="R34" s="38">
        <f>IFERROR(INDEX('Cal-CAPEX (정리)'!$B$69:$AF$73,MATCH(BSpUECB_세액공제액!$A34,'Cal-CAPEX (정리)'!$A$69:$A$73,0),MATCH(BSpUECB_세액공제액!R$25,'Cal-CAPEX (정리)'!$B$68:$AF$68,0))*About!$B$93,0)</f>
        <v>0</v>
      </c>
      <c r="S34" s="38">
        <f>IFERROR(INDEX('Cal-CAPEX (정리)'!$B$69:$AF$73,MATCH(BSpUECB_세액공제액!$A34,'Cal-CAPEX (정리)'!$A$69:$A$73,0),MATCH(BSpUECB_세액공제액!S$25,'Cal-CAPEX (정리)'!$B$68:$AF$68,0))*About!$B$93,0)</f>
        <v>0</v>
      </c>
      <c r="T34" s="38">
        <f>IFERROR(INDEX('Cal-CAPEX (정리)'!$B$69:$AF$73,MATCH(BSpUECB_세액공제액!$A34,'Cal-CAPEX (정리)'!$A$69:$A$73,0),MATCH(BSpUECB_세액공제액!T$25,'Cal-CAPEX (정리)'!$B$68:$AF$68,0))*About!$B$93,0)</f>
        <v>0</v>
      </c>
      <c r="U34" s="38">
        <f>IFERROR(INDEX('Cal-CAPEX (정리)'!$B$69:$AF$73,MATCH(BSpUECB_세액공제액!$A34,'Cal-CAPEX (정리)'!$A$69:$A$73,0),MATCH(BSpUECB_세액공제액!U$25,'Cal-CAPEX (정리)'!$B$68:$AF$68,0))*About!$B$93,0)</f>
        <v>0</v>
      </c>
      <c r="V34" s="38">
        <f>IFERROR(INDEX('Cal-CAPEX (정리)'!$B$69:$AF$73,MATCH(BSpUECB_세액공제액!$A34,'Cal-CAPEX (정리)'!$A$69:$A$73,0),MATCH(BSpUECB_세액공제액!V$25,'Cal-CAPEX (정리)'!$B$68:$AF$68,0))*About!$B$93,0)</f>
        <v>0</v>
      </c>
      <c r="W34" s="38">
        <f>IFERROR(INDEX('Cal-CAPEX (정리)'!$B$69:$AF$73,MATCH(BSpUECB_세액공제액!$A34,'Cal-CAPEX (정리)'!$A$69:$A$73,0),MATCH(BSpUECB_세액공제액!W$25,'Cal-CAPEX (정리)'!$B$68:$AF$68,0))*About!$B$93,0)</f>
        <v>0</v>
      </c>
      <c r="X34" s="38">
        <f>IFERROR(INDEX('Cal-CAPEX (정리)'!$B$69:$AF$73,MATCH(BSpUECB_세액공제액!$A34,'Cal-CAPEX (정리)'!$A$69:$A$73,0),MATCH(BSpUECB_세액공제액!X$25,'Cal-CAPEX (정리)'!$B$68:$AF$68,0))*About!$B$93,0)</f>
        <v>0</v>
      </c>
      <c r="Y34" s="38">
        <f>IFERROR(INDEX('Cal-CAPEX (정리)'!$B$69:$AF$73,MATCH(BSpUECB_세액공제액!$A34,'Cal-CAPEX (정리)'!$A$69:$A$73,0),MATCH(BSpUECB_세액공제액!Y$25,'Cal-CAPEX (정리)'!$B$68:$AF$68,0))*About!$B$93,0)</f>
        <v>0</v>
      </c>
      <c r="Z34" s="38">
        <f>IFERROR(INDEX('Cal-CAPEX (정리)'!$B$69:$AF$73,MATCH(BSpUECB_세액공제액!$A34,'Cal-CAPEX (정리)'!$A$69:$A$73,0),MATCH(BSpUECB_세액공제액!Z$25,'Cal-CAPEX (정리)'!$B$68:$AF$68,0))*About!$B$93,0)</f>
        <v>0</v>
      </c>
      <c r="AA34" s="38">
        <f>IFERROR(INDEX('Cal-CAPEX (정리)'!$B$69:$AF$73,MATCH(BSpUECB_세액공제액!$A34,'Cal-CAPEX (정리)'!$A$69:$A$73,0),MATCH(BSpUECB_세액공제액!AA$25,'Cal-CAPEX (정리)'!$B$68:$AF$68,0))*About!$B$93,0)</f>
        <v>0</v>
      </c>
      <c r="AB34" s="38">
        <f>IFERROR(INDEX('Cal-CAPEX (정리)'!$B$69:$AF$73,MATCH(BSpUECB_세액공제액!$A34,'Cal-CAPEX (정리)'!$A$69:$A$73,0),MATCH(BSpUECB_세액공제액!AB$25,'Cal-CAPEX (정리)'!$B$68:$AF$68,0))*About!$B$93,0)</f>
        <v>0</v>
      </c>
      <c r="AC34" s="38">
        <f>IFERROR(INDEX('Cal-CAPEX (정리)'!$B$69:$AF$73,MATCH(BSpUECB_세액공제액!$A34,'Cal-CAPEX (정리)'!$A$69:$A$73,0),MATCH(BSpUECB_세액공제액!AC$25,'Cal-CAPEX (정리)'!$B$68:$AF$68,0))*About!$B$93,0)</f>
        <v>0</v>
      </c>
      <c r="AD34" s="38">
        <f>IFERROR(INDEX('Cal-CAPEX (정리)'!$B$69:$AF$73,MATCH(BSpUECB_세액공제액!$A34,'Cal-CAPEX (정리)'!$A$69:$A$73,0),MATCH(BSpUECB_세액공제액!AD$25,'Cal-CAPEX (정리)'!$B$68:$AF$68,0))*About!$B$93,0)</f>
        <v>0</v>
      </c>
      <c r="AE34" s="38">
        <f>IFERROR(INDEX('Cal-CAPEX (정리)'!$B$69:$AF$73,MATCH(BSpUECB_세액공제액!$A34,'Cal-CAPEX (정리)'!$A$69:$A$73,0),MATCH(BSpUECB_세액공제액!AE$25,'Cal-CAPEX (정리)'!$B$68:$AF$68,0))*About!$B$93,0)</f>
        <v>0</v>
      </c>
      <c r="AF34" s="38">
        <f>IFERROR(INDEX('Cal-CAPEX (정리)'!$B$69:$AF$73,MATCH(BSpUECB_세액공제액!$A34,'Cal-CAPEX (정리)'!$A$69:$A$73,0),MATCH(BSpUECB_세액공제액!AF$25,'Cal-CAPEX (정리)'!$B$68:$AF$68,0))*About!$B$93,0)</f>
        <v>0</v>
      </c>
    </row>
    <row r="35" spans="1:32" ht="16.5" customHeight="1">
      <c r="A35" s="17" t="s">
        <v>187</v>
      </c>
      <c r="B35" s="38">
        <f>IFERROR(INDEX('Cal-CAPEX (정리)'!$B$69:$AF$73,MATCH(BSpUECB_세액공제액!$A35,'Cal-CAPEX (정리)'!$A$69:$A$73,0),MATCH(BSpUECB_세액공제액!B$25,'Cal-CAPEX (정리)'!$B$68:$AF$68,0))*About!$B$93,0)</f>
        <v>0</v>
      </c>
      <c r="C35" s="38">
        <f>IFERROR(INDEX('Cal-CAPEX (정리)'!$B$69:$AF$73,MATCH(BSpUECB_세액공제액!$A35,'Cal-CAPEX (정리)'!$A$69:$A$73,0),MATCH(BSpUECB_세액공제액!C$25,'Cal-CAPEX (정리)'!$B$68:$AF$68,0))*About!$B$93,0)</f>
        <v>0</v>
      </c>
      <c r="D35" s="38">
        <f>IFERROR(INDEX('Cal-CAPEX (정리)'!$B$69:$AF$73,MATCH(BSpUECB_세액공제액!$A35,'Cal-CAPEX (정리)'!$A$69:$A$73,0),MATCH(BSpUECB_세액공제액!D$25,'Cal-CAPEX (정리)'!$B$68:$AF$68,0))*About!$B$93,0)</f>
        <v>0</v>
      </c>
      <c r="E35" s="38">
        <f>IFERROR(INDEX('Cal-CAPEX (정리)'!$B$69:$AF$73,MATCH(BSpUECB_세액공제액!$A35,'Cal-CAPEX (정리)'!$A$69:$A$73,0),MATCH(BSpUECB_세액공제액!E$25,'Cal-CAPEX (정리)'!$B$68:$AF$68,0))*About!$B$93,0)</f>
        <v>0</v>
      </c>
      <c r="F35" s="38">
        <f>IFERROR(INDEX('Cal-CAPEX (정리)'!$B$69:$AF$73,MATCH(BSpUECB_세액공제액!$A35,'Cal-CAPEX (정리)'!$A$69:$A$73,0),MATCH(BSpUECB_세액공제액!F$25,'Cal-CAPEX (정리)'!$B$68:$AF$68,0))*About!$B$93,0)</f>
        <v>0</v>
      </c>
      <c r="G35" s="38">
        <f>IFERROR(INDEX('Cal-CAPEX (정리)'!$B$69:$AF$73,MATCH(BSpUECB_세액공제액!$A35,'Cal-CAPEX (정리)'!$A$69:$A$73,0),MATCH(BSpUECB_세액공제액!G$25,'Cal-CAPEX (정리)'!$B$68:$AF$68,0))*About!$B$93,0)</f>
        <v>0</v>
      </c>
      <c r="H35" s="38">
        <f>IFERROR(INDEX('Cal-CAPEX (정리)'!$B$69:$AF$73,MATCH(BSpUECB_세액공제액!$A35,'Cal-CAPEX (정리)'!$A$69:$A$73,0),MATCH(BSpUECB_세액공제액!H$25,'Cal-CAPEX (정리)'!$B$68:$AF$68,0))*About!$B$93,0)</f>
        <v>0</v>
      </c>
      <c r="I35" s="38">
        <f>IFERROR(INDEX('Cal-CAPEX (정리)'!$B$69:$AF$73,MATCH(BSpUECB_세액공제액!$A35,'Cal-CAPEX (정리)'!$A$69:$A$73,0),MATCH(BSpUECB_세액공제액!I$25,'Cal-CAPEX (정리)'!$B$68:$AF$68,0))*About!$B$93,0)</f>
        <v>0</v>
      </c>
      <c r="J35" s="38">
        <f>IFERROR(INDEX('Cal-CAPEX (정리)'!$B$69:$AF$73,MATCH(BSpUECB_세액공제액!$A35,'Cal-CAPEX (정리)'!$A$69:$A$73,0),MATCH(BSpUECB_세액공제액!J$25,'Cal-CAPEX (정리)'!$B$68:$AF$68,0))*About!$B$93,0)</f>
        <v>0</v>
      </c>
      <c r="K35" s="38">
        <f>IFERROR(INDEX('Cal-CAPEX (정리)'!$B$69:$AF$73,MATCH(BSpUECB_세액공제액!$A35,'Cal-CAPEX (정리)'!$A$69:$A$73,0),MATCH(BSpUECB_세액공제액!K$25,'Cal-CAPEX (정리)'!$B$68:$AF$68,0))*About!$B$93,0)</f>
        <v>0</v>
      </c>
      <c r="L35" s="38">
        <f>IFERROR(INDEX('Cal-CAPEX (정리)'!$B$69:$AF$73,MATCH(BSpUECB_세액공제액!$A35,'Cal-CAPEX (정리)'!$A$69:$A$73,0),MATCH(BSpUECB_세액공제액!L$25,'Cal-CAPEX (정리)'!$B$68:$AF$68,0))*About!$B$93,0)</f>
        <v>0</v>
      </c>
      <c r="M35" s="38">
        <f>IFERROR(INDEX('Cal-CAPEX (정리)'!$B$69:$AF$73,MATCH(BSpUECB_세액공제액!$A35,'Cal-CAPEX (정리)'!$A$69:$A$73,0),MATCH(BSpUECB_세액공제액!M$25,'Cal-CAPEX (정리)'!$B$68:$AF$68,0))*About!$B$93,0)</f>
        <v>0</v>
      </c>
      <c r="N35" s="38">
        <f>IFERROR(INDEX('Cal-CAPEX (정리)'!$B$69:$AF$73,MATCH(BSpUECB_세액공제액!$A35,'Cal-CAPEX (정리)'!$A$69:$A$73,0),MATCH(BSpUECB_세액공제액!N$25,'Cal-CAPEX (정리)'!$B$68:$AF$68,0))*About!$B$93,0)</f>
        <v>0</v>
      </c>
      <c r="O35" s="38">
        <f>IFERROR(INDEX('Cal-CAPEX (정리)'!$B$69:$AF$73,MATCH(BSpUECB_세액공제액!$A35,'Cal-CAPEX (정리)'!$A$69:$A$73,0),MATCH(BSpUECB_세액공제액!O$25,'Cal-CAPEX (정리)'!$B$68:$AF$68,0))*About!$B$93,0)</f>
        <v>0</v>
      </c>
      <c r="P35" s="38">
        <f>IFERROR(INDEX('Cal-CAPEX (정리)'!$B$69:$AF$73,MATCH(BSpUECB_세액공제액!$A35,'Cal-CAPEX (정리)'!$A$69:$A$73,0),MATCH(BSpUECB_세액공제액!P$25,'Cal-CAPEX (정리)'!$B$68:$AF$68,0))*About!$B$93,0)</f>
        <v>0</v>
      </c>
      <c r="Q35" s="38">
        <f>IFERROR(INDEX('Cal-CAPEX (정리)'!$B$69:$AF$73,MATCH(BSpUECB_세액공제액!$A35,'Cal-CAPEX (정리)'!$A$69:$A$73,0),MATCH(BSpUECB_세액공제액!Q$25,'Cal-CAPEX (정리)'!$B$68:$AF$68,0))*About!$B$93,0)</f>
        <v>0</v>
      </c>
      <c r="R35" s="38">
        <f>IFERROR(INDEX('Cal-CAPEX (정리)'!$B$69:$AF$73,MATCH(BSpUECB_세액공제액!$A35,'Cal-CAPEX (정리)'!$A$69:$A$73,0),MATCH(BSpUECB_세액공제액!R$25,'Cal-CAPEX (정리)'!$B$68:$AF$68,0))*About!$B$93,0)</f>
        <v>0</v>
      </c>
      <c r="S35" s="38">
        <f>IFERROR(INDEX('Cal-CAPEX (정리)'!$B$69:$AF$73,MATCH(BSpUECB_세액공제액!$A35,'Cal-CAPEX (정리)'!$A$69:$A$73,0),MATCH(BSpUECB_세액공제액!S$25,'Cal-CAPEX (정리)'!$B$68:$AF$68,0))*About!$B$93,0)</f>
        <v>0</v>
      </c>
      <c r="T35" s="38">
        <f>IFERROR(INDEX('Cal-CAPEX (정리)'!$B$69:$AF$73,MATCH(BSpUECB_세액공제액!$A35,'Cal-CAPEX (정리)'!$A$69:$A$73,0),MATCH(BSpUECB_세액공제액!T$25,'Cal-CAPEX (정리)'!$B$68:$AF$68,0))*About!$B$93,0)</f>
        <v>0</v>
      </c>
      <c r="U35" s="38">
        <f>IFERROR(INDEX('Cal-CAPEX (정리)'!$B$69:$AF$73,MATCH(BSpUECB_세액공제액!$A35,'Cal-CAPEX (정리)'!$A$69:$A$73,0),MATCH(BSpUECB_세액공제액!U$25,'Cal-CAPEX (정리)'!$B$68:$AF$68,0))*About!$B$93,0)</f>
        <v>0</v>
      </c>
      <c r="V35" s="38">
        <f>IFERROR(INDEX('Cal-CAPEX (정리)'!$B$69:$AF$73,MATCH(BSpUECB_세액공제액!$A35,'Cal-CAPEX (정리)'!$A$69:$A$73,0),MATCH(BSpUECB_세액공제액!V$25,'Cal-CAPEX (정리)'!$B$68:$AF$68,0))*About!$B$93,0)</f>
        <v>0</v>
      </c>
      <c r="W35" s="38">
        <f>IFERROR(INDEX('Cal-CAPEX (정리)'!$B$69:$AF$73,MATCH(BSpUECB_세액공제액!$A35,'Cal-CAPEX (정리)'!$A$69:$A$73,0),MATCH(BSpUECB_세액공제액!W$25,'Cal-CAPEX (정리)'!$B$68:$AF$68,0))*About!$B$93,0)</f>
        <v>0</v>
      </c>
      <c r="X35" s="38">
        <f>IFERROR(INDEX('Cal-CAPEX (정리)'!$B$69:$AF$73,MATCH(BSpUECB_세액공제액!$A35,'Cal-CAPEX (정리)'!$A$69:$A$73,0),MATCH(BSpUECB_세액공제액!X$25,'Cal-CAPEX (정리)'!$B$68:$AF$68,0))*About!$B$93,0)</f>
        <v>0</v>
      </c>
      <c r="Y35" s="38">
        <f>IFERROR(INDEX('Cal-CAPEX (정리)'!$B$69:$AF$73,MATCH(BSpUECB_세액공제액!$A35,'Cal-CAPEX (정리)'!$A$69:$A$73,0),MATCH(BSpUECB_세액공제액!Y$25,'Cal-CAPEX (정리)'!$B$68:$AF$68,0))*About!$B$93,0)</f>
        <v>0</v>
      </c>
      <c r="Z35" s="38">
        <f>IFERROR(INDEX('Cal-CAPEX (정리)'!$B$69:$AF$73,MATCH(BSpUECB_세액공제액!$A35,'Cal-CAPEX (정리)'!$A$69:$A$73,0),MATCH(BSpUECB_세액공제액!Z$25,'Cal-CAPEX (정리)'!$B$68:$AF$68,0))*About!$B$93,0)</f>
        <v>0</v>
      </c>
      <c r="AA35" s="38">
        <f>IFERROR(INDEX('Cal-CAPEX (정리)'!$B$69:$AF$73,MATCH(BSpUECB_세액공제액!$A35,'Cal-CAPEX (정리)'!$A$69:$A$73,0),MATCH(BSpUECB_세액공제액!AA$25,'Cal-CAPEX (정리)'!$B$68:$AF$68,0))*About!$B$93,0)</f>
        <v>0</v>
      </c>
      <c r="AB35" s="38">
        <f>IFERROR(INDEX('Cal-CAPEX (정리)'!$B$69:$AF$73,MATCH(BSpUECB_세액공제액!$A35,'Cal-CAPEX (정리)'!$A$69:$A$73,0),MATCH(BSpUECB_세액공제액!AB$25,'Cal-CAPEX (정리)'!$B$68:$AF$68,0))*About!$B$93,0)</f>
        <v>0</v>
      </c>
      <c r="AC35" s="38">
        <f>IFERROR(INDEX('Cal-CAPEX (정리)'!$B$69:$AF$73,MATCH(BSpUECB_세액공제액!$A35,'Cal-CAPEX (정리)'!$A$69:$A$73,0),MATCH(BSpUECB_세액공제액!AC$25,'Cal-CAPEX (정리)'!$B$68:$AF$68,0))*About!$B$93,0)</f>
        <v>0</v>
      </c>
      <c r="AD35" s="38">
        <f>IFERROR(INDEX('Cal-CAPEX (정리)'!$B$69:$AF$73,MATCH(BSpUECB_세액공제액!$A35,'Cal-CAPEX (정리)'!$A$69:$A$73,0),MATCH(BSpUECB_세액공제액!AD$25,'Cal-CAPEX (정리)'!$B$68:$AF$68,0))*About!$B$93,0)</f>
        <v>0</v>
      </c>
      <c r="AE35" s="38">
        <f>IFERROR(INDEX('Cal-CAPEX (정리)'!$B$69:$AF$73,MATCH(BSpUECB_세액공제액!$A35,'Cal-CAPEX (정리)'!$A$69:$A$73,0),MATCH(BSpUECB_세액공제액!AE$25,'Cal-CAPEX (정리)'!$B$68:$AF$68,0))*About!$B$93,0)</f>
        <v>0</v>
      </c>
      <c r="AF35" s="38">
        <f>IFERROR(INDEX('Cal-CAPEX (정리)'!$B$69:$AF$73,MATCH(BSpUECB_세액공제액!$A35,'Cal-CAPEX (정리)'!$A$69:$A$73,0),MATCH(BSpUECB_세액공제액!AF$25,'Cal-CAPEX (정리)'!$B$68:$AF$68,0))*About!$B$93,0)</f>
        <v>0</v>
      </c>
    </row>
    <row r="36" spans="1:32" ht="16.5" customHeight="1">
      <c r="A36" s="17" t="s">
        <v>188</v>
      </c>
      <c r="B36" s="38">
        <f>IFERROR(INDEX('Cal-CAPEX (정리)'!$B$69:$AF$73,MATCH(BSpUECB_세액공제액!$A36,'Cal-CAPEX (정리)'!$A$69:$A$73,0),MATCH(BSpUECB_세액공제액!B$25,'Cal-CAPEX (정리)'!$B$68:$AF$68,0))*About!$B$93,0)</f>
        <v>0</v>
      </c>
      <c r="C36" s="38">
        <f>IFERROR(INDEX('Cal-CAPEX (정리)'!$B$69:$AF$73,MATCH(BSpUECB_세액공제액!$A36,'Cal-CAPEX (정리)'!$A$69:$A$73,0),MATCH(BSpUECB_세액공제액!C$25,'Cal-CAPEX (정리)'!$B$68:$AF$68,0))*About!$B$93,0)</f>
        <v>0</v>
      </c>
      <c r="D36" s="38">
        <f>IFERROR(INDEX('Cal-CAPEX (정리)'!$B$69:$AF$73,MATCH(BSpUECB_세액공제액!$A36,'Cal-CAPEX (정리)'!$A$69:$A$73,0),MATCH(BSpUECB_세액공제액!D$25,'Cal-CAPEX (정리)'!$B$68:$AF$68,0))*About!$B$93,0)</f>
        <v>0</v>
      </c>
      <c r="E36" s="38">
        <f>IFERROR(INDEX('Cal-CAPEX (정리)'!$B$69:$AF$73,MATCH(BSpUECB_세액공제액!$A36,'Cal-CAPEX (정리)'!$A$69:$A$73,0),MATCH(BSpUECB_세액공제액!E$25,'Cal-CAPEX (정리)'!$B$68:$AF$68,0))*About!$B$93,0)</f>
        <v>0</v>
      </c>
      <c r="F36" s="38">
        <f>IFERROR(INDEX('Cal-CAPEX (정리)'!$B$69:$AF$73,MATCH(BSpUECB_세액공제액!$A36,'Cal-CAPEX (정리)'!$A$69:$A$73,0),MATCH(BSpUECB_세액공제액!F$25,'Cal-CAPEX (정리)'!$B$68:$AF$68,0))*About!$B$93,0)</f>
        <v>0</v>
      </c>
      <c r="G36" s="38">
        <f>IFERROR(INDEX('Cal-CAPEX (정리)'!$B$69:$AF$73,MATCH(BSpUECB_세액공제액!$A36,'Cal-CAPEX (정리)'!$A$69:$A$73,0),MATCH(BSpUECB_세액공제액!G$25,'Cal-CAPEX (정리)'!$B$68:$AF$68,0))*About!$B$93,0)</f>
        <v>0</v>
      </c>
      <c r="H36" s="38">
        <f>IFERROR(INDEX('Cal-CAPEX (정리)'!$B$69:$AF$73,MATCH(BSpUECB_세액공제액!$A36,'Cal-CAPEX (정리)'!$A$69:$A$73,0),MATCH(BSpUECB_세액공제액!H$25,'Cal-CAPEX (정리)'!$B$68:$AF$68,0))*About!$B$93,0)</f>
        <v>0</v>
      </c>
      <c r="I36" s="38">
        <f>IFERROR(INDEX('Cal-CAPEX (정리)'!$B$69:$AF$73,MATCH(BSpUECB_세액공제액!$A36,'Cal-CAPEX (정리)'!$A$69:$A$73,0),MATCH(BSpUECB_세액공제액!I$25,'Cal-CAPEX (정리)'!$B$68:$AF$68,0))*About!$B$93,0)</f>
        <v>0</v>
      </c>
      <c r="J36" s="38">
        <f>IFERROR(INDEX('Cal-CAPEX (정리)'!$B$69:$AF$73,MATCH(BSpUECB_세액공제액!$A36,'Cal-CAPEX (정리)'!$A$69:$A$73,0),MATCH(BSpUECB_세액공제액!J$25,'Cal-CAPEX (정리)'!$B$68:$AF$68,0))*About!$B$93,0)</f>
        <v>0</v>
      </c>
      <c r="K36" s="38">
        <f>IFERROR(INDEX('Cal-CAPEX (정리)'!$B$69:$AF$73,MATCH(BSpUECB_세액공제액!$A36,'Cal-CAPEX (정리)'!$A$69:$A$73,0),MATCH(BSpUECB_세액공제액!K$25,'Cal-CAPEX (정리)'!$B$68:$AF$68,0))*About!$B$93,0)</f>
        <v>0</v>
      </c>
      <c r="L36" s="38">
        <f>IFERROR(INDEX('Cal-CAPEX (정리)'!$B$69:$AF$73,MATCH(BSpUECB_세액공제액!$A36,'Cal-CAPEX (정리)'!$A$69:$A$73,0),MATCH(BSpUECB_세액공제액!L$25,'Cal-CAPEX (정리)'!$B$68:$AF$68,0))*About!$B$93,0)</f>
        <v>0</v>
      </c>
      <c r="M36" s="38">
        <f>IFERROR(INDEX('Cal-CAPEX (정리)'!$B$69:$AF$73,MATCH(BSpUECB_세액공제액!$A36,'Cal-CAPEX (정리)'!$A$69:$A$73,0),MATCH(BSpUECB_세액공제액!M$25,'Cal-CAPEX (정리)'!$B$68:$AF$68,0))*About!$B$93,0)</f>
        <v>0</v>
      </c>
      <c r="N36" s="38">
        <f>IFERROR(INDEX('Cal-CAPEX (정리)'!$B$69:$AF$73,MATCH(BSpUECB_세액공제액!$A36,'Cal-CAPEX (정리)'!$A$69:$A$73,0),MATCH(BSpUECB_세액공제액!N$25,'Cal-CAPEX (정리)'!$B$68:$AF$68,0))*About!$B$93,0)</f>
        <v>0</v>
      </c>
      <c r="O36" s="38">
        <f>IFERROR(INDEX('Cal-CAPEX (정리)'!$B$69:$AF$73,MATCH(BSpUECB_세액공제액!$A36,'Cal-CAPEX (정리)'!$A$69:$A$73,0),MATCH(BSpUECB_세액공제액!O$25,'Cal-CAPEX (정리)'!$B$68:$AF$68,0))*About!$B$93,0)</f>
        <v>0</v>
      </c>
      <c r="P36" s="38">
        <f>IFERROR(INDEX('Cal-CAPEX (정리)'!$B$69:$AF$73,MATCH(BSpUECB_세액공제액!$A36,'Cal-CAPEX (정리)'!$A$69:$A$73,0),MATCH(BSpUECB_세액공제액!P$25,'Cal-CAPEX (정리)'!$B$68:$AF$68,0))*About!$B$93,0)</f>
        <v>0</v>
      </c>
      <c r="Q36" s="38">
        <f>IFERROR(INDEX('Cal-CAPEX (정리)'!$B$69:$AF$73,MATCH(BSpUECB_세액공제액!$A36,'Cal-CAPEX (정리)'!$A$69:$A$73,0),MATCH(BSpUECB_세액공제액!Q$25,'Cal-CAPEX (정리)'!$B$68:$AF$68,0))*About!$B$93,0)</f>
        <v>0</v>
      </c>
      <c r="R36" s="38">
        <f>IFERROR(INDEX('Cal-CAPEX (정리)'!$B$69:$AF$73,MATCH(BSpUECB_세액공제액!$A36,'Cal-CAPEX (정리)'!$A$69:$A$73,0),MATCH(BSpUECB_세액공제액!R$25,'Cal-CAPEX (정리)'!$B$68:$AF$68,0))*About!$B$93,0)</f>
        <v>0</v>
      </c>
      <c r="S36" s="38">
        <f>IFERROR(INDEX('Cal-CAPEX (정리)'!$B$69:$AF$73,MATCH(BSpUECB_세액공제액!$A36,'Cal-CAPEX (정리)'!$A$69:$A$73,0),MATCH(BSpUECB_세액공제액!S$25,'Cal-CAPEX (정리)'!$B$68:$AF$68,0))*About!$B$93,0)</f>
        <v>0</v>
      </c>
      <c r="T36" s="38">
        <f>IFERROR(INDEX('Cal-CAPEX (정리)'!$B$69:$AF$73,MATCH(BSpUECB_세액공제액!$A36,'Cal-CAPEX (정리)'!$A$69:$A$73,0),MATCH(BSpUECB_세액공제액!T$25,'Cal-CAPEX (정리)'!$B$68:$AF$68,0))*About!$B$93,0)</f>
        <v>0</v>
      </c>
      <c r="U36" s="38">
        <f>IFERROR(INDEX('Cal-CAPEX (정리)'!$B$69:$AF$73,MATCH(BSpUECB_세액공제액!$A36,'Cal-CAPEX (정리)'!$A$69:$A$73,0),MATCH(BSpUECB_세액공제액!U$25,'Cal-CAPEX (정리)'!$B$68:$AF$68,0))*About!$B$93,0)</f>
        <v>0</v>
      </c>
      <c r="V36" s="38">
        <f>IFERROR(INDEX('Cal-CAPEX (정리)'!$B$69:$AF$73,MATCH(BSpUECB_세액공제액!$A36,'Cal-CAPEX (정리)'!$A$69:$A$73,0),MATCH(BSpUECB_세액공제액!V$25,'Cal-CAPEX (정리)'!$B$68:$AF$68,0))*About!$B$93,0)</f>
        <v>0</v>
      </c>
      <c r="W36" s="38">
        <f>IFERROR(INDEX('Cal-CAPEX (정리)'!$B$69:$AF$73,MATCH(BSpUECB_세액공제액!$A36,'Cal-CAPEX (정리)'!$A$69:$A$73,0),MATCH(BSpUECB_세액공제액!W$25,'Cal-CAPEX (정리)'!$B$68:$AF$68,0))*About!$B$93,0)</f>
        <v>0</v>
      </c>
      <c r="X36" s="38">
        <f>IFERROR(INDEX('Cal-CAPEX (정리)'!$B$69:$AF$73,MATCH(BSpUECB_세액공제액!$A36,'Cal-CAPEX (정리)'!$A$69:$A$73,0),MATCH(BSpUECB_세액공제액!X$25,'Cal-CAPEX (정리)'!$B$68:$AF$68,0))*About!$B$93,0)</f>
        <v>0</v>
      </c>
      <c r="Y36" s="38">
        <f>IFERROR(INDEX('Cal-CAPEX (정리)'!$B$69:$AF$73,MATCH(BSpUECB_세액공제액!$A36,'Cal-CAPEX (정리)'!$A$69:$A$73,0),MATCH(BSpUECB_세액공제액!Y$25,'Cal-CAPEX (정리)'!$B$68:$AF$68,0))*About!$B$93,0)</f>
        <v>0</v>
      </c>
      <c r="Z36" s="38">
        <f>IFERROR(INDEX('Cal-CAPEX (정리)'!$B$69:$AF$73,MATCH(BSpUECB_세액공제액!$A36,'Cal-CAPEX (정리)'!$A$69:$A$73,0),MATCH(BSpUECB_세액공제액!Z$25,'Cal-CAPEX (정리)'!$B$68:$AF$68,0))*About!$B$93,0)</f>
        <v>0</v>
      </c>
      <c r="AA36" s="38">
        <f>IFERROR(INDEX('Cal-CAPEX (정리)'!$B$69:$AF$73,MATCH(BSpUECB_세액공제액!$A36,'Cal-CAPEX (정리)'!$A$69:$A$73,0),MATCH(BSpUECB_세액공제액!AA$25,'Cal-CAPEX (정리)'!$B$68:$AF$68,0))*About!$B$93,0)</f>
        <v>0</v>
      </c>
      <c r="AB36" s="38">
        <f>IFERROR(INDEX('Cal-CAPEX (정리)'!$B$69:$AF$73,MATCH(BSpUECB_세액공제액!$A36,'Cal-CAPEX (정리)'!$A$69:$A$73,0),MATCH(BSpUECB_세액공제액!AB$25,'Cal-CAPEX (정리)'!$B$68:$AF$68,0))*About!$B$93,0)</f>
        <v>0</v>
      </c>
      <c r="AC36" s="38">
        <f>IFERROR(INDEX('Cal-CAPEX (정리)'!$B$69:$AF$73,MATCH(BSpUECB_세액공제액!$A36,'Cal-CAPEX (정리)'!$A$69:$A$73,0),MATCH(BSpUECB_세액공제액!AC$25,'Cal-CAPEX (정리)'!$B$68:$AF$68,0))*About!$B$93,0)</f>
        <v>0</v>
      </c>
      <c r="AD36" s="38">
        <f>IFERROR(INDEX('Cal-CAPEX (정리)'!$B$69:$AF$73,MATCH(BSpUECB_세액공제액!$A36,'Cal-CAPEX (정리)'!$A$69:$A$73,0),MATCH(BSpUECB_세액공제액!AD$25,'Cal-CAPEX (정리)'!$B$68:$AF$68,0))*About!$B$93,0)</f>
        <v>0</v>
      </c>
      <c r="AE36" s="38">
        <f>IFERROR(INDEX('Cal-CAPEX (정리)'!$B$69:$AF$73,MATCH(BSpUECB_세액공제액!$A36,'Cal-CAPEX (정리)'!$A$69:$A$73,0),MATCH(BSpUECB_세액공제액!AE$25,'Cal-CAPEX (정리)'!$B$68:$AF$68,0))*About!$B$93,0)</f>
        <v>0</v>
      </c>
      <c r="AF36" s="38">
        <f>IFERROR(INDEX('Cal-CAPEX (정리)'!$B$69:$AF$73,MATCH(BSpUECB_세액공제액!$A36,'Cal-CAPEX (정리)'!$A$69:$A$73,0),MATCH(BSpUECB_세액공제액!AF$25,'Cal-CAPEX (정리)'!$B$68:$AF$68,0))*About!$B$93,0)</f>
        <v>0</v>
      </c>
    </row>
    <row r="37" spans="1:32" ht="16.5" customHeight="1">
      <c r="A37" s="17" t="s">
        <v>189</v>
      </c>
      <c r="B37" s="38">
        <f>IFERROR(INDEX('Cal-CAPEX (정리)'!$B$69:$AF$73,MATCH(BSpUECB_세액공제액!$A37,'Cal-CAPEX (정리)'!$A$69:$A$73,0),MATCH(BSpUECB_세액공제액!B$25,'Cal-CAPEX (정리)'!$B$68:$AF$68,0))*About!$B$93,0)</f>
        <v>0</v>
      </c>
      <c r="C37" s="38">
        <f>IFERROR(INDEX('Cal-CAPEX (정리)'!$B$69:$AF$73,MATCH(BSpUECB_세액공제액!$A37,'Cal-CAPEX (정리)'!$A$69:$A$73,0),MATCH(BSpUECB_세액공제액!C$25,'Cal-CAPEX (정리)'!$B$68:$AF$68,0))*About!$B$93,0)</f>
        <v>0</v>
      </c>
      <c r="D37" s="38">
        <f>IFERROR(INDEX('Cal-CAPEX (정리)'!$B$69:$AF$73,MATCH(BSpUECB_세액공제액!$A37,'Cal-CAPEX (정리)'!$A$69:$A$73,0),MATCH(BSpUECB_세액공제액!D$25,'Cal-CAPEX (정리)'!$B$68:$AF$68,0))*About!$B$93,0)</f>
        <v>0</v>
      </c>
      <c r="E37" s="38">
        <f>IFERROR(INDEX('Cal-CAPEX (정리)'!$B$69:$AF$73,MATCH(BSpUECB_세액공제액!$A37,'Cal-CAPEX (정리)'!$A$69:$A$73,0),MATCH(BSpUECB_세액공제액!E$25,'Cal-CAPEX (정리)'!$B$68:$AF$68,0))*About!$B$93,0)</f>
        <v>0</v>
      </c>
      <c r="F37" s="38">
        <f>IFERROR(INDEX('Cal-CAPEX (정리)'!$B$69:$AF$73,MATCH(BSpUECB_세액공제액!$A37,'Cal-CAPEX (정리)'!$A$69:$A$73,0),MATCH(BSpUECB_세액공제액!F$25,'Cal-CAPEX (정리)'!$B$68:$AF$68,0))*About!$B$93,0)</f>
        <v>0</v>
      </c>
      <c r="G37" s="38">
        <f>IFERROR(INDEX('Cal-CAPEX (정리)'!$B$69:$AF$73,MATCH(BSpUECB_세액공제액!$A37,'Cal-CAPEX (정리)'!$A$69:$A$73,0),MATCH(BSpUECB_세액공제액!G$25,'Cal-CAPEX (정리)'!$B$68:$AF$68,0))*About!$B$93,0)</f>
        <v>0</v>
      </c>
      <c r="H37" s="38">
        <f>IFERROR(INDEX('Cal-CAPEX (정리)'!$B$69:$AF$73,MATCH(BSpUECB_세액공제액!$A37,'Cal-CAPEX (정리)'!$A$69:$A$73,0),MATCH(BSpUECB_세액공제액!H$25,'Cal-CAPEX (정리)'!$B$68:$AF$68,0))*About!$B$93,0)</f>
        <v>0</v>
      </c>
      <c r="I37" s="38">
        <f>IFERROR(INDEX('Cal-CAPEX (정리)'!$B$69:$AF$73,MATCH(BSpUECB_세액공제액!$A37,'Cal-CAPEX (정리)'!$A$69:$A$73,0),MATCH(BSpUECB_세액공제액!I$25,'Cal-CAPEX (정리)'!$B$68:$AF$68,0))*About!$B$93,0)</f>
        <v>0</v>
      </c>
      <c r="J37" s="38">
        <f>IFERROR(INDEX('Cal-CAPEX (정리)'!$B$69:$AF$73,MATCH(BSpUECB_세액공제액!$A37,'Cal-CAPEX (정리)'!$A$69:$A$73,0),MATCH(BSpUECB_세액공제액!J$25,'Cal-CAPEX (정리)'!$B$68:$AF$68,0))*About!$B$93,0)</f>
        <v>0</v>
      </c>
      <c r="K37" s="38">
        <f>IFERROR(INDEX('Cal-CAPEX (정리)'!$B$69:$AF$73,MATCH(BSpUECB_세액공제액!$A37,'Cal-CAPEX (정리)'!$A$69:$A$73,0),MATCH(BSpUECB_세액공제액!K$25,'Cal-CAPEX (정리)'!$B$68:$AF$68,0))*About!$B$93,0)</f>
        <v>0</v>
      </c>
      <c r="L37" s="38">
        <f>IFERROR(INDEX('Cal-CAPEX (정리)'!$B$69:$AF$73,MATCH(BSpUECB_세액공제액!$A37,'Cal-CAPEX (정리)'!$A$69:$A$73,0),MATCH(BSpUECB_세액공제액!L$25,'Cal-CAPEX (정리)'!$B$68:$AF$68,0))*About!$B$93,0)</f>
        <v>0</v>
      </c>
      <c r="M37" s="38">
        <f>IFERROR(INDEX('Cal-CAPEX (정리)'!$B$69:$AF$73,MATCH(BSpUECB_세액공제액!$A37,'Cal-CAPEX (정리)'!$A$69:$A$73,0),MATCH(BSpUECB_세액공제액!M$25,'Cal-CAPEX (정리)'!$B$68:$AF$68,0))*About!$B$93,0)</f>
        <v>0</v>
      </c>
      <c r="N37" s="38">
        <f>IFERROR(INDEX('Cal-CAPEX (정리)'!$B$69:$AF$73,MATCH(BSpUECB_세액공제액!$A37,'Cal-CAPEX (정리)'!$A$69:$A$73,0),MATCH(BSpUECB_세액공제액!N$25,'Cal-CAPEX (정리)'!$B$68:$AF$68,0))*About!$B$93,0)</f>
        <v>0</v>
      </c>
      <c r="O37" s="38">
        <f>IFERROR(INDEX('Cal-CAPEX (정리)'!$B$69:$AF$73,MATCH(BSpUECB_세액공제액!$A37,'Cal-CAPEX (정리)'!$A$69:$A$73,0),MATCH(BSpUECB_세액공제액!O$25,'Cal-CAPEX (정리)'!$B$68:$AF$68,0))*About!$B$93,0)</f>
        <v>0</v>
      </c>
      <c r="P37" s="38">
        <f>IFERROR(INDEX('Cal-CAPEX (정리)'!$B$69:$AF$73,MATCH(BSpUECB_세액공제액!$A37,'Cal-CAPEX (정리)'!$A$69:$A$73,0),MATCH(BSpUECB_세액공제액!P$25,'Cal-CAPEX (정리)'!$B$68:$AF$68,0))*About!$B$93,0)</f>
        <v>0</v>
      </c>
      <c r="Q37" s="38">
        <f>IFERROR(INDEX('Cal-CAPEX (정리)'!$B$69:$AF$73,MATCH(BSpUECB_세액공제액!$A37,'Cal-CAPEX (정리)'!$A$69:$A$73,0),MATCH(BSpUECB_세액공제액!Q$25,'Cal-CAPEX (정리)'!$B$68:$AF$68,0))*About!$B$93,0)</f>
        <v>0</v>
      </c>
      <c r="R37" s="38">
        <f>IFERROR(INDEX('Cal-CAPEX (정리)'!$B$69:$AF$73,MATCH(BSpUECB_세액공제액!$A37,'Cal-CAPEX (정리)'!$A$69:$A$73,0),MATCH(BSpUECB_세액공제액!R$25,'Cal-CAPEX (정리)'!$B$68:$AF$68,0))*About!$B$93,0)</f>
        <v>0</v>
      </c>
      <c r="S37" s="38">
        <f>IFERROR(INDEX('Cal-CAPEX (정리)'!$B$69:$AF$73,MATCH(BSpUECB_세액공제액!$A37,'Cal-CAPEX (정리)'!$A$69:$A$73,0),MATCH(BSpUECB_세액공제액!S$25,'Cal-CAPEX (정리)'!$B$68:$AF$68,0))*About!$B$93,0)</f>
        <v>0</v>
      </c>
      <c r="T37" s="38">
        <f>IFERROR(INDEX('Cal-CAPEX (정리)'!$B$69:$AF$73,MATCH(BSpUECB_세액공제액!$A37,'Cal-CAPEX (정리)'!$A$69:$A$73,0),MATCH(BSpUECB_세액공제액!T$25,'Cal-CAPEX (정리)'!$B$68:$AF$68,0))*About!$B$93,0)</f>
        <v>0</v>
      </c>
      <c r="U37" s="38">
        <f>IFERROR(INDEX('Cal-CAPEX (정리)'!$B$69:$AF$73,MATCH(BSpUECB_세액공제액!$A37,'Cal-CAPEX (정리)'!$A$69:$A$73,0),MATCH(BSpUECB_세액공제액!U$25,'Cal-CAPEX (정리)'!$B$68:$AF$68,0))*About!$B$93,0)</f>
        <v>0</v>
      </c>
      <c r="V37" s="38">
        <f>IFERROR(INDEX('Cal-CAPEX (정리)'!$B$69:$AF$73,MATCH(BSpUECB_세액공제액!$A37,'Cal-CAPEX (정리)'!$A$69:$A$73,0),MATCH(BSpUECB_세액공제액!V$25,'Cal-CAPEX (정리)'!$B$68:$AF$68,0))*About!$B$93,0)</f>
        <v>0</v>
      </c>
      <c r="W37" s="38">
        <f>IFERROR(INDEX('Cal-CAPEX (정리)'!$B$69:$AF$73,MATCH(BSpUECB_세액공제액!$A37,'Cal-CAPEX (정리)'!$A$69:$A$73,0),MATCH(BSpUECB_세액공제액!W$25,'Cal-CAPEX (정리)'!$B$68:$AF$68,0))*About!$B$93,0)</f>
        <v>0</v>
      </c>
      <c r="X37" s="38">
        <f>IFERROR(INDEX('Cal-CAPEX (정리)'!$B$69:$AF$73,MATCH(BSpUECB_세액공제액!$A37,'Cal-CAPEX (정리)'!$A$69:$A$73,0),MATCH(BSpUECB_세액공제액!X$25,'Cal-CAPEX (정리)'!$B$68:$AF$68,0))*About!$B$93,0)</f>
        <v>0</v>
      </c>
      <c r="Y37" s="38">
        <f>IFERROR(INDEX('Cal-CAPEX (정리)'!$B$69:$AF$73,MATCH(BSpUECB_세액공제액!$A37,'Cal-CAPEX (정리)'!$A$69:$A$73,0),MATCH(BSpUECB_세액공제액!Y$25,'Cal-CAPEX (정리)'!$B$68:$AF$68,0))*About!$B$93,0)</f>
        <v>0</v>
      </c>
      <c r="Z37" s="38">
        <f>IFERROR(INDEX('Cal-CAPEX (정리)'!$B$69:$AF$73,MATCH(BSpUECB_세액공제액!$A37,'Cal-CAPEX (정리)'!$A$69:$A$73,0),MATCH(BSpUECB_세액공제액!Z$25,'Cal-CAPEX (정리)'!$B$68:$AF$68,0))*About!$B$93,0)</f>
        <v>0</v>
      </c>
      <c r="AA37" s="38">
        <f>IFERROR(INDEX('Cal-CAPEX (정리)'!$B$69:$AF$73,MATCH(BSpUECB_세액공제액!$A37,'Cal-CAPEX (정리)'!$A$69:$A$73,0),MATCH(BSpUECB_세액공제액!AA$25,'Cal-CAPEX (정리)'!$B$68:$AF$68,0))*About!$B$93,0)</f>
        <v>0</v>
      </c>
      <c r="AB37" s="38">
        <f>IFERROR(INDEX('Cal-CAPEX (정리)'!$B$69:$AF$73,MATCH(BSpUECB_세액공제액!$A37,'Cal-CAPEX (정리)'!$A$69:$A$73,0),MATCH(BSpUECB_세액공제액!AB$25,'Cal-CAPEX (정리)'!$B$68:$AF$68,0))*About!$B$93,0)</f>
        <v>0</v>
      </c>
      <c r="AC37" s="38">
        <f>IFERROR(INDEX('Cal-CAPEX (정리)'!$B$69:$AF$73,MATCH(BSpUECB_세액공제액!$A37,'Cal-CAPEX (정리)'!$A$69:$A$73,0),MATCH(BSpUECB_세액공제액!AC$25,'Cal-CAPEX (정리)'!$B$68:$AF$68,0))*About!$B$93,0)</f>
        <v>0</v>
      </c>
      <c r="AD37" s="38">
        <f>IFERROR(INDEX('Cal-CAPEX (정리)'!$B$69:$AF$73,MATCH(BSpUECB_세액공제액!$A37,'Cal-CAPEX (정리)'!$A$69:$A$73,0),MATCH(BSpUECB_세액공제액!AD$25,'Cal-CAPEX (정리)'!$B$68:$AF$68,0))*About!$B$93,0)</f>
        <v>0</v>
      </c>
      <c r="AE37" s="38">
        <f>IFERROR(INDEX('Cal-CAPEX (정리)'!$B$69:$AF$73,MATCH(BSpUECB_세액공제액!$A37,'Cal-CAPEX (정리)'!$A$69:$A$73,0),MATCH(BSpUECB_세액공제액!AE$25,'Cal-CAPEX (정리)'!$B$68:$AF$68,0))*About!$B$93,0)</f>
        <v>0</v>
      </c>
      <c r="AF37" s="38">
        <f>IFERROR(INDEX('Cal-CAPEX (정리)'!$B$69:$AF$73,MATCH(BSpUECB_세액공제액!$A37,'Cal-CAPEX (정리)'!$A$69:$A$73,0),MATCH(BSpUECB_세액공제액!AF$25,'Cal-CAPEX (정리)'!$B$68:$AF$68,0))*About!$B$93,0)</f>
        <v>0</v>
      </c>
    </row>
    <row r="38" spans="1:32" ht="16.5" customHeight="1">
      <c r="A38" s="29" t="s">
        <v>190</v>
      </c>
      <c r="B38" s="38">
        <f>IFERROR(INDEX('Cal-CAPEX (정리)'!$B$69:$AF$73,MATCH(BSpUECB_세액공제액!$A38,'Cal-CAPEX (정리)'!$A$69:$A$73,0),MATCH(BSpUECB_세액공제액!B$25,'Cal-CAPEX (정리)'!$B$68:$AF$68,0))*About!$B$93,0)</f>
        <v>4822686.7814377435</v>
      </c>
      <c r="C38" s="38">
        <f>IFERROR(INDEX('Cal-CAPEX (정리)'!$B$69:$AF$73,MATCH(BSpUECB_세액공제액!$A38,'Cal-CAPEX (정리)'!$A$69:$A$73,0),MATCH(BSpUECB_세액공제액!C$25,'Cal-CAPEX (정리)'!$B$68:$AF$68,0))*About!$B$93,0)</f>
        <v>4696724.754664002</v>
      </c>
      <c r="D38" s="38">
        <f>IFERROR(INDEX('Cal-CAPEX (정리)'!$B$69:$AF$73,MATCH(BSpUECB_세액공제액!$A38,'Cal-CAPEX (정리)'!$A$69:$A$73,0),MATCH(BSpUECB_세액공제액!D$25,'Cal-CAPEX (정리)'!$B$68:$AF$68,0))*About!$B$93,0)</f>
        <v>4574052.6849013651</v>
      </c>
      <c r="E38" s="38">
        <f>IFERROR(INDEX('Cal-CAPEX (정리)'!$B$69:$AF$73,MATCH(BSpUECB_세액공제액!$A38,'Cal-CAPEX (정리)'!$A$69:$A$73,0),MATCH(BSpUECB_세액공제액!E$25,'Cal-CAPEX (정리)'!$B$68:$AF$68,0))*About!$B$93,0)</f>
        <v>4454584.6429423383</v>
      </c>
      <c r="F38" s="38">
        <f>IFERROR(INDEX('Cal-CAPEX (정리)'!$B$69:$AF$73,MATCH(BSpUECB_세액공제액!$A38,'Cal-CAPEX (정리)'!$A$69:$A$73,0),MATCH(BSpUECB_세액공제액!F$25,'Cal-CAPEX (정리)'!$B$68:$AF$68,0))*About!$B$93,0)</f>
        <v>4338236.9439335875</v>
      </c>
      <c r="G38" s="38">
        <f>IFERROR(INDEX('Cal-CAPEX (정리)'!$B$69:$AF$73,MATCH(BSpUECB_세액공제액!$A38,'Cal-CAPEX (정리)'!$A$69:$A$73,0),MATCH(BSpUECB_세액공제액!G$25,'Cal-CAPEX (정리)'!$B$68:$AF$68,0))*About!$B$93,0)</f>
        <v>4224928.0887564551</v>
      </c>
      <c r="H38" s="38">
        <f>IFERROR(INDEX('Cal-CAPEX (정리)'!$B$69:$AF$73,MATCH(BSpUECB_세액공제액!$A38,'Cal-CAPEX (정리)'!$A$69:$A$73,0),MATCH(BSpUECB_세액공제액!H$25,'Cal-CAPEX (정리)'!$B$68:$AF$68,0))*About!$B$93,0)</f>
        <v>4114578.7069385443</v>
      </c>
      <c r="I38" s="38">
        <f>IFERROR(INDEX('Cal-CAPEX (정리)'!$B$69:$AF$73,MATCH(BSpUECB_세액공제액!$A38,'Cal-CAPEX (정리)'!$A$69:$A$73,0),MATCH(BSpUECB_세액공제액!I$25,'Cal-CAPEX (정리)'!$B$68:$AF$68,0))*About!$B$93,0)</f>
        <v>4007111.5010563591</v>
      </c>
      <c r="J38" s="38">
        <f>IFERROR(INDEX('Cal-CAPEX (정리)'!$B$69:$AF$73,MATCH(BSpUECB_세액공제액!$A38,'Cal-CAPEX (정리)'!$A$69:$A$73,0),MATCH(BSpUECB_세액공제액!J$25,'Cal-CAPEX (정리)'!$B$68:$AF$68,0))*About!$B$93,0)</f>
        <v>3902451.1925901002</v>
      </c>
      <c r="K38" s="38">
        <f>IFERROR(INDEX('Cal-CAPEX (정리)'!$B$69:$AF$73,MATCH(BSpUECB_세액공제액!$A38,'Cal-CAPEX (정리)'!$A$69:$A$73,0),MATCH(BSpUECB_세액공제액!K$25,'Cal-CAPEX (정리)'!$B$68:$AF$68,0))*About!$B$93,0)</f>
        <v>3800524.4691926278</v>
      </c>
      <c r="L38" s="38">
        <f>IFERROR(INDEX('Cal-CAPEX (정리)'!$B$69:$AF$73,MATCH(BSpUECB_세액공제액!$A38,'Cal-CAPEX (정리)'!$A$69:$A$73,0),MATCH(BSpUECB_세액공제액!L$25,'Cal-CAPEX (정리)'!$B$68:$AF$68,0))*About!$B$93,0)</f>
        <v>3701259.9333357117</v>
      </c>
      <c r="M38" s="38">
        <f>IFERROR(INDEX('Cal-CAPEX (정리)'!$B$69:$AF$73,MATCH(BSpUECB_세액공제액!$A38,'Cal-CAPEX (정리)'!$A$69:$A$73,0),MATCH(BSpUECB_세액공제액!M$25,'Cal-CAPEX (정리)'!$B$68:$AF$68,0))*About!$B$93,0)</f>
        <v>3604588.0522975619</v>
      </c>
      <c r="N38" s="38">
        <f>IFERROR(INDEX('Cal-CAPEX (정리)'!$B$69:$AF$73,MATCH(BSpUECB_세액공제액!$A38,'Cal-CAPEX (정리)'!$A$69:$A$73,0),MATCH(BSpUECB_세액공제액!N$25,'Cal-CAPEX (정리)'!$B$68:$AF$68,0))*About!$B$93,0)</f>
        <v>3510441.1094566141</v>
      </c>
      <c r="O38" s="38">
        <f>IFERROR(INDEX('Cal-CAPEX (정리)'!$B$69:$AF$73,MATCH(BSpUECB_세액공제액!$A38,'Cal-CAPEX (정리)'!$A$69:$A$73,0),MATCH(BSpUECB_세액공제액!O$25,'Cal-CAPEX (정리)'!$B$68:$AF$68,0))*About!$B$93,0)</f>
        <v>3418753.1568574631</v>
      </c>
      <c r="P38" s="38">
        <f>IFERROR(INDEX('Cal-CAPEX (정리)'!$B$69:$AF$73,MATCH(BSpUECB_세액공제액!$A38,'Cal-CAPEX (정리)'!$A$69:$A$73,0),MATCH(BSpUECB_세액공제액!P$25,'Cal-CAPEX (정리)'!$B$68:$AF$68,0))*About!$B$93,0)</f>
        <v>3329459.9690157035</v>
      </c>
      <c r="Q38" s="38">
        <f>IFERROR(INDEX('Cal-CAPEX (정리)'!$B$69:$AF$73,MATCH(BSpUECB_세액공제액!$A38,'Cal-CAPEX (정리)'!$A$69:$A$73,0),MATCH(BSpUECB_세액공제액!Q$25,'Cal-CAPEX (정리)'!$B$68:$AF$68,0))*About!$B$93,0)</f>
        <v>3242498.9979293272</v>
      </c>
      <c r="R38" s="38">
        <f>IFERROR(INDEX('Cal-CAPEX (정리)'!$B$69:$AF$73,MATCH(BSpUECB_세액공제액!$A38,'Cal-CAPEX (정리)'!$A$69:$A$73,0),MATCH(BSpUECB_세액공제액!R$25,'Cal-CAPEX (정리)'!$B$68:$AF$68,0))*About!$B$93,0)</f>
        <v>3157809.3292651637</v>
      </c>
      <c r="S38" s="38">
        <f>IFERROR(INDEX('Cal-CAPEX (정리)'!$B$69:$AF$73,MATCH(BSpUECB_세액공제액!$A38,'Cal-CAPEX (정리)'!$A$69:$A$73,0),MATCH(BSpUECB_세액공제액!S$25,'Cal-CAPEX (정리)'!$B$68:$AF$68,0))*About!$B$93,0)</f>
        <v>3075331.6396896685</v>
      </c>
      <c r="T38" s="38">
        <f>IFERROR(INDEX('Cal-CAPEX (정리)'!$B$69:$AF$73,MATCH(BSpUECB_세액공제액!$A38,'Cal-CAPEX (정리)'!$A$69:$A$73,0),MATCH(BSpUECB_세액공제액!T$25,'Cal-CAPEX (정리)'!$B$68:$AF$68,0))*About!$B$93,0)</f>
        <v>2995008.1553141731</v>
      </c>
      <c r="U38" s="38">
        <f>IFERROR(INDEX('Cal-CAPEX (정리)'!$B$69:$AF$73,MATCH(BSpUECB_세액공제액!$A38,'Cal-CAPEX (정리)'!$A$69:$A$73,0),MATCH(BSpUECB_세액공제액!U$25,'Cal-CAPEX (정리)'!$B$68:$AF$68,0))*About!$B$93,0)</f>
        <v>2916782.6112254919</v>
      </c>
      <c r="V38" s="38">
        <f>IFERROR(INDEX('Cal-CAPEX (정리)'!$B$69:$AF$73,MATCH(BSpUECB_세액공제액!$A38,'Cal-CAPEX (정리)'!$A$69:$A$73,0),MATCH(BSpUECB_세액공제액!V$25,'Cal-CAPEX (정리)'!$B$68:$AF$68,0))*About!$B$93,0)</f>
        <v>2840600.2120735329</v>
      </c>
      <c r="W38" s="38">
        <f>IFERROR(INDEX('Cal-CAPEX (정리)'!$B$69:$AF$73,MATCH(BSpUECB_세액공제액!$A38,'Cal-CAPEX (정리)'!$A$69:$A$73,0),MATCH(BSpUECB_세액공제액!W$25,'Cal-CAPEX (정리)'!$B$68:$AF$68,0))*About!$B$93,0)</f>
        <v>2766407.5936883036</v>
      </c>
      <c r="X38" s="38">
        <f>IFERROR(INDEX('Cal-CAPEX (정리)'!$B$69:$AF$73,MATCH(BSpUECB_세액공제액!$A38,'Cal-CAPEX (정리)'!$A$69:$A$73,0),MATCH(BSpUECB_세액공제액!X$25,'Cal-CAPEX (정리)'!$B$68:$AF$68,0))*About!$B$93,0)</f>
        <v>2694152.7856994332</v>
      </c>
      <c r="Y38" s="38">
        <f>IFERROR(INDEX('Cal-CAPEX (정리)'!$B$69:$AF$73,MATCH(BSpUECB_세액공제액!$A38,'Cal-CAPEX (정리)'!$A$69:$A$73,0),MATCH(BSpUECB_세액공제액!Y$25,'Cal-CAPEX (정리)'!$B$68:$AF$68,0))*About!$B$93,0)</f>
        <v>2623785.1751320199</v>
      </c>
      <c r="Z38" s="38">
        <f>IFERROR(INDEX('Cal-CAPEX (정리)'!$B$69:$AF$73,MATCH(BSpUECB_세액공제액!$A38,'Cal-CAPEX (정리)'!$A$69:$A$73,0),MATCH(BSpUECB_세액공제액!Z$25,'Cal-CAPEX (정리)'!$B$68:$AF$68,0))*About!$B$93,0)</f>
        <v>2555255.4709533057</v>
      </c>
      <c r="AA38" s="38">
        <f>IFERROR(INDEX('Cal-CAPEX (정리)'!$B$69:$AF$73,MATCH(BSpUECB_세액공제액!$A38,'Cal-CAPEX (정리)'!$A$69:$A$73,0),MATCH(BSpUECB_세액공제액!AA$25,'Cal-CAPEX (정리)'!$B$68:$AF$68,0))*About!$B$93,0)</f>
        <v>2488515.6695453413</v>
      </c>
      <c r="AB38" s="38">
        <f>IFERROR(INDEX('Cal-CAPEX (정리)'!$B$69:$AF$73,MATCH(BSpUECB_세액공제액!$A38,'Cal-CAPEX (정리)'!$A$69:$A$73,0),MATCH(BSpUECB_세액공제액!AB$25,'Cal-CAPEX (정리)'!$B$68:$AF$68,0))*About!$B$93,0)</f>
        <v>2423519.021079463</v>
      </c>
      <c r="AC38" s="38">
        <f>IFERROR(INDEX('Cal-CAPEX (정리)'!$B$69:$AF$73,MATCH(BSpUECB_세액공제액!$A38,'Cal-CAPEX (정리)'!$A$69:$A$73,0),MATCH(BSpUECB_세액공제액!AC$25,'Cal-CAPEX (정리)'!$B$68:$AF$68,0))*About!$B$93,0)</f>
        <v>2360219.9967690194</v>
      </c>
      <c r="AD38" s="38">
        <f>IFERROR(INDEX('Cal-CAPEX (정리)'!$B$69:$AF$73,MATCH(BSpUECB_세액공제액!$A38,'Cal-CAPEX (정리)'!$A$69:$A$73,0),MATCH(BSpUECB_세액공제액!AD$25,'Cal-CAPEX (정리)'!$B$68:$AF$68,0))*About!$B$93,0)</f>
        <v>2298574.2569774115</v>
      </c>
      <c r="AE38" s="38">
        <f>IFERROR(INDEX('Cal-CAPEX (정리)'!$B$69:$AF$73,MATCH(BSpUECB_세액공제액!$A38,'Cal-CAPEX (정리)'!$A$69:$A$73,0),MATCH(BSpUECB_세액공제액!AE$25,'Cal-CAPEX (정리)'!$B$68:$AF$68,0))*About!$B$93,0)</f>
        <v>2238538.6201591101</v>
      </c>
      <c r="AF38" s="38">
        <f>IFERROR(INDEX('Cal-CAPEX (정리)'!$B$69:$AF$73,MATCH(BSpUECB_세액공제액!$A38,'Cal-CAPEX (정리)'!$A$69:$A$73,0),MATCH(BSpUECB_세액공제액!AF$25,'Cal-CAPEX (정리)'!$B$68:$AF$68,0))*About!$B$93,0)</f>
        <v>2180071.0326118898</v>
      </c>
    </row>
    <row r="39" spans="1:32" ht="16.5" customHeight="1">
      <c r="A39" s="17" t="s">
        <v>191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16.5" customHeight="1">
      <c r="A40" s="17" t="s">
        <v>192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16.5" customHeight="1">
      <c r="A41" s="17" t="s">
        <v>193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16.5" customHeight="1"/>
    <row r="43" spans="1:32" ht="16.5" customHeight="1"/>
    <row r="44" spans="1:32" ht="16.5" customHeight="1">
      <c r="A44" s="17" t="s">
        <v>196</v>
      </c>
    </row>
    <row r="45" spans="1:32" ht="16.5" customHeight="1"/>
    <row r="46" spans="1:32" ht="16.5" customHeight="1">
      <c r="A46" s="17" t="s">
        <v>177</v>
      </c>
      <c r="B46" s="17">
        <v>2020</v>
      </c>
      <c r="C46" s="17">
        <v>2021</v>
      </c>
      <c r="D46" s="17">
        <v>2022</v>
      </c>
      <c r="E46" s="17">
        <v>2023</v>
      </c>
      <c r="F46" s="17">
        <v>2024</v>
      </c>
      <c r="G46" s="17">
        <v>2025</v>
      </c>
      <c r="H46" s="17">
        <v>2026</v>
      </c>
      <c r="I46" s="17">
        <v>2027</v>
      </c>
      <c r="J46" s="17">
        <v>2028</v>
      </c>
      <c r="K46" s="17">
        <v>2029</v>
      </c>
      <c r="L46" s="17">
        <v>2030</v>
      </c>
      <c r="M46" s="17">
        <v>2031</v>
      </c>
      <c r="N46" s="17">
        <v>2032</v>
      </c>
      <c r="O46" s="17">
        <v>2033</v>
      </c>
      <c r="P46" s="17">
        <v>2034</v>
      </c>
      <c r="Q46" s="17">
        <v>2035</v>
      </c>
      <c r="R46" s="17">
        <v>2036</v>
      </c>
      <c r="S46" s="17">
        <v>2037</v>
      </c>
      <c r="T46" s="17">
        <v>2038</v>
      </c>
      <c r="U46" s="17">
        <v>2039</v>
      </c>
      <c r="V46" s="17">
        <v>2040</v>
      </c>
      <c r="W46" s="17">
        <v>2041</v>
      </c>
      <c r="X46" s="29">
        <v>2042</v>
      </c>
      <c r="Y46" s="17">
        <v>2043</v>
      </c>
      <c r="Z46" s="17">
        <v>2044</v>
      </c>
      <c r="AA46" s="17">
        <v>2045</v>
      </c>
      <c r="AB46" s="17">
        <v>2046</v>
      </c>
      <c r="AC46" s="17">
        <v>2047</v>
      </c>
      <c r="AD46" s="17">
        <v>2048</v>
      </c>
      <c r="AE46" s="17">
        <v>2049</v>
      </c>
      <c r="AF46" s="17">
        <v>2050</v>
      </c>
    </row>
    <row r="47" spans="1:32" ht="16.5" customHeight="1">
      <c r="A47" s="17" t="s">
        <v>178</v>
      </c>
      <c r="B47" s="17">
        <f t="shared" ref="B47:W47" si="2">IFERROR(SUM(B2:K2)/B26,0)</f>
        <v>0</v>
      </c>
      <c r="C47" s="17">
        <f t="shared" si="2"/>
        <v>0</v>
      </c>
      <c r="D47" s="17">
        <f t="shared" si="2"/>
        <v>0</v>
      </c>
      <c r="E47" s="17">
        <f t="shared" si="2"/>
        <v>0</v>
      </c>
      <c r="F47" s="17">
        <f t="shared" si="2"/>
        <v>0</v>
      </c>
      <c r="G47" s="17">
        <f t="shared" si="2"/>
        <v>0</v>
      </c>
      <c r="H47" s="17">
        <f t="shared" si="2"/>
        <v>0</v>
      </c>
      <c r="I47" s="17">
        <f t="shared" si="2"/>
        <v>0</v>
      </c>
      <c r="J47" s="17">
        <f t="shared" si="2"/>
        <v>0</v>
      </c>
      <c r="K47" s="17">
        <f t="shared" si="2"/>
        <v>0</v>
      </c>
      <c r="L47" s="17">
        <f t="shared" si="2"/>
        <v>0</v>
      </c>
      <c r="M47" s="17">
        <f t="shared" si="2"/>
        <v>0</v>
      </c>
      <c r="N47" s="17">
        <f t="shared" si="2"/>
        <v>0</v>
      </c>
      <c r="O47" s="17">
        <f t="shared" si="2"/>
        <v>0</v>
      </c>
      <c r="P47" s="17">
        <f t="shared" si="2"/>
        <v>0</v>
      </c>
      <c r="Q47" s="17">
        <f t="shared" si="2"/>
        <v>0</v>
      </c>
      <c r="R47" s="17">
        <f t="shared" si="2"/>
        <v>0</v>
      </c>
      <c r="S47" s="17">
        <f t="shared" si="2"/>
        <v>0</v>
      </c>
      <c r="T47" s="17">
        <f t="shared" si="2"/>
        <v>0</v>
      </c>
      <c r="U47" s="17">
        <f t="shared" si="2"/>
        <v>0</v>
      </c>
      <c r="V47" s="17">
        <f t="shared" si="2"/>
        <v>0</v>
      </c>
      <c r="W47" s="17">
        <f t="shared" si="2"/>
        <v>0</v>
      </c>
      <c r="X47" s="17">
        <f t="shared" ref="X47:AF47" si="3">W47</f>
        <v>0</v>
      </c>
      <c r="Y47" s="17">
        <f t="shared" si="3"/>
        <v>0</v>
      </c>
      <c r="Z47" s="17">
        <f t="shared" si="3"/>
        <v>0</v>
      </c>
      <c r="AA47" s="17">
        <f t="shared" si="3"/>
        <v>0</v>
      </c>
      <c r="AB47" s="17">
        <f t="shared" si="3"/>
        <v>0</v>
      </c>
      <c r="AC47" s="17">
        <f t="shared" si="3"/>
        <v>0</v>
      </c>
      <c r="AD47" s="17">
        <f t="shared" si="3"/>
        <v>0</v>
      </c>
      <c r="AE47" s="17">
        <f t="shared" si="3"/>
        <v>0</v>
      </c>
      <c r="AF47" s="17">
        <f t="shared" si="3"/>
        <v>0</v>
      </c>
    </row>
    <row r="48" spans="1:32" ht="16.5" customHeight="1">
      <c r="A48" s="17" t="s">
        <v>179</v>
      </c>
      <c r="B48" s="17">
        <f t="shared" ref="B48:W48" si="4">IFERROR(SUM(B3:K3)/B27,0)</f>
        <v>0</v>
      </c>
      <c r="C48" s="17">
        <f t="shared" si="4"/>
        <v>0</v>
      </c>
      <c r="D48" s="17">
        <f t="shared" si="4"/>
        <v>0</v>
      </c>
      <c r="E48" s="17">
        <f t="shared" si="4"/>
        <v>0</v>
      </c>
      <c r="F48" s="17">
        <f t="shared" si="4"/>
        <v>0</v>
      </c>
      <c r="G48" s="17">
        <f t="shared" si="4"/>
        <v>0</v>
      </c>
      <c r="H48" s="17">
        <f t="shared" si="4"/>
        <v>0</v>
      </c>
      <c r="I48" s="17">
        <f t="shared" si="4"/>
        <v>0</v>
      </c>
      <c r="J48" s="17">
        <f t="shared" si="4"/>
        <v>0</v>
      </c>
      <c r="K48" s="17">
        <f t="shared" si="4"/>
        <v>0</v>
      </c>
      <c r="L48" s="17">
        <f t="shared" si="4"/>
        <v>0</v>
      </c>
      <c r="M48" s="17">
        <f t="shared" si="4"/>
        <v>0</v>
      </c>
      <c r="N48" s="17">
        <f t="shared" si="4"/>
        <v>0</v>
      </c>
      <c r="O48" s="17">
        <f t="shared" si="4"/>
        <v>0</v>
      </c>
      <c r="P48" s="17">
        <f t="shared" si="4"/>
        <v>0</v>
      </c>
      <c r="Q48" s="17">
        <f t="shared" si="4"/>
        <v>0</v>
      </c>
      <c r="R48" s="17">
        <f t="shared" si="4"/>
        <v>0</v>
      </c>
      <c r="S48" s="17">
        <f t="shared" si="4"/>
        <v>0</v>
      </c>
      <c r="T48" s="17">
        <f t="shared" si="4"/>
        <v>0</v>
      </c>
      <c r="U48" s="17">
        <f t="shared" si="4"/>
        <v>0</v>
      </c>
      <c r="V48" s="17">
        <f t="shared" si="4"/>
        <v>0</v>
      </c>
      <c r="W48" s="17">
        <f t="shared" si="4"/>
        <v>0</v>
      </c>
      <c r="X48" s="17">
        <f t="shared" ref="X48:AF48" si="5">W48</f>
        <v>0</v>
      </c>
      <c r="Y48" s="17">
        <f t="shared" si="5"/>
        <v>0</v>
      </c>
      <c r="Z48" s="17">
        <f t="shared" si="5"/>
        <v>0</v>
      </c>
      <c r="AA48" s="17">
        <f t="shared" si="5"/>
        <v>0</v>
      </c>
      <c r="AB48" s="17">
        <f t="shared" si="5"/>
        <v>0</v>
      </c>
      <c r="AC48" s="17">
        <f t="shared" si="5"/>
        <v>0</v>
      </c>
      <c r="AD48" s="17">
        <f t="shared" si="5"/>
        <v>0</v>
      </c>
      <c r="AE48" s="17">
        <f t="shared" si="5"/>
        <v>0</v>
      </c>
      <c r="AF48" s="17">
        <f t="shared" si="5"/>
        <v>0</v>
      </c>
    </row>
    <row r="49" spans="1:32" ht="16.5" customHeight="1">
      <c r="A49" s="17" t="s">
        <v>180</v>
      </c>
      <c r="B49" s="17">
        <f t="shared" ref="B49:W49" si="6">IFERROR(SUM(B4:K4)/B28,0)</f>
        <v>0</v>
      </c>
      <c r="C49" s="17">
        <f t="shared" si="6"/>
        <v>0</v>
      </c>
      <c r="D49" s="17">
        <f t="shared" si="6"/>
        <v>0</v>
      </c>
      <c r="E49" s="17">
        <f t="shared" si="6"/>
        <v>0</v>
      </c>
      <c r="F49" s="17">
        <f t="shared" si="6"/>
        <v>0</v>
      </c>
      <c r="G49" s="17">
        <f t="shared" si="6"/>
        <v>0</v>
      </c>
      <c r="H49" s="17">
        <f t="shared" si="6"/>
        <v>0</v>
      </c>
      <c r="I49" s="17">
        <f t="shared" si="6"/>
        <v>0</v>
      </c>
      <c r="J49" s="17">
        <f t="shared" si="6"/>
        <v>0</v>
      </c>
      <c r="K49" s="17">
        <f t="shared" si="6"/>
        <v>0</v>
      </c>
      <c r="L49" s="17">
        <f t="shared" si="6"/>
        <v>0</v>
      </c>
      <c r="M49" s="17">
        <f t="shared" si="6"/>
        <v>0</v>
      </c>
      <c r="N49" s="17">
        <f t="shared" si="6"/>
        <v>0</v>
      </c>
      <c r="O49" s="17">
        <f t="shared" si="6"/>
        <v>0</v>
      </c>
      <c r="P49" s="17">
        <f t="shared" si="6"/>
        <v>0</v>
      </c>
      <c r="Q49" s="17">
        <f t="shared" si="6"/>
        <v>0</v>
      </c>
      <c r="R49" s="17">
        <f t="shared" si="6"/>
        <v>0</v>
      </c>
      <c r="S49" s="17">
        <f t="shared" si="6"/>
        <v>0</v>
      </c>
      <c r="T49" s="17">
        <f t="shared" si="6"/>
        <v>0</v>
      </c>
      <c r="U49" s="17">
        <f t="shared" si="6"/>
        <v>0</v>
      </c>
      <c r="V49" s="17">
        <f t="shared" si="6"/>
        <v>0</v>
      </c>
      <c r="W49" s="17">
        <f t="shared" si="6"/>
        <v>0</v>
      </c>
      <c r="X49" s="17">
        <f t="shared" ref="X49:AF49" si="7">W49</f>
        <v>0</v>
      </c>
      <c r="Y49" s="17">
        <f t="shared" si="7"/>
        <v>0</v>
      </c>
      <c r="Z49" s="17">
        <f t="shared" si="7"/>
        <v>0</v>
      </c>
      <c r="AA49" s="17">
        <f t="shared" si="7"/>
        <v>0</v>
      </c>
      <c r="AB49" s="17">
        <f t="shared" si="7"/>
        <v>0</v>
      </c>
      <c r="AC49" s="17">
        <f t="shared" si="7"/>
        <v>0</v>
      </c>
      <c r="AD49" s="17">
        <f t="shared" si="7"/>
        <v>0</v>
      </c>
      <c r="AE49" s="17">
        <f t="shared" si="7"/>
        <v>0</v>
      </c>
      <c r="AF49" s="17">
        <f t="shared" si="7"/>
        <v>0</v>
      </c>
    </row>
    <row r="50" spans="1:32" ht="16.5" customHeight="1">
      <c r="A50" s="29" t="s">
        <v>181</v>
      </c>
      <c r="B50" s="17">
        <f t="shared" ref="B50:W50" si="8">IFERROR(SUM(B5:K5)/B29,0)</f>
        <v>2.9999999999999995E-2</v>
      </c>
      <c r="C50" s="17">
        <f t="shared" si="8"/>
        <v>2.9999999999999995E-2</v>
      </c>
      <c r="D50" s="17">
        <f t="shared" si="8"/>
        <v>2.9999999999999995E-2</v>
      </c>
      <c r="E50" s="17">
        <f t="shared" si="8"/>
        <v>2.9999999999999995E-2</v>
      </c>
      <c r="F50" s="17">
        <f t="shared" si="8"/>
        <v>2.9999999999999995E-2</v>
      </c>
      <c r="G50" s="17">
        <f t="shared" si="8"/>
        <v>2.9999999999999995E-2</v>
      </c>
      <c r="H50" s="17">
        <f t="shared" si="8"/>
        <v>2.9999999999999995E-2</v>
      </c>
      <c r="I50" s="17">
        <f t="shared" si="8"/>
        <v>2.9999999999999995E-2</v>
      </c>
      <c r="J50" s="17">
        <f t="shared" si="8"/>
        <v>2.9999999999999995E-2</v>
      </c>
      <c r="K50" s="17">
        <f t="shared" si="8"/>
        <v>2.9999999999999995E-2</v>
      </c>
      <c r="L50" s="17">
        <f t="shared" si="8"/>
        <v>2.9999999999999995E-2</v>
      </c>
      <c r="M50" s="17">
        <f t="shared" si="8"/>
        <v>2.9999999999999995E-2</v>
      </c>
      <c r="N50" s="17">
        <f t="shared" si="8"/>
        <v>2.9999999999999995E-2</v>
      </c>
      <c r="O50" s="17">
        <f t="shared" si="8"/>
        <v>2.9999999999999995E-2</v>
      </c>
      <c r="P50" s="17">
        <f t="shared" si="8"/>
        <v>2.9999999999999995E-2</v>
      </c>
      <c r="Q50" s="17">
        <f t="shared" si="8"/>
        <v>2.9999999999999995E-2</v>
      </c>
      <c r="R50" s="17">
        <f t="shared" si="8"/>
        <v>2.9999999999999995E-2</v>
      </c>
      <c r="S50" s="17">
        <f t="shared" si="8"/>
        <v>2.9999999999999995E-2</v>
      </c>
      <c r="T50" s="17">
        <f t="shared" si="8"/>
        <v>2.9999999999999995E-2</v>
      </c>
      <c r="U50" s="17">
        <f t="shared" si="8"/>
        <v>2.9999999999999995E-2</v>
      </c>
      <c r="V50" s="17">
        <f t="shared" si="8"/>
        <v>2.9999999999999995E-2</v>
      </c>
      <c r="W50" s="17">
        <f t="shared" si="8"/>
        <v>2.9999999999999995E-2</v>
      </c>
      <c r="X50" s="17">
        <f t="shared" ref="X50:AF50" si="9">W50</f>
        <v>2.9999999999999995E-2</v>
      </c>
      <c r="Y50" s="17">
        <f t="shared" si="9"/>
        <v>2.9999999999999995E-2</v>
      </c>
      <c r="Z50" s="17">
        <f t="shared" si="9"/>
        <v>2.9999999999999995E-2</v>
      </c>
      <c r="AA50" s="17">
        <f t="shared" si="9"/>
        <v>2.9999999999999995E-2</v>
      </c>
      <c r="AB50" s="17">
        <f t="shared" si="9"/>
        <v>2.9999999999999995E-2</v>
      </c>
      <c r="AC50" s="17">
        <f t="shared" si="9"/>
        <v>2.9999999999999995E-2</v>
      </c>
      <c r="AD50" s="17">
        <f t="shared" si="9"/>
        <v>2.9999999999999995E-2</v>
      </c>
      <c r="AE50" s="17">
        <f t="shared" si="9"/>
        <v>2.9999999999999995E-2</v>
      </c>
      <c r="AF50" s="17">
        <f t="shared" si="9"/>
        <v>2.9999999999999995E-2</v>
      </c>
    </row>
    <row r="51" spans="1:32" ht="16.5" customHeight="1">
      <c r="A51" s="29" t="s">
        <v>182</v>
      </c>
      <c r="B51" s="17">
        <f t="shared" ref="B51:W51" si="10">IFERROR(SUM(B6:K6)/B30,0)</f>
        <v>2.803460989533775E-2</v>
      </c>
      <c r="C51" s="17">
        <f t="shared" si="10"/>
        <v>2.8105282243442567E-2</v>
      </c>
      <c r="D51" s="17">
        <f t="shared" si="10"/>
        <v>2.8195060873411344E-2</v>
      </c>
      <c r="E51" s="17">
        <f t="shared" si="10"/>
        <v>2.8305321981791684E-2</v>
      </c>
      <c r="F51" s="17">
        <f t="shared" si="10"/>
        <v>2.8437531139524342E-2</v>
      </c>
      <c r="G51" s="17">
        <f t="shared" si="10"/>
        <v>2.8593251156278986E-2</v>
      </c>
      <c r="H51" s="17">
        <f t="shared" si="10"/>
        <v>2.8561138866663321E-2</v>
      </c>
      <c r="I51" s="17">
        <f t="shared" si="10"/>
        <v>2.8526038073996503E-2</v>
      </c>
      <c r="J51" s="17">
        <f t="shared" si="10"/>
        <v>2.8488265986790228E-2</v>
      </c>
      <c r="K51" s="17">
        <f t="shared" si="10"/>
        <v>2.8448148145582497E-2</v>
      </c>
      <c r="L51" s="17">
        <f t="shared" si="10"/>
        <v>2.8406018929872403E-2</v>
      </c>
      <c r="M51" s="17">
        <f t="shared" si="10"/>
        <v>2.8406018929872396E-2</v>
      </c>
      <c r="N51" s="17">
        <f t="shared" si="10"/>
        <v>2.8406018929872403E-2</v>
      </c>
      <c r="O51" s="17">
        <f t="shared" si="10"/>
        <v>2.8406018929872396E-2</v>
      </c>
      <c r="P51" s="17">
        <f t="shared" si="10"/>
        <v>2.8406018929872399E-2</v>
      </c>
      <c r="Q51" s="17">
        <f t="shared" si="10"/>
        <v>2.8406018929872406E-2</v>
      </c>
      <c r="R51" s="17">
        <f t="shared" si="10"/>
        <v>2.8406018929872399E-2</v>
      </c>
      <c r="S51" s="17">
        <f t="shared" si="10"/>
        <v>2.8406018929872403E-2</v>
      </c>
      <c r="T51" s="17">
        <f t="shared" si="10"/>
        <v>2.8406018929872406E-2</v>
      </c>
      <c r="U51" s="17">
        <f t="shared" si="10"/>
        <v>2.8406018929872406E-2</v>
      </c>
      <c r="V51" s="17">
        <f t="shared" si="10"/>
        <v>2.8406018929872396E-2</v>
      </c>
      <c r="W51" s="17">
        <f t="shared" si="10"/>
        <v>2.8406018929872406E-2</v>
      </c>
      <c r="X51" s="17">
        <f t="shared" ref="X51:AF51" si="11">W51</f>
        <v>2.8406018929872406E-2</v>
      </c>
      <c r="Y51" s="17">
        <f t="shared" si="11"/>
        <v>2.8406018929872406E-2</v>
      </c>
      <c r="Z51" s="17">
        <f t="shared" si="11"/>
        <v>2.8406018929872406E-2</v>
      </c>
      <c r="AA51" s="17">
        <f t="shared" si="11"/>
        <v>2.8406018929872406E-2</v>
      </c>
      <c r="AB51" s="17">
        <f t="shared" si="11"/>
        <v>2.8406018929872406E-2</v>
      </c>
      <c r="AC51" s="17">
        <f t="shared" si="11"/>
        <v>2.8406018929872406E-2</v>
      </c>
      <c r="AD51" s="17">
        <f t="shared" si="11"/>
        <v>2.8406018929872406E-2</v>
      </c>
      <c r="AE51" s="17">
        <f t="shared" si="11"/>
        <v>2.8406018929872406E-2</v>
      </c>
      <c r="AF51" s="17">
        <f t="shared" si="11"/>
        <v>2.8406018929872406E-2</v>
      </c>
    </row>
    <row r="52" spans="1:32" ht="16.5" customHeight="1">
      <c r="A52" s="29" t="s">
        <v>183</v>
      </c>
      <c r="B52" s="17">
        <f t="shared" ref="B52:W52" si="12">IFERROR(SUM(B7:K7)/B31,0)</f>
        <v>2.5364303178484125E-2</v>
      </c>
      <c r="C52" s="17">
        <f t="shared" si="12"/>
        <v>2.5411076475192643E-2</v>
      </c>
      <c r="D52" s="17">
        <f t="shared" si="12"/>
        <v>2.5513356095024052E-2</v>
      </c>
      <c r="E52" s="17">
        <f t="shared" si="12"/>
        <v>2.5680469019471523E-2</v>
      </c>
      <c r="F52" s="17">
        <f t="shared" si="12"/>
        <v>2.5923318965309711E-2</v>
      </c>
      <c r="G52" s="17">
        <f t="shared" si="12"/>
        <v>2.6254753676520928E-2</v>
      </c>
      <c r="H52" s="17">
        <f t="shared" si="12"/>
        <v>2.6195638379179619E-2</v>
      </c>
      <c r="I52" s="17">
        <f t="shared" si="12"/>
        <v>2.6150522878159835E-2</v>
      </c>
      <c r="J52" s="17">
        <f t="shared" si="12"/>
        <v>2.6123022688198654E-2</v>
      </c>
      <c r="K52" s="17">
        <f t="shared" si="12"/>
        <v>2.6117140330909051E-2</v>
      </c>
      <c r="L52" s="17">
        <f t="shared" si="12"/>
        <v>2.6137331465165805E-2</v>
      </c>
      <c r="M52" s="17">
        <f t="shared" si="12"/>
        <v>2.6137331465165801E-2</v>
      </c>
      <c r="N52" s="17">
        <f t="shared" si="12"/>
        <v>2.6137331465165805E-2</v>
      </c>
      <c r="O52" s="17">
        <f t="shared" si="12"/>
        <v>2.6137331465165812E-2</v>
      </c>
      <c r="P52" s="17">
        <f t="shared" si="12"/>
        <v>2.6137331465165801E-2</v>
      </c>
      <c r="Q52" s="17">
        <f t="shared" si="12"/>
        <v>2.6137331465165801E-2</v>
      </c>
      <c r="R52" s="17">
        <f t="shared" si="12"/>
        <v>2.6137331465165801E-2</v>
      </c>
      <c r="S52" s="17">
        <f t="shared" si="12"/>
        <v>2.6137331465165801E-2</v>
      </c>
      <c r="T52" s="17">
        <f t="shared" si="12"/>
        <v>2.6137331465165805E-2</v>
      </c>
      <c r="U52" s="17">
        <f t="shared" si="12"/>
        <v>2.6137331465165808E-2</v>
      </c>
      <c r="V52" s="17">
        <f t="shared" si="12"/>
        <v>2.6137331465165798E-2</v>
      </c>
      <c r="W52" s="17">
        <f t="shared" si="12"/>
        <v>2.6137331465165801E-2</v>
      </c>
      <c r="X52" s="17">
        <f t="shared" ref="X52:AF52" si="13">W52</f>
        <v>2.6137331465165801E-2</v>
      </c>
      <c r="Y52" s="17">
        <f t="shared" si="13"/>
        <v>2.6137331465165801E-2</v>
      </c>
      <c r="Z52" s="17">
        <f t="shared" si="13"/>
        <v>2.6137331465165801E-2</v>
      </c>
      <c r="AA52" s="17">
        <f t="shared" si="13"/>
        <v>2.6137331465165801E-2</v>
      </c>
      <c r="AB52" s="17">
        <f t="shared" si="13"/>
        <v>2.6137331465165801E-2</v>
      </c>
      <c r="AC52" s="17">
        <f t="shared" si="13"/>
        <v>2.6137331465165801E-2</v>
      </c>
      <c r="AD52" s="17">
        <f t="shared" si="13"/>
        <v>2.6137331465165801E-2</v>
      </c>
      <c r="AE52" s="17">
        <f t="shared" si="13"/>
        <v>2.6137331465165801E-2</v>
      </c>
      <c r="AF52" s="17">
        <f t="shared" si="13"/>
        <v>2.6137331465165801E-2</v>
      </c>
    </row>
    <row r="53" spans="1:32" ht="16.5" customHeight="1">
      <c r="A53" s="17" t="s">
        <v>184</v>
      </c>
      <c r="B53" s="17">
        <f t="shared" ref="B53:W53" si="14">IFERROR(SUM(B8:K8)/B32,0)</f>
        <v>0</v>
      </c>
      <c r="C53" s="17">
        <f t="shared" si="14"/>
        <v>0</v>
      </c>
      <c r="D53" s="17">
        <f t="shared" si="14"/>
        <v>0</v>
      </c>
      <c r="E53" s="17">
        <f t="shared" si="14"/>
        <v>0</v>
      </c>
      <c r="F53" s="17">
        <f t="shared" si="14"/>
        <v>0</v>
      </c>
      <c r="G53" s="17">
        <f t="shared" si="14"/>
        <v>0</v>
      </c>
      <c r="H53" s="17">
        <f t="shared" si="14"/>
        <v>0</v>
      </c>
      <c r="I53" s="17">
        <f t="shared" si="14"/>
        <v>0</v>
      </c>
      <c r="J53" s="17">
        <f t="shared" si="14"/>
        <v>0</v>
      </c>
      <c r="K53" s="17">
        <f t="shared" si="14"/>
        <v>0</v>
      </c>
      <c r="L53" s="17">
        <f t="shared" si="14"/>
        <v>0</v>
      </c>
      <c r="M53" s="17">
        <f t="shared" si="14"/>
        <v>0</v>
      </c>
      <c r="N53" s="17">
        <f t="shared" si="14"/>
        <v>0</v>
      </c>
      <c r="O53" s="17">
        <f t="shared" si="14"/>
        <v>0</v>
      </c>
      <c r="P53" s="17">
        <f t="shared" si="14"/>
        <v>0</v>
      </c>
      <c r="Q53" s="17">
        <f t="shared" si="14"/>
        <v>0</v>
      </c>
      <c r="R53" s="17">
        <f t="shared" si="14"/>
        <v>0</v>
      </c>
      <c r="S53" s="17">
        <f t="shared" si="14"/>
        <v>0</v>
      </c>
      <c r="T53" s="17">
        <f t="shared" si="14"/>
        <v>0</v>
      </c>
      <c r="U53" s="17">
        <f t="shared" si="14"/>
        <v>0</v>
      </c>
      <c r="V53" s="17">
        <f t="shared" si="14"/>
        <v>0</v>
      </c>
      <c r="W53" s="17">
        <f t="shared" si="14"/>
        <v>0</v>
      </c>
      <c r="X53" s="17">
        <f t="shared" ref="X53:AF53" si="15">W53</f>
        <v>0</v>
      </c>
      <c r="Y53" s="17">
        <f t="shared" si="15"/>
        <v>0</v>
      </c>
      <c r="Z53" s="17">
        <f t="shared" si="15"/>
        <v>0</v>
      </c>
      <c r="AA53" s="17">
        <f t="shared" si="15"/>
        <v>0</v>
      </c>
      <c r="AB53" s="17">
        <f t="shared" si="15"/>
        <v>0</v>
      </c>
      <c r="AC53" s="17">
        <f t="shared" si="15"/>
        <v>0</v>
      </c>
      <c r="AD53" s="17">
        <f t="shared" si="15"/>
        <v>0</v>
      </c>
      <c r="AE53" s="17">
        <f t="shared" si="15"/>
        <v>0</v>
      </c>
      <c r="AF53" s="17">
        <f t="shared" si="15"/>
        <v>0</v>
      </c>
    </row>
    <row r="54" spans="1:32" ht="16.5" customHeight="1">
      <c r="A54" s="29" t="s">
        <v>185</v>
      </c>
      <c r="B54" s="17">
        <f t="shared" ref="B54:W54" si="16">IFERROR(SUM(B9:K9)/B33,0)</f>
        <v>0.03</v>
      </c>
      <c r="C54" s="17">
        <f t="shared" si="16"/>
        <v>0.03</v>
      </c>
      <c r="D54" s="17">
        <f t="shared" si="16"/>
        <v>0.03</v>
      </c>
      <c r="E54" s="17">
        <f t="shared" si="16"/>
        <v>0.03</v>
      </c>
      <c r="F54" s="17">
        <f t="shared" si="16"/>
        <v>0.03</v>
      </c>
      <c r="G54" s="17">
        <f t="shared" si="16"/>
        <v>0.03</v>
      </c>
      <c r="H54" s="17">
        <f t="shared" si="16"/>
        <v>0.03</v>
      </c>
      <c r="I54" s="17">
        <f t="shared" si="16"/>
        <v>0.03</v>
      </c>
      <c r="J54" s="17">
        <f t="shared" si="16"/>
        <v>0.03</v>
      </c>
      <c r="K54" s="17">
        <f t="shared" si="16"/>
        <v>0.03</v>
      </c>
      <c r="L54" s="17">
        <f t="shared" si="16"/>
        <v>0.03</v>
      </c>
      <c r="M54" s="17">
        <f t="shared" si="16"/>
        <v>0.03</v>
      </c>
      <c r="N54" s="17">
        <f t="shared" si="16"/>
        <v>0.03</v>
      </c>
      <c r="O54" s="17">
        <f t="shared" si="16"/>
        <v>0.03</v>
      </c>
      <c r="P54" s="17">
        <f t="shared" si="16"/>
        <v>0.03</v>
      </c>
      <c r="Q54" s="17">
        <f t="shared" si="16"/>
        <v>0.03</v>
      </c>
      <c r="R54" s="17">
        <f t="shared" si="16"/>
        <v>0.03</v>
      </c>
      <c r="S54" s="17">
        <f t="shared" si="16"/>
        <v>0.03</v>
      </c>
      <c r="T54" s="17">
        <f t="shared" si="16"/>
        <v>0.03</v>
      </c>
      <c r="U54" s="17">
        <f t="shared" si="16"/>
        <v>0.03</v>
      </c>
      <c r="V54" s="17">
        <f t="shared" si="16"/>
        <v>0.03</v>
      </c>
      <c r="W54" s="17">
        <f t="shared" si="16"/>
        <v>0.03</v>
      </c>
      <c r="X54" s="17">
        <f t="shared" ref="X54:AF54" si="17">W54</f>
        <v>0.03</v>
      </c>
      <c r="Y54" s="17">
        <f t="shared" si="17"/>
        <v>0.03</v>
      </c>
      <c r="Z54" s="17">
        <f t="shared" si="17"/>
        <v>0.03</v>
      </c>
      <c r="AA54" s="17">
        <f t="shared" si="17"/>
        <v>0.03</v>
      </c>
      <c r="AB54" s="17">
        <f t="shared" si="17"/>
        <v>0.03</v>
      </c>
      <c r="AC54" s="17">
        <f t="shared" si="17"/>
        <v>0.03</v>
      </c>
      <c r="AD54" s="17">
        <f t="shared" si="17"/>
        <v>0.03</v>
      </c>
      <c r="AE54" s="17">
        <f t="shared" si="17"/>
        <v>0.03</v>
      </c>
      <c r="AF54" s="17">
        <f t="shared" si="17"/>
        <v>0.03</v>
      </c>
    </row>
    <row r="55" spans="1:32" ht="16.5" customHeight="1">
      <c r="A55" s="17" t="s">
        <v>186</v>
      </c>
      <c r="B55" s="17">
        <f t="shared" ref="B55:W55" si="18">IFERROR(SUM(B10:K10)/B34,0)</f>
        <v>0</v>
      </c>
      <c r="C55" s="17">
        <f t="shared" si="18"/>
        <v>0</v>
      </c>
      <c r="D55" s="17">
        <f t="shared" si="18"/>
        <v>0</v>
      </c>
      <c r="E55" s="17">
        <f t="shared" si="18"/>
        <v>0</v>
      </c>
      <c r="F55" s="17">
        <f t="shared" si="18"/>
        <v>0</v>
      </c>
      <c r="G55" s="17">
        <f t="shared" si="18"/>
        <v>0</v>
      </c>
      <c r="H55" s="17">
        <f t="shared" si="18"/>
        <v>0</v>
      </c>
      <c r="I55" s="17">
        <f t="shared" si="18"/>
        <v>0</v>
      </c>
      <c r="J55" s="17">
        <f t="shared" si="18"/>
        <v>0</v>
      </c>
      <c r="K55" s="17">
        <f t="shared" si="18"/>
        <v>0</v>
      </c>
      <c r="L55" s="17">
        <f t="shared" si="18"/>
        <v>0</v>
      </c>
      <c r="M55" s="17">
        <f t="shared" si="18"/>
        <v>0</v>
      </c>
      <c r="N55" s="17">
        <f t="shared" si="18"/>
        <v>0</v>
      </c>
      <c r="O55" s="17">
        <f t="shared" si="18"/>
        <v>0</v>
      </c>
      <c r="P55" s="17">
        <f t="shared" si="18"/>
        <v>0</v>
      </c>
      <c r="Q55" s="17">
        <f t="shared" si="18"/>
        <v>0</v>
      </c>
      <c r="R55" s="17">
        <f t="shared" si="18"/>
        <v>0</v>
      </c>
      <c r="S55" s="17">
        <f t="shared" si="18"/>
        <v>0</v>
      </c>
      <c r="T55" s="17">
        <f t="shared" si="18"/>
        <v>0</v>
      </c>
      <c r="U55" s="17">
        <f t="shared" si="18"/>
        <v>0</v>
      </c>
      <c r="V55" s="17">
        <f t="shared" si="18"/>
        <v>0</v>
      </c>
      <c r="W55" s="17">
        <f t="shared" si="18"/>
        <v>0</v>
      </c>
      <c r="X55" s="17">
        <f t="shared" ref="X55:AF55" si="19">W55</f>
        <v>0</v>
      </c>
      <c r="Y55" s="17">
        <f t="shared" si="19"/>
        <v>0</v>
      </c>
      <c r="Z55" s="17">
        <f t="shared" si="19"/>
        <v>0</v>
      </c>
      <c r="AA55" s="17">
        <f t="shared" si="19"/>
        <v>0</v>
      </c>
      <c r="AB55" s="17">
        <f t="shared" si="19"/>
        <v>0</v>
      </c>
      <c r="AC55" s="17">
        <f t="shared" si="19"/>
        <v>0</v>
      </c>
      <c r="AD55" s="17">
        <f t="shared" si="19"/>
        <v>0</v>
      </c>
      <c r="AE55" s="17">
        <f t="shared" si="19"/>
        <v>0</v>
      </c>
      <c r="AF55" s="17">
        <f t="shared" si="19"/>
        <v>0</v>
      </c>
    </row>
    <row r="56" spans="1:32" ht="16.5" customHeight="1">
      <c r="A56" s="17" t="s">
        <v>187</v>
      </c>
      <c r="B56" s="17">
        <f t="shared" ref="B56:W56" si="20">IFERROR(SUM(B11:K11)/B35,0)</f>
        <v>0</v>
      </c>
      <c r="C56" s="17">
        <f t="shared" si="20"/>
        <v>0</v>
      </c>
      <c r="D56" s="17">
        <f t="shared" si="20"/>
        <v>0</v>
      </c>
      <c r="E56" s="17">
        <f t="shared" si="20"/>
        <v>0</v>
      </c>
      <c r="F56" s="17">
        <f t="shared" si="20"/>
        <v>0</v>
      </c>
      <c r="G56" s="17">
        <f t="shared" si="20"/>
        <v>0</v>
      </c>
      <c r="H56" s="17">
        <f t="shared" si="20"/>
        <v>0</v>
      </c>
      <c r="I56" s="17">
        <f t="shared" si="20"/>
        <v>0</v>
      </c>
      <c r="J56" s="17">
        <f t="shared" si="20"/>
        <v>0</v>
      </c>
      <c r="K56" s="17">
        <f t="shared" si="20"/>
        <v>0</v>
      </c>
      <c r="L56" s="17">
        <f t="shared" si="20"/>
        <v>0</v>
      </c>
      <c r="M56" s="17">
        <f t="shared" si="20"/>
        <v>0</v>
      </c>
      <c r="N56" s="17">
        <f t="shared" si="20"/>
        <v>0</v>
      </c>
      <c r="O56" s="17">
        <f t="shared" si="20"/>
        <v>0</v>
      </c>
      <c r="P56" s="17">
        <f t="shared" si="20"/>
        <v>0</v>
      </c>
      <c r="Q56" s="17">
        <f t="shared" si="20"/>
        <v>0</v>
      </c>
      <c r="R56" s="17">
        <f t="shared" si="20"/>
        <v>0</v>
      </c>
      <c r="S56" s="17">
        <f t="shared" si="20"/>
        <v>0</v>
      </c>
      <c r="T56" s="17">
        <f t="shared" si="20"/>
        <v>0</v>
      </c>
      <c r="U56" s="17">
        <f t="shared" si="20"/>
        <v>0</v>
      </c>
      <c r="V56" s="17">
        <f t="shared" si="20"/>
        <v>0</v>
      </c>
      <c r="W56" s="17">
        <f t="shared" si="20"/>
        <v>0</v>
      </c>
      <c r="X56" s="17">
        <f t="shared" ref="X56:AF56" si="21">W56</f>
        <v>0</v>
      </c>
      <c r="Y56" s="17">
        <f t="shared" si="21"/>
        <v>0</v>
      </c>
      <c r="Z56" s="17">
        <f t="shared" si="21"/>
        <v>0</v>
      </c>
      <c r="AA56" s="17">
        <f t="shared" si="21"/>
        <v>0</v>
      </c>
      <c r="AB56" s="17">
        <f t="shared" si="21"/>
        <v>0</v>
      </c>
      <c r="AC56" s="17">
        <f t="shared" si="21"/>
        <v>0</v>
      </c>
      <c r="AD56" s="17">
        <f t="shared" si="21"/>
        <v>0</v>
      </c>
      <c r="AE56" s="17">
        <f t="shared" si="21"/>
        <v>0</v>
      </c>
      <c r="AF56" s="17">
        <f t="shared" si="21"/>
        <v>0</v>
      </c>
    </row>
    <row r="57" spans="1:32" ht="16.5" customHeight="1">
      <c r="A57" s="17" t="s">
        <v>188</v>
      </c>
      <c r="B57" s="17">
        <f t="shared" ref="B57:W57" si="22">IFERROR(SUM(B12:K12)/B36,0)</f>
        <v>0</v>
      </c>
      <c r="C57" s="17">
        <f t="shared" si="22"/>
        <v>0</v>
      </c>
      <c r="D57" s="17">
        <f t="shared" si="22"/>
        <v>0</v>
      </c>
      <c r="E57" s="17">
        <f t="shared" si="22"/>
        <v>0</v>
      </c>
      <c r="F57" s="17">
        <f t="shared" si="22"/>
        <v>0</v>
      </c>
      <c r="G57" s="17">
        <f t="shared" si="22"/>
        <v>0</v>
      </c>
      <c r="H57" s="17">
        <f t="shared" si="22"/>
        <v>0</v>
      </c>
      <c r="I57" s="17">
        <f t="shared" si="22"/>
        <v>0</v>
      </c>
      <c r="J57" s="17">
        <f t="shared" si="22"/>
        <v>0</v>
      </c>
      <c r="K57" s="17">
        <f t="shared" si="22"/>
        <v>0</v>
      </c>
      <c r="L57" s="17">
        <f t="shared" si="22"/>
        <v>0</v>
      </c>
      <c r="M57" s="17">
        <f t="shared" si="22"/>
        <v>0</v>
      </c>
      <c r="N57" s="17">
        <f t="shared" si="22"/>
        <v>0</v>
      </c>
      <c r="O57" s="17">
        <f t="shared" si="22"/>
        <v>0</v>
      </c>
      <c r="P57" s="17">
        <f t="shared" si="22"/>
        <v>0</v>
      </c>
      <c r="Q57" s="17">
        <f t="shared" si="22"/>
        <v>0</v>
      </c>
      <c r="R57" s="17">
        <f t="shared" si="22"/>
        <v>0</v>
      </c>
      <c r="S57" s="17">
        <f t="shared" si="22"/>
        <v>0</v>
      </c>
      <c r="T57" s="17">
        <f t="shared" si="22"/>
        <v>0</v>
      </c>
      <c r="U57" s="17">
        <f t="shared" si="22"/>
        <v>0</v>
      </c>
      <c r="V57" s="17">
        <f t="shared" si="22"/>
        <v>0</v>
      </c>
      <c r="W57" s="17">
        <f t="shared" si="22"/>
        <v>0</v>
      </c>
      <c r="X57" s="17">
        <f t="shared" ref="X57:AF57" si="23">W57</f>
        <v>0</v>
      </c>
      <c r="Y57" s="17">
        <f t="shared" si="23"/>
        <v>0</v>
      </c>
      <c r="Z57" s="17">
        <f t="shared" si="23"/>
        <v>0</v>
      </c>
      <c r="AA57" s="17">
        <f t="shared" si="23"/>
        <v>0</v>
      </c>
      <c r="AB57" s="17">
        <f t="shared" si="23"/>
        <v>0</v>
      </c>
      <c r="AC57" s="17">
        <f t="shared" si="23"/>
        <v>0</v>
      </c>
      <c r="AD57" s="17">
        <f t="shared" si="23"/>
        <v>0</v>
      </c>
      <c r="AE57" s="17">
        <f t="shared" si="23"/>
        <v>0</v>
      </c>
      <c r="AF57" s="17">
        <f t="shared" si="23"/>
        <v>0</v>
      </c>
    </row>
    <row r="58" spans="1:32" ht="16.5" customHeight="1">
      <c r="A58" s="17" t="s">
        <v>189</v>
      </c>
      <c r="B58" s="17">
        <f t="shared" ref="B58:W58" si="24">IFERROR(SUM(B13:K13)/B37,0)</f>
        <v>0</v>
      </c>
      <c r="C58" s="17">
        <f t="shared" si="24"/>
        <v>0</v>
      </c>
      <c r="D58" s="17">
        <f t="shared" si="24"/>
        <v>0</v>
      </c>
      <c r="E58" s="17">
        <f t="shared" si="24"/>
        <v>0</v>
      </c>
      <c r="F58" s="17">
        <f t="shared" si="24"/>
        <v>0</v>
      </c>
      <c r="G58" s="17">
        <f t="shared" si="24"/>
        <v>0</v>
      </c>
      <c r="H58" s="17">
        <f t="shared" si="24"/>
        <v>0</v>
      </c>
      <c r="I58" s="17">
        <f t="shared" si="24"/>
        <v>0</v>
      </c>
      <c r="J58" s="17">
        <f t="shared" si="24"/>
        <v>0</v>
      </c>
      <c r="K58" s="17">
        <f t="shared" si="24"/>
        <v>0</v>
      </c>
      <c r="L58" s="17">
        <f t="shared" si="24"/>
        <v>0</v>
      </c>
      <c r="M58" s="17">
        <f t="shared" si="24"/>
        <v>0</v>
      </c>
      <c r="N58" s="17">
        <f t="shared" si="24"/>
        <v>0</v>
      </c>
      <c r="O58" s="17">
        <f t="shared" si="24"/>
        <v>0</v>
      </c>
      <c r="P58" s="17">
        <f t="shared" si="24"/>
        <v>0</v>
      </c>
      <c r="Q58" s="17">
        <f t="shared" si="24"/>
        <v>0</v>
      </c>
      <c r="R58" s="17">
        <f t="shared" si="24"/>
        <v>0</v>
      </c>
      <c r="S58" s="17">
        <f t="shared" si="24"/>
        <v>0</v>
      </c>
      <c r="T58" s="17">
        <f t="shared" si="24"/>
        <v>0</v>
      </c>
      <c r="U58" s="17">
        <f t="shared" si="24"/>
        <v>0</v>
      </c>
      <c r="V58" s="17">
        <f t="shared" si="24"/>
        <v>0</v>
      </c>
      <c r="W58" s="17">
        <f t="shared" si="24"/>
        <v>0</v>
      </c>
      <c r="X58" s="17">
        <f t="shared" ref="X58:AF58" si="25">W58</f>
        <v>0</v>
      </c>
      <c r="Y58" s="17">
        <f t="shared" si="25"/>
        <v>0</v>
      </c>
      <c r="Z58" s="17">
        <f t="shared" si="25"/>
        <v>0</v>
      </c>
      <c r="AA58" s="17">
        <f t="shared" si="25"/>
        <v>0</v>
      </c>
      <c r="AB58" s="17">
        <f t="shared" si="25"/>
        <v>0</v>
      </c>
      <c r="AC58" s="17">
        <f t="shared" si="25"/>
        <v>0</v>
      </c>
      <c r="AD58" s="17">
        <f t="shared" si="25"/>
        <v>0</v>
      </c>
      <c r="AE58" s="17">
        <f t="shared" si="25"/>
        <v>0</v>
      </c>
      <c r="AF58" s="17">
        <f t="shared" si="25"/>
        <v>0</v>
      </c>
    </row>
    <row r="59" spans="1:32" ht="16.5" customHeight="1">
      <c r="A59" s="29" t="s">
        <v>190</v>
      </c>
      <c r="B59" s="17">
        <f t="shared" ref="B59:W59" si="26">IFERROR(SUM(B14:K14)/B38,0)</f>
        <v>2.6708688566508796E-2</v>
      </c>
      <c r="C59" s="17">
        <f t="shared" si="26"/>
        <v>2.6708688566508796E-2</v>
      </c>
      <c r="D59" s="17">
        <f t="shared" si="26"/>
        <v>2.6708688566508796E-2</v>
      </c>
      <c r="E59" s="17">
        <f t="shared" si="26"/>
        <v>2.6708688566508799E-2</v>
      </c>
      <c r="F59" s="17">
        <f t="shared" si="26"/>
        <v>2.6708688566508796E-2</v>
      </c>
      <c r="G59" s="17">
        <f t="shared" si="26"/>
        <v>2.6708688566508799E-2</v>
      </c>
      <c r="H59" s="17">
        <f t="shared" si="26"/>
        <v>2.6708688566508793E-2</v>
      </c>
      <c r="I59" s="17">
        <f t="shared" si="26"/>
        <v>2.6708688566508799E-2</v>
      </c>
      <c r="J59" s="17">
        <f t="shared" si="26"/>
        <v>2.6708688566508796E-2</v>
      </c>
      <c r="K59" s="17">
        <f t="shared" si="26"/>
        <v>2.6708688566508796E-2</v>
      </c>
      <c r="L59" s="17">
        <f t="shared" si="26"/>
        <v>2.6708688566508803E-2</v>
      </c>
      <c r="M59" s="17">
        <f t="shared" si="26"/>
        <v>2.6708688566508796E-2</v>
      </c>
      <c r="N59" s="17">
        <f t="shared" si="26"/>
        <v>2.6708688566508793E-2</v>
      </c>
      <c r="O59" s="17">
        <f t="shared" si="26"/>
        <v>2.6708688566508789E-2</v>
      </c>
      <c r="P59" s="17">
        <f t="shared" si="26"/>
        <v>2.6708688566508796E-2</v>
      </c>
      <c r="Q59" s="17">
        <f t="shared" si="26"/>
        <v>2.6708688566508796E-2</v>
      </c>
      <c r="R59" s="17">
        <f t="shared" si="26"/>
        <v>2.6708688566508799E-2</v>
      </c>
      <c r="S59" s="17">
        <f t="shared" si="26"/>
        <v>2.6708688566508799E-2</v>
      </c>
      <c r="T59" s="17">
        <f t="shared" si="26"/>
        <v>2.6708688566508796E-2</v>
      </c>
      <c r="U59" s="17">
        <f t="shared" si="26"/>
        <v>2.6708688566508793E-2</v>
      </c>
      <c r="V59" s="17">
        <f t="shared" si="26"/>
        <v>2.6708688566508789E-2</v>
      </c>
      <c r="W59" s="17">
        <f t="shared" si="26"/>
        <v>2.6708688566508793E-2</v>
      </c>
      <c r="X59" s="17">
        <f t="shared" ref="X59:AF59" si="27">W59</f>
        <v>2.6708688566508793E-2</v>
      </c>
      <c r="Y59" s="17">
        <f t="shared" si="27"/>
        <v>2.6708688566508793E-2</v>
      </c>
      <c r="Z59" s="17">
        <f t="shared" si="27"/>
        <v>2.6708688566508793E-2</v>
      </c>
      <c r="AA59" s="17">
        <f t="shared" si="27"/>
        <v>2.6708688566508793E-2</v>
      </c>
      <c r="AB59" s="17">
        <f t="shared" si="27"/>
        <v>2.6708688566508793E-2</v>
      </c>
      <c r="AC59" s="17">
        <f t="shared" si="27"/>
        <v>2.6708688566508793E-2</v>
      </c>
      <c r="AD59" s="17">
        <f t="shared" si="27"/>
        <v>2.6708688566508793E-2</v>
      </c>
      <c r="AE59" s="17">
        <f t="shared" si="27"/>
        <v>2.6708688566508793E-2</v>
      </c>
      <c r="AF59" s="17">
        <f t="shared" si="27"/>
        <v>2.6708688566508793E-2</v>
      </c>
    </row>
    <row r="60" spans="1:32" ht="16.5" customHeight="1">
      <c r="A60" s="17" t="s">
        <v>191</v>
      </c>
      <c r="B60" s="17">
        <f t="shared" ref="B60:W60" si="28">IFERROR(SUM(B15:K15)/B39,0)</f>
        <v>0</v>
      </c>
      <c r="C60" s="17">
        <f t="shared" si="28"/>
        <v>0</v>
      </c>
      <c r="D60" s="17">
        <f t="shared" si="28"/>
        <v>0</v>
      </c>
      <c r="E60" s="17">
        <f t="shared" si="28"/>
        <v>0</v>
      </c>
      <c r="F60" s="17">
        <f t="shared" si="28"/>
        <v>0</v>
      </c>
      <c r="G60" s="17">
        <f t="shared" si="28"/>
        <v>0</v>
      </c>
      <c r="H60" s="17">
        <f t="shared" si="28"/>
        <v>0</v>
      </c>
      <c r="I60" s="17">
        <f t="shared" si="28"/>
        <v>0</v>
      </c>
      <c r="J60" s="17">
        <f t="shared" si="28"/>
        <v>0</v>
      </c>
      <c r="K60" s="17">
        <f t="shared" si="28"/>
        <v>0</v>
      </c>
      <c r="L60" s="17">
        <f t="shared" si="28"/>
        <v>0</v>
      </c>
      <c r="M60" s="17">
        <f t="shared" si="28"/>
        <v>0</v>
      </c>
      <c r="N60" s="17">
        <f t="shared" si="28"/>
        <v>0</v>
      </c>
      <c r="O60" s="17">
        <f t="shared" si="28"/>
        <v>0</v>
      </c>
      <c r="P60" s="17">
        <f t="shared" si="28"/>
        <v>0</v>
      </c>
      <c r="Q60" s="17">
        <f t="shared" si="28"/>
        <v>0</v>
      </c>
      <c r="R60" s="17">
        <f t="shared" si="28"/>
        <v>0</v>
      </c>
      <c r="S60" s="17">
        <f t="shared" si="28"/>
        <v>0</v>
      </c>
      <c r="T60" s="17">
        <f t="shared" si="28"/>
        <v>0</v>
      </c>
      <c r="U60" s="17">
        <f t="shared" si="28"/>
        <v>0</v>
      </c>
      <c r="V60" s="17">
        <f t="shared" si="28"/>
        <v>0</v>
      </c>
      <c r="W60" s="17">
        <f t="shared" si="28"/>
        <v>0</v>
      </c>
      <c r="X60" s="17">
        <f t="shared" ref="X60:AF60" si="29">W60</f>
        <v>0</v>
      </c>
      <c r="Y60" s="17">
        <f t="shared" si="29"/>
        <v>0</v>
      </c>
      <c r="Z60" s="17">
        <f t="shared" si="29"/>
        <v>0</v>
      </c>
      <c r="AA60" s="17">
        <f t="shared" si="29"/>
        <v>0</v>
      </c>
      <c r="AB60" s="17">
        <f t="shared" si="29"/>
        <v>0</v>
      </c>
      <c r="AC60" s="17">
        <f t="shared" si="29"/>
        <v>0</v>
      </c>
      <c r="AD60" s="17">
        <f t="shared" si="29"/>
        <v>0</v>
      </c>
      <c r="AE60" s="17">
        <f t="shared" si="29"/>
        <v>0</v>
      </c>
      <c r="AF60" s="17">
        <f t="shared" si="29"/>
        <v>0</v>
      </c>
    </row>
    <row r="61" spans="1:32" ht="16.5" customHeight="1">
      <c r="A61" s="17" t="s">
        <v>192</v>
      </c>
      <c r="B61" s="17">
        <f t="shared" ref="B61:W61" si="30">IFERROR(SUM(B16:K16)/B40,0)</f>
        <v>0</v>
      </c>
      <c r="C61" s="17">
        <f t="shared" si="30"/>
        <v>0</v>
      </c>
      <c r="D61" s="17">
        <f t="shared" si="30"/>
        <v>0</v>
      </c>
      <c r="E61" s="17">
        <f t="shared" si="30"/>
        <v>0</v>
      </c>
      <c r="F61" s="17">
        <f t="shared" si="30"/>
        <v>0</v>
      </c>
      <c r="G61" s="17">
        <f t="shared" si="30"/>
        <v>0</v>
      </c>
      <c r="H61" s="17">
        <f t="shared" si="30"/>
        <v>0</v>
      </c>
      <c r="I61" s="17">
        <f t="shared" si="30"/>
        <v>0</v>
      </c>
      <c r="J61" s="17">
        <f t="shared" si="30"/>
        <v>0</v>
      </c>
      <c r="K61" s="17">
        <f t="shared" si="30"/>
        <v>0</v>
      </c>
      <c r="L61" s="17">
        <f t="shared" si="30"/>
        <v>0</v>
      </c>
      <c r="M61" s="17">
        <f t="shared" si="30"/>
        <v>0</v>
      </c>
      <c r="N61" s="17">
        <f t="shared" si="30"/>
        <v>0</v>
      </c>
      <c r="O61" s="17">
        <f t="shared" si="30"/>
        <v>0</v>
      </c>
      <c r="P61" s="17">
        <f t="shared" si="30"/>
        <v>0</v>
      </c>
      <c r="Q61" s="17">
        <f t="shared" si="30"/>
        <v>0</v>
      </c>
      <c r="R61" s="17">
        <f t="shared" si="30"/>
        <v>0</v>
      </c>
      <c r="S61" s="17">
        <f t="shared" si="30"/>
        <v>0</v>
      </c>
      <c r="T61" s="17">
        <f t="shared" si="30"/>
        <v>0</v>
      </c>
      <c r="U61" s="17">
        <f t="shared" si="30"/>
        <v>0</v>
      </c>
      <c r="V61" s="17">
        <f t="shared" si="30"/>
        <v>0</v>
      </c>
      <c r="W61" s="17">
        <f t="shared" si="30"/>
        <v>0</v>
      </c>
      <c r="X61" s="17">
        <f t="shared" ref="X61:AF61" si="31">W61</f>
        <v>0</v>
      </c>
      <c r="Y61" s="17">
        <f t="shared" si="31"/>
        <v>0</v>
      </c>
      <c r="Z61" s="17">
        <f t="shared" si="31"/>
        <v>0</v>
      </c>
      <c r="AA61" s="17">
        <f t="shared" si="31"/>
        <v>0</v>
      </c>
      <c r="AB61" s="17">
        <f t="shared" si="31"/>
        <v>0</v>
      </c>
      <c r="AC61" s="17">
        <f t="shared" si="31"/>
        <v>0</v>
      </c>
      <c r="AD61" s="17">
        <f t="shared" si="31"/>
        <v>0</v>
      </c>
      <c r="AE61" s="17">
        <f t="shared" si="31"/>
        <v>0</v>
      </c>
      <c r="AF61" s="17">
        <f t="shared" si="31"/>
        <v>0</v>
      </c>
    </row>
    <row r="62" spans="1:32" ht="16.5" customHeight="1">
      <c r="A62" s="17" t="s">
        <v>193</v>
      </c>
      <c r="B62" s="17">
        <f t="shared" ref="B62:W62" si="32">IFERROR(SUM(B17:K17)/B41,0)</f>
        <v>0</v>
      </c>
      <c r="C62" s="17">
        <f t="shared" si="32"/>
        <v>0</v>
      </c>
      <c r="D62" s="17">
        <f t="shared" si="32"/>
        <v>0</v>
      </c>
      <c r="E62" s="17">
        <f t="shared" si="32"/>
        <v>0</v>
      </c>
      <c r="F62" s="17">
        <f t="shared" si="32"/>
        <v>0</v>
      </c>
      <c r="G62" s="17">
        <f t="shared" si="32"/>
        <v>0</v>
      </c>
      <c r="H62" s="17">
        <f t="shared" si="32"/>
        <v>0</v>
      </c>
      <c r="I62" s="17">
        <f t="shared" si="32"/>
        <v>0</v>
      </c>
      <c r="J62" s="17">
        <f t="shared" si="32"/>
        <v>0</v>
      </c>
      <c r="K62" s="17">
        <f t="shared" si="32"/>
        <v>0</v>
      </c>
      <c r="L62" s="17">
        <f t="shared" si="32"/>
        <v>0</v>
      </c>
      <c r="M62" s="17">
        <f t="shared" si="32"/>
        <v>0</v>
      </c>
      <c r="N62" s="17">
        <f t="shared" si="32"/>
        <v>0</v>
      </c>
      <c r="O62" s="17">
        <f t="shared" si="32"/>
        <v>0</v>
      </c>
      <c r="P62" s="17">
        <f t="shared" si="32"/>
        <v>0</v>
      </c>
      <c r="Q62" s="17">
        <f t="shared" si="32"/>
        <v>0</v>
      </c>
      <c r="R62" s="17">
        <f t="shared" si="32"/>
        <v>0</v>
      </c>
      <c r="S62" s="17">
        <f t="shared" si="32"/>
        <v>0</v>
      </c>
      <c r="T62" s="17">
        <f t="shared" si="32"/>
        <v>0</v>
      </c>
      <c r="U62" s="17">
        <f t="shared" si="32"/>
        <v>0</v>
      </c>
      <c r="V62" s="17">
        <f t="shared" si="32"/>
        <v>0</v>
      </c>
      <c r="W62" s="17">
        <f t="shared" si="32"/>
        <v>0</v>
      </c>
      <c r="X62" s="17">
        <f t="shared" ref="X62:AF62" si="33">W62</f>
        <v>0</v>
      </c>
      <c r="Y62" s="17">
        <f t="shared" si="33"/>
        <v>0</v>
      </c>
      <c r="Z62" s="17">
        <f t="shared" si="33"/>
        <v>0</v>
      </c>
      <c r="AA62" s="17">
        <f t="shared" si="33"/>
        <v>0</v>
      </c>
      <c r="AB62" s="17">
        <f t="shared" si="33"/>
        <v>0</v>
      </c>
      <c r="AC62" s="17">
        <f t="shared" si="33"/>
        <v>0</v>
      </c>
      <c r="AD62" s="17">
        <f t="shared" si="33"/>
        <v>0</v>
      </c>
      <c r="AE62" s="17">
        <f t="shared" si="33"/>
        <v>0</v>
      </c>
      <c r="AF62" s="17">
        <f t="shared" si="33"/>
        <v>0</v>
      </c>
    </row>
    <row r="63" spans="1:32" ht="16.5" customHeight="1"/>
    <row r="64" spans="1:32" ht="16.5" customHeight="1"/>
    <row r="65" spans="2:2" ht="16.5" customHeight="1"/>
    <row r="66" spans="2:2" ht="16.5" customHeight="1">
      <c r="B66" s="17" t="s">
        <v>197</v>
      </c>
    </row>
    <row r="67" spans="2:2" ht="16.5" customHeight="1"/>
    <row r="68" spans="2:2" ht="16.5" customHeight="1"/>
    <row r="69" spans="2:2" ht="16.5" customHeight="1"/>
    <row r="70" spans="2:2" ht="16.5" customHeight="1"/>
    <row r="71" spans="2:2" ht="16.5" customHeight="1"/>
    <row r="72" spans="2:2" ht="16.5" customHeight="1"/>
    <row r="73" spans="2:2" ht="16.5" customHeight="1"/>
    <row r="74" spans="2:2" ht="16.5" customHeight="1"/>
    <row r="75" spans="2:2" ht="16.5" customHeight="1"/>
    <row r="76" spans="2:2" ht="16.5" customHeight="1"/>
    <row r="77" spans="2:2" ht="16.5" customHeight="1"/>
    <row r="78" spans="2:2" ht="16.5" customHeight="1"/>
    <row r="79" spans="2:2" ht="16.5" customHeight="1"/>
    <row r="80" spans="2:2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97D"/>
  </sheetPr>
  <dimension ref="A1:AH1000"/>
  <sheetViews>
    <sheetView workbookViewId="0"/>
  </sheetViews>
  <sheetFormatPr defaultColWidth="14.453125" defaultRowHeight="15" customHeight="1"/>
  <cols>
    <col min="1" max="1" width="26.54296875" customWidth="1"/>
    <col min="2" max="34" width="9.1796875" customWidth="1"/>
  </cols>
  <sheetData>
    <row r="1" spans="1:34" ht="16.5" customHeight="1">
      <c r="A1" s="17" t="s">
        <v>177</v>
      </c>
      <c r="B1" s="17">
        <v>2020</v>
      </c>
      <c r="C1" s="17">
        <v>2021</v>
      </c>
      <c r="D1" s="17">
        <v>2022</v>
      </c>
      <c r="E1" s="17">
        <v>2023</v>
      </c>
      <c r="F1" s="17">
        <v>2024</v>
      </c>
      <c r="G1" s="17">
        <v>2025</v>
      </c>
      <c r="H1" s="17">
        <v>2026</v>
      </c>
      <c r="I1" s="17">
        <v>2027</v>
      </c>
      <c r="J1" s="17">
        <v>2028</v>
      </c>
      <c r="K1" s="17">
        <v>2029</v>
      </c>
      <c r="L1" s="17">
        <v>2030</v>
      </c>
      <c r="M1" s="17">
        <v>2031</v>
      </c>
      <c r="N1" s="17">
        <v>2032</v>
      </c>
      <c r="O1" s="17">
        <v>2033</v>
      </c>
      <c r="P1" s="17">
        <v>2034</v>
      </c>
      <c r="Q1" s="17">
        <v>2035</v>
      </c>
      <c r="R1" s="17">
        <v>2036</v>
      </c>
      <c r="S1" s="17">
        <v>2037</v>
      </c>
      <c r="T1" s="17">
        <v>2038</v>
      </c>
      <c r="U1" s="17">
        <v>2039</v>
      </c>
      <c r="V1" s="17">
        <v>2040</v>
      </c>
      <c r="W1" s="17">
        <v>2041</v>
      </c>
      <c r="X1" s="17">
        <v>2042</v>
      </c>
      <c r="Y1" s="17">
        <v>2043</v>
      </c>
      <c r="Z1" s="17">
        <v>2044</v>
      </c>
      <c r="AA1" s="17">
        <v>2045</v>
      </c>
      <c r="AB1" s="17">
        <v>2046</v>
      </c>
      <c r="AC1" s="17">
        <v>2047</v>
      </c>
      <c r="AD1" s="17">
        <v>2048</v>
      </c>
      <c r="AE1" s="17">
        <v>2049</v>
      </c>
      <c r="AF1" s="17">
        <v>2050</v>
      </c>
    </row>
    <row r="2" spans="1:34" ht="16.5" customHeight="1">
      <c r="A2" s="30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</row>
    <row r="3" spans="1:34" ht="16.5" customHeight="1">
      <c r="A3" s="30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39"/>
      <c r="AH3" s="39"/>
    </row>
    <row r="4" spans="1:34" ht="16.5" customHeight="1">
      <c r="A4" s="30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39"/>
      <c r="AH4" s="39"/>
    </row>
    <row r="5" spans="1:34" ht="16.5" customHeight="1">
      <c r="A5" s="30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</row>
    <row r="6" spans="1:34" ht="16.5" customHeight="1">
      <c r="A6" s="30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</row>
    <row r="7" spans="1:34" ht="16.5" customHeight="1">
      <c r="A7" s="30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</row>
    <row r="8" spans="1:34" ht="16.5" customHeight="1">
      <c r="A8" s="30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4" ht="16.5" customHeight="1">
      <c r="A9" s="30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4" ht="16.5" customHeight="1">
      <c r="A10" s="30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39"/>
      <c r="AH10" s="39"/>
    </row>
    <row r="11" spans="1:34" ht="16.5" customHeight="1">
      <c r="A11" s="30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39"/>
      <c r="AH11" s="39"/>
    </row>
    <row r="12" spans="1:34" ht="16.5" customHeight="1">
      <c r="A12" s="30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</row>
    <row r="13" spans="1:34" ht="16.5" customHeight="1">
      <c r="A13" s="30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</row>
    <row r="14" spans="1:34" ht="16.5" customHeight="1">
      <c r="A14" s="30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39"/>
      <c r="AH14" s="39"/>
    </row>
    <row r="15" spans="1:34" ht="16.5" customHeight="1">
      <c r="A15" s="30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</row>
    <row r="16" spans="1:34" ht="16.5" customHeight="1">
      <c r="A16" s="30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</row>
    <row r="17" spans="1:34" ht="16.5" customHeight="1">
      <c r="A17" s="30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39"/>
      <c r="AH17" s="39"/>
    </row>
    <row r="18" spans="1:34" ht="16.5" customHeight="1">
      <c r="A18" s="30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39"/>
      <c r="AH18" s="39"/>
    </row>
    <row r="19" spans="1:34" ht="16.5" customHeight="1">
      <c r="A19" s="30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39"/>
      <c r="AH19" s="39"/>
    </row>
    <row r="20" spans="1:34" ht="16.5" customHeight="1">
      <c r="A20" s="30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</row>
    <row r="21" spans="1:34" ht="16.5" customHeight="1">
      <c r="A21" s="30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</row>
    <row r="22" spans="1:34" ht="16.5" customHeight="1">
      <c r="A22" s="30" t="s">
        <v>215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</row>
    <row r="23" spans="1:34" ht="16.5" customHeight="1">
      <c r="A23" s="30"/>
    </row>
    <row r="24" spans="1:34" ht="16.5" customHeight="1"/>
    <row r="25" spans="1:34" ht="16.5" customHeight="1"/>
    <row r="26" spans="1:34" ht="16.5" customHeight="1"/>
    <row r="27" spans="1:34" ht="16.5" customHeight="1"/>
    <row r="28" spans="1:34" ht="16.5" customHeight="1"/>
    <row r="29" spans="1:34" ht="16.5" customHeight="1"/>
    <row r="30" spans="1:34" ht="16.5" customHeight="1"/>
    <row r="31" spans="1:34" ht="16.5" customHeight="1"/>
    <row r="32" spans="1:3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97D"/>
  </sheetPr>
  <dimension ref="A1:AG1000"/>
  <sheetViews>
    <sheetView workbookViewId="0">
      <selection activeCell="J19" sqref="J19"/>
    </sheetView>
  </sheetViews>
  <sheetFormatPr defaultColWidth="14.453125" defaultRowHeight="15" customHeight="1"/>
  <cols>
    <col min="1" max="1" width="13.453125" customWidth="1"/>
    <col min="2" max="31" width="5.26953125" customWidth="1"/>
    <col min="32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216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217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97D"/>
  </sheetPr>
  <dimension ref="A1:AG1000"/>
  <sheetViews>
    <sheetView workbookViewId="0"/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97D"/>
  </sheetPr>
  <dimension ref="A1:AG1000"/>
  <sheetViews>
    <sheetView workbookViewId="0"/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97D"/>
  </sheetPr>
  <dimension ref="A1:AG1000"/>
  <sheetViews>
    <sheetView workbookViewId="0">
      <selection activeCell="M20" sqref="M20"/>
    </sheetView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97D"/>
  </sheetPr>
  <dimension ref="A1:AG1000"/>
  <sheetViews>
    <sheetView workbookViewId="0"/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97D"/>
  </sheetPr>
  <dimension ref="A1:AG1000"/>
  <sheetViews>
    <sheetView workbookViewId="0"/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497D"/>
  </sheetPr>
  <dimension ref="A1:AG1000"/>
  <sheetViews>
    <sheetView workbookViewId="0"/>
  </sheetViews>
  <sheetFormatPr defaultColWidth="14.453125" defaultRowHeight="15" customHeight="1"/>
  <cols>
    <col min="1" max="1" width="26.453125" customWidth="1"/>
    <col min="2" max="2" width="11.7265625" customWidth="1"/>
    <col min="3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198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</row>
    <row r="3" spans="1:33" ht="16.5" customHeight="1">
      <c r="A3" s="17" t="s">
        <v>199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39"/>
      <c r="AG3" s="39"/>
    </row>
    <row r="4" spans="1:33" ht="16.5" customHeight="1">
      <c r="A4" s="17" t="s">
        <v>200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39"/>
      <c r="AG4" s="39"/>
    </row>
    <row r="5" spans="1:33" ht="16.5" customHeight="1">
      <c r="A5" s="17" t="s">
        <v>123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3" ht="16.5" customHeight="1">
      <c r="A6" s="17" t="s">
        <v>122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</row>
    <row r="7" spans="1:33" ht="16.5" customHeight="1">
      <c r="A7" s="17" t="s">
        <v>201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3" ht="16.5" customHeight="1">
      <c r="A8" s="17" t="s">
        <v>202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</row>
    <row r="9" spans="1:33" ht="16.5" customHeight="1">
      <c r="A9" s="17" t="s">
        <v>203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</row>
    <row r="10" spans="1:33" ht="16.5" customHeight="1">
      <c r="A10" s="17" t="s">
        <v>204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39"/>
      <c r="AG10" s="39"/>
    </row>
    <row r="11" spans="1:33" ht="16.5" customHeight="1">
      <c r="A11" s="17" t="s">
        <v>205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39"/>
      <c r="AG11" s="39"/>
    </row>
    <row r="12" spans="1:33" ht="16.5" customHeight="1">
      <c r="A12" s="17" t="s">
        <v>206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</row>
    <row r="13" spans="1:33" ht="16.5" customHeight="1">
      <c r="A13" s="17" t="s">
        <v>207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</row>
    <row r="14" spans="1:33" ht="16.5" customHeight="1">
      <c r="A14" s="17" t="s">
        <v>208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39"/>
      <c r="AG14" s="39"/>
    </row>
    <row r="15" spans="1:33" ht="16.5" customHeight="1">
      <c r="A15" s="17" t="s">
        <v>209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</row>
    <row r="16" spans="1:33" ht="16.5" customHeight="1">
      <c r="A16" s="17" t="s">
        <v>128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3" ht="16.5" customHeight="1">
      <c r="A17" s="17" t="s">
        <v>210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39"/>
      <c r="AG17" s="39"/>
    </row>
    <row r="18" spans="1:33" ht="16.5" customHeight="1">
      <c r="A18" s="17" t="s">
        <v>211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39"/>
      <c r="AG18" s="39"/>
    </row>
    <row r="19" spans="1:33" ht="16.5" customHeight="1">
      <c r="A19" s="17" t="s">
        <v>212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39"/>
      <c r="AG19" s="39"/>
    </row>
    <row r="20" spans="1:33" ht="16.5" customHeight="1">
      <c r="A20" s="17" t="s">
        <v>213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3" ht="16.5" customHeight="1">
      <c r="A21" s="17" t="s">
        <v>214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3" ht="16.5" customHeight="1">
      <c r="A22" s="40" t="s">
        <v>218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3" ht="16.5" customHeight="1"/>
    <row r="24" spans="1:33" ht="16.5" customHeight="1"/>
    <row r="25" spans="1:33" ht="16.5" customHeight="1"/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E009-20FC-43CD-80A3-551F1CD9640D}">
  <sheetPr>
    <tabColor rgb="FF1F497D"/>
  </sheetPr>
  <dimension ref="A1:AG1000"/>
  <sheetViews>
    <sheetView workbookViewId="0">
      <selection activeCell="E36" sqref="E36"/>
    </sheetView>
  </sheetViews>
  <sheetFormatPr defaultColWidth="14.453125" defaultRowHeight="15" customHeight="1"/>
  <cols>
    <col min="1" max="1" width="32.453125" customWidth="1"/>
    <col min="2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219</v>
      </c>
      <c r="B2" s="95">
        <v>0</v>
      </c>
      <c r="C2" s="95">
        <v>0</v>
      </c>
      <c r="D2" s="95">
        <v>0</v>
      </c>
      <c r="E2" s="95">
        <v>0</v>
      </c>
      <c r="F2" s="95">
        <v>0</v>
      </c>
      <c r="G2" s="95">
        <v>0</v>
      </c>
      <c r="H2" s="95">
        <v>0</v>
      </c>
      <c r="I2" s="95">
        <v>0</v>
      </c>
      <c r="J2" s="95">
        <v>0</v>
      </c>
      <c r="K2" s="95">
        <v>0</v>
      </c>
      <c r="L2" s="95">
        <v>0</v>
      </c>
      <c r="M2" s="95">
        <v>0</v>
      </c>
      <c r="N2" s="95">
        <v>0</v>
      </c>
      <c r="O2" s="95">
        <v>0</v>
      </c>
      <c r="P2" s="95">
        <v>0</v>
      </c>
      <c r="Q2" s="95">
        <v>0</v>
      </c>
      <c r="R2" s="95">
        <v>0</v>
      </c>
      <c r="S2" s="95">
        <v>0</v>
      </c>
      <c r="T2" s="95">
        <v>0</v>
      </c>
      <c r="U2" s="95">
        <v>0</v>
      </c>
      <c r="V2" s="95">
        <v>0</v>
      </c>
      <c r="W2" s="95">
        <v>0</v>
      </c>
      <c r="X2" s="95">
        <v>0</v>
      </c>
      <c r="Y2" s="95">
        <v>0</v>
      </c>
      <c r="Z2" s="95">
        <v>0</v>
      </c>
      <c r="AA2" s="95">
        <v>0</v>
      </c>
      <c r="AB2" s="95">
        <v>0</v>
      </c>
      <c r="AC2" s="95">
        <v>0</v>
      </c>
      <c r="AD2" s="95">
        <v>0</v>
      </c>
      <c r="AE2" s="95">
        <v>0</v>
      </c>
      <c r="AF2" s="41"/>
      <c r="AG2" s="41"/>
    </row>
    <row r="3" spans="1:33" ht="16.5" customHeight="1">
      <c r="A3" s="17" t="s">
        <v>220</v>
      </c>
      <c r="B3" s="95">
        <v>0</v>
      </c>
      <c r="C3" s="95">
        <v>0</v>
      </c>
      <c r="D3" s="95">
        <v>0</v>
      </c>
      <c r="E3" s="95">
        <v>0</v>
      </c>
      <c r="F3" s="95">
        <v>0</v>
      </c>
      <c r="G3" s="95">
        <v>0</v>
      </c>
      <c r="H3" s="95">
        <v>0</v>
      </c>
      <c r="I3" s="95">
        <v>0</v>
      </c>
      <c r="J3" s="95">
        <v>0</v>
      </c>
      <c r="K3" s="95">
        <v>0</v>
      </c>
      <c r="L3" s="95">
        <v>0</v>
      </c>
      <c r="M3" s="95">
        <v>0</v>
      </c>
      <c r="N3" s="95">
        <v>0</v>
      </c>
      <c r="O3" s="95">
        <v>0</v>
      </c>
      <c r="P3" s="95">
        <v>0</v>
      </c>
      <c r="Q3" s="95">
        <v>0</v>
      </c>
      <c r="R3" s="95">
        <v>0</v>
      </c>
      <c r="S3" s="95">
        <v>0</v>
      </c>
      <c r="T3" s="95">
        <v>0</v>
      </c>
      <c r="U3" s="95">
        <v>0</v>
      </c>
      <c r="V3" s="95">
        <v>0</v>
      </c>
      <c r="W3" s="95">
        <v>0</v>
      </c>
      <c r="X3" s="95">
        <v>0</v>
      </c>
      <c r="Y3" s="95">
        <v>0</v>
      </c>
      <c r="Z3" s="95">
        <v>0</v>
      </c>
      <c r="AA3" s="95">
        <v>0</v>
      </c>
      <c r="AB3" s="95">
        <v>0</v>
      </c>
      <c r="AC3" s="95">
        <v>0</v>
      </c>
      <c r="AD3" s="95">
        <v>0</v>
      </c>
      <c r="AE3" s="95">
        <v>0</v>
      </c>
    </row>
    <row r="4" spans="1:33" ht="16.5" customHeight="1">
      <c r="A4" s="17" t="s">
        <v>221</v>
      </c>
      <c r="B4" s="95">
        <v>0</v>
      </c>
      <c r="C4" s="95">
        <v>0</v>
      </c>
      <c r="D4" s="95">
        <v>0</v>
      </c>
      <c r="E4" s="95">
        <v>0</v>
      </c>
      <c r="F4" s="95">
        <v>0</v>
      </c>
      <c r="G4" s="95">
        <v>0</v>
      </c>
      <c r="H4" s="95">
        <v>0</v>
      </c>
      <c r="I4" s="95">
        <v>0</v>
      </c>
      <c r="J4" s="95">
        <v>0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5">
        <v>0</v>
      </c>
      <c r="U4" s="95">
        <v>0</v>
      </c>
      <c r="V4" s="95">
        <v>0</v>
      </c>
      <c r="W4" s="95">
        <v>0</v>
      </c>
      <c r="X4" s="95">
        <v>0</v>
      </c>
      <c r="Y4" s="95">
        <v>0</v>
      </c>
      <c r="Z4" s="95">
        <v>0</v>
      </c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41"/>
      <c r="AG4" s="41"/>
    </row>
    <row r="5" spans="1:33" ht="16.5" customHeight="1">
      <c r="A5" s="17" t="s">
        <v>123</v>
      </c>
      <c r="B5" s="95">
        <v>0</v>
      </c>
      <c r="C5" s="95">
        <v>0</v>
      </c>
      <c r="D5" s="95">
        <v>0</v>
      </c>
      <c r="E5" s="95">
        <v>0</v>
      </c>
      <c r="F5" s="95">
        <v>0</v>
      </c>
      <c r="G5" s="95">
        <v>0</v>
      </c>
      <c r="H5" s="95">
        <v>0</v>
      </c>
      <c r="I5" s="95">
        <v>0</v>
      </c>
      <c r="J5" s="95">
        <v>0</v>
      </c>
      <c r="K5" s="95">
        <v>0</v>
      </c>
      <c r="L5" s="95">
        <v>0</v>
      </c>
      <c r="M5" s="95">
        <v>0</v>
      </c>
      <c r="N5" s="95">
        <v>0</v>
      </c>
      <c r="O5" s="95">
        <v>0</v>
      </c>
      <c r="P5" s="95">
        <v>0</v>
      </c>
      <c r="Q5" s="95">
        <v>0</v>
      </c>
      <c r="R5" s="95">
        <v>0</v>
      </c>
      <c r="S5" s="95">
        <v>0</v>
      </c>
      <c r="T5" s="95">
        <v>0</v>
      </c>
      <c r="U5" s="95">
        <v>0</v>
      </c>
      <c r="V5" s="95">
        <v>0</v>
      </c>
      <c r="W5" s="95">
        <v>0</v>
      </c>
      <c r="X5" s="95">
        <v>0</v>
      </c>
      <c r="Y5" s="95">
        <v>0</v>
      </c>
      <c r="Z5" s="95">
        <v>0</v>
      </c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41"/>
      <c r="AG5" s="41"/>
    </row>
    <row r="6" spans="1:33" ht="16.5" customHeight="1">
      <c r="A6" s="17" t="s">
        <v>122</v>
      </c>
      <c r="B6" s="95">
        <v>0</v>
      </c>
      <c r="C6" s="95">
        <v>0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95">
        <v>0</v>
      </c>
      <c r="Q6" s="95">
        <v>0</v>
      </c>
      <c r="R6" s="95">
        <v>0</v>
      </c>
      <c r="S6" s="95">
        <v>0</v>
      </c>
      <c r="T6" s="95">
        <v>0</v>
      </c>
      <c r="U6" s="95">
        <v>0</v>
      </c>
      <c r="V6" s="95">
        <v>0</v>
      </c>
      <c r="W6" s="95">
        <v>0</v>
      </c>
      <c r="X6" s="95">
        <v>0</v>
      </c>
      <c r="Y6" s="95">
        <v>0</v>
      </c>
      <c r="Z6" s="95">
        <v>0</v>
      </c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41"/>
      <c r="AG6" s="41"/>
    </row>
    <row r="7" spans="1:33" ht="16.5" customHeight="1">
      <c r="A7" s="17" t="s">
        <v>127</v>
      </c>
      <c r="B7" s="95">
        <v>0</v>
      </c>
      <c r="C7" s="95">
        <v>0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5">
        <v>0</v>
      </c>
      <c r="J7" s="95">
        <v>0</v>
      </c>
      <c r="K7" s="95">
        <v>0</v>
      </c>
      <c r="L7" s="95">
        <v>0</v>
      </c>
      <c r="M7" s="95">
        <v>0</v>
      </c>
      <c r="N7" s="95">
        <v>0</v>
      </c>
      <c r="O7" s="95">
        <v>0</v>
      </c>
      <c r="P7" s="95">
        <v>0</v>
      </c>
      <c r="Q7" s="95">
        <v>0</v>
      </c>
      <c r="R7" s="95">
        <v>0</v>
      </c>
      <c r="S7" s="95">
        <v>0</v>
      </c>
      <c r="T7" s="95">
        <v>0</v>
      </c>
      <c r="U7" s="95">
        <v>0</v>
      </c>
      <c r="V7" s="95">
        <v>0</v>
      </c>
      <c r="W7" s="95">
        <v>0</v>
      </c>
      <c r="X7" s="95">
        <v>0</v>
      </c>
      <c r="Y7" s="95">
        <v>0</v>
      </c>
      <c r="Z7" s="95">
        <v>0</v>
      </c>
      <c r="AA7" s="95">
        <v>0</v>
      </c>
      <c r="AB7" s="95">
        <v>0</v>
      </c>
      <c r="AC7" s="95">
        <v>0</v>
      </c>
      <c r="AD7" s="95">
        <v>0</v>
      </c>
      <c r="AE7" s="95">
        <v>0</v>
      </c>
    </row>
    <row r="8" spans="1:33" ht="16.5" customHeight="1">
      <c r="A8" s="17" t="s">
        <v>222</v>
      </c>
      <c r="B8" s="95">
        <v>0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</v>
      </c>
      <c r="W8" s="95">
        <v>0</v>
      </c>
      <c r="X8" s="95">
        <v>0</v>
      </c>
      <c r="Y8" s="95">
        <v>0</v>
      </c>
      <c r="Z8" s="95">
        <v>0</v>
      </c>
      <c r="AA8" s="95">
        <v>0</v>
      </c>
      <c r="AB8" s="95">
        <v>0</v>
      </c>
      <c r="AC8" s="95">
        <v>0</v>
      </c>
      <c r="AD8" s="95">
        <v>0</v>
      </c>
      <c r="AE8" s="95">
        <v>0</v>
      </c>
    </row>
    <row r="9" spans="1:33" ht="16.5" customHeight="1">
      <c r="A9" s="17" t="s">
        <v>223</v>
      </c>
      <c r="B9" s="95">
        <v>0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95">
        <v>0</v>
      </c>
      <c r="Q9" s="95">
        <v>0</v>
      </c>
      <c r="R9" s="95">
        <v>0</v>
      </c>
      <c r="S9" s="95">
        <v>0</v>
      </c>
      <c r="T9" s="95">
        <v>0</v>
      </c>
      <c r="U9" s="95">
        <v>0</v>
      </c>
      <c r="V9" s="95">
        <v>0</v>
      </c>
      <c r="W9" s="95">
        <v>0</v>
      </c>
      <c r="X9" s="95">
        <v>0</v>
      </c>
      <c r="Y9" s="95">
        <v>0</v>
      </c>
      <c r="Z9" s="95">
        <v>0</v>
      </c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41"/>
      <c r="AG9" s="41"/>
    </row>
    <row r="10" spans="1:33" ht="16.5" customHeight="1">
      <c r="A10" s="17" t="s">
        <v>116</v>
      </c>
      <c r="B10" s="95">
        <v>0</v>
      </c>
      <c r="C10" s="95">
        <v>0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95">
        <v>0</v>
      </c>
      <c r="T10" s="95">
        <v>0</v>
      </c>
      <c r="U10" s="95">
        <v>0</v>
      </c>
      <c r="V10" s="95">
        <v>0</v>
      </c>
      <c r="W10" s="95">
        <v>0</v>
      </c>
      <c r="X10" s="95">
        <v>0</v>
      </c>
      <c r="Y10" s="95">
        <v>0</v>
      </c>
      <c r="Z10" s="95">
        <v>0</v>
      </c>
      <c r="AA10" s="95">
        <v>0</v>
      </c>
      <c r="AB10" s="95">
        <v>0</v>
      </c>
      <c r="AC10" s="95">
        <v>0</v>
      </c>
      <c r="AD10" s="95">
        <v>0</v>
      </c>
      <c r="AE10" s="95">
        <v>0</v>
      </c>
    </row>
    <row r="11" spans="1:33" ht="16.5" customHeight="1">
      <c r="A11" s="17" t="s">
        <v>128</v>
      </c>
      <c r="B11" s="95">
        <v>0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95">
        <v>0</v>
      </c>
      <c r="I11" s="95">
        <v>0</v>
      </c>
      <c r="J11" s="95">
        <v>0</v>
      </c>
      <c r="K11" s="95">
        <v>0</v>
      </c>
      <c r="L11" s="95">
        <v>0</v>
      </c>
      <c r="M11" s="95">
        <v>0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0</v>
      </c>
      <c r="T11" s="95">
        <v>0</v>
      </c>
      <c r="U11" s="95">
        <v>0</v>
      </c>
      <c r="V11" s="95">
        <v>0</v>
      </c>
      <c r="W11" s="95">
        <v>0</v>
      </c>
      <c r="X11" s="95">
        <v>0</v>
      </c>
      <c r="Y11" s="95">
        <v>0</v>
      </c>
      <c r="Z11" s="95">
        <v>0</v>
      </c>
      <c r="AA11" s="95">
        <v>0</v>
      </c>
      <c r="AB11" s="95">
        <v>0</v>
      </c>
      <c r="AC11" s="95">
        <v>0</v>
      </c>
      <c r="AD11" s="95">
        <v>0</v>
      </c>
      <c r="AE11" s="95">
        <v>0</v>
      </c>
    </row>
    <row r="12" spans="1:33" ht="16.5" customHeight="1">
      <c r="A12" s="17" t="s">
        <v>224</v>
      </c>
      <c r="B12" s="95">
        <v>0</v>
      </c>
      <c r="C12" s="95">
        <v>0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95">
        <v>0</v>
      </c>
      <c r="Q12" s="95">
        <v>0</v>
      </c>
      <c r="R12" s="95">
        <v>0</v>
      </c>
      <c r="S12" s="95">
        <v>0</v>
      </c>
      <c r="T12" s="95">
        <v>0</v>
      </c>
      <c r="U12" s="95">
        <v>0</v>
      </c>
      <c r="V12" s="95">
        <v>0</v>
      </c>
      <c r="W12" s="95">
        <v>0</v>
      </c>
      <c r="X12" s="95">
        <v>0</v>
      </c>
      <c r="Y12" s="95">
        <v>0</v>
      </c>
      <c r="Z12" s="95">
        <v>0</v>
      </c>
      <c r="AA12" s="95">
        <v>0</v>
      </c>
      <c r="AB12" s="95">
        <v>0</v>
      </c>
      <c r="AC12" s="95">
        <v>0</v>
      </c>
      <c r="AD12" s="95">
        <v>0</v>
      </c>
      <c r="AE12" s="95">
        <v>0</v>
      </c>
    </row>
    <row r="13" spans="1:33" ht="16.5" customHeight="1">
      <c r="A13" s="17" t="s">
        <v>225</v>
      </c>
      <c r="B13" s="95">
        <v>0</v>
      </c>
      <c r="C13" s="95">
        <v>0</v>
      </c>
      <c r="D13" s="95">
        <v>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0</v>
      </c>
      <c r="K13" s="95">
        <v>0</v>
      </c>
      <c r="L13" s="95">
        <v>0</v>
      </c>
      <c r="M13" s="95">
        <v>0</v>
      </c>
      <c r="N13" s="95">
        <v>0</v>
      </c>
      <c r="O13" s="95">
        <v>0</v>
      </c>
      <c r="P13" s="95">
        <v>0</v>
      </c>
      <c r="Q13" s="95">
        <v>0</v>
      </c>
      <c r="R13" s="95">
        <v>0</v>
      </c>
      <c r="S13" s="95">
        <v>0</v>
      </c>
      <c r="T13" s="95">
        <v>0</v>
      </c>
      <c r="U13" s="95">
        <v>0</v>
      </c>
      <c r="V13" s="95">
        <v>0</v>
      </c>
      <c r="W13" s="95">
        <v>0</v>
      </c>
      <c r="X13" s="95">
        <v>0</v>
      </c>
      <c r="Y13" s="95">
        <v>0</v>
      </c>
      <c r="Z13" s="95">
        <v>0</v>
      </c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41"/>
      <c r="AG13" s="41"/>
    </row>
    <row r="14" spans="1:33" ht="16.5" customHeight="1">
      <c r="A14" s="17" t="s">
        <v>226</v>
      </c>
      <c r="B14" s="95">
        <f>B2*'Subsidies Paid'!$G$13</f>
        <v>0</v>
      </c>
      <c r="C14" s="95">
        <f t="shared" ref="C14:AE14" si="0">B14</f>
        <v>0</v>
      </c>
      <c r="D14" s="95">
        <f t="shared" si="0"/>
        <v>0</v>
      </c>
      <c r="E14" s="95">
        <f t="shared" si="0"/>
        <v>0</v>
      </c>
      <c r="F14" s="95">
        <f t="shared" si="0"/>
        <v>0</v>
      </c>
      <c r="G14" s="95">
        <f t="shared" si="0"/>
        <v>0</v>
      </c>
      <c r="H14" s="95">
        <f t="shared" si="0"/>
        <v>0</v>
      </c>
      <c r="I14" s="95">
        <f t="shared" si="0"/>
        <v>0</v>
      </c>
      <c r="J14" s="95">
        <f t="shared" si="0"/>
        <v>0</v>
      </c>
      <c r="K14" s="95">
        <f t="shared" si="0"/>
        <v>0</v>
      </c>
      <c r="L14" s="95">
        <f t="shared" si="0"/>
        <v>0</v>
      </c>
      <c r="M14" s="95">
        <f t="shared" si="0"/>
        <v>0</v>
      </c>
      <c r="N14" s="95">
        <f t="shared" si="0"/>
        <v>0</v>
      </c>
      <c r="O14" s="95">
        <f t="shared" si="0"/>
        <v>0</v>
      </c>
      <c r="P14" s="95">
        <f t="shared" si="0"/>
        <v>0</v>
      </c>
      <c r="Q14" s="95">
        <f t="shared" si="0"/>
        <v>0</v>
      </c>
      <c r="R14" s="95">
        <f t="shared" si="0"/>
        <v>0</v>
      </c>
      <c r="S14" s="95">
        <f t="shared" si="0"/>
        <v>0</v>
      </c>
      <c r="T14" s="95">
        <f t="shared" si="0"/>
        <v>0</v>
      </c>
      <c r="U14" s="95">
        <f t="shared" si="0"/>
        <v>0</v>
      </c>
      <c r="V14" s="95">
        <f t="shared" si="0"/>
        <v>0</v>
      </c>
      <c r="W14" s="95">
        <f t="shared" si="0"/>
        <v>0</v>
      </c>
      <c r="X14" s="95">
        <f t="shared" si="0"/>
        <v>0</v>
      </c>
      <c r="Y14" s="95">
        <f t="shared" si="0"/>
        <v>0</v>
      </c>
      <c r="Z14" s="95">
        <f t="shared" si="0"/>
        <v>0</v>
      </c>
      <c r="AA14" s="95">
        <f t="shared" si="0"/>
        <v>0</v>
      </c>
      <c r="AB14" s="95">
        <f t="shared" si="0"/>
        <v>0</v>
      </c>
      <c r="AC14" s="95">
        <f t="shared" si="0"/>
        <v>0</v>
      </c>
      <c r="AD14" s="95">
        <f t="shared" si="0"/>
        <v>0</v>
      </c>
      <c r="AE14" s="95">
        <f t="shared" si="0"/>
        <v>0</v>
      </c>
      <c r="AF14" s="41"/>
      <c r="AG14" s="41"/>
    </row>
    <row r="15" spans="1:33" ht="16.5" customHeight="1">
      <c r="A15" s="17" t="s">
        <v>126</v>
      </c>
      <c r="B15" s="95">
        <v>0</v>
      </c>
      <c r="C15" s="95">
        <v>0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5">
        <v>0</v>
      </c>
      <c r="S15" s="95">
        <v>0</v>
      </c>
      <c r="T15" s="95">
        <v>0</v>
      </c>
      <c r="U15" s="95">
        <v>0</v>
      </c>
      <c r="V15" s="95">
        <v>0</v>
      </c>
      <c r="W15" s="95">
        <v>0</v>
      </c>
      <c r="X15" s="95">
        <v>0</v>
      </c>
      <c r="Y15" s="95">
        <v>0</v>
      </c>
      <c r="Z15" s="95">
        <v>0</v>
      </c>
      <c r="AA15" s="95">
        <v>0</v>
      </c>
      <c r="AB15" s="95">
        <v>0</v>
      </c>
      <c r="AC15" s="95">
        <v>0</v>
      </c>
      <c r="AD15" s="95">
        <v>0</v>
      </c>
      <c r="AE15" s="95">
        <v>0</v>
      </c>
    </row>
    <row r="16" spans="1:33" ht="16.5" customHeight="1">
      <c r="A16" s="17" t="s">
        <v>211</v>
      </c>
      <c r="B16" s="95">
        <f t="shared" ref="B16:AE16" si="1">B12</f>
        <v>0</v>
      </c>
      <c r="C16" s="95">
        <f t="shared" si="1"/>
        <v>0</v>
      </c>
      <c r="D16" s="95">
        <f t="shared" si="1"/>
        <v>0</v>
      </c>
      <c r="E16" s="95">
        <f t="shared" si="1"/>
        <v>0</v>
      </c>
      <c r="F16" s="95">
        <f t="shared" si="1"/>
        <v>0</v>
      </c>
      <c r="G16" s="95">
        <f t="shared" si="1"/>
        <v>0</v>
      </c>
      <c r="H16" s="95">
        <f t="shared" si="1"/>
        <v>0</v>
      </c>
      <c r="I16" s="95">
        <f t="shared" si="1"/>
        <v>0</v>
      </c>
      <c r="J16" s="95">
        <f t="shared" si="1"/>
        <v>0</v>
      </c>
      <c r="K16" s="95">
        <f t="shared" si="1"/>
        <v>0</v>
      </c>
      <c r="L16" s="95">
        <f t="shared" si="1"/>
        <v>0</v>
      </c>
      <c r="M16" s="95">
        <f t="shared" si="1"/>
        <v>0</v>
      </c>
      <c r="N16" s="95">
        <f t="shared" si="1"/>
        <v>0</v>
      </c>
      <c r="O16" s="95">
        <f t="shared" si="1"/>
        <v>0</v>
      </c>
      <c r="P16" s="95">
        <f t="shared" si="1"/>
        <v>0</v>
      </c>
      <c r="Q16" s="95">
        <f t="shared" si="1"/>
        <v>0</v>
      </c>
      <c r="R16" s="95">
        <f t="shared" si="1"/>
        <v>0</v>
      </c>
      <c r="S16" s="95">
        <f t="shared" si="1"/>
        <v>0</v>
      </c>
      <c r="T16" s="95">
        <f t="shared" si="1"/>
        <v>0</v>
      </c>
      <c r="U16" s="95">
        <f t="shared" si="1"/>
        <v>0</v>
      </c>
      <c r="V16" s="95">
        <f t="shared" si="1"/>
        <v>0</v>
      </c>
      <c r="W16" s="95">
        <f t="shared" si="1"/>
        <v>0</v>
      </c>
      <c r="X16" s="95">
        <f t="shared" si="1"/>
        <v>0</v>
      </c>
      <c r="Y16" s="95">
        <f t="shared" si="1"/>
        <v>0</v>
      </c>
      <c r="Z16" s="95">
        <f t="shared" si="1"/>
        <v>0</v>
      </c>
      <c r="AA16" s="95">
        <f t="shared" si="1"/>
        <v>0</v>
      </c>
      <c r="AB16" s="95">
        <f t="shared" si="1"/>
        <v>0</v>
      </c>
      <c r="AC16" s="95">
        <f t="shared" si="1"/>
        <v>0</v>
      </c>
      <c r="AD16" s="95">
        <f t="shared" si="1"/>
        <v>0</v>
      </c>
      <c r="AE16" s="95">
        <f t="shared" si="1"/>
        <v>0</v>
      </c>
    </row>
    <row r="17" spans="1:31" ht="16.5" customHeight="1">
      <c r="A17" s="17" t="s">
        <v>227</v>
      </c>
      <c r="B17" s="95">
        <f t="shared" ref="B17:AE17" si="2">B12</f>
        <v>0</v>
      </c>
      <c r="C17" s="95">
        <f t="shared" si="2"/>
        <v>0</v>
      </c>
      <c r="D17" s="95">
        <f t="shared" si="2"/>
        <v>0</v>
      </c>
      <c r="E17" s="95">
        <f t="shared" si="2"/>
        <v>0</v>
      </c>
      <c r="F17" s="95">
        <f t="shared" si="2"/>
        <v>0</v>
      </c>
      <c r="G17" s="95">
        <f t="shared" si="2"/>
        <v>0</v>
      </c>
      <c r="H17" s="95">
        <f t="shared" si="2"/>
        <v>0</v>
      </c>
      <c r="I17" s="95">
        <f t="shared" si="2"/>
        <v>0</v>
      </c>
      <c r="J17" s="95">
        <f t="shared" si="2"/>
        <v>0</v>
      </c>
      <c r="K17" s="95">
        <f t="shared" si="2"/>
        <v>0</v>
      </c>
      <c r="L17" s="95">
        <f t="shared" si="2"/>
        <v>0</v>
      </c>
      <c r="M17" s="95">
        <f t="shared" si="2"/>
        <v>0</v>
      </c>
      <c r="N17" s="95">
        <f t="shared" si="2"/>
        <v>0</v>
      </c>
      <c r="O17" s="95">
        <f t="shared" si="2"/>
        <v>0</v>
      </c>
      <c r="P17" s="95">
        <f t="shared" si="2"/>
        <v>0</v>
      </c>
      <c r="Q17" s="95">
        <f t="shared" si="2"/>
        <v>0</v>
      </c>
      <c r="R17" s="95">
        <f t="shared" si="2"/>
        <v>0</v>
      </c>
      <c r="S17" s="95">
        <f t="shared" si="2"/>
        <v>0</v>
      </c>
      <c r="T17" s="95">
        <f t="shared" si="2"/>
        <v>0</v>
      </c>
      <c r="U17" s="95">
        <f t="shared" si="2"/>
        <v>0</v>
      </c>
      <c r="V17" s="95">
        <f t="shared" si="2"/>
        <v>0</v>
      </c>
      <c r="W17" s="95">
        <f t="shared" si="2"/>
        <v>0</v>
      </c>
      <c r="X17" s="95">
        <f t="shared" si="2"/>
        <v>0</v>
      </c>
      <c r="Y17" s="95">
        <f t="shared" si="2"/>
        <v>0</v>
      </c>
      <c r="Z17" s="95">
        <f t="shared" si="2"/>
        <v>0</v>
      </c>
      <c r="AA17" s="95">
        <f t="shared" si="2"/>
        <v>0</v>
      </c>
      <c r="AB17" s="95">
        <f t="shared" si="2"/>
        <v>0</v>
      </c>
      <c r="AC17" s="95">
        <f t="shared" si="2"/>
        <v>0</v>
      </c>
      <c r="AD17" s="95">
        <f t="shared" si="2"/>
        <v>0</v>
      </c>
      <c r="AE17" s="95">
        <f t="shared" si="2"/>
        <v>0</v>
      </c>
    </row>
    <row r="18" spans="1:31" ht="16.5" customHeight="1">
      <c r="A18" s="17" t="s">
        <v>214</v>
      </c>
      <c r="B18" s="95">
        <v>0</v>
      </c>
      <c r="C18" s="95">
        <v>0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  <c r="T18" s="95">
        <v>0</v>
      </c>
      <c r="U18" s="95">
        <v>0</v>
      </c>
      <c r="V18" s="95">
        <v>0</v>
      </c>
      <c r="W18" s="95">
        <v>0</v>
      </c>
      <c r="X18" s="95">
        <v>0</v>
      </c>
      <c r="Y18" s="95">
        <v>0</v>
      </c>
      <c r="Z18" s="95">
        <v>0</v>
      </c>
      <c r="AA18" s="95">
        <v>0</v>
      </c>
      <c r="AB18" s="95">
        <v>0</v>
      </c>
      <c r="AC18" s="95">
        <v>0</v>
      </c>
      <c r="AD18" s="95">
        <v>0</v>
      </c>
      <c r="AE18" s="95">
        <v>0</v>
      </c>
    </row>
    <row r="19" spans="1:31" ht="16.5" customHeight="1">
      <c r="A19" s="17" t="s">
        <v>228</v>
      </c>
      <c r="B19" s="95">
        <v>0</v>
      </c>
      <c r="C19" s="95">
        <v>0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95">
        <v>0</v>
      </c>
      <c r="Q19" s="95">
        <v>0</v>
      </c>
      <c r="R19" s="95">
        <v>0</v>
      </c>
      <c r="S19" s="95">
        <v>0</v>
      </c>
      <c r="T19" s="95">
        <v>0</v>
      </c>
      <c r="U19" s="95">
        <v>0</v>
      </c>
      <c r="V19" s="95">
        <v>0</v>
      </c>
      <c r="W19" s="95">
        <v>0</v>
      </c>
      <c r="X19" s="95">
        <v>0</v>
      </c>
      <c r="Y19" s="95">
        <v>0</v>
      </c>
      <c r="Z19" s="95">
        <v>0</v>
      </c>
      <c r="AA19" s="95">
        <v>0</v>
      </c>
      <c r="AB19" s="95">
        <v>0</v>
      </c>
      <c r="AC19" s="95">
        <v>0</v>
      </c>
      <c r="AD19" s="95">
        <v>0</v>
      </c>
      <c r="AE19" s="95">
        <v>0</v>
      </c>
    </row>
    <row r="20" spans="1:31" ht="16.5" customHeight="1">
      <c r="A20" s="17" t="s">
        <v>229</v>
      </c>
      <c r="B20" s="95">
        <v>0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0</v>
      </c>
      <c r="W20" s="95">
        <v>0</v>
      </c>
      <c r="X20" s="95">
        <v>0</v>
      </c>
      <c r="Y20" s="95">
        <v>0</v>
      </c>
      <c r="Z20" s="95">
        <v>0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</row>
    <row r="21" spans="1:31" ht="16.5" customHeight="1">
      <c r="A21" s="17" t="s">
        <v>230</v>
      </c>
      <c r="B21" s="95">
        <v>0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95">
        <v>0</v>
      </c>
      <c r="J21" s="95">
        <v>0</v>
      </c>
      <c r="K21" s="95">
        <v>0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0</v>
      </c>
      <c r="W21" s="95">
        <v>0</v>
      </c>
      <c r="X21" s="95">
        <v>0</v>
      </c>
      <c r="Y21" s="95">
        <v>0</v>
      </c>
      <c r="Z21" s="95">
        <v>0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</row>
    <row r="22" spans="1:31" ht="16.5" customHeight="1">
      <c r="A22" s="17" t="s">
        <v>231</v>
      </c>
      <c r="B22" s="95">
        <v>0</v>
      </c>
      <c r="C22" s="95">
        <v>0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95">
        <v>0</v>
      </c>
      <c r="N22" s="95">
        <v>0</v>
      </c>
      <c r="O22" s="95">
        <v>0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</row>
    <row r="23" spans="1:31" ht="16.5" customHeight="1">
      <c r="A23" s="17" t="s">
        <v>232</v>
      </c>
      <c r="B23" s="95">
        <v>0</v>
      </c>
      <c r="C23" s="95">
        <v>0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0</v>
      </c>
      <c r="J23" s="95">
        <v>0</v>
      </c>
      <c r="K23" s="95">
        <v>0</v>
      </c>
      <c r="L23" s="95">
        <v>0</v>
      </c>
      <c r="M23" s="95">
        <v>0</v>
      </c>
      <c r="N23" s="95">
        <v>0</v>
      </c>
      <c r="O23" s="95">
        <v>0</v>
      </c>
      <c r="P23" s="95">
        <v>0</v>
      </c>
      <c r="Q23" s="95">
        <v>0</v>
      </c>
      <c r="R23" s="95">
        <v>0</v>
      </c>
      <c r="S23" s="95">
        <v>0</v>
      </c>
      <c r="T23" s="95">
        <v>0</v>
      </c>
      <c r="U23" s="95">
        <v>0</v>
      </c>
      <c r="V23" s="95">
        <v>0</v>
      </c>
      <c r="W23" s="95">
        <v>0</v>
      </c>
      <c r="X23" s="95">
        <v>0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95">
        <v>0</v>
      </c>
    </row>
    <row r="24" spans="1:31" ht="16.5" customHeight="1">
      <c r="A24" s="40" t="s">
        <v>233</v>
      </c>
      <c r="B24" s="95">
        <v>0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</row>
    <row r="25" spans="1:31" ht="16.5" customHeight="1">
      <c r="A25" s="40" t="s">
        <v>234</v>
      </c>
      <c r="B25" s="95">
        <v>0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5">
        <v>0</v>
      </c>
      <c r="N25" s="95">
        <v>0</v>
      </c>
      <c r="O25" s="95">
        <v>0</v>
      </c>
      <c r="P25" s="95">
        <v>0</v>
      </c>
      <c r="Q25" s="95">
        <v>0</v>
      </c>
      <c r="R25" s="95">
        <v>0</v>
      </c>
      <c r="S25" s="95">
        <v>0</v>
      </c>
      <c r="T25" s="95">
        <v>0</v>
      </c>
      <c r="U25" s="95">
        <v>0</v>
      </c>
      <c r="V25" s="95">
        <v>0</v>
      </c>
      <c r="W25" s="95">
        <v>0</v>
      </c>
      <c r="X25" s="95">
        <v>0</v>
      </c>
      <c r="Y25" s="95">
        <v>0</v>
      </c>
      <c r="Z25" s="95">
        <v>0</v>
      </c>
      <c r="AA25" s="95">
        <v>0</v>
      </c>
      <c r="AB25" s="95">
        <v>0</v>
      </c>
      <c r="AC25" s="95">
        <v>0</v>
      </c>
      <c r="AD25" s="95">
        <v>0</v>
      </c>
      <c r="AE25" s="95">
        <v>0</v>
      </c>
    </row>
    <row r="26" spans="1:31" ht="16.5" customHeight="1"/>
    <row r="27" spans="1:31" ht="16.5" customHeight="1"/>
    <row r="28" spans="1:31" ht="16.5" customHeight="1"/>
    <row r="29" spans="1:31" ht="16.5" customHeight="1"/>
    <row r="30" spans="1:31" ht="16.5" customHeight="1"/>
    <row r="31" spans="1:31" ht="16.5" customHeight="1"/>
    <row r="32" spans="1:3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97D"/>
  </sheetPr>
  <dimension ref="A1:AG1000"/>
  <sheetViews>
    <sheetView workbookViewId="0">
      <selection activeCell="H41" sqref="H41"/>
    </sheetView>
  </sheetViews>
  <sheetFormatPr defaultColWidth="14.453125" defaultRowHeight="15" customHeight="1"/>
  <cols>
    <col min="1" max="1" width="32.453125" customWidth="1"/>
    <col min="2" max="33" width="9.26953125" customWidth="1"/>
  </cols>
  <sheetData>
    <row r="1" spans="1:33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219</v>
      </c>
      <c r="B2" s="95">
        <f>'Subsidies Paid'!G3/'Subsidies Paid'!N17</f>
        <v>8.2407724730118426E-2</v>
      </c>
      <c r="C2" s="95">
        <f t="shared" ref="C2:AE2" si="0">B2</f>
        <v>8.2407724730118426E-2</v>
      </c>
      <c r="D2" s="95">
        <f t="shared" si="0"/>
        <v>8.2407724730118426E-2</v>
      </c>
      <c r="E2" s="95">
        <f t="shared" si="0"/>
        <v>8.2407724730118426E-2</v>
      </c>
      <c r="F2" s="95">
        <f t="shared" si="0"/>
        <v>8.2407724730118426E-2</v>
      </c>
      <c r="G2" s="95">
        <f t="shared" si="0"/>
        <v>8.2407724730118426E-2</v>
      </c>
      <c r="H2" s="95">
        <f t="shared" si="0"/>
        <v>8.2407724730118426E-2</v>
      </c>
      <c r="I2" s="95">
        <f t="shared" si="0"/>
        <v>8.2407724730118426E-2</v>
      </c>
      <c r="J2" s="95">
        <f t="shared" si="0"/>
        <v>8.2407724730118426E-2</v>
      </c>
      <c r="K2" s="95">
        <f t="shared" si="0"/>
        <v>8.2407724730118426E-2</v>
      </c>
      <c r="L2" s="95">
        <f t="shared" si="0"/>
        <v>8.2407724730118426E-2</v>
      </c>
      <c r="M2" s="95">
        <f t="shared" si="0"/>
        <v>8.2407724730118426E-2</v>
      </c>
      <c r="N2" s="95">
        <f t="shared" si="0"/>
        <v>8.2407724730118426E-2</v>
      </c>
      <c r="O2" s="95">
        <f t="shared" si="0"/>
        <v>8.2407724730118426E-2</v>
      </c>
      <c r="P2" s="95">
        <f t="shared" si="0"/>
        <v>8.2407724730118426E-2</v>
      </c>
      <c r="Q2" s="95">
        <f t="shared" si="0"/>
        <v>8.2407724730118426E-2</v>
      </c>
      <c r="R2" s="95">
        <f t="shared" si="0"/>
        <v>8.2407724730118426E-2</v>
      </c>
      <c r="S2" s="95">
        <f t="shared" si="0"/>
        <v>8.2407724730118426E-2</v>
      </c>
      <c r="T2" s="95">
        <f t="shared" si="0"/>
        <v>8.2407724730118426E-2</v>
      </c>
      <c r="U2" s="95">
        <f t="shared" si="0"/>
        <v>8.2407724730118426E-2</v>
      </c>
      <c r="V2" s="95">
        <f t="shared" si="0"/>
        <v>8.2407724730118426E-2</v>
      </c>
      <c r="W2" s="95">
        <f t="shared" si="0"/>
        <v>8.2407724730118426E-2</v>
      </c>
      <c r="X2" s="95">
        <f t="shared" si="0"/>
        <v>8.2407724730118426E-2</v>
      </c>
      <c r="Y2" s="95">
        <f t="shared" si="0"/>
        <v>8.2407724730118426E-2</v>
      </c>
      <c r="Z2" s="95">
        <f t="shared" si="0"/>
        <v>8.2407724730118426E-2</v>
      </c>
      <c r="AA2" s="95">
        <f t="shared" si="0"/>
        <v>8.2407724730118426E-2</v>
      </c>
      <c r="AB2" s="95">
        <f t="shared" si="0"/>
        <v>8.2407724730118426E-2</v>
      </c>
      <c r="AC2" s="95">
        <f t="shared" si="0"/>
        <v>8.2407724730118426E-2</v>
      </c>
      <c r="AD2" s="95">
        <f t="shared" si="0"/>
        <v>8.2407724730118426E-2</v>
      </c>
      <c r="AE2" s="95">
        <f t="shared" si="0"/>
        <v>8.2407724730118426E-2</v>
      </c>
      <c r="AF2" s="41"/>
      <c r="AG2" s="41"/>
    </row>
    <row r="3" spans="1:33" ht="16.5" customHeight="1">
      <c r="A3" s="17" t="s">
        <v>220</v>
      </c>
      <c r="B3" s="95">
        <v>0</v>
      </c>
      <c r="C3" s="95">
        <v>0</v>
      </c>
      <c r="D3" s="95">
        <v>0</v>
      </c>
      <c r="E3" s="95">
        <v>0</v>
      </c>
      <c r="F3" s="95">
        <v>0</v>
      </c>
      <c r="G3" s="95">
        <v>0</v>
      </c>
      <c r="H3" s="95">
        <v>0</v>
      </c>
      <c r="I3" s="95">
        <v>0</v>
      </c>
      <c r="J3" s="95">
        <v>0</v>
      </c>
      <c r="K3" s="95">
        <v>0</v>
      </c>
      <c r="L3" s="95">
        <v>0</v>
      </c>
      <c r="M3" s="95">
        <v>0</v>
      </c>
      <c r="N3" s="95">
        <v>0</v>
      </c>
      <c r="O3" s="95">
        <v>0</v>
      </c>
      <c r="P3" s="95">
        <v>0</v>
      </c>
      <c r="Q3" s="95">
        <v>0</v>
      </c>
      <c r="R3" s="95">
        <v>0</v>
      </c>
      <c r="S3" s="95">
        <v>0</v>
      </c>
      <c r="T3" s="95">
        <v>0</v>
      </c>
      <c r="U3" s="95">
        <v>0</v>
      </c>
      <c r="V3" s="95">
        <v>0</v>
      </c>
      <c r="W3" s="95">
        <v>0</v>
      </c>
      <c r="X3" s="95">
        <v>0</v>
      </c>
      <c r="Y3" s="95">
        <v>0</v>
      </c>
      <c r="Z3" s="95">
        <v>0</v>
      </c>
      <c r="AA3" s="95">
        <v>0</v>
      </c>
      <c r="AB3" s="95">
        <v>0</v>
      </c>
      <c r="AC3" s="95">
        <v>0</v>
      </c>
      <c r="AD3" s="95">
        <v>0</v>
      </c>
      <c r="AE3" s="95">
        <v>0</v>
      </c>
    </row>
    <row r="4" spans="1:33" ht="16.5" customHeight="1">
      <c r="A4" s="17" t="s">
        <v>221</v>
      </c>
      <c r="B4" s="95">
        <v>0</v>
      </c>
      <c r="C4" s="95">
        <v>0</v>
      </c>
      <c r="D4" s="95">
        <v>0</v>
      </c>
      <c r="E4" s="95">
        <v>0</v>
      </c>
      <c r="F4" s="95">
        <v>0</v>
      </c>
      <c r="G4" s="95">
        <v>0</v>
      </c>
      <c r="H4" s="95">
        <v>0</v>
      </c>
      <c r="I4" s="95">
        <v>0</v>
      </c>
      <c r="J4" s="95">
        <v>0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5">
        <v>0</v>
      </c>
      <c r="U4" s="95">
        <v>0</v>
      </c>
      <c r="V4" s="95">
        <v>0</v>
      </c>
      <c r="W4" s="95">
        <v>0</v>
      </c>
      <c r="X4" s="95">
        <v>0</v>
      </c>
      <c r="Y4" s="95">
        <v>0</v>
      </c>
      <c r="Z4" s="95">
        <v>0</v>
      </c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41"/>
      <c r="AG4" s="41"/>
    </row>
    <row r="5" spans="1:33" ht="16.5" customHeight="1">
      <c r="A5" s="17" t="s">
        <v>123</v>
      </c>
      <c r="B5" s="95">
        <v>0</v>
      </c>
      <c r="C5" s="95">
        <v>0</v>
      </c>
      <c r="D5" s="95">
        <v>0</v>
      </c>
      <c r="E5" s="95">
        <v>0</v>
      </c>
      <c r="F5" s="95">
        <v>0</v>
      </c>
      <c r="G5" s="95">
        <v>0</v>
      </c>
      <c r="H5" s="95">
        <v>0</v>
      </c>
      <c r="I5" s="95">
        <v>0</v>
      </c>
      <c r="J5" s="95">
        <v>0</v>
      </c>
      <c r="K5" s="95">
        <v>0</v>
      </c>
      <c r="L5" s="95">
        <v>0</v>
      </c>
      <c r="M5" s="95">
        <v>0</v>
      </c>
      <c r="N5" s="95">
        <v>0</v>
      </c>
      <c r="O5" s="95">
        <v>0</v>
      </c>
      <c r="P5" s="95">
        <v>0</v>
      </c>
      <c r="Q5" s="95">
        <v>0</v>
      </c>
      <c r="R5" s="95">
        <v>0</v>
      </c>
      <c r="S5" s="95">
        <v>0</v>
      </c>
      <c r="T5" s="95">
        <v>0</v>
      </c>
      <c r="U5" s="95">
        <v>0</v>
      </c>
      <c r="V5" s="95">
        <v>0</v>
      </c>
      <c r="W5" s="95">
        <v>0</v>
      </c>
      <c r="X5" s="95">
        <v>0</v>
      </c>
      <c r="Y5" s="95">
        <v>0</v>
      </c>
      <c r="Z5" s="95">
        <v>0</v>
      </c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41"/>
      <c r="AG5" s="41"/>
    </row>
    <row r="6" spans="1:33" ht="16.5" customHeight="1">
      <c r="A6" s="17" t="s">
        <v>122</v>
      </c>
      <c r="B6" s="95">
        <v>0</v>
      </c>
      <c r="C6" s="95">
        <v>0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95">
        <v>0</v>
      </c>
      <c r="Q6" s="95">
        <v>0</v>
      </c>
      <c r="R6" s="95">
        <v>0</v>
      </c>
      <c r="S6" s="95">
        <v>0</v>
      </c>
      <c r="T6" s="95">
        <v>0</v>
      </c>
      <c r="U6" s="95">
        <v>0</v>
      </c>
      <c r="V6" s="95">
        <v>0</v>
      </c>
      <c r="W6" s="95">
        <v>0</v>
      </c>
      <c r="X6" s="95">
        <v>0</v>
      </c>
      <c r="Y6" s="95">
        <v>0</v>
      </c>
      <c r="Z6" s="95">
        <v>0</v>
      </c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41"/>
      <c r="AG6" s="41"/>
    </row>
    <row r="7" spans="1:33" ht="16.5" customHeight="1">
      <c r="A7" s="17" t="s">
        <v>127</v>
      </c>
      <c r="B7" s="95">
        <v>0</v>
      </c>
      <c r="C7" s="95">
        <v>0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5">
        <v>0</v>
      </c>
      <c r="J7" s="95">
        <v>0</v>
      </c>
      <c r="K7" s="95">
        <v>0</v>
      </c>
      <c r="L7" s="95">
        <v>0</v>
      </c>
      <c r="M7" s="95">
        <v>0</v>
      </c>
      <c r="N7" s="95">
        <v>0</v>
      </c>
      <c r="O7" s="95">
        <v>0</v>
      </c>
      <c r="P7" s="95">
        <v>0</v>
      </c>
      <c r="Q7" s="95">
        <v>0</v>
      </c>
      <c r="R7" s="95">
        <v>0</v>
      </c>
      <c r="S7" s="95">
        <v>0</v>
      </c>
      <c r="T7" s="95">
        <v>0</v>
      </c>
      <c r="U7" s="95">
        <v>0</v>
      </c>
      <c r="V7" s="95">
        <v>0</v>
      </c>
      <c r="W7" s="95">
        <v>0</v>
      </c>
      <c r="X7" s="95">
        <v>0</v>
      </c>
      <c r="Y7" s="95">
        <v>0</v>
      </c>
      <c r="Z7" s="95">
        <v>0</v>
      </c>
      <c r="AA7" s="95">
        <v>0</v>
      </c>
      <c r="AB7" s="95">
        <v>0</v>
      </c>
      <c r="AC7" s="95">
        <v>0</v>
      </c>
      <c r="AD7" s="95">
        <v>0</v>
      </c>
      <c r="AE7" s="95">
        <v>0</v>
      </c>
    </row>
    <row r="8" spans="1:33" ht="16.5" customHeight="1">
      <c r="A8" s="17" t="s">
        <v>222</v>
      </c>
      <c r="B8" s="95">
        <v>0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</v>
      </c>
      <c r="W8" s="95">
        <v>0</v>
      </c>
      <c r="X8" s="95">
        <v>0</v>
      </c>
      <c r="Y8" s="95">
        <v>0</v>
      </c>
      <c r="Z8" s="95">
        <v>0</v>
      </c>
      <c r="AA8" s="95">
        <v>0</v>
      </c>
      <c r="AB8" s="95">
        <v>0</v>
      </c>
      <c r="AC8" s="95">
        <v>0</v>
      </c>
      <c r="AD8" s="95">
        <v>0</v>
      </c>
      <c r="AE8" s="95">
        <v>0</v>
      </c>
    </row>
    <row r="9" spans="1:33" ht="16.5" customHeight="1">
      <c r="A9" s="17" t="s">
        <v>223</v>
      </c>
      <c r="B9" s="95">
        <v>0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95">
        <v>0</v>
      </c>
      <c r="Q9" s="95">
        <v>0</v>
      </c>
      <c r="R9" s="95">
        <v>0</v>
      </c>
      <c r="S9" s="95">
        <v>0</v>
      </c>
      <c r="T9" s="95">
        <v>0</v>
      </c>
      <c r="U9" s="95">
        <v>0</v>
      </c>
      <c r="V9" s="95">
        <v>0</v>
      </c>
      <c r="W9" s="95">
        <v>0</v>
      </c>
      <c r="X9" s="95">
        <v>0</v>
      </c>
      <c r="Y9" s="95">
        <v>0</v>
      </c>
      <c r="Z9" s="95">
        <v>0</v>
      </c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41"/>
      <c r="AG9" s="41"/>
    </row>
    <row r="10" spans="1:33" ht="16.5" customHeight="1">
      <c r="A10" s="17" t="s">
        <v>116</v>
      </c>
      <c r="B10" s="95">
        <v>0</v>
      </c>
      <c r="C10" s="95">
        <v>0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95">
        <v>0</v>
      </c>
      <c r="T10" s="95">
        <v>0</v>
      </c>
      <c r="U10" s="95">
        <v>0</v>
      </c>
      <c r="V10" s="95">
        <v>0</v>
      </c>
      <c r="W10" s="95">
        <v>0</v>
      </c>
      <c r="X10" s="95">
        <v>0</v>
      </c>
      <c r="Y10" s="95">
        <v>0</v>
      </c>
      <c r="Z10" s="95">
        <v>0</v>
      </c>
      <c r="AA10" s="95">
        <v>0</v>
      </c>
      <c r="AB10" s="95">
        <v>0</v>
      </c>
      <c r="AC10" s="95">
        <v>0</v>
      </c>
      <c r="AD10" s="95">
        <v>0</v>
      </c>
      <c r="AE10" s="95">
        <v>0</v>
      </c>
    </row>
    <row r="11" spans="1:33" ht="16.5" customHeight="1">
      <c r="A11" s="17" t="s">
        <v>128</v>
      </c>
      <c r="B11" s="95">
        <v>0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95">
        <v>0</v>
      </c>
      <c r="I11" s="95">
        <v>0</v>
      </c>
      <c r="J11" s="95">
        <v>0</v>
      </c>
      <c r="K11" s="95">
        <v>0</v>
      </c>
      <c r="L11" s="95">
        <v>0</v>
      </c>
      <c r="M11" s="95">
        <v>0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0</v>
      </c>
      <c r="T11" s="95">
        <v>0</v>
      </c>
      <c r="U11" s="95">
        <v>0</v>
      </c>
      <c r="V11" s="95">
        <v>0</v>
      </c>
      <c r="W11" s="95">
        <v>0</v>
      </c>
      <c r="X11" s="95">
        <v>0</v>
      </c>
      <c r="Y11" s="95">
        <v>0</v>
      </c>
      <c r="Z11" s="95">
        <v>0</v>
      </c>
      <c r="AA11" s="95">
        <v>0</v>
      </c>
      <c r="AB11" s="95">
        <v>0</v>
      </c>
      <c r="AC11" s="95">
        <v>0</v>
      </c>
      <c r="AD11" s="95">
        <v>0</v>
      </c>
      <c r="AE11" s="95">
        <v>0</v>
      </c>
    </row>
    <row r="12" spans="1:33" ht="16.5" customHeight="1">
      <c r="A12" s="17" t="s">
        <v>224</v>
      </c>
      <c r="B12" s="95">
        <v>0</v>
      </c>
      <c r="C12" s="95">
        <v>0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95">
        <v>0</v>
      </c>
      <c r="Q12" s="95">
        <v>0</v>
      </c>
      <c r="R12" s="95">
        <v>0</v>
      </c>
      <c r="S12" s="95">
        <v>0</v>
      </c>
      <c r="T12" s="95">
        <v>0</v>
      </c>
      <c r="U12" s="95">
        <v>0</v>
      </c>
      <c r="V12" s="95">
        <v>0</v>
      </c>
      <c r="W12" s="95">
        <v>0</v>
      </c>
      <c r="X12" s="95">
        <v>0</v>
      </c>
      <c r="Y12" s="95">
        <v>0</v>
      </c>
      <c r="Z12" s="95">
        <v>0</v>
      </c>
      <c r="AA12" s="95">
        <v>0</v>
      </c>
      <c r="AB12" s="95">
        <v>0</v>
      </c>
      <c r="AC12" s="95">
        <v>0</v>
      </c>
      <c r="AD12" s="95">
        <v>0</v>
      </c>
      <c r="AE12" s="95">
        <v>0</v>
      </c>
    </row>
    <row r="13" spans="1:33" ht="16.5" customHeight="1">
      <c r="A13" s="17" t="s">
        <v>225</v>
      </c>
      <c r="B13" s="95">
        <v>0</v>
      </c>
      <c r="C13" s="95">
        <v>0</v>
      </c>
      <c r="D13" s="95">
        <v>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0</v>
      </c>
      <c r="K13" s="95">
        <v>0</v>
      </c>
      <c r="L13" s="95">
        <v>0</v>
      </c>
      <c r="M13" s="95">
        <v>0</v>
      </c>
      <c r="N13" s="95">
        <v>0</v>
      </c>
      <c r="O13" s="95">
        <v>0</v>
      </c>
      <c r="P13" s="95">
        <v>0</v>
      </c>
      <c r="Q13" s="95">
        <v>0</v>
      </c>
      <c r="R13" s="95">
        <v>0</v>
      </c>
      <c r="S13" s="95">
        <v>0</v>
      </c>
      <c r="T13" s="95">
        <v>0</v>
      </c>
      <c r="U13" s="95">
        <v>0</v>
      </c>
      <c r="V13" s="95">
        <v>0</v>
      </c>
      <c r="W13" s="95">
        <v>0</v>
      </c>
      <c r="X13" s="95">
        <v>0</v>
      </c>
      <c r="Y13" s="95">
        <v>0</v>
      </c>
      <c r="Z13" s="95">
        <v>0</v>
      </c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41"/>
      <c r="AG13" s="41"/>
    </row>
    <row r="14" spans="1:33" ht="16.5" customHeight="1">
      <c r="A14" s="17" t="s">
        <v>226</v>
      </c>
      <c r="B14" s="95">
        <f>B2</f>
        <v>8.2407724730118426E-2</v>
      </c>
      <c r="C14" s="95">
        <f t="shared" ref="C14:AE14" si="1">B14</f>
        <v>8.2407724730118426E-2</v>
      </c>
      <c r="D14" s="95">
        <f t="shared" si="1"/>
        <v>8.2407724730118426E-2</v>
      </c>
      <c r="E14" s="95">
        <f t="shared" si="1"/>
        <v>8.2407724730118426E-2</v>
      </c>
      <c r="F14" s="95">
        <f t="shared" si="1"/>
        <v>8.2407724730118426E-2</v>
      </c>
      <c r="G14" s="95">
        <f t="shared" si="1"/>
        <v>8.2407724730118426E-2</v>
      </c>
      <c r="H14" s="95">
        <f t="shared" si="1"/>
        <v>8.2407724730118426E-2</v>
      </c>
      <c r="I14" s="95">
        <f t="shared" si="1"/>
        <v>8.2407724730118426E-2</v>
      </c>
      <c r="J14" s="95">
        <f t="shared" si="1"/>
        <v>8.2407724730118426E-2</v>
      </c>
      <c r="K14" s="95">
        <f t="shared" si="1"/>
        <v>8.2407724730118426E-2</v>
      </c>
      <c r="L14" s="95">
        <f t="shared" si="1"/>
        <v>8.2407724730118426E-2</v>
      </c>
      <c r="M14" s="95">
        <f t="shared" si="1"/>
        <v>8.2407724730118426E-2</v>
      </c>
      <c r="N14" s="95">
        <f t="shared" si="1"/>
        <v>8.2407724730118426E-2</v>
      </c>
      <c r="O14" s="95">
        <f t="shared" si="1"/>
        <v>8.2407724730118426E-2</v>
      </c>
      <c r="P14" s="95">
        <f t="shared" si="1"/>
        <v>8.2407724730118426E-2</v>
      </c>
      <c r="Q14" s="95">
        <f t="shared" si="1"/>
        <v>8.2407724730118426E-2</v>
      </c>
      <c r="R14" s="95">
        <f t="shared" si="1"/>
        <v>8.2407724730118426E-2</v>
      </c>
      <c r="S14" s="95">
        <f t="shared" si="1"/>
        <v>8.2407724730118426E-2</v>
      </c>
      <c r="T14" s="95">
        <f t="shared" si="1"/>
        <v>8.2407724730118426E-2</v>
      </c>
      <c r="U14" s="95">
        <f t="shared" si="1"/>
        <v>8.2407724730118426E-2</v>
      </c>
      <c r="V14" s="95">
        <f t="shared" si="1"/>
        <v>8.2407724730118426E-2</v>
      </c>
      <c r="W14" s="95">
        <f t="shared" si="1"/>
        <v>8.2407724730118426E-2</v>
      </c>
      <c r="X14" s="95">
        <f t="shared" si="1"/>
        <v>8.2407724730118426E-2</v>
      </c>
      <c r="Y14" s="95">
        <f t="shared" si="1"/>
        <v>8.2407724730118426E-2</v>
      </c>
      <c r="Z14" s="95">
        <f t="shared" si="1"/>
        <v>8.2407724730118426E-2</v>
      </c>
      <c r="AA14" s="95">
        <f t="shared" si="1"/>
        <v>8.2407724730118426E-2</v>
      </c>
      <c r="AB14" s="95">
        <f t="shared" si="1"/>
        <v>8.2407724730118426E-2</v>
      </c>
      <c r="AC14" s="95">
        <f t="shared" si="1"/>
        <v>8.2407724730118426E-2</v>
      </c>
      <c r="AD14" s="95">
        <f t="shared" si="1"/>
        <v>8.2407724730118426E-2</v>
      </c>
      <c r="AE14" s="95">
        <f t="shared" si="1"/>
        <v>8.2407724730118426E-2</v>
      </c>
      <c r="AF14" s="41"/>
      <c r="AG14" s="41"/>
    </row>
    <row r="15" spans="1:33" ht="16.5" customHeight="1">
      <c r="A15" s="17" t="s">
        <v>126</v>
      </c>
      <c r="B15" s="95">
        <v>0</v>
      </c>
      <c r="C15" s="95">
        <v>0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5">
        <v>0</v>
      </c>
      <c r="S15" s="95">
        <v>0</v>
      </c>
      <c r="T15" s="95">
        <v>0</v>
      </c>
      <c r="U15" s="95">
        <v>0</v>
      </c>
      <c r="V15" s="95">
        <v>0</v>
      </c>
      <c r="W15" s="95">
        <v>0</v>
      </c>
      <c r="X15" s="95">
        <v>0</v>
      </c>
      <c r="Y15" s="95">
        <v>0</v>
      </c>
      <c r="Z15" s="95">
        <v>0</v>
      </c>
      <c r="AA15" s="95">
        <v>0</v>
      </c>
      <c r="AB15" s="95">
        <v>0</v>
      </c>
      <c r="AC15" s="95">
        <v>0</v>
      </c>
      <c r="AD15" s="95">
        <v>0</v>
      </c>
      <c r="AE15" s="95">
        <v>0</v>
      </c>
    </row>
    <row r="16" spans="1:33" ht="16.5" customHeight="1">
      <c r="A16" s="17" t="s">
        <v>211</v>
      </c>
      <c r="B16" s="95">
        <f t="shared" ref="B16:AE16" si="2">B12</f>
        <v>0</v>
      </c>
      <c r="C16" s="95">
        <f t="shared" si="2"/>
        <v>0</v>
      </c>
      <c r="D16" s="95">
        <f t="shared" si="2"/>
        <v>0</v>
      </c>
      <c r="E16" s="95">
        <f t="shared" si="2"/>
        <v>0</v>
      </c>
      <c r="F16" s="95">
        <f t="shared" si="2"/>
        <v>0</v>
      </c>
      <c r="G16" s="95">
        <f t="shared" si="2"/>
        <v>0</v>
      </c>
      <c r="H16" s="95">
        <f t="shared" si="2"/>
        <v>0</v>
      </c>
      <c r="I16" s="95">
        <f t="shared" si="2"/>
        <v>0</v>
      </c>
      <c r="J16" s="95">
        <f t="shared" si="2"/>
        <v>0</v>
      </c>
      <c r="K16" s="95">
        <f t="shared" si="2"/>
        <v>0</v>
      </c>
      <c r="L16" s="95">
        <f t="shared" si="2"/>
        <v>0</v>
      </c>
      <c r="M16" s="95">
        <f t="shared" si="2"/>
        <v>0</v>
      </c>
      <c r="N16" s="95">
        <f t="shared" si="2"/>
        <v>0</v>
      </c>
      <c r="O16" s="95">
        <f t="shared" si="2"/>
        <v>0</v>
      </c>
      <c r="P16" s="95">
        <f t="shared" si="2"/>
        <v>0</v>
      </c>
      <c r="Q16" s="95">
        <f t="shared" si="2"/>
        <v>0</v>
      </c>
      <c r="R16" s="95">
        <f t="shared" si="2"/>
        <v>0</v>
      </c>
      <c r="S16" s="95">
        <f t="shared" si="2"/>
        <v>0</v>
      </c>
      <c r="T16" s="95">
        <f t="shared" si="2"/>
        <v>0</v>
      </c>
      <c r="U16" s="95">
        <f t="shared" si="2"/>
        <v>0</v>
      </c>
      <c r="V16" s="95">
        <f t="shared" si="2"/>
        <v>0</v>
      </c>
      <c r="W16" s="95">
        <f t="shared" si="2"/>
        <v>0</v>
      </c>
      <c r="X16" s="95">
        <f t="shared" si="2"/>
        <v>0</v>
      </c>
      <c r="Y16" s="95">
        <f t="shared" si="2"/>
        <v>0</v>
      </c>
      <c r="Z16" s="95">
        <f t="shared" si="2"/>
        <v>0</v>
      </c>
      <c r="AA16" s="95">
        <f t="shared" si="2"/>
        <v>0</v>
      </c>
      <c r="AB16" s="95">
        <f t="shared" si="2"/>
        <v>0</v>
      </c>
      <c r="AC16" s="95">
        <f t="shared" si="2"/>
        <v>0</v>
      </c>
      <c r="AD16" s="95">
        <f t="shared" si="2"/>
        <v>0</v>
      </c>
      <c r="AE16" s="95">
        <f t="shared" si="2"/>
        <v>0</v>
      </c>
    </row>
    <row r="17" spans="1:31" ht="16.5" customHeight="1">
      <c r="A17" s="17" t="s">
        <v>227</v>
      </c>
      <c r="B17" s="95">
        <f t="shared" ref="B17:AE17" si="3">B12</f>
        <v>0</v>
      </c>
      <c r="C17" s="95">
        <f t="shared" si="3"/>
        <v>0</v>
      </c>
      <c r="D17" s="95">
        <f t="shared" si="3"/>
        <v>0</v>
      </c>
      <c r="E17" s="95">
        <f t="shared" si="3"/>
        <v>0</v>
      </c>
      <c r="F17" s="95">
        <f t="shared" si="3"/>
        <v>0</v>
      </c>
      <c r="G17" s="95">
        <f t="shared" si="3"/>
        <v>0</v>
      </c>
      <c r="H17" s="95">
        <f t="shared" si="3"/>
        <v>0</v>
      </c>
      <c r="I17" s="95">
        <f t="shared" si="3"/>
        <v>0</v>
      </c>
      <c r="J17" s="95">
        <f t="shared" si="3"/>
        <v>0</v>
      </c>
      <c r="K17" s="95">
        <f t="shared" si="3"/>
        <v>0</v>
      </c>
      <c r="L17" s="95">
        <f t="shared" si="3"/>
        <v>0</v>
      </c>
      <c r="M17" s="95">
        <f t="shared" si="3"/>
        <v>0</v>
      </c>
      <c r="N17" s="95">
        <f t="shared" si="3"/>
        <v>0</v>
      </c>
      <c r="O17" s="95">
        <f t="shared" si="3"/>
        <v>0</v>
      </c>
      <c r="P17" s="95">
        <f t="shared" si="3"/>
        <v>0</v>
      </c>
      <c r="Q17" s="95">
        <f t="shared" si="3"/>
        <v>0</v>
      </c>
      <c r="R17" s="95">
        <f t="shared" si="3"/>
        <v>0</v>
      </c>
      <c r="S17" s="95">
        <f t="shared" si="3"/>
        <v>0</v>
      </c>
      <c r="T17" s="95">
        <f t="shared" si="3"/>
        <v>0</v>
      </c>
      <c r="U17" s="95">
        <f t="shared" si="3"/>
        <v>0</v>
      </c>
      <c r="V17" s="95">
        <f t="shared" si="3"/>
        <v>0</v>
      </c>
      <c r="W17" s="95">
        <f t="shared" si="3"/>
        <v>0</v>
      </c>
      <c r="X17" s="95">
        <f t="shared" si="3"/>
        <v>0</v>
      </c>
      <c r="Y17" s="95">
        <f t="shared" si="3"/>
        <v>0</v>
      </c>
      <c r="Z17" s="95">
        <f t="shared" si="3"/>
        <v>0</v>
      </c>
      <c r="AA17" s="95">
        <f t="shared" si="3"/>
        <v>0</v>
      </c>
      <c r="AB17" s="95">
        <f t="shared" si="3"/>
        <v>0</v>
      </c>
      <c r="AC17" s="95">
        <f t="shared" si="3"/>
        <v>0</v>
      </c>
      <c r="AD17" s="95">
        <f t="shared" si="3"/>
        <v>0</v>
      </c>
      <c r="AE17" s="95">
        <f t="shared" si="3"/>
        <v>0</v>
      </c>
    </row>
    <row r="18" spans="1:31" ht="16.5" customHeight="1">
      <c r="A18" s="17" t="s">
        <v>214</v>
      </c>
      <c r="B18" s="95">
        <v>0</v>
      </c>
      <c r="C18" s="95">
        <v>0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  <c r="T18" s="95">
        <v>0</v>
      </c>
      <c r="U18" s="95">
        <v>0</v>
      </c>
      <c r="V18" s="95">
        <v>0</v>
      </c>
      <c r="W18" s="95">
        <v>0</v>
      </c>
      <c r="X18" s="95">
        <v>0</v>
      </c>
      <c r="Y18" s="95">
        <v>0</v>
      </c>
      <c r="Z18" s="95">
        <v>0</v>
      </c>
      <c r="AA18" s="95">
        <v>0</v>
      </c>
      <c r="AB18" s="95">
        <v>0</v>
      </c>
      <c r="AC18" s="95">
        <v>0</v>
      </c>
      <c r="AD18" s="95">
        <v>0</v>
      </c>
      <c r="AE18" s="95">
        <v>0</v>
      </c>
    </row>
    <row r="19" spans="1:31" ht="16.5" customHeight="1">
      <c r="A19" s="17" t="s">
        <v>228</v>
      </c>
      <c r="B19" s="95">
        <v>0</v>
      </c>
      <c r="C19" s="95">
        <v>0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95">
        <v>0</v>
      </c>
      <c r="Q19" s="95">
        <v>0</v>
      </c>
      <c r="R19" s="95">
        <v>0</v>
      </c>
      <c r="S19" s="95">
        <v>0</v>
      </c>
      <c r="T19" s="95">
        <v>0</v>
      </c>
      <c r="U19" s="95">
        <v>0</v>
      </c>
      <c r="V19" s="95">
        <v>0</v>
      </c>
      <c r="W19" s="95">
        <v>0</v>
      </c>
      <c r="X19" s="95">
        <v>0</v>
      </c>
      <c r="Y19" s="95">
        <v>0</v>
      </c>
      <c r="Z19" s="95">
        <v>0</v>
      </c>
      <c r="AA19" s="95">
        <v>0</v>
      </c>
      <c r="AB19" s="95">
        <v>0</v>
      </c>
      <c r="AC19" s="95">
        <v>0</v>
      </c>
      <c r="AD19" s="95">
        <v>0</v>
      </c>
      <c r="AE19" s="95">
        <v>0</v>
      </c>
    </row>
    <row r="20" spans="1:31" ht="16.5" customHeight="1">
      <c r="A20" s="17" t="s">
        <v>229</v>
      </c>
      <c r="B20" s="95">
        <v>0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0</v>
      </c>
      <c r="W20" s="95">
        <v>0</v>
      </c>
      <c r="X20" s="95">
        <v>0</v>
      </c>
      <c r="Y20" s="95">
        <v>0</v>
      </c>
      <c r="Z20" s="95">
        <v>0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</row>
    <row r="21" spans="1:31" ht="16.5" customHeight="1">
      <c r="A21" s="17" t="s">
        <v>230</v>
      </c>
      <c r="B21" s="95">
        <v>0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95">
        <v>0</v>
      </c>
      <c r="J21" s="95">
        <v>0</v>
      </c>
      <c r="K21" s="95">
        <v>0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0</v>
      </c>
      <c r="W21" s="95">
        <v>0</v>
      </c>
      <c r="X21" s="95">
        <v>0</v>
      </c>
      <c r="Y21" s="95">
        <v>0</v>
      </c>
      <c r="Z21" s="95">
        <v>0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</row>
    <row r="22" spans="1:31" ht="16.5" customHeight="1">
      <c r="A22" s="17" t="s">
        <v>231</v>
      </c>
      <c r="B22" s="95">
        <v>0</v>
      </c>
      <c r="C22" s="95">
        <v>0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95">
        <v>0</v>
      </c>
      <c r="N22" s="95">
        <v>0</v>
      </c>
      <c r="O22" s="95">
        <v>0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</row>
    <row r="23" spans="1:31" ht="16.5" customHeight="1">
      <c r="A23" s="17" t="s">
        <v>232</v>
      </c>
      <c r="B23" s="95">
        <v>0</v>
      </c>
      <c r="C23" s="95">
        <v>0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0</v>
      </c>
      <c r="J23" s="95">
        <v>0</v>
      </c>
      <c r="K23" s="95">
        <v>0</v>
      </c>
      <c r="L23" s="95">
        <v>0</v>
      </c>
      <c r="M23" s="95">
        <v>0</v>
      </c>
      <c r="N23" s="95">
        <v>0</v>
      </c>
      <c r="O23" s="95">
        <v>0</v>
      </c>
      <c r="P23" s="95">
        <v>0</v>
      </c>
      <c r="Q23" s="95">
        <v>0</v>
      </c>
      <c r="R23" s="95">
        <v>0</v>
      </c>
      <c r="S23" s="95">
        <v>0</v>
      </c>
      <c r="T23" s="95">
        <v>0</v>
      </c>
      <c r="U23" s="95">
        <v>0</v>
      </c>
      <c r="V23" s="95">
        <v>0</v>
      </c>
      <c r="W23" s="95">
        <v>0</v>
      </c>
      <c r="X23" s="95">
        <v>0</v>
      </c>
      <c r="Y23" s="95">
        <v>0</v>
      </c>
      <c r="Z23" s="95">
        <v>0</v>
      </c>
      <c r="AA23" s="95">
        <v>0</v>
      </c>
      <c r="AB23" s="95">
        <v>0</v>
      </c>
      <c r="AC23" s="95">
        <v>0</v>
      </c>
      <c r="AD23" s="95">
        <v>0</v>
      </c>
      <c r="AE23" s="95">
        <v>0</v>
      </c>
    </row>
    <row r="24" spans="1:31" ht="16.5" customHeight="1">
      <c r="A24" s="40" t="s">
        <v>233</v>
      </c>
      <c r="B24" s="95">
        <v>0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</row>
    <row r="25" spans="1:31" ht="16.5" customHeight="1">
      <c r="A25" s="40" t="s">
        <v>234</v>
      </c>
      <c r="B25" s="95">
        <v>0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5">
        <v>0</v>
      </c>
      <c r="N25" s="95">
        <v>0</v>
      </c>
      <c r="O25" s="95">
        <v>0</v>
      </c>
      <c r="P25" s="95">
        <v>0</v>
      </c>
      <c r="Q25" s="95">
        <v>0</v>
      </c>
      <c r="R25" s="95">
        <v>0</v>
      </c>
      <c r="S25" s="95">
        <v>0</v>
      </c>
      <c r="T25" s="95">
        <v>0</v>
      </c>
      <c r="U25" s="95">
        <v>0</v>
      </c>
      <c r="V25" s="95">
        <v>0</v>
      </c>
      <c r="W25" s="95">
        <v>0</v>
      </c>
      <c r="X25" s="95">
        <v>0</v>
      </c>
      <c r="Y25" s="95">
        <v>0</v>
      </c>
      <c r="Z25" s="95">
        <v>0</v>
      </c>
      <c r="AA25" s="95">
        <v>0</v>
      </c>
      <c r="AB25" s="95">
        <v>0</v>
      </c>
      <c r="AC25" s="95">
        <v>0</v>
      </c>
      <c r="AD25" s="95">
        <v>0</v>
      </c>
      <c r="AE25" s="95">
        <v>0</v>
      </c>
    </row>
    <row r="26" spans="1:31" ht="16.5" customHeight="1"/>
    <row r="27" spans="1:31" ht="16.5" customHeight="1"/>
    <row r="28" spans="1:31" ht="16.5" customHeight="1"/>
    <row r="29" spans="1:31" ht="16.5" customHeight="1"/>
    <row r="30" spans="1:31" ht="16.5" customHeight="1"/>
    <row r="31" spans="1:31" ht="16.5" customHeight="1"/>
    <row r="32" spans="1:3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97D"/>
  </sheetPr>
  <dimension ref="A1:AG1000"/>
  <sheetViews>
    <sheetView workbookViewId="0">
      <selection activeCell="F36" sqref="F36"/>
    </sheetView>
  </sheetViews>
  <sheetFormatPr defaultColWidth="14.453125" defaultRowHeight="15" customHeight="1"/>
  <cols>
    <col min="1" max="1" width="32.7265625" customWidth="1"/>
    <col min="2" max="33" width="8.7265625" customWidth="1"/>
  </cols>
  <sheetData>
    <row r="1" spans="1:33" ht="16.5" customHeight="1">
      <c r="A1" s="17" t="s">
        <v>235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3" ht="16.5" customHeight="1">
      <c r="A2" s="17" t="s">
        <v>219</v>
      </c>
      <c r="B2" s="96">
        <v>0</v>
      </c>
      <c r="C2" s="96">
        <v>0</v>
      </c>
      <c r="D2" s="96">
        <v>0</v>
      </c>
      <c r="E2" s="96">
        <v>0</v>
      </c>
      <c r="F2" s="96">
        <v>0</v>
      </c>
      <c r="G2" s="96">
        <v>0</v>
      </c>
      <c r="H2" s="96">
        <v>0</v>
      </c>
      <c r="I2" s="96">
        <v>0</v>
      </c>
      <c r="J2" s="96">
        <v>0</v>
      </c>
      <c r="K2" s="96">
        <v>0</v>
      </c>
      <c r="L2" s="96">
        <v>0</v>
      </c>
      <c r="M2" s="96">
        <v>0</v>
      </c>
      <c r="N2" s="96">
        <v>0</v>
      </c>
      <c r="O2" s="96">
        <v>0</v>
      </c>
      <c r="P2" s="96">
        <v>0</v>
      </c>
      <c r="Q2" s="96">
        <v>0</v>
      </c>
      <c r="R2" s="96">
        <v>0</v>
      </c>
      <c r="S2" s="96">
        <v>0</v>
      </c>
      <c r="T2" s="96">
        <v>0</v>
      </c>
      <c r="U2" s="96">
        <v>0</v>
      </c>
      <c r="V2" s="96">
        <v>0</v>
      </c>
      <c r="W2" s="96">
        <v>0</v>
      </c>
      <c r="X2" s="96">
        <v>0</v>
      </c>
      <c r="Y2" s="96">
        <v>0</v>
      </c>
      <c r="Z2" s="96">
        <v>0</v>
      </c>
      <c r="AA2" s="96">
        <v>0</v>
      </c>
      <c r="AB2" s="96">
        <v>0</v>
      </c>
      <c r="AC2" s="96">
        <v>0</v>
      </c>
      <c r="AD2" s="96">
        <v>0</v>
      </c>
      <c r="AE2" s="96">
        <v>0</v>
      </c>
      <c r="AF2" s="38"/>
      <c r="AG2" s="38"/>
    </row>
    <row r="3" spans="1:33" ht="16.5" customHeight="1">
      <c r="A3" s="17" t="s">
        <v>220</v>
      </c>
      <c r="B3" s="96">
        <v>0</v>
      </c>
      <c r="C3" s="96">
        <v>0</v>
      </c>
      <c r="D3" s="96">
        <v>0</v>
      </c>
      <c r="E3" s="96">
        <v>0</v>
      </c>
      <c r="F3" s="96">
        <v>0</v>
      </c>
      <c r="G3" s="96">
        <v>0</v>
      </c>
      <c r="H3" s="96">
        <v>0</v>
      </c>
      <c r="I3" s="96">
        <v>0</v>
      </c>
      <c r="J3" s="96">
        <v>0</v>
      </c>
      <c r="K3" s="96">
        <v>0</v>
      </c>
      <c r="L3" s="96">
        <v>0</v>
      </c>
      <c r="M3" s="96">
        <v>0</v>
      </c>
      <c r="N3" s="96">
        <v>0</v>
      </c>
      <c r="O3" s="96">
        <v>0</v>
      </c>
      <c r="P3" s="96">
        <v>0</v>
      </c>
      <c r="Q3" s="96">
        <v>0</v>
      </c>
      <c r="R3" s="96">
        <v>0</v>
      </c>
      <c r="S3" s="96">
        <v>0</v>
      </c>
      <c r="T3" s="96">
        <v>0</v>
      </c>
      <c r="U3" s="96">
        <v>0</v>
      </c>
      <c r="V3" s="96">
        <v>0</v>
      </c>
      <c r="W3" s="96">
        <v>0</v>
      </c>
      <c r="X3" s="96">
        <v>0</v>
      </c>
      <c r="Y3" s="96">
        <v>0</v>
      </c>
      <c r="Z3" s="96">
        <v>0</v>
      </c>
      <c r="AA3" s="96">
        <v>0</v>
      </c>
      <c r="AB3" s="96">
        <v>0</v>
      </c>
      <c r="AC3" s="96">
        <v>0</v>
      </c>
      <c r="AD3" s="96">
        <v>0</v>
      </c>
      <c r="AE3" s="96">
        <v>0</v>
      </c>
      <c r="AF3" s="38"/>
      <c r="AG3" s="38"/>
    </row>
    <row r="4" spans="1:33" ht="16.5" customHeight="1">
      <c r="A4" s="17" t="s">
        <v>221</v>
      </c>
      <c r="B4" s="96">
        <v>0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0</v>
      </c>
      <c r="L4" s="96">
        <v>0</v>
      </c>
      <c r="M4" s="96">
        <v>0</v>
      </c>
      <c r="N4" s="96">
        <v>0</v>
      </c>
      <c r="O4" s="96">
        <v>0</v>
      </c>
      <c r="P4" s="96">
        <v>0</v>
      </c>
      <c r="Q4" s="96">
        <v>0</v>
      </c>
      <c r="R4" s="96">
        <v>0</v>
      </c>
      <c r="S4" s="96">
        <v>0</v>
      </c>
      <c r="T4" s="96">
        <v>0</v>
      </c>
      <c r="U4" s="96">
        <v>0</v>
      </c>
      <c r="V4" s="96">
        <v>0</v>
      </c>
      <c r="W4" s="96">
        <v>0</v>
      </c>
      <c r="X4" s="96">
        <v>0</v>
      </c>
      <c r="Y4" s="96">
        <v>0</v>
      </c>
      <c r="Z4" s="96">
        <v>0</v>
      </c>
      <c r="AA4" s="96">
        <v>0</v>
      </c>
      <c r="AB4" s="96">
        <v>0</v>
      </c>
      <c r="AC4" s="96">
        <v>0</v>
      </c>
      <c r="AD4" s="96">
        <v>0</v>
      </c>
      <c r="AE4" s="96">
        <v>0</v>
      </c>
      <c r="AF4" s="38"/>
      <c r="AG4" s="38"/>
    </row>
    <row r="5" spans="1:33" ht="16.5" customHeight="1">
      <c r="A5" s="17" t="s">
        <v>123</v>
      </c>
      <c r="B5" s="96">
        <v>0</v>
      </c>
      <c r="C5" s="96">
        <v>0</v>
      </c>
      <c r="D5" s="96">
        <v>0</v>
      </c>
      <c r="E5" s="96">
        <v>0</v>
      </c>
      <c r="F5" s="96">
        <v>0</v>
      </c>
      <c r="G5" s="96">
        <v>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6">
        <v>0</v>
      </c>
      <c r="O5" s="96">
        <v>0</v>
      </c>
      <c r="P5" s="96">
        <v>0</v>
      </c>
      <c r="Q5" s="96">
        <v>0</v>
      </c>
      <c r="R5" s="96">
        <v>0</v>
      </c>
      <c r="S5" s="96">
        <v>0</v>
      </c>
      <c r="T5" s="96">
        <v>0</v>
      </c>
      <c r="U5" s="96">
        <v>0</v>
      </c>
      <c r="V5" s="96">
        <v>0</v>
      </c>
      <c r="W5" s="96">
        <v>0</v>
      </c>
      <c r="X5" s="96">
        <v>0</v>
      </c>
      <c r="Y5" s="96">
        <v>0</v>
      </c>
      <c r="Z5" s="96">
        <v>0</v>
      </c>
      <c r="AA5" s="96">
        <v>0</v>
      </c>
      <c r="AB5" s="96">
        <v>0</v>
      </c>
      <c r="AC5" s="96">
        <v>0</v>
      </c>
      <c r="AD5" s="96">
        <v>0</v>
      </c>
      <c r="AE5" s="96">
        <v>0</v>
      </c>
      <c r="AF5" s="38"/>
      <c r="AG5" s="38"/>
    </row>
    <row r="6" spans="1:33" ht="16.5" customHeight="1">
      <c r="A6" s="29" t="s">
        <v>122</v>
      </c>
      <c r="B6" s="96">
        <f>BSpUECB_세액공제액!C50</f>
        <v>2.9999999999999995E-2</v>
      </c>
      <c r="C6" s="96">
        <f>BSpUECB_세액공제액!D50</f>
        <v>2.9999999999999995E-2</v>
      </c>
      <c r="D6" s="96">
        <f>BSpUECB_세액공제액!E50</f>
        <v>2.9999999999999995E-2</v>
      </c>
      <c r="E6" s="96">
        <f>BSpUECB_세액공제액!F50</f>
        <v>2.9999999999999995E-2</v>
      </c>
      <c r="F6" s="96">
        <f>BSpUECB_세액공제액!G50</f>
        <v>2.9999999999999995E-2</v>
      </c>
      <c r="G6" s="96">
        <f>BSpUECB_세액공제액!H50</f>
        <v>2.9999999999999995E-2</v>
      </c>
      <c r="H6" s="96">
        <f>BSpUECB_세액공제액!I50</f>
        <v>2.9999999999999995E-2</v>
      </c>
      <c r="I6" s="96">
        <f>BSpUECB_세액공제액!J50</f>
        <v>2.9999999999999995E-2</v>
      </c>
      <c r="J6" s="96">
        <f>BSpUECB_세액공제액!K50</f>
        <v>2.9999999999999995E-2</v>
      </c>
      <c r="K6" s="96">
        <f>BSpUECB_세액공제액!L50</f>
        <v>2.9999999999999995E-2</v>
      </c>
      <c r="L6" s="96">
        <f>BSpUECB_세액공제액!M50</f>
        <v>2.9999999999999995E-2</v>
      </c>
      <c r="M6" s="96">
        <f>BSpUECB_세액공제액!N50</f>
        <v>2.9999999999999995E-2</v>
      </c>
      <c r="N6" s="96">
        <f>BSpUECB_세액공제액!O50</f>
        <v>2.9999999999999995E-2</v>
      </c>
      <c r="O6" s="96">
        <f>BSpUECB_세액공제액!P50</f>
        <v>2.9999999999999995E-2</v>
      </c>
      <c r="P6" s="96">
        <f>BSpUECB_세액공제액!Q50</f>
        <v>2.9999999999999995E-2</v>
      </c>
      <c r="Q6" s="96">
        <f>BSpUECB_세액공제액!R50</f>
        <v>2.9999999999999995E-2</v>
      </c>
      <c r="R6" s="96">
        <f>BSpUECB_세액공제액!S50</f>
        <v>2.9999999999999995E-2</v>
      </c>
      <c r="S6" s="96">
        <f>BSpUECB_세액공제액!T50</f>
        <v>2.9999999999999995E-2</v>
      </c>
      <c r="T6" s="96">
        <f>BSpUECB_세액공제액!U50</f>
        <v>2.9999999999999995E-2</v>
      </c>
      <c r="U6" s="96">
        <f>BSpUECB_세액공제액!V50</f>
        <v>2.9999999999999995E-2</v>
      </c>
      <c r="V6" s="96">
        <f>BSpUECB_세액공제액!W50</f>
        <v>2.9999999999999995E-2</v>
      </c>
      <c r="W6" s="96">
        <f>BSpUECB_세액공제액!X50</f>
        <v>2.9999999999999995E-2</v>
      </c>
      <c r="X6" s="96">
        <f>BSpUECB_세액공제액!Y50</f>
        <v>2.9999999999999995E-2</v>
      </c>
      <c r="Y6" s="96">
        <f>BSpUECB_세액공제액!Z50</f>
        <v>2.9999999999999995E-2</v>
      </c>
      <c r="Z6" s="96">
        <f>BSpUECB_세액공제액!AA50</f>
        <v>2.9999999999999995E-2</v>
      </c>
      <c r="AA6" s="96">
        <f>BSpUECB_세액공제액!AB50</f>
        <v>2.9999999999999995E-2</v>
      </c>
      <c r="AB6" s="96">
        <f>BSpUECB_세액공제액!AC50</f>
        <v>2.9999999999999995E-2</v>
      </c>
      <c r="AC6" s="96">
        <f>BSpUECB_세액공제액!AD50</f>
        <v>2.9999999999999995E-2</v>
      </c>
      <c r="AD6" s="96">
        <f>BSpUECB_세액공제액!AE50</f>
        <v>2.9999999999999995E-2</v>
      </c>
      <c r="AE6" s="96">
        <f>BSpUECB_세액공제액!AF50</f>
        <v>2.9999999999999995E-2</v>
      </c>
      <c r="AF6" s="38"/>
      <c r="AG6" s="38"/>
    </row>
    <row r="7" spans="1:33" ht="16.5" customHeight="1">
      <c r="A7" s="29" t="s">
        <v>127</v>
      </c>
      <c r="B7" s="96">
        <f>BSpUECB_세액공제액!C51</f>
        <v>2.8105282243442567E-2</v>
      </c>
      <c r="C7" s="96">
        <f>BSpUECB_세액공제액!D51</f>
        <v>2.8195060873411344E-2</v>
      </c>
      <c r="D7" s="96">
        <f>BSpUECB_세액공제액!E51</f>
        <v>2.8305321981791684E-2</v>
      </c>
      <c r="E7" s="96">
        <f>BSpUECB_세액공제액!F51</f>
        <v>2.8437531139524342E-2</v>
      </c>
      <c r="F7" s="96">
        <f>BSpUECB_세액공제액!G51</f>
        <v>2.8593251156278986E-2</v>
      </c>
      <c r="G7" s="96">
        <f>BSpUECB_세액공제액!H51</f>
        <v>2.8561138866663321E-2</v>
      </c>
      <c r="H7" s="96">
        <f>BSpUECB_세액공제액!I51</f>
        <v>2.8526038073996503E-2</v>
      </c>
      <c r="I7" s="96">
        <f>BSpUECB_세액공제액!J51</f>
        <v>2.8488265986790228E-2</v>
      </c>
      <c r="J7" s="96">
        <f>BSpUECB_세액공제액!K51</f>
        <v>2.8448148145582497E-2</v>
      </c>
      <c r="K7" s="96">
        <f>BSpUECB_세액공제액!L51</f>
        <v>2.8406018929872403E-2</v>
      </c>
      <c r="L7" s="96">
        <f>BSpUECB_세액공제액!M51</f>
        <v>2.8406018929872396E-2</v>
      </c>
      <c r="M7" s="96">
        <f>BSpUECB_세액공제액!N51</f>
        <v>2.8406018929872403E-2</v>
      </c>
      <c r="N7" s="96">
        <f>BSpUECB_세액공제액!O51</f>
        <v>2.8406018929872396E-2</v>
      </c>
      <c r="O7" s="96">
        <f>BSpUECB_세액공제액!P51</f>
        <v>2.8406018929872399E-2</v>
      </c>
      <c r="P7" s="96">
        <f>BSpUECB_세액공제액!Q51</f>
        <v>2.8406018929872406E-2</v>
      </c>
      <c r="Q7" s="96">
        <f>BSpUECB_세액공제액!R51</f>
        <v>2.8406018929872399E-2</v>
      </c>
      <c r="R7" s="96">
        <f>BSpUECB_세액공제액!S51</f>
        <v>2.8406018929872403E-2</v>
      </c>
      <c r="S7" s="96">
        <f>BSpUECB_세액공제액!T51</f>
        <v>2.8406018929872406E-2</v>
      </c>
      <c r="T7" s="96">
        <f>BSpUECB_세액공제액!U51</f>
        <v>2.8406018929872406E-2</v>
      </c>
      <c r="U7" s="96">
        <f>BSpUECB_세액공제액!V51</f>
        <v>2.8406018929872396E-2</v>
      </c>
      <c r="V7" s="96">
        <f>BSpUECB_세액공제액!W51</f>
        <v>2.8406018929872406E-2</v>
      </c>
      <c r="W7" s="96">
        <f>BSpUECB_세액공제액!X51</f>
        <v>2.8406018929872406E-2</v>
      </c>
      <c r="X7" s="96">
        <f>BSpUECB_세액공제액!Y51</f>
        <v>2.8406018929872406E-2</v>
      </c>
      <c r="Y7" s="96">
        <f>BSpUECB_세액공제액!Z51</f>
        <v>2.8406018929872406E-2</v>
      </c>
      <c r="Z7" s="96">
        <f>BSpUECB_세액공제액!AA51</f>
        <v>2.8406018929872406E-2</v>
      </c>
      <c r="AA7" s="96">
        <f>BSpUECB_세액공제액!AB51</f>
        <v>2.8406018929872406E-2</v>
      </c>
      <c r="AB7" s="96">
        <f>BSpUECB_세액공제액!AC51</f>
        <v>2.8406018929872406E-2</v>
      </c>
      <c r="AC7" s="96">
        <f>BSpUECB_세액공제액!AD51</f>
        <v>2.8406018929872406E-2</v>
      </c>
      <c r="AD7" s="96">
        <f>BSpUECB_세액공제액!AE51</f>
        <v>2.8406018929872406E-2</v>
      </c>
      <c r="AE7" s="96">
        <f>BSpUECB_세액공제액!AF51</f>
        <v>2.8406018929872406E-2</v>
      </c>
      <c r="AF7" s="38"/>
      <c r="AG7" s="38"/>
    </row>
    <row r="8" spans="1:33" ht="16.5" customHeight="1">
      <c r="A8" s="29" t="s">
        <v>222</v>
      </c>
      <c r="B8" s="96">
        <f>BSpUECB_세액공제액!C52</f>
        <v>2.5411076475192643E-2</v>
      </c>
      <c r="C8" s="96">
        <f>BSpUECB_세액공제액!D52</f>
        <v>2.5513356095024052E-2</v>
      </c>
      <c r="D8" s="96">
        <f>BSpUECB_세액공제액!E52</f>
        <v>2.5680469019471523E-2</v>
      </c>
      <c r="E8" s="96">
        <f>BSpUECB_세액공제액!F52</f>
        <v>2.5923318965309711E-2</v>
      </c>
      <c r="F8" s="96">
        <f>BSpUECB_세액공제액!G52</f>
        <v>2.6254753676520928E-2</v>
      </c>
      <c r="G8" s="96">
        <f>BSpUECB_세액공제액!H52</f>
        <v>2.6195638379179619E-2</v>
      </c>
      <c r="H8" s="96">
        <f>BSpUECB_세액공제액!I52</f>
        <v>2.6150522878159835E-2</v>
      </c>
      <c r="I8" s="96">
        <f>BSpUECB_세액공제액!J52</f>
        <v>2.6123022688198654E-2</v>
      </c>
      <c r="J8" s="96">
        <f>BSpUECB_세액공제액!K52</f>
        <v>2.6117140330909051E-2</v>
      </c>
      <c r="K8" s="96">
        <f>BSpUECB_세액공제액!L52</f>
        <v>2.6137331465165805E-2</v>
      </c>
      <c r="L8" s="96">
        <f>BSpUECB_세액공제액!M52</f>
        <v>2.6137331465165801E-2</v>
      </c>
      <c r="M8" s="96">
        <f>BSpUECB_세액공제액!N52</f>
        <v>2.6137331465165805E-2</v>
      </c>
      <c r="N8" s="96">
        <f>BSpUECB_세액공제액!O52</f>
        <v>2.6137331465165812E-2</v>
      </c>
      <c r="O8" s="96">
        <f>BSpUECB_세액공제액!P52</f>
        <v>2.6137331465165801E-2</v>
      </c>
      <c r="P8" s="96">
        <f>BSpUECB_세액공제액!Q52</f>
        <v>2.6137331465165801E-2</v>
      </c>
      <c r="Q8" s="96">
        <f>BSpUECB_세액공제액!R52</f>
        <v>2.6137331465165801E-2</v>
      </c>
      <c r="R8" s="96">
        <f>BSpUECB_세액공제액!S52</f>
        <v>2.6137331465165801E-2</v>
      </c>
      <c r="S8" s="96">
        <f>BSpUECB_세액공제액!T52</f>
        <v>2.6137331465165805E-2</v>
      </c>
      <c r="T8" s="96">
        <f>BSpUECB_세액공제액!U52</f>
        <v>2.6137331465165808E-2</v>
      </c>
      <c r="U8" s="96">
        <f>BSpUECB_세액공제액!V52</f>
        <v>2.6137331465165798E-2</v>
      </c>
      <c r="V8" s="96">
        <f>BSpUECB_세액공제액!W52</f>
        <v>2.6137331465165801E-2</v>
      </c>
      <c r="W8" s="96">
        <f>BSpUECB_세액공제액!X52</f>
        <v>2.6137331465165801E-2</v>
      </c>
      <c r="X8" s="96">
        <f>BSpUECB_세액공제액!Y52</f>
        <v>2.6137331465165801E-2</v>
      </c>
      <c r="Y8" s="96">
        <f>BSpUECB_세액공제액!Z52</f>
        <v>2.6137331465165801E-2</v>
      </c>
      <c r="Z8" s="96">
        <f>BSpUECB_세액공제액!AA52</f>
        <v>2.6137331465165801E-2</v>
      </c>
      <c r="AA8" s="96">
        <f>BSpUECB_세액공제액!AB52</f>
        <v>2.6137331465165801E-2</v>
      </c>
      <c r="AB8" s="96">
        <f>BSpUECB_세액공제액!AC52</f>
        <v>2.6137331465165801E-2</v>
      </c>
      <c r="AC8" s="96">
        <f>BSpUECB_세액공제액!AD52</f>
        <v>2.6137331465165801E-2</v>
      </c>
      <c r="AD8" s="96">
        <f>BSpUECB_세액공제액!AE52</f>
        <v>2.6137331465165801E-2</v>
      </c>
      <c r="AE8" s="96">
        <f>BSpUECB_세액공제액!AF52</f>
        <v>2.6137331465165801E-2</v>
      </c>
      <c r="AF8" s="38"/>
      <c r="AG8" s="38"/>
    </row>
    <row r="9" spans="1:33" ht="16.5" customHeight="1">
      <c r="A9" s="17" t="s">
        <v>223</v>
      </c>
      <c r="B9" s="96">
        <v>0</v>
      </c>
      <c r="C9" s="96">
        <v>0</v>
      </c>
      <c r="D9" s="96">
        <v>0</v>
      </c>
      <c r="E9" s="96">
        <v>0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96">
        <v>0</v>
      </c>
      <c r="L9" s="96">
        <v>0</v>
      </c>
      <c r="M9" s="96">
        <v>0</v>
      </c>
      <c r="N9" s="96">
        <v>0</v>
      </c>
      <c r="O9" s="96">
        <v>0</v>
      </c>
      <c r="P9" s="96">
        <v>0</v>
      </c>
      <c r="Q9" s="96">
        <v>0</v>
      </c>
      <c r="R9" s="96">
        <v>0</v>
      </c>
      <c r="S9" s="96">
        <v>0</v>
      </c>
      <c r="T9" s="96">
        <v>0</v>
      </c>
      <c r="U9" s="96">
        <v>0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0</v>
      </c>
      <c r="AB9" s="96">
        <v>0</v>
      </c>
      <c r="AC9" s="96">
        <v>0</v>
      </c>
      <c r="AD9" s="96">
        <v>0</v>
      </c>
      <c r="AE9" s="96">
        <v>0</v>
      </c>
      <c r="AF9" s="38"/>
      <c r="AG9" s="38"/>
    </row>
    <row r="10" spans="1:33" ht="16.5" customHeight="1">
      <c r="A10" s="29" t="s">
        <v>116</v>
      </c>
      <c r="B10" s="96">
        <f>BSpUECB_세액공제액!B54</f>
        <v>0.03</v>
      </c>
      <c r="C10" s="96">
        <f>BSpUECB_세액공제액!C54</f>
        <v>0.03</v>
      </c>
      <c r="D10" s="96">
        <f>BSpUECB_세액공제액!D54</f>
        <v>0.03</v>
      </c>
      <c r="E10" s="96">
        <f>BSpUECB_세액공제액!E54</f>
        <v>0.03</v>
      </c>
      <c r="F10" s="96">
        <f>BSpUECB_세액공제액!F54</f>
        <v>0.03</v>
      </c>
      <c r="G10" s="96">
        <f>BSpUECB_세액공제액!G54</f>
        <v>0.03</v>
      </c>
      <c r="H10" s="96">
        <f>BSpUECB_세액공제액!H54</f>
        <v>0.03</v>
      </c>
      <c r="I10" s="96">
        <f>BSpUECB_세액공제액!I54</f>
        <v>0.03</v>
      </c>
      <c r="J10" s="96">
        <f>BSpUECB_세액공제액!J54</f>
        <v>0.03</v>
      </c>
      <c r="K10" s="96">
        <f>BSpUECB_세액공제액!K54</f>
        <v>0.03</v>
      </c>
      <c r="L10" s="96">
        <f>BSpUECB_세액공제액!L54</f>
        <v>0.03</v>
      </c>
      <c r="M10" s="96">
        <f>BSpUECB_세액공제액!M54</f>
        <v>0.03</v>
      </c>
      <c r="N10" s="96">
        <f>BSpUECB_세액공제액!N54</f>
        <v>0.03</v>
      </c>
      <c r="O10" s="96">
        <f>BSpUECB_세액공제액!O54</f>
        <v>0.03</v>
      </c>
      <c r="P10" s="96">
        <f>BSpUECB_세액공제액!P54</f>
        <v>0.03</v>
      </c>
      <c r="Q10" s="96">
        <f>BSpUECB_세액공제액!Q54</f>
        <v>0.03</v>
      </c>
      <c r="R10" s="96">
        <f>BSpUECB_세액공제액!R54</f>
        <v>0.03</v>
      </c>
      <c r="S10" s="96">
        <f>BSpUECB_세액공제액!S54</f>
        <v>0.03</v>
      </c>
      <c r="T10" s="96">
        <f>BSpUECB_세액공제액!T54</f>
        <v>0.03</v>
      </c>
      <c r="U10" s="96">
        <f>BSpUECB_세액공제액!U54</f>
        <v>0.03</v>
      </c>
      <c r="V10" s="96">
        <f>BSpUECB_세액공제액!V54</f>
        <v>0.03</v>
      </c>
      <c r="W10" s="96">
        <f>BSpUECB_세액공제액!W54</f>
        <v>0.03</v>
      </c>
      <c r="X10" s="96">
        <f>BSpUECB_세액공제액!X54</f>
        <v>0.03</v>
      </c>
      <c r="Y10" s="96">
        <f>BSpUECB_세액공제액!Y54</f>
        <v>0.03</v>
      </c>
      <c r="Z10" s="96">
        <f>BSpUECB_세액공제액!Z54</f>
        <v>0.03</v>
      </c>
      <c r="AA10" s="96">
        <f>BSpUECB_세액공제액!AA54</f>
        <v>0.03</v>
      </c>
      <c r="AB10" s="96">
        <f>BSpUECB_세액공제액!AB54</f>
        <v>0.03</v>
      </c>
      <c r="AC10" s="96">
        <f>BSpUECB_세액공제액!AC54</f>
        <v>0.03</v>
      </c>
      <c r="AD10" s="96">
        <f>BSpUECB_세액공제액!AD54</f>
        <v>0.03</v>
      </c>
      <c r="AE10" s="96">
        <f>BSpUECB_세액공제액!AE54</f>
        <v>0.03</v>
      </c>
      <c r="AF10" s="38"/>
      <c r="AG10" s="38"/>
    </row>
    <row r="11" spans="1:33" ht="16.5" customHeight="1">
      <c r="A11" s="17" t="s">
        <v>128</v>
      </c>
      <c r="B11" s="96">
        <v>0</v>
      </c>
      <c r="C11" s="96">
        <v>0</v>
      </c>
      <c r="D11" s="96">
        <v>0</v>
      </c>
      <c r="E11" s="96">
        <v>0</v>
      </c>
      <c r="F11" s="96">
        <v>0</v>
      </c>
      <c r="G11" s="96">
        <v>0</v>
      </c>
      <c r="H11" s="96">
        <v>0</v>
      </c>
      <c r="I11" s="96">
        <v>0</v>
      </c>
      <c r="J11" s="96">
        <v>0</v>
      </c>
      <c r="K11" s="96">
        <v>0</v>
      </c>
      <c r="L11" s="96">
        <v>0</v>
      </c>
      <c r="M11" s="96">
        <v>0</v>
      </c>
      <c r="N11" s="96">
        <v>0</v>
      </c>
      <c r="O11" s="96">
        <v>0</v>
      </c>
      <c r="P11" s="96">
        <v>0</v>
      </c>
      <c r="Q11" s="96">
        <v>0</v>
      </c>
      <c r="R11" s="96">
        <v>0</v>
      </c>
      <c r="S11" s="96">
        <v>0</v>
      </c>
      <c r="T11" s="96">
        <v>0</v>
      </c>
      <c r="U11" s="96">
        <v>0</v>
      </c>
      <c r="V11" s="96">
        <v>0</v>
      </c>
      <c r="W11" s="96">
        <v>0</v>
      </c>
      <c r="X11" s="96">
        <v>0</v>
      </c>
      <c r="Y11" s="96">
        <v>0</v>
      </c>
      <c r="Z11" s="96">
        <v>0</v>
      </c>
      <c r="AA11" s="96">
        <v>0</v>
      </c>
      <c r="AB11" s="96">
        <v>0</v>
      </c>
      <c r="AC11" s="96">
        <v>0</v>
      </c>
      <c r="AD11" s="96">
        <v>0</v>
      </c>
      <c r="AE11" s="96">
        <v>0</v>
      </c>
      <c r="AF11" s="38"/>
      <c r="AG11" s="38"/>
    </row>
    <row r="12" spans="1:33" ht="16.5" customHeight="1">
      <c r="A12" s="17" t="s">
        <v>224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0</v>
      </c>
      <c r="Y12" s="96">
        <v>0</v>
      </c>
      <c r="Z12" s="96">
        <v>0</v>
      </c>
      <c r="AA12" s="96">
        <v>0</v>
      </c>
      <c r="AB12" s="96">
        <v>0</v>
      </c>
      <c r="AC12" s="96">
        <v>0</v>
      </c>
      <c r="AD12" s="96">
        <v>0</v>
      </c>
      <c r="AE12" s="96">
        <v>0</v>
      </c>
      <c r="AF12" s="38"/>
      <c r="AG12" s="38"/>
    </row>
    <row r="13" spans="1:33" ht="16.5" customHeight="1">
      <c r="A13" s="17" t="s">
        <v>225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Z13" s="96">
        <v>0</v>
      </c>
      <c r="AA13" s="96">
        <v>0</v>
      </c>
      <c r="AB13" s="96">
        <v>0</v>
      </c>
      <c r="AC13" s="96">
        <v>0</v>
      </c>
      <c r="AD13" s="96">
        <v>0</v>
      </c>
      <c r="AE13" s="96">
        <v>0</v>
      </c>
      <c r="AF13" s="38"/>
      <c r="AG13" s="38"/>
    </row>
    <row r="14" spans="1:33" ht="16.5" customHeight="1">
      <c r="A14" s="17" t="s">
        <v>226</v>
      </c>
      <c r="B14" s="96">
        <v>0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v>0</v>
      </c>
      <c r="O14" s="96"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0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38"/>
      <c r="AG14" s="38"/>
    </row>
    <row r="15" spans="1:33" ht="16.5" customHeight="1">
      <c r="A15" s="29" t="s">
        <v>126</v>
      </c>
      <c r="B15" s="96">
        <f>BSpUECB_세액공제액!B59</f>
        <v>2.6708688566508796E-2</v>
      </c>
      <c r="C15" s="96">
        <f>BSpUECB_세액공제액!C59</f>
        <v>2.6708688566508796E-2</v>
      </c>
      <c r="D15" s="96">
        <f>BSpUECB_세액공제액!D59</f>
        <v>2.6708688566508796E-2</v>
      </c>
      <c r="E15" s="96">
        <f>BSpUECB_세액공제액!E59</f>
        <v>2.6708688566508799E-2</v>
      </c>
      <c r="F15" s="96">
        <f>BSpUECB_세액공제액!F59</f>
        <v>2.6708688566508796E-2</v>
      </c>
      <c r="G15" s="96">
        <f>BSpUECB_세액공제액!G59</f>
        <v>2.6708688566508799E-2</v>
      </c>
      <c r="H15" s="96">
        <f>BSpUECB_세액공제액!H59</f>
        <v>2.6708688566508793E-2</v>
      </c>
      <c r="I15" s="96">
        <f>BSpUECB_세액공제액!I59</f>
        <v>2.6708688566508799E-2</v>
      </c>
      <c r="J15" s="96">
        <f>BSpUECB_세액공제액!J59</f>
        <v>2.6708688566508796E-2</v>
      </c>
      <c r="K15" s="96">
        <f>BSpUECB_세액공제액!K59</f>
        <v>2.6708688566508796E-2</v>
      </c>
      <c r="L15" s="96">
        <f>BSpUECB_세액공제액!L59</f>
        <v>2.6708688566508803E-2</v>
      </c>
      <c r="M15" s="96">
        <f>BSpUECB_세액공제액!M59</f>
        <v>2.6708688566508796E-2</v>
      </c>
      <c r="N15" s="96">
        <f>BSpUECB_세액공제액!N59</f>
        <v>2.6708688566508793E-2</v>
      </c>
      <c r="O15" s="96">
        <f>BSpUECB_세액공제액!O59</f>
        <v>2.6708688566508789E-2</v>
      </c>
      <c r="P15" s="96">
        <f>BSpUECB_세액공제액!P59</f>
        <v>2.6708688566508796E-2</v>
      </c>
      <c r="Q15" s="96">
        <f>BSpUECB_세액공제액!Q59</f>
        <v>2.6708688566508796E-2</v>
      </c>
      <c r="R15" s="96">
        <f>BSpUECB_세액공제액!R59</f>
        <v>2.6708688566508799E-2</v>
      </c>
      <c r="S15" s="96">
        <f>BSpUECB_세액공제액!S59</f>
        <v>2.6708688566508799E-2</v>
      </c>
      <c r="T15" s="96">
        <f>BSpUECB_세액공제액!T59</f>
        <v>2.6708688566508796E-2</v>
      </c>
      <c r="U15" s="96">
        <f>BSpUECB_세액공제액!U59</f>
        <v>2.6708688566508793E-2</v>
      </c>
      <c r="V15" s="96">
        <f>BSpUECB_세액공제액!V59</f>
        <v>2.6708688566508789E-2</v>
      </c>
      <c r="W15" s="96">
        <f>BSpUECB_세액공제액!W59</f>
        <v>2.6708688566508793E-2</v>
      </c>
      <c r="X15" s="96">
        <f>BSpUECB_세액공제액!X59</f>
        <v>2.6708688566508793E-2</v>
      </c>
      <c r="Y15" s="96">
        <f>BSpUECB_세액공제액!Y59</f>
        <v>2.6708688566508793E-2</v>
      </c>
      <c r="Z15" s="96">
        <f>BSpUECB_세액공제액!Z59</f>
        <v>2.6708688566508793E-2</v>
      </c>
      <c r="AA15" s="96">
        <f>BSpUECB_세액공제액!AA59</f>
        <v>2.6708688566508793E-2</v>
      </c>
      <c r="AB15" s="96">
        <f>BSpUECB_세액공제액!AB59</f>
        <v>2.6708688566508793E-2</v>
      </c>
      <c r="AC15" s="96">
        <f>BSpUECB_세액공제액!AC59</f>
        <v>2.6708688566508793E-2</v>
      </c>
      <c r="AD15" s="96">
        <f>BSpUECB_세액공제액!AD59</f>
        <v>2.6708688566508793E-2</v>
      </c>
      <c r="AE15" s="96">
        <f>BSpUECB_세액공제액!AE59</f>
        <v>2.6708688566508793E-2</v>
      </c>
      <c r="AF15" s="38"/>
      <c r="AG15" s="38"/>
    </row>
    <row r="16" spans="1:33" ht="16.5" customHeight="1">
      <c r="A16" s="17" t="s">
        <v>211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38"/>
      <c r="AG16" s="38"/>
    </row>
    <row r="17" spans="1:33" ht="16.5" customHeight="1">
      <c r="A17" s="17" t="s">
        <v>227</v>
      </c>
      <c r="B17" s="96">
        <v>0</v>
      </c>
      <c r="C17" s="96">
        <v>0</v>
      </c>
      <c r="D17" s="96">
        <v>0</v>
      </c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v>0</v>
      </c>
      <c r="P17" s="96">
        <v>0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>
        <v>0</v>
      </c>
      <c r="AB17" s="96">
        <v>0</v>
      </c>
      <c r="AC17" s="96">
        <v>0</v>
      </c>
      <c r="AD17" s="96">
        <v>0</v>
      </c>
      <c r="AE17" s="96">
        <v>0</v>
      </c>
      <c r="AF17" s="38"/>
      <c r="AG17" s="38"/>
    </row>
    <row r="18" spans="1:33" ht="16.5" customHeight="1">
      <c r="A18" s="17" t="s">
        <v>214</v>
      </c>
      <c r="B18" s="96">
        <v>0</v>
      </c>
      <c r="C18" s="96">
        <v>0</v>
      </c>
      <c r="D18" s="96">
        <v>0</v>
      </c>
      <c r="E18" s="96">
        <v>0</v>
      </c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  <c r="N18" s="96">
        <v>0</v>
      </c>
      <c r="O18" s="96">
        <v>0</v>
      </c>
      <c r="P18" s="96">
        <v>0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0</v>
      </c>
      <c r="AE18" s="96">
        <v>0</v>
      </c>
    </row>
    <row r="19" spans="1:33" ht="16.5" customHeight="1">
      <c r="A19" s="17" t="s">
        <v>228</v>
      </c>
      <c r="B19" s="96">
        <v>0</v>
      </c>
      <c r="C19" s="96">
        <v>0</v>
      </c>
      <c r="D19" s="96">
        <v>0</v>
      </c>
      <c r="E19" s="96">
        <v>0</v>
      </c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6">
        <v>0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0</v>
      </c>
      <c r="AB19" s="96">
        <v>0</v>
      </c>
      <c r="AC19" s="96">
        <v>0</v>
      </c>
      <c r="AD19" s="96">
        <v>0</v>
      </c>
      <c r="AE19" s="96">
        <v>0</v>
      </c>
    </row>
    <row r="20" spans="1:33" ht="16.5" customHeight="1">
      <c r="A20" s="17" t="s">
        <v>229</v>
      </c>
      <c r="B20" s="96">
        <v>0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96">
        <v>0</v>
      </c>
      <c r="Z20" s="96">
        <v>0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</row>
    <row r="21" spans="1:33" ht="16.5" customHeight="1">
      <c r="A21" s="17" t="s">
        <v>230</v>
      </c>
      <c r="B21" s="96">
        <v>0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</row>
    <row r="22" spans="1:33" ht="16.5" customHeight="1">
      <c r="A22" s="17" t="s">
        <v>231</v>
      </c>
      <c r="B22" s="96">
        <v>0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96">
        <v>0</v>
      </c>
      <c r="Z22" s="96">
        <v>0</v>
      </c>
      <c r="AA22" s="96">
        <v>0</v>
      </c>
      <c r="AB22" s="96">
        <v>0</v>
      </c>
      <c r="AC22" s="96">
        <v>0</v>
      </c>
      <c r="AD22" s="96">
        <v>0</v>
      </c>
      <c r="AE22" s="96">
        <v>0</v>
      </c>
    </row>
    <row r="23" spans="1:33" ht="16.5" customHeight="1">
      <c r="A23" s="17" t="s">
        <v>232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</row>
    <row r="24" spans="1:33" ht="16.5" customHeight="1">
      <c r="A24" s="40" t="s">
        <v>233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Z24" s="96">
        <v>0</v>
      </c>
      <c r="AA24" s="96">
        <v>0</v>
      </c>
      <c r="AB24" s="96">
        <v>0</v>
      </c>
      <c r="AC24" s="96">
        <v>0</v>
      </c>
      <c r="AD24" s="96">
        <v>0</v>
      </c>
      <c r="AE24" s="96">
        <v>0</v>
      </c>
    </row>
    <row r="25" spans="1:33" ht="16.5" customHeight="1">
      <c r="A25" s="40" t="s">
        <v>234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0</v>
      </c>
      <c r="Q25" s="96">
        <v>0</v>
      </c>
      <c r="R25" s="96">
        <v>0</v>
      </c>
      <c r="S25" s="96">
        <v>0</v>
      </c>
      <c r="T25" s="96">
        <v>0</v>
      </c>
      <c r="U25" s="96">
        <v>0</v>
      </c>
      <c r="V25" s="96">
        <v>0</v>
      </c>
      <c r="W25" s="96">
        <v>0</v>
      </c>
      <c r="X25" s="96">
        <v>0</v>
      </c>
      <c r="Y25" s="96">
        <v>0</v>
      </c>
      <c r="Z25" s="96">
        <v>0</v>
      </c>
      <c r="AA25" s="96">
        <v>0</v>
      </c>
      <c r="AB25" s="96">
        <v>0</v>
      </c>
      <c r="AC25" s="96">
        <v>0</v>
      </c>
      <c r="AD25" s="96">
        <v>0</v>
      </c>
      <c r="AE25" s="96">
        <v>0</v>
      </c>
    </row>
    <row r="26" spans="1:33" ht="16.5" customHeight="1"/>
    <row r="27" spans="1:33" ht="16.5" customHeight="1"/>
    <row r="28" spans="1:33" ht="16.5" customHeight="1"/>
    <row r="29" spans="1:33" ht="16.5" customHeight="1"/>
    <row r="30" spans="1:33" ht="16.5" customHeight="1"/>
    <row r="31" spans="1:33" ht="16.5" customHeight="1"/>
    <row r="32" spans="1:3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97D"/>
  </sheetPr>
  <dimension ref="A1:AE1000"/>
  <sheetViews>
    <sheetView tabSelected="1" workbookViewId="0">
      <selection activeCell="K31" sqref="K31"/>
    </sheetView>
  </sheetViews>
  <sheetFormatPr defaultColWidth="14.453125" defaultRowHeight="15" customHeight="1"/>
  <cols>
    <col min="1" max="31" width="8.7265625" customWidth="1"/>
  </cols>
  <sheetData>
    <row r="1" spans="1:31" ht="16.5" customHeight="1">
      <c r="A1" s="17" t="s">
        <v>177</v>
      </c>
      <c r="B1" s="17">
        <v>2021</v>
      </c>
      <c r="C1" s="17">
        <v>2022</v>
      </c>
      <c r="D1" s="17">
        <v>2023</v>
      </c>
      <c r="E1" s="17">
        <v>2024</v>
      </c>
      <c r="F1" s="17">
        <v>2025</v>
      </c>
      <c r="G1" s="17">
        <v>2026</v>
      </c>
      <c r="H1" s="17">
        <v>2027</v>
      </c>
      <c r="I1" s="17">
        <v>2028</v>
      </c>
      <c r="J1" s="17">
        <v>2029</v>
      </c>
      <c r="K1" s="17">
        <v>2030</v>
      </c>
      <c r="L1" s="17">
        <v>2031</v>
      </c>
      <c r="M1" s="17">
        <v>2032</v>
      </c>
      <c r="N1" s="17">
        <v>2033</v>
      </c>
      <c r="O1" s="17">
        <v>2034</v>
      </c>
      <c r="P1" s="17">
        <v>2035</v>
      </c>
      <c r="Q1" s="17">
        <v>2036</v>
      </c>
      <c r="R1" s="17">
        <v>2037</v>
      </c>
      <c r="S1" s="17">
        <v>2038</v>
      </c>
      <c r="T1" s="17">
        <v>2039</v>
      </c>
      <c r="U1" s="17">
        <v>2040</v>
      </c>
      <c r="V1" s="17">
        <v>2041</v>
      </c>
      <c r="W1" s="17">
        <v>2042</v>
      </c>
      <c r="X1" s="17">
        <v>2043</v>
      </c>
      <c r="Y1" s="17">
        <v>2044</v>
      </c>
      <c r="Z1" s="17">
        <v>2045</v>
      </c>
      <c r="AA1" s="17">
        <v>2046</v>
      </c>
      <c r="AB1" s="17">
        <v>2047</v>
      </c>
      <c r="AC1" s="17">
        <v>2048</v>
      </c>
      <c r="AD1" s="17">
        <v>2049</v>
      </c>
      <c r="AE1" s="17">
        <v>2050</v>
      </c>
    </row>
    <row r="2" spans="1:31" ht="16.5" customHeight="1">
      <c r="A2" s="17" t="s">
        <v>219</v>
      </c>
      <c r="B2" s="96">
        <v>10</v>
      </c>
      <c r="C2" s="96">
        <v>10</v>
      </c>
      <c r="D2" s="96">
        <v>10</v>
      </c>
      <c r="E2" s="96">
        <v>10</v>
      </c>
      <c r="F2" s="96">
        <v>10</v>
      </c>
      <c r="G2" s="96">
        <v>10</v>
      </c>
      <c r="H2" s="96">
        <v>10</v>
      </c>
      <c r="I2" s="96">
        <v>10</v>
      </c>
      <c r="J2" s="96">
        <v>10</v>
      </c>
      <c r="K2" s="96">
        <v>10</v>
      </c>
      <c r="L2" s="96">
        <v>10</v>
      </c>
      <c r="M2" s="96">
        <v>10</v>
      </c>
      <c r="N2" s="96">
        <v>10</v>
      </c>
      <c r="O2" s="96">
        <v>10</v>
      </c>
      <c r="P2" s="96">
        <v>10</v>
      </c>
      <c r="Q2" s="96">
        <v>10</v>
      </c>
      <c r="R2" s="96">
        <v>10</v>
      </c>
      <c r="S2" s="96">
        <v>10</v>
      </c>
      <c r="T2" s="96">
        <v>10</v>
      </c>
      <c r="U2" s="96">
        <v>10</v>
      </c>
      <c r="V2" s="96">
        <v>10</v>
      </c>
      <c r="W2" s="96">
        <v>10</v>
      </c>
      <c r="X2" s="96">
        <v>10</v>
      </c>
      <c r="Y2" s="96">
        <v>10</v>
      </c>
      <c r="Z2" s="96">
        <v>10</v>
      </c>
      <c r="AA2" s="96">
        <v>10</v>
      </c>
      <c r="AB2" s="96">
        <v>10</v>
      </c>
      <c r="AC2" s="96">
        <v>10</v>
      </c>
      <c r="AD2" s="96">
        <v>10</v>
      </c>
      <c r="AE2" s="96">
        <v>10</v>
      </c>
    </row>
    <row r="3" spans="1:31" ht="16.5" customHeight="1">
      <c r="A3" s="17" t="s">
        <v>220</v>
      </c>
      <c r="B3" s="96">
        <v>10</v>
      </c>
      <c r="C3" s="96">
        <v>10</v>
      </c>
      <c r="D3" s="96">
        <v>10</v>
      </c>
      <c r="E3" s="96">
        <v>10</v>
      </c>
      <c r="F3" s="96">
        <v>10</v>
      </c>
      <c r="G3" s="96">
        <v>10</v>
      </c>
      <c r="H3" s="96">
        <v>10</v>
      </c>
      <c r="I3" s="96">
        <v>10</v>
      </c>
      <c r="J3" s="96">
        <v>10</v>
      </c>
      <c r="K3" s="96">
        <v>10</v>
      </c>
      <c r="L3" s="96">
        <v>10</v>
      </c>
      <c r="M3" s="96">
        <v>10</v>
      </c>
      <c r="N3" s="96">
        <v>10</v>
      </c>
      <c r="O3" s="96">
        <v>10</v>
      </c>
      <c r="P3" s="96">
        <v>10</v>
      </c>
      <c r="Q3" s="96">
        <v>10</v>
      </c>
      <c r="R3" s="96">
        <v>10</v>
      </c>
      <c r="S3" s="96">
        <v>10</v>
      </c>
      <c r="T3" s="96">
        <v>10</v>
      </c>
      <c r="U3" s="96">
        <v>10</v>
      </c>
      <c r="V3" s="96">
        <v>10</v>
      </c>
      <c r="W3" s="96">
        <v>10</v>
      </c>
      <c r="X3" s="96">
        <v>10</v>
      </c>
      <c r="Y3" s="96">
        <v>10</v>
      </c>
      <c r="Z3" s="96">
        <v>10</v>
      </c>
      <c r="AA3" s="96">
        <v>10</v>
      </c>
      <c r="AB3" s="96">
        <v>10</v>
      </c>
      <c r="AC3" s="96">
        <v>10</v>
      </c>
      <c r="AD3" s="96">
        <v>10</v>
      </c>
      <c r="AE3" s="96">
        <v>10</v>
      </c>
    </row>
    <row r="4" spans="1:31" ht="16.5" customHeight="1">
      <c r="A4" s="17" t="s">
        <v>221</v>
      </c>
      <c r="B4" s="96">
        <v>10</v>
      </c>
      <c r="C4" s="96">
        <v>10</v>
      </c>
      <c r="D4" s="96">
        <v>10</v>
      </c>
      <c r="E4" s="96">
        <v>10</v>
      </c>
      <c r="F4" s="96">
        <v>10</v>
      </c>
      <c r="G4" s="96">
        <v>10</v>
      </c>
      <c r="H4" s="96">
        <v>10</v>
      </c>
      <c r="I4" s="96">
        <v>10</v>
      </c>
      <c r="J4" s="96">
        <v>10</v>
      </c>
      <c r="K4" s="96">
        <v>10</v>
      </c>
      <c r="L4" s="96">
        <v>10</v>
      </c>
      <c r="M4" s="96">
        <v>10</v>
      </c>
      <c r="N4" s="96">
        <v>10</v>
      </c>
      <c r="O4" s="96">
        <v>10</v>
      </c>
      <c r="P4" s="96">
        <v>10</v>
      </c>
      <c r="Q4" s="96">
        <v>10</v>
      </c>
      <c r="R4" s="96">
        <v>10</v>
      </c>
      <c r="S4" s="96">
        <v>10</v>
      </c>
      <c r="T4" s="96">
        <v>10</v>
      </c>
      <c r="U4" s="96">
        <v>10</v>
      </c>
      <c r="V4" s="96">
        <v>10</v>
      </c>
      <c r="W4" s="96">
        <v>10</v>
      </c>
      <c r="X4" s="96">
        <v>10</v>
      </c>
      <c r="Y4" s="96">
        <v>10</v>
      </c>
      <c r="Z4" s="96">
        <v>10</v>
      </c>
      <c r="AA4" s="96">
        <v>10</v>
      </c>
      <c r="AB4" s="96">
        <v>10</v>
      </c>
      <c r="AC4" s="96">
        <v>10</v>
      </c>
      <c r="AD4" s="96">
        <v>10</v>
      </c>
      <c r="AE4" s="96">
        <v>10</v>
      </c>
    </row>
    <row r="5" spans="1:31" ht="16.5" customHeight="1">
      <c r="A5" s="17" t="s">
        <v>123</v>
      </c>
      <c r="B5" s="96">
        <v>10</v>
      </c>
      <c r="C5" s="96">
        <v>10</v>
      </c>
      <c r="D5" s="96">
        <v>10</v>
      </c>
      <c r="E5" s="96">
        <v>10</v>
      </c>
      <c r="F5" s="96">
        <v>10</v>
      </c>
      <c r="G5" s="96">
        <v>10</v>
      </c>
      <c r="H5" s="96">
        <v>10</v>
      </c>
      <c r="I5" s="96">
        <v>10</v>
      </c>
      <c r="J5" s="96">
        <v>10</v>
      </c>
      <c r="K5" s="96">
        <v>10</v>
      </c>
      <c r="L5" s="96">
        <v>10</v>
      </c>
      <c r="M5" s="96">
        <v>10</v>
      </c>
      <c r="N5" s="96">
        <v>10</v>
      </c>
      <c r="O5" s="96">
        <v>10</v>
      </c>
      <c r="P5" s="96">
        <v>10</v>
      </c>
      <c r="Q5" s="96">
        <v>10</v>
      </c>
      <c r="R5" s="96">
        <v>10</v>
      </c>
      <c r="S5" s="96">
        <v>10</v>
      </c>
      <c r="T5" s="96">
        <v>10</v>
      </c>
      <c r="U5" s="96">
        <v>10</v>
      </c>
      <c r="V5" s="96">
        <v>10</v>
      </c>
      <c r="W5" s="96">
        <v>10</v>
      </c>
      <c r="X5" s="96">
        <v>10</v>
      </c>
      <c r="Y5" s="96">
        <v>10</v>
      </c>
      <c r="Z5" s="96">
        <v>10</v>
      </c>
      <c r="AA5" s="96">
        <v>10</v>
      </c>
      <c r="AB5" s="96">
        <v>10</v>
      </c>
      <c r="AC5" s="96">
        <v>10</v>
      </c>
      <c r="AD5" s="96">
        <v>10</v>
      </c>
      <c r="AE5" s="96">
        <v>10</v>
      </c>
    </row>
    <row r="6" spans="1:31" ht="16.5" customHeight="1">
      <c r="A6" s="17" t="s">
        <v>122</v>
      </c>
      <c r="B6" s="96">
        <v>10</v>
      </c>
      <c r="C6" s="96">
        <v>10</v>
      </c>
      <c r="D6" s="96">
        <v>10</v>
      </c>
      <c r="E6" s="96">
        <v>10</v>
      </c>
      <c r="F6" s="96">
        <v>10</v>
      </c>
      <c r="G6" s="96">
        <v>10</v>
      </c>
      <c r="H6" s="96">
        <v>10</v>
      </c>
      <c r="I6" s="96">
        <v>10</v>
      </c>
      <c r="J6" s="96">
        <v>10</v>
      </c>
      <c r="K6" s="96">
        <v>10</v>
      </c>
      <c r="L6" s="96">
        <v>10</v>
      </c>
      <c r="M6" s="96">
        <v>10</v>
      </c>
      <c r="N6" s="96">
        <v>10</v>
      </c>
      <c r="O6" s="96">
        <v>10</v>
      </c>
      <c r="P6" s="96">
        <v>10</v>
      </c>
      <c r="Q6" s="96">
        <v>10</v>
      </c>
      <c r="R6" s="96">
        <v>10</v>
      </c>
      <c r="S6" s="96">
        <v>10</v>
      </c>
      <c r="T6" s="96">
        <v>10</v>
      </c>
      <c r="U6" s="96">
        <v>10</v>
      </c>
      <c r="V6" s="96">
        <v>10</v>
      </c>
      <c r="W6" s="96">
        <v>10</v>
      </c>
      <c r="X6" s="96">
        <v>10</v>
      </c>
      <c r="Y6" s="96">
        <v>10</v>
      </c>
      <c r="Z6" s="96">
        <v>10</v>
      </c>
      <c r="AA6" s="96">
        <v>10</v>
      </c>
      <c r="AB6" s="96">
        <v>10</v>
      </c>
      <c r="AC6" s="96">
        <v>10</v>
      </c>
      <c r="AD6" s="96">
        <v>10</v>
      </c>
      <c r="AE6" s="96">
        <v>10</v>
      </c>
    </row>
    <row r="7" spans="1:31" ht="16.5" customHeight="1">
      <c r="A7" s="17" t="s">
        <v>127</v>
      </c>
      <c r="B7" s="96">
        <v>10</v>
      </c>
      <c r="C7" s="96">
        <v>10</v>
      </c>
      <c r="D7" s="96">
        <v>10</v>
      </c>
      <c r="E7" s="96">
        <v>10</v>
      </c>
      <c r="F7" s="96">
        <v>10</v>
      </c>
      <c r="G7" s="96">
        <v>10</v>
      </c>
      <c r="H7" s="96">
        <v>10</v>
      </c>
      <c r="I7" s="96">
        <v>10</v>
      </c>
      <c r="J7" s="96">
        <v>10</v>
      </c>
      <c r="K7" s="96">
        <v>10</v>
      </c>
      <c r="L7" s="96">
        <v>10</v>
      </c>
      <c r="M7" s="96">
        <v>10</v>
      </c>
      <c r="N7" s="96">
        <v>10</v>
      </c>
      <c r="O7" s="96">
        <v>10</v>
      </c>
      <c r="P7" s="96">
        <v>10</v>
      </c>
      <c r="Q7" s="96">
        <v>10</v>
      </c>
      <c r="R7" s="96">
        <v>10</v>
      </c>
      <c r="S7" s="96">
        <v>10</v>
      </c>
      <c r="T7" s="96">
        <v>10</v>
      </c>
      <c r="U7" s="96">
        <v>10</v>
      </c>
      <c r="V7" s="96">
        <v>10</v>
      </c>
      <c r="W7" s="96">
        <v>10</v>
      </c>
      <c r="X7" s="96">
        <v>10</v>
      </c>
      <c r="Y7" s="96">
        <v>10</v>
      </c>
      <c r="Z7" s="96">
        <v>10</v>
      </c>
      <c r="AA7" s="96">
        <v>10</v>
      </c>
      <c r="AB7" s="96">
        <v>10</v>
      </c>
      <c r="AC7" s="96">
        <v>10</v>
      </c>
      <c r="AD7" s="96">
        <v>10</v>
      </c>
      <c r="AE7" s="96">
        <v>10</v>
      </c>
    </row>
    <row r="8" spans="1:31" ht="16.5" customHeight="1">
      <c r="A8" s="17" t="s">
        <v>222</v>
      </c>
      <c r="B8" s="96">
        <v>10</v>
      </c>
      <c r="C8" s="96">
        <v>10</v>
      </c>
      <c r="D8" s="96">
        <v>10</v>
      </c>
      <c r="E8" s="96">
        <v>10</v>
      </c>
      <c r="F8" s="96">
        <v>10</v>
      </c>
      <c r="G8" s="96">
        <v>10</v>
      </c>
      <c r="H8" s="96">
        <v>10</v>
      </c>
      <c r="I8" s="96">
        <v>10</v>
      </c>
      <c r="J8" s="96">
        <v>10</v>
      </c>
      <c r="K8" s="96">
        <v>10</v>
      </c>
      <c r="L8" s="96">
        <v>10</v>
      </c>
      <c r="M8" s="96">
        <v>10</v>
      </c>
      <c r="N8" s="96">
        <v>10</v>
      </c>
      <c r="O8" s="96">
        <v>10</v>
      </c>
      <c r="P8" s="96">
        <v>10</v>
      </c>
      <c r="Q8" s="96">
        <v>10</v>
      </c>
      <c r="R8" s="96">
        <v>10</v>
      </c>
      <c r="S8" s="96">
        <v>10</v>
      </c>
      <c r="T8" s="96">
        <v>10</v>
      </c>
      <c r="U8" s="96">
        <v>10</v>
      </c>
      <c r="V8" s="96">
        <v>10</v>
      </c>
      <c r="W8" s="96">
        <v>10</v>
      </c>
      <c r="X8" s="96">
        <v>10</v>
      </c>
      <c r="Y8" s="96">
        <v>10</v>
      </c>
      <c r="Z8" s="96">
        <v>10</v>
      </c>
      <c r="AA8" s="96">
        <v>10</v>
      </c>
      <c r="AB8" s="96">
        <v>10</v>
      </c>
      <c r="AC8" s="96">
        <v>10</v>
      </c>
      <c r="AD8" s="96">
        <v>10</v>
      </c>
      <c r="AE8" s="96">
        <v>10</v>
      </c>
    </row>
    <row r="9" spans="1:31" ht="16.5" customHeight="1">
      <c r="A9" s="17" t="s">
        <v>223</v>
      </c>
      <c r="B9" s="96">
        <v>10</v>
      </c>
      <c r="C9" s="96">
        <v>10</v>
      </c>
      <c r="D9" s="96">
        <v>10</v>
      </c>
      <c r="E9" s="96">
        <v>10</v>
      </c>
      <c r="F9" s="96">
        <v>10</v>
      </c>
      <c r="G9" s="96">
        <v>10</v>
      </c>
      <c r="H9" s="96">
        <v>10</v>
      </c>
      <c r="I9" s="96">
        <v>10</v>
      </c>
      <c r="J9" s="96">
        <v>10</v>
      </c>
      <c r="K9" s="96">
        <v>10</v>
      </c>
      <c r="L9" s="96">
        <v>10</v>
      </c>
      <c r="M9" s="96">
        <v>10</v>
      </c>
      <c r="N9" s="96">
        <v>10</v>
      </c>
      <c r="O9" s="96">
        <v>10</v>
      </c>
      <c r="P9" s="96">
        <v>10</v>
      </c>
      <c r="Q9" s="96">
        <v>10</v>
      </c>
      <c r="R9" s="96">
        <v>10</v>
      </c>
      <c r="S9" s="96">
        <v>10</v>
      </c>
      <c r="T9" s="96">
        <v>10</v>
      </c>
      <c r="U9" s="96">
        <v>10</v>
      </c>
      <c r="V9" s="96">
        <v>10</v>
      </c>
      <c r="W9" s="96">
        <v>10</v>
      </c>
      <c r="X9" s="96">
        <v>10</v>
      </c>
      <c r="Y9" s="96">
        <v>10</v>
      </c>
      <c r="Z9" s="96">
        <v>10</v>
      </c>
      <c r="AA9" s="96">
        <v>10</v>
      </c>
      <c r="AB9" s="96">
        <v>10</v>
      </c>
      <c r="AC9" s="96">
        <v>10</v>
      </c>
      <c r="AD9" s="96">
        <v>10</v>
      </c>
      <c r="AE9" s="96">
        <v>10</v>
      </c>
    </row>
    <row r="10" spans="1:31" ht="16.5" customHeight="1">
      <c r="A10" s="17" t="s">
        <v>116</v>
      </c>
      <c r="B10" s="96">
        <v>10</v>
      </c>
      <c r="C10" s="96">
        <v>10</v>
      </c>
      <c r="D10" s="96">
        <v>10</v>
      </c>
      <c r="E10" s="96">
        <v>10</v>
      </c>
      <c r="F10" s="96">
        <v>10</v>
      </c>
      <c r="G10" s="96">
        <v>10</v>
      </c>
      <c r="H10" s="96">
        <v>10</v>
      </c>
      <c r="I10" s="96">
        <v>10</v>
      </c>
      <c r="J10" s="96">
        <v>10</v>
      </c>
      <c r="K10" s="96">
        <v>10</v>
      </c>
      <c r="L10" s="96">
        <v>10</v>
      </c>
      <c r="M10" s="96">
        <v>10</v>
      </c>
      <c r="N10" s="96">
        <v>10</v>
      </c>
      <c r="O10" s="96">
        <v>10</v>
      </c>
      <c r="P10" s="96">
        <v>10</v>
      </c>
      <c r="Q10" s="96">
        <v>10</v>
      </c>
      <c r="R10" s="96">
        <v>10</v>
      </c>
      <c r="S10" s="96">
        <v>10</v>
      </c>
      <c r="T10" s="96">
        <v>10</v>
      </c>
      <c r="U10" s="96">
        <v>10</v>
      </c>
      <c r="V10" s="96">
        <v>10</v>
      </c>
      <c r="W10" s="96">
        <v>10</v>
      </c>
      <c r="X10" s="96">
        <v>10</v>
      </c>
      <c r="Y10" s="96">
        <v>10</v>
      </c>
      <c r="Z10" s="96">
        <v>10</v>
      </c>
      <c r="AA10" s="96">
        <v>10</v>
      </c>
      <c r="AB10" s="96">
        <v>10</v>
      </c>
      <c r="AC10" s="96">
        <v>10</v>
      </c>
      <c r="AD10" s="96">
        <v>10</v>
      </c>
      <c r="AE10" s="96">
        <v>10</v>
      </c>
    </row>
    <row r="11" spans="1:31" ht="16.5" customHeight="1">
      <c r="A11" s="17" t="s">
        <v>128</v>
      </c>
      <c r="B11" s="96">
        <v>10</v>
      </c>
      <c r="C11" s="96">
        <v>10</v>
      </c>
      <c r="D11" s="96">
        <v>10</v>
      </c>
      <c r="E11" s="96">
        <v>10</v>
      </c>
      <c r="F11" s="96">
        <v>10</v>
      </c>
      <c r="G11" s="96">
        <v>10</v>
      </c>
      <c r="H11" s="96">
        <v>10</v>
      </c>
      <c r="I11" s="96">
        <v>10</v>
      </c>
      <c r="J11" s="96">
        <v>10</v>
      </c>
      <c r="K11" s="96">
        <v>10</v>
      </c>
      <c r="L11" s="96">
        <v>10</v>
      </c>
      <c r="M11" s="96">
        <v>10</v>
      </c>
      <c r="N11" s="96">
        <v>10</v>
      </c>
      <c r="O11" s="96">
        <v>10</v>
      </c>
      <c r="P11" s="96">
        <v>10</v>
      </c>
      <c r="Q11" s="96">
        <v>10</v>
      </c>
      <c r="R11" s="96">
        <v>10</v>
      </c>
      <c r="S11" s="96">
        <v>10</v>
      </c>
      <c r="T11" s="96">
        <v>10</v>
      </c>
      <c r="U11" s="96">
        <v>10</v>
      </c>
      <c r="V11" s="96">
        <v>10</v>
      </c>
      <c r="W11" s="96">
        <v>10</v>
      </c>
      <c r="X11" s="96">
        <v>10</v>
      </c>
      <c r="Y11" s="96">
        <v>10</v>
      </c>
      <c r="Z11" s="96">
        <v>10</v>
      </c>
      <c r="AA11" s="96">
        <v>10</v>
      </c>
      <c r="AB11" s="96">
        <v>10</v>
      </c>
      <c r="AC11" s="96">
        <v>10</v>
      </c>
      <c r="AD11" s="96">
        <v>10</v>
      </c>
      <c r="AE11" s="96">
        <v>10</v>
      </c>
    </row>
    <row r="12" spans="1:31" ht="16.5" customHeight="1">
      <c r="A12" s="17" t="s">
        <v>224</v>
      </c>
      <c r="B12" s="96">
        <v>10</v>
      </c>
      <c r="C12" s="96">
        <v>10</v>
      </c>
      <c r="D12" s="96">
        <v>10</v>
      </c>
      <c r="E12" s="96">
        <v>10</v>
      </c>
      <c r="F12" s="96">
        <v>10</v>
      </c>
      <c r="G12" s="96">
        <v>10</v>
      </c>
      <c r="H12" s="96">
        <v>10</v>
      </c>
      <c r="I12" s="96">
        <v>10</v>
      </c>
      <c r="J12" s="96">
        <v>10</v>
      </c>
      <c r="K12" s="96">
        <v>10</v>
      </c>
      <c r="L12" s="96">
        <v>10</v>
      </c>
      <c r="M12" s="96">
        <v>10</v>
      </c>
      <c r="N12" s="96">
        <v>10</v>
      </c>
      <c r="O12" s="96">
        <v>10</v>
      </c>
      <c r="P12" s="96">
        <v>10</v>
      </c>
      <c r="Q12" s="96">
        <v>10</v>
      </c>
      <c r="R12" s="96">
        <v>10</v>
      </c>
      <c r="S12" s="96">
        <v>10</v>
      </c>
      <c r="T12" s="96">
        <v>10</v>
      </c>
      <c r="U12" s="96">
        <v>10</v>
      </c>
      <c r="V12" s="96">
        <v>10</v>
      </c>
      <c r="W12" s="96">
        <v>10</v>
      </c>
      <c r="X12" s="96">
        <v>10</v>
      </c>
      <c r="Y12" s="96">
        <v>10</v>
      </c>
      <c r="Z12" s="96">
        <v>10</v>
      </c>
      <c r="AA12" s="96">
        <v>10</v>
      </c>
      <c r="AB12" s="96">
        <v>10</v>
      </c>
      <c r="AC12" s="96">
        <v>10</v>
      </c>
      <c r="AD12" s="96">
        <v>10</v>
      </c>
      <c r="AE12" s="96">
        <v>10</v>
      </c>
    </row>
    <row r="13" spans="1:31" ht="16.5" customHeight="1">
      <c r="A13" s="17" t="s">
        <v>225</v>
      </c>
      <c r="B13" s="96">
        <v>10</v>
      </c>
      <c r="C13" s="96">
        <v>10</v>
      </c>
      <c r="D13" s="96">
        <v>10</v>
      </c>
      <c r="E13" s="96">
        <v>10</v>
      </c>
      <c r="F13" s="96">
        <v>10</v>
      </c>
      <c r="G13" s="96">
        <v>10</v>
      </c>
      <c r="H13" s="96">
        <v>10</v>
      </c>
      <c r="I13" s="96">
        <v>10</v>
      </c>
      <c r="J13" s="96">
        <v>10</v>
      </c>
      <c r="K13" s="96">
        <v>10</v>
      </c>
      <c r="L13" s="96">
        <v>10</v>
      </c>
      <c r="M13" s="96">
        <v>10</v>
      </c>
      <c r="N13" s="96">
        <v>10</v>
      </c>
      <c r="O13" s="96">
        <v>10</v>
      </c>
      <c r="P13" s="96">
        <v>10</v>
      </c>
      <c r="Q13" s="96">
        <v>10</v>
      </c>
      <c r="R13" s="96">
        <v>10</v>
      </c>
      <c r="S13" s="96">
        <v>10</v>
      </c>
      <c r="T13" s="96">
        <v>10</v>
      </c>
      <c r="U13" s="96">
        <v>10</v>
      </c>
      <c r="V13" s="96">
        <v>10</v>
      </c>
      <c r="W13" s="96">
        <v>10</v>
      </c>
      <c r="X13" s="96">
        <v>10</v>
      </c>
      <c r="Y13" s="96">
        <v>10</v>
      </c>
      <c r="Z13" s="96">
        <v>10</v>
      </c>
      <c r="AA13" s="96">
        <v>10</v>
      </c>
      <c r="AB13" s="96">
        <v>10</v>
      </c>
      <c r="AC13" s="96">
        <v>10</v>
      </c>
      <c r="AD13" s="96">
        <v>10</v>
      </c>
      <c r="AE13" s="96">
        <v>10</v>
      </c>
    </row>
    <row r="14" spans="1:31" ht="16.5" customHeight="1">
      <c r="A14" s="17" t="s">
        <v>226</v>
      </c>
      <c r="B14" s="96">
        <v>10</v>
      </c>
      <c r="C14" s="96">
        <v>10</v>
      </c>
      <c r="D14" s="96">
        <v>10</v>
      </c>
      <c r="E14" s="96">
        <v>10</v>
      </c>
      <c r="F14" s="96">
        <v>10</v>
      </c>
      <c r="G14" s="96">
        <v>10</v>
      </c>
      <c r="H14" s="96">
        <v>10</v>
      </c>
      <c r="I14" s="96">
        <v>10</v>
      </c>
      <c r="J14" s="96">
        <v>10</v>
      </c>
      <c r="K14" s="96">
        <v>10</v>
      </c>
      <c r="L14" s="96">
        <v>10</v>
      </c>
      <c r="M14" s="96">
        <v>10</v>
      </c>
      <c r="N14" s="96">
        <v>10</v>
      </c>
      <c r="O14" s="96">
        <v>10</v>
      </c>
      <c r="P14" s="96">
        <v>10</v>
      </c>
      <c r="Q14" s="96">
        <v>10</v>
      </c>
      <c r="R14" s="96">
        <v>10</v>
      </c>
      <c r="S14" s="96">
        <v>10</v>
      </c>
      <c r="T14" s="96">
        <v>10</v>
      </c>
      <c r="U14" s="96">
        <v>10</v>
      </c>
      <c r="V14" s="96">
        <v>10</v>
      </c>
      <c r="W14" s="96">
        <v>10</v>
      </c>
      <c r="X14" s="96">
        <v>10</v>
      </c>
      <c r="Y14" s="96">
        <v>10</v>
      </c>
      <c r="Z14" s="96">
        <v>10</v>
      </c>
      <c r="AA14" s="96">
        <v>10</v>
      </c>
      <c r="AB14" s="96">
        <v>10</v>
      </c>
      <c r="AC14" s="96">
        <v>10</v>
      </c>
      <c r="AD14" s="96">
        <v>10</v>
      </c>
      <c r="AE14" s="96">
        <v>10</v>
      </c>
    </row>
    <row r="15" spans="1:31" ht="16.5" customHeight="1">
      <c r="A15" s="17" t="s">
        <v>126</v>
      </c>
      <c r="B15" s="96">
        <v>10</v>
      </c>
      <c r="C15" s="96">
        <v>10</v>
      </c>
      <c r="D15" s="96">
        <v>10</v>
      </c>
      <c r="E15" s="96">
        <v>10</v>
      </c>
      <c r="F15" s="96">
        <v>10</v>
      </c>
      <c r="G15" s="96">
        <v>10</v>
      </c>
      <c r="H15" s="96">
        <v>10</v>
      </c>
      <c r="I15" s="96">
        <v>10</v>
      </c>
      <c r="J15" s="96">
        <v>10</v>
      </c>
      <c r="K15" s="96">
        <v>10</v>
      </c>
      <c r="L15" s="96">
        <v>10</v>
      </c>
      <c r="M15" s="96">
        <v>10</v>
      </c>
      <c r="N15" s="96">
        <v>10</v>
      </c>
      <c r="O15" s="96">
        <v>10</v>
      </c>
      <c r="P15" s="96">
        <v>10</v>
      </c>
      <c r="Q15" s="96">
        <v>10</v>
      </c>
      <c r="R15" s="96">
        <v>10</v>
      </c>
      <c r="S15" s="96">
        <v>10</v>
      </c>
      <c r="T15" s="96">
        <v>10</v>
      </c>
      <c r="U15" s="96">
        <v>10</v>
      </c>
      <c r="V15" s="96">
        <v>10</v>
      </c>
      <c r="W15" s="96">
        <v>10</v>
      </c>
      <c r="X15" s="96">
        <v>10</v>
      </c>
      <c r="Y15" s="96">
        <v>10</v>
      </c>
      <c r="Z15" s="96">
        <v>10</v>
      </c>
      <c r="AA15" s="96">
        <v>10</v>
      </c>
      <c r="AB15" s="96">
        <v>10</v>
      </c>
      <c r="AC15" s="96">
        <v>10</v>
      </c>
      <c r="AD15" s="96">
        <v>10</v>
      </c>
      <c r="AE15" s="96">
        <v>10</v>
      </c>
    </row>
    <row r="16" spans="1:31" ht="16.5" customHeight="1">
      <c r="A16" s="17" t="s">
        <v>211</v>
      </c>
      <c r="B16" s="96">
        <v>10</v>
      </c>
      <c r="C16" s="96">
        <v>10</v>
      </c>
      <c r="D16" s="96">
        <v>10</v>
      </c>
      <c r="E16" s="96">
        <v>10</v>
      </c>
      <c r="F16" s="96">
        <v>10</v>
      </c>
      <c r="G16" s="96">
        <v>10</v>
      </c>
      <c r="H16" s="96">
        <v>10</v>
      </c>
      <c r="I16" s="96">
        <v>10</v>
      </c>
      <c r="J16" s="96">
        <v>10</v>
      </c>
      <c r="K16" s="96">
        <v>10</v>
      </c>
      <c r="L16" s="96">
        <v>10</v>
      </c>
      <c r="M16" s="96">
        <v>10</v>
      </c>
      <c r="N16" s="96">
        <v>10</v>
      </c>
      <c r="O16" s="96">
        <v>10</v>
      </c>
      <c r="P16" s="96">
        <v>10</v>
      </c>
      <c r="Q16" s="96">
        <v>10</v>
      </c>
      <c r="R16" s="96">
        <v>10</v>
      </c>
      <c r="S16" s="96">
        <v>10</v>
      </c>
      <c r="T16" s="96">
        <v>10</v>
      </c>
      <c r="U16" s="96">
        <v>10</v>
      </c>
      <c r="V16" s="96">
        <v>10</v>
      </c>
      <c r="W16" s="96">
        <v>10</v>
      </c>
      <c r="X16" s="96">
        <v>10</v>
      </c>
      <c r="Y16" s="96">
        <v>10</v>
      </c>
      <c r="Z16" s="96">
        <v>10</v>
      </c>
      <c r="AA16" s="96">
        <v>10</v>
      </c>
      <c r="AB16" s="96">
        <v>10</v>
      </c>
      <c r="AC16" s="96">
        <v>10</v>
      </c>
      <c r="AD16" s="96">
        <v>10</v>
      </c>
      <c r="AE16" s="96">
        <v>10</v>
      </c>
    </row>
    <row r="17" spans="1:31" ht="16.5" customHeight="1">
      <c r="A17" s="17" t="s">
        <v>227</v>
      </c>
      <c r="B17" s="96">
        <v>10</v>
      </c>
      <c r="C17" s="96">
        <v>10</v>
      </c>
      <c r="D17" s="96">
        <v>10</v>
      </c>
      <c r="E17" s="96">
        <v>10</v>
      </c>
      <c r="F17" s="96">
        <v>10</v>
      </c>
      <c r="G17" s="96">
        <v>10</v>
      </c>
      <c r="H17" s="96">
        <v>10</v>
      </c>
      <c r="I17" s="96">
        <v>10</v>
      </c>
      <c r="J17" s="96">
        <v>10</v>
      </c>
      <c r="K17" s="96">
        <v>10</v>
      </c>
      <c r="L17" s="96">
        <v>10</v>
      </c>
      <c r="M17" s="96">
        <v>10</v>
      </c>
      <c r="N17" s="96">
        <v>10</v>
      </c>
      <c r="O17" s="96">
        <v>10</v>
      </c>
      <c r="P17" s="96">
        <v>10</v>
      </c>
      <c r="Q17" s="96">
        <v>10</v>
      </c>
      <c r="R17" s="96">
        <v>10</v>
      </c>
      <c r="S17" s="96">
        <v>10</v>
      </c>
      <c r="T17" s="96">
        <v>10</v>
      </c>
      <c r="U17" s="96">
        <v>10</v>
      </c>
      <c r="V17" s="96">
        <v>10</v>
      </c>
      <c r="W17" s="96">
        <v>10</v>
      </c>
      <c r="X17" s="96">
        <v>10</v>
      </c>
      <c r="Y17" s="96">
        <v>10</v>
      </c>
      <c r="Z17" s="96">
        <v>10</v>
      </c>
      <c r="AA17" s="96">
        <v>10</v>
      </c>
      <c r="AB17" s="96">
        <v>10</v>
      </c>
      <c r="AC17" s="96">
        <v>10</v>
      </c>
      <c r="AD17" s="96">
        <v>10</v>
      </c>
      <c r="AE17" s="96">
        <v>10</v>
      </c>
    </row>
    <row r="18" spans="1:31" ht="16.5" customHeight="1">
      <c r="A18" s="17" t="s">
        <v>214</v>
      </c>
      <c r="B18" s="96">
        <v>10</v>
      </c>
      <c r="C18" s="96">
        <v>10</v>
      </c>
      <c r="D18" s="96">
        <v>10</v>
      </c>
      <c r="E18" s="96">
        <v>10</v>
      </c>
      <c r="F18" s="96">
        <v>10</v>
      </c>
      <c r="G18" s="96">
        <v>10</v>
      </c>
      <c r="H18" s="96">
        <v>10</v>
      </c>
      <c r="I18" s="96">
        <v>10</v>
      </c>
      <c r="J18" s="96">
        <v>10</v>
      </c>
      <c r="K18" s="96">
        <v>10</v>
      </c>
      <c r="L18" s="96">
        <v>10</v>
      </c>
      <c r="M18" s="96">
        <v>10</v>
      </c>
      <c r="N18" s="96">
        <v>10</v>
      </c>
      <c r="O18" s="96">
        <v>10</v>
      </c>
      <c r="P18" s="96">
        <v>10</v>
      </c>
      <c r="Q18" s="96">
        <v>10</v>
      </c>
      <c r="R18" s="96">
        <v>10</v>
      </c>
      <c r="S18" s="96">
        <v>10</v>
      </c>
      <c r="T18" s="96">
        <v>10</v>
      </c>
      <c r="U18" s="96">
        <v>10</v>
      </c>
      <c r="V18" s="96">
        <v>10</v>
      </c>
      <c r="W18" s="96">
        <v>10</v>
      </c>
      <c r="X18" s="96">
        <v>10</v>
      </c>
      <c r="Y18" s="96">
        <v>10</v>
      </c>
      <c r="Z18" s="96">
        <v>10</v>
      </c>
      <c r="AA18" s="96">
        <v>10</v>
      </c>
      <c r="AB18" s="96">
        <v>10</v>
      </c>
      <c r="AC18" s="96">
        <v>10</v>
      </c>
      <c r="AD18" s="96">
        <v>10</v>
      </c>
      <c r="AE18" s="96">
        <v>10</v>
      </c>
    </row>
    <row r="19" spans="1:31" ht="16.5" customHeight="1">
      <c r="A19" s="17" t="s">
        <v>228</v>
      </c>
      <c r="B19" s="96">
        <v>10</v>
      </c>
      <c r="C19" s="96">
        <v>10</v>
      </c>
      <c r="D19" s="96">
        <v>10</v>
      </c>
      <c r="E19" s="96">
        <v>10</v>
      </c>
      <c r="F19" s="96">
        <v>10</v>
      </c>
      <c r="G19" s="96">
        <v>10</v>
      </c>
      <c r="H19" s="96">
        <v>10</v>
      </c>
      <c r="I19" s="96">
        <v>10</v>
      </c>
      <c r="J19" s="96">
        <v>10</v>
      </c>
      <c r="K19" s="96">
        <v>10</v>
      </c>
      <c r="L19" s="96">
        <v>10</v>
      </c>
      <c r="M19" s="96">
        <v>10</v>
      </c>
      <c r="N19" s="96">
        <v>10</v>
      </c>
      <c r="O19" s="96">
        <v>10</v>
      </c>
      <c r="P19" s="96">
        <v>10</v>
      </c>
      <c r="Q19" s="96">
        <v>10</v>
      </c>
      <c r="R19" s="96">
        <v>10</v>
      </c>
      <c r="S19" s="96">
        <v>10</v>
      </c>
      <c r="T19" s="96">
        <v>10</v>
      </c>
      <c r="U19" s="96">
        <v>10</v>
      </c>
      <c r="V19" s="96">
        <v>10</v>
      </c>
      <c r="W19" s="96">
        <v>10</v>
      </c>
      <c r="X19" s="96">
        <v>10</v>
      </c>
      <c r="Y19" s="96">
        <v>10</v>
      </c>
      <c r="Z19" s="96">
        <v>10</v>
      </c>
      <c r="AA19" s="96">
        <v>10</v>
      </c>
      <c r="AB19" s="96">
        <v>10</v>
      </c>
      <c r="AC19" s="96">
        <v>10</v>
      </c>
      <c r="AD19" s="96">
        <v>10</v>
      </c>
      <c r="AE19" s="96">
        <v>10</v>
      </c>
    </row>
    <row r="20" spans="1:31" ht="16.5" customHeight="1">
      <c r="A20" s="17" t="s">
        <v>229</v>
      </c>
      <c r="B20" s="96">
        <v>10</v>
      </c>
      <c r="C20" s="96">
        <v>10</v>
      </c>
      <c r="D20" s="96">
        <v>10</v>
      </c>
      <c r="E20" s="96">
        <v>10</v>
      </c>
      <c r="F20" s="96">
        <v>10</v>
      </c>
      <c r="G20" s="96">
        <v>10</v>
      </c>
      <c r="H20" s="96">
        <v>10</v>
      </c>
      <c r="I20" s="96">
        <v>10</v>
      </c>
      <c r="J20" s="96">
        <v>10</v>
      </c>
      <c r="K20" s="96">
        <v>10</v>
      </c>
      <c r="L20" s="96">
        <v>10</v>
      </c>
      <c r="M20" s="96">
        <v>10</v>
      </c>
      <c r="N20" s="96">
        <v>10</v>
      </c>
      <c r="O20" s="96">
        <v>10</v>
      </c>
      <c r="P20" s="96">
        <v>10</v>
      </c>
      <c r="Q20" s="96">
        <v>10</v>
      </c>
      <c r="R20" s="96">
        <v>10</v>
      </c>
      <c r="S20" s="96">
        <v>10</v>
      </c>
      <c r="T20" s="96">
        <v>10</v>
      </c>
      <c r="U20" s="96">
        <v>10</v>
      </c>
      <c r="V20" s="96">
        <v>10</v>
      </c>
      <c r="W20" s="96">
        <v>10</v>
      </c>
      <c r="X20" s="96">
        <v>10</v>
      </c>
      <c r="Y20" s="96">
        <v>10</v>
      </c>
      <c r="Z20" s="96">
        <v>10</v>
      </c>
      <c r="AA20" s="96">
        <v>10</v>
      </c>
      <c r="AB20" s="96">
        <v>10</v>
      </c>
      <c r="AC20" s="96">
        <v>10</v>
      </c>
      <c r="AD20" s="96">
        <v>10</v>
      </c>
      <c r="AE20" s="96">
        <v>10</v>
      </c>
    </row>
    <row r="21" spans="1:31" ht="16.5" customHeight="1">
      <c r="A21" s="17" t="s">
        <v>230</v>
      </c>
      <c r="B21" s="96">
        <v>10</v>
      </c>
      <c r="C21" s="96">
        <v>10</v>
      </c>
      <c r="D21" s="96">
        <v>10</v>
      </c>
      <c r="E21" s="96">
        <v>10</v>
      </c>
      <c r="F21" s="96">
        <v>10</v>
      </c>
      <c r="G21" s="96">
        <v>10</v>
      </c>
      <c r="H21" s="96">
        <v>10</v>
      </c>
      <c r="I21" s="96">
        <v>10</v>
      </c>
      <c r="J21" s="96">
        <v>10</v>
      </c>
      <c r="K21" s="96">
        <v>10</v>
      </c>
      <c r="L21" s="96">
        <v>10</v>
      </c>
      <c r="M21" s="96">
        <v>10</v>
      </c>
      <c r="N21" s="96">
        <v>10</v>
      </c>
      <c r="O21" s="96">
        <v>10</v>
      </c>
      <c r="P21" s="96">
        <v>10</v>
      </c>
      <c r="Q21" s="96">
        <v>10</v>
      </c>
      <c r="R21" s="96">
        <v>10</v>
      </c>
      <c r="S21" s="96">
        <v>10</v>
      </c>
      <c r="T21" s="96">
        <v>10</v>
      </c>
      <c r="U21" s="96">
        <v>10</v>
      </c>
      <c r="V21" s="96">
        <v>10</v>
      </c>
      <c r="W21" s="96">
        <v>10</v>
      </c>
      <c r="X21" s="96">
        <v>10</v>
      </c>
      <c r="Y21" s="96">
        <v>10</v>
      </c>
      <c r="Z21" s="96">
        <v>10</v>
      </c>
      <c r="AA21" s="96">
        <v>10</v>
      </c>
      <c r="AB21" s="96">
        <v>10</v>
      </c>
      <c r="AC21" s="96">
        <v>10</v>
      </c>
      <c r="AD21" s="96">
        <v>10</v>
      </c>
      <c r="AE21" s="96">
        <v>10</v>
      </c>
    </row>
    <row r="22" spans="1:31" ht="16.5" customHeight="1">
      <c r="A22" s="17" t="s">
        <v>231</v>
      </c>
      <c r="B22" s="96">
        <v>10</v>
      </c>
      <c r="C22" s="96">
        <v>10</v>
      </c>
      <c r="D22" s="96">
        <v>10</v>
      </c>
      <c r="E22" s="96">
        <v>10</v>
      </c>
      <c r="F22" s="96">
        <v>10</v>
      </c>
      <c r="G22" s="96">
        <v>10</v>
      </c>
      <c r="H22" s="96">
        <v>10</v>
      </c>
      <c r="I22" s="96">
        <v>10</v>
      </c>
      <c r="J22" s="96">
        <v>10</v>
      </c>
      <c r="K22" s="96">
        <v>10</v>
      </c>
      <c r="L22" s="96">
        <v>10</v>
      </c>
      <c r="M22" s="96">
        <v>10</v>
      </c>
      <c r="N22" s="96">
        <v>10</v>
      </c>
      <c r="O22" s="96">
        <v>10</v>
      </c>
      <c r="P22" s="96">
        <v>10</v>
      </c>
      <c r="Q22" s="96">
        <v>10</v>
      </c>
      <c r="R22" s="96">
        <v>10</v>
      </c>
      <c r="S22" s="96">
        <v>10</v>
      </c>
      <c r="T22" s="96">
        <v>10</v>
      </c>
      <c r="U22" s="96">
        <v>10</v>
      </c>
      <c r="V22" s="96">
        <v>10</v>
      </c>
      <c r="W22" s="96">
        <v>10</v>
      </c>
      <c r="X22" s="96">
        <v>10</v>
      </c>
      <c r="Y22" s="96">
        <v>10</v>
      </c>
      <c r="Z22" s="96">
        <v>10</v>
      </c>
      <c r="AA22" s="96">
        <v>10</v>
      </c>
      <c r="AB22" s="96">
        <v>10</v>
      </c>
      <c r="AC22" s="96">
        <v>10</v>
      </c>
      <c r="AD22" s="96">
        <v>10</v>
      </c>
      <c r="AE22" s="96">
        <v>10</v>
      </c>
    </row>
    <row r="23" spans="1:31" ht="16.5" customHeight="1">
      <c r="A23" s="17" t="s">
        <v>232</v>
      </c>
      <c r="B23" s="96">
        <v>10</v>
      </c>
      <c r="C23" s="96">
        <v>10</v>
      </c>
      <c r="D23" s="96">
        <v>10</v>
      </c>
      <c r="E23" s="96">
        <v>10</v>
      </c>
      <c r="F23" s="96">
        <v>10</v>
      </c>
      <c r="G23" s="96">
        <v>10</v>
      </c>
      <c r="H23" s="96">
        <v>10</v>
      </c>
      <c r="I23" s="96">
        <v>10</v>
      </c>
      <c r="J23" s="96">
        <v>10</v>
      </c>
      <c r="K23" s="96">
        <v>10</v>
      </c>
      <c r="L23" s="96">
        <v>10</v>
      </c>
      <c r="M23" s="96">
        <v>10</v>
      </c>
      <c r="N23" s="96">
        <v>10</v>
      </c>
      <c r="O23" s="96">
        <v>10</v>
      </c>
      <c r="P23" s="96">
        <v>10</v>
      </c>
      <c r="Q23" s="96">
        <v>10</v>
      </c>
      <c r="R23" s="96">
        <v>10</v>
      </c>
      <c r="S23" s="96">
        <v>10</v>
      </c>
      <c r="T23" s="96">
        <v>10</v>
      </c>
      <c r="U23" s="96">
        <v>10</v>
      </c>
      <c r="V23" s="96">
        <v>10</v>
      </c>
      <c r="W23" s="96">
        <v>10</v>
      </c>
      <c r="X23" s="96">
        <v>10</v>
      </c>
      <c r="Y23" s="96">
        <v>10</v>
      </c>
      <c r="Z23" s="96">
        <v>10</v>
      </c>
      <c r="AA23" s="96">
        <v>10</v>
      </c>
      <c r="AB23" s="96">
        <v>10</v>
      </c>
      <c r="AC23" s="96">
        <v>10</v>
      </c>
      <c r="AD23" s="96">
        <v>10</v>
      </c>
      <c r="AE23" s="96">
        <v>10</v>
      </c>
    </row>
    <row r="24" spans="1:31" ht="16.5" customHeight="1">
      <c r="A24" s="40" t="s">
        <v>233</v>
      </c>
      <c r="B24" s="96">
        <v>10</v>
      </c>
      <c r="C24" s="96">
        <v>10</v>
      </c>
      <c r="D24" s="96">
        <v>10</v>
      </c>
      <c r="E24" s="96">
        <v>10</v>
      </c>
      <c r="F24" s="96">
        <v>10</v>
      </c>
      <c r="G24" s="96">
        <v>10</v>
      </c>
      <c r="H24" s="96">
        <v>10</v>
      </c>
      <c r="I24" s="96">
        <v>10</v>
      </c>
      <c r="J24" s="96">
        <v>10</v>
      </c>
      <c r="K24" s="96">
        <v>10</v>
      </c>
      <c r="L24" s="96">
        <v>10</v>
      </c>
      <c r="M24" s="96">
        <v>10</v>
      </c>
      <c r="N24" s="96">
        <v>10</v>
      </c>
      <c r="O24" s="96">
        <v>10</v>
      </c>
      <c r="P24" s="96">
        <v>10</v>
      </c>
      <c r="Q24" s="96">
        <v>10</v>
      </c>
      <c r="R24" s="96">
        <v>10</v>
      </c>
      <c r="S24" s="96">
        <v>10</v>
      </c>
      <c r="T24" s="96">
        <v>10</v>
      </c>
      <c r="U24" s="96">
        <v>10</v>
      </c>
      <c r="V24" s="96">
        <v>10</v>
      </c>
      <c r="W24" s="96">
        <v>10</v>
      </c>
      <c r="X24" s="96">
        <v>10</v>
      </c>
      <c r="Y24" s="96">
        <v>10</v>
      </c>
      <c r="Z24" s="96">
        <v>10</v>
      </c>
      <c r="AA24" s="96">
        <v>10</v>
      </c>
      <c r="AB24" s="96">
        <v>10</v>
      </c>
      <c r="AC24" s="96">
        <v>10</v>
      </c>
      <c r="AD24" s="96">
        <v>10</v>
      </c>
      <c r="AE24" s="96">
        <v>10</v>
      </c>
    </row>
    <row r="25" spans="1:31" ht="16.5" customHeight="1">
      <c r="A25" s="40" t="s">
        <v>234</v>
      </c>
      <c r="B25" s="96">
        <v>10</v>
      </c>
      <c r="C25" s="96">
        <v>10</v>
      </c>
      <c r="D25" s="96">
        <v>10</v>
      </c>
      <c r="E25" s="96">
        <v>10</v>
      </c>
      <c r="F25" s="96">
        <v>10</v>
      </c>
      <c r="G25" s="96">
        <v>10</v>
      </c>
      <c r="H25" s="96">
        <v>10</v>
      </c>
      <c r="I25" s="96">
        <v>10</v>
      </c>
      <c r="J25" s="96">
        <v>10</v>
      </c>
      <c r="K25" s="96">
        <v>10</v>
      </c>
      <c r="L25" s="96">
        <v>10</v>
      </c>
      <c r="M25" s="96">
        <v>10</v>
      </c>
      <c r="N25" s="96">
        <v>10</v>
      </c>
      <c r="O25" s="96">
        <v>10</v>
      </c>
      <c r="P25" s="96">
        <v>10</v>
      </c>
      <c r="Q25" s="96">
        <v>10</v>
      </c>
      <c r="R25" s="96">
        <v>10</v>
      </c>
      <c r="S25" s="96">
        <v>10</v>
      </c>
      <c r="T25" s="96">
        <v>10</v>
      </c>
      <c r="U25" s="96">
        <v>10</v>
      </c>
      <c r="V25" s="96">
        <v>10</v>
      </c>
      <c r="W25" s="96">
        <v>10</v>
      </c>
      <c r="X25" s="96">
        <v>10</v>
      </c>
      <c r="Y25" s="96">
        <v>10</v>
      </c>
      <c r="Z25" s="96">
        <v>10</v>
      </c>
      <c r="AA25" s="96">
        <v>10</v>
      </c>
      <c r="AB25" s="96">
        <v>10</v>
      </c>
      <c r="AC25" s="96">
        <v>10</v>
      </c>
      <c r="AD25" s="96">
        <v>10</v>
      </c>
      <c r="AE25" s="96">
        <v>10</v>
      </c>
    </row>
    <row r="26" spans="1:31" ht="16.5" customHeight="1"/>
    <row r="27" spans="1:31" ht="16.5" customHeight="1"/>
    <row r="28" spans="1:31" ht="16.5" customHeight="1"/>
    <row r="29" spans="1:31" ht="16.5" customHeight="1"/>
    <row r="30" spans="1:31" ht="16.5" customHeight="1"/>
    <row r="31" spans="1:31" ht="16.5" customHeight="1"/>
    <row r="32" spans="1:3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2" type="noConversion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350D42B0D95040ACC873ED5DCB146E" ma:contentTypeVersion="10" ma:contentTypeDescription="Create a new document." ma:contentTypeScope="" ma:versionID="07e9ea90ad522b71e445466745b665d9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2528a4ec313a4f0a1f4e92f7a0496c8f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2DD9A0-3117-49F9-A8B4-4AFA70B9D0AA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customXml/itemProps2.xml><?xml version="1.0" encoding="utf-8"?>
<ds:datastoreItem xmlns:ds="http://schemas.openxmlformats.org/officeDocument/2006/customXml" ds:itemID="{1E329BC9-DF1E-45B7-91EF-653372A3F5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5C8820-E411-4619-85A1-513B64CFD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About</vt:lpstr>
      <vt:lpstr>에너지원별 발전량</vt:lpstr>
      <vt:lpstr>발전사별 설비용량</vt:lpstr>
      <vt:lpstr>Subsidies Paid</vt:lpstr>
      <vt:lpstr>LCOE</vt:lpstr>
      <vt:lpstr>Cal-CAPEX (정리)</vt:lpstr>
      <vt:lpstr>Sheet1</vt:lpstr>
      <vt:lpstr>BSpUECB_세액공제액</vt:lpstr>
      <vt:lpstr>BS-BSfTFpEUP</vt:lpstr>
      <vt:lpstr>BS-BSfTFpEUP-transportation</vt:lpstr>
      <vt:lpstr>BS-BSfTFpEUP-electricity</vt:lpstr>
      <vt:lpstr>BS-BSfTFpEUP-res-bldgs</vt:lpstr>
      <vt:lpstr>BS-BSfTFpEUP-com-bldgs</vt:lpstr>
      <vt:lpstr>BS-BSfTFpEUP-industry</vt:lpstr>
      <vt:lpstr>BS-BSfTFpEUP-dist-heat-hydgn</vt:lpstr>
      <vt:lpstr>BS-BSfTFpEUP-geoeng</vt:lpstr>
      <vt:lpstr>BS-BSpUEO</vt:lpstr>
      <vt:lpstr>BS-BSpUEOfEP</vt:lpstr>
      <vt:lpstr>BS-BSpUECB</vt:lpstr>
      <vt:lpstr>BS-DoSpUEO</vt:lpstr>
      <vt:lpstr>dollars_2018_to_2012</vt:lpstr>
      <vt:lpstr>dollars_2021_2012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2014-08-21T02:04:37Z</dcterms:created>
  <dcterms:modified xsi:type="dcterms:W3CDTF">2026-07-01T16:31:08Z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  <property fmtid="{D5CDD505-2E9C-101B-9397-08002B2CF9AE}" pid="3" name="MediaServiceImageTags">
    <vt:lpwstr/>
  </property>
</Properties>
</file>